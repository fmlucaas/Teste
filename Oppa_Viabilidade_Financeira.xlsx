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Resumo" sheetId="2" state="visible" r:id="rId4"/>
    <sheet name="Preço" sheetId="3" state="visible" r:id="rId5"/>
    <sheet name="Premissas" sheetId="4" state="visible" r:id="rId6"/>
    <sheet name="DRE Projetada" sheetId="5" state="visible" r:id="rId7"/>
    <sheet name="Análise Fluxo" sheetId="6" state="visible" r:id="rId8"/>
    <sheet name="Pessoas" sheetId="7" state="visible" r:id="rId9"/>
    <sheet name="Aportes" sheetId="8" state="visible" r:id="rId10"/>
    <sheet name="Investimentos" sheetId="9" state="visible" r:id="rId11"/>
    <sheet name="Sócios" sheetId="10" state="visible" r:id="rId12"/>
    <sheet name="Faturamento" sheetId="11" state="hidden" r:id="rId13"/>
    <sheet name="Usuários" sheetId="12" state="hidden" r:id="rId14"/>
    <sheet name="Cenários" sheetId="13" state="hidden" r:id="rId15"/>
    <sheet name="Tributos" sheetId="14" state="hidden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======
ID#AAACGNbuvpk
Unknown Author    (2026-08-30 23:19:20)
Aba Pessoas. Com 0, só entram no modelo as pessoas com status 'Contratado' — hoje, apenas a equipe do MVP de set–out/2026. Com 1, entra também o plano de contratações futuras, que é sugestão a validar, não compromisso.</t>
        </r>
      </text>
    </comment>
    <comment ref="B15" authorId="0">
      <text>
        <r>
          <rPr>
            <sz val="10"/>
            <rFont val="Arial"/>
            <family val="2"/>
          </rPr>
          <t xml:space="preserve">======
ID#AAACGNbuvqY
Unknown Author    (2026-08-30 23:19:20)
Um app recém-lançado não converte no patamar de regime no primeiro mês. A conversão cresce linearmente do lançamento até atingir, em N meses, o patamar definido para o ano. Com 6 meses e patamar de 5%, outubro/2026 converte a 0,83%, novembro a 1,67% e dezembro a 2,50%.</t>
        </r>
      </text>
    </comment>
    <comment ref="B18" authorId="0">
      <text>
        <r>
          <rPr>
            <sz val="10"/>
            <rFont val="Arial"/>
            <family val="2"/>
          </rPr>
          <t xml:space="preserve">======
ID#AAACGNbuvqI
Unknown Author    (2026-08-30 23:19:20)
Taxa de desconto. A planilha original usava 16% a.a. Para startup pré-receita a faixa usual é 25%–40% a.a. Ajustável.</t>
        </r>
      </text>
    </comment>
    <comment ref="B23" authorId="0">
      <text>
        <r>
          <rPr>
            <sz val="10"/>
            <rFont val="Arial"/>
            <family val="2"/>
          </rPr>
          <t xml:space="preserve">======
ID#AAACGNbuvrc
Unknown Author    (2026-08-30 23:19:20)
ATENÇÃO — Fator R. Licenciamento/cessão de uso de software é Anexo V, migrando para Anexo III só se o Fator R (folha + pró-labore dos últimos 12 meses ÷ RBT12) for &gt;= 28%. Pagamento a equipe PJ NÃO conta como folha. A aba Pessoas calcula o Fator R do seu quadro.</t>
        </r>
      </text>
    </comment>
    <comment ref="B24" authorId="0">
      <text>
        <r>
          <rPr>
            <sz val="10"/>
            <rFont val="Arial"/>
            <family val="2"/>
          </rPr>
          <t xml:space="preserve">======
ID#AAACGNbuvpU
Unknown Author    (2026-08-30 23:19:20)
Serviços: PIS 0,65% + COFINS 3,00% + ISS 5,00% + IRPJ 4,80% (32% de presunção × 15%) + CSLL 2,88% (32% × 9%) = 16,33% da receita bruta. ISS varia de 2% a 5% conforme o município.</t>
        </r>
      </text>
    </comment>
    <comment ref="B62" authorId="0">
      <text>
        <r>
          <rPr>
            <sz val="10"/>
            <rFont val="Arial"/>
            <family val="2"/>
          </rPr>
          <t xml:space="preserve">======
ID#AAACGNbuvpg
Unknown Author    (2026-08-30 23:19:20)
Google Play cobra 15% em todas as assinaturas auto-renováveis desde o 1º dia. Apple cobra 30%, reduzidos a 15% no App Store Small Business Program (receita anual &lt; US$ 1 mi) ou a partir do 2º ano de assinatura. Acima de US$ 1 mi/ano a Apple volta a 30%.</t>
        </r>
      </text>
    </comment>
    <comment ref="B68" authorId="0">
      <text>
        <r>
          <rPr>
            <sz val="10"/>
            <rFont val="Arial"/>
            <family val="2"/>
          </rPr>
          <t xml:space="preserve">======
ID#AAACGNbuvrQ
Unknown Author    (2026-08-30 23:19:20)
Painel pequeno não se vende: comprador de dado quer representatividade. 100 mil usuários consentidos é um piso defensável para um painel nichado — idoso com doença crônica, monitorado continuamente — que é estreito mas profundo. Abaixo disso o modelo zera a receita de dados.</t>
        </r>
      </text>
    </comment>
    <comment ref="B105" authorId="0">
      <text>
        <r>
          <rPr>
            <sz val="10"/>
            <rFont val="Arial"/>
            <family val="2"/>
          </rPr>
          <t xml:space="preserve">======
ID#AAACGNbuvr0
Unknown Author    (2026-08-30 23:19:20)
Aportes em negociação adiantada mas sem assinatura — hoje os R$ 120 mil de C-ioT, Felipe Martinelli e Shaiane. Estão ligados por padrão porque a negociação está em curso. Desligue para ver a Oppa apenas com o capital dos fundadores.</t>
        </r>
      </text>
    </comment>
    <comment ref="B106" authorId="0">
      <text>
        <r>
          <rPr>
            <sz val="10"/>
            <rFont val="Arial"/>
            <family val="2"/>
          </rPr>
          <t xml:space="preserve">======
ID#AAACGNbuvqE
Unknown Author    (2026-08-30 23:19:20)
Vale para os lançamentos marcados como 'Em negociação' e para as parcerias estratégicas com status 'Em negociação' — hoje, a Boston Scientific. Desligado por padrão para que a viabilidade não dependa de receita nem de capital não contratados. Ligue para dimensionar o upside.</t>
        </r>
      </text>
    </comment>
    <comment ref="C34" authorId="0">
      <text>
        <r>
          <rPr>
            <sz val="10"/>
            <rFont val="Arial"/>
            <family val="2"/>
          </rPr>
          <t xml:space="preserve">======
ID#AAACGNbuvrg
Unknown Author    (2026-08-30 23:19:20)
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C45" authorId="0">
      <text>
        <r>
          <rPr>
            <sz val="10"/>
            <rFont val="Arial"/>
            <family val="2"/>
          </rPr>
          <t xml:space="preserve">======
ID#AAACGNbuvpQ
Unknown Author    (2026-08-30 23:19:20)
Calibrado para a meta do brief: ~50.000 usuários na base ao final de 2026. Com lançamento em out/2026 e churn de 8%/mês, 18.100 novos/mês em out+nov+dez levam a uma base de ~50.100 em dez/2026.</t>
        </r>
      </text>
    </comment>
    <comment ref="C49" authorId="0">
      <text>
        <r>
          <rPr>
            <sz val="10"/>
            <rFont val="Arial"/>
            <family val="2"/>
          </rPr>
          <t xml:space="preserve">======
ID#AAACGNbuvqA
Unknown Author    (2026-08-30 23:19:20)
Benchmarks 2025/2026 de apps de assinatura em Saúde &amp; Fitness: churn mensal de 7% a 10% (mediana ~9,2%); os melhores ficam abaixo de 5%. Adotado 8% em 2026 melhorando 6% ao ano, assumindo que monitoramento de saúde retém melhor que fitness (necessidade médica, não motivação). Fontes: RevenueCat State of Subscription Apps 2025; Business of Apps.</t>
        </r>
      </text>
    </comment>
    <comment ref="C53" authorId="0">
      <text>
        <r>
          <rPr>
            <sz val="10"/>
            <rFont val="Arial"/>
            <family val="2"/>
          </rPr>
          <t xml:space="preserve">======
ID#AAACGNbuvro
Unknown Author    (2026-08-30 23:19:20)
Premissa do brief: 5% de pagantes. Benchmarks de freemium: mediana 2,2%–2,6%, faixa típica 2%–5%, quartil superior 5%–8%. Este é o patamar de REGIME: nos primeiros meses após o lançamento a conversão sobe pela rampa definida no controle 1, então 2026 sai bem abaixo de 5%. Fontes: RevenueCat 2025; Userpilot; Geneo.</t>
        </r>
      </text>
    </comment>
    <comment ref="C57" authorId="0">
      <text>
        <r>
          <rPr>
            <sz val="10"/>
            <rFont val="Arial"/>
            <family val="2"/>
          </rPr>
          <t xml:space="preserve">======
ID#AAACGNbuvqg
Unknown Author    (2026-08-30 23:19:20)
CPI (custo por instalação) no Brasil em Meta/Google Ads para apps de saúde: R$ 1,50–4,00. Sobe ao longo do tempo conforme se esgotam as audiências baratas. A agência da Shaiane reduz o custo de produção criativa, não o custo de mídia.</t>
        </r>
      </text>
    </comment>
    <comment ref="C67" authorId="0">
      <text>
        <r>
          <rPr>
            <sz val="10"/>
            <rFont val="Arial"/>
            <family val="2"/>
          </rPr>
          <t xml:space="preserve">======
ID#AAACGNbuvq8
Unknown Author    (2026-08-30 23:19:20)
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C92" authorId="0">
      <text>
        <r>
          <rPr>
            <sz val="10"/>
            <rFont val="Arial"/>
            <family val="2"/>
          </rPr>
          <t xml:space="preserve">======
ID#AAACGNbuvp0
Unknown Author    (2026-08-30 23:19:20)
Ancorado no gasto real de R$ 532,29 em 04/05/2026 (pré-lançamento). Cresce com ambientes, observabilidade, banco gerenciado e redundância.</t>
        </r>
      </text>
    </comment>
    <comment ref="C93" authorId="0">
      <text>
        <r>
          <rPr>
            <sz val="10"/>
            <rFont val="Arial"/>
            <family val="2"/>
          </rPr>
          <t xml:space="preserve">======
ID#AAACGNbuvsE
Unknown Author    (2026-08-30 23:19:20)
Usuário pagante tem histórico: série temporal de sinais vitais armazenada e consultável. Custo de banco time-series + storage + processamento. Cai com escala.</t>
        </r>
      </text>
    </comment>
    <comment ref="C94" authorId="0">
      <text>
        <r>
          <rPr>
            <sz val="10"/>
            <rFont val="Arial"/>
            <family val="2"/>
          </rPr>
          <t xml:space="preserve">======
ID#AAACGNbuvrU
Unknown Author    (2026-08-30 23:19:20)
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C98" authorId="0">
      <text>
        <r>
          <rPr>
            <sz val="10"/>
            <rFont val="Arial"/>
            <family val="2"/>
          </rPr>
          <t xml:space="preserve">======
ID#AAACGNbuvqU
Unknown Author    (2026-08-30 23:19:20)
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  <comment ref="D34" authorId="0">
      <text>
        <r>
          <rPr>
            <sz val="10"/>
            <rFont val="Arial"/>
            <family val="2"/>
          </rPr>
          <t xml:space="preserve">======
ID#AAACGNbuvps
Unknown Author    (2026-08-30 23:19:20)
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D67" authorId="0">
      <text>
        <r>
          <rPr>
            <sz val="10"/>
            <rFont val="Arial"/>
            <family val="2"/>
          </rPr>
          <t xml:space="preserve">======
ID#AAACGNbuvr8
Unknown Author    (2026-08-30 23:19:20)
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D92" authorId="0">
      <text>
        <r>
          <rPr>
            <sz val="10"/>
            <rFont val="Arial"/>
            <family val="2"/>
          </rPr>
          <t xml:space="preserve">======
ID#AAACGNbuvsI
Unknown Author    (2026-08-30 23:19:20)
Ancorado no gasto real de R$ 532,29 em 04/05/2026 (pré-lançamento). Cresce com ambientes, observabilidade, banco gerenciado e redundância.</t>
        </r>
      </text>
    </comment>
    <comment ref="D93" authorId="0">
      <text>
        <r>
          <rPr>
            <sz val="10"/>
            <rFont val="Arial"/>
            <family val="2"/>
          </rPr>
          <t xml:space="preserve">======
ID#AAACGNbuvo4
Unknown Author    (2026-08-30 23:19:20)
Usuário pagante tem histórico: série temporal de sinais vitais armazenada e consultável. Custo de banco time-series + storage + processamento. Cai com escala.</t>
        </r>
      </text>
    </comment>
    <comment ref="D94" authorId="0">
      <text>
        <r>
          <rPr>
            <sz val="10"/>
            <rFont val="Arial"/>
            <family val="2"/>
          </rPr>
          <t xml:space="preserve">======
ID#AAACGNbuvpc
Unknown Author    (2026-08-30 23:19:20)
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D98" authorId="0">
      <text>
        <r>
          <rPr>
            <sz val="10"/>
            <rFont val="Arial"/>
            <family val="2"/>
          </rPr>
          <t xml:space="preserve">======
ID#AAACGNbuvqc
Unknown Author    (2026-08-30 23:19:20)
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  <comment ref="E34" authorId="0">
      <text>
        <r>
          <rPr>
            <sz val="10"/>
            <rFont val="Arial"/>
            <family val="2"/>
          </rPr>
          <t xml:space="preserve">======
ID#AAACGNbuvpM
Unknown Author    (2026-08-30 23:19:20)
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E67" authorId="0">
      <text>
        <r>
          <rPr>
            <sz val="10"/>
            <rFont val="Arial"/>
            <family val="2"/>
          </rPr>
          <t xml:space="preserve">======
ID#AAACGNbuvpo
Unknown Author    (2026-08-30 23:19:20)
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E74" authorId="0">
      <text>
        <r>
          <rPr>
            <sz val="10"/>
            <rFont val="Arial"/>
            <family val="2"/>
          </rPr>
          <t xml:space="preserve">======
ID#AAACGNbuvsM
Lucas Medina    (2026-08-30 23:19:20)
Considerando um contrato de 12 meses para uma indústria.</t>
        </r>
      </text>
    </comment>
    <comment ref="E75" authorId="0">
      <text>
        <r>
          <rPr>
            <sz val="10"/>
            <rFont val="Arial"/>
            <family val="2"/>
          </rPr>
          <t xml:space="preserve">======
ID#AAACGNbuvo8
Lucas Medina    (2026-08-30 23:19:20)
Considerando um contrato de 12 meses para uma rede.</t>
        </r>
      </text>
    </comment>
    <comment ref="E92" authorId="0">
      <text>
        <r>
          <rPr>
            <sz val="10"/>
            <rFont val="Arial"/>
            <family val="2"/>
          </rPr>
          <t xml:space="preserve">======
ID#AAACGNbuvp8
Unknown Author    (2026-08-30 23:19:20)
Ancorado no gasto real de R$ 532,29 em 04/05/2026 (pré-lançamento). Cresce com ambientes, observabilidade, banco gerenciado e redundância.</t>
        </r>
      </text>
    </comment>
    <comment ref="E93" authorId="0">
      <text>
        <r>
          <rPr>
            <sz val="10"/>
            <rFont val="Arial"/>
            <family val="2"/>
          </rPr>
          <t xml:space="preserve">======
ID#AAACGNbuvrE
Unknown Author    (2026-08-30 23:19:20)
Usuário pagante tem histórico: série temporal de sinais vitais armazenada e consultável. Custo de banco time-series + storage + processamento. Cai com escala.</t>
        </r>
      </text>
    </comment>
    <comment ref="E94" authorId="0">
      <text>
        <r>
          <rPr>
            <sz val="10"/>
            <rFont val="Arial"/>
            <family val="2"/>
          </rPr>
          <t xml:space="preserve">======
ID#AAACGNbuvqw
Unknown Author    (2026-08-30 23:19:20)
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E98" authorId="0">
      <text>
        <r>
          <rPr>
            <sz val="10"/>
            <rFont val="Arial"/>
            <family val="2"/>
          </rPr>
          <t xml:space="preserve">======
ID#AAACGNbuvrY
Unknown Author    (2026-08-30 23:19:20)
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  <comment ref="F34" authorId="0">
      <text>
        <r>
          <rPr>
            <sz val="10"/>
            <rFont val="Arial"/>
            <family val="2"/>
          </rPr>
          <t xml:space="preserve">======
ID#AAACGNbuvr4
Unknown Author    (2026-08-30 23:19:20)
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F67" authorId="0">
      <text>
        <r>
          <rPr>
            <sz val="10"/>
            <rFont val="Arial"/>
            <family val="2"/>
          </rPr>
          <t xml:space="preserve">======
ID#AAACGNbuvrA
Unknown Author    (2026-08-30 23:19:20)
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F92" authorId="0">
      <text>
        <r>
          <rPr>
            <sz val="10"/>
            <rFont val="Arial"/>
            <family val="2"/>
          </rPr>
          <t xml:space="preserve">======
ID#AAACGNbuvpA
Unknown Author    (2026-08-30 23:19:20)
Ancorado no gasto real de R$ 532,29 em 04/05/2026 (pré-lançamento). Cresce com ambientes, observabilidade, banco gerenciado e redundância.</t>
        </r>
      </text>
    </comment>
    <comment ref="F93" authorId="0">
      <text>
        <r>
          <rPr>
            <sz val="10"/>
            <rFont val="Arial"/>
            <family val="2"/>
          </rPr>
          <t xml:space="preserve">======
ID#AAACGNbuvrI
Unknown Author    (2026-08-30 23:19:20)
Usuário pagante tem histórico: série temporal de sinais vitais armazenada e consultável. Custo de banco time-series + storage + processamento. Cai com escala.</t>
        </r>
      </text>
    </comment>
    <comment ref="F94" authorId="0">
      <text>
        <r>
          <rPr>
            <sz val="10"/>
            <rFont val="Arial"/>
            <family val="2"/>
          </rPr>
          <t xml:space="preserve">======
ID#AAACGNbuvsA
Unknown Author    (2026-08-30 23:19:20)
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F98" authorId="0">
      <text>
        <r>
          <rPr>
            <sz val="10"/>
            <rFont val="Arial"/>
            <family val="2"/>
          </rPr>
          <t xml:space="preserve">======
ID#AAACGNbuvqQ
Unknown Author    (2026-08-30 23:19:20)
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  <comment ref="G34" authorId="0">
      <text>
        <r>
          <rPr>
            <sz val="10"/>
            <rFont val="Arial"/>
            <family val="2"/>
          </rPr>
          <t xml:space="preserve">======
ID#AAACGNbuvrw
Unknown Author    (2026-08-30 23:19:20)
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G67" authorId="0">
      <text>
        <r>
          <rPr>
            <sz val="10"/>
            <rFont val="Arial"/>
            <family val="2"/>
          </rPr>
          <t xml:space="preserve">======
ID#AAACGNbuvo0
Unknown Author    (2026-08-30 23:19:20)
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G92" authorId="0">
      <text>
        <r>
          <rPr>
            <sz val="10"/>
            <rFont val="Arial"/>
            <family val="2"/>
          </rPr>
          <t xml:space="preserve">======
ID#AAACGNbuvpw
Unknown Author    (2026-08-30 23:19:20)
Ancorado no gasto real de R$ 532,29 em 04/05/2026 (pré-lançamento). Cresce com ambientes, observabilidade, banco gerenciado e redundância.</t>
        </r>
      </text>
    </comment>
    <comment ref="G93" authorId="0">
      <text>
        <r>
          <rPr>
            <sz val="10"/>
            <rFont val="Arial"/>
            <family val="2"/>
          </rPr>
          <t xml:space="preserve">======
ID#AAACGNbuvqM
Unknown Author    (2026-08-30 23:19:20)
Usuário pagante tem histórico: série temporal de sinais vitais armazenada e consultável. Custo de banco time-series + storage + processamento. Cai com escala.</t>
        </r>
      </text>
    </comment>
    <comment ref="G94" authorId="0">
      <text>
        <r>
          <rPr>
            <sz val="10"/>
            <rFont val="Arial"/>
            <family val="2"/>
          </rPr>
          <t xml:space="preserve">======
ID#AAACGNbuvq0
Unknown Author    (2026-08-30 23:19:20)
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G98" authorId="0">
      <text>
        <r>
          <rPr>
            <sz val="10"/>
            <rFont val="Arial"/>
            <family val="2"/>
          </rPr>
          <t xml:space="preserve">======
ID#AAACGNbuvsQ
Unknown Author    (2026-08-30 23:19:20)
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======
ID#AAACGNbuvqs
Unknown Author    (2026-08-30 23:19:20)
Único custo de pessoal efetivamente comprometido. Brief: equipe PJ contratada em setembro para entregar o app até outubro, orçamento total de R$ 21.000 (2 meses × R$ 10.500). Classificado como Investimento porque é o desenvolvimento do ativo — amortizado em 60 meses na DRE.</t>
        </r>
      </text>
    </comment>
    <comment ref="A7" authorId="0">
      <text>
        <r>
          <rPr>
            <sz val="10"/>
            <rFont val="Arial"/>
            <family val="2"/>
          </rPr>
          <t xml:space="preserve">======
ID#AAACGNbuvrM
Unknown Author    (2026-08-30 23:19:20)
Manutenção e evolução do app após o lançamento. Sugestão a validar.</t>
        </r>
      </text>
    </comment>
    <comment ref="A8" authorId="0">
      <text>
        <r>
          <rPr>
            <sz val="10"/>
            <rFont val="Arial"/>
            <family val="2"/>
          </rPr>
          <t xml:space="preserve">======
ID#AAACGNbuvqo
Unknown Author    (2026-08-30 23:19:20)
Soma-se ao time base — não o substitui.</t>
        </r>
      </text>
    </comment>
    <comment ref="A9" authorId="0">
      <text>
        <r>
          <rPr>
            <sz val="10"/>
            <rFont val="Arial"/>
            <family val="2"/>
          </rPr>
          <t xml:space="preserve">======
ID#AAACGNbuvq4
Unknown Author    (2026-08-30 23:19:20)
Soma-se aos anteriores.</t>
        </r>
      </text>
    </comment>
    <comment ref="A10" authorId="0">
      <text>
        <r>
          <rPr>
            <sz val="10"/>
            <rFont val="Arial"/>
            <family val="2"/>
          </rPr>
          <t xml:space="preserve">======
ID#AAACGNbuvsU
Unknown Author    (2026-08-30 23:19:20)
Soma-se aos anteriores.</t>
        </r>
      </text>
    </comment>
    <comment ref="A11" authorId="0">
      <text>
        <r>
          <rPr>
            <sz val="10"/>
            <rFont val="Arial"/>
            <family val="2"/>
          </rPr>
          <t xml:space="preserve">======
ID#AAACGNbuvrs
Unknown Author    (2026-08-30 23:19:20)
Atendimento humano. As ferramentas de suporte (chatbot, help desk) estão em Premissas, no custo variável por pagante.</t>
        </r>
      </text>
    </comment>
    <comment ref="A15" authorId="0">
      <text>
        <r>
          <rPr>
            <sz val="10"/>
            <rFont val="Arial"/>
            <family val="2"/>
          </rPr>
          <t xml:space="preserve">======
ID#AAACGNbuvrk
Unknown Author    (2026-08-30 23:19:20)
Pessoa dedicada a aquisição e retenção. A mídia paga está em Premissas (CAC e marketing recorrente), não aqui.</t>
        </r>
      </text>
    </comment>
    <comment ref="A18" authorId="0">
      <text>
        <r>
          <rPr>
            <sz val="10"/>
            <rFont val="Arial"/>
            <family val="2"/>
          </rPr>
          <t xml:space="preserve">======
ID#AAACGNbuvp4
Unknown Author    (2026-08-30 23:19:20)
Confiabilidade da ingestão de sinais vitais e custo de nuvem sob controle.</t>
        </r>
      </text>
    </comment>
    <comment ref="A22" authorId="0">
      <text>
        <r>
          <rPr>
            <sz val="10"/>
            <rFont val="Arial"/>
            <family val="2"/>
          </rPr>
          <t xml:space="preserve">======
ID#AAACGNbuvpY
Unknown Author    (2026-08-30 23:19:20)
Retirada dos sócios ativos. Zero em 2026. Conta para o Fator R — ver quadro no fim desta aba.</t>
        </r>
      </text>
    </comment>
    <comment ref="A23" authorId="0">
      <text>
        <r>
          <rPr>
            <sz val="10"/>
            <rFont val="Arial"/>
            <family val="2"/>
          </rPr>
          <t xml:space="preserve">======
ID#AAACGNbuvqk
Unknown Author    (2026-08-30 23:19:20)
Substitui a linha anterior, que se encerra em dez/2028.</t>
        </r>
      </text>
    </comment>
    <comment ref="A24" authorId="0">
      <text>
        <r>
          <rPr>
            <sz val="10"/>
            <rFont val="Arial"/>
            <family val="2"/>
          </rPr>
          <t xml:space="preserve">======
ID#AAACGNbuvpE
Unknown Author    (2026-08-30 23:19:20)
Linha de exemplo, com quantidade zero. Encargos de 70% cobrem INSS patronal, FGTS, férias, 13º e provisões. Contratar em CLT eleva o Fator R e pode levar a empresa do Anexo V ao Anexo III — compare o custo da folha com a economia tributária no quadro abaixo.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4" authorId="0">
      <text>
        <r>
          <rPr>
            <sz val="10"/>
            <rFont val="Arial"/>
            <family val="2"/>
          </rPr>
          <t xml:space="preserve">======
ID#AAACGNbuvpI
Unknown Author    (2026-08-30 23:19:20)
Reserva de segurança. Nenhuma empresa distribui até o último real: sazonalidade, inadimplência e imprevisto exigem colchão. Seis meses de custo operacional é uma referência conservadora e comum.</t>
        </r>
      </text>
    </comment>
  </commentList>
</comments>
</file>

<file path=xl/sharedStrings.xml><?xml version="1.0" encoding="utf-8"?>
<sst xmlns="http://schemas.openxmlformats.org/spreadsheetml/2006/main" count="1243" uniqueCount="795">
  <si>
    <t xml:space="preserve">OPPA — O MAPA DA PLANILHA</t>
  </si>
  <si>
    <t xml:space="preserve">Catorze abas, mas você só precisa de quatro no dia a dia. A cor da aba diz o que fazer com ela.</t>
  </si>
  <si>
    <t xml:space="preserve">O CAMINHO MAIS CURTO</t>
  </si>
  <si>
    <t xml:space="preserve">1.</t>
  </si>
  <si>
    <t xml:space="preserve">Abra o RESUMO e veja onde o negócio está nos três cenários.</t>
  </si>
  <si>
    <t xml:space="preserve">2.</t>
  </si>
  <si>
    <t xml:space="preserve">Abra PREÇO para entender de onde sai o valor da assinatura e testar um preço.</t>
  </si>
  <si>
    <t xml:space="preserve">3.</t>
  </si>
  <si>
    <t xml:space="preserve">Mude o que quiser em PREMISSAS. Tudo recalcula sozinho — não há nada para rodar.</t>
  </si>
  <si>
    <t xml:space="preserve">4.</t>
  </si>
  <si>
    <t xml:space="preserve">Volte ao RESUMO e compare.</t>
  </si>
  <si>
    <t xml:space="preserve">ABA</t>
  </si>
  <si>
    <t xml:space="preserve">PARA QUE SERVE</t>
  </si>
  <si>
    <t xml:space="preserve">VOCÊ DIGITA?</t>
  </si>
  <si>
    <t xml:space="preserve">COMECE AQUI</t>
  </si>
  <si>
    <t xml:space="preserve">Como usar</t>
  </si>
  <si>
    <t xml:space="preserve">O mapa. Esta tela.</t>
  </si>
  <si>
    <t xml:space="preserve">não</t>
  </si>
  <si>
    <t xml:space="preserve">LEIA O RESULTADO</t>
  </si>
  <si>
    <t xml:space="preserve">Resumo</t>
  </si>
  <si>
    <t xml:space="preserve">Os três cenários lado a lado e o diagnóstico. É a aba para mostrar a um sócio ou investidor.</t>
  </si>
  <si>
    <t xml:space="preserve">Preço</t>
  </si>
  <si>
    <t xml:space="preserve">De onde sai o valor da assinatura: nuvem, suporte, pessoas, marketing, administrativo, impostos, comissão da loja e margem. Tem um campo para testar um preço.</t>
  </si>
  <si>
    <t xml:space="preserve">só 3 campos</t>
  </si>
  <si>
    <t xml:space="preserve">DIGITE AQUI</t>
  </si>
  <si>
    <t xml:space="preserve">Premissas</t>
  </si>
  <si>
    <t xml:space="preserve">Todos os números do negócio: preços, conversão, churn, custos, tributação. É aqui que você passa a maior parte do tempo.</t>
  </si>
  <si>
    <t xml:space="preserve">SIM</t>
  </si>
  <si>
    <t xml:space="preserve">O RESULTADO EM DETALHE</t>
  </si>
  <si>
    <t xml:space="preserve">DRE Projetada</t>
  </si>
  <si>
    <t xml:space="preserve">O resultado mês a mês, de jan/2026 a dez/2030 — colunas B até BI. A soma por ano fica no rodapé, depois do detalhe mensal.</t>
  </si>
  <si>
    <t xml:space="preserve">Análise Fluxo</t>
  </si>
  <si>
    <t xml:space="preserve">O caixa mês a mês, mais VPL, TIR e payback. Traz a linha de verificação que precisa ficar zerada.</t>
  </si>
  <si>
    <t xml:space="preserve">AJUSTE E ACOMPANHAMENTO POSTERIOR</t>
  </si>
  <si>
    <t xml:space="preserve">Pessoas</t>
  </si>
  <si>
    <t xml:space="preserve">O time, linha a linha, com data de entrada e de saída de cada pessoa.</t>
  </si>
  <si>
    <t xml:space="preserve">Aportes</t>
  </si>
  <si>
    <t xml:space="preserve">Todo o capital: quem aportou, quanto, quando e em que status.</t>
  </si>
  <si>
    <t xml:space="preserve">Investimentos</t>
  </si>
  <si>
    <t xml:space="preserve">Cronograma de equipamentos, marca e certificações.</t>
  </si>
  <si>
    <t xml:space="preserve">Sócios</t>
  </si>
  <si>
    <t xml:space="preserve">Lucro distribuível e rateio por participação. Os percentuais ainda são provisórios.</t>
  </si>
  <si>
    <t xml:space="preserve">MOTOR E APOIO — ABAS OCULTAS</t>
  </si>
  <si>
    <t xml:space="preserve">Faturamento</t>
  </si>
  <si>
    <t xml:space="preserve">A receita aberta por linha de negócio. Mesma informação da DRE, em outro corte.</t>
  </si>
  <si>
    <t xml:space="preserve">Usuários</t>
  </si>
  <si>
    <t xml:space="preserve">O funil de usuários e as métricas de unidade (CAC, LTV, churn).</t>
  </si>
  <si>
    <t xml:space="preserve">Cenários</t>
  </si>
  <si>
    <t xml:space="preserve">O motor. Os três cenários rodam aqui e todas as outras abas leem daqui. Nunca edite.</t>
  </si>
  <si>
    <t xml:space="preserve">Tributos</t>
  </si>
  <si>
    <t xml:space="preserve">As tabelas do Simples Nacional (Anexos III e V) e o Fator R.</t>
  </si>
  <si>
    <t xml:space="preserve">PARA VER UMA ABA OCULTA</t>
  </si>
  <si>
    <t xml:space="preserve">Clique com o botão direito em qualquer aba na barra de baixo e escolha 'Reexibir' (Excel) ou 'Mostrar planilha' (LibreOffice). Elas estão ocultas porque são o motor e o apoio — nada se perde, e nada ali precisa ser editado.</t>
  </si>
  <si>
    <t xml:space="preserve">AS CORES DAS CÉLULAS</t>
  </si>
  <si>
    <t xml:space="preserve">Azul</t>
  </si>
  <si>
    <t xml:space="preserve">você digita — é uma premissa sua.</t>
  </si>
  <si>
    <t xml:space="preserve">Fundo amarelo</t>
  </si>
  <si>
    <t xml:space="preserve">premissa-chave: mexer nela desloca bastante o resultado.</t>
  </si>
  <si>
    <t xml:space="preserve">Preto</t>
  </si>
  <si>
    <t xml:space="preserve">fórmula calculada na própria aba. Não mexa.</t>
  </si>
  <si>
    <t xml:space="preserve">Verde</t>
  </si>
  <si>
    <t xml:space="preserve">valor que vem de outra aba. Mude na origem.</t>
  </si>
  <si>
    <t xml:space="preserve">SE ALGUM NÚMERO PARECER ERRADO</t>
  </si>
  <si>
    <t xml:space="preserve">•  Na ANÁLISE FLUXO há uma linha de verificação que compara o detalhe com o motor. Ela tem de ficar zerada em todos os meses.</t>
  </si>
  <si>
    <t xml:space="preserve">•  Na aba PREÇO há duas linhas de conferência que comparam a decomposição de custo com a DRE. Também têm de ficar zeradas.</t>
  </si>
  <si>
    <t xml:space="preserve">•  Em PREMISSAS, a linha 'Verificação do mix' tem de somar 100% em todos os anos.</t>
  </si>
  <si>
    <t xml:space="preserve">•  Se alguma delas sair de zero, uma fórmula foi sobrescrita por um valor digitado. Desfaça a última edição ou peça o arquivo novo.</t>
  </si>
  <si>
    <t xml:space="preserve">OPPA — VIABILIDADE FINANCEIRA · PAINEL EXECUTIVO</t>
  </si>
  <si>
    <t xml:space="preserve">Projeção de 60 meses (jan/2026 – dez/2030). Os três cenários são calculados simultaneamente. Todos os números vêm de fórmulas — nada está digitado à mão.</t>
  </si>
  <si>
    <t xml:space="preserve">INDICADOR</t>
  </si>
  <si>
    <t xml:space="preserve">CONSERVADOR</t>
  </si>
  <si>
    <t xml:space="preserve">PROVÁVEL</t>
  </si>
  <si>
    <t xml:space="preserve">AGRESSIVO</t>
  </si>
  <si>
    <t xml:space="preserve">Cenário em uso nas abas de detalhe</t>
  </si>
  <si>
    <t xml:space="preserve">TRAÇÃO — USUÁRIOS E RECEITA</t>
  </si>
  <si>
    <t xml:space="preserve">Usuários na base em dez/2026</t>
  </si>
  <si>
    <t xml:space="preserve">Meta do brief: 50 mil usuários ao final de 2026.</t>
  </si>
  <si>
    <t xml:space="preserve">Usuários na base em dez/2030</t>
  </si>
  <si>
    <t xml:space="preserve">Assinantes pagantes em dez/2026</t>
  </si>
  <si>
    <t xml:space="preserve">Meta do brief: 5% da base pagante.</t>
  </si>
  <si>
    <t xml:space="preserve">Assinantes pagantes em dez/2030</t>
  </si>
  <si>
    <t xml:space="preserve">Receita bruta de 2026</t>
  </si>
  <si>
    <t xml:space="preserve">Receita bruta de 2030</t>
  </si>
  <si>
    <t xml:space="preserve">Receita bruta acumulada em 5 anos</t>
  </si>
  <si>
    <t xml:space="preserve">RESULTADO OPERACIONAL</t>
  </si>
  <si>
    <t xml:space="preserve">EBITDA de 2026</t>
  </si>
  <si>
    <t xml:space="preserve">EBITDA de 2030</t>
  </si>
  <si>
    <t xml:space="preserve">EBITDA acumulado em 5 anos</t>
  </si>
  <si>
    <t xml:space="preserve">Margem EBITDA em 2030 (% da receita bruta)</t>
  </si>
  <si>
    <t xml:space="preserve">Break-even do EBITDA</t>
  </si>
  <si>
    <t xml:space="preserve">Primeiro mês com EBITDA positivo — quando a operação passa a se pagar.</t>
  </si>
  <si>
    <t xml:space="preserve">CAPITAL E CAIXA</t>
  </si>
  <si>
    <t xml:space="preserve">Investimento total (CAPEX)</t>
  </si>
  <si>
    <t xml:space="preserve">Capital requerido (pico de caixa negativo do FCL)</t>
  </si>
  <si>
    <t xml:space="preserve">Quanto a operação precisa de capital antes de se sustentar sozinha.</t>
  </si>
  <si>
    <t xml:space="preserve">Capital total considerado</t>
  </si>
  <si>
    <t xml:space="preserve">Caixa mínimo ao longo do período</t>
  </si>
  <si>
    <t xml:space="preserve">Se ficar negativo, o capital planejado não é suficiente — falta captar a diferença.</t>
  </si>
  <si>
    <t xml:space="preserve">Mês do caixa mínimo</t>
  </si>
  <si>
    <t xml:space="preserve">Quando o caixa chega no fundo do poço — é o mês para o qual o aporte precisa chegar antes.</t>
  </si>
  <si>
    <t xml:space="preserve">Caixa em dez/2030</t>
  </si>
  <si>
    <t xml:space="preserve">INDICADORES DE VIABILIDADE (sobre o Fluxo de Caixa Livre)</t>
  </si>
  <si>
    <t xml:space="preserve">VPL — Valor Presente Líquido</t>
  </si>
  <si>
    <t xml:space="preserve">Descontado à TMA definida em Premissas. Positivo = o projeto cria valor.</t>
  </si>
  <si>
    <t xml:space="preserve">TIR mensal</t>
  </si>
  <si>
    <t xml:space="preserve">TIR anual</t>
  </si>
  <si>
    <t xml:space="preserve">Compare com a TMA. Atenção: quando o investimento inicial é pequeno diante do caixa gerado, a TIR fica muito alta e perde poder de comparação — olhe o VPL junto.</t>
  </si>
  <si>
    <t xml:space="preserve">Payback simples (meses)</t>
  </si>
  <si>
    <t xml:space="preserve">Mês em que o FCL acumulado passa a positivo e não volta mais.</t>
  </si>
  <si>
    <t xml:space="preserve">Payback descontado (meses)</t>
  </si>
  <si>
    <t xml:space="preserve">Critério de decisão: payback desejado definido em Premissas.</t>
  </si>
  <si>
    <t xml:space="preserve">FCL acumulado em 5 anos</t>
  </si>
  <si>
    <t xml:space="preserve">Retorno sobre o capital requerido (múltiplo)</t>
  </si>
  <si>
    <t xml:space="preserve">Múltiplo, não percentual: 3,0x significa devolver três vezes o capital que o projeto precisou. Negativo significa que o capital não volta.</t>
  </si>
  <si>
    <t xml:space="preserve">TESTE DE DECISÃO — GO / NO-GO</t>
  </si>
  <si>
    <t xml:space="preserve">O caixa nunca fica negativo?</t>
  </si>
  <si>
    <t xml:space="preserve">O VPL é positivo?</t>
  </si>
  <si>
    <t xml:space="preserve">A TIR anual supera a TMA?</t>
  </si>
  <si>
    <t xml:space="preserve">O payback descontado cabe no prazo desejado?</t>
  </si>
  <si>
    <t xml:space="preserve">DIAGNÓSTICO</t>
  </si>
  <si>
    <t xml:space="preserve">MÉTRICAS DE UNIDADE — CENÁRIO ATIVO (dez/2030)</t>
  </si>
  <si>
    <t xml:space="preserve">LTV — valor do assinante</t>
  </si>
  <si>
    <t xml:space="preserve">CAC por assinante pagante</t>
  </si>
  <si>
    <t xml:space="preserve">LTV ÷ CAC</t>
  </si>
  <si>
    <t xml:space="preserve">Referência: ≥ 3,0x é saudável. Abaixo de 1,0x destrói valor.</t>
  </si>
  <si>
    <t xml:space="preserve">Payback do CAC (meses)</t>
  </si>
  <si>
    <t xml:space="preserve">Ideal abaixo de 12 meses.</t>
  </si>
  <si>
    <t xml:space="preserve">ARPPU — receita por assinante</t>
  </si>
  <si>
    <t xml:space="preserve">Runway em dez/2026 (meses de caixa)</t>
  </si>
  <si>
    <t xml:space="preserve">Pessoas na operação em dez/2030</t>
  </si>
  <si>
    <t xml:space="preserve">Quadro de pessoal projetado. Edite linha a linha na aba Pessoas.</t>
  </si>
  <si>
    <t xml:space="preserve">PONTOS DE ATENÇÃO IDENTIFICADOS NA MODELAGEM</t>
  </si>
  <si>
    <t xml:space="preserve">▸  Fator R: o modelo está no Anexo V, e é isso mesmo</t>
  </si>
  <si>
    <t xml:space="preserve">A aba Pessoas calcula o Fator R do quadro projetado: fica entre 1% e 6%, muito abaixo dos 28% exigidos para o Anexo III. Como pagamento a PJ não conta como folha, o Anexo III simplesmente não está disponível com a estrutura atual — por isso o regime padrão do modelo é o Anexo V. Migrar parte do time para CLT ou elevar o pró-labore pode reverter isso e economizar até R$ 135 mil por ano; compare na aba Tributos antes de decidir.</t>
  </si>
  <si>
    <t xml:space="preserve">▸  Dependência dos aportes não assinados</t>
  </si>
  <si>
    <t xml:space="preserve">Dos R$ 200 mil do caso-base, R$ 120 mil vêm de C-ioT, Felipe Martinelli e Shaiane — ainda não formalizados. Sem eles, o capital cai para R$ 80 mil e o lançamento com aquisição paga não se sustenta. Este é o maior risco de curto prazo do plano.</t>
  </si>
  <si>
    <t xml:space="preserve">▸  Comissão das lojas de aplicativos</t>
  </si>
  <si>
    <t xml:space="preserve">Apple e Google retêm 15% da assinatura (Google desde o primeiro dia; Apple pelo Small Business Program, válido enquanto a receita anual for inferior a US$ 1 milhão). Acima disso a Apple volta a 30%. É a maior dedução isolada da receita e não estava no brief.</t>
  </si>
  <si>
    <t xml:space="preserve">▸  Conversão de 5% é premissa de quartil superior</t>
  </si>
  <si>
    <t xml:space="preserve">Benchmarks de freemium apontam mediana de 2,2% a 2,6% e faixa típica de 2% a 5%. Os 5% do brief são defensáveis para saúde com feature paga clara (histórico de dados), mas são a premissa mais sensível do modelo — teste o cenário Conservador (3%).</t>
  </si>
  <si>
    <t xml:space="preserve">▸  Teto do Simples Nacional</t>
  </si>
  <si>
    <t xml:space="preserve">O modelo troca automaticamente para o Lucro Presumido quando o RBT12 ultrapassa R$ 4,8 milhões. No cenário Provável isso acontece dentro do horizonte e eleva a carga tributária — planeje a transição societária e contábil com antecedência.</t>
  </si>
  <si>
    <t xml:space="preserve">▸  Só a equipe do MVP está de fato contratada</t>
  </si>
  <si>
    <t xml:space="preserve">Hoje não há time. O único custo de pessoal comprometido são os R$ 21 mil da equipe PJ de set–out/2026 para entregar o app. Todo o quadro projetado a partir de 2027 é plano, não compromisso: está na aba Pessoas, linha a linha, e pode ser desligado inteiro pelo controle de Premissas. É a premissa de custo que mais desloca o resultado.</t>
  </si>
  <si>
    <t xml:space="preserve">▸  A conversão de 2026 depende da rampa, não do patamar</t>
  </si>
  <si>
    <t xml:space="preserve">O patamar de 5% do brief é o regime de médio prazo. Com a rampa de maturação de 6 meses, outubro/2026 converte a 0,83%, novembro a 1,67% e dezembro a 2,50% — 2026 fecha bem abaixo dos 5%. Ajuste a rampa em Premissas conforme a discussão com os sócios.</t>
  </si>
  <si>
    <t xml:space="preserve">▸  Venda de dados: o gargalo é jurídico antes de ser comercial</t>
  </si>
  <si>
    <t xml:space="preserve">Dado de saúde é dado sensível na LGPD (art. 11). Para vender é preciso anonimização efetiva — o art. 12 tira o dado anonimizado do alcance da lei — ou consentimento específico e destacado para essa finalidade, separado do aceite de uso do app e revogável a qualquer tempo. Anonimização mal feita não protege: o que vale é ser irreversível na prática, não no nome. O modelo trata a taxa de consentimento como premissa-chave justamente porque ela, e não o preço do contrato, é o que limita a receita. Vale parecer jurídico antes de assinar o primeiro contrato.</t>
  </si>
  <si>
    <t xml:space="preserve">▸  O painel precisa de escala antes de valer alguma coisa</t>
  </si>
  <si>
    <t xml:space="preserve">Contratos de dados no mercado real vão de US$ 75 mil a US$ 5 milhões por ano, e nenhum comprador paga por um painel pequeno. O modelo zera a receita de dados enquanto a base consentida não passa do mínimo definido em Premissas, mesmo que a data do contrato já tenha chegado. É por isso que essa receita não aparece no ano 1 nem no ano 2.</t>
  </si>
  <si>
    <t xml:space="preserve">▸  O cenário Conservador mantém a estrutura de custos do Provável</t>
  </si>
  <si>
    <t xml:space="preserve">É proposital: mede o risco de dimensionar equipe, marketing e infraestrutura para uma tração que não se confirma. Na prática a gestão cortaria custos — ajuste as linhas de equipe, marketing recorrente e administrativas em Premissas para ver o Conservador com a operação redimensionada.</t>
  </si>
  <si>
    <t xml:space="preserve">▸  Cruzamento dos anexos no teto do Simples</t>
  </si>
  <si>
    <t xml:space="preserve">Na última faixa (RBT12 entre R$ 3,6 mi e R$ 4,8 mi) o Anexo V passa a ser ligeiramente mais barato que o Anexo III, porque a alíquota nominal do Anexo III sobe para 33%. Não é erro da tabela — é o desenho da LC 123/2006. Até essa faixa, o Anexo III é sempre melhor.</t>
  </si>
  <si>
    <t xml:space="preserve">▸  Boston Scientific fora do caso-base</t>
  </si>
  <si>
    <t xml:space="preserve">O acordo não está confirmado e por isso está desligado: o interruptor 'Considerar acordos em negociação' está em 0, na seção 7 de Premissas. Ligue para dimensionar o upside — e considere que a exclusividade B2B hospitalar limita outras receitas do mesmo canal. Para incluir outro investidor estratégico, some uma linha na tabela 2 da aba Aportes.</t>
  </si>
  <si>
    <t xml:space="preserve">PREÇO — DE ONDE SAI O VALOR DA ASSINATURA</t>
  </si>
  <si>
    <t xml:space="preserve">Custo de atender um assinante por mês, componente por componente, e o preço que esse custo exige. Quatro momentos, porque o custo por assinante cai com a escala: o que é caro com 90 assinantes é barato com 37 mil.</t>
  </si>
  <si>
    <t xml:space="preserve">1. OS QUATRO MOMENTOS DA TABELA</t>
  </si>
  <si>
    <t xml:space="preserve">Mês nº na linha do tempo (1 = jan/2026 · 60 = dez/2030)</t>
  </si>
  <si>
    <t xml:space="preserve">Lançamento, +6 meses, +12 meses e o último mês do modelo. Digite por cima para olhar qualquer outro mês — é a única célula desta aba que você precisa mexer.</t>
  </si>
  <si>
    <t xml:space="preserve">Mês</t>
  </si>
  <si>
    <t xml:space="preserve">Base total de usuários (pagantes + gratuitos)</t>
  </si>
  <si>
    <t xml:space="preserve">Assinantes pagantes</t>
  </si>
  <si>
    <t xml:space="preserve">É por este número que todo o custo fixo é dividido. É a variável que manda no preço.</t>
  </si>
  <si>
    <t xml:space="preserve">Receita de assinaturas no mês</t>
  </si>
  <si>
    <t xml:space="preserve">Receita média por assinante hoje (ARPPU)</t>
  </si>
  <si>
    <t xml:space="preserve">Média do que cada assinante paga, considerando o mix de planos daquele mês.</t>
  </si>
  <si>
    <t xml:space="preserve">2. CUSTO VARIÁVEL — o que cada assinante a mais custa (R$ por assinante/mês)</t>
  </si>
  <si>
    <t xml:space="preserve">Nuvem — do próprio assinante</t>
  </si>
  <si>
    <t xml:space="preserve">Premissas, seção 6: 'Nuvem — custo variável por usuário PAGANTE'. É o maior item variável e por isso o mais sensível: cada real aqui pede cerca de R$ 1,39 de preço.</t>
  </si>
  <si>
    <t xml:space="preserve">Nuvem — rateio dos usuários do plano gratuito</t>
  </si>
  <si>
    <t xml:space="preserve">O plano gratuito não paga e consome. Quem assina sustenta quem não assina.</t>
  </si>
  <si>
    <t xml:space="preserve">Nuvem — processamento do painel de dados</t>
  </si>
  <si>
    <t xml:space="preserve">Suporte ao cliente</t>
  </si>
  <si>
    <t xml:space="preserve">Marketing — custo de conquistar um assinante (CAC)</t>
  </si>
  <si>
    <t xml:space="preserve">Gasto para trazer um ASSINANTE: o CAC por usuário captado, dividido pela taxa de conversão do ano. Não é custo mensal — é de uma vez só, na entrada.</t>
  </si>
  <si>
    <t xml:space="preserve">Marketing — o CAC diluído na vida do assinante</t>
  </si>
  <si>
    <t xml:space="preserve">Vida esperada do assinante = 1 ÷ churn. Multiplicar o CAC pelo churn é espalhá-lo por essa vida — é assim que ele entra num preço mensal.</t>
  </si>
  <si>
    <t xml:space="preserve">(=) CUSTO VARIÁVEL POR ASSINANTE</t>
  </si>
  <si>
    <t xml:space="preserve">3. CUSTO FIXO — o que a empresa gasta mesmo sem um assinante a mais (R$ no mês)</t>
  </si>
  <si>
    <t xml:space="preserve">Pessoas — equipe PJ, CLT e pró-labore</t>
  </si>
  <si>
    <t xml:space="preserve">Da aba Pessoas, linha a linha. É o maior custo fixo em todos os meses.</t>
  </si>
  <si>
    <t xml:space="preserve">Nuvem — parcela fixa (ambiente, licenças, banco de dados)</t>
  </si>
  <si>
    <t xml:space="preserve">Marketing recorrente e propaganda de lançamento</t>
  </si>
  <si>
    <t xml:space="preserve">Administrativo — contabilidade, jurídico, ferramentas</t>
  </si>
  <si>
    <t xml:space="preserve">Premissas, seção 6. A célula é MENSAL. Hoje está como 2000/12, 5000/12 e assim por diante, o que dá R$ 167 por mês em 2027 — para contabilidade, jurídico e ferramentas de uma empresa no Simples isso é baixo. Vale conferir: só o contador costuma custar entre R$ 300 e R$ 800 por mês.</t>
  </si>
  <si>
    <t xml:space="preserve">(=) CUSTO FIXO DO MÊS</t>
  </si>
  <si>
    <t xml:space="preserve">Custo fixo dividido pelos assinantes</t>
  </si>
  <si>
    <t xml:space="preserve">É esta linha que faz o preço parecer impossível no lançamento e razoável depois. Não é o custo que muda — é o número de pessoas dividindo a conta.</t>
  </si>
  <si>
    <t xml:space="preserve">(=) CUSTO TOTAL POR ASSINANTE  ·  variável + fixo rateado</t>
  </si>
  <si>
    <t xml:space="preserve">✔ Conferência do custo contra a DRE, sem o marketing (deve ser zero)</t>
  </si>
  <si>
    <t xml:space="preserve">Compara nuvem, suporte, pessoas, marketing recorrente e administrativo com o que a DRE gasta nos mesmos itens. O marketing de AQUISIÇÃO fica fora de propósito: aqui ele entra diluído na vida do assinante, na DRE entra no mês do desembolso.</t>
  </si>
  <si>
    <t xml:space="preserve">✔ Conferência da nuvem: esta aba × assinantes − nuvem da DRE (deve ser zero)</t>
  </si>
  <si>
    <t xml:space="preserve">Prova que a decomposição da nuvem nesta aba é a mesma conta que a DRE usa. Se der diferente de zero, não confie no preço desta aba.</t>
  </si>
  <si>
    <t xml:space="preserve">4. O QUE SAI DE CADA REAL COBRADO — antes de sobrar para pagar o custo</t>
  </si>
  <si>
    <t xml:space="preserve">(−) Imposto sobre a receita (Simples / Lucro Presumido)</t>
  </si>
  <si>
    <t xml:space="preserve">Alíquota efetiva do mês, da tabela do Simples. Sobe conforme o faturamento dos últimos 12 meses.</t>
  </si>
  <si>
    <t xml:space="preserve">(−) Comissão da loja de aplicativos (Apple / Google)</t>
  </si>
  <si>
    <t xml:space="preserve">15% sobre a parte cobrada dentro do app. Cobrar fora do app evita a comissão, mas o aplicativo precisa estar nas lojas para existir.</t>
  </si>
  <si>
    <t xml:space="preserve">(−) Taxa do meio de pagamento (cartão, PIX, boleto)</t>
  </si>
  <si>
    <t xml:space="preserve">(=) Total que sai do preço</t>
  </si>
  <si>
    <t xml:space="preserve">(=) FICA PARA A EMPRESA, de cada R$ 1 cobrado</t>
  </si>
  <si>
    <t xml:space="preserve">Cobrar R$ 1 não é receber R$ 1. Todo preço desta aba é o custo dividido por esta porcentagem — é o que faz o preço subir mais do que o custo.</t>
  </si>
  <si>
    <t xml:space="preserve">5. O PREÇO QUE O CUSTO EXIGE</t>
  </si>
  <si>
    <t xml:space="preserve">Margem EBITDA desejada</t>
  </si>
  <si>
    <t xml:space="preserve">Digite a margem que você quer que sobre depois de pagar tudo. Com 0%, o preço apenas empata.</t>
  </si>
  <si>
    <t xml:space="preserve">Preço médio por assinante que apenas EMPATA (margem zero)</t>
  </si>
  <si>
    <t xml:space="preserve">Preço médio por assinante COM a margem desejada</t>
  </si>
  <si>
    <t xml:space="preserve">É a ARPPU necessária: a média ponderada dos três planos. Abaixo, traduzida para o preço de cada plano.</t>
  </si>
  <si>
    <t xml:space="preserve">Receita média por assinante hoje (para comparar)</t>
  </si>
  <si>
    <t xml:space="preserve">Margem EBITDA que o preço de hoje entrega</t>
  </si>
  <si>
    <t xml:space="preserve">Difere da margem EBITDA da DRE de propósito: aqui o marketing de aquisição entra diluído na vida do assinante, e marketplace e B2B não entram. É a margem da ASSINATURA, não a da empresa.</t>
  </si>
  <si>
    <t xml:space="preserve">Fator do mix (quanto a ARPPU vale em preços de Essencial)</t>
  </si>
  <si>
    <t xml:space="preserve">Converte a ARPPU necessária em preço do Essencial, mantendo a razão de preço atual entre os três planos. Cuidado: mexer no preço de UM plano em Premissas muda a razão, e com ela esta tradução — a ARPPU necessária, que vem do custo, não muda.</t>
  </si>
  <si>
    <t xml:space="preserve">Plano Essencial — preço necessário</t>
  </si>
  <si>
    <t xml:space="preserve">Plano Premium — preço necessário</t>
  </si>
  <si>
    <t xml:space="preserve">Plano Família — preço necessário</t>
  </si>
  <si>
    <t xml:space="preserve">Plano Essencial — preço de hoje, em Premissas</t>
  </si>
  <si>
    <t xml:space="preserve">Quantas vezes o preço de hoje</t>
  </si>
  <si>
    <t xml:space="preserve">Acima de 1,0x o preço de hoje não cobre o custo daquele mês. Acima de ~1,5x o preço deixa de ser vendável e a resposta passa a ser escala, não preço.</t>
  </si>
  <si>
    <t xml:space="preserve">6. TESTAR UM PREÇO — digite o valor e veja se ele fecha</t>
  </si>
  <si>
    <t xml:space="preserve">Preço do Essencial que você quer testar</t>
  </si>
  <si>
    <t xml:space="preserve">O cálculo do sócio. Premium e Família seguem a mesma proporção de hoje.</t>
  </si>
  <si>
    <t xml:space="preserve">Receita média por assinante a esse preço</t>
  </si>
  <si>
    <t xml:space="preserve">O que sobra depois de imposto, loja e meio de pagamento</t>
  </si>
  <si>
    <t xml:space="preserve">(−) Custo total por assinante</t>
  </si>
  <si>
    <t xml:space="preserve">(=) SOBRA POR ASSINANTE, NO MÊS</t>
  </si>
  <si>
    <t xml:space="preserve">Margem EBITDA a esse preço</t>
  </si>
  <si>
    <t xml:space="preserve">Assinantes necessários, a esse preço, para o mês fechar no zero</t>
  </si>
  <si>
    <t xml:space="preserve">Custo fixo do mês dividido pelo que cada assinante deixa depois do custo variável. Vazio significa que nenhum volume fecha: a esse preço o assinante não cobre nem o próprio custo variável.</t>
  </si>
  <si>
    <t xml:space="preserve">Assinantes projetados naquele mês</t>
  </si>
  <si>
    <t xml:space="preserve">Nuvem por assinante que esse preço suporta — para empatar</t>
  </si>
  <si>
    <t xml:space="preserve">A conta ao contrário: fixado o preço, quanto a nuvem pode custar por assinante. Compare com a linha 'Nuvem — do próprio assinante' no bloco 2.</t>
  </si>
  <si>
    <t xml:space="preserve">Nuvem por assinante que esse preço suporta — com a margem desejada</t>
  </si>
  <si>
    <t xml:space="preserve">Se este número ficar abaixo de zero, o preço testado não paga nem o resto do custo variável — nuvem zero não salvaria.</t>
  </si>
  <si>
    <t xml:space="preserve">Diferença contra a nuvem que está em Premissas hoje</t>
  </si>
  <si>
    <t xml:space="preserve">Negativo: a nuvem premissada é mais cara do que o preço testado suporta. Positivo: sobra folga.</t>
  </si>
  <si>
    <t xml:space="preserve">VEREDICTO</t>
  </si>
  <si>
    <t xml:space="preserve">COMO LER ESTA ABA</t>
  </si>
  <si>
    <t xml:space="preserve">O preço não é um número só: ele depende de quantas pessoas estão dividindo o custo fixo. Compare as quatro colunas e isso fica evidente — o custo variável por assinante quase não muda, o custo fixo por assinante despenca.</t>
  </si>
  <si>
    <t xml:space="preserve">Nos primeiros meses nenhum preço de mercado cobre o custo. Isso não é defeito de precificação: é a conta de uma assinatura mensal com base pequena. Esses meses são pagos por capital, não por preço. Preço alto no lançamento derruba a conversão e piora o caixa.</t>
  </si>
  <si>
    <t xml:space="preserve">Os dois itens que mais mexem no preço são a NUVEM POR ASSINANTE PAGANTE e a COMISSÃO DA LOJA. Cada R$ 1 de nuvem por assinante exige cerca de R$ 1,39 de preço, porque imposto, loja e meio de pagamento levam quase 30% do que se cobra.</t>
  </si>
  <si>
    <t xml:space="preserve">Hoje a premissa de nuvem por assinante pagante está em R$ 31,90, escrita na célula como 6,40 × 5. Nos quatro momentos da tabela, o preço de R$ 39,90 só se paga se essa nuvem ficar perto de R$ 6,40 — exatamente o número antes da multiplicação. Vale conferir de onde vem o 5: se for usuário por conta, o custo já está por assinante e não deveria ser multiplicado; se for cinco anos, é custo acumulado e não mensal.</t>
  </si>
  <si>
    <t xml:space="preserve">A linha de conferência da nuvem existe para você poder confiar nesta aba: ela compara a decomposição daqui com o número que a DRE usa. Se um dia ela sair de zero, alguma fórmula foi sobrescrita.</t>
  </si>
  <si>
    <t xml:space="preserve">AZUL = você digita · fundo AMARELO = premissa-chave · PRETO = calculado pelo modelo. Células com marca vermelha no canto têm a fonte do número em comentário. O quadro de pessoas fica na aba Pessoas.</t>
  </si>
  <si>
    <t xml:space="preserve">1. CONTROLES DO MODELO</t>
  </si>
  <si>
    <t xml:space="preserve">Ano →</t>
  </si>
  <si>
    <t xml:space="preserve">Evolução a.a.</t>
  </si>
  <si>
    <t xml:space="preserve">Cenário ativo  (1 = Conservador · 2 = Provável · 3 = Agressivo)</t>
  </si>
  <si>
    <t xml:space="preserve">Troque este número e a planilha inteira recalcula no cenário escolhido.</t>
  </si>
  <si>
    <t xml:space="preserve">Cenário ativo — nome</t>
  </si>
  <si>
    <t xml:space="preserve">Considerar o plano de contratações?  (1 = Sim · 0 = Não)</t>
  </si>
  <si>
    <t xml:space="preserve">Com 0, o modelo considera só quem já está contratado (equipe do MVP).</t>
  </si>
  <si>
    <t xml:space="preserve">LANÇAMENTO DO APP</t>
  </si>
  <si>
    <t xml:space="preserve">Ano de lançamento</t>
  </si>
  <si>
    <t xml:space="preserve">Mês de lançamento  (1 = janeiro … 12 = dezembro)</t>
  </si>
  <si>
    <t xml:space="preserve">Brief: app majoritariamente pronto em outubro.</t>
  </si>
  <si>
    <t xml:space="preserve">Data de lançamento (calculada)</t>
  </si>
  <si>
    <t xml:space="preserve">Mês nº do lançamento na linha do tempo</t>
  </si>
  <si>
    <t xml:space="preserve">Rampa de maturação da conversão (meses)</t>
  </si>
  <si>
    <t xml:space="preserve">É isto que torna 2026 mais tímido. Coloque 1 para converter no patamar cheio desde o primeiro mês.</t>
  </si>
  <si>
    <t xml:space="preserve">PARÂMETROS FINANCEIROS</t>
  </si>
  <si>
    <t xml:space="preserve">TMA — taxa mínima de atratividade (a.a.)</t>
  </si>
  <si>
    <t xml:space="preserve">Original usava 16% a.a.; 25% reflete risco de startup pré-receita.</t>
  </si>
  <si>
    <t xml:space="preserve">TMA equivalente mensal</t>
  </si>
  <si>
    <t xml:space="preserve">Payback desejado (meses) — critério de decisão</t>
  </si>
  <si>
    <t xml:space="preserve">Critério Go/No-Go.</t>
  </si>
  <si>
    <t xml:space="preserve">2. TRIBUTAÇÃO</t>
  </si>
  <si>
    <t xml:space="preserve">Regime  (1 = Simples Anexo III · 2 = Simples Anexo V · 3 = Lucro Presumido)</t>
  </si>
  <si>
    <t xml:space="preserve">⚠ Padrão = 2 (Anexo V). O Fator R do quadro atual fica muito abaixo de 28%, então o Anexo III não está disponível. Veja a conferência na aba Pessoas.</t>
  </si>
  <si>
    <t xml:space="preserve">Alíquota Lucro Presumido / acima do teto do Simples</t>
  </si>
  <si>
    <t xml:space="preserve">PIS 0,65 + COFINS 3,00 + ISS 5,00 + IRPJ 4,80 + CSLL 2,88 = 16,33%</t>
  </si>
  <si>
    <t xml:space="preserve">Teto do Simples Nacional (RBT12)</t>
  </si>
  <si>
    <t xml:space="preserve">LC 123/2006. Acima disso o modelo passa sozinho ao Lucro Presumido.</t>
  </si>
  <si>
    <t xml:space="preserve">3. PREÇOS E MIX DE PLANOS</t>
  </si>
  <si>
    <t xml:space="preserve">•  São quatro planos, conforme o backlog do produto: Free (gratuito, entra na base de usuários mas não gera receita de assinatura), Essencial, Premium e Família. Os três pagos estão abaixo; o Free é a diferença entre a base ativa e os pagantes, na aba Usuários.</t>
  </si>
  <si>
    <t xml:space="preserve">Plano Essencial (R$/mês)  ·  1 familiar, até 3 cuidadores</t>
  </si>
  <si>
    <t xml:space="preserve">Plano Premium (R$/mês)  ·  1 familiar, cuidadores ilimitados</t>
  </si>
  <si>
    <t xml:space="preserve">Plano Família (R$/mês)  ·  até 4 familiares, cuidadores ilimitados</t>
  </si>
  <si>
    <t xml:space="preserve">Reajuste anual de preços (a.a.)</t>
  </si>
  <si>
    <t xml:space="preserve">Aplicado a partir de 2027 (IPCA projetado ~4,5%).</t>
  </si>
  <si>
    <t xml:space="preserve">Mix de pagantes por plano (% dos assinantes)</t>
  </si>
  <si>
    <t xml:space="preserve">Plano Essencial</t>
  </si>
  <si>
    <t xml:space="preserve">Efeito compromisso (Simonson &amp; Tversky, 1992) + padrão de assinatura B2C de ticket baixo.</t>
  </si>
  <si>
    <t xml:space="preserve">Plano Premium</t>
  </si>
  <si>
    <t xml:space="preserve">Plano-ponte: cresce conforme o Premium ganha valor percebido.</t>
  </si>
  <si>
    <t xml:space="preserve">Plano Família</t>
  </si>
  <si>
    <t xml:space="preserve">Fatia menor mas crescente — ancoragem de preço que sustenta o Intermediário.</t>
  </si>
  <si>
    <t xml:space="preserve">Verificação do mix (deve somar 100%)</t>
  </si>
  <si>
    <t xml:space="preserve">ARPPU implícita (receita média por assinante pagante)</t>
  </si>
  <si>
    <t xml:space="preserve">4. DRIVERS POR CENÁRIO</t>
  </si>
  <si>
    <t xml:space="preserve">•  Cada driver tem 3 linhas — Conservador, Provável e Agressivo. O modelo usa a do cenário ativo.</t>
  </si>
  <si>
    <t xml:space="preserve">•  Digite o patamar de 2026 na coluna C e a taxa de evolução anual na coluna B: 2027 a 2030 são calculados sozinhos. Quer um ano específico fora da curva? Digite por cima — a célula vira entrada manual e os anos seguintes continuam a partir dela.</t>
  </si>
  <si>
    <t xml:space="preserve">Novos usuários captados por mês (média do ano)</t>
  </si>
  <si>
    <t xml:space="preserve">Conservador</t>
  </si>
  <si>
    <t xml:space="preserve">Provável</t>
  </si>
  <si>
    <t xml:space="preserve">Calibrado para a meta de ~50.000 usuários em dez/2026.</t>
  </si>
  <si>
    <t xml:space="preserve">Agressivo</t>
  </si>
  <si>
    <t xml:space="preserve">Churn mensal da base de usuários</t>
  </si>
  <si>
    <t xml:space="preserve">Saúde &amp; Fitness: 7–10%/mês (mediana 9,2%). Evolução negativa = churn melhorando.</t>
  </si>
  <si>
    <t xml:space="preserve">Taxa de conversão (pagantes ÷ base ativa) — patamar de regime</t>
  </si>
  <si>
    <t xml:space="preserve">Patamar de regime. A rampa (controle 1) segura a conversão nos primeiros meses.</t>
  </si>
  <si>
    <t xml:space="preserve">CAC — custo de aquisição por novo usuário (R$)</t>
  </si>
  <si>
    <t xml:space="preserve">CPI Brasil saúde: R$ 1,50–4,00. Sobe com a escala.</t>
  </si>
  <si>
    <t xml:space="preserve">Aquisição orgânica (% dos novos usuários, sem custo de mídia)</t>
  </si>
  <si>
    <t xml:space="preserve">Boca a boca + conteúdo da agência da Shaiane. Reduz a fatia paga com mídia.</t>
  </si>
  <si>
    <t xml:space="preserve">5. MONETIZAÇÃO — CANAIS, TAXAS E RECEITA B2B</t>
  </si>
  <si>
    <t xml:space="preserve">Taxa das lojas de aplicativos (App Store / Google Play)</t>
  </si>
  <si>
    <t xml:space="preserve">Google Play 15% desde o 1º dia; Apple 15% no Small Business Program.</t>
  </si>
  <si>
    <t xml:space="preserve">% da receita de assinaturas cobrada pelas lojas</t>
  </si>
  <si>
    <t xml:space="preserve">Migração gradual para checkout web/PIX próprio, que não paga comissão de loja.</t>
  </si>
  <si>
    <t xml:space="preserve">Taxa de meio de pagamento (venda direta web/PIX)</t>
  </si>
  <si>
    <t xml:space="preserve">Média ponderada de cartão (~4,99%) e PIX (~1,0%).</t>
  </si>
  <si>
    <t xml:space="preserve">Receita B2B de dados — o painel</t>
  </si>
  <si>
    <t xml:space="preserve">•  O dado só vale se houver escala e consentimento. Estas três premissas definem o tamanho do painel comercializável; a tabela logo abaixo define o que se cobra por ele. Enquanto o painel não atingir o mínimo, nenhum contrato de dados gera receita, por mais que a data de início já tenha passado.</t>
  </si>
  <si>
    <t xml:space="preserve">% da base que consente compartilhar dados</t>
  </si>
  <si>
    <t xml:space="preserve">⚠ Consentimento específico e destacado, separado dos termos do app. Revogável.</t>
  </si>
  <si>
    <t xml:space="preserve">Base mínima do painel para ter valor comercial (usuários)</t>
  </si>
  <si>
    <t xml:space="preserve">Abaixo deste número, a receita de dados é zero, mesmo com contrato na tabela.</t>
  </si>
  <si>
    <t xml:space="preserve">Custo de processamento do painel (R$/usuário/mês)</t>
  </si>
  <si>
    <t xml:space="preserve">Anonimização, agregação e entrega dos dados. Entra na linha de nuvem.</t>
  </si>
  <si>
    <t xml:space="preserve">Considerar iniciativas B2B EM ESTUDO?  (1 = Sim · 0 = Não)</t>
  </si>
  <si>
    <t xml:space="preserve">⚠ Desligado. Liga as linhas marcadas como 'Em estudo' na tabela abaixo.</t>
  </si>
  <si>
    <t xml:space="preserve">Iniciativas de receita B2B</t>
  </si>
  <si>
    <t xml:space="preserve">Uma linha por iniciativa. As duas primeiras são a venda de dados, já planejada. As demais estão em branco para vocês preencherem — recompra de medicamento de uso crônico, integrações com farmácia, o que vier. Categoria separa o que aparece como 'venda de dados' do que aparece como 'outras iniciativas' na DRE.</t>
  </si>
  <si>
    <t xml:space="preserve">Iniciativa</t>
  </si>
  <si>
    <t xml:space="preserve">Categoria</t>
  </si>
  <si>
    <t xml:space="preserve">Status</t>
  </si>
  <si>
    <t xml:space="preserve">Modelo</t>
  </si>
  <si>
    <t xml:space="preserve">Valor</t>
  </si>
  <si>
    <t xml:space="preserve">Início</t>
  </si>
  <si>
    <t xml:space="preserve">Fim</t>
  </si>
  <si>
    <t xml:space="preserve">Venda de dados à indústria farmacêutica</t>
  </si>
  <si>
    <t xml:space="preserve">Dados</t>
  </si>
  <si>
    <t xml:space="preserve">Planejado</t>
  </si>
  <si>
    <t xml:space="preserve">Fixo mensal</t>
  </si>
  <si>
    <t xml:space="preserve">Modelo 'Fixo mensal': o valor é R$/mês de contrato. 'Por usuário': o valor é R$ por usuário do painel por mês.</t>
  </si>
  <si>
    <t xml:space="preserve">Venda de dados a redes de farmácia</t>
  </si>
  <si>
    <t xml:space="preserve">Recompra de medicamento de uso crônico</t>
  </si>
  <si>
    <t xml:space="preserve">Outras</t>
  </si>
  <si>
    <t xml:space="preserve">Em estudo</t>
  </si>
  <si>
    <t xml:space="preserve">Marketplace de dispositivos</t>
  </si>
  <si>
    <t xml:space="preserve">Comissão média sobre GMV</t>
  </si>
  <si>
    <t xml:space="preserve">Brief: faixa de 5% a 15%. Adotado o ponto médio.</t>
  </si>
  <si>
    <t xml:space="preserve">Ticket médio do dispositivo (R$)</t>
  </si>
  <si>
    <t xml:space="preserve">Oxímetro ~R$150, smartwatch de saúde ~R$400, balança/pressão ~R$250.</t>
  </si>
  <si>
    <t xml:space="preserve">Taxa de compra mensal (% da base ativa que compra no mês)</t>
  </si>
  <si>
    <t xml:space="preserve">Marketplace só entra no ar em 2027. Compra de device é evento raro e de alto ticket.</t>
  </si>
  <si>
    <t xml:space="preserve">6. CUSTOS OPERACIONAIS (exceto pessoas — ver aba Pessoas)</t>
  </si>
  <si>
    <t xml:space="preserve">Início dos custos de nuvem</t>
  </si>
  <si>
    <t xml:space="preserve">Primeiro gasto real registrado: R$ 532,29 em 04/05/2026.</t>
  </si>
  <si>
    <t xml:space="preserve">Nuvem — custo fixo mensal (R$)</t>
  </si>
  <si>
    <t xml:space="preserve">Base: gasto real de R$ 532,29 em 04/05/2026.</t>
  </si>
  <si>
    <t xml:space="preserve">Nuvem — custo variável por usuário PAGANTE (R$/mês)</t>
  </si>
  <si>
    <t xml:space="preserve">Só o pagante gera histórico — premissa do brief.</t>
  </si>
  <si>
    <t xml:space="preserve">Nuvem — custo variável por usuário GRATUITO (R$/mês)</t>
  </si>
  <si>
    <t xml:space="preserve">Não é zero: ingestão em tempo real e API consomem compute mesmo sem histórico.</t>
  </si>
  <si>
    <t xml:space="preserve">Suporte — ferramentas e custo variável por pagante (R$/mês)</t>
  </si>
  <si>
    <t xml:space="preserve">Chatbot, help desk e base de conhecimento. As PESSOAS de suporte estão na aba Pessoas.</t>
  </si>
  <si>
    <t xml:space="preserve">Início das despesas administrativas</t>
  </si>
  <si>
    <t xml:space="preserve">A partir da constituição da empresa / primeiro aporte (16/04/2026).</t>
  </si>
  <si>
    <t xml:space="preserve">Administrativas (contabilidade, jurídico, ferramentas) — R$/mês</t>
  </si>
  <si>
    <t xml:space="preserve">Não inclui pessoas. Escalonado com o porte da operação.</t>
  </si>
  <si>
    <t xml:space="preserve">Marketing recorrente — mídia de conteúdo e ferramentas (R$/mês)</t>
  </si>
  <si>
    <t xml:space="preserve">Reduzido pela agência da Shaiane, mas não eliminado.</t>
  </si>
  <si>
    <t xml:space="preserve">Início do marketing recorrente</t>
  </si>
  <si>
    <t xml:space="preserve">Propaganda de lançamento — valor único (R$)</t>
  </si>
  <si>
    <t xml:space="preserve">Mês da propaganda de lançamento</t>
  </si>
  <si>
    <t xml:space="preserve">7. CAPITAL — O QUE ENTRA NA CONTA</t>
  </si>
  <si>
    <t xml:space="preserve">•  Os investidores em si ficam na aba APORTES, em duas tabelas com linhas em branco: lançamentos de aporte, e investidores estratégicos que além de aportar trazem receita recorrente — o caso da Boston Scientific. Aqui ficam só os dois interruptores que decidem o que o modelo considera.</t>
  </si>
  <si>
    <t xml:space="preserve">Considerar aportes PREVISTOS?  (1 = Sim · 0 = Não)</t>
  </si>
  <si>
    <t xml:space="preserve">Hoje: R$ 120 mil de C-ioT, Martinelli e Shaiane. Desligue para ver só os fundadores.</t>
  </si>
  <si>
    <t xml:space="preserve">Considerar acordos EM NEGOCIAÇÃO?  (1 = Sim · 0 = Não)</t>
  </si>
  <si>
    <t xml:space="preserve">⚠ Desligado por padrão. Ligue para incluir a Boston Scientific e qualquer outra parceria em negociação.</t>
  </si>
  <si>
    <t xml:space="preserve">8. NOTAS METODOLÓGICAS</t>
  </si>
  <si>
    <t xml:space="preserve">•  FCL (Fluxo de Caixa Livre) NÃO inclui aportes de sócios. Aporte é financiamento, não geração de caixa — incluí-lo infla VPL e TIR. A planilha original somava o aporte à receita; aqui os dois fluxos estão separados.</t>
  </si>
  <si>
    <t xml:space="preserve">•  VPL, TIR e Payback são calculados sobre o FCL. Caixa Acumulado e Runway usam FCL + aportes.</t>
  </si>
  <si>
    <t xml:space="preserve">•  Rendimento financeiro do caixa não é considerado (premissa conservadora).</t>
  </si>
  <si>
    <t xml:space="preserve">•  Investimentos saem do caixa no mês do desembolso e são amortizados linearmente em 60 meses na DRE — por isso o EBITDA da DRE difere do fluxo de caixa livre.</t>
  </si>
  <si>
    <t xml:space="preserve">•  Propaganda de lançamento é despesa de marketing, não investimento — diferente da planilha original, que a colocava em 'Projeto'.</t>
  </si>
  <si>
    <t xml:space="preserve">•  O modelo troca sozinho do Simples para o Lucro Presumido quando o RBT12 passa de R$ 4,8 milhões.</t>
  </si>
  <si>
    <t xml:space="preserve">•  Todo o custo de pessoas — PJ, CLT e pró-labore — está na aba Pessoas, linha a linha.</t>
  </si>
  <si>
    <t xml:space="preserve">DRE PROJETADA — DEMONSTRAÇÃO DO RESULTADO DO EXERCÍCIO</t>
  </si>
  <si>
    <t xml:space="preserve">Linha do tempo</t>
  </si>
  <si>
    <t xml:space="preserve">TOTAL</t>
  </si>
  <si>
    <t xml:space="preserve">% / Nota</t>
  </si>
  <si>
    <t xml:space="preserve">Mês nº</t>
  </si>
  <si>
    <t xml:space="preserve">Ano</t>
  </si>
  <si>
    <t xml:space="preserve">Índice do ano (auxiliar)</t>
  </si>
  <si>
    <t xml:space="preserve">RECEITA OPERACIONAL BRUTA</t>
  </si>
  <si>
    <t xml:space="preserve">Assinaturas — Plano Essencial</t>
  </si>
  <si>
    <t xml:space="preserve">Assinaturas — Plano Premium</t>
  </si>
  <si>
    <t xml:space="preserve">Assinaturas — Plano Família</t>
  </si>
  <si>
    <t xml:space="preserve">Marketplace — comissões</t>
  </si>
  <si>
    <t xml:space="preserve">B2B — parcerias estratégicas</t>
  </si>
  <si>
    <t xml:space="preserve">B2B — venda de dados</t>
  </si>
  <si>
    <t xml:space="preserve">Contratos da tabela de iniciativas B2B em Premissas, categoria Dados.</t>
  </si>
  <si>
    <t xml:space="preserve">B2B — outras iniciativas</t>
  </si>
  <si>
    <t xml:space="preserve">(=) RECEITA BRUTA</t>
  </si>
  <si>
    <t xml:space="preserve">DEDUÇÕES DA RECEITA BRUTA</t>
  </si>
  <si>
    <t xml:space="preserve">(−) Impostos sobre a receita (Simples / Lucro Presumido)</t>
  </si>
  <si>
    <t xml:space="preserve">(−) Comissão das lojas de aplicativos</t>
  </si>
  <si>
    <t xml:space="preserve">Apple/Google. A maior dedução isolada da receita de assinatura.</t>
  </si>
  <si>
    <t xml:space="preserve">(−) Taxas de meios de pagamento</t>
  </si>
  <si>
    <t xml:space="preserve">(=) RECEITA OPERACIONAL LÍQUIDA</t>
  </si>
  <si>
    <t xml:space="preserve">CUSTO DOS SERVIÇOS PRESTADOS</t>
  </si>
  <si>
    <t xml:space="preserve">(−) Infraestrutura e nuvem</t>
  </si>
  <si>
    <t xml:space="preserve">(−) Suporte ao cliente</t>
  </si>
  <si>
    <t xml:space="preserve">(=) LUCRO BRUTO</t>
  </si>
  <si>
    <t xml:space="preserve">Margem bruta (% da receita líquida)</t>
  </si>
  <si>
    <t xml:space="preserve">DESPESAS OPERACIONAIS</t>
  </si>
  <si>
    <t xml:space="preserve">(−) Pessoal — equipe PJ, CLT e pró-labore</t>
  </si>
  <si>
    <t xml:space="preserve">(−) Marketing e aquisição</t>
  </si>
  <si>
    <t xml:space="preserve">Inclui a propaganda de lançamento, tratada como despesa e não como investimento.</t>
  </si>
  <si>
    <t xml:space="preserve">(−) Despesas administrativas</t>
  </si>
  <si>
    <t xml:space="preserve">(=) EBITDA</t>
  </si>
  <si>
    <t xml:space="preserve">Margem EBITDA (% da receita líquida)</t>
  </si>
  <si>
    <t xml:space="preserve">RESULTADO</t>
  </si>
  <si>
    <t xml:space="preserve">(−) Depreciação e amortização</t>
  </si>
  <si>
    <t xml:space="preserve">Investimentos amortizados linearmente em 60 meses.</t>
  </si>
  <si>
    <t xml:space="preserve">(=) EBIT — resultado operacional</t>
  </si>
  <si>
    <t xml:space="preserve">(+/−) Resultado financeiro</t>
  </si>
  <si>
    <t xml:space="preserve">Rendimento do caixa não considerado (premissa conservadora).</t>
  </si>
  <si>
    <t xml:space="preserve">(=) RESULTADO ANTES DO IR</t>
  </si>
  <si>
    <t xml:space="preserve">(−) IRPJ e CSLL</t>
  </si>
  <si>
    <t xml:space="preserve">Já incluídos na linha de impostos sobre a receita (DAS do Simples ou Lucro Presumido).</t>
  </si>
  <si>
    <t xml:space="preserve">(=) LUCRO LÍQUIDO DO EXERCÍCIO</t>
  </si>
  <si>
    <t xml:space="preserve">Margem líquida (% da receita líquida)</t>
  </si>
  <si>
    <t xml:space="preserve">Lucro líquido acumulado</t>
  </si>
  <si>
    <t xml:space="preserve">DRE ANUAL CONSOLIDADA</t>
  </si>
  <si>
    <t xml:space="preserve">Demonstração do Resultado</t>
  </si>
  <si>
    <t xml:space="preserve">5 ANOS</t>
  </si>
  <si>
    <t xml:space="preserve">RECEITA BRUTA</t>
  </si>
  <si>
    <t xml:space="preserve">(−) Impostos sobre a receita</t>
  </si>
  <si>
    <t xml:space="preserve">(=) RECEITA LÍQUIDA</t>
  </si>
  <si>
    <t xml:space="preserve">Margem bruta</t>
  </si>
  <si>
    <t xml:space="preserve">(−) Pessoal</t>
  </si>
  <si>
    <t xml:space="preserve">Margem EBITDA</t>
  </si>
  <si>
    <t xml:space="preserve">(=) EBIT</t>
  </si>
  <si>
    <t xml:space="preserve">(=) LUCRO LÍQUIDO</t>
  </si>
  <si>
    <t xml:space="preserve">Margem líquida</t>
  </si>
  <si>
    <t xml:space="preserve">ANÁLISE DE FLUXO DE CAIXA E VIABILIDADE</t>
  </si>
  <si>
    <t xml:space="preserve">PROJETO — INVESTIMENTOS</t>
  </si>
  <si>
    <t xml:space="preserve">Desenvolvimento do app (pessoal capitalizado)</t>
  </si>
  <si>
    <t xml:space="preserve">Equipamentos</t>
  </si>
  <si>
    <t xml:space="preserve">Constituição, marca e jurídico</t>
  </si>
  <si>
    <t xml:space="preserve">Certificações e conformidade</t>
  </si>
  <si>
    <t xml:space="preserve">TOTAL PROJETO</t>
  </si>
  <si>
    <t xml:space="preserve">OPERACIONAIS</t>
  </si>
  <si>
    <t xml:space="preserve">Infraestrutura e nuvem</t>
  </si>
  <si>
    <t xml:space="preserve">Equipe PJ</t>
  </si>
  <si>
    <t xml:space="preserve">Equipe CLT (salários e encargos)</t>
  </si>
  <si>
    <t xml:space="preserve">Pró-labore dos sócios</t>
  </si>
  <si>
    <t xml:space="preserve">Marketing de performance (aquisição)</t>
  </si>
  <si>
    <t xml:space="preserve">Marketing recorrente (agência e conteúdo)</t>
  </si>
  <si>
    <t xml:space="preserve">Propaganda de lançamento</t>
  </si>
  <si>
    <t xml:space="preserve">Comissão das lojas de aplicativos</t>
  </si>
  <si>
    <t xml:space="preserve">Taxas de meios de pagamento</t>
  </si>
  <si>
    <t xml:space="preserve">Impostos sobre a receita</t>
  </si>
  <si>
    <t xml:space="preserve">Despesas administrativas</t>
  </si>
  <si>
    <t xml:space="preserve">TOTAL OPERACIONAIS</t>
  </si>
  <si>
    <t xml:space="preserve">FLUXO DE CAIXA</t>
  </si>
  <si>
    <t xml:space="preserve">Receita bruta total</t>
  </si>
  <si>
    <t xml:space="preserve">FLUXO DE CAIXA LIVRE (FCL)</t>
  </si>
  <si>
    <t xml:space="preserve">Sem aportes — aporte é financiamento, não geração de caixa.</t>
  </si>
  <si>
    <t xml:space="preserve">FCL descontado</t>
  </si>
  <si>
    <t xml:space="preserve">FCL descontado acumulado</t>
  </si>
  <si>
    <t xml:space="preserve">FCL acumulado (nominal)</t>
  </si>
  <si>
    <t xml:space="preserve">(+) Aportes de sócios</t>
  </si>
  <si>
    <t xml:space="preserve">Fluxo de caixa do período (FCL + aportes)</t>
  </si>
  <si>
    <t xml:space="preserve">CAIXA ACUMULADO</t>
  </si>
  <si>
    <t xml:space="preserve">Auxiliar — mês com FCL acumulado negativo</t>
  </si>
  <si>
    <t xml:space="preserve">Guarda o nº do mês enquanto o acumulado está negativo. O payback é o maior valor desta linha, mais um.</t>
  </si>
  <si>
    <t xml:space="preserve">Auxiliar — mês com FCL descontado acumulado negativo</t>
  </si>
  <si>
    <t xml:space="preserve">✔ Verificação: FCL desta aba − FCL do motor (deve ser zero)</t>
  </si>
  <si>
    <t xml:space="preserve">Zero confirma que o detalhamento reconcilia com o motor de cenários.</t>
  </si>
  <si>
    <t xml:space="preserve">INDICADORES DE VIABILIDADE — CENÁRIO SELECIONADO</t>
  </si>
  <si>
    <t xml:space="preserve">Soma do FCL trazido a valor presente pela TMA. Positivo = cria valor.</t>
  </si>
  <si>
    <t xml:space="preserve">Taxa que zera o VPL.</t>
  </si>
  <si>
    <t xml:space="preserve">Compare com a TMA. Acima dela, o projeto remunera o risco.</t>
  </si>
  <si>
    <t xml:space="preserve">Idem, com o dinheiro trazido a valor presente.</t>
  </si>
  <si>
    <t xml:space="preserve">Capital requerido (pico de caixa negativo)</t>
  </si>
  <si>
    <t xml:space="preserve">Quanto de capital o projeto precisa antes de se sustentar.</t>
  </si>
  <si>
    <t xml:space="preserve">Se negativo, o capital planejado não é suficiente.</t>
  </si>
  <si>
    <t xml:space="preserve">Receita bruta acumulada</t>
  </si>
  <si>
    <t xml:space="preserve">FCL acumulado no período</t>
  </si>
  <si>
    <t xml:space="preserve">FCL acumulado ÷ capital requerido. É um múltiplo, não um percentual: 3,0x significa que o projeto devolve três vezes o capital que precisou.</t>
  </si>
  <si>
    <t xml:space="preserve">TMA utilizada (a.a.)</t>
  </si>
  <si>
    <t xml:space="preserve">Alíquota efetiva média de impostos</t>
  </si>
  <si>
    <t xml:space="preserve">PREMISSAS — RESUMO (editar na aba Premissas)</t>
  </si>
  <si>
    <t xml:space="preserve">Plano Essencial (R$/mês)</t>
  </si>
  <si>
    <t xml:space="preserve">Plano Premium (R$/mês)</t>
  </si>
  <si>
    <t xml:space="preserve">Plano Família (R$/mês)</t>
  </si>
  <si>
    <t xml:space="preserve">Taxa das lojas de aplicativos</t>
  </si>
  <si>
    <t xml:space="preserve">Comissão do marketplace</t>
  </si>
  <si>
    <t xml:space="preserve">TMA (a.a.)</t>
  </si>
  <si>
    <t xml:space="preserve">Payback desejado (meses)</t>
  </si>
  <si>
    <t xml:space="preserve">Rampa de conversão (meses)</t>
  </si>
  <si>
    <t xml:space="preserve">PESSOAS — QUADRO DE PESSOAL</t>
  </si>
  <si>
    <t xml:space="preserve">Uma linha por papel. Edite quantidade, custo, início e fim livremente. Status 'Contratado' entra sempre; 'Plano' só entra se o controle 1 de Premissas estiver em 1. Todo o custo de pessoal do modelo sai daqui.</t>
  </si>
  <si>
    <t xml:space="preserve">⚠  ABA DE AJUSTE  ·  o time muda; revise as datas de entrada e saída e o custo de cada pessoa sempre que houver contratação ou saída.</t>
  </si>
  <si>
    <t xml:space="preserve">QUADRO — edite livremente, inclusive as linhas em branco no fim</t>
  </si>
  <si>
    <t xml:space="preserve">Função / papel</t>
  </si>
  <si>
    <t xml:space="preserve">Tipo</t>
  </si>
  <si>
    <t xml:space="preserve">Qtd</t>
  </si>
  <si>
    <t xml:space="preserve">Custo mensal
por pessoa</t>
  </si>
  <si>
    <t xml:space="preserve">Encargos
(% sobre CLT)</t>
  </si>
  <si>
    <t xml:space="preserve">Custo total
mensal</t>
  </si>
  <si>
    <t xml:space="preserve">Classificação</t>
  </si>
  <si>
    <t xml:space="preserve">Equipe PJ — desenvolvimento do MVP</t>
  </si>
  <si>
    <t xml:space="preserve">PJ</t>
  </si>
  <si>
    <t xml:space="preserve">Contratado</t>
  </si>
  <si>
    <t xml:space="preserve">Investimento</t>
  </si>
  <si>
    <t xml:space="preserve">Desenvolvimento — time base</t>
  </si>
  <si>
    <t xml:space="preserve">Plano</t>
  </si>
  <si>
    <t xml:space="preserve">Despesa</t>
  </si>
  <si>
    <t xml:space="preserve">Desenvolvimento — ampliação 2028 (adicional)</t>
  </si>
  <si>
    <t xml:space="preserve">Desenvolvimento — ampliação 2029 (adicional)</t>
  </si>
  <si>
    <t xml:space="preserve">Desenvolvimento — ampliação 2030 (adicional)</t>
  </si>
  <si>
    <t xml:space="preserve">Suporte ao cliente — time base</t>
  </si>
  <si>
    <t xml:space="preserve">Suporte — ampliação 2028 (adicional)</t>
  </si>
  <si>
    <t xml:space="preserve">Suporte — ampliação 2029 (adicional)</t>
  </si>
  <si>
    <t xml:space="preserve">Suporte — ampliação 2030 (adicional)</t>
  </si>
  <si>
    <t xml:space="preserve">Growth e marketing</t>
  </si>
  <si>
    <t xml:space="preserve">Growth — ampliação 2028 (adicional)</t>
  </si>
  <si>
    <t xml:space="preserve">Growth — ampliação 2029 (adicional)</t>
  </si>
  <si>
    <t xml:space="preserve">Dados e infraestrutura</t>
  </si>
  <si>
    <t xml:space="preserve">Dados e infraestrutura — ampliação 2029 (adicional)</t>
  </si>
  <si>
    <t xml:space="preserve">Produto e gestão</t>
  </si>
  <si>
    <t xml:space="preserve">Produto e gestão — ampliação 2030 (adicional)</t>
  </si>
  <si>
    <t xml:space="preserve">Pró-labore dos sócios (2027–2028)</t>
  </si>
  <si>
    <t xml:space="preserve">Sócio</t>
  </si>
  <si>
    <t xml:space="preserve">Pró-labore dos sócios (2029–2030)</t>
  </si>
  <si>
    <t xml:space="preserve">(exemplo) Contratação CLT</t>
  </si>
  <si>
    <t xml:space="preserve">CLT</t>
  </si>
  <si>
    <t xml:space="preserve">TOTAL DO QUADRO (custo mensal se todas as linhas estivessem ativas)</t>
  </si>
  <si>
    <t xml:space="preserve">Azul-escuro/verde = já contratado · azul-claro = plano sugerido, a validar. Coluna 'Custo total mensal' é calculada.</t>
  </si>
  <si>
    <t xml:space="preserve">CUSTO MENSAL DE PESSOAL</t>
  </si>
  <si>
    <t xml:space="preserve">Pessoas ativas no mês (headcount)</t>
  </si>
  <si>
    <t xml:space="preserve">Quadro em dez/2030, não soma.</t>
  </si>
  <si>
    <t xml:space="preserve">Equipe PJ (despesa)</t>
  </si>
  <si>
    <t xml:space="preserve">Equipe CLT — salários e encargos (despesa)</t>
  </si>
  <si>
    <t xml:space="preserve">Pró-labore dos sócios (despesa)</t>
  </si>
  <si>
    <t xml:space="preserve">TOTAL DE PESSOAL — DESPESA</t>
  </si>
  <si>
    <t xml:space="preserve">Pessoal capitalizado — INVESTIMENTO</t>
  </si>
  <si>
    <t xml:space="preserve">Vai para a aba Investimentos e é amortizado em 60 meses.</t>
  </si>
  <si>
    <t xml:space="preserve">Folha que conta para o Fator R (CLT + pró-labore)</t>
  </si>
  <si>
    <t xml:space="preserve">Pagamento a PJ não entra no Fator R.</t>
  </si>
  <si>
    <t xml:space="preserve">RESUMO ANUAL E FATOR R</t>
  </si>
  <si>
    <t xml:space="preserve">Custo total de pessoal (despesa)</t>
  </si>
  <si>
    <t xml:space="preserve">Pessoal capitalizado (investimento)</t>
  </si>
  <si>
    <t xml:space="preserve">Folha do Fator R (CLT + pró-labore)</t>
  </si>
  <si>
    <t xml:space="preserve">Pessoas ativas em dezembro</t>
  </si>
  <si>
    <t xml:space="preserve">Receita bruta do ano (cenário ativo)</t>
  </si>
  <si>
    <t xml:space="preserve">FATOR R  (folha ÷ receita bruta)</t>
  </si>
  <si>
    <t xml:space="preserve">Anexo aplicável</t>
  </si>
  <si>
    <t xml:space="preserve">Regime escolhido em Premissas</t>
  </si>
  <si>
    <t xml:space="preserve">Escolha compatível com o Fator R?</t>
  </si>
  <si>
    <t xml:space="preserve">Custo de pessoal ÷ receita bruta</t>
  </si>
  <si>
    <t xml:space="preserve">▸  Como o Fator R funciona</t>
  </si>
  <si>
    <t xml:space="preserve">Fator R = (folha CLT + pró-labore dos últimos 12 meses) ÷ receita bruta dos últimos 12 meses. Igual ou acima de 28%, a empresa fica no Anexo III do Simples (alíquota efetiva a partir de 6%). Abaixo, cai no Anexo V (a partir de 15,5%). Pagamento a equipe PJ NÃO entra na conta.</t>
  </si>
  <si>
    <t xml:space="preserve">▸  Por que isso importa para a Oppa</t>
  </si>
  <si>
    <t xml:space="preserve">Com o quadro atual — equipe PJ e pró-labore modesto — o Fator R fica bem abaixo de 28%, o que leva ao Anexo V. Migrar parte do time para CLT ou aumentar o pró-labore eleva o custo de folha, mas pode reduzir mais imposto do que custa. Use a linha de exemplo CLT e a aba Tributos para comparar os dois efeitos antes de decidir.</t>
  </si>
  <si>
    <t xml:space="preserve">▸  O que está de fato contratado</t>
  </si>
  <si>
    <t xml:space="preserve">Só a equipe PJ do MVP, de setembro a outubro de 2026, R$ 21.000 no total. Todo o resto é plano — desligue no controle 1 de Premissas para ver o modelo sem nenhuma contratação futura.</t>
  </si>
  <si>
    <t xml:space="preserve">APORTES E INVESTIDORES</t>
  </si>
  <si>
    <t xml:space="preserve">Todo o capital da Oppa entra por esta aba. Há linhas em branco em todas as tabelas: para incluir um investidor novo, basta preencher uma delas — o modelo inteiro recalcula sozinho, sem mexer em fórmula nenhuma.</t>
  </si>
  <si>
    <t xml:space="preserve">⚠  ABA DE AJUSTE  ·  cada aporte tem um STATUS, e o status decide se ele entra no modelo. Realizado e Compromisso entram sempre; Previsto e Em negociação só com o interruptor ligado na seção 7 de Premissas.</t>
  </si>
  <si>
    <t xml:space="preserve">1. LANÇAMENTOS DE APORTE — quem colocou (ou colocará) dinheiro, e quando</t>
  </si>
  <si>
    <t xml:space="preserve">Data</t>
  </si>
  <si>
    <t xml:space="preserve">Sócio / Investidor</t>
  </si>
  <si>
    <t xml:space="preserve">Observação</t>
  </si>
  <si>
    <t xml:space="preserve">Paulo Kapp</t>
  </si>
  <si>
    <t xml:space="preserve">Realizado</t>
  </si>
  <si>
    <t xml:space="preserve">Fundador</t>
  </si>
  <si>
    <t xml:space="preserve">Lucas Medina</t>
  </si>
  <si>
    <t xml:space="preserve">Completa os R$ 20.000 de compromisso.</t>
  </si>
  <si>
    <t xml:space="preserve">Felipe Toescher</t>
  </si>
  <si>
    <t xml:space="preserve">Lucas Iung</t>
  </si>
  <si>
    <t xml:space="preserve">C-ioT</t>
  </si>
  <si>
    <t xml:space="preserve">Em negociação</t>
  </si>
  <si>
    <t xml:space="preserve">Novo sócio</t>
  </si>
  <si>
    <t xml:space="preserve">Negociação em curso, sem assinatura.</t>
  </si>
  <si>
    <t xml:space="preserve">Felipe Martinelli</t>
  </si>
  <si>
    <t xml:space="preserve">TOTAL LANÇADO (conforme os controles de status)</t>
  </si>
  <si>
    <t xml:space="preserve">2. INVESTIDORES ESTRATÉGICOS E PARCERIAS — aporte mais receita recorrente</t>
  </si>
  <si>
    <t xml:space="preserve">Use esta tabela para investidor que, além de aportar, traz receita — como a Boston Scientific. Preencha uma linha em branco para incluir outro. O aporte entra no caixa no mês indicado; a receita recorrente entra na DRE como receita B2B, todo mês, entre as datas de início e fim.</t>
  </si>
  <si>
    <t xml:space="preserve">Investidor</t>
  </si>
  <si>
    <t xml:space="preserve">Aporte (R$)</t>
  </si>
  <si>
    <t xml:space="preserve">Mês do aporte</t>
  </si>
  <si>
    <t xml:space="preserve">Receita B2B (R$/mês)</t>
  </si>
  <si>
    <t xml:space="preserve">Início da receita</t>
  </si>
  <si>
    <t xml:space="preserve">Fim da receita</t>
  </si>
  <si>
    <t xml:space="preserve">Boston Scientific</t>
  </si>
  <si>
    <t xml:space="preserve">Monitoramento de pacientes pós-operatórios. Aporte na casa dos seis dígitos, não confirmado — adotado o ponto médio da faixa. Contrapartida esperada: exclusividade B2B hospitalar por um período longo.</t>
  </si>
  <si>
    <t xml:space="preserve">Receita B2B mensal somada de todas as parcerias ativas.</t>
  </si>
  <si>
    <t xml:space="preserve">3. RESUMO DO CAPITAL</t>
  </si>
  <si>
    <t xml:space="preserve">Realizado — dinheiro que já entrou</t>
  </si>
  <si>
    <t xml:space="preserve">Compromisso dos fundadores a integralizar</t>
  </si>
  <si>
    <t xml:space="preserve">Previsto — negociação em curso, sem assinatura</t>
  </si>
  <si>
    <t xml:space="preserve">Em negociação — lançamentos</t>
  </si>
  <si>
    <t xml:space="preserve">Investidores estratégicos</t>
  </si>
  <si>
    <t xml:space="preserve">CAPITAL TOTAL CONSIDERADO NO MODELO</t>
  </si>
  <si>
    <t xml:space="preserve">Os controles que ligam e desligam 'Previsto' e 'Em negociação' estão na aba Premissas, seção 7.</t>
  </si>
  <si>
    <t xml:space="preserve">4. COMPROMISSO DOS FUNDADORES — R$ 20.000 cada, sendo R$ 10.000 ainda em 2026</t>
  </si>
  <si>
    <t xml:space="preserve">Meta total</t>
  </si>
  <si>
    <t xml:space="preserve">Aportado até 2026</t>
  </si>
  <si>
    <t xml:space="preserve">Aportado total</t>
  </si>
  <si>
    <t xml:space="preserve">Falta em 2026</t>
  </si>
  <si>
    <t xml:space="preserve">Falta total</t>
  </si>
  <si>
    <t xml:space="preserve">Paulo Kapp já integralizou os R$ 20.000. Os demais têm saldo a aportar.</t>
  </si>
  <si>
    <t xml:space="preserve">5. PARTICIPAÇÃO PROPORCIONAL AO CAPITAL APORTADO — inclua aqui o nome de todo investidor novo</t>
  </si>
  <si>
    <t xml:space="preserve">Leia com cuidado: isto é a proporção do dinheiro colocado, não a participação societária. Percentual de sociedade depende do valuation acordado em cada rodada e de outras condições — no caso de um investidor estratégico como a Boston, a contrapartida pode ser exclusividade comercial em vez de mais equity. Use esta tabela como ponto de partida da conversa, não como resultado.</t>
  </si>
  <si>
    <t xml:space="preserve">Capital aportado</t>
  </si>
  <si>
    <t xml:space="preserve">Proporção</t>
  </si>
  <si>
    <t xml:space="preserve">Shaiane</t>
  </si>
  <si>
    <t xml:space="preserve">Capital não atribuído nesta tabela</t>
  </si>
  <si>
    <t xml:space="preserve">Se aparecer valor diferente de zero, algum investidor foi lançado nas tabelas 1 ou 2 e não foi acrescentado aqui. Digite o nome dele numa linha em branco acima — exatamente como está escrito no lançamento.</t>
  </si>
  <si>
    <t xml:space="preserve">6. CRONOGRAMA MENSAL DE ENTRADA DE CAPITAL</t>
  </si>
  <si>
    <t xml:space="preserve">Aportes de fundadores</t>
  </si>
  <si>
    <t xml:space="preserve">Aportes de novos sócios</t>
  </si>
  <si>
    <t xml:space="preserve">Aportes de investidores estratégicos (lançamentos)</t>
  </si>
  <si>
    <t xml:space="preserve">Aportes da tabela de parcerias estratégicas</t>
  </si>
  <si>
    <t xml:space="preserve">TOTAL DE APORTES NO MÊS</t>
  </si>
  <si>
    <t xml:space="preserve">Capital acumulado</t>
  </si>
  <si>
    <t xml:space="preserve">Receita B2B das parcerias estratégicas</t>
  </si>
  <si>
    <t xml:space="preserve">Entra na DRE como receita B2B. Some outra parceria na tabela 2 e ela aparece aqui.</t>
  </si>
  <si>
    <t xml:space="preserve">INVESTIMENTOS (CAPEX) — CRONOGRAMA E AMORTIZAÇÃO</t>
  </si>
  <si>
    <t xml:space="preserve">Desembolsos de capital. Saem do caixa no mês do lançamento (aba Análise Fluxo) e são amortizados linearmente em 60 meses na DRE. Verde = já realizado.</t>
  </si>
  <si>
    <t xml:space="preserve">⚠  ABA DE AJUSTE  ·  cronograma de desembolso. Investimento sai do caixa no mês da data e é amortizado em 60 meses na DRE — não é despesa do mês.</t>
  </si>
  <si>
    <t xml:space="preserve">LANÇAMENTOS DE INVESTIMENTO</t>
  </si>
  <si>
    <t xml:space="preserve">Item</t>
  </si>
  <si>
    <t xml:space="preserve">Constituição da empresa, registro de marca e assessoria jurídica</t>
  </si>
  <si>
    <t xml:space="preserve">Marca e jurídico</t>
  </si>
  <si>
    <t xml:space="preserve">Previsto</t>
  </si>
  <si>
    <t xml:space="preserve">2 notebooks Lenovo</t>
  </si>
  <si>
    <t xml:space="preserve">Fatos do brief: 2 notebooks Lenovo por R$ 9.127,82.</t>
  </si>
  <si>
    <t xml:space="preserve">Adequação LGPD e segurança da informação</t>
  </si>
  <si>
    <t xml:space="preserve">Certificações</t>
  </si>
  <si>
    <t xml:space="preserve">Equipamentos — expansão da equipe</t>
  </si>
  <si>
    <t xml:space="preserve">CRONOGRAMA MENSAL DE DESEMBOLSO</t>
  </si>
  <si>
    <t xml:space="preserve">TOTAL DE INVESTIMENTOS</t>
  </si>
  <si>
    <t xml:space="preserve">DEPRECIAÇÃO E AMORTIZAÇÃO (linear, 60 meses)</t>
  </si>
  <si>
    <t xml:space="preserve">Vida útil adotada (meses)</t>
  </si>
  <si>
    <t xml:space="preserve">Equipamentos de informática: 5 anos (20% a.a., IN RFB 1.700). Software e intangíveis amortizados no mesmo prazo.</t>
  </si>
  <si>
    <t xml:space="preserve">Investimento acumulado (base amortizável)</t>
  </si>
  <si>
    <t xml:space="preserve">Depreciação e amortização do mês</t>
  </si>
  <si>
    <t xml:space="preserve">Cada item começa a amortizar no mês seguinte ao desembolso.</t>
  </si>
  <si>
    <t xml:space="preserve">Saldo contábil do ativo (imobilizado + intangível)</t>
  </si>
  <si>
    <t xml:space="preserve">SÓCIOS — QUANTO SOBRA PARA DIVIDIR</t>
  </si>
  <si>
    <t xml:space="preserve">Quanto o negócio gera de lucro, quanto disso pode virar dinheiro no bolso dos sócios, e quanto cabe a cada um. Os percentuais de participação são PLACEHOLDER — troque pelos reais quando o quadro societário estiver fechado.</t>
  </si>
  <si>
    <t xml:space="preserve">⚠  ABA DE AJUSTE  ·  os percentuais de participação ainda são provisórios. Troque-os e todo o rateio recalcula. Participação societária depende do valuation de cada rodada, não da proporção do capital aportado.</t>
  </si>
  <si>
    <t xml:space="preserve">1. QUADRO SOCIETÁRIO — preencha quando os percentuais estiverem fechados</t>
  </si>
  <si>
    <t xml:space="preserve">Participação
societária</t>
  </si>
  <si>
    <t xml:space="preserve">Fatia do
pró-labore</t>
  </si>
  <si>
    <t xml:space="preserve">Capital
aportado</t>
  </si>
  <si>
    <t xml:space="preserve">Proporção do
capital</t>
  </si>
  <si>
    <t xml:space="preserve">Prêmio sobre
o capital</t>
  </si>
  <si>
    <t xml:space="preserve">CioT</t>
  </si>
  <si>
    <t xml:space="preserve">Tesouraria</t>
  </si>
  <si>
    <t xml:space="preserve">Verificação — a participação soma 100%?</t>
  </si>
  <si>
    <t xml:space="preserve">2. POLÍTICA DE DISTRIBUIÇÃO</t>
  </si>
  <si>
    <t xml:space="preserve">Meses de custo operacional a manter em caixa</t>
  </si>
  <si>
    <t xml:space="preserve">% do lucro disponível distribuído no ano</t>
  </si>
  <si>
    <t xml:space="preserve">Zero nos primeiros anos: o caixa é para financiar o crescimento. A partir de 2028 distribui parte, e retém o resto.</t>
  </si>
  <si>
    <t xml:space="preserve">3. APURAÇÃO — CENÁRIO ATIVO</t>
  </si>
  <si>
    <t xml:space="preserve">Lucro líquido do exercício</t>
  </si>
  <si>
    <t xml:space="preserve">Vem da DRE anual. É lucro contábil, não dinheiro em caixa.</t>
  </si>
  <si>
    <t xml:space="preserve">Lucro acumulado (compensa prejuízo dos anos anteriores)</t>
  </si>
  <si>
    <t xml:space="preserve">Prejuízo de um ano abate o lucro do seguinte antes de qualquer distribuição.</t>
  </si>
  <si>
    <t xml:space="preserve">Distribuições já feitas em anos anteriores</t>
  </si>
  <si>
    <t xml:space="preserve">O que já foi distribuído em anos anteriores não pode ser distribuído de novo, nem continua em caixa.</t>
  </si>
  <si>
    <t xml:space="preserve">Lucro ainda não distribuído</t>
  </si>
  <si>
    <t xml:space="preserve">Caixa em dezembro (antes de distribuir)</t>
  </si>
  <si>
    <t xml:space="preserve">(−) Distribuições de anos anteriores</t>
  </si>
  <si>
    <t xml:space="preserve">(−) Reserva de caixa</t>
  </si>
  <si>
    <t xml:space="preserve">Meses de custo operacional médio do ano, conforme a política acima.</t>
  </si>
  <si>
    <t xml:space="preserve">Caixa livre</t>
  </si>
  <si>
    <t xml:space="preserve">LUCRO DISTRIBUÍVEL (o menor entre lucro e caixa livre)</t>
  </si>
  <si>
    <t xml:space="preserve">Só se distribui o que é lucro E está em caixa. Um dos dois limita.</t>
  </si>
  <si>
    <t xml:space="preserve">% aplicado</t>
  </si>
  <si>
    <t xml:space="preserve">DISTRIBUÍDO NO ANO</t>
  </si>
  <si>
    <t xml:space="preserve">Distribuições acumuladas</t>
  </si>
  <si>
    <t xml:space="preserve">Pró-labore pago aos sócios no ano</t>
  </si>
  <si>
    <t xml:space="preserve">Já está na DRE como despesa — é dinheiro que os sócios recebem trabalhando, separado da distribuição de lucros.</t>
  </si>
  <si>
    <t xml:space="preserve">Lucro retido na empresa</t>
  </si>
  <si>
    <t xml:space="preserve">Fica na empresa para financiar crescimento — e continua sendo dos sócios.</t>
  </si>
  <si>
    <t xml:space="preserve">4. QUANTO CABE A CADA SÓCIO</t>
  </si>
  <si>
    <t xml:space="preserve">Distribuição de lucros por sócio</t>
  </si>
  <si>
    <t xml:space="preserve">TOTAL 5 ANOS</t>
  </si>
  <si>
    <t xml:space="preserve">TOTAL DISTRIBUÍDO</t>
  </si>
  <si>
    <t xml:space="preserve">Total recebido por sócio nos 5 anos</t>
  </si>
  <si>
    <t xml:space="preserve">Distribuição de lucros</t>
  </si>
  <si>
    <t xml:space="preserve">Pró-labore</t>
  </si>
  <si>
    <t xml:space="preserve">TOTAL RECEBIDO</t>
  </si>
  <si>
    <t xml:space="preserve">Por 1% de participação</t>
  </si>
  <si>
    <t xml:space="preserve">FATURAMENTO PROJETADO</t>
  </si>
  <si>
    <t xml:space="preserve">Marketplace — comissões sobre dispositivos</t>
  </si>
  <si>
    <t xml:space="preserve">RECEITA BRUTA TOTAL</t>
  </si>
  <si>
    <t xml:space="preserve">DEDUÇÕES DA RECEITA</t>
  </si>
  <si>
    <t xml:space="preserve">RECEITA LÍQUIDA</t>
  </si>
  <si>
    <t xml:space="preserve">Alíquota efetiva de impostos</t>
  </si>
  <si>
    <t xml:space="preserve">Simples Nacional progressivo; migra para Lucro Presumido acima de R$ 4,8 mi.</t>
  </si>
  <si>
    <t xml:space="preserve">RESUMO ANUAL</t>
  </si>
  <si>
    <t xml:space="preserve">Receita bruta</t>
  </si>
  <si>
    <t xml:space="preserve">Receita líquida</t>
  </si>
  <si>
    <t xml:space="preserve">Impostos sobre receita</t>
  </si>
  <si>
    <t xml:space="preserve">Comissão de lojas</t>
  </si>
  <si>
    <t xml:space="preserve">USUÁRIOS E INDICADORES DE UNIDADE</t>
  </si>
  <si>
    <t xml:space="preserve">FUNIL DE USUÁRIOS</t>
  </si>
  <si>
    <t xml:space="preserve">Novos usuários captados</t>
  </si>
  <si>
    <t xml:space="preserve">Base de usuários — início do mês</t>
  </si>
  <si>
    <t xml:space="preserve">Saldo em dez/2030.</t>
  </si>
  <si>
    <t xml:space="preserve">(−) Usuários perdidos (churn)</t>
  </si>
  <si>
    <t xml:space="preserve">Base de usuários — fim do mês</t>
  </si>
  <si>
    <t xml:space="preserve">Taxa de conversão</t>
  </si>
  <si>
    <t xml:space="preserve">Usuários pagantes</t>
  </si>
  <si>
    <t xml:space="preserve">Pagantes — Plano Essencial</t>
  </si>
  <si>
    <t xml:space="preserve">Pagantes — Plano Premium</t>
  </si>
  <si>
    <t xml:space="preserve">Pagantes — Plano Família</t>
  </si>
  <si>
    <t xml:space="preserve">Usuários no painel de dados (com consentimento)</t>
  </si>
  <si>
    <t xml:space="preserve">Zero enquanto a base consentida não atinge o mínimo comercial definido em Premissas.</t>
  </si>
  <si>
    <t xml:space="preserve">Pessoas na operação (headcount)</t>
  </si>
  <si>
    <t xml:space="preserve">Usuários gratuitos</t>
  </si>
  <si>
    <t xml:space="preserve">INDICADORES DE UNIDADE</t>
  </si>
  <si>
    <t xml:space="preserve">Investimento em mídia de aquisição</t>
  </si>
  <si>
    <t xml:space="preserve">CAC — custo por usuário adquirido</t>
  </si>
  <si>
    <t xml:space="preserve">Média do período.</t>
  </si>
  <si>
    <t xml:space="preserve">CAC por usuário PAGANTE conquistado</t>
  </si>
  <si>
    <t xml:space="preserve">É este o CAC que a receita de assinatura precisa pagar.</t>
  </si>
  <si>
    <t xml:space="preserve">ARPPU — receita média por assinante pagante</t>
  </si>
  <si>
    <t xml:space="preserve">ARPU — receita média por usuário da base</t>
  </si>
  <si>
    <t xml:space="preserve">Margem de contribuição por pagante (R$/mês)</t>
  </si>
  <si>
    <t xml:space="preserve">Receita líquida menos nuvem e suporte, por assinante.</t>
  </si>
  <si>
    <t xml:space="preserve">LTV — valor do assinante ao longo da vida</t>
  </si>
  <si>
    <t xml:space="preserve">Margem de contribuição ÷ churn mensal.</t>
  </si>
  <si>
    <t xml:space="preserve">LTV ÷ CAC por pagante</t>
  </si>
  <si>
    <t xml:space="preserve">Referência de mercado: ≥ 3,0x é saudável; &lt; 1,0x destrói valor.</t>
  </si>
  <si>
    <t xml:space="preserve">Meses de assinatura para recuperar o custo de aquisição. Ideal: &lt; 12.</t>
  </si>
  <si>
    <t xml:space="preserve">CAIXA E FÔLEGO</t>
  </si>
  <si>
    <t xml:space="preserve">Caixa acumulado</t>
  </si>
  <si>
    <t xml:space="preserve">Queima de caixa do mês (burn)</t>
  </si>
  <si>
    <t xml:space="preserve">Runway (meses de caixa restantes)</t>
  </si>
  <si>
    <t xml:space="preserve">Caixa ÷ queima média dos últimos 3 meses. 999 = sem queima.</t>
  </si>
  <si>
    <t xml:space="preserve">MOTOR DE CENÁRIOS — CONSERVADOR · PROVÁVEL · AGRESSIVO</t>
  </si>
  <si>
    <t xml:space="preserve">Os três cenários rodam sempre, lado a lado. As demais abas mostram em detalhe o cenário selecionado em Premissas. Esta aba é a única fonte de verdade dos números.</t>
  </si>
  <si>
    <t xml:space="preserve">CENÁRIO 1 — CONSERVADOR</t>
  </si>
  <si>
    <t xml:space="preserve">Saldo no último mês (dez/2030), não soma.</t>
  </si>
  <si>
    <t xml:space="preserve">Taxa de conversão (pagantes ÷ base)</t>
  </si>
  <si>
    <t xml:space="preserve">Receita — Plano Essencial</t>
  </si>
  <si>
    <t xml:space="preserve">Receita — Plano Premium</t>
  </si>
  <si>
    <t xml:space="preserve">Receita — Plano Família</t>
  </si>
  <si>
    <t xml:space="preserve">Receita de assinaturas</t>
  </si>
  <si>
    <t xml:space="preserve">Receita de marketplace (comissões)</t>
  </si>
  <si>
    <t xml:space="preserve">Receita B2B — parcerias estratégicas</t>
  </si>
  <si>
    <t xml:space="preserve">Receita B2B — venda de dados</t>
  </si>
  <si>
    <t xml:space="preserve">Receita B2B — outras iniciativas</t>
  </si>
  <si>
    <t xml:space="preserve">Alíquota efetiva média ponderada do período.</t>
  </si>
  <si>
    <t xml:space="preserve">RBT12 — base de cálculo do Simples</t>
  </si>
  <si>
    <t xml:space="preserve">(−) Pessoal (equipe PJ + pró-labore)</t>
  </si>
  <si>
    <t xml:space="preserve">EBITDA</t>
  </si>
  <si>
    <t xml:space="preserve">(−) Investimentos (CAPEX)</t>
  </si>
  <si>
    <t xml:space="preserve">Marcador — EBITDA já ficou positivo</t>
  </si>
  <si>
    <t xml:space="preserve">Auxiliar do payback: guarda o nº do mês enquanto o acumulado está negativo. O payback é o maior valor, mais um.</t>
  </si>
  <si>
    <t xml:space="preserve">Fluxo de caixa do período</t>
  </si>
  <si>
    <t xml:space="preserve">Marcador — mês com FCL acumulado negativo</t>
  </si>
  <si>
    <t xml:space="preserve">Marcador — mês com FCL descontado negativo</t>
  </si>
  <si>
    <t xml:space="preserve">CENÁRIO 2 — PROVÁVEL</t>
  </si>
  <si>
    <t xml:space="preserve">CENÁRIO 3 — AGRESSIVO</t>
  </si>
  <si>
    <t xml:space="preserve">TRIBUTAÇÃO — SIMPLES NACIONAL E LUCRO PRESUMIDO</t>
  </si>
  <si>
    <t xml:space="preserve">Tabelas da LC 123/2006. A 'Tabela Ativa' é a que o modelo usa, conforme o regime escolhido em Premissas.</t>
  </si>
  <si>
    <t xml:space="preserve">ANEXO III — Serviços em geral (alíquota efetiva de 6% a ~19,5%)</t>
  </si>
  <si>
    <t xml:space="preserve">Faixa</t>
  </si>
  <si>
    <t xml:space="preserve">RBT12 — de</t>
  </si>
  <si>
    <t xml:space="preserve">RBT12 — até</t>
  </si>
  <si>
    <t xml:space="preserve">Alíquota nominal</t>
  </si>
  <si>
    <t xml:space="preserve">Parcela a deduzir</t>
  </si>
  <si>
    <t xml:space="preserve">Aplica-se a software/SaaS SOMENTE se o Fator R ≥ 28%.</t>
  </si>
  <si>
    <t xml:space="preserve">ANEXO V — Licenciamento/cessão de uso de software (Fator R &lt; 28%)</t>
  </si>
  <si>
    <t xml:space="preserve">Regra padrão para licenciamento de software quando o Fator R fica abaixo de 28%.</t>
  </si>
  <si>
    <t xml:space="preserve">TABELA ATIVA — selecionada pelo regime definido em Premissas</t>
  </si>
  <si>
    <t xml:space="preserve">FATOR R — o teste que decide entre Anexo III e Anexo V</t>
  </si>
  <si>
    <t xml:space="preserve">Fator R = (folha de salários + pró-labore + encargos dos últimos 12 meses) ÷ RBT12</t>
  </si>
  <si>
    <t xml:space="preserve">Fator R ≥ 28%  →  Anexo III (alíquota efetiva a partir de 6%)</t>
  </si>
  <si>
    <t xml:space="preserve">Fator R &lt; 28%   →  Anexo V (alíquota efetiva a partir de 15,5%)</t>
  </si>
  <si>
    <t xml:space="preserve">⚠ RISCO MATERIAL PARA A OPPA: pagamento a equipe PJ (prestadores de serviço) NÃO entra no cálculo do Fator R. Só contam folha CLT e pró-labore dos sócios. Com a estrutura descrita no brief — equipe PJ e pró-labore zero em 2026 — o Fator R fica próximo de 0% e a empresa cai no Anexo V, com alíquota inicial de 15,5% em vez de 6%.</t>
  </si>
  <si>
    <t xml:space="preserve">Como reverter: (a) registrar pró-labore relevante para os sócios; (b) contratar parte da equipe em regime CLT. Ambos aumentam o custo de folha, mas podem valer a pena pela economia tributária. O quadro abaixo compara os dois anexos no faturamento projetado.</t>
  </si>
  <si>
    <t xml:space="preserve">COMPARATIVO — alíquota efetiva por faixa de faturamento anual</t>
  </si>
  <si>
    <t xml:space="preserve">RBT12</t>
  </si>
  <si>
    <t xml:space="preserve">Anexo III efetivo</t>
  </si>
  <si>
    <t xml:space="preserve">Anexo V efetivo</t>
  </si>
  <si>
    <t xml:space="preserve">Diferença</t>
  </si>
  <si>
    <t xml:space="preserve">Custo anual da diferença</t>
  </si>
  <si>
    <t xml:space="preserve">Quanto a Oppa paga a mais por ano se cair no Anexo V em vez do Anexo III.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</si>
</sst>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#,##0;\(#,##0\);\–"/>
    <numFmt numFmtId="166" formatCode="&quot;R$ &quot;#,##0;&quot;(R$ &quot;#,##0\);\–"/>
    <numFmt numFmtId="167" formatCode="0.0%;\(0.0%\);\–"/>
    <numFmt numFmtId="168" formatCode="@"/>
    <numFmt numFmtId="169" formatCode="0.00%;\(0.00%\);\–"/>
    <numFmt numFmtId="170" formatCode="#,##0%;\(#,##0%\);\–"/>
    <numFmt numFmtId="171" formatCode="0.0\x;\(0.0&quot;x)&quot;;\–"/>
    <numFmt numFmtId="172" formatCode="&quot;R$ &quot;#,##0.00;&quot;(R$ &quot;#,##0.00\);\–"/>
    <numFmt numFmtId="173" formatCode="0.0"/>
    <numFmt numFmtId="174" formatCode="0"/>
    <numFmt numFmtId="175" formatCode="#,##0;\(#,##0\);\–"/>
    <numFmt numFmtId="176" formatCode="mmm/yy"/>
    <numFmt numFmtId="177" formatCode="&quot;R$ &quot;#,##0;&quot;(R$ &quot;#,##0\);\–"/>
    <numFmt numFmtId="178" formatCode="&quot;R$ &quot;#,##0.00;&quot;(R$ &quot;#,##0.00\);\–"/>
    <numFmt numFmtId="179" formatCode="0.00%;\(0.00%\);\–"/>
    <numFmt numFmtId="180" formatCode="0.0%;\(0.0%\);\–"/>
    <numFmt numFmtId="181" formatCode="0.0\x;\(0.0&quot;x)&quot;;\–"/>
    <numFmt numFmtId="182" formatCode="mmm\-yy"/>
    <numFmt numFmtId="183" formatCode="0%"/>
    <numFmt numFmtId="184" formatCode="0.00%"/>
    <numFmt numFmtId="185" formatCode="d\-mmm\-yyyy"/>
    <numFmt numFmtId="186" formatCode="m/d/yyyy"/>
    <numFmt numFmtId="187" formatCode="0.0;\(0.0\);\–"/>
    <numFmt numFmtId="188" formatCode="0;\(0\);\–"/>
  </numFmts>
  <fonts count="4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26262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1F704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  <font>
      <b val="true"/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BFBFB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833C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BF8F00"/>
      <name val="Arial"/>
      <family val="0"/>
      <charset val="1"/>
    </font>
    <font>
      <sz val="9"/>
      <color rgb="FFC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404040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FFC000"/>
        <bgColor rgb="FFFFFF00"/>
      </patternFill>
    </fill>
    <fill>
      <patternFill patternType="solid">
        <fgColor rgb="FF1F7040"/>
        <bgColor rgb="FF008000"/>
      </patternFill>
    </fill>
    <fill>
      <patternFill patternType="solid">
        <fgColor rgb="FFED7D31"/>
        <bgColor rgb="FFFF8080"/>
      </patternFill>
    </fill>
    <fill>
      <patternFill patternType="solid">
        <fgColor rgb="FFA6A6A6"/>
        <bgColor rgb="FFBFBFBF"/>
      </patternFill>
    </fill>
    <fill>
      <patternFill patternType="solid">
        <fgColor rgb="FF2E5C8A"/>
        <bgColor rgb="FF595959"/>
      </patternFill>
    </fill>
    <fill>
      <patternFill patternType="solid">
        <fgColor rgb="FFBDD7EE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1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75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78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4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3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42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43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3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4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4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3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040"/>
      <rgbColor rgb="FFBFBFBF"/>
      <rgbColor rgb="FF808080"/>
      <rgbColor rgb="FF9999FF"/>
      <rgbColor rgb="FF993366"/>
      <rgbColor rgb="FFFCE4D6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BF8F00"/>
      <rgbColor rgb="FFED7D31"/>
      <rgbColor rgb="FF595959"/>
      <rgbColor rgb="FFA6A6A6"/>
      <rgbColor rgb="FF1F3864"/>
      <rgbColor rgb="FF339966"/>
      <rgbColor rgb="FF003300"/>
      <rgbColor rgb="FF404040"/>
      <rgbColor rgb="FF833C00"/>
      <rgbColor rgb="FF993366"/>
      <rgbColor rgb="FF2E5C8A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86"/>
    <col collapsed="false" customWidth="true" hidden="false" outlineLevel="0" max="4" min="4" style="0" width="16"/>
    <col collapsed="false" customWidth="true" hidden="false" outlineLevel="0" max="5" min="5" style="0" width="3"/>
  </cols>
  <sheetData>
    <row r="1" customFormat="false" ht="25.5" hidden="false" customHeight="tru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.75" hidden="false" customHeight="true" outlineLevel="0" collapsed="false">
      <c r="B5" s="5" t="s">
        <v>3</v>
      </c>
      <c r="C5" s="6" t="s">
        <v>4</v>
      </c>
    </row>
    <row r="6" customFormat="false" ht="15.75" hidden="false" customHeight="true" outlineLevel="0" collapsed="false">
      <c r="B6" s="5" t="s">
        <v>5</v>
      </c>
      <c r="C6" s="6" t="s">
        <v>6</v>
      </c>
    </row>
    <row r="7" customFormat="false" ht="15.75" hidden="false" customHeight="true" outlineLevel="0" collapsed="false">
      <c r="B7" s="5" t="s">
        <v>7</v>
      </c>
      <c r="C7" s="6" t="s">
        <v>8</v>
      </c>
    </row>
    <row r="8" customFormat="false" ht="15.75" hidden="false" customHeight="true" outlineLevel="0" collapsed="false">
      <c r="B8" s="5" t="s">
        <v>9</v>
      </c>
      <c r="C8" s="6" t="s">
        <v>10</v>
      </c>
    </row>
    <row r="10" customFormat="false" ht="18" hidden="false" customHeight="true" outlineLevel="0" collapsed="false">
      <c r="B10" s="7" t="s">
        <v>11</v>
      </c>
      <c r="C10" s="7" t="s">
        <v>12</v>
      </c>
      <c r="D10" s="8" t="s">
        <v>13</v>
      </c>
    </row>
    <row r="11" customFormat="false" ht="15.75" hidden="false" customHeight="true" outlineLevel="0" collapsed="false">
      <c r="B11" s="9" t="s">
        <v>14</v>
      </c>
      <c r="C11" s="10"/>
      <c r="D11" s="10"/>
    </row>
    <row r="12" customFormat="false" ht="15.75" hidden="false" customHeight="true" outlineLevel="0" collapsed="false">
      <c r="B12" s="11" t="s">
        <v>15</v>
      </c>
      <c r="C12" s="12" t="s">
        <v>16</v>
      </c>
      <c r="D12" s="13" t="s">
        <v>17</v>
      </c>
    </row>
    <row r="13" customFormat="false" ht="15.75" hidden="false" customHeight="true" outlineLevel="0" collapsed="false">
      <c r="B13" s="14" t="s">
        <v>18</v>
      </c>
      <c r="C13" s="2"/>
      <c r="D13" s="2"/>
    </row>
    <row r="14" customFormat="false" ht="15.75" hidden="false" customHeight="true" outlineLevel="0" collapsed="false">
      <c r="B14" s="15" t="s">
        <v>19</v>
      </c>
      <c r="C14" s="12" t="s">
        <v>20</v>
      </c>
      <c r="D14" s="13" t="s">
        <v>17</v>
      </c>
    </row>
    <row r="15" customFormat="false" ht="24" hidden="false" customHeight="true" outlineLevel="0" collapsed="false">
      <c r="B15" s="15" t="s">
        <v>21</v>
      </c>
      <c r="C15" s="12" t="s">
        <v>22</v>
      </c>
      <c r="D15" s="13" t="s">
        <v>23</v>
      </c>
    </row>
    <row r="16" customFormat="false" ht="15.75" hidden="false" customHeight="true" outlineLevel="0" collapsed="false">
      <c r="B16" s="16" t="s">
        <v>24</v>
      </c>
      <c r="C16" s="17"/>
      <c r="D16" s="17"/>
    </row>
    <row r="17" customFormat="false" ht="24" hidden="false" customHeight="true" outlineLevel="0" collapsed="false">
      <c r="B17" s="18" t="s">
        <v>25</v>
      </c>
      <c r="C17" s="12" t="s">
        <v>26</v>
      </c>
      <c r="D17" s="19" t="s">
        <v>27</v>
      </c>
    </row>
    <row r="18" customFormat="false" ht="15.75" hidden="false" customHeight="true" outlineLevel="0" collapsed="false">
      <c r="B18" s="20" t="s">
        <v>28</v>
      </c>
      <c r="C18" s="21"/>
      <c r="D18" s="21"/>
    </row>
    <row r="19" customFormat="false" ht="24" hidden="false" customHeight="true" outlineLevel="0" collapsed="false">
      <c r="B19" s="22" t="s">
        <v>29</v>
      </c>
      <c r="C19" s="12" t="s">
        <v>30</v>
      </c>
      <c r="D19" s="13" t="s">
        <v>17</v>
      </c>
    </row>
    <row r="20" customFormat="false" ht="24" hidden="false" customHeight="true" outlineLevel="0" collapsed="false">
      <c r="B20" s="22" t="s">
        <v>31</v>
      </c>
      <c r="C20" s="12" t="s">
        <v>32</v>
      </c>
      <c r="D20" s="13" t="s">
        <v>17</v>
      </c>
    </row>
    <row r="21" customFormat="false" ht="15.75" hidden="false" customHeight="true" outlineLevel="0" collapsed="false">
      <c r="B21" s="23" t="s">
        <v>33</v>
      </c>
      <c r="C21" s="24"/>
      <c r="D21" s="24"/>
    </row>
    <row r="22" customFormat="false" ht="15.75" hidden="false" customHeight="true" outlineLevel="0" collapsed="false">
      <c r="B22" s="25" t="s">
        <v>34</v>
      </c>
      <c r="C22" s="12" t="s">
        <v>35</v>
      </c>
      <c r="D22" s="19" t="s">
        <v>27</v>
      </c>
    </row>
    <row r="23" customFormat="false" ht="15.75" hidden="false" customHeight="true" outlineLevel="0" collapsed="false">
      <c r="B23" s="25" t="s">
        <v>36</v>
      </c>
      <c r="C23" s="12" t="s">
        <v>37</v>
      </c>
      <c r="D23" s="19" t="s">
        <v>27</v>
      </c>
    </row>
    <row r="24" customFormat="false" ht="15.75" hidden="false" customHeight="true" outlineLevel="0" collapsed="false">
      <c r="B24" s="25" t="s">
        <v>38</v>
      </c>
      <c r="C24" s="12" t="s">
        <v>39</v>
      </c>
      <c r="D24" s="19" t="s">
        <v>27</v>
      </c>
    </row>
    <row r="25" customFormat="false" ht="15.75" hidden="false" customHeight="true" outlineLevel="0" collapsed="false">
      <c r="B25" s="25" t="s">
        <v>40</v>
      </c>
      <c r="C25" s="12" t="s">
        <v>41</v>
      </c>
      <c r="D25" s="19" t="s">
        <v>27</v>
      </c>
    </row>
    <row r="26" customFormat="false" ht="15.75" hidden="false" customHeight="true" outlineLevel="0" collapsed="false">
      <c r="B26" s="26" t="s">
        <v>42</v>
      </c>
      <c r="C26" s="27"/>
      <c r="D26" s="27"/>
    </row>
    <row r="27" customFormat="false" ht="15.75" hidden="false" customHeight="true" outlineLevel="0" collapsed="false">
      <c r="B27" s="28" t="s">
        <v>43</v>
      </c>
      <c r="C27" s="12" t="s">
        <v>44</v>
      </c>
      <c r="D27" s="13" t="s">
        <v>17</v>
      </c>
    </row>
    <row r="28" customFormat="false" ht="15.75" hidden="false" customHeight="true" outlineLevel="0" collapsed="false">
      <c r="B28" s="28" t="s">
        <v>45</v>
      </c>
      <c r="C28" s="12" t="s">
        <v>46</v>
      </c>
      <c r="D28" s="13" t="s">
        <v>17</v>
      </c>
    </row>
    <row r="29" customFormat="false" ht="15.75" hidden="false" customHeight="true" outlineLevel="0" collapsed="false">
      <c r="B29" s="28" t="s">
        <v>47</v>
      </c>
      <c r="C29" s="12" t="s">
        <v>48</v>
      </c>
      <c r="D29" s="13" t="s">
        <v>17</v>
      </c>
    </row>
    <row r="30" customFormat="false" ht="15.75" hidden="false" customHeight="true" outlineLevel="0" collapsed="false">
      <c r="B30" s="28" t="s">
        <v>49</v>
      </c>
      <c r="C30" s="12" t="s">
        <v>50</v>
      </c>
      <c r="D30" s="13" t="s">
        <v>17</v>
      </c>
    </row>
    <row r="32" customFormat="false" ht="18" hidden="false" customHeight="true" outlineLevel="0" collapsed="false">
      <c r="B32" s="29" t="s">
        <v>51</v>
      </c>
      <c r="C32" s="29"/>
      <c r="D32" s="29"/>
    </row>
    <row r="33" customFormat="false" ht="22.5" hidden="false" customHeight="true" outlineLevel="0" collapsed="false">
      <c r="B33" s="30" t="s">
        <v>52</v>
      </c>
      <c r="C33" s="30"/>
      <c r="D33" s="30"/>
    </row>
    <row r="35" customFormat="false" ht="18" hidden="false" customHeight="true" outlineLevel="0" collapsed="false">
      <c r="B35" s="29" t="s">
        <v>53</v>
      </c>
      <c r="C35" s="29"/>
      <c r="D35" s="29"/>
    </row>
    <row r="36" customFormat="false" ht="15" hidden="false" customHeight="true" outlineLevel="0" collapsed="false">
      <c r="B36" s="31" t="s">
        <v>54</v>
      </c>
      <c r="C36" s="32" t="s">
        <v>55</v>
      </c>
    </row>
    <row r="37" customFormat="false" ht="15" hidden="false" customHeight="true" outlineLevel="0" collapsed="false">
      <c r="B37" s="33" t="s">
        <v>56</v>
      </c>
      <c r="C37" s="32" t="s">
        <v>57</v>
      </c>
    </row>
    <row r="38" customFormat="false" ht="15" hidden="false" customHeight="true" outlineLevel="0" collapsed="false">
      <c r="B38" s="34" t="s">
        <v>58</v>
      </c>
      <c r="C38" s="32" t="s">
        <v>59</v>
      </c>
    </row>
    <row r="39" customFormat="false" ht="15" hidden="false" customHeight="true" outlineLevel="0" collapsed="false">
      <c r="B39" s="35" t="s">
        <v>60</v>
      </c>
      <c r="C39" s="32" t="s">
        <v>61</v>
      </c>
    </row>
    <row r="41" customFormat="false" ht="18" hidden="false" customHeight="true" outlineLevel="0" collapsed="false">
      <c r="B41" s="36" t="s">
        <v>62</v>
      </c>
      <c r="C41" s="36"/>
      <c r="D41" s="36"/>
    </row>
    <row r="42" customFormat="false" ht="22.5" hidden="false" customHeight="true" outlineLevel="0" collapsed="false">
      <c r="B42" s="30" t="s">
        <v>63</v>
      </c>
      <c r="C42" s="30"/>
      <c r="D42" s="30"/>
    </row>
    <row r="43" customFormat="false" ht="22.5" hidden="false" customHeight="true" outlineLevel="0" collapsed="false">
      <c r="B43" s="30" t="s">
        <v>64</v>
      </c>
      <c r="C43" s="30"/>
      <c r="D43" s="30"/>
    </row>
    <row r="44" customFormat="false" ht="15" hidden="false" customHeight="true" outlineLevel="0" collapsed="false">
      <c r="B44" s="30" t="s">
        <v>65</v>
      </c>
      <c r="C44" s="30"/>
      <c r="D44" s="30"/>
    </row>
    <row r="45" customFormat="false" ht="22.5" hidden="false" customHeight="true" outlineLevel="0" collapsed="false">
      <c r="B45" s="30" t="s">
        <v>66</v>
      </c>
      <c r="C45" s="30"/>
      <c r="D45" s="30"/>
    </row>
  </sheetData>
  <mergeCells count="8">
    <mergeCell ref="B32:D32"/>
    <mergeCell ref="B33:D33"/>
    <mergeCell ref="B35:D35"/>
    <mergeCell ref="B41:D41"/>
    <mergeCell ref="B42:D42"/>
    <mergeCell ref="B43:D43"/>
    <mergeCell ref="B44:D44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4"/>
    <col collapsed="false" customWidth="true" hidden="false" outlineLevel="0" max="2" min="2" style="37" width="52"/>
    <col collapsed="false" customWidth="true" hidden="false" outlineLevel="0" max="3" min="3" style="37" width="21"/>
    <col collapsed="false" customWidth="true" hidden="false" outlineLevel="0" max="5" min="4" style="37" width="23"/>
    <col collapsed="false" customWidth="true" hidden="false" outlineLevel="0" max="6" min="6" style="37" width="4"/>
    <col collapsed="false" customWidth="true" hidden="false" outlineLevel="0" max="7" min="7" style="37" width="60"/>
    <col collapsed="false" customWidth="true" hidden="false" outlineLevel="0" max="8" min="8" style="37" width="4"/>
    <col collapsed="false" customWidth="true" hidden="false" outlineLevel="0" max="26" min="9" style="37" width="8.43"/>
  </cols>
  <sheetData>
    <row r="1" customFormat="false" ht="25.5" hidden="false" customHeight="true" outlineLevel="0" collapsed="false">
      <c r="A1" s="38" t="s">
        <v>67</v>
      </c>
      <c r="B1" s="39"/>
      <c r="C1" s="39"/>
      <c r="D1" s="39"/>
      <c r="E1" s="39"/>
      <c r="F1" s="39"/>
      <c r="G1" s="39"/>
      <c r="H1" s="39"/>
    </row>
    <row r="2" customFormat="false" ht="15.75" hidden="false" customHeight="true" outlineLevel="0" collapsed="false">
      <c r="A2" s="40" t="s">
        <v>68</v>
      </c>
    </row>
    <row r="4" customFormat="false" ht="21.75" hidden="false" customHeight="true" outlineLevel="0" collapsed="false">
      <c r="B4" s="41" t="s">
        <v>69</v>
      </c>
      <c r="C4" s="42" t="s">
        <v>70</v>
      </c>
      <c r="D4" s="43" t="s">
        <v>71</v>
      </c>
      <c r="E4" s="44" t="s">
        <v>72</v>
      </c>
    </row>
    <row r="5" customFormat="false" ht="15" hidden="false" customHeight="true" outlineLevel="0" collapsed="false">
      <c r="B5" s="45" t="s">
        <v>73</v>
      </c>
      <c r="C5" s="46" t="str">
        <f aca="false">IF(Premissas!$B$6=1,"◀ ATIVO","")</f>
        <v/>
      </c>
      <c r="D5" s="46" t="str">
        <f aca="false">IF(Premissas!$B$6=2,"◀ ATIVO","")</f>
        <v>◀ ATIVO</v>
      </c>
      <c r="E5" s="46" t="str">
        <f aca="false">IF(Premissas!$B$6=3,"◀ ATIVO","")</f>
        <v/>
      </c>
    </row>
    <row r="7" customFormat="false" ht="18" hidden="false" customHeight="true" outlineLevel="0" collapsed="false">
      <c r="A7" s="47" t="s">
        <v>74</v>
      </c>
      <c r="B7" s="48"/>
      <c r="C7" s="48"/>
      <c r="D7" s="48"/>
      <c r="E7" s="48"/>
    </row>
    <row r="8" customFormat="false" ht="15" hidden="false" customHeight="true" outlineLevel="0" collapsed="false">
      <c r="B8" s="49" t="s">
        <v>75</v>
      </c>
      <c r="C8" s="50" t="n">
        <f aca="false">Cenários!$M$13</f>
        <v>10860</v>
      </c>
      <c r="D8" s="50" t="n">
        <f aca="false">Cenários!$M$59</f>
        <v>18100</v>
      </c>
      <c r="E8" s="50" t="n">
        <f aca="false">Cenários!$M$105</f>
        <v>25340</v>
      </c>
      <c r="G8" s="51" t="s">
        <v>76</v>
      </c>
    </row>
    <row r="9" customFormat="false" ht="15" hidden="false" customHeight="true" outlineLevel="0" collapsed="false">
      <c r="B9" s="49" t="s">
        <v>77</v>
      </c>
      <c r="C9" s="50" t="n">
        <f aca="false">Cenários!$BI$13</f>
        <v>421839.401055008</v>
      </c>
      <c r="D9" s="50" t="n">
        <f aca="false">Cenários!$BI$59</f>
        <v>1115800.66460352</v>
      </c>
      <c r="E9" s="50" t="n">
        <f aca="false">Cenários!$BI$105</f>
        <v>2420142.67657906</v>
      </c>
    </row>
    <row r="10" customFormat="false" ht="15" hidden="false" customHeight="true" outlineLevel="0" collapsed="false">
      <c r="B10" s="49" t="s">
        <v>78</v>
      </c>
      <c r="C10" s="50" t="n">
        <f aca="false">Cenários!$M$15</f>
        <v>18</v>
      </c>
      <c r="D10" s="50" t="n">
        <f aca="false">Cenários!$M$61</f>
        <v>90</v>
      </c>
      <c r="E10" s="50" t="n">
        <f aca="false">Cenários!$M$107</f>
        <v>253</v>
      </c>
      <c r="G10" s="51" t="s">
        <v>79</v>
      </c>
    </row>
    <row r="11" customFormat="false" ht="15" hidden="false" customHeight="true" outlineLevel="0" collapsed="false">
      <c r="B11" s="49" t="s">
        <v>80</v>
      </c>
      <c r="C11" s="50" t="n">
        <f aca="false">Cenários!$BI$15</f>
        <v>4390</v>
      </c>
      <c r="D11" s="50" t="n">
        <f aca="false">Cenários!$BI$61</f>
        <v>37675</v>
      </c>
      <c r="E11" s="50" t="n">
        <f aca="false">Cenários!$BI$107</f>
        <v>183322</v>
      </c>
    </row>
    <row r="12" customFormat="false" ht="15" hidden="false" customHeight="true" outlineLevel="0" collapsed="false">
      <c r="B12" s="49" t="s">
        <v>81</v>
      </c>
      <c r="C12" s="52" t="n">
        <f aca="false">SUMIFS(Cenários!$B$28:$BI$28,Cenários!$B$6:$BI$6,2026)</f>
        <v>1438.2</v>
      </c>
      <c r="D12" s="52" t="n">
        <f aca="false">SUMIFS(Cenários!$B$74:$BI$74,Cenários!$B$6:$BI$6,2026)</f>
        <v>7191</v>
      </c>
      <c r="E12" s="52" t="n">
        <f aca="false">SUMIFS(Cenários!$B$120:$BI$120,Cenários!$B$6:$BI$6,2026)</f>
        <v>20214.7</v>
      </c>
    </row>
    <row r="13" customFormat="false" ht="15" hidden="false" customHeight="true" outlineLevel="0" collapsed="false">
      <c r="B13" s="49" t="s">
        <v>82</v>
      </c>
      <c r="C13" s="52" t="n">
        <f aca="false">SUMIFS(Cenários!$B$28:$BI$28,Cenários!$B$6:$BI$6,2030)</f>
        <v>4924325.69596675</v>
      </c>
      <c r="D13" s="52" t="n">
        <f aca="false">SUMIFS(Cenários!$B$74:$BI$74,Cenários!$B$6:$BI$6,2030)</f>
        <v>35439898.2077514</v>
      </c>
      <c r="E13" s="52" t="n">
        <f aca="false">SUMIFS(Cenários!$B$120:$BI$120,Cenários!$B$6:$BI$6,2030)</f>
        <v>161377214.701452</v>
      </c>
    </row>
    <row r="14" customFormat="false" ht="15" hidden="false" customHeight="true" outlineLevel="0" collapsed="false">
      <c r="B14" s="53" t="s">
        <v>83</v>
      </c>
      <c r="C14" s="54" t="n">
        <f aca="false">SUM(Cenários!$B$28:$BI$28)</f>
        <v>11000912.0722275</v>
      </c>
      <c r="D14" s="54" t="n">
        <f aca="false">SUM(Cenários!$B$74:$BI$74)</f>
        <v>72831520.9738694</v>
      </c>
      <c r="E14" s="54" t="n">
        <f aca="false">SUM(Cenários!$B$120:$BI$120)</f>
        <v>305814032.724602</v>
      </c>
    </row>
    <row r="16" customFormat="false" ht="18" hidden="false" customHeight="true" outlineLevel="0" collapsed="false">
      <c r="A16" s="47" t="s">
        <v>84</v>
      </c>
      <c r="B16" s="48"/>
      <c r="C16" s="48"/>
      <c r="D16" s="48"/>
      <c r="E16" s="48"/>
    </row>
    <row r="17" customFormat="false" ht="15" hidden="false" customHeight="true" outlineLevel="0" collapsed="false">
      <c r="B17" s="49" t="s">
        <v>85</v>
      </c>
      <c r="C17" s="52" t="n">
        <f aca="false">SUMIFS(Cenários!$B$40:$BI$40,Cenários!$B$6:$BI$6,2026)</f>
        <v>-36984.93935</v>
      </c>
      <c r="D17" s="52" t="n">
        <f aca="false">SUMIFS(Cenários!$B$86:$BI$86,Cenários!$B$6:$BI$6,2026)</f>
        <v>-36635.69675</v>
      </c>
      <c r="E17" s="52" t="n">
        <f aca="false">SUMIFS(Cenários!$B$132:$BI$132,Cenários!$B$6:$BI$6,2026)</f>
        <v>-27725.691975</v>
      </c>
    </row>
    <row r="18" customFormat="false" ht="15" hidden="false" customHeight="true" outlineLevel="0" collapsed="false">
      <c r="B18" s="49" t="s">
        <v>86</v>
      </c>
      <c r="C18" s="52" t="n">
        <f aca="false">SUMIFS(Cenários!$B$40:$BI$40,Cenários!$B$6:$BI$6,2030)</f>
        <v>-5656476.00465449</v>
      </c>
      <c r="D18" s="52" t="n">
        <f aca="false">SUMIFS(Cenários!$B$86:$BI$86,Cenários!$B$6:$BI$6,2030)</f>
        <v>4516917.94306104</v>
      </c>
      <c r="E18" s="52" t="n">
        <f aca="false">SUMIFS(Cenários!$B$132:$BI$132,Cenários!$B$6:$BI$6,2030)</f>
        <v>47924931.4407652</v>
      </c>
    </row>
    <row r="19" customFormat="false" ht="15" hidden="false" customHeight="true" outlineLevel="0" collapsed="false">
      <c r="B19" s="53" t="s">
        <v>87</v>
      </c>
      <c r="C19" s="54" t="n">
        <f aca="false">SUM(Cenários!$B$40:$BI$40)</f>
        <v>-12365858.7581619</v>
      </c>
      <c r="D19" s="54" t="n">
        <f aca="false">SUM(Cenários!$B$86:$BI$86)</f>
        <v>7774451.74982513</v>
      </c>
      <c r="E19" s="54" t="n">
        <f aca="false">SUM(Cenários!$B$132:$BI$132)</f>
        <v>86915003.3945014</v>
      </c>
    </row>
    <row r="20" customFormat="false" ht="15" hidden="false" customHeight="true" outlineLevel="0" collapsed="false">
      <c r="B20" s="49" t="s">
        <v>88</v>
      </c>
      <c r="C20" s="55" t="n">
        <f aca="false">IFERROR(C18/C13,0)</f>
        <v>-1.14868031764987</v>
      </c>
      <c r="D20" s="55" t="n">
        <f aca="false">IFERROR(D18/D13,0)</f>
        <v>0.127452903972312</v>
      </c>
      <c r="E20" s="55" t="n">
        <f aca="false">IFERROR(E18/E13,0)</f>
        <v>0.296974585473087</v>
      </c>
    </row>
    <row r="21" customFormat="false" ht="15.75" hidden="false" customHeight="true" outlineLevel="0" collapsed="false">
      <c r="B21" s="49" t="s">
        <v>89</v>
      </c>
      <c r="C21" s="56" t="str">
        <f aca="false">IF(SUM(Cenários!$B$46:$BI$46)=0,"não atinge",CHOOSE(MOD(60-SUM(Cenários!$B$46:$BI$46),12)+1,"jan","fev","mar","abr","mai","jun","jul","ago","set","out","nov","dez")&amp;"/"&amp;(2026+INT((60-SUM(Cenários!$B$46:$BI$46))/12)))</f>
        <v>não atinge</v>
      </c>
      <c r="D21" s="56" t="str">
        <f aca="false">IF(SUM(Cenários!$B$92:$BI$92)=0,"não atinge",CHOOSE(MOD(60-SUM(Cenários!$B$92:$BI$92),12)+1,"jan","fev","mar","abr","mai","jun","jul","ago","set","out","nov","dez")&amp;"/"&amp;(2026+INT((60-SUM(Cenários!$B$92:$BI$92))/12)))</f>
        <v>jun/2027</v>
      </c>
      <c r="E21" s="56" t="str">
        <f aca="false">IF(SUM(Cenários!$B$138:$BI$138)=0,"não atinge",CHOOSE(MOD(60-SUM(Cenários!$B$138:$BI$138),12)+1,"jan","fev","mar","abr","mai","jun","jul","ago","set","out","nov","dez")&amp;"/"&amp;(2026+INT((60-SUM(Cenários!$B$138:$BI$138))/12)))</f>
        <v>mar/2027</v>
      </c>
      <c r="G21" s="51" t="s">
        <v>90</v>
      </c>
    </row>
    <row r="22" customFormat="false" ht="15.75" hidden="false" customHeight="true" outlineLevel="0" collapsed="false"/>
    <row r="23" customFormat="false" ht="18" hidden="false" customHeight="true" outlineLevel="0" collapsed="false">
      <c r="A23" s="47" t="s">
        <v>91</v>
      </c>
      <c r="B23" s="48"/>
      <c r="C23" s="48"/>
      <c r="D23" s="48"/>
      <c r="E23" s="48"/>
    </row>
    <row r="24" customFormat="false" ht="15.75" hidden="false" customHeight="true" outlineLevel="0" collapsed="false">
      <c r="B24" s="49" t="s">
        <v>92</v>
      </c>
      <c r="C24" s="52" t="n">
        <f aca="false">-SUM(Cenários!$B$41:$BI$41)</f>
        <v>124127.82</v>
      </c>
      <c r="D24" s="52" t="n">
        <f aca="false">-SUM(Cenários!$B$87:$BI$87)</f>
        <v>124127.82</v>
      </c>
      <c r="E24" s="52" t="n">
        <f aca="false">-SUM(Cenários!$B$133:$BI$133)</f>
        <v>124127.82</v>
      </c>
    </row>
    <row r="25" customFormat="false" ht="15.75" hidden="false" customHeight="true" outlineLevel="0" collapsed="false">
      <c r="B25" s="53" t="s">
        <v>93</v>
      </c>
      <c r="C25" s="54" t="n">
        <f aca="false">-MIN(Cenários!$B$45:$BI$45)</f>
        <v>12489986.5781619</v>
      </c>
      <c r="D25" s="54" t="n">
        <f aca="false">-MIN(Cenários!$B$91:$BI$91)</f>
        <v>343862.103538302</v>
      </c>
      <c r="E25" s="54" t="n">
        <f aca="false">-MIN(Cenários!$B$137:$BI$137)</f>
        <v>145974.792366074</v>
      </c>
      <c r="G25" s="51" t="s">
        <v>94</v>
      </c>
    </row>
    <row r="26" customFormat="false" ht="15.75" hidden="false" customHeight="true" outlineLevel="0" collapsed="false">
      <c r="B26" s="49" t="s">
        <v>95</v>
      </c>
      <c r="C26" s="52" t="n">
        <f aca="false">SUM(Aportes!$B$96:$BI$96)</f>
        <v>317000</v>
      </c>
      <c r="D26" s="52" t="n">
        <f aca="false">SUM(Aportes!$B$96:$BI$96)</f>
        <v>317000</v>
      </c>
      <c r="E26" s="52" t="n">
        <f aca="false">SUM(Aportes!$B$96:$BI$96)</f>
        <v>317000</v>
      </c>
    </row>
    <row r="27" customFormat="false" ht="15.75" hidden="false" customHeight="true" outlineLevel="0" collapsed="false">
      <c r="B27" s="53" t="s">
        <v>96</v>
      </c>
      <c r="C27" s="54" t="n">
        <f aca="false">MIN(Cenários!$B$49:$BI$49)</f>
        <v>-12172986.5781619</v>
      </c>
      <c r="D27" s="54" t="n">
        <f aca="false">MIN(Cenários!$B$95:$BI$95)</f>
        <v>-46752.6412566667</v>
      </c>
      <c r="E27" s="54" t="n">
        <f aca="false">MIN(Cenários!$B$141:$BI$141)</f>
        <v>-9014.14273766665</v>
      </c>
      <c r="G27" s="51" t="s">
        <v>97</v>
      </c>
    </row>
    <row r="28" customFormat="false" ht="15.75" hidden="false" customHeight="true" outlineLevel="0" collapsed="false">
      <c r="B28" s="49" t="s">
        <v>98</v>
      </c>
      <c r="C28" s="56" t="str">
        <f aca="false">CHOOSE(MOD(MATCH(MIN(Cenários!$B$49:$BI$49),Cenários!$B$49:$BI$49,0)-1,12)+1,"jan","fev","mar","abr","mai","jun","jul","ago","set","out","nov","dez")&amp;"/"&amp;(2026+INT((MATCH(MIN(Cenários!$B$49:$BI$49),Cenários!$B$49:$BI$49,0)-1)/12))</f>
        <v>dez/2030</v>
      </c>
      <c r="D28" s="56" t="str">
        <f aca="false">CHOOSE(MOD(MATCH(MIN(Cenários!$B$95:$BI$95),Cenários!$B$95:$BI$95,0)-1,12)+1,"jan","fev","mar","abr","mai","jun","jul","ago","set","out","nov","dez")&amp;"/"&amp;(2026+INT((MATCH(MIN(Cenários!$B$95:$BI$95),Cenários!$B$95:$BI$95,0)-1)/12))</f>
        <v>jan/2027</v>
      </c>
      <c r="E28" s="56" t="str">
        <f aca="false">CHOOSE(MOD(MATCH(MIN(Cenários!$B$141:$BI$141),Cenários!$B$141:$BI$141,0)-1,12)+1,"jan","fev","mar","abr","mai","jun","jul","ago","set","out","nov","dez")&amp;"/"&amp;(2026+INT((MATCH(MIN(Cenários!$B$141:$BI$141),Cenários!$B$141:$BI$141,0)-1)/12))</f>
        <v>jan/2027</v>
      </c>
      <c r="G28" s="51" t="s">
        <v>99</v>
      </c>
    </row>
    <row r="29" customFormat="false" ht="15.75" hidden="false" customHeight="true" outlineLevel="0" collapsed="false">
      <c r="B29" s="49" t="s">
        <v>100</v>
      </c>
      <c r="C29" s="52" t="n">
        <f aca="false">Cenários!$BI$49</f>
        <v>-12172986.5781619</v>
      </c>
      <c r="D29" s="52" t="n">
        <f aca="false">Cenários!$BI$95</f>
        <v>7967323.92982513</v>
      </c>
      <c r="E29" s="52" t="n">
        <f aca="false">Cenários!$BI$141</f>
        <v>87107875.5745014</v>
      </c>
    </row>
    <row r="30" customFormat="false" ht="15.75" hidden="false" customHeight="true" outlineLevel="0" collapsed="false"/>
    <row r="31" customFormat="false" ht="18" hidden="false" customHeight="true" outlineLevel="0" collapsed="false">
      <c r="A31" s="47" t="s">
        <v>101</v>
      </c>
      <c r="B31" s="48"/>
      <c r="C31" s="48"/>
      <c r="D31" s="48"/>
      <c r="E31" s="48"/>
    </row>
    <row r="32" customFormat="false" ht="15.75" hidden="false" customHeight="true" outlineLevel="0" collapsed="false">
      <c r="B32" s="53" t="s">
        <v>102</v>
      </c>
      <c r="C32" s="54" t="n">
        <f aca="false" t="array" ref="C32:C32">NPV(Premissas!$B$19,Cenários!$B$42:$BI$42)</f>
        <v>-5662096.43195254</v>
      </c>
      <c r="D32" s="54" t="n">
        <f aca="false" t="array" ref="D32:D32">NPV(Premissas!$B$19,Cenários!$B$88:$BI$88)</f>
        <v>3051853.84020651</v>
      </c>
      <c r="E32" s="54" t="n">
        <f aca="false" t="array" ref="E32:E32">NPV(Premissas!$B$19,Cenários!$B$134:$BI$134)</f>
        <v>36619446.8654817</v>
      </c>
      <c r="G32" s="51" t="s">
        <v>103</v>
      </c>
    </row>
    <row r="33" customFormat="false" ht="15.75" hidden="false" customHeight="true" outlineLevel="0" collapsed="false">
      <c r="B33" s="49" t="s">
        <v>104</v>
      </c>
      <c r="C33" s="57" t="str">
        <f aca="false">IFERROR(IRR(Cenários!$B$42:$BI$42),"n/d")</f>
        <v>n/d</v>
      </c>
      <c r="D33" s="57" t="n">
        <f aca="false">IFERROR(IRR(Cenários!$B$88:$BI$88),"n/d")</f>
        <v>0.115862173314523</v>
      </c>
      <c r="E33" s="57" t="n">
        <f aca="false">IFERROR(IRR(Cenários!$B$134:$BI$134),"n/d")</f>
        <v>0.395092065594305</v>
      </c>
    </row>
    <row r="34" customFormat="false" ht="15.75" hidden="false" customHeight="true" outlineLevel="0" collapsed="false">
      <c r="B34" s="53" t="s">
        <v>105</v>
      </c>
      <c r="C34" s="58" t="str">
        <f aca="false">IFERROR((1+C33)^12-1,"n/d")</f>
        <v>n/d</v>
      </c>
      <c r="D34" s="58" t="n">
        <f aca="false">IFERROR((1+D33)^12-1,"n/d")</f>
        <v>2.72671917412243</v>
      </c>
      <c r="E34" s="58" t="n">
        <f aca="false">IFERROR((1+E33)^12-1,"n/d")</f>
        <v>53.354364789069</v>
      </c>
      <c r="G34" s="51" t="s">
        <v>106</v>
      </c>
    </row>
    <row r="35" customFormat="false" ht="15.75" hidden="false" customHeight="true" outlineLevel="0" collapsed="false">
      <c r="B35" s="49" t="s">
        <v>107</v>
      </c>
      <c r="C35" s="50" t="str">
        <f aca="false">IF(Cenários!$BI$45&lt;0,"&gt; 60",MAX(Cenários!$B$50:$BI$50)+1)</f>
        <v>&gt; 60</v>
      </c>
      <c r="D35" s="50" t="n">
        <f aca="false">IF(Cenários!$BI$91&lt;0,"&gt; 60",MAX(Cenários!$B$96:$BI$96)+1)</f>
        <v>28</v>
      </c>
      <c r="E35" s="50" t="n">
        <f aca="false">IF(Cenários!$BI$137&lt;0,"&gt; 60",MAX(Cenários!$B$142:$BI$142)+1)</f>
        <v>17</v>
      </c>
      <c r="G35" s="51" t="s">
        <v>108</v>
      </c>
    </row>
    <row r="36" customFormat="false" ht="15.75" hidden="false" customHeight="true" outlineLevel="0" collapsed="false">
      <c r="B36" s="49" t="s">
        <v>109</v>
      </c>
      <c r="C36" s="50" t="str">
        <f aca="false">IF(Cenários!$BI$44&lt;0,"&gt; 60",MAX(Cenários!$B$51:$BI$51)+1)</f>
        <v>&gt; 60</v>
      </c>
      <c r="D36" s="50" t="n">
        <f aca="false">IF(Cenários!$BI$90&lt;0,"&gt; 60",MAX(Cenários!$B$97:$BI$97)+1)</f>
        <v>29</v>
      </c>
      <c r="E36" s="50" t="n">
        <f aca="false">IF(Cenários!$BI$136&lt;0,"&gt; 60",MAX(Cenários!$B$143:$BI$143)+1)</f>
        <v>17</v>
      </c>
      <c r="G36" s="51" t="s">
        <v>110</v>
      </c>
    </row>
    <row r="37" customFormat="false" ht="15.75" hidden="false" customHeight="true" outlineLevel="0" collapsed="false">
      <c r="B37" s="49" t="s">
        <v>111</v>
      </c>
      <c r="C37" s="52" t="n">
        <f aca="false">SUM(Cenários!$B$42:$BI$42)</f>
        <v>-12489986.5781619</v>
      </c>
      <c r="D37" s="52" t="n">
        <f aca="false">SUM(Cenários!$B$88:$BI$88)</f>
        <v>7650323.92982513</v>
      </c>
      <c r="E37" s="52" t="n">
        <f aca="false">SUM(Cenários!$B$134:$BI$134)</f>
        <v>86790875.5745014</v>
      </c>
    </row>
    <row r="38" customFormat="false" ht="15.75" hidden="false" customHeight="true" outlineLevel="0" collapsed="false">
      <c r="B38" s="49" t="s">
        <v>112</v>
      </c>
      <c r="C38" s="59" t="n">
        <f aca="false">IFERROR(C37/C25,0)</f>
        <v>-1</v>
      </c>
      <c r="D38" s="59" t="n">
        <f aca="false">IFERROR(D37/D25,0)</f>
        <v>22.2482322160661</v>
      </c>
      <c r="E38" s="59" t="n">
        <f aca="false">IFERROR(E37/E25,0)</f>
        <v>594.56070577479</v>
      </c>
      <c r="G38" s="51" t="s">
        <v>113</v>
      </c>
    </row>
    <row r="39" customFormat="false" ht="15.75" hidden="false" customHeight="true" outlineLevel="0" collapsed="false"/>
    <row r="40" customFormat="false" ht="18" hidden="false" customHeight="true" outlineLevel="0" collapsed="false">
      <c r="A40" s="47" t="s">
        <v>114</v>
      </c>
      <c r="B40" s="48"/>
      <c r="C40" s="48"/>
      <c r="D40" s="48"/>
      <c r="E40" s="48"/>
    </row>
    <row r="41" customFormat="false" ht="15.75" hidden="false" customHeight="true" outlineLevel="0" collapsed="false">
      <c r="B41" s="60" t="s">
        <v>115</v>
      </c>
      <c r="C41" s="61" t="str">
        <f aca="false">IF(C27&gt;=0,"SIM","NÃO")</f>
        <v>NÃO</v>
      </c>
      <c r="D41" s="61" t="str">
        <f aca="false">IF(D27&gt;=0,"SIM","NÃO")</f>
        <v>NÃO</v>
      </c>
      <c r="E41" s="61" t="str">
        <f aca="false">IF(E27&gt;=0,"SIM","NÃO")</f>
        <v>NÃO</v>
      </c>
    </row>
    <row r="42" customFormat="false" ht="15.75" hidden="false" customHeight="true" outlineLevel="0" collapsed="false">
      <c r="B42" s="60" t="s">
        <v>116</v>
      </c>
      <c r="C42" s="61" t="str">
        <f aca="false">IF(C32&gt;0,"SIM","NÃO")</f>
        <v>NÃO</v>
      </c>
      <c r="D42" s="61" t="str">
        <f aca="false">IF(D32&gt;0,"SIM","NÃO")</f>
        <v>SIM</v>
      </c>
      <c r="E42" s="61" t="str">
        <f aca="false">IF(E32&gt;0,"SIM","NÃO")</f>
        <v>SIM</v>
      </c>
    </row>
    <row r="43" customFormat="false" ht="15.75" hidden="false" customHeight="true" outlineLevel="0" collapsed="false">
      <c r="B43" s="60" t="s">
        <v>117</v>
      </c>
      <c r="C43" s="61" t="str">
        <f aca="false">IF(N(C34)&gt;Premissas!$B$18,"SIM","NÃO")</f>
        <v>NÃO</v>
      </c>
      <c r="D43" s="61" t="str">
        <f aca="false">IF(N(D34)&gt;Premissas!$B$18,"SIM","NÃO")</f>
        <v>SIM</v>
      </c>
      <c r="E43" s="61" t="str">
        <f aca="false">IF(N(E34)&gt;Premissas!$B$18,"SIM","NÃO")</f>
        <v>SIM</v>
      </c>
    </row>
    <row r="44" customFormat="false" ht="15.75" hidden="false" customHeight="true" outlineLevel="0" collapsed="false">
      <c r="B44" s="60" t="s">
        <v>118</v>
      </c>
      <c r="C44" s="61" t="str">
        <f aca="false">IF(AND(ISNUMBER(C36),N(C36)&lt;=Premissas!$B$20),"SIM","NÃO")</f>
        <v>NÃO</v>
      </c>
      <c r="D44" s="61" t="str">
        <f aca="false">IF(AND(ISNUMBER(D36),N(D36)&lt;=Premissas!$B$20),"SIM","NÃO")</f>
        <v>SIM</v>
      </c>
      <c r="E44" s="61" t="str">
        <f aca="false">IF(AND(ISNUMBER(E36),N(E36)&lt;=Premissas!$B$20),"SIM","NÃO")</f>
        <v>SIM</v>
      </c>
    </row>
    <row r="45" customFormat="false" ht="24" hidden="false" customHeight="true" outlineLevel="0" collapsed="false">
      <c r="B45" s="62" t="s">
        <v>119</v>
      </c>
      <c r="C45" s="63" t="str">
        <f aca="false">IF(COUNTIF(C41:C44,"SIM")=4,"GO — VIÁVEL",IF(COUNTIF(C41:C44,"SIM")&gt;=2,"GO COM RESSALVAS","NO GO — INVIÁVEL"))</f>
        <v>NO GO — INVIÁVEL</v>
      </c>
      <c r="D45" s="64" t="str">
        <f aca="false">IF(COUNTIF(D41:D44,"SIM")=4,"GO — VIÁVEL",IF(COUNTIF(D41:D44,"SIM")&gt;=2,"GO COM RESSALVAS","NO GO — INVIÁVEL"))</f>
        <v>GO COM RESSALVAS</v>
      </c>
      <c r="E45" s="65" t="str">
        <f aca="false">IF(COUNTIF(E41:E44,"SIM")=4,"GO — VIÁVEL",IF(COUNTIF(E41:E44,"SIM")&gt;=2,"GO COM RESSALVAS","NO GO — INVIÁVEL"))</f>
        <v>GO COM RESSALVAS</v>
      </c>
      <c r="G45" s="51"/>
    </row>
    <row r="46" customFormat="false" ht="15.75" hidden="false" customHeight="true" outlineLevel="0" collapsed="false"/>
    <row r="47" customFormat="false" ht="18" hidden="false" customHeight="true" outlineLevel="0" collapsed="false">
      <c r="A47" s="47" t="s">
        <v>120</v>
      </c>
      <c r="B47" s="48"/>
      <c r="C47" s="48"/>
      <c r="D47" s="48"/>
      <c r="E47" s="48"/>
    </row>
    <row r="48" customFormat="false" ht="15.75" hidden="false" customHeight="true" outlineLevel="0" collapsed="false">
      <c r="B48" s="60" t="s">
        <v>121</v>
      </c>
      <c r="C48" s="66" t="n">
        <f aca="false">Usuários!$BI$29</f>
        <v>502.54257562476</v>
      </c>
      <c r="D48" s="66"/>
      <c r="E48" s="66"/>
    </row>
    <row r="49" customFormat="false" ht="15.75" hidden="false" customHeight="true" outlineLevel="0" collapsed="false">
      <c r="B49" s="60" t="s">
        <v>122</v>
      </c>
      <c r="C49" s="66" t="n">
        <f aca="false">Usuários!$BI$25</f>
        <v>77.6984699924295</v>
      </c>
      <c r="D49" s="66"/>
      <c r="E49" s="66"/>
    </row>
    <row r="50" customFormat="false" ht="15.75" hidden="false" customHeight="true" outlineLevel="0" collapsed="false">
      <c r="B50" s="60" t="s">
        <v>123</v>
      </c>
      <c r="C50" s="67" t="n">
        <f aca="false">Usuários!$BI$30</f>
        <v>6.46785677599218</v>
      </c>
      <c r="D50" s="67"/>
      <c r="E50" s="67"/>
      <c r="G50" s="51" t="s">
        <v>124</v>
      </c>
    </row>
    <row r="51" customFormat="false" ht="15.75" hidden="false" customHeight="true" outlineLevel="0" collapsed="false">
      <c r="B51" s="60" t="s">
        <v>125</v>
      </c>
      <c r="C51" s="68" t="n">
        <f aca="false">Usuários!$BI$31</f>
        <v>2.47535906233152</v>
      </c>
      <c r="D51" s="68"/>
      <c r="E51" s="68"/>
      <c r="G51" s="51" t="s">
        <v>126</v>
      </c>
    </row>
    <row r="52" customFormat="false" ht="15.75" hidden="false" customHeight="true" outlineLevel="0" collapsed="false">
      <c r="B52" s="60" t="s">
        <v>127</v>
      </c>
      <c r="C52" s="66" t="n">
        <f aca="false">Usuários!$BI$26</f>
        <v>86.192</v>
      </c>
      <c r="D52" s="66"/>
      <c r="E52" s="66"/>
    </row>
    <row r="53" customFormat="false" ht="15.75" hidden="false" customHeight="true" outlineLevel="0" collapsed="false">
      <c r="B53" s="60" t="s">
        <v>128</v>
      </c>
      <c r="C53" s="69" t="n">
        <f aca="false">Usuários!$M$36</f>
        <v>3.00685067920673</v>
      </c>
      <c r="D53" s="69"/>
      <c r="E53" s="69"/>
    </row>
    <row r="54" customFormat="false" ht="15.75" hidden="false" customHeight="true" outlineLevel="0" collapsed="false">
      <c r="B54" s="60" t="s">
        <v>129</v>
      </c>
      <c r="C54" s="70" t="n">
        <f aca="false">Usuários!$BI$19</f>
        <v>50</v>
      </c>
      <c r="D54" s="70"/>
      <c r="E54" s="70"/>
      <c r="G54" s="51" t="s">
        <v>130</v>
      </c>
    </row>
    <row r="55" customFormat="false" ht="15.75" hidden="false" customHeight="true" outlineLevel="0" collapsed="false"/>
    <row r="56" customFormat="false" ht="18" hidden="false" customHeight="true" outlineLevel="0" collapsed="false">
      <c r="A56" s="47" t="s">
        <v>131</v>
      </c>
      <c r="B56" s="48"/>
      <c r="C56" s="48"/>
      <c r="D56" s="48"/>
      <c r="E56" s="48"/>
      <c r="F56" s="48"/>
      <c r="G56" s="48"/>
      <c r="H56" s="48"/>
    </row>
    <row r="57" customFormat="false" ht="15.75" hidden="false" customHeight="true" outlineLevel="0" collapsed="false">
      <c r="B57" s="71" t="s">
        <v>132</v>
      </c>
    </row>
    <row r="58" customFormat="false" ht="42" hidden="false" customHeight="true" outlineLevel="0" collapsed="false">
      <c r="B58" s="72" t="s">
        <v>133</v>
      </c>
      <c r="C58" s="72"/>
      <c r="D58" s="72"/>
      <c r="E58" s="72"/>
      <c r="F58" s="72"/>
      <c r="G58" s="72"/>
    </row>
    <row r="59" customFormat="false" ht="15.75" hidden="false" customHeight="true" outlineLevel="0" collapsed="false">
      <c r="B59" s="71" t="s">
        <v>134</v>
      </c>
    </row>
    <row r="60" customFormat="false" ht="42" hidden="false" customHeight="true" outlineLevel="0" collapsed="false">
      <c r="B60" s="72" t="s">
        <v>135</v>
      </c>
      <c r="C60" s="72"/>
      <c r="D60" s="72"/>
      <c r="E60" s="72"/>
      <c r="F60" s="72"/>
      <c r="G60" s="72"/>
    </row>
    <row r="61" customFormat="false" ht="15.75" hidden="false" customHeight="true" outlineLevel="0" collapsed="false">
      <c r="B61" s="71" t="s">
        <v>136</v>
      </c>
    </row>
    <row r="62" customFormat="false" ht="42" hidden="false" customHeight="true" outlineLevel="0" collapsed="false">
      <c r="B62" s="72" t="s">
        <v>137</v>
      </c>
      <c r="C62" s="72"/>
      <c r="D62" s="72"/>
      <c r="E62" s="72"/>
      <c r="F62" s="72"/>
      <c r="G62" s="72"/>
    </row>
    <row r="63" customFormat="false" ht="15.75" hidden="false" customHeight="true" outlineLevel="0" collapsed="false">
      <c r="B63" s="71" t="s">
        <v>138</v>
      </c>
    </row>
    <row r="64" customFormat="false" ht="42" hidden="false" customHeight="true" outlineLevel="0" collapsed="false">
      <c r="B64" s="72" t="s">
        <v>139</v>
      </c>
      <c r="C64" s="72"/>
      <c r="D64" s="72"/>
      <c r="E64" s="72"/>
      <c r="F64" s="72"/>
      <c r="G64" s="72"/>
    </row>
    <row r="65" customFormat="false" ht="15.75" hidden="false" customHeight="true" outlineLevel="0" collapsed="false">
      <c r="B65" s="71" t="s">
        <v>140</v>
      </c>
    </row>
    <row r="66" customFormat="false" ht="42" hidden="false" customHeight="true" outlineLevel="0" collapsed="false">
      <c r="B66" s="72" t="s">
        <v>141</v>
      </c>
      <c r="C66" s="72"/>
      <c r="D66" s="72"/>
      <c r="E66" s="72"/>
      <c r="F66" s="72"/>
      <c r="G66" s="72"/>
    </row>
    <row r="67" customFormat="false" ht="15.75" hidden="false" customHeight="true" outlineLevel="0" collapsed="false">
      <c r="B67" s="71" t="s">
        <v>142</v>
      </c>
    </row>
    <row r="68" customFormat="false" ht="42" hidden="false" customHeight="true" outlineLevel="0" collapsed="false">
      <c r="B68" s="72" t="s">
        <v>143</v>
      </c>
      <c r="C68" s="72"/>
      <c r="D68" s="72"/>
      <c r="E68" s="72"/>
      <c r="F68" s="72"/>
      <c r="G68" s="72"/>
    </row>
    <row r="69" customFormat="false" ht="15.75" hidden="false" customHeight="true" outlineLevel="0" collapsed="false">
      <c r="B69" s="71" t="s">
        <v>144</v>
      </c>
    </row>
    <row r="70" customFormat="false" ht="42" hidden="false" customHeight="true" outlineLevel="0" collapsed="false">
      <c r="B70" s="72" t="s">
        <v>145</v>
      </c>
      <c r="C70" s="72"/>
      <c r="D70" s="72"/>
      <c r="E70" s="72"/>
      <c r="F70" s="72"/>
      <c r="G70" s="72"/>
    </row>
    <row r="71" customFormat="false" ht="15.75" hidden="false" customHeight="true" outlineLevel="0" collapsed="false">
      <c r="B71" s="71" t="s">
        <v>146</v>
      </c>
    </row>
    <row r="72" customFormat="false" ht="42" hidden="false" customHeight="true" outlineLevel="0" collapsed="false">
      <c r="B72" s="72" t="s">
        <v>147</v>
      </c>
      <c r="C72" s="72"/>
      <c r="D72" s="72"/>
      <c r="E72" s="72"/>
      <c r="F72" s="72"/>
      <c r="G72" s="72"/>
    </row>
    <row r="73" customFormat="false" ht="15.75" hidden="false" customHeight="true" outlineLevel="0" collapsed="false">
      <c r="B73" s="71" t="s">
        <v>148</v>
      </c>
    </row>
    <row r="74" customFormat="false" ht="42" hidden="false" customHeight="true" outlineLevel="0" collapsed="false">
      <c r="B74" s="72" t="s">
        <v>149</v>
      </c>
      <c r="C74" s="72"/>
      <c r="D74" s="72"/>
      <c r="E74" s="72"/>
      <c r="F74" s="72"/>
      <c r="G74" s="72"/>
    </row>
    <row r="75" customFormat="false" ht="15.75" hidden="false" customHeight="true" outlineLevel="0" collapsed="false">
      <c r="B75" s="71" t="s">
        <v>150</v>
      </c>
    </row>
    <row r="76" customFormat="false" ht="42" hidden="false" customHeight="true" outlineLevel="0" collapsed="false">
      <c r="B76" s="72" t="s">
        <v>151</v>
      </c>
      <c r="C76" s="72"/>
      <c r="D76" s="72"/>
      <c r="E76" s="72"/>
      <c r="F76" s="72"/>
      <c r="G76" s="72"/>
    </row>
    <row r="77" customFormat="false" ht="15.75" hidden="false" customHeight="true" outlineLevel="0" collapsed="false">
      <c r="B77" s="71" t="s">
        <v>152</v>
      </c>
    </row>
    <row r="78" customFormat="false" ht="42" hidden="false" customHeight="true" outlineLevel="0" collapsed="false">
      <c r="B78" s="72" t="s">
        <v>153</v>
      </c>
      <c r="C78" s="72"/>
      <c r="D78" s="72"/>
      <c r="E78" s="72"/>
      <c r="F78" s="72"/>
      <c r="G78" s="72"/>
    </row>
    <row r="79" customFormat="false" ht="15.75" hidden="false" customHeight="true" outlineLevel="0" collapsed="false">
      <c r="B79" s="71" t="s">
        <v>154</v>
      </c>
    </row>
    <row r="80" customFormat="false" ht="42" hidden="false" customHeight="true" outlineLevel="0" collapsed="false">
      <c r="B80" s="72" t="s">
        <v>155</v>
      </c>
      <c r="C80" s="72"/>
      <c r="D80" s="72"/>
      <c r="E80" s="72"/>
      <c r="F80" s="72"/>
      <c r="G80" s="72"/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9">
    <mergeCell ref="C48:E48"/>
    <mergeCell ref="C49:E49"/>
    <mergeCell ref="C50:E50"/>
    <mergeCell ref="C51:E51"/>
    <mergeCell ref="C52:E52"/>
    <mergeCell ref="C53:E53"/>
    <mergeCell ref="C54:E54"/>
    <mergeCell ref="B58:G58"/>
    <mergeCell ref="B60:G60"/>
    <mergeCell ref="B62:G62"/>
    <mergeCell ref="B64:G64"/>
    <mergeCell ref="B66:G66"/>
    <mergeCell ref="B68:G68"/>
    <mergeCell ref="B70:G70"/>
    <mergeCell ref="B72:G72"/>
    <mergeCell ref="B74:G74"/>
    <mergeCell ref="B76:G76"/>
    <mergeCell ref="B78:G78"/>
    <mergeCell ref="B80:G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7"/>
    <col collapsed="false" customWidth="true" hidden="false" outlineLevel="0" max="6" min="6" style="0" width="3"/>
    <col collapsed="false" customWidth="true" hidden="false" outlineLevel="0" max="14" min="7" style="0" width="9"/>
  </cols>
  <sheetData>
    <row r="1" customFormat="false" ht="25.5" hidden="false" customHeight="true" outlineLevel="0" collapsed="false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.75" hidden="false" customHeight="true" outlineLevel="0" collapsed="false">
      <c r="A2" s="3" t="s">
        <v>157</v>
      </c>
    </row>
    <row r="3" customFormat="false" ht="15" hidden="false" customHeight="true" outlineLevel="0" collapsed="false">
      <c r="A3" s="73" t="str">
        <f aca="false">" Cenário ativo: "&amp;Premissas!$B$6&amp;"   ·   todos os valores em R$ por assinante por mês, salvo onde indicado"</f>
        <v> Cenário ativo: 2   ·   todos os valores em R$ por assinante por mês, salvo onde indicado</v>
      </c>
    </row>
    <row r="5" customFormat="false" ht="18" hidden="false" customHeight="true" outlineLevel="0" collapsed="false">
      <c r="A5" s="74" t="s">
        <v>158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</row>
    <row r="6" customFormat="false" ht="33" hidden="false" customHeight="true" outlineLevel="0" collapsed="false">
      <c r="A6" s="6" t="s">
        <v>159</v>
      </c>
      <c r="B6" s="76" t="n">
        <f aca="false">Premissas!$B$14</f>
        <v>12</v>
      </c>
      <c r="C6" s="76" t="n">
        <f aca="false">MIN(60,Premissas!$B$14+6)</f>
        <v>18</v>
      </c>
      <c r="D6" s="76" t="n">
        <f aca="false">MIN(60,Premissas!$B$14+12)</f>
        <v>24</v>
      </c>
      <c r="E6" s="76" t="n">
        <f aca="false">60</f>
        <v>60</v>
      </c>
      <c r="G6" s="77" t="s">
        <v>160</v>
      </c>
      <c r="H6" s="77"/>
      <c r="I6" s="77"/>
      <c r="J6" s="77"/>
      <c r="K6" s="77"/>
      <c r="L6" s="77"/>
      <c r="M6" s="77"/>
      <c r="N6" s="77"/>
    </row>
    <row r="7" customFormat="false" ht="15" hidden="false" customHeight="false" outlineLevel="0" collapsed="false">
      <c r="A7" s="53" t="s">
        <v>161</v>
      </c>
      <c r="B7" s="78" t="n">
        <f aca="false">INDEX(Cenários!$B$4:$BI$4,B$6)</f>
        <v>46357</v>
      </c>
      <c r="C7" s="78" t="n">
        <f aca="false">INDEX(Cenários!$B$4:$BI$4,C$6)</f>
        <v>46539</v>
      </c>
      <c r="D7" s="78" t="n">
        <f aca="false">INDEX(Cenários!$B$4:$BI$4,D$6)</f>
        <v>46722</v>
      </c>
      <c r="E7" s="78" t="n">
        <f aca="false">INDEX(Cenários!$B$4:$BI$4,E$6)</f>
        <v>47818</v>
      </c>
    </row>
    <row r="8" customFormat="false" ht="15" hidden="false" customHeight="false" outlineLevel="0" collapsed="false">
      <c r="A8" s="79" t="s">
        <v>162</v>
      </c>
      <c r="B8" s="80" t="n">
        <f aca="false">CHOOSE(Premissas!$B$6,INDEX(Cenários!$B$13:$BI$13,B$6),INDEX(Cenários!$B$59:$BI$59,B$6),INDEX(Cenários!$B$105:$BI$105,B$6))</f>
        <v>18100</v>
      </c>
      <c r="C8" s="80" t="n">
        <f aca="false">CHOOSE(Premissas!$B$6,INDEX(Cenários!$B$13:$BI$13,C$6),INDEX(Cenários!$B$59:$BI$59,C$6),INDEX(Cenários!$B$105:$BI$105,C$6))</f>
        <v>146500.548287081</v>
      </c>
      <c r="D8" s="80" t="n">
        <f aca="false">CHOOSE(Premissas!$B$6,INDEX(Cenários!$B$13:$BI$13,D$6),INDEX(Cenários!$B$59:$BI$59,D$6),INDEX(Cenários!$B$105:$BI$105,D$6))</f>
        <v>226826.116187584</v>
      </c>
      <c r="E8" s="80" t="n">
        <f aca="false">CHOOSE(Premissas!$B$6,INDEX(Cenários!$B$13:$BI$13,E$6),INDEX(Cenários!$B$59:$BI$59,E$6),INDEX(Cenários!$B$105:$BI$105,E$6))</f>
        <v>1115800.66460352</v>
      </c>
    </row>
    <row r="9" customFormat="false" ht="22.5" hidden="false" customHeight="true" outlineLevel="0" collapsed="false">
      <c r="A9" s="81" t="s">
        <v>163</v>
      </c>
      <c r="B9" s="82" t="n">
        <f aca="false">CHOOSE(Premissas!$B$6,INDEX(Cenários!$B$15:$BI$15,B$6),INDEX(Cenários!$B$61:$BI$61,B$6),INDEX(Cenários!$B$107:$BI$107,B$6))</f>
        <v>90</v>
      </c>
      <c r="C9" s="82" t="n">
        <f aca="false">CHOOSE(Premissas!$B$6,INDEX(Cenários!$B$15:$BI$15,C$6),INDEX(Cenários!$B$61:$BI$61,C$6),INDEX(Cenários!$B$107:$BI$107,C$6))</f>
        <v>4527</v>
      </c>
      <c r="D9" s="82" t="n">
        <f aca="false">CHOOSE(Premissas!$B$6,INDEX(Cenários!$B$15:$BI$15,D$6),INDEX(Cenários!$B$61:$BI$61,D$6),INDEX(Cenários!$B$107:$BI$107,D$6))</f>
        <v>7009</v>
      </c>
      <c r="E9" s="82" t="n">
        <f aca="false">CHOOSE(Premissas!$B$6,INDEX(Cenários!$B$15:$BI$15,E$6),INDEX(Cenários!$B$61:$BI$61,E$6),INDEX(Cenários!$B$107:$BI$107,E$6))</f>
        <v>37675</v>
      </c>
      <c r="G9" s="77" t="s">
        <v>164</v>
      </c>
      <c r="H9" s="77"/>
      <c r="I9" s="77"/>
      <c r="J9" s="77"/>
      <c r="K9" s="77"/>
      <c r="L9" s="77"/>
      <c r="M9" s="77"/>
      <c r="N9" s="77"/>
    </row>
    <row r="10" customFormat="false" ht="15" hidden="false" customHeight="false" outlineLevel="0" collapsed="false">
      <c r="A10" s="79" t="s">
        <v>165</v>
      </c>
      <c r="B10" s="83" t="n">
        <f aca="false">CHOOSE(Premissas!$B$6,INDEX(Cenários!$B$23:$BI$23,B$6),INDEX(Cenários!$B$69:$BI$69,B$6),INDEX(Cenários!$B$115:$BI$115,B$6))</f>
        <v>7191</v>
      </c>
      <c r="C10" s="83" t="n">
        <f aca="false">CHOOSE(Premissas!$B$6,INDEX(Cenários!$B$23:$BI$23,C$6),INDEX(Cenários!$B$69:$BI$69,C$6),INDEX(Cenários!$B$115:$BI$115,C$6))</f>
        <v>361707.3</v>
      </c>
      <c r="D10" s="83" t="n">
        <f aca="false">CHOOSE(Premissas!$B$6,INDEX(Cenários!$B$23:$BI$23,D$6),INDEX(Cenários!$B$69:$BI$69,D$6),INDEX(Cenários!$B$115:$BI$115,D$6))</f>
        <v>560019.1</v>
      </c>
      <c r="E10" s="83" t="n">
        <f aca="false">CHOOSE(Premissas!$B$6,INDEX(Cenários!$B$23:$BI$23,E$6),INDEX(Cenários!$B$69:$BI$69,E$6),INDEX(Cenários!$B$115:$BI$115,E$6))</f>
        <v>3247283.6</v>
      </c>
    </row>
    <row r="11" customFormat="false" ht="15" hidden="false" customHeight="true" outlineLevel="0" collapsed="false">
      <c r="A11" s="53" t="s">
        <v>166</v>
      </c>
      <c r="B11" s="84" t="n">
        <f aca="false">IFERROR(CHOOSE(Premissas!$B$6,INDEX(Cenários!$B$23:$BI$23,B$6),INDEX(Cenários!$B$69:$BI$69,B$6),INDEX(Cenários!$B$115:$BI$115,B$6))/B$9,0)</f>
        <v>79.9</v>
      </c>
      <c r="C11" s="84" t="n">
        <f aca="false">IFERROR(CHOOSE(Premissas!$B$6,INDEX(Cenários!$B$23:$BI$23,C$6),INDEX(Cenários!$B$69:$BI$69,C$6),INDEX(Cenários!$B$115:$BI$115,C$6))/C$9,0)</f>
        <v>79.9</v>
      </c>
      <c r="D11" s="84" t="n">
        <f aca="false">IFERROR(CHOOSE(Premissas!$B$6,INDEX(Cenários!$B$23:$BI$23,D$6),INDEX(Cenários!$B$69:$BI$69,D$6),INDEX(Cenários!$B$115:$BI$115,D$6))/D$9,0)</f>
        <v>79.9</v>
      </c>
      <c r="E11" s="84" t="n">
        <f aca="false">IFERROR(CHOOSE(Premissas!$B$6,INDEX(Cenários!$B$23:$BI$23,E$6),INDEX(Cenários!$B$69:$BI$69,E$6),INDEX(Cenários!$B$115:$BI$115,E$6))/E$9,0)</f>
        <v>86.192</v>
      </c>
      <c r="G11" s="77" t="s">
        <v>167</v>
      </c>
      <c r="H11" s="77"/>
      <c r="I11" s="77"/>
      <c r="J11" s="77"/>
      <c r="K11" s="77"/>
      <c r="L11" s="77"/>
      <c r="M11" s="77"/>
      <c r="N11" s="77"/>
    </row>
    <row r="13" customFormat="false" ht="18" hidden="false" customHeight="true" outlineLevel="0" collapsed="false">
      <c r="A13" s="74" t="s">
        <v>168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</row>
    <row r="14" customFormat="false" ht="33" hidden="false" customHeight="true" outlineLevel="0" collapsed="false">
      <c r="A14" s="6" t="s">
        <v>169</v>
      </c>
      <c r="B14" s="85" t="n">
        <f aca="false">INDEX(Premissas!$C$93:$G$93,INDEX(Cenários!$B$7:$BI$7,B$6))</f>
        <v>32</v>
      </c>
      <c r="C14" s="85" t="n">
        <f aca="false">INDEX(Premissas!$C$93:$G$93,INDEX(Cenários!$B$7:$BI$7,C$6))</f>
        <v>31.9</v>
      </c>
      <c r="D14" s="85" t="n">
        <f aca="false">INDEX(Premissas!$C$93:$G$93,INDEX(Cenários!$B$7:$BI$7,D$6))</f>
        <v>31.9</v>
      </c>
      <c r="E14" s="85" t="n">
        <f aca="false">INDEX(Premissas!$C$93:$G$93,INDEX(Cenários!$B$7:$BI$7,E$6))</f>
        <v>31.9</v>
      </c>
      <c r="G14" s="77" t="s">
        <v>170</v>
      </c>
      <c r="H14" s="77"/>
      <c r="I14" s="77"/>
      <c r="J14" s="77"/>
      <c r="K14" s="77"/>
      <c r="L14" s="77"/>
      <c r="M14" s="77"/>
      <c r="N14" s="77"/>
    </row>
    <row r="15" customFormat="false" ht="15" hidden="false" customHeight="true" outlineLevel="0" collapsed="false">
      <c r="A15" s="6" t="s">
        <v>171</v>
      </c>
      <c r="B15" s="85" t="n">
        <f aca="false">IFERROR((CHOOSE(Premissas!$B$6,INDEX(Cenários!$B$13:$BI$13,B$6),INDEX(Cenários!$B$59:$BI$59,B$6),INDEX(Cenários!$B$105:$BI$105,B$6))-B$9)*INDEX(Premissas!$C$94:$G$94,INDEX(Cenários!$B$7:$BI$7,B$6))/B$9,0)</f>
        <v>4.00222222222222</v>
      </c>
      <c r="C15" s="85" t="n">
        <f aca="false">IFERROR((CHOOSE(Premissas!$B$6,INDEX(Cenários!$B$13:$BI$13,C$6),INDEX(Cenários!$B$59:$BI$59,C$6),INDEX(Cenários!$B$105:$BI$105,C$6))-C$9)*INDEX(Premissas!$C$94:$G$94,INDEX(Cenários!$B$7:$BI$7,C$6))/C$9,0)</f>
        <v>0.627230166940935</v>
      </c>
      <c r="D15" s="85" t="n">
        <f aca="false">IFERROR((CHOOSE(Premissas!$B$6,INDEX(Cenários!$B$13:$BI$13,D$6),INDEX(Cenários!$B$59:$BI$59,D$6),INDEX(Cenários!$B$105:$BI$105,D$6))-D$9)*INDEX(Premissas!$C$94:$G$94,INDEX(Cenários!$B$7:$BI$7,D$6))/D$9,0)</f>
        <v>0.627242448816047</v>
      </c>
      <c r="E15" s="85" t="n">
        <f aca="false">IFERROR((CHOOSE(Premissas!$B$6,INDEX(Cenários!$B$13:$BI$13,E$6),INDEX(Cenários!$B$59:$BI$59,E$6),INDEX(Cenários!$B$105:$BI$105,E$6))-E$9)*INDEX(Premissas!$C$94:$G$94,INDEX(Cenários!$B$7:$BI$7,E$6))/E$9,0)</f>
        <v>0.429247112649045</v>
      </c>
      <c r="G15" s="77" t="s">
        <v>172</v>
      </c>
      <c r="H15" s="77"/>
      <c r="I15" s="77"/>
      <c r="J15" s="77"/>
      <c r="K15" s="77"/>
      <c r="L15" s="77"/>
      <c r="M15" s="77"/>
      <c r="N15" s="77"/>
    </row>
    <row r="16" customFormat="false" ht="15" hidden="false" customHeight="false" outlineLevel="0" collapsed="false">
      <c r="A16" s="6" t="s">
        <v>173</v>
      </c>
      <c r="B16" s="85" t="n">
        <f aca="false">IFERROR(CHOOSE(Premissas!$B$6,INDEX(Cenários!$B$19:$BI$19,B$6),INDEX(Cenários!$B$65:$BI$65,B$6),INDEX(Cenários!$B$111:$BI$111,B$6))*Premissas!$B$69/B$9,0)</f>
        <v>0</v>
      </c>
      <c r="C16" s="85" t="n">
        <f aca="false">IFERROR(CHOOSE(Premissas!$B$6,INDEX(Cenários!$B$19:$BI$19,C$6),INDEX(Cenários!$B$65:$BI$65,C$6),INDEX(Cenários!$B$111:$BI$111,C$6))*Premissas!$B$69/C$9,0)</f>
        <v>1.61808040645019</v>
      </c>
      <c r="D16" s="85" t="n">
        <f aca="false">IFERROR(CHOOSE(Premissas!$B$6,INDEX(Cenários!$B$19:$BI$19,D$6),INDEX(Cenários!$B$65:$BI$65,D$6),INDEX(Cenários!$B$111:$BI$111,D$6))*Premissas!$B$69/D$9,0)</f>
        <v>1.61810529319446</v>
      </c>
      <c r="E16" s="85" t="n">
        <f aca="false">IFERROR(CHOOSE(Premissas!$B$6,INDEX(Cenários!$B$19:$BI$19,E$6),INDEX(Cenários!$B$65:$BI$65,E$6),INDEX(Cenários!$B$111:$BI$111,E$6))*Premissas!$B$69/E$9,0)</f>
        <v>1.48082415394824</v>
      </c>
    </row>
    <row r="17" customFormat="false" ht="15" hidden="false" customHeight="false" outlineLevel="0" collapsed="false">
      <c r="A17" s="6" t="s">
        <v>174</v>
      </c>
      <c r="B17" s="85" t="n">
        <f aca="false">INDEX(Premissas!$C$95:$G$95,INDEX(Cenários!$B$7:$BI$7,B$6))</f>
        <v>0.35</v>
      </c>
      <c r="C17" s="85" t="n">
        <f aca="false">INDEX(Premissas!$C$95:$G$95,INDEX(Cenários!$B$7:$BI$7,C$6))</f>
        <v>0.35</v>
      </c>
      <c r="D17" s="85" t="n">
        <f aca="false">INDEX(Premissas!$C$95:$G$95,INDEX(Cenários!$B$7:$BI$7,D$6))</f>
        <v>0.35</v>
      </c>
      <c r="E17" s="85" t="n">
        <f aca="false">INDEX(Premissas!$C$95:$G$95,INDEX(Cenários!$B$7:$BI$7,E$6))</f>
        <v>0.25</v>
      </c>
    </row>
    <row r="18" customFormat="false" ht="22.5" hidden="false" customHeight="true" outlineLevel="0" collapsed="false">
      <c r="A18" s="86" t="s">
        <v>175</v>
      </c>
      <c r="B18" s="87" t="n">
        <f aca="false">IFERROR((1-INDEX(Premissas!$C$59:$G$59,INDEX(Cenários!$B$7:$BI$7,B$6)))*CHOOSE(Premissas!$B$6,INDEX(Premissas!$C$56:$G$56,INDEX(Cenários!$B$7:$BI$7,B$6)),INDEX(Premissas!$C$57:$G$57,INDEX(Cenários!$B$7:$BI$7,B$6)),INDEX(Premissas!$C$58:$G$58,INDEX(Cenários!$B$7:$BI$7,B$6)))/CHOOSE(Premissas!$B$6,INDEX(Premissas!$C$52:$G$52,INDEX(Cenários!$B$7:$BI$7,B$6)),INDEX(Premissas!$C$53:$G$53,INDEX(Cenários!$B$7:$BI$7,B$6)),INDEX(Premissas!$C$54:$G$54,INDEX(Cenários!$B$7:$BI$7,B$6))),0)</f>
        <v>58.3333333333333</v>
      </c>
      <c r="C18" s="87" t="n">
        <f aca="false">IFERROR((1-INDEX(Premissas!$C$59:$G$59,INDEX(Cenários!$B$7:$BI$7,C$6)))*CHOOSE(Premissas!$B$6,INDEX(Premissas!$C$56:$G$56,INDEX(Cenários!$B$7:$BI$7,C$6)),INDEX(Premissas!$C$57:$G$57,INDEX(Cenários!$B$7:$BI$7,C$6)),INDEX(Premissas!$C$58:$G$58,INDEX(Cenários!$B$7:$BI$7,C$6)))/CHOOSE(Premissas!$B$6,INDEX(Premissas!$C$52:$G$52,INDEX(Cenários!$B$7:$BI$7,C$6)),INDEX(Premissas!$C$53:$G$53,INDEX(Cenários!$B$7:$BI$7,C$6)),INDEX(Premissas!$C$54:$G$54,INDEX(Cenários!$B$7:$BI$7,C$6))),0)</f>
        <v>63.2686084142395</v>
      </c>
      <c r="D18" s="87" t="n">
        <f aca="false">IFERROR((1-INDEX(Premissas!$C$59:$G$59,INDEX(Cenários!$B$7:$BI$7,D$6)))*CHOOSE(Premissas!$B$6,INDEX(Premissas!$C$56:$G$56,INDEX(Cenários!$B$7:$BI$7,D$6)),INDEX(Premissas!$C$57:$G$57,INDEX(Cenários!$B$7:$BI$7,D$6)),INDEX(Premissas!$C$58:$G$58,INDEX(Cenários!$B$7:$BI$7,D$6)))/CHOOSE(Premissas!$B$6,INDEX(Premissas!$C$52:$G$52,INDEX(Cenários!$B$7:$BI$7,D$6)),INDEX(Premissas!$C$53:$G$53,INDEX(Cenários!$B$7:$BI$7,D$6)),INDEX(Premissas!$C$54:$G$54,INDEX(Cenários!$B$7:$BI$7,D$6))),0)</f>
        <v>63.2686084142395</v>
      </c>
      <c r="E18" s="87" t="n">
        <f aca="false">IFERROR((1-INDEX(Premissas!$C$59:$G$59,INDEX(Cenários!$B$7:$BI$7,E$6)))*CHOOSE(Premissas!$B$6,INDEX(Premissas!$C$56:$G$56,INDEX(Cenários!$B$7:$BI$7,E$6)),INDEX(Premissas!$C$57:$G$57,INDEX(Cenários!$B$7:$BI$7,E$6)),INDEX(Premissas!$C$58:$G$58,INDEX(Cenários!$B$7:$BI$7,E$6)))/CHOOSE(Premissas!$B$6,INDEX(Premissas!$C$52:$G$52,INDEX(Cenários!$B$7:$BI$7,E$6)),INDEX(Premissas!$C$53:$G$53,INDEX(Cenários!$B$7:$BI$7,E$6)),INDEX(Premissas!$C$54:$G$54,INDEX(Cenários!$B$7:$BI$7,E$6))),0)</f>
        <v>77.6984699924295</v>
      </c>
      <c r="G18" s="77" t="s">
        <v>176</v>
      </c>
      <c r="H18" s="77"/>
      <c r="I18" s="77"/>
      <c r="J18" s="77"/>
      <c r="K18" s="77"/>
      <c r="L18" s="77"/>
      <c r="M18" s="77"/>
      <c r="N18" s="77"/>
    </row>
    <row r="19" customFormat="false" ht="22.5" hidden="false" customHeight="true" outlineLevel="0" collapsed="false">
      <c r="A19" s="6" t="s">
        <v>177</v>
      </c>
      <c r="B19" s="85" t="n">
        <f aca="false">B18*CHOOSE(Premissas!$B$6,INDEX(Premissas!$C$48:$G$48,INDEX(Cenários!$B$7:$BI$7,B$6)),INDEX(Premissas!$C$49:$G$49,INDEX(Cenários!$B$7:$BI$7,B$6)),INDEX(Premissas!$C$50:$G$50,INDEX(Cenários!$B$7:$BI$7,B$6)))</f>
        <v>4.66666666666667</v>
      </c>
      <c r="C19" s="85" t="n">
        <f aca="false">C18*CHOOSE(Premissas!$B$6,INDEX(Premissas!$C$48:$G$48,INDEX(Cenários!$B$7:$BI$7,C$6)),INDEX(Premissas!$C$49:$G$49,INDEX(Cenários!$B$7:$BI$7,C$6)),INDEX(Premissas!$C$50:$G$50,INDEX(Cenários!$B$7:$BI$7,C$6)))</f>
        <v>4.75779935275081</v>
      </c>
      <c r="D19" s="85" t="n">
        <f aca="false">D18*CHOOSE(Premissas!$B$6,INDEX(Premissas!$C$48:$G$48,INDEX(Cenários!$B$7:$BI$7,D$6)),INDEX(Premissas!$C$49:$G$49,INDEX(Cenários!$B$7:$BI$7,D$6)),INDEX(Premissas!$C$50:$G$50,INDEX(Cenários!$B$7:$BI$7,D$6)))</f>
        <v>4.75779935275081</v>
      </c>
      <c r="E19" s="85" t="n">
        <f aca="false">E18*CHOOSE(Premissas!$B$6,INDEX(Premissas!$C$48:$G$48,INDEX(Cenários!$B$7:$BI$7,E$6)),INDEX(Premissas!$C$49:$G$49,INDEX(Cenários!$B$7:$BI$7,E$6)),INDEX(Premissas!$C$50:$G$50,INDEX(Cenários!$B$7:$BI$7,E$6)))</f>
        <v>4.85303997121444</v>
      </c>
      <c r="G19" s="77" t="s">
        <v>178</v>
      </c>
      <c r="H19" s="77"/>
      <c r="I19" s="77"/>
      <c r="J19" s="77"/>
      <c r="K19" s="77"/>
      <c r="L19" s="77"/>
      <c r="M19" s="77"/>
      <c r="N19" s="77"/>
    </row>
    <row r="20" customFormat="false" ht="15" hidden="false" customHeight="false" outlineLevel="0" collapsed="false">
      <c r="A20" s="53" t="s">
        <v>179</v>
      </c>
      <c r="B20" s="88" t="n">
        <f aca="false">B14+B15+B16+B17+B19</f>
        <v>41.0188888888889</v>
      </c>
      <c r="C20" s="88" t="n">
        <f aca="false">C14+C15+C16+C17+C19</f>
        <v>39.2531099261419</v>
      </c>
      <c r="D20" s="88" t="n">
        <f aca="false">D14+D15+D16+D17+D19</f>
        <v>39.2531470947613</v>
      </c>
      <c r="E20" s="88" t="n">
        <f aca="false">E14+E15+E16+E17+E19</f>
        <v>38.9131112378117</v>
      </c>
    </row>
    <row r="22" customFormat="false" ht="18" hidden="false" customHeight="true" outlineLevel="0" collapsed="false">
      <c r="A22" s="74" t="s">
        <v>180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</row>
    <row r="23" customFormat="false" ht="15" hidden="false" customHeight="true" outlineLevel="0" collapsed="false">
      <c r="A23" s="79" t="s">
        <v>181</v>
      </c>
      <c r="B23" s="83" t="n">
        <f aca="false">-(INDEX('Análise Fluxo'!$B$18:$BI$18,B$6)+INDEX('Análise Fluxo'!$B$19:$BI$19,B$6)+INDEX('Análise Fluxo'!$B$20:$BI$20,B$6))</f>
        <v>0</v>
      </c>
      <c r="C23" s="83" t="n">
        <f aca="false">-(INDEX('Análise Fluxo'!$B$18:$BI$18,C$6)+INDEX('Análise Fluxo'!$B$19:$BI$19,C$6)+INDEX('Análise Fluxo'!$B$20:$BI$20,C$6))</f>
        <v>42500</v>
      </c>
      <c r="D23" s="83" t="n">
        <f aca="false">-(INDEX('Análise Fluxo'!$B$18:$BI$18,D$6)+INDEX('Análise Fluxo'!$B$19:$BI$19,D$6)+INDEX('Análise Fluxo'!$B$20:$BI$20,D$6))</f>
        <v>42500</v>
      </c>
      <c r="E23" s="83" t="n">
        <f aca="false">-(INDEX('Análise Fluxo'!$B$18:$BI$18,E$6)+INDEX('Análise Fluxo'!$B$19:$BI$19,E$6)+INDEX('Análise Fluxo'!$B$20:$BI$20,E$6))</f>
        <v>374300</v>
      </c>
      <c r="G23" s="77" t="s">
        <v>182</v>
      </c>
      <c r="H23" s="77"/>
      <c r="I23" s="77"/>
      <c r="J23" s="77"/>
      <c r="K23" s="77"/>
      <c r="L23" s="77"/>
      <c r="M23" s="77"/>
      <c r="N23" s="77"/>
    </row>
    <row r="24" customFormat="false" ht="15" hidden="false" customHeight="false" outlineLevel="0" collapsed="false">
      <c r="A24" s="6" t="s">
        <v>183</v>
      </c>
      <c r="B24" s="89" t="n">
        <f aca="false">IF(B7&gt;=Premissas!$B$91,INDEX(Premissas!$C$92:$G$92,INDEX(Cenários!$B$7:$BI$7,B$6)),0)</f>
        <v>600</v>
      </c>
      <c r="C24" s="89" t="n">
        <f aca="false">IF(C7&gt;=Premissas!$B$91,INDEX(Premissas!$C$92:$G$92,INDEX(Cenários!$B$7:$BI$7,C$6)),0)</f>
        <v>2500</v>
      </c>
      <c r="D24" s="89" t="n">
        <f aca="false">IF(D7&gt;=Premissas!$B$91,INDEX(Premissas!$C$92:$G$92,INDEX(Cenários!$B$7:$BI$7,D$6)),0)</f>
        <v>2500</v>
      </c>
      <c r="E24" s="89" t="n">
        <f aca="false">IF(E7&gt;=Premissas!$B$91,INDEX(Premissas!$C$92:$G$92,INDEX(Cenários!$B$7:$BI$7,E$6)),0)</f>
        <v>30000</v>
      </c>
    </row>
    <row r="25" customFormat="false" ht="15" hidden="false" customHeight="false" outlineLevel="0" collapsed="false">
      <c r="A25" s="79" t="s">
        <v>184</v>
      </c>
      <c r="B25" s="83" t="n">
        <f aca="false">-(INDEX('Análise Fluxo'!$B$22:$BI$22,B$6)+INDEX('Análise Fluxo'!$B$23:$BI$23,B$6))</f>
        <v>500</v>
      </c>
      <c r="C25" s="83" t="n">
        <f aca="false">-(INDEX('Análise Fluxo'!$B$22:$BI$22,C$6)+INDEX('Análise Fluxo'!$B$23:$BI$23,C$6))</f>
        <v>5000</v>
      </c>
      <c r="D25" s="83" t="n">
        <f aca="false">-(INDEX('Análise Fluxo'!$B$22:$BI$22,D$6)+INDEX('Análise Fluxo'!$B$23:$BI$23,D$6))</f>
        <v>5000</v>
      </c>
      <c r="E25" s="83" t="n">
        <f aca="false">-(INDEX('Análise Fluxo'!$B$22:$BI$22,E$6)+INDEX('Análise Fluxo'!$B$23:$BI$23,E$6))</f>
        <v>15000</v>
      </c>
    </row>
    <row r="26" customFormat="false" ht="42.75" hidden="false" customHeight="true" outlineLevel="0" collapsed="false">
      <c r="A26" s="79" t="s">
        <v>185</v>
      </c>
      <c r="B26" s="83" t="n">
        <f aca="false">-INDEX('Análise Fluxo'!$B$27:$BI$27,B$6)</f>
        <v>0</v>
      </c>
      <c r="C26" s="83" t="n">
        <f aca="false">-INDEX('Análise Fluxo'!$B$27:$BI$27,C$6)</f>
        <v>166.666666666667</v>
      </c>
      <c r="D26" s="83" t="n">
        <f aca="false">-INDEX('Análise Fluxo'!$B$27:$BI$27,D$6)</f>
        <v>166.666666666667</v>
      </c>
      <c r="E26" s="83" t="n">
        <f aca="false">-INDEX('Análise Fluxo'!$B$27:$BI$27,E$6)</f>
        <v>1666.66666666667</v>
      </c>
      <c r="G26" s="77" t="s">
        <v>186</v>
      </c>
      <c r="H26" s="77"/>
      <c r="I26" s="77"/>
      <c r="J26" s="77"/>
      <c r="K26" s="77"/>
      <c r="L26" s="77"/>
      <c r="M26" s="77"/>
      <c r="N26" s="77"/>
    </row>
    <row r="27" customFormat="false" ht="15" hidden="false" customHeight="false" outlineLevel="0" collapsed="false">
      <c r="A27" s="53" t="s">
        <v>187</v>
      </c>
      <c r="B27" s="90" t="n">
        <f aca="false">B23+B24+B25+B26</f>
        <v>1100</v>
      </c>
      <c r="C27" s="90" t="n">
        <f aca="false">C23+C24+C25+C26</f>
        <v>50166.6666666667</v>
      </c>
      <c r="D27" s="90" t="n">
        <f aca="false">D23+D24+D25+D26</f>
        <v>50166.6666666667</v>
      </c>
      <c r="E27" s="90" t="n">
        <f aca="false">E23+E24+E25+E26</f>
        <v>420966.666666667</v>
      </c>
    </row>
    <row r="28" customFormat="false" ht="22.5" hidden="false" customHeight="true" outlineLevel="0" collapsed="false">
      <c r="A28" s="53" t="s">
        <v>188</v>
      </c>
      <c r="B28" s="84" t="n">
        <f aca="false">IFERROR(B27/B$9,0)</f>
        <v>12.2222222222222</v>
      </c>
      <c r="C28" s="84" t="n">
        <f aca="false">IFERROR(C27/C$9,0)</f>
        <v>11.0816581989544</v>
      </c>
      <c r="D28" s="84" t="n">
        <f aca="false">IFERROR(D27/D$9,0)</f>
        <v>7.15746421267894</v>
      </c>
      <c r="E28" s="84" t="n">
        <f aca="false">IFERROR(E27/E$9,0)</f>
        <v>11.1736341517363</v>
      </c>
      <c r="G28" s="77" t="s">
        <v>189</v>
      </c>
      <c r="H28" s="77"/>
      <c r="I28" s="77"/>
      <c r="J28" s="77"/>
      <c r="K28" s="77"/>
      <c r="L28" s="77"/>
      <c r="M28" s="77"/>
      <c r="N28" s="77"/>
    </row>
    <row r="30" customFormat="false" ht="15" hidden="false" customHeight="false" outlineLevel="0" collapsed="false">
      <c r="A30" s="53" t="s">
        <v>190</v>
      </c>
      <c r="B30" s="88" t="n">
        <f aca="false">B20+B28</f>
        <v>53.2411111111111</v>
      </c>
      <c r="C30" s="88" t="n">
        <f aca="false">C20+C28</f>
        <v>50.3347681250964</v>
      </c>
      <c r="D30" s="88" t="n">
        <f aca="false">D20+D28</f>
        <v>46.4106113074403</v>
      </c>
      <c r="E30" s="88" t="n">
        <f aca="false">E20+E28</f>
        <v>50.0867453895481</v>
      </c>
    </row>
    <row r="31" customFormat="false" ht="42.75" hidden="false" customHeight="true" outlineLevel="0" collapsed="false">
      <c r="A31" s="86" t="s">
        <v>191</v>
      </c>
      <c r="B31" s="87" t="n">
        <f aca="false">(B14+B15+B16+B17)*B$9+B27+(INDEX('Análise Fluxo'!$B$16:$BI$16,B$6)+INDEX('Análise Fluxo'!$B$17:$BI$17,B$6)+INDEX('Análise Fluxo'!$B$18:$BI$18,B$6)+INDEX('Análise Fluxo'!$B$19:$BI$19,B$6)+INDEX('Análise Fluxo'!$B$20:$BI$20,B$6)+INDEX('Análise Fluxo'!$B$22:$BI$22,B$6)+INDEX('Análise Fluxo'!$B$23:$BI$23,B$6)+INDEX('Análise Fluxo'!$B$27:$BI$27,B$6))</f>
        <v>0</v>
      </c>
      <c r="C31" s="87" t="n">
        <f aca="false">(C14+C15+C16+C17)*C$9+C27+(INDEX('Análise Fluxo'!$B$16:$BI$16,C$6)+INDEX('Análise Fluxo'!$B$17:$BI$17,C$6)+INDEX('Análise Fluxo'!$B$18:$BI$18,C$6)+INDEX('Análise Fluxo'!$B$19:$BI$19,C$6)+INDEX('Análise Fluxo'!$B$20:$BI$20,C$6)+INDEX('Análise Fluxo'!$B$22:$BI$22,C$6)+INDEX('Análise Fluxo'!$B$23:$BI$23,C$6)+INDEX('Análise Fluxo'!$B$27:$BI$27,C$6))</f>
        <v>0</v>
      </c>
      <c r="D31" s="87" t="n">
        <f aca="false">(D14+D15+D16+D17)*D$9+D27+(INDEX('Análise Fluxo'!$B$16:$BI$16,D$6)+INDEX('Análise Fluxo'!$B$17:$BI$17,D$6)+INDEX('Análise Fluxo'!$B$18:$BI$18,D$6)+INDEX('Análise Fluxo'!$B$19:$BI$19,D$6)+INDEX('Análise Fluxo'!$B$20:$BI$20,D$6)+INDEX('Análise Fluxo'!$B$22:$BI$22,D$6)+INDEX('Análise Fluxo'!$B$23:$BI$23,D$6)+INDEX('Análise Fluxo'!$B$27:$BI$27,D$6))</f>
        <v>0</v>
      </c>
      <c r="E31" s="87" t="n">
        <f aca="false">(E14+E15+E16+E17)*E$9+E27+(INDEX('Análise Fluxo'!$B$16:$BI$16,E$6)+INDEX('Análise Fluxo'!$B$17:$BI$17,E$6)+INDEX('Análise Fluxo'!$B$18:$BI$18,E$6)+INDEX('Análise Fluxo'!$B$19:$BI$19,E$6)+INDEX('Análise Fluxo'!$B$20:$BI$20,E$6)+INDEX('Análise Fluxo'!$B$22:$BI$22,E$6)+INDEX('Análise Fluxo'!$B$23:$BI$23,E$6)+INDEX('Análise Fluxo'!$B$27:$BI$27,E$6))</f>
        <v>0</v>
      </c>
      <c r="G31" s="77" t="s">
        <v>192</v>
      </c>
      <c r="H31" s="77"/>
      <c r="I31" s="77"/>
      <c r="J31" s="77"/>
      <c r="K31" s="77"/>
      <c r="L31" s="77"/>
      <c r="M31" s="77"/>
      <c r="N31" s="77"/>
    </row>
    <row r="32" customFormat="false" ht="22.5" hidden="false" customHeight="true" outlineLevel="0" collapsed="false">
      <c r="A32" s="86" t="s">
        <v>193</v>
      </c>
      <c r="B32" s="87" t="n">
        <f aca="false">(B14+B15+B16)*B$9+B24+INDEX('Análise Fluxo'!$B$16:$BI$16,B$6)</f>
        <v>0</v>
      </c>
      <c r="C32" s="87" t="n">
        <f aca="false">(C14+C15+C16)*C$9+C24+INDEX('Análise Fluxo'!$B$16:$BI$16,C$6)</f>
        <v>0</v>
      </c>
      <c r="D32" s="87" t="n">
        <f aca="false">(D14+D15+D16)*D$9+D24+INDEX('Análise Fluxo'!$B$16:$BI$16,D$6)</f>
        <v>0</v>
      </c>
      <c r="E32" s="87" t="n">
        <f aca="false">(E14+E15+E16)*E$9+E24+INDEX('Análise Fluxo'!$B$16:$BI$16,E$6)</f>
        <v>0</v>
      </c>
      <c r="G32" s="77" t="s">
        <v>194</v>
      </c>
      <c r="H32" s="77"/>
      <c r="I32" s="77"/>
      <c r="J32" s="77"/>
      <c r="K32" s="77"/>
      <c r="L32" s="77"/>
      <c r="M32" s="77"/>
      <c r="N32" s="77"/>
    </row>
    <row r="34" customFormat="false" ht="18" hidden="false" customHeight="true" outlineLevel="0" collapsed="false">
      <c r="A34" s="74" t="s">
        <v>195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customFormat="false" ht="22.5" hidden="false" customHeight="true" outlineLevel="0" collapsed="false">
      <c r="A35" s="79" t="s">
        <v>196</v>
      </c>
      <c r="B35" s="91" t="n">
        <f aca="false">CHOOSE(Premissas!$B$6,INDEX(Cenários!$B$30:$BI$30,B$6),INDEX(Cenários!$B$76:$BI$76,B$6),INDEX(Cenários!$B$122:$BI$122,B$6))</f>
        <v>0.155</v>
      </c>
      <c r="C35" s="91" t="n">
        <f aca="false">CHOOSE(Premissas!$B$6,INDEX(Cenários!$B$30:$BI$30,C$6),INDEX(Cenários!$B$76:$BI$76,C$6),INDEX(Cenários!$B$122:$BI$122,C$6))</f>
        <v>0.185247854507291</v>
      </c>
      <c r="D35" s="91" t="n">
        <f aca="false">CHOOSE(Premissas!$B$6,INDEX(Cenários!$B$30:$BI$30,D$6),INDEX(Cenários!$B$76:$BI$76,D$6),INDEX(Cenários!$B$122:$BI$122,D$6))</f>
        <v>0.158693591123954</v>
      </c>
      <c r="E35" s="91" t="n">
        <f aca="false">CHOOSE(Premissas!$B$6,INDEX(Cenários!$B$30:$BI$30,E$6),INDEX(Cenários!$B$76:$BI$76,E$6),INDEX(Cenários!$B$122:$BI$122,E$6))</f>
        <v>0.1633</v>
      </c>
      <c r="G35" s="77" t="s">
        <v>197</v>
      </c>
      <c r="H35" s="77"/>
      <c r="I35" s="77"/>
      <c r="J35" s="77"/>
      <c r="K35" s="77"/>
      <c r="L35" s="77"/>
      <c r="M35" s="77"/>
      <c r="N35" s="77"/>
    </row>
    <row r="36" customFormat="false" ht="22.5" hidden="false" customHeight="true" outlineLevel="0" collapsed="false">
      <c r="A36" s="6" t="s">
        <v>198</v>
      </c>
      <c r="B36" s="92" t="n">
        <f aca="false">Premissas!$B$62*INDEX(Premissas!$C$63:$G$63,INDEX(Cenários!$B$7:$BI$7,B$6))</f>
        <v>0.1275</v>
      </c>
      <c r="C36" s="92" t="n">
        <f aca="false">Premissas!$B$62*INDEX(Premissas!$C$63:$G$63,INDEX(Cenários!$B$7:$BI$7,C$6))</f>
        <v>0.12</v>
      </c>
      <c r="D36" s="92" t="n">
        <f aca="false">Premissas!$B$62*INDEX(Premissas!$C$63:$G$63,INDEX(Cenários!$B$7:$BI$7,D$6))</f>
        <v>0.12</v>
      </c>
      <c r="E36" s="92" t="n">
        <f aca="false">Premissas!$B$62*INDEX(Premissas!$C$63:$G$63,INDEX(Cenários!$B$7:$BI$7,E$6))</f>
        <v>0.105</v>
      </c>
      <c r="G36" s="77" t="s">
        <v>199</v>
      </c>
      <c r="H36" s="77"/>
      <c r="I36" s="77"/>
      <c r="J36" s="77"/>
      <c r="K36" s="77"/>
      <c r="L36" s="77"/>
      <c r="M36" s="77"/>
      <c r="N36" s="77"/>
    </row>
    <row r="37" customFormat="false" ht="15" hidden="false" customHeight="false" outlineLevel="0" collapsed="false">
      <c r="A37" s="6" t="s">
        <v>200</v>
      </c>
      <c r="B37" s="92" t="n">
        <f aca="false">Premissas!$B$64*(1-INDEX(Premissas!$C$63:$G$63,INDEX(Cenários!$B$7:$BI$7,B$6)))</f>
        <v>0.00675</v>
      </c>
      <c r="C37" s="92" t="n">
        <f aca="false">Premissas!$B$64*(1-INDEX(Premissas!$C$63:$G$63,INDEX(Cenários!$B$7:$BI$7,C$6)))</f>
        <v>0.009</v>
      </c>
      <c r="D37" s="92" t="n">
        <f aca="false">Premissas!$B$64*(1-INDEX(Premissas!$C$63:$G$63,INDEX(Cenários!$B$7:$BI$7,D$6)))</f>
        <v>0.009</v>
      </c>
      <c r="E37" s="92" t="n">
        <f aca="false">Premissas!$B$64*(1-INDEX(Premissas!$C$63:$G$63,INDEX(Cenários!$B$7:$BI$7,E$6)))</f>
        <v>0.0135</v>
      </c>
    </row>
    <row r="38" customFormat="false" ht="15" hidden="false" customHeight="false" outlineLevel="0" collapsed="false">
      <c r="A38" s="53" t="s">
        <v>201</v>
      </c>
      <c r="B38" s="93" t="n">
        <f aca="false">B35+B36+B37</f>
        <v>0.28925</v>
      </c>
      <c r="C38" s="93" t="n">
        <f aca="false">C35+C36+C37</f>
        <v>0.314247854507291</v>
      </c>
      <c r="D38" s="93" t="n">
        <f aca="false">D35+D36+D37</f>
        <v>0.287693591123954</v>
      </c>
      <c r="E38" s="93" t="n">
        <f aca="false">E35+E36+E37</f>
        <v>0.2818</v>
      </c>
    </row>
    <row r="39" customFormat="false" ht="22.5" hidden="false" customHeight="true" outlineLevel="0" collapsed="false">
      <c r="A39" s="53" t="s">
        <v>202</v>
      </c>
      <c r="B39" s="94" t="n">
        <f aca="false">1-B38</f>
        <v>0.71075</v>
      </c>
      <c r="C39" s="94" t="n">
        <f aca="false">1-C38</f>
        <v>0.685752145492709</v>
      </c>
      <c r="D39" s="94" t="n">
        <f aca="false">1-D38</f>
        <v>0.712306408876046</v>
      </c>
      <c r="E39" s="94" t="n">
        <f aca="false">1-E38</f>
        <v>0.7182</v>
      </c>
      <c r="G39" s="77" t="s">
        <v>203</v>
      </c>
      <c r="H39" s="77"/>
      <c r="I39" s="77"/>
      <c r="J39" s="77"/>
      <c r="K39" s="77"/>
      <c r="L39" s="77"/>
      <c r="M39" s="77"/>
      <c r="N39" s="77"/>
    </row>
    <row r="41" customFormat="false" ht="18" hidden="false" customHeight="true" outlineLevel="0" collapsed="false">
      <c r="A41" s="74" t="s">
        <v>204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</row>
    <row r="42" customFormat="false" ht="22.5" hidden="false" customHeight="true" outlineLevel="0" collapsed="false">
      <c r="A42" s="6" t="s">
        <v>205</v>
      </c>
      <c r="B42" s="95" t="n">
        <f aca="false">0.2</f>
        <v>0.2</v>
      </c>
      <c r="C42" s="96" t="n">
        <f aca="false">$B$42</f>
        <v>0.2</v>
      </c>
      <c r="D42" s="96" t="n">
        <f aca="false">$B$42</f>
        <v>0.2</v>
      </c>
      <c r="E42" s="96" t="n">
        <f aca="false">$B$42</f>
        <v>0.2</v>
      </c>
      <c r="G42" s="77" t="s">
        <v>206</v>
      </c>
      <c r="H42" s="77"/>
      <c r="I42" s="77"/>
      <c r="J42" s="77"/>
      <c r="K42" s="77"/>
      <c r="L42" s="77"/>
      <c r="M42" s="77"/>
      <c r="N42" s="77"/>
    </row>
    <row r="43" customFormat="false" ht="15" hidden="false" customHeight="false" outlineLevel="0" collapsed="false">
      <c r="A43" s="53" t="s">
        <v>207</v>
      </c>
      <c r="B43" s="84" t="n">
        <f aca="false">IFERROR(B30/B39,0)</f>
        <v>74.9083518974479</v>
      </c>
      <c r="C43" s="84" t="n">
        <f aca="false">IFERROR(C30/C39,0)</f>
        <v>73.4008175635107</v>
      </c>
      <c r="D43" s="84" t="n">
        <f aca="false">IFERROR(D30/D39,0)</f>
        <v>65.1554032493852</v>
      </c>
      <c r="E43" s="84" t="n">
        <f aca="false">IFERROR(E30/E39,0)</f>
        <v>69.7392723329826</v>
      </c>
    </row>
    <row r="44" customFormat="false" ht="22.5" hidden="false" customHeight="true" outlineLevel="0" collapsed="false">
      <c r="A44" s="53" t="s">
        <v>208</v>
      </c>
      <c r="B44" s="88" t="n">
        <f aca="false">IFERROR(B30/(B39*(1-B42)),0)</f>
        <v>93.6354398718099</v>
      </c>
      <c r="C44" s="88" t="n">
        <f aca="false">IFERROR(C30/(C39*(1-C42)),0)</f>
        <v>91.7510219543884</v>
      </c>
      <c r="D44" s="88" t="n">
        <f aca="false">IFERROR(D30/(D39*(1-D42)),0)</f>
        <v>81.4442540617316</v>
      </c>
      <c r="E44" s="88" t="n">
        <f aca="false">IFERROR(E30/(E39*(1-E42)),0)</f>
        <v>87.1740904162282</v>
      </c>
      <c r="G44" s="77" t="s">
        <v>209</v>
      </c>
      <c r="H44" s="77"/>
      <c r="I44" s="77"/>
      <c r="J44" s="77"/>
      <c r="K44" s="77"/>
      <c r="L44" s="77"/>
      <c r="M44" s="77"/>
      <c r="N44" s="77"/>
    </row>
    <row r="45" customFormat="false" ht="15" hidden="false" customHeight="false" outlineLevel="0" collapsed="false">
      <c r="A45" s="86" t="s">
        <v>210</v>
      </c>
      <c r="B45" s="87" t="n">
        <f aca="false">B11</f>
        <v>79.9</v>
      </c>
      <c r="C45" s="87" t="n">
        <f aca="false">C11</f>
        <v>79.9</v>
      </c>
      <c r="D45" s="87" t="n">
        <f aca="false">D11</f>
        <v>79.9</v>
      </c>
      <c r="E45" s="87" t="n">
        <f aca="false">E11</f>
        <v>86.192</v>
      </c>
    </row>
    <row r="46" customFormat="false" ht="33" hidden="false" customHeight="true" outlineLevel="0" collapsed="false">
      <c r="A46" s="53" t="s">
        <v>211</v>
      </c>
      <c r="B46" s="97" t="n">
        <f aca="false">IFERROR((B11*B39-B30)/(B11*B39),0)</f>
        <v>0.0624736933986494</v>
      </c>
      <c r="C46" s="97" t="n">
        <f aca="false">IFERROR((C11*C39-C30)/(C11*C39),0)</f>
        <v>0.0813414572777138</v>
      </c>
      <c r="D46" s="97" t="n">
        <f aca="false">IFERROR((D11*D39-D30)/(D11*D39),0)</f>
        <v>0.184538132047744</v>
      </c>
      <c r="E46" s="97" t="n">
        <f aca="false">IFERROR((E11*E39-E30)/(E11*E39),0)</f>
        <v>0.190884625800741</v>
      </c>
      <c r="G46" s="77" t="s">
        <v>212</v>
      </c>
      <c r="H46" s="77"/>
      <c r="I46" s="77"/>
      <c r="J46" s="77"/>
      <c r="K46" s="77"/>
      <c r="L46" s="77"/>
      <c r="M46" s="77"/>
      <c r="N46" s="77"/>
    </row>
    <row r="48" customFormat="false" ht="42.75" hidden="false" customHeight="true" outlineLevel="0" collapsed="false">
      <c r="A48" s="86" t="s">
        <v>213</v>
      </c>
      <c r="B48" s="98" t="n">
        <f aca="false">INDEX(Premissas!$C$34:$G$34,INDEX(Cenários!$B$7:$BI$7,B$6))+INDEX(Premissas!$C$35:$G$35,INDEX(Cenários!$B$7:$BI$7,B$6))*IFERROR(Premissas!$B$30/Premissas!$B$29,0)+INDEX(Premissas!$C$36:$G$36,INDEX(Cenários!$B$7:$BI$7,B$6))*IFERROR(Premissas!$B$31/Premissas!$B$29,0)</f>
        <v>1</v>
      </c>
      <c r="C48" s="98" t="n">
        <f aca="false">INDEX(Premissas!$C$34:$G$34,INDEX(Cenários!$B$7:$BI$7,C$6))+INDEX(Premissas!$C$35:$G$35,INDEX(Cenários!$B$7:$BI$7,C$6))*IFERROR(Premissas!$B$30/Premissas!$B$29,0)+INDEX(Premissas!$C$36:$G$36,INDEX(Cenários!$B$7:$BI$7,C$6))*IFERROR(Premissas!$B$31/Premissas!$B$29,0)</f>
        <v>1</v>
      </c>
      <c r="D48" s="98" t="n">
        <f aca="false">INDEX(Premissas!$C$34:$G$34,INDEX(Cenários!$B$7:$BI$7,D$6))+INDEX(Premissas!$C$35:$G$35,INDEX(Cenários!$B$7:$BI$7,D$6))*IFERROR(Premissas!$B$30/Premissas!$B$29,0)+INDEX(Premissas!$C$36:$G$36,INDEX(Cenários!$B$7:$BI$7,D$6))*IFERROR(Premissas!$B$31/Premissas!$B$29,0)</f>
        <v>1</v>
      </c>
      <c r="E48" s="98" t="n">
        <f aca="false">INDEX(Premissas!$C$34:$G$34,INDEX(Cenários!$B$7:$BI$7,E$6))+INDEX(Premissas!$C$35:$G$35,INDEX(Cenários!$B$7:$BI$7,E$6))*IFERROR(Premissas!$B$30/Premissas!$B$29,0)+INDEX(Premissas!$C$36:$G$36,INDEX(Cenários!$B$7:$BI$7,E$6))*IFERROR(Premissas!$B$31/Premissas!$B$29,0)</f>
        <v>1.07874843554443</v>
      </c>
      <c r="G48" s="77" t="s">
        <v>214</v>
      </c>
      <c r="H48" s="77"/>
      <c r="I48" s="77"/>
      <c r="J48" s="77"/>
      <c r="K48" s="77"/>
      <c r="L48" s="77"/>
      <c r="M48" s="77"/>
      <c r="N48" s="77"/>
    </row>
    <row r="49" customFormat="false" ht="15" hidden="false" customHeight="false" outlineLevel="0" collapsed="false">
      <c r="A49" s="53" t="s">
        <v>215</v>
      </c>
      <c r="B49" s="88" t="n">
        <f aca="false">IFERROR(B44/B48,0)</f>
        <v>93.6354398718099</v>
      </c>
      <c r="C49" s="88" t="n">
        <f aca="false">IFERROR(C44/C48,0)</f>
        <v>91.7510219543884</v>
      </c>
      <c r="D49" s="88" t="n">
        <f aca="false">IFERROR(D44/D48,0)</f>
        <v>81.4442540617316</v>
      </c>
      <c r="E49" s="88" t="n">
        <f aca="false">IFERROR(E44/E48,0)</f>
        <v>80.810397998151</v>
      </c>
    </row>
    <row r="50" customFormat="false" ht="15" hidden="false" customHeight="false" outlineLevel="0" collapsed="false">
      <c r="A50" s="53" t="s">
        <v>216</v>
      </c>
      <c r="B50" s="88" t="n">
        <f aca="false">B49*IFERROR(Premissas!$B$30/Premissas!$B$29,0)</f>
        <v>105.354518704327</v>
      </c>
      <c r="C50" s="88" t="n">
        <f aca="false">C49*IFERROR(Premissas!$B$30/Premissas!$B$29,0)</f>
        <v>103.234253738417</v>
      </c>
      <c r="D50" s="88" t="n">
        <f aca="false">D49*IFERROR(Premissas!$B$30/Premissas!$B$29,0)</f>
        <v>91.6375274111348</v>
      </c>
      <c r="E50" s="88" t="n">
        <f aca="false">E49*IFERROR(Premissas!$B$30/Premissas!$B$29,0)</f>
        <v>90.9243401756418</v>
      </c>
    </row>
    <row r="51" customFormat="false" ht="15" hidden="false" customHeight="false" outlineLevel="0" collapsed="false">
      <c r="A51" s="53" t="s">
        <v>217</v>
      </c>
      <c r="B51" s="88" t="n">
        <f aca="false">B49*IFERROR(Premissas!$B$31/Premissas!$B$29,0)</f>
        <v>127.737959274434</v>
      </c>
      <c r="C51" s="88" t="n">
        <f aca="false">C49*IFERROR(Premissas!$B$31/Premissas!$B$29,0)</f>
        <v>125.167226445912</v>
      </c>
      <c r="D51" s="88" t="n">
        <f aca="false">D49*IFERROR(Premissas!$B$31/Premissas!$B$29,0)</f>
        <v>111.106679508495</v>
      </c>
      <c r="E51" s="88" t="n">
        <f aca="false">E49*IFERROR(Premissas!$B$31/Premissas!$B$29,0)</f>
        <v>110.241969734649</v>
      </c>
    </row>
    <row r="52" customFormat="false" ht="15" hidden="false" customHeight="false" outlineLevel="0" collapsed="false">
      <c r="A52" s="86" t="s">
        <v>218</v>
      </c>
      <c r="B52" s="87" t="n">
        <f aca="false">Premissas!$B$29*(1+N(Premissas!$B$32))^(INDEX(Cenários!$B$6:$BI$6,B$6)-2026)</f>
        <v>79.9</v>
      </c>
      <c r="C52" s="87" t="n">
        <f aca="false">Premissas!$B$29*(1+N(Premissas!$B$32))^(INDEX(Cenários!$B$6:$BI$6,C$6)-2026)</f>
        <v>79.9</v>
      </c>
      <c r="D52" s="87" t="n">
        <f aca="false">Premissas!$B$29*(1+N(Premissas!$B$32))^(INDEX(Cenários!$B$6:$BI$6,D$6)-2026)</f>
        <v>79.9</v>
      </c>
      <c r="E52" s="87" t="n">
        <f aca="false">Premissas!$B$29*(1+N(Premissas!$B$32))^(INDEX(Cenários!$B$6:$BI$6,E$6)-2026)</f>
        <v>79.9</v>
      </c>
    </row>
    <row r="53" customFormat="false" ht="22.5" hidden="false" customHeight="true" outlineLevel="0" collapsed="false">
      <c r="A53" s="53" t="s">
        <v>219</v>
      </c>
      <c r="B53" s="99" t="n">
        <f aca="false">IFERROR(B49/B52,0)</f>
        <v>1.17190788325169</v>
      </c>
      <c r="C53" s="99" t="n">
        <f aca="false">IFERROR(C49/C52,0)</f>
        <v>1.14832317840286</v>
      </c>
      <c r="D53" s="99" t="n">
        <f aca="false">IFERROR(D49/D52,0)</f>
        <v>1.01932733494032</v>
      </c>
      <c r="E53" s="99" t="n">
        <f aca="false">IFERROR(E49/E52,0)</f>
        <v>1.01139421774907</v>
      </c>
      <c r="G53" s="77" t="s">
        <v>220</v>
      </c>
      <c r="H53" s="77"/>
      <c r="I53" s="77"/>
      <c r="J53" s="77"/>
      <c r="K53" s="77"/>
      <c r="L53" s="77"/>
      <c r="M53" s="77"/>
      <c r="N53" s="77"/>
    </row>
    <row r="55" customFormat="false" ht="18" hidden="false" customHeight="true" outlineLevel="0" collapsed="false">
      <c r="A55" s="74" t="s">
        <v>221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</row>
    <row r="56" customFormat="false" ht="15" hidden="false" customHeight="true" outlineLevel="0" collapsed="false">
      <c r="A56" s="6" t="s">
        <v>222</v>
      </c>
      <c r="B56" s="100" t="n">
        <f aca="false">39.9</f>
        <v>39.9</v>
      </c>
      <c r="C56" s="85" t="n">
        <f aca="false">$B$56</f>
        <v>39.9</v>
      </c>
      <c r="D56" s="85" t="n">
        <f aca="false">$B$56</f>
        <v>39.9</v>
      </c>
      <c r="E56" s="85" t="n">
        <f aca="false">$B$56</f>
        <v>39.9</v>
      </c>
      <c r="G56" s="77" t="s">
        <v>223</v>
      </c>
      <c r="H56" s="77"/>
      <c r="I56" s="77"/>
      <c r="J56" s="77"/>
      <c r="K56" s="77"/>
      <c r="L56" s="77"/>
      <c r="M56" s="77"/>
      <c r="N56" s="77"/>
    </row>
    <row r="57" customFormat="false" ht="15" hidden="false" customHeight="false" outlineLevel="0" collapsed="false">
      <c r="A57" s="6" t="s">
        <v>224</v>
      </c>
      <c r="B57" s="85" t="n">
        <f aca="false">B56*B48</f>
        <v>39.9</v>
      </c>
      <c r="C57" s="85" t="n">
        <f aca="false">C56*C48</f>
        <v>39.9</v>
      </c>
      <c r="D57" s="85" t="n">
        <f aca="false">D56*D48</f>
        <v>39.9</v>
      </c>
      <c r="E57" s="85" t="n">
        <f aca="false">E56*E48</f>
        <v>43.0420625782228</v>
      </c>
    </row>
    <row r="58" customFormat="false" ht="15" hidden="false" customHeight="false" outlineLevel="0" collapsed="false">
      <c r="A58" s="6" t="s">
        <v>225</v>
      </c>
      <c r="B58" s="85" t="n">
        <f aca="false">B57*B39</f>
        <v>28.358925</v>
      </c>
      <c r="C58" s="85" t="n">
        <f aca="false">C57*C39</f>
        <v>27.3615106051591</v>
      </c>
      <c r="D58" s="85" t="n">
        <f aca="false">D57*D39</f>
        <v>28.4210257141542</v>
      </c>
      <c r="E58" s="85" t="n">
        <f aca="false">E57*E39</f>
        <v>30.9128093436796</v>
      </c>
    </row>
    <row r="59" customFormat="false" ht="15" hidden="false" customHeight="false" outlineLevel="0" collapsed="false">
      <c r="A59" s="6" t="s">
        <v>226</v>
      </c>
      <c r="B59" s="85" t="n">
        <f aca="false">-B30</f>
        <v>-53.2411111111111</v>
      </c>
      <c r="C59" s="85" t="n">
        <f aca="false">-C30</f>
        <v>-50.3347681250964</v>
      </c>
      <c r="D59" s="85" t="n">
        <f aca="false">-D30</f>
        <v>-46.4106113074403</v>
      </c>
      <c r="E59" s="85" t="n">
        <f aca="false">-E30</f>
        <v>-50.0867453895481</v>
      </c>
    </row>
    <row r="60" customFormat="false" ht="15" hidden="false" customHeight="false" outlineLevel="0" collapsed="false">
      <c r="A60" s="53" t="s">
        <v>227</v>
      </c>
      <c r="B60" s="88" t="n">
        <f aca="false">B58+B59</f>
        <v>-24.8821861111111</v>
      </c>
      <c r="C60" s="88" t="n">
        <f aca="false">C58+C59</f>
        <v>-22.9732575199373</v>
      </c>
      <c r="D60" s="88" t="n">
        <f aca="false">D58+D59</f>
        <v>-17.989585593286</v>
      </c>
      <c r="E60" s="88" t="n">
        <f aca="false">E58+E59</f>
        <v>-19.1739360458685</v>
      </c>
    </row>
    <row r="61" customFormat="false" ht="15" hidden="false" customHeight="false" outlineLevel="0" collapsed="false">
      <c r="A61" s="53" t="s">
        <v>228</v>
      </c>
      <c r="B61" s="97" t="n">
        <f aca="false">IFERROR(B60/B58,0)</f>
        <v>-0.877402303194184</v>
      </c>
      <c r="C61" s="97" t="n">
        <f aca="false">IFERROR(C60/C58,0)</f>
        <v>-0.839619487807285</v>
      </c>
      <c r="D61" s="97" t="n">
        <f aca="false">IFERROR(D60/D58,0)</f>
        <v>-0.632967499984593</v>
      </c>
      <c r="E61" s="97" t="n">
        <f aca="false">IFERROR(E60/E58,0)</f>
        <v>-0.620258606479219</v>
      </c>
    </row>
    <row r="62" customFormat="false" ht="33" hidden="false" customHeight="true" outlineLevel="0" collapsed="false">
      <c r="A62" s="53" t="s">
        <v>229</v>
      </c>
      <c r="B62" s="101" t="str">
        <f aca="false">IF(B58-B20&lt;=0,"",ROUNDUP(B27/(B58-B20),0))</f>
        <v/>
      </c>
      <c r="C62" s="101" t="str">
        <f aca="false">IF(C58-C20&lt;=0,"",ROUNDUP(C27/(C58-C20),0))</f>
        <v/>
      </c>
      <c r="D62" s="101" t="str">
        <f aca="false">IF(D58-D20&lt;=0,"",ROUNDUP(D27/(D58-D20),0))</f>
        <v/>
      </c>
      <c r="E62" s="101" t="str">
        <f aca="false">IF(E58-E20&lt;=0,"",ROUNDUP(E27/(E58-E20),0))</f>
        <v/>
      </c>
      <c r="G62" s="77" t="s">
        <v>230</v>
      </c>
      <c r="H62" s="77"/>
      <c r="I62" s="77"/>
      <c r="J62" s="77"/>
      <c r="K62" s="77"/>
      <c r="L62" s="77"/>
      <c r="M62" s="77"/>
      <c r="N62" s="77"/>
    </row>
    <row r="63" customFormat="false" ht="15" hidden="false" customHeight="false" outlineLevel="0" collapsed="false">
      <c r="A63" s="86" t="s">
        <v>231</v>
      </c>
      <c r="B63" s="102" t="n">
        <f aca="false">B$9</f>
        <v>90</v>
      </c>
      <c r="C63" s="102" t="n">
        <f aca="false">C$9</f>
        <v>4527</v>
      </c>
      <c r="D63" s="102" t="n">
        <f aca="false">D$9</f>
        <v>7009</v>
      </c>
      <c r="E63" s="102" t="n">
        <f aca="false">E$9</f>
        <v>37675</v>
      </c>
    </row>
    <row r="65" customFormat="false" ht="22.5" hidden="false" customHeight="true" outlineLevel="0" collapsed="false">
      <c r="A65" s="53" t="s">
        <v>232</v>
      </c>
      <c r="B65" s="88" t="n">
        <f aca="false">B58-(B15+B16+B17+B19)-B28</f>
        <v>7.11781388888889</v>
      </c>
      <c r="C65" s="88" t="n">
        <f aca="false">C58-(C15+C16+C17+C19)-C28</f>
        <v>8.92674248006273</v>
      </c>
      <c r="D65" s="88" t="n">
        <f aca="false">D58-(D15+D16+D17+D19)-D28</f>
        <v>13.910414406714</v>
      </c>
      <c r="E65" s="88" t="n">
        <f aca="false">E58-(E15+E16+E17+E19)-E28</f>
        <v>12.7260639541315</v>
      </c>
      <c r="G65" s="77" t="s">
        <v>233</v>
      </c>
      <c r="H65" s="77"/>
      <c r="I65" s="77"/>
      <c r="J65" s="77"/>
      <c r="K65" s="77"/>
      <c r="L65" s="77"/>
      <c r="M65" s="77"/>
      <c r="N65" s="77"/>
    </row>
    <row r="66" customFormat="false" ht="22.5" hidden="false" customHeight="true" outlineLevel="0" collapsed="false">
      <c r="A66" s="53" t="s">
        <v>234</v>
      </c>
      <c r="B66" s="88" t="n">
        <f aca="false">B58*(1-B42)-(B15+B16+B17+B19)-B28</f>
        <v>1.44602888888889</v>
      </c>
      <c r="C66" s="88" t="n">
        <f aca="false">C58*(1-C42)-(C15+C16+C17+C19)-C28</f>
        <v>3.45444035903091</v>
      </c>
      <c r="D66" s="88" t="n">
        <f aca="false">D58*(1-D42)-(D15+D16+D17+D19)-D28</f>
        <v>8.22620926388314</v>
      </c>
      <c r="E66" s="88" t="n">
        <f aca="false">E58*(1-E42)-(E15+E16+E17+E19)-E28</f>
        <v>6.54350208539561</v>
      </c>
      <c r="G66" s="77" t="s">
        <v>235</v>
      </c>
      <c r="H66" s="77"/>
      <c r="I66" s="77"/>
      <c r="J66" s="77"/>
      <c r="K66" s="77"/>
      <c r="L66" s="77"/>
      <c r="M66" s="77"/>
      <c r="N66" s="77"/>
    </row>
    <row r="67" customFormat="false" ht="22.5" hidden="false" customHeight="true" outlineLevel="0" collapsed="false">
      <c r="A67" s="53" t="s">
        <v>236</v>
      </c>
      <c r="B67" s="84" t="n">
        <f aca="false">B66-B14</f>
        <v>-30.5539711111111</v>
      </c>
      <c r="C67" s="84" t="n">
        <f aca="false">C66-C14</f>
        <v>-28.4455596409691</v>
      </c>
      <c r="D67" s="84" t="n">
        <f aca="false">D66-D14</f>
        <v>-23.6737907361169</v>
      </c>
      <c r="E67" s="84" t="n">
        <f aca="false">E66-E14</f>
        <v>-25.3564979146044</v>
      </c>
      <c r="G67" s="77" t="s">
        <v>237</v>
      </c>
      <c r="H67" s="77"/>
      <c r="I67" s="77"/>
      <c r="J67" s="77"/>
      <c r="K67" s="77"/>
      <c r="L67" s="77"/>
      <c r="M67" s="77"/>
      <c r="N67" s="77"/>
    </row>
    <row r="69" customFormat="false" ht="15" hidden="false" customHeight="false" outlineLevel="0" collapsed="false">
      <c r="A69" s="53" t="s">
        <v>238</v>
      </c>
      <c r="B69" s="103" t="str">
        <f aca="false">IF(B58-B20&lt;=0,"✗ não fecha com nenhum volume",IF(B60&gt;0,"✓ fecha e sobra "&amp;TEXT(B60,"R$ 0.00")&amp;" por assinante","✗ faltam "&amp;TEXT(B62-B$9,"#,##0")&amp;" assinantes"))</f>
        <v>✗ não fecha com nenhum volume</v>
      </c>
      <c r="C69" s="103" t="str">
        <f aca="false">IF(C58-C20&lt;=0,"✗ não fecha com nenhum volume",IF(C60&gt;0,"✓ fecha e sobra "&amp;TEXT(C60,"R$ 0.00")&amp;" por assinante","✗ faltam "&amp;TEXT(C62-C$9,"#,##0")&amp;" assinantes"))</f>
        <v>✗ não fecha com nenhum volume</v>
      </c>
      <c r="D69" s="103" t="str">
        <f aca="false">IF(D58-D20&lt;=0,"✗ não fecha com nenhum volume",IF(D60&gt;0,"✓ fecha e sobra "&amp;TEXT(D60,"R$ 0.00")&amp;" por assinante","✗ faltam "&amp;TEXT(D62-D$9,"#,##0")&amp;" assinantes"))</f>
        <v>✗ não fecha com nenhum volume</v>
      </c>
      <c r="E69" s="103" t="str">
        <f aca="false">IF(E58-E20&lt;=0,"✗ não fecha com nenhum volume",IF(E60&gt;0,"✓ fecha e sobra "&amp;TEXT(E60,"R$ 0.00")&amp;" por assinante","✗ faltam "&amp;TEXT(E62-E$9,"#,##0")&amp;" assinantes"))</f>
        <v>✗ não fecha com nenhum volume</v>
      </c>
    </row>
    <row r="72" customFormat="false" ht="18" hidden="false" customHeight="true" outlineLevel="0" collapsed="false">
      <c r="A72" s="104" t="s">
        <v>239</v>
      </c>
      <c r="B72" s="104"/>
      <c r="C72" s="104"/>
      <c r="D72" s="104"/>
      <c r="E72" s="104"/>
      <c r="F72" s="104"/>
    </row>
    <row r="73" customFormat="false" ht="42" hidden="false" customHeight="true" outlineLevel="0" collapsed="false">
      <c r="A73" s="30" t="s">
        <v>240</v>
      </c>
      <c r="B73" s="30"/>
      <c r="C73" s="30"/>
      <c r="D73" s="30"/>
      <c r="E73" s="30"/>
      <c r="F73" s="30"/>
    </row>
    <row r="74" customFormat="false" ht="42" hidden="false" customHeight="true" outlineLevel="0" collapsed="false">
      <c r="A74" s="30" t="s">
        <v>241</v>
      </c>
      <c r="B74" s="30"/>
      <c r="C74" s="30"/>
      <c r="D74" s="30"/>
      <c r="E74" s="30"/>
      <c r="F74" s="30"/>
    </row>
    <row r="75" customFormat="false" ht="42" hidden="false" customHeight="true" outlineLevel="0" collapsed="false">
      <c r="A75" s="105" t="s">
        <v>242</v>
      </c>
      <c r="B75" s="105"/>
      <c r="C75" s="105"/>
      <c r="D75" s="105"/>
      <c r="E75" s="105"/>
      <c r="F75" s="105"/>
    </row>
    <row r="76" customFormat="false" ht="42" hidden="false" customHeight="true" outlineLevel="0" collapsed="false">
      <c r="A76" s="105" t="s">
        <v>243</v>
      </c>
      <c r="B76" s="105"/>
      <c r="C76" s="105"/>
      <c r="D76" s="105"/>
      <c r="E76" s="105"/>
      <c r="F76" s="105"/>
    </row>
    <row r="77" customFormat="false" ht="42" hidden="false" customHeight="true" outlineLevel="0" collapsed="false">
      <c r="A77" s="30" t="s">
        <v>244</v>
      </c>
      <c r="B77" s="30"/>
      <c r="C77" s="30"/>
      <c r="D77" s="30"/>
      <c r="E77" s="30"/>
      <c r="F77" s="30"/>
    </row>
  </sheetData>
  <mergeCells count="31">
    <mergeCell ref="G6:N6"/>
    <mergeCell ref="G9:N9"/>
    <mergeCell ref="G11:N11"/>
    <mergeCell ref="G14:N14"/>
    <mergeCell ref="G15:N15"/>
    <mergeCell ref="G18:N18"/>
    <mergeCell ref="G19:N19"/>
    <mergeCell ref="G23:N23"/>
    <mergeCell ref="G26:N26"/>
    <mergeCell ref="G28:N28"/>
    <mergeCell ref="G31:N31"/>
    <mergeCell ref="G32:N32"/>
    <mergeCell ref="G35:N35"/>
    <mergeCell ref="G36:N36"/>
    <mergeCell ref="G39:N39"/>
    <mergeCell ref="G42:N42"/>
    <mergeCell ref="G44:N44"/>
    <mergeCell ref="G46:N46"/>
    <mergeCell ref="G48:N48"/>
    <mergeCell ref="G53:N53"/>
    <mergeCell ref="G56:N56"/>
    <mergeCell ref="G62:N62"/>
    <mergeCell ref="G65:N65"/>
    <mergeCell ref="G66:N66"/>
    <mergeCell ref="G67:N67"/>
    <mergeCell ref="A72:F72"/>
    <mergeCell ref="A73:F73"/>
    <mergeCell ref="A74:F74"/>
    <mergeCell ref="A75:F75"/>
    <mergeCell ref="A76:F76"/>
    <mergeCell ref="A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67.71"/>
    <col collapsed="false" customWidth="true" hidden="false" outlineLevel="0" max="2" min="2" style="37" width="17"/>
    <col collapsed="false" customWidth="true" hidden="false" outlineLevel="0" max="7" min="3" style="37" width="14"/>
    <col collapsed="false" customWidth="true" hidden="false" outlineLevel="0" max="8" min="8" style="37" width="3"/>
    <col collapsed="false" customWidth="true" hidden="false" outlineLevel="0" max="9" min="9" style="37" width="72"/>
    <col collapsed="false" customWidth="true" hidden="false" outlineLevel="0" max="26" min="10" style="37" width="8.43"/>
  </cols>
  <sheetData>
    <row r="1" customFormat="false" ht="25.5" hidden="false" customHeight="true" outlineLevel="0" collapsed="false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Format="false" ht="15.75" hidden="false" customHeight="true" outlineLevel="0" collapsed="false">
      <c r="A2" s="40" t="s">
        <v>245</v>
      </c>
    </row>
    <row r="4" customFormat="false" ht="18" hidden="false" customHeight="true" outlineLevel="0" collapsed="false">
      <c r="A4" s="47" t="s">
        <v>246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customFormat="false" ht="15" hidden="false" customHeight="true" outlineLevel="0" collapsed="false">
      <c r="A5" s="53" t="s">
        <v>247</v>
      </c>
      <c r="B5" s="106" t="s">
        <v>248</v>
      </c>
      <c r="C5" s="107" t="n">
        <v>2026</v>
      </c>
      <c r="D5" s="107" t="n">
        <v>2027</v>
      </c>
      <c r="E5" s="107" t="n">
        <v>2028</v>
      </c>
      <c r="F5" s="107" t="n">
        <v>2029</v>
      </c>
      <c r="G5" s="107" t="n">
        <v>2030</v>
      </c>
    </row>
    <row r="6" customFormat="false" ht="15" hidden="false" customHeight="true" outlineLevel="0" collapsed="false">
      <c r="A6" s="49" t="s">
        <v>249</v>
      </c>
      <c r="B6" s="108" t="n">
        <v>2</v>
      </c>
      <c r="D6" s="51" t="s">
        <v>250</v>
      </c>
    </row>
    <row r="7" customFormat="false" ht="15" hidden="false" customHeight="true" outlineLevel="0" collapsed="false">
      <c r="A7" s="49" t="s">
        <v>251</v>
      </c>
      <c r="B7" s="109" t="str">
        <f aca="false">CHOOSE($B$6,"CONSERVADOR","PROVÁVEL","AGRESSIVO")</f>
        <v>PROVÁVEL</v>
      </c>
    </row>
    <row r="8" customFormat="false" ht="15" hidden="false" customHeight="true" outlineLevel="0" collapsed="false">
      <c r="A8" s="49" t="s">
        <v>252</v>
      </c>
      <c r="B8" s="108" t="n">
        <v>1</v>
      </c>
      <c r="D8" s="51" t="s">
        <v>253</v>
      </c>
    </row>
    <row r="10" customFormat="false" ht="15" hidden="false" customHeight="true" outlineLevel="0" collapsed="false">
      <c r="A10" s="53" t="s">
        <v>254</v>
      </c>
    </row>
    <row r="11" customFormat="false" ht="15" hidden="false" customHeight="true" outlineLevel="0" collapsed="false">
      <c r="A11" s="49" t="s">
        <v>255</v>
      </c>
      <c r="B11" s="108" t="n">
        <v>2026</v>
      </c>
    </row>
    <row r="12" customFormat="false" ht="15" hidden="false" customHeight="true" outlineLevel="0" collapsed="false">
      <c r="A12" s="49" t="s">
        <v>256</v>
      </c>
      <c r="B12" s="108" t="n">
        <v>12</v>
      </c>
      <c r="D12" s="51" t="s">
        <v>257</v>
      </c>
    </row>
    <row r="13" customFormat="false" ht="15" hidden="false" customHeight="true" outlineLevel="0" collapsed="false">
      <c r="A13" s="49" t="s">
        <v>258</v>
      </c>
      <c r="B13" s="110" t="n">
        <f aca="false">DATE($B$11,$B$12,1)</f>
        <v>46357</v>
      </c>
    </row>
    <row r="14" customFormat="false" ht="15" hidden="false" customHeight="true" outlineLevel="0" collapsed="false">
      <c r="A14" s="111" t="s">
        <v>259</v>
      </c>
      <c r="B14" s="112" t="n">
        <f aca="false">($B$11-2026)*12+$B$12</f>
        <v>12</v>
      </c>
    </row>
    <row r="15" customFormat="false" ht="15" hidden="false" customHeight="true" outlineLevel="0" collapsed="false">
      <c r="A15" s="49" t="s">
        <v>260</v>
      </c>
      <c r="B15" s="113" t="n">
        <v>6</v>
      </c>
      <c r="D15" s="51" t="s">
        <v>261</v>
      </c>
    </row>
    <row r="17" customFormat="false" ht="15" hidden="false" customHeight="true" outlineLevel="0" collapsed="false">
      <c r="A17" s="53" t="s">
        <v>262</v>
      </c>
    </row>
    <row r="18" customFormat="false" ht="15" hidden="false" customHeight="true" outlineLevel="0" collapsed="false">
      <c r="A18" s="49" t="s">
        <v>263</v>
      </c>
      <c r="B18" s="114" t="n">
        <v>0.25</v>
      </c>
      <c r="D18" s="51" t="s">
        <v>264</v>
      </c>
    </row>
    <row r="19" customFormat="false" ht="15" hidden="false" customHeight="true" outlineLevel="0" collapsed="false">
      <c r="A19" s="49" t="s">
        <v>265</v>
      </c>
      <c r="B19" s="115" t="n">
        <f aca="false">(1+$B$18)^(1/12)-1</f>
        <v>0.0187692651215061</v>
      </c>
    </row>
    <row r="20" customFormat="false" ht="15" hidden="false" customHeight="true" outlineLevel="0" collapsed="false">
      <c r="A20" s="49" t="s">
        <v>266</v>
      </c>
      <c r="B20" s="116" t="n">
        <v>36</v>
      </c>
      <c r="D20" s="51" t="s">
        <v>267</v>
      </c>
    </row>
    <row r="21" customFormat="false" ht="15.75" hidden="false" customHeight="true" outlineLevel="0" collapsed="false"/>
    <row r="22" customFormat="false" ht="18" hidden="false" customHeight="true" outlineLevel="0" collapsed="false">
      <c r="A22" s="47" t="s">
        <v>268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customFormat="false" ht="15.75" hidden="false" customHeight="true" outlineLevel="0" collapsed="false">
      <c r="A23" s="49" t="s">
        <v>269</v>
      </c>
      <c r="B23" s="108" t="n">
        <v>2</v>
      </c>
      <c r="D23" s="51" t="s">
        <v>270</v>
      </c>
    </row>
    <row r="24" customFormat="false" ht="15.75" hidden="false" customHeight="true" outlineLevel="0" collapsed="false">
      <c r="A24" s="49" t="s">
        <v>271</v>
      </c>
      <c r="B24" s="117" t="n">
        <v>0.1633</v>
      </c>
      <c r="D24" s="51" t="s">
        <v>272</v>
      </c>
    </row>
    <row r="25" customFormat="false" ht="15.75" hidden="false" customHeight="true" outlineLevel="0" collapsed="false">
      <c r="A25" s="49" t="s">
        <v>273</v>
      </c>
      <c r="B25" s="118" t="n">
        <v>4800000</v>
      </c>
      <c r="D25" s="51" t="s">
        <v>274</v>
      </c>
    </row>
    <row r="26" customFormat="false" ht="15.75" hidden="false" customHeight="true" outlineLevel="0" collapsed="false"/>
    <row r="27" customFormat="false" ht="18" hidden="false" customHeight="true" outlineLevel="0" collapsed="false">
      <c r="A27" s="47" t="s">
        <v>275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</row>
    <row r="28" customFormat="false" ht="27.75" hidden="false" customHeight="true" outlineLevel="0" collapsed="false">
      <c r="A28" s="72" t="s">
        <v>276</v>
      </c>
      <c r="B28" s="72"/>
      <c r="C28" s="72"/>
      <c r="D28" s="72"/>
      <c r="E28" s="72"/>
      <c r="F28" s="72"/>
      <c r="G28" s="72"/>
      <c r="H28" s="72"/>
      <c r="I28" s="72"/>
    </row>
    <row r="29" customFormat="false" ht="15.75" hidden="false" customHeight="true" outlineLevel="0" collapsed="false">
      <c r="A29" s="49" t="s">
        <v>277</v>
      </c>
      <c r="B29" s="119" t="n">
        <v>79.9</v>
      </c>
    </row>
    <row r="30" customFormat="false" ht="15.75" hidden="false" customHeight="true" outlineLevel="0" collapsed="false">
      <c r="A30" s="49" t="s">
        <v>278</v>
      </c>
      <c r="B30" s="119" t="n">
        <v>89.9</v>
      </c>
    </row>
    <row r="31" customFormat="false" ht="15.75" hidden="false" customHeight="true" outlineLevel="0" collapsed="false">
      <c r="A31" s="49" t="s">
        <v>279</v>
      </c>
      <c r="B31" s="119" t="n">
        <v>109</v>
      </c>
    </row>
    <row r="32" customFormat="false" ht="15.75" hidden="false" customHeight="true" outlineLevel="0" collapsed="false">
      <c r="A32" s="49" t="s">
        <v>280</v>
      </c>
      <c r="B32" s="120"/>
      <c r="D32" s="51" t="s">
        <v>281</v>
      </c>
    </row>
    <row r="33" customFormat="false" ht="15.75" hidden="false" customHeight="true" outlineLevel="0" collapsed="false">
      <c r="A33" s="53" t="s">
        <v>282</v>
      </c>
    </row>
    <row r="34" customFormat="false" ht="15.75" hidden="false" customHeight="true" outlineLevel="0" collapsed="false">
      <c r="A34" s="49" t="s">
        <v>283</v>
      </c>
      <c r="C34" s="121" t="n">
        <v>1</v>
      </c>
      <c r="D34" s="121" t="n">
        <v>1</v>
      </c>
      <c r="E34" s="114" t="n">
        <v>0.68</v>
      </c>
      <c r="F34" s="114" t="n">
        <v>0.64</v>
      </c>
      <c r="G34" s="114" t="n">
        <v>0.6</v>
      </c>
      <c r="I34" s="51" t="s">
        <v>284</v>
      </c>
    </row>
    <row r="35" customFormat="false" ht="15.75" hidden="false" customHeight="true" outlineLevel="0" collapsed="false">
      <c r="A35" s="49" t="s">
        <v>285</v>
      </c>
      <c r="C35" s="121" t="n">
        <v>0</v>
      </c>
      <c r="D35" s="121" t="n">
        <v>0</v>
      </c>
      <c r="E35" s="114" t="n">
        <v>0.24</v>
      </c>
      <c r="F35" s="114" t="n">
        <v>0.26</v>
      </c>
      <c r="G35" s="114" t="n">
        <v>0.28</v>
      </c>
      <c r="I35" s="51" t="s">
        <v>286</v>
      </c>
    </row>
    <row r="36" customFormat="false" ht="15.75" hidden="false" customHeight="true" outlineLevel="0" collapsed="false">
      <c r="A36" s="49" t="s">
        <v>287</v>
      </c>
      <c r="C36" s="121" t="n">
        <v>0</v>
      </c>
      <c r="D36" s="121" t="n">
        <v>0</v>
      </c>
      <c r="E36" s="114" t="n">
        <v>0.08</v>
      </c>
      <c r="F36" s="114" t="n">
        <v>0.1</v>
      </c>
      <c r="G36" s="114" t="n">
        <v>0.12</v>
      </c>
      <c r="I36" s="51" t="s">
        <v>288</v>
      </c>
    </row>
    <row r="37" customFormat="false" ht="15.75" hidden="false" customHeight="true" outlineLevel="0" collapsed="false">
      <c r="A37" s="111" t="s">
        <v>289</v>
      </c>
      <c r="C37" s="122" t="n">
        <f aca="false">SUM(C34:C36)</f>
        <v>1</v>
      </c>
      <c r="D37" s="122" t="n">
        <f aca="false">SUM(D34:D36)</f>
        <v>1</v>
      </c>
      <c r="E37" s="122" t="n">
        <f aca="false">SUM(E34:E36)</f>
        <v>1</v>
      </c>
      <c r="F37" s="122" t="n">
        <f aca="false">SUM(F34:F36)</f>
        <v>1</v>
      </c>
      <c r="G37" s="122" t="n">
        <f aca="false">SUM(G34:G36)</f>
        <v>1</v>
      </c>
    </row>
    <row r="38" customFormat="false" ht="15.75" hidden="false" customHeight="true" outlineLevel="0" collapsed="false">
      <c r="A38" s="111" t="s">
        <v>290</v>
      </c>
      <c r="C38" s="123" t="n">
        <f aca="false">(C34*$B$29+C35*$B$30+C36*$B$31)*(1+$B$32)^(C$5-2026)</f>
        <v>79.9</v>
      </c>
      <c r="D38" s="123" t="n">
        <f aca="false">(D34*$B$29+D35*$B$30+D36*$B$31)*(1+$B$32)^(D$5-2026)</f>
        <v>79.9</v>
      </c>
      <c r="E38" s="123" t="n">
        <f aca="false">(E34*$B$29+E35*$B$30+E36*$B$31)*(1+$B$32)^(E$5-2026)</f>
        <v>84.628</v>
      </c>
      <c r="F38" s="123" t="n">
        <f aca="false">(F34*$B$29+F35*$B$30+F36*$B$31)*(1+$B$32)^(F$5-2026)</f>
        <v>85.41</v>
      </c>
      <c r="G38" s="123" t="n">
        <f aca="false">(G34*$B$29+G35*$B$30+G36*$B$31)*(1+$B$32)^(G$5-2026)</f>
        <v>86.192</v>
      </c>
    </row>
    <row r="39" customFormat="false" ht="15.75" hidden="false" customHeight="true" outlineLevel="0" collapsed="false"/>
    <row r="40" customFormat="false" ht="18" hidden="false" customHeight="true" outlineLevel="0" collapsed="false">
      <c r="A40" s="47" t="s">
        <v>291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</row>
    <row r="41" customFormat="false" ht="25.5" hidden="false" customHeight="true" outlineLevel="0" collapsed="false">
      <c r="A41" s="72" t="s">
        <v>292</v>
      </c>
      <c r="B41" s="72"/>
      <c r="C41" s="72"/>
      <c r="D41" s="72"/>
      <c r="E41" s="72"/>
      <c r="F41" s="72"/>
      <c r="G41" s="72"/>
      <c r="H41" s="72"/>
      <c r="I41" s="72"/>
    </row>
    <row r="42" customFormat="false" ht="25.5" hidden="false" customHeight="true" outlineLevel="0" collapsed="false">
      <c r="A42" s="72" t="s">
        <v>293</v>
      </c>
      <c r="B42" s="72"/>
      <c r="C42" s="72"/>
      <c r="D42" s="72"/>
      <c r="E42" s="72"/>
      <c r="F42" s="72"/>
      <c r="G42" s="72"/>
      <c r="H42" s="72"/>
      <c r="I42" s="72"/>
    </row>
    <row r="43" customFormat="false" ht="15.75" hidden="false" customHeight="true" outlineLevel="0" collapsed="false">
      <c r="A43" s="53" t="s">
        <v>294</v>
      </c>
    </row>
    <row r="44" customFormat="false" ht="15.75" hidden="false" customHeight="true" outlineLevel="0" collapsed="false">
      <c r="A44" s="49" t="s">
        <v>295</v>
      </c>
      <c r="B44" s="120" t="n">
        <v>0.4</v>
      </c>
      <c r="C44" s="116" t="n">
        <v>10860</v>
      </c>
      <c r="D44" s="50" t="n">
        <f aca="false">C44*(1+$B44)</f>
        <v>15204</v>
      </c>
      <c r="E44" s="50" t="n">
        <f aca="false">D44*(1+$B44)</f>
        <v>21285.6</v>
      </c>
      <c r="F44" s="50" t="n">
        <f aca="false">E44*(1+$B44)</f>
        <v>29799.84</v>
      </c>
      <c r="G44" s="50" t="n">
        <f aca="false">F44*(1+$B44)</f>
        <v>41719.776</v>
      </c>
    </row>
    <row r="45" customFormat="false" ht="15.75" hidden="false" customHeight="true" outlineLevel="0" collapsed="false">
      <c r="A45" s="49" t="s">
        <v>296</v>
      </c>
      <c r="B45" s="120" t="n">
        <v>0.5</v>
      </c>
      <c r="C45" s="113" t="n">
        <v>18100</v>
      </c>
      <c r="D45" s="50" t="n">
        <f aca="false">C45*(1+$B45)</f>
        <v>27150</v>
      </c>
      <c r="E45" s="50" t="n">
        <f aca="false">D45*(1+$B45)</f>
        <v>40725</v>
      </c>
      <c r="F45" s="50" t="n">
        <f aca="false">E45*(1+$B45)</f>
        <v>61087.5</v>
      </c>
      <c r="G45" s="50" t="n">
        <f aca="false">F45*(1+$B45)</f>
        <v>91631.25</v>
      </c>
      <c r="I45" s="51" t="s">
        <v>297</v>
      </c>
    </row>
    <row r="46" customFormat="false" ht="15.75" hidden="false" customHeight="true" outlineLevel="0" collapsed="false">
      <c r="A46" s="49" t="s">
        <v>298</v>
      </c>
      <c r="B46" s="120" t="n">
        <v>0.6</v>
      </c>
      <c r="C46" s="116" t="n">
        <v>25340</v>
      </c>
      <c r="D46" s="50" t="n">
        <f aca="false">C46*(1+$B46)</f>
        <v>40544</v>
      </c>
      <c r="E46" s="50" t="n">
        <f aca="false">D46*(1+$B46)</f>
        <v>64870.4</v>
      </c>
      <c r="F46" s="50" t="n">
        <f aca="false">E46*(1+$B46)</f>
        <v>103792.64</v>
      </c>
      <c r="G46" s="50" t="n">
        <f aca="false">F46*(1+$B46)</f>
        <v>166068.224</v>
      </c>
    </row>
    <row r="47" customFormat="false" ht="15.75" hidden="false" customHeight="true" outlineLevel="0" collapsed="false">
      <c r="A47" s="53" t="s">
        <v>299</v>
      </c>
    </row>
    <row r="48" customFormat="false" ht="15.75" hidden="false" customHeight="true" outlineLevel="0" collapsed="false">
      <c r="A48" s="49" t="s">
        <v>295</v>
      </c>
      <c r="B48" s="120" t="n">
        <v>-0.04</v>
      </c>
      <c r="C48" s="120" t="n">
        <v>0.1</v>
      </c>
      <c r="D48" s="55" t="n">
        <f aca="false">C48*(1+$B48)</f>
        <v>0.096</v>
      </c>
      <c r="E48" s="55" t="n">
        <f aca="false">D48*(1+$B48)</f>
        <v>0.09216</v>
      </c>
      <c r="F48" s="55" t="n">
        <f aca="false">E48*(1+$B48)</f>
        <v>0.0884736</v>
      </c>
      <c r="G48" s="55" t="n">
        <f aca="false">F48*(1+$B48)</f>
        <v>0.084934656</v>
      </c>
    </row>
    <row r="49" customFormat="false" ht="15.75" hidden="false" customHeight="true" outlineLevel="0" collapsed="false">
      <c r="A49" s="49" t="s">
        <v>296</v>
      </c>
      <c r="B49" s="120" t="n">
        <v>-0.06</v>
      </c>
      <c r="C49" s="114" t="n">
        <v>0.08</v>
      </c>
      <c r="D49" s="55" t="n">
        <f aca="false">C49*(1+$B49)</f>
        <v>0.0752</v>
      </c>
      <c r="E49" s="55" t="n">
        <f aca="false">D49*(1+$B49)</f>
        <v>0.070688</v>
      </c>
      <c r="F49" s="55" t="n">
        <f aca="false">E49*(1+$B49)</f>
        <v>0.06644672</v>
      </c>
      <c r="G49" s="55" t="n">
        <f aca="false">F49*(1+$B49)</f>
        <v>0.0624599168</v>
      </c>
      <c r="I49" s="51" t="s">
        <v>300</v>
      </c>
    </row>
    <row r="50" customFormat="false" ht="15.75" hidden="false" customHeight="true" outlineLevel="0" collapsed="false">
      <c r="A50" s="49" t="s">
        <v>298</v>
      </c>
      <c r="B50" s="120" t="n">
        <v>-0.08</v>
      </c>
      <c r="C50" s="120" t="n">
        <v>0.06</v>
      </c>
      <c r="D50" s="55" t="n">
        <f aca="false">C50*(1+$B50)</f>
        <v>0.0552</v>
      </c>
      <c r="E50" s="55" t="n">
        <f aca="false">D50*(1+$B50)</f>
        <v>0.050784</v>
      </c>
      <c r="F50" s="55" t="n">
        <f aca="false">E50*(1+$B50)</f>
        <v>0.04672128</v>
      </c>
      <c r="G50" s="55" t="n">
        <f aca="false">F50*(1+$B50)</f>
        <v>0.0429835776</v>
      </c>
    </row>
    <row r="51" customFormat="false" ht="15.75" hidden="false" customHeight="true" outlineLevel="0" collapsed="false">
      <c r="A51" s="53" t="s">
        <v>301</v>
      </c>
    </row>
    <row r="52" customFormat="false" ht="15.75" hidden="false" customHeight="true" outlineLevel="0" collapsed="false">
      <c r="A52" s="49" t="s">
        <v>295</v>
      </c>
      <c r="B52" s="124" t="n">
        <v>0.01</v>
      </c>
      <c r="C52" s="124" t="n">
        <v>0.01</v>
      </c>
      <c r="D52" s="55" t="n">
        <f aca="false">MIN(0.25,C52*(1+$B52))</f>
        <v>0.0101</v>
      </c>
      <c r="E52" s="55" t="n">
        <f aca="false">MIN(0.25,D52*(1+$B52))</f>
        <v>0.010201</v>
      </c>
      <c r="F52" s="55" t="n">
        <f aca="false">MIN(0.25,E52*(1+$B52))</f>
        <v>0.01030301</v>
      </c>
      <c r="G52" s="55" t="n">
        <f aca="false">MIN(0.25,F52*(1+$B52))</f>
        <v>0.0104060401</v>
      </c>
    </row>
    <row r="53" customFormat="false" ht="15.75" hidden="false" customHeight="true" outlineLevel="0" collapsed="false">
      <c r="A53" s="49" t="s">
        <v>296</v>
      </c>
      <c r="B53" s="124" t="n">
        <v>0.03</v>
      </c>
      <c r="C53" s="121" t="n">
        <v>0.03</v>
      </c>
      <c r="D53" s="55" t="n">
        <f aca="false">MIN(0.25,C53*(1+$B53))</f>
        <v>0.0309</v>
      </c>
      <c r="E53" s="55" t="n">
        <f aca="false">MIN(0.25,D53*(1+$B53))</f>
        <v>0.031827</v>
      </c>
      <c r="F53" s="55" t="n">
        <f aca="false">MIN(0.25,E53*(1+$B53))</f>
        <v>0.03278181</v>
      </c>
      <c r="G53" s="55" t="n">
        <f aca="false">MIN(0.25,F53*(1+$B53))</f>
        <v>0.0337652643</v>
      </c>
      <c r="I53" s="51" t="s">
        <v>302</v>
      </c>
    </row>
    <row r="54" customFormat="false" ht="15.75" hidden="false" customHeight="true" outlineLevel="0" collapsed="false">
      <c r="A54" s="49" t="s">
        <v>298</v>
      </c>
      <c r="B54" s="124" t="n">
        <v>0.06</v>
      </c>
      <c r="C54" s="124" t="n">
        <v>0.06</v>
      </c>
      <c r="D54" s="55" t="n">
        <f aca="false">MIN(0.25,C54*(1+$B54))</f>
        <v>0.0636</v>
      </c>
      <c r="E54" s="55" t="n">
        <f aca="false">MIN(0.25,D54*(1+$B54))</f>
        <v>0.067416</v>
      </c>
      <c r="F54" s="55" t="n">
        <f aca="false">MIN(0.25,E54*(1+$B54))</f>
        <v>0.07146096</v>
      </c>
      <c r="G54" s="55" t="n">
        <f aca="false">MIN(0.25,F54*(1+$B54))</f>
        <v>0.0757486176</v>
      </c>
    </row>
    <row r="55" customFormat="false" ht="15.75" hidden="false" customHeight="true" outlineLevel="0" collapsed="false">
      <c r="A55" s="53" t="s">
        <v>303</v>
      </c>
    </row>
    <row r="56" customFormat="false" ht="15.75" hidden="false" customHeight="true" outlineLevel="0" collapsed="false">
      <c r="A56" s="49" t="s">
        <v>295</v>
      </c>
      <c r="B56" s="120" t="n">
        <v>0.18</v>
      </c>
      <c r="C56" s="125" t="n">
        <v>4</v>
      </c>
      <c r="D56" s="126" t="n">
        <f aca="false">C56*(1+$B56)</f>
        <v>4.72</v>
      </c>
      <c r="E56" s="126" t="n">
        <f aca="false">D56*(1+$B56)</f>
        <v>5.5696</v>
      </c>
      <c r="F56" s="126" t="n">
        <f aca="false">E56*(1+$B56)</f>
        <v>6.572128</v>
      </c>
      <c r="G56" s="126" t="n">
        <f aca="false">F56*(1+$B56)</f>
        <v>7.75511104</v>
      </c>
    </row>
    <row r="57" customFormat="false" ht="15.75" hidden="false" customHeight="true" outlineLevel="0" collapsed="false">
      <c r="A57" s="49" t="s">
        <v>296</v>
      </c>
      <c r="B57" s="120" t="n">
        <v>0.15</v>
      </c>
      <c r="C57" s="119" t="n">
        <v>2.5</v>
      </c>
      <c r="D57" s="126" t="n">
        <f aca="false">C57*(1+$B57)</f>
        <v>2.875</v>
      </c>
      <c r="E57" s="126" t="n">
        <f aca="false">D57*(1+$B57)</f>
        <v>3.30625</v>
      </c>
      <c r="F57" s="126" t="n">
        <f aca="false">E57*(1+$B57)</f>
        <v>3.8021875</v>
      </c>
      <c r="G57" s="126" t="n">
        <f aca="false">F57*(1+$B57)</f>
        <v>4.372515625</v>
      </c>
      <c r="I57" s="51" t="s">
        <v>304</v>
      </c>
    </row>
    <row r="58" customFormat="false" ht="15.75" hidden="false" customHeight="true" outlineLevel="0" collapsed="false">
      <c r="A58" s="49" t="s">
        <v>298</v>
      </c>
      <c r="B58" s="120" t="n">
        <v>0.15</v>
      </c>
      <c r="C58" s="125" t="n">
        <v>1.5</v>
      </c>
      <c r="D58" s="126" t="n">
        <f aca="false">C58*(1+$B58)</f>
        <v>1.725</v>
      </c>
      <c r="E58" s="126" t="n">
        <f aca="false">D58*(1+$B58)</f>
        <v>1.98375</v>
      </c>
      <c r="F58" s="126" t="n">
        <f aca="false">E58*(1+$B58)</f>
        <v>2.2813125</v>
      </c>
      <c r="G58" s="126" t="n">
        <f aca="false">F58*(1+$B58)</f>
        <v>2.623509375</v>
      </c>
    </row>
    <row r="59" customFormat="false" ht="15.75" hidden="false" customHeight="true" outlineLevel="0" collapsed="false">
      <c r="A59" s="49" t="s">
        <v>305</v>
      </c>
      <c r="C59" s="120" t="n">
        <v>0.3</v>
      </c>
      <c r="D59" s="120" t="n">
        <v>0.32</v>
      </c>
      <c r="E59" s="120" t="n">
        <v>0.35</v>
      </c>
      <c r="F59" s="120" t="n">
        <v>0.38</v>
      </c>
      <c r="G59" s="120" t="n">
        <v>0.4</v>
      </c>
      <c r="I59" s="51" t="s">
        <v>306</v>
      </c>
    </row>
    <row r="60" customFormat="false" ht="15.75" hidden="false" customHeight="true" outlineLevel="0" collapsed="false"/>
    <row r="61" customFormat="false" ht="18" hidden="false" customHeight="true" outlineLevel="0" collapsed="false">
      <c r="A61" s="47" t="s">
        <v>307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</row>
    <row r="62" customFormat="false" ht="15.75" hidden="false" customHeight="true" outlineLevel="0" collapsed="false">
      <c r="A62" s="49" t="s">
        <v>308</v>
      </c>
      <c r="B62" s="114" t="n">
        <v>0.15</v>
      </c>
      <c r="D62" s="51" t="s">
        <v>309</v>
      </c>
    </row>
    <row r="63" customFormat="false" ht="15.75" hidden="false" customHeight="true" outlineLevel="0" collapsed="false">
      <c r="A63" s="49" t="s">
        <v>310</v>
      </c>
      <c r="C63" s="120" t="n">
        <v>0.85</v>
      </c>
      <c r="D63" s="120" t="n">
        <v>0.8</v>
      </c>
      <c r="E63" s="120" t="n">
        <v>0.75</v>
      </c>
      <c r="F63" s="120" t="n">
        <v>0.72</v>
      </c>
      <c r="G63" s="120" t="n">
        <v>0.7</v>
      </c>
      <c r="I63" s="51" t="s">
        <v>311</v>
      </c>
    </row>
    <row r="64" customFormat="false" ht="15.75" hidden="false" customHeight="true" outlineLevel="0" collapsed="false">
      <c r="A64" s="49" t="s">
        <v>312</v>
      </c>
      <c r="B64" s="120" t="n">
        <v>0.045</v>
      </c>
      <c r="D64" s="51" t="s">
        <v>313</v>
      </c>
    </row>
    <row r="65" customFormat="false" ht="15.75" hidden="false" customHeight="true" outlineLevel="0" collapsed="false">
      <c r="A65" s="53" t="s">
        <v>314</v>
      </c>
    </row>
    <row r="66" customFormat="false" ht="27.75" hidden="false" customHeight="true" outlineLevel="0" collapsed="false">
      <c r="A66" s="72" t="s">
        <v>315</v>
      </c>
      <c r="B66" s="72"/>
      <c r="C66" s="72"/>
      <c r="D66" s="72"/>
      <c r="E66" s="72"/>
      <c r="F66" s="72"/>
      <c r="G66" s="72"/>
      <c r="H66" s="72"/>
      <c r="I66" s="72"/>
    </row>
    <row r="67" customFormat="false" ht="15.75" hidden="false" customHeight="true" outlineLevel="0" collapsed="false">
      <c r="A67" s="49" t="s">
        <v>316</v>
      </c>
      <c r="C67" s="114" t="n">
        <v>1</v>
      </c>
      <c r="D67" s="114" t="n">
        <v>1</v>
      </c>
      <c r="E67" s="114" t="n">
        <v>1</v>
      </c>
      <c r="F67" s="114" t="n">
        <v>1</v>
      </c>
      <c r="G67" s="114" t="n">
        <v>1</v>
      </c>
      <c r="I67" s="51" t="s">
        <v>317</v>
      </c>
    </row>
    <row r="68" customFormat="false" ht="15.75" hidden="false" customHeight="true" outlineLevel="0" collapsed="false">
      <c r="A68" s="49" t="s">
        <v>318</v>
      </c>
      <c r="B68" s="113" t="n">
        <v>100000</v>
      </c>
      <c r="D68" s="51" t="s">
        <v>319</v>
      </c>
    </row>
    <row r="69" customFormat="false" ht="15.75" hidden="false" customHeight="true" outlineLevel="0" collapsed="false">
      <c r="A69" s="49" t="s">
        <v>320</v>
      </c>
      <c r="B69" s="125" t="n">
        <v>0.05</v>
      </c>
      <c r="D69" s="51" t="s">
        <v>321</v>
      </c>
    </row>
    <row r="70" customFormat="false" ht="15.75" hidden="false" customHeight="true" outlineLevel="0" collapsed="false">
      <c r="A70" s="49" t="s">
        <v>322</v>
      </c>
      <c r="B70" s="108" t="n">
        <v>1</v>
      </c>
      <c r="D70" s="51" t="s">
        <v>323</v>
      </c>
    </row>
    <row r="71" customFormat="false" ht="15.75" hidden="false" customHeight="true" outlineLevel="0" collapsed="false">
      <c r="A71" s="53" t="s">
        <v>324</v>
      </c>
    </row>
    <row r="72" customFormat="false" ht="30" hidden="false" customHeight="true" outlineLevel="0" collapsed="false">
      <c r="A72" s="127" t="s">
        <v>325</v>
      </c>
      <c r="B72" s="127"/>
      <c r="C72" s="127"/>
      <c r="D72" s="127"/>
      <c r="E72" s="127"/>
      <c r="F72" s="127"/>
      <c r="G72" s="127"/>
      <c r="H72" s="127"/>
      <c r="I72" s="127"/>
    </row>
    <row r="73" customFormat="false" ht="15.75" hidden="false" customHeight="true" outlineLevel="0" collapsed="false">
      <c r="A73" s="128" t="s">
        <v>326</v>
      </c>
      <c r="B73" s="128" t="s">
        <v>327</v>
      </c>
      <c r="C73" s="128" t="s">
        <v>328</v>
      </c>
      <c r="D73" s="128" t="s">
        <v>329</v>
      </c>
      <c r="E73" s="128" t="s">
        <v>330</v>
      </c>
      <c r="F73" s="128" t="s">
        <v>331</v>
      </c>
      <c r="G73" s="128" t="s">
        <v>332</v>
      </c>
    </row>
    <row r="74" customFormat="false" ht="15.75" hidden="false" customHeight="true" outlineLevel="0" collapsed="false">
      <c r="A74" s="129" t="s">
        <v>333</v>
      </c>
      <c r="B74" s="130" t="s">
        <v>334</v>
      </c>
      <c r="C74" s="130" t="s">
        <v>335</v>
      </c>
      <c r="D74" s="130" t="s">
        <v>336</v>
      </c>
      <c r="E74" s="131" t="n">
        <v>3750</v>
      </c>
      <c r="F74" s="132" t="n">
        <v>46478</v>
      </c>
      <c r="G74" s="132" t="n">
        <v>47818</v>
      </c>
      <c r="I74" s="51" t="s">
        <v>337</v>
      </c>
    </row>
    <row r="75" customFormat="false" ht="15.75" hidden="false" customHeight="true" outlineLevel="0" collapsed="false">
      <c r="A75" s="129" t="s">
        <v>338</v>
      </c>
      <c r="B75" s="130" t="s">
        <v>334</v>
      </c>
      <c r="C75" s="130" t="s">
        <v>335</v>
      </c>
      <c r="D75" s="130" t="s">
        <v>336</v>
      </c>
      <c r="E75" s="131" t="n">
        <v>2000</v>
      </c>
      <c r="F75" s="132" t="n">
        <v>46661</v>
      </c>
      <c r="G75" s="132" t="n">
        <v>47818</v>
      </c>
    </row>
    <row r="76" customFormat="false" ht="15.75" hidden="false" customHeight="true" outlineLevel="0" collapsed="false">
      <c r="A76" s="133" t="s">
        <v>339</v>
      </c>
      <c r="B76" s="134" t="s">
        <v>340</v>
      </c>
      <c r="C76" s="134" t="s">
        <v>341</v>
      </c>
      <c r="D76" s="134" t="s">
        <v>336</v>
      </c>
      <c r="E76" s="135" t="n">
        <v>0</v>
      </c>
      <c r="F76" s="136" t="n">
        <v>47119</v>
      </c>
      <c r="G76" s="136" t="n">
        <v>47818</v>
      </c>
    </row>
    <row r="77" customFormat="false" ht="15.75" hidden="false" customHeight="true" outlineLevel="0" collapsed="false">
      <c r="A77" s="137"/>
      <c r="B77" s="138" t="s">
        <v>340</v>
      </c>
      <c r="C77" s="138" t="s">
        <v>341</v>
      </c>
      <c r="D77" s="138" t="s">
        <v>336</v>
      </c>
      <c r="E77" s="139" t="n">
        <v>0</v>
      </c>
      <c r="F77" s="140" t="n">
        <v>47119</v>
      </c>
      <c r="G77" s="140" t="n">
        <v>47818</v>
      </c>
    </row>
    <row r="78" customFormat="false" ht="15.75" hidden="false" customHeight="true" outlineLevel="0" collapsed="false">
      <c r="A78" s="137"/>
      <c r="B78" s="138" t="s">
        <v>340</v>
      </c>
      <c r="C78" s="138" t="s">
        <v>341</v>
      </c>
      <c r="D78" s="138" t="s">
        <v>336</v>
      </c>
      <c r="E78" s="139" t="n">
        <v>0</v>
      </c>
      <c r="F78" s="140" t="n">
        <v>47119</v>
      </c>
      <c r="G78" s="140" t="n">
        <v>47818</v>
      </c>
    </row>
    <row r="79" customFormat="false" ht="15.75" hidden="false" customHeight="true" outlineLevel="0" collapsed="false">
      <c r="A79" s="137"/>
      <c r="B79" s="138" t="s">
        <v>340</v>
      </c>
      <c r="C79" s="138" t="s">
        <v>341</v>
      </c>
      <c r="D79" s="138" t="s">
        <v>336</v>
      </c>
      <c r="E79" s="139" t="n">
        <v>0</v>
      </c>
      <c r="F79" s="140" t="n">
        <v>47119</v>
      </c>
      <c r="G79" s="140" t="n">
        <v>47818</v>
      </c>
    </row>
    <row r="80" customFormat="false" ht="15.75" hidden="false" customHeight="true" outlineLevel="0" collapsed="false">
      <c r="A80" s="137"/>
      <c r="B80" s="138" t="s">
        <v>340</v>
      </c>
      <c r="C80" s="138" t="s">
        <v>341</v>
      </c>
      <c r="D80" s="138" t="s">
        <v>336</v>
      </c>
      <c r="E80" s="139" t="n">
        <v>0</v>
      </c>
      <c r="F80" s="140" t="n">
        <v>47119</v>
      </c>
      <c r="G80" s="140" t="n">
        <v>47818</v>
      </c>
    </row>
    <row r="81" customFormat="false" ht="15.75" hidden="false" customHeight="true" outlineLevel="0" collapsed="false">
      <c r="A81" s="137"/>
      <c r="B81" s="138" t="s">
        <v>340</v>
      </c>
      <c r="C81" s="138" t="s">
        <v>341</v>
      </c>
      <c r="D81" s="138" t="s">
        <v>336</v>
      </c>
      <c r="E81" s="139" t="n">
        <v>0</v>
      </c>
      <c r="F81" s="140" t="n">
        <v>47119</v>
      </c>
      <c r="G81" s="140" t="n">
        <v>47818</v>
      </c>
    </row>
    <row r="82" customFormat="false" ht="15.75" hidden="false" customHeight="true" outlineLevel="0" collapsed="false">
      <c r="A82" s="137"/>
      <c r="B82" s="138" t="s">
        <v>340</v>
      </c>
      <c r="C82" s="138" t="s">
        <v>341</v>
      </c>
      <c r="D82" s="138" t="s">
        <v>336</v>
      </c>
      <c r="E82" s="139" t="n">
        <v>0</v>
      </c>
      <c r="F82" s="140" t="n">
        <v>47119</v>
      </c>
      <c r="G82" s="140" t="n">
        <v>47818</v>
      </c>
    </row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>
      <c r="A85" s="53" t="s">
        <v>342</v>
      </c>
    </row>
    <row r="86" customFormat="false" ht="15.75" hidden="false" customHeight="true" outlineLevel="0" collapsed="false">
      <c r="A86" s="49" t="s">
        <v>343</v>
      </c>
      <c r="B86" s="114" t="n">
        <v>0.1</v>
      </c>
      <c r="D86" s="51" t="s">
        <v>344</v>
      </c>
    </row>
    <row r="87" customFormat="false" ht="15.75" hidden="false" customHeight="true" outlineLevel="0" collapsed="false">
      <c r="A87" s="49" t="s">
        <v>345</v>
      </c>
      <c r="B87" s="125" t="n">
        <v>350</v>
      </c>
      <c r="D87" s="51" t="s">
        <v>346</v>
      </c>
    </row>
    <row r="88" customFormat="false" ht="15.75" hidden="false" customHeight="true" outlineLevel="0" collapsed="false">
      <c r="A88" s="49" t="s">
        <v>347</v>
      </c>
      <c r="C88" s="141" t="n">
        <v>0</v>
      </c>
      <c r="D88" s="141" t="n">
        <v>0.0015</v>
      </c>
      <c r="E88" s="141" t="n">
        <v>0.0025</v>
      </c>
      <c r="F88" s="141" t="n">
        <v>0.004</v>
      </c>
      <c r="G88" s="141" t="n">
        <v>0.005</v>
      </c>
      <c r="I88" s="51" t="s">
        <v>348</v>
      </c>
    </row>
    <row r="89" customFormat="false" ht="15.75" hidden="false" customHeight="true" outlineLevel="0" collapsed="false"/>
    <row r="90" customFormat="false" ht="18" hidden="false" customHeight="true" outlineLevel="0" collapsed="false">
      <c r="A90" s="47" t="s">
        <v>349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</row>
    <row r="91" customFormat="false" ht="15.75" hidden="false" customHeight="true" outlineLevel="0" collapsed="false">
      <c r="A91" s="49" t="s">
        <v>350</v>
      </c>
      <c r="B91" s="142" t="n">
        <v>46143</v>
      </c>
      <c r="D91" s="51" t="s">
        <v>351</v>
      </c>
    </row>
    <row r="92" customFormat="false" ht="15.75" hidden="false" customHeight="true" outlineLevel="0" collapsed="false">
      <c r="A92" s="49" t="s">
        <v>352</v>
      </c>
      <c r="C92" s="118" t="n">
        <v>600</v>
      </c>
      <c r="D92" s="118" t="n">
        <v>2500</v>
      </c>
      <c r="E92" s="118" t="n">
        <v>8000</v>
      </c>
      <c r="F92" s="118" t="n">
        <v>18000</v>
      </c>
      <c r="G92" s="118" t="n">
        <v>30000</v>
      </c>
      <c r="I92" s="51" t="s">
        <v>353</v>
      </c>
    </row>
    <row r="93" customFormat="false" ht="15.75" hidden="false" customHeight="true" outlineLevel="0" collapsed="false">
      <c r="A93" s="49" t="s">
        <v>354</v>
      </c>
      <c r="C93" s="119" t="n">
        <f aca="false">6.4*5</f>
        <v>32</v>
      </c>
      <c r="D93" s="119" t="n">
        <v>31.9</v>
      </c>
      <c r="E93" s="119" t="n">
        <v>31.9</v>
      </c>
      <c r="F93" s="119" t="n">
        <v>31.9</v>
      </c>
      <c r="G93" s="119" t="n">
        <v>31.9</v>
      </c>
      <c r="I93" s="51" t="s">
        <v>355</v>
      </c>
    </row>
    <row r="94" customFormat="false" ht="15.75" hidden="false" customHeight="true" outlineLevel="0" collapsed="false">
      <c r="A94" s="49" t="s">
        <v>356</v>
      </c>
      <c r="C94" s="125" t="n">
        <v>0.02</v>
      </c>
      <c r="D94" s="125" t="n">
        <v>0.02</v>
      </c>
      <c r="E94" s="125" t="n">
        <v>0.018</v>
      </c>
      <c r="F94" s="125" t="n">
        <v>0.015</v>
      </c>
      <c r="G94" s="125" t="n">
        <v>0.015</v>
      </c>
      <c r="I94" s="51" t="s">
        <v>357</v>
      </c>
    </row>
    <row r="95" customFormat="false" ht="15.75" hidden="false" customHeight="true" outlineLevel="0" collapsed="false">
      <c r="A95" s="49" t="s">
        <v>358</v>
      </c>
      <c r="C95" s="125" t="n">
        <v>0.35</v>
      </c>
      <c r="D95" s="125" t="n">
        <v>0.35</v>
      </c>
      <c r="E95" s="125" t="n">
        <v>0.3</v>
      </c>
      <c r="F95" s="125" t="n">
        <v>0.28</v>
      </c>
      <c r="G95" s="125" t="n">
        <v>0.25</v>
      </c>
      <c r="I95" s="51" t="s">
        <v>359</v>
      </c>
    </row>
    <row r="96" customFormat="false" ht="15.75" hidden="false" customHeight="true" outlineLevel="0" collapsed="false">
      <c r="A96" s="49" t="s">
        <v>360</v>
      </c>
      <c r="B96" s="142" t="n">
        <v>46113</v>
      </c>
      <c r="D96" s="51" t="s">
        <v>361</v>
      </c>
    </row>
    <row r="97" customFormat="false" ht="15.75" hidden="false" customHeight="true" outlineLevel="0" collapsed="false">
      <c r="A97" s="49" t="s">
        <v>362</v>
      </c>
      <c r="C97" s="118"/>
      <c r="D97" s="118" t="n">
        <f aca="false">2000/12</f>
        <v>166.666666666667</v>
      </c>
      <c r="E97" s="118" t="n">
        <f aca="false">5000/12</f>
        <v>416.666666666667</v>
      </c>
      <c r="F97" s="118" t="n">
        <f aca="false">10000/12</f>
        <v>833.333333333333</v>
      </c>
      <c r="G97" s="118" t="n">
        <f aca="false">20000/12</f>
        <v>1666.66666666667</v>
      </c>
      <c r="I97" s="51" t="s">
        <v>363</v>
      </c>
    </row>
    <row r="98" customFormat="false" ht="15.75" hidden="false" customHeight="true" outlineLevel="0" collapsed="false">
      <c r="A98" s="49" t="s">
        <v>364</v>
      </c>
      <c r="C98" s="118" t="n">
        <v>500</v>
      </c>
      <c r="D98" s="118" t="n">
        <v>5000</v>
      </c>
      <c r="E98" s="118" t="n">
        <v>8000</v>
      </c>
      <c r="F98" s="118" t="n">
        <v>12000</v>
      </c>
      <c r="G98" s="118" t="n">
        <v>15000</v>
      </c>
      <c r="I98" s="51" t="s">
        <v>365</v>
      </c>
    </row>
    <row r="99" customFormat="false" ht="15.75" hidden="false" customHeight="true" outlineLevel="0" collapsed="false">
      <c r="A99" s="49" t="s">
        <v>366</v>
      </c>
      <c r="B99" s="142" t="n">
        <v>46327</v>
      </c>
    </row>
    <row r="100" customFormat="false" ht="15.75" hidden="false" customHeight="true" outlineLevel="0" collapsed="false">
      <c r="A100" s="49" t="s">
        <v>367</v>
      </c>
      <c r="B100" s="118" t="n">
        <v>1000</v>
      </c>
    </row>
    <row r="101" customFormat="false" ht="15.75" hidden="false" customHeight="true" outlineLevel="0" collapsed="false">
      <c r="A101" s="49" t="s">
        <v>368</v>
      </c>
      <c r="B101" s="142" t="n">
        <v>46327</v>
      </c>
    </row>
    <row r="102" customFormat="false" ht="15.75" hidden="false" customHeight="true" outlineLevel="0" collapsed="false"/>
    <row r="103" customFormat="false" ht="18" hidden="false" customHeight="true" outlineLevel="0" collapsed="false">
      <c r="A103" s="47" t="s">
        <v>369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</row>
    <row r="104" customFormat="false" ht="27.75" hidden="false" customHeight="true" outlineLevel="0" collapsed="false">
      <c r="A104" s="72" t="s">
        <v>370</v>
      </c>
      <c r="B104" s="72"/>
      <c r="C104" s="72"/>
      <c r="D104" s="72"/>
      <c r="E104" s="72"/>
      <c r="F104" s="72"/>
      <c r="G104" s="72"/>
      <c r="H104" s="72"/>
      <c r="I104" s="72"/>
    </row>
    <row r="105" customFormat="false" ht="15.75" hidden="false" customHeight="true" outlineLevel="0" collapsed="false">
      <c r="A105" s="49" t="s">
        <v>371</v>
      </c>
      <c r="B105" s="108" t="n">
        <v>1</v>
      </c>
      <c r="D105" s="51" t="s">
        <v>372</v>
      </c>
    </row>
    <row r="106" customFormat="false" ht="15.75" hidden="false" customHeight="true" outlineLevel="0" collapsed="false">
      <c r="A106" s="49" t="s">
        <v>373</v>
      </c>
      <c r="B106" s="108" t="n">
        <v>1</v>
      </c>
      <c r="D106" s="51" t="s">
        <v>374</v>
      </c>
    </row>
    <row r="107" customFormat="false" ht="15.75" hidden="false" customHeight="true" outlineLevel="0" collapsed="false"/>
    <row r="108" customFormat="false" ht="18" hidden="false" customHeight="true" outlineLevel="0" collapsed="false">
      <c r="A108" s="47" t="s">
        <v>375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</row>
    <row r="109" customFormat="false" ht="27.75" hidden="false" customHeight="true" outlineLevel="0" collapsed="false">
      <c r="A109" s="72" t="s">
        <v>376</v>
      </c>
      <c r="B109" s="72"/>
      <c r="C109" s="72"/>
      <c r="D109" s="72"/>
      <c r="E109" s="72"/>
      <c r="F109" s="72"/>
      <c r="G109" s="72"/>
      <c r="H109" s="72"/>
      <c r="I109" s="72"/>
    </row>
    <row r="110" customFormat="false" ht="27.75" hidden="false" customHeight="true" outlineLevel="0" collapsed="false">
      <c r="A110" s="72" t="s">
        <v>377</v>
      </c>
      <c r="B110" s="72"/>
      <c r="C110" s="72"/>
      <c r="D110" s="72"/>
      <c r="E110" s="72"/>
      <c r="F110" s="72"/>
      <c r="G110" s="72"/>
      <c r="H110" s="72"/>
      <c r="I110" s="72"/>
    </row>
    <row r="111" customFormat="false" ht="27.75" hidden="false" customHeight="true" outlineLevel="0" collapsed="false">
      <c r="A111" s="72" t="s">
        <v>378</v>
      </c>
      <c r="B111" s="72"/>
      <c r="C111" s="72"/>
      <c r="D111" s="72"/>
      <c r="E111" s="72"/>
      <c r="F111" s="72"/>
      <c r="G111" s="72"/>
      <c r="H111" s="72"/>
      <c r="I111" s="72"/>
    </row>
    <row r="112" customFormat="false" ht="27.75" hidden="false" customHeight="true" outlineLevel="0" collapsed="false">
      <c r="A112" s="72" t="s">
        <v>379</v>
      </c>
      <c r="B112" s="72"/>
      <c r="C112" s="72"/>
      <c r="D112" s="72"/>
      <c r="E112" s="72"/>
      <c r="F112" s="72"/>
      <c r="G112" s="72"/>
      <c r="H112" s="72"/>
      <c r="I112" s="72"/>
    </row>
    <row r="113" customFormat="false" ht="27.75" hidden="false" customHeight="true" outlineLevel="0" collapsed="false">
      <c r="A113" s="72" t="s">
        <v>380</v>
      </c>
      <c r="B113" s="72"/>
      <c r="C113" s="72"/>
      <c r="D113" s="72"/>
      <c r="E113" s="72"/>
      <c r="F113" s="72"/>
      <c r="G113" s="72"/>
      <c r="H113" s="72"/>
      <c r="I113" s="72"/>
    </row>
    <row r="114" customFormat="false" ht="27.75" hidden="false" customHeight="true" outlineLevel="0" collapsed="false">
      <c r="A114" s="72" t="s">
        <v>381</v>
      </c>
      <c r="B114" s="72"/>
      <c r="C114" s="72"/>
      <c r="D114" s="72"/>
      <c r="E114" s="72"/>
      <c r="F114" s="72"/>
      <c r="G114" s="72"/>
      <c r="H114" s="72"/>
      <c r="I114" s="72"/>
    </row>
    <row r="115" customFormat="false" ht="27.75" hidden="false" customHeight="true" outlineLevel="0" collapsed="false">
      <c r="A115" s="72" t="s">
        <v>382</v>
      </c>
      <c r="B115" s="72"/>
      <c r="C115" s="72"/>
      <c r="D115" s="72"/>
      <c r="E115" s="72"/>
      <c r="F115" s="72"/>
      <c r="G115" s="72"/>
      <c r="H115" s="72"/>
      <c r="I115" s="72"/>
    </row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28:I28"/>
    <mergeCell ref="A41:I41"/>
    <mergeCell ref="A42:I42"/>
    <mergeCell ref="A66:I66"/>
    <mergeCell ref="A72:I72"/>
    <mergeCell ref="A104:I104"/>
    <mergeCell ref="A109:I109"/>
    <mergeCell ref="A110:I110"/>
    <mergeCell ref="A111:I111"/>
    <mergeCell ref="A112:I112"/>
    <mergeCell ref="A113:I113"/>
    <mergeCell ref="A114:I114"/>
    <mergeCell ref="A115:I115"/>
  </mergeCells>
  <dataValidations count="3">
    <dataValidation allowBlank="true" errorStyle="stop" operator="between" showDropDown="false" showErrorMessage="false" showInputMessage="false" sqref="B74:B82" type="list">
      <formula1>"Dados,Outras"</formula1>
      <formula2>0</formula2>
    </dataValidation>
    <dataValidation allowBlank="true" errorStyle="stop" operator="between" showDropDown="false" showErrorMessage="false" showInputMessage="false" sqref="C74:C82" type="list">
      <formula1>"Planejado,Em estudo,Descartado"</formula1>
      <formula2>0</formula2>
    </dataValidation>
    <dataValidation allowBlank="true" errorStyle="stop" operator="between" showDropDown="false" showErrorMessage="false" showInputMessage="false" sqref="D74:D82" type="list">
      <formula1>"Fixo mensal,Por usuário"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040"/>
    <pageSetUpPr fitToPage="false"/>
  </sheetPr>
  <dimension ref="A1:B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48"/>
    <col collapsed="false" customWidth="true" hidden="false" outlineLevel="0" max="6" min="2" style="37" width="11"/>
    <col collapsed="false" customWidth="true" hidden="false" outlineLevel="0" max="7" min="7" style="37" width="12.15"/>
    <col collapsed="false" customWidth="true" hidden="false" outlineLevel="0" max="61" min="8" style="37" width="11"/>
    <col collapsed="false" customWidth="true" hidden="false" outlineLevel="0" max="62" min="62" style="37" width="15"/>
    <col collapsed="false" customWidth="true" hidden="false" outlineLevel="0" max="63" min="63" style="37" width="34"/>
  </cols>
  <sheetData>
    <row r="1" customFormat="false" ht="25.5" hidden="false" customHeight="true" outlineLevel="0" collapsed="false">
      <c r="A1" s="38" t="s">
        <v>383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customFormat="false" ht="15.75" hidden="false" customHeight="true" outlineLevel="0" collapsed="false">
      <c r="A2" s="143" t="str">
        <f aca="false">" Cenário ativo: "&amp;Premissas!B7</f>
        <v> Cenário ativo: PROVÁVEL</v>
      </c>
    </row>
    <row r="4" customFormat="false" ht="15" hidden="false" customHeight="true" outlineLevel="0" collapsed="false">
      <c r="A4" s="144" t="s">
        <v>384</v>
      </c>
      <c r="B4" s="145" t="n">
        <v>46023</v>
      </c>
      <c r="C4" s="145" t="n">
        <v>46054</v>
      </c>
      <c r="D4" s="145" t="n">
        <v>46082</v>
      </c>
      <c r="E4" s="145" t="n">
        <v>46113</v>
      </c>
      <c r="F4" s="145" t="n">
        <v>46143</v>
      </c>
      <c r="G4" s="145" t="n">
        <v>46174</v>
      </c>
      <c r="H4" s="145" t="n">
        <v>46204</v>
      </c>
      <c r="I4" s="145" t="n">
        <v>46235</v>
      </c>
      <c r="J4" s="145" t="n">
        <v>46266</v>
      </c>
      <c r="K4" s="145" t="n">
        <v>46296</v>
      </c>
      <c r="L4" s="145" t="n">
        <v>46327</v>
      </c>
      <c r="M4" s="145" t="n">
        <v>46357</v>
      </c>
      <c r="N4" s="145" t="n">
        <v>46388</v>
      </c>
      <c r="O4" s="145" t="n">
        <v>46419</v>
      </c>
      <c r="P4" s="145" t="n">
        <v>46447</v>
      </c>
      <c r="Q4" s="145" t="n">
        <v>46478</v>
      </c>
      <c r="R4" s="145" t="n">
        <v>46508</v>
      </c>
      <c r="S4" s="145" t="n">
        <v>46539</v>
      </c>
      <c r="T4" s="145" t="n">
        <v>46569</v>
      </c>
      <c r="U4" s="145" t="n">
        <v>46600</v>
      </c>
      <c r="V4" s="145" t="n">
        <v>46631</v>
      </c>
      <c r="W4" s="145" t="n">
        <v>46661</v>
      </c>
      <c r="X4" s="145" t="n">
        <v>46692</v>
      </c>
      <c r="Y4" s="145" t="n">
        <v>46722</v>
      </c>
      <c r="Z4" s="145" t="n">
        <v>46753</v>
      </c>
      <c r="AA4" s="145" t="n">
        <v>46784</v>
      </c>
      <c r="AB4" s="145" t="n">
        <v>46813</v>
      </c>
      <c r="AC4" s="145" t="n">
        <v>46844</v>
      </c>
      <c r="AD4" s="145" t="n">
        <v>46874</v>
      </c>
      <c r="AE4" s="145" t="n">
        <v>46905</v>
      </c>
      <c r="AF4" s="145" t="n">
        <v>46935</v>
      </c>
      <c r="AG4" s="145" t="n">
        <v>46966</v>
      </c>
      <c r="AH4" s="145" t="n">
        <v>46997</v>
      </c>
      <c r="AI4" s="145" t="n">
        <v>47027</v>
      </c>
      <c r="AJ4" s="145" t="n">
        <v>47058</v>
      </c>
      <c r="AK4" s="145" t="n">
        <v>47088</v>
      </c>
      <c r="AL4" s="145" t="n">
        <v>47119</v>
      </c>
      <c r="AM4" s="145" t="n">
        <v>47150</v>
      </c>
      <c r="AN4" s="145" t="n">
        <v>47178</v>
      </c>
      <c r="AO4" s="145" t="n">
        <v>47209</v>
      </c>
      <c r="AP4" s="145" t="n">
        <v>47239</v>
      </c>
      <c r="AQ4" s="145" t="n">
        <v>47270</v>
      </c>
      <c r="AR4" s="145" t="n">
        <v>47300</v>
      </c>
      <c r="AS4" s="145" t="n">
        <v>47331</v>
      </c>
      <c r="AT4" s="145" t="n">
        <v>47362</v>
      </c>
      <c r="AU4" s="145" t="n">
        <v>47392</v>
      </c>
      <c r="AV4" s="145" t="n">
        <v>47423</v>
      </c>
      <c r="AW4" s="145" t="n">
        <v>47453</v>
      </c>
      <c r="AX4" s="145" t="n">
        <v>47484</v>
      </c>
      <c r="AY4" s="145" t="n">
        <v>47515</v>
      </c>
      <c r="AZ4" s="145" t="n">
        <v>47543</v>
      </c>
      <c r="BA4" s="145" t="n">
        <v>47574</v>
      </c>
      <c r="BB4" s="145" t="n">
        <v>47604</v>
      </c>
      <c r="BC4" s="145" t="n">
        <v>47635</v>
      </c>
      <c r="BD4" s="145" t="n">
        <v>47665</v>
      </c>
      <c r="BE4" s="145" t="n">
        <v>47696</v>
      </c>
      <c r="BF4" s="145" t="n">
        <v>47727</v>
      </c>
      <c r="BG4" s="145" t="n">
        <v>47757</v>
      </c>
      <c r="BH4" s="145" t="n">
        <v>47788</v>
      </c>
      <c r="BI4" s="145" t="n">
        <v>47818</v>
      </c>
      <c r="BJ4" s="146" t="s">
        <v>385</v>
      </c>
      <c r="BK4" s="146" t="s">
        <v>386</v>
      </c>
    </row>
    <row r="5" customFormat="false" ht="15" hidden="false" customHeight="true" outlineLevel="0" collapsed="false">
      <c r="A5" s="147" t="s">
        <v>387</v>
      </c>
      <c r="B5" s="148" t="n">
        <v>1</v>
      </c>
      <c r="C5" s="148" t="n">
        <v>2</v>
      </c>
      <c r="D5" s="148" t="n">
        <v>3</v>
      </c>
      <c r="E5" s="148" t="n">
        <v>4</v>
      </c>
      <c r="F5" s="148" t="n">
        <v>5</v>
      </c>
      <c r="G5" s="148" t="n">
        <v>6</v>
      </c>
      <c r="H5" s="148" t="n">
        <v>7</v>
      </c>
      <c r="I5" s="148" t="n">
        <v>8</v>
      </c>
      <c r="J5" s="148" t="n">
        <v>9</v>
      </c>
      <c r="K5" s="148" t="n">
        <v>10</v>
      </c>
      <c r="L5" s="148" t="n">
        <v>11</v>
      </c>
      <c r="M5" s="148" t="n">
        <v>12</v>
      </c>
      <c r="N5" s="148" t="n">
        <v>13</v>
      </c>
      <c r="O5" s="148" t="n">
        <v>14</v>
      </c>
      <c r="P5" s="148" t="n">
        <v>15</v>
      </c>
      <c r="Q5" s="148" t="n">
        <v>16</v>
      </c>
      <c r="R5" s="148" t="n">
        <v>17</v>
      </c>
      <c r="S5" s="148" t="n">
        <v>18</v>
      </c>
      <c r="T5" s="148" t="n">
        <v>19</v>
      </c>
      <c r="U5" s="148" t="n">
        <v>20</v>
      </c>
      <c r="V5" s="148" t="n">
        <v>21</v>
      </c>
      <c r="W5" s="148" t="n">
        <v>22</v>
      </c>
      <c r="X5" s="148" t="n">
        <v>23</v>
      </c>
      <c r="Y5" s="148" t="n">
        <v>24</v>
      </c>
      <c r="Z5" s="148" t="n">
        <v>25</v>
      </c>
      <c r="AA5" s="148" t="n">
        <v>26</v>
      </c>
      <c r="AB5" s="148" t="n">
        <v>27</v>
      </c>
      <c r="AC5" s="148" t="n">
        <v>28</v>
      </c>
      <c r="AD5" s="148" t="n">
        <v>29</v>
      </c>
      <c r="AE5" s="148" t="n">
        <v>30</v>
      </c>
      <c r="AF5" s="148" t="n">
        <v>31</v>
      </c>
      <c r="AG5" s="148" t="n">
        <v>32</v>
      </c>
      <c r="AH5" s="148" t="n">
        <v>33</v>
      </c>
      <c r="AI5" s="148" t="n">
        <v>34</v>
      </c>
      <c r="AJ5" s="148" t="n">
        <v>35</v>
      </c>
      <c r="AK5" s="148" t="n">
        <v>36</v>
      </c>
      <c r="AL5" s="148" t="n">
        <v>37</v>
      </c>
      <c r="AM5" s="148" t="n">
        <v>38</v>
      </c>
      <c r="AN5" s="148" t="n">
        <v>39</v>
      </c>
      <c r="AO5" s="148" t="n">
        <v>40</v>
      </c>
      <c r="AP5" s="148" t="n">
        <v>41</v>
      </c>
      <c r="AQ5" s="148" t="n">
        <v>42</v>
      </c>
      <c r="AR5" s="148" t="n">
        <v>43</v>
      </c>
      <c r="AS5" s="148" t="n">
        <v>44</v>
      </c>
      <c r="AT5" s="148" t="n">
        <v>45</v>
      </c>
      <c r="AU5" s="148" t="n">
        <v>46</v>
      </c>
      <c r="AV5" s="148" t="n">
        <v>47</v>
      </c>
      <c r="AW5" s="148" t="n">
        <v>48</v>
      </c>
      <c r="AX5" s="148" t="n">
        <v>49</v>
      </c>
      <c r="AY5" s="148" t="n">
        <v>50</v>
      </c>
      <c r="AZ5" s="148" t="n">
        <v>51</v>
      </c>
      <c r="BA5" s="148" t="n">
        <v>52</v>
      </c>
      <c r="BB5" s="148" t="n">
        <v>53</v>
      </c>
      <c r="BC5" s="148" t="n">
        <v>54</v>
      </c>
      <c r="BD5" s="148" t="n">
        <v>55</v>
      </c>
      <c r="BE5" s="148" t="n">
        <v>56</v>
      </c>
      <c r="BF5" s="148" t="n">
        <v>57</v>
      </c>
      <c r="BG5" s="148" t="n">
        <v>58</v>
      </c>
      <c r="BH5" s="148" t="n">
        <v>59</v>
      </c>
      <c r="BI5" s="148" t="n">
        <v>60</v>
      </c>
    </row>
    <row r="6" customFormat="false" ht="15" hidden="false" customHeight="true" outlineLevel="0" collapsed="false">
      <c r="A6" s="147" t="s">
        <v>388</v>
      </c>
      <c r="B6" s="149" t="n">
        <f aca="false">YEAR(B4)</f>
        <v>2026</v>
      </c>
      <c r="C6" s="149" t="n">
        <f aca="false">YEAR(C4)</f>
        <v>2026</v>
      </c>
      <c r="D6" s="149" t="n">
        <f aca="false">YEAR(D4)</f>
        <v>2026</v>
      </c>
      <c r="E6" s="149" t="n">
        <f aca="false">YEAR(E4)</f>
        <v>2026</v>
      </c>
      <c r="F6" s="149" t="n">
        <f aca="false">YEAR(F4)</f>
        <v>2026</v>
      </c>
      <c r="G6" s="149" t="n">
        <f aca="false">YEAR(G4)</f>
        <v>2026</v>
      </c>
      <c r="H6" s="149" t="n">
        <f aca="false">YEAR(H4)</f>
        <v>2026</v>
      </c>
      <c r="I6" s="149" t="n">
        <f aca="false">YEAR(I4)</f>
        <v>2026</v>
      </c>
      <c r="J6" s="149" t="n">
        <f aca="false">YEAR(J4)</f>
        <v>2026</v>
      </c>
      <c r="K6" s="149" t="n">
        <f aca="false">YEAR(K4)</f>
        <v>2026</v>
      </c>
      <c r="L6" s="149" t="n">
        <f aca="false">YEAR(L4)</f>
        <v>2026</v>
      </c>
      <c r="M6" s="149" t="n">
        <f aca="false">YEAR(M4)</f>
        <v>2026</v>
      </c>
      <c r="N6" s="149" t="n">
        <f aca="false">YEAR(N4)</f>
        <v>2027</v>
      </c>
      <c r="O6" s="149" t="n">
        <f aca="false">YEAR(O4)</f>
        <v>2027</v>
      </c>
      <c r="P6" s="149" t="n">
        <f aca="false">YEAR(P4)</f>
        <v>2027</v>
      </c>
      <c r="Q6" s="149" t="n">
        <f aca="false">YEAR(Q4)</f>
        <v>2027</v>
      </c>
      <c r="R6" s="149" t="n">
        <f aca="false">YEAR(R4)</f>
        <v>2027</v>
      </c>
      <c r="S6" s="149" t="n">
        <f aca="false">YEAR(S4)</f>
        <v>2027</v>
      </c>
      <c r="T6" s="149" t="n">
        <f aca="false">YEAR(T4)</f>
        <v>2027</v>
      </c>
      <c r="U6" s="149" t="n">
        <f aca="false">YEAR(U4)</f>
        <v>2027</v>
      </c>
      <c r="V6" s="149" t="n">
        <f aca="false">YEAR(V4)</f>
        <v>2027</v>
      </c>
      <c r="W6" s="149" t="n">
        <f aca="false">YEAR(W4)</f>
        <v>2027</v>
      </c>
      <c r="X6" s="149" t="n">
        <f aca="false">YEAR(X4)</f>
        <v>2027</v>
      </c>
      <c r="Y6" s="149" t="n">
        <f aca="false">YEAR(Y4)</f>
        <v>2027</v>
      </c>
      <c r="Z6" s="149" t="n">
        <f aca="false">YEAR(Z4)</f>
        <v>2028</v>
      </c>
      <c r="AA6" s="149" t="n">
        <f aca="false">YEAR(AA4)</f>
        <v>2028</v>
      </c>
      <c r="AB6" s="149" t="n">
        <f aca="false">YEAR(AB4)</f>
        <v>2028</v>
      </c>
      <c r="AC6" s="149" t="n">
        <f aca="false">YEAR(AC4)</f>
        <v>2028</v>
      </c>
      <c r="AD6" s="149" t="n">
        <f aca="false">YEAR(AD4)</f>
        <v>2028</v>
      </c>
      <c r="AE6" s="149" t="n">
        <f aca="false">YEAR(AE4)</f>
        <v>2028</v>
      </c>
      <c r="AF6" s="149" t="n">
        <f aca="false">YEAR(AF4)</f>
        <v>2028</v>
      </c>
      <c r="AG6" s="149" t="n">
        <f aca="false">YEAR(AG4)</f>
        <v>2028</v>
      </c>
      <c r="AH6" s="149" t="n">
        <f aca="false">YEAR(AH4)</f>
        <v>2028</v>
      </c>
      <c r="AI6" s="149" t="n">
        <f aca="false">YEAR(AI4)</f>
        <v>2028</v>
      </c>
      <c r="AJ6" s="149" t="n">
        <f aca="false">YEAR(AJ4)</f>
        <v>2028</v>
      </c>
      <c r="AK6" s="149" t="n">
        <f aca="false">YEAR(AK4)</f>
        <v>2028</v>
      </c>
      <c r="AL6" s="149" t="n">
        <f aca="false">YEAR(AL4)</f>
        <v>2029</v>
      </c>
      <c r="AM6" s="149" t="n">
        <f aca="false">YEAR(AM4)</f>
        <v>2029</v>
      </c>
      <c r="AN6" s="149" t="n">
        <f aca="false">YEAR(AN4)</f>
        <v>2029</v>
      </c>
      <c r="AO6" s="149" t="n">
        <f aca="false">YEAR(AO4)</f>
        <v>2029</v>
      </c>
      <c r="AP6" s="149" t="n">
        <f aca="false">YEAR(AP4)</f>
        <v>2029</v>
      </c>
      <c r="AQ6" s="149" t="n">
        <f aca="false">YEAR(AQ4)</f>
        <v>2029</v>
      </c>
      <c r="AR6" s="149" t="n">
        <f aca="false">YEAR(AR4)</f>
        <v>2029</v>
      </c>
      <c r="AS6" s="149" t="n">
        <f aca="false">YEAR(AS4)</f>
        <v>2029</v>
      </c>
      <c r="AT6" s="149" t="n">
        <f aca="false">YEAR(AT4)</f>
        <v>2029</v>
      </c>
      <c r="AU6" s="149" t="n">
        <f aca="false">YEAR(AU4)</f>
        <v>2029</v>
      </c>
      <c r="AV6" s="149" t="n">
        <f aca="false">YEAR(AV4)</f>
        <v>2029</v>
      </c>
      <c r="AW6" s="149" t="n">
        <f aca="false">YEAR(AW4)</f>
        <v>2029</v>
      </c>
      <c r="AX6" s="149" t="n">
        <f aca="false">YEAR(AX4)</f>
        <v>2030</v>
      </c>
      <c r="AY6" s="149" t="n">
        <f aca="false">YEAR(AY4)</f>
        <v>2030</v>
      </c>
      <c r="AZ6" s="149" t="n">
        <f aca="false">YEAR(AZ4)</f>
        <v>2030</v>
      </c>
      <c r="BA6" s="149" t="n">
        <f aca="false">YEAR(BA4)</f>
        <v>2030</v>
      </c>
      <c r="BB6" s="149" t="n">
        <f aca="false">YEAR(BB4)</f>
        <v>2030</v>
      </c>
      <c r="BC6" s="149" t="n">
        <f aca="false">YEAR(BC4)</f>
        <v>2030</v>
      </c>
      <c r="BD6" s="149" t="n">
        <f aca="false">YEAR(BD4)</f>
        <v>2030</v>
      </c>
      <c r="BE6" s="149" t="n">
        <f aca="false">YEAR(BE4)</f>
        <v>2030</v>
      </c>
      <c r="BF6" s="149" t="n">
        <f aca="false">YEAR(BF4)</f>
        <v>2030</v>
      </c>
      <c r="BG6" s="149" t="n">
        <f aca="false">YEAR(BG4)</f>
        <v>2030</v>
      </c>
      <c r="BH6" s="149" t="n">
        <f aca="false">YEAR(BH4)</f>
        <v>2030</v>
      </c>
      <c r="BI6" s="149" t="n">
        <f aca="false">YEAR(BI4)</f>
        <v>2030</v>
      </c>
    </row>
    <row r="7" customFormat="false" ht="15" hidden="false" customHeight="true" outlineLevel="0" collapsed="false">
      <c r="A7" s="150" t="s">
        <v>389</v>
      </c>
      <c r="B7" s="151" t="n">
        <f aca="false">MATCH(B6,Premissas!$C$5:$G$5,0)</f>
        <v>1</v>
      </c>
      <c r="C7" s="151" t="n">
        <f aca="false">MATCH(C6,Premissas!$C$5:$G$5,0)</f>
        <v>1</v>
      </c>
      <c r="D7" s="151" t="n">
        <f aca="false">MATCH(D6,Premissas!$C$5:$G$5,0)</f>
        <v>1</v>
      </c>
      <c r="E7" s="151" t="n">
        <f aca="false">MATCH(E6,Premissas!$C$5:$G$5,0)</f>
        <v>1</v>
      </c>
      <c r="F7" s="151" t="n">
        <f aca="false">MATCH(F6,Premissas!$C$5:$G$5,0)</f>
        <v>1</v>
      </c>
      <c r="G7" s="151" t="n">
        <f aca="false">MATCH(G6,Premissas!$C$5:$G$5,0)</f>
        <v>1</v>
      </c>
      <c r="H7" s="151" t="n">
        <f aca="false">MATCH(H6,Premissas!$C$5:$G$5,0)</f>
        <v>1</v>
      </c>
      <c r="I7" s="151" t="n">
        <f aca="false">MATCH(I6,Premissas!$C$5:$G$5,0)</f>
        <v>1</v>
      </c>
      <c r="J7" s="151" t="n">
        <f aca="false">MATCH(J6,Premissas!$C$5:$G$5,0)</f>
        <v>1</v>
      </c>
      <c r="K7" s="151" t="n">
        <f aca="false">MATCH(K6,Premissas!$C$5:$G$5,0)</f>
        <v>1</v>
      </c>
      <c r="L7" s="151" t="n">
        <f aca="false">MATCH(L6,Premissas!$C$5:$G$5,0)</f>
        <v>1</v>
      </c>
      <c r="M7" s="151" t="n">
        <f aca="false">MATCH(M6,Premissas!$C$5:$G$5,0)</f>
        <v>1</v>
      </c>
      <c r="N7" s="151" t="n">
        <f aca="false">MATCH(N6,Premissas!$C$5:$G$5,0)</f>
        <v>2</v>
      </c>
      <c r="O7" s="151" t="n">
        <f aca="false">MATCH(O6,Premissas!$C$5:$G$5,0)</f>
        <v>2</v>
      </c>
      <c r="P7" s="151" t="n">
        <f aca="false">MATCH(P6,Premissas!$C$5:$G$5,0)</f>
        <v>2</v>
      </c>
      <c r="Q7" s="151" t="n">
        <f aca="false">MATCH(Q6,Premissas!$C$5:$G$5,0)</f>
        <v>2</v>
      </c>
      <c r="R7" s="151" t="n">
        <f aca="false">MATCH(R6,Premissas!$C$5:$G$5,0)</f>
        <v>2</v>
      </c>
      <c r="S7" s="151" t="n">
        <f aca="false">MATCH(S6,Premissas!$C$5:$G$5,0)</f>
        <v>2</v>
      </c>
      <c r="T7" s="151" t="n">
        <f aca="false">MATCH(T6,Premissas!$C$5:$G$5,0)</f>
        <v>2</v>
      </c>
      <c r="U7" s="151" t="n">
        <f aca="false">MATCH(U6,Premissas!$C$5:$G$5,0)</f>
        <v>2</v>
      </c>
      <c r="V7" s="151" t="n">
        <f aca="false">MATCH(V6,Premissas!$C$5:$G$5,0)</f>
        <v>2</v>
      </c>
      <c r="W7" s="151" t="n">
        <f aca="false">MATCH(W6,Premissas!$C$5:$G$5,0)</f>
        <v>2</v>
      </c>
      <c r="X7" s="151" t="n">
        <f aca="false">MATCH(X6,Premissas!$C$5:$G$5,0)</f>
        <v>2</v>
      </c>
      <c r="Y7" s="151" t="n">
        <f aca="false">MATCH(Y6,Premissas!$C$5:$G$5,0)</f>
        <v>2</v>
      </c>
      <c r="Z7" s="151" t="n">
        <f aca="false">MATCH(Z6,Premissas!$C$5:$G$5,0)</f>
        <v>3</v>
      </c>
      <c r="AA7" s="151" t="n">
        <f aca="false">MATCH(AA6,Premissas!$C$5:$G$5,0)</f>
        <v>3</v>
      </c>
      <c r="AB7" s="151" t="n">
        <f aca="false">MATCH(AB6,Premissas!$C$5:$G$5,0)</f>
        <v>3</v>
      </c>
      <c r="AC7" s="151" t="n">
        <f aca="false">MATCH(AC6,Premissas!$C$5:$G$5,0)</f>
        <v>3</v>
      </c>
      <c r="AD7" s="151" t="n">
        <f aca="false">MATCH(AD6,Premissas!$C$5:$G$5,0)</f>
        <v>3</v>
      </c>
      <c r="AE7" s="151" t="n">
        <f aca="false">MATCH(AE6,Premissas!$C$5:$G$5,0)</f>
        <v>3</v>
      </c>
      <c r="AF7" s="151" t="n">
        <f aca="false">MATCH(AF6,Premissas!$C$5:$G$5,0)</f>
        <v>3</v>
      </c>
      <c r="AG7" s="151" t="n">
        <f aca="false">MATCH(AG6,Premissas!$C$5:$G$5,0)</f>
        <v>3</v>
      </c>
      <c r="AH7" s="151" t="n">
        <f aca="false">MATCH(AH6,Premissas!$C$5:$G$5,0)</f>
        <v>3</v>
      </c>
      <c r="AI7" s="151" t="n">
        <f aca="false">MATCH(AI6,Premissas!$C$5:$G$5,0)</f>
        <v>3</v>
      </c>
      <c r="AJ7" s="151" t="n">
        <f aca="false">MATCH(AJ6,Premissas!$C$5:$G$5,0)</f>
        <v>3</v>
      </c>
      <c r="AK7" s="151" t="n">
        <f aca="false">MATCH(AK6,Premissas!$C$5:$G$5,0)</f>
        <v>3</v>
      </c>
      <c r="AL7" s="151" t="n">
        <f aca="false">MATCH(AL6,Premissas!$C$5:$G$5,0)</f>
        <v>4</v>
      </c>
      <c r="AM7" s="151" t="n">
        <f aca="false">MATCH(AM6,Premissas!$C$5:$G$5,0)</f>
        <v>4</v>
      </c>
      <c r="AN7" s="151" t="n">
        <f aca="false">MATCH(AN6,Premissas!$C$5:$G$5,0)</f>
        <v>4</v>
      </c>
      <c r="AO7" s="151" t="n">
        <f aca="false">MATCH(AO6,Premissas!$C$5:$G$5,0)</f>
        <v>4</v>
      </c>
      <c r="AP7" s="151" t="n">
        <f aca="false">MATCH(AP6,Premissas!$C$5:$G$5,0)</f>
        <v>4</v>
      </c>
      <c r="AQ7" s="151" t="n">
        <f aca="false">MATCH(AQ6,Premissas!$C$5:$G$5,0)</f>
        <v>4</v>
      </c>
      <c r="AR7" s="151" t="n">
        <f aca="false">MATCH(AR6,Premissas!$C$5:$G$5,0)</f>
        <v>4</v>
      </c>
      <c r="AS7" s="151" t="n">
        <f aca="false">MATCH(AS6,Premissas!$C$5:$G$5,0)</f>
        <v>4</v>
      </c>
      <c r="AT7" s="151" t="n">
        <f aca="false">MATCH(AT6,Premissas!$C$5:$G$5,0)</f>
        <v>4</v>
      </c>
      <c r="AU7" s="151" t="n">
        <f aca="false">MATCH(AU6,Premissas!$C$5:$G$5,0)</f>
        <v>4</v>
      </c>
      <c r="AV7" s="151" t="n">
        <f aca="false">MATCH(AV6,Premissas!$C$5:$G$5,0)</f>
        <v>4</v>
      </c>
      <c r="AW7" s="151" t="n">
        <f aca="false">MATCH(AW6,Premissas!$C$5:$G$5,0)</f>
        <v>4</v>
      </c>
      <c r="AX7" s="151" t="n">
        <f aca="false">MATCH(AX6,Premissas!$C$5:$G$5,0)</f>
        <v>5</v>
      </c>
      <c r="AY7" s="151" t="n">
        <f aca="false">MATCH(AY6,Premissas!$C$5:$G$5,0)</f>
        <v>5</v>
      </c>
      <c r="AZ7" s="151" t="n">
        <f aca="false">MATCH(AZ6,Premissas!$C$5:$G$5,0)</f>
        <v>5</v>
      </c>
      <c r="BA7" s="151" t="n">
        <f aca="false">MATCH(BA6,Premissas!$C$5:$G$5,0)</f>
        <v>5</v>
      </c>
      <c r="BB7" s="151" t="n">
        <f aca="false">MATCH(BB6,Premissas!$C$5:$G$5,0)</f>
        <v>5</v>
      </c>
      <c r="BC7" s="151" t="n">
        <f aca="false">MATCH(BC6,Premissas!$C$5:$G$5,0)</f>
        <v>5</v>
      </c>
      <c r="BD7" s="151" t="n">
        <f aca="false">MATCH(BD6,Premissas!$C$5:$G$5,0)</f>
        <v>5</v>
      </c>
      <c r="BE7" s="151" t="n">
        <f aca="false">MATCH(BE6,Premissas!$C$5:$G$5,0)</f>
        <v>5</v>
      </c>
      <c r="BF7" s="151" t="n">
        <f aca="false">MATCH(BF6,Premissas!$C$5:$G$5,0)</f>
        <v>5</v>
      </c>
      <c r="BG7" s="151" t="n">
        <f aca="false">MATCH(BG6,Premissas!$C$5:$G$5,0)</f>
        <v>5</v>
      </c>
      <c r="BH7" s="151" t="n">
        <f aca="false">MATCH(BH6,Premissas!$C$5:$G$5,0)</f>
        <v>5</v>
      </c>
      <c r="BI7" s="151" t="n">
        <f aca="false">MATCH(BI6,Premissas!$C$5:$G$5,0)</f>
        <v>5</v>
      </c>
    </row>
    <row r="8" customFormat="false" ht="18" hidden="false" customHeight="true" outlineLevel="0" collapsed="false">
      <c r="A8" s="47" t="s">
        <v>390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</row>
    <row r="9" customFormat="false" ht="15" hidden="false" customHeight="true" outlineLevel="0" collapsed="false">
      <c r="A9" s="152" t="s">
        <v>391</v>
      </c>
      <c r="B9" s="153" t="n">
        <f aca="false">CHOOSE(Premissas!$B$6,Cenários!B20,Cenários!B66,Cenários!B112)</f>
        <v>0</v>
      </c>
      <c r="C9" s="153" t="n">
        <f aca="false">CHOOSE(Premissas!$B$6,Cenários!C20,Cenários!C66,Cenários!C112)</f>
        <v>0</v>
      </c>
      <c r="D9" s="153" t="n">
        <f aca="false">CHOOSE(Premissas!$B$6,Cenários!D20,Cenários!D66,Cenários!D112)</f>
        <v>0</v>
      </c>
      <c r="E9" s="153" t="n">
        <f aca="false">CHOOSE(Premissas!$B$6,Cenários!E20,Cenários!E66,Cenários!E112)</f>
        <v>0</v>
      </c>
      <c r="F9" s="153" t="n">
        <f aca="false">CHOOSE(Premissas!$B$6,Cenários!F20,Cenários!F66,Cenários!F112)</f>
        <v>0</v>
      </c>
      <c r="G9" s="153" t="n">
        <f aca="false">CHOOSE(Premissas!$B$6,Cenários!G20,Cenários!G66,Cenários!G112)</f>
        <v>0</v>
      </c>
      <c r="H9" s="153" t="n">
        <f aca="false">CHOOSE(Premissas!$B$6,Cenários!H20,Cenários!H66,Cenários!H112)</f>
        <v>0</v>
      </c>
      <c r="I9" s="153" t="n">
        <f aca="false">CHOOSE(Premissas!$B$6,Cenários!I20,Cenários!I66,Cenários!I112)</f>
        <v>0</v>
      </c>
      <c r="J9" s="153" t="n">
        <f aca="false">CHOOSE(Premissas!$B$6,Cenários!J20,Cenários!J66,Cenários!J112)</f>
        <v>0</v>
      </c>
      <c r="K9" s="153" t="n">
        <f aca="false">CHOOSE(Premissas!$B$6,Cenários!K20,Cenários!K66,Cenários!K112)</f>
        <v>0</v>
      </c>
      <c r="L9" s="153" t="n">
        <f aca="false">CHOOSE(Premissas!$B$6,Cenários!L20,Cenários!L66,Cenários!L112)</f>
        <v>0</v>
      </c>
      <c r="M9" s="153" t="n">
        <f aca="false">CHOOSE(Premissas!$B$6,Cenários!M20,Cenários!M66,Cenários!M112)</f>
        <v>7191</v>
      </c>
      <c r="N9" s="153" t="n">
        <f aca="false">CHOOSE(Premissas!$B$6,Cenários!N20,Cenários!N66,Cenários!N112)</f>
        <v>36114.8</v>
      </c>
      <c r="O9" s="153" t="n">
        <f aca="false">CHOOSE(Premissas!$B$6,Cenários!O20,Cenários!O66,Cenários!O112)</f>
        <v>83655.3</v>
      </c>
      <c r="P9" s="153" t="n">
        <f aca="false">CHOOSE(Premissas!$B$6,Cenários!P20,Cenários!P66,Cenários!P112)</f>
        <v>147815</v>
      </c>
      <c r="Q9" s="153" t="n">
        <f aca="false">CHOOSE(Premissas!$B$6,Cenários!Q20,Cenários!Q66,Cenários!Q112)</f>
        <v>226676.3</v>
      </c>
      <c r="R9" s="153" t="n">
        <f aca="false">CHOOSE(Premissas!$B$6,Cenários!R20,Cenários!R66,Cenários!R112)</f>
        <v>318641.2</v>
      </c>
      <c r="S9" s="153" t="n">
        <f aca="false">CHOOSE(Premissas!$B$6,Cenários!S20,Cenários!S66,Cenários!S112)</f>
        <v>361707.3</v>
      </c>
      <c r="T9" s="153" t="n">
        <f aca="false">CHOOSE(Premissas!$B$6,Cenários!T20,Cenários!T66,Cenários!T112)</f>
        <v>401497.5</v>
      </c>
      <c r="U9" s="153" t="n">
        <f aca="false">CHOOSE(Premissas!$B$6,Cenários!U20,Cenários!U66,Cenários!U112)</f>
        <v>438331.4</v>
      </c>
      <c r="V9" s="153" t="n">
        <f aca="false">CHOOSE(Premissas!$B$6,Cenários!V20,Cenários!V66,Cenários!V112)</f>
        <v>472448.7</v>
      </c>
      <c r="W9" s="153" t="n">
        <f aca="false">CHOOSE(Premissas!$B$6,Cenários!W20,Cenários!W66,Cenários!W112)</f>
        <v>503929.3</v>
      </c>
      <c r="X9" s="153" t="n">
        <f aca="false">CHOOSE(Premissas!$B$6,Cenários!X20,Cenários!X66,Cenários!X112)</f>
        <v>533092.8</v>
      </c>
      <c r="Y9" s="153" t="n">
        <f aca="false">CHOOSE(Premissas!$B$6,Cenários!Y20,Cenários!Y66,Cenários!Y112)</f>
        <v>560019.1</v>
      </c>
      <c r="Z9" s="153" t="n">
        <f aca="false">CHOOSE(Premissas!$B$6,Cenários!Z20,Cenários!Z66,Cenários!Z112)</f>
        <v>434895.7</v>
      </c>
      <c r="AA9" s="153" t="n">
        <f aca="false">CHOOSE(Premissas!$B$6,Cenários!AA20,Cenários!AA66,Cenários!AA112)</f>
        <v>474606</v>
      </c>
      <c r="AB9" s="153" t="n">
        <f aca="false">CHOOSE(Premissas!$B$6,Cenários!AB20,Cenários!AB66,Cenários!AB112)</f>
        <v>511519.8</v>
      </c>
      <c r="AC9" s="153" t="n">
        <f aca="false">CHOOSE(Premissas!$B$6,Cenários!AC20,Cenários!AC66,Cenários!AC112)</f>
        <v>545796.9</v>
      </c>
      <c r="AD9" s="153" t="n">
        <f aca="false">CHOOSE(Premissas!$B$6,Cenários!AD20,Cenários!AD66,Cenários!AD112)</f>
        <v>577597.1</v>
      </c>
      <c r="AE9" s="153" t="n">
        <f aca="false">CHOOSE(Premissas!$B$6,Cenários!AE20,Cenários!AE66,Cenários!AE112)</f>
        <v>607240</v>
      </c>
      <c r="AF9" s="153" t="n">
        <f aca="false">CHOOSE(Premissas!$B$6,Cenários!AF20,Cenários!AF66,Cenários!AF112)</f>
        <v>634725.6</v>
      </c>
      <c r="AG9" s="153" t="n">
        <f aca="false">CHOOSE(Premissas!$B$6,Cenários!AG20,Cenários!AG66,Cenários!AG112)</f>
        <v>660213.7</v>
      </c>
      <c r="AH9" s="153" t="n">
        <f aca="false">CHOOSE(Premissas!$B$6,Cenários!AH20,Cenários!AH66,Cenários!AH112)</f>
        <v>684023.9</v>
      </c>
      <c r="AI9" s="153" t="n">
        <f aca="false">CHOOSE(Premissas!$B$6,Cenários!AI20,Cenários!AI66,Cenários!AI112)</f>
        <v>706076.3</v>
      </c>
      <c r="AJ9" s="153" t="n">
        <f aca="false">CHOOSE(Premissas!$B$6,Cenários!AJ20,Cenários!AJ66,Cenários!AJ112)</f>
        <v>726610.6</v>
      </c>
      <c r="AK9" s="153" t="n">
        <f aca="false">CHOOSE(Premissas!$B$6,Cenários!AK20,Cenários!AK66,Cenários!AK112)</f>
        <v>745626.8</v>
      </c>
      <c r="AL9" s="153" t="n">
        <f aca="false">CHOOSE(Premissas!$B$6,Cenários!AL20,Cenários!AL66,Cenários!AL112)</f>
        <v>777187.3</v>
      </c>
      <c r="AM9" s="153" t="n">
        <f aca="false">CHOOSE(Premissas!$B$6,Cenários!AM20,Cenários!AM66,Cenários!AM112)</f>
        <v>828003.7</v>
      </c>
      <c r="AN9" s="153" t="n">
        <f aca="false">CHOOSE(Premissas!$B$6,Cenários!AN20,Cenários!AN66,Cenários!AN112)</f>
        <v>875384.4</v>
      </c>
      <c r="AO9" s="153" t="n">
        <f aca="false">CHOOSE(Premissas!$B$6,Cenários!AO20,Cenários!AO66,Cenários!AO112)</f>
        <v>919569.1</v>
      </c>
      <c r="AP9" s="153" t="n">
        <f aca="false">CHOOSE(Premissas!$B$6,Cenários!AP20,Cenários!AP66,Cenários!AP112)</f>
        <v>960877.4</v>
      </c>
      <c r="AQ9" s="153" t="n">
        <f aca="false">CHOOSE(Premissas!$B$6,Cenários!AQ20,Cenários!AQ66,Cenários!AQ112)</f>
        <v>999469.1</v>
      </c>
      <c r="AR9" s="153" t="n">
        <f aca="false">CHOOSE(Premissas!$B$6,Cenários!AR20,Cenários!AR66,Cenários!AR112)</f>
        <v>1035424.1</v>
      </c>
      <c r="AS9" s="153" t="n">
        <f aca="false">CHOOSE(Premissas!$B$6,Cenários!AS20,Cenários!AS66,Cenários!AS112)</f>
        <v>1069062</v>
      </c>
      <c r="AT9" s="153" t="n">
        <f aca="false">CHOOSE(Premissas!$B$6,Cenários!AT20,Cenários!AT66,Cenários!AT112)</f>
        <v>1100382.8</v>
      </c>
      <c r="AU9" s="153" t="n">
        <f aca="false">CHOOSE(Premissas!$B$6,Cenários!AU20,Cenários!AU66,Cenários!AU112)</f>
        <v>1129706.1</v>
      </c>
      <c r="AV9" s="153" t="n">
        <f aca="false">CHOOSE(Premissas!$B$6,Cenários!AV20,Cenários!AV66,Cenários!AV112)</f>
        <v>1157031.9</v>
      </c>
      <c r="AW9" s="153" t="n">
        <f aca="false">CHOOSE(Premissas!$B$6,Cenários!AW20,Cenários!AW66,Cenários!AW112)</f>
        <v>1182599.9</v>
      </c>
      <c r="AX9" s="153" t="n">
        <f aca="false">CHOOSE(Premissas!$B$6,Cenários!AX20,Cenários!AX66,Cenários!AX112)</f>
        <v>1218954.4</v>
      </c>
      <c r="AY9" s="153" t="n">
        <f aca="false">CHOOSE(Premissas!$B$6,Cenários!AY20,Cenários!AY66,Cenários!AY112)</f>
        <v>1291104.1</v>
      </c>
      <c r="AZ9" s="153" t="n">
        <f aca="false">CHOOSE(Premissas!$B$6,Cenários!AZ20,Cenários!AZ66,Cenários!AZ112)</f>
        <v>1358779.4</v>
      </c>
      <c r="BA9" s="153" t="n">
        <f aca="false">CHOOSE(Premissas!$B$6,Cenários!BA20,Cenários!BA66,Cenários!BA112)</f>
        <v>1422220</v>
      </c>
      <c r="BB9" s="153" t="n">
        <f aca="false">CHOOSE(Premissas!$B$6,Cenários!BB20,Cenários!BB66,Cenários!BB112)</f>
        <v>1481745.5</v>
      </c>
      <c r="BC9" s="153" t="n">
        <f aca="false">CHOOSE(Premissas!$B$6,Cenários!BC20,Cenários!BC66,Cenários!BC112)</f>
        <v>1537515.7</v>
      </c>
      <c r="BD9" s="153" t="n">
        <f aca="false">CHOOSE(Premissas!$B$6,Cenários!BD20,Cenários!BD66,Cenários!BD112)</f>
        <v>1589770.3</v>
      </c>
      <c r="BE9" s="153" t="n">
        <f aca="false">CHOOSE(Premissas!$B$6,Cenários!BE20,Cenários!BE66,Cenários!BE112)</f>
        <v>1638828.9</v>
      </c>
      <c r="BF9" s="153" t="n">
        <f aca="false">CHOOSE(Premissas!$B$6,Cenários!BF20,Cenários!BF66,Cenários!BF112)</f>
        <v>1684771.4</v>
      </c>
      <c r="BG9" s="153" t="n">
        <f aca="false">CHOOSE(Premissas!$B$6,Cenários!BG20,Cenários!BG66,Cenários!BG112)</f>
        <v>1727837.5</v>
      </c>
      <c r="BH9" s="153" t="n">
        <f aca="false">CHOOSE(Premissas!$B$6,Cenários!BH20,Cenários!BH66,Cenários!BH112)</f>
        <v>1768266.9</v>
      </c>
      <c r="BI9" s="153" t="n">
        <f aca="false">CHOOSE(Premissas!$B$6,Cenários!BI20,Cenários!BI66,Cenários!BI112)</f>
        <v>1806139.5</v>
      </c>
      <c r="BJ9" s="154" t="n">
        <f aca="false">SUM(B9:BI9)</f>
        <v>41960683.5</v>
      </c>
    </row>
    <row r="10" customFormat="false" ht="15" hidden="false" customHeight="true" outlineLevel="0" collapsed="false">
      <c r="A10" s="152" t="s">
        <v>392</v>
      </c>
      <c r="B10" s="153" t="n">
        <f aca="false">CHOOSE(Premissas!$B$6,Cenários!B21,Cenários!B67,Cenários!B113)</f>
        <v>0</v>
      </c>
      <c r="C10" s="153" t="n">
        <f aca="false">CHOOSE(Premissas!$B$6,Cenários!C21,Cenários!C67,Cenários!C113)</f>
        <v>0</v>
      </c>
      <c r="D10" s="153" t="n">
        <f aca="false">CHOOSE(Premissas!$B$6,Cenários!D21,Cenários!D67,Cenários!D113)</f>
        <v>0</v>
      </c>
      <c r="E10" s="153" t="n">
        <f aca="false">CHOOSE(Premissas!$B$6,Cenários!E21,Cenários!E67,Cenários!E113)</f>
        <v>0</v>
      </c>
      <c r="F10" s="153" t="n">
        <f aca="false">CHOOSE(Premissas!$B$6,Cenários!F21,Cenários!F67,Cenários!F113)</f>
        <v>0</v>
      </c>
      <c r="G10" s="153" t="n">
        <f aca="false">CHOOSE(Premissas!$B$6,Cenários!G21,Cenários!G67,Cenários!G113)</f>
        <v>0</v>
      </c>
      <c r="H10" s="153" t="n">
        <f aca="false">CHOOSE(Premissas!$B$6,Cenários!H21,Cenários!H67,Cenários!H113)</f>
        <v>0</v>
      </c>
      <c r="I10" s="153" t="n">
        <f aca="false">CHOOSE(Premissas!$B$6,Cenários!I21,Cenários!I67,Cenários!I113)</f>
        <v>0</v>
      </c>
      <c r="J10" s="153" t="n">
        <f aca="false">CHOOSE(Premissas!$B$6,Cenários!J21,Cenários!J67,Cenários!J113)</f>
        <v>0</v>
      </c>
      <c r="K10" s="153" t="n">
        <f aca="false">CHOOSE(Premissas!$B$6,Cenários!K21,Cenários!K67,Cenários!K113)</f>
        <v>0</v>
      </c>
      <c r="L10" s="153" t="n">
        <f aca="false">CHOOSE(Premissas!$B$6,Cenários!L21,Cenários!L67,Cenários!L113)</f>
        <v>0</v>
      </c>
      <c r="M10" s="153" t="n">
        <f aca="false">CHOOSE(Premissas!$B$6,Cenários!M21,Cenários!M67,Cenários!M113)</f>
        <v>0</v>
      </c>
      <c r="N10" s="153" t="n">
        <f aca="false">CHOOSE(Premissas!$B$6,Cenários!N21,Cenários!N67,Cenários!N113)</f>
        <v>0</v>
      </c>
      <c r="O10" s="153" t="n">
        <f aca="false">CHOOSE(Premissas!$B$6,Cenários!O21,Cenários!O67,Cenários!O113)</f>
        <v>0</v>
      </c>
      <c r="P10" s="153" t="n">
        <f aca="false">CHOOSE(Premissas!$B$6,Cenários!P21,Cenários!P67,Cenários!P113)</f>
        <v>0</v>
      </c>
      <c r="Q10" s="153" t="n">
        <f aca="false">CHOOSE(Premissas!$B$6,Cenários!Q21,Cenários!Q67,Cenários!Q113)</f>
        <v>0</v>
      </c>
      <c r="R10" s="153" t="n">
        <f aca="false">CHOOSE(Premissas!$B$6,Cenários!R21,Cenários!R67,Cenários!R113)</f>
        <v>0</v>
      </c>
      <c r="S10" s="153" t="n">
        <f aca="false">CHOOSE(Premissas!$B$6,Cenários!S21,Cenários!S67,Cenários!S113)</f>
        <v>0</v>
      </c>
      <c r="T10" s="153" t="n">
        <f aca="false">CHOOSE(Premissas!$B$6,Cenários!T21,Cenários!T67,Cenários!T113)</f>
        <v>0</v>
      </c>
      <c r="U10" s="153" t="n">
        <f aca="false">CHOOSE(Premissas!$B$6,Cenários!U21,Cenários!U67,Cenários!U113)</f>
        <v>0</v>
      </c>
      <c r="V10" s="153" t="n">
        <f aca="false">CHOOSE(Premissas!$B$6,Cenários!V21,Cenários!V67,Cenários!V113)</f>
        <v>0</v>
      </c>
      <c r="W10" s="153" t="n">
        <f aca="false">CHOOSE(Premissas!$B$6,Cenários!W21,Cenários!W67,Cenários!W113)</f>
        <v>0</v>
      </c>
      <c r="X10" s="153" t="n">
        <f aca="false">CHOOSE(Premissas!$B$6,Cenários!X21,Cenários!X67,Cenários!X113)</f>
        <v>0</v>
      </c>
      <c r="Y10" s="153" t="n">
        <f aca="false">CHOOSE(Premissas!$B$6,Cenários!Y21,Cenários!Y67,Cenários!Y113)</f>
        <v>0</v>
      </c>
      <c r="Z10" s="153" t="n">
        <f aca="false">CHOOSE(Premissas!$B$6,Cenários!Z21,Cenários!Z67,Cenários!Z113)</f>
        <v>172697.9</v>
      </c>
      <c r="AA10" s="153" t="n">
        <f aca="false">CHOOSE(Premissas!$B$6,Cenários!AA21,Cenários!AA67,Cenários!AA113)</f>
        <v>188430.4</v>
      </c>
      <c r="AB10" s="153" t="n">
        <f aca="false">CHOOSE(Premissas!$B$6,Cenários!AB21,Cenários!AB67,Cenários!AB113)</f>
        <v>203084.1</v>
      </c>
      <c r="AC10" s="153" t="n">
        <f aca="false">CHOOSE(Premissas!$B$6,Cenários!AC21,Cenários!AC67,Cenários!AC113)</f>
        <v>216748.9</v>
      </c>
      <c r="AD10" s="153" t="n">
        <f aca="false">CHOOSE(Premissas!$B$6,Cenários!AD21,Cenários!AD67,Cenários!AD113)</f>
        <v>229334.9</v>
      </c>
      <c r="AE10" s="153" t="n">
        <f aca="false">CHOOSE(Premissas!$B$6,Cenários!AE21,Cenários!AE67,Cenários!AE113)</f>
        <v>241111.8</v>
      </c>
      <c r="AF10" s="153" t="n">
        <f aca="false">CHOOSE(Premissas!$B$6,Cenários!AF21,Cenários!AF67,Cenários!AF113)</f>
        <v>252079.6</v>
      </c>
      <c r="AG10" s="153" t="n">
        <f aca="false">CHOOSE(Premissas!$B$6,Cenários!AG21,Cenários!AG67,Cenários!AG113)</f>
        <v>262148.4</v>
      </c>
      <c r="AH10" s="153" t="n">
        <f aca="false">CHOOSE(Premissas!$B$6,Cenários!AH21,Cenários!AH67,Cenários!AH113)</f>
        <v>271587.9</v>
      </c>
      <c r="AI10" s="153" t="n">
        <f aca="false">CHOOSE(Premissas!$B$6,Cenários!AI21,Cenários!AI67,Cenários!AI113)</f>
        <v>280398.1</v>
      </c>
      <c r="AJ10" s="153" t="n">
        <f aca="false">CHOOSE(Premissas!$B$6,Cenários!AJ21,Cenários!AJ67,Cenários!AJ113)</f>
        <v>288579</v>
      </c>
      <c r="AK10" s="153" t="n">
        <f aca="false">CHOOSE(Premissas!$B$6,Cenários!AK21,Cenários!AK67,Cenários!AK113)</f>
        <v>296130.6</v>
      </c>
      <c r="AL10" s="153" t="n">
        <f aca="false">CHOOSE(Premissas!$B$6,Cenários!AL21,Cenários!AL67,Cenários!AL113)</f>
        <v>355284.8</v>
      </c>
      <c r="AM10" s="153" t="n">
        <f aca="false">CHOOSE(Premissas!$B$6,Cenários!AM21,Cenários!AM67,Cenários!AM113)</f>
        <v>378479</v>
      </c>
      <c r="AN10" s="153" t="n">
        <f aca="false">CHOOSE(Premissas!$B$6,Cenários!AN21,Cenários!AN67,Cenários!AN113)</f>
        <v>400144.9</v>
      </c>
      <c r="AO10" s="153" t="n">
        <f aca="false">CHOOSE(Premissas!$B$6,Cenários!AO21,Cenários!AO67,Cenários!AO113)</f>
        <v>420372.4</v>
      </c>
      <c r="AP10" s="153" t="n">
        <f aca="false">CHOOSE(Premissas!$B$6,Cenários!AP21,Cenários!AP67,Cenários!AP113)</f>
        <v>439251.4</v>
      </c>
      <c r="AQ10" s="153" t="n">
        <f aca="false">CHOOSE(Premissas!$B$6,Cenários!AQ21,Cenários!AQ67,Cenários!AQ113)</f>
        <v>456871.8</v>
      </c>
      <c r="AR10" s="153" t="n">
        <f aca="false">CHOOSE(Premissas!$B$6,Cenários!AR21,Cenários!AR67,Cenários!AR113)</f>
        <v>473323.5</v>
      </c>
      <c r="AS10" s="153" t="n">
        <f aca="false">CHOOSE(Premissas!$B$6,Cenários!AS21,Cenários!AS67,Cenários!AS113)</f>
        <v>488696.4</v>
      </c>
      <c r="AT10" s="153" t="n">
        <f aca="false">CHOOSE(Premissas!$B$6,Cenários!AT21,Cenários!AT67,Cenários!AT113)</f>
        <v>502990.5</v>
      </c>
      <c r="AU10" s="153" t="n">
        <f aca="false">CHOOSE(Premissas!$B$6,Cenários!AU21,Cenários!AU67,Cenários!AU113)</f>
        <v>516385.6</v>
      </c>
      <c r="AV10" s="153" t="n">
        <f aca="false">CHOOSE(Premissas!$B$6,Cenários!AV21,Cenários!AV67,Cenários!AV113)</f>
        <v>528881.7</v>
      </c>
      <c r="AW10" s="153" t="n">
        <f aca="false">CHOOSE(Premissas!$B$6,Cenários!AW21,Cenários!AW67,Cenários!AW113)</f>
        <v>540568.7</v>
      </c>
      <c r="AX10" s="153" t="n">
        <f aca="false">CHOOSE(Premissas!$B$6,Cenários!AX21,Cenários!AX67,Cenários!AX113)</f>
        <v>639998.1</v>
      </c>
      <c r="AY10" s="153" t="n">
        <f aca="false">CHOOSE(Premissas!$B$6,Cenários!AY21,Cenários!AY67,Cenários!AY113)</f>
        <v>677935.9</v>
      </c>
      <c r="AZ10" s="153" t="n">
        <f aca="false">CHOOSE(Premissas!$B$6,Cenários!AZ21,Cenários!AZ67,Cenários!AZ113)</f>
        <v>713446.4</v>
      </c>
      <c r="BA10" s="153" t="n">
        <f aca="false">CHOOSE(Premissas!$B$6,Cenários!BA21,Cenários!BA67,Cenários!BA113)</f>
        <v>746799.3</v>
      </c>
      <c r="BB10" s="153" t="n">
        <f aca="false">CHOOSE(Premissas!$B$6,Cenários!BB21,Cenários!BB67,Cenários!BB113)</f>
        <v>777994.6</v>
      </c>
      <c r="BC10" s="153" t="n">
        <f aca="false">CHOOSE(Premissas!$B$6,Cenários!BC21,Cenários!BC67,Cenários!BC113)</f>
        <v>807302</v>
      </c>
      <c r="BD10" s="153" t="n">
        <f aca="false">CHOOSE(Premissas!$B$6,Cenários!BD21,Cenários!BD67,Cenários!BD113)</f>
        <v>834721.5</v>
      </c>
      <c r="BE10" s="153" t="n">
        <f aca="false">CHOOSE(Premissas!$B$6,Cenários!BE21,Cenários!BE67,Cenários!BE113)</f>
        <v>860522.8</v>
      </c>
      <c r="BF10" s="153" t="n">
        <f aca="false">CHOOSE(Premissas!$B$6,Cenários!BF21,Cenários!BF67,Cenários!BF113)</f>
        <v>884616</v>
      </c>
      <c r="BG10" s="153" t="n">
        <f aca="false">CHOOSE(Premissas!$B$6,Cenários!BG21,Cenários!BG67,Cenários!BG113)</f>
        <v>907270.8</v>
      </c>
      <c r="BH10" s="153" t="n">
        <f aca="false">CHOOSE(Premissas!$B$6,Cenários!BH21,Cenários!BH67,Cenários!BH113)</f>
        <v>928487.2</v>
      </c>
      <c r="BI10" s="153" t="n">
        <f aca="false">CHOOSE(Premissas!$B$6,Cenários!BI21,Cenários!BI67,Cenários!BI113)</f>
        <v>948355.1</v>
      </c>
      <c r="BJ10" s="154" t="n">
        <f aca="false">SUM(B10:BI10)</f>
        <v>18131032</v>
      </c>
    </row>
    <row r="11" customFormat="false" ht="15" hidden="false" customHeight="true" outlineLevel="0" collapsed="false">
      <c r="A11" s="152" t="s">
        <v>393</v>
      </c>
      <c r="B11" s="153" t="n">
        <f aca="false">CHOOSE(Premissas!$B$6,Cenários!B22,Cenários!B68,Cenários!B114)</f>
        <v>0</v>
      </c>
      <c r="C11" s="153" t="n">
        <f aca="false">CHOOSE(Premissas!$B$6,Cenários!C22,Cenários!C68,Cenários!C114)</f>
        <v>0</v>
      </c>
      <c r="D11" s="153" t="n">
        <f aca="false">CHOOSE(Premissas!$B$6,Cenários!D22,Cenários!D68,Cenários!D114)</f>
        <v>0</v>
      </c>
      <c r="E11" s="153" t="n">
        <f aca="false">CHOOSE(Premissas!$B$6,Cenários!E22,Cenários!E68,Cenários!E114)</f>
        <v>0</v>
      </c>
      <c r="F11" s="153" t="n">
        <f aca="false">CHOOSE(Premissas!$B$6,Cenários!F22,Cenários!F68,Cenários!F114)</f>
        <v>0</v>
      </c>
      <c r="G11" s="153" t="n">
        <f aca="false">CHOOSE(Premissas!$B$6,Cenários!G22,Cenários!G68,Cenários!G114)</f>
        <v>0</v>
      </c>
      <c r="H11" s="153" t="n">
        <f aca="false">CHOOSE(Premissas!$B$6,Cenários!H22,Cenários!H68,Cenários!H114)</f>
        <v>0</v>
      </c>
      <c r="I11" s="153" t="n">
        <f aca="false">CHOOSE(Premissas!$B$6,Cenários!I22,Cenários!I68,Cenários!I114)</f>
        <v>0</v>
      </c>
      <c r="J11" s="153" t="n">
        <f aca="false">CHOOSE(Premissas!$B$6,Cenários!J22,Cenários!J68,Cenários!J114)</f>
        <v>0</v>
      </c>
      <c r="K11" s="153" t="n">
        <f aca="false">CHOOSE(Premissas!$B$6,Cenários!K22,Cenários!K68,Cenários!K114)</f>
        <v>0</v>
      </c>
      <c r="L11" s="153" t="n">
        <f aca="false">CHOOSE(Premissas!$B$6,Cenários!L22,Cenários!L68,Cenários!L114)</f>
        <v>0</v>
      </c>
      <c r="M11" s="153" t="n">
        <f aca="false">CHOOSE(Premissas!$B$6,Cenários!M22,Cenários!M68,Cenários!M114)</f>
        <v>0</v>
      </c>
      <c r="N11" s="153" t="n">
        <f aca="false">CHOOSE(Premissas!$B$6,Cenários!N22,Cenários!N68,Cenários!N114)</f>
        <v>0</v>
      </c>
      <c r="O11" s="153" t="n">
        <f aca="false">CHOOSE(Premissas!$B$6,Cenários!O22,Cenários!O68,Cenários!O114)</f>
        <v>0</v>
      </c>
      <c r="P11" s="153" t="n">
        <f aca="false">CHOOSE(Premissas!$B$6,Cenários!P22,Cenários!P68,Cenários!P114)</f>
        <v>0</v>
      </c>
      <c r="Q11" s="153" t="n">
        <f aca="false">CHOOSE(Premissas!$B$6,Cenários!Q22,Cenários!Q68,Cenários!Q114)</f>
        <v>0</v>
      </c>
      <c r="R11" s="153" t="n">
        <f aca="false">CHOOSE(Premissas!$B$6,Cenários!R22,Cenários!R68,Cenários!R114)</f>
        <v>0</v>
      </c>
      <c r="S11" s="153" t="n">
        <f aca="false">CHOOSE(Premissas!$B$6,Cenários!S22,Cenários!S68,Cenários!S114)</f>
        <v>0</v>
      </c>
      <c r="T11" s="153" t="n">
        <f aca="false">CHOOSE(Premissas!$B$6,Cenários!T22,Cenários!T68,Cenários!T114)</f>
        <v>0</v>
      </c>
      <c r="U11" s="153" t="n">
        <f aca="false">CHOOSE(Premissas!$B$6,Cenários!U22,Cenários!U68,Cenários!U114)</f>
        <v>0</v>
      </c>
      <c r="V11" s="153" t="n">
        <f aca="false">CHOOSE(Premissas!$B$6,Cenários!V22,Cenários!V68,Cenários!V114)</f>
        <v>0</v>
      </c>
      <c r="W11" s="153" t="n">
        <f aca="false">CHOOSE(Premissas!$B$6,Cenários!W22,Cenários!W68,Cenários!W114)</f>
        <v>0</v>
      </c>
      <c r="X11" s="153" t="n">
        <f aca="false">CHOOSE(Premissas!$B$6,Cenários!X22,Cenários!X68,Cenários!X114)</f>
        <v>0</v>
      </c>
      <c r="Y11" s="153" t="n">
        <f aca="false">CHOOSE(Premissas!$B$6,Cenários!Y22,Cenários!Y68,Cenários!Y114)</f>
        <v>0</v>
      </c>
      <c r="Z11" s="153" t="n">
        <f aca="false">CHOOSE(Premissas!$B$6,Cenários!Z22,Cenários!Z68,Cenários!Z114)</f>
        <v>69869</v>
      </c>
      <c r="AA11" s="153" t="n">
        <f aca="false">CHOOSE(Premissas!$B$6,Cenários!AA22,Cenários!AA68,Cenários!AA114)</f>
        <v>76191</v>
      </c>
      <c r="AB11" s="153" t="n">
        <f aca="false">CHOOSE(Premissas!$B$6,Cenários!AB22,Cenários!AB68,Cenários!AB114)</f>
        <v>82077</v>
      </c>
      <c r="AC11" s="153" t="n">
        <f aca="false">CHOOSE(Premissas!$B$6,Cenários!AC22,Cenários!AC68,Cenários!AC114)</f>
        <v>87527</v>
      </c>
      <c r="AD11" s="153" t="n">
        <f aca="false">CHOOSE(Premissas!$B$6,Cenários!AD22,Cenários!AD68,Cenários!AD114)</f>
        <v>92759</v>
      </c>
      <c r="AE11" s="153" t="n">
        <f aca="false">CHOOSE(Premissas!$B$6,Cenários!AE22,Cenários!AE68,Cenários!AE114)</f>
        <v>97446</v>
      </c>
      <c r="AF11" s="153" t="n">
        <f aca="false">CHOOSE(Premissas!$B$6,Cenários!AF22,Cenários!AF68,Cenários!AF114)</f>
        <v>101806</v>
      </c>
      <c r="AG11" s="153" t="n">
        <f aca="false">CHOOSE(Premissas!$B$6,Cenários!AG22,Cenários!AG68,Cenários!AG114)</f>
        <v>106057</v>
      </c>
      <c r="AH11" s="153" t="n">
        <f aca="false">CHOOSE(Premissas!$B$6,Cenários!AH22,Cenários!AH68,Cenários!AH114)</f>
        <v>109763</v>
      </c>
      <c r="AI11" s="153" t="n">
        <f aca="false">CHOOSE(Premissas!$B$6,Cenários!AI22,Cenários!AI68,Cenários!AI114)</f>
        <v>113251</v>
      </c>
      <c r="AJ11" s="153" t="n">
        <f aca="false">CHOOSE(Premissas!$B$6,Cenários!AJ22,Cenários!AJ68,Cenários!AJ114)</f>
        <v>116521</v>
      </c>
      <c r="AK11" s="153" t="n">
        <f aca="false">CHOOSE(Premissas!$B$6,Cenários!AK22,Cenários!AK68,Cenários!AK114)</f>
        <v>119682</v>
      </c>
      <c r="AL11" s="153" t="n">
        <f aca="false">CHOOSE(Premissas!$B$6,Cenários!AL22,Cenários!AL68,Cenários!AL114)</f>
        <v>165680</v>
      </c>
      <c r="AM11" s="153" t="n">
        <f aca="false">CHOOSE(Premissas!$B$6,Cenários!AM22,Cenários!AM68,Cenários!AM114)</f>
        <v>176471</v>
      </c>
      <c r="AN11" s="153" t="n">
        <f aca="false">CHOOSE(Premissas!$B$6,Cenários!AN22,Cenários!AN68,Cenários!AN114)</f>
        <v>186499</v>
      </c>
      <c r="AO11" s="153" t="n">
        <f aca="false">CHOOSE(Premissas!$B$6,Cenários!AO22,Cenários!AO68,Cenários!AO114)</f>
        <v>195982</v>
      </c>
      <c r="AP11" s="153" t="n">
        <f aca="false">CHOOSE(Premissas!$B$6,Cenários!AP22,Cenários!AP68,Cenários!AP114)</f>
        <v>204811</v>
      </c>
      <c r="AQ11" s="153" t="n">
        <f aca="false">CHOOSE(Premissas!$B$6,Cenários!AQ22,Cenários!AQ68,Cenários!AQ114)</f>
        <v>212986</v>
      </c>
      <c r="AR11" s="153" t="n">
        <f aca="false">CHOOSE(Premissas!$B$6,Cenários!AR22,Cenários!AR68,Cenários!AR114)</f>
        <v>220725</v>
      </c>
      <c r="AS11" s="153" t="n">
        <f aca="false">CHOOSE(Premissas!$B$6,Cenários!AS22,Cenários!AS68,Cenários!AS114)</f>
        <v>227810</v>
      </c>
      <c r="AT11" s="153" t="n">
        <f aca="false">CHOOSE(Premissas!$B$6,Cenários!AT22,Cenários!AT68,Cenários!AT114)</f>
        <v>234568</v>
      </c>
      <c r="AU11" s="153" t="n">
        <f aca="false">CHOOSE(Premissas!$B$6,Cenários!AU22,Cenários!AU68,Cenários!AU114)</f>
        <v>240781</v>
      </c>
      <c r="AV11" s="153" t="n">
        <f aca="false">CHOOSE(Premissas!$B$6,Cenários!AV22,Cenários!AV68,Cenários!AV114)</f>
        <v>246667</v>
      </c>
      <c r="AW11" s="153" t="n">
        <f aca="false">CHOOSE(Premissas!$B$6,Cenários!AW22,Cenários!AW68,Cenários!AW114)</f>
        <v>252008</v>
      </c>
      <c r="AX11" s="153" t="n">
        <f aca="false">CHOOSE(Premissas!$B$6,Cenários!AX22,Cenários!AX68,Cenários!AX114)</f>
        <v>332559</v>
      </c>
      <c r="AY11" s="153" t="n">
        <f aca="false">CHOOSE(Premissas!$B$6,Cenários!AY22,Cenários!AY68,Cenários!AY114)</f>
        <v>352288</v>
      </c>
      <c r="AZ11" s="153" t="n">
        <f aca="false">CHOOSE(Premissas!$B$6,Cenários!AZ22,Cenários!AZ68,Cenários!AZ114)</f>
        <v>370709</v>
      </c>
      <c r="BA11" s="153" t="n">
        <f aca="false">CHOOSE(Premissas!$B$6,Cenários!BA22,Cenários!BA68,Cenários!BA114)</f>
        <v>388040</v>
      </c>
      <c r="BB11" s="153" t="n">
        <f aca="false">CHOOSE(Premissas!$B$6,Cenários!BB22,Cenários!BB68,Cenários!BB114)</f>
        <v>404281</v>
      </c>
      <c r="BC11" s="153" t="n">
        <f aca="false">CHOOSE(Premissas!$B$6,Cenários!BC22,Cenários!BC68,Cenários!BC114)</f>
        <v>419432</v>
      </c>
      <c r="BD11" s="153" t="n">
        <f aca="false">CHOOSE(Premissas!$B$6,Cenários!BD22,Cenários!BD68,Cenários!BD114)</f>
        <v>433820</v>
      </c>
      <c r="BE11" s="153" t="n">
        <f aca="false">CHOOSE(Premissas!$B$6,Cenários!BE22,Cenários!BE68,Cenários!BE114)</f>
        <v>447118</v>
      </c>
      <c r="BF11" s="153" t="n">
        <f aca="false">CHOOSE(Premissas!$B$6,Cenários!BF22,Cenários!BF68,Cenários!BF114)</f>
        <v>459762</v>
      </c>
      <c r="BG11" s="153" t="n">
        <f aca="false">CHOOSE(Premissas!$B$6,Cenários!BG22,Cenários!BG68,Cenários!BG114)</f>
        <v>471425</v>
      </c>
      <c r="BH11" s="153" t="n">
        <f aca="false">CHOOSE(Premissas!$B$6,Cenários!BH22,Cenários!BH68,Cenários!BH114)</f>
        <v>482434</v>
      </c>
      <c r="BI11" s="153" t="n">
        <f aca="false">CHOOSE(Premissas!$B$6,Cenários!BI22,Cenários!BI68,Cenários!BI114)</f>
        <v>492789</v>
      </c>
      <c r="BJ11" s="154" t="n">
        <f aca="false">SUM(B11:BI11)</f>
        <v>8792594</v>
      </c>
    </row>
    <row r="12" customFormat="false" ht="15" hidden="false" customHeight="true" outlineLevel="0" collapsed="false">
      <c r="A12" s="152" t="s">
        <v>394</v>
      </c>
      <c r="B12" s="153" t="n">
        <f aca="false">CHOOSE(Premissas!$B$6,Cenários!B24,Cenários!B70,Cenários!B116)</f>
        <v>0</v>
      </c>
      <c r="C12" s="153" t="n">
        <f aca="false">CHOOSE(Premissas!$B$6,Cenários!C24,Cenários!C70,Cenários!C116)</f>
        <v>0</v>
      </c>
      <c r="D12" s="153" t="n">
        <f aca="false">CHOOSE(Premissas!$B$6,Cenários!D24,Cenários!D70,Cenários!D116)</f>
        <v>0</v>
      </c>
      <c r="E12" s="153" t="n">
        <f aca="false">CHOOSE(Premissas!$B$6,Cenários!E24,Cenários!E70,Cenários!E116)</f>
        <v>0</v>
      </c>
      <c r="F12" s="153" t="n">
        <f aca="false">CHOOSE(Premissas!$B$6,Cenários!F24,Cenários!F70,Cenários!F116)</f>
        <v>0</v>
      </c>
      <c r="G12" s="153" t="n">
        <f aca="false">CHOOSE(Premissas!$B$6,Cenários!G24,Cenários!G70,Cenários!G116)</f>
        <v>0</v>
      </c>
      <c r="H12" s="153" t="n">
        <f aca="false">CHOOSE(Premissas!$B$6,Cenários!H24,Cenários!H70,Cenários!H116)</f>
        <v>0</v>
      </c>
      <c r="I12" s="153" t="n">
        <f aca="false">CHOOSE(Premissas!$B$6,Cenários!I24,Cenários!I70,Cenários!I116)</f>
        <v>0</v>
      </c>
      <c r="J12" s="153" t="n">
        <f aca="false">CHOOSE(Premissas!$B$6,Cenários!J24,Cenários!J70,Cenários!J116)</f>
        <v>0</v>
      </c>
      <c r="K12" s="153" t="n">
        <f aca="false">CHOOSE(Premissas!$B$6,Cenários!K24,Cenários!K70,Cenários!K116)</f>
        <v>0</v>
      </c>
      <c r="L12" s="153" t="n">
        <f aca="false">CHOOSE(Premissas!$B$6,Cenários!L24,Cenários!L70,Cenários!L116)</f>
        <v>0</v>
      </c>
      <c r="M12" s="153" t="n">
        <f aca="false">CHOOSE(Premissas!$B$6,Cenários!M24,Cenários!M70,Cenários!M116)</f>
        <v>0</v>
      </c>
      <c r="N12" s="153" t="n">
        <f aca="false">CHOOSE(Premissas!$B$6,Cenários!N24,Cenários!N70,Cenários!N116)</f>
        <v>2304.1662</v>
      </c>
      <c r="O12" s="153" t="n">
        <f aca="false">CHOOSE(Premissas!$B$6,Cenários!O24,Cenários!O70,Cenários!O116)</f>
        <v>3556.26790176</v>
      </c>
      <c r="P12" s="153" t="n">
        <f aca="false">CHOOSE(Premissas!$B$6,Cenários!P24,Cenários!P70,Cenários!P116)</f>
        <v>4714.21155554765</v>
      </c>
      <c r="Q12" s="153" t="n">
        <f aca="false">CHOOSE(Premissas!$B$6,Cenários!Q24,Cenários!Q70,Cenários!Q116)</f>
        <v>5785.07784657047</v>
      </c>
      <c r="R12" s="153" t="n">
        <f aca="false">CHOOSE(Premissas!$B$6,Cenários!R24,Cenários!R70,Cenários!R116)</f>
        <v>6775.41499250837</v>
      </c>
      <c r="S12" s="153" t="n">
        <f aca="false">CHOOSE(Premissas!$B$6,Cenários!S24,Cenários!S70,Cenários!S116)</f>
        <v>7691.27878507174</v>
      </c>
      <c r="T12" s="153" t="n">
        <f aca="false">CHOOSE(Premissas!$B$6,Cenários!T24,Cenários!T70,Cenários!T116)</f>
        <v>8538.26962043434</v>
      </c>
      <c r="U12" s="153" t="n">
        <f aca="false">CHOOSE(Premissas!$B$6,Cenários!U24,Cenários!U70,Cenários!U116)</f>
        <v>9321.56674497768</v>
      </c>
      <c r="V12" s="153" t="n">
        <f aca="false">CHOOSE(Premissas!$B$6,Cenários!V24,Cenários!V70,Cenários!V116)</f>
        <v>10045.9599257554</v>
      </c>
      <c r="W12" s="153" t="n">
        <f aca="false">CHOOSE(Premissas!$B$6,Cenários!W24,Cenários!W70,Cenários!W116)</f>
        <v>10715.8787393386</v>
      </c>
      <c r="X12" s="153" t="n">
        <f aca="false">CHOOSE(Premissas!$B$6,Cenários!X24,Cenários!X70,Cenários!X116)</f>
        <v>11335.4196581403</v>
      </c>
      <c r="Y12" s="153" t="n">
        <f aca="false">CHOOSE(Premissas!$B$6,Cenários!Y24,Cenários!Y70,Cenários!Y116)</f>
        <v>11908.3710998481</v>
      </c>
      <c r="Z12" s="153" t="n">
        <f aca="false">CHOOSE(Premissas!$B$6,Cenários!Z24,Cenários!Z70,Cenários!Z116)</f>
        <v>22007.7577725701</v>
      </c>
      <c r="AA12" s="153" t="n">
        <f aca="false">CHOOSE(Premissas!$B$6,Cenários!AA24,Cenários!AA70,Cenários!AA116)</f>
        <v>24015.5108911427</v>
      </c>
      <c r="AB12" s="153" t="n">
        <f aca="false">CHOOSE(Premissas!$B$6,Cenários!AB24,Cenários!AB70,Cenários!AB116)</f>
        <v>25881.3399572696</v>
      </c>
      <c r="AC12" s="153" t="n">
        <f aca="false">CHOOSE(Premissas!$B$6,Cenários!AC24,Cenários!AC70,Cenários!AC116)</f>
        <v>27615.2772983701</v>
      </c>
      <c r="AD12" s="153" t="n">
        <f aca="false">CHOOSE(Premissas!$B$6,Cenários!AD24,Cenários!AD70,Cenários!AD116)</f>
        <v>29226.6460767029</v>
      </c>
      <c r="AE12" s="153" t="n">
        <f aca="false">CHOOSE(Premissas!$B$6,Cenários!AE24,Cenários!AE70,Cenários!AE116)</f>
        <v>30724.110418833</v>
      </c>
      <c r="AF12" s="153" t="n">
        <f aca="false">CHOOSE(Premissas!$B$6,Cenários!AF24,Cenários!AF70,Cenários!AF116)</f>
        <v>32115.7220015465</v>
      </c>
      <c r="AG12" s="153" t="n">
        <f aca="false">CHOOSE(Premissas!$B$6,Cenários!AG24,Cenários!AG70,Cenários!AG116)</f>
        <v>33408.9633447012</v>
      </c>
      <c r="AH12" s="153" t="n">
        <f aca="false">CHOOSE(Premissas!$B$6,Cenários!AH24,Cenários!AH70,Cenários!AH116)</f>
        <v>34610.788043791</v>
      </c>
      <c r="AI12" s="153" t="n">
        <f aca="false">CHOOSE(Premissas!$B$6,Cenários!AI24,Cenários!AI70,Cenários!AI116)</f>
        <v>35727.6581585515</v>
      </c>
      <c r="AJ12" s="153" t="n">
        <f aca="false">CHOOSE(Premissas!$B$6,Cenários!AJ24,Cenários!AJ70,Cenários!AJ116)</f>
        <v>36765.5789586398</v>
      </c>
      <c r="AK12" s="153" t="n">
        <f aca="false">CHOOSE(Premissas!$B$6,Cenários!AK24,Cenários!AK70,Cenários!AK116)</f>
        <v>37730.1312132114</v>
      </c>
      <c r="AL12" s="153" t="n">
        <f aca="false">CHOOSE(Premissas!$B$6,Cenários!AL24,Cenários!AL70,Cenários!AL116)</f>
        <v>64909.1903982783</v>
      </c>
      <c r="AM12" s="153" t="n">
        <f aca="false">CHOOSE(Premissas!$B$6,Cenários!AM24,Cenários!AM70,Cenários!AM116)</f>
        <v>69148.4375984572</v>
      </c>
      <c r="AN12" s="153" t="n">
        <f aca="false">CHOOSE(Premissas!$B$6,Cenários!AN24,Cenários!AN70,Cenários!AN116)</f>
        <v>73106.000726915</v>
      </c>
      <c r="AO12" s="153" t="n">
        <f aca="false">CHOOSE(Premissas!$B$6,Cenários!AO24,Cenários!AO70,Cenários!AO116)</f>
        <v>76800.5967662939</v>
      </c>
      <c r="AP12" s="153" t="n">
        <f aca="false">CHOOSE(Premissas!$B$6,Cenários!AP24,Cenários!AP70,Cenários!AP116)</f>
        <v>80249.6990171311</v>
      </c>
      <c r="AQ12" s="153" t="n">
        <f aca="false">CHOOSE(Premissas!$B$6,Cenários!AQ24,Cenários!AQ70,Cenários!AQ116)</f>
        <v>83469.6197364555</v>
      </c>
      <c r="AR12" s="153" t="n">
        <f aca="false">CHOOSE(Premissas!$B$6,Cenários!AR24,Cenários!AR70,Cenários!AR116)</f>
        <v>86475.5872853208</v>
      </c>
      <c r="AS12" s="153" t="n">
        <f aca="false">CHOOSE(Premissas!$B$6,Cenários!AS24,Cenários!AS70,Cenários!AS116)</f>
        <v>89281.8181501375</v>
      </c>
      <c r="AT12" s="153" t="n">
        <f aca="false">CHOOSE(Premissas!$B$6,Cenários!AT24,Cenários!AT70,Cenários!AT116)</f>
        <v>91901.5841784244</v>
      </c>
      <c r="AU12" s="153" t="n">
        <f aca="false">CHOOSE(Premissas!$B$6,Cenários!AU24,Cenários!AU70,Cenários!AU116)</f>
        <v>94347.2753469642</v>
      </c>
      <c r="AV12" s="153" t="n">
        <f aca="false">CHOOSE(Premissas!$B$6,Cenários!AV24,Cenários!AV70,Cenários!AV116)</f>
        <v>96630.4583592216</v>
      </c>
      <c r="AW12" s="153" t="n">
        <f aca="false">CHOOSE(Premissas!$B$6,Cenários!AW24,Cenários!AW70,Cenários!AW116)</f>
        <v>98761.9313491547</v>
      </c>
      <c r="AX12" s="153" t="n">
        <f aca="false">CHOOSE(Premissas!$B$6,Cenários!AX24,Cenários!AX70,Cenários!AX116)</f>
        <v>131777.055417599</v>
      </c>
      <c r="AY12" s="153" t="n">
        <f aca="false">CHOOSE(Premissas!$B$6,Cenários!AY24,Cenários!AY70,Cenários!AY116)</f>
        <v>139581.740250067</v>
      </c>
      <c r="AZ12" s="153" t="n">
        <f aca="false">CHOOSE(Premissas!$B$6,Cenários!AZ24,Cenários!AZ70,Cenários!AZ116)</f>
        <v>146898.945117248</v>
      </c>
      <c r="BA12" s="153" t="n">
        <f aca="false">CHOOSE(Premissas!$B$6,Cenários!BA24,Cenários!BA70,Cenários!BA116)</f>
        <v>153759.117977217</v>
      </c>
      <c r="BB12" s="153" t="n">
        <f aca="false">CHOOSE(Premissas!$B$6,Cenários!BB24,Cenários!BB70,Cenários!BB116)</f>
        <v>160190.805011119</v>
      </c>
      <c r="BC12" s="153" t="n">
        <f aca="false">CHOOSE(Premissas!$B$6,Cenários!BC24,Cenários!BC70,Cenários!BC116)</f>
        <v>166220.769407999</v>
      </c>
      <c r="BD12" s="153" t="n">
        <f aca="false">CHOOSE(Premissas!$B$6,Cenários!BD24,Cenários!BD70,Cenários!BD116)</f>
        <v>171874.102730344</v>
      </c>
      <c r="BE12" s="153" t="n">
        <f aca="false">CHOOSE(Premissas!$B$6,Cenários!BE24,Cenários!BE70,Cenários!BE116)</f>
        <v>177174.329323732</v>
      </c>
      <c r="BF12" s="153" t="n">
        <f aca="false">CHOOSE(Premissas!$B$6,Cenários!BF24,Cenários!BF70,Cenários!BF116)</f>
        <v>182143.504205076</v>
      </c>
      <c r="BG12" s="153" t="n">
        <f aca="false">CHOOSE(Premissas!$B$6,Cenários!BG24,Cenários!BG70,Cenários!BG116)</f>
        <v>186802.304836766</v>
      </c>
      <c r="BH12" s="153" t="n">
        <f aca="false">CHOOSE(Premissas!$B$6,Cenários!BH24,Cenários!BH70,Cenários!BH116)</f>
        <v>191170.117168614</v>
      </c>
      <c r="BI12" s="153" t="n">
        <f aca="false">CHOOSE(Premissas!$B$6,Cenários!BI24,Cenários!BI70,Cenários!BI116)</f>
        <v>195265.116305616</v>
      </c>
      <c r="BJ12" s="154" t="n">
        <f aca="false">SUM(B12:BI12)</f>
        <v>3470461.47386943</v>
      </c>
    </row>
    <row r="13" customFormat="false" ht="15" hidden="false" customHeight="true" outlineLevel="0" collapsed="false">
      <c r="A13" s="152" t="s">
        <v>395</v>
      </c>
      <c r="B13" s="153" t="n">
        <f aca="false">CHOOSE(Premissas!$B$6,Cenários!B25,Cenários!B71,Cenários!B117)</f>
        <v>0</v>
      </c>
      <c r="C13" s="153" t="n">
        <f aca="false">CHOOSE(Premissas!$B$6,Cenários!C25,Cenários!C71,Cenários!C117)</f>
        <v>0</v>
      </c>
      <c r="D13" s="153" t="n">
        <f aca="false">CHOOSE(Premissas!$B$6,Cenários!D25,Cenários!D71,Cenários!D117)</f>
        <v>0</v>
      </c>
      <c r="E13" s="153" t="n">
        <f aca="false">CHOOSE(Premissas!$B$6,Cenários!E25,Cenários!E71,Cenários!E117)</f>
        <v>0</v>
      </c>
      <c r="F13" s="153" t="n">
        <f aca="false">CHOOSE(Premissas!$B$6,Cenários!F25,Cenários!F71,Cenários!F117)</f>
        <v>0</v>
      </c>
      <c r="G13" s="153" t="n">
        <f aca="false">CHOOSE(Premissas!$B$6,Cenários!G25,Cenários!G71,Cenários!G117)</f>
        <v>0</v>
      </c>
      <c r="H13" s="153" t="n">
        <f aca="false">CHOOSE(Premissas!$B$6,Cenários!H25,Cenários!H71,Cenários!H117)</f>
        <v>0</v>
      </c>
      <c r="I13" s="153" t="n">
        <f aca="false">CHOOSE(Premissas!$B$6,Cenários!I25,Cenários!I71,Cenários!I117)</f>
        <v>0</v>
      </c>
      <c r="J13" s="153" t="n">
        <f aca="false">CHOOSE(Premissas!$B$6,Cenários!J25,Cenários!J71,Cenários!J117)</f>
        <v>0</v>
      </c>
      <c r="K13" s="153" t="n">
        <f aca="false">CHOOSE(Premissas!$B$6,Cenários!K25,Cenários!K71,Cenários!K117)</f>
        <v>0</v>
      </c>
      <c r="L13" s="153" t="n">
        <f aca="false">CHOOSE(Premissas!$B$6,Cenários!L25,Cenários!L71,Cenários!L117)</f>
        <v>0</v>
      </c>
      <c r="M13" s="153" t="n">
        <f aca="false">CHOOSE(Premissas!$B$6,Cenários!M25,Cenários!M71,Cenários!M117)</f>
        <v>0</v>
      </c>
      <c r="N13" s="153" t="n">
        <f aca="false">CHOOSE(Premissas!$B$6,Cenários!N25,Cenários!N71,Cenários!N117)</f>
        <v>0</v>
      </c>
      <c r="O13" s="153" t="n">
        <f aca="false">CHOOSE(Premissas!$B$6,Cenários!O25,Cenários!O71,Cenários!O117)</f>
        <v>0</v>
      </c>
      <c r="P13" s="153" t="n">
        <f aca="false">CHOOSE(Premissas!$B$6,Cenários!P25,Cenários!P71,Cenários!P117)</f>
        <v>5000</v>
      </c>
      <c r="Q13" s="153" t="n">
        <f aca="false">CHOOSE(Premissas!$B$6,Cenários!Q25,Cenários!Q71,Cenários!Q117)</f>
        <v>5000</v>
      </c>
      <c r="R13" s="153" t="n">
        <f aca="false">CHOOSE(Premissas!$B$6,Cenários!R25,Cenários!R71,Cenários!R117)</f>
        <v>5000</v>
      </c>
      <c r="S13" s="153" t="n">
        <f aca="false">CHOOSE(Premissas!$B$6,Cenários!S25,Cenários!S71,Cenários!S117)</f>
        <v>5000</v>
      </c>
      <c r="T13" s="153" t="n">
        <f aca="false">CHOOSE(Premissas!$B$6,Cenários!T25,Cenários!T71,Cenários!T117)</f>
        <v>5000</v>
      </c>
      <c r="U13" s="153" t="n">
        <f aca="false">CHOOSE(Premissas!$B$6,Cenários!U25,Cenários!U71,Cenários!U117)</f>
        <v>5000</v>
      </c>
      <c r="V13" s="153" t="n">
        <f aca="false">CHOOSE(Premissas!$B$6,Cenários!V25,Cenários!V71,Cenários!V117)</f>
        <v>5000</v>
      </c>
      <c r="W13" s="153" t="n">
        <f aca="false">CHOOSE(Premissas!$B$6,Cenários!W25,Cenários!W71,Cenários!W117)</f>
        <v>5000</v>
      </c>
      <c r="X13" s="153" t="n">
        <f aca="false">CHOOSE(Premissas!$B$6,Cenários!X25,Cenários!X71,Cenários!X117)</f>
        <v>5000</v>
      </c>
      <c r="Y13" s="153" t="n">
        <f aca="false">CHOOSE(Premissas!$B$6,Cenários!Y25,Cenários!Y71,Cenários!Y117)</f>
        <v>5000</v>
      </c>
      <c r="Z13" s="153" t="n">
        <f aca="false">CHOOSE(Premissas!$B$6,Cenários!Z25,Cenários!Z71,Cenários!Z117)</f>
        <v>5000</v>
      </c>
      <c r="AA13" s="153" t="n">
        <f aca="false">CHOOSE(Premissas!$B$6,Cenários!AA25,Cenários!AA71,Cenários!AA117)</f>
        <v>5000</v>
      </c>
      <c r="AB13" s="153" t="n">
        <f aca="false">CHOOSE(Premissas!$B$6,Cenários!AB25,Cenários!AB71,Cenários!AB117)</f>
        <v>5000</v>
      </c>
      <c r="AC13" s="153" t="n">
        <f aca="false">CHOOSE(Premissas!$B$6,Cenários!AC25,Cenários!AC71,Cenários!AC117)</f>
        <v>5000</v>
      </c>
      <c r="AD13" s="153" t="n">
        <f aca="false">CHOOSE(Premissas!$B$6,Cenários!AD25,Cenários!AD71,Cenários!AD117)</f>
        <v>5000</v>
      </c>
      <c r="AE13" s="153" t="n">
        <f aca="false">CHOOSE(Premissas!$B$6,Cenários!AE25,Cenários!AE71,Cenários!AE117)</f>
        <v>5000</v>
      </c>
      <c r="AF13" s="153" t="n">
        <f aca="false">CHOOSE(Premissas!$B$6,Cenários!AF25,Cenários!AF71,Cenários!AF117)</f>
        <v>5000</v>
      </c>
      <c r="AG13" s="153" t="n">
        <f aca="false">CHOOSE(Premissas!$B$6,Cenários!AG25,Cenários!AG71,Cenários!AG117)</f>
        <v>5000</v>
      </c>
      <c r="AH13" s="153" t="n">
        <f aca="false">CHOOSE(Premissas!$B$6,Cenários!AH25,Cenários!AH71,Cenários!AH117)</f>
        <v>5000</v>
      </c>
      <c r="AI13" s="153" t="n">
        <f aca="false">CHOOSE(Premissas!$B$6,Cenários!AI25,Cenários!AI71,Cenários!AI117)</f>
        <v>5000</v>
      </c>
      <c r="AJ13" s="153" t="n">
        <f aca="false">CHOOSE(Premissas!$B$6,Cenários!AJ25,Cenários!AJ71,Cenários!AJ117)</f>
        <v>5000</v>
      </c>
      <c r="AK13" s="153" t="n">
        <f aca="false">CHOOSE(Premissas!$B$6,Cenários!AK25,Cenários!AK71,Cenários!AK117)</f>
        <v>5000</v>
      </c>
      <c r="AL13" s="153" t="n">
        <f aca="false">CHOOSE(Premissas!$B$6,Cenários!AL25,Cenários!AL71,Cenários!AL117)</f>
        <v>5000</v>
      </c>
      <c r="AM13" s="153" t="n">
        <f aca="false">CHOOSE(Premissas!$B$6,Cenários!AM25,Cenários!AM71,Cenários!AM117)</f>
        <v>5000</v>
      </c>
      <c r="AN13" s="153" t="n">
        <f aca="false">CHOOSE(Premissas!$B$6,Cenários!AN25,Cenários!AN71,Cenários!AN117)</f>
        <v>5000</v>
      </c>
      <c r="AO13" s="153" t="n">
        <f aca="false">CHOOSE(Premissas!$B$6,Cenários!AO25,Cenários!AO71,Cenários!AO117)</f>
        <v>5000</v>
      </c>
      <c r="AP13" s="153" t="n">
        <f aca="false">CHOOSE(Premissas!$B$6,Cenários!AP25,Cenários!AP71,Cenários!AP117)</f>
        <v>5000</v>
      </c>
      <c r="AQ13" s="153" t="n">
        <f aca="false">CHOOSE(Premissas!$B$6,Cenários!AQ25,Cenários!AQ71,Cenários!AQ117)</f>
        <v>5000</v>
      </c>
      <c r="AR13" s="153" t="n">
        <f aca="false">CHOOSE(Premissas!$B$6,Cenários!AR25,Cenários!AR71,Cenários!AR117)</f>
        <v>5000</v>
      </c>
      <c r="AS13" s="153" t="n">
        <f aca="false">CHOOSE(Premissas!$B$6,Cenários!AS25,Cenários!AS71,Cenários!AS117)</f>
        <v>5000</v>
      </c>
      <c r="AT13" s="153" t="n">
        <f aca="false">CHOOSE(Premissas!$B$6,Cenários!AT25,Cenários!AT71,Cenários!AT117)</f>
        <v>5000</v>
      </c>
      <c r="AU13" s="153" t="n">
        <f aca="false">CHOOSE(Premissas!$B$6,Cenários!AU25,Cenários!AU71,Cenários!AU117)</f>
        <v>5000</v>
      </c>
      <c r="AV13" s="153" t="n">
        <f aca="false">CHOOSE(Premissas!$B$6,Cenários!AV25,Cenários!AV71,Cenários!AV117)</f>
        <v>5000</v>
      </c>
      <c r="AW13" s="153" t="n">
        <f aca="false">CHOOSE(Premissas!$B$6,Cenários!AW25,Cenários!AW71,Cenários!AW117)</f>
        <v>5000</v>
      </c>
      <c r="AX13" s="153" t="n">
        <f aca="false">CHOOSE(Premissas!$B$6,Cenários!AX25,Cenários!AX71,Cenários!AX117)</f>
        <v>5000</v>
      </c>
      <c r="AY13" s="153" t="n">
        <f aca="false">CHOOSE(Premissas!$B$6,Cenários!AY25,Cenários!AY71,Cenários!AY117)</f>
        <v>5000</v>
      </c>
      <c r="AZ13" s="153" t="n">
        <f aca="false">CHOOSE(Premissas!$B$6,Cenários!AZ25,Cenários!AZ71,Cenários!AZ117)</f>
        <v>5000</v>
      </c>
      <c r="BA13" s="153" t="n">
        <f aca="false">CHOOSE(Premissas!$B$6,Cenários!BA25,Cenários!BA71,Cenários!BA117)</f>
        <v>5000</v>
      </c>
      <c r="BB13" s="153" t="n">
        <f aca="false">CHOOSE(Premissas!$B$6,Cenários!BB25,Cenários!BB71,Cenários!BB117)</f>
        <v>5000</v>
      </c>
      <c r="BC13" s="153" t="n">
        <f aca="false">CHOOSE(Premissas!$B$6,Cenários!BC25,Cenários!BC71,Cenários!BC117)</f>
        <v>5000</v>
      </c>
      <c r="BD13" s="153" t="n">
        <f aca="false">CHOOSE(Premissas!$B$6,Cenários!BD25,Cenários!BD71,Cenários!BD117)</f>
        <v>5000</v>
      </c>
      <c r="BE13" s="153" t="n">
        <f aca="false">CHOOSE(Premissas!$B$6,Cenários!BE25,Cenários!BE71,Cenários!BE117)</f>
        <v>5000</v>
      </c>
      <c r="BF13" s="153" t="n">
        <f aca="false">CHOOSE(Premissas!$B$6,Cenários!BF25,Cenários!BF71,Cenários!BF117)</f>
        <v>5000</v>
      </c>
      <c r="BG13" s="153" t="n">
        <f aca="false">CHOOSE(Premissas!$B$6,Cenários!BG25,Cenários!BG71,Cenários!BG117)</f>
        <v>5000</v>
      </c>
      <c r="BH13" s="153" t="n">
        <f aca="false">CHOOSE(Premissas!$B$6,Cenários!BH25,Cenários!BH71,Cenários!BH117)</f>
        <v>5000</v>
      </c>
      <c r="BI13" s="153" t="n">
        <f aca="false">CHOOSE(Premissas!$B$6,Cenários!BI25,Cenários!BI71,Cenários!BI117)</f>
        <v>5000</v>
      </c>
      <c r="BJ13" s="154" t="n">
        <f aca="false">SUM(B13:BI13)</f>
        <v>230000</v>
      </c>
    </row>
    <row r="14" customFormat="false" ht="15" hidden="false" customHeight="true" outlineLevel="0" collapsed="false">
      <c r="A14" s="152" t="s">
        <v>396</v>
      </c>
      <c r="B14" s="153" t="n">
        <f aca="false">CHOOSE(Premissas!$B$6,Cenários!B26,Cenários!B72,Cenários!B118)</f>
        <v>0</v>
      </c>
      <c r="C14" s="153" t="n">
        <f aca="false">CHOOSE(Premissas!$B$6,Cenários!C26,Cenários!C72,Cenários!C118)</f>
        <v>0</v>
      </c>
      <c r="D14" s="153" t="n">
        <f aca="false">CHOOSE(Premissas!$B$6,Cenários!D26,Cenários!D72,Cenários!D118)</f>
        <v>0</v>
      </c>
      <c r="E14" s="153" t="n">
        <f aca="false">CHOOSE(Premissas!$B$6,Cenários!E26,Cenários!E72,Cenários!E118)</f>
        <v>0</v>
      </c>
      <c r="F14" s="153" t="n">
        <f aca="false">CHOOSE(Premissas!$B$6,Cenários!F26,Cenários!F72,Cenários!F118)</f>
        <v>0</v>
      </c>
      <c r="G14" s="153" t="n">
        <f aca="false">CHOOSE(Premissas!$B$6,Cenários!G26,Cenários!G72,Cenários!G118)</f>
        <v>0</v>
      </c>
      <c r="H14" s="153" t="n">
        <f aca="false">CHOOSE(Premissas!$B$6,Cenários!H26,Cenários!H72,Cenários!H118)</f>
        <v>0</v>
      </c>
      <c r="I14" s="153" t="n">
        <f aca="false">CHOOSE(Premissas!$B$6,Cenários!I26,Cenários!I72,Cenários!I118)</f>
        <v>0</v>
      </c>
      <c r="J14" s="153" t="n">
        <f aca="false">CHOOSE(Premissas!$B$6,Cenários!J26,Cenários!J72,Cenários!J118)</f>
        <v>0</v>
      </c>
      <c r="K14" s="153" t="n">
        <f aca="false">CHOOSE(Premissas!$B$6,Cenários!K26,Cenários!K72,Cenários!K118)</f>
        <v>0</v>
      </c>
      <c r="L14" s="153" t="n">
        <f aca="false">CHOOSE(Premissas!$B$6,Cenários!L26,Cenários!L72,Cenários!L118)</f>
        <v>0</v>
      </c>
      <c r="M14" s="153" t="n">
        <f aca="false">CHOOSE(Premissas!$B$6,Cenários!M26,Cenários!M72,Cenários!M118)</f>
        <v>0</v>
      </c>
      <c r="N14" s="153" t="n">
        <f aca="false">CHOOSE(Premissas!$B$6,Cenários!N26,Cenários!N72,Cenários!N118)</f>
        <v>0</v>
      </c>
      <c r="O14" s="153" t="n">
        <f aca="false">CHOOSE(Premissas!$B$6,Cenários!O26,Cenários!O72,Cenários!O118)</f>
        <v>0</v>
      </c>
      <c r="P14" s="153" t="n">
        <f aca="false">CHOOSE(Premissas!$B$6,Cenários!P26,Cenários!P72,Cenários!P118)</f>
        <v>0</v>
      </c>
      <c r="Q14" s="153" t="n">
        <f aca="false">CHOOSE(Premissas!$B$6,Cenários!Q26,Cenários!Q72,Cenários!Q118)</f>
        <v>3750</v>
      </c>
      <c r="R14" s="153" t="n">
        <f aca="false">CHOOSE(Premissas!$B$6,Cenários!R26,Cenários!R72,Cenários!R118)</f>
        <v>3750</v>
      </c>
      <c r="S14" s="153" t="n">
        <f aca="false">CHOOSE(Premissas!$B$6,Cenários!S26,Cenários!S72,Cenários!S118)</f>
        <v>3750</v>
      </c>
      <c r="T14" s="153" t="n">
        <f aca="false">CHOOSE(Premissas!$B$6,Cenários!T26,Cenários!T72,Cenários!T118)</f>
        <v>3750</v>
      </c>
      <c r="U14" s="153" t="n">
        <f aca="false">CHOOSE(Premissas!$B$6,Cenários!U26,Cenários!U72,Cenários!U118)</f>
        <v>3750</v>
      </c>
      <c r="V14" s="153" t="n">
        <f aca="false">CHOOSE(Premissas!$B$6,Cenários!V26,Cenários!V72,Cenários!V118)</f>
        <v>3750</v>
      </c>
      <c r="W14" s="153" t="n">
        <f aca="false">CHOOSE(Premissas!$B$6,Cenários!W26,Cenários!W72,Cenários!W118)</f>
        <v>5750</v>
      </c>
      <c r="X14" s="153" t="n">
        <f aca="false">CHOOSE(Premissas!$B$6,Cenários!X26,Cenários!X72,Cenários!X118)</f>
        <v>5750</v>
      </c>
      <c r="Y14" s="153" t="n">
        <f aca="false">CHOOSE(Premissas!$B$6,Cenários!Y26,Cenários!Y72,Cenários!Y118)</f>
        <v>5750</v>
      </c>
      <c r="Z14" s="153" t="n">
        <f aca="false">CHOOSE(Premissas!$B$6,Cenários!Z26,Cenários!Z72,Cenários!Z118)</f>
        <v>5750</v>
      </c>
      <c r="AA14" s="153" t="n">
        <f aca="false">CHOOSE(Premissas!$B$6,Cenários!AA26,Cenários!AA72,Cenários!AA118)</f>
        <v>5750</v>
      </c>
      <c r="AB14" s="153" t="n">
        <f aca="false">CHOOSE(Premissas!$B$6,Cenários!AB26,Cenários!AB72,Cenários!AB118)</f>
        <v>5750</v>
      </c>
      <c r="AC14" s="153" t="n">
        <f aca="false">CHOOSE(Premissas!$B$6,Cenários!AC26,Cenários!AC72,Cenários!AC118)</f>
        <v>5750</v>
      </c>
      <c r="AD14" s="153" t="n">
        <f aca="false">CHOOSE(Premissas!$B$6,Cenários!AD26,Cenários!AD72,Cenários!AD118)</f>
        <v>5750</v>
      </c>
      <c r="AE14" s="153" t="n">
        <f aca="false">CHOOSE(Premissas!$B$6,Cenários!AE26,Cenários!AE72,Cenários!AE118)</f>
        <v>5750</v>
      </c>
      <c r="AF14" s="153" t="n">
        <f aca="false">CHOOSE(Premissas!$B$6,Cenários!AF26,Cenários!AF72,Cenários!AF118)</f>
        <v>5750</v>
      </c>
      <c r="AG14" s="153" t="n">
        <f aca="false">CHOOSE(Premissas!$B$6,Cenários!AG26,Cenários!AG72,Cenários!AG118)</f>
        <v>5750</v>
      </c>
      <c r="AH14" s="153" t="n">
        <f aca="false">CHOOSE(Premissas!$B$6,Cenários!AH26,Cenários!AH72,Cenários!AH118)</f>
        <v>5750</v>
      </c>
      <c r="AI14" s="153" t="n">
        <f aca="false">CHOOSE(Premissas!$B$6,Cenários!AI26,Cenários!AI72,Cenários!AI118)</f>
        <v>5750</v>
      </c>
      <c r="AJ14" s="153" t="n">
        <f aca="false">CHOOSE(Premissas!$B$6,Cenários!AJ26,Cenários!AJ72,Cenários!AJ118)</f>
        <v>5750</v>
      </c>
      <c r="AK14" s="153" t="n">
        <f aca="false">CHOOSE(Premissas!$B$6,Cenários!AK26,Cenários!AK72,Cenários!AK118)</f>
        <v>5750</v>
      </c>
      <c r="AL14" s="153" t="n">
        <f aca="false">CHOOSE(Premissas!$B$6,Cenários!AL26,Cenários!AL72,Cenários!AL118)</f>
        <v>5750</v>
      </c>
      <c r="AM14" s="153" t="n">
        <f aca="false">CHOOSE(Premissas!$B$6,Cenários!AM26,Cenários!AM72,Cenários!AM118)</f>
        <v>5750</v>
      </c>
      <c r="AN14" s="153" t="n">
        <f aca="false">CHOOSE(Premissas!$B$6,Cenários!AN26,Cenários!AN72,Cenários!AN118)</f>
        <v>5750</v>
      </c>
      <c r="AO14" s="153" t="n">
        <f aca="false">CHOOSE(Premissas!$B$6,Cenários!AO26,Cenários!AO72,Cenários!AO118)</f>
        <v>5750</v>
      </c>
      <c r="AP14" s="153" t="n">
        <f aca="false">CHOOSE(Premissas!$B$6,Cenários!AP26,Cenários!AP72,Cenários!AP118)</f>
        <v>5750</v>
      </c>
      <c r="AQ14" s="153" t="n">
        <f aca="false">CHOOSE(Premissas!$B$6,Cenários!AQ26,Cenários!AQ72,Cenários!AQ118)</f>
        <v>5750</v>
      </c>
      <c r="AR14" s="153" t="n">
        <f aca="false">CHOOSE(Premissas!$B$6,Cenários!AR26,Cenários!AR72,Cenários!AR118)</f>
        <v>5750</v>
      </c>
      <c r="AS14" s="153" t="n">
        <f aca="false">CHOOSE(Premissas!$B$6,Cenários!AS26,Cenários!AS72,Cenários!AS118)</f>
        <v>5750</v>
      </c>
      <c r="AT14" s="153" t="n">
        <f aca="false">CHOOSE(Premissas!$B$6,Cenários!AT26,Cenários!AT72,Cenários!AT118)</f>
        <v>5750</v>
      </c>
      <c r="AU14" s="153" t="n">
        <f aca="false">CHOOSE(Premissas!$B$6,Cenários!AU26,Cenários!AU72,Cenários!AU118)</f>
        <v>5750</v>
      </c>
      <c r="AV14" s="153" t="n">
        <f aca="false">CHOOSE(Premissas!$B$6,Cenários!AV26,Cenários!AV72,Cenários!AV118)</f>
        <v>5750</v>
      </c>
      <c r="AW14" s="153" t="n">
        <f aca="false">CHOOSE(Premissas!$B$6,Cenários!AW26,Cenários!AW72,Cenários!AW118)</f>
        <v>5750</v>
      </c>
      <c r="AX14" s="153" t="n">
        <f aca="false">CHOOSE(Premissas!$B$6,Cenários!AX26,Cenários!AX72,Cenários!AX118)</f>
        <v>5750</v>
      </c>
      <c r="AY14" s="153" t="n">
        <f aca="false">CHOOSE(Premissas!$B$6,Cenários!AY26,Cenários!AY72,Cenários!AY118)</f>
        <v>5750</v>
      </c>
      <c r="AZ14" s="153" t="n">
        <f aca="false">CHOOSE(Premissas!$B$6,Cenários!AZ26,Cenários!AZ72,Cenários!AZ118)</f>
        <v>5750</v>
      </c>
      <c r="BA14" s="153" t="n">
        <f aca="false">CHOOSE(Premissas!$B$6,Cenários!BA26,Cenários!BA72,Cenários!BA118)</f>
        <v>5750</v>
      </c>
      <c r="BB14" s="153" t="n">
        <f aca="false">CHOOSE(Premissas!$B$6,Cenários!BB26,Cenários!BB72,Cenários!BB118)</f>
        <v>5750</v>
      </c>
      <c r="BC14" s="153" t="n">
        <f aca="false">CHOOSE(Premissas!$B$6,Cenários!BC26,Cenários!BC72,Cenários!BC118)</f>
        <v>5750</v>
      </c>
      <c r="BD14" s="153" t="n">
        <f aca="false">CHOOSE(Premissas!$B$6,Cenários!BD26,Cenários!BD72,Cenários!BD118)</f>
        <v>5750</v>
      </c>
      <c r="BE14" s="153" t="n">
        <f aca="false">CHOOSE(Premissas!$B$6,Cenários!BE26,Cenários!BE72,Cenários!BE118)</f>
        <v>5750</v>
      </c>
      <c r="BF14" s="153" t="n">
        <f aca="false">CHOOSE(Premissas!$B$6,Cenários!BF26,Cenários!BF72,Cenários!BF118)</f>
        <v>5750</v>
      </c>
      <c r="BG14" s="153" t="n">
        <f aca="false">CHOOSE(Premissas!$B$6,Cenários!BG26,Cenários!BG72,Cenários!BG118)</f>
        <v>5750</v>
      </c>
      <c r="BH14" s="153" t="n">
        <f aca="false">CHOOSE(Premissas!$B$6,Cenários!BH26,Cenários!BH72,Cenários!BH118)</f>
        <v>5750</v>
      </c>
      <c r="BI14" s="153" t="n">
        <f aca="false">CHOOSE(Premissas!$B$6,Cenários!BI26,Cenários!BI72,Cenários!BI118)</f>
        <v>5750</v>
      </c>
      <c r="BJ14" s="154" t="n">
        <f aca="false">SUM(B14:BI14)</f>
        <v>246750</v>
      </c>
      <c r="BK14" s="51" t="s">
        <v>397</v>
      </c>
    </row>
    <row r="15" customFormat="false" ht="15" hidden="false" customHeight="true" outlineLevel="0" collapsed="false">
      <c r="A15" s="152" t="s">
        <v>398</v>
      </c>
      <c r="B15" s="153" t="n">
        <f aca="false">CHOOSE(Premissas!$B$6,Cenários!B27,Cenários!B73,Cenários!B119)</f>
        <v>0</v>
      </c>
      <c r="C15" s="153" t="n">
        <f aca="false">CHOOSE(Premissas!$B$6,Cenários!C27,Cenários!C73,Cenários!C119)</f>
        <v>0</v>
      </c>
      <c r="D15" s="153" t="n">
        <f aca="false">CHOOSE(Premissas!$B$6,Cenários!D27,Cenários!D73,Cenários!D119)</f>
        <v>0</v>
      </c>
      <c r="E15" s="153" t="n">
        <f aca="false">CHOOSE(Premissas!$B$6,Cenários!E27,Cenários!E73,Cenários!E119)</f>
        <v>0</v>
      </c>
      <c r="F15" s="153" t="n">
        <f aca="false">CHOOSE(Premissas!$B$6,Cenários!F27,Cenários!F73,Cenários!F119)</f>
        <v>0</v>
      </c>
      <c r="G15" s="153" t="n">
        <f aca="false">CHOOSE(Premissas!$B$6,Cenários!G27,Cenários!G73,Cenários!G119)</f>
        <v>0</v>
      </c>
      <c r="H15" s="153" t="n">
        <f aca="false">CHOOSE(Premissas!$B$6,Cenários!H27,Cenários!H73,Cenários!H119)</f>
        <v>0</v>
      </c>
      <c r="I15" s="153" t="n">
        <f aca="false">CHOOSE(Premissas!$B$6,Cenários!I27,Cenários!I73,Cenários!I119)</f>
        <v>0</v>
      </c>
      <c r="J15" s="153" t="n">
        <f aca="false">CHOOSE(Premissas!$B$6,Cenários!J27,Cenários!J73,Cenários!J119)</f>
        <v>0</v>
      </c>
      <c r="K15" s="153" t="n">
        <f aca="false">CHOOSE(Premissas!$B$6,Cenários!K27,Cenários!K73,Cenários!K119)</f>
        <v>0</v>
      </c>
      <c r="L15" s="153" t="n">
        <f aca="false">CHOOSE(Premissas!$B$6,Cenários!L27,Cenários!L73,Cenários!L119)</f>
        <v>0</v>
      </c>
      <c r="M15" s="153" t="n">
        <f aca="false">CHOOSE(Premissas!$B$6,Cenários!M27,Cenários!M73,Cenários!M119)</f>
        <v>0</v>
      </c>
      <c r="N15" s="153" t="n">
        <f aca="false">CHOOSE(Premissas!$B$6,Cenários!N27,Cenários!N73,Cenários!N119)</f>
        <v>0</v>
      </c>
      <c r="O15" s="153" t="n">
        <f aca="false">CHOOSE(Premissas!$B$6,Cenários!O27,Cenários!O73,Cenários!O119)</f>
        <v>0</v>
      </c>
      <c r="P15" s="153" t="n">
        <f aca="false">CHOOSE(Premissas!$B$6,Cenários!P27,Cenários!P73,Cenários!P119)</f>
        <v>0</v>
      </c>
      <c r="Q15" s="153" t="n">
        <f aca="false">CHOOSE(Premissas!$B$6,Cenários!Q27,Cenários!Q73,Cenários!Q119)</f>
        <v>0</v>
      </c>
      <c r="R15" s="153" t="n">
        <f aca="false">CHOOSE(Premissas!$B$6,Cenários!R27,Cenários!R73,Cenários!R119)</f>
        <v>0</v>
      </c>
      <c r="S15" s="153" t="n">
        <f aca="false">CHOOSE(Premissas!$B$6,Cenários!S27,Cenários!S73,Cenários!S119)</f>
        <v>0</v>
      </c>
      <c r="T15" s="153" t="n">
        <f aca="false">CHOOSE(Premissas!$B$6,Cenários!T27,Cenários!T73,Cenários!T119)</f>
        <v>0</v>
      </c>
      <c r="U15" s="153" t="n">
        <f aca="false">CHOOSE(Premissas!$B$6,Cenários!U27,Cenários!U73,Cenários!U119)</f>
        <v>0</v>
      </c>
      <c r="V15" s="153" t="n">
        <f aca="false">CHOOSE(Premissas!$B$6,Cenários!V27,Cenários!V73,Cenários!V119)</f>
        <v>0</v>
      </c>
      <c r="W15" s="153" t="n">
        <f aca="false">CHOOSE(Premissas!$B$6,Cenários!W27,Cenários!W73,Cenários!W119)</f>
        <v>0</v>
      </c>
      <c r="X15" s="153" t="n">
        <f aca="false">CHOOSE(Premissas!$B$6,Cenários!X27,Cenários!X73,Cenários!X119)</f>
        <v>0</v>
      </c>
      <c r="Y15" s="153" t="n">
        <f aca="false">CHOOSE(Premissas!$B$6,Cenários!Y27,Cenários!Y73,Cenários!Y119)</f>
        <v>0</v>
      </c>
      <c r="Z15" s="153" t="n">
        <f aca="false">CHOOSE(Premissas!$B$6,Cenários!Z27,Cenários!Z73,Cenários!Z119)</f>
        <v>0</v>
      </c>
      <c r="AA15" s="153" t="n">
        <f aca="false">CHOOSE(Premissas!$B$6,Cenários!AA27,Cenários!AA73,Cenários!AA119)</f>
        <v>0</v>
      </c>
      <c r="AB15" s="153" t="n">
        <f aca="false">CHOOSE(Premissas!$B$6,Cenários!AB27,Cenários!AB73,Cenários!AB119)</f>
        <v>0</v>
      </c>
      <c r="AC15" s="153" t="n">
        <f aca="false">CHOOSE(Premissas!$B$6,Cenários!AC27,Cenários!AC73,Cenários!AC119)</f>
        <v>0</v>
      </c>
      <c r="AD15" s="153" t="n">
        <f aca="false">CHOOSE(Premissas!$B$6,Cenários!AD27,Cenários!AD73,Cenários!AD119)</f>
        <v>0</v>
      </c>
      <c r="AE15" s="153" t="n">
        <f aca="false">CHOOSE(Premissas!$B$6,Cenários!AE27,Cenários!AE73,Cenários!AE119)</f>
        <v>0</v>
      </c>
      <c r="AF15" s="153" t="n">
        <f aca="false">CHOOSE(Premissas!$B$6,Cenários!AF27,Cenários!AF73,Cenários!AF119)</f>
        <v>0</v>
      </c>
      <c r="AG15" s="153" t="n">
        <f aca="false">CHOOSE(Premissas!$B$6,Cenários!AG27,Cenários!AG73,Cenários!AG119)</f>
        <v>0</v>
      </c>
      <c r="AH15" s="153" t="n">
        <f aca="false">CHOOSE(Premissas!$B$6,Cenários!AH27,Cenários!AH73,Cenários!AH119)</f>
        <v>0</v>
      </c>
      <c r="AI15" s="153" t="n">
        <f aca="false">CHOOSE(Premissas!$B$6,Cenários!AI27,Cenários!AI73,Cenários!AI119)</f>
        <v>0</v>
      </c>
      <c r="AJ15" s="153" t="n">
        <f aca="false">CHOOSE(Premissas!$B$6,Cenários!AJ27,Cenários!AJ73,Cenários!AJ119)</f>
        <v>0</v>
      </c>
      <c r="AK15" s="153" t="n">
        <f aca="false">CHOOSE(Premissas!$B$6,Cenários!AK27,Cenários!AK73,Cenários!AK119)</f>
        <v>0</v>
      </c>
      <c r="AL15" s="153" t="n">
        <f aca="false">CHOOSE(Premissas!$B$6,Cenários!AL27,Cenários!AL73,Cenários!AL119)</f>
        <v>0</v>
      </c>
      <c r="AM15" s="153" t="n">
        <f aca="false">CHOOSE(Premissas!$B$6,Cenários!AM27,Cenários!AM73,Cenários!AM119)</f>
        <v>0</v>
      </c>
      <c r="AN15" s="153" t="n">
        <f aca="false">CHOOSE(Premissas!$B$6,Cenários!AN27,Cenários!AN73,Cenários!AN119)</f>
        <v>0</v>
      </c>
      <c r="AO15" s="153" t="n">
        <f aca="false">CHOOSE(Premissas!$B$6,Cenários!AO27,Cenários!AO73,Cenários!AO119)</f>
        <v>0</v>
      </c>
      <c r="AP15" s="153" t="n">
        <f aca="false">CHOOSE(Premissas!$B$6,Cenários!AP27,Cenários!AP73,Cenários!AP119)</f>
        <v>0</v>
      </c>
      <c r="AQ15" s="153" t="n">
        <f aca="false">CHOOSE(Premissas!$B$6,Cenários!AQ27,Cenários!AQ73,Cenários!AQ119)</f>
        <v>0</v>
      </c>
      <c r="AR15" s="153" t="n">
        <f aca="false">CHOOSE(Premissas!$B$6,Cenários!AR27,Cenários!AR73,Cenários!AR119)</f>
        <v>0</v>
      </c>
      <c r="AS15" s="153" t="n">
        <f aca="false">CHOOSE(Premissas!$B$6,Cenários!AS27,Cenários!AS73,Cenários!AS119)</f>
        <v>0</v>
      </c>
      <c r="AT15" s="153" t="n">
        <f aca="false">CHOOSE(Premissas!$B$6,Cenários!AT27,Cenários!AT73,Cenários!AT119)</f>
        <v>0</v>
      </c>
      <c r="AU15" s="153" t="n">
        <f aca="false">CHOOSE(Premissas!$B$6,Cenários!AU27,Cenários!AU73,Cenários!AU119)</f>
        <v>0</v>
      </c>
      <c r="AV15" s="153" t="n">
        <f aca="false">CHOOSE(Premissas!$B$6,Cenários!AV27,Cenários!AV73,Cenários!AV119)</f>
        <v>0</v>
      </c>
      <c r="AW15" s="153" t="n">
        <f aca="false">CHOOSE(Premissas!$B$6,Cenários!AW27,Cenários!AW73,Cenários!AW119)</f>
        <v>0</v>
      </c>
      <c r="AX15" s="153" t="n">
        <f aca="false">CHOOSE(Premissas!$B$6,Cenários!AX27,Cenários!AX73,Cenários!AX119)</f>
        <v>0</v>
      </c>
      <c r="AY15" s="153" t="n">
        <f aca="false">CHOOSE(Premissas!$B$6,Cenários!AY27,Cenários!AY73,Cenários!AY119)</f>
        <v>0</v>
      </c>
      <c r="AZ15" s="153" t="n">
        <f aca="false">CHOOSE(Premissas!$B$6,Cenários!AZ27,Cenários!AZ73,Cenários!AZ119)</f>
        <v>0</v>
      </c>
      <c r="BA15" s="153" t="n">
        <f aca="false">CHOOSE(Premissas!$B$6,Cenários!BA27,Cenários!BA73,Cenários!BA119)</f>
        <v>0</v>
      </c>
      <c r="BB15" s="153" t="n">
        <f aca="false">CHOOSE(Premissas!$B$6,Cenários!BB27,Cenários!BB73,Cenários!BB119)</f>
        <v>0</v>
      </c>
      <c r="BC15" s="153" t="n">
        <f aca="false">CHOOSE(Premissas!$B$6,Cenários!BC27,Cenários!BC73,Cenários!BC119)</f>
        <v>0</v>
      </c>
      <c r="BD15" s="153" t="n">
        <f aca="false">CHOOSE(Premissas!$B$6,Cenários!BD27,Cenários!BD73,Cenários!BD119)</f>
        <v>0</v>
      </c>
      <c r="BE15" s="153" t="n">
        <f aca="false">CHOOSE(Premissas!$B$6,Cenários!BE27,Cenários!BE73,Cenários!BE119)</f>
        <v>0</v>
      </c>
      <c r="BF15" s="153" t="n">
        <f aca="false">CHOOSE(Premissas!$B$6,Cenários!BF27,Cenários!BF73,Cenários!BF119)</f>
        <v>0</v>
      </c>
      <c r="BG15" s="153" t="n">
        <f aca="false">CHOOSE(Premissas!$B$6,Cenários!BG27,Cenários!BG73,Cenários!BG119)</f>
        <v>0</v>
      </c>
      <c r="BH15" s="153" t="n">
        <f aca="false">CHOOSE(Premissas!$B$6,Cenários!BH27,Cenários!BH73,Cenários!BH119)</f>
        <v>0</v>
      </c>
      <c r="BI15" s="153" t="n">
        <f aca="false">CHOOSE(Premissas!$B$6,Cenários!BI27,Cenários!BI73,Cenários!BI119)</f>
        <v>0</v>
      </c>
      <c r="BJ15" s="154" t="n">
        <f aca="false">SUM(B15:BI15)</f>
        <v>0</v>
      </c>
    </row>
    <row r="16" customFormat="false" ht="15" hidden="false" customHeight="true" outlineLevel="0" collapsed="false">
      <c r="A16" s="53" t="s">
        <v>399</v>
      </c>
      <c r="B16" s="154" t="n">
        <f aca="false">SUM(B9:B15)</f>
        <v>0</v>
      </c>
      <c r="C16" s="154" t="n">
        <f aca="false">SUM(C9:C15)</f>
        <v>0</v>
      </c>
      <c r="D16" s="154" t="n">
        <f aca="false">SUM(D9:D15)</f>
        <v>0</v>
      </c>
      <c r="E16" s="154" t="n">
        <f aca="false">SUM(E9:E15)</f>
        <v>0</v>
      </c>
      <c r="F16" s="154" t="n">
        <f aca="false">SUM(F9:F15)</f>
        <v>0</v>
      </c>
      <c r="G16" s="154" t="n">
        <f aca="false">SUM(G9:G15)</f>
        <v>0</v>
      </c>
      <c r="H16" s="154" t="n">
        <f aca="false">SUM(H9:H15)</f>
        <v>0</v>
      </c>
      <c r="I16" s="154" t="n">
        <f aca="false">SUM(I9:I15)</f>
        <v>0</v>
      </c>
      <c r="J16" s="154" t="n">
        <f aca="false">SUM(J9:J15)</f>
        <v>0</v>
      </c>
      <c r="K16" s="154" t="n">
        <f aca="false">SUM(K9:K15)</f>
        <v>0</v>
      </c>
      <c r="L16" s="154" t="n">
        <f aca="false">SUM(L9:L15)</f>
        <v>0</v>
      </c>
      <c r="M16" s="154" t="n">
        <f aca="false">SUM(M9:M15)</f>
        <v>7191</v>
      </c>
      <c r="N16" s="154" t="n">
        <f aca="false">SUM(N9:N15)</f>
        <v>38418.9662</v>
      </c>
      <c r="O16" s="154" t="n">
        <f aca="false">SUM(O9:O15)</f>
        <v>87211.56790176</v>
      </c>
      <c r="P16" s="154" t="n">
        <f aca="false">SUM(P9:P15)</f>
        <v>157529.211555548</v>
      </c>
      <c r="Q16" s="154" t="n">
        <f aca="false">SUM(Q9:Q15)</f>
        <v>241211.37784657</v>
      </c>
      <c r="R16" s="154" t="n">
        <f aca="false">SUM(R9:R15)</f>
        <v>334166.614992508</v>
      </c>
      <c r="S16" s="154" t="n">
        <f aca="false">SUM(S9:S15)</f>
        <v>378148.578785072</v>
      </c>
      <c r="T16" s="154" t="n">
        <f aca="false">SUM(T9:T15)</f>
        <v>418785.769620434</v>
      </c>
      <c r="U16" s="154" t="n">
        <f aca="false">SUM(U9:U15)</f>
        <v>456402.966744978</v>
      </c>
      <c r="V16" s="154" t="n">
        <f aca="false">SUM(V9:V15)</f>
        <v>491244.659925755</v>
      </c>
      <c r="W16" s="154" t="n">
        <f aca="false">SUM(W9:W15)</f>
        <v>525395.178739339</v>
      </c>
      <c r="X16" s="154" t="n">
        <f aca="false">SUM(X9:X15)</f>
        <v>555178.21965814</v>
      </c>
      <c r="Y16" s="154" t="n">
        <f aca="false">SUM(Y9:Y15)</f>
        <v>582677.471099848</v>
      </c>
      <c r="Z16" s="154" t="n">
        <f aca="false">SUM(Z9:Z15)</f>
        <v>710220.35777257</v>
      </c>
      <c r="AA16" s="154" t="n">
        <f aca="false">SUM(AA9:AA15)</f>
        <v>773992.910891143</v>
      </c>
      <c r="AB16" s="154" t="n">
        <f aca="false">SUM(AB9:AB15)</f>
        <v>833312.23995727</v>
      </c>
      <c r="AC16" s="154" t="n">
        <f aca="false">SUM(AC9:AC15)</f>
        <v>888438.07729837</v>
      </c>
      <c r="AD16" s="154" t="n">
        <f aca="false">SUM(AD9:AD15)</f>
        <v>939667.646076703</v>
      </c>
      <c r="AE16" s="154" t="n">
        <f aca="false">SUM(AE9:AE15)</f>
        <v>987271.910418833</v>
      </c>
      <c r="AF16" s="154" t="n">
        <f aca="false">SUM(AF9:AF15)</f>
        <v>1031476.92200155</v>
      </c>
      <c r="AG16" s="154" t="n">
        <f aca="false">SUM(AG9:AG15)</f>
        <v>1072578.0633447</v>
      </c>
      <c r="AH16" s="154" t="n">
        <f aca="false">SUM(AH9:AH15)</f>
        <v>1110735.58804379</v>
      </c>
      <c r="AI16" s="154" t="n">
        <f aca="false">SUM(AI9:AI15)</f>
        <v>1146203.05815855</v>
      </c>
      <c r="AJ16" s="154" t="n">
        <f aca="false">SUM(AJ9:AJ15)</f>
        <v>1179226.17895864</v>
      </c>
      <c r="AK16" s="154" t="n">
        <f aca="false">SUM(AK9:AK15)</f>
        <v>1209919.53121321</v>
      </c>
      <c r="AL16" s="154" t="n">
        <f aca="false">SUM(AL9:AL15)</f>
        <v>1373811.29039828</v>
      </c>
      <c r="AM16" s="154" t="n">
        <f aca="false">SUM(AM9:AM15)</f>
        <v>1462852.13759846</v>
      </c>
      <c r="AN16" s="154" t="n">
        <f aca="false">SUM(AN9:AN15)</f>
        <v>1545884.30072692</v>
      </c>
      <c r="AO16" s="154" t="n">
        <f aca="false">SUM(AO9:AO15)</f>
        <v>1623474.09676629</v>
      </c>
      <c r="AP16" s="154" t="n">
        <f aca="false">SUM(AP9:AP15)</f>
        <v>1695939.49901713</v>
      </c>
      <c r="AQ16" s="154" t="n">
        <f aca="false">SUM(AQ9:AQ15)</f>
        <v>1763546.51973646</v>
      </c>
      <c r="AR16" s="154" t="n">
        <f aca="false">SUM(AR9:AR15)</f>
        <v>1826698.18728532</v>
      </c>
      <c r="AS16" s="154" t="n">
        <f aca="false">SUM(AS9:AS15)</f>
        <v>1885600.21815014</v>
      </c>
      <c r="AT16" s="154" t="n">
        <f aca="false">SUM(AT9:AT15)</f>
        <v>1940592.88417842</v>
      </c>
      <c r="AU16" s="154" t="n">
        <f aca="false">SUM(AU9:AU15)</f>
        <v>1991969.97534696</v>
      </c>
      <c r="AV16" s="154" t="n">
        <f aca="false">SUM(AV9:AV15)</f>
        <v>2039961.05835922</v>
      </c>
      <c r="AW16" s="154" t="n">
        <f aca="false">SUM(AW9:AW15)</f>
        <v>2084688.53134916</v>
      </c>
      <c r="AX16" s="154" t="n">
        <f aca="false">SUM(AX9:AX15)</f>
        <v>2334038.5554176</v>
      </c>
      <c r="AY16" s="154" t="n">
        <f aca="false">SUM(AY9:AY15)</f>
        <v>2471659.74025007</v>
      </c>
      <c r="AZ16" s="154" t="n">
        <f aca="false">SUM(AZ9:AZ15)</f>
        <v>2600583.74511725</v>
      </c>
      <c r="BA16" s="154" t="n">
        <f aca="false">SUM(BA9:BA15)</f>
        <v>2721568.41797722</v>
      </c>
      <c r="BB16" s="154" t="n">
        <f aca="false">SUM(BB9:BB15)</f>
        <v>2834961.90501112</v>
      </c>
      <c r="BC16" s="154" t="n">
        <f aca="false">SUM(BC9:BC15)</f>
        <v>2941220.469408</v>
      </c>
      <c r="BD16" s="154" t="n">
        <f aca="false">SUM(BD9:BD15)</f>
        <v>3040935.90273034</v>
      </c>
      <c r="BE16" s="154" t="n">
        <f aca="false">SUM(BE9:BE15)</f>
        <v>3134394.02932373</v>
      </c>
      <c r="BF16" s="154" t="n">
        <f aca="false">SUM(BF9:BF15)</f>
        <v>3222042.90420508</v>
      </c>
      <c r="BG16" s="154" t="n">
        <f aca="false">SUM(BG9:BG15)</f>
        <v>3304085.60483677</v>
      </c>
      <c r="BH16" s="154" t="n">
        <f aca="false">SUM(BH9:BH15)</f>
        <v>3381108.21716861</v>
      </c>
      <c r="BI16" s="154" t="n">
        <f aca="false">SUM(BI9:BI15)</f>
        <v>3453298.71630562</v>
      </c>
      <c r="BJ16" s="154" t="n">
        <f aca="false">SUM(B16:BI16)</f>
        <v>72831520.9738694</v>
      </c>
    </row>
    <row r="18" customFormat="false" ht="18" hidden="false" customHeight="true" outlineLevel="0" collapsed="false">
      <c r="A18" s="47" t="s">
        <v>400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</row>
    <row r="19" customFormat="false" ht="15" hidden="false" customHeight="true" outlineLevel="0" collapsed="false">
      <c r="A19" s="152" t="s">
        <v>401</v>
      </c>
      <c r="B19" s="153" t="n">
        <f aca="false">CHOOSE(Premissas!$B$6,Cenários!B31,Cenários!B77,Cenários!B123)</f>
        <v>-0</v>
      </c>
      <c r="C19" s="153" t="n">
        <f aca="false">CHOOSE(Premissas!$B$6,Cenários!C31,Cenários!C77,Cenários!C123)</f>
        <v>-0</v>
      </c>
      <c r="D19" s="153" t="n">
        <f aca="false">CHOOSE(Premissas!$B$6,Cenários!D31,Cenários!D77,Cenários!D123)</f>
        <v>-0</v>
      </c>
      <c r="E19" s="153" t="n">
        <f aca="false">CHOOSE(Premissas!$B$6,Cenários!E31,Cenários!E77,Cenários!E123)</f>
        <v>-0</v>
      </c>
      <c r="F19" s="153" t="n">
        <f aca="false">CHOOSE(Premissas!$B$6,Cenários!F31,Cenários!F77,Cenários!F123)</f>
        <v>-0</v>
      </c>
      <c r="G19" s="153" t="n">
        <f aca="false">CHOOSE(Premissas!$B$6,Cenários!G31,Cenários!G77,Cenários!G123)</f>
        <v>-0</v>
      </c>
      <c r="H19" s="153" t="n">
        <f aca="false">CHOOSE(Premissas!$B$6,Cenários!H31,Cenários!H77,Cenários!H123)</f>
        <v>-0</v>
      </c>
      <c r="I19" s="153" t="n">
        <f aca="false">CHOOSE(Premissas!$B$6,Cenários!I31,Cenários!I77,Cenários!I123)</f>
        <v>-0</v>
      </c>
      <c r="J19" s="153" t="n">
        <f aca="false">CHOOSE(Premissas!$B$6,Cenários!J31,Cenários!J77,Cenários!J123)</f>
        <v>-0</v>
      </c>
      <c r="K19" s="153" t="n">
        <f aca="false">CHOOSE(Premissas!$B$6,Cenários!K31,Cenários!K77,Cenários!K123)</f>
        <v>-0</v>
      </c>
      <c r="L19" s="153" t="n">
        <f aca="false">CHOOSE(Premissas!$B$6,Cenários!L31,Cenários!L77,Cenários!L123)</f>
        <v>-0</v>
      </c>
      <c r="M19" s="153" t="n">
        <f aca="false">CHOOSE(Premissas!$B$6,Cenários!M31,Cenários!M77,Cenários!M123)</f>
        <v>-1114.605</v>
      </c>
      <c r="N19" s="153" t="n">
        <f aca="false">CHOOSE(Premissas!$B$6,Cenários!N31,Cenários!N77,Cenários!N123)</f>
        <v>-5954.939761</v>
      </c>
      <c r="O19" s="153" t="n">
        <f aca="false">CHOOSE(Premissas!$B$6,Cenários!O31,Cenários!O77,Cenários!O123)</f>
        <v>-13517.7930247728</v>
      </c>
      <c r="P19" s="153" t="n">
        <f aca="false">CHOOSE(Premissas!$B$6,Cenários!P31,Cenários!P77,Cenários!P123)</f>
        <v>-24417.0277911099</v>
      </c>
      <c r="Q19" s="153" t="n">
        <f aca="false">CHOOSE(Premissas!$B$6,Cenários!Q31,Cenários!Q77,Cenários!Q123)</f>
        <v>-39679.6343298131</v>
      </c>
      <c r="R19" s="153" t="n">
        <f aca="false">CHOOSE(Premissas!$B$6,Cenários!R31,Cenários!R77,Cenários!R123)</f>
        <v>-58938.8533208802</v>
      </c>
      <c r="S19" s="153" t="n">
        <f aca="false">CHOOSE(Premissas!$B$6,Cenários!S31,Cenários!S77,Cenários!S123)</f>
        <v>-70051.2129049159</v>
      </c>
      <c r="T19" s="153" t="n">
        <f aca="false">CHOOSE(Premissas!$B$6,Cenários!T31,Cenários!T77,Cenários!T123)</f>
        <v>-80093.8938910857</v>
      </c>
      <c r="U19" s="153" t="n">
        <f aca="false">CHOOSE(Premissas!$B$6,Cenários!U31,Cenários!U77,Cenários!U123)</f>
        <v>-88868.6381338144</v>
      </c>
      <c r="V19" s="153" t="n">
        <f aca="false">CHOOSE(Premissas!$B$6,Cenários!V31,Cenários!V77,Cenários!V123)</f>
        <v>-98590.1686841606</v>
      </c>
      <c r="W19" s="153" t="n">
        <f aca="false">CHOOSE(Premissas!$B$6,Cenários!W31,Cenários!W77,Cenários!W123)</f>
        <v>-108341.597278833</v>
      </c>
      <c r="X19" s="153" t="n">
        <f aca="false">CHOOSE(Premissas!$B$6,Cenários!X31,Cenários!X77,Cenários!X123)</f>
        <v>-116696.155984977</v>
      </c>
      <c r="Y19" s="153" t="n">
        <f aca="false">CHOOSE(Premissas!$B$6,Cenários!Y31,Cenários!Y77,Cenários!Y123)</f>
        <v>-92467.1803558589</v>
      </c>
      <c r="Z19" s="153" t="n">
        <f aca="false">CHOOSE(Premissas!$B$6,Cenários!Z31,Cenários!Z77,Cenários!Z123)</f>
        <v>-126723.70696705</v>
      </c>
      <c r="AA19" s="153" t="n">
        <f aca="false">CHOOSE(Premissas!$B$6,Cenários!AA31,Cenários!AA77,Cenários!AA123)</f>
        <v>-126393.042348524</v>
      </c>
      <c r="AB19" s="153" t="n">
        <f aca="false">CHOOSE(Premissas!$B$6,Cenários!AB31,Cenários!AB77,Cenários!AB123)</f>
        <v>-136079.888785022</v>
      </c>
      <c r="AC19" s="153" t="n">
        <f aca="false">CHOOSE(Premissas!$B$6,Cenários!AC31,Cenários!AC77,Cenários!AC123)</f>
        <v>-145081.938022824</v>
      </c>
      <c r="AD19" s="153" t="n">
        <f aca="false">CHOOSE(Premissas!$B$6,Cenários!AD31,Cenários!AD77,Cenários!AD123)</f>
        <v>-153447.726604326</v>
      </c>
      <c r="AE19" s="153" t="n">
        <f aca="false">CHOOSE(Premissas!$B$6,Cenários!AE31,Cenários!AE77,Cenários!AE123)</f>
        <v>-161221.502971395</v>
      </c>
      <c r="AF19" s="153" t="n">
        <f aca="false">CHOOSE(Premissas!$B$6,Cenários!AF31,Cenários!AF77,Cenários!AF123)</f>
        <v>-168440.181362853</v>
      </c>
      <c r="AG19" s="153" t="n">
        <f aca="false">CHOOSE(Premissas!$B$6,Cenários!AG31,Cenários!AG77,Cenários!AG123)</f>
        <v>-175151.99774419</v>
      </c>
      <c r="AH19" s="153" t="n">
        <f aca="false">CHOOSE(Premissas!$B$6,Cenários!AH31,Cenários!AH77,Cenários!AH123)</f>
        <v>-181383.121527551</v>
      </c>
      <c r="AI19" s="153" t="n">
        <f aca="false">CHOOSE(Premissas!$B$6,Cenários!AI31,Cenários!AI77,Cenários!AI123)</f>
        <v>-187174.959397291</v>
      </c>
      <c r="AJ19" s="153" t="n">
        <f aca="false">CHOOSE(Premissas!$B$6,Cenários!AJ31,Cenários!AJ77,Cenários!AJ123)</f>
        <v>-192567.635023946</v>
      </c>
      <c r="AK19" s="153" t="n">
        <f aca="false">CHOOSE(Premissas!$B$6,Cenários!AK31,Cenários!AK77,Cenários!AK123)</f>
        <v>-197579.859447117</v>
      </c>
      <c r="AL19" s="153" t="n">
        <f aca="false">CHOOSE(Premissas!$B$6,Cenários!AL31,Cenários!AL77,Cenários!AL123)</f>
        <v>-224343.383722039</v>
      </c>
      <c r="AM19" s="153" t="n">
        <f aca="false">CHOOSE(Premissas!$B$6,Cenários!AM31,Cenários!AM77,Cenários!AM123)</f>
        <v>-238883.754069828</v>
      </c>
      <c r="AN19" s="153" t="n">
        <f aca="false">CHOOSE(Premissas!$B$6,Cenários!AN31,Cenários!AN77,Cenários!AN123)</f>
        <v>-252442.906308705</v>
      </c>
      <c r="AO19" s="153" t="n">
        <f aca="false">CHOOSE(Premissas!$B$6,Cenários!AO31,Cenários!AO77,Cenários!AO123)</f>
        <v>-265113.320001936</v>
      </c>
      <c r="AP19" s="153" t="n">
        <f aca="false">CHOOSE(Premissas!$B$6,Cenários!AP31,Cenários!AP77,Cenários!AP123)</f>
        <v>-276946.920189498</v>
      </c>
      <c r="AQ19" s="153" t="n">
        <f aca="false">CHOOSE(Premissas!$B$6,Cenários!AQ31,Cenários!AQ77,Cenários!AQ123)</f>
        <v>-287987.146672963</v>
      </c>
      <c r="AR19" s="153" t="n">
        <f aca="false">CHOOSE(Premissas!$B$6,Cenários!AR31,Cenários!AR77,Cenários!AR123)</f>
        <v>-298299.813983693</v>
      </c>
      <c r="AS19" s="153" t="n">
        <f aca="false">CHOOSE(Premissas!$B$6,Cenários!AS31,Cenários!AS77,Cenários!AS123)</f>
        <v>-307918.515623917</v>
      </c>
      <c r="AT19" s="153" t="n">
        <f aca="false">CHOOSE(Premissas!$B$6,Cenários!AT31,Cenários!AT77,Cenários!AT123)</f>
        <v>-316898.817986337</v>
      </c>
      <c r="AU19" s="153" t="n">
        <f aca="false">CHOOSE(Premissas!$B$6,Cenários!AU31,Cenários!AU77,Cenários!AU123)</f>
        <v>-325288.696974159</v>
      </c>
      <c r="AV19" s="153" t="n">
        <f aca="false">CHOOSE(Premissas!$B$6,Cenários!AV31,Cenários!AV77,Cenários!AV123)</f>
        <v>-333125.640830061</v>
      </c>
      <c r="AW19" s="153" t="n">
        <f aca="false">CHOOSE(Premissas!$B$6,Cenários!AW31,Cenários!AW77,Cenários!AW123)</f>
        <v>-340429.637169317</v>
      </c>
      <c r="AX19" s="153" t="n">
        <f aca="false">CHOOSE(Premissas!$B$6,Cenários!AX31,Cenários!AX77,Cenários!AX123)</f>
        <v>-381148.496099694</v>
      </c>
      <c r="AY19" s="153" t="n">
        <f aca="false">CHOOSE(Premissas!$B$6,Cenários!AY31,Cenários!AY77,Cenários!AY123)</f>
        <v>-403622.035582836</v>
      </c>
      <c r="AZ19" s="153" t="n">
        <f aca="false">CHOOSE(Premissas!$B$6,Cenários!AZ31,Cenários!AZ77,Cenários!AZ123)</f>
        <v>-424675.325577647</v>
      </c>
      <c r="BA19" s="153" t="n">
        <f aca="false">CHOOSE(Premissas!$B$6,Cenários!BA31,Cenários!BA77,Cenários!BA123)</f>
        <v>-444432.12265568</v>
      </c>
      <c r="BB19" s="153" t="n">
        <f aca="false">CHOOSE(Premissas!$B$6,Cenários!BB31,Cenários!BB77,Cenários!BB123)</f>
        <v>-462949.279088316</v>
      </c>
      <c r="BC19" s="153" t="n">
        <f aca="false">CHOOSE(Premissas!$B$6,Cenários!BC31,Cenários!BC77,Cenários!BC123)</f>
        <v>-480301.302654326</v>
      </c>
      <c r="BD19" s="153" t="n">
        <f aca="false">CHOOSE(Premissas!$B$6,Cenários!BD31,Cenários!BD77,Cenários!BD123)</f>
        <v>-496584.832915865</v>
      </c>
      <c r="BE19" s="153" t="n">
        <f aca="false">CHOOSE(Premissas!$B$6,Cenários!BE31,Cenários!BE77,Cenários!BE123)</f>
        <v>-511846.544988565</v>
      </c>
      <c r="BF19" s="153" t="n">
        <f aca="false">CHOOSE(Premissas!$B$6,Cenários!BF31,Cenários!BF77,Cenários!BF123)</f>
        <v>-526159.606256689</v>
      </c>
      <c r="BG19" s="153" t="n">
        <f aca="false">CHOOSE(Premissas!$B$6,Cenários!BG31,Cenários!BG77,Cenários!BG123)</f>
        <v>-539557.179269844</v>
      </c>
      <c r="BH19" s="153" t="n">
        <f aca="false">CHOOSE(Premissas!$B$6,Cenários!BH31,Cenários!BH77,Cenários!BH123)</f>
        <v>-552134.971863635</v>
      </c>
      <c r="BI19" s="153" t="n">
        <f aca="false">CHOOSE(Premissas!$B$6,Cenários!BI31,Cenários!BI77,Cenários!BI123)</f>
        <v>-563923.680372707</v>
      </c>
      <c r="BJ19" s="154" t="n">
        <f aca="false">SUM(B19:BI19)</f>
        <v>-12004991.1915216</v>
      </c>
      <c r="BK19" s="155" t="n">
        <f aca="false">IFERROR(BJ19/BJ$16,0)</f>
        <v>-0.164832355977143</v>
      </c>
    </row>
    <row r="20" customFormat="false" ht="15" hidden="false" customHeight="true" outlineLevel="0" collapsed="false">
      <c r="A20" s="152" t="s">
        <v>402</v>
      </c>
      <c r="B20" s="153" t="n">
        <f aca="false">CHOOSE(Premissas!$B$6,Cenários!B32,Cenários!B78,Cenários!B124)</f>
        <v>-0</v>
      </c>
      <c r="C20" s="153" t="n">
        <f aca="false">CHOOSE(Premissas!$B$6,Cenários!C32,Cenários!C78,Cenários!C124)</f>
        <v>-0</v>
      </c>
      <c r="D20" s="153" t="n">
        <f aca="false">CHOOSE(Premissas!$B$6,Cenários!D32,Cenários!D78,Cenários!D124)</f>
        <v>-0</v>
      </c>
      <c r="E20" s="153" t="n">
        <f aca="false">CHOOSE(Premissas!$B$6,Cenários!E32,Cenários!E78,Cenários!E124)</f>
        <v>-0</v>
      </c>
      <c r="F20" s="153" t="n">
        <f aca="false">CHOOSE(Premissas!$B$6,Cenários!F32,Cenários!F78,Cenários!F124)</f>
        <v>-0</v>
      </c>
      <c r="G20" s="153" t="n">
        <f aca="false">CHOOSE(Premissas!$B$6,Cenários!G32,Cenários!G78,Cenários!G124)</f>
        <v>-0</v>
      </c>
      <c r="H20" s="153" t="n">
        <f aca="false">CHOOSE(Premissas!$B$6,Cenários!H32,Cenários!H78,Cenários!H124)</f>
        <v>-0</v>
      </c>
      <c r="I20" s="153" t="n">
        <f aca="false">CHOOSE(Premissas!$B$6,Cenários!I32,Cenários!I78,Cenários!I124)</f>
        <v>-0</v>
      </c>
      <c r="J20" s="153" t="n">
        <f aca="false">CHOOSE(Premissas!$B$6,Cenários!J32,Cenários!J78,Cenários!J124)</f>
        <v>-0</v>
      </c>
      <c r="K20" s="153" t="n">
        <f aca="false">CHOOSE(Premissas!$B$6,Cenários!K32,Cenários!K78,Cenários!K124)</f>
        <v>-0</v>
      </c>
      <c r="L20" s="153" t="n">
        <f aca="false">CHOOSE(Premissas!$B$6,Cenários!L32,Cenários!L78,Cenários!L124)</f>
        <v>-0</v>
      </c>
      <c r="M20" s="153" t="n">
        <f aca="false">CHOOSE(Premissas!$B$6,Cenários!M32,Cenários!M78,Cenários!M124)</f>
        <v>-916.8525</v>
      </c>
      <c r="N20" s="153" t="n">
        <f aca="false">CHOOSE(Premissas!$B$6,Cenários!N32,Cenários!N78,Cenários!N124)</f>
        <v>-4333.776</v>
      </c>
      <c r="O20" s="153" t="n">
        <f aca="false">CHOOSE(Premissas!$B$6,Cenários!O32,Cenários!O78,Cenários!O124)</f>
        <v>-10038.636</v>
      </c>
      <c r="P20" s="153" t="n">
        <f aca="false">CHOOSE(Premissas!$B$6,Cenários!P32,Cenários!P78,Cenários!P124)</f>
        <v>-17737.8</v>
      </c>
      <c r="Q20" s="153" t="n">
        <f aca="false">CHOOSE(Premissas!$B$6,Cenários!Q32,Cenários!Q78,Cenários!Q124)</f>
        <v>-27201.156</v>
      </c>
      <c r="R20" s="153" t="n">
        <f aca="false">CHOOSE(Premissas!$B$6,Cenários!R32,Cenários!R78,Cenários!R124)</f>
        <v>-38236.944</v>
      </c>
      <c r="S20" s="153" t="n">
        <f aca="false">CHOOSE(Premissas!$B$6,Cenários!S32,Cenários!S78,Cenários!S124)</f>
        <v>-43404.876</v>
      </c>
      <c r="T20" s="153" t="n">
        <f aca="false">CHOOSE(Premissas!$B$6,Cenários!T32,Cenários!T78,Cenários!T124)</f>
        <v>-48179.7</v>
      </c>
      <c r="U20" s="153" t="n">
        <f aca="false">CHOOSE(Premissas!$B$6,Cenários!U32,Cenários!U78,Cenários!U124)</f>
        <v>-52599.768</v>
      </c>
      <c r="V20" s="153" t="n">
        <f aca="false">CHOOSE(Premissas!$B$6,Cenários!V32,Cenários!V78,Cenários!V124)</f>
        <v>-56693.844</v>
      </c>
      <c r="W20" s="153" t="n">
        <f aca="false">CHOOSE(Premissas!$B$6,Cenários!W32,Cenários!W78,Cenários!W124)</f>
        <v>-60471.516</v>
      </c>
      <c r="X20" s="153" t="n">
        <f aca="false">CHOOSE(Premissas!$B$6,Cenários!X32,Cenários!X78,Cenários!X124)</f>
        <v>-63971.136</v>
      </c>
      <c r="Y20" s="153" t="n">
        <f aca="false">CHOOSE(Premissas!$B$6,Cenários!Y32,Cenários!Y78,Cenários!Y124)</f>
        <v>-67202.292</v>
      </c>
      <c r="Z20" s="153" t="n">
        <f aca="false">CHOOSE(Premissas!$B$6,Cenários!Z32,Cenários!Z78,Cenários!Z124)</f>
        <v>-76214.5425</v>
      </c>
      <c r="AA20" s="153" t="n">
        <f aca="false">CHOOSE(Premissas!$B$6,Cenários!AA32,Cenários!AA78,Cenários!AA124)</f>
        <v>-83163.0825</v>
      </c>
      <c r="AB20" s="153" t="n">
        <f aca="false">CHOOSE(Premissas!$B$6,Cenários!AB32,Cenários!AB78,Cenários!AB124)</f>
        <v>-89626.60125</v>
      </c>
      <c r="AC20" s="153" t="n">
        <f aca="false">CHOOSE(Premissas!$B$6,Cenários!AC32,Cenários!AC78,Cenários!AC124)</f>
        <v>-95633.19</v>
      </c>
      <c r="AD20" s="153" t="n">
        <f aca="false">CHOOSE(Premissas!$B$6,Cenários!AD32,Cenários!AD78,Cenários!AD124)</f>
        <v>-101215.2375</v>
      </c>
      <c r="AE20" s="153" t="n">
        <f aca="false">CHOOSE(Premissas!$B$6,Cenários!AE32,Cenários!AE78,Cenários!AE124)</f>
        <v>-106402.2525</v>
      </c>
      <c r="AF20" s="153" t="n">
        <f aca="false">CHOOSE(Premissas!$B$6,Cenários!AF32,Cenários!AF78,Cenários!AF124)</f>
        <v>-111218.76</v>
      </c>
      <c r="AG20" s="153" t="n">
        <f aca="false">CHOOSE(Premissas!$B$6,Cenários!AG32,Cenários!AG78,Cenários!AG124)</f>
        <v>-115697.14875</v>
      </c>
      <c r="AH20" s="153" t="n">
        <f aca="false">CHOOSE(Premissas!$B$6,Cenários!AH32,Cenários!AH78,Cenários!AH124)</f>
        <v>-119854.665</v>
      </c>
      <c r="AI20" s="153" t="n">
        <f aca="false">CHOOSE(Premissas!$B$6,Cenários!AI32,Cenários!AI78,Cenários!AI124)</f>
        <v>-123719.1075</v>
      </c>
      <c r="AJ20" s="153" t="n">
        <f aca="false">CHOOSE(Premissas!$B$6,Cenários!AJ32,Cenários!AJ78,Cenários!AJ124)</f>
        <v>-127317.4425</v>
      </c>
      <c r="AK20" s="153" t="n">
        <f aca="false">CHOOSE(Premissas!$B$6,Cenários!AK32,Cenários!AK78,Cenários!AK124)</f>
        <v>-130661.9325</v>
      </c>
      <c r="AL20" s="153" t="n">
        <f aca="false">CHOOSE(Premissas!$B$6,Cenários!AL32,Cenários!AL78,Cenários!AL124)</f>
        <v>-140200.4268</v>
      </c>
      <c r="AM20" s="153" t="n">
        <f aca="false">CHOOSE(Premissas!$B$6,Cenários!AM32,Cenários!AM78,Cenários!AM124)</f>
        <v>-149358.9996</v>
      </c>
      <c r="AN20" s="153" t="n">
        <f aca="false">CHOOSE(Premissas!$B$6,Cenários!AN32,Cenários!AN78,Cenários!AN124)</f>
        <v>-157899.0564</v>
      </c>
      <c r="AO20" s="153" t="n">
        <f aca="false">CHOOSE(Premissas!$B$6,Cenários!AO32,Cenários!AO78,Cenários!AO124)</f>
        <v>-165879.738</v>
      </c>
      <c r="AP20" s="153" t="n">
        <f aca="false">CHOOSE(Premissas!$B$6,Cenários!AP32,Cenários!AP78,Cenários!AP124)</f>
        <v>-173333.4984</v>
      </c>
      <c r="AQ20" s="153" t="n">
        <f aca="false">CHOOSE(Premissas!$B$6,Cenários!AQ32,Cenários!AQ78,Cenários!AQ124)</f>
        <v>-180287.3052</v>
      </c>
      <c r="AR20" s="153" t="n">
        <f aca="false">CHOOSE(Premissas!$B$6,Cenários!AR32,Cenários!AR78,Cenários!AR124)</f>
        <v>-186783.0408</v>
      </c>
      <c r="AS20" s="153" t="n">
        <f aca="false">CHOOSE(Premissas!$B$6,Cenários!AS32,Cenários!AS78,Cenários!AS124)</f>
        <v>-192841.3872</v>
      </c>
      <c r="AT20" s="153" t="n">
        <f aca="false">CHOOSE(Premissas!$B$6,Cenários!AT32,Cenários!AT78,Cenários!AT124)</f>
        <v>-198497.6604</v>
      </c>
      <c r="AU20" s="153" t="n">
        <f aca="false">CHOOSE(Premissas!$B$6,Cenários!AU32,Cenários!AU78,Cenários!AU124)</f>
        <v>-203782.2516</v>
      </c>
      <c r="AV20" s="153" t="n">
        <f aca="false">CHOOSE(Premissas!$B$6,Cenários!AV32,Cenários!AV78,Cenários!AV124)</f>
        <v>-208718.7048</v>
      </c>
      <c r="AW20" s="153" t="n">
        <f aca="false">CHOOSE(Premissas!$B$6,Cenários!AW32,Cenários!AW78,Cenários!AW124)</f>
        <v>-213319.0728</v>
      </c>
      <c r="AX20" s="153" t="n">
        <f aca="false">CHOOSE(Premissas!$B$6,Cenários!AX32,Cenários!AX78,Cenários!AX124)</f>
        <v>-230108.7075</v>
      </c>
      <c r="AY20" s="153" t="n">
        <f aca="false">CHOOSE(Premissas!$B$6,Cenários!AY32,Cenários!AY78,Cenários!AY124)</f>
        <v>-243739.44</v>
      </c>
      <c r="AZ20" s="153" t="n">
        <f aca="false">CHOOSE(Premissas!$B$6,Cenários!AZ32,Cenários!AZ78,Cenários!AZ124)</f>
        <v>-256508.154</v>
      </c>
      <c r="BA20" s="153" t="n">
        <f aca="false">CHOOSE(Premissas!$B$6,Cenários!BA32,Cenários!BA78,Cenários!BA124)</f>
        <v>-268491.2265</v>
      </c>
      <c r="BB20" s="153" t="n">
        <f aca="false">CHOOSE(Premissas!$B$6,Cenários!BB32,Cenários!BB78,Cenários!BB124)</f>
        <v>-279722.2155</v>
      </c>
      <c r="BC20" s="153" t="n">
        <f aca="false">CHOOSE(Premissas!$B$6,Cenários!BC32,Cenários!BC78,Cenários!BC124)</f>
        <v>-290246.2185</v>
      </c>
      <c r="BD20" s="153" t="n">
        <f aca="false">CHOOSE(Premissas!$B$6,Cenários!BD32,Cenários!BD78,Cenários!BD124)</f>
        <v>-300122.739</v>
      </c>
      <c r="BE20" s="153" t="n">
        <f aca="false">CHOOSE(Premissas!$B$6,Cenários!BE32,Cenários!BE78,Cenários!BE124)</f>
        <v>-309379.3185</v>
      </c>
      <c r="BF20" s="153" t="n">
        <f aca="false">CHOOSE(Premissas!$B$6,Cenários!BF32,Cenários!BF78,Cenários!BF124)</f>
        <v>-318060.687</v>
      </c>
      <c r="BG20" s="153" t="n">
        <f aca="false">CHOOSE(Premissas!$B$6,Cenários!BG32,Cenários!BG78,Cenários!BG124)</f>
        <v>-326185.9965</v>
      </c>
      <c r="BH20" s="153" t="n">
        <f aca="false">CHOOSE(Premissas!$B$6,Cenários!BH32,Cenários!BH78,Cenários!BH124)</f>
        <v>-333814.7505</v>
      </c>
      <c r="BI20" s="153" t="n">
        <f aca="false">CHOOSE(Premissas!$B$6,Cenários!BI32,Cenários!BI78,Cenários!BI124)</f>
        <v>-340964.778</v>
      </c>
      <c r="BJ20" s="154" t="n">
        <f aca="false">SUM(B20:BI20)</f>
        <v>-7439957.6325</v>
      </c>
      <c r="BK20" s="156" t="s">
        <v>403</v>
      </c>
    </row>
    <row r="21" customFormat="false" ht="15.75" hidden="false" customHeight="true" outlineLevel="0" collapsed="false">
      <c r="A21" s="152" t="s">
        <v>404</v>
      </c>
      <c r="B21" s="153" t="n">
        <f aca="false">CHOOSE(Premissas!$B$6,Cenários!B33,Cenários!B79,Cenários!B125)</f>
        <v>-0</v>
      </c>
      <c r="C21" s="153" t="n">
        <f aca="false">CHOOSE(Premissas!$B$6,Cenários!C33,Cenários!C79,Cenários!C125)</f>
        <v>-0</v>
      </c>
      <c r="D21" s="153" t="n">
        <f aca="false">CHOOSE(Premissas!$B$6,Cenários!D33,Cenários!D79,Cenários!D125)</f>
        <v>-0</v>
      </c>
      <c r="E21" s="153" t="n">
        <f aca="false">CHOOSE(Premissas!$B$6,Cenários!E33,Cenários!E79,Cenários!E125)</f>
        <v>-0</v>
      </c>
      <c r="F21" s="153" t="n">
        <f aca="false">CHOOSE(Premissas!$B$6,Cenários!F33,Cenários!F79,Cenários!F125)</f>
        <v>-0</v>
      </c>
      <c r="G21" s="153" t="n">
        <f aca="false">CHOOSE(Premissas!$B$6,Cenários!G33,Cenários!G79,Cenários!G125)</f>
        <v>-0</v>
      </c>
      <c r="H21" s="153" t="n">
        <f aca="false">CHOOSE(Premissas!$B$6,Cenários!H33,Cenários!H79,Cenários!H125)</f>
        <v>-0</v>
      </c>
      <c r="I21" s="153" t="n">
        <f aca="false">CHOOSE(Premissas!$B$6,Cenários!I33,Cenários!I79,Cenários!I125)</f>
        <v>-0</v>
      </c>
      <c r="J21" s="153" t="n">
        <f aca="false">CHOOSE(Premissas!$B$6,Cenários!J33,Cenários!J79,Cenários!J125)</f>
        <v>-0</v>
      </c>
      <c r="K21" s="153" t="n">
        <f aca="false">CHOOSE(Premissas!$B$6,Cenários!K33,Cenários!K79,Cenários!K125)</f>
        <v>-0</v>
      </c>
      <c r="L21" s="153" t="n">
        <f aca="false">CHOOSE(Premissas!$B$6,Cenários!L33,Cenários!L79,Cenários!L125)</f>
        <v>-0</v>
      </c>
      <c r="M21" s="153" t="n">
        <f aca="false">CHOOSE(Premissas!$B$6,Cenários!M33,Cenários!M79,Cenários!M125)</f>
        <v>-48.53925</v>
      </c>
      <c r="N21" s="153" t="n">
        <f aca="false">CHOOSE(Premissas!$B$6,Cenários!N33,Cenários!N79,Cenários!N125)</f>
        <v>-428.720679</v>
      </c>
      <c r="O21" s="153" t="n">
        <f aca="false">CHOOSE(Premissas!$B$6,Cenários!O33,Cenários!O79,Cenários!O125)</f>
        <v>-912.9297555792</v>
      </c>
      <c r="P21" s="153" t="n">
        <f aca="false">CHOOSE(Premissas!$B$6,Cenários!P33,Cenários!P79,Cenários!P125)</f>
        <v>-1542.47451999964</v>
      </c>
      <c r="Q21" s="153" t="n">
        <f aca="false">CHOOSE(Premissas!$B$6,Cenários!Q33,Cenários!Q79,Cenários!Q125)</f>
        <v>-2300.41520309567</v>
      </c>
      <c r="R21" s="153" t="n">
        <f aca="false">CHOOSE(Premissas!$B$6,Cenários!R33,Cenários!R79,Cenários!R125)</f>
        <v>-3172.66447466288</v>
      </c>
      <c r="S21" s="153" t="n">
        <f aca="false">CHOOSE(Premissas!$B$6,Cenários!S33,Cenários!S79,Cenários!S125)</f>
        <v>-3601.47324532823</v>
      </c>
      <c r="T21" s="153" t="n">
        <f aca="false">CHOOSE(Premissas!$B$6,Cenários!T33,Cenários!T79,Cenários!T125)</f>
        <v>-3997.69963291954</v>
      </c>
      <c r="U21" s="153" t="n">
        <f aca="false">CHOOSE(Premissas!$B$6,Cenários!U33,Cenários!U79,Cenários!U125)</f>
        <v>-4364.453103524</v>
      </c>
      <c r="V21" s="153" t="n">
        <f aca="false">CHOOSE(Premissas!$B$6,Cenários!V33,Cenários!V79,Cenários!V125)</f>
        <v>-4704.10649665899</v>
      </c>
      <c r="W21" s="153" t="n">
        <f aca="false">CHOOSE(Premissas!$B$6,Cenários!W33,Cenários!W79,Cenários!W125)</f>
        <v>-5017.57824327023</v>
      </c>
      <c r="X21" s="153" t="n">
        <f aca="false">CHOOSE(Premissas!$B$6,Cenários!X33,Cenários!X79,Cenários!X125)</f>
        <v>-5307.92908461631</v>
      </c>
      <c r="Y21" s="153" t="n">
        <f aca="false">CHOOSE(Premissas!$B$6,Cenários!Y33,Cenários!Y79,Cenários!Y125)</f>
        <v>-5576.04859949317</v>
      </c>
      <c r="Z21" s="153" t="n">
        <f aca="false">CHOOSE(Premissas!$B$6,Cenários!Z33,Cenários!Z79,Cenários!Z125)</f>
        <v>-8611.80334976566</v>
      </c>
      <c r="AA21" s="153" t="n">
        <f aca="false">CHOOSE(Premissas!$B$6,Cenários!AA33,Cenários!AA79,Cenários!AA125)</f>
        <v>-9397.00624010142</v>
      </c>
      <c r="AB21" s="153" t="n">
        <f aca="false">CHOOSE(Premissas!$B$6,Cenários!AB33,Cenários!AB79,Cenários!AB125)</f>
        <v>-10127.3204230771</v>
      </c>
      <c r="AC21" s="153" t="n">
        <f aca="false">CHOOSE(Premissas!$B$6,Cenários!AC33,Cenários!AC79,Cenários!AC125)</f>
        <v>-10806.0064784267</v>
      </c>
      <c r="AD21" s="153" t="n">
        <f aca="false">CHOOSE(Premissas!$B$6,Cenários!AD33,Cenários!AD79,Cenários!AD125)</f>
        <v>-11436.7228234516</v>
      </c>
      <c r="AE21" s="153" t="n">
        <f aca="false">CHOOSE(Premissas!$B$6,Cenários!AE33,Cenários!AE79,Cenários!AE125)</f>
        <v>-12022.8102188475</v>
      </c>
      <c r="AF21" s="153" t="n">
        <f aca="false">CHOOSE(Premissas!$B$6,Cenários!AF33,Cenários!AF79,Cenários!AF125)</f>
        <v>-12567.0834900696</v>
      </c>
      <c r="AG21" s="153" t="n">
        <f aca="false">CHOOSE(Premissas!$B$6,Cenários!AG33,Cenários!AG79,Cenários!AG125)</f>
        <v>-13073.1182255116</v>
      </c>
      <c r="AH21" s="153" t="n">
        <f aca="false">CHOOSE(Premissas!$B$6,Cenários!AH33,Cenários!AH79,Cenários!AH125)</f>
        <v>-13542.9519619706</v>
      </c>
      <c r="AI21" s="153" t="n">
        <f aca="false">CHOOSE(Premissas!$B$6,Cenários!AI33,Cenários!AI79,Cenários!AI125)</f>
        <v>-13979.6553671348</v>
      </c>
      <c r="AJ21" s="153" t="n">
        <f aca="false">CHOOSE(Premissas!$B$6,Cenários!AJ33,Cenários!AJ79,Cenários!AJ125)</f>
        <v>-14386.1953031388</v>
      </c>
      <c r="AK21" s="153" t="n">
        <f aca="false">CHOOSE(Premissas!$B$6,Cenários!AK33,Cenários!AK79,Cenários!AK125)</f>
        <v>-14764.0491545945</v>
      </c>
      <c r="AL21" s="153" t="n">
        <f aca="false">CHOOSE(Premissas!$B$6,Cenários!AL33,Cenários!AL79,Cenários!AL125)</f>
        <v>-19277.6300279225</v>
      </c>
      <c r="AM21" s="153" t="n">
        <f aca="false">CHOOSE(Premissas!$B$6,Cenários!AM33,Cenários!AM79,Cenários!AM125)</f>
        <v>-20536.8963119306</v>
      </c>
      <c r="AN21" s="153" t="n">
        <f aca="false">CHOOSE(Premissas!$B$6,Cenários!AN33,Cenários!AN79,Cenários!AN125)</f>
        <v>-21711.3266127112</v>
      </c>
      <c r="AO21" s="153" t="n">
        <f aca="false">CHOOSE(Premissas!$B$6,Cenários!AO33,Cenários!AO79,Cenários!AO125)</f>
        <v>-22808.6629544832</v>
      </c>
      <c r="AP21" s="153" t="n">
        <f aca="false">CHOOSE(Premissas!$B$6,Cenários!AP33,Cenários!AP79,Cenários!AP125)</f>
        <v>-23833.4779357709</v>
      </c>
      <c r="AQ21" s="153" t="n">
        <f aca="false">CHOOSE(Premissas!$B$6,Cenários!AQ33,Cenários!AQ79,Cenários!AQ125)</f>
        <v>-24789.6518281405</v>
      </c>
      <c r="AR21" s="153" t="n">
        <f aca="false">CHOOSE(Premissas!$B$6,Cenários!AR33,Cenários!AR79,Cenários!AR125)</f>
        <v>-25682.7561878394</v>
      </c>
      <c r="AS21" s="153" t="n">
        <f aca="false">CHOOSE(Premissas!$B$6,Cenários!AS33,Cenários!AS79,Cenários!AS125)</f>
        <v>-26515.8436567562</v>
      </c>
      <c r="AT21" s="153" t="n">
        <f aca="false">CHOOSE(Premissas!$B$6,Cenários!AT33,Cenários!AT79,Cenários!AT125)</f>
        <v>-27293.6316680291</v>
      </c>
      <c r="AU21" s="153" t="n">
        <f aca="false">CHOOSE(Premissas!$B$6,Cenários!AU33,Cenários!AU79,Cenários!AU125)</f>
        <v>-28020.2234106134</v>
      </c>
      <c r="AV21" s="153" t="n">
        <f aca="false">CHOOSE(Premissas!$B$6,Cenários!AV33,Cenários!AV79,Cenários!AV125)</f>
        <v>-28698.886186165</v>
      </c>
      <c r="AW21" s="153" t="n">
        <f aca="false">CHOOSE(Premissas!$B$6,Cenários!AW33,Cenários!AW79,Cenários!AW125)</f>
        <v>-29331.512070712</v>
      </c>
      <c r="AX21" s="153" t="n">
        <f aca="false">CHOOSE(Premissas!$B$6,Cenários!AX33,Cenários!AX79,Cenários!AX125)</f>
        <v>-35515.372743792</v>
      </c>
      <c r="AY21" s="153" t="n">
        <f aca="false">CHOOSE(Premissas!$B$6,Cenários!AY33,Cenários!AY79,Cenários!AY125)</f>
        <v>-37619.106311253</v>
      </c>
      <c r="AZ21" s="153" t="n">
        <f aca="false">CHOOSE(Premissas!$B$6,Cenários!AZ33,Cenários!AZ79,Cenários!AZ125)</f>
        <v>-39590.0723302762</v>
      </c>
      <c r="BA21" s="153" t="n">
        <f aca="false">CHOOSE(Premissas!$B$6,Cenários!BA33,Cenários!BA79,Cenários!BA125)</f>
        <v>-41439.4608589748</v>
      </c>
      <c r="BB21" s="153" t="n">
        <f aca="false">CHOOSE(Premissas!$B$6,Cenários!BB33,Cenários!BB79,Cenários!BB125)</f>
        <v>-43172.8710755004</v>
      </c>
      <c r="BC21" s="153" t="n">
        <f aca="false">CHOOSE(Premissas!$B$6,Cenários!BC33,Cenários!BC79,Cenários!BC125)</f>
        <v>-44797.30557336</v>
      </c>
      <c r="BD21" s="153" t="n">
        <f aca="false">CHOOSE(Premissas!$B$6,Cenários!BD33,Cenários!BD79,Cenários!BD125)</f>
        <v>-46321.5439228655</v>
      </c>
      <c r="BE21" s="153" t="n">
        <f aca="false">CHOOSE(Premissas!$B$6,Cenários!BE33,Cenários!BE79,Cenários!BE125)</f>
        <v>-47750.1857695679</v>
      </c>
      <c r="BF21" s="153" t="n">
        <f aca="false">CHOOSE(Premissas!$B$6,Cenários!BF33,Cenários!BF79,Cenários!BF125)</f>
        <v>-49089.9745892284</v>
      </c>
      <c r="BG21" s="153" t="n">
        <f aca="false">CHOOSE(Premissas!$B$6,Cenários!BG33,Cenários!BG79,Cenários!BG125)</f>
        <v>-50344.3032676545</v>
      </c>
      <c r="BH21" s="153" t="n">
        <f aca="false">CHOOSE(Premissas!$B$6,Cenários!BH33,Cenários!BH79,Cenários!BH125)</f>
        <v>-51521.6946225876</v>
      </c>
      <c r="BI21" s="153" t="n">
        <f aca="false">CHOOSE(Premissas!$B$6,Cenários!BI33,Cenários!BI79,Cenários!BI125)</f>
        <v>-52625.2588337527</v>
      </c>
      <c r="BJ21" s="154" t="n">
        <f aca="false">SUM(B21:BI21)</f>
        <v>-1023977.40407412</v>
      </c>
      <c r="BK21" s="155" t="n">
        <f aca="false">IFERROR(BJ21/BJ$16,0)</f>
        <v>-0.0140595361785937</v>
      </c>
    </row>
    <row r="22" customFormat="false" ht="15.75" hidden="false" customHeight="true" outlineLevel="0" collapsed="false">
      <c r="A22" s="53" t="s">
        <v>405</v>
      </c>
      <c r="B22" s="154" t="n">
        <f aca="false">B16+SUM(B19:B21)</f>
        <v>0</v>
      </c>
      <c r="C22" s="154" t="n">
        <f aca="false">C16+SUM(C19:C21)</f>
        <v>0</v>
      </c>
      <c r="D22" s="154" t="n">
        <f aca="false">D16+SUM(D19:D21)</f>
        <v>0</v>
      </c>
      <c r="E22" s="154" t="n">
        <f aca="false">E16+SUM(E19:E21)</f>
        <v>0</v>
      </c>
      <c r="F22" s="154" t="n">
        <f aca="false">F16+SUM(F19:F21)</f>
        <v>0</v>
      </c>
      <c r="G22" s="154" t="n">
        <f aca="false">G16+SUM(G19:G21)</f>
        <v>0</v>
      </c>
      <c r="H22" s="154" t="n">
        <f aca="false">H16+SUM(H19:H21)</f>
        <v>0</v>
      </c>
      <c r="I22" s="154" t="n">
        <f aca="false">I16+SUM(I19:I21)</f>
        <v>0</v>
      </c>
      <c r="J22" s="154" t="n">
        <f aca="false">J16+SUM(J19:J21)</f>
        <v>0</v>
      </c>
      <c r="K22" s="154" t="n">
        <f aca="false">K16+SUM(K19:K21)</f>
        <v>0</v>
      </c>
      <c r="L22" s="154" t="n">
        <f aca="false">L16+SUM(L19:L21)</f>
        <v>0</v>
      </c>
      <c r="M22" s="154" t="n">
        <f aca="false">M16+SUM(M19:M21)</f>
        <v>5111.00325</v>
      </c>
      <c r="N22" s="154" t="n">
        <f aca="false">N16+SUM(N19:N21)</f>
        <v>27701.52976</v>
      </c>
      <c r="O22" s="154" t="n">
        <f aca="false">O16+SUM(O19:O21)</f>
        <v>62742.209121408</v>
      </c>
      <c r="P22" s="154" t="n">
        <f aca="false">P16+SUM(P19:P21)</f>
        <v>113831.909244438</v>
      </c>
      <c r="Q22" s="154" t="n">
        <f aca="false">Q16+SUM(Q19:Q21)</f>
        <v>172030.172313662</v>
      </c>
      <c r="R22" s="154" t="n">
        <f aca="false">R16+SUM(R19:R21)</f>
        <v>233818.153196965</v>
      </c>
      <c r="S22" s="154" t="n">
        <f aca="false">S16+SUM(S19:S21)</f>
        <v>261091.016634828</v>
      </c>
      <c r="T22" s="154" t="n">
        <f aca="false">T16+SUM(T19:T21)</f>
        <v>286514.476096429</v>
      </c>
      <c r="U22" s="154" t="n">
        <f aca="false">U16+SUM(U19:U21)</f>
        <v>310570.107507639</v>
      </c>
      <c r="V22" s="154" t="n">
        <f aca="false">V16+SUM(V19:V21)</f>
        <v>331256.540744936</v>
      </c>
      <c r="W22" s="154" t="n">
        <f aca="false">W16+SUM(W19:W21)</f>
        <v>351564.487217236</v>
      </c>
      <c r="X22" s="154" t="n">
        <f aca="false">X16+SUM(X19:X21)</f>
        <v>369202.998588547</v>
      </c>
      <c r="Y22" s="154" t="n">
        <f aca="false">Y16+SUM(Y19:Y21)</f>
        <v>417431.950144496</v>
      </c>
      <c r="Z22" s="154" t="n">
        <f aca="false">Z16+SUM(Z19:Z21)</f>
        <v>498670.304955755</v>
      </c>
      <c r="AA22" s="154" t="n">
        <f aca="false">AA16+SUM(AA19:AA21)</f>
        <v>555039.779802518</v>
      </c>
      <c r="AB22" s="154" t="n">
        <f aca="false">AB16+SUM(AB19:AB21)</f>
        <v>597478.42949917</v>
      </c>
      <c r="AC22" s="154" t="n">
        <f aca="false">AC16+SUM(AC19:AC21)</f>
        <v>636916.94279712</v>
      </c>
      <c r="AD22" s="154" t="n">
        <f aca="false">AD16+SUM(AD19:AD21)</f>
        <v>673567.959148926</v>
      </c>
      <c r="AE22" s="154" t="n">
        <f aca="false">AE16+SUM(AE19:AE21)</f>
        <v>707625.34472859</v>
      </c>
      <c r="AF22" s="154" t="n">
        <f aca="false">AF16+SUM(AF19:AF21)</f>
        <v>739250.897148624</v>
      </c>
      <c r="AG22" s="154" t="n">
        <f aca="false">AG16+SUM(AG19:AG21)</f>
        <v>768655.798625</v>
      </c>
      <c r="AH22" s="154" t="n">
        <f aca="false">AH16+SUM(AH19:AH21)</f>
        <v>795954.849554269</v>
      </c>
      <c r="AI22" s="154" t="n">
        <f aca="false">AI16+SUM(AI19:AI21)</f>
        <v>821329.335894125</v>
      </c>
      <c r="AJ22" s="154" t="n">
        <f aca="false">AJ16+SUM(AJ19:AJ21)</f>
        <v>844954.906131555</v>
      </c>
      <c r="AK22" s="154" t="n">
        <f aca="false">AK16+SUM(AK19:AK21)</f>
        <v>866913.6901115</v>
      </c>
      <c r="AL22" s="154" t="n">
        <f aca="false">AL16+SUM(AL19:AL21)</f>
        <v>989989.849848317</v>
      </c>
      <c r="AM22" s="154" t="n">
        <f aca="false">AM16+SUM(AM19:AM21)</f>
        <v>1054072.4876167</v>
      </c>
      <c r="AN22" s="154" t="n">
        <f aca="false">AN16+SUM(AN19:AN21)</f>
        <v>1113831.0114055</v>
      </c>
      <c r="AO22" s="154" t="n">
        <f aca="false">AO16+SUM(AO19:AO21)</f>
        <v>1169672.37580987</v>
      </c>
      <c r="AP22" s="154" t="n">
        <f aca="false">AP16+SUM(AP19:AP21)</f>
        <v>1221825.60249186</v>
      </c>
      <c r="AQ22" s="154" t="n">
        <f aca="false">AQ16+SUM(AQ19:AQ21)</f>
        <v>1270482.41603535</v>
      </c>
      <c r="AR22" s="154" t="n">
        <f aca="false">AR16+SUM(AR19:AR21)</f>
        <v>1315932.57631379</v>
      </c>
      <c r="AS22" s="154" t="n">
        <f aca="false">AS16+SUM(AS19:AS21)</f>
        <v>1358324.47166946</v>
      </c>
      <c r="AT22" s="154" t="n">
        <f aca="false">AT16+SUM(AT19:AT21)</f>
        <v>1397902.77412406</v>
      </c>
      <c r="AU22" s="154" t="n">
        <f aca="false">AU16+SUM(AU19:AU21)</f>
        <v>1434878.80336219</v>
      </c>
      <c r="AV22" s="154" t="n">
        <f aca="false">AV16+SUM(AV19:AV21)</f>
        <v>1469417.826543</v>
      </c>
      <c r="AW22" s="154" t="n">
        <f aca="false">AW16+SUM(AW19:AW21)</f>
        <v>1501608.30930913</v>
      </c>
      <c r="AX22" s="154" t="n">
        <f aca="false">AX16+SUM(AX19:AX21)</f>
        <v>1687265.97907411</v>
      </c>
      <c r="AY22" s="154" t="n">
        <f aca="false">AY16+SUM(AY19:AY21)</f>
        <v>1786679.15835598</v>
      </c>
      <c r="AZ22" s="154" t="n">
        <f aca="false">AZ16+SUM(AZ19:AZ21)</f>
        <v>1879810.19320933</v>
      </c>
      <c r="BA22" s="154" t="n">
        <f aca="false">BA16+SUM(BA19:BA21)</f>
        <v>1967205.60796256</v>
      </c>
      <c r="BB22" s="154" t="n">
        <f aca="false">BB16+SUM(BB19:BB21)</f>
        <v>2049117.5393473</v>
      </c>
      <c r="BC22" s="154" t="n">
        <f aca="false">BC16+SUM(BC19:BC21)</f>
        <v>2125875.64268031</v>
      </c>
      <c r="BD22" s="154" t="n">
        <f aca="false">BD16+SUM(BD19:BD21)</f>
        <v>2197906.78689161</v>
      </c>
      <c r="BE22" s="154" t="n">
        <f aca="false">BE16+SUM(BE19:BE21)</f>
        <v>2265417.9800656</v>
      </c>
      <c r="BF22" s="154" t="n">
        <f aca="false">BF16+SUM(BF19:BF21)</f>
        <v>2328732.63635916</v>
      </c>
      <c r="BG22" s="154" t="n">
        <f aca="false">BG16+SUM(BG19:BG21)</f>
        <v>2387998.12579927</v>
      </c>
      <c r="BH22" s="154" t="n">
        <f aca="false">BH16+SUM(BH19:BH21)</f>
        <v>2443636.80018239</v>
      </c>
      <c r="BI22" s="154" t="n">
        <f aca="false">BI16+SUM(BI19:BI21)</f>
        <v>2495784.99909916</v>
      </c>
      <c r="BJ22" s="154" t="n">
        <f aca="false">SUM(B22:BI22)</f>
        <v>52362594.7457738</v>
      </c>
      <c r="BK22" s="155" t="n">
        <f aca="false">IFERROR(BJ22/BJ$16,0)</f>
        <v>0.718955117861131</v>
      </c>
    </row>
    <row r="23" customFormat="false" ht="15.75" hidden="false" customHeight="true" outlineLevel="0" collapsed="false"/>
    <row r="24" customFormat="false" ht="18" hidden="false" customHeight="true" outlineLevel="0" collapsed="false">
      <c r="A24" s="47" t="s">
        <v>406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</row>
    <row r="25" customFormat="false" ht="15.75" hidden="false" customHeight="true" outlineLevel="0" collapsed="false">
      <c r="A25" s="152" t="s">
        <v>407</v>
      </c>
      <c r="B25" s="153" t="n">
        <f aca="false">CHOOSE(Premissas!$B$6,Cenários!B35,Cenários!B81,Cenários!B127)</f>
        <v>-0</v>
      </c>
      <c r="C25" s="153" t="n">
        <f aca="false">CHOOSE(Premissas!$B$6,Cenários!C35,Cenários!C81,Cenários!C127)</f>
        <v>-0</v>
      </c>
      <c r="D25" s="153" t="n">
        <f aca="false">CHOOSE(Premissas!$B$6,Cenários!D35,Cenários!D81,Cenários!D127)</f>
        <v>-0</v>
      </c>
      <c r="E25" s="153" t="n">
        <f aca="false">CHOOSE(Premissas!$B$6,Cenários!E35,Cenários!E81,Cenários!E127)</f>
        <v>-0</v>
      </c>
      <c r="F25" s="153" t="n">
        <f aca="false">CHOOSE(Premissas!$B$6,Cenários!F35,Cenários!F81,Cenários!F127)</f>
        <v>-600</v>
      </c>
      <c r="G25" s="153" t="n">
        <f aca="false">CHOOSE(Premissas!$B$6,Cenários!G35,Cenários!G81,Cenários!G127)</f>
        <v>-600</v>
      </c>
      <c r="H25" s="153" t="n">
        <f aca="false">CHOOSE(Premissas!$B$6,Cenários!H35,Cenários!H81,Cenários!H127)</f>
        <v>-600</v>
      </c>
      <c r="I25" s="153" t="n">
        <f aca="false">CHOOSE(Premissas!$B$6,Cenários!I35,Cenários!I81,Cenários!I127)</f>
        <v>-600</v>
      </c>
      <c r="J25" s="153" t="n">
        <f aca="false">CHOOSE(Premissas!$B$6,Cenários!J35,Cenários!J81,Cenários!J127)</f>
        <v>-600</v>
      </c>
      <c r="K25" s="153" t="n">
        <f aca="false">CHOOSE(Premissas!$B$6,Cenários!K35,Cenários!K81,Cenários!K127)</f>
        <v>-600</v>
      </c>
      <c r="L25" s="153" t="n">
        <f aca="false">CHOOSE(Premissas!$B$6,Cenários!L35,Cenários!L81,Cenários!L127)</f>
        <v>-600</v>
      </c>
      <c r="M25" s="153" t="n">
        <f aca="false">CHOOSE(Premissas!$B$6,Cenários!M35,Cenários!M81,Cenários!M127)</f>
        <v>-3840.2</v>
      </c>
      <c r="N25" s="153" t="n">
        <f aca="false">CHOOSE(Premissas!$B$6,Cenários!N35,Cenários!N81,Cenários!N127)</f>
        <v>-17787.5376</v>
      </c>
      <c r="O25" s="153" t="n">
        <f aca="false">CHOOSE(Premissas!$B$6,Cenários!O35,Cenários!O81,Cenários!O127)</f>
        <v>-37233.12872448</v>
      </c>
      <c r="P25" s="153" t="n">
        <f aca="false">CHOOSE(Premissas!$B$6,Cenários!P35,Cenários!P81,Cenários!P127)</f>
        <v>-63273.8901163991</v>
      </c>
      <c r="Q25" s="153" t="n">
        <f aca="false">CHOOSE(Premissas!$B$6,Cenários!Q35,Cenários!Q81,Cenários!Q127)</f>
        <v>-100656.999179646</v>
      </c>
      <c r="R25" s="153" t="n">
        <f aca="false">CHOOSE(Premissas!$B$6,Cenários!R35,Cenários!R81,Cenários!R127)</f>
        <v>-138671.350473337</v>
      </c>
      <c r="S25" s="153" t="n">
        <f aca="false">CHOOSE(Premissas!$B$6,Cenários!S35,Cenários!S81,Cenários!S127)</f>
        <v>-157075.820965742</v>
      </c>
      <c r="T25" s="153" t="n">
        <f aca="false">CHOOSE(Premissas!$B$6,Cenários!T35,Cenários!T81,Cenários!T127)</f>
        <v>-174081.374141118</v>
      </c>
      <c r="U25" s="153" t="n">
        <f aca="false">CHOOSE(Premissas!$B$6,Cenários!U35,Cenários!U81,Cenários!U127)</f>
        <v>-189822.453045706</v>
      </c>
      <c r="V25" s="153" t="n">
        <f aca="false">CHOOSE(Premissas!$B$6,Cenários!V35,Cenários!V81,Cenários!V127)</f>
        <v>-204401.072352669</v>
      </c>
      <c r="W25" s="153" t="n">
        <f aca="false">CHOOSE(Premissas!$B$6,Cenários!W35,Cenários!W81,Cenários!W127)</f>
        <v>-217854.999519748</v>
      </c>
      <c r="X25" s="153" t="n">
        <f aca="false">CHOOSE(Premissas!$B$6,Cenários!X35,Cenários!X81,Cenários!X127)</f>
        <v>-230317.265107863</v>
      </c>
      <c r="Y25" s="153" t="n">
        <f aca="false">CHOOSE(Premissas!$B$6,Cenários!Y35,Cenários!Y81,Cenários!Y127)</f>
        <v>-241824.742323752</v>
      </c>
      <c r="Z25" s="153" t="n">
        <f aca="false">CHOOSE(Premissas!$B$6,Cenários!Z35,Cenários!Z81,Cenários!Z127)</f>
        <v>-280318.570170357</v>
      </c>
      <c r="AA25" s="153" t="n">
        <f aca="false">CHOOSE(Premissas!$B$6,Cenários!AA35,Cenários!AA81,Cenários!AA127)</f>
        <v>-305152.753669035</v>
      </c>
      <c r="AB25" s="153" t="n">
        <f aca="false">CHOOSE(Premissas!$B$6,Cenários!AB35,Cenários!AB81,Cenários!AB127)</f>
        <v>-328250.659362638</v>
      </c>
      <c r="AC25" s="153" t="n">
        <f aca="false">CHOOSE(Premissas!$B$6,Cenários!AC35,Cenários!AC81,Cenários!AC127)</f>
        <v>-349715.697044236</v>
      </c>
      <c r="AD25" s="153" t="n">
        <f aca="false">CHOOSE(Premissas!$B$6,Cenários!AD35,Cenários!AD81,Cenários!AD127)</f>
        <v>-369650.830621493</v>
      </c>
      <c r="AE25" s="153" t="n">
        <f aca="false">CHOOSE(Premissas!$B$6,Cenários!AE35,Cenários!AE81,Cenários!AE127)</f>
        <v>-388190.270429017</v>
      </c>
      <c r="AF25" s="153" t="n">
        <f aca="false">CHOOSE(Premissas!$B$6,Cenários!AF35,Cenários!AF81,Cenários!AF127)</f>
        <v>-405404.036811747</v>
      </c>
      <c r="AG25" s="153" t="n">
        <f aca="false">CHOOSE(Premissas!$B$6,Cenários!AG35,Cenários!AG81,Cenários!AG127)</f>
        <v>-421393.61503091</v>
      </c>
      <c r="AH25" s="153" t="n">
        <f aca="false">CHOOSE(Premissas!$B$6,Cenários!AH35,Cenários!AH81,Cenários!AH127)</f>
        <v>-436260.031540437</v>
      </c>
      <c r="AI25" s="153" t="n">
        <f aca="false">CHOOSE(Premissas!$B$6,Cenários!AI35,Cenários!AI81,Cenários!AI127)</f>
        <v>-450072.079678331</v>
      </c>
      <c r="AJ25" s="153" t="n">
        <f aca="false">CHOOSE(Premissas!$B$6,Cenários!AJ35,Cenários!AJ81,Cenários!AJ127)</f>
        <v>-462930.090814349</v>
      </c>
      <c r="AK25" s="153" t="n">
        <f aca="false">CHOOSE(Premissas!$B$6,Cenários!AK35,Cenários!AK81,Cenários!AK127)</f>
        <v>-474870.244992432</v>
      </c>
      <c r="AL25" s="153" t="n">
        <f aca="false">CHOOSE(Premissas!$B$6,Cenários!AL35,Cenários!AL81,Cenários!AL127)</f>
        <v>-532756.521114101</v>
      </c>
      <c r="AM25" s="153" t="n">
        <f aca="false">CHOOSE(Premissas!$B$6,Cenários!AM35,Cenários!AM81,Cenários!AM127)</f>
        <v>-566386.531171263</v>
      </c>
      <c r="AN25" s="153" t="n">
        <f aca="false">CHOOSE(Premissas!$B$6,Cenários!AN35,Cenários!AN81,Cenários!AN127)</f>
        <v>-597749.51579217</v>
      </c>
      <c r="AO25" s="153" t="n">
        <f aca="false">CHOOSE(Premissas!$B$6,Cenários!AO35,Cenários!AO81,Cenários!AO127)</f>
        <v>-627045.390367817</v>
      </c>
      <c r="AP25" s="153" t="n">
        <f aca="false">CHOOSE(Premissas!$B$6,Cenários!AP35,Cenários!AP81,Cenários!AP127)</f>
        <v>-654409.81703755</v>
      </c>
      <c r="AQ25" s="153" t="n">
        <f aca="false">CHOOSE(Premissas!$B$6,Cenários!AQ35,Cenários!AQ81,Cenários!AQ127)</f>
        <v>-679946.098543192</v>
      </c>
      <c r="AR25" s="153" t="n">
        <f aca="false">CHOOSE(Premissas!$B$6,Cenários!AR35,Cenários!AR81,Cenários!AR127)</f>
        <v>-703788.756494856</v>
      </c>
      <c r="AS25" s="153" t="n">
        <f aca="false">CHOOSE(Premissas!$B$6,Cenários!AS35,Cenários!AS81,Cenários!AS127)</f>
        <v>-726040.069087515</v>
      </c>
      <c r="AT25" s="153" t="n">
        <f aca="false">CHOOSE(Premissas!$B$6,Cenários!AT35,Cenários!AT81,Cenários!AT127)</f>
        <v>-746801.913304831</v>
      </c>
      <c r="AU25" s="153" t="n">
        <f aca="false">CHOOSE(Premissas!$B$6,Cenários!AU35,Cenários!AU81,Cenários!AU127)</f>
        <v>-766207.506644318</v>
      </c>
      <c r="AV25" s="153" t="n">
        <f aca="false">CHOOSE(Premissas!$B$6,Cenários!AV35,Cenários!AV81,Cenários!AV127)</f>
        <v>-784326.058395631</v>
      </c>
      <c r="AW25" s="153" t="n">
        <f aca="false">CHOOSE(Premissas!$B$6,Cenários!AW35,Cenários!AW81,Cenários!AW127)</f>
        <v>-801226.245501695</v>
      </c>
      <c r="AX25" s="153" t="n">
        <f aca="false">CHOOSE(Premissas!$B$6,Cenários!AX35,Cenários!AX81,Cenários!AX127)</f>
        <v>-889653.786178651</v>
      </c>
      <c r="AY25" s="153" t="n">
        <f aca="false">CHOOSE(Premissas!$B$6,Cenários!AY35,Cenários!AY81,Cenários!AY127)</f>
        <v>-940571.469164291</v>
      </c>
      <c r="AZ25" s="153" t="n">
        <f aca="false">CHOOSE(Premissas!$B$6,Cenários!AZ35,Cenários!AZ81,Cenários!AZ127)</f>
        <v>-988279.043152907</v>
      </c>
      <c r="BA25" s="153" t="n">
        <f aca="false">CHOOSE(Premissas!$B$6,Cenários!BA35,Cenários!BA81,Cenários!BA127)</f>
        <v>-1033042.84796948</v>
      </c>
      <c r="BB25" s="153" t="n">
        <f aca="false">CHOOSE(Premissas!$B$6,Cenários!BB35,Cenários!BB81,Cenários!BB127)</f>
        <v>-1075001.02042952</v>
      </c>
      <c r="BC25" s="153" t="n">
        <f aca="false">CHOOSE(Premissas!$B$6,Cenários!BC35,Cenários!BC81,Cenários!BC127)</f>
        <v>-1114322.97952069</v>
      </c>
      <c r="BD25" s="153" t="n">
        <f aca="false">CHOOSE(Premissas!$B$6,Cenários!BD35,Cenários!BD81,Cenários!BD127)</f>
        <v>-1151209.33594832</v>
      </c>
      <c r="BE25" s="153" t="n">
        <f aca="false">CHOOSE(Premissas!$B$6,Cenários!BE35,Cenários!BE81,Cenários!BE127)</f>
        <v>-1185796.34608489</v>
      </c>
      <c r="BF25" s="153" t="n">
        <f aca="false">CHOOSE(Premissas!$B$6,Cenários!BF35,Cenários!BF81,Cenários!BF127)</f>
        <v>-1218219.74036043</v>
      </c>
      <c r="BG25" s="153" t="n">
        <f aca="false">CHOOSE(Premissas!$B$6,Cenários!BG35,Cenários!BG81,Cenários!BG127)</f>
        <v>-1248582.89612887</v>
      </c>
      <c r="BH25" s="153" t="n">
        <f aca="false">CHOOSE(Premissas!$B$6,Cenários!BH35,Cenários!BH81,Cenários!BH127)</f>
        <v>-1277084.28504302</v>
      </c>
      <c r="BI25" s="153" t="n">
        <f aca="false">CHOOSE(Premissas!$B$6,Cenários!BI35,Cenários!BI81,Cenários!BI127)</f>
        <v>-1303794.43496905</v>
      </c>
      <c r="BJ25" s="154" t="n">
        <f aca="false">SUM(B25:BI25)</f>
        <v>-28065492.3221205</v>
      </c>
      <c r="BK25" s="155" t="n">
        <f aca="false">IFERROR(BJ25/BJ$16,0)</f>
        <v>-0.385348156221945</v>
      </c>
    </row>
    <row r="26" customFormat="false" ht="15.75" hidden="false" customHeight="true" outlineLevel="0" collapsed="false">
      <c r="A26" s="152" t="s">
        <v>408</v>
      </c>
      <c r="B26" s="153" t="n">
        <f aca="false">CHOOSE(Premissas!$B$6,Cenários!B36,Cenários!B82,Cenários!B128)</f>
        <v>-0</v>
      </c>
      <c r="C26" s="153" t="n">
        <f aca="false">CHOOSE(Premissas!$B$6,Cenários!C36,Cenários!C82,Cenários!C128)</f>
        <v>-0</v>
      </c>
      <c r="D26" s="153" t="n">
        <f aca="false">CHOOSE(Premissas!$B$6,Cenários!D36,Cenários!D82,Cenários!D128)</f>
        <v>-0</v>
      </c>
      <c r="E26" s="153" t="n">
        <f aca="false">CHOOSE(Premissas!$B$6,Cenários!E36,Cenários!E82,Cenários!E128)</f>
        <v>-0</v>
      </c>
      <c r="F26" s="153" t="n">
        <f aca="false">CHOOSE(Premissas!$B$6,Cenários!F36,Cenários!F82,Cenários!F128)</f>
        <v>-0</v>
      </c>
      <c r="G26" s="153" t="n">
        <f aca="false">CHOOSE(Premissas!$B$6,Cenários!G36,Cenários!G82,Cenários!G128)</f>
        <v>-0</v>
      </c>
      <c r="H26" s="153" t="n">
        <f aca="false">CHOOSE(Premissas!$B$6,Cenários!H36,Cenários!H82,Cenários!H128)</f>
        <v>-0</v>
      </c>
      <c r="I26" s="153" t="n">
        <f aca="false">CHOOSE(Premissas!$B$6,Cenários!I36,Cenários!I82,Cenários!I128)</f>
        <v>-0</v>
      </c>
      <c r="J26" s="153" t="n">
        <f aca="false">CHOOSE(Premissas!$B$6,Cenários!J36,Cenários!J82,Cenários!J128)</f>
        <v>-0</v>
      </c>
      <c r="K26" s="153" t="n">
        <f aca="false">CHOOSE(Premissas!$B$6,Cenários!K36,Cenários!K82,Cenários!K128)</f>
        <v>-0</v>
      </c>
      <c r="L26" s="153" t="n">
        <f aca="false">CHOOSE(Premissas!$B$6,Cenários!L36,Cenários!L82,Cenários!L128)</f>
        <v>-0</v>
      </c>
      <c r="M26" s="153" t="n">
        <f aca="false">CHOOSE(Premissas!$B$6,Cenários!M36,Cenários!M82,Cenários!M128)</f>
        <v>-31.5</v>
      </c>
      <c r="N26" s="153" t="n">
        <f aca="false">CHOOSE(Premissas!$B$6,Cenários!N36,Cenários!N82,Cenários!N128)</f>
        <v>-158.2</v>
      </c>
      <c r="O26" s="153" t="n">
        <f aca="false">CHOOSE(Premissas!$B$6,Cenários!O36,Cenários!O82,Cenários!O128)</f>
        <v>-366.45</v>
      </c>
      <c r="P26" s="153" t="n">
        <f aca="false">CHOOSE(Premissas!$B$6,Cenários!P36,Cenários!P82,Cenários!P128)</f>
        <v>-647.5</v>
      </c>
      <c r="Q26" s="153" t="n">
        <f aca="false">CHOOSE(Premissas!$B$6,Cenários!Q36,Cenários!Q82,Cenários!Q128)</f>
        <v>-992.95</v>
      </c>
      <c r="R26" s="153" t="n">
        <f aca="false">CHOOSE(Premissas!$B$6,Cenários!R36,Cenários!R82,Cenários!R128)</f>
        <v>-1395.8</v>
      </c>
      <c r="S26" s="153" t="n">
        <f aca="false">CHOOSE(Premissas!$B$6,Cenários!S36,Cenários!S82,Cenários!S128)</f>
        <v>-1584.45</v>
      </c>
      <c r="T26" s="153" t="n">
        <f aca="false">CHOOSE(Premissas!$B$6,Cenários!T36,Cenários!T82,Cenários!T128)</f>
        <v>-1758.75</v>
      </c>
      <c r="U26" s="153" t="n">
        <f aca="false">CHOOSE(Premissas!$B$6,Cenários!U36,Cenários!U82,Cenários!U128)</f>
        <v>-1920.1</v>
      </c>
      <c r="V26" s="153" t="n">
        <f aca="false">CHOOSE(Premissas!$B$6,Cenários!V36,Cenários!V82,Cenários!V128)</f>
        <v>-2069.55</v>
      </c>
      <c r="W26" s="153" t="n">
        <f aca="false">CHOOSE(Premissas!$B$6,Cenários!W36,Cenários!W82,Cenários!W128)</f>
        <v>-2207.45</v>
      </c>
      <c r="X26" s="153" t="n">
        <f aca="false">CHOOSE(Premissas!$B$6,Cenários!X36,Cenários!X82,Cenários!X128)</f>
        <v>-2335.2</v>
      </c>
      <c r="Y26" s="153" t="n">
        <f aca="false">CHOOSE(Premissas!$B$6,Cenários!Y36,Cenários!Y82,Cenários!Y128)</f>
        <v>-2453.15</v>
      </c>
      <c r="Z26" s="153" t="n">
        <f aca="false">CHOOSE(Premissas!$B$6,Cenários!Z36,Cenários!Z82,Cenários!Z128)</f>
        <v>-2401.5</v>
      </c>
      <c r="AA26" s="153" t="n">
        <f aca="false">CHOOSE(Premissas!$B$6,Cenários!AA36,Cenários!AA82,Cenários!AA128)</f>
        <v>-2620.5</v>
      </c>
      <c r="AB26" s="153" t="n">
        <f aca="false">CHOOSE(Premissas!$B$6,Cenários!AB36,Cenários!AB82,Cenários!AB128)</f>
        <v>-2824.2</v>
      </c>
      <c r="AC26" s="153" t="n">
        <f aca="false">CHOOSE(Premissas!$B$6,Cenários!AC36,Cenários!AC82,Cenários!AC128)</f>
        <v>-3013.5</v>
      </c>
      <c r="AD26" s="153" t="n">
        <f aca="false">CHOOSE(Premissas!$B$6,Cenários!AD36,Cenários!AD82,Cenários!AD128)</f>
        <v>-3189.3</v>
      </c>
      <c r="AE26" s="153" t="n">
        <f aca="false">CHOOSE(Premissas!$B$6,Cenários!AE36,Cenários!AE82,Cenários!AE128)</f>
        <v>-3352.8</v>
      </c>
      <c r="AF26" s="153" t="n">
        <f aca="false">CHOOSE(Premissas!$B$6,Cenários!AF36,Cenários!AF82,Cenários!AF128)</f>
        <v>-3504.6</v>
      </c>
      <c r="AG26" s="153" t="n">
        <f aca="false">CHOOSE(Premissas!$B$6,Cenários!AG36,Cenários!AG82,Cenários!AG128)</f>
        <v>-3645.6</v>
      </c>
      <c r="AH26" s="153" t="n">
        <f aca="false">CHOOSE(Premissas!$B$6,Cenários!AH36,Cenários!AH82,Cenários!AH128)</f>
        <v>-3776.7</v>
      </c>
      <c r="AI26" s="153" t="n">
        <f aca="false">CHOOSE(Premissas!$B$6,Cenários!AI36,Cenários!AI82,Cenários!AI128)</f>
        <v>-3898.5</v>
      </c>
      <c r="AJ26" s="153" t="n">
        <f aca="false">CHOOSE(Premissas!$B$6,Cenários!AJ36,Cenários!AJ82,Cenários!AJ128)</f>
        <v>-4011.9</v>
      </c>
      <c r="AK26" s="153" t="n">
        <f aca="false">CHOOSE(Premissas!$B$6,Cenários!AK36,Cenários!AK82,Cenários!AK128)</f>
        <v>-4117.2</v>
      </c>
      <c r="AL26" s="153" t="n">
        <f aca="false">CHOOSE(Premissas!$B$6,Cenários!AL36,Cenários!AL82,Cenários!AL128)</f>
        <v>-4255.72</v>
      </c>
      <c r="AM26" s="153" t="n">
        <f aca="false">CHOOSE(Premissas!$B$6,Cenários!AM36,Cenários!AM82,Cenários!AM128)</f>
        <v>-4533.76</v>
      </c>
      <c r="AN26" s="153" t="n">
        <f aca="false">CHOOSE(Premissas!$B$6,Cenários!AN36,Cenários!AN82,Cenários!AN128)</f>
        <v>-4793.04</v>
      </c>
      <c r="AO26" s="153" t="n">
        <f aca="false">CHOOSE(Premissas!$B$6,Cenários!AO36,Cenários!AO82,Cenários!AO128)</f>
        <v>-5035.24</v>
      </c>
      <c r="AP26" s="153" t="n">
        <f aca="false">CHOOSE(Premissas!$B$6,Cenários!AP36,Cenários!AP82,Cenários!AP128)</f>
        <v>-5261.48</v>
      </c>
      <c r="AQ26" s="153" t="n">
        <f aca="false">CHOOSE(Premissas!$B$6,Cenários!AQ36,Cenários!AQ82,Cenários!AQ128)</f>
        <v>-5472.6</v>
      </c>
      <c r="AR26" s="153" t="n">
        <f aca="false">CHOOSE(Premissas!$B$6,Cenários!AR36,Cenários!AR82,Cenários!AR128)</f>
        <v>-5669.72</v>
      </c>
      <c r="AS26" s="153" t="n">
        <f aca="false">CHOOSE(Premissas!$B$6,Cenários!AS36,Cenários!AS82,Cenários!AS128)</f>
        <v>-5853.68</v>
      </c>
      <c r="AT26" s="153" t="n">
        <f aca="false">CHOOSE(Premissas!$B$6,Cenários!AT36,Cenários!AT82,Cenários!AT128)</f>
        <v>-6025.32</v>
      </c>
      <c r="AU26" s="153" t="n">
        <f aca="false">CHOOSE(Premissas!$B$6,Cenários!AU36,Cenários!AU82,Cenários!AU128)</f>
        <v>-6185.76</v>
      </c>
      <c r="AV26" s="153" t="n">
        <f aca="false">CHOOSE(Premissas!$B$6,Cenários!AV36,Cenários!AV82,Cenários!AV128)</f>
        <v>-6335.56</v>
      </c>
      <c r="AW26" s="153" t="n">
        <f aca="false">CHOOSE(Premissas!$B$6,Cenários!AW36,Cenários!AW82,Cenários!AW128)</f>
        <v>-6475.28</v>
      </c>
      <c r="AX26" s="153" t="n">
        <f aca="false">CHOOSE(Premissas!$B$6,Cenários!AX36,Cenários!AX82,Cenários!AX128)</f>
        <v>-6356.5</v>
      </c>
      <c r="AY26" s="153" t="n">
        <f aca="false">CHOOSE(Premissas!$B$6,Cenários!AY36,Cenários!AY82,Cenários!AY128)</f>
        <v>-6733</v>
      </c>
      <c r="AZ26" s="153" t="n">
        <f aca="false">CHOOSE(Premissas!$B$6,Cenários!AZ36,Cenários!AZ82,Cenários!AZ128)</f>
        <v>-7085.75</v>
      </c>
      <c r="BA26" s="153" t="n">
        <f aca="false">CHOOSE(Premissas!$B$6,Cenários!BA36,Cenários!BA82,Cenários!BA128)</f>
        <v>-7416.75</v>
      </c>
      <c r="BB26" s="153" t="n">
        <f aca="false">CHOOSE(Premissas!$B$6,Cenários!BB36,Cenários!BB82,Cenários!BB128)</f>
        <v>-7727</v>
      </c>
      <c r="BC26" s="153" t="n">
        <f aca="false">CHOOSE(Premissas!$B$6,Cenários!BC36,Cenários!BC82,Cenários!BC128)</f>
        <v>-8017.75</v>
      </c>
      <c r="BD26" s="153" t="n">
        <f aca="false">CHOOSE(Premissas!$B$6,Cenários!BD36,Cenários!BD82,Cenários!BD128)</f>
        <v>-8290.5</v>
      </c>
      <c r="BE26" s="153" t="n">
        <f aca="false">CHOOSE(Premissas!$B$6,Cenários!BE36,Cenários!BE82,Cenários!BE128)</f>
        <v>-8546.25</v>
      </c>
      <c r="BF26" s="153" t="n">
        <f aca="false">CHOOSE(Premissas!$B$6,Cenários!BF36,Cenários!BF82,Cenários!BF128)</f>
        <v>-8786</v>
      </c>
      <c r="BG26" s="153" t="n">
        <f aca="false">CHOOSE(Premissas!$B$6,Cenários!BG36,Cenários!BG82,Cenários!BG128)</f>
        <v>-9010.5</v>
      </c>
      <c r="BH26" s="153" t="n">
        <f aca="false">CHOOSE(Premissas!$B$6,Cenários!BH36,Cenários!BH82,Cenários!BH128)</f>
        <v>-9221.25</v>
      </c>
      <c r="BI26" s="153" t="n">
        <f aca="false">CHOOSE(Premissas!$B$6,Cenários!BI36,Cenários!BI82,Cenários!BI128)</f>
        <v>-9418.75</v>
      </c>
      <c r="BJ26" s="154" t="n">
        <f aca="false">SUM(B26:BI26)</f>
        <v>-220784.51</v>
      </c>
      <c r="BK26" s="155" t="n">
        <f aca="false">IFERROR(BJ26/BJ$16,0)</f>
        <v>-0.00303144170336925</v>
      </c>
    </row>
    <row r="27" customFormat="false" ht="15.75" hidden="false" customHeight="true" outlineLevel="0" collapsed="false">
      <c r="A27" s="53" t="s">
        <v>409</v>
      </c>
      <c r="B27" s="154" t="n">
        <f aca="false">B22+B25+B26</f>
        <v>0</v>
      </c>
      <c r="C27" s="154" t="n">
        <f aca="false">C22+C25+C26</f>
        <v>0</v>
      </c>
      <c r="D27" s="154" t="n">
        <f aca="false">D22+D25+D26</f>
        <v>0</v>
      </c>
      <c r="E27" s="154" t="n">
        <f aca="false">E22+E25+E26</f>
        <v>0</v>
      </c>
      <c r="F27" s="154" t="n">
        <f aca="false">F22+F25+F26</f>
        <v>-600</v>
      </c>
      <c r="G27" s="154" t="n">
        <f aca="false">G22+G25+G26</f>
        <v>-600</v>
      </c>
      <c r="H27" s="154" t="n">
        <f aca="false">H22+H25+H26</f>
        <v>-600</v>
      </c>
      <c r="I27" s="154" t="n">
        <f aca="false">I22+I25+I26</f>
        <v>-600</v>
      </c>
      <c r="J27" s="154" t="n">
        <f aca="false">J22+J25+J26</f>
        <v>-600</v>
      </c>
      <c r="K27" s="154" t="n">
        <f aca="false">K22+K25+K26</f>
        <v>-600</v>
      </c>
      <c r="L27" s="154" t="n">
        <f aca="false">L22+L25+L26</f>
        <v>-600</v>
      </c>
      <c r="M27" s="154" t="n">
        <f aca="false">M22+M25+M26</f>
        <v>1239.30325</v>
      </c>
      <c r="N27" s="154" t="n">
        <f aca="false">N22+N25+N26</f>
        <v>9755.79216</v>
      </c>
      <c r="O27" s="154" t="n">
        <f aca="false">O22+O25+O26</f>
        <v>25142.630396928</v>
      </c>
      <c r="P27" s="154" t="n">
        <f aca="false">P22+P25+P26</f>
        <v>49910.519128039</v>
      </c>
      <c r="Q27" s="154" t="n">
        <f aca="false">Q22+Q25+Q26</f>
        <v>70380.2231340158</v>
      </c>
      <c r="R27" s="154" t="n">
        <f aca="false">R22+R25+R26</f>
        <v>93751.0027236288</v>
      </c>
      <c r="S27" s="154" t="n">
        <f aca="false">S22+S25+S26</f>
        <v>102430.745669086</v>
      </c>
      <c r="T27" s="154" t="n">
        <f aca="false">T22+T25+T26</f>
        <v>110674.351955311</v>
      </c>
      <c r="U27" s="154" t="n">
        <f aca="false">U22+U25+U26</f>
        <v>118827.554461934</v>
      </c>
      <c r="V27" s="154" t="n">
        <f aca="false">V22+V25+V26</f>
        <v>124785.918392267</v>
      </c>
      <c r="W27" s="154" t="n">
        <f aca="false">W22+W25+W26</f>
        <v>131502.037697488</v>
      </c>
      <c r="X27" s="154" t="n">
        <f aca="false">X22+X25+X26</f>
        <v>136550.533480684</v>
      </c>
      <c r="Y27" s="154" t="n">
        <f aca="false">Y22+Y25+Y26</f>
        <v>173154.057820745</v>
      </c>
      <c r="Z27" s="154" t="n">
        <f aca="false">Z22+Z25+Z26</f>
        <v>215950.234785398</v>
      </c>
      <c r="AA27" s="154" t="n">
        <f aca="false">AA22+AA25+AA26</f>
        <v>247266.526133483</v>
      </c>
      <c r="AB27" s="154" t="n">
        <f aca="false">AB22+AB25+AB26</f>
        <v>266403.570136532</v>
      </c>
      <c r="AC27" s="154" t="n">
        <f aca="false">AC22+AC25+AC26</f>
        <v>284187.745752884</v>
      </c>
      <c r="AD27" s="154" t="n">
        <f aca="false">AD22+AD25+AD26</f>
        <v>300727.828527433</v>
      </c>
      <c r="AE27" s="154" t="n">
        <f aca="false">AE22+AE25+AE26</f>
        <v>316082.274299573</v>
      </c>
      <c r="AF27" s="154" t="n">
        <f aca="false">AF22+AF25+AF26</f>
        <v>330342.260336878</v>
      </c>
      <c r="AG27" s="154" t="n">
        <f aca="false">AG22+AG25+AG26</f>
        <v>343616.58359409</v>
      </c>
      <c r="AH27" s="154" t="n">
        <f aca="false">AH22+AH25+AH26</f>
        <v>355918.118013832</v>
      </c>
      <c r="AI27" s="154" t="n">
        <f aca="false">AI22+AI25+AI26</f>
        <v>367358.756215795</v>
      </c>
      <c r="AJ27" s="154" t="n">
        <f aca="false">AJ22+AJ25+AJ26</f>
        <v>378012.915317206</v>
      </c>
      <c r="AK27" s="154" t="n">
        <f aca="false">AK22+AK25+AK26</f>
        <v>387926.245119068</v>
      </c>
      <c r="AL27" s="154" t="n">
        <f aca="false">AL22+AL25+AL26</f>
        <v>452977.608734216</v>
      </c>
      <c r="AM27" s="154" t="n">
        <f aca="false">AM22+AM25+AM26</f>
        <v>483152.196445435</v>
      </c>
      <c r="AN27" s="154" t="n">
        <f aca="false">AN22+AN25+AN26</f>
        <v>511288.455613329</v>
      </c>
      <c r="AO27" s="154" t="n">
        <f aca="false">AO22+AO25+AO26</f>
        <v>537591.745442058</v>
      </c>
      <c r="AP27" s="154" t="n">
        <f aca="false">AP22+AP25+AP26</f>
        <v>562154.305454313</v>
      </c>
      <c r="AQ27" s="154" t="n">
        <f aca="false">AQ22+AQ25+AQ26</f>
        <v>585063.71749216</v>
      </c>
      <c r="AR27" s="154" t="n">
        <f aca="false">AR22+AR25+AR26</f>
        <v>606474.099818933</v>
      </c>
      <c r="AS27" s="154" t="n">
        <f aca="false">AS22+AS25+AS26</f>
        <v>626430.722581949</v>
      </c>
      <c r="AT27" s="154" t="n">
        <f aca="false">AT22+AT25+AT26</f>
        <v>645075.540819228</v>
      </c>
      <c r="AU27" s="154" t="n">
        <f aca="false">AU22+AU25+AU26</f>
        <v>662485.536717874</v>
      </c>
      <c r="AV27" s="154" t="n">
        <f aca="false">AV22+AV25+AV26</f>
        <v>678756.208147365</v>
      </c>
      <c r="AW27" s="154" t="n">
        <f aca="false">AW22+AW25+AW26</f>
        <v>693906.783807431</v>
      </c>
      <c r="AX27" s="154" t="n">
        <f aca="false">AX22+AX25+AX26</f>
        <v>791255.692895462</v>
      </c>
      <c r="AY27" s="154" t="n">
        <f aca="false">AY22+AY25+AY26</f>
        <v>839374.689191687</v>
      </c>
      <c r="AZ27" s="154" t="n">
        <f aca="false">AZ22+AZ25+AZ26</f>
        <v>884445.400056419</v>
      </c>
      <c r="BA27" s="154" t="n">
        <f aca="false">BA22+BA25+BA26</f>
        <v>926746.009993087</v>
      </c>
      <c r="BB27" s="154" t="n">
        <f aca="false">BB22+BB25+BB26</f>
        <v>966389.518917778</v>
      </c>
      <c r="BC27" s="154" t="n">
        <f aca="false">BC22+BC25+BC26</f>
        <v>1003534.91315963</v>
      </c>
      <c r="BD27" s="154" t="n">
        <f aca="false">BD22+BD25+BD26</f>
        <v>1038406.9509433</v>
      </c>
      <c r="BE27" s="154" t="n">
        <f aca="false">BE22+BE25+BE26</f>
        <v>1071075.38398071</v>
      </c>
      <c r="BF27" s="154" t="n">
        <f aca="false">BF22+BF25+BF26</f>
        <v>1101726.89599872</v>
      </c>
      <c r="BG27" s="154" t="n">
        <f aca="false">BG22+BG25+BG26</f>
        <v>1130404.7296704</v>
      </c>
      <c r="BH27" s="154" t="n">
        <f aca="false">BH22+BH25+BH26</f>
        <v>1157331.26513937</v>
      </c>
      <c r="BI27" s="154" t="n">
        <f aca="false">BI22+BI25+BI26</f>
        <v>1182571.8141301</v>
      </c>
      <c r="BJ27" s="154" t="n">
        <f aca="false">SUM(B27:BI27)</f>
        <v>24076317.9136532</v>
      </c>
    </row>
    <row r="28" customFormat="false" ht="15.75" hidden="false" customHeight="true" outlineLevel="0" collapsed="false">
      <c r="A28" s="111" t="s">
        <v>410</v>
      </c>
      <c r="B28" s="155" t="n">
        <f aca="false">IFERROR(B27/B22,0)</f>
        <v>0</v>
      </c>
      <c r="C28" s="155" t="n">
        <f aca="false">IFERROR(C27/C22,0)</f>
        <v>0</v>
      </c>
      <c r="D28" s="155" t="n">
        <f aca="false">IFERROR(D27/D22,0)</f>
        <v>0</v>
      </c>
      <c r="E28" s="155" t="n">
        <f aca="false">IFERROR(E27/E22,0)</f>
        <v>0</v>
      </c>
      <c r="F28" s="155" t="n">
        <f aca="false">IFERROR(F27/F22,0)</f>
        <v>0</v>
      </c>
      <c r="G28" s="155" t="n">
        <f aca="false">IFERROR(G27/G22,0)</f>
        <v>0</v>
      </c>
      <c r="H28" s="155" t="n">
        <f aca="false">IFERROR(H27/H22,0)</f>
        <v>0</v>
      </c>
      <c r="I28" s="155" t="n">
        <f aca="false">IFERROR(I27/I22,0)</f>
        <v>0</v>
      </c>
      <c r="J28" s="155" t="n">
        <f aca="false">IFERROR(J27/J22,0)</f>
        <v>0</v>
      </c>
      <c r="K28" s="155" t="n">
        <f aca="false">IFERROR(K27/K22,0)</f>
        <v>0</v>
      </c>
      <c r="L28" s="155" t="n">
        <f aca="false">IFERROR(L27/L22,0)</f>
        <v>0</v>
      </c>
      <c r="M28" s="155" t="n">
        <f aca="false">IFERROR(M27/M22,0)</f>
        <v>0.24247749206577</v>
      </c>
      <c r="N28" s="155" t="n">
        <f aca="false">IFERROR(N27/N22,0)</f>
        <v>0.352175213590081</v>
      </c>
      <c r="O28" s="155" t="n">
        <f aca="false">IFERROR(O27/O22,0)</f>
        <v>0.400729122372409</v>
      </c>
      <c r="P28" s="155" t="n">
        <f aca="false">IFERROR(P27/P22,0)</f>
        <v>0.438458069089074</v>
      </c>
      <c r="Q28" s="155" t="n">
        <f aca="false">IFERROR(Q27/Q22,0)</f>
        <v>0.409115576572765</v>
      </c>
      <c r="R28" s="155" t="n">
        <f aca="false">IFERROR(R27/R22,0)</f>
        <v>0.400956903652618</v>
      </c>
      <c r="S28" s="155" t="n">
        <f aca="false">IFERROR(S27/S22,0)</f>
        <v>0.392318153988231</v>
      </c>
      <c r="T28" s="155" t="n">
        <f aca="false">IFERROR(T27/T22,0)</f>
        <v>0.38627839494596</v>
      </c>
      <c r="U28" s="155" t="n">
        <f aca="false">IFERROR(U27/U22,0)</f>
        <v>0.382611048486083</v>
      </c>
      <c r="V28" s="155" t="n">
        <f aca="false">IFERROR(V27/V22,0)</f>
        <v>0.376704768188565</v>
      </c>
      <c r="W28" s="155" t="n">
        <f aca="false">IFERROR(W27/W22,0)</f>
        <v>0.374048126243852</v>
      </c>
      <c r="X28" s="155" t="n">
        <f aca="false">IFERROR(X27/X22,0)</f>
        <v>0.369852178889969</v>
      </c>
      <c r="Y28" s="155" t="n">
        <f aca="false">IFERROR(Y27/Y22,0)</f>
        <v>0.414807869308534</v>
      </c>
      <c r="Z28" s="155" t="n">
        <f aca="false">IFERROR(Z27/Z22,0)</f>
        <v>0.43305212409742</v>
      </c>
      <c r="AA28" s="155" t="n">
        <f aca="false">IFERROR(AA27/AA22,0)</f>
        <v>0.445493341434842</v>
      </c>
      <c r="AB28" s="155" t="n">
        <f aca="false">IFERROR(AB27/AB22,0)</f>
        <v>0.44587981253121</v>
      </c>
      <c r="AC28" s="155" t="n">
        <f aca="false">IFERROR(AC27/AC22,0)</f>
        <v>0.446192786935183</v>
      </c>
      <c r="AD28" s="155" t="n">
        <f aca="false">IFERROR(AD27/AD22,0)</f>
        <v>0.446469913603687</v>
      </c>
      <c r="AE28" s="155" t="n">
        <f aca="false">IFERROR(AE27/AE22,0)</f>
        <v>0.446680261884637</v>
      </c>
      <c r="AF28" s="155" t="n">
        <f aca="false">IFERROR(AF27/AF22,0)</f>
        <v>0.446860817634508</v>
      </c>
      <c r="AG28" s="155" t="n">
        <f aca="false">IFERROR(AG27/AG22,0)</f>
        <v>0.447035700776296</v>
      </c>
      <c r="AH28" s="155" t="n">
        <f aca="false">IFERROR(AH27/AH22,0)</f>
        <v>0.447158677672665</v>
      </c>
      <c r="AI28" s="155" t="n">
        <f aca="false">IFERROR(AI27/AI22,0)</f>
        <v>0.44727338981004</v>
      </c>
      <c r="AJ28" s="155" t="n">
        <f aca="false">IFERROR(AJ27/AJ22,0)</f>
        <v>0.447376436983907</v>
      </c>
      <c r="AK28" s="155" t="n">
        <f aca="false">IFERROR(AK27/AK22,0)</f>
        <v>0.447479662097819</v>
      </c>
      <c r="AL28" s="155" t="n">
        <f aca="false">IFERROR(AL27/AL22,0)</f>
        <v>0.457557831328897</v>
      </c>
      <c r="AM28" s="155" t="n">
        <f aca="false">IFERROR(AM27/AM22,0)</f>
        <v>0.458367144690269</v>
      </c>
      <c r="AN28" s="155" t="n">
        <f aca="false">IFERROR(AN27/AN22,0)</f>
        <v>0.459035931283826</v>
      </c>
      <c r="AO28" s="155" t="n">
        <f aca="false">IFERROR(AO27/AO22,0)</f>
        <v>0.45960882428281</v>
      </c>
      <c r="AP28" s="155" t="n">
        <f aca="false">IFERROR(AP27/AP22,0)</f>
        <v>0.460093735397116</v>
      </c>
      <c r="AQ28" s="155" t="n">
        <f aca="false">IFERROR(AQ27/AQ22,0)</f>
        <v>0.460505167255995</v>
      </c>
      <c r="AR28" s="155" t="n">
        <f aca="false">IFERROR(AR27/AR22,0)</f>
        <v>0.460870192542689</v>
      </c>
      <c r="AS28" s="155" t="n">
        <f aca="false">IFERROR(AS27/AS22,0)</f>
        <v>0.46117900078177</v>
      </c>
      <c r="AT28" s="155" t="n">
        <f aca="false">IFERROR(AT27/AT22,0)</f>
        <v>0.461459518329835</v>
      </c>
      <c r="AU28" s="155" t="n">
        <f aca="false">IFERROR(AU27/AU22,0)</f>
        <v>0.461701389110736</v>
      </c>
      <c r="AV28" s="155" t="n">
        <f aca="false">IFERROR(AV27/AV22,0)</f>
        <v>0.461921854959546</v>
      </c>
      <c r="AW28" s="155" t="n">
        <f aca="false">IFERROR(AW27/AW22,0)</f>
        <v>0.462109046350902</v>
      </c>
      <c r="AX28" s="155" t="n">
        <f aca="false">IFERROR(AX27/AX22,0)</f>
        <v>0.468957297017073</v>
      </c>
      <c r="AY28" s="155" t="n">
        <f aca="false">IFERROR(AY27/AY22,0)</f>
        <v>0.469795981704987</v>
      </c>
      <c r="AZ28" s="155" t="n">
        <f aca="false">IFERROR(AZ27/AZ22,0)</f>
        <v>0.470497182774842</v>
      </c>
      <c r="BA28" s="155" t="n">
        <f aca="false">IFERROR(BA27/BA22,0)</f>
        <v>0.471097686099482</v>
      </c>
      <c r="BB28" s="155" t="n">
        <f aca="false">IFERROR(BB27/BB22,0)</f>
        <v>0.471612535816563</v>
      </c>
      <c r="BC28" s="155" t="n">
        <f aca="false">IFERROR(BC27/BC22,0)</f>
        <v>0.472057204575883</v>
      </c>
      <c r="BD28" s="155" t="n">
        <f aca="false">IFERROR(BD27/BD22,0)</f>
        <v>0.472452679584226</v>
      </c>
      <c r="BE28" s="155" t="n">
        <f aca="false">IFERROR(BE27/BE22,0)</f>
        <v>0.47279371551103</v>
      </c>
      <c r="BF28" s="155" t="n">
        <f aca="false">IFERROR(BF27/BF22,0)</f>
        <v>0.473101496838732</v>
      </c>
      <c r="BG28" s="155" t="n">
        <f aca="false">IFERROR(BG27/BG22,0)</f>
        <v>0.47336918628948</v>
      </c>
      <c r="BH28" s="155" t="n">
        <f aca="false">IFERROR(BH27/BH22,0)</f>
        <v>0.473610180143377</v>
      </c>
      <c r="BI28" s="155" t="n">
        <f aca="false">IFERROR(BI27/BI22,0)</f>
        <v>0.473827599154954</v>
      </c>
      <c r="BJ28" s="157" t="n">
        <f aca="false">IFERROR(BJ27/BJ22,0)</f>
        <v>0.459799939833892</v>
      </c>
    </row>
    <row r="29" customFormat="false" ht="15.75" hidden="false" customHeight="true" outlineLevel="0" collapsed="false"/>
    <row r="30" customFormat="false" ht="18" hidden="false" customHeight="true" outlineLevel="0" collapsed="false">
      <c r="A30" s="47" t="s">
        <v>411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</row>
    <row r="31" customFormat="false" ht="15.75" hidden="false" customHeight="true" outlineLevel="0" collapsed="false">
      <c r="A31" s="152" t="s">
        <v>412</v>
      </c>
      <c r="B31" s="153" t="n">
        <f aca="false">'Análise Fluxo'!B18+'Análise Fluxo'!B19+'Análise Fluxo'!B20</f>
        <v>-0</v>
      </c>
      <c r="C31" s="153" t="n">
        <f aca="false">'Análise Fluxo'!C18+'Análise Fluxo'!C19+'Análise Fluxo'!C20</f>
        <v>-0</v>
      </c>
      <c r="D31" s="153" t="n">
        <f aca="false">'Análise Fluxo'!D18+'Análise Fluxo'!D19+'Análise Fluxo'!D20</f>
        <v>-0</v>
      </c>
      <c r="E31" s="153" t="n">
        <f aca="false">'Análise Fluxo'!E18+'Análise Fluxo'!E19+'Análise Fluxo'!E20</f>
        <v>-0</v>
      </c>
      <c r="F31" s="153" t="n">
        <f aca="false">'Análise Fluxo'!F18+'Análise Fluxo'!F19+'Análise Fluxo'!F20</f>
        <v>-0</v>
      </c>
      <c r="G31" s="153" t="n">
        <f aca="false">'Análise Fluxo'!G18+'Análise Fluxo'!G19+'Análise Fluxo'!G20</f>
        <v>-0</v>
      </c>
      <c r="H31" s="153" t="n">
        <f aca="false">'Análise Fluxo'!H18+'Análise Fluxo'!H19+'Análise Fluxo'!H20</f>
        <v>-0</v>
      </c>
      <c r="I31" s="153" t="n">
        <f aca="false">'Análise Fluxo'!I18+'Análise Fluxo'!I19+'Análise Fluxo'!I20</f>
        <v>-0</v>
      </c>
      <c r="J31" s="153" t="n">
        <f aca="false">'Análise Fluxo'!J18+'Análise Fluxo'!J19+'Análise Fluxo'!J20</f>
        <v>-0</v>
      </c>
      <c r="K31" s="153" t="n">
        <f aca="false">'Análise Fluxo'!K18+'Análise Fluxo'!K19+'Análise Fluxo'!K20</f>
        <v>-0</v>
      </c>
      <c r="L31" s="153" t="n">
        <f aca="false">'Análise Fluxo'!L18+'Análise Fluxo'!L19+'Análise Fluxo'!L20</f>
        <v>-0</v>
      </c>
      <c r="M31" s="153" t="n">
        <f aca="false">'Análise Fluxo'!M18+'Análise Fluxo'!M19+'Análise Fluxo'!M20</f>
        <v>-0</v>
      </c>
      <c r="N31" s="153" t="n">
        <f aca="false">'Análise Fluxo'!N18+'Análise Fluxo'!N19+'Análise Fluxo'!N20</f>
        <v>-42500</v>
      </c>
      <c r="O31" s="153" t="n">
        <f aca="false">'Análise Fluxo'!O18+'Análise Fluxo'!O19+'Análise Fluxo'!O20</f>
        <v>-42500</v>
      </c>
      <c r="P31" s="153" t="n">
        <f aca="false">'Análise Fluxo'!P18+'Análise Fluxo'!P19+'Análise Fluxo'!P20</f>
        <v>-42500</v>
      </c>
      <c r="Q31" s="153" t="n">
        <f aca="false">'Análise Fluxo'!Q18+'Análise Fluxo'!Q19+'Análise Fluxo'!Q20</f>
        <v>-42500</v>
      </c>
      <c r="R31" s="153" t="n">
        <f aca="false">'Análise Fluxo'!R18+'Análise Fluxo'!R19+'Análise Fluxo'!R20</f>
        <v>-42500</v>
      </c>
      <c r="S31" s="153" t="n">
        <f aca="false">'Análise Fluxo'!S18+'Análise Fluxo'!S19+'Análise Fluxo'!S20</f>
        <v>-42500</v>
      </c>
      <c r="T31" s="153" t="n">
        <f aca="false">'Análise Fluxo'!T18+'Análise Fluxo'!T19+'Análise Fluxo'!T20</f>
        <v>-42500</v>
      </c>
      <c r="U31" s="153" t="n">
        <f aca="false">'Análise Fluxo'!U18+'Análise Fluxo'!U19+'Análise Fluxo'!U20</f>
        <v>-42500</v>
      </c>
      <c r="V31" s="153" t="n">
        <f aca="false">'Análise Fluxo'!V18+'Análise Fluxo'!V19+'Análise Fluxo'!V20</f>
        <v>-42500</v>
      </c>
      <c r="W31" s="153" t="n">
        <f aca="false">'Análise Fluxo'!W18+'Análise Fluxo'!W19+'Análise Fluxo'!W20</f>
        <v>-42500</v>
      </c>
      <c r="X31" s="153" t="n">
        <f aca="false">'Análise Fluxo'!X18+'Análise Fluxo'!X19+'Análise Fluxo'!X20</f>
        <v>-42500</v>
      </c>
      <c r="Y31" s="153" t="n">
        <f aca="false">'Análise Fluxo'!Y18+'Análise Fluxo'!Y19+'Análise Fluxo'!Y20</f>
        <v>-42500</v>
      </c>
      <c r="Z31" s="153" t="n">
        <f aca="false">'Análise Fluxo'!Z18+'Análise Fluxo'!Z19+'Análise Fluxo'!Z20</f>
        <v>-117500</v>
      </c>
      <c r="AA31" s="153" t="n">
        <f aca="false">'Análise Fluxo'!AA18+'Análise Fluxo'!AA19+'Análise Fluxo'!AA20</f>
        <v>-117500</v>
      </c>
      <c r="AB31" s="153" t="n">
        <f aca="false">'Análise Fluxo'!AB18+'Análise Fluxo'!AB19+'Análise Fluxo'!AB20</f>
        <v>-117500</v>
      </c>
      <c r="AC31" s="153" t="n">
        <f aca="false">'Análise Fluxo'!AC18+'Análise Fluxo'!AC19+'Análise Fluxo'!AC20</f>
        <v>-117500</v>
      </c>
      <c r="AD31" s="153" t="n">
        <f aca="false">'Análise Fluxo'!AD18+'Análise Fluxo'!AD19+'Análise Fluxo'!AD20</f>
        <v>-117500</v>
      </c>
      <c r="AE31" s="153" t="n">
        <f aca="false">'Análise Fluxo'!AE18+'Análise Fluxo'!AE19+'Análise Fluxo'!AE20</f>
        <v>-117500</v>
      </c>
      <c r="AF31" s="153" t="n">
        <f aca="false">'Análise Fluxo'!AF18+'Análise Fluxo'!AF19+'Análise Fluxo'!AF20</f>
        <v>-117500</v>
      </c>
      <c r="AG31" s="153" t="n">
        <f aca="false">'Análise Fluxo'!AG18+'Análise Fluxo'!AG19+'Análise Fluxo'!AG20</f>
        <v>-117500</v>
      </c>
      <c r="AH31" s="153" t="n">
        <f aca="false">'Análise Fluxo'!AH18+'Análise Fluxo'!AH19+'Análise Fluxo'!AH20</f>
        <v>-117500</v>
      </c>
      <c r="AI31" s="153" t="n">
        <f aca="false">'Análise Fluxo'!AI18+'Análise Fluxo'!AI19+'Análise Fluxo'!AI20</f>
        <v>-117500</v>
      </c>
      <c r="AJ31" s="153" t="n">
        <f aca="false">'Análise Fluxo'!AJ18+'Análise Fluxo'!AJ19+'Análise Fluxo'!AJ20</f>
        <v>-117500</v>
      </c>
      <c r="AK31" s="153" t="n">
        <f aca="false">'Análise Fluxo'!AK18+'Análise Fluxo'!AK19+'Análise Fluxo'!AK20</f>
        <v>-117500</v>
      </c>
      <c r="AL31" s="153" t="n">
        <f aca="false">'Análise Fluxo'!AL18+'Análise Fluxo'!AL19+'Análise Fluxo'!AL20</f>
        <v>-253300</v>
      </c>
      <c r="AM31" s="153" t="n">
        <f aca="false">'Análise Fluxo'!AM18+'Análise Fluxo'!AM19+'Análise Fluxo'!AM20</f>
        <v>-253300</v>
      </c>
      <c r="AN31" s="153" t="n">
        <f aca="false">'Análise Fluxo'!AN18+'Análise Fluxo'!AN19+'Análise Fluxo'!AN20</f>
        <v>-253300</v>
      </c>
      <c r="AO31" s="153" t="n">
        <f aca="false">'Análise Fluxo'!AO18+'Análise Fluxo'!AO19+'Análise Fluxo'!AO20</f>
        <v>-253300</v>
      </c>
      <c r="AP31" s="153" t="n">
        <f aca="false">'Análise Fluxo'!AP18+'Análise Fluxo'!AP19+'Análise Fluxo'!AP20</f>
        <v>-253300</v>
      </c>
      <c r="AQ31" s="153" t="n">
        <f aca="false">'Análise Fluxo'!AQ18+'Análise Fluxo'!AQ19+'Análise Fluxo'!AQ20</f>
        <v>-253300</v>
      </c>
      <c r="AR31" s="153" t="n">
        <f aca="false">'Análise Fluxo'!AR18+'Análise Fluxo'!AR19+'Análise Fluxo'!AR20</f>
        <v>-253300</v>
      </c>
      <c r="AS31" s="153" t="n">
        <f aca="false">'Análise Fluxo'!AS18+'Análise Fluxo'!AS19+'Análise Fluxo'!AS20</f>
        <v>-253300</v>
      </c>
      <c r="AT31" s="153" t="n">
        <f aca="false">'Análise Fluxo'!AT18+'Análise Fluxo'!AT19+'Análise Fluxo'!AT20</f>
        <v>-253300</v>
      </c>
      <c r="AU31" s="153" t="n">
        <f aca="false">'Análise Fluxo'!AU18+'Análise Fluxo'!AU19+'Análise Fluxo'!AU20</f>
        <v>-253300</v>
      </c>
      <c r="AV31" s="153" t="n">
        <f aca="false">'Análise Fluxo'!AV18+'Análise Fluxo'!AV19+'Análise Fluxo'!AV20</f>
        <v>-253300</v>
      </c>
      <c r="AW31" s="153" t="n">
        <f aca="false">'Análise Fluxo'!AW18+'Análise Fluxo'!AW19+'Análise Fluxo'!AW20</f>
        <v>-253300</v>
      </c>
      <c r="AX31" s="153" t="n">
        <f aca="false">'Análise Fluxo'!AX18+'Análise Fluxo'!AX19+'Análise Fluxo'!AX20</f>
        <v>-374300</v>
      </c>
      <c r="AY31" s="153" t="n">
        <f aca="false">'Análise Fluxo'!AY18+'Análise Fluxo'!AY19+'Análise Fluxo'!AY20</f>
        <v>-374300</v>
      </c>
      <c r="AZ31" s="153" t="n">
        <f aca="false">'Análise Fluxo'!AZ18+'Análise Fluxo'!AZ19+'Análise Fluxo'!AZ20</f>
        <v>-374300</v>
      </c>
      <c r="BA31" s="153" t="n">
        <f aca="false">'Análise Fluxo'!BA18+'Análise Fluxo'!BA19+'Análise Fluxo'!BA20</f>
        <v>-374300</v>
      </c>
      <c r="BB31" s="153" t="n">
        <f aca="false">'Análise Fluxo'!BB18+'Análise Fluxo'!BB19+'Análise Fluxo'!BB20</f>
        <v>-374300</v>
      </c>
      <c r="BC31" s="153" t="n">
        <f aca="false">'Análise Fluxo'!BC18+'Análise Fluxo'!BC19+'Análise Fluxo'!BC20</f>
        <v>-374300</v>
      </c>
      <c r="BD31" s="153" t="n">
        <f aca="false">'Análise Fluxo'!BD18+'Análise Fluxo'!BD19+'Análise Fluxo'!BD20</f>
        <v>-374300</v>
      </c>
      <c r="BE31" s="153" t="n">
        <f aca="false">'Análise Fluxo'!BE18+'Análise Fluxo'!BE19+'Análise Fluxo'!BE20</f>
        <v>-374300</v>
      </c>
      <c r="BF31" s="153" t="n">
        <f aca="false">'Análise Fluxo'!BF18+'Análise Fluxo'!BF19+'Análise Fluxo'!BF20</f>
        <v>-374300</v>
      </c>
      <c r="BG31" s="153" t="n">
        <f aca="false">'Análise Fluxo'!BG18+'Análise Fluxo'!BG19+'Análise Fluxo'!BG20</f>
        <v>-374300</v>
      </c>
      <c r="BH31" s="153" t="n">
        <f aca="false">'Análise Fluxo'!BH18+'Análise Fluxo'!BH19+'Análise Fluxo'!BH20</f>
        <v>-374300</v>
      </c>
      <c r="BI31" s="153" t="n">
        <f aca="false">'Análise Fluxo'!BI18+'Análise Fluxo'!BI19+'Análise Fluxo'!BI20</f>
        <v>-374300</v>
      </c>
      <c r="BJ31" s="154" t="n">
        <f aca="false">SUM(B31:BI31)</f>
        <v>-9451200</v>
      </c>
      <c r="BK31" s="155" t="n">
        <f aca="false">IFERROR(BJ31/BJ$16,0)</f>
        <v>-0.12976798882713</v>
      </c>
    </row>
    <row r="32" customFormat="false" ht="15.75" hidden="false" customHeight="true" outlineLevel="0" collapsed="false">
      <c r="A32" s="152" t="s">
        <v>413</v>
      </c>
      <c r="B32" s="153" t="n">
        <f aca="false">'Análise Fluxo'!B21+'Análise Fluxo'!B22+'Análise Fluxo'!B23</f>
        <v>-0</v>
      </c>
      <c r="C32" s="153" t="n">
        <f aca="false">'Análise Fluxo'!C21+'Análise Fluxo'!C22+'Análise Fluxo'!C23</f>
        <v>-0</v>
      </c>
      <c r="D32" s="153" t="n">
        <f aca="false">'Análise Fluxo'!D21+'Análise Fluxo'!D22+'Análise Fluxo'!D23</f>
        <v>-0</v>
      </c>
      <c r="E32" s="153" t="n">
        <f aca="false">'Análise Fluxo'!E21+'Análise Fluxo'!E22+'Análise Fluxo'!E23</f>
        <v>-0</v>
      </c>
      <c r="F32" s="153" t="n">
        <f aca="false">'Análise Fluxo'!F21+'Análise Fluxo'!F22+'Análise Fluxo'!F23</f>
        <v>-0</v>
      </c>
      <c r="G32" s="153" t="n">
        <f aca="false">'Análise Fluxo'!G21+'Análise Fluxo'!G22+'Análise Fluxo'!G23</f>
        <v>-0</v>
      </c>
      <c r="H32" s="153" t="n">
        <f aca="false">'Análise Fluxo'!H21+'Análise Fluxo'!H22+'Análise Fluxo'!H23</f>
        <v>-0</v>
      </c>
      <c r="I32" s="153" t="n">
        <f aca="false">'Análise Fluxo'!I21+'Análise Fluxo'!I22+'Análise Fluxo'!I23</f>
        <v>-0</v>
      </c>
      <c r="J32" s="153" t="n">
        <f aca="false">'Análise Fluxo'!J21+'Análise Fluxo'!J22+'Análise Fluxo'!J23</f>
        <v>-0</v>
      </c>
      <c r="K32" s="153" t="n">
        <f aca="false">'Análise Fluxo'!K21+'Análise Fluxo'!K22+'Análise Fluxo'!K23</f>
        <v>-0</v>
      </c>
      <c r="L32" s="153" t="n">
        <f aca="false">'Análise Fluxo'!L21+'Análise Fluxo'!L22+'Análise Fluxo'!L23</f>
        <v>-1500</v>
      </c>
      <c r="M32" s="153" t="n">
        <f aca="false">'Análise Fluxo'!M21+'Análise Fluxo'!M22+'Análise Fluxo'!M23</f>
        <v>-32175</v>
      </c>
      <c r="N32" s="153" t="n">
        <f aca="false">'Análise Fluxo'!N21+'Análise Fluxo'!N22+'Análise Fluxo'!N23</f>
        <v>-58078.25</v>
      </c>
      <c r="O32" s="153" t="n">
        <f aca="false">'Análise Fluxo'!O21+'Análise Fluxo'!O22+'Análise Fluxo'!O23</f>
        <v>-58078.25</v>
      </c>
      <c r="P32" s="153" t="n">
        <f aca="false">'Análise Fluxo'!P21+'Análise Fluxo'!P22+'Análise Fluxo'!P23</f>
        <v>-58078.25</v>
      </c>
      <c r="Q32" s="153" t="n">
        <f aca="false">'Análise Fluxo'!Q21+'Análise Fluxo'!Q22+'Análise Fluxo'!Q23</f>
        <v>-58078.25</v>
      </c>
      <c r="R32" s="153" t="n">
        <f aca="false">'Análise Fluxo'!R21+'Análise Fluxo'!R22+'Análise Fluxo'!R23</f>
        <v>-58078.25</v>
      </c>
      <c r="S32" s="153" t="n">
        <f aca="false">'Análise Fluxo'!S21+'Análise Fluxo'!S22+'Análise Fluxo'!S23</f>
        <v>-58078.25</v>
      </c>
      <c r="T32" s="153" t="n">
        <f aca="false">'Análise Fluxo'!T21+'Análise Fluxo'!T22+'Análise Fluxo'!T23</f>
        <v>-58078.25</v>
      </c>
      <c r="U32" s="153" t="n">
        <f aca="false">'Análise Fluxo'!U21+'Análise Fluxo'!U22+'Análise Fluxo'!U23</f>
        <v>-58078.25</v>
      </c>
      <c r="V32" s="153" t="n">
        <f aca="false">'Análise Fluxo'!V21+'Análise Fluxo'!V22+'Análise Fluxo'!V23</f>
        <v>-58078.25</v>
      </c>
      <c r="W32" s="153" t="n">
        <f aca="false">'Análise Fluxo'!W21+'Análise Fluxo'!W22+'Análise Fluxo'!W23</f>
        <v>-58078.25</v>
      </c>
      <c r="X32" s="153" t="n">
        <f aca="false">'Análise Fluxo'!X21+'Análise Fluxo'!X22+'Análise Fluxo'!X23</f>
        <v>-58078.25</v>
      </c>
      <c r="Y32" s="153" t="n">
        <f aca="false">'Análise Fluxo'!Y21+'Análise Fluxo'!Y22+'Análise Fluxo'!Y23</f>
        <v>-58078.25</v>
      </c>
      <c r="Z32" s="153" t="n">
        <f aca="false">'Análise Fluxo'!Z21+'Análise Fluxo'!Z22+'Análise Fluxo'!Z23</f>
        <v>-95520.5703125</v>
      </c>
      <c r="AA32" s="153" t="n">
        <f aca="false">'Análise Fluxo'!AA21+'Análise Fluxo'!AA22+'Análise Fluxo'!AA23</f>
        <v>-95520.5703125</v>
      </c>
      <c r="AB32" s="153" t="n">
        <f aca="false">'Análise Fluxo'!AB21+'Análise Fluxo'!AB22+'Análise Fluxo'!AB23</f>
        <v>-95520.5703125</v>
      </c>
      <c r="AC32" s="153" t="n">
        <f aca="false">'Análise Fluxo'!AC21+'Análise Fluxo'!AC22+'Análise Fluxo'!AC23</f>
        <v>-95520.5703125</v>
      </c>
      <c r="AD32" s="153" t="n">
        <f aca="false">'Análise Fluxo'!AD21+'Análise Fluxo'!AD22+'Análise Fluxo'!AD23</f>
        <v>-95520.5703125</v>
      </c>
      <c r="AE32" s="153" t="n">
        <f aca="false">'Análise Fluxo'!AE21+'Análise Fluxo'!AE22+'Análise Fluxo'!AE23</f>
        <v>-95520.5703125</v>
      </c>
      <c r="AF32" s="153" t="n">
        <f aca="false">'Análise Fluxo'!AF21+'Análise Fluxo'!AF22+'Análise Fluxo'!AF23</f>
        <v>-95520.5703125</v>
      </c>
      <c r="AG32" s="153" t="n">
        <f aca="false">'Análise Fluxo'!AG21+'Análise Fluxo'!AG22+'Análise Fluxo'!AG23</f>
        <v>-95520.5703125</v>
      </c>
      <c r="AH32" s="153" t="n">
        <f aca="false">'Análise Fluxo'!AH21+'Análise Fluxo'!AH22+'Análise Fluxo'!AH23</f>
        <v>-95520.5703125</v>
      </c>
      <c r="AI32" s="153" t="n">
        <f aca="false">'Análise Fluxo'!AI21+'Análise Fluxo'!AI22+'Análise Fluxo'!AI23</f>
        <v>-95520.5703125</v>
      </c>
      <c r="AJ32" s="153" t="n">
        <f aca="false">'Análise Fluxo'!AJ21+'Análise Fluxo'!AJ22+'Análise Fluxo'!AJ23</f>
        <v>-95520.5703125</v>
      </c>
      <c r="AK32" s="153" t="n">
        <f aca="false">'Análise Fluxo'!AK21+'Análise Fluxo'!AK22+'Análise Fluxo'!AK23</f>
        <v>-95520.5703125</v>
      </c>
      <c r="AL32" s="153" t="n">
        <f aca="false">'Análise Fluxo'!AL21+'Análise Fluxo'!AL22+'Análise Fluxo'!AL23</f>
        <v>-156004.999921875</v>
      </c>
      <c r="AM32" s="153" t="n">
        <f aca="false">'Análise Fluxo'!AM21+'Análise Fluxo'!AM22+'Análise Fluxo'!AM23</f>
        <v>-156004.999921875</v>
      </c>
      <c r="AN32" s="153" t="n">
        <f aca="false">'Análise Fluxo'!AN21+'Análise Fluxo'!AN22+'Análise Fluxo'!AN23</f>
        <v>-156004.999921875</v>
      </c>
      <c r="AO32" s="153" t="n">
        <f aca="false">'Análise Fluxo'!AO21+'Análise Fluxo'!AO22+'Análise Fluxo'!AO23</f>
        <v>-156004.999921875</v>
      </c>
      <c r="AP32" s="153" t="n">
        <f aca="false">'Análise Fluxo'!AP21+'Análise Fluxo'!AP22+'Análise Fluxo'!AP23</f>
        <v>-156004.999921875</v>
      </c>
      <c r="AQ32" s="153" t="n">
        <f aca="false">'Análise Fluxo'!AQ21+'Análise Fluxo'!AQ22+'Análise Fluxo'!AQ23</f>
        <v>-156004.999921875</v>
      </c>
      <c r="AR32" s="153" t="n">
        <f aca="false">'Análise Fluxo'!AR21+'Análise Fluxo'!AR22+'Análise Fluxo'!AR23</f>
        <v>-156004.999921875</v>
      </c>
      <c r="AS32" s="153" t="n">
        <f aca="false">'Análise Fluxo'!AS21+'Análise Fluxo'!AS22+'Análise Fluxo'!AS23</f>
        <v>-156004.999921875</v>
      </c>
      <c r="AT32" s="153" t="n">
        <f aca="false">'Análise Fluxo'!AT21+'Análise Fluxo'!AT22+'Análise Fluxo'!AT23</f>
        <v>-156004.999921875</v>
      </c>
      <c r="AU32" s="153" t="n">
        <f aca="false">'Análise Fluxo'!AU21+'Análise Fluxo'!AU22+'Análise Fluxo'!AU23</f>
        <v>-156004.999921875</v>
      </c>
      <c r="AV32" s="153" t="n">
        <f aca="false">'Análise Fluxo'!AV21+'Análise Fluxo'!AV22+'Análise Fluxo'!AV23</f>
        <v>-156004.999921875</v>
      </c>
      <c r="AW32" s="153" t="n">
        <f aca="false">'Análise Fluxo'!AW21+'Análise Fluxo'!AW22+'Análise Fluxo'!AW23</f>
        <v>-156004.999921875</v>
      </c>
      <c r="AX32" s="153" t="n">
        <f aca="false">'Análise Fluxo'!AX21+'Análise Fluxo'!AX22+'Análise Fluxo'!AX23</f>
        <v>-255395.443417969</v>
      </c>
      <c r="AY32" s="153" t="n">
        <f aca="false">'Análise Fluxo'!AY21+'Análise Fluxo'!AY22+'Análise Fluxo'!AY23</f>
        <v>-255395.443417969</v>
      </c>
      <c r="AZ32" s="153" t="n">
        <f aca="false">'Análise Fluxo'!AZ21+'Análise Fluxo'!AZ22+'Análise Fluxo'!AZ23</f>
        <v>-255395.443417969</v>
      </c>
      <c r="BA32" s="153" t="n">
        <f aca="false">'Análise Fluxo'!BA21+'Análise Fluxo'!BA22+'Análise Fluxo'!BA23</f>
        <v>-255395.443417969</v>
      </c>
      <c r="BB32" s="153" t="n">
        <f aca="false">'Análise Fluxo'!BB21+'Análise Fluxo'!BB22+'Análise Fluxo'!BB23</f>
        <v>-255395.443417969</v>
      </c>
      <c r="BC32" s="153" t="n">
        <f aca="false">'Análise Fluxo'!BC21+'Análise Fluxo'!BC22+'Análise Fluxo'!BC23</f>
        <v>-255395.443417969</v>
      </c>
      <c r="BD32" s="153" t="n">
        <f aca="false">'Análise Fluxo'!BD21+'Análise Fluxo'!BD22+'Análise Fluxo'!BD23</f>
        <v>-255395.443417969</v>
      </c>
      <c r="BE32" s="153" t="n">
        <f aca="false">'Análise Fluxo'!BE21+'Análise Fluxo'!BE22+'Análise Fluxo'!BE23</f>
        <v>-255395.443417969</v>
      </c>
      <c r="BF32" s="153" t="n">
        <f aca="false">'Análise Fluxo'!BF21+'Análise Fluxo'!BF22+'Análise Fluxo'!BF23</f>
        <v>-255395.443417969</v>
      </c>
      <c r="BG32" s="153" t="n">
        <f aca="false">'Análise Fluxo'!BG21+'Análise Fluxo'!BG22+'Análise Fluxo'!BG23</f>
        <v>-255395.443417969</v>
      </c>
      <c r="BH32" s="153" t="n">
        <f aca="false">'Análise Fluxo'!BH21+'Análise Fluxo'!BH22+'Análise Fluxo'!BH23</f>
        <v>-255395.443417969</v>
      </c>
      <c r="BI32" s="153" t="n">
        <f aca="false">'Análise Fluxo'!BI21+'Análise Fluxo'!BI22+'Análise Fluxo'!BI23</f>
        <v>-255395.443417969</v>
      </c>
      <c r="BJ32" s="154" t="n">
        <f aca="false">SUM(B32:BI32)</f>
        <v>-6813666.16382812</v>
      </c>
      <c r="BK32" s="156" t="s">
        <v>414</v>
      </c>
    </row>
    <row r="33" customFormat="false" ht="15.75" hidden="false" customHeight="true" outlineLevel="0" collapsed="false">
      <c r="A33" s="152" t="s">
        <v>415</v>
      </c>
      <c r="B33" s="153" t="n">
        <f aca="false">'Análise Fluxo'!B27</f>
        <v>-0</v>
      </c>
      <c r="C33" s="153" t="n">
        <f aca="false">'Análise Fluxo'!C27</f>
        <v>-0</v>
      </c>
      <c r="D33" s="153" t="n">
        <f aca="false">'Análise Fluxo'!D27</f>
        <v>-0</v>
      </c>
      <c r="E33" s="153" t="n">
        <f aca="false">'Análise Fluxo'!E27</f>
        <v>-0</v>
      </c>
      <c r="F33" s="153" t="n">
        <f aca="false">'Análise Fluxo'!F27</f>
        <v>-0</v>
      </c>
      <c r="G33" s="153" t="n">
        <f aca="false">'Análise Fluxo'!G27</f>
        <v>-0</v>
      </c>
      <c r="H33" s="153" t="n">
        <f aca="false">'Análise Fluxo'!H27</f>
        <v>-0</v>
      </c>
      <c r="I33" s="153" t="n">
        <f aca="false">'Análise Fluxo'!I27</f>
        <v>-0</v>
      </c>
      <c r="J33" s="153" t="n">
        <f aca="false">'Análise Fluxo'!J27</f>
        <v>-0</v>
      </c>
      <c r="K33" s="153" t="n">
        <f aca="false">'Análise Fluxo'!K27</f>
        <v>-0</v>
      </c>
      <c r="L33" s="153" t="n">
        <f aca="false">'Análise Fluxo'!L27</f>
        <v>-0</v>
      </c>
      <c r="M33" s="153" t="n">
        <f aca="false">'Análise Fluxo'!M27</f>
        <v>-0</v>
      </c>
      <c r="N33" s="153" t="n">
        <f aca="false">'Análise Fluxo'!N27</f>
        <v>-166.666666666667</v>
      </c>
      <c r="O33" s="153" t="n">
        <f aca="false">'Análise Fluxo'!O27</f>
        <v>-166.666666666667</v>
      </c>
      <c r="P33" s="153" t="n">
        <f aca="false">'Análise Fluxo'!P27</f>
        <v>-166.666666666667</v>
      </c>
      <c r="Q33" s="153" t="n">
        <f aca="false">'Análise Fluxo'!Q27</f>
        <v>-166.666666666667</v>
      </c>
      <c r="R33" s="153" t="n">
        <f aca="false">'Análise Fluxo'!R27</f>
        <v>-166.666666666667</v>
      </c>
      <c r="S33" s="153" t="n">
        <f aca="false">'Análise Fluxo'!S27</f>
        <v>-166.666666666667</v>
      </c>
      <c r="T33" s="153" t="n">
        <f aca="false">'Análise Fluxo'!T27</f>
        <v>-166.666666666667</v>
      </c>
      <c r="U33" s="153" t="n">
        <f aca="false">'Análise Fluxo'!U27</f>
        <v>-166.666666666667</v>
      </c>
      <c r="V33" s="153" t="n">
        <f aca="false">'Análise Fluxo'!V27</f>
        <v>-166.666666666667</v>
      </c>
      <c r="W33" s="153" t="n">
        <f aca="false">'Análise Fluxo'!W27</f>
        <v>-166.666666666667</v>
      </c>
      <c r="X33" s="153" t="n">
        <f aca="false">'Análise Fluxo'!X27</f>
        <v>-166.666666666667</v>
      </c>
      <c r="Y33" s="153" t="n">
        <f aca="false">'Análise Fluxo'!Y27</f>
        <v>-166.666666666667</v>
      </c>
      <c r="Z33" s="153" t="n">
        <f aca="false">'Análise Fluxo'!Z27</f>
        <v>-416.666666666667</v>
      </c>
      <c r="AA33" s="153" t="n">
        <f aca="false">'Análise Fluxo'!AA27</f>
        <v>-416.666666666667</v>
      </c>
      <c r="AB33" s="153" t="n">
        <f aca="false">'Análise Fluxo'!AB27</f>
        <v>-416.666666666667</v>
      </c>
      <c r="AC33" s="153" t="n">
        <f aca="false">'Análise Fluxo'!AC27</f>
        <v>-416.666666666667</v>
      </c>
      <c r="AD33" s="153" t="n">
        <f aca="false">'Análise Fluxo'!AD27</f>
        <v>-416.666666666667</v>
      </c>
      <c r="AE33" s="153" t="n">
        <f aca="false">'Análise Fluxo'!AE27</f>
        <v>-416.666666666667</v>
      </c>
      <c r="AF33" s="153" t="n">
        <f aca="false">'Análise Fluxo'!AF27</f>
        <v>-416.666666666667</v>
      </c>
      <c r="AG33" s="153" t="n">
        <f aca="false">'Análise Fluxo'!AG27</f>
        <v>-416.666666666667</v>
      </c>
      <c r="AH33" s="153" t="n">
        <f aca="false">'Análise Fluxo'!AH27</f>
        <v>-416.666666666667</v>
      </c>
      <c r="AI33" s="153" t="n">
        <f aca="false">'Análise Fluxo'!AI27</f>
        <v>-416.666666666667</v>
      </c>
      <c r="AJ33" s="153" t="n">
        <f aca="false">'Análise Fluxo'!AJ27</f>
        <v>-416.666666666667</v>
      </c>
      <c r="AK33" s="153" t="n">
        <f aca="false">'Análise Fluxo'!AK27</f>
        <v>-416.666666666667</v>
      </c>
      <c r="AL33" s="153" t="n">
        <f aca="false">'Análise Fluxo'!AL27</f>
        <v>-833.333333333333</v>
      </c>
      <c r="AM33" s="153" t="n">
        <f aca="false">'Análise Fluxo'!AM27</f>
        <v>-833.333333333333</v>
      </c>
      <c r="AN33" s="153" t="n">
        <f aca="false">'Análise Fluxo'!AN27</f>
        <v>-833.333333333333</v>
      </c>
      <c r="AO33" s="153" t="n">
        <f aca="false">'Análise Fluxo'!AO27</f>
        <v>-833.333333333333</v>
      </c>
      <c r="AP33" s="153" t="n">
        <f aca="false">'Análise Fluxo'!AP27</f>
        <v>-833.333333333333</v>
      </c>
      <c r="AQ33" s="153" t="n">
        <f aca="false">'Análise Fluxo'!AQ27</f>
        <v>-833.333333333333</v>
      </c>
      <c r="AR33" s="153" t="n">
        <f aca="false">'Análise Fluxo'!AR27</f>
        <v>-833.333333333333</v>
      </c>
      <c r="AS33" s="153" t="n">
        <f aca="false">'Análise Fluxo'!AS27</f>
        <v>-833.333333333333</v>
      </c>
      <c r="AT33" s="153" t="n">
        <f aca="false">'Análise Fluxo'!AT27</f>
        <v>-833.333333333333</v>
      </c>
      <c r="AU33" s="153" t="n">
        <f aca="false">'Análise Fluxo'!AU27</f>
        <v>-833.333333333333</v>
      </c>
      <c r="AV33" s="153" t="n">
        <f aca="false">'Análise Fluxo'!AV27</f>
        <v>-833.333333333333</v>
      </c>
      <c r="AW33" s="153" t="n">
        <f aca="false">'Análise Fluxo'!AW27</f>
        <v>-833.333333333333</v>
      </c>
      <c r="AX33" s="153" t="n">
        <f aca="false">'Análise Fluxo'!AX27</f>
        <v>-1666.66666666667</v>
      </c>
      <c r="AY33" s="153" t="n">
        <f aca="false">'Análise Fluxo'!AY27</f>
        <v>-1666.66666666667</v>
      </c>
      <c r="AZ33" s="153" t="n">
        <f aca="false">'Análise Fluxo'!AZ27</f>
        <v>-1666.66666666667</v>
      </c>
      <c r="BA33" s="153" t="n">
        <f aca="false">'Análise Fluxo'!BA27</f>
        <v>-1666.66666666667</v>
      </c>
      <c r="BB33" s="153" t="n">
        <f aca="false">'Análise Fluxo'!BB27</f>
        <v>-1666.66666666667</v>
      </c>
      <c r="BC33" s="153" t="n">
        <f aca="false">'Análise Fluxo'!BC27</f>
        <v>-1666.66666666667</v>
      </c>
      <c r="BD33" s="153" t="n">
        <f aca="false">'Análise Fluxo'!BD27</f>
        <v>-1666.66666666667</v>
      </c>
      <c r="BE33" s="153" t="n">
        <f aca="false">'Análise Fluxo'!BE27</f>
        <v>-1666.66666666667</v>
      </c>
      <c r="BF33" s="153" t="n">
        <f aca="false">'Análise Fluxo'!BF27</f>
        <v>-1666.66666666667</v>
      </c>
      <c r="BG33" s="153" t="n">
        <f aca="false">'Análise Fluxo'!BG27</f>
        <v>-1666.66666666667</v>
      </c>
      <c r="BH33" s="153" t="n">
        <f aca="false">'Análise Fluxo'!BH27</f>
        <v>-1666.66666666667</v>
      </c>
      <c r="BI33" s="153" t="n">
        <f aca="false">'Análise Fluxo'!BI27</f>
        <v>-1666.66666666667</v>
      </c>
      <c r="BJ33" s="154" t="n">
        <f aca="false">SUM(B33:BI33)</f>
        <v>-37000</v>
      </c>
      <c r="BK33" s="155" t="n">
        <f aca="false">IFERROR(BJ33/BJ$16,0)</f>
        <v>-0.000508021794756626</v>
      </c>
    </row>
    <row r="34" customFormat="false" ht="15.75" hidden="false" customHeight="true" outlineLevel="0" collapsed="false">
      <c r="A34" s="53" t="s">
        <v>416</v>
      </c>
      <c r="B34" s="154" t="n">
        <f aca="false">B27+SUM(B31:B33)</f>
        <v>0</v>
      </c>
      <c r="C34" s="154" t="n">
        <f aca="false">C27+SUM(C31:C33)</f>
        <v>0</v>
      </c>
      <c r="D34" s="154" t="n">
        <f aca="false">D27+SUM(D31:D33)</f>
        <v>0</v>
      </c>
      <c r="E34" s="154" t="n">
        <f aca="false">E27+SUM(E31:E33)</f>
        <v>0</v>
      </c>
      <c r="F34" s="154" t="n">
        <f aca="false">F27+SUM(F31:F33)</f>
        <v>-600</v>
      </c>
      <c r="G34" s="154" t="n">
        <f aca="false">G27+SUM(G31:G33)</f>
        <v>-600</v>
      </c>
      <c r="H34" s="154" t="n">
        <f aca="false">H27+SUM(H31:H33)</f>
        <v>-600</v>
      </c>
      <c r="I34" s="154" t="n">
        <f aca="false">I27+SUM(I31:I33)</f>
        <v>-600</v>
      </c>
      <c r="J34" s="154" t="n">
        <f aca="false">J27+SUM(J31:J33)</f>
        <v>-600</v>
      </c>
      <c r="K34" s="154" t="n">
        <f aca="false">K27+SUM(K31:K33)</f>
        <v>-600</v>
      </c>
      <c r="L34" s="154" t="n">
        <f aca="false">L27+SUM(L31:L33)</f>
        <v>-2100</v>
      </c>
      <c r="M34" s="154" t="n">
        <f aca="false">M27+SUM(M31:M33)</f>
        <v>-30935.69675</v>
      </c>
      <c r="N34" s="154" t="n">
        <f aca="false">N27+SUM(N31:N33)</f>
        <v>-90989.1245066667</v>
      </c>
      <c r="O34" s="154" t="n">
        <f aca="false">O27+SUM(O31:O33)</f>
        <v>-75602.2862697387</v>
      </c>
      <c r="P34" s="154" t="n">
        <f aca="false">P27+SUM(P31:P33)</f>
        <v>-50834.3975386276</v>
      </c>
      <c r="Q34" s="154" t="n">
        <f aca="false">Q27+SUM(Q31:Q33)</f>
        <v>-30364.6935326509</v>
      </c>
      <c r="R34" s="154" t="n">
        <f aca="false">R27+SUM(R31:R33)</f>
        <v>-6993.91394303792</v>
      </c>
      <c r="S34" s="154" t="n">
        <f aca="false">S27+SUM(S31:S33)</f>
        <v>1685.82900241943</v>
      </c>
      <c r="T34" s="154" t="n">
        <f aca="false">T27+SUM(T31:T33)</f>
        <v>9929.43528864453</v>
      </c>
      <c r="U34" s="154" t="n">
        <f aca="false">U27+SUM(U31:U33)</f>
        <v>18082.6377952669</v>
      </c>
      <c r="V34" s="154" t="n">
        <f aca="false">V27+SUM(V31:V33)</f>
        <v>24041.0017256004</v>
      </c>
      <c r="W34" s="154" t="n">
        <f aca="false">W27+SUM(W31:W33)</f>
        <v>30757.1210308209</v>
      </c>
      <c r="X34" s="154" t="n">
        <f aca="false">X27+SUM(X31:X33)</f>
        <v>35805.6168140176</v>
      </c>
      <c r="Y34" s="154" t="n">
        <f aca="false">Y27+SUM(Y31:Y33)</f>
        <v>72409.141154078</v>
      </c>
      <c r="Z34" s="154" t="n">
        <f aca="false">Z27+SUM(Z31:Z33)</f>
        <v>2512.99780623111</v>
      </c>
      <c r="AA34" s="154" t="n">
        <f aca="false">AA27+SUM(AA31:AA33)</f>
        <v>33829.289154316</v>
      </c>
      <c r="AB34" s="154" t="n">
        <f aca="false">AB27+SUM(AB31:AB33)</f>
        <v>52966.3331573655</v>
      </c>
      <c r="AC34" s="154" t="n">
        <f aca="false">AC27+SUM(AC31:AC33)</f>
        <v>70750.5087737169</v>
      </c>
      <c r="AD34" s="154" t="n">
        <f aca="false">AD27+SUM(AD31:AD33)</f>
        <v>87290.591548266</v>
      </c>
      <c r="AE34" s="154" t="n">
        <f aca="false">AE27+SUM(AE31:AE33)</f>
        <v>102645.037320406</v>
      </c>
      <c r="AF34" s="154" t="n">
        <f aca="false">AF27+SUM(AF31:AF33)</f>
        <v>116905.023357711</v>
      </c>
      <c r="AG34" s="154" t="n">
        <f aca="false">AG27+SUM(AG31:AG33)</f>
        <v>130179.346614923</v>
      </c>
      <c r="AH34" s="154" t="n">
        <f aca="false">AH27+SUM(AH31:AH33)</f>
        <v>142480.881034666</v>
      </c>
      <c r="AI34" s="154" t="n">
        <f aca="false">AI27+SUM(AI31:AI33)</f>
        <v>153921.519236628</v>
      </c>
      <c r="AJ34" s="154" t="n">
        <f aca="false">AJ27+SUM(AJ31:AJ33)</f>
        <v>164575.67833804</v>
      </c>
      <c r="AK34" s="154" t="n">
        <f aca="false">AK27+SUM(AK31:AK33)</f>
        <v>174489.008139901</v>
      </c>
      <c r="AL34" s="154" t="n">
        <f aca="false">AL27+SUM(AL31:AL33)</f>
        <v>42839.2754790076</v>
      </c>
      <c r="AM34" s="154" t="n">
        <f aca="false">AM27+SUM(AM31:AM33)</f>
        <v>73013.8631902271</v>
      </c>
      <c r="AN34" s="154" t="n">
        <f aca="false">AN27+SUM(AN31:AN33)</f>
        <v>101150.122358121</v>
      </c>
      <c r="AO34" s="154" t="n">
        <f aca="false">AO27+SUM(AO31:AO33)</f>
        <v>127453.412186849</v>
      </c>
      <c r="AP34" s="154" t="n">
        <f aca="false">AP27+SUM(AP31:AP33)</f>
        <v>152015.972199105</v>
      </c>
      <c r="AQ34" s="154" t="n">
        <f aca="false">AQ27+SUM(AQ31:AQ33)</f>
        <v>174925.384236952</v>
      </c>
      <c r="AR34" s="154" t="n">
        <f aca="false">AR27+SUM(AR31:AR33)</f>
        <v>196335.766563725</v>
      </c>
      <c r="AS34" s="154" t="n">
        <f aca="false">AS27+SUM(AS31:AS33)</f>
        <v>216292.389326741</v>
      </c>
      <c r="AT34" s="154" t="n">
        <f aca="false">AT27+SUM(AT31:AT33)</f>
        <v>234937.207564019</v>
      </c>
      <c r="AU34" s="154" t="n">
        <f aca="false">AU27+SUM(AU31:AU33)</f>
        <v>252347.203462666</v>
      </c>
      <c r="AV34" s="154" t="n">
        <f aca="false">AV27+SUM(AV31:AV33)</f>
        <v>268617.874892157</v>
      </c>
      <c r="AW34" s="154" t="n">
        <f aca="false">AW27+SUM(AW31:AW33)</f>
        <v>283768.450552222</v>
      </c>
      <c r="AX34" s="154" t="n">
        <f aca="false">AX27+SUM(AX31:AX33)</f>
        <v>159893.582810827</v>
      </c>
      <c r="AY34" s="154" t="n">
        <f aca="false">AY27+SUM(AY31:AY33)</f>
        <v>208012.579107051</v>
      </c>
      <c r="AZ34" s="154" t="n">
        <f aca="false">AZ27+SUM(AZ31:AZ33)</f>
        <v>253083.289971783</v>
      </c>
      <c r="BA34" s="154" t="n">
        <f aca="false">BA27+SUM(BA31:BA33)</f>
        <v>295383.899908452</v>
      </c>
      <c r="BB34" s="154" t="n">
        <f aca="false">BB27+SUM(BB31:BB33)</f>
        <v>335027.408833143</v>
      </c>
      <c r="BC34" s="154" t="n">
        <f aca="false">BC27+SUM(BC31:BC33)</f>
        <v>372172.803074992</v>
      </c>
      <c r="BD34" s="154" t="n">
        <f aca="false">BD27+SUM(BD31:BD33)</f>
        <v>407044.840858663</v>
      </c>
      <c r="BE34" s="154" t="n">
        <f aca="false">BE27+SUM(BE31:BE33)</f>
        <v>439713.273896072</v>
      </c>
      <c r="BF34" s="154" t="n">
        <f aca="false">BF27+SUM(BF31:BF33)</f>
        <v>470364.785914089</v>
      </c>
      <c r="BG34" s="154" t="n">
        <f aca="false">BG27+SUM(BG31:BG33)</f>
        <v>499042.619585767</v>
      </c>
      <c r="BH34" s="154" t="n">
        <f aca="false">BH27+SUM(BH31:BH33)</f>
        <v>525969.155054732</v>
      </c>
      <c r="BI34" s="154" t="n">
        <f aca="false">BI27+SUM(BI31:BI33)</f>
        <v>551209.704045468</v>
      </c>
      <c r="BJ34" s="154" t="n">
        <f aca="false">SUM(B34:BI34)</f>
        <v>7774451.74982513</v>
      </c>
    </row>
    <row r="35" customFormat="false" ht="15.75" hidden="false" customHeight="true" outlineLevel="0" collapsed="false">
      <c r="A35" s="111" t="s">
        <v>417</v>
      </c>
      <c r="B35" s="155" t="n">
        <f aca="false">IFERROR(B34/B22,0)</f>
        <v>0</v>
      </c>
      <c r="C35" s="155" t="n">
        <f aca="false">IFERROR(C34/C22,0)</f>
        <v>0</v>
      </c>
      <c r="D35" s="155" t="n">
        <f aca="false">IFERROR(D34/D22,0)</f>
        <v>0</v>
      </c>
      <c r="E35" s="155" t="n">
        <f aca="false">IFERROR(E34/E22,0)</f>
        <v>0</v>
      </c>
      <c r="F35" s="155" t="n">
        <f aca="false">IFERROR(F34/F22,0)</f>
        <v>0</v>
      </c>
      <c r="G35" s="155" t="n">
        <f aca="false">IFERROR(G34/G22,0)</f>
        <v>0</v>
      </c>
      <c r="H35" s="155" t="n">
        <f aca="false">IFERROR(H34/H22,0)</f>
        <v>0</v>
      </c>
      <c r="I35" s="155" t="n">
        <f aca="false">IFERROR(I34/I22,0)</f>
        <v>0</v>
      </c>
      <c r="J35" s="155" t="n">
        <f aca="false">IFERROR(J34/J22,0)</f>
        <v>0</v>
      </c>
      <c r="K35" s="155" t="n">
        <f aca="false">IFERROR(K34/K22,0)</f>
        <v>0</v>
      </c>
      <c r="L35" s="155" t="n">
        <f aca="false">IFERROR(L34/L22,0)</f>
        <v>0</v>
      </c>
      <c r="M35" s="155" t="n">
        <f aca="false">IFERROR(M34/M22,0)</f>
        <v>-6.05276405371098</v>
      </c>
      <c r="N35" s="155" t="n">
        <f aca="false">IFERROR(N34/N22,0)</f>
        <v>-3.28462454221758</v>
      </c>
      <c r="O35" s="155" t="n">
        <f aca="false">IFERROR(O34/O22,0)</f>
        <v>-1.20496691666444</v>
      </c>
      <c r="P35" s="155" t="n">
        <f aca="false">IFERROR(P34/P22,0)</f>
        <v>-0.44657423279678</v>
      </c>
      <c r="Q35" s="155" t="n">
        <f aca="false">IFERROR(Q34/Q22,0)</f>
        <v>-0.176507952786835</v>
      </c>
      <c r="R35" s="155" t="n">
        <f aca="false">IFERROR(R34/R22,0)</f>
        <v>-0.0299117662483047</v>
      </c>
      <c r="S35" s="155" t="n">
        <f aca="false">IFERROR(S34/S22,0)</f>
        <v>0.00645686329674566</v>
      </c>
      <c r="T35" s="155" t="n">
        <f aca="false">IFERROR(T34/T22,0)</f>
        <v>0.0346559637192736</v>
      </c>
      <c r="U35" s="155" t="n">
        <f aca="false">IFERROR(U34/U22,0)</f>
        <v>0.0582240124150457</v>
      </c>
      <c r="V35" s="155" t="n">
        <f aca="false">IFERROR(V34/V22,0)</f>
        <v>0.0725751759392781</v>
      </c>
      <c r="W35" s="155" t="n">
        <f aca="false">IFERROR(W34/W22,0)</f>
        <v>0.087486427523653</v>
      </c>
      <c r="X35" s="155" t="n">
        <f aca="false">IFERROR(X34/X22,0)</f>
        <v>0.0969808396760088</v>
      </c>
      <c r="Y35" s="155" t="n">
        <f aca="false">IFERROR(Y34/Y22,0)</f>
        <v>0.17346334205854</v>
      </c>
      <c r="Z35" s="155" t="n">
        <f aca="false">IFERROR(Z34/Z22,0)</f>
        <v>0.00503939733578899</v>
      </c>
      <c r="AA35" s="155" t="n">
        <f aca="false">IFERROR(AA34/AA22,0)</f>
        <v>0.0609493055909477</v>
      </c>
      <c r="AB35" s="155" t="n">
        <f aca="false">IFERROR(AB34/AB22,0)</f>
        <v>0.0886497830587188</v>
      </c>
      <c r="AC35" s="155" t="n">
        <f aca="false">IFERROR(AC34/AC22,0)</f>
        <v>0.11108278649804</v>
      </c>
      <c r="AD35" s="155" t="n">
        <f aca="false">IFERROR(AD34/AD22,0)</f>
        <v>0.129594334710577</v>
      </c>
      <c r="AE35" s="155" t="n">
        <f aca="false">IFERROR(AE34/AE22,0)</f>
        <v>0.145055625953838</v>
      </c>
      <c r="AF35" s="155" t="n">
        <f aca="false">IFERROR(AF34/AF22,0)</f>
        <v>0.158139846442699</v>
      </c>
      <c r="AG35" s="155" t="n">
        <f aca="false">IFERROR(AG34/AG22,0)</f>
        <v>0.16935974053379</v>
      </c>
      <c r="AH35" s="155" t="n">
        <f aca="false">IFERROR(AH34/AH22,0)</f>
        <v>0.179006235233637</v>
      </c>
      <c r="AI35" s="155" t="n">
        <f aca="false">IFERROR(AI34/AI22,0)</f>
        <v>0.187405359226654</v>
      </c>
      <c r="AJ35" s="155" t="n">
        <f aca="false">IFERROR(AJ34/AJ22,0)</f>
        <v>0.194774510620353</v>
      </c>
      <c r="AK35" s="155" t="n">
        <f aca="false">IFERROR(AK34/AK22,0)</f>
        <v>0.201276101796776</v>
      </c>
      <c r="AL35" s="155" t="n">
        <f aca="false">IFERROR(AL34/AL22,0)</f>
        <v>0.0432724390917455</v>
      </c>
      <c r="AM35" s="155" t="n">
        <f aca="false">IFERROR(AM34/AM22,0)</f>
        <v>0.069268351131443</v>
      </c>
      <c r="AN35" s="155" t="n">
        <f aca="false">IFERROR(AN34/AN22,0)</f>
        <v>0.0908128085161534</v>
      </c>
      <c r="AO35" s="155" t="n">
        <f aca="false">IFERROR(AO34/AO22,0)</f>
        <v>0.108965052798311</v>
      </c>
      <c r="AP35" s="155" t="n">
        <f aca="false">IFERROR(AP34/AP22,0)</f>
        <v>0.124417078745996</v>
      </c>
      <c r="AQ35" s="155" t="n">
        <f aca="false">IFERROR(AQ34/AQ22,0)</f>
        <v>0.137684222960615</v>
      </c>
      <c r="AR35" s="155" t="n">
        <f aca="false">IFERROR(AR34/AR22,0)</f>
        <v>0.1491989560086</v>
      </c>
      <c r="AS35" s="155" t="n">
        <f aca="false">IFERROR(AS34/AS22,0)</f>
        <v>0.159234699689172</v>
      </c>
      <c r="AT35" s="155" t="n">
        <f aca="false">IFERROR(AT34/AT22,0)</f>
        <v>0.16806405417661</v>
      </c>
      <c r="AU35" s="155" t="n">
        <f aca="false">IFERROR(AU34/AU22,0)</f>
        <v>0.175866562995682</v>
      </c>
      <c r="AV35" s="155" t="n">
        <f aca="false">IFERROR(AV34/AV22,0)</f>
        <v>0.182805645909521</v>
      </c>
      <c r="AW35" s="155" t="n">
        <f aca="false">IFERROR(AW34/AW22,0)</f>
        <v>0.188976345424448</v>
      </c>
      <c r="AX35" s="155" t="n">
        <f aca="false">IFERROR(AX34/AX22,0)</f>
        <v>0.0947648946839835</v>
      </c>
      <c r="AY35" s="155" t="n">
        <f aca="false">IFERROR(AY34/AY22,0)</f>
        <v>0.116424136999759</v>
      </c>
      <c r="AZ35" s="155" t="n">
        <f aca="false">IFERROR(AZ34/AZ22,0)</f>
        <v>0.134632363887603</v>
      </c>
      <c r="BA35" s="155" t="n">
        <f aca="false">IFERROR(BA34/BA22,0)</f>
        <v>0.150154055434186</v>
      </c>
      <c r="BB35" s="155" t="n">
        <f aca="false">IFERROR(BB34/BB22,0)</f>
        <v>0.163498385231653</v>
      </c>
      <c r="BC35" s="155" t="n">
        <f aca="false">IFERROR(BC34/BC22,0)</f>
        <v>0.175068002851641</v>
      </c>
      <c r="BD35" s="155" t="n">
        <f aca="false">IFERROR(BD34/BD22,0)</f>
        <v>0.185196589448784</v>
      </c>
      <c r="BE35" s="155" t="n">
        <f aca="false">IFERROR(BE34/BE22,0)</f>
        <v>0.194098077160727</v>
      </c>
      <c r="BF35" s="155" t="n">
        <f aca="false">IFERROR(BF34/BF22,0)</f>
        <v>0.201983163962299</v>
      </c>
      <c r="BG35" s="155" t="n">
        <f aca="false">IFERROR(BG34/BG22,0)</f>
        <v>0.208979485450281</v>
      </c>
      <c r="BH35" s="155" t="n">
        <f aca="false">IFERROR(BH34/BH22,0)</f>
        <v>0.215240315179193</v>
      </c>
      <c r="BI35" s="155" t="n">
        <f aca="false">IFERROR(BI34/BI22,0)</f>
        <v>0.220856245327392</v>
      </c>
      <c r="BJ35" s="157" t="n">
        <f aca="false">IFERROR(BJ34/BJ22,0)</f>
        <v>0.148473386156109</v>
      </c>
    </row>
    <row r="36" customFormat="false" ht="15.75" hidden="false" customHeight="true" outlineLevel="0" collapsed="false"/>
    <row r="37" customFormat="false" ht="18" hidden="false" customHeight="true" outlineLevel="0" collapsed="false">
      <c r="A37" s="47" t="s">
        <v>418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</row>
    <row r="38" customFormat="false" ht="15.75" hidden="false" customHeight="true" outlineLevel="0" collapsed="false">
      <c r="A38" s="152" t="s">
        <v>419</v>
      </c>
      <c r="B38" s="153" t="n">
        <f aca="false">-Investimentos!B30</f>
        <v>-0</v>
      </c>
      <c r="C38" s="153" t="n">
        <f aca="false">-Investimentos!C30</f>
        <v>-0</v>
      </c>
      <c r="D38" s="153" t="n">
        <f aca="false">-Investimentos!D30</f>
        <v>-0</v>
      </c>
      <c r="E38" s="153" t="n">
        <f aca="false">-Investimentos!E30</f>
        <v>-0</v>
      </c>
      <c r="F38" s="153" t="n">
        <f aca="false">-Investimentos!F30</f>
        <v>-0</v>
      </c>
      <c r="G38" s="153" t="n">
        <f aca="false">-Investimentos!G30</f>
        <v>-100</v>
      </c>
      <c r="H38" s="153" t="n">
        <f aca="false">-Investimentos!H30</f>
        <v>-100</v>
      </c>
      <c r="I38" s="153" t="n">
        <f aca="false">-Investimentos!I30</f>
        <v>-100</v>
      </c>
      <c r="J38" s="153" t="n">
        <f aca="false">-Investimentos!J30</f>
        <v>-252.130333333333</v>
      </c>
      <c r="K38" s="153" t="n">
        <f aca="false">-Investimentos!K30</f>
        <v>-427.130333333333</v>
      </c>
      <c r="L38" s="153" t="n">
        <f aca="false">-Investimentos!L30</f>
        <v>-602.130333333333</v>
      </c>
      <c r="M38" s="153" t="n">
        <f aca="false">-Investimentos!M30</f>
        <v>-602.130333333333</v>
      </c>
      <c r="N38" s="153" t="n">
        <f aca="false">-Investimentos!N30</f>
        <v>-602.130333333333</v>
      </c>
      <c r="O38" s="153" t="n">
        <f aca="false">-Investimentos!O30</f>
        <v>-602.130333333333</v>
      </c>
      <c r="P38" s="153" t="n">
        <f aca="false">-Investimentos!P30</f>
        <v>-602.130333333333</v>
      </c>
      <c r="Q38" s="153" t="n">
        <f aca="false">-Investimentos!Q30</f>
        <v>-802.130333333333</v>
      </c>
      <c r="R38" s="153" t="n">
        <f aca="false">-Investimentos!R30</f>
        <v>-802.130333333333</v>
      </c>
      <c r="S38" s="153" t="n">
        <f aca="false">-Investimentos!S30</f>
        <v>-802.130333333333</v>
      </c>
      <c r="T38" s="153" t="n">
        <f aca="false">-Investimentos!T30</f>
        <v>-902.130333333333</v>
      </c>
      <c r="U38" s="153" t="n">
        <f aca="false">-Investimentos!U30</f>
        <v>-902.130333333333</v>
      </c>
      <c r="V38" s="153" t="n">
        <f aca="false">-Investimentos!V30</f>
        <v>-902.130333333333</v>
      </c>
      <c r="W38" s="153" t="n">
        <f aca="false">-Investimentos!W30</f>
        <v>-902.130333333333</v>
      </c>
      <c r="X38" s="153" t="n">
        <f aca="false">-Investimentos!X30</f>
        <v>-902.130333333333</v>
      </c>
      <c r="Y38" s="153" t="n">
        <f aca="false">-Investimentos!Y30</f>
        <v>-902.130333333333</v>
      </c>
      <c r="Z38" s="153" t="n">
        <f aca="false">-Investimentos!Z30</f>
        <v>-902.130333333333</v>
      </c>
      <c r="AA38" s="153" t="n">
        <f aca="false">-Investimentos!AA30</f>
        <v>-902.130333333333</v>
      </c>
      <c r="AB38" s="153" t="n">
        <f aca="false">-Investimentos!AB30</f>
        <v>-902.130333333333</v>
      </c>
      <c r="AC38" s="153" t="n">
        <f aca="false">-Investimentos!AC30</f>
        <v>-902.130333333333</v>
      </c>
      <c r="AD38" s="153" t="n">
        <f aca="false">-Investimentos!AD30</f>
        <v>-902.130333333333</v>
      </c>
      <c r="AE38" s="153" t="n">
        <f aca="false">-Investimentos!AE30</f>
        <v>-902.130333333333</v>
      </c>
      <c r="AF38" s="153" t="n">
        <f aca="false">-Investimentos!AF30</f>
        <v>-1152.13033333333</v>
      </c>
      <c r="AG38" s="153" t="n">
        <f aca="false">-Investimentos!AG30</f>
        <v>-1152.13033333333</v>
      </c>
      <c r="AH38" s="153" t="n">
        <f aca="false">-Investimentos!AH30</f>
        <v>-1152.13033333333</v>
      </c>
      <c r="AI38" s="153" t="n">
        <f aca="false">-Investimentos!AI30</f>
        <v>-1152.13033333333</v>
      </c>
      <c r="AJ38" s="153" t="n">
        <f aca="false">-Investimentos!AJ30</f>
        <v>-1152.13033333333</v>
      </c>
      <c r="AK38" s="153" t="n">
        <f aca="false">-Investimentos!AK30</f>
        <v>-1152.13033333333</v>
      </c>
      <c r="AL38" s="153" t="n">
        <f aca="false">-Investimentos!AL30</f>
        <v>-1152.13033333333</v>
      </c>
      <c r="AM38" s="153" t="n">
        <f aca="false">-Investimentos!AM30</f>
        <v>-1152.13033333333</v>
      </c>
      <c r="AN38" s="153" t="n">
        <f aca="false">-Investimentos!AN30</f>
        <v>-1152.13033333333</v>
      </c>
      <c r="AO38" s="153" t="n">
        <f aca="false">-Investimentos!AO30</f>
        <v>-1152.13033333333</v>
      </c>
      <c r="AP38" s="153" t="n">
        <f aca="false">-Investimentos!AP30</f>
        <v>-1152.13033333333</v>
      </c>
      <c r="AQ38" s="153" t="n">
        <f aca="false">-Investimentos!AQ30</f>
        <v>-1152.13033333333</v>
      </c>
      <c r="AR38" s="153" t="n">
        <f aca="false">-Investimentos!AR30</f>
        <v>-1568.797</v>
      </c>
      <c r="AS38" s="153" t="n">
        <f aca="false">-Investimentos!AS30</f>
        <v>-1568.797</v>
      </c>
      <c r="AT38" s="153" t="n">
        <f aca="false">-Investimentos!AT30</f>
        <v>-1568.797</v>
      </c>
      <c r="AU38" s="153" t="n">
        <f aca="false">-Investimentos!AU30</f>
        <v>-1568.797</v>
      </c>
      <c r="AV38" s="153" t="n">
        <f aca="false">-Investimentos!AV30</f>
        <v>-1568.797</v>
      </c>
      <c r="AW38" s="153" t="n">
        <f aca="false">-Investimentos!AW30</f>
        <v>-1568.797</v>
      </c>
      <c r="AX38" s="153" t="n">
        <f aca="false">-Investimentos!AX30</f>
        <v>-1568.797</v>
      </c>
      <c r="AY38" s="153" t="n">
        <f aca="false">-Investimentos!AY30</f>
        <v>-1568.797</v>
      </c>
      <c r="AZ38" s="153" t="n">
        <f aca="false">-Investimentos!AZ30</f>
        <v>-1568.797</v>
      </c>
      <c r="BA38" s="153" t="n">
        <f aca="false">-Investimentos!BA30</f>
        <v>-1568.797</v>
      </c>
      <c r="BB38" s="153" t="n">
        <f aca="false">-Investimentos!BB30</f>
        <v>-1568.797</v>
      </c>
      <c r="BC38" s="153" t="n">
        <f aca="false">-Investimentos!BC30</f>
        <v>-1568.797</v>
      </c>
      <c r="BD38" s="153" t="n">
        <f aca="false">-Investimentos!BD30</f>
        <v>-2068.797</v>
      </c>
      <c r="BE38" s="153" t="n">
        <f aca="false">-Investimentos!BE30</f>
        <v>-2068.797</v>
      </c>
      <c r="BF38" s="153" t="n">
        <f aca="false">-Investimentos!BF30</f>
        <v>-2068.797</v>
      </c>
      <c r="BG38" s="153" t="n">
        <f aca="false">-Investimentos!BG30</f>
        <v>-2068.797</v>
      </c>
      <c r="BH38" s="153" t="n">
        <f aca="false">-Investimentos!BH30</f>
        <v>-2068.797</v>
      </c>
      <c r="BI38" s="153" t="n">
        <f aca="false">-Investimentos!BI30</f>
        <v>-2068.797</v>
      </c>
      <c r="BJ38" s="154" t="n">
        <f aca="false">SUM(B38:BI38)</f>
        <v>-62285.7773333333</v>
      </c>
      <c r="BK38" s="51" t="s">
        <v>420</v>
      </c>
    </row>
    <row r="39" customFormat="false" ht="15.75" hidden="false" customHeight="true" outlineLevel="0" collapsed="false">
      <c r="A39" s="53" t="s">
        <v>421</v>
      </c>
      <c r="B39" s="154" t="n">
        <f aca="false">B34+B38</f>
        <v>0</v>
      </c>
      <c r="C39" s="154" t="n">
        <f aca="false">C34+C38</f>
        <v>0</v>
      </c>
      <c r="D39" s="154" t="n">
        <f aca="false">D34+D38</f>
        <v>0</v>
      </c>
      <c r="E39" s="154" t="n">
        <f aca="false">E34+E38</f>
        <v>0</v>
      </c>
      <c r="F39" s="154" t="n">
        <f aca="false">F34+F38</f>
        <v>-600</v>
      </c>
      <c r="G39" s="154" t="n">
        <f aca="false">G34+G38</f>
        <v>-700</v>
      </c>
      <c r="H39" s="154" t="n">
        <f aca="false">H34+H38</f>
        <v>-700</v>
      </c>
      <c r="I39" s="154" t="n">
        <f aca="false">I34+I38</f>
        <v>-700</v>
      </c>
      <c r="J39" s="154" t="n">
        <f aca="false">J34+J38</f>
        <v>-852.130333333333</v>
      </c>
      <c r="K39" s="154" t="n">
        <f aca="false">K34+K38</f>
        <v>-1027.13033333333</v>
      </c>
      <c r="L39" s="154" t="n">
        <f aca="false">L34+L38</f>
        <v>-2702.13033333333</v>
      </c>
      <c r="M39" s="154" t="n">
        <f aca="false">M34+M38</f>
        <v>-31537.8270833333</v>
      </c>
      <c r="N39" s="154" t="n">
        <f aca="false">N34+N38</f>
        <v>-91591.25484</v>
      </c>
      <c r="O39" s="154" t="n">
        <f aca="false">O34+O38</f>
        <v>-76204.416603072</v>
      </c>
      <c r="P39" s="154" t="n">
        <f aca="false">P34+P38</f>
        <v>-51436.527871961</v>
      </c>
      <c r="Q39" s="154" t="n">
        <f aca="false">Q34+Q38</f>
        <v>-31166.8238659842</v>
      </c>
      <c r="R39" s="154" t="n">
        <f aca="false">R34+R38</f>
        <v>-7796.04427637125</v>
      </c>
      <c r="S39" s="154" t="n">
        <f aca="false">S34+S38</f>
        <v>883.698669086095</v>
      </c>
      <c r="T39" s="154" t="n">
        <f aca="false">T34+T38</f>
        <v>9027.30495531119</v>
      </c>
      <c r="U39" s="154" t="n">
        <f aca="false">U34+U38</f>
        <v>17180.5074619335</v>
      </c>
      <c r="V39" s="154" t="n">
        <f aca="false">V34+V38</f>
        <v>23138.871392267</v>
      </c>
      <c r="W39" s="154" t="n">
        <f aca="false">W34+W38</f>
        <v>29854.9906974876</v>
      </c>
      <c r="X39" s="154" t="n">
        <f aca="false">X34+X38</f>
        <v>34903.4864806843</v>
      </c>
      <c r="Y39" s="154" t="n">
        <f aca="false">Y34+Y38</f>
        <v>71507.0108207446</v>
      </c>
      <c r="Z39" s="154" t="n">
        <f aca="false">Z34+Z38</f>
        <v>1610.86747289778</v>
      </c>
      <c r="AA39" s="154" t="n">
        <f aca="false">AA34+AA38</f>
        <v>32927.1588209826</v>
      </c>
      <c r="AB39" s="154" t="n">
        <f aca="false">AB34+AB38</f>
        <v>52064.2028240321</v>
      </c>
      <c r="AC39" s="154" t="n">
        <f aca="false">AC34+AC38</f>
        <v>69848.3784403836</v>
      </c>
      <c r="AD39" s="154" t="n">
        <f aca="false">AD34+AD38</f>
        <v>86388.4612149327</v>
      </c>
      <c r="AE39" s="154" t="n">
        <f aca="false">AE34+AE38</f>
        <v>101742.906987073</v>
      </c>
      <c r="AF39" s="154" t="n">
        <f aca="false">AF34+AF38</f>
        <v>115752.893024378</v>
      </c>
      <c r="AG39" s="154" t="n">
        <f aca="false">AG34+AG38</f>
        <v>129027.21628159</v>
      </c>
      <c r="AH39" s="154" t="n">
        <f aca="false">AH34+AH38</f>
        <v>141328.750701332</v>
      </c>
      <c r="AI39" s="154" t="n">
        <f aca="false">AI34+AI38</f>
        <v>152769.388903295</v>
      </c>
      <c r="AJ39" s="154" t="n">
        <f aca="false">AJ34+AJ38</f>
        <v>163423.548004706</v>
      </c>
      <c r="AK39" s="154" t="n">
        <f aca="false">AK34+AK38</f>
        <v>173336.877806568</v>
      </c>
      <c r="AL39" s="154" t="n">
        <f aca="false">AL34+AL38</f>
        <v>41687.1451456742</v>
      </c>
      <c r="AM39" s="154" t="n">
        <f aca="false">AM34+AM38</f>
        <v>71861.7328568938</v>
      </c>
      <c r="AN39" s="154" t="n">
        <f aca="false">AN34+AN38</f>
        <v>99997.9920247876</v>
      </c>
      <c r="AO39" s="154" t="n">
        <f aca="false">AO34+AO38</f>
        <v>126301.281853516</v>
      </c>
      <c r="AP39" s="154" t="n">
        <f aca="false">AP34+AP38</f>
        <v>150863.841865771</v>
      </c>
      <c r="AQ39" s="154" t="n">
        <f aca="false">AQ34+AQ38</f>
        <v>173773.253903619</v>
      </c>
      <c r="AR39" s="154" t="n">
        <f aca="false">AR34+AR38</f>
        <v>194766.969563725</v>
      </c>
      <c r="AS39" s="154" t="n">
        <f aca="false">AS34+AS38</f>
        <v>214723.592326741</v>
      </c>
      <c r="AT39" s="154" t="n">
        <f aca="false">AT34+AT38</f>
        <v>233368.410564019</v>
      </c>
      <c r="AU39" s="154" t="n">
        <f aca="false">AU34+AU38</f>
        <v>250778.406462666</v>
      </c>
      <c r="AV39" s="154" t="n">
        <f aca="false">AV34+AV38</f>
        <v>267049.077892157</v>
      </c>
      <c r="AW39" s="154" t="n">
        <f aca="false">AW34+AW38</f>
        <v>282199.653552222</v>
      </c>
      <c r="AX39" s="154" t="n">
        <f aca="false">AX34+AX38</f>
        <v>158324.785810827</v>
      </c>
      <c r="AY39" s="154" t="n">
        <f aca="false">AY34+AY38</f>
        <v>206443.782107051</v>
      </c>
      <c r="AZ39" s="154" t="n">
        <f aca="false">AZ34+AZ38</f>
        <v>251514.492971783</v>
      </c>
      <c r="BA39" s="154" t="n">
        <f aca="false">BA34+BA38</f>
        <v>293815.102908452</v>
      </c>
      <c r="BB39" s="154" t="n">
        <f aca="false">BB34+BB38</f>
        <v>333458.611833143</v>
      </c>
      <c r="BC39" s="154" t="n">
        <f aca="false">BC34+BC38</f>
        <v>370604.006074992</v>
      </c>
      <c r="BD39" s="154" t="n">
        <f aca="false">BD34+BD38</f>
        <v>404976.043858663</v>
      </c>
      <c r="BE39" s="154" t="n">
        <f aca="false">BE34+BE38</f>
        <v>437644.476896072</v>
      </c>
      <c r="BF39" s="154" t="n">
        <f aca="false">BF34+BF38</f>
        <v>468295.988914089</v>
      </c>
      <c r="BG39" s="154" t="n">
        <f aca="false">BG34+BG38</f>
        <v>496973.822585767</v>
      </c>
      <c r="BH39" s="154" t="n">
        <f aca="false">BH34+BH38</f>
        <v>523900.358054732</v>
      </c>
      <c r="BI39" s="154" t="n">
        <f aca="false">BI34+BI38</f>
        <v>549140.907045468</v>
      </c>
      <c r="BJ39" s="154" t="n">
        <f aca="false">SUM(B39:BI39)</f>
        <v>7712165.97249179</v>
      </c>
    </row>
    <row r="40" customFormat="false" ht="15.75" hidden="false" customHeight="true" outlineLevel="0" collapsed="false">
      <c r="A40" s="158" t="s">
        <v>422</v>
      </c>
      <c r="B40" s="159" t="n">
        <f aca="false">0</f>
        <v>0</v>
      </c>
      <c r="C40" s="159" t="n">
        <f aca="false">0</f>
        <v>0</v>
      </c>
      <c r="D40" s="159" t="n">
        <f aca="false">0</f>
        <v>0</v>
      </c>
      <c r="E40" s="159" t="n">
        <f aca="false">0</f>
        <v>0</v>
      </c>
      <c r="F40" s="159" t="n">
        <f aca="false">0</f>
        <v>0</v>
      </c>
      <c r="G40" s="159" t="n">
        <f aca="false">0</f>
        <v>0</v>
      </c>
      <c r="H40" s="159" t="n">
        <f aca="false">0</f>
        <v>0</v>
      </c>
      <c r="I40" s="159" t="n">
        <f aca="false">0</f>
        <v>0</v>
      </c>
      <c r="J40" s="159" t="n">
        <f aca="false">0</f>
        <v>0</v>
      </c>
      <c r="K40" s="159" t="n">
        <f aca="false">0</f>
        <v>0</v>
      </c>
      <c r="L40" s="159" t="n">
        <f aca="false">0</f>
        <v>0</v>
      </c>
      <c r="M40" s="159" t="n">
        <f aca="false">0</f>
        <v>0</v>
      </c>
      <c r="N40" s="159" t="n">
        <f aca="false">0</f>
        <v>0</v>
      </c>
      <c r="O40" s="159" t="n">
        <f aca="false">0</f>
        <v>0</v>
      </c>
      <c r="P40" s="159" t="n">
        <f aca="false">0</f>
        <v>0</v>
      </c>
      <c r="Q40" s="159" t="n">
        <f aca="false">0</f>
        <v>0</v>
      </c>
      <c r="R40" s="159" t="n">
        <f aca="false">0</f>
        <v>0</v>
      </c>
      <c r="S40" s="159" t="n">
        <f aca="false">0</f>
        <v>0</v>
      </c>
      <c r="T40" s="159" t="n">
        <f aca="false">0</f>
        <v>0</v>
      </c>
      <c r="U40" s="159" t="n">
        <f aca="false">0</f>
        <v>0</v>
      </c>
      <c r="V40" s="159" t="n">
        <f aca="false">0</f>
        <v>0</v>
      </c>
      <c r="W40" s="159" t="n">
        <f aca="false">0</f>
        <v>0</v>
      </c>
      <c r="X40" s="159" t="n">
        <f aca="false">0</f>
        <v>0</v>
      </c>
      <c r="Y40" s="159" t="n">
        <f aca="false">0</f>
        <v>0</v>
      </c>
      <c r="Z40" s="159" t="n">
        <f aca="false">0</f>
        <v>0</v>
      </c>
      <c r="AA40" s="159" t="n">
        <f aca="false">0</f>
        <v>0</v>
      </c>
      <c r="AB40" s="159" t="n">
        <f aca="false">0</f>
        <v>0</v>
      </c>
      <c r="AC40" s="159" t="n">
        <f aca="false">0</f>
        <v>0</v>
      </c>
      <c r="AD40" s="159" t="n">
        <f aca="false">0</f>
        <v>0</v>
      </c>
      <c r="AE40" s="159" t="n">
        <f aca="false">0</f>
        <v>0</v>
      </c>
      <c r="AF40" s="159" t="n">
        <f aca="false">0</f>
        <v>0</v>
      </c>
      <c r="AG40" s="159" t="n">
        <f aca="false">0</f>
        <v>0</v>
      </c>
      <c r="AH40" s="159" t="n">
        <f aca="false">0</f>
        <v>0</v>
      </c>
      <c r="AI40" s="159" t="n">
        <f aca="false">0</f>
        <v>0</v>
      </c>
      <c r="AJ40" s="159" t="n">
        <f aca="false">0</f>
        <v>0</v>
      </c>
      <c r="AK40" s="159" t="n">
        <f aca="false">0</f>
        <v>0</v>
      </c>
      <c r="AL40" s="159" t="n">
        <f aca="false">0</f>
        <v>0</v>
      </c>
      <c r="AM40" s="159" t="n">
        <f aca="false">0</f>
        <v>0</v>
      </c>
      <c r="AN40" s="159" t="n">
        <f aca="false">0</f>
        <v>0</v>
      </c>
      <c r="AO40" s="159" t="n">
        <f aca="false">0</f>
        <v>0</v>
      </c>
      <c r="AP40" s="159" t="n">
        <f aca="false">0</f>
        <v>0</v>
      </c>
      <c r="AQ40" s="159" t="n">
        <f aca="false">0</f>
        <v>0</v>
      </c>
      <c r="AR40" s="159" t="n">
        <f aca="false">0</f>
        <v>0</v>
      </c>
      <c r="AS40" s="159" t="n">
        <f aca="false">0</f>
        <v>0</v>
      </c>
      <c r="AT40" s="159" t="n">
        <f aca="false">0</f>
        <v>0</v>
      </c>
      <c r="AU40" s="159" t="n">
        <f aca="false">0</f>
        <v>0</v>
      </c>
      <c r="AV40" s="159" t="n">
        <f aca="false">0</f>
        <v>0</v>
      </c>
      <c r="AW40" s="159" t="n">
        <f aca="false">0</f>
        <v>0</v>
      </c>
      <c r="AX40" s="159" t="n">
        <f aca="false">0</f>
        <v>0</v>
      </c>
      <c r="AY40" s="159" t="n">
        <f aca="false">0</f>
        <v>0</v>
      </c>
      <c r="AZ40" s="159" t="n">
        <f aca="false">0</f>
        <v>0</v>
      </c>
      <c r="BA40" s="159" t="n">
        <f aca="false">0</f>
        <v>0</v>
      </c>
      <c r="BB40" s="159" t="n">
        <f aca="false">0</f>
        <v>0</v>
      </c>
      <c r="BC40" s="159" t="n">
        <f aca="false">0</f>
        <v>0</v>
      </c>
      <c r="BD40" s="159" t="n">
        <f aca="false">0</f>
        <v>0</v>
      </c>
      <c r="BE40" s="159" t="n">
        <f aca="false">0</f>
        <v>0</v>
      </c>
      <c r="BF40" s="159" t="n">
        <f aca="false">0</f>
        <v>0</v>
      </c>
      <c r="BG40" s="159" t="n">
        <f aca="false">0</f>
        <v>0</v>
      </c>
      <c r="BH40" s="159" t="n">
        <f aca="false">0</f>
        <v>0</v>
      </c>
      <c r="BI40" s="159" t="n">
        <f aca="false">0</f>
        <v>0</v>
      </c>
      <c r="BJ40" s="154" t="n">
        <f aca="false">SUM(B40:BI40)</f>
        <v>0</v>
      </c>
      <c r="BK40" s="51" t="s">
        <v>423</v>
      </c>
    </row>
    <row r="41" customFormat="false" ht="15.75" hidden="false" customHeight="true" outlineLevel="0" collapsed="false">
      <c r="A41" s="53" t="s">
        <v>424</v>
      </c>
      <c r="B41" s="160" t="n">
        <f aca="false">B39+B40</f>
        <v>0</v>
      </c>
      <c r="C41" s="160" t="n">
        <f aca="false">C39+C40</f>
        <v>0</v>
      </c>
      <c r="D41" s="160" t="n">
        <f aca="false">D39+D40</f>
        <v>0</v>
      </c>
      <c r="E41" s="160" t="n">
        <f aca="false">E39+E40</f>
        <v>0</v>
      </c>
      <c r="F41" s="160" t="n">
        <f aca="false">F39+F40</f>
        <v>-600</v>
      </c>
      <c r="G41" s="160" t="n">
        <f aca="false">G39+G40</f>
        <v>-700</v>
      </c>
      <c r="H41" s="160" t="n">
        <f aca="false">H39+H40</f>
        <v>-700</v>
      </c>
      <c r="I41" s="160" t="n">
        <f aca="false">I39+I40</f>
        <v>-700</v>
      </c>
      <c r="J41" s="160" t="n">
        <f aca="false">J39+J40</f>
        <v>-852.130333333333</v>
      </c>
      <c r="K41" s="160" t="n">
        <f aca="false">K39+K40</f>
        <v>-1027.13033333333</v>
      </c>
      <c r="L41" s="160" t="n">
        <f aca="false">L39+L40</f>
        <v>-2702.13033333333</v>
      </c>
      <c r="M41" s="160" t="n">
        <f aca="false">M39+M40</f>
        <v>-31537.8270833333</v>
      </c>
      <c r="N41" s="160" t="n">
        <f aca="false">N39+N40</f>
        <v>-91591.25484</v>
      </c>
      <c r="O41" s="160" t="n">
        <f aca="false">O39+O40</f>
        <v>-76204.416603072</v>
      </c>
      <c r="P41" s="160" t="n">
        <f aca="false">P39+P40</f>
        <v>-51436.527871961</v>
      </c>
      <c r="Q41" s="160" t="n">
        <f aca="false">Q39+Q40</f>
        <v>-31166.8238659842</v>
      </c>
      <c r="R41" s="160" t="n">
        <f aca="false">R39+R40</f>
        <v>-7796.04427637125</v>
      </c>
      <c r="S41" s="160" t="n">
        <f aca="false">S39+S40</f>
        <v>883.698669086095</v>
      </c>
      <c r="T41" s="160" t="n">
        <f aca="false">T39+T40</f>
        <v>9027.30495531119</v>
      </c>
      <c r="U41" s="160" t="n">
        <f aca="false">U39+U40</f>
        <v>17180.5074619335</v>
      </c>
      <c r="V41" s="160" t="n">
        <f aca="false">V39+V40</f>
        <v>23138.871392267</v>
      </c>
      <c r="W41" s="160" t="n">
        <f aca="false">W39+W40</f>
        <v>29854.9906974876</v>
      </c>
      <c r="X41" s="160" t="n">
        <f aca="false">X39+X40</f>
        <v>34903.4864806843</v>
      </c>
      <c r="Y41" s="160" t="n">
        <f aca="false">Y39+Y40</f>
        <v>71507.0108207446</v>
      </c>
      <c r="Z41" s="160" t="n">
        <f aca="false">Z39+Z40</f>
        <v>1610.86747289778</v>
      </c>
      <c r="AA41" s="160" t="n">
        <f aca="false">AA39+AA40</f>
        <v>32927.1588209826</v>
      </c>
      <c r="AB41" s="160" t="n">
        <f aca="false">AB39+AB40</f>
        <v>52064.2028240321</v>
      </c>
      <c r="AC41" s="160" t="n">
        <f aca="false">AC39+AC40</f>
        <v>69848.3784403836</v>
      </c>
      <c r="AD41" s="160" t="n">
        <f aca="false">AD39+AD40</f>
        <v>86388.4612149327</v>
      </c>
      <c r="AE41" s="160" t="n">
        <f aca="false">AE39+AE40</f>
        <v>101742.906987073</v>
      </c>
      <c r="AF41" s="160" t="n">
        <f aca="false">AF39+AF40</f>
        <v>115752.893024378</v>
      </c>
      <c r="AG41" s="160" t="n">
        <f aca="false">AG39+AG40</f>
        <v>129027.21628159</v>
      </c>
      <c r="AH41" s="160" t="n">
        <f aca="false">AH39+AH40</f>
        <v>141328.750701332</v>
      </c>
      <c r="AI41" s="160" t="n">
        <f aca="false">AI39+AI40</f>
        <v>152769.388903295</v>
      </c>
      <c r="AJ41" s="160" t="n">
        <f aca="false">AJ39+AJ40</f>
        <v>163423.548004706</v>
      </c>
      <c r="AK41" s="160" t="n">
        <f aca="false">AK39+AK40</f>
        <v>173336.877806568</v>
      </c>
      <c r="AL41" s="160" t="n">
        <f aca="false">AL39+AL40</f>
        <v>41687.1451456742</v>
      </c>
      <c r="AM41" s="160" t="n">
        <f aca="false">AM39+AM40</f>
        <v>71861.7328568938</v>
      </c>
      <c r="AN41" s="160" t="n">
        <f aca="false">AN39+AN40</f>
        <v>99997.9920247876</v>
      </c>
      <c r="AO41" s="160" t="n">
        <f aca="false">AO39+AO40</f>
        <v>126301.281853516</v>
      </c>
      <c r="AP41" s="160" t="n">
        <f aca="false">AP39+AP40</f>
        <v>150863.841865771</v>
      </c>
      <c r="AQ41" s="160" t="n">
        <f aca="false">AQ39+AQ40</f>
        <v>173773.253903619</v>
      </c>
      <c r="AR41" s="160" t="n">
        <f aca="false">AR39+AR40</f>
        <v>194766.969563725</v>
      </c>
      <c r="AS41" s="160" t="n">
        <f aca="false">AS39+AS40</f>
        <v>214723.592326741</v>
      </c>
      <c r="AT41" s="160" t="n">
        <f aca="false">AT39+AT40</f>
        <v>233368.410564019</v>
      </c>
      <c r="AU41" s="160" t="n">
        <f aca="false">AU39+AU40</f>
        <v>250778.406462666</v>
      </c>
      <c r="AV41" s="160" t="n">
        <f aca="false">AV39+AV40</f>
        <v>267049.077892157</v>
      </c>
      <c r="AW41" s="160" t="n">
        <f aca="false">AW39+AW40</f>
        <v>282199.653552222</v>
      </c>
      <c r="AX41" s="160" t="n">
        <f aca="false">AX39+AX40</f>
        <v>158324.785810827</v>
      </c>
      <c r="AY41" s="160" t="n">
        <f aca="false">AY39+AY40</f>
        <v>206443.782107051</v>
      </c>
      <c r="AZ41" s="160" t="n">
        <f aca="false">AZ39+AZ40</f>
        <v>251514.492971783</v>
      </c>
      <c r="BA41" s="160" t="n">
        <f aca="false">BA39+BA40</f>
        <v>293815.102908452</v>
      </c>
      <c r="BB41" s="160" t="n">
        <f aca="false">BB39+BB40</f>
        <v>333458.611833143</v>
      </c>
      <c r="BC41" s="160" t="n">
        <f aca="false">BC39+BC40</f>
        <v>370604.006074992</v>
      </c>
      <c r="BD41" s="160" t="n">
        <f aca="false">BD39+BD40</f>
        <v>404976.043858663</v>
      </c>
      <c r="BE41" s="160" t="n">
        <f aca="false">BE39+BE40</f>
        <v>437644.476896072</v>
      </c>
      <c r="BF41" s="160" t="n">
        <f aca="false">BF39+BF40</f>
        <v>468295.988914089</v>
      </c>
      <c r="BG41" s="160" t="n">
        <f aca="false">BG39+BG40</f>
        <v>496973.822585767</v>
      </c>
      <c r="BH41" s="160" t="n">
        <f aca="false">BH39+BH40</f>
        <v>523900.358054732</v>
      </c>
      <c r="BI41" s="160" t="n">
        <f aca="false">BI39+BI40</f>
        <v>549140.907045468</v>
      </c>
      <c r="BJ41" s="154" t="n">
        <f aca="false">SUM(B41:BI41)</f>
        <v>7712165.97249179</v>
      </c>
    </row>
    <row r="42" customFormat="false" ht="15.75" hidden="false" customHeight="true" outlineLevel="0" collapsed="false">
      <c r="A42" s="158" t="s">
        <v>425</v>
      </c>
      <c r="B42" s="159" t="n">
        <f aca="false">0</f>
        <v>0</v>
      </c>
      <c r="C42" s="159" t="n">
        <f aca="false">0</f>
        <v>0</v>
      </c>
      <c r="D42" s="159" t="n">
        <f aca="false">0</f>
        <v>0</v>
      </c>
      <c r="E42" s="159" t="n">
        <f aca="false">0</f>
        <v>0</v>
      </c>
      <c r="F42" s="159" t="n">
        <f aca="false">0</f>
        <v>0</v>
      </c>
      <c r="G42" s="159" t="n">
        <f aca="false">0</f>
        <v>0</v>
      </c>
      <c r="H42" s="159" t="n">
        <f aca="false">0</f>
        <v>0</v>
      </c>
      <c r="I42" s="159" t="n">
        <f aca="false">0</f>
        <v>0</v>
      </c>
      <c r="J42" s="159" t="n">
        <f aca="false">0</f>
        <v>0</v>
      </c>
      <c r="K42" s="159" t="n">
        <f aca="false">0</f>
        <v>0</v>
      </c>
      <c r="L42" s="159" t="n">
        <f aca="false">0</f>
        <v>0</v>
      </c>
      <c r="M42" s="159" t="n">
        <f aca="false">0</f>
        <v>0</v>
      </c>
      <c r="N42" s="159" t="n">
        <f aca="false">0</f>
        <v>0</v>
      </c>
      <c r="O42" s="159" t="n">
        <f aca="false">0</f>
        <v>0</v>
      </c>
      <c r="P42" s="159" t="n">
        <f aca="false">0</f>
        <v>0</v>
      </c>
      <c r="Q42" s="159" t="n">
        <f aca="false">0</f>
        <v>0</v>
      </c>
      <c r="R42" s="159" t="n">
        <f aca="false">0</f>
        <v>0</v>
      </c>
      <c r="S42" s="159" t="n">
        <f aca="false">0</f>
        <v>0</v>
      </c>
      <c r="T42" s="159" t="n">
        <f aca="false">0</f>
        <v>0</v>
      </c>
      <c r="U42" s="159" t="n">
        <f aca="false">0</f>
        <v>0</v>
      </c>
      <c r="V42" s="159" t="n">
        <f aca="false">0</f>
        <v>0</v>
      </c>
      <c r="W42" s="159" t="n">
        <f aca="false">0</f>
        <v>0</v>
      </c>
      <c r="X42" s="159" t="n">
        <f aca="false">0</f>
        <v>0</v>
      </c>
      <c r="Y42" s="159" t="n">
        <f aca="false">0</f>
        <v>0</v>
      </c>
      <c r="Z42" s="159" t="n">
        <f aca="false">0</f>
        <v>0</v>
      </c>
      <c r="AA42" s="159" t="n">
        <f aca="false">0</f>
        <v>0</v>
      </c>
      <c r="AB42" s="159" t="n">
        <f aca="false">0</f>
        <v>0</v>
      </c>
      <c r="AC42" s="159" t="n">
        <f aca="false">0</f>
        <v>0</v>
      </c>
      <c r="AD42" s="159" t="n">
        <f aca="false">0</f>
        <v>0</v>
      </c>
      <c r="AE42" s="159" t="n">
        <f aca="false">0</f>
        <v>0</v>
      </c>
      <c r="AF42" s="159" t="n">
        <f aca="false">0</f>
        <v>0</v>
      </c>
      <c r="AG42" s="159" t="n">
        <f aca="false">0</f>
        <v>0</v>
      </c>
      <c r="AH42" s="159" t="n">
        <f aca="false">0</f>
        <v>0</v>
      </c>
      <c r="AI42" s="159" t="n">
        <f aca="false">0</f>
        <v>0</v>
      </c>
      <c r="AJ42" s="159" t="n">
        <f aca="false">0</f>
        <v>0</v>
      </c>
      <c r="AK42" s="159" t="n">
        <f aca="false">0</f>
        <v>0</v>
      </c>
      <c r="AL42" s="159" t="n">
        <f aca="false">0</f>
        <v>0</v>
      </c>
      <c r="AM42" s="159" t="n">
        <f aca="false">0</f>
        <v>0</v>
      </c>
      <c r="AN42" s="159" t="n">
        <f aca="false">0</f>
        <v>0</v>
      </c>
      <c r="AO42" s="159" t="n">
        <f aca="false">0</f>
        <v>0</v>
      </c>
      <c r="AP42" s="159" t="n">
        <f aca="false">0</f>
        <v>0</v>
      </c>
      <c r="AQ42" s="159" t="n">
        <f aca="false">0</f>
        <v>0</v>
      </c>
      <c r="AR42" s="159" t="n">
        <f aca="false">0</f>
        <v>0</v>
      </c>
      <c r="AS42" s="159" t="n">
        <f aca="false">0</f>
        <v>0</v>
      </c>
      <c r="AT42" s="159" t="n">
        <f aca="false">0</f>
        <v>0</v>
      </c>
      <c r="AU42" s="159" t="n">
        <f aca="false">0</f>
        <v>0</v>
      </c>
      <c r="AV42" s="159" t="n">
        <f aca="false">0</f>
        <v>0</v>
      </c>
      <c r="AW42" s="159" t="n">
        <f aca="false">0</f>
        <v>0</v>
      </c>
      <c r="AX42" s="159" t="n">
        <f aca="false">0</f>
        <v>0</v>
      </c>
      <c r="AY42" s="159" t="n">
        <f aca="false">0</f>
        <v>0</v>
      </c>
      <c r="AZ42" s="159" t="n">
        <f aca="false">0</f>
        <v>0</v>
      </c>
      <c r="BA42" s="159" t="n">
        <f aca="false">0</f>
        <v>0</v>
      </c>
      <c r="BB42" s="159" t="n">
        <f aca="false">0</f>
        <v>0</v>
      </c>
      <c r="BC42" s="159" t="n">
        <f aca="false">0</f>
        <v>0</v>
      </c>
      <c r="BD42" s="159" t="n">
        <f aca="false">0</f>
        <v>0</v>
      </c>
      <c r="BE42" s="159" t="n">
        <f aca="false">0</f>
        <v>0</v>
      </c>
      <c r="BF42" s="159" t="n">
        <f aca="false">0</f>
        <v>0</v>
      </c>
      <c r="BG42" s="159" t="n">
        <f aca="false">0</f>
        <v>0</v>
      </c>
      <c r="BH42" s="159" t="n">
        <f aca="false">0</f>
        <v>0</v>
      </c>
      <c r="BI42" s="159" t="n">
        <f aca="false">0</f>
        <v>0</v>
      </c>
      <c r="BJ42" s="154" t="n">
        <f aca="false">SUM(B42:BI42)</f>
        <v>0</v>
      </c>
      <c r="BK42" s="51" t="s">
        <v>426</v>
      </c>
    </row>
    <row r="43" customFormat="false" ht="15.75" hidden="false" customHeight="true" outlineLevel="0" collapsed="false">
      <c r="A43" s="53" t="s">
        <v>427</v>
      </c>
      <c r="B43" s="154" t="n">
        <f aca="false">B41+B42</f>
        <v>0</v>
      </c>
      <c r="C43" s="154" t="n">
        <f aca="false">C41+C42</f>
        <v>0</v>
      </c>
      <c r="D43" s="154" t="n">
        <f aca="false">D41+D42</f>
        <v>0</v>
      </c>
      <c r="E43" s="154" t="n">
        <f aca="false">E41+E42</f>
        <v>0</v>
      </c>
      <c r="F43" s="154" t="n">
        <f aca="false">F41+F42</f>
        <v>-600</v>
      </c>
      <c r="G43" s="154" t="n">
        <f aca="false">G41+G42</f>
        <v>-700</v>
      </c>
      <c r="H43" s="154" t="n">
        <f aca="false">H41+H42</f>
        <v>-700</v>
      </c>
      <c r="I43" s="154" t="n">
        <f aca="false">I41+I42</f>
        <v>-700</v>
      </c>
      <c r="J43" s="154" t="n">
        <f aca="false">J41+J42</f>
        <v>-852.130333333333</v>
      </c>
      <c r="K43" s="154" t="n">
        <f aca="false">K41+K42</f>
        <v>-1027.13033333333</v>
      </c>
      <c r="L43" s="154" t="n">
        <f aca="false">L41+L42</f>
        <v>-2702.13033333333</v>
      </c>
      <c r="M43" s="154" t="n">
        <f aca="false">M41+M42</f>
        <v>-31537.8270833333</v>
      </c>
      <c r="N43" s="154" t="n">
        <f aca="false">N41+N42</f>
        <v>-91591.25484</v>
      </c>
      <c r="O43" s="154" t="n">
        <f aca="false">O41+O42</f>
        <v>-76204.416603072</v>
      </c>
      <c r="P43" s="154" t="n">
        <f aca="false">P41+P42</f>
        <v>-51436.527871961</v>
      </c>
      <c r="Q43" s="154" t="n">
        <f aca="false">Q41+Q42</f>
        <v>-31166.8238659842</v>
      </c>
      <c r="R43" s="154" t="n">
        <f aca="false">R41+R42</f>
        <v>-7796.04427637125</v>
      </c>
      <c r="S43" s="154" t="n">
        <f aca="false">S41+S42</f>
        <v>883.698669086095</v>
      </c>
      <c r="T43" s="154" t="n">
        <f aca="false">T41+T42</f>
        <v>9027.30495531119</v>
      </c>
      <c r="U43" s="154" t="n">
        <f aca="false">U41+U42</f>
        <v>17180.5074619335</v>
      </c>
      <c r="V43" s="154" t="n">
        <f aca="false">V41+V42</f>
        <v>23138.871392267</v>
      </c>
      <c r="W43" s="154" t="n">
        <f aca="false">W41+W42</f>
        <v>29854.9906974876</v>
      </c>
      <c r="X43" s="154" t="n">
        <f aca="false">X41+X42</f>
        <v>34903.4864806843</v>
      </c>
      <c r="Y43" s="154" t="n">
        <f aca="false">Y41+Y42</f>
        <v>71507.0108207446</v>
      </c>
      <c r="Z43" s="154" t="n">
        <f aca="false">Z41+Z42</f>
        <v>1610.86747289778</v>
      </c>
      <c r="AA43" s="154" t="n">
        <f aca="false">AA41+AA42</f>
        <v>32927.1588209826</v>
      </c>
      <c r="AB43" s="154" t="n">
        <f aca="false">AB41+AB42</f>
        <v>52064.2028240321</v>
      </c>
      <c r="AC43" s="154" t="n">
        <f aca="false">AC41+AC42</f>
        <v>69848.3784403836</v>
      </c>
      <c r="AD43" s="154" t="n">
        <f aca="false">AD41+AD42</f>
        <v>86388.4612149327</v>
      </c>
      <c r="AE43" s="154" t="n">
        <f aca="false">AE41+AE42</f>
        <v>101742.906987073</v>
      </c>
      <c r="AF43" s="154" t="n">
        <f aca="false">AF41+AF42</f>
        <v>115752.893024378</v>
      </c>
      <c r="AG43" s="154" t="n">
        <f aca="false">AG41+AG42</f>
        <v>129027.21628159</v>
      </c>
      <c r="AH43" s="154" t="n">
        <f aca="false">AH41+AH42</f>
        <v>141328.750701332</v>
      </c>
      <c r="AI43" s="154" t="n">
        <f aca="false">AI41+AI42</f>
        <v>152769.388903295</v>
      </c>
      <c r="AJ43" s="154" t="n">
        <f aca="false">AJ41+AJ42</f>
        <v>163423.548004706</v>
      </c>
      <c r="AK43" s="154" t="n">
        <f aca="false">AK41+AK42</f>
        <v>173336.877806568</v>
      </c>
      <c r="AL43" s="154" t="n">
        <f aca="false">AL41+AL42</f>
        <v>41687.1451456742</v>
      </c>
      <c r="AM43" s="154" t="n">
        <f aca="false">AM41+AM42</f>
        <v>71861.7328568938</v>
      </c>
      <c r="AN43" s="154" t="n">
        <f aca="false">AN41+AN42</f>
        <v>99997.9920247876</v>
      </c>
      <c r="AO43" s="154" t="n">
        <f aca="false">AO41+AO42</f>
        <v>126301.281853516</v>
      </c>
      <c r="AP43" s="154" t="n">
        <f aca="false">AP41+AP42</f>
        <v>150863.841865771</v>
      </c>
      <c r="AQ43" s="154" t="n">
        <f aca="false">AQ41+AQ42</f>
        <v>173773.253903619</v>
      </c>
      <c r="AR43" s="154" t="n">
        <f aca="false">AR41+AR42</f>
        <v>194766.969563725</v>
      </c>
      <c r="AS43" s="154" t="n">
        <f aca="false">AS41+AS42</f>
        <v>214723.592326741</v>
      </c>
      <c r="AT43" s="154" t="n">
        <f aca="false">AT41+AT42</f>
        <v>233368.410564019</v>
      </c>
      <c r="AU43" s="154" t="n">
        <f aca="false">AU41+AU42</f>
        <v>250778.406462666</v>
      </c>
      <c r="AV43" s="154" t="n">
        <f aca="false">AV41+AV42</f>
        <v>267049.077892157</v>
      </c>
      <c r="AW43" s="154" t="n">
        <f aca="false">AW41+AW42</f>
        <v>282199.653552222</v>
      </c>
      <c r="AX43" s="154" t="n">
        <f aca="false">AX41+AX42</f>
        <v>158324.785810827</v>
      </c>
      <c r="AY43" s="154" t="n">
        <f aca="false">AY41+AY42</f>
        <v>206443.782107051</v>
      </c>
      <c r="AZ43" s="154" t="n">
        <f aca="false">AZ41+AZ42</f>
        <v>251514.492971783</v>
      </c>
      <c r="BA43" s="154" t="n">
        <f aca="false">BA41+BA42</f>
        <v>293815.102908452</v>
      </c>
      <c r="BB43" s="154" t="n">
        <f aca="false">BB41+BB42</f>
        <v>333458.611833143</v>
      </c>
      <c r="BC43" s="154" t="n">
        <f aca="false">BC41+BC42</f>
        <v>370604.006074992</v>
      </c>
      <c r="BD43" s="154" t="n">
        <f aca="false">BD41+BD42</f>
        <v>404976.043858663</v>
      </c>
      <c r="BE43" s="154" t="n">
        <f aca="false">BE41+BE42</f>
        <v>437644.476896072</v>
      </c>
      <c r="BF43" s="154" t="n">
        <f aca="false">BF41+BF42</f>
        <v>468295.988914089</v>
      </c>
      <c r="BG43" s="154" t="n">
        <f aca="false">BG41+BG42</f>
        <v>496973.822585767</v>
      </c>
      <c r="BH43" s="154" t="n">
        <f aca="false">BH41+BH42</f>
        <v>523900.358054732</v>
      </c>
      <c r="BI43" s="154" t="n">
        <f aca="false">BI41+BI42</f>
        <v>549140.907045468</v>
      </c>
      <c r="BJ43" s="154" t="n">
        <f aca="false">SUM(B43:BI43)</f>
        <v>7712165.97249179</v>
      </c>
    </row>
    <row r="44" customFormat="false" ht="15.75" hidden="false" customHeight="true" outlineLevel="0" collapsed="false">
      <c r="A44" s="111" t="s">
        <v>428</v>
      </c>
      <c r="B44" s="155" t="n">
        <f aca="false">IFERROR(B43/B22,0)</f>
        <v>0</v>
      </c>
      <c r="C44" s="155" t="n">
        <f aca="false">IFERROR(C43/C22,0)</f>
        <v>0</v>
      </c>
      <c r="D44" s="155" t="n">
        <f aca="false">IFERROR(D43/D22,0)</f>
        <v>0</v>
      </c>
      <c r="E44" s="155" t="n">
        <f aca="false">IFERROR(E43/E22,0)</f>
        <v>0</v>
      </c>
      <c r="F44" s="155" t="n">
        <f aca="false">IFERROR(F43/F22,0)</f>
        <v>0</v>
      </c>
      <c r="G44" s="155" t="n">
        <f aca="false">IFERROR(G43/G22,0)</f>
        <v>0</v>
      </c>
      <c r="H44" s="155" t="n">
        <f aca="false">IFERROR(H43/H22,0)</f>
        <v>0</v>
      </c>
      <c r="I44" s="155" t="n">
        <f aca="false">IFERROR(I43/I22,0)</f>
        <v>0</v>
      </c>
      <c r="J44" s="155" t="n">
        <f aca="false">IFERROR(J43/J22,0)</f>
        <v>0</v>
      </c>
      <c r="K44" s="155" t="n">
        <f aca="false">IFERROR(K43/K22,0)</f>
        <v>0</v>
      </c>
      <c r="L44" s="155" t="n">
        <f aca="false">IFERROR(L43/L22,0)</f>
        <v>0</v>
      </c>
      <c r="M44" s="155" t="n">
        <f aca="false">IFERROR(M43/M22,0)</f>
        <v>-6.17057464859435</v>
      </c>
      <c r="N44" s="155" t="n">
        <f aca="false">IFERROR(N43/N22,0)</f>
        <v>-3.30636089896575</v>
      </c>
      <c r="O44" s="155" t="n">
        <f aca="false">IFERROR(O43/O22,0)</f>
        <v>-1.21456381071336</v>
      </c>
      <c r="P44" s="155" t="n">
        <f aca="false">IFERROR(P43/P22,0)</f>
        <v>-0.451863877302701</v>
      </c>
      <c r="Q44" s="155" t="n">
        <f aca="false">IFERROR(Q43/Q22,0)</f>
        <v>-0.181170683298264</v>
      </c>
      <c r="R44" s="155" t="n">
        <f aca="false">IFERROR(R43/R22,0)</f>
        <v>-0.0333423396335013</v>
      </c>
      <c r="S44" s="155" t="n">
        <f aca="false">IFERROR(S43/S22,0)</f>
        <v>0.00338463835514522</v>
      </c>
      <c r="T44" s="155" t="n">
        <f aca="false">IFERROR(T43/T22,0)</f>
        <v>0.0315073258367335</v>
      </c>
      <c r="U44" s="155" t="n">
        <f aca="false">IFERROR(U43/U22,0)</f>
        <v>0.0553192565756217</v>
      </c>
      <c r="V44" s="155" t="n">
        <f aca="false">IFERROR(V43/V22,0)</f>
        <v>0.0698518173867055</v>
      </c>
      <c r="W44" s="155" t="n">
        <f aca="false">IFERROR(W43/W22,0)</f>
        <v>0.0849203824134827</v>
      </c>
      <c r="X44" s="155" t="n">
        <f aca="false">IFERROR(X43/X22,0)</f>
        <v>0.0945373862458304</v>
      </c>
      <c r="Y44" s="155" t="n">
        <f aca="false">IFERROR(Y43/Y22,0)</f>
        <v>0.171302198588278</v>
      </c>
      <c r="Z44" s="155" t="n">
        <f aca="false">IFERROR(Z43/Z22,0)</f>
        <v>0.00323032564178993</v>
      </c>
      <c r="AA44" s="155" t="n">
        <f aca="false">IFERROR(AA43/AA22,0)</f>
        <v>0.0593239620279074</v>
      </c>
      <c r="AB44" s="155" t="n">
        <f aca="false">IFERROR(AB43/AB22,0)</f>
        <v>0.0871398869875091</v>
      </c>
      <c r="AC44" s="155" t="n">
        <f aca="false">IFERROR(AC43/AC22,0)</f>
        <v>0.109666384652343</v>
      </c>
      <c r="AD44" s="155" t="n">
        <f aca="false">IFERROR(AD43/AD22,0)</f>
        <v>0.128255003881252</v>
      </c>
      <c r="AE44" s="155" t="n">
        <f aca="false">IFERROR(AE43/AE22,0)</f>
        <v>0.143780755939567</v>
      </c>
      <c r="AF44" s="155" t="n">
        <f aca="false">IFERROR(AF43/AF22,0)</f>
        <v>0.156581335877778</v>
      </c>
      <c r="AG44" s="155" t="n">
        <f aca="false">IFERROR(AG43/AG22,0)</f>
        <v>0.167860850737611</v>
      </c>
      <c r="AH44" s="155" t="n">
        <f aca="false">IFERROR(AH43/AH22,0)</f>
        <v>0.177558753213798</v>
      </c>
      <c r="AI44" s="155" t="n">
        <f aca="false">IFERROR(AI43/AI22,0)</f>
        <v>0.186002596311728</v>
      </c>
      <c r="AJ44" s="155" t="n">
        <f aca="false">IFERROR(AJ43/AJ22,0)</f>
        <v>0.193410970004194</v>
      </c>
      <c r="AK44" s="155" t="n">
        <f aca="false">IFERROR(AK43/AK22,0)</f>
        <v>0.199947099444552</v>
      </c>
      <c r="AL44" s="155" t="n">
        <f aca="false">IFERROR(AL43/AL22,0)</f>
        <v>0.0421086591464159</v>
      </c>
      <c r="AM44" s="155" t="n">
        <f aca="false">IFERROR(AM43/AM22,0)</f>
        <v>0.0681753235200893</v>
      </c>
      <c r="AN44" s="155" t="n">
        <f aca="false">IFERROR(AN43/AN22,0)</f>
        <v>0.0897784232983459</v>
      </c>
      <c r="AO44" s="155" t="n">
        <f aca="false">IFERROR(AO43/AO22,0)</f>
        <v>0.107980050196591</v>
      </c>
      <c r="AP44" s="155" t="n">
        <f aca="false">IFERROR(AP43/AP22,0)</f>
        <v>0.123474120658538</v>
      </c>
      <c r="AQ44" s="155" t="n">
        <f aca="false">IFERROR(AQ43/AQ22,0)</f>
        <v>0.136777378191422</v>
      </c>
      <c r="AR44" s="155" t="n">
        <f aca="false">IFERROR(AR43/AR22,0)</f>
        <v>0.148006799945107</v>
      </c>
      <c r="AS44" s="155" t="n">
        <f aca="false">IFERROR(AS43/AS22,0)</f>
        <v>0.158079749577678</v>
      </c>
      <c r="AT44" s="155" t="n">
        <f aca="false">IFERROR(AT43/AT22,0)</f>
        <v>0.166941803738998</v>
      </c>
      <c r="AU44" s="155" t="n">
        <f aca="false">IFERROR(AU43/AU22,0)</f>
        <v>0.174773232328086</v>
      </c>
      <c r="AV44" s="155" t="n">
        <f aca="false">IFERROR(AV43/AV22,0)</f>
        <v>0.18173801424502</v>
      </c>
      <c r="AW44" s="155" t="n">
        <f aca="false">IFERROR(AW43/AW22,0)</f>
        <v>0.187931600939302</v>
      </c>
      <c r="AX44" s="155" t="n">
        <f aca="false">IFERROR(AX43/AX22,0)</f>
        <v>0.0938351082605882</v>
      </c>
      <c r="AY44" s="155" t="n">
        <f aca="false">IFERROR(AY43/AY22,0)</f>
        <v>0.115546085116374</v>
      </c>
      <c r="AZ44" s="155" t="n">
        <f aca="false">IFERROR(AZ43/AZ22,0)</f>
        <v>0.133797813141114</v>
      </c>
      <c r="BA44" s="155" t="n">
        <f aca="false">IFERROR(BA43/BA22,0)</f>
        <v>0.149356580582726</v>
      </c>
      <c r="BB44" s="155" t="n">
        <f aca="false">IFERROR(BB43/BB22,0)</f>
        <v>0.162732788837168</v>
      </c>
      <c r="BC44" s="155" t="n">
        <f aca="false">IFERROR(BC43/BC22,0)</f>
        <v>0.174330049526196</v>
      </c>
      <c r="BD44" s="155" t="n">
        <f aca="false">IFERROR(BD43/BD22,0)</f>
        <v>0.184255331606396</v>
      </c>
      <c r="BE44" s="155" t="n">
        <f aca="false">IFERROR(BE43/BE22,0)</f>
        <v>0.193184869523901</v>
      </c>
      <c r="BF44" s="155" t="n">
        <f aca="false">IFERROR(BF43/BF22,0)</f>
        <v>0.201094785035625</v>
      </c>
      <c r="BG44" s="155" t="n">
        <f aca="false">IFERROR(BG43/BG22,0)</f>
        <v>0.208113154368339</v>
      </c>
      <c r="BH44" s="155" t="n">
        <f aca="false">IFERROR(BH43/BH22,0)</f>
        <v>0.214393709415257</v>
      </c>
      <c r="BI44" s="155" t="n">
        <f aca="false">IFERROR(BI43/BI22,0)</f>
        <v>0.220027328974122</v>
      </c>
      <c r="BJ44" s="157" t="n">
        <f aca="false">IFERROR(BJ43/BJ22,0)</f>
        <v>0.147283877163369</v>
      </c>
    </row>
    <row r="45" customFormat="false" ht="15.75" hidden="false" customHeight="true" outlineLevel="0" collapsed="false">
      <c r="A45" s="111" t="s">
        <v>429</v>
      </c>
      <c r="B45" s="159" t="n">
        <f aca="false">B43</f>
        <v>0</v>
      </c>
      <c r="C45" s="159" t="n">
        <f aca="false">B45+C43</f>
        <v>0</v>
      </c>
      <c r="D45" s="159" t="n">
        <f aca="false">C45+D43</f>
        <v>0</v>
      </c>
      <c r="E45" s="159" t="n">
        <f aca="false">D45+E43</f>
        <v>0</v>
      </c>
      <c r="F45" s="159" t="n">
        <f aca="false">E45+F43</f>
        <v>-600</v>
      </c>
      <c r="G45" s="159" t="n">
        <f aca="false">F45+G43</f>
        <v>-1300</v>
      </c>
      <c r="H45" s="159" t="n">
        <f aca="false">G45+H43</f>
        <v>-2000</v>
      </c>
      <c r="I45" s="159" t="n">
        <f aca="false">H45+I43</f>
        <v>-2700</v>
      </c>
      <c r="J45" s="159" t="n">
        <f aca="false">I45+J43</f>
        <v>-3552.13033333333</v>
      </c>
      <c r="K45" s="159" t="n">
        <f aca="false">J45+K43</f>
        <v>-4579.26066666667</v>
      </c>
      <c r="L45" s="159" t="n">
        <f aca="false">K45+L43</f>
        <v>-7281.391</v>
      </c>
      <c r="M45" s="159" t="n">
        <f aca="false">L45+M43</f>
        <v>-38819.2180833333</v>
      </c>
      <c r="N45" s="159" t="n">
        <f aca="false">M45+N43</f>
        <v>-130410.472923333</v>
      </c>
      <c r="O45" s="159" t="n">
        <f aca="false">N45+O43</f>
        <v>-206614.889526405</v>
      </c>
      <c r="P45" s="159" t="n">
        <f aca="false">O45+P43</f>
        <v>-258051.417398366</v>
      </c>
      <c r="Q45" s="159" t="n">
        <f aca="false">P45+Q43</f>
        <v>-289218.241264351</v>
      </c>
      <c r="R45" s="159" t="n">
        <f aca="false">Q45+R43</f>
        <v>-297014.285540722</v>
      </c>
      <c r="S45" s="159" t="n">
        <f aca="false">R45+S43</f>
        <v>-296130.586871636</v>
      </c>
      <c r="T45" s="159" t="n">
        <f aca="false">S45+T43</f>
        <v>-287103.281916324</v>
      </c>
      <c r="U45" s="159" t="n">
        <f aca="false">T45+U43</f>
        <v>-269922.774454391</v>
      </c>
      <c r="V45" s="159" t="n">
        <f aca="false">U45+V43</f>
        <v>-246783.903062124</v>
      </c>
      <c r="W45" s="159" t="n">
        <f aca="false">V45+W43</f>
        <v>-216928.912364636</v>
      </c>
      <c r="X45" s="159" t="n">
        <f aca="false">W45+X43</f>
        <v>-182025.425883952</v>
      </c>
      <c r="Y45" s="159" t="n">
        <f aca="false">X45+Y43</f>
        <v>-110518.415063207</v>
      </c>
      <c r="Z45" s="159" t="n">
        <f aca="false">Y45+Z43</f>
        <v>-108907.54759031</v>
      </c>
      <c r="AA45" s="159" t="n">
        <f aca="false">Z45+AA43</f>
        <v>-75980.388769327</v>
      </c>
      <c r="AB45" s="159" t="n">
        <f aca="false">AA45+AB43</f>
        <v>-23916.1859452949</v>
      </c>
      <c r="AC45" s="159" t="n">
        <f aca="false">AB45+AC43</f>
        <v>45932.1924950887</v>
      </c>
      <c r="AD45" s="159" t="n">
        <f aca="false">AC45+AD43</f>
        <v>132320.653710021</v>
      </c>
      <c r="AE45" s="159" t="n">
        <f aca="false">AD45+AE43</f>
        <v>234063.560697094</v>
      </c>
      <c r="AF45" s="159" t="n">
        <f aca="false">AE45+AF43</f>
        <v>349816.453721472</v>
      </c>
      <c r="AG45" s="159" t="n">
        <f aca="false">AF45+AG43</f>
        <v>478843.670003062</v>
      </c>
      <c r="AH45" s="159" t="n">
        <f aca="false">AG45+AH43</f>
        <v>620172.420704395</v>
      </c>
      <c r="AI45" s="159" t="n">
        <f aca="false">AH45+AI43</f>
        <v>772941.809607689</v>
      </c>
      <c r="AJ45" s="159" t="n">
        <f aca="false">AI45+AJ43</f>
        <v>936365.357612396</v>
      </c>
      <c r="AK45" s="159" t="n">
        <f aca="false">AJ45+AK43</f>
        <v>1109702.23541896</v>
      </c>
      <c r="AL45" s="159" t="n">
        <f aca="false">AK45+AL43</f>
        <v>1151389.38056464</v>
      </c>
      <c r="AM45" s="159" t="n">
        <f aca="false">AL45+AM43</f>
        <v>1223251.11342153</v>
      </c>
      <c r="AN45" s="159" t="n">
        <f aca="false">AM45+AN43</f>
        <v>1323249.10544632</v>
      </c>
      <c r="AO45" s="159" t="n">
        <f aca="false">AN45+AO43</f>
        <v>1449550.38729984</v>
      </c>
      <c r="AP45" s="159" t="n">
        <f aca="false">AO45+AP43</f>
        <v>1600414.22916561</v>
      </c>
      <c r="AQ45" s="159" t="n">
        <f aca="false">AP45+AQ43</f>
        <v>1774187.48306923</v>
      </c>
      <c r="AR45" s="159" t="n">
        <f aca="false">AQ45+AR43</f>
        <v>1968954.45263295</v>
      </c>
      <c r="AS45" s="159" t="n">
        <f aca="false">AR45+AS43</f>
        <v>2183678.04495969</v>
      </c>
      <c r="AT45" s="159" t="n">
        <f aca="false">AS45+AT43</f>
        <v>2417046.45552371</v>
      </c>
      <c r="AU45" s="159" t="n">
        <f aca="false">AT45+AU43</f>
        <v>2667824.86198638</v>
      </c>
      <c r="AV45" s="159" t="n">
        <f aca="false">AU45+AV43</f>
        <v>2934873.93987853</v>
      </c>
      <c r="AW45" s="159" t="n">
        <f aca="false">AV45+AW43</f>
        <v>3217073.59343075</v>
      </c>
      <c r="AX45" s="159" t="n">
        <f aca="false">AW45+AX43</f>
        <v>3375398.37924158</v>
      </c>
      <c r="AY45" s="159" t="n">
        <f aca="false">AX45+AY43</f>
        <v>3581842.16134863</v>
      </c>
      <c r="AZ45" s="159" t="n">
        <f aca="false">AY45+AZ43</f>
        <v>3833356.65432042</v>
      </c>
      <c r="BA45" s="159" t="n">
        <f aca="false">AZ45+BA43</f>
        <v>4127171.75722887</v>
      </c>
      <c r="BB45" s="159" t="n">
        <f aca="false">BA45+BB43</f>
        <v>4460630.36906201</v>
      </c>
      <c r="BC45" s="159" t="n">
        <f aca="false">BB45+BC43</f>
        <v>4831234.375137</v>
      </c>
      <c r="BD45" s="159" t="n">
        <f aca="false">BC45+BD43</f>
        <v>5236210.41899567</v>
      </c>
      <c r="BE45" s="159" t="n">
        <f aca="false">BD45+BE43</f>
        <v>5673854.89589174</v>
      </c>
      <c r="BF45" s="159" t="n">
        <f aca="false">BE45+BF43</f>
        <v>6142150.88480583</v>
      </c>
      <c r="BG45" s="159" t="n">
        <f aca="false">BF45+BG43</f>
        <v>6639124.70739159</v>
      </c>
      <c r="BH45" s="159" t="n">
        <f aca="false">BG45+BH43</f>
        <v>7163025.06544633</v>
      </c>
      <c r="BI45" s="159" t="n">
        <f aca="false">BH45+BI43</f>
        <v>7712165.97249179</v>
      </c>
    </row>
    <row r="46" customFormat="false" ht="15.75" hidden="false" customHeight="true" outlineLevel="0" collapsed="false"/>
    <row r="47" customFormat="false" ht="18" hidden="false" customHeight="true" outlineLevel="0" collapsed="false">
      <c r="A47" s="47" t="s">
        <v>430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</row>
    <row r="48" customFormat="false" ht="15.75" hidden="false" customHeight="true" outlineLevel="0" collapsed="false">
      <c r="A48" s="161" t="s">
        <v>431</v>
      </c>
      <c r="B48" s="107" t="n">
        <v>2026</v>
      </c>
      <c r="C48" s="107" t="n">
        <v>2027</v>
      </c>
      <c r="D48" s="107" t="n">
        <v>2028</v>
      </c>
      <c r="E48" s="107" t="n">
        <v>2029</v>
      </c>
      <c r="F48" s="107" t="n">
        <v>2030</v>
      </c>
      <c r="G48" s="162" t="s">
        <v>432</v>
      </c>
    </row>
    <row r="49" customFormat="false" ht="15.75" hidden="false" customHeight="true" outlineLevel="0" collapsed="false">
      <c r="A49" s="53" t="s">
        <v>433</v>
      </c>
      <c r="B49" s="163" t="n">
        <f aca="false">SUMIFS($B$16:$BI$16,$B$6:$BI$6,B$48)</f>
        <v>7191</v>
      </c>
      <c r="C49" s="163" t="n">
        <f aca="false">SUMIFS($B$16:$BI$16,$B$6:$BI$6,C$48)</f>
        <v>4266370.58306995</v>
      </c>
      <c r="D49" s="163" t="n">
        <f aca="false">SUMIFS($B$16:$BI$16,$B$6:$BI$6,D$48)</f>
        <v>11883042.4841353</v>
      </c>
      <c r="E49" s="163" t="n">
        <f aca="false">SUMIFS($B$16:$BI$16,$B$6:$BI$6,E$48)</f>
        <v>21235018.6989128</v>
      </c>
      <c r="F49" s="163" t="n">
        <f aca="false">SUMIFS($B$16:$BI$16,$B$6:$BI$6,F$48)</f>
        <v>35439898.2077514</v>
      </c>
      <c r="G49" s="164" t="n">
        <f aca="false">SUM(B49:F49)</f>
        <v>72831520.9738694</v>
      </c>
    </row>
    <row r="50" customFormat="false" ht="15.75" hidden="false" customHeight="true" outlineLevel="0" collapsed="false">
      <c r="A50" s="49" t="s">
        <v>434</v>
      </c>
      <c r="B50" s="165" t="n">
        <f aca="false">SUMIFS($B$19:$BI$19,$B$6:$BI$6,B$48)</f>
        <v>-1114.605</v>
      </c>
      <c r="C50" s="165" t="n">
        <f aca="false">SUMIFS($B$19:$BI$19,$B$6:$BI$6,C$48)</f>
        <v>-797617.095461221</v>
      </c>
      <c r="D50" s="165" t="n">
        <f aca="false">SUMIFS($B$19:$BI$19,$B$6:$BI$6,D$48)</f>
        <v>-1951245.56020209</v>
      </c>
      <c r="E50" s="165" t="n">
        <f aca="false">SUMIFS($B$19:$BI$19,$B$6:$BI$6,E$48)</f>
        <v>-3467678.55353245</v>
      </c>
      <c r="F50" s="165" t="n">
        <f aca="false">SUMIFS($B$19:$BI$19,$B$6:$BI$6,F$48)</f>
        <v>-5787335.3773258</v>
      </c>
      <c r="G50" s="164" t="n">
        <f aca="false">SUM(B50:F50)</f>
        <v>-12004991.1915216</v>
      </c>
    </row>
    <row r="51" customFormat="false" ht="15.75" hidden="false" customHeight="true" outlineLevel="0" collapsed="false">
      <c r="A51" s="49" t="s">
        <v>402</v>
      </c>
      <c r="B51" s="165" t="n">
        <f aca="false">SUMIFS($B$20:$BI$20,$B$6:$BI$6,B$48)</f>
        <v>-916.8525</v>
      </c>
      <c r="C51" s="165" t="n">
        <f aca="false">SUMIFS($B$20:$BI$20,$B$6:$BI$6,C$48)</f>
        <v>-490071.444</v>
      </c>
      <c r="D51" s="165" t="n">
        <f aca="false">SUMIFS($B$20:$BI$20,$B$6:$BI$6,D$48)</f>
        <v>-1280723.9625</v>
      </c>
      <c r="E51" s="165" t="n">
        <f aca="false">SUMIFS($B$20:$BI$20,$B$6:$BI$6,E$48)</f>
        <v>-2170901.142</v>
      </c>
      <c r="F51" s="165" t="n">
        <f aca="false">SUMIFS($B$20:$BI$20,$B$6:$BI$6,F$48)</f>
        <v>-3497344.2315</v>
      </c>
      <c r="G51" s="164" t="n">
        <f aca="false">SUM(B51:F51)</f>
        <v>-7439957.6325</v>
      </c>
    </row>
    <row r="52" customFormat="false" ht="15.75" hidden="false" customHeight="true" outlineLevel="0" collapsed="false">
      <c r="A52" s="49" t="s">
        <v>404</v>
      </c>
      <c r="B52" s="165" t="n">
        <f aca="false">SUMIFS($B$21:$BI$21,$B$6:$BI$6,B$48)</f>
        <v>-48.53925</v>
      </c>
      <c r="C52" s="165" t="n">
        <f aca="false">SUMIFS($B$21:$BI$21,$B$6:$BI$6,C$48)</f>
        <v>-40926.4930381479</v>
      </c>
      <c r="D52" s="165" t="n">
        <f aca="false">SUMIFS($B$21:$BI$21,$B$6:$BI$6,D$48)</f>
        <v>-144714.72303609</v>
      </c>
      <c r="E52" s="165" t="n">
        <f aca="false">SUMIFS($B$21:$BI$21,$B$6:$BI$6,E$48)</f>
        <v>-298500.498851074</v>
      </c>
      <c r="F52" s="165" t="n">
        <f aca="false">SUMIFS($B$21:$BI$21,$B$6:$BI$6,F$48)</f>
        <v>-539787.149898813</v>
      </c>
      <c r="G52" s="164" t="n">
        <f aca="false">SUM(B52:F52)</f>
        <v>-1023977.40407412</v>
      </c>
    </row>
    <row r="53" customFormat="false" ht="15.75" hidden="false" customHeight="true" outlineLevel="0" collapsed="false">
      <c r="A53" s="53" t="s">
        <v>435</v>
      </c>
      <c r="B53" s="163" t="n">
        <f aca="false">SUMIFS($B$22:$BI$22,$B$6:$BI$6,B$48)</f>
        <v>5111.00325</v>
      </c>
      <c r="C53" s="163" t="n">
        <f aca="false">SUMIFS($B$22:$BI$22,$B$6:$BI$6,C$48)</f>
        <v>2937755.55057058</v>
      </c>
      <c r="D53" s="163" t="n">
        <f aca="false">SUMIFS($B$22:$BI$22,$B$6:$BI$6,D$48)</f>
        <v>8506358.23839715</v>
      </c>
      <c r="E53" s="163" t="n">
        <f aca="false">SUMIFS($B$22:$BI$22,$B$6:$BI$6,E$48)</f>
        <v>15297938.5045292</v>
      </c>
      <c r="F53" s="163" t="n">
        <f aca="false">SUMIFS($B$22:$BI$22,$B$6:$BI$6,F$48)</f>
        <v>25615431.4490268</v>
      </c>
      <c r="G53" s="164" t="n">
        <f aca="false">SUM(B53:F53)</f>
        <v>52362594.7457738</v>
      </c>
    </row>
    <row r="54" customFormat="false" ht="15.75" hidden="false" customHeight="true" outlineLevel="0" collapsed="false">
      <c r="A54" s="49" t="s">
        <v>407</v>
      </c>
      <c r="B54" s="165" t="n">
        <f aca="false">SUMIFS($B$25:$BI$25,$B$6:$BI$6,B$48)</f>
        <v>-8040.2</v>
      </c>
      <c r="C54" s="165" t="n">
        <f aca="false">SUMIFS($B$25:$BI$25,$B$6:$BI$6,C$48)</f>
        <v>-1773000.63355046</v>
      </c>
      <c r="D54" s="165" t="n">
        <f aca="false">SUMIFS($B$25:$BI$25,$B$6:$BI$6,D$48)</f>
        <v>-4672208.88016498</v>
      </c>
      <c r="E54" s="165" t="n">
        <f aca="false">SUMIFS($B$25:$BI$25,$B$6:$BI$6,E$48)</f>
        <v>-8186684.42345494</v>
      </c>
      <c r="F54" s="165" t="n">
        <f aca="false">SUMIFS($B$25:$BI$25,$B$6:$BI$6,F$48)</f>
        <v>-13425558.1849501</v>
      </c>
      <c r="G54" s="164" t="n">
        <f aca="false">SUM(B54:F54)</f>
        <v>-28065492.3221205</v>
      </c>
    </row>
    <row r="55" customFormat="false" ht="15.75" hidden="false" customHeight="true" outlineLevel="0" collapsed="false">
      <c r="A55" s="49" t="s">
        <v>408</v>
      </c>
      <c r="B55" s="165" t="n">
        <f aca="false">SUMIFS($B$26:$BI$26,$B$6:$BI$6,B$48)</f>
        <v>-31.5</v>
      </c>
      <c r="C55" s="165" t="n">
        <f aca="false">SUMIFS($B$26:$BI$26,$B$6:$BI$6,C$48)</f>
        <v>-17889.55</v>
      </c>
      <c r="D55" s="165" t="n">
        <f aca="false">SUMIFS($B$26:$BI$26,$B$6:$BI$6,D$48)</f>
        <v>-40356.3</v>
      </c>
      <c r="E55" s="165" t="n">
        <f aca="false">SUMIFS($B$26:$BI$26,$B$6:$BI$6,E$48)</f>
        <v>-65897.16</v>
      </c>
      <c r="F55" s="165" t="n">
        <f aca="false">SUMIFS($B$26:$BI$26,$B$6:$BI$6,F$48)</f>
        <v>-96610</v>
      </c>
      <c r="G55" s="164" t="n">
        <f aca="false">SUM(B55:F55)</f>
        <v>-220784.51</v>
      </c>
    </row>
    <row r="56" customFormat="false" ht="15.75" hidden="false" customHeight="true" outlineLevel="0" collapsed="false">
      <c r="A56" s="53" t="s">
        <v>409</v>
      </c>
      <c r="B56" s="163" t="n">
        <f aca="false">SUMIFS($B$27:$BI$27,$B$6:$BI$6,B$48)</f>
        <v>-2960.69675</v>
      </c>
      <c r="C56" s="163" t="n">
        <f aca="false">SUMIFS($B$27:$BI$27,$B$6:$BI$6,C$48)</f>
        <v>1146865.36702013</v>
      </c>
      <c r="D56" s="163" t="n">
        <f aca="false">SUMIFS($B$27:$BI$27,$B$6:$BI$6,D$48)</f>
        <v>3793793.05823217</v>
      </c>
      <c r="E56" s="163" t="n">
        <f aca="false">SUMIFS($B$27:$BI$27,$B$6:$BI$6,E$48)</f>
        <v>7045356.92107429</v>
      </c>
      <c r="F56" s="163" t="n">
        <f aca="false">SUMIFS($B$27:$BI$27,$B$6:$BI$6,F$48)</f>
        <v>12093263.2640767</v>
      </c>
      <c r="G56" s="164" t="n">
        <f aca="false">SUM(B56:F56)</f>
        <v>24076317.9136532</v>
      </c>
    </row>
    <row r="57" customFormat="false" ht="15.75" hidden="false" customHeight="true" outlineLevel="0" collapsed="false">
      <c r="A57" s="49" t="s">
        <v>436</v>
      </c>
      <c r="B57" s="166" t="n">
        <f aca="false">IFERROR(B56/B53,0)</f>
        <v>-0.579278980110216</v>
      </c>
      <c r="C57" s="166" t="n">
        <f aca="false">IFERROR(C56/C53,0)</f>
        <v>0.390388290406728</v>
      </c>
      <c r="D57" s="166" t="n">
        <f aca="false">IFERROR(D56/D53,0)</f>
        <v>0.445994978333646</v>
      </c>
      <c r="E57" s="166" t="n">
        <f aca="false">IFERROR(E56/E53,0)</f>
        <v>0.460542897266085</v>
      </c>
      <c r="F57" s="166" t="n">
        <f aca="false">IFERROR(F56/F53,0)</f>
        <v>0.472108513500604</v>
      </c>
      <c r="G57" s="167" t="n">
        <f aca="false">IFERROR(G56/G53,0)</f>
        <v>0.459799939833892</v>
      </c>
    </row>
    <row r="58" customFormat="false" ht="15.75" hidden="false" customHeight="true" outlineLevel="0" collapsed="false">
      <c r="A58" s="49" t="s">
        <v>437</v>
      </c>
      <c r="B58" s="165" t="n">
        <f aca="false">SUMIFS($B$31:$BI$31,$B$6:$BI$6,B$48)</f>
        <v>0</v>
      </c>
      <c r="C58" s="165" t="n">
        <f aca="false">SUMIFS($B$31:$BI$31,$B$6:$BI$6,C$48)</f>
        <v>-510000</v>
      </c>
      <c r="D58" s="165" t="n">
        <f aca="false">SUMIFS($B$31:$BI$31,$B$6:$BI$6,D$48)</f>
        <v>-1410000</v>
      </c>
      <c r="E58" s="165" t="n">
        <f aca="false">SUMIFS($B$31:$BI$31,$B$6:$BI$6,E$48)</f>
        <v>-3039600</v>
      </c>
      <c r="F58" s="165" t="n">
        <f aca="false">SUMIFS($B$31:$BI$31,$B$6:$BI$6,F$48)</f>
        <v>-4491600</v>
      </c>
      <c r="G58" s="164" t="n">
        <f aca="false">SUM(B58:F58)</f>
        <v>-9451200</v>
      </c>
    </row>
    <row r="59" customFormat="false" ht="15.75" hidden="false" customHeight="true" outlineLevel="0" collapsed="false">
      <c r="A59" s="49" t="s">
        <v>413</v>
      </c>
      <c r="B59" s="165" t="n">
        <f aca="false">SUMIFS($B$32:$BI$32,$B$6:$BI$6,B$48)</f>
        <v>-33675</v>
      </c>
      <c r="C59" s="165" t="n">
        <f aca="false">SUMIFS($B$32:$BI$32,$B$6:$BI$6,C$48)</f>
        <v>-696939</v>
      </c>
      <c r="D59" s="165" t="n">
        <f aca="false">SUMIFS($B$32:$BI$32,$B$6:$BI$6,D$48)</f>
        <v>-1146246.84375</v>
      </c>
      <c r="E59" s="165" t="n">
        <f aca="false">SUMIFS($B$32:$BI$32,$B$6:$BI$6,E$48)</f>
        <v>-1872059.9990625</v>
      </c>
      <c r="F59" s="165" t="n">
        <f aca="false">SUMIFS($B$32:$BI$32,$B$6:$BI$6,F$48)</f>
        <v>-3064745.32101562</v>
      </c>
      <c r="G59" s="164" t="n">
        <f aca="false">SUM(B59:F59)</f>
        <v>-6813666.16382812</v>
      </c>
    </row>
    <row r="60" customFormat="false" ht="15.75" hidden="false" customHeight="true" outlineLevel="0" collapsed="false">
      <c r="A60" s="49" t="s">
        <v>415</v>
      </c>
      <c r="B60" s="165" t="n">
        <f aca="false">SUMIFS($B$33:$BI$33,$B$6:$BI$6,B$48)</f>
        <v>0</v>
      </c>
      <c r="C60" s="165" t="n">
        <f aca="false">SUMIFS($B$33:$BI$33,$B$6:$BI$6,C$48)</f>
        <v>-2000</v>
      </c>
      <c r="D60" s="165" t="n">
        <f aca="false">SUMIFS($B$33:$BI$33,$B$6:$BI$6,D$48)</f>
        <v>-5000</v>
      </c>
      <c r="E60" s="165" t="n">
        <f aca="false">SUMIFS($B$33:$BI$33,$B$6:$BI$6,E$48)</f>
        <v>-10000</v>
      </c>
      <c r="F60" s="165" t="n">
        <f aca="false">SUMIFS($B$33:$BI$33,$B$6:$BI$6,F$48)</f>
        <v>-20000</v>
      </c>
      <c r="G60" s="164" t="n">
        <f aca="false">SUM(B60:F60)</f>
        <v>-37000</v>
      </c>
    </row>
    <row r="61" customFormat="false" ht="15.75" hidden="false" customHeight="true" outlineLevel="0" collapsed="false">
      <c r="A61" s="53" t="s">
        <v>416</v>
      </c>
      <c r="B61" s="163" t="n">
        <f aca="false">SUMIFS($B$34:$BI$34,$B$6:$BI$6,B$48)</f>
        <v>-36635.69675</v>
      </c>
      <c r="C61" s="163" t="n">
        <f aca="false">SUMIFS($B$34:$BI$34,$B$6:$BI$6,C$48)</f>
        <v>-62073.6329798741</v>
      </c>
      <c r="D61" s="163" t="n">
        <f aca="false">SUMIFS($B$34:$BI$34,$B$6:$BI$6,D$48)</f>
        <v>1232546.21448217</v>
      </c>
      <c r="E61" s="163" t="n">
        <f aca="false">SUMIFS($B$34:$BI$34,$B$6:$BI$6,E$48)</f>
        <v>2123696.92201179</v>
      </c>
      <c r="F61" s="163" t="n">
        <f aca="false">SUMIFS($B$34:$BI$34,$B$6:$BI$6,F$48)</f>
        <v>4516917.94306104</v>
      </c>
      <c r="G61" s="164" t="n">
        <f aca="false">SUM(B61:F61)</f>
        <v>7774451.74982513</v>
      </c>
    </row>
    <row r="62" customFormat="false" ht="15.75" hidden="false" customHeight="true" outlineLevel="0" collapsed="false">
      <c r="A62" s="49" t="s">
        <v>438</v>
      </c>
      <c r="B62" s="166" t="n">
        <f aca="false">IFERROR(B61/B53,0)</f>
        <v>-7.16800498023553</v>
      </c>
      <c r="C62" s="166" t="n">
        <f aca="false">IFERROR(C61/C53,0)</f>
        <v>-0.0211296113346864</v>
      </c>
      <c r="D62" s="166" t="n">
        <f aca="false">IFERROR(D61/D53,0)</f>
        <v>0.144897049940659</v>
      </c>
      <c r="E62" s="166" t="n">
        <f aca="false">IFERROR(E61/E53,0)</f>
        <v>0.138822425085774</v>
      </c>
      <c r="F62" s="166" t="n">
        <f aca="false">IFERROR(F61/F53,0)</f>
        <v>0.176335813513407</v>
      </c>
      <c r="G62" s="167" t="n">
        <f aca="false">IFERROR(G61/G53,0)</f>
        <v>0.148473386156109</v>
      </c>
    </row>
    <row r="63" customFormat="false" ht="15.75" hidden="false" customHeight="true" outlineLevel="0" collapsed="false">
      <c r="A63" s="49" t="s">
        <v>419</v>
      </c>
      <c r="B63" s="165" t="n">
        <f aca="false">SUMIFS($B$38:$BI$38,$B$6:$BI$6,B$48)</f>
        <v>-2183.52133333333</v>
      </c>
      <c r="C63" s="165" t="n">
        <f aca="false">SUMIFS($B$38:$BI$38,$B$6:$BI$6,C$48)</f>
        <v>-9625.564</v>
      </c>
      <c r="D63" s="165" t="n">
        <f aca="false">SUMIFS($B$38:$BI$38,$B$6:$BI$6,D$48)</f>
        <v>-12325.564</v>
      </c>
      <c r="E63" s="165" t="n">
        <f aca="false">SUMIFS($B$38:$BI$38,$B$6:$BI$6,E$48)</f>
        <v>-16325.564</v>
      </c>
      <c r="F63" s="165" t="n">
        <f aca="false">SUMIFS($B$38:$BI$38,$B$6:$BI$6,F$48)</f>
        <v>-21825.564</v>
      </c>
      <c r="G63" s="164" t="n">
        <f aca="false">SUM(B63:F63)</f>
        <v>-62285.7773333333</v>
      </c>
    </row>
    <row r="64" customFormat="false" ht="15.75" hidden="false" customHeight="true" outlineLevel="0" collapsed="false">
      <c r="A64" s="53" t="s">
        <v>439</v>
      </c>
      <c r="B64" s="163" t="n">
        <f aca="false">SUMIFS($B$39:$BI$39,$B$6:$BI$6,B$48)</f>
        <v>-38819.2180833333</v>
      </c>
      <c r="C64" s="163" t="n">
        <f aca="false">SUMIFS($B$39:$BI$39,$B$6:$BI$6,C$48)</f>
        <v>-71699.1969798741</v>
      </c>
      <c r="D64" s="163" t="n">
        <f aca="false">SUMIFS($B$39:$BI$39,$B$6:$BI$6,D$48)</f>
        <v>1220220.65048217</v>
      </c>
      <c r="E64" s="163" t="n">
        <f aca="false">SUMIFS($B$39:$BI$39,$B$6:$BI$6,E$48)</f>
        <v>2107371.35801179</v>
      </c>
      <c r="F64" s="163" t="n">
        <f aca="false">SUMIFS($B$39:$BI$39,$B$6:$BI$6,F$48)</f>
        <v>4495092.37906104</v>
      </c>
      <c r="G64" s="164" t="n">
        <f aca="false">SUM(B64:F64)</f>
        <v>7712165.97249179</v>
      </c>
    </row>
    <row r="65" customFormat="false" ht="15.75" hidden="false" customHeight="true" outlineLevel="0" collapsed="false">
      <c r="A65" s="53" t="s">
        <v>440</v>
      </c>
      <c r="B65" s="163" t="n">
        <f aca="false">SUMIFS($B$43:$BI$43,$B$6:$BI$6,B$48)</f>
        <v>-38819.2180833333</v>
      </c>
      <c r="C65" s="163" t="n">
        <f aca="false">SUMIFS($B$43:$BI$43,$B$6:$BI$6,C$48)</f>
        <v>-71699.1969798741</v>
      </c>
      <c r="D65" s="163" t="n">
        <f aca="false">SUMIFS($B$43:$BI$43,$B$6:$BI$6,D$48)</f>
        <v>1220220.65048217</v>
      </c>
      <c r="E65" s="163" t="n">
        <f aca="false">SUMIFS($B$43:$BI$43,$B$6:$BI$6,E$48)</f>
        <v>2107371.35801179</v>
      </c>
      <c r="F65" s="163" t="n">
        <f aca="false">SUMIFS($B$43:$BI$43,$B$6:$BI$6,F$48)</f>
        <v>4495092.37906104</v>
      </c>
      <c r="G65" s="164" t="n">
        <f aca="false">SUM(B65:F65)</f>
        <v>7712165.97249179</v>
      </c>
    </row>
    <row r="66" customFormat="false" ht="15.75" hidden="false" customHeight="true" outlineLevel="0" collapsed="false">
      <c r="A66" s="49" t="s">
        <v>441</v>
      </c>
      <c r="B66" s="166" t="n">
        <f aca="false">IFERROR(B65/B53,0)</f>
        <v>-7.59522469161673</v>
      </c>
      <c r="C66" s="166" t="n">
        <f aca="false">IFERROR(C65/C53,0)</f>
        <v>-0.0244061140369383</v>
      </c>
      <c r="D66" s="166" t="n">
        <f aca="false">IFERROR(D65/D53,0)</f>
        <v>0.143448067467247</v>
      </c>
      <c r="E66" s="166" t="n">
        <f aca="false">IFERROR(E65/E53,0)</f>
        <v>0.137755250969787</v>
      </c>
      <c r="F66" s="166" t="n">
        <f aca="false">IFERROR(F65/F53,0)</f>
        <v>0.175483766026194</v>
      </c>
      <c r="G66" s="167" t="n">
        <f aca="false">IFERROR(G65/G53,0)</f>
        <v>0.147283877163369</v>
      </c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040"/>
    <pageSetUpPr fitToPage="false"/>
  </sheetPr>
  <dimension ref="A1:B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46"/>
    <col collapsed="false" customWidth="true" hidden="false" outlineLevel="0" max="2" min="2" style="37" width="12.86"/>
    <col collapsed="false" customWidth="true" hidden="false" outlineLevel="0" max="61" min="3" style="37" width="11"/>
    <col collapsed="false" customWidth="true" hidden="false" outlineLevel="0" max="62" min="62" style="37" width="15"/>
    <col collapsed="false" customWidth="true" hidden="false" outlineLevel="0" max="63" min="63" style="37" width="34"/>
  </cols>
  <sheetData>
    <row r="1" customFormat="false" ht="25.5" hidden="false" customHeight="true" outlineLevel="0" collapsed="false">
      <c r="A1" s="38" t="s">
        <v>442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customFormat="false" ht="15.75" hidden="false" customHeight="true" outlineLevel="0" collapsed="false">
      <c r="A2" s="143" t="str">
        <f aca="false">" Cenário ativo: "&amp;Premissas!B7</f>
        <v> Cenário ativo: PROVÁVEL</v>
      </c>
    </row>
    <row r="4" customFormat="false" ht="15" hidden="false" customHeight="true" outlineLevel="0" collapsed="false">
      <c r="A4" s="144" t="s">
        <v>384</v>
      </c>
      <c r="B4" s="145" t="n">
        <v>46023</v>
      </c>
      <c r="C4" s="145" t="n">
        <v>46054</v>
      </c>
      <c r="D4" s="145" t="n">
        <v>46082</v>
      </c>
      <c r="E4" s="145" t="n">
        <v>46113</v>
      </c>
      <c r="F4" s="145" t="n">
        <v>46143</v>
      </c>
      <c r="G4" s="145" t="n">
        <v>46174</v>
      </c>
      <c r="H4" s="145" t="n">
        <v>46204</v>
      </c>
      <c r="I4" s="145" t="n">
        <v>46235</v>
      </c>
      <c r="J4" s="145" t="n">
        <v>46266</v>
      </c>
      <c r="K4" s="145" t="n">
        <v>46296</v>
      </c>
      <c r="L4" s="145" t="n">
        <v>46327</v>
      </c>
      <c r="M4" s="145" t="n">
        <v>46357</v>
      </c>
      <c r="N4" s="145" t="n">
        <v>46388</v>
      </c>
      <c r="O4" s="145" t="n">
        <v>46419</v>
      </c>
      <c r="P4" s="145" t="n">
        <v>46447</v>
      </c>
      <c r="Q4" s="145" t="n">
        <v>46478</v>
      </c>
      <c r="R4" s="145" t="n">
        <v>46508</v>
      </c>
      <c r="S4" s="145" t="n">
        <v>46539</v>
      </c>
      <c r="T4" s="145" t="n">
        <v>46569</v>
      </c>
      <c r="U4" s="145" t="n">
        <v>46600</v>
      </c>
      <c r="V4" s="145" t="n">
        <v>46631</v>
      </c>
      <c r="W4" s="145" t="n">
        <v>46661</v>
      </c>
      <c r="X4" s="145" t="n">
        <v>46692</v>
      </c>
      <c r="Y4" s="145" t="n">
        <v>46722</v>
      </c>
      <c r="Z4" s="145" t="n">
        <v>46753</v>
      </c>
      <c r="AA4" s="145" t="n">
        <v>46784</v>
      </c>
      <c r="AB4" s="145" t="n">
        <v>46813</v>
      </c>
      <c r="AC4" s="145" t="n">
        <v>46844</v>
      </c>
      <c r="AD4" s="145" t="n">
        <v>46874</v>
      </c>
      <c r="AE4" s="145" t="n">
        <v>46905</v>
      </c>
      <c r="AF4" s="145" t="n">
        <v>46935</v>
      </c>
      <c r="AG4" s="145" t="n">
        <v>46966</v>
      </c>
      <c r="AH4" s="145" t="n">
        <v>46997</v>
      </c>
      <c r="AI4" s="145" t="n">
        <v>47027</v>
      </c>
      <c r="AJ4" s="145" t="n">
        <v>47058</v>
      </c>
      <c r="AK4" s="145" t="n">
        <v>47088</v>
      </c>
      <c r="AL4" s="145" t="n">
        <v>47119</v>
      </c>
      <c r="AM4" s="145" t="n">
        <v>47150</v>
      </c>
      <c r="AN4" s="145" t="n">
        <v>47178</v>
      </c>
      <c r="AO4" s="145" t="n">
        <v>47209</v>
      </c>
      <c r="AP4" s="145" t="n">
        <v>47239</v>
      </c>
      <c r="AQ4" s="145" t="n">
        <v>47270</v>
      </c>
      <c r="AR4" s="145" t="n">
        <v>47300</v>
      </c>
      <c r="AS4" s="145" t="n">
        <v>47331</v>
      </c>
      <c r="AT4" s="145" t="n">
        <v>47362</v>
      </c>
      <c r="AU4" s="145" t="n">
        <v>47392</v>
      </c>
      <c r="AV4" s="145" t="n">
        <v>47423</v>
      </c>
      <c r="AW4" s="145" t="n">
        <v>47453</v>
      </c>
      <c r="AX4" s="145" t="n">
        <v>47484</v>
      </c>
      <c r="AY4" s="145" t="n">
        <v>47515</v>
      </c>
      <c r="AZ4" s="145" t="n">
        <v>47543</v>
      </c>
      <c r="BA4" s="145" t="n">
        <v>47574</v>
      </c>
      <c r="BB4" s="145" t="n">
        <v>47604</v>
      </c>
      <c r="BC4" s="145" t="n">
        <v>47635</v>
      </c>
      <c r="BD4" s="145" t="n">
        <v>47665</v>
      </c>
      <c r="BE4" s="145" t="n">
        <v>47696</v>
      </c>
      <c r="BF4" s="145" t="n">
        <v>47727</v>
      </c>
      <c r="BG4" s="145" t="n">
        <v>47757</v>
      </c>
      <c r="BH4" s="145" t="n">
        <v>47788</v>
      </c>
      <c r="BI4" s="145" t="n">
        <v>47818</v>
      </c>
      <c r="BJ4" s="146" t="s">
        <v>385</v>
      </c>
      <c r="BK4" s="146" t="s">
        <v>386</v>
      </c>
    </row>
    <row r="5" customFormat="false" ht="15" hidden="false" customHeight="true" outlineLevel="0" collapsed="false">
      <c r="A5" s="147" t="s">
        <v>387</v>
      </c>
      <c r="B5" s="148" t="n">
        <v>1</v>
      </c>
      <c r="C5" s="148" t="n">
        <v>2</v>
      </c>
      <c r="D5" s="148" t="n">
        <v>3</v>
      </c>
      <c r="E5" s="148" t="n">
        <v>4</v>
      </c>
      <c r="F5" s="148" t="n">
        <v>5</v>
      </c>
      <c r="G5" s="148" t="n">
        <v>6</v>
      </c>
      <c r="H5" s="148" t="n">
        <v>7</v>
      </c>
      <c r="I5" s="148" t="n">
        <v>8</v>
      </c>
      <c r="J5" s="148" t="n">
        <v>9</v>
      </c>
      <c r="K5" s="148" t="n">
        <v>10</v>
      </c>
      <c r="L5" s="148" t="n">
        <v>11</v>
      </c>
      <c r="M5" s="148" t="n">
        <v>12</v>
      </c>
      <c r="N5" s="148" t="n">
        <v>13</v>
      </c>
      <c r="O5" s="148" t="n">
        <v>14</v>
      </c>
      <c r="P5" s="148" t="n">
        <v>15</v>
      </c>
      <c r="Q5" s="148" t="n">
        <v>16</v>
      </c>
      <c r="R5" s="148" t="n">
        <v>17</v>
      </c>
      <c r="S5" s="148" t="n">
        <v>18</v>
      </c>
      <c r="T5" s="148" t="n">
        <v>19</v>
      </c>
      <c r="U5" s="148" t="n">
        <v>20</v>
      </c>
      <c r="V5" s="148" t="n">
        <v>21</v>
      </c>
      <c r="W5" s="148" t="n">
        <v>22</v>
      </c>
      <c r="X5" s="148" t="n">
        <v>23</v>
      </c>
      <c r="Y5" s="148" t="n">
        <v>24</v>
      </c>
      <c r="Z5" s="148" t="n">
        <v>25</v>
      </c>
      <c r="AA5" s="148" t="n">
        <v>26</v>
      </c>
      <c r="AB5" s="148" t="n">
        <v>27</v>
      </c>
      <c r="AC5" s="148" t="n">
        <v>28</v>
      </c>
      <c r="AD5" s="148" t="n">
        <v>29</v>
      </c>
      <c r="AE5" s="148" t="n">
        <v>30</v>
      </c>
      <c r="AF5" s="148" t="n">
        <v>31</v>
      </c>
      <c r="AG5" s="148" t="n">
        <v>32</v>
      </c>
      <c r="AH5" s="148" t="n">
        <v>33</v>
      </c>
      <c r="AI5" s="148" t="n">
        <v>34</v>
      </c>
      <c r="AJ5" s="148" t="n">
        <v>35</v>
      </c>
      <c r="AK5" s="148" t="n">
        <v>36</v>
      </c>
      <c r="AL5" s="148" t="n">
        <v>37</v>
      </c>
      <c r="AM5" s="148" t="n">
        <v>38</v>
      </c>
      <c r="AN5" s="148" t="n">
        <v>39</v>
      </c>
      <c r="AO5" s="148" t="n">
        <v>40</v>
      </c>
      <c r="AP5" s="148" t="n">
        <v>41</v>
      </c>
      <c r="AQ5" s="148" t="n">
        <v>42</v>
      </c>
      <c r="AR5" s="148" t="n">
        <v>43</v>
      </c>
      <c r="AS5" s="148" t="n">
        <v>44</v>
      </c>
      <c r="AT5" s="148" t="n">
        <v>45</v>
      </c>
      <c r="AU5" s="148" t="n">
        <v>46</v>
      </c>
      <c r="AV5" s="148" t="n">
        <v>47</v>
      </c>
      <c r="AW5" s="148" t="n">
        <v>48</v>
      </c>
      <c r="AX5" s="148" t="n">
        <v>49</v>
      </c>
      <c r="AY5" s="148" t="n">
        <v>50</v>
      </c>
      <c r="AZ5" s="148" t="n">
        <v>51</v>
      </c>
      <c r="BA5" s="148" t="n">
        <v>52</v>
      </c>
      <c r="BB5" s="148" t="n">
        <v>53</v>
      </c>
      <c r="BC5" s="148" t="n">
        <v>54</v>
      </c>
      <c r="BD5" s="148" t="n">
        <v>55</v>
      </c>
      <c r="BE5" s="148" t="n">
        <v>56</v>
      </c>
      <c r="BF5" s="148" t="n">
        <v>57</v>
      </c>
      <c r="BG5" s="148" t="n">
        <v>58</v>
      </c>
      <c r="BH5" s="148" t="n">
        <v>59</v>
      </c>
      <c r="BI5" s="148" t="n">
        <v>60</v>
      </c>
    </row>
    <row r="6" customFormat="false" ht="15" hidden="false" customHeight="true" outlineLevel="0" collapsed="false">
      <c r="A6" s="147" t="s">
        <v>388</v>
      </c>
      <c r="B6" s="149" t="n">
        <f aca="false">YEAR(B4)</f>
        <v>2026</v>
      </c>
      <c r="C6" s="149" t="n">
        <f aca="false">YEAR(C4)</f>
        <v>2026</v>
      </c>
      <c r="D6" s="149" t="n">
        <f aca="false">YEAR(D4)</f>
        <v>2026</v>
      </c>
      <c r="E6" s="149" t="n">
        <f aca="false">YEAR(E4)</f>
        <v>2026</v>
      </c>
      <c r="F6" s="149" t="n">
        <f aca="false">YEAR(F4)</f>
        <v>2026</v>
      </c>
      <c r="G6" s="149" t="n">
        <f aca="false">YEAR(G4)</f>
        <v>2026</v>
      </c>
      <c r="H6" s="149" t="n">
        <f aca="false">YEAR(H4)</f>
        <v>2026</v>
      </c>
      <c r="I6" s="149" t="n">
        <f aca="false">YEAR(I4)</f>
        <v>2026</v>
      </c>
      <c r="J6" s="149" t="n">
        <f aca="false">YEAR(J4)</f>
        <v>2026</v>
      </c>
      <c r="K6" s="149" t="n">
        <f aca="false">YEAR(K4)</f>
        <v>2026</v>
      </c>
      <c r="L6" s="149" t="n">
        <f aca="false">YEAR(L4)</f>
        <v>2026</v>
      </c>
      <c r="M6" s="149" t="n">
        <f aca="false">YEAR(M4)</f>
        <v>2026</v>
      </c>
      <c r="N6" s="149" t="n">
        <f aca="false">YEAR(N4)</f>
        <v>2027</v>
      </c>
      <c r="O6" s="149" t="n">
        <f aca="false">YEAR(O4)</f>
        <v>2027</v>
      </c>
      <c r="P6" s="149" t="n">
        <f aca="false">YEAR(P4)</f>
        <v>2027</v>
      </c>
      <c r="Q6" s="149" t="n">
        <f aca="false">YEAR(Q4)</f>
        <v>2027</v>
      </c>
      <c r="R6" s="149" t="n">
        <f aca="false">YEAR(R4)</f>
        <v>2027</v>
      </c>
      <c r="S6" s="149" t="n">
        <f aca="false">YEAR(S4)</f>
        <v>2027</v>
      </c>
      <c r="T6" s="149" t="n">
        <f aca="false">YEAR(T4)</f>
        <v>2027</v>
      </c>
      <c r="U6" s="149" t="n">
        <f aca="false">YEAR(U4)</f>
        <v>2027</v>
      </c>
      <c r="V6" s="149" t="n">
        <f aca="false">YEAR(V4)</f>
        <v>2027</v>
      </c>
      <c r="W6" s="149" t="n">
        <f aca="false">YEAR(W4)</f>
        <v>2027</v>
      </c>
      <c r="X6" s="149" t="n">
        <f aca="false">YEAR(X4)</f>
        <v>2027</v>
      </c>
      <c r="Y6" s="149" t="n">
        <f aca="false">YEAR(Y4)</f>
        <v>2027</v>
      </c>
      <c r="Z6" s="149" t="n">
        <f aca="false">YEAR(Z4)</f>
        <v>2028</v>
      </c>
      <c r="AA6" s="149" t="n">
        <f aca="false">YEAR(AA4)</f>
        <v>2028</v>
      </c>
      <c r="AB6" s="149" t="n">
        <f aca="false">YEAR(AB4)</f>
        <v>2028</v>
      </c>
      <c r="AC6" s="149" t="n">
        <f aca="false">YEAR(AC4)</f>
        <v>2028</v>
      </c>
      <c r="AD6" s="149" t="n">
        <f aca="false">YEAR(AD4)</f>
        <v>2028</v>
      </c>
      <c r="AE6" s="149" t="n">
        <f aca="false">YEAR(AE4)</f>
        <v>2028</v>
      </c>
      <c r="AF6" s="149" t="n">
        <f aca="false">YEAR(AF4)</f>
        <v>2028</v>
      </c>
      <c r="AG6" s="149" t="n">
        <f aca="false">YEAR(AG4)</f>
        <v>2028</v>
      </c>
      <c r="AH6" s="149" t="n">
        <f aca="false">YEAR(AH4)</f>
        <v>2028</v>
      </c>
      <c r="AI6" s="149" t="n">
        <f aca="false">YEAR(AI4)</f>
        <v>2028</v>
      </c>
      <c r="AJ6" s="149" t="n">
        <f aca="false">YEAR(AJ4)</f>
        <v>2028</v>
      </c>
      <c r="AK6" s="149" t="n">
        <f aca="false">YEAR(AK4)</f>
        <v>2028</v>
      </c>
      <c r="AL6" s="149" t="n">
        <f aca="false">YEAR(AL4)</f>
        <v>2029</v>
      </c>
      <c r="AM6" s="149" t="n">
        <f aca="false">YEAR(AM4)</f>
        <v>2029</v>
      </c>
      <c r="AN6" s="149" t="n">
        <f aca="false">YEAR(AN4)</f>
        <v>2029</v>
      </c>
      <c r="AO6" s="149" t="n">
        <f aca="false">YEAR(AO4)</f>
        <v>2029</v>
      </c>
      <c r="AP6" s="149" t="n">
        <f aca="false">YEAR(AP4)</f>
        <v>2029</v>
      </c>
      <c r="AQ6" s="149" t="n">
        <f aca="false">YEAR(AQ4)</f>
        <v>2029</v>
      </c>
      <c r="AR6" s="149" t="n">
        <f aca="false">YEAR(AR4)</f>
        <v>2029</v>
      </c>
      <c r="AS6" s="149" t="n">
        <f aca="false">YEAR(AS4)</f>
        <v>2029</v>
      </c>
      <c r="AT6" s="149" t="n">
        <f aca="false">YEAR(AT4)</f>
        <v>2029</v>
      </c>
      <c r="AU6" s="149" t="n">
        <f aca="false">YEAR(AU4)</f>
        <v>2029</v>
      </c>
      <c r="AV6" s="149" t="n">
        <f aca="false">YEAR(AV4)</f>
        <v>2029</v>
      </c>
      <c r="AW6" s="149" t="n">
        <f aca="false">YEAR(AW4)</f>
        <v>2029</v>
      </c>
      <c r="AX6" s="149" t="n">
        <f aca="false">YEAR(AX4)</f>
        <v>2030</v>
      </c>
      <c r="AY6" s="149" t="n">
        <f aca="false">YEAR(AY4)</f>
        <v>2030</v>
      </c>
      <c r="AZ6" s="149" t="n">
        <f aca="false">YEAR(AZ4)</f>
        <v>2030</v>
      </c>
      <c r="BA6" s="149" t="n">
        <f aca="false">YEAR(BA4)</f>
        <v>2030</v>
      </c>
      <c r="BB6" s="149" t="n">
        <f aca="false">YEAR(BB4)</f>
        <v>2030</v>
      </c>
      <c r="BC6" s="149" t="n">
        <f aca="false">YEAR(BC4)</f>
        <v>2030</v>
      </c>
      <c r="BD6" s="149" t="n">
        <f aca="false">YEAR(BD4)</f>
        <v>2030</v>
      </c>
      <c r="BE6" s="149" t="n">
        <f aca="false">YEAR(BE4)</f>
        <v>2030</v>
      </c>
      <c r="BF6" s="149" t="n">
        <f aca="false">YEAR(BF4)</f>
        <v>2030</v>
      </c>
      <c r="BG6" s="149" t="n">
        <f aca="false">YEAR(BG4)</f>
        <v>2030</v>
      </c>
      <c r="BH6" s="149" t="n">
        <f aca="false">YEAR(BH4)</f>
        <v>2030</v>
      </c>
      <c r="BI6" s="149" t="n">
        <f aca="false">YEAR(BI4)</f>
        <v>2030</v>
      </c>
    </row>
    <row r="7" customFormat="false" ht="15" hidden="false" customHeight="true" outlineLevel="0" collapsed="false">
      <c r="A7" s="150" t="s">
        <v>389</v>
      </c>
      <c r="B7" s="151" t="n">
        <f aca="false">MATCH(B6,Premissas!$C$5:$G$5,0)</f>
        <v>1</v>
      </c>
      <c r="C7" s="151" t="n">
        <f aca="false">MATCH(C6,Premissas!$C$5:$G$5,0)</f>
        <v>1</v>
      </c>
      <c r="D7" s="151" t="n">
        <f aca="false">MATCH(D6,Premissas!$C$5:$G$5,0)</f>
        <v>1</v>
      </c>
      <c r="E7" s="151" t="n">
        <f aca="false">MATCH(E6,Premissas!$C$5:$G$5,0)</f>
        <v>1</v>
      </c>
      <c r="F7" s="151" t="n">
        <f aca="false">MATCH(F6,Premissas!$C$5:$G$5,0)</f>
        <v>1</v>
      </c>
      <c r="G7" s="151" t="n">
        <f aca="false">MATCH(G6,Premissas!$C$5:$G$5,0)</f>
        <v>1</v>
      </c>
      <c r="H7" s="151" t="n">
        <f aca="false">MATCH(H6,Premissas!$C$5:$G$5,0)</f>
        <v>1</v>
      </c>
      <c r="I7" s="151" t="n">
        <f aca="false">MATCH(I6,Premissas!$C$5:$G$5,0)</f>
        <v>1</v>
      </c>
      <c r="J7" s="151" t="n">
        <f aca="false">MATCH(J6,Premissas!$C$5:$G$5,0)</f>
        <v>1</v>
      </c>
      <c r="K7" s="151" t="n">
        <f aca="false">MATCH(K6,Premissas!$C$5:$G$5,0)</f>
        <v>1</v>
      </c>
      <c r="L7" s="151" t="n">
        <f aca="false">MATCH(L6,Premissas!$C$5:$G$5,0)</f>
        <v>1</v>
      </c>
      <c r="M7" s="151" t="n">
        <f aca="false">MATCH(M6,Premissas!$C$5:$G$5,0)</f>
        <v>1</v>
      </c>
      <c r="N7" s="151" t="n">
        <f aca="false">MATCH(N6,Premissas!$C$5:$G$5,0)</f>
        <v>2</v>
      </c>
      <c r="O7" s="151" t="n">
        <f aca="false">MATCH(O6,Premissas!$C$5:$G$5,0)</f>
        <v>2</v>
      </c>
      <c r="P7" s="151" t="n">
        <f aca="false">MATCH(P6,Premissas!$C$5:$G$5,0)</f>
        <v>2</v>
      </c>
      <c r="Q7" s="151" t="n">
        <f aca="false">MATCH(Q6,Premissas!$C$5:$G$5,0)</f>
        <v>2</v>
      </c>
      <c r="R7" s="151" t="n">
        <f aca="false">MATCH(R6,Premissas!$C$5:$G$5,0)</f>
        <v>2</v>
      </c>
      <c r="S7" s="151" t="n">
        <f aca="false">MATCH(S6,Premissas!$C$5:$G$5,0)</f>
        <v>2</v>
      </c>
      <c r="T7" s="151" t="n">
        <f aca="false">MATCH(T6,Premissas!$C$5:$G$5,0)</f>
        <v>2</v>
      </c>
      <c r="U7" s="151" t="n">
        <f aca="false">MATCH(U6,Premissas!$C$5:$G$5,0)</f>
        <v>2</v>
      </c>
      <c r="V7" s="151" t="n">
        <f aca="false">MATCH(V6,Premissas!$C$5:$G$5,0)</f>
        <v>2</v>
      </c>
      <c r="W7" s="151" t="n">
        <f aca="false">MATCH(W6,Premissas!$C$5:$G$5,0)</f>
        <v>2</v>
      </c>
      <c r="X7" s="151" t="n">
        <f aca="false">MATCH(X6,Premissas!$C$5:$G$5,0)</f>
        <v>2</v>
      </c>
      <c r="Y7" s="151" t="n">
        <f aca="false">MATCH(Y6,Premissas!$C$5:$G$5,0)</f>
        <v>2</v>
      </c>
      <c r="Z7" s="151" t="n">
        <f aca="false">MATCH(Z6,Premissas!$C$5:$G$5,0)</f>
        <v>3</v>
      </c>
      <c r="AA7" s="151" t="n">
        <f aca="false">MATCH(AA6,Premissas!$C$5:$G$5,0)</f>
        <v>3</v>
      </c>
      <c r="AB7" s="151" t="n">
        <f aca="false">MATCH(AB6,Premissas!$C$5:$G$5,0)</f>
        <v>3</v>
      </c>
      <c r="AC7" s="151" t="n">
        <f aca="false">MATCH(AC6,Premissas!$C$5:$G$5,0)</f>
        <v>3</v>
      </c>
      <c r="AD7" s="151" t="n">
        <f aca="false">MATCH(AD6,Premissas!$C$5:$G$5,0)</f>
        <v>3</v>
      </c>
      <c r="AE7" s="151" t="n">
        <f aca="false">MATCH(AE6,Premissas!$C$5:$G$5,0)</f>
        <v>3</v>
      </c>
      <c r="AF7" s="151" t="n">
        <f aca="false">MATCH(AF6,Premissas!$C$5:$G$5,0)</f>
        <v>3</v>
      </c>
      <c r="AG7" s="151" t="n">
        <f aca="false">MATCH(AG6,Premissas!$C$5:$G$5,0)</f>
        <v>3</v>
      </c>
      <c r="AH7" s="151" t="n">
        <f aca="false">MATCH(AH6,Premissas!$C$5:$G$5,0)</f>
        <v>3</v>
      </c>
      <c r="AI7" s="151" t="n">
        <f aca="false">MATCH(AI6,Premissas!$C$5:$G$5,0)</f>
        <v>3</v>
      </c>
      <c r="AJ7" s="151" t="n">
        <f aca="false">MATCH(AJ6,Premissas!$C$5:$G$5,0)</f>
        <v>3</v>
      </c>
      <c r="AK7" s="151" t="n">
        <f aca="false">MATCH(AK6,Premissas!$C$5:$G$5,0)</f>
        <v>3</v>
      </c>
      <c r="AL7" s="151" t="n">
        <f aca="false">MATCH(AL6,Premissas!$C$5:$G$5,0)</f>
        <v>4</v>
      </c>
      <c r="AM7" s="151" t="n">
        <f aca="false">MATCH(AM6,Premissas!$C$5:$G$5,0)</f>
        <v>4</v>
      </c>
      <c r="AN7" s="151" t="n">
        <f aca="false">MATCH(AN6,Premissas!$C$5:$G$5,0)</f>
        <v>4</v>
      </c>
      <c r="AO7" s="151" t="n">
        <f aca="false">MATCH(AO6,Premissas!$C$5:$G$5,0)</f>
        <v>4</v>
      </c>
      <c r="AP7" s="151" t="n">
        <f aca="false">MATCH(AP6,Premissas!$C$5:$G$5,0)</f>
        <v>4</v>
      </c>
      <c r="AQ7" s="151" t="n">
        <f aca="false">MATCH(AQ6,Premissas!$C$5:$G$5,0)</f>
        <v>4</v>
      </c>
      <c r="AR7" s="151" t="n">
        <f aca="false">MATCH(AR6,Premissas!$C$5:$G$5,0)</f>
        <v>4</v>
      </c>
      <c r="AS7" s="151" t="n">
        <f aca="false">MATCH(AS6,Premissas!$C$5:$G$5,0)</f>
        <v>4</v>
      </c>
      <c r="AT7" s="151" t="n">
        <f aca="false">MATCH(AT6,Premissas!$C$5:$G$5,0)</f>
        <v>4</v>
      </c>
      <c r="AU7" s="151" t="n">
        <f aca="false">MATCH(AU6,Premissas!$C$5:$G$5,0)</f>
        <v>4</v>
      </c>
      <c r="AV7" s="151" t="n">
        <f aca="false">MATCH(AV6,Premissas!$C$5:$G$5,0)</f>
        <v>4</v>
      </c>
      <c r="AW7" s="151" t="n">
        <f aca="false">MATCH(AW6,Premissas!$C$5:$G$5,0)</f>
        <v>4</v>
      </c>
      <c r="AX7" s="151" t="n">
        <f aca="false">MATCH(AX6,Premissas!$C$5:$G$5,0)</f>
        <v>5</v>
      </c>
      <c r="AY7" s="151" t="n">
        <f aca="false">MATCH(AY6,Premissas!$C$5:$G$5,0)</f>
        <v>5</v>
      </c>
      <c r="AZ7" s="151" t="n">
        <f aca="false">MATCH(AZ6,Premissas!$C$5:$G$5,0)</f>
        <v>5</v>
      </c>
      <c r="BA7" s="151" t="n">
        <f aca="false">MATCH(BA6,Premissas!$C$5:$G$5,0)</f>
        <v>5</v>
      </c>
      <c r="BB7" s="151" t="n">
        <f aca="false">MATCH(BB6,Premissas!$C$5:$G$5,0)</f>
        <v>5</v>
      </c>
      <c r="BC7" s="151" t="n">
        <f aca="false">MATCH(BC6,Premissas!$C$5:$G$5,0)</f>
        <v>5</v>
      </c>
      <c r="BD7" s="151" t="n">
        <f aca="false">MATCH(BD6,Premissas!$C$5:$G$5,0)</f>
        <v>5</v>
      </c>
      <c r="BE7" s="151" t="n">
        <f aca="false">MATCH(BE6,Premissas!$C$5:$G$5,0)</f>
        <v>5</v>
      </c>
      <c r="BF7" s="151" t="n">
        <f aca="false">MATCH(BF6,Premissas!$C$5:$G$5,0)</f>
        <v>5</v>
      </c>
      <c r="BG7" s="151" t="n">
        <f aca="false">MATCH(BG6,Premissas!$C$5:$G$5,0)</f>
        <v>5</v>
      </c>
      <c r="BH7" s="151" t="n">
        <f aca="false">MATCH(BH6,Premissas!$C$5:$G$5,0)</f>
        <v>5</v>
      </c>
      <c r="BI7" s="151" t="n">
        <f aca="false">MATCH(BI6,Premissas!$C$5:$G$5,0)</f>
        <v>5</v>
      </c>
    </row>
    <row r="8" customFormat="false" ht="18" hidden="false" customHeight="true" outlineLevel="0" collapsed="false">
      <c r="A8" s="47" t="s">
        <v>443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</row>
    <row r="9" customFormat="false" ht="15" hidden="false" customHeight="true" outlineLevel="0" collapsed="false">
      <c r="A9" s="49" t="s">
        <v>444</v>
      </c>
      <c r="B9" s="153" t="n">
        <f aca="false">-Investimentos!B24</f>
        <v>-0</v>
      </c>
      <c r="C9" s="153" t="n">
        <f aca="false">-Investimentos!C24</f>
        <v>-0</v>
      </c>
      <c r="D9" s="153" t="n">
        <f aca="false">-Investimentos!D24</f>
        <v>-0</v>
      </c>
      <c r="E9" s="153" t="n">
        <f aca="false">-Investimentos!E24</f>
        <v>-0</v>
      </c>
      <c r="F9" s="153" t="n">
        <f aca="false">-Investimentos!F24</f>
        <v>-0</v>
      </c>
      <c r="G9" s="153" t="n">
        <f aca="false">-Investimentos!G24</f>
        <v>-0</v>
      </c>
      <c r="H9" s="153" t="n">
        <f aca="false">-Investimentos!H24</f>
        <v>-0</v>
      </c>
      <c r="I9" s="153" t="n">
        <f aca="false">-Investimentos!I24</f>
        <v>-0</v>
      </c>
      <c r="J9" s="153" t="n">
        <f aca="false">-Investimentos!J24</f>
        <v>-10500</v>
      </c>
      <c r="K9" s="153" t="n">
        <f aca="false">-Investimentos!K24</f>
        <v>-10500</v>
      </c>
      <c r="L9" s="153" t="n">
        <f aca="false">-Investimentos!L24</f>
        <v>-0</v>
      </c>
      <c r="M9" s="153" t="n">
        <f aca="false">-Investimentos!M24</f>
        <v>-0</v>
      </c>
      <c r="N9" s="153" t="n">
        <f aca="false">-Investimentos!N24</f>
        <v>-0</v>
      </c>
      <c r="O9" s="153" t="n">
        <f aca="false">-Investimentos!O24</f>
        <v>-0</v>
      </c>
      <c r="P9" s="153" t="n">
        <f aca="false">-Investimentos!P24</f>
        <v>-0</v>
      </c>
      <c r="Q9" s="153" t="n">
        <f aca="false">-Investimentos!Q24</f>
        <v>-0</v>
      </c>
      <c r="R9" s="153" t="n">
        <f aca="false">-Investimentos!R24</f>
        <v>-0</v>
      </c>
      <c r="S9" s="153" t="n">
        <f aca="false">-Investimentos!S24</f>
        <v>-0</v>
      </c>
      <c r="T9" s="153" t="n">
        <f aca="false">-Investimentos!T24</f>
        <v>-0</v>
      </c>
      <c r="U9" s="153" t="n">
        <f aca="false">-Investimentos!U24</f>
        <v>-0</v>
      </c>
      <c r="V9" s="153" t="n">
        <f aca="false">-Investimentos!V24</f>
        <v>-0</v>
      </c>
      <c r="W9" s="153" t="n">
        <f aca="false">-Investimentos!W24</f>
        <v>-0</v>
      </c>
      <c r="X9" s="153" t="n">
        <f aca="false">-Investimentos!X24</f>
        <v>-0</v>
      </c>
      <c r="Y9" s="153" t="n">
        <f aca="false">-Investimentos!Y24</f>
        <v>-0</v>
      </c>
      <c r="Z9" s="153" t="n">
        <f aca="false">-Investimentos!Z24</f>
        <v>-0</v>
      </c>
      <c r="AA9" s="153" t="n">
        <f aca="false">-Investimentos!AA24</f>
        <v>-0</v>
      </c>
      <c r="AB9" s="153" t="n">
        <f aca="false">-Investimentos!AB24</f>
        <v>-0</v>
      </c>
      <c r="AC9" s="153" t="n">
        <f aca="false">-Investimentos!AC24</f>
        <v>-0</v>
      </c>
      <c r="AD9" s="153" t="n">
        <f aca="false">-Investimentos!AD24</f>
        <v>-0</v>
      </c>
      <c r="AE9" s="153" t="n">
        <f aca="false">-Investimentos!AE24</f>
        <v>-0</v>
      </c>
      <c r="AF9" s="153" t="n">
        <f aca="false">-Investimentos!AF24</f>
        <v>-0</v>
      </c>
      <c r="AG9" s="153" t="n">
        <f aca="false">-Investimentos!AG24</f>
        <v>-0</v>
      </c>
      <c r="AH9" s="153" t="n">
        <f aca="false">-Investimentos!AH24</f>
        <v>-0</v>
      </c>
      <c r="AI9" s="153" t="n">
        <f aca="false">-Investimentos!AI24</f>
        <v>-0</v>
      </c>
      <c r="AJ9" s="153" t="n">
        <f aca="false">-Investimentos!AJ24</f>
        <v>-0</v>
      </c>
      <c r="AK9" s="153" t="n">
        <f aca="false">-Investimentos!AK24</f>
        <v>-0</v>
      </c>
      <c r="AL9" s="153" t="n">
        <f aca="false">-Investimentos!AL24</f>
        <v>-0</v>
      </c>
      <c r="AM9" s="153" t="n">
        <f aca="false">-Investimentos!AM24</f>
        <v>-0</v>
      </c>
      <c r="AN9" s="153" t="n">
        <f aca="false">-Investimentos!AN24</f>
        <v>-0</v>
      </c>
      <c r="AO9" s="153" t="n">
        <f aca="false">-Investimentos!AO24</f>
        <v>-0</v>
      </c>
      <c r="AP9" s="153" t="n">
        <f aca="false">-Investimentos!AP24</f>
        <v>-0</v>
      </c>
      <c r="AQ9" s="153" t="n">
        <f aca="false">-Investimentos!AQ24</f>
        <v>-0</v>
      </c>
      <c r="AR9" s="153" t="n">
        <f aca="false">-Investimentos!AR24</f>
        <v>-0</v>
      </c>
      <c r="AS9" s="153" t="n">
        <f aca="false">-Investimentos!AS24</f>
        <v>-0</v>
      </c>
      <c r="AT9" s="153" t="n">
        <f aca="false">-Investimentos!AT24</f>
        <v>-0</v>
      </c>
      <c r="AU9" s="153" t="n">
        <f aca="false">-Investimentos!AU24</f>
        <v>-0</v>
      </c>
      <c r="AV9" s="153" t="n">
        <f aca="false">-Investimentos!AV24</f>
        <v>-0</v>
      </c>
      <c r="AW9" s="153" t="n">
        <f aca="false">-Investimentos!AW24</f>
        <v>-0</v>
      </c>
      <c r="AX9" s="153" t="n">
        <f aca="false">-Investimentos!AX24</f>
        <v>-0</v>
      </c>
      <c r="AY9" s="153" t="n">
        <f aca="false">-Investimentos!AY24</f>
        <v>-0</v>
      </c>
      <c r="AZ9" s="153" t="n">
        <f aca="false">-Investimentos!AZ24</f>
        <v>-0</v>
      </c>
      <c r="BA9" s="153" t="n">
        <f aca="false">-Investimentos!BA24</f>
        <v>-0</v>
      </c>
      <c r="BB9" s="153" t="n">
        <f aca="false">-Investimentos!BB24</f>
        <v>-0</v>
      </c>
      <c r="BC9" s="153" t="n">
        <f aca="false">-Investimentos!BC24</f>
        <v>-0</v>
      </c>
      <c r="BD9" s="153" t="n">
        <f aca="false">-Investimentos!BD24</f>
        <v>-0</v>
      </c>
      <c r="BE9" s="153" t="n">
        <f aca="false">-Investimentos!BE24</f>
        <v>-0</v>
      </c>
      <c r="BF9" s="153" t="n">
        <f aca="false">-Investimentos!BF24</f>
        <v>-0</v>
      </c>
      <c r="BG9" s="153" t="n">
        <f aca="false">-Investimentos!BG24</f>
        <v>-0</v>
      </c>
      <c r="BH9" s="153" t="n">
        <f aca="false">-Investimentos!BH24</f>
        <v>-0</v>
      </c>
      <c r="BI9" s="153" t="n">
        <f aca="false">-Investimentos!BI24</f>
        <v>-0</v>
      </c>
      <c r="BJ9" s="154" t="n">
        <f aca="false">SUM(B9:BI9)</f>
        <v>-21000</v>
      </c>
      <c r="BK9" s="155" t="n">
        <f aca="false">IFERROR(BJ9/BJ$13,0)</f>
        <v>0.169180446414027</v>
      </c>
    </row>
    <row r="10" customFormat="false" ht="15" hidden="false" customHeight="true" outlineLevel="0" collapsed="false">
      <c r="A10" s="49" t="s">
        <v>445</v>
      </c>
      <c r="B10" s="153" t="n">
        <f aca="false">-Investimentos!B21</f>
        <v>-0</v>
      </c>
      <c r="C10" s="153" t="n">
        <f aca="false">-Investimentos!C21</f>
        <v>-0</v>
      </c>
      <c r="D10" s="153" t="n">
        <f aca="false">-Investimentos!D21</f>
        <v>-0</v>
      </c>
      <c r="E10" s="153" t="n">
        <f aca="false">-Investimentos!E21</f>
        <v>-0</v>
      </c>
      <c r="F10" s="153" t="n">
        <f aca="false">-Investimentos!F21</f>
        <v>-0</v>
      </c>
      <c r="G10" s="153" t="n">
        <f aca="false">-Investimentos!G21</f>
        <v>-0</v>
      </c>
      <c r="H10" s="153" t="n">
        <f aca="false">-Investimentos!H21</f>
        <v>-0</v>
      </c>
      <c r="I10" s="153" t="n">
        <f aca="false">-Investimentos!I21</f>
        <v>-9127.82</v>
      </c>
      <c r="J10" s="153" t="n">
        <f aca="false">-Investimentos!J21</f>
        <v>-0</v>
      </c>
      <c r="K10" s="153" t="n">
        <f aca="false">-Investimentos!K21</f>
        <v>-0</v>
      </c>
      <c r="L10" s="153" t="n">
        <f aca="false">-Investimentos!L21</f>
        <v>-0</v>
      </c>
      <c r="M10" s="153" t="n">
        <f aca="false">-Investimentos!M21</f>
        <v>-0</v>
      </c>
      <c r="N10" s="153" t="n">
        <f aca="false">-Investimentos!N21</f>
        <v>-0</v>
      </c>
      <c r="O10" s="153" t="n">
        <f aca="false">-Investimentos!O21</f>
        <v>-0</v>
      </c>
      <c r="P10" s="153" t="n">
        <f aca="false">-Investimentos!P21</f>
        <v>-0</v>
      </c>
      <c r="Q10" s="153" t="n">
        <f aca="false">-Investimentos!Q21</f>
        <v>-0</v>
      </c>
      <c r="R10" s="153" t="n">
        <f aca="false">-Investimentos!R21</f>
        <v>-0</v>
      </c>
      <c r="S10" s="153" t="n">
        <f aca="false">-Investimentos!S21</f>
        <v>-6000</v>
      </c>
      <c r="T10" s="153" t="n">
        <f aca="false">-Investimentos!T21</f>
        <v>-0</v>
      </c>
      <c r="U10" s="153" t="n">
        <f aca="false">-Investimentos!U21</f>
        <v>-0</v>
      </c>
      <c r="V10" s="153" t="n">
        <f aca="false">-Investimentos!V21</f>
        <v>-0</v>
      </c>
      <c r="W10" s="153" t="n">
        <f aca="false">-Investimentos!W21</f>
        <v>-0</v>
      </c>
      <c r="X10" s="153" t="n">
        <f aca="false">-Investimentos!X21</f>
        <v>-0</v>
      </c>
      <c r="Y10" s="153" t="n">
        <f aca="false">-Investimentos!Y21</f>
        <v>-0</v>
      </c>
      <c r="Z10" s="153" t="n">
        <f aca="false">-Investimentos!Z21</f>
        <v>-0</v>
      </c>
      <c r="AA10" s="153" t="n">
        <f aca="false">-Investimentos!AA21</f>
        <v>-0</v>
      </c>
      <c r="AB10" s="153" t="n">
        <f aca="false">-Investimentos!AB21</f>
        <v>-0</v>
      </c>
      <c r="AC10" s="153" t="n">
        <f aca="false">-Investimentos!AC21</f>
        <v>-0</v>
      </c>
      <c r="AD10" s="153" t="n">
        <f aca="false">-Investimentos!AD21</f>
        <v>-0</v>
      </c>
      <c r="AE10" s="153" t="n">
        <f aca="false">-Investimentos!AE21</f>
        <v>-15000</v>
      </c>
      <c r="AF10" s="153" t="n">
        <f aca="false">-Investimentos!AF21</f>
        <v>-0</v>
      </c>
      <c r="AG10" s="153" t="n">
        <f aca="false">-Investimentos!AG21</f>
        <v>-0</v>
      </c>
      <c r="AH10" s="153" t="n">
        <f aca="false">-Investimentos!AH21</f>
        <v>-0</v>
      </c>
      <c r="AI10" s="153" t="n">
        <f aca="false">-Investimentos!AI21</f>
        <v>-0</v>
      </c>
      <c r="AJ10" s="153" t="n">
        <f aca="false">-Investimentos!AJ21</f>
        <v>-0</v>
      </c>
      <c r="AK10" s="153" t="n">
        <f aca="false">-Investimentos!AK21</f>
        <v>-0</v>
      </c>
      <c r="AL10" s="153" t="n">
        <f aca="false">-Investimentos!AL21</f>
        <v>-0</v>
      </c>
      <c r="AM10" s="153" t="n">
        <f aca="false">-Investimentos!AM21</f>
        <v>-0</v>
      </c>
      <c r="AN10" s="153" t="n">
        <f aca="false">-Investimentos!AN21</f>
        <v>-0</v>
      </c>
      <c r="AO10" s="153" t="n">
        <f aca="false">-Investimentos!AO21</f>
        <v>-0</v>
      </c>
      <c r="AP10" s="153" t="n">
        <f aca="false">-Investimentos!AP21</f>
        <v>-0</v>
      </c>
      <c r="AQ10" s="153" t="n">
        <f aca="false">-Investimentos!AQ21</f>
        <v>-25000</v>
      </c>
      <c r="AR10" s="153" t="n">
        <f aca="false">-Investimentos!AR21</f>
        <v>-0</v>
      </c>
      <c r="AS10" s="153" t="n">
        <f aca="false">-Investimentos!AS21</f>
        <v>-0</v>
      </c>
      <c r="AT10" s="153" t="n">
        <f aca="false">-Investimentos!AT21</f>
        <v>-0</v>
      </c>
      <c r="AU10" s="153" t="n">
        <f aca="false">-Investimentos!AU21</f>
        <v>-0</v>
      </c>
      <c r="AV10" s="153" t="n">
        <f aca="false">-Investimentos!AV21</f>
        <v>-0</v>
      </c>
      <c r="AW10" s="153" t="n">
        <f aca="false">-Investimentos!AW21</f>
        <v>-0</v>
      </c>
      <c r="AX10" s="153" t="n">
        <f aca="false">-Investimentos!AX21</f>
        <v>-0</v>
      </c>
      <c r="AY10" s="153" t="n">
        <f aca="false">-Investimentos!AY21</f>
        <v>-0</v>
      </c>
      <c r="AZ10" s="153" t="n">
        <f aca="false">-Investimentos!AZ21</f>
        <v>-0</v>
      </c>
      <c r="BA10" s="153" t="n">
        <f aca="false">-Investimentos!BA21</f>
        <v>-0</v>
      </c>
      <c r="BB10" s="153" t="n">
        <f aca="false">-Investimentos!BB21</f>
        <v>-0</v>
      </c>
      <c r="BC10" s="153" t="n">
        <f aca="false">-Investimentos!BC21</f>
        <v>-30000</v>
      </c>
      <c r="BD10" s="153" t="n">
        <f aca="false">-Investimentos!BD21</f>
        <v>-0</v>
      </c>
      <c r="BE10" s="153" t="n">
        <f aca="false">-Investimentos!BE21</f>
        <v>-0</v>
      </c>
      <c r="BF10" s="153" t="n">
        <f aca="false">-Investimentos!BF21</f>
        <v>-0</v>
      </c>
      <c r="BG10" s="153" t="n">
        <f aca="false">-Investimentos!BG21</f>
        <v>-0</v>
      </c>
      <c r="BH10" s="153" t="n">
        <f aca="false">-Investimentos!BH21</f>
        <v>-0</v>
      </c>
      <c r="BI10" s="153" t="n">
        <f aca="false">-Investimentos!BI21</f>
        <v>-0</v>
      </c>
      <c r="BJ10" s="154" t="n">
        <f aca="false">SUM(B10:BI10)</f>
        <v>-85127.82</v>
      </c>
      <c r="BK10" s="155" t="n">
        <f aca="false">IFERROR(BJ10/BJ$13,0)</f>
        <v>0.68580774237395</v>
      </c>
    </row>
    <row r="11" customFormat="false" ht="15" hidden="false" customHeight="true" outlineLevel="0" collapsed="false">
      <c r="A11" s="49" t="s">
        <v>446</v>
      </c>
      <c r="B11" s="153" t="n">
        <f aca="false">-Investimentos!B22</f>
        <v>-0</v>
      </c>
      <c r="C11" s="153" t="n">
        <f aca="false">-Investimentos!C22</f>
        <v>-0</v>
      </c>
      <c r="D11" s="153" t="n">
        <f aca="false">-Investimentos!D22</f>
        <v>-0</v>
      </c>
      <c r="E11" s="153" t="n">
        <f aca="false">-Investimentos!E22</f>
        <v>-0</v>
      </c>
      <c r="F11" s="153" t="n">
        <f aca="false">-Investimentos!F22</f>
        <v>-6000</v>
      </c>
      <c r="G11" s="153" t="n">
        <f aca="false">-Investimentos!G22</f>
        <v>-0</v>
      </c>
      <c r="H11" s="153" t="n">
        <f aca="false">-Investimentos!H22</f>
        <v>-0</v>
      </c>
      <c r="I11" s="153" t="n">
        <f aca="false">-Investimentos!I22</f>
        <v>-0</v>
      </c>
      <c r="J11" s="153" t="n">
        <f aca="false">-Investimentos!J22</f>
        <v>-0</v>
      </c>
      <c r="K11" s="153" t="n">
        <f aca="false">-Investimentos!K22</f>
        <v>-0</v>
      </c>
      <c r="L11" s="153" t="n">
        <f aca="false">-Investimentos!L22</f>
        <v>-0</v>
      </c>
      <c r="M11" s="153" t="n">
        <f aca="false">-Investimentos!M22</f>
        <v>-0</v>
      </c>
      <c r="N11" s="153" t="n">
        <f aca="false">-Investimentos!N22</f>
        <v>-0</v>
      </c>
      <c r="O11" s="153" t="n">
        <f aca="false">-Investimentos!O22</f>
        <v>-0</v>
      </c>
      <c r="P11" s="153" t="n">
        <f aca="false">-Investimentos!P22</f>
        <v>-0</v>
      </c>
      <c r="Q11" s="153" t="n">
        <f aca="false">-Investimentos!Q22</f>
        <v>-0</v>
      </c>
      <c r="R11" s="153" t="n">
        <f aca="false">-Investimentos!R22</f>
        <v>-0</v>
      </c>
      <c r="S11" s="153" t="n">
        <f aca="false">-Investimentos!S22</f>
        <v>-0</v>
      </c>
      <c r="T11" s="153" t="n">
        <f aca="false">-Investimentos!T22</f>
        <v>-0</v>
      </c>
      <c r="U11" s="153" t="n">
        <f aca="false">-Investimentos!U22</f>
        <v>-0</v>
      </c>
      <c r="V11" s="153" t="n">
        <f aca="false">-Investimentos!V22</f>
        <v>-0</v>
      </c>
      <c r="W11" s="153" t="n">
        <f aca="false">-Investimentos!W22</f>
        <v>-0</v>
      </c>
      <c r="X11" s="153" t="n">
        <f aca="false">-Investimentos!X22</f>
        <v>-0</v>
      </c>
      <c r="Y11" s="153" t="n">
        <f aca="false">-Investimentos!Y22</f>
        <v>-0</v>
      </c>
      <c r="Z11" s="153" t="n">
        <f aca="false">-Investimentos!Z22</f>
        <v>-0</v>
      </c>
      <c r="AA11" s="153" t="n">
        <f aca="false">-Investimentos!AA22</f>
        <v>-0</v>
      </c>
      <c r="AB11" s="153" t="n">
        <f aca="false">-Investimentos!AB22</f>
        <v>-0</v>
      </c>
      <c r="AC11" s="153" t="n">
        <f aca="false">-Investimentos!AC22</f>
        <v>-0</v>
      </c>
      <c r="AD11" s="153" t="n">
        <f aca="false">-Investimentos!AD22</f>
        <v>-0</v>
      </c>
      <c r="AE11" s="153" t="n">
        <f aca="false">-Investimentos!AE22</f>
        <v>-0</v>
      </c>
      <c r="AF11" s="153" t="n">
        <f aca="false">-Investimentos!AF22</f>
        <v>-0</v>
      </c>
      <c r="AG11" s="153" t="n">
        <f aca="false">-Investimentos!AG22</f>
        <v>-0</v>
      </c>
      <c r="AH11" s="153" t="n">
        <f aca="false">-Investimentos!AH22</f>
        <v>-0</v>
      </c>
      <c r="AI11" s="153" t="n">
        <f aca="false">-Investimentos!AI22</f>
        <v>-0</v>
      </c>
      <c r="AJ11" s="153" t="n">
        <f aca="false">-Investimentos!AJ22</f>
        <v>-0</v>
      </c>
      <c r="AK11" s="153" t="n">
        <f aca="false">-Investimentos!AK22</f>
        <v>-0</v>
      </c>
      <c r="AL11" s="153" t="n">
        <f aca="false">-Investimentos!AL22</f>
        <v>-0</v>
      </c>
      <c r="AM11" s="153" t="n">
        <f aca="false">-Investimentos!AM22</f>
        <v>-0</v>
      </c>
      <c r="AN11" s="153" t="n">
        <f aca="false">-Investimentos!AN22</f>
        <v>-0</v>
      </c>
      <c r="AO11" s="153" t="n">
        <f aca="false">-Investimentos!AO22</f>
        <v>-0</v>
      </c>
      <c r="AP11" s="153" t="n">
        <f aca="false">-Investimentos!AP22</f>
        <v>-0</v>
      </c>
      <c r="AQ11" s="153" t="n">
        <f aca="false">-Investimentos!AQ22</f>
        <v>-0</v>
      </c>
      <c r="AR11" s="153" t="n">
        <f aca="false">-Investimentos!AR22</f>
        <v>-0</v>
      </c>
      <c r="AS11" s="153" t="n">
        <f aca="false">-Investimentos!AS22</f>
        <v>-0</v>
      </c>
      <c r="AT11" s="153" t="n">
        <f aca="false">-Investimentos!AT22</f>
        <v>-0</v>
      </c>
      <c r="AU11" s="153" t="n">
        <f aca="false">-Investimentos!AU22</f>
        <v>-0</v>
      </c>
      <c r="AV11" s="153" t="n">
        <f aca="false">-Investimentos!AV22</f>
        <v>-0</v>
      </c>
      <c r="AW11" s="153" t="n">
        <f aca="false">-Investimentos!AW22</f>
        <v>-0</v>
      </c>
      <c r="AX11" s="153" t="n">
        <f aca="false">-Investimentos!AX22</f>
        <v>-0</v>
      </c>
      <c r="AY11" s="153" t="n">
        <f aca="false">-Investimentos!AY22</f>
        <v>-0</v>
      </c>
      <c r="AZ11" s="153" t="n">
        <f aca="false">-Investimentos!AZ22</f>
        <v>-0</v>
      </c>
      <c r="BA11" s="153" t="n">
        <f aca="false">-Investimentos!BA22</f>
        <v>-0</v>
      </c>
      <c r="BB11" s="153" t="n">
        <f aca="false">-Investimentos!BB22</f>
        <v>-0</v>
      </c>
      <c r="BC11" s="153" t="n">
        <f aca="false">-Investimentos!BC22</f>
        <v>-0</v>
      </c>
      <c r="BD11" s="153" t="n">
        <f aca="false">-Investimentos!BD22</f>
        <v>-0</v>
      </c>
      <c r="BE11" s="153" t="n">
        <f aca="false">-Investimentos!BE22</f>
        <v>-0</v>
      </c>
      <c r="BF11" s="153" t="n">
        <f aca="false">-Investimentos!BF22</f>
        <v>-0</v>
      </c>
      <c r="BG11" s="153" t="n">
        <f aca="false">-Investimentos!BG22</f>
        <v>-0</v>
      </c>
      <c r="BH11" s="153" t="n">
        <f aca="false">-Investimentos!BH22</f>
        <v>-0</v>
      </c>
      <c r="BI11" s="153" t="n">
        <f aca="false">-Investimentos!BI22</f>
        <v>-0</v>
      </c>
      <c r="BJ11" s="154" t="n">
        <f aca="false">SUM(B11:BI11)</f>
        <v>-6000</v>
      </c>
      <c r="BK11" s="155" t="n">
        <f aca="false">IFERROR(BJ11/BJ$13,0)</f>
        <v>0.0483372704040077</v>
      </c>
    </row>
    <row r="12" customFormat="false" ht="15" hidden="false" customHeight="true" outlineLevel="0" collapsed="false">
      <c r="A12" s="49" t="s">
        <v>447</v>
      </c>
      <c r="B12" s="153" t="n">
        <f aca="false">-Investimentos!B23</f>
        <v>-0</v>
      </c>
      <c r="C12" s="153" t="n">
        <f aca="false">-Investimentos!C23</f>
        <v>-0</v>
      </c>
      <c r="D12" s="153" t="n">
        <f aca="false">-Investimentos!D23</f>
        <v>-0</v>
      </c>
      <c r="E12" s="153" t="n">
        <f aca="false">-Investimentos!E23</f>
        <v>-0</v>
      </c>
      <c r="F12" s="153" t="n">
        <f aca="false">-Investimentos!F23</f>
        <v>-0</v>
      </c>
      <c r="G12" s="153" t="n">
        <f aca="false">-Investimentos!G23</f>
        <v>-0</v>
      </c>
      <c r="H12" s="153" t="n">
        <f aca="false">-Investimentos!H23</f>
        <v>-0</v>
      </c>
      <c r="I12" s="153" t="n">
        <f aca="false">-Investimentos!I23</f>
        <v>-0</v>
      </c>
      <c r="J12" s="153" t="n">
        <f aca="false">-Investimentos!J23</f>
        <v>-0</v>
      </c>
      <c r="K12" s="153" t="n">
        <f aca="false">-Investimentos!K23</f>
        <v>-0</v>
      </c>
      <c r="L12" s="153" t="n">
        <f aca="false">-Investimentos!L23</f>
        <v>-0</v>
      </c>
      <c r="M12" s="153" t="n">
        <f aca="false">-Investimentos!M23</f>
        <v>-0</v>
      </c>
      <c r="N12" s="153" t="n">
        <f aca="false">-Investimentos!N23</f>
        <v>-0</v>
      </c>
      <c r="O12" s="153" t="n">
        <f aca="false">-Investimentos!O23</f>
        <v>-0</v>
      </c>
      <c r="P12" s="153" t="n">
        <f aca="false">-Investimentos!P23</f>
        <v>-12000</v>
      </c>
      <c r="Q12" s="153" t="n">
        <f aca="false">-Investimentos!Q23</f>
        <v>-0</v>
      </c>
      <c r="R12" s="153" t="n">
        <f aca="false">-Investimentos!R23</f>
        <v>-0</v>
      </c>
      <c r="S12" s="153" t="n">
        <f aca="false">-Investimentos!S23</f>
        <v>-0</v>
      </c>
      <c r="T12" s="153" t="n">
        <f aca="false">-Investimentos!T23</f>
        <v>-0</v>
      </c>
      <c r="U12" s="153" t="n">
        <f aca="false">-Investimentos!U23</f>
        <v>-0</v>
      </c>
      <c r="V12" s="153" t="n">
        <f aca="false">-Investimentos!V23</f>
        <v>-0</v>
      </c>
      <c r="W12" s="153" t="n">
        <f aca="false">-Investimentos!W23</f>
        <v>-0</v>
      </c>
      <c r="X12" s="153" t="n">
        <f aca="false">-Investimentos!X23</f>
        <v>-0</v>
      </c>
      <c r="Y12" s="153" t="n">
        <f aca="false">-Investimentos!Y23</f>
        <v>-0</v>
      </c>
      <c r="Z12" s="153" t="n">
        <f aca="false">-Investimentos!Z23</f>
        <v>-0</v>
      </c>
      <c r="AA12" s="153" t="n">
        <f aca="false">-Investimentos!AA23</f>
        <v>-0</v>
      </c>
      <c r="AB12" s="153" t="n">
        <f aca="false">-Investimentos!AB23</f>
        <v>-0</v>
      </c>
      <c r="AC12" s="153" t="n">
        <f aca="false">-Investimentos!AC23</f>
        <v>-0</v>
      </c>
      <c r="AD12" s="153" t="n">
        <f aca="false">-Investimentos!AD23</f>
        <v>-0</v>
      </c>
      <c r="AE12" s="153" t="n">
        <f aca="false">-Investimentos!AE23</f>
        <v>-0</v>
      </c>
      <c r="AF12" s="153" t="n">
        <f aca="false">-Investimentos!AF23</f>
        <v>-0</v>
      </c>
      <c r="AG12" s="153" t="n">
        <f aca="false">-Investimentos!AG23</f>
        <v>-0</v>
      </c>
      <c r="AH12" s="153" t="n">
        <f aca="false">-Investimentos!AH23</f>
        <v>-0</v>
      </c>
      <c r="AI12" s="153" t="n">
        <f aca="false">-Investimentos!AI23</f>
        <v>-0</v>
      </c>
      <c r="AJ12" s="153" t="n">
        <f aca="false">-Investimentos!AJ23</f>
        <v>-0</v>
      </c>
      <c r="AK12" s="153" t="n">
        <f aca="false">-Investimentos!AK23</f>
        <v>-0</v>
      </c>
      <c r="AL12" s="153" t="n">
        <f aca="false">-Investimentos!AL23</f>
        <v>-0</v>
      </c>
      <c r="AM12" s="153" t="n">
        <f aca="false">-Investimentos!AM23</f>
        <v>-0</v>
      </c>
      <c r="AN12" s="153" t="n">
        <f aca="false">-Investimentos!AN23</f>
        <v>-0</v>
      </c>
      <c r="AO12" s="153" t="n">
        <f aca="false">-Investimentos!AO23</f>
        <v>-0</v>
      </c>
      <c r="AP12" s="153" t="n">
        <f aca="false">-Investimentos!AP23</f>
        <v>-0</v>
      </c>
      <c r="AQ12" s="153" t="n">
        <f aca="false">-Investimentos!AQ23</f>
        <v>-0</v>
      </c>
      <c r="AR12" s="153" t="n">
        <f aca="false">-Investimentos!AR23</f>
        <v>-0</v>
      </c>
      <c r="AS12" s="153" t="n">
        <f aca="false">-Investimentos!AS23</f>
        <v>-0</v>
      </c>
      <c r="AT12" s="153" t="n">
        <f aca="false">-Investimentos!AT23</f>
        <v>-0</v>
      </c>
      <c r="AU12" s="153" t="n">
        <f aca="false">-Investimentos!AU23</f>
        <v>-0</v>
      </c>
      <c r="AV12" s="153" t="n">
        <f aca="false">-Investimentos!AV23</f>
        <v>-0</v>
      </c>
      <c r="AW12" s="153" t="n">
        <f aca="false">-Investimentos!AW23</f>
        <v>-0</v>
      </c>
      <c r="AX12" s="153" t="n">
        <f aca="false">-Investimentos!AX23</f>
        <v>-0</v>
      </c>
      <c r="AY12" s="153" t="n">
        <f aca="false">-Investimentos!AY23</f>
        <v>-0</v>
      </c>
      <c r="AZ12" s="153" t="n">
        <f aca="false">-Investimentos!AZ23</f>
        <v>-0</v>
      </c>
      <c r="BA12" s="153" t="n">
        <f aca="false">-Investimentos!BA23</f>
        <v>-0</v>
      </c>
      <c r="BB12" s="153" t="n">
        <f aca="false">-Investimentos!BB23</f>
        <v>-0</v>
      </c>
      <c r="BC12" s="153" t="n">
        <f aca="false">-Investimentos!BC23</f>
        <v>-0</v>
      </c>
      <c r="BD12" s="153" t="n">
        <f aca="false">-Investimentos!BD23</f>
        <v>-0</v>
      </c>
      <c r="BE12" s="153" t="n">
        <f aca="false">-Investimentos!BE23</f>
        <v>-0</v>
      </c>
      <c r="BF12" s="153" t="n">
        <f aca="false">-Investimentos!BF23</f>
        <v>-0</v>
      </c>
      <c r="BG12" s="153" t="n">
        <f aca="false">-Investimentos!BG23</f>
        <v>-0</v>
      </c>
      <c r="BH12" s="153" t="n">
        <f aca="false">-Investimentos!BH23</f>
        <v>-0</v>
      </c>
      <c r="BI12" s="153" t="n">
        <f aca="false">-Investimentos!BI23</f>
        <v>-0</v>
      </c>
      <c r="BJ12" s="154" t="n">
        <f aca="false">SUM(B12:BI12)</f>
        <v>-12000</v>
      </c>
      <c r="BK12" s="155" t="n">
        <f aca="false">IFERROR(BJ12/BJ$13,0)</f>
        <v>0.0966745408080155</v>
      </c>
    </row>
    <row r="13" customFormat="false" ht="15" hidden="false" customHeight="true" outlineLevel="0" collapsed="false">
      <c r="A13" s="53" t="s">
        <v>448</v>
      </c>
      <c r="B13" s="154" t="n">
        <f aca="false">SUM(B9:B12)</f>
        <v>0</v>
      </c>
      <c r="C13" s="154" t="n">
        <f aca="false">SUM(C9:C12)</f>
        <v>0</v>
      </c>
      <c r="D13" s="154" t="n">
        <f aca="false">SUM(D9:D12)</f>
        <v>0</v>
      </c>
      <c r="E13" s="154" t="n">
        <f aca="false">SUM(E9:E12)</f>
        <v>0</v>
      </c>
      <c r="F13" s="154" t="n">
        <f aca="false">SUM(F9:F12)</f>
        <v>-6000</v>
      </c>
      <c r="G13" s="154" t="n">
        <f aca="false">SUM(G9:G12)</f>
        <v>0</v>
      </c>
      <c r="H13" s="154" t="n">
        <f aca="false">SUM(H9:H12)</f>
        <v>0</v>
      </c>
      <c r="I13" s="154" t="n">
        <f aca="false">SUM(I9:I12)</f>
        <v>-9127.82</v>
      </c>
      <c r="J13" s="154" t="n">
        <f aca="false">SUM(J9:J12)</f>
        <v>-10500</v>
      </c>
      <c r="K13" s="154" t="n">
        <f aca="false">SUM(K9:K12)</f>
        <v>-10500</v>
      </c>
      <c r="L13" s="154" t="n">
        <f aca="false">SUM(L9:L12)</f>
        <v>0</v>
      </c>
      <c r="M13" s="154" t="n">
        <f aca="false">SUM(M9:M12)</f>
        <v>0</v>
      </c>
      <c r="N13" s="154" t="n">
        <f aca="false">SUM(N9:N12)</f>
        <v>0</v>
      </c>
      <c r="O13" s="154" t="n">
        <f aca="false">SUM(O9:O12)</f>
        <v>0</v>
      </c>
      <c r="P13" s="154" t="n">
        <f aca="false">SUM(P9:P12)</f>
        <v>-12000</v>
      </c>
      <c r="Q13" s="154" t="n">
        <f aca="false">SUM(Q9:Q12)</f>
        <v>0</v>
      </c>
      <c r="R13" s="154" t="n">
        <f aca="false">SUM(R9:R12)</f>
        <v>0</v>
      </c>
      <c r="S13" s="154" t="n">
        <f aca="false">SUM(S9:S12)</f>
        <v>-6000</v>
      </c>
      <c r="T13" s="154" t="n">
        <f aca="false">SUM(T9:T12)</f>
        <v>0</v>
      </c>
      <c r="U13" s="154" t="n">
        <f aca="false">SUM(U9:U12)</f>
        <v>0</v>
      </c>
      <c r="V13" s="154" t="n">
        <f aca="false">SUM(V9:V12)</f>
        <v>0</v>
      </c>
      <c r="W13" s="154" t="n">
        <f aca="false">SUM(W9:W12)</f>
        <v>0</v>
      </c>
      <c r="X13" s="154" t="n">
        <f aca="false">SUM(X9:X12)</f>
        <v>0</v>
      </c>
      <c r="Y13" s="154" t="n">
        <f aca="false">SUM(Y9:Y12)</f>
        <v>0</v>
      </c>
      <c r="Z13" s="154" t="n">
        <f aca="false">SUM(Z9:Z12)</f>
        <v>0</v>
      </c>
      <c r="AA13" s="154" t="n">
        <f aca="false">SUM(AA9:AA12)</f>
        <v>0</v>
      </c>
      <c r="AB13" s="154" t="n">
        <f aca="false">SUM(AB9:AB12)</f>
        <v>0</v>
      </c>
      <c r="AC13" s="154" t="n">
        <f aca="false">SUM(AC9:AC12)</f>
        <v>0</v>
      </c>
      <c r="AD13" s="154" t="n">
        <f aca="false">SUM(AD9:AD12)</f>
        <v>0</v>
      </c>
      <c r="AE13" s="154" t="n">
        <f aca="false">SUM(AE9:AE12)</f>
        <v>-15000</v>
      </c>
      <c r="AF13" s="154" t="n">
        <f aca="false">SUM(AF9:AF12)</f>
        <v>0</v>
      </c>
      <c r="AG13" s="154" t="n">
        <f aca="false">SUM(AG9:AG12)</f>
        <v>0</v>
      </c>
      <c r="AH13" s="154" t="n">
        <f aca="false">SUM(AH9:AH12)</f>
        <v>0</v>
      </c>
      <c r="AI13" s="154" t="n">
        <f aca="false">SUM(AI9:AI12)</f>
        <v>0</v>
      </c>
      <c r="AJ13" s="154" t="n">
        <f aca="false">SUM(AJ9:AJ12)</f>
        <v>0</v>
      </c>
      <c r="AK13" s="154" t="n">
        <f aca="false">SUM(AK9:AK12)</f>
        <v>0</v>
      </c>
      <c r="AL13" s="154" t="n">
        <f aca="false">SUM(AL9:AL12)</f>
        <v>0</v>
      </c>
      <c r="AM13" s="154" t="n">
        <f aca="false">SUM(AM9:AM12)</f>
        <v>0</v>
      </c>
      <c r="AN13" s="154" t="n">
        <f aca="false">SUM(AN9:AN12)</f>
        <v>0</v>
      </c>
      <c r="AO13" s="154" t="n">
        <f aca="false">SUM(AO9:AO12)</f>
        <v>0</v>
      </c>
      <c r="AP13" s="154" t="n">
        <f aca="false">SUM(AP9:AP12)</f>
        <v>0</v>
      </c>
      <c r="AQ13" s="154" t="n">
        <f aca="false">SUM(AQ9:AQ12)</f>
        <v>-25000</v>
      </c>
      <c r="AR13" s="154" t="n">
        <f aca="false">SUM(AR9:AR12)</f>
        <v>0</v>
      </c>
      <c r="AS13" s="154" t="n">
        <f aca="false">SUM(AS9:AS12)</f>
        <v>0</v>
      </c>
      <c r="AT13" s="154" t="n">
        <f aca="false">SUM(AT9:AT12)</f>
        <v>0</v>
      </c>
      <c r="AU13" s="154" t="n">
        <f aca="false">SUM(AU9:AU12)</f>
        <v>0</v>
      </c>
      <c r="AV13" s="154" t="n">
        <f aca="false">SUM(AV9:AV12)</f>
        <v>0</v>
      </c>
      <c r="AW13" s="154" t="n">
        <f aca="false">SUM(AW9:AW12)</f>
        <v>0</v>
      </c>
      <c r="AX13" s="154" t="n">
        <f aca="false">SUM(AX9:AX12)</f>
        <v>0</v>
      </c>
      <c r="AY13" s="154" t="n">
        <f aca="false">SUM(AY9:AY12)</f>
        <v>0</v>
      </c>
      <c r="AZ13" s="154" t="n">
        <f aca="false">SUM(AZ9:AZ12)</f>
        <v>0</v>
      </c>
      <c r="BA13" s="154" t="n">
        <f aca="false">SUM(BA9:BA12)</f>
        <v>0</v>
      </c>
      <c r="BB13" s="154" t="n">
        <f aca="false">SUM(BB9:BB12)</f>
        <v>0</v>
      </c>
      <c r="BC13" s="154" t="n">
        <f aca="false">SUM(BC9:BC12)</f>
        <v>-30000</v>
      </c>
      <c r="BD13" s="154" t="n">
        <f aca="false">SUM(BD9:BD12)</f>
        <v>0</v>
      </c>
      <c r="BE13" s="154" t="n">
        <f aca="false">SUM(BE9:BE12)</f>
        <v>0</v>
      </c>
      <c r="BF13" s="154" t="n">
        <f aca="false">SUM(BF9:BF12)</f>
        <v>0</v>
      </c>
      <c r="BG13" s="154" t="n">
        <f aca="false">SUM(BG9:BG12)</f>
        <v>0</v>
      </c>
      <c r="BH13" s="154" t="n">
        <f aca="false">SUM(BH9:BH12)</f>
        <v>0</v>
      </c>
      <c r="BI13" s="154" t="n">
        <f aca="false">SUM(BI9:BI12)</f>
        <v>0</v>
      </c>
      <c r="BJ13" s="154" t="n">
        <f aca="false">SUM(B13:BI13)</f>
        <v>-124127.82</v>
      </c>
    </row>
    <row r="15" customFormat="false" ht="18" hidden="false" customHeight="true" outlineLevel="0" collapsed="false">
      <c r="A15" s="47" t="s">
        <v>449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</row>
    <row r="16" customFormat="false" ht="15" hidden="false" customHeight="true" outlineLevel="0" collapsed="false">
      <c r="A16" s="49" t="s">
        <v>450</v>
      </c>
      <c r="B16" s="168" t="n">
        <f aca="false">CHOOSE(Premissas!$B$6,Cenários!B35,Cenários!B81,Cenários!B127)</f>
        <v>-0</v>
      </c>
      <c r="C16" s="168" t="n">
        <f aca="false">CHOOSE(Premissas!$B$6,Cenários!C35,Cenários!C81,Cenários!C127)</f>
        <v>-0</v>
      </c>
      <c r="D16" s="168" t="n">
        <f aca="false">CHOOSE(Premissas!$B$6,Cenários!D35,Cenários!D81,Cenários!D127)</f>
        <v>-0</v>
      </c>
      <c r="E16" s="168" t="n">
        <f aca="false">CHOOSE(Premissas!$B$6,Cenários!E35,Cenários!E81,Cenários!E127)</f>
        <v>-0</v>
      </c>
      <c r="F16" s="168" t="n">
        <f aca="false">CHOOSE(Premissas!$B$6,Cenários!F35,Cenários!F81,Cenários!F127)</f>
        <v>-600</v>
      </c>
      <c r="G16" s="168" t="n">
        <f aca="false">CHOOSE(Premissas!$B$6,Cenários!G35,Cenários!G81,Cenários!G127)</f>
        <v>-600</v>
      </c>
      <c r="H16" s="168" t="n">
        <f aca="false">CHOOSE(Premissas!$B$6,Cenários!H35,Cenários!H81,Cenários!H127)</f>
        <v>-600</v>
      </c>
      <c r="I16" s="168" t="n">
        <f aca="false">CHOOSE(Premissas!$B$6,Cenários!I35,Cenários!I81,Cenários!I127)</f>
        <v>-600</v>
      </c>
      <c r="J16" s="168" t="n">
        <f aca="false">CHOOSE(Premissas!$B$6,Cenários!J35,Cenários!J81,Cenários!J127)</f>
        <v>-600</v>
      </c>
      <c r="K16" s="168" t="n">
        <f aca="false">CHOOSE(Premissas!$B$6,Cenários!K35,Cenários!K81,Cenários!K127)</f>
        <v>-600</v>
      </c>
      <c r="L16" s="168" t="n">
        <f aca="false">CHOOSE(Premissas!$B$6,Cenários!L35,Cenários!L81,Cenários!L127)</f>
        <v>-600</v>
      </c>
      <c r="M16" s="168" t="n">
        <f aca="false">CHOOSE(Premissas!$B$6,Cenários!M35,Cenários!M81,Cenários!M127)</f>
        <v>-3840.2</v>
      </c>
      <c r="N16" s="168" t="n">
        <f aca="false">CHOOSE(Premissas!$B$6,Cenários!N35,Cenários!N81,Cenários!N127)</f>
        <v>-17787.5376</v>
      </c>
      <c r="O16" s="168" t="n">
        <f aca="false">CHOOSE(Premissas!$B$6,Cenários!O35,Cenários!O81,Cenários!O127)</f>
        <v>-37233.12872448</v>
      </c>
      <c r="P16" s="168" t="n">
        <f aca="false">CHOOSE(Premissas!$B$6,Cenários!P35,Cenários!P81,Cenários!P127)</f>
        <v>-63273.8901163991</v>
      </c>
      <c r="Q16" s="168" t="n">
        <f aca="false">CHOOSE(Premissas!$B$6,Cenários!Q35,Cenários!Q81,Cenários!Q127)</f>
        <v>-100656.999179646</v>
      </c>
      <c r="R16" s="168" t="n">
        <f aca="false">CHOOSE(Premissas!$B$6,Cenários!R35,Cenários!R81,Cenários!R127)</f>
        <v>-138671.350473337</v>
      </c>
      <c r="S16" s="168" t="n">
        <f aca="false">CHOOSE(Premissas!$B$6,Cenários!S35,Cenários!S81,Cenários!S127)</f>
        <v>-157075.820965742</v>
      </c>
      <c r="T16" s="168" t="n">
        <f aca="false">CHOOSE(Premissas!$B$6,Cenários!T35,Cenários!T81,Cenários!T127)</f>
        <v>-174081.374141118</v>
      </c>
      <c r="U16" s="168" t="n">
        <f aca="false">CHOOSE(Premissas!$B$6,Cenários!U35,Cenários!U81,Cenários!U127)</f>
        <v>-189822.453045706</v>
      </c>
      <c r="V16" s="168" t="n">
        <f aca="false">CHOOSE(Premissas!$B$6,Cenários!V35,Cenários!V81,Cenários!V127)</f>
        <v>-204401.072352669</v>
      </c>
      <c r="W16" s="168" t="n">
        <f aca="false">CHOOSE(Premissas!$B$6,Cenários!W35,Cenários!W81,Cenários!W127)</f>
        <v>-217854.999519748</v>
      </c>
      <c r="X16" s="168" t="n">
        <f aca="false">CHOOSE(Premissas!$B$6,Cenários!X35,Cenários!X81,Cenários!X127)</f>
        <v>-230317.265107863</v>
      </c>
      <c r="Y16" s="168" t="n">
        <f aca="false">CHOOSE(Premissas!$B$6,Cenários!Y35,Cenários!Y81,Cenários!Y127)</f>
        <v>-241824.742323752</v>
      </c>
      <c r="Z16" s="168" t="n">
        <f aca="false">CHOOSE(Premissas!$B$6,Cenários!Z35,Cenários!Z81,Cenários!Z127)</f>
        <v>-280318.570170357</v>
      </c>
      <c r="AA16" s="168" t="n">
        <f aca="false">CHOOSE(Premissas!$B$6,Cenários!AA35,Cenários!AA81,Cenários!AA127)</f>
        <v>-305152.753669035</v>
      </c>
      <c r="AB16" s="168" t="n">
        <f aca="false">CHOOSE(Premissas!$B$6,Cenários!AB35,Cenários!AB81,Cenários!AB127)</f>
        <v>-328250.659362638</v>
      </c>
      <c r="AC16" s="168" t="n">
        <f aca="false">CHOOSE(Premissas!$B$6,Cenários!AC35,Cenários!AC81,Cenários!AC127)</f>
        <v>-349715.697044236</v>
      </c>
      <c r="AD16" s="168" t="n">
        <f aca="false">CHOOSE(Premissas!$B$6,Cenários!AD35,Cenários!AD81,Cenários!AD127)</f>
        <v>-369650.830621493</v>
      </c>
      <c r="AE16" s="168" t="n">
        <f aca="false">CHOOSE(Premissas!$B$6,Cenários!AE35,Cenários!AE81,Cenários!AE127)</f>
        <v>-388190.270429017</v>
      </c>
      <c r="AF16" s="168" t="n">
        <f aca="false">CHOOSE(Premissas!$B$6,Cenários!AF35,Cenários!AF81,Cenários!AF127)</f>
        <v>-405404.036811747</v>
      </c>
      <c r="AG16" s="168" t="n">
        <f aca="false">CHOOSE(Premissas!$B$6,Cenários!AG35,Cenários!AG81,Cenários!AG127)</f>
        <v>-421393.61503091</v>
      </c>
      <c r="AH16" s="168" t="n">
        <f aca="false">CHOOSE(Premissas!$B$6,Cenários!AH35,Cenários!AH81,Cenários!AH127)</f>
        <v>-436260.031540437</v>
      </c>
      <c r="AI16" s="168" t="n">
        <f aca="false">CHOOSE(Premissas!$B$6,Cenários!AI35,Cenários!AI81,Cenários!AI127)</f>
        <v>-450072.079678331</v>
      </c>
      <c r="AJ16" s="168" t="n">
        <f aca="false">CHOOSE(Premissas!$B$6,Cenários!AJ35,Cenários!AJ81,Cenários!AJ127)</f>
        <v>-462930.090814349</v>
      </c>
      <c r="AK16" s="168" t="n">
        <f aca="false">CHOOSE(Premissas!$B$6,Cenários!AK35,Cenários!AK81,Cenários!AK127)</f>
        <v>-474870.244992432</v>
      </c>
      <c r="AL16" s="168" t="n">
        <f aca="false">CHOOSE(Premissas!$B$6,Cenários!AL35,Cenários!AL81,Cenários!AL127)</f>
        <v>-532756.521114101</v>
      </c>
      <c r="AM16" s="168" t="n">
        <f aca="false">CHOOSE(Premissas!$B$6,Cenários!AM35,Cenários!AM81,Cenários!AM127)</f>
        <v>-566386.531171263</v>
      </c>
      <c r="AN16" s="168" t="n">
        <f aca="false">CHOOSE(Premissas!$B$6,Cenários!AN35,Cenários!AN81,Cenários!AN127)</f>
        <v>-597749.51579217</v>
      </c>
      <c r="AO16" s="168" t="n">
        <f aca="false">CHOOSE(Premissas!$B$6,Cenários!AO35,Cenários!AO81,Cenários!AO127)</f>
        <v>-627045.390367817</v>
      </c>
      <c r="AP16" s="168" t="n">
        <f aca="false">CHOOSE(Premissas!$B$6,Cenários!AP35,Cenários!AP81,Cenários!AP127)</f>
        <v>-654409.81703755</v>
      </c>
      <c r="AQ16" s="168" t="n">
        <f aca="false">CHOOSE(Premissas!$B$6,Cenários!AQ35,Cenários!AQ81,Cenários!AQ127)</f>
        <v>-679946.098543192</v>
      </c>
      <c r="AR16" s="168" t="n">
        <f aca="false">CHOOSE(Premissas!$B$6,Cenários!AR35,Cenários!AR81,Cenários!AR127)</f>
        <v>-703788.756494856</v>
      </c>
      <c r="AS16" s="168" t="n">
        <f aca="false">CHOOSE(Premissas!$B$6,Cenários!AS35,Cenários!AS81,Cenários!AS127)</f>
        <v>-726040.069087515</v>
      </c>
      <c r="AT16" s="168" t="n">
        <f aca="false">CHOOSE(Premissas!$B$6,Cenários!AT35,Cenários!AT81,Cenários!AT127)</f>
        <v>-746801.913304831</v>
      </c>
      <c r="AU16" s="168" t="n">
        <f aca="false">CHOOSE(Premissas!$B$6,Cenários!AU35,Cenários!AU81,Cenários!AU127)</f>
        <v>-766207.506644318</v>
      </c>
      <c r="AV16" s="168" t="n">
        <f aca="false">CHOOSE(Premissas!$B$6,Cenários!AV35,Cenários!AV81,Cenários!AV127)</f>
        <v>-784326.058395631</v>
      </c>
      <c r="AW16" s="168" t="n">
        <f aca="false">CHOOSE(Premissas!$B$6,Cenários!AW35,Cenários!AW81,Cenários!AW127)</f>
        <v>-801226.245501695</v>
      </c>
      <c r="AX16" s="168" t="n">
        <f aca="false">CHOOSE(Premissas!$B$6,Cenários!AX35,Cenários!AX81,Cenários!AX127)</f>
        <v>-889653.786178651</v>
      </c>
      <c r="AY16" s="168" t="n">
        <f aca="false">CHOOSE(Premissas!$B$6,Cenários!AY35,Cenários!AY81,Cenários!AY127)</f>
        <v>-940571.469164291</v>
      </c>
      <c r="AZ16" s="168" t="n">
        <f aca="false">CHOOSE(Premissas!$B$6,Cenários!AZ35,Cenários!AZ81,Cenários!AZ127)</f>
        <v>-988279.043152907</v>
      </c>
      <c r="BA16" s="168" t="n">
        <f aca="false">CHOOSE(Premissas!$B$6,Cenários!BA35,Cenários!BA81,Cenários!BA127)</f>
        <v>-1033042.84796948</v>
      </c>
      <c r="BB16" s="168" t="n">
        <f aca="false">CHOOSE(Premissas!$B$6,Cenários!BB35,Cenários!BB81,Cenários!BB127)</f>
        <v>-1075001.02042952</v>
      </c>
      <c r="BC16" s="168" t="n">
        <f aca="false">CHOOSE(Premissas!$B$6,Cenários!BC35,Cenários!BC81,Cenários!BC127)</f>
        <v>-1114322.97952069</v>
      </c>
      <c r="BD16" s="168" t="n">
        <f aca="false">CHOOSE(Premissas!$B$6,Cenários!BD35,Cenários!BD81,Cenários!BD127)</f>
        <v>-1151209.33594832</v>
      </c>
      <c r="BE16" s="168" t="n">
        <f aca="false">CHOOSE(Premissas!$B$6,Cenários!BE35,Cenários!BE81,Cenários!BE127)</f>
        <v>-1185796.34608489</v>
      </c>
      <c r="BF16" s="168" t="n">
        <f aca="false">CHOOSE(Premissas!$B$6,Cenários!BF35,Cenários!BF81,Cenários!BF127)</f>
        <v>-1218219.74036043</v>
      </c>
      <c r="BG16" s="168" t="n">
        <f aca="false">CHOOSE(Premissas!$B$6,Cenários!BG35,Cenários!BG81,Cenários!BG127)</f>
        <v>-1248582.89612887</v>
      </c>
      <c r="BH16" s="168" t="n">
        <f aca="false">CHOOSE(Premissas!$B$6,Cenários!BH35,Cenários!BH81,Cenários!BH127)</f>
        <v>-1277084.28504302</v>
      </c>
      <c r="BI16" s="168" t="n">
        <f aca="false">CHOOSE(Premissas!$B$6,Cenários!BI35,Cenários!BI81,Cenários!BI127)</f>
        <v>-1303794.43496905</v>
      </c>
      <c r="BJ16" s="154" t="n">
        <f aca="false">SUM(B16:BI16)</f>
        <v>-28065492.3221205</v>
      </c>
      <c r="BK16" s="155" t="n">
        <f aca="false">IFERROR(BJ16/BJ$28,0)</f>
        <v>0.431398042624211</v>
      </c>
    </row>
    <row r="17" customFormat="false" ht="15" hidden="false" customHeight="true" outlineLevel="0" collapsed="false">
      <c r="A17" s="49" t="s">
        <v>174</v>
      </c>
      <c r="B17" s="168" t="n">
        <f aca="false">CHOOSE(Premissas!$B$6,Cenários!B36,Cenários!B82,Cenários!B128)</f>
        <v>-0</v>
      </c>
      <c r="C17" s="168" t="n">
        <f aca="false">CHOOSE(Premissas!$B$6,Cenários!C36,Cenários!C82,Cenários!C128)</f>
        <v>-0</v>
      </c>
      <c r="D17" s="168" t="n">
        <f aca="false">CHOOSE(Premissas!$B$6,Cenários!D36,Cenários!D82,Cenários!D128)</f>
        <v>-0</v>
      </c>
      <c r="E17" s="168" t="n">
        <f aca="false">CHOOSE(Premissas!$B$6,Cenários!E36,Cenários!E82,Cenários!E128)</f>
        <v>-0</v>
      </c>
      <c r="F17" s="168" t="n">
        <f aca="false">CHOOSE(Premissas!$B$6,Cenários!F36,Cenários!F82,Cenários!F128)</f>
        <v>-0</v>
      </c>
      <c r="G17" s="168" t="n">
        <f aca="false">CHOOSE(Premissas!$B$6,Cenários!G36,Cenários!G82,Cenários!G128)</f>
        <v>-0</v>
      </c>
      <c r="H17" s="168" t="n">
        <f aca="false">CHOOSE(Premissas!$B$6,Cenários!H36,Cenários!H82,Cenários!H128)</f>
        <v>-0</v>
      </c>
      <c r="I17" s="168" t="n">
        <f aca="false">CHOOSE(Premissas!$B$6,Cenários!I36,Cenários!I82,Cenários!I128)</f>
        <v>-0</v>
      </c>
      <c r="J17" s="168" t="n">
        <f aca="false">CHOOSE(Premissas!$B$6,Cenários!J36,Cenários!J82,Cenários!J128)</f>
        <v>-0</v>
      </c>
      <c r="K17" s="168" t="n">
        <f aca="false">CHOOSE(Premissas!$B$6,Cenários!K36,Cenários!K82,Cenários!K128)</f>
        <v>-0</v>
      </c>
      <c r="L17" s="168" t="n">
        <f aca="false">CHOOSE(Premissas!$B$6,Cenários!L36,Cenários!L82,Cenários!L128)</f>
        <v>-0</v>
      </c>
      <c r="M17" s="168" t="n">
        <f aca="false">CHOOSE(Premissas!$B$6,Cenários!M36,Cenários!M82,Cenários!M128)</f>
        <v>-31.5</v>
      </c>
      <c r="N17" s="168" t="n">
        <f aca="false">CHOOSE(Premissas!$B$6,Cenários!N36,Cenários!N82,Cenários!N128)</f>
        <v>-158.2</v>
      </c>
      <c r="O17" s="168" t="n">
        <f aca="false">CHOOSE(Premissas!$B$6,Cenários!O36,Cenários!O82,Cenários!O128)</f>
        <v>-366.45</v>
      </c>
      <c r="P17" s="168" t="n">
        <f aca="false">CHOOSE(Premissas!$B$6,Cenários!P36,Cenários!P82,Cenários!P128)</f>
        <v>-647.5</v>
      </c>
      <c r="Q17" s="168" t="n">
        <f aca="false">CHOOSE(Premissas!$B$6,Cenários!Q36,Cenários!Q82,Cenários!Q128)</f>
        <v>-992.95</v>
      </c>
      <c r="R17" s="168" t="n">
        <f aca="false">CHOOSE(Premissas!$B$6,Cenários!R36,Cenários!R82,Cenários!R128)</f>
        <v>-1395.8</v>
      </c>
      <c r="S17" s="168" t="n">
        <f aca="false">CHOOSE(Premissas!$B$6,Cenários!S36,Cenários!S82,Cenários!S128)</f>
        <v>-1584.45</v>
      </c>
      <c r="T17" s="168" t="n">
        <f aca="false">CHOOSE(Premissas!$B$6,Cenários!T36,Cenários!T82,Cenários!T128)</f>
        <v>-1758.75</v>
      </c>
      <c r="U17" s="168" t="n">
        <f aca="false">CHOOSE(Premissas!$B$6,Cenários!U36,Cenários!U82,Cenários!U128)</f>
        <v>-1920.1</v>
      </c>
      <c r="V17" s="168" t="n">
        <f aca="false">CHOOSE(Premissas!$B$6,Cenários!V36,Cenários!V82,Cenários!V128)</f>
        <v>-2069.55</v>
      </c>
      <c r="W17" s="168" t="n">
        <f aca="false">CHOOSE(Premissas!$B$6,Cenários!W36,Cenários!W82,Cenários!W128)</f>
        <v>-2207.45</v>
      </c>
      <c r="X17" s="168" t="n">
        <f aca="false">CHOOSE(Premissas!$B$6,Cenários!X36,Cenários!X82,Cenários!X128)</f>
        <v>-2335.2</v>
      </c>
      <c r="Y17" s="168" t="n">
        <f aca="false">CHOOSE(Premissas!$B$6,Cenários!Y36,Cenários!Y82,Cenários!Y128)</f>
        <v>-2453.15</v>
      </c>
      <c r="Z17" s="168" t="n">
        <f aca="false">CHOOSE(Premissas!$B$6,Cenários!Z36,Cenários!Z82,Cenários!Z128)</f>
        <v>-2401.5</v>
      </c>
      <c r="AA17" s="168" t="n">
        <f aca="false">CHOOSE(Premissas!$B$6,Cenários!AA36,Cenários!AA82,Cenários!AA128)</f>
        <v>-2620.5</v>
      </c>
      <c r="AB17" s="168" t="n">
        <f aca="false">CHOOSE(Premissas!$B$6,Cenários!AB36,Cenários!AB82,Cenários!AB128)</f>
        <v>-2824.2</v>
      </c>
      <c r="AC17" s="168" t="n">
        <f aca="false">CHOOSE(Premissas!$B$6,Cenários!AC36,Cenários!AC82,Cenários!AC128)</f>
        <v>-3013.5</v>
      </c>
      <c r="AD17" s="168" t="n">
        <f aca="false">CHOOSE(Premissas!$B$6,Cenários!AD36,Cenários!AD82,Cenários!AD128)</f>
        <v>-3189.3</v>
      </c>
      <c r="AE17" s="168" t="n">
        <f aca="false">CHOOSE(Premissas!$B$6,Cenários!AE36,Cenários!AE82,Cenários!AE128)</f>
        <v>-3352.8</v>
      </c>
      <c r="AF17" s="168" t="n">
        <f aca="false">CHOOSE(Premissas!$B$6,Cenários!AF36,Cenários!AF82,Cenários!AF128)</f>
        <v>-3504.6</v>
      </c>
      <c r="AG17" s="168" t="n">
        <f aca="false">CHOOSE(Premissas!$B$6,Cenários!AG36,Cenários!AG82,Cenários!AG128)</f>
        <v>-3645.6</v>
      </c>
      <c r="AH17" s="168" t="n">
        <f aca="false">CHOOSE(Premissas!$B$6,Cenários!AH36,Cenários!AH82,Cenários!AH128)</f>
        <v>-3776.7</v>
      </c>
      <c r="AI17" s="168" t="n">
        <f aca="false">CHOOSE(Premissas!$B$6,Cenários!AI36,Cenários!AI82,Cenários!AI128)</f>
        <v>-3898.5</v>
      </c>
      <c r="AJ17" s="168" t="n">
        <f aca="false">CHOOSE(Premissas!$B$6,Cenários!AJ36,Cenários!AJ82,Cenários!AJ128)</f>
        <v>-4011.9</v>
      </c>
      <c r="AK17" s="168" t="n">
        <f aca="false">CHOOSE(Premissas!$B$6,Cenários!AK36,Cenários!AK82,Cenários!AK128)</f>
        <v>-4117.2</v>
      </c>
      <c r="AL17" s="168" t="n">
        <f aca="false">CHOOSE(Premissas!$B$6,Cenários!AL36,Cenários!AL82,Cenários!AL128)</f>
        <v>-4255.72</v>
      </c>
      <c r="AM17" s="168" t="n">
        <f aca="false">CHOOSE(Premissas!$B$6,Cenários!AM36,Cenários!AM82,Cenários!AM128)</f>
        <v>-4533.76</v>
      </c>
      <c r="AN17" s="168" t="n">
        <f aca="false">CHOOSE(Premissas!$B$6,Cenários!AN36,Cenários!AN82,Cenários!AN128)</f>
        <v>-4793.04</v>
      </c>
      <c r="AO17" s="168" t="n">
        <f aca="false">CHOOSE(Premissas!$B$6,Cenários!AO36,Cenários!AO82,Cenários!AO128)</f>
        <v>-5035.24</v>
      </c>
      <c r="AP17" s="168" t="n">
        <f aca="false">CHOOSE(Premissas!$B$6,Cenários!AP36,Cenários!AP82,Cenários!AP128)</f>
        <v>-5261.48</v>
      </c>
      <c r="AQ17" s="168" t="n">
        <f aca="false">CHOOSE(Premissas!$B$6,Cenários!AQ36,Cenários!AQ82,Cenários!AQ128)</f>
        <v>-5472.6</v>
      </c>
      <c r="AR17" s="168" t="n">
        <f aca="false">CHOOSE(Premissas!$B$6,Cenários!AR36,Cenários!AR82,Cenários!AR128)</f>
        <v>-5669.72</v>
      </c>
      <c r="AS17" s="168" t="n">
        <f aca="false">CHOOSE(Premissas!$B$6,Cenários!AS36,Cenários!AS82,Cenários!AS128)</f>
        <v>-5853.68</v>
      </c>
      <c r="AT17" s="168" t="n">
        <f aca="false">CHOOSE(Premissas!$B$6,Cenários!AT36,Cenários!AT82,Cenários!AT128)</f>
        <v>-6025.32</v>
      </c>
      <c r="AU17" s="168" t="n">
        <f aca="false">CHOOSE(Premissas!$B$6,Cenários!AU36,Cenários!AU82,Cenários!AU128)</f>
        <v>-6185.76</v>
      </c>
      <c r="AV17" s="168" t="n">
        <f aca="false">CHOOSE(Premissas!$B$6,Cenários!AV36,Cenários!AV82,Cenários!AV128)</f>
        <v>-6335.56</v>
      </c>
      <c r="AW17" s="168" t="n">
        <f aca="false">CHOOSE(Premissas!$B$6,Cenários!AW36,Cenários!AW82,Cenários!AW128)</f>
        <v>-6475.28</v>
      </c>
      <c r="AX17" s="168" t="n">
        <f aca="false">CHOOSE(Premissas!$B$6,Cenários!AX36,Cenários!AX82,Cenários!AX128)</f>
        <v>-6356.5</v>
      </c>
      <c r="AY17" s="168" t="n">
        <f aca="false">CHOOSE(Premissas!$B$6,Cenários!AY36,Cenários!AY82,Cenários!AY128)</f>
        <v>-6733</v>
      </c>
      <c r="AZ17" s="168" t="n">
        <f aca="false">CHOOSE(Premissas!$B$6,Cenários!AZ36,Cenários!AZ82,Cenários!AZ128)</f>
        <v>-7085.75</v>
      </c>
      <c r="BA17" s="168" t="n">
        <f aca="false">CHOOSE(Premissas!$B$6,Cenários!BA36,Cenários!BA82,Cenários!BA128)</f>
        <v>-7416.75</v>
      </c>
      <c r="BB17" s="168" t="n">
        <f aca="false">CHOOSE(Premissas!$B$6,Cenários!BB36,Cenários!BB82,Cenários!BB128)</f>
        <v>-7727</v>
      </c>
      <c r="BC17" s="168" t="n">
        <f aca="false">CHOOSE(Premissas!$B$6,Cenários!BC36,Cenários!BC82,Cenários!BC128)</f>
        <v>-8017.75</v>
      </c>
      <c r="BD17" s="168" t="n">
        <f aca="false">CHOOSE(Premissas!$B$6,Cenários!BD36,Cenários!BD82,Cenários!BD128)</f>
        <v>-8290.5</v>
      </c>
      <c r="BE17" s="168" t="n">
        <f aca="false">CHOOSE(Premissas!$B$6,Cenários!BE36,Cenários!BE82,Cenários!BE128)</f>
        <v>-8546.25</v>
      </c>
      <c r="BF17" s="168" t="n">
        <f aca="false">CHOOSE(Premissas!$B$6,Cenários!BF36,Cenários!BF82,Cenários!BF128)</f>
        <v>-8786</v>
      </c>
      <c r="BG17" s="168" t="n">
        <f aca="false">CHOOSE(Premissas!$B$6,Cenários!BG36,Cenários!BG82,Cenários!BG128)</f>
        <v>-9010.5</v>
      </c>
      <c r="BH17" s="168" t="n">
        <f aca="false">CHOOSE(Premissas!$B$6,Cenários!BH36,Cenários!BH82,Cenários!BH128)</f>
        <v>-9221.25</v>
      </c>
      <c r="BI17" s="168" t="n">
        <f aca="false">CHOOSE(Premissas!$B$6,Cenários!BI36,Cenários!BI82,Cenários!BI128)</f>
        <v>-9418.75</v>
      </c>
      <c r="BJ17" s="154" t="n">
        <f aca="false">SUM(B17:BI17)</f>
        <v>-220784.51</v>
      </c>
      <c r="BK17" s="155" t="n">
        <f aca="false">IFERROR(BJ17/BJ$28,0)</f>
        <v>0.00339370513663411</v>
      </c>
    </row>
    <row r="18" customFormat="false" ht="15" hidden="false" customHeight="true" outlineLevel="0" collapsed="false">
      <c r="A18" s="49" t="s">
        <v>451</v>
      </c>
      <c r="B18" s="168" t="n">
        <f aca="false">-Pessoas!B42</f>
        <v>-0</v>
      </c>
      <c r="C18" s="168" t="n">
        <f aca="false">-Pessoas!C42</f>
        <v>-0</v>
      </c>
      <c r="D18" s="168" t="n">
        <f aca="false">-Pessoas!D42</f>
        <v>-0</v>
      </c>
      <c r="E18" s="168" t="n">
        <f aca="false">-Pessoas!E42</f>
        <v>-0</v>
      </c>
      <c r="F18" s="168" t="n">
        <f aca="false">-Pessoas!F42</f>
        <v>-0</v>
      </c>
      <c r="G18" s="168" t="n">
        <f aca="false">-Pessoas!G42</f>
        <v>-0</v>
      </c>
      <c r="H18" s="168" t="n">
        <f aca="false">-Pessoas!H42</f>
        <v>-0</v>
      </c>
      <c r="I18" s="168" t="n">
        <f aca="false">-Pessoas!I42</f>
        <v>-0</v>
      </c>
      <c r="J18" s="168" t="n">
        <f aca="false">-Pessoas!J42</f>
        <v>-0</v>
      </c>
      <c r="K18" s="168" t="n">
        <f aca="false">-Pessoas!K42</f>
        <v>-0</v>
      </c>
      <c r="L18" s="168" t="n">
        <f aca="false">-Pessoas!L42</f>
        <v>-0</v>
      </c>
      <c r="M18" s="168" t="n">
        <f aca="false">-Pessoas!M42</f>
        <v>-0</v>
      </c>
      <c r="N18" s="168" t="n">
        <f aca="false">-Pessoas!N42</f>
        <v>-27500</v>
      </c>
      <c r="O18" s="168" t="n">
        <f aca="false">-Pessoas!O42</f>
        <v>-27500</v>
      </c>
      <c r="P18" s="168" t="n">
        <f aca="false">-Pessoas!P42</f>
        <v>-27500</v>
      </c>
      <c r="Q18" s="168" t="n">
        <f aca="false">-Pessoas!Q42</f>
        <v>-27500</v>
      </c>
      <c r="R18" s="168" t="n">
        <f aca="false">-Pessoas!R42</f>
        <v>-27500</v>
      </c>
      <c r="S18" s="168" t="n">
        <f aca="false">-Pessoas!S42</f>
        <v>-27500</v>
      </c>
      <c r="T18" s="168" t="n">
        <f aca="false">-Pessoas!T42</f>
        <v>-27500</v>
      </c>
      <c r="U18" s="168" t="n">
        <f aca="false">-Pessoas!U42</f>
        <v>-27500</v>
      </c>
      <c r="V18" s="168" t="n">
        <f aca="false">-Pessoas!V42</f>
        <v>-27500</v>
      </c>
      <c r="W18" s="168" t="n">
        <f aca="false">-Pessoas!W42</f>
        <v>-27500</v>
      </c>
      <c r="X18" s="168" t="n">
        <f aca="false">-Pessoas!X42</f>
        <v>-27500</v>
      </c>
      <c r="Y18" s="168" t="n">
        <f aca="false">-Pessoas!Y42</f>
        <v>-27500</v>
      </c>
      <c r="Z18" s="168" t="n">
        <f aca="false">-Pessoas!Z42</f>
        <v>-102500</v>
      </c>
      <c r="AA18" s="168" t="n">
        <f aca="false">-Pessoas!AA42</f>
        <v>-102500</v>
      </c>
      <c r="AB18" s="168" t="n">
        <f aca="false">-Pessoas!AB42</f>
        <v>-102500</v>
      </c>
      <c r="AC18" s="168" t="n">
        <f aca="false">-Pessoas!AC42</f>
        <v>-102500</v>
      </c>
      <c r="AD18" s="168" t="n">
        <f aca="false">-Pessoas!AD42</f>
        <v>-102500</v>
      </c>
      <c r="AE18" s="168" t="n">
        <f aca="false">-Pessoas!AE42</f>
        <v>-102500</v>
      </c>
      <c r="AF18" s="168" t="n">
        <f aca="false">-Pessoas!AF42</f>
        <v>-102500</v>
      </c>
      <c r="AG18" s="168" t="n">
        <f aca="false">-Pessoas!AG42</f>
        <v>-102500</v>
      </c>
      <c r="AH18" s="168" t="n">
        <f aca="false">-Pessoas!AH42</f>
        <v>-102500</v>
      </c>
      <c r="AI18" s="168" t="n">
        <f aca="false">-Pessoas!AI42</f>
        <v>-102500</v>
      </c>
      <c r="AJ18" s="168" t="n">
        <f aca="false">-Pessoas!AJ42</f>
        <v>-102500</v>
      </c>
      <c r="AK18" s="168" t="n">
        <f aca="false">-Pessoas!AK42</f>
        <v>-102500</v>
      </c>
      <c r="AL18" s="168" t="n">
        <f aca="false">-Pessoas!AL42</f>
        <v>-221300</v>
      </c>
      <c r="AM18" s="168" t="n">
        <f aca="false">-Pessoas!AM42</f>
        <v>-221300</v>
      </c>
      <c r="AN18" s="168" t="n">
        <f aca="false">-Pessoas!AN42</f>
        <v>-221300</v>
      </c>
      <c r="AO18" s="168" t="n">
        <f aca="false">-Pessoas!AO42</f>
        <v>-221300</v>
      </c>
      <c r="AP18" s="168" t="n">
        <f aca="false">-Pessoas!AP42</f>
        <v>-221300</v>
      </c>
      <c r="AQ18" s="168" t="n">
        <f aca="false">-Pessoas!AQ42</f>
        <v>-221300</v>
      </c>
      <c r="AR18" s="168" t="n">
        <f aca="false">-Pessoas!AR42</f>
        <v>-221300</v>
      </c>
      <c r="AS18" s="168" t="n">
        <f aca="false">-Pessoas!AS42</f>
        <v>-221300</v>
      </c>
      <c r="AT18" s="168" t="n">
        <f aca="false">-Pessoas!AT42</f>
        <v>-221300</v>
      </c>
      <c r="AU18" s="168" t="n">
        <f aca="false">-Pessoas!AU42</f>
        <v>-221300</v>
      </c>
      <c r="AV18" s="168" t="n">
        <f aca="false">-Pessoas!AV42</f>
        <v>-221300</v>
      </c>
      <c r="AW18" s="168" t="n">
        <f aca="false">-Pessoas!AW42</f>
        <v>-221300</v>
      </c>
      <c r="AX18" s="168" t="n">
        <f aca="false">-Pessoas!AX42</f>
        <v>-342300</v>
      </c>
      <c r="AY18" s="168" t="n">
        <f aca="false">-Pessoas!AY42</f>
        <v>-342300</v>
      </c>
      <c r="AZ18" s="168" t="n">
        <f aca="false">-Pessoas!AZ42</f>
        <v>-342300</v>
      </c>
      <c r="BA18" s="168" t="n">
        <f aca="false">-Pessoas!BA42</f>
        <v>-342300</v>
      </c>
      <c r="BB18" s="168" t="n">
        <f aca="false">-Pessoas!BB42</f>
        <v>-342300</v>
      </c>
      <c r="BC18" s="168" t="n">
        <f aca="false">-Pessoas!BC42</f>
        <v>-342300</v>
      </c>
      <c r="BD18" s="168" t="n">
        <f aca="false">-Pessoas!BD42</f>
        <v>-342300</v>
      </c>
      <c r="BE18" s="168" t="n">
        <f aca="false">-Pessoas!BE42</f>
        <v>-342300</v>
      </c>
      <c r="BF18" s="168" t="n">
        <f aca="false">-Pessoas!BF42</f>
        <v>-342300</v>
      </c>
      <c r="BG18" s="168" t="n">
        <f aca="false">-Pessoas!BG42</f>
        <v>-342300</v>
      </c>
      <c r="BH18" s="168" t="n">
        <f aca="false">-Pessoas!BH42</f>
        <v>-342300</v>
      </c>
      <c r="BI18" s="168" t="n">
        <f aca="false">-Pessoas!BI42</f>
        <v>-342300</v>
      </c>
      <c r="BJ18" s="154" t="n">
        <f aca="false">SUM(B18:BI18)</f>
        <v>-8323200</v>
      </c>
      <c r="BK18" s="155" t="n">
        <f aca="false">IFERROR(BJ18/BJ$28,0)</f>
        <v>0.127936903695069</v>
      </c>
    </row>
    <row r="19" customFormat="false" ht="15" hidden="false" customHeight="true" outlineLevel="0" collapsed="false">
      <c r="A19" s="49" t="s">
        <v>452</v>
      </c>
      <c r="B19" s="168" t="n">
        <f aca="false">-Pessoas!B43</f>
        <v>-0</v>
      </c>
      <c r="C19" s="168" t="n">
        <f aca="false">-Pessoas!C43</f>
        <v>-0</v>
      </c>
      <c r="D19" s="168" t="n">
        <f aca="false">-Pessoas!D43</f>
        <v>-0</v>
      </c>
      <c r="E19" s="168" t="n">
        <f aca="false">-Pessoas!E43</f>
        <v>-0</v>
      </c>
      <c r="F19" s="168" t="n">
        <f aca="false">-Pessoas!F43</f>
        <v>-0</v>
      </c>
      <c r="G19" s="168" t="n">
        <f aca="false">-Pessoas!G43</f>
        <v>-0</v>
      </c>
      <c r="H19" s="168" t="n">
        <f aca="false">-Pessoas!H43</f>
        <v>-0</v>
      </c>
      <c r="I19" s="168" t="n">
        <f aca="false">-Pessoas!I43</f>
        <v>-0</v>
      </c>
      <c r="J19" s="168" t="n">
        <f aca="false">-Pessoas!J43</f>
        <v>-0</v>
      </c>
      <c r="K19" s="168" t="n">
        <f aca="false">-Pessoas!K43</f>
        <v>-0</v>
      </c>
      <c r="L19" s="168" t="n">
        <f aca="false">-Pessoas!L43</f>
        <v>-0</v>
      </c>
      <c r="M19" s="168" t="n">
        <f aca="false">-Pessoas!M43</f>
        <v>-0</v>
      </c>
      <c r="N19" s="168" t="n">
        <f aca="false">-Pessoas!N43</f>
        <v>-0</v>
      </c>
      <c r="O19" s="168" t="n">
        <f aca="false">-Pessoas!O43</f>
        <v>-0</v>
      </c>
      <c r="P19" s="168" t="n">
        <f aca="false">-Pessoas!P43</f>
        <v>-0</v>
      </c>
      <c r="Q19" s="168" t="n">
        <f aca="false">-Pessoas!Q43</f>
        <v>-0</v>
      </c>
      <c r="R19" s="168" t="n">
        <f aca="false">-Pessoas!R43</f>
        <v>-0</v>
      </c>
      <c r="S19" s="168" t="n">
        <f aca="false">-Pessoas!S43</f>
        <v>-0</v>
      </c>
      <c r="T19" s="168" t="n">
        <f aca="false">-Pessoas!T43</f>
        <v>-0</v>
      </c>
      <c r="U19" s="168" t="n">
        <f aca="false">-Pessoas!U43</f>
        <v>-0</v>
      </c>
      <c r="V19" s="168" t="n">
        <f aca="false">-Pessoas!V43</f>
        <v>-0</v>
      </c>
      <c r="W19" s="168" t="n">
        <f aca="false">-Pessoas!W43</f>
        <v>-0</v>
      </c>
      <c r="X19" s="168" t="n">
        <f aca="false">-Pessoas!X43</f>
        <v>-0</v>
      </c>
      <c r="Y19" s="168" t="n">
        <f aca="false">-Pessoas!Y43</f>
        <v>-0</v>
      </c>
      <c r="Z19" s="168" t="n">
        <f aca="false">-Pessoas!Z43</f>
        <v>-0</v>
      </c>
      <c r="AA19" s="168" t="n">
        <f aca="false">-Pessoas!AA43</f>
        <v>-0</v>
      </c>
      <c r="AB19" s="168" t="n">
        <f aca="false">-Pessoas!AB43</f>
        <v>-0</v>
      </c>
      <c r="AC19" s="168" t="n">
        <f aca="false">-Pessoas!AC43</f>
        <v>-0</v>
      </c>
      <c r="AD19" s="168" t="n">
        <f aca="false">-Pessoas!AD43</f>
        <v>-0</v>
      </c>
      <c r="AE19" s="168" t="n">
        <f aca="false">-Pessoas!AE43</f>
        <v>-0</v>
      </c>
      <c r="AF19" s="168" t="n">
        <f aca="false">-Pessoas!AF43</f>
        <v>-0</v>
      </c>
      <c r="AG19" s="168" t="n">
        <f aca="false">-Pessoas!AG43</f>
        <v>-0</v>
      </c>
      <c r="AH19" s="168" t="n">
        <f aca="false">-Pessoas!AH43</f>
        <v>-0</v>
      </c>
      <c r="AI19" s="168" t="n">
        <f aca="false">-Pessoas!AI43</f>
        <v>-0</v>
      </c>
      <c r="AJ19" s="168" t="n">
        <f aca="false">-Pessoas!AJ43</f>
        <v>-0</v>
      </c>
      <c r="AK19" s="168" t="n">
        <f aca="false">-Pessoas!AK43</f>
        <v>-0</v>
      </c>
      <c r="AL19" s="168" t="n">
        <f aca="false">-Pessoas!AL43</f>
        <v>-0</v>
      </c>
      <c r="AM19" s="168" t="n">
        <f aca="false">-Pessoas!AM43</f>
        <v>-0</v>
      </c>
      <c r="AN19" s="168" t="n">
        <f aca="false">-Pessoas!AN43</f>
        <v>-0</v>
      </c>
      <c r="AO19" s="168" t="n">
        <f aca="false">-Pessoas!AO43</f>
        <v>-0</v>
      </c>
      <c r="AP19" s="168" t="n">
        <f aca="false">-Pessoas!AP43</f>
        <v>-0</v>
      </c>
      <c r="AQ19" s="168" t="n">
        <f aca="false">-Pessoas!AQ43</f>
        <v>-0</v>
      </c>
      <c r="AR19" s="168" t="n">
        <f aca="false">-Pessoas!AR43</f>
        <v>-0</v>
      </c>
      <c r="AS19" s="168" t="n">
        <f aca="false">-Pessoas!AS43</f>
        <v>-0</v>
      </c>
      <c r="AT19" s="168" t="n">
        <f aca="false">-Pessoas!AT43</f>
        <v>-0</v>
      </c>
      <c r="AU19" s="168" t="n">
        <f aca="false">-Pessoas!AU43</f>
        <v>-0</v>
      </c>
      <c r="AV19" s="168" t="n">
        <f aca="false">-Pessoas!AV43</f>
        <v>-0</v>
      </c>
      <c r="AW19" s="168" t="n">
        <f aca="false">-Pessoas!AW43</f>
        <v>-0</v>
      </c>
      <c r="AX19" s="168" t="n">
        <f aca="false">-Pessoas!AX43</f>
        <v>-0</v>
      </c>
      <c r="AY19" s="168" t="n">
        <f aca="false">-Pessoas!AY43</f>
        <v>-0</v>
      </c>
      <c r="AZ19" s="168" t="n">
        <f aca="false">-Pessoas!AZ43</f>
        <v>-0</v>
      </c>
      <c r="BA19" s="168" t="n">
        <f aca="false">-Pessoas!BA43</f>
        <v>-0</v>
      </c>
      <c r="BB19" s="168" t="n">
        <f aca="false">-Pessoas!BB43</f>
        <v>-0</v>
      </c>
      <c r="BC19" s="168" t="n">
        <f aca="false">-Pessoas!BC43</f>
        <v>-0</v>
      </c>
      <c r="BD19" s="168" t="n">
        <f aca="false">-Pessoas!BD43</f>
        <v>-0</v>
      </c>
      <c r="BE19" s="168" t="n">
        <f aca="false">-Pessoas!BE43</f>
        <v>-0</v>
      </c>
      <c r="BF19" s="168" t="n">
        <f aca="false">-Pessoas!BF43</f>
        <v>-0</v>
      </c>
      <c r="BG19" s="168" t="n">
        <f aca="false">-Pessoas!BG43</f>
        <v>-0</v>
      </c>
      <c r="BH19" s="168" t="n">
        <f aca="false">-Pessoas!BH43</f>
        <v>-0</v>
      </c>
      <c r="BI19" s="168" t="n">
        <f aca="false">-Pessoas!BI43</f>
        <v>-0</v>
      </c>
      <c r="BJ19" s="154" t="n">
        <f aca="false">SUM(B19:BI19)</f>
        <v>0</v>
      </c>
      <c r="BK19" s="155" t="n">
        <f aca="false">IFERROR(BJ19/BJ$28,0)</f>
        <v>-0</v>
      </c>
    </row>
    <row r="20" customFormat="false" ht="15" hidden="false" customHeight="true" outlineLevel="0" collapsed="false">
      <c r="A20" s="49" t="s">
        <v>453</v>
      </c>
      <c r="B20" s="168" t="n">
        <f aca="false">-Pessoas!B44</f>
        <v>-0</v>
      </c>
      <c r="C20" s="168" t="n">
        <f aca="false">-Pessoas!C44</f>
        <v>-0</v>
      </c>
      <c r="D20" s="168" t="n">
        <f aca="false">-Pessoas!D44</f>
        <v>-0</v>
      </c>
      <c r="E20" s="168" t="n">
        <f aca="false">-Pessoas!E44</f>
        <v>-0</v>
      </c>
      <c r="F20" s="168" t="n">
        <f aca="false">-Pessoas!F44</f>
        <v>-0</v>
      </c>
      <c r="G20" s="168" t="n">
        <f aca="false">-Pessoas!G44</f>
        <v>-0</v>
      </c>
      <c r="H20" s="168" t="n">
        <f aca="false">-Pessoas!H44</f>
        <v>-0</v>
      </c>
      <c r="I20" s="168" t="n">
        <f aca="false">-Pessoas!I44</f>
        <v>-0</v>
      </c>
      <c r="J20" s="168" t="n">
        <f aca="false">-Pessoas!J44</f>
        <v>-0</v>
      </c>
      <c r="K20" s="168" t="n">
        <f aca="false">-Pessoas!K44</f>
        <v>-0</v>
      </c>
      <c r="L20" s="168" t="n">
        <f aca="false">-Pessoas!L44</f>
        <v>-0</v>
      </c>
      <c r="M20" s="168" t="n">
        <f aca="false">-Pessoas!M44</f>
        <v>-0</v>
      </c>
      <c r="N20" s="168" t="n">
        <f aca="false">-Pessoas!N44</f>
        <v>-15000</v>
      </c>
      <c r="O20" s="168" t="n">
        <f aca="false">-Pessoas!O44</f>
        <v>-15000</v>
      </c>
      <c r="P20" s="168" t="n">
        <f aca="false">-Pessoas!P44</f>
        <v>-15000</v>
      </c>
      <c r="Q20" s="168" t="n">
        <f aca="false">-Pessoas!Q44</f>
        <v>-15000</v>
      </c>
      <c r="R20" s="168" t="n">
        <f aca="false">-Pessoas!R44</f>
        <v>-15000</v>
      </c>
      <c r="S20" s="168" t="n">
        <f aca="false">-Pessoas!S44</f>
        <v>-15000</v>
      </c>
      <c r="T20" s="168" t="n">
        <f aca="false">-Pessoas!T44</f>
        <v>-15000</v>
      </c>
      <c r="U20" s="168" t="n">
        <f aca="false">-Pessoas!U44</f>
        <v>-15000</v>
      </c>
      <c r="V20" s="168" t="n">
        <f aca="false">-Pessoas!V44</f>
        <v>-15000</v>
      </c>
      <c r="W20" s="168" t="n">
        <f aca="false">-Pessoas!W44</f>
        <v>-15000</v>
      </c>
      <c r="X20" s="168" t="n">
        <f aca="false">-Pessoas!X44</f>
        <v>-15000</v>
      </c>
      <c r="Y20" s="168" t="n">
        <f aca="false">-Pessoas!Y44</f>
        <v>-15000</v>
      </c>
      <c r="Z20" s="168" t="n">
        <f aca="false">-Pessoas!Z44</f>
        <v>-15000</v>
      </c>
      <c r="AA20" s="168" t="n">
        <f aca="false">-Pessoas!AA44</f>
        <v>-15000</v>
      </c>
      <c r="AB20" s="168" t="n">
        <f aca="false">-Pessoas!AB44</f>
        <v>-15000</v>
      </c>
      <c r="AC20" s="168" t="n">
        <f aca="false">-Pessoas!AC44</f>
        <v>-15000</v>
      </c>
      <c r="AD20" s="168" t="n">
        <f aca="false">-Pessoas!AD44</f>
        <v>-15000</v>
      </c>
      <c r="AE20" s="168" t="n">
        <f aca="false">-Pessoas!AE44</f>
        <v>-15000</v>
      </c>
      <c r="AF20" s="168" t="n">
        <f aca="false">-Pessoas!AF44</f>
        <v>-15000</v>
      </c>
      <c r="AG20" s="168" t="n">
        <f aca="false">-Pessoas!AG44</f>
        <v>-15000</v>
      </c>
      <c r="AH20" s="168" t="n">
        <f aca="false">-Pessoas!AH44</f>
        <v>-15000</v>
      </c>
      <c r="AI20" s="168" t="n">
        <f aca="false">-Pessoas!AI44</f>
        <v>-15000</v>
      </c>
      <c r="AJ20" s="168" t="n">
        <f aca="false">-Pessoas!AJ44</f>
        <v>-15000</v>
      </c>
      <c r="AK20" s="168" t="n">
        <f aca="false">-Pessoas!AK44</f>
        <v>-15000</v>
      </c>
      <c r="AL20" s="168" t="n">
        <f aca="false">-Pessoas!AL44</f>
        <v>-32000</v>
      </c>
      <c r="AM20" s="168" t="n">
        <f aca="false">-Pessoas!AM44</f>
        <v>-32000</v>
      </c>
      <c r="AN20" s="168" t="n">
        <f aca="false">-Pessoas!AN44</f>
        <v>-32000</v>
      </c>
      <c r="AO20" s="168" t="n">
        <f aca="false">-Pessoas!AO44</f>
        <v>-32000</v>
      </c>
      <c r="AP20" s="168" t="n">
        <f aca="false">-Pessoas!AP44</f>
        <v>-32000</v>
      </c>
      <c r="AQ20" s="168" t="n">
        <f aca="false">-Pessoas!AQ44</f>
        <v>-32000</v>
      </c>
      <c r="AR20" s="168" t="n">
        <f aca="false">-Pessoas!AR44</f>
        <v>-32000</v>
      </c>
      <c r="AS20" s="168" t="n">
        <f aca="false">-Pessoas!AS44</f>
        <v>-32000</v>
      </c>
      <c r="AT20" s="168" t="n">
        <f aca="false">-Pessoas!AT44</f>
        <v>-32000</v>
      </c>
      <c r="AU20" s="168" t="n">
        <f aca="false">-Pessoas!AU44</f>
        <v>-32000</v>
      </c>
      <c r="AV20" s="168" t="n">
        <f aca="false">-Pessoas!AV44</f>
        <v>-32000</v>
      </c>
      <c r="AW20" s="168" t="n">
        <f aca="false">-Pessoas!AW44</f>
        <v>-32000</v>
      </c>
      <c r="AX20" s="168" t="n">
        <f aca="false">-Pessoas!AX44</f>
        <v>-32000</v>
      </c>
      <c r="AY20" s="168" t="n">
        <f aca="false">-Pessoas!AY44</f>
        <v>-32000</v>
      </c>
      <c r="AZ20" s="168" t="n">
        <f aca="false">-Pessoas!AZ44</f>
        <v>-32000</v>
      </c>
      <c r="BA20" s="168" t="n">
        <f aca="false">-Pessoas!BA44</f>
        <v>-32000</v>
      </c>
      <c r="BB20" s="168" t="n">
        <f aca="false">-Pessoas!BB44</f>
        <v>-32000</v>
      </c>
      <c r="BC20" s="168" t="n">
        <f aca="false">-Pessoas!BC44</f>
        <v>-32000</v>
      </c>
      <c r="BD20" s="168" t="n">
        <f aca="false">-Pessoas!BD44</f>
        <v>-32000</v>
      </c>
      <c r="BE20" s="168" t="n">
        <f aca="false">-Pessoas!BE44</f>
        <v>-32000</v>
      </c>
      <c r="BF20" s="168" t="n">
        <f aca="false">-Pessoas!BF44</f>
        <v>-32000</v>
      </c>
      <c r="BG20" s="168" t="n">
        <f aca="false">-Pessoas!BG44</f>
        <v>-32000</v>
      </c>
      <c r="BH20" s="168" t="n">
        <f aca="false">-Pessoas!BH44</f>
        <v>-32000</v>
      </c>
      <c r="BI20" s="168" t="n">
        <f aca="false">-Pessoas!BI44</f>
        <v>-32000</v>
      </c>
      <c r="BJ20" s="154" t="n">
        <f aca="false">SUM(B20:BI20)</f>
        <v>-1128000</v>
      </c>
      <c r="BK20" s="155" t="n">
        <f aca="false">IFERROR(BJ20/BJ$28,0)</f>
        <v>0.0173386230497931</v>
      </c>
    </row>
    <row r="21" customFormat="false" ht="15.75" hidden="false" customHeight="true" outlineLevel="0" collapsed="false">
      <c r="A21" s="49" t="s">
        <v>454</v>
      </c>
      <c r="B21" s="168" t="n">
        <f aca="false" t="array" ref="B21:B21">-CHOOSE(Premissas!$B$6,Cenários!B10,Cenários!B56,Cenários!B102)*(1-INDEX(Premissas!$C$59:$G$59,B$7))*CHOOSE(Premissas!$B$6,INDEX(Premissas!$C$56:$G$56,B$7),INDEX(Premissas!$C$57:$G$57,B$7),INDEX(Premissas!$C$58:$G$58,B$7))</f>
        <v>-0</v>
      </c>
      <c r="C21" s="168" t="n">
        <f aca="false" t="array" ref="C21:C21">-CHOOSE(Premissas!$B$6,Cenários!C10,Cenários!C56,Cenários!C102)*(1-INDEX(Premissas!$C$59:$G$59,C$7))*CHOOSE(Premissas!$B$6,INDEX(Premissas!$C$56:$G$56,C$7),INDEX(Premissas!$C$57:$G$57,C$7),INDEX(Premissas!$C$58:$G$58,C$7))</f>
        <v>-0</v>
      </c>
      <c r="D21" s="168" t="n">
        <f aca="false" t="array" ref="D21:D21">-CHOOSE(Premissas!$B$6,Cenários!D10,Cenários!D56,Cenários!D102)*(1-INDEX(Premissas!$C$59:$G$59,D$7))*CHOOSE(Premissas!$B$6,INDEX(Premissas!$C$56:$G$56,D$7),INDEX(Premissas!$C$57:$G$57,D$7),INDEX(Premissas!$C$58:$G$58,D$7))</f>
        <v>-0</v>
      </c>
      <c r="E21" s="168" t="n">
        <f aca="false" t="array" ref="E21:E21">-CHOOSE(Premissas!$B$6,Cenários!E10,Cenários!E56,Cenários!E102)*(1-INDEX(Premissas!$C$59:$G$59,E$7))*CHOOSE(Premissas!$B$6,INDEX(Premissas!$C$56:$G$56,E$7),INDEX(Premissas!$C$57:$G$57,E$7),INDEX(Premissas!$C$58:$G$58,E$7))</f>
        <v>-0</v>
      </c>
      <c r="F21" s="168" t="n">
        <f aca="false" t="array" ref="F21:F21">-CHOOSE(Premissas!$B$6,Cenários!F10,Cenários!F56,Cenários!F102)*(1-INDEX(Premissas!$C$59:$G$59,F$7))*CHOOSE(Premissas!$B$6,INDEX(Premissas!$C$56:$G$56,F$7),INDEX(Premissas!$C$57:$G$57,F$7),INDEX(Premissas!$C$58:$G$58,F$7))</f>
        <v>-0</v>
      </c>
      <c r="G21" s="168" t="n">
        <f aca="false" t="array" ref="G21:G21">-CHOOSE(Premissas!$B$6,Cenários!G10,Cenários!G56,Cenários!G102)*(1-INDEX(Premissas!$C$59:$G$59,G$7))*CHOOSE(Premissas!$B$6,INDEX(Premissas!$C$56:$G$56,G$7),INDEX(Premissas!$C$57:$G$57,G$7),INDEX(Premissas!$C$58:$G$58,G$7))</f>
        <v>-0</v>
      </c>
      <c r="H21" s="168" t="n">
        <f aca="false" t="array" ref="H21:H21">-CHOOSE(Premissas!$B$6,Cenários!H10,Cenários!H56,Cenários!H102)*(1-INDEX(Premissas!$C$59:$G$59,H$7))*CHOOSE(Premissas!$B$6,INDEX(Premissas!$C$56:$G$56,H$7),INDEX(Premissas!$C$57:$G$57,H$7),INDEX(Premissas!$C$58:$G$58,H$7))</f>
        <v>-0</v>
      </c>
      <c r="I21" s="168" t="n">
        <f aca="false" t="array" ref="I21:I21">-CHOOSE(Premissas!$B$6,Cenários!I10,Cenários!I56,Cenários!I102)*(1-INDEX(Premissas!$C$59:$G$59,I$7))*CHOOSE(Premissas!$B$6,INDEX(Premissas!$C$56:$G$56,I$7),INDEX(Premissas!$C$57:$G$57,I$7),INDEX(Premissas!$C$58:$G$58,I$7))</f>
        <v>-0</v>
      </c>
      <c r="J21" s="168" t="n">
        <f aca="false" t="array" ref="J21:J21">-CHOOSE(Premissas!$B$6,Cenários!J10,Cenários!J56,Cenários!J102)*(1-INDEX(Premissas!$C$59:$G$59,J$7))*CHOOSE(Premissas!$B$6,INDEX(Premissas!$C$56:$G$56,J$7),INDEX(Premissas!$C$57:$G$57,J$7),INDEX(Premissas!$C$58:$G$58,J$7))</f>
        <v>-0</v>
      </c>
      <c r="K21" s="168" t="n">
        <f aca="false" t="array" ref="K21:K21">-CHOOSE(Premissas!$B$6,Cenários!K10,Cenários!K56,Cenários!K102)*(1-INDEX(Premissas!$C$59:$G$59,K$7))*CHOOSE(Premissas!$B$6,INDEX(Premissas!$C$56:$G$56,K$7),INDEX(Premissas!$C$57:$G$57,K$7),INDEX(Premissas!$C$58:$G$58,K$7))</f>
        <v>-0</v>
      </c>
      <c r="L21" s="168" t="n">
        <f aca="false" t="array" ref="L21:L21">-CHOOSE(Premissas!$B$6,Cenários!L10,Cenários!L56,Cenários!L102)*(1-INDEX(Premissas!$C$59:$G$59,L$7))*CHOOSE(Premissas!$B$6,INDEX(Premissas!$C$56:$G$56,L$7),INDEX(Premissas!$C$57:$G$57,L$7),INDEX(Premissas!$C$58:$G$58,L$7))</f>
        <v>-0</v>
      </c>
      <c r="M21" s="168" t="n">
        <f aca="false" t="array" ref="M21:M21">-CHOOSE(Premissas!$B$6,Cenários!M10,Cenários!M56,Cenários!M102)*(1-INDEX(Premissas!$C$59:$G$59,M$7))*CHOOSE(Premissas!$B$6,INDEX(Premissas!$C$56:$G$56,M$7),INDEX(Premissas!$C$57:$G$57,M$7),INDEX(Premissas!$C$58:$G$58,M$7))</f>
        <v>-31675</v>
      </c>
      <c r="N21" s="168" t="n">
        <f aca="false" t="array" ref="N21:N21">-CHOOSE(Premissas!$B$6,Cenários!N10,Cenários!N56,Cenários!N102)*(1-INDEX(Premissas!$C$59:$G$59,N$7))*CHOOSE(Premissas!$B$6,INDEX(Premissas!$C$56:$G$56,N$7),INDEX(Premissas!$C$57:$G$57,N$7),INDEX(Premissas!$C$58:$G$58,N$7))</f>
        <v>-53078.25</v>
      </c>
      <c r="O21" s="168" t="n">
        <f aca="false" t="array" ref="O21:O21">-CHOOSE(Premissas!$B$6,Cenários!O10,Cenários!O56,Cenários!O102)*(1-INDEX(Premissas!$C$59:$G$59,O$7))*CHOOSE(Premissas!$B$6,INDEX(Premissas!$C$56:$G$56,O$7),INDEX(Premissas!$C$57:$G$57,O$7),INDEX(Premissas!$C$58:$G$58,O$7))</f>
        <v>-53078.25</v>
      </c>
      <c r="P21" s="168" t="n">
        <f aca="false" t="array" ref="P21:P21">-CHOOSE(Premissas!$B$6,Cenários!P10,Cenários!P56,Cenários!P102)*(1-INDEX(Premissas!$C$59:$G$59,P$7))*CHOOSE(Premissas!$B$6,INDEX(Premissas!$C$56:$G$56,P$7),INDEX(Premissas!$C$57:$G$57,P$7),INDEX(Premissas!$C$58:$G$58,P$7))</f>
        <v>-53078.25</v>
      </c>
      <c r="Q21" s="168" t="n">
        <f aca="false" t="array" ref="Q21:Q21">-CHOOSE(Premissas!$B$6,Cenários!Q10,Cenários!Q56,Cenários!Q102)*(1-INDEX(Premissas!$C$59:$G$59,Q$7))*CHOOSE(Premissas!$B$6,INDEX(Premissas!$C$56:$G$56,Q$7),INDEX(Premissas!$C$57:$G$57,Q$7),INDEX(Premissas!$C$58:$G$58,Q$7))</f>
        <v>-53078.25</v>
      </c>
      <c r="R21" s="168" t="n">
        <f aca="false" t="array" ref="R21:R21">-CHOOSE(Premissas!$B$6,Cenários!R10,Cenários!R56,Cenários!R102)*(1-INDEX(Premissas!$C$59:$G$59,R$7))*CHOOSE(Premissas!$B$6,INDEX(Premissas!$C$56:$G$56,R$7),INDEX(Premissas!$C$57:$G$57,R$7),INDEX(Premissas!$C$58:$G$58,R$7))</f>
        <v>-53078.25</v>
      </c>
      <c r="S21" s="168" t="n">
        <f aca="false" t="array" ref="S21:S21">-CHOOSE(Premissas!$B$6,Cenários!S10,Cenários!S56,Cenários!S102)*(1-INDEX(Premissas!$C$59:$G$59,S$7))*CHOOSE(Premissas!$B$6,INDEX(Premissas!$C$56:$G$56,S$7),INDEX(Premissas!$C$57:$G$57,S$7),INDEX(Premissas!$C$58:$G$58,S$7))</f>
        <v>-53078.25</v>
      </c>
      <c r="T21" s="168" t="n">
        <f aca="false" t="array" ref="T21:T21">-CHOOSE(Premissas!$B$6,Cenários!T10,Cenários!T56,Cenários!T102)*(1-INDEX(Premissas!$C$59:$G$59,T$7))*CHOOSE(Premissas!$B$6,INDEX(Premissas!$C$56:$G$56,T$7),INDEX(Premissas!$C$57:$G$57,T$7),INDEX(Premissas!$C$58:$G$58,T$7))</f>
        <v>-53078.25</v>
      </c>
      <c r="U21" s="168" t="n">
        <f aca="false" t="array" ref="U21:U21">-CHOOSE(Premissas!$B$6,Cenários!U10,Cenários!U56,Cenários!U102)*(1-INDEX(Premissas!$C$59:$G$59,U$7))*CHOOSE(Premissas!$B$6,INDEX(Premissas!$C$56:$G$56,U$7),INDEX(Premissas!$C$57:$G$57,U$7),INDEX(Premissas!$C$58:$G$58,U$7))</f>
        <v>-53078.25</v>
      </c>
      <c r="V21" s="168" t="n">
        <f aca="false" t="array" ref="V21:V21">-CHOOSE(Premissas!$B$6,Cenários!V10,Cenários!V56,Cenários!V102)*(1-INDEX(Premissas!$C$59:$G$59,V$7))*CHOOSE(Premissas!$B$6,INDEX(Premissas!$C$56:$G$56,V$7),INDEX(Premissas!$C$57:$G$57,V$7),INDEX(Premissas!$C$58:$G$58,V$7))</f>
        <v>-53078.25</v>
      </c>
      <c r="W21" s="168" t="n">
        <f aca="false" t="array" ref="W21:W21">-CHOOSE(Premissas!$B$6,Cenários!W10,Cenários!W56,Cenários!W102)*(1-INDEX(Premissas!$C$59:$G$59,W$7))*CHOOSE(Premissas!$B$6,INDEX(Premissas!$C$56:$G$56,W$7),INDEX(Premissas!$C$57:$G$57,W$7),INDEX(Premissas!$C$58:$G$58,W$7))</f>
        <v>-53078.25</v>
      </c>
      <c r="X21" s="168" t="n">
        <f aca="false" t="array" ref="X21:X21">-CHOOSE(Premissas!$B$6,Cenários!X10,Cenários!X56,Cenários!X102)*(1-INDEX(Premissas!$C$59:$G$59,X$7))*CHOOSE(Premissas!$B$6,INDEX(Premissas!$C$56:$G$56,X$7),INDEX(Premissas!$C$57:$G$57,X$7),INDEX(Premissas!$C$58:$G$58,X$7))</f>
        <v>-53078.25</v>
      </c>
      <c r="Y21" s="168" t="n">
        <f aca="false" t="array" ref="Y21:Y21">-CHOOSE(Premissas!$B$6,Cenários!Y10,Cenários!Y56,Cenários!Y102)*(1-INDEX(Premissas!$C$59:$G$59,Y$7))*CHOOSE(Premissas!$B$6,INDEX(Premissas!$C$56:$G$56,Y$7),INDEX(Premissas!$C$57:$G$57,Y$7),INDEX(Premissas!$C$58:$G$58,Y$7))</f>
        <v>-53078.25</v>
      </c>
      <c r="Z21" s="168" t="n">
        <f aca="false" t="array" ref="Z21:Z21">-CHOOSE(Premissas!$B$6,Cenários!Z10,Cenários!Z56,Cenários!Z102)*(1-INDEX(Premissas!$C$59:$G$59,Z$7))*CHOOSE(Premissas!$B$6,INDEX(Premissas!$C$56:$G$56,Z$7),INDEX(Premissas!$C$57:$G$57,Z$7),INDEX(Premissas!$C$58:$G$58,Z$7))</f>
        <v>-87520.5703125</v>
      </c>
      <c r="AA21" s="168" t="n">
        <f aca="false" t="array" ref="AA21:AA21">-CHOOSE(Premissas!$B$6,Cenários!AA10,Cenários!AA56,Cenários!AA102)*(1-INDEX(Premissas!$C$59:$G$59,AA$7))*CHOOSE(Premissas!$B$6,INDEX(Premissas!$C$56:$G$56,AA$7),INDEX(Premissas!$C$57:$G$57,AA$7),INDEX(Premissas!$C$58:$G$58,AA$7))</f>
        <v>-87520.5703125</v>
      </c>
      <c r="AB21" s="168" t="n">
        <f aca="false" t="array" ref="AB21:AB21">-CHOOSE(Premissas!$B$6,Cenários!AB10,Cenários!AB56,Cenários!AB102)*(1-INDEX(Premissas!$C$59:$G$59,AB$7))*CHOOSE(Premissas!$B$6,INDEX(Premissas!$C$56:$G$56,AB$7),INDEX(Premissas!$C$57:$G$57,AB$7),INDEX(Premissas!$C$58:$G$58,AB$7))</f>
        <v>-87520.5703125</v>
      </c>
      <c r="AC21" s="168" t="n">
        <f aca="false" t="array" ref="AC21:AC21">-CHOOSE(Premissas!$B$6,Cenários!AC10,Cenários!AC56,Cenários!AC102)*(1-INDEX(Premissas!$C$59:$G$59,AC$7))*CHOOSE(Premissas!$B$6,INDEX(Premissas!$C$56:$G$56,AC$7),INDEX(Premissas!$C$57:$G$57,AC$7),INDEX(Premissas!$C$58:$G$58,AC$7))</f>
        <v>-87520.5703125</v>
      </c>
      <c r="AD21" s="168" t="n">
        <f aca="false" t="array" ref="AD21:AD21">-CHOOSE(Premissas!$B$6,Cenários!AD10,Cenários!AD56,Cenários!AD102)*(1-INDEX(Premissas!$C$59:$G$59,AD$7))*CHOOSE(Premissas!$B$6,INDEX(Premissas!$C$56:$G$56,AD$7),INDEX(Premissas!$C$57:$G$57,AD$7),INDEX(Premissas!$C$58:$G$58,AD$7))</f>
        <v>-87520.5703125</v>
      </c>
      <c r="AE21" s="168" t="n">
        <f aca="false" t="array" ref="AE21:AE21">-CHOOSE(Premissas!$B$6,Cenários!AE10,Cenários!AE56,Cenários!AE102)*(1-INDEX(Premissas!$C$59:$G$59,AE$7))*CHOOSE(Premissas!$B$6,INDEX(Premissas!$C$56:$G$56,AE$7),INDEX(Premissas!$C$57:$G$57,AE$7),INDEX(Premissas!$C$58:$G$58,AE$7))</f>
        <v>-87520.5703125</v>
      </c>
      <c r="AF21" s="168" t="n">
        <f aca="false" t="array" ref="AF21:AF21">-CHOOSE(Premissas!$B$6,Cenários!AF10,Cenários!AF56,Cenários!AF102)*(1-INDEX(Premissas!$C$59:$G$59,AF$7))*CHOOSE(Premissas!$B$6,INDEX(Premissas!$C$56:$G$56,AF$7),INDEX(Premissas!$C$57:$G$57,AF$7),INDEX(Premissas!$C$58:$G$58,AF$7))</f>
        <v>-87520.5703125</v>
      </c>
      <c r="AG21" s="168" t="n">
        <f aca="false" t="array" ref="AG21:AG21">-CHOOSE(Premissas!$B$6,Cenários!AG10,Cenários!AG56,Cenários!AG102)*(1-INDEX(Premissas!$C$59:$G$59,AG$7))*CHOOSE(Premissas!$B$6,INDEX(Premissas!$C$56:$G$56,AG$7),INDEX(Premissas!$C$57:$G$57,AG$7),INDEX(Premissas!$C$58:$G$58,AG$7))</f>
        <v>-87520.5703125</v>
      </c>
      <c r="AH21" s="168" t="n">
        <f aca="false" t="array" ref="AH21:AH21">-CHOOSE(Premissas!$B$6,Cenários!AH10,Cenários!AH56,Cenários!AH102)*(1-INDEX(Premissas!$C$59:$G$59,AH$7))*CHOOSE(Premissas!$B$6,INDEX(Premissas!$C$56:$G$56,AH$7),INDEX(Premissas!$C$57:$G$57,AH$7),INDEX(Premissas!$C$58:$G$58,AH$7))</f>
        <v>-87520.5703125</v>
      </c>
      <c r="AI21" s="168" t="n">
        <f aca="false" t="array" ref="AI21:AI21">-CHOOSE(Premissas!$B$6,Cenários!AI10,Cenários!AI56,Cenários!AI102)*(1-INDEX(Premissas!$C$59:$G$59,AI$7))*CHOOSE(Premissas!$B$6,INDEX(Premissas!$C$56:$G$56,AI$7),INDEX(Premissas!$C$57:$G$57,AI$7),INDEX(Premissas!$C$58:$G$58,AI$7))</f>
        <v>-87520.5703125</v>
      </c>
      <c r="AJ21" s="168" t="n">
        <f aca="false" t="array" ref="AJ21:AJ21">-CHOOSE(Premissas!$B$6,Cenários!AJ10,Cenários!AJ56,Cenários!AJ102)*(1-INDEX(Premissas!$C$59:$G$59,AJ$7))*CHOOSE(Premissas!$B$6,INDEX(Premissas!$C$56:$G$56,AJ$7),INDEX(Premissas!$C$57:$G$57,AJ$7),INDEX(Premissas!$C$58:$G$58,AJ$7))</f>
        <v>-87520.5703125</v>
      </c>
      <c r="AK21" s="168" t="n">
        <f aca="false" t="array" ref="AK21:AK21">-CHOOSE(Premissas!$B$6,Cenários!AK10,Cenários!AK56,Cenários!AK102)*(1-INDEX(Premissas!$C$59:$G$59,AK$7))*CHOOSE(Premissas!$B$6,INDEX(Premissas!$C$56:$G$56,AK$7),INDEX(Premissas!$C$57:$G$57,AK$7),INDEX(Premissas!$C$58:$G$58,AK$7))</f>
        <v>-87520.5703125</v>
      </c>
      <c r="AL21" s="168" t="n">
        <f aca="false" t="array" ref="AL21:AL21">-CHOOSE(Premissas!$B$6,Cenários!AL10,Cenários!AL56,Cenários!AL102)*(1-INDEX(Premissas!$C$59:$G$59,AL$7))*CHOOSE(Premissas!$B$6,INDEX(Premissas!$C$56:$G$56,AL$7),INDEX(Premissas!$C$57:$G$57,AL$7),INDEX(Premissas!$C$58:$G$58,AL$7))</f>
        <v>-144004.999921875</v>
      </c>
      <c r="AM21" s="168" t="n">
        <f aca="false" t="array" ref="AM21:AM21">-CHOOSE(Premissas!$B$6,Cenários!AM10,Cenários!AM56,Cenários!AM102)*(1-INDEX(Premissas!$C$59:$G$59,AM$7))*CHOOSE(Premissas!$B$6,INDEX(Premissas!$C$56:$G$56,AM$7),INDEX(Premissas!$C$57:$G$57,AM$7),INDEX(Premissas!$C$58:$G$58,AM$7))</f>
        <v>-144004.999921875</v>
      </c>
      <c r="AN21" s="168" t="n">
        <f aca="false" t="array" ref="AN21:AN21">-CHOOSE(Premissas!$B$6,Cenários!AN10,Cenários!AN56,Cenários!AN102)*(1-INDEX(Premissas!$C$59:$G$59,AN$7))*CHOOSE(Premissas!$B$6,INDEX(Premissas!$C$56:$G$56,AN$7),INDEX(Premissas!$C$57:$G$57,AN$7),INDEX(Premissas!$C$58:$G$58,AN$7))</f>
        <v>-144004.999921875</v>
      </c>
      <c r="AO21" s="168" t="n">
        <f aca="false" t="array" ref="AO21:AO21">-CHOOSE(Premissas!$B$6,Cenários!AO10,Cenários!AO56,Cenários!AO102)*(1-INDEX(Premissas!$C$59:$G$59,AO$7))*CHOOSE(Premissas!$B$6,INDEX(Premissas!$C$56:$G$56,AO$7),INDEX(Premissas!$C$57:$G$57,AO$7),INDEX(Premissas!$C$58:$G$58,AO$7))</f>
        <v>-144004.999921875</v>
      </c>
      <c r="AP21" s="168" t="n">
        <f aca="false" t="array" ref="AP21:AP21">-CHOOSE(Premissas!$B$6,Cenários!AP10,Cenários!AP56,Cenários!AP102)*(1-INDEX(Premissas!$C$59:$G$59,AP$7))*CHOOSE(Premissas!$B$6,INDEX(Premissas!$C$56:$G$56,AP$7),INDEX(Premissas!$C$57:$G$57,AP$7),INDEX(Premissas!$C$58:$G$58,AP$7))</f>
        <v>-144004.999921875</v>
      </c>
      <c r="AQ21" s="168" t="n">
        <f aca="false" t="array" ref="AQ21:AQ21">-CHOOSE(Premissas!$B$6,Cenários!AQ10,Cenários!AQ56,Cenários!AQ102)*(1-INDEX(Premissas!$C$59:$G$59,AQ$7))*CHOOSE(Premissas!$B$6,INDEX(Premissas!$C$56:$G$56,AQ$7),INDEX(Premissas!$C$57:$G$57,AQ$7),INDEX(Premissas!$C$58:$G$58,AQ$7))</f>
        <v>-144004.999921875</v>
      </c>
      <c r="AR21" s="168" t="n">
        <f aca="false" t="array" ref="AR21:AR21">-CHOOSE(Premissas!$B$6,Cenários!AR10,Cenários!AR56,Cenários!AR102)*(1-INDEX(Premissas!$C$59:$G$59,AR$7))*CHOOSE(Premissas!$B$6,INDEX(Premissas!$C$56:$G$56,AR$7),INDEX(Premissas!$C$57:$G$57,AR$7),INDEX(Premissas!$C$58:$G$58,AR$7))</f>
        <v>-144004.999921875</v>
      </c>
      <c r="AS21" s="168" t="n">
        <f aca="false" t="array" ref="AS21:AS21">-CHOOSE(Premissas!$B$6,Cenários!AS10,Cenários!AS56,Cenários!AS102)*(1-INDEX(Premissas!$C$59:$G$59,AS$7))*CHOOSE(Premissas!$B$6,INDEX(Premissas!$C$56:$G$56,AS$7),INDEX(Premissas!$C$57:$G$57,AS$7),INDEX(Premissas!$C$58:$G$58,AS$7))</f>
        <v>-144004.999921875</v>
      </c>
      <c r="AT21" s="168" t="n">
        <f aca="false" t="array" ref="AT21:AT21">-CHOOSE(Premissas!$B$6,Cenários!AT10,Cenários!AT56,Cenários!AT102)*(1-INDEX(Premissas!$C$59:$G$59,AT$7))*CHOOSE(Premissas!$B$6,INDEX(Premissas!$C$56:$G$56,AT$7),INDEX(Premissas!$C$57:$G$57,AT$7),INDEX(Premissas!$C$58:$G$58,AT$7))</f>
        <v>-144004.999921875</v>
      </c>
      <c r="AU21" s="168" t="n">
        <f aca="false" t="array" ref="AU21:AU21">-CHOOSE(Premissas!$B$6,Cenários!AU10,Cenários!AU56,Cenários!AU102)*(1-INDEX(Premissas!$C$59:$G$59,AU$7))*CHOOSE(Premissas!$B$6,INDEX(Premissas!$C$56:$G$56,AU$7),INDEX(Premissas!$C$57:$G$57,AU$7),INDEX(Premissas!$C$58:$G$58,AU$7))</f>
        <v>-144004.999921875</v>
      </c>
      <c r="AV21" s="168" t="n">
        <f aca="false" t="array" ref="AV21:AV21">-CHOOSE(Premissas!$B$6,Cenários!AV10,Cenários!AV56,Cenários!AV102)*(1-INDEX(Premissas!$C$59:$G$59,AV$7))*CHOOSE(Premissas!$B$6,INDEX(Premissas!$C$56:$G$56,AV$7),INDEX(Premissas!$C$57:$G$57,AV$7),INDEX(Premissas!$C$58:$G$58,AV$7))</f>
        <v>-144004.999921875</v>
      </c>
      <c r="AW21" s="168" t="n">
        <f aca="false" t="array" ref="AW21:AW21">-CHOOSE(Premissas!$B$6,Cenários!AW10,Cenários!AW56,Cenários!AW102)*(1-INDEX(Premissas!$C$59:$G$59,AW$7))*CHOOSE(Premissas!$B$6,INDEX(Premissas!$C$56:$G$56,AW$7),INDEX(Premissas!$C$57:$G$57,AW$7),INDEX(Premissas!$C$58:$G$58,AW$7))</f>
        <v>-144004.999921875</v>
      </c>
      <c r="AX21" s="168" t="n">
        <f aca="false" t="array" ref="AX21:AX21">-CHOOSE(Premissas!$B$6,Cenários!AX10,Cenários!AX56,Cenários!AX102)*(1-INDEX(Premissas!$C$59:$G$59,AX$7))*CHOOSE(Premissas!$B$6,INDEX(Premissas!$C$56:$G$56,AX$7),INDEX(Premissas!$C$57:$G$57,AX$7),INDEX(Premissas!$C$58:$G$58,AX$7))</f>
        <v>-240395.443417969</v>
      </c>
      <c r="AY21" s="168" t="n">
        <f aca="false" t="array" ref="AY21:AY21">-CHOOSE(Premissas!$B$6,Cenários!AY10,Cenários!AY56,Cenários!AY102)*(1-INDEX(Premissas!$C$59:$G$59,AY$7))*CHOOSE(Premissas!$B$6,INDEX(Premissas!$C$56:$G$56,AY$7),INDEX(Premissas!$C$57:$G$57,AY$7),INDEX(Premissas!$C$58:$G$58,AY$7))</f>
        <v>-240395.443417969</v>
      </c>
      <c r="AZ21" s="168" t="n">
        <f aca="false" t="array" ref="AZ21:AZ21">-CHOOSE(Premissas!$B$6,Cenários!AZ10,Cenários!AZ56,Cenários!AZ102)*(1-INDEX(Premissas!$C$59:$G$59,AZ$7))*CHOOSE(Premissas!$B$6,INDEX(Premissas!$C$56:$G$56,AZ$7),INDEX(Premissas!$C$57:$G$57,AZ$7),INDEX(Premissas!$C$58:$G$58,AZ$7))</f>
        <v>-240395.443417969</v>
      </c>
      <c r="BA21" s="168" t="n">
        <f aca="false" t="array" ref="BA21:BA21">-CHOOSE(Premissas!$B$6,Cenários!BA10,Cenários!BA56,Cenários!BA102)*(1-INDEX(Premissas!$C$59:$G$59,BA$7))*CHOOSE(Premissas!$B$6,INDEX(Premissas!$C$56:$G$56,BA$7),INDEX(Premissas!$C$57:$G$57,BA$7),INDEX(Premissas!$C$58:$G$58,BA$7))</f>
        <v>-240395.443417969</v>
      </c>
      <c r="BB21" s="168" t="n">
        <f aca="false" t="array" ref="BB21:BB21">-CHOOSE(Premissas!$B$6,Cenários!BB10,Cenários!BB56,Cenários!BB102)*(1-INDEX(Premissas!$C$59:$G$59,BB$7))*CHOOSE(Premissas!$B$6,INDEX(Premissas!$C$56:$G$56,BB$7),INDEX(Premissas!$C$57:$G$57,BB$7),INDEX(Premissas!$C$58:$G$58,BB$7))</f>
        <v>-240395.443417969</v>
      </c>
      <c r="BC21" s="168" t="n">
        <f aca="false" t="array" ref="BC21:BC21">-CHOOSE(Premissas!$B$6,Cenários!BC10,Cenários!BC56,Cenários!BC102)*(1-INDEX(Premissas!$C$59:$G$59,BC$7))*CHOOSE(Premissas!$B$6,INDEX(Premissas!$C$56:$G$56,BC$7),INDEX(Premissas!$C$57:$G$57,BC$7),INDEX(Premissas!$C$58:$G$58,BC$7))</f>
        <v>-240395.443417969</v>
      </c>
      <c r="BD21" s="168" t="n">
        <f aca="false" t="array" ref="BD21:BD21">-CHOOSE(Premissas!$B$6,Cenários!BD10,Cenários!BD56,Cenários!BD102)*(1-INDEX(Premissas!$C$59:$G$59,BD$7))*CHOOSE(Premissas!$B$6,INDEX(Premissas!$C$56:$G$56,BD$7),INDEX(Premissas!$C$57:$G$57,BD$7),INDEX(Premissas!$C$58:$G$58,BD$7))</f>
        <v>-240395.443417969</v>
      </c>
      <c r="BE21" s="168" t="n">
        <f aca="false" t="array" ref="BE21:BE21">-CHOOSE(Premissas!$B$6,Cenários!BE10,Cenários!BE56,Cenários!BE102)*(1-INDEX(Premissas!$C$59:$G$59,BE$7))*CHOOSE(Premissas!$B$6,INDEX(Premissas!$C$56:$G$56,BE$7),INDEX(Premissas!$C$57:$G$57,BE$7),INDEX(Premissas!$C$58:$G$58,BE$7))</f>
        <v>-240395.443417969</v>
      </c>
      <c r="BF21" s="168" t="n">
        <f aca="false" t="array" ref="BF21:BF21">-CHOOSE(Premissas!$B$6,Cenários!BF10,Cenários!BF56,Cenários!BF102)*(1-INDEX(Premissas!$C$59:$G$59,BF$7))*CHOOSE(Premissas!$B$6,INDEX(Premissas!$C$56:$G$56,BF$7),INDEX(Premissas!$C$57:$G$57,BF$7),INDEX(Premissas!$C$58:$G$58,BF$7))</f>
        <v>-240395.443417969</v>
      </c>
      <c r="BG21" s="168" t="n">
        <f aca="false" t="array" ref="BG21:BG21">-CHOOSE(Premissas!$B$6,Cenários!BG10,Cenários!BG56,Cenários!BG102)*(1-INDEX(Premissas!$C$59:$G$59,BG$7))*CHOOSE(Premissas!$B$6,INDEX(Premissas!$C$56:$G$56,BG$7),INDEX(Premissas!$C$57:$G$57,BG$7),INDEX(Premissas!$C$58:$G$58,BG$7))</f>
        <v>-240395.443417969</v>
      </c>
      <c r="BH21" s="168" t="n">
        <f aca="false" t="array" ref="BH21:BH21">-CHOOSE(Premissas!$B$6,Cenários!BH10,Cenários!BH56,Cenários!BH102)*(1-INDEX(Premissas!$C$59:$G$59,BH$7))*CHOOSE(Premissas!$B$6,INDEX(Premissas!$C$56:$G$56,BH$7),INDEX(Premissas!$C$57:$G$57,BH$7),INDEX(Premissas!$C$58:$G$58,BH$7))</f>
        <v>-240395.443417969</v>
      </c>
      <c r="BI21" s="168" t="n">
        <f aca="false" t="array" ref="BI21:BI21">-CHOOSE(Premissas!$B$6,Cenários!BI10,Cenários!BI56,Cenários!BI102)*(1-INDEX(Premissas!$C$59:$G$59,BI$7))*CHOOSE(Premissas!$B$6,INDEX(Premissas!$C$56:$G$56,BI$7),INDEX(Premissas!$C$57:$G$57,BI$7),INDEX(Premissas!$C$58:$G$58,BI$7))</f>
        <v>-240395.443417969</v>
      </c>
      <c r="BJ21" s="154" t="n">
        <f aca="false">SUM(B21:BI21)</f>
        <v>-6331666.16382812</v>
      </c>
      <c r="BK21" s="155" t="n">
        <f aca="false">IFERROR(BJ21/BJ$28,0)</f>
        <v>0.0973247986628948</v>
      </c>
    </row>
    <row r="22" customFormat="false" ht="15.75" hidden="false" customHeight="true" outlineLevel="0" collapsed="false">
      <c r="A22" s="49" t="s">
        <v>455</v>
      </c>
      <c r="B22" s="168" t="n">
        <f aca="false" t="array" ref="B22:B22">-IF(B$4&gt;=Premissas!$B$99,INDEX(Premissas!$C$98:$G$98,B$7),0)</f>
        <v>-0</v>
      </c>
      <c r="C22" s="168" t="n">
        <f aca="false" t="array" ref="C22:C22">-IF(C$4&gt;=Premissas!$B$99,INDEX(Premissas!$C$98:$G$98,C$7),0)</f>
        <v>-0</v>
      </c>
      <c r="D22" s="168" t="n">
        <f aca="false" t="array" ref="D22:D22">-IF(D$4&gt;=Premissas!$B$99,INDEX(Premissas!$C$98:$G$98,D$7),0)</f>
        <v>-0</v>
      </c>
      <c r="E22" s="168" t="n">
        <f aca="false" t="array" ref="E22:E22">-IF(E$4&gt;=Premissas!$B$99,INDEX(Premissas!$C$98:$G$98,E$7),0)</f>
        <v>-0</v>
      </c>
      <c r="F22" s="168" t="n">
        <f aca="false" t="array" ref="F22:F22">-IF(F$4&gt;=Premissas!$B$99,INDEX(Premissas!$C$98:$G$98,F$7),0)</f>
        <v>-0</v>
      </c>
      <c r="G22" s="168" t="n">
        <f aca="false" t="array" ref="G22:G22">-IF(G$4&gt;=Premissas!$B$99,INDEX(Premissas!$C$98:$G$98,G$7),0)</f>
        <v>-0</v>
      </c>
      <c r="H22" s="168" t="n">
        <f aca="false" t="array" ref="H22:H22">-IF(H$4&gt;=Premissas!$B$99,INDEX(Premissas!$C$98:$G$98,H$7),0)</f>
        <v>-0</v>
      </c>
      <c r="I22" s="168" t="n">
        <f aca="false" t="array" ref="I22:I22">-IF(I$4&gt;=Premissas!$B$99,INDEX(Premissas!$C$98:$G$98,I$7),0)</f>
        <v>-0</v>
      </c>
      <c r="J22" s="168" t="n">
        <f aca="false" t="array" ref="J22:J22">-IF(J$4&gt;=Premissas!$B$99,INDEX(Premissas!$C$98:$G$98,J$7),0)</f>
        <v>-0</v>
      </c>
      <c r="K22" s="168" t="n">
        <f aca="false" t="array" ref="K22:K22">-IF(K$4&gt;=Premissas!$B$99,INDEX(Premissas!$C$98:$G$98,K$7),0)</f>
        <v>-0</v>
      </c>
      <c r="L22" s="168" t="n">
        <f aca="false" t="array" ref="L22:L22">-IF(L$4&gt;=Premissas!$B$99,INDEX(Premissas!$C$98:$G$98,L$7),0)</f>
        <v>-500</v>
      </c>
      <c r="M22" s="168" t="n">
        <f aca="false" t="array" ref="M22:M22">-IF(M$4&gt;=Premissas!$B$99,INDEX(Premissas!$C$98:$G$98,M$7),0)</f>
        <v>-500</v>
      </c>
      <c r="N22" s="168" t="n">
        <f aca="false" t="array" ref="N22:N22">-IF(N$4&gt;=Premissas!$B$99,INDEX(Premissas!$C$98:$G$98,N$7),0)</f>
        <v>-5000</v>
      </c>
      <c r="O22" s="168" t="n">
        <f aca="false" t="array" ref="O22:O22">-IF(O$4&gt;=Premissas!$B$99,INDEX(Premissas!$C$98:$G$98,O$7),0)</f>
        <v>-5000</v>
      </c>
      <c r="P22" s="168" t="n">
        <f aca="false" t="array" ref="P22:P22">-IF(P$4&gt;=Premissas!$B$99,INDEX(Premissas!$C$98:$G$98,P$7),0)</f>
        <v>-5000</v>
      </c>
      <c r="Q22" s="168" t="n">
        <f aca="false" t="array" ref="Q22:Q22">-IF(Q$4&gt;=Premissas!$B$99,INDEX(Premissas!$C$98:$G$98,Q$7),0)</f>
        <v>-5000</v>
      </c>
      <c r="R22" s="168" t="n">
        <f aca="false" t="array" ref="R22:R22">-IF(R$4&gt;=Premissas!$B$99,INDEX(Premissas!$C$98:$G$98,R$7),0)</f>
        <v>-5000</v>
      </c>
      <c r="S22" s="168" t="n">
        <f aca="false" t="array" ref="S22:S22">-IF(S$4&gt;=Premissas!$B$99,INDEX(Premissas!$C$98:$G$98,S$7),0)</f>
        <v>-5000</v>
      </c>
      <c r="T22" s="168" t="n">
        <f aca="false" t="array" ref="T22:T22">-IF(T$4&gt;=Premissas!$B$99,INDEX(Premissas!$C$98:$G$98,T$7),0)</f>
        <v>-5000</v>
      </c>
      <c r="U22" s="168" t="n">
        <f aca="false" t="array" ref="U22:U22">-IF(U$4&gt;=Premissas!$B$99,INDEX(Premissas!$C$98:$G$98,U$7),0)</f>
        <v>-5000</v>
      </c>
      <c r="V22" s="168" t="n">
        <f aca="false" t="array" ref="V22:V22">-IF(V$4&gt;=Premissas!$B$99,INDEX(Premissas!$C$98:$G$98,V$7),0)</f>
        <v>-5000</v>
      </c>
      <c r="W22" s="168" t="n">
        <f aca="false" t="array" ref="W22:W22">-IF(W$4&gt;=Premissas!$B$99,INDEX(Premissas!$C$98:$G$98,W$7),0)</f>
        <v>-5000</v>
      </c>
      <c r="X22" s="168" t="n">
        <f aca="false" t="array" ref="X22:X22">-IF(X$4&gt;=Premissas!$B$99,INDEX(Premissas!$C$98:$G$98,X$7),0)</f>
        <v>-5000</v>
      </c>
      <c r="Y22" s="168" t="n">
        <f aca="false" t="array" ref="Y22:Y22">-IF(Y$4&gt;=Premissas!$B$99,INDEX(Premissas!$C$98:$G$98,Y$7),0)</f>
        <v>-5000</v>
      </c>
      <c r="Z22" s="168" t="n">
        <f aca="false" t="array" ref="Z22:Z22">-IF(Z$4&gt;=Premissas!$B$99,INDEX(Premissas!$C$98:$G$98,Z$7),0)</f>
        <v>-8000</v>
      </c>
      <c r="AA22" s="168" t="n">
        <f aca="false" t="array" ref="AA22:AA22">-IF(AA$4&gt;=Premissas!$B$99,INDEX(Premissas!$C$98:$G$98,AA$7),0)</f>
        <v>-8000</v>
      </c>
      <c r="AB22" s="168" t="n">
        <f aca="false" t="array" ref="AB22:AB22">-IF(AB$4&gt;=Premissas!$B$99,INDEX(Premissas!$C$98:$G$98,AB$7),0)</f>
        <v>-8000</v>
      </c>
      <c r="AC22" s="168" t="n">
        <f aca="false" t="array" ref="AC22:AC22">-IF(AC$4&gt;=Premissas!$B$99,INDEX(Premissas!$C$98:$G$98,AC$7),0)</f>
        <v>-8000</v>
      </c>
      <c r="AD22" s="168" t="n">
        <f aca="false" t="array" ref="AD22:AD22">-IF(AD$4&gt;=Premissas!$B$99,INDEX(Premissas!$C$98:$G$98,AD$7),0)</f>
        <v>-8000</v>
      </c>
      <c r="AE22" s="168" t="n">
        <f aca="false" t="array" ref="AE22:AE22">-IF(AE$4&gt;=Premissas!$B$99,INDEX(Premissas!$C$98:$G$98,AE$7),0)</f>
        <v>-8000</v>
      </c>
      <c r="AF22" s="168" t="n">
        <f aca="false" t="array" ref="AF22:AF22">-IF(AF$4&gt;=Premissas!$B$99,INDEX(Premissas!$C$98:$G$98,AF$7),0)</f>
        <v>-8000</v>
      </c>
      <c r="AG22" s="168" t="n">
        <f aca="false" t="array" ref="AG22:AG22">-IF(AG$4&gt;=Premissas!$B$99,INDEX(Premissas!$C$98:$G$98,AG$7),0)</f>
        <v>-8000</v>
      </c>
      <c r="AH22" s="168" t="n">
        <f aca="false" t="array" ref="AH22:AH22">-IF(AH$4&gt;=Premissas!$B$99,INDEX(Premissas!$C$98:$G$98,AH$7),0)</f>
        <v>-8000</v>
      </c>
      <c r="AI22" s="168" t="n">
        <f aca="false" t="array" ref="AI22:AI22">-IF(AI$4&gt;=Premissas!$B$99,INDEX(Premissas!$C$98:$G$98,AI$7),0)</f>
        <v>-8000</v>
      </c>
      <c r="AJ22" s="168" t="n">
        <f aca="false" t="array" ref="AJ22:AJ22">-IF(AJ$4&gt;=Premissas!$B$99,INDEX(Premissas!$C$98:$G$98,AJ$7),0)</f>
        <v>-8000</v>
      </c>
      <c r="AK22" s="168" t="n">
        <f aca="false" t="array" ref="AK22:AK22">-IF(AK$4&gt;=Premissas!$B$99,INDEX(Premissas!$C$98:$G$98,AK$7),0)</f>
        <v>-8000</v>
      </c>
      <c r="AL22" s="168" t="n">
        <f aca="false" t="array" ref="AL22:AL22">-IF(AL$4&gt;=Premissas!$B$99,INDEX(Premissas!$C$98:$G$98,AL$7),0)</f>
        <v>-12000</v>
      </c>
      <c r="AM22" s="168" t="n">
        <f aca="false" t="array" ref="AM22:AM22">-IF(AM$4&gt;=Premissas!$B$99,INDEX(Premissas!$C$98:$G$98,AM$7),0)</f>
        <v>-12000</v>
      </c>
      <c r="AN22" s="168" t="n">
        <f aca="false" t="array" ref="AN22:AN22">-IF(AN$4&gt;=Premissas!$B$99,INDEX(Premissas!$C$98:$G$98,AN$7),0)</f>
        <v>-12000</v>
      </c>
      <c r="AO22" s="168" t="n">
        <f aca="false" t="array" ref="AO22:AO22">-IF(AO$4&gt;=Premissas!$B$99,INDEX(Premissas!$C$98:$G$98,AO$7),0)</f>
        <v>-12000</v>
      </c>
      <c r="AP22" s="168" t="n">
        <f aca="false" t="array" ref="AP22:AP22">-IF(AP$4&gt;=Premissas!$B$99,INDEX(Premissas!$C$98:$G$98,AP$7),0)</f>
        <v>-12000</v>
      </c>
      <c r="AQ22" s="168" t="n">
        <f aca="false" t="array" ref="AQ22:AQ22">-IF(AQ$4&gt;=Premissas!$B$99,INDEX(Premissas!$C$98:$G$98,AQ$7),0)</f>
        <v>-12000</v>
      </c>
      <c r="AR22" s="168" t="n">
        <f aca="false" t="array" ref="AR22:AR22">-IF(AR$4&gt;=Premissas!$B$99,INDEX(Premissas!$C$98:$G$98,AR$7),0)</f>
        <v>-12000</v>
      </c>
      <c r="AS22" s="168" t="n">
        <f aca="false" t="array" ref="AS22:AS22">-IF(AS$4&gt;=Premissas!$B$99,INDEX(Premissas!$C$98:$G$98,AS$7),0)</f>
        <v>-12000</v>
      </c>
      <c r="AT22" s="168" t="n">
        <f aca="false" t="array" ref="AT22:AT22">-IF(AT$4&gt;=Premissas!$B$99,INDEX(Premissas!$C$98:$G$98,AT$7),0)</f>
        <v>-12000</v>
      </c>
      <c r="AU22" s="168" t="n">
        <f aca="false" t="array" ref="AU22:AU22">-IF(AU$4&gt;=Premissas!$B$99,INDEX(Premissas!$C$98:$G$98,AU$7),0)</f>
        <v>-12000</v>
      </c>
      <c r="AV22" s="168" t="n">
        <f aca="false" t="array" ref="AV22:AV22">-IF(AV$4&gt;=Premissas!$B$99,INDEX(Premissas!$C$98:$G$98,AV$7),0)</f>
        <v>-12000</v>
      </c>
      <c r="AW22" s="168" t="n">
        <f aca="false" t="array" ref="AW22:AW22">-IF(AW$4&gt;=Premissas!$B$99,INDEX(Premissas!$C$98:$G$98,AW$7),0)</f>
        <v>-12000</v>
      </c>
      <c r="AX22" s="168" t="n">
        <f aca="false" t="array" ref="AX22:AX22">-IF(AX$4&gt;=Premissas!$B$99,INDEX(Premissas!$C$98:$G$98,AX$7),0)</f>
        <v>-15000</v>
      </c>
      <c r="AY22" s="168" t="n">
        <f aca="false" t="array" ref="AY22:AY22">-IF(AY$4&gt;=Premissas!$B$99,INDEX(Premissas!$C$98:$G$98,AY$7),0)</f>
        <v>-15000</v>
      </c>
      <c r="AZ22" s="168" t="n">
        <f aca="false" t="array" ref="AZ22:AZ22">-IF(AZ$4&gt;=Premissas!$B$99,INDEX(Premissas!$C$98:$G$98,AZ$7),0)</f>
        <v>-15000</v>
      </c>
      <c r="BA22" s="168" t="n">
        <f aca="false" t="array" ref="BA22:BA22">-IF(BA$4&gt;=Premissas!$B$99,INDEX(Premissas!$C$98:$G$98,BA$7),0)</f>
        <v>-15000</v>
      </c>
      <c r="BB22" s="168" t="n">
        <f aca="false" t="array" ref="BB22:BB22">-IF(BB$4&gt;=Premissas!$B$99,INDEX(Premissas!$C$98:$G$98,BB$7),0)</f>
        <v>-15000</v>
      </c>
      <c r="BC22" s="168" t="n">
        <f aca="false" t="array" ref="BC22:BC22">-IF(BC$4&gt;=Premissas!$B$99,INDEX(Premissas!$C$98:$G$98,BC$7),0)</f>
        <v>-15000</v>
      </c>
      <c r="BD22" s="168" t="n">
        <f aca="false" t="array" ref="BD22:BD22">-IF(BD$4&gt;=Premissas!$B$99,INDEX(Premissas!$C$98:$G$98,BD$7),0)</f>
        <v>-15000</v>
      </c>
      <c r="BE22" s="168" t="n">
        <f aca="false" t="array" ref="BE22:BE22">-IF(BE$4&gt;=Premissas!$B$99,INDEX(Premissas!$C$98:$G$98,BE$7),0)</f>
        <v>-15000</v>
      </c>
      <c r="BF22" s="168" t="n">
        <f aca="false" t="array" ref="BF22:BF22">-IF(BF$4&gt;=Premissas!$B$99,INDEX(Premissas!$C$98:$G$98,BF$7),0)</f>
        <v>-15000</v>
      </c>
      <c r="BG22" s="168" t="n">
        <f aca="false" t="array" ref="BG22:BG22">-IF(BG$4&gt;=Premissas!$B$99,INDEX(Premissas!$C$98:$G$98,BG$7),0)</f>
        <v>-15000</v>
      </c>
      <c r="BH22" s="168" t="n">
        <f aca="false" t="array" ref="BH22:BH22">-IF(BH$4&gt;=Premissas!$B$99,INDEX(Premissas!$C$98:$G$98,BH$7),0)</f>
        <v>-15000</v>
      </c>
      <c r="BI22" s="168" t="n">
        <f aca="false" t="array" ref="BI22:BI22">-IF(BI$4&gt;=Premissas!$B$99,INDEX(Premissas!$C$98:$G$98,BI$7),0)</f>
        <v>-15000</v>
      </c>
      <c r="BJ22" s="154" t="n">
        <f aca="false">SUM(B22:BI22)</f>
        <v>-481000</v>
      </c>
      <c r="BK22" s="155" t="n">
        <f aca="false">IFERROR(BJ22/BJ$28,0)</f>
        <v>0.00739350858772206</v>
      </c>
    </row>
    <row r="23" customFormat="false" ht="15.75" hidden="false" customHeight="true" outlineLevel="0" collapsed="false">
      <c r="A23" s="49" t="s">
        <v>456</v>
      </c>
      <c r="B23" s="168" t="n">
        <f aca="false">-IF(B$4=DATE(YEAR(Premissas!$B$101),MONTH(Premissas!$B$101),1),Premissas!$B$100,0)</f>
        <v>-0</v>
      </c>
      <c r="C23" s="168" t="n">
        <f aca="false">-IF(C$4=DATE(YEAR(Premissas!$B$101),MONTH(Premissas!$B$101),1),Premissas!$B$100,0)</f>
        <v>-0</v>
      </c>
      <c r="D23" s="168" t="n">
        <f aca="false">-IF(D$4=DATE(YEAR(Premissas!$B$101),MONTH(Premissas!$B$101),1),Premissas!$B$100,0)</f>
        <v>-0</v>
      </c>
      <c r="E23" s="168" t="n">
        <f aca="false">-IF(E$4=DATE(YEAR(Premissas!$B$101),MONTH(Premissas!$B$101),1),Premissas!$B$100,0)</f>
        <v>-0</v>
      </c>
      <c r="F23" s="168" t="n">
        <f aca="false">-IF(F$4=DATE(YEAR(Premissas!$B$101),MONTH(Premissas!$B$101),1),Premissas!$B$100,0)</f>
        <v>-0</v>
      </c>
      <c r="G23" s="168" t="n">
        <f aca="false">-IF(G$4=DATE(YEAR(Premissas!$B$101),MONTH(Premissas!$B$101),1),Premissas!$B$100,0)</f>
        <v>-0</v>
      </c>
      <c r="H23" s="168" t="n">
        <f aca="false">-IF(H$4=DATE(YEAR(Premissas!$B$101),MONTH(Premissas!$B$101),1),Premissas!$B$100,0)</f>
        <v>-0</v>
      </c>
      <c r="I23" s="168" t="n">
        <f aca="false">-IF(I$4=DATE(YEAR(Premissas!$B$101),MONTH(Premissas!$B$101),1),Premissas!$B$100,0)</f>
        <v>-0</v>
      </c>
      <c r="J23" s="168" t="n">
        <f aca="false">-IF(J$4=DATE(YEAR(Premissas!$B$101),MONTH(Premissas!$B$101),1),Premissas!$B$100,0)</f>
        <v>-0</v>
      </c>
      <c r="K23" s="168" t="n">
        <f aca="false">-IF(K$4=DATE(YEAR(Premissas!$B$101),MONTH(Premissas!$B$101),1),Premissas!$B$100,0)</f>
        <v>-0</v>
      </c>
      <c r="L23" s="168" t="n">
        <f aca="false">-IF(L$4=DATE(YEAR(Premissas!$B$101),MONTH(Premissas!$B$101),1),Premissas!$B$100,0)</f>
        <v>-1000</v>
      </c>
      <c r="M23" s="168" t="n">
        <f aca="false">-IF(M$4=DATE(YEAR(Premissas!$B$101),MONTH(Premissas!$B$101),1),Premissas!$B$100,0)</f>
        <v>-0</v>
      </c>
      <c r="N23" s="168" t="n">
        <f aca="false">-IF(N$4=DATE(YEAR(Premissas!$B$101),MONTH(Premissas!$B$101),1),Premissas!$B$100,0)</f>
        <v>-0</v>
      </c>
      <c r="O23" s="168" t="n">
        <f aca="false">-IF(O$4=DATE(YEAR(Premissas!$B$101),MONTH(Premissas!$B$101),1),Premissas!$B$100,0)</f>
        <v>-0</v>
      </c>
      <c r="P23" s="168" t="n">
        <f aca="false">-IF(P$4=DATE(YEAR(Premissas!$B$101),MONTH(Premissas!$B$101),1),Premissas!$B$100,0)</f>
        <v>-0</v>
      </c>
      <c r="Q23" s="168" t="n">
        <f aca="false">-IF(Q$4=DATE(YEAR(Premissas!$B$101),MONTH(Premissas!$B$101),1),Premissas!$B$100,0)</f>
        <v>-0</v>
      </c>
      <c r="R23" s="168" t="n">
        <f aca="false">-IF(R$4=DATE(YEAR(Premissas!$B$101),MONTH(Premissas!$B$101),1),Premissas!$B$100,0)</f>
        <v>-0</v>
      </c>
      <c r="S23" s="168" t="n">
        <f aca="false">-IF(S$4=DATE(YEAR(Premissas!$B$101),MONTH(Premissas!$B$101),1),Premissas!$B$100,0)</f>
        <v>-0</v>
      </c>
      <c r="T23" s="168" t="n">
        <f aca="false">-IF(T$4=DATE(YEAR(Premissas!$B$101),MONTH(Premissas!$B$101),1),Premissas!$B$100,0)</f>
        <v>-0</v>
      </c>
      <c r="U23" s="168" t="n">
        <f aca="false">-IF(U$4=DATE(YEAR(Premissas!$B$101),MONTH(Premissas!$B$101),1),Premissas!$B$100,0)</f>
        <v>-0</v>
      </c>
      <c r="V23" s="168" t="n">
        <f aca="false">-IF(V$4=DATE(YEAR(Premissas!$B$101),MONTH(Premissas!$B$101),1),Premissas!$B$100,0)</f>
        <v>-0</v>
      </c>
      <c r="W23" s="168" t="n">
        <f aca="false">-IF(W$4=DATE(YEAR(Premissas!$B$101),MONTH(Premissas!$B$101),1),Premissas!$B$100,0)</f>
        <v>-0</v>
      </c>
      <c r="X23" s="168" t="n">
        <f aca="false">-IF(X$4=DATE(YEAR(Premissas!$B$101),MONTH(Premissas!$B$101),1),Premissas!$B$100,0)</f>
        <v>-0</v>
      </c>
      <c r="Y23" s="168" t="n">
        <f aca="false">-IF(Y$4=DATE(YEAR(Premissas!$B$101),MONTH(Premissas!$B$101),1),Premissas!$B$100,0)</f>
        <v>-0</v>
      </c>
      <c r="Z23" s="168" t="n">
        <f aca="false">-IF(Z$4=DATE(YEAR(Premissas!$B$101),MONTH(Premissas!$B$101),1),Premissas!$B$100,0)</f>
        <v>-0</v>
      </c>
      <c r="AA23" s="168" t="n">
        <f aca="false">-IF(AA$4=DATE(YEAR(Premissas!$B$101),MONTH(Premissas!$B$101),1),Premissas!$B$100,0)</f>
        <v>-0</v>
      </c>
      <c r="AB23" s="168" t="n">
        <f aca="false">-IF(AB$4=DATE(YEAR(Premissas!$B$101),MONTH(Premissas!$B$101),1),Premissas!$B$100,0)</f>
        <v>-0</v>
      </c>
      <c r="AC23" s="168" t="n">
        <f aca="false">-IF(AC$4=DATE(YEAR(Premissas!$B$101),MONTH(Premissas!$B$101),1),Premissas!$B$100,0)</f>
        <v>-0</v>
      </c>
      <c r="AD23" s="168" t="n">
        <f aca="false">-IF(AD$4=DATE(YEAR(Premissas!$B$101),MONTH(Premissas!$B$101),1),Premissas!$B$100,0)</f>
        <v>-0</v>
      </c>
      <c r="AE23" s="168" t="n">
        <f aca="false">-IF(AE$4=DATE(YEAR(Premissas!$B$101),MONTH(Premissas!$B$101),1),Premissas!$B$100,0)</f>
        <v>-0</v>
      </c>
      <c r="AF23" s="168" t="n">
        <f aca="false">-IF(AF$4=DATE(YEAR(Premissas!$B$101),MONTH(Premissas!$B$101),1),Premissas!$B$100,0)</f>
        <v>-0</v>
      </c>
      <c r="AG23" s="168" t="n">
        <f aca="false">-IF(AG$4=DATE(YEAR(Premissas!$B$101),MONTH(Premissas!$B$101),1),Premissas!$B$100,0)</f>
        <v>-0</v>
      </c>
      <c r="AH23" s="168" t="n">
        <f aca="false">-IF(AH$4=DATE(YEAR(Premissas!$B$101),MONTH(Premissas!$B$101),1),Premissas!$B$100,0)</f>
        <v>-0</v>
      </c>
      <c r="AI23" s="168" t="n">
        <f aca="false">-IF(AI$4=DATE(YEAR(Premissas!$B$101),MONTH(Premissas!$B$101),1),Premissas!$B$100,0)</f>
        <v>-0</v>
      </c>
      <c r="AJ23" s="168" t="n">
        <f aca="false">-IF(AJ$4=DATE(YEAR(Premissas!$B$101),MONTH(Premissas!$B$101),1),Premissas!$B$100,0)</f>
        <v>-0</v>
      </c>
      <c r="AK23" s="168" t="n">
        <f aca="false">-IF(AK$4=DATE(YEAR(Premissas!$B$101),MONTH(Premissas!$B$101),1),Premissas!$B$100,0)</f>
        <v>-0</v>
      </c>
      <c r="AL23" s="168" t="n">
        <f aca="false">-IF(AL$4=DATE(YEAR(Premissas!$B$101),MONTH(Premissas!$B$101),1),Premissas!$B$100,0)</f>
        <v>-0</v>
      </c>
      <c r="AM23" s="168" t="n">
        <f aca="false">-IF(AM$4=DATE(YEAR(Premissas!$B$101),MONTH(Premissas!$B$101),1),Premissas!$B$100,0)</f>
        <v>-0</v>
      </c>
      <c r="AN23" s="168" t="n">
        <f aca="false">-IF(AN$4=DATE(YEAR(Premissas!$B$101),MONTH(Premissas!$B$101),1),Premissas!$B$100,0)</f>
        <v>-0</v>
      </c>
      <c r="AO23" s="168" t="n">
        <f aca="false">-IF(AO$4=DATE(YEAR(Premissas!$B$101),MONTH(Premissas!$B$101),1),Premissas!$B$100,0)</f>
        <v>-0</v>
      </c>
      <c r="AP23" s="168" t="n">
        <f aca="false">-IF(AP$4=DATE(YEAR(Premissas!$B$101),MONTH(Premissas!$B$101),1),Premissas!$B$100,0)</f>
        <v>-0</v>
      </c>
      <c r="AQ23" s="168" t="n">
        <f aca="false">-IF(AQ$4=DATE(YEAR(Premissas!$B$101),MONTH(Premissas!$B$101),1),Premissas!$B$100,0)</f>
        <v>-0</v>
      </c>
      <c r="AR23" s="168" t="n">
        <f aca="false">-IF(AR$4=DATE(YEAR(Premissas!$B$101),MONTH(Premissas!$B$101),1),Premissas!$B$100,0)</f>
        <v>-0</v>
      </c>
      <c r="AS23" s="168" t="n">
        <f aca="false">-IF(AS$4=DATE(YEAR(Premissas!$B$101),MONTH(Premissas!$B$101),1),Premissas!$B$100,0)</f>
        <v>-0</v>
      </c>
      <c r="AT23" s="168" t="n">
        <f aca="false">-IF(AT$4=DATE(YEAR(Premissas!$B$101),MONTH(Premissas!$B$101),1),Premissas!$B$100,0)</f>
        <v>-0</v>
      </c>
      <c r="AU23" s="168" t="n">
        <f aca="false">-IF(AU$4=DATE(YEAR(Premissas!$B$101),MONTH(Premissas!$B$101),1),Premissas!$B$100,0)</f>
        <v>-0</v>
      </c>
      <c r="AV23" s="168" t="n">
        <f aca="false">-IF(AV$4=DATE(YEAR(Premissas!$B$101),MONTH(Premissas!$B$101),1),Premissas!$B$100,0)</f>
        <v>-0</v>
      </c>
      <c r="AW23" s="168" t="n">
        <f aca="false">-IF(AW$4=DATE(YEAR(Premissas!$B$101),MONTH(Premissas!$B$101),1),Premissas!$B$100,0)</f>
        <v>-0</v>
      </c>
      <c r="AX23" s="168" t="n">
        <f aca="false">-IF(AX$4=DATE(YEAR(Premissas!$B$101),MONTH(Premissas!$B$101),1),Premissas!$B$100,0)</f>
        <v>-0</v>
      </c>
      <c r="AY23" s="168" t="n">
        <f aca="false">-IF(AY$4=DATE(YEAR(Premissas!$B$101),MONTH(Premissas!$B$101),1),Premissas!$B$100,0)</f>
        <v>-0</v>
      </c>
      <c r="AZ23" s="168" t="n">
        <f aca="false">-IF(AZ$4=DATE(YEAR(Premissas!$B$101),MONTH(Premissas!$B$101),1),Premissas!$B$100,0)</f>
        <v>-0</v>
      </c>
      <c r="BA23" s="168" t="n">
        <f aca="false">-IF(BA$4=DATE(YEAR(Premissas!$B$101),MONTH(Premissas!$B$101),1),Premissas!$B$100,0)</f>
        <v>-0</v>
      </c>
      <c r="BB23" s="168" t="n">
        <f aca="false">-IF(BB$4=DATE(YEAR(Premissas!$B$101),MONTH(Premissas!$B$101),1),Premissas!$B$100,0)</f>
        <v>-0</v>
      </c>
      <c r="BC23" s="168" t="n">
        <f aca="false">-IF(BC$4=DATE(YEAR(Premissas!$B$101),MONTH(Premissas!$B$101),1),Premissas!$B$100,0)</f>
        <v>-0</v>
      </c>
      <c r="BD23" s="168" t="n">
        <f aca="false">-IF(BD$4=DATE(YEAR(Premissas!$B$101),MONTH(Premissas!$B$101),1),Premissas!$B$100,0)</f>
        <v>-0</v>
      </c>
      <c r="BE23" s="168" t="n">
        <f aca="false">-IF(BE$4=DATE(YEAR(Premissas!$B$101),MONTH(Premissas!$B$101),1),Premissas!$B$100,0)</f>
        <v>-0</v>
      </c>
      <c r="BF23" s="168" t="n">
        <f aca="false">-IF(BF$4=DATE(YEAR(Premissas!$B$101),MONTH(Premissas!$B$101),1),Premissas!$B$100,0)</f>
        <v>-0</v>
      </c>
      <c r="BG23" s="168" t="n">
        <f aca="false">-IF(BG$4=DATE(YEAR(Premissas!$B$101),MONTH(Premissas!$B$101),1),Premissas!$B$100,0)</f>
        <v>-0</v>
      </c>
      <c r="BH23" s="168" t="n">
        <f aca="false">-IF(BH$4=DATE(YEAR(Premissas!$B$101),MONTH(Premissas!$B$101),1),Premissas!$B$100,0)</f>
        <v>-0</v>
      </c>
      <c r="BI23" s="168" t="n">
        <f aca="false">-IF(BI$4=DATE(YEAR(Premissas!$B$101),MONTH(Premissas!$B$101),1),Premissas!$B$100,0)</f>
        <v>-0</v>
      </c>
      <c r="BJ23" s="154" t="n">
        <f aca="false">SUM(B23:BI23)</f>
        <v>-1000</v>
      </c>
      <c r="BK23" s="155" t="n">
        <f aca="false">IFERROR(BJ23/BJ$28,0)</f>
        <v>1.53711197249939E-005</v>
      </c>
    </row>
    <row r="24" customFormat="false" ht="15.75" hidden="false" customHeight="true" outlineLevel="0" collapsed="false">
      <c r="A24" s="49" t="s">
        <v>457</v>
      </c>
      <c r="B24" s="168" t="n">
        <f aca="false">CHOOSE(Premissas!$B$6,Cenários!B32,Cenários!B78,Cenários!B124)</f>
        <v>-0</v>
      </c>
      <c r="C24" s="168" t="n">
        <f aca="false">CHOOSE(Premissas!$B$6,Cenários!C32,Cenários!C78,Cenários!C124)</f>
        <v>-0</v>
      </c>
      <c r="D24" s="168" t="n">
        <f aca="false">CHOOSE(Premissas!$B$6,Cenários!D32,Cenários!D78,Cenários!D124)</f>
        <v>-0</v>
      </c>
      <c r="E24" s="168" t="n">
        <f aca="false">CHOOSE(Premissas!$B$6,Cenários!E32,Cenários!E78,Cenários!E124)</f>
        <v>-0</v>
      </c>
      <c r="F24" s="168" t="n">
        <f aca="false">CHOOSE(Premissas!$B$6,Cenários!F32,Cenários!F78,Cenários!F124)</f>
        <v>-0</v>
      </c>
      <c r="G24" s="168" t="n">
        <f aca="false">CHOOSE(Premissas!$B$6,Cenários!G32,Cenários!G78,Cenários!G124)</f>
        <v>-0</v>
      </c>
      <c r="H24" s="168" t="n">
        <f aca="false">CHOOSE(Premissas!$B$6,Cenários!H32,Cenários!H78,Cenários!H124)</f>
        <v>-0</v>
      </c>
      <c r="I24" s="168" t="n">
        <f aca="false">CHOOSE(Premissas!$B$6,Cenários!I32,Cenários!I78,Cenários!I124)</f>
        <v>-0</v>
      </c>
      <c r="J24" s="168" t="n">
        <f aca="false">CHOOSE(Premissas!$B$6,Cenários!J32,Cenários!J78,Cenários!J124)</f>
        <v>-0</v>
      </c>
      <c r="K24" s="168" t="n">
        <f aca="false">CHOOSE(Premissas!$B$6,Cenários!K32,Cenários!K78,Cenários!K124)</f>
        <v>-0</v>
      </c>
      <c r="L24" s="168" t="n">
        <f aca="false">CHOOSE(Premissas!$B$6,Cenários!L32,Cenários!L78,Cenários!L124)</f>
        <v>-0</v>
      </c>
      <c r="M24" s="168" t="n">
        <f aca="false">CHOOSE(Premissas!$B$6,Cenários!M32,Cenários!M78,Cenários!M124)</f>
        <v>-916.8525</v>
      </c>
      <c r="N24" s="168" t="n">
        <f aca="false">CHOOSE(Premissas!$B$6,Cenários!N32,Cenários!N78,Cenários!N124)</f>
        <v>-4333.776</v>
      </c>
      <c r="O24" s="168" t="n">
        <f aca="false">CHOOSE(Premissas!$B$6,Cenários!O32,Cenários!O78,Cenários!O124)</f>
        <v>-10038.636</v>
      </c>
      <c r="P24" s="168" t="n">
        <f aca="false">CHOOSE(Premissas!$B$6,Cenários!P32,Cenários!P78,Cenários!P124)</f>
        <v>-17737.8</v>
      </c>
      <c r="Q24" s="168" t="n">
        <f aca="false">CHOOSE(Premissas!$B$6,Cenários!Q32,Cenários!Q78,Cenários!Q124)</f>
        <v>-27201.156</v>
      </c>
      <c r="R24" s="168" t="n">
        <f aca="false">CHOOSE(Premissas!$B$6,Cenários!R32,Cenários!R78,Cenários!R124)</f>
        <v>-38236.944</v>
      </c>
      <c r="S24" s="168" t="n">
        <f aca="false">CHOOSE(Premissas!$B$6,Cenários!S32,Cenários!S78,Cenários!S124)</f>
        <v>-43404.876</v>
      </c>
      <c r="T24" s="168" t="n">
        <f aca="false">CHOOSE(Premissas!$B$6,Cenários!T32,Cenários!T78,Cenários!T124)</f>
        <v>-48179.7</v>
      </c>
      <c r="U24" s="168" t="n">
        <f aca="false">CHOOSE(Premissas!$B$6,Cenários!U32,Cenários!U78,Cenários!U124)</f>
        <v>-52599.768</v>
      </c>
      <c r="V24" s="168" t="n">
        <f aca="false">CHOOSE(Premissas!$B$6,Cenários!V32,Cenários!V78,Cenários!V124)</f>
        <v>-56693.844</v>
      </c>
      <c r="W24" s="168" t="n">
        <f aca="false">CHOOSE(Premissas!$B$6,Cenários!W32,Cenários!W78,Cenários!W124)</f>
        <v>-60471.516</v>
      </c>
      <c r="X24" s="168" t="n">
        <f aca="false">CHOOSE(Premissas!$B$6,Cenários!X32,Cenários!X78,Cenários!X124)</f>
        <v>-63971.136</v>
      </c>
      <c r="Y24" s="168" t="n">
        <f aca="false">CHOOSE(Premissas!$B$6,Cenários!Y32,Cenários!Y78,Cenários!Y124)</f>
        <v>-67202.292</v>
      </c>
      <c r="Z24" s="168" t="n">
        <f aca="false">CHOOSE(Premissas!$B$6,Cenários!Z32,Cenários!Z78,Cenários!Z124)</f>
        <v>-76214.5425</v>
      </c>
      <c r="AA24" s="168" t="n">
        <f aca="false">CHOOSE(Premissas!$B$6,Cenários!AA32,Cenários!AA78,Cenários!AA124)</f>
        <v>-83163.0825</v>
      </c>
      <c r="AB24" s="168" t="n">
        <f aca="false">CHOOSE(Premissas!$B$6,Cenários!AB32,Cenários!AB78,Cenários!AB124)</f>
        <v>-89626.60125</v>
      </c>
      <c r="AC24" s="168" t="n">
        <f aca="false">CHOOSE(Premissas!$B$6,Cenários!AC32,Cenários!AC78,Cenários!AC124)</f>
        <v>-95633.19</v>
      </c>
      <c r="AD24" s="168" t="n">
        <f aca="false">CHOOSE(Premissas!$B$6,Cenários!AD32,Cenários!AD78,Cenários!AD124)</f>
        <v>-101215.2375</v>
      </c>
      <c r="AE24" s="168" t="n">
        <f aca="false">CHOOSE(Premissas!$B$6,Cenários!AE32,Cenários!AE78,Cenários!AE124)</f>
        <v>-106402.2525</v>
      </c>
      <c r="AF24" s="168" t="n">
        <f aca="false">CHOOSE(Premissas!$B$6,Cenários!AF32,Cenários!AF78,Cenários!AF124)</f>
        <v>-111218.76</v>
      </c>
      <c r="AG24" s="168" t="n">
        <f aca="false">CHOOSE(Premissas!$B$6,Cenários!AG32,Cenários!AG78,Cenários!AG124)</f>
        <v>-115697.14875</v>
      </c>
      <c r="AH24" s="168" t="n">
        <f aca="false">CHOOSE(Premissas!$B$6,Cenários!AH32,Cenários!AH78,Cenários!AH124)</f>
        <v>-119854.665</v>
      </c>
      <c r="AI24" s="168" t="n">
        <f aca="false">CHOOSE(Premissas!$B$6,Cenários!AI32,Cenários!AI78,Cenários!AI124)</f>
        <v>-123719.1075</v>
      </c>
      <c r="AJ24" s="168" t="n">
        <f aca="false">CHOOSE(Premissas!$B$6,Cenários!AJ32,Cenários!AJ78,Cenários!AJ124)</f>
        <v>-127317.4425</v>
      </c>
      <c r="AK24" s="168" t="n">
        <f aca="false">CHOOSE(Premissas!$B$6,Cenários!AK32,Cenários!AK78,Cenários!AK124)</f>
        <v>-130661.9325</v>
      </c>
      <c r="AL24" s="168" t="n">
        <f aca="false">CHOOSE(Premissas!$B$6,Cenários!AL32,Cenários!AL78,Cenários!AL124)</f>
        <v>-140200.4268</v>
      </c>
      <c r="AM24" s="168" t="n">
        <f aca="false">CHOOSE(Premissas!$B$6,Cenários!AM32,Cenários!AM78,Cenários!AM124)</f>
        <v>-149358.9996</v>
      </c>
      <c r="AN24" s="168" t="n">
        <f aca="false">CHOOSE(Premissas!$B$6,Cenários!AN32,Cenários!AN78,Cenários!AN124)</f>
        <v>-157899.0564</v>
      </c>
      <c r="AO24" s="168" t="n">
        <f aca="false">CHOOSE(Premissas!$B$6,Cenários!AO32,Cenários!AO78,Cenários!AO124)</f>
        <v>-165879.738</v>
      </c>
      <c r="AP24" s="168" t="n">
        <f aca="false">CHOOSE(Premissas!$B$6,Cenários!AP32,Cenários!AP78,Cenários!AP124)</f>
        <v>-173333.4984</v>
      </c>
      <c r="AQ24" s="168" t="n">
        <f aca="false">CHOOSE(Premissas!$B$6,Cenários!AQ32,Cenários!AQ78,Cenários!AQ124)</f>
        <v>-180287.3052</v>
      </c>
      <c r="AR24" s="168" t="n">
        <f aca="false">CHOOSE(Premissas!$B$6,Cenários!AR32,Cenários!AR78,Cenários!AR124)</f>
        <v>-186783.0408</v>
      </c>
      <c r="AS24" s="168" t="n">
        <f aca="false">CHOOSE(Premissas!$B$6,Cenários!AS32,Cenários!AS78,Cenários!AS124)</f>
        <v>-192841.3872</v>
      </c>
      <c r="AT24" s="168" t="n">
        <f aca="false">CHOOSE(Premissas!$B$6,Cenários!AT32,Cenários!AT78,Cenários!AT124)</f>
        <v>-198497.6604</v>
      </c>
      <c r="AU24" s="168" t="n">
        <f aca="false">CHOOSE(Premissas!$B$6,Cenários!AU32,Cenários!AU78,Cenários!AU124)</f>
        <v>-203782.2516</v>
      </c>
      <c r="AV24" s="168" t="n">
        <f aca="false">CHOOSE(Premissas!$B$6,Cenários!AV32,Cenários!AV78,Cenários!AV124)</f>
        <v>-208718.7048</v>
      </c>
      <c r="AW24" s="168" t="n">
        <f aca="false">CHOOSE(Premissas!$B$6,Cenários!AW32,Cenários!AW78,Cenários!AW124)</f>
        <v>-213319.0728</v>
      </c>
      <c r="AX24" s="168" t="n">
        <f aca="false">CHOOSE(Premissas!$B$6,Cenários!AX32,Cenários!AX78,Cenários!AX124)</f>
        <v>-230108.7075</v>
      </c>
      <c r="AY24" s="168" t="n">
        <f aca="false">CHOOSE(Premissas!$B$6,Cenários!AY32,Cenários!AY78,Cenários!AY124)</f>
        <v>-243739.44</v>
      </c>
      <c r="AZ24" s="168" t="n">
        <f aca="false">CHOOSE(Premissas!$B$6,Cenários!AZ32,Cenários!AZ78,Cenários!AZ124)</f>
        <v>-256508.154</v>
      </c>
      <c r="BA24" s="168" t="n">
        <f aca="false">CHOOSE(Premissas!$B$6,Cenários!BA32,Cenários!BA78,Cenários!BA124)</f>
        <v>-268491.2265</v>
      </c>
      <c r="BB24" s="168" t="n">
        <f aca="false">CHOOSE(Premissas!$B$6,Cenários!BB32,Cenários!BB78,Cenários!BB124)</f>
        <v>-279722.2155</v>
      </c>
      <c r="BC24" s="168" t="n">
        <f aca="false">CHOOSE(Premissas!$B$6,Cenários!BC32,Cenários!BC78,Cenários!BC124)</f>
        <v>-290246.2185</v>
      </c>
      <c r="BD24" s="168" t="n">
        <f aca="false">CHOOSE(Premissas!$B$6,Cenários!BD32,Cenários!BD78,Cenários!BD124)</f>
        <v>-300122.739</v>
      </c>
      <c r="BE24" s="168" t="n">
        <f aca="false">CHOOSE(Premissas!$B$6,Cenários!BE32,Cenários!BE78,Cenários!BE124)</f>
        <v>-309379.3185</v>
      </c>
      <c r="BF24" s="168" t="n">
        <f aca="false">CHOOSE(Premissas!$B$6,Cenários!BF32,Cenários!BF78,Cenários!BF124)</f>
        <v>-318060.687</v>
      </c>
      <c r="BG24" s="168" t="n">
        <f aca="false">CHOOSE(Premissas!$B$6,Cenários!BG32,Cenários!BG78,Cenários!BG124)</f>
        <v>-326185.9965</v>
      </c>
      <c r="BH24" s="168" t="n">
        <f aca="false">CHOOSE(Premissas!$B$6,Cenários!BH32,Cenários!BH78,Cenários!BH124)</f>
        <v>-333814.7505</v>
      </c>
      <c r="BI24" s="168" t="n">
        <f aca="false">CHOOSE(Premissas!$B$6,Cenários!BI32,Cenários!BI78,Cenários!BI124)</f>
        <v>-340964.778</v>
      </c>
      <c r="BJ24" s="154" t="n">
        <f aca="false">SUM(B24:BI24)</f>
        <v>-7439957.6325</v>
      </c>
      <c r="BK24" s="155" t="n">
        <f aca="false">IFERROR(BJ24/BJ$28,0)</f>
        <v>0.11436047951804</v>
      </c>
    </row>
    <row r="25" customFormat="false" ht="15.75" hidden="false" customHeight="true" outlineLevel="0" collapsed="false">
      <c r="A25" s="49" t="s">
        <v>458</v>
      </c>
      <c r="B25" s="168" t="n">
        <f aca="false">CHOOSE(Premissas!$B$6,Cenários!B33,Cenários!B79,Cenários!B125)</f>
        <v>-0</v>
      </c>
      <c r="C25" s="168" t="n">
        <f aca="false">CHOOSE(Premissas!$B$6,Cenários!C33,Cenários!C79,Cenários!C125)</f>
        <v>-0</v>
      </c>
      <c r="D25" s="168" t="n">
        <f aca="false">CHOOSE(Premissas!$B$6,Cenários!D33,Cenários!D79,Cenários!D125)</f>
        <v>-0</v>
      </c>
      <c r="E25" s="168" t="n">
        <f aca="false">CHOOSE(Premissas!$B$6,Cenários!E33,Cenários!E79,Cenários!E125)</f>
        <v>-0</v>
      </c>
      <c r="F25" s="168" t="n">
        <f aca="false">CHOOSE(Premissas!$B$6,Cenários!F33,Cenários!F79,Cenários!F125)</f>
        <v>-0</v>
      </c>
      <c r="G25" s="168" t="n">
        <f aca="false">CHOOSE(Premissas!$B$6,Cenários!G33,Cenários!G79,Cenários!G125)</f>
        <v>-0</v>
      </c>
      <c r="H25" s="168" t="n">
        <f aca="false">CHOOSE(Premissas!$B$6,Cenários!H33,Cenários!H79,Cenários!H125)</f>
        <v>-0</v>
      </c>
      <c r="I25" s="168" t="n">
        <f aca="false">CHOOSE(Premissas!$B$6,Cenários!I33,Cenários!I79,Cenários!I125)</f>
        <v>-0</v>
      </c>
      <c r="J25" s="168" t="n">
        <f aca="false">CHOOSE(Premissas!$B$6,Cenários!J33,Cenários!J79,Cenários!J125)</f>
        <v>-0</v>
      </c>
      <c r="K25" s="168" t="n">
        <f aca="false">CHOOSE(Premissas!$B$6,Cenários!K33,Cenários!K79,Cenários!K125)</f>
        <v>-0</v>
      </c>
      <c r="L25" s="168" t="n">
        <f aca="false">CHOOSE(Premissas!$B$6,Cenários!L33,Cenários!L79,Cenários!L125)</f>
        <v>-0</v>
      </c>
      <c r="M25" s="168" t="n">
        <f aca="false">CHOOSE(Premissas!$B$6,Cenários!M33,Cenários!M79,Cenários!M125)</f>
        <v>-48.53925</v>
      </c>
      <c r="N25" s="168" t="n">
        <f aca="false">CHOOSE(Premissas!$B$6,Cenários!N33,Cenários!N79,Cenários!N125)</f>
        <v>-428.720679</v>
      </c>
      <c r="O25" s="168" t="n">
        <f aca="false">CHOOSE(Premissas!$B$6,Cenários!O33,Cenários!O79,Cenários!O125)</f>
        <v>-912.9297555792</v>
      </c>
      <c r="P25" s="168" t="n">
        <f aca="false">CHOOSE(Premissas!$B$6,Cenários!P33,Cenários!P79,Cenários!P125)</f>
        <v>-1542.47451999964</v>
      </c>
      <c r="Q25" s="168" t="n">
        <f aca="false">CHOOSE(Premissas!$B$6,Cenários!Q33,Cenários!Q79,Cenários!Q125)</f>
        <v>-2300.41520309567</v>
      </c>
      <c r="R25" s="168" t="n">
        <f aca="false">CHOOSE(Premissas!$B$6,Cenários!R33,Cenários!R79,Cenários!R125)</f>
        <v>-3172.66447466288</v>
      </c>
      <c r="S25" s="168" t="n">
        <f aca="false">CHOOSE(Premissas!$B$6,Cenários!S33,Cenários!S79,Cenários!S125)</f>
        <v>-3601.47324532823</v>
      </c>
      <c r="T25" s="168" t="n">
        <f aca="false">CHOOSE(Premissas!$B$6,Cenários!T33,Cenários!T79,Cenários!T125)</f>
        <v>-3997.69963291954</v>
      </c>
      <c r="U25" s="168" t="n">
        <f aca="false">CHOOSE(Premissas!$B$6,Cenários!U33,Cenários!U79,Cenários!U125)</f>
        <v>-4364.453103524</v>
      </c>
      <c r="V25" s="168" t="n">
        <f aca="false">CHOOSE(Premissas!$B$6,Cenários!V33,Cenários!V79,Cenários!V125)</f>
        <v>-4704.10649665899</v>
      </c>
      <c r="W25" s="168" t="n">
        <f aca="false">CHOOSE(Premissas!$B$6,Cenários!W33,Cenários!W79,Cenários!W125)</f>
        <v>-5017.57824327023</v>
      </c>
      <c r="X25" s="168" t="n">
        <f aca="false">CHOOSE(Premissas!$B$6,Cenários!X33,Cenários!X79,Cenários!X125)</f>
        <v>-5307.92908461631</v>
      </c>
      <c r="Y25" s="168" t="n">
        <f aca="false">CHOOSE(Premissas!$B$6,Cenários!Y33,Cenários!Y79,Cenários!Y125)</f>
        <v>-5576.04859949317</v>
      </c>
      <c r="Z25" s="168" t="n">
        <f aca="false">CHOOSE(Premissas!$B$6,Cenários!Z33,Cenários!Z79,Cenários!Z125)</f>
        <v>-8611.80334976566</v>
      </c>
      <c r="AA25" s="168" t="n">
        <f aca="false">CHOOSE(Premissas!$B$6,Cenários!AA33,Cenários!AA79,Cenários!AA125)</f>
        <v>-9397.00624010142</v>
      </c>
      <c r="AB25" s="168" t="n">
        <f aca="false">CHOOSE(Premissas!$B$6,Cenários!AB33,Cenários!AB79,Cenários!AB125)</f>
        <v>-10127.3204230771</v>
      </c>
      <c r="AC25" s="168" t="n">
        <f aca="false">CHOOSE(Premissas!$B$6,Cenários!AC33,Cenários!AC79,Cenários!AC125)</f>
        <v>-10806.0064784267</v>
      </c>
      <c r="AD25" s="168" t="n">
        <f aca="false">CHOOSE(Premissas!$B$6,Cenários!AD33,Cenários!AD79,Cenários!AD125)</f>
        <v>-11436.7228234516</v>
      </c>
      <c r="AE25" s="168" t="n">
        <f aca="false">CHOOSE(Premissas!$B$6,Cenários!AE33,Cenários!AE79,Cenários!AE125)</f>
        <v>-12022.8102188475</v>
      </c>
      <c r="AF25" s="168" t="n">
        <f aca="false">CHOOSE(Premissas!$B$6,Cenários!AF33,Cenários!AF79,Cenários!AF125)</f>
        <v>-12567.0834900696</v>
      </c>
      <c r="AG25" s="168" t="n">
        <f aca="false">CHOOSE(Premissas!$B$6,Cenários!AG33,Cenários!AG79,Cenários!AG125)</f>
        <v>-13073.1182255116</v>
      </c>
      <c r="AH25" s="168" t="n">
        <f aca="false">CHOOSE(Premissas!$B$6,Cenários!AH33,Cenários!AH79,Cenários!AH125)</f>
        <v>-13542.9519619706</v>
      </c>
      <c r="AI25" s="168" t="n">
        <f aca="false">CHOOSE(Premissas!$B$6,Cenários!AI33,Cenários!AI79,Cenários!AI125)</f>
        <v>-13979.6553671348</v>
      </c>
      <c r="AJ25" s="168" t="n">
        <f aca="false">CHOOSE(Premissas!$B$6,Cenários!AJ33,Cenários!AJ79,Cenários!AJ125)</f>
        <v>-14386.1953031388</v>
      </c>
      <c r="AK25" s="168" t="n">
        <f aca="false">CHOOSE(Premissas!$B$6,Cenários!AK33,Cenários!AK79,Cenários!AK125)</f>
        <v>-14764.0491545945</v>
      </c>
      <c r="AL25" s="168" t="n">
        <f aca="false">CHOOSE(Premissas!$B$6,Cenários!AL33,Cenários!AL79,Cenários!AL125)</f>
        <v>-19277.6300279225</v>
      </c>
      <c r="AM25" s="168" t="n">
        <f aca="false">CHOOSE(Premissas!$B$6,Cenários!AM33,Cenários!AM79,Cenários!AM125)</f>
        <v>-20536.8963119306</v>
      </c>
      <c r="AN25" s="168" t="n">
        <f aca="false">CHOOSE(Premissas!$B$6,Cenários!AN33,Cenários!AN79,Cenários!AN125)</f>
        <v>-21711.3266127112</v>
      </c>
      <c r="AO25" s="168" t="n">
        <f aca="false">CHOOSE(Premissas!$B$6,Cenários!AO33,Cenários!AO79,Cenários!AO125)</f>
        <v>-22808.6629544832</v>
      </c>
      <c r="AP25" s="168" t="n">
        <f aca="false">CHOOSE(Premissas!$B$6,Cenários!AP33,Cenários!AP79,Cenários!AP125)</f>
        <v>-23833.4779357709</v>
      </c>
      <c r="AQ25" s="168" t="n">
        <f aca="false">CHOOSE(Premissas!$B$6,Cenários!AQ33,Cenários!AQ79,Cenários!AQ125)</f>
        <v>-24789.6518281405</v>
      </c>
      <c r="AR25" s="168" t="n">
        <f aca="false">CHOOSE(Premissas!$B$6,Cenários!AR33,Cenários!AR79,Cenários!AR125)</f>
        <v>-25682.7561878394</v>
      </c>
      <c r="AS25" s="168" t="n">
        <f aca="false">CHOOSE(Premissas!$B$6,Cenários!AS33,Cenários!AS79,Cenários!AS125)</f>
        <v>-26515.8436567562</v>
      </c>
      <c r="AT25" s="168" t="n">
        <f aca="false">CHOOSE(Premissas!$B$6,Cenários!AT33,Cenários!AT79,Cenários!AT125)</f>
        <v>-27293.6316680291</v>
      </c>
      <c r="AU25" s="168" t="n">
        <f aca="false">CHOOSE(Premissas!$B$6,Cenários!AU33,Cenários!AU79,Cenários!AU125)</f>
        <v>-28020.2234106134</v>
      </c>
      <c r="AV25" s="168" t="n">
        <f aca="false">CHOOSE(Premissas!$B$6,Cenários!AV33,Cenários!AV79,Cenários!AV125)</f>
        <v>-28698.886186165</v>
      </c>
      <c r="AW25" s="168" t="n">
        <f aca="false">CHOOSE(Premissas!$B$6,Cenários!AW33,Cenários!AW79,Cenários!AW125)</f>
        <v>-29331.512070712</v>
      </c>
      <c r="AX25" s="168" t="n">
        <f aca="false">CHOOSE(Premissas!$B$6,Cenários!AX33,Cenários!AX79,Cenários!AX125)</f>
        <v>-35515.372743792</v>
      </c>
      <c r="AY25" s="168" t="n">
        <f aca="false">CHOOSE(Premissas!$B$6,Cenários!AY33,Cenários!AY79,Cenários!AY125)</f>
        <v>-37619.106311253</v>
      </c>
      <c r="AZ25" s="168" t="n">
        <f aca="false">CHOOSE(Premissas!$B$6,Cenários!AZ33,Cenários!AZ79,Cenários!AZ125)</f>
        <v>-39590.0723302762</v>
      </c>
      <c r="BA25" s="168" t="n">
        <f aca="false">CHOOSE(Premissas!$B$6,Cenários!BA33,Cenários!BA79,Cenários!BA125)</f>
        <v>-41439.4608589748</v>
      </c>
      <c r="BB25" s="168" t="n">
        <f aca="false">CHOOSE(Premissas!$B$6,Cenários!BB33,Cenários!BB79,Cenários!BB125)</f>
        <v>-43172.8710755004</v>
      </c>
      <c r="BC25" s="168" t="n">
        <f aca="false">CHOOSE(Premissas!$B$6,Cenários!BC33,Cenários!BC79,Cenários!BC125)</f>
        <v>-44797.30557336</v>
      </c>
      <c r="BD25" s="168" t="n">
        <f aca="false">CHOOSE(Premissas!$B$6,Cenários!BD33,Cenários!BD79,Cenários!BD125)</f>
        <v>-46321.5439228655</v>
      </c>
      <c r="BE25" s="168" t="n">
        <f aca="false">CHOOSE(Premissas!$B$6,Cenários!BE33,Cenários!BE79,Cenários!BE125)</f>
        <v>-47750.1857695679</v>
      </c>
      <c r="BF25" s="168" t="n">
        <f aca="false">CHOOSE(Premissas!$B$6,Cenários!BF33,Cenários!BF79,Cenários!BF125)</f>
        <v>-49089.9745892284</v>
      </c>
      <c r="BG25" s="168" t="n">
        <f aca="false">CHOOSE(Premissas!$B$6,Cenários!BG33,Cenários!BG79,Cenários!BG125)</f>
        <v>-50344.3032676545</v>
      </c>
      <c r="BH25" s="168" t="n">
        <f aca="false">CHOOSE(Premissas!$B$6,Cenários!BH33,Cenários!BH79,Cenários!BH125)</f>
        <v>-51521.6946225876</v>
      </c>
      <c r="BI25" s="168" t="n">
        <f aca="false">CHOOSE(Premissas!$B$6,Cenários!BI33,Cenários!BI79,Cenários!BI125)</f>
        <v>-52625.2588337527</v>
      </c>
      <c r="BJ25" s="154" t="n">
        <f aca="false">SUM(B25:BI25)</f>
        <v>-1023977.40407412</v>
      </c>
      <c r="BK25" s="155" t="n">
        <f aca="false">IFERROR(BJ25/BJ$28,0)</f>
        <v>0.0157396792737118</v>
      </c>
    </row>
    <row r="26" customFormat="false" ht="15.75" hidden="false" customHeight="true" outlineLevel="0" collapsed="false">
      <c r="A26" s="49" t="s">
        <v>459</v>
      </c>
      <c r="B26" s="168" t="n">
        <f aca="false">CHOOSE(Premissas!$B$6,Cenários!B31,Cenários!B77,Cenários!B123)</f>
        <v>-0</v>
      </c>
      <c r="C26" s="168" t="n">
        <f aca="false">CHOOSE(Premissas!$B$6,Cenários!C31,Cenários!C77,Cenários!C123)</f>
        <v>-0</v>
      </c>
      <c r="D26" s="168" t="n">
        <f aca="false">CHOOSE(Premissas!$B$6,Cenários!D31,Cenários!D77,Cenários!D123)</f>
        <v>-0</v>
      </c>
      <c r="E26" s="168" t="n">
        <f aca="false">CHOOSE(Premissas!$B$6,Cenários!E31,Cenários!E77,Cenários!E123)</f>
        <v>-0</v>
      </c>
      <c r="F26" s="168" t="n">
        <f aca="false">CHOOSE(Premissas!$B$6,Cenários!F31,Cenários!F77,Cenários!F123)</f>
        <v>-0</v>
      </c>
      <c r="G26" s="168" t="n">
        <f aca="false">CHOOSE(Premissas!$B$6,Cenários!G31,Cenários!G77,Cenários!G123)</f>
        <v>-0</v>
      </c>
      <c r="H26" s="168" t="n">
        <f aca="false">CHOOSE(Premissas!$B$6,Cenários!H31,Cenários!H77,Cenários!H123)</f>
        <v>-0</v>
      </c>
      <c r="I26" s="168" t="n">
        <f aca="false">CHOOSE(Premissas!$B$6,Cenários!I31,Cenários!I77,Cenários!I123)</f>
        <v>-0</v>
      </c>
      <c r="J26" s="168" t="n">
        <f aca="false">CHOOSE(Premissas!$B$6,Cenários!J31,Cenários!J77,Cenários!J123)</f>
        <v>-0</v>
      </c>
      <c r="K26" s="168" t="n">
        <f aca="false">CHOOSE(Premissas!$B$6,Cenários!K31,Cenários!K77,Cenários!K123)</f>
        <v>-0</v>
      </c>
      <c r="L26" s="168" t="n">
        <f aca="false">CHOOSE(Premissas!$B$6,Cenários!L31,Cenários!L77,Cenários!L123)</f>
        <v>-0</v>
      </c>
      <c r="M26" s="168" t="n">
        <f aca="false">CHOOSE(Premissas!$B$6,Cenários!M31,Cenários!M77,Cenários!M123)</f>
        <v>-1114.605</v>
      </c>
      <c r="N26" s="168" t="n">
        <f aca="false">CHOOSE(Premissas!$B$6,Cenários!N31,Cenários!N77,Cenários!N123)</f>
        <v>-5954.939761</v>
      </c>
      <c r="O26" s="168" t="n">
        <f aca="false">CHOOSE(Premissas!$B$6,Cenários!O31,Cenários!O77,Cenários!O123)</f>
        <v>-13517.7930247728</v>
      </c>
      <c r="P26" s="168" t="n">
        <f aca="false">CHOOSE(Premissas!$B$6,Cenários!P31,Cenários!P77,Cenários!P123)</f>
        <v>-24417.0277911099</v>
      </c>
      <c r="Q26" s="168" t="n">
        <f aca="false">CHOOSE(Premissas!$B$6,Cenários!Q31,Cenários!Q77,Cenários!Q123)</f>
        <v>-39679.6343298131</v>
      </c>
      <c r="R26" s="168" t="n">
        <f aca="false">CHOOSE(Premissas!$B$6,Cenários!R31,Cenários!R77,Cenários!R123)</f>
        <v>-58938.8533208802</v>
      </c>
      <c r="S26" s="168" t="n">
        <f aca="false">CHOOSE(Premissas!$B$6,Cenários!S31,Cenários!S77,Cenários!S123)</f>
        <v>-70051.2129049159</v>
      </c>
      <c r="T26" s="168" t="n">
        <f aca="false">CHOOSE(Premissas!$B$6,Cenários!T31,Cenários!T77,Cenários!T123)</f>
        <v>-80093.8938910857</v>
      </c>
      <c r="U26" s="168" t="n">
        <f aca="false">CHOOSE(Premissas!$B$6,Cenários!U31,Cenários!U77,Cenários!U123)</f>
        <v>-88868.6381338144</v>
      </c>
      <c r="V26" s="168" t="n">
        <f aca="false">CHOOSE(Premissas!$B$6,Cenários!V31,Cenários!V77,Cenários!V123)</f>
        <v>-98590.1686841606</v>
      </c>
      <c r="W26" s="168" t="n">
        <f aca="false">CHOOSE(Premissas!$B$6,Cenários!W31,Cenários!W77,Cenários!W123)</f>
        <v>-108341.597278833</v>
      </c>
      <c r="X26" s="168" t="n">
        <f aca="false">CHOOSE(Premissas!$B$6,Cenários!X31,Cenários!X77,Cenários!X123)</f>
        <v>-116696.155984977</v>
      </c>
      <c r="Y26" s="168" t="n">
        <f aca="false">CHOOSE(Premissas!$B$6,Cenários!Y31,Cenários!Y77,Cenários!Y123)</f>
        <v>-92467.1803558589</v>
      </c>
      <c r="Z26" s="168" t="n">
        <f aca="false">CHOOSE(Premissas!$B$6,Cenários!Z31,Cenários!Z77,Cenários!Z123)</f>
        <v>-126723.70696705</v>
      </c>
      <c r="AA26" s="168" t="n">
        <f aca="false">CHOOSE(Premissas!$B$6,Cenários!AA31,Cenários!AA77,Cenários!AA123)</f>
        <v>-126393.042348524</v>
      </c>
      <c r="AB26" s="168" t="n">
        <f aca="false">CHOOSE(Premissas!$B$6,Cenários!AB31,Cenários!AB77,Cenários!AB123)</f>
        <v>-136079.888785022</v>
      </c>
      <c r="AC26" s="168" t="n">
        <f aca="false">CHOOSE(Premissas!$B$6,Cenários!AC31,Cenários!AC77,Cenários!AC123)</f>
        <v>-145081.938022824</v>
      </c>
      <c r="AD26" s="168" t="n">
        <f aca="false">CHOOSE(Premissas!$B$6,Cenários!AD31,Cenários!AD77,Cenários!AD123)</f>
        <v>-153447.726604326</v>
      </c>
      <c r="AE26" s="168" t="n">
        <f aca="false">CHOOSE(Premissas!$B$6,Cenários!AE31,Cenários!AE77,Cenários!AE123)</f>
        <v>-161221.502971395</v>
      </c>
      <c r="AF26" s="168" t="n">
        <f aca="false">CHOOSE(Premissas!$B$6,Cenários!AF31,Cenários!AF77,Cenários!AF123)</f>
        <v>-168440.181362853</v>
      </c>
      <c r="AG26" s="168" t="n">
        <f aca="false">CHOOSE(Premissas!$B$6,Cenários!AG31,Cenários!AG77,Cenários!AG123)</f>
        <v>-175151.99774419</v>
      </c>
      <c r="AH26" s="168" t="n">
        <f aca="false">CHOOSE(Premissas!$B$6,Cenários!AH31,Cenários!AH77,Cenários!AH123)</f>
        <v>-181383.121527551</v>
      </c>
      <c r="AI26" s="168" t="n">
        <f aca="false">CHOOSE(Premissas!$B$6,Cenários!AI31,Cenários!AI77,Cenários!AI123)</f>
        <v>-187174.959397291</v>
      </c>
      <c r="AJ26" s="168" t="n">
        <f aca="false">CHOOSE(Premissas!$B$6,Cenários!AJ31,Cenários!AJ77,Cenários!AJ123)</f>
        <v>-192567.635023946</v>
      </c>
      <c r="AK26" s="168" t="n">
        <f aca="false">CHOOSE(Premissas!$B$6,Cenários!AK31,Cenários!AK77,Cenários!AK123)</f>
        <v>-197579.859447117</v>
      </c>
      <c r="AL26" s="168" t="n">
        <f aca="false">CHOOSE(Premissas!$B$6,Cenários!AL31,Cenários!AL77,Cenários!AL123)</f>
        <v>-224343.383722039</v>
      </c>
      <c r="AM26" s="168" t="n">
        <f aca="false">CHOOSE(Premissas!$B$6,Cenários!AM31,Cenários!AM77,Cenários!AM123)</f>
        <v>-238883.754069828</v>
      </c>
      <c r="AN26" s="168" t="n">
        <f aca="false">CHOOSE(Premissas!$B$6,Cenários!AN31,Cenários!AN77,Cenários!AN123)</f>
        <v>-252442.906308705</v>
      </c>
      <c r="AO26" s="168" t="n">
        <f aca="false">CHOOSE(Premissas!$B$6,Cenários!AO31,Cenários!AO77,Cenários!AO123)</f>
        <v>-265113.320001936</v>
      </c>
      <c r="AP26" s="168" t="n">
        <f aca="false">CHOOSE(Premissas!$B$6,Cenários!AP31,Cenários!AP77,Cenários!AP123)</f>
        <v>-276946.920189498</v>
      </c>
      <c r="AQ26" s="168" t="n">
        <f aca="false">CHOOSE(Premissas!$B$6,Cenários!AQ31,Cenários!AQ77,Cenários!AQ123)</f>
        <v>-287987.146672963</v>
      </c>
      <c r="AR26" s="168" t="n">
        <f aca="false">CHOOSE(Premissas!$B$6,Cenários!AR31,Cenários!AR77,Cenários!AR123)</f>
        <v>-298299.813983693</v>
      </c>
      <c r="AS26" s="168" t="n">
        <f aca="false">CHOOSE(Premissas!$B$6,Cenários!AS31,Cenários!AS77,Cenários!AS123)</f>
        <v>-307918.515623917</v>
      </c>
      <c r="AT26" s="168" t="n">
        <f aca="false">CHOOSE(Premissas!$B$6,Cenários!AT31,Cenários!AT77,Cenários!AT123)</f>
        <v>-316898.817986337</v>
      </c>
      <c r="AU26" s="168" t="n">
        <f aca="false">CHOOSE(Premissas!$B$6,Cenários!AU31,Cenários!AU77,Cenários!AU123)</f>
        <v>-325288.696974159</v>
      </c>
      <c r="AV26" s="168" t="n">
        <f aca="false">CHOOSE(Premissas!$B$6,Cenários!AV31,Cenários!AV77,Cenários!AV123)</f>
        <v>-333125.640830061</v>
      </c>
      <c r="AW26" s="168" t="n">
        <f aca="false">CHOOSE(Premissas!$B$6,Cenários!AW31,Cenários!AW77,Cenários!AW123)</f>
        <v>-340429.637169317</v>
      </c>
      <c r="AX26" s="168" t="n">
        <f aca="false">CHOOSE(Premissas!$B$6,Cenários!AX31,Cenários!AX77,Cenários!AX123)</f>
        <v>-381148.496099694</v>
      </c>
      <c r="AY26" s="168" t="n">
        <f aca="false">CHOOSE(Premissas!$B$6,Cenários!AY31,Cenários!AY77,Cenários!AY123)</f>
        <v>-403622.035582836</v>
      </c>
      <c r="AZ26" s="168" t="n">
        <f aca="false">CHOOSE(Premissas!$B$6,Cenários!AZ31,Cenários!AZ77,Cenários!AZ123)</f>
        <v>-424675.325577647</v>
      </c>
      <c r="BA26" s="168" t="n">
        <f aca="false">CHOOSE(Premissas!$B$6,Cenários!BA31,Cenários!BA77,Cenários!BA123)</f>
        <v>-444432.12265568</v>
      </c>
      <c r="BB26" s="168" t="n">
        <f aca="false">CHOOSE(Premissas!$B$6,Cenários!BB31,Cenários!BB77,Cenários!BB123)</f>
        <v>-462949.279088316</v>
      </c>
      <c r="BC26" s="168" t="n">
        <f aca="false">CHOOSE(Premissas!$B$6,Cenários!BC31,Cenários!BC77,Cenários!BC123)</f>
        <v>-480301.302654326</v>
      </c>
      <c r="BD26" s="168" t="n">
        <f aca="false">CHOOSE(Premissas!$B$6,Cenários!BD31,Cenários!BD77,Cenários!BD123)</f>
        <v>-496584.832915865</v>
      </c>
      <c r="BE26" s="168" t="n">
        <f aca="false">CHOOSE(Premissas!$B$6,Cenários!BE31,Cenários!BE77,Cenários!BE123)</f>
        <v>-511846.544988565</v>
      </c>
      <c r="BF26" s="168" t="n">
        <f aca="false">CHOOSE(Premissas!$B$6,Cenários!BF31,Cenários!BF77,Cenários!BF123)</f>
        <v>-526159.606256689</v>
      </c>
      <c r="BG26" s="168" t="n">
        <f aca="false">CHOOSE(Premissas!$B$6,Cenários!BG31,Cenários!BG77,Cenários!BG123)</f>
        <v>-539557.179269844</v>
      </c>
      <c r="BH26" s="168" t="n">
        <f aca="false">CHOOSE(Premissas!$B$6,Cenários!BH31,Cenários!BH77,Cenários!BH123)</f>
        <v>-552134.971863635</v>
      </c>
      <c r="BI26" s="168" t="n">
        <f aca="false">CHOOSE(Premissas!$B$6,Cenários!BI31,Cenários!BI77,Cenários!BI123)</f>
        <v>-563923.680372707</v>
      </c>
      <c r="BJ26" s="154" t="n">
        <f aca="false">SUM(B26:BI26)</f>
        <v>-12004991.1915216</v>
      </c>
      <c r="BK26" s="155" t="n">
        <f aca="false">IFERROR(BJ26/BJ$28,0)</f>
        <v>0.184530156902375</v>
      </c>
    </row>
    <row r="27" customFormat="false" ht="15.75" hidden="false" customHeight="true" outlineLevel="0" collapsed="false">
      <c r="A27" s="49" t="s">
        <v>460</v>
      </c>
      <c r="B27" s="168" t="n">
        <f aca="false" t="array" ref="B27:B27">-IF(B$4&gt;=Premissas!$B$96,INDEX(Premissas!$C$97:$G$97,B$7),0)</f>
        <v>-0</v>
      </c>
      <c r="C27" s="168" t="n">
        <f aca="false" t="array" ref="C27:C27">-IF(C$4&gt;=Premissas!$B$96,INDEX(Premissas!$C$97:$G$97,C$7),0)</f>
        <v>-0</v>
      </c>
      <c r="D27" s="168" t="n">
        <f aca="false" t="array" ref="D27:D27">-IF(D$4&gt;=Premissas!$B$96,INDEX(Premissas!$C$97:$G$97,D$7),0)</f>
        <v>-0</v>
      </c>
      <c r="E27" s="168" t="n">
        <f aca="false" t="array" ref="E27:E27">-IF(E$4&gt;=Premissas!$B$96,INDEX(Premissas!$C$97:$G$97,E$7),0)</f>
        <v>-0</v>
      </c>
      <c r="F27" s="168" t="n">
        <f aca="false" t="array" ref="F27:F27">-IF(F$4&gt;=Premissas!$B$96,INDEX(Premissas!$C$97:$G$97,F$7),0)</f>
        <v>-0</v>
      </c>
      <c r="G27" s="168" t="n">
        <f aca="false" t="array" ref="G27:G27">-IF(G$4&gt;=Premissas!$B$96,INDEX(Premissas!$C$97:$G$97,G$7),0)</f>
        <v>-0</v>
      </c>
      <c r="H27" s="168" t="n">
        <f aca="false" t="array" ref="H27:H27">-IF(H$4&gt;=Premissas!$B$96,INDEX(Premissas!$C$97:$G$97,H$7),0)</f>
        <v>-0</v>
      </c>
      <c r="I27" s="168" t="n">
        <f aca="false" t="array" ref="I27:I27">-IF(I$4&gt;=Premissas!$B$96,INDEX(Premissas!$C$97:$G$97,I$7),0)</f>
        <v>-0</v>
      </c>
      <c r="J27" s="168" t="n">
        <f aca="false" t="array" ref="J27:J27">-IF(J$4&gt;=Premissas!$B$96,INDEX(Premissas!$C$97:$G$97,J$7),0)</f>
        <v>-0</v>
      </c>
      <c r="K27" s="168" t="n">
        <f aca="false" t="array" ref="K27:K27">-IF(K$4&gt;=Premissas!$B$96,INDEX(Premissas!$C$97:$G$97,K$7),0)</f>
        <v>-0</v>
      </c>
      <c r="L27" s="168" t="n">
        <f aca="false" t="array" ref="L27:L27">-IF(L$4&gt;=Premissas!$B$96,INDEX(Premissas!$C$97:$G$97,L$7),0)</f>
        <v>-0</v>
      </c>
      <c r="M27" s="168" t="n">
        <f aca="false" t="array" ref="M27:M27">-IF(M$4&gt;=Premissas!$B$96,INDEX(Premissas!$C$97:$G$97,M$7),0)</f>
        <v>-0</v>
      </c>
      <c r="N27" s="168" t="n">
        <f aca="false" t="array" ref="N27:N27">-IF(N$4&gt;=Premissas!$B$96,INDEX(Premissas!$C$97:$G$97,N$7),0)</f>
        <v>-166.666666666667</v>
      </c>
      <c r="O27" s="168" t="n">
        <f aca="false" t="array" ref="O27:O27">-IF(O$4&gt;=Premissas!$B$96,INDEX(Premissas!$C$97:$G$97,O$7),0)</f>
        <v>-166.666666666667</v>
      </c>
      <c r="P27" s="168" t="n">
        <f aca="false" t="array" ref="P27:P27">-IF(P$4&gt;=Premissas!$B$96,INDEX(Premissas!$C$97:$G$97,P$7),0)</f>
        <v>-166.666666666667</v>
      </c>
      <c r="Q27" s="168" t="n">
        <f aca="false" t="array" ref="Q27:Q27">-IF(Q$4&gt;=Premissas!$B$96,INDEX(Premissas!$C$97:$G$97,Q$7),0)</f>
        <v>-166.666666666667</v>
      </c>
      <c r="R27" s="168" t="n">
        <f aca="false" t="array" ref="R27:R27">-IF(R$4&gt;=Premissas!$B$96,INDEX(Premissas!$C$97:$G$97,R$7),0)</f>
        <v>-166.666666666667</v>
      </c>
      <c r="S27" s="168" t="n">
        <f aca="false" t="array" ref="S27:S27">-IF(S$4&gt;=Premissas!$B$96,INDEX(Premissas!$C$97:$G$97,S$7),0)</f>
        <v>-166.666666666667</v>
      </c>
      <c r="T27" s="168" t="n">
        <f aca="false" t="array" ref="T27:T27">-IF(T$4&gt;=Premissas!$B$96,INDEX(Premissas!$C$97:$G$97,T$7),0)</f>
        <v>-166.666666666667</v>
      </c>
      <c r="U27" s="168" t="n">
        <f aca="false" t="array" ref="U27:U27">-IF(U$4&gt;=Premissas!$B$96,INDEX(Premissas!$C$97:$G$97,U$7),0)</f>
        <v>-166.666666666667</v>
      </c>
      <c r="V27" s="168" t="n">
        <f aca="false" t="array" ref="V27:V27">-IF(V$4&gt;=Premissas!$B$96,INDEX(Premissas!$C$97:$G$97,V$7),0)</f>
        <v>-166.666666666667</v>
      </c>
      <c r="W27" s="168" t="n">
        <f aca="false" t="array" ref="W27:W27">-IF(W$4&gt;=Premissas!$B$96,INDEX(Premissas!$C$97:$G$97,W$7),0)</f>
        <v>-166.666666666667</v>
      </c>
      <c r="X27" s="168" t="n">
        <f aca="false" t="array" ref="X27:X27">-IF(X$4&gt;=Premissas!$B$96,INDEX(Premissas!$C$97:$G$97,X$7),0)</f>
        <v>-166.666666666667</v>
      </c>
      <c r="Y27" s="168" t="n">
        <f aca="false" t="array" ref="Y27:Y27">-IF(Y$4&gt;=Premissas!$B$96,INDEX(Premissas!$C$97:$G$97,Y$7),0)</f>
        <v>-166.666666666667</v>
      </c>
      <c r="Z27" s="168" t="n">
        <f aca="false" t="array" ref="Z27:Z27">-IF(Z$4&gt;=Premissas!$B$96,INDEX(Premissas!$C$97:$G$97,Z$7),0)</f>
        <v>-416.666666666667</v>
      </c>
      <c r="AA27" s="168" t="n">
        <f aca="false" t="array" ref="AA27:AA27">-IF(AA$4&gt;=Premissas!$B$96,INDEX(Premissas!$C$97:$G$97,AA$7),0)</f>
        <v>-416.666666666667</v>
      </c>
      <c r="AB27" s="168" t="n">
        <f aca="false" t="array" ref="AB27:AB27">-IF(AB$4&gt;=Premissas!$B$96,INDEX(Premissas!$C$97:$G$97,AB$7),0)</f>
        <v>-416.666666666667</v>
      </c>
      <c r="AC27" s="168" t="n">
        <f aca="false" t="array" ref="AC27:AC27">-IF(AC$4&gt;=Premissas!$B$96,INDEX(Premissas!$C$97:$G$97,AC$7),0)</f>
        <v>-416.666666666667</v>
      </c>
      <c r="AD27" s="168" t="n">
        <f aca="false" t="array" ref="AD27:AD27">-IF(AD$4&gt;=Premissas!$B$96,INDEX(Premissas!$C$97:$G$97,AD$7),0)</f>
        <v>-416.666666666667</v>
      </c>
      <c r="AE27" s="168" t="n">
        <f aca="false" t="array" ref="AE27:AE27">-IF(AE$4&gt;=Premissas!$B$96,INDEX(Premissas!$C$97:$G$97,AE$7),0)</f>
        <v>-416.666666666667</v>
      </c>
      <c r="AF27" s="168" t="n">
        <f aca="false" t="array" ref="AF27:AF27">-IF(AF$4&gt;=Premissas!$B$96,INDEX(Premissas!$C$97:$G$97,AF$7),0)</f>
        <v>-416.666666666667</v>
      </c>
      <c r="AG27" s="168" t="n">
        <f aca="false" t="array" ref="AG27:AG27">-IF(AG$4&gt;=Premissas!$B$96,INDEX(Premissas!$C$97:$G$97,AG$7),0)</f>
        <v>-416.666666666667</v>
      </c>
      <c r="AH27" s="168" t="n">
        <f aca="false" t="array" ref="AH27:AH27">-IF(AH$4&gt;=Premissas!$B$96,INDEX(Premissas!$C$97:$G$97,AH$7),0)</f>
        <v>-416.666666666667</v>
      </c>
      <c r="AI27" s="168" t="n">
        <f aca="false" t="array" ref="AI27:AI27">-IF(AI$4&gt;=Premissas!$B$96,INDEX(Premissas!$C$97:$G$97,AI$7),0)</f>
        <v>-416.666666666667</v>
      </c>
      <c r="AJ27" s="168" t="n">
        <f aca="false" t="array" ref="AJ27:AJ27">-IF(AJ$4&gt;=Premissas!$B$96,INDEX(Premissas!$C$97:$G$97,AJ$7),0)</f>
        <v>-416.666666666667</v>
      </c>
      <c r="AK27" s="168" t="n">
        <f aca="false" t="array" ref="AK27:AK27">-IF(AK$4&gt;=Premissas!$B$96,INDEX(Premissas!$C$97:$G$97,AK$7),0)</f>
        <v>-416.666666666667</v>
      </c>
      <c r="AL27" s="168" t="n">
        <f aca="false" t="array" ref="AL27:AL27">-IF(AL$4&gt;=Premissas!$B$96,INDEX(Premissas!$C$97:$G$97,AL$7),0)</f>
        <v>-833.333333333333</v>
      </c>
      <c r="AM27" s="168" t="n">
        <f aca="false" t="array" ref="AM27:AM27">-IF(AM$4&gt;=Premissas!$B$96,INDEX(Premissas!$C$97:$G$97,AM$7),0)</f>
        <v>-833.333333333333</v>
      </c>
      <c r="AN27" s="168" t="n">
        <f aca="false" t="array" ref="AN27:AN27">-IF(AN$4&gt;=Premissas!$B$96,INDEX(Premissas!$C$97:$G$97,AN$7),0)</f>
        <v>-833.333333333333</v>
      </c>
      <c r="AO27" s="168" t="n">
        <f aca="false" t="array" ref="AO27:AO27">-IF(AO$4&gt;=Premissas!$B$96,INDEX(Premissas!$C$97:$G$97,AO$7),0)</f>
        <v>-833.333333333333</v>
      </c>
      <c r="AP27" s="168" t="n">
        <f aca="false" t="array" ref="AP27:AP27">-IF(AP$4&gt;=Premissas!$B$96,INDEX(Premissas!$C$97:$G$97,AP$7),0)</f>
        <v>-833.333333333333</v>
      </c>
      <c r="AQ27" s="168" t="n">
        <f aca="false" t="array" ref="AQ27:AQ27">-IF(AQ$4&gt;=Premissas!$B$96,INDEX(Premissas!$C$97:$G$97,AQ$7),0)</f>
        <v>-833.333333333333</v>
      </c>
      <c r="AR27" s="168" t="n">
        <f aca="false" t="array" ref="AR27:AR27">-IF(AR$4&gt;=Premissas!$B$96,INDEX(Premissas!$C$97:$G$97,AR$7),0)</f>
        <v>-833.333333333333</v>
      </c>
      <c r="AS27" s="168" t="n">
        <f aca="false" t="array" ref="AS27:AS27">-IF(AS$4&gt;=Premissas!$B$96,INDEX(Premissas!$C$97:$G$97,AS$7),0)</f>
        <v>-833.333333333333</v>
      </c>
      <c r="AT27" s="168" t="n">
        <f aca="false" t="array" ref="AT27:AT27">-IF(AT$4&gt;=Premissas!$B$96,INDEX(Premissas!$C$97:$G$97,AT$7),0)</f>
        <v>-833.333333333333</v>
      </c>
      <c r="AU27" s="168" t="n">
        <f aca="false" t="array" ref="AU27:AU27">-IF(AU$4&gt;=Premissas!$B$96,INDEX(Premissas!$C$97:$G$97,AU$7),0)</f>
        <v>-833.333333333333</v>
      </c>
      <c r="AV27" s="168" t="n">
        <f aca="false" t="array" ref="AV27:AV27">-IF(AV$4&gt;=Premissas!$B$96,INDEX(Premissas!$C$97:$G$97,AV$7),0)</f>
        <v>-833.333333333333</v>
      </c>
      <c r="AW27" s="168" t="n">
        <f aca="false" t="array" ref="AW27:AW27">-IF(AW$4&gt;=Premissas!$B$96,INDEX(Premissas!$C$97:$G$97,AW$7),0)</f>
        <v>-833.333333333333</v>
      </c>
      <c r="AX27" s="168" t="n">
        <f aca="false" t="array" ref="AX27:AX27">-IF(AX$4&gt;=Premissas!$B$96,INDEX(Premissas!$C$97:$G$97,AX$7),0)</f>
        <v>-1666.66666666667</v>
      </c>
      <c r="AY27" s="168" t="n">
        <f aca="false" t="array" ref="AY27:AY27">-IF(AY$4&gt;=Premissas!$B$96,INDEX(Premissas!$C$97:$G$97,AY$7),0)</f>
        <v>-1666.66666666667</v>
      </c>
      <c r="AZ27" s="168" t="n">
        <f aca="false" t="array" ref="AZ27:AZ27">-IF(AZ$4&gt;=Premissas!$B$96,INDEX(Premissas!$C$97:$G$97,AZ$7),0)</f>
        <v>-1666.66666666667</v>
      </c>
      <c r="BA27" s="168" t="n">
        <f aca="false" t="array" ref="BA27:BA27">-IF(BA$4&gt;=Premissas!$B$96,INDEX(Premissas!$C$97:$G$97,BA$7),0)</f>
        <v>-1666.66666666667</v>
      </c>
      <c r="BB27" s="168" t="n">
        <f aca="false" t="array" ref="BB27:BB27">-IF(BB$4&gt;=Premissas!$B$96,INDEX(Premissas!$C$97:$G$97,BB$7),0)</f>
        <v>-1666.66666666667</v>
      </c>
      <c r="BC27" s="168" t="n">
        <f aca="false" t="array" ref="BC27:BC27">-IF(BC$4&gt;=Premissas!$B$96,INDEX(Premissas!$C$97:$G$97,BC$7),0)</f>
        <v>-1666.66666666667</v>
      </c>
      <c r="BD27" s="168" t="n">
        <f aca="false" t="array" ref="BD27:BD27">-IF(BD$4&gt;=Premissas!$B$96,INDEX(Premissas!$C$97:$G$97,BD$7),0)</f>
        <v>-1666.66666666667</v>
      </c>
      <c r="BE27" s="168" t="n">
        <f aca="false" t="array" ref="BE27:BE27">-IF(BE$4&gt;=Premissas!$B$96,INDEX(Premissas!$C$97:$G$97,BE$7),0)</f>
        <v>-1666.66666666667</v>
      </c>
      <c r="BF27" s="168" t="n">
        <f aca="false" t="array" ref="BF27:BF27">-IF(BF$4&gt;=Premissas!$B$96,INDEX(Premissas!$C$97:$G$97,BF$7),0)</f>
        <v>-1666.66666666667</v>
      </c>
      <c r="BG27" s="168" t="n">
        <f aca="false" t="array" ref="BG27:BG27">-IF(BG$4&gt;=Premissas!$B$96,INDEX(Premissas!$C$97:$G$97,BG$7),0)</f>
        <v>-1666.66666666667</v>
      </c>
      <c r="BH27" s="168" t="n">
        <f aca="false" t="array" ref="BH27:BH27">-IF(BH$4&gt;=Premissas!$B$96,INDEX(Premissas!$C$97:$G$97,BH$7),0)</f>
        <v>-1666.66666666667</v>
      </c>
      <c r="BI27" s="168" t="n">
        <f aca="false" t="array" ref="BI27:BI27">-IF(BI$4&gt;=Premissas!$B$96,INDEX(Premissas!$C$97:$G$97,BI$7),0)</f>
        <v>-1666.66666666667</v>
      </c>
      <c r="BJ27" s="154" t="n">
        <f aca="false">SUM(B27:BI27)</f>
        <v>-37000</v>
      </c>
      <c r="BK27" s="155" t="n">
        <f aca="false">IFERROR(BJ27/BJ$28,0)</f>
        <v>0.000568731429824774</v>
      </c>
    </row>
    <row r="28" customFormat="false" ht="15.75" hidden="false" customHeight="true" outlineLevel="0" collapsed="false">
      <c r="A28" s="53" t="s">
        <v>461</v>
      </c>
      <c r="B28" s="154" t="n">
        <f aca="false">SUM(B16:B27)</f>
        <v>0</v>
      </c>
      <c r="C28" s="154" t="n">
        <f aca="false">SUM(C16:C27)</f>
        <v>0</v>
      </c>
      <c r="D28" s="154" t="n">
        <f aca="false">SUM(D16:D27)</f>
        <v>0</v>
      </c>
      <c r="E28" s="154" t="n">
        <f aca="false">SUM(E16:E27)</f>
        <v>0</v>
      </c>
      <c r="F28" s="154" t="n">
        <f aca="false">SUM(F16:F27)</f>
        <v>-600</v>
      </c>
      <c r="G28" s="154" t="n">
        <f aca="false">SUM(G16:G27)</f>
        <v>-600</v>
      </c>
      <c r="H28" s="154" t="n">
        <f aca="false">SUM(H16:H27)</f>
        <v>-600</v>
      </c>
      <c r="I28" s="154" t="n">
        <f aca="false">SUM(I16:I27)</f>
        <v>-600</v>
      </c>
      <c r="J28" s="154" t="n">
        <f aca="false">SUM(J16:J27)</f>
        <v>-600</v>
      </c>
      <c r="K28" s="154" t="n">
        <f aca="false">SUM(K16:K27)</f>
        <v>-600</v>
      </c>
      <c r="L28" s="154" t="n">
        <f aca="false">SUM(L16:L27)</f>
        <v>-2100</v>
      </c>
      <c r="M28" s="154" t="n">
        <f aca="false">SUM(M16:M27)</f>
        <v>-38126.69675</v>
      </c>
      <c r="N28" s="154" t="n">
        <f aca="false">SUM(N16:N27)</f>
        <v>-129408.090706667</v>
      </c>
      <c r="O28" s="154" t="n">
        <f aca="false">SUM(O16:O27)</f>
        <v>-162813.854171499</v>
      </c>
      <c r="P28" s="154" t="n">
        <f aca="false">SUM(P16:P27)</f>
        <v>-208363.609094175</v>
      </c>
      <c r="Q28" s="154" t="n">
        <f aca="false">SUM(Q16:Q27)</f>
        <v>-271576.071379221</v>
      </c>
      <c r="R28" s="154" t="n">
        <f aca="false">SUM(R16:R27)</f>
        <v>-341160.528935546</v>
      </c>
      <c r="S28" s="154" t="n">
        <f aca="false">SUM(S16:S27)</f>
        <v>-376462.749782652</v>
      </c>
      <c r="T28" s="154" t="n">
        <f aca="false">SUM(T16:T27)</f>
        <v>-408856.33433179</v>
      </c>
      <c r="U28" s="154" t="n">
        <f aca="false">SUM(U16:U27)</f>
        <v>-438320.328949711</v>
      </c>
      <c r="V28" s="154" t="n">
        <f aca="false">SUM(V16:V27)</f>
        <v>-467203.658200155</v>
      </c>
      <c r="W28" s="154" t="n">
        <f aca="false">SUM(W16:W27)</f>
        <v>-494638.057708518</v>
      </c>
      <c r="X28" s="154" t="n">
        <f aca="false">SUM(X16:X27)</f>
        <v>-519372.602844123</v>
      </c>
      <c r="Y28" s="154" t="n">
        <f aca="false">SUM(Y16:Y27)</f>
        <v>-510268.32994577</v>
      </c>
      <c r="Z28" s="154" t="n">
        <f aca="false">SUM(Z16:Z27)</f>
        <v>-707707.359966339</v>
      </c>
      <c r="AA28" s="154" t="n">
        <f aca="false">SUM(AA16:AA27)</f>
        <v>-740163.621736827</v>
      </c>
      <c r="AB28" s="154" t="n">
        <f aca="false">SUM(AB16:AB27)</f>
        <v>-780345.906799904</v>
      </c>
      <c r="AC28" s="154" t="n">
        <f aca="false">SUM(AC16:AC27)</f>
        <v>-817687.568524653</v>
      </c>
      <c r="AD28" s="154" t="n">
        <f aca="false">SUM(AD16:AD27)</f>
        <v>-852377.054528437</v>
      </c>
      <c r="AE28" s="154" t="n">
        <f aca="false">SUM(AE16:AE27)</f>
        <v>-884626.873098427</v>
      </c>
      <c r="AF28" s="154" t="n">
        <f aca="false">SUM(AF16:AF27)</f>
        <v>-914571.898643835</v>
      </c>
      <c r="AG28" s="154" t="n">
        <f aca="false">SUM(AG16:AG27)</f>
        <v>-942398.716729778</v>
      </c>
      <c r="AH28" s="154" t="n">
        <f aca="false">SUM(AH16:AH27)</f>
        <v>-968254.707009125</v>
      </c>
      <c r="AI28" s="154" t="n">
        <f aca="false">SUM(AI16:AI27)</f>
        <v>-992281.538921924</v>
      </c>
      <c r="AJ28" s="154" t="n">
        <f aca="false">SUM(AJ16:AJ27)</f>
        <v>-1014650.5006206</v>
      </c>
      <c r="AK28" s="154" t="n">
        <f aca="false">SUM(AK16:AK27)</f>
        <v>-1035430.52307331</v>
      </c>
      <c r="AL28" s="154" t="n">
        <f aca="false">SUM(AL16:AL27)</f>
        <v>-1330972.01491927</v>
      </c>
      <c r="AM28" s="154" t="n">
        <f aca="false">SUM(AM16:AM27)</f>
        <v>-1389838.27440823</v>
      </c>
      <c r="AN28" s="154" t="n">
        <f aca="false">SUM(AN16:AN27)</f>
        <v>-1444734.17836879</v>
      </c>
      <c r="AO28" s="154" t="n">
        <f aca="false">SUM(AO16:AO27)</f>
        <v>-1496020.68457944</v>
      </c>
      <c r="AP28" s="154" t="n">
        <f aca="false">SUM(AP16:AP27)</f>
        <v>-1543923.52681803</v>
      </c>
      <c r="AQ28" s="154" t="n">
        <f aca="false">SUM(AQ16:AQ27)</f>
        <v>-1588621.1354995</v>
      </c>
      <c r="AR28" s="154" t="n">
        <f aca="false">SUM(AR16:AR27)</f>
        <v>-1630362.4207216</v>
      </c>
      <c r="AS28" s="154" t="n">
        <f aca="false">SUM(AS16:AS27)</f>
        <v>-1669307.8288234</v>
      </c>
      <c r="AT28" s="154" t="n">
        <f aca="false">SUM(AT16:AT27)</f>
        <v>-1705655.67661441</v>
      </c>
      <c r="AU28" s="154" t="n">
        <f aca="false">SUM(AU16:AU27)</f>
        <v>-1739622.7718843</v>
      </c>
      <c r="AV28" s="154" t="n">
        <f aca="false">SUM(AV16:AV27)</f>
        <v>-1771343.18346707</v>
      </c>
      <c r="AW28" s="154" t="n">
        <f aca="false">SUM(AW16:AW27)</f>
        <v>-1800920.08079693</v>
      </c>
      <c r="AX28" s="154" t="n">
        <f aca="false">SUM(AX16:AX27)</f>
        <v>-2174144.97260677</v>
      </c>
      <c r="AY28" s="154" t="n">
        <f aca="false">SUM(AY16:AY27)</f>
        <v>-2263647.16114302</v>
      </c>
      <c r="AZ28" s="154" t="n">
        <f aca="false">SUM(AZ16:AZ27)</f>
        <v>-2347500.45514547</v>
      </c>
      <c r="BA28" s="154" t="n">
        <f aca="false">SUM(BA16:BA27)</f>
        <v>-2426184.51806877</v>
      </c>
      <c r="BB28" s="154" t="n">
        <f aca="false">SUM(BB16:BB27)</f>
        <v>-2499934.49617798</v>
      </c>
      <c r="BC28" s="154" t="n">
        <f aca="false">SUM(BC16:BC27)</f>
        <v>-2569047.66633301</v>
      </c>
      <c r="BD28" s="154" t="n">
        <f aca="false">SUM(BD16:BD27)</f>
        <v>-2633891.06187168</v>
      </c>
      <c r="BE28" s="154" t="n">
        <f aca="false">SUM(BE16:BE27)</f>
        <v>-2694680.75542766</v>
      </c>
      <c r="BF28" s="154" t="n">
        <f aca="false">SUM(BF16:BF27)</f>
        <v>-2751678.11829099</v>
      </c>
      <c r="BG28" s="154" t="n">
        <f aca="false">SUM(BG16:BG27)</f>
        <v>-2805042.985251</v>
      </c>
      <c r="BH28" s="154" t="n">
        <f aca="false">SUM(BH16:BH27)</f>
        <v>-2855139.06211388</v>
      </c>
      <c r="BI28" s="154" t="n">
        <f aca="false">SUM(BI16:BI27)</f>
        <v>-2902089.01226015</v>
      </c>
      <c r="BJ28" s="154" t="n">
        <f aca="false">SUM(B28:BI28)</f>
        <v>-65057069.2240443</v>
      </c>
    </row>
    <row r="29" customFormat="false" ht="15.75" hidden="false" customHeight="true" outlineLevel="0" collapsed="false"/>
    <row r="30" customFormat="false" ht="18" hidden="false" customHeight="true" outlineLevel="0" collapsed="false">
      <c r="A30" s="47" t="s">
        <v>462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</row>
    <row r="31" customFormat="false" ht="15.75" hidden="false" customHeight="true" outlineLevel="0" collapsed="false">
      <c r="A31" s="49" t="s">
        <v>463</v>
      </c>
      <c r="B31" s="153" t="n">
        <f aca="false">CHOOSE(Premissas!$B$6,Cenários!B28,Cenários!B74,Cenários!B120)</f>
        <v>0</v>
      </c>
      <c r="C31" s="153" t="n">
        <f aca="false">CHOOSE(Premissas!$B$6,Cenários!C28,Cenários!C74,Cenários!C120)</f>
        <v>0</v>
      </c>
      <c r="D31" s="153" t="n">
        <f aca="false">CHOOSE(Premissas!$B$6,Cenários!D28,Cenários!D74,Cenários!D120)</f>
        <v>0</v>
      </c>
      <c r="E31" s="153" t="n">
        <f aca="false">CHOOSE(Premissas!$B$6,Cenários!E28,Cenários!E74,Cenários!E120)</f>
        <v>0</v>
      </c>
      <c r="F31" s="153" t="n">
        <f aca="false">CHOOSE(Premissas!$B$6,Cenários!F28,Cenários!F74,Cenários!F120)</f>
        <v>0</v>
      </c>
      <c r="G31" s="153" t="n">
        <f aca="false">CHOOSE(Premissas!$B$6,Cenários!G28,Cenários!G74,Cenários!G120)</f>
        <v>0</v>
      </c>
      <c r="H31" s="153" t="n">
        <f aca="false">CHOOSE(Premissas!$B$6,Cenários!H28,Cenários!H74,Cenários!H120)</f>
        <v>0</v>
      </c>
      <c r="I31" s="153" t="n">
        <f aca="false">CHOOSE(Premissas!$B$6,Cenários!I28,Cenários!I74,Cenários!I120)</f>
        <v>0</v>
      </c>
      <c r="J31" s="153" t="n">
        <f aca="false">CHOOSE(Premissas!$B$6,Cenários!J28,Cenários!J74,Cenários!J120)</f>
        <v>0</v>
      </c>
      <c r="K31" s="153" t="n">
        <f aca="false">CHOOSE(Premissas!$B$6,Cenários!K28,Cenários!K74,Cenários!K120)</f>
        <v>0</v>
      </c>
      <c r="L31" s="153" t="n">
        <f aca="false">CHOOSE(Premissas!$B$6,Cenários!L28,Cenários!L74,Cenários!L120)</f>
        <v>0</v>
      </c>
      <c r="M31" s="153" t="n">
        <f aca="false">CHOOSE(Premissas!$B$6,Cenários!M28,Cenários!M74,Cenários!M120)</f>
        <v>7191</v>
      </c>
      <c r="N31" s="153" t="n">
        <f aca="false">CHOOSE(Premissas!$B$6,Cenários!N28,Cenários!N74,Cenários!N120)</f>
        <v>38418.9662</v>
      </c>
      <c r="O31" s="153" t="n">
        <f aca="false">CHOOSE(Premissas!$B$6,Cenários!O28,Cenários!O74,Cenários!O120)</f>
        <v>87211.56790176</v>
      </c>
      <c r="P31" s="153" t="n">
        <f aca="false">CHOOSE(Premissas!$B$6,Cenários!P28,Cenários!P74,Cenários!P120)</f>
        <v>157529.211555548</v>
      </c>
      <c r="Q31" s="153" t="n">
        <f aca="false">CHOOSE(Premissas!$B$6,Cenários!Q28,Cenários!Q74,Cenários!Q120)</f>
        <v>241211.37784657</v>
      </c>
      <c r="R31" s="153" t="n">
        <f aca="false">CHOOSE(Premissas!$B$6,Cenários!R28,Cenários!R74,Cenários!R120)</f>
        <v>334166.614992508</v>
      </c>
      <c r="S31" s="153" t="n">
        <f aca="false">CHOOSE(Premissas!$B$6,Cenários!S28,Cenários!S74,Cenários!S120)</f>
        <v>378148.578785072</v>
      </c>
      <c r="T31" s="153" t="n">
        <f aca="false">CHOOSE(Premissas!$B$6,Cenários!T28,Cenários!T74,Cenários!T120)</f>
        <v>418785.769620434</v>
      </c>
      <c r="U31" s="153" t="n">
        <f aca="false">CHOOSE(Premissas!$B$6,Cenários!U28,Cenários!U74,Cenários!U120)</f>
        <v>456402.966744978</v>
      </c>
      <c r="V31" s="153" t="n">
        <f aca="false">CHOOSE(Premissas!$B$6,Cenários!V28,Cenários!V74,Cenários!V120)</f>
        <v>491244.659925755</v>
      </c>
      <c r="W31" s="153" t="n">
        <f aca="false">CHOOSE(Premissas!$B$6,Cenários!W28,Cenários!W74,Cenários!W120)</f>
        <v>525395.178739339</v>
      </c>
      <c r="X31" s="153" t="n">
        <f aca="false">CHOOSE(Premissas!$B$6,Cenários!X28,Cenários!X74,Cenários!X120)</f>
        <v>555178.21965814</v>
      </c>
      <c r="Y31" s="153" t="n">
        <f aca="false">CHOOSE(Premissas!$B$6,Cenários!Y28,Cenários!Y74,Cenários!Y120)</f>
        <v>582677.471099848</v>
      </c>
      <c r="Z31" s="153" t="n">
        <f aca="false">CHOOSE(Premissas!$B$6,Cenários!Z28,Cenários!Z74,Cenários!Z120)</f>
        <v>710220.35777257</v>
      </c>
      <c r="AA31" s="153" t="n">
        <f aca="false">CHOOSE(Premissas!$B$6,Cenários!AA28,Cenários!AA74,Cenários!AA120)</f>
        <v>773992.910891143</v>
      </c>
      <c r="AB31" s="153" t="n">
        <f aca="false">CHOOSE(Premissas!$B$6,Cenários!AB28,Cenários!AB74,Cenários!AB120)</f>
        <v>833312.23995727</v>
      </c>
      <c r="AC31" s="153" t="n">
        <f aca="false">CHOOSE(Premissas!$B$6,Cenários!AC28,Cenários!AC74,Cenários!AC120)</f>
        <v>888438.07729837</v>
      </c>
      <c r="AD31" s="153" t="n">
        <f aca="false">CHOOSE(Premissas!$B$6,Cenários!AD28,Cenários!AD74,Cenários!AD120)</f>
        <v>939667.646076703</v>
      </c>
      <c r="AE31" s="153" t="n">
        <f aca="false">CHOOSE(Premissas!$B$6,Cenários!AE28,Cenários!AE74,Cenários!AE120)</f>
        <v>987271.910418833</v>
      </c>
      <c r="AF31" s="153" t="n">
        <f aca="false">CHOOSE(Premissas!$B$6,Cenários!AF28,Cenários!AF74,Cenários!AF120)</f>
        <v>1031476.92200155</v>
      </c>
      <c r="AG31" s="153" t="n">
        <f aca="false">CHOOSE(Premissas!$B$6,Cenários!AG28,Cenários!AG74,Cenários!AG120)</f>
        <v>1072578.0633447</v>
      </c>
      <c r="AH31" s="153" t="n">
        <f aca="false">CHOOSE(Premissas!$B$6,Cenários!AH28,Cenários!AH74,Cenários!AH120)</f>
        <v>1110735.58804379</v>
      </c>
      <c r="AI31" s="153" t="n">
        <f aca="false">CHOOSE(Premissas!$B$6,Cenários!AI28,Cenários!AI74,Cenários!AI120)</f>
        <v>1146203.05815855</v>
      </c>
      <c r="AJ31" s="153" t="n">
        <f aca="false">CHOOSE(Premissas!$B$6,Cenários!AJ28,Cenários!AJ74,Cenários!AJ120)</f>
        <v>1179226.17895864</v>
      </c>
      <c r="AK31" s="153" t="n">
        <f aca="false">CHOOSE(Premissas!$B$6,Cenários!AK28,Cenários!AK74,Cenários!AK120)</f>
        <v>1209919.53121321</v>
      </c>
      <c r="AL31" s="153" t="n">
        <f aca="false">CHOOSE(Premissas!$B$6,Cenários!AL28,Cenários!AL74,Cenários!AL120)</f>
        <v>1373811.29039828</v>
      </c>
      <c r="AM31" s="153" t="n">
        <f aca="false">CHOOSE(Premissas!$B$6,Cenários!AM28,Cenários!AM74,Cenários!AM120)</f>
        <v>1462852.13759846</v>
      </c>
      <c r="AN31" s="153" t="n">
        <f aca="false">CHOOSE(Premissas!$B$6,Cenários!AN28,Cenários!AN74,Cenários!AN120)</f>
        <v>1545884.30072692</v>
      </c>
      <c r="AO31" s="153" t="n">
        <f aca="false">CHOOSE(Premissas!$B$6,Cenários!AO28,Cenários!AO74,Cenários!AO120)</f>
        <v>1623474.09676629</v>
      </c>
      <c r="AP31" s="153" t="n">
        <f aca="false">CHOOSE(Premissas!$B$6,Cenários!AP28,Cenários!AP74,Cenários!AP120)</f>
        <v>1695939.49901713</v>
      </c>
      <c r="AQ31" s="153" t="n">
        <f aca="false">CHOOSE(Premissas!$B$6,Cenários!AQ28,Cenários!AQ74,Cenários!AQ120)</f>
        <v>1763546.51973646</v>
      </c>
      <c r="AR31" s="153" t="n">
        <f aca="false">CHOOSE(Premissas!$B$6,Cenários!AR28,Cenários!AR74,Cenários!AR120)</f>
        <v>1826698.18728532</v>
      </c>
      <c r="AS31" s="153" t="n">
        <f aca="false">CHOOSE(Premissas!$B$6,Cenários!AS28,Cenários!AS74,Cenários!AS120)</f>
        <v>1885600.21815014</v>
      </c>
      <c r="AT31" s="153" t="n">
        <f aca="false">CHOOSE(Premissas!$B$6,Cenários!AT28,Cenários!AT74,Cenários!AT120)</f>
        <v>1940592.88417842</v>
      </c>
      <c r="AU31" s="153" t="n">
        <f aca="false">CHOOSE(Premissas!$B$6,Cenários!AU28,Cenários!AU74,Cenários!AU120)</f>
        <v>1991969.97534696</v>
      </c>
      <c r="AV31" s="153" t="n">
        <f aca="false">CHOOSE(Premissas!$B$6,Cenários!AV28,Cenários!AV74,Cenários!AV120)</f>
        <v>2039961.05835922</v>
      </c>
      <c r="AW31" s="153" t="n">
        <f aca="false">CHOOSE(Premissas!$B$6,Cenários!AW28,Cenários!AW74,Cenários!AW120)</f>
        <v>2084688.53134916</v>
      </c>
      <c r="AX31" s="153" t="n">
        <f aca="false">CHOOSE(Premissas!$B$6,Cenários!AX28,Cenários!AX74,Cenários!AX120)</f>
        <v>2334038.5554176</v>
      </c>
      <c r="AY31" s="153" t="n">
        <f aca="false">CHOOSE(Premissas!$B$6,Cenários!AY28,Cenários!AY74,Cenários!AY120)</f>
        <v>2471659.74025007</v>
      </c>
      <c r="AZ31" s="153" t="n">
        <f aca="false">CHOOSE(Premissas!$B$6,Cenários!AZ28,Cenários!AZ74,Cenários!AZ120)</f>
        <v>2600583.74511725</v>
      </c>
      <c r="BA31" s="153" t="n">
        <f aca="false">CHOOSE(Premissas!$B$6,Cenários!BA28,Cenários!BA74,Cenários!BA120)</f>
        <v>2721568.41797722</v>
      </c>
      <c r="BB31" s="153" t="n">
        <f aca="false">CHOOSE(Premissas!$B$6,Cenários!BB28,Cenários!BB74,Cenários!BB120)</f>
        <v>2834961.90501112</v>
      </c>
      <c r="BC31" s="153" t="n">
        <f aca="false">CHOOSE(Premissas!$B$6,Cenários!BC28,Cenários!BC74,Cenários!BC120)</f>
        <v>2941220.469408</v>
      </c>
      <c r="BD31" s="153" t="n">
        <f aca="false">CHOOSE(Premissas!$B$6,Cenários!BD28,Cenários!BD74,Cenários!BD120)</f>
        <v>3040935.90273034</v>
      </c>
      <c r="BE31" s="153" t="n">
        <f aca="false">CHOOSE(Premissas!$B$6,Cenários!BE28,Cenários!BE74,Cenários!BE120)</f>
        <v>3134394.02932373</v>
      </c>
      <c r="BF31" s="153" t="n">
        <f aca="false">CHOOSE(Premissas!$B$6,Cenários!BF28,Cenários!BF74,Cenários!BF120)</f>
        <v>3222042.90420508</v>
      </c>
      <c r="BG31" s="153" t="n">
        <f aca="false">CHOOSE(Premissas!$B$6,Cenários!BG28,Cenários!BG74,Cenários!BG120)</f>
        <v>3304085.60483677</v>
      </c>
      <c r="BH31" s="153" t="n">
        <f aca="false">CHOOSE(Premissas!$B$6,Cenários!BH28,Cenários!BH74,Cenários!BH120)</f>
        <v>3381108.21716861</v>
      </c>
      <c r="BI31" s="153" t="n">
        <f aca="false">CHOOSE(Premissas!$B$6,Cenários!BI28,Cenários!BI74,Cenários!BI120)</f>
        <v>3453298.71630562</v>
      </c>
      <c r="BJ31" s="154" t="n">
        <f aca="false">SUM(B31:BI31)</f>
        <v>72831520.9738694</v>
      </c>
    </row>
    <row r="32" customFormat="false" ht="15.75" hidden="false" customHeight="true" outlineLevel="0" collapsed="false">
      <c r="A32" s="53" t="s">
        <v>464</v>
      </c>
      <c r="B32" s="154" t="n">
        <f aca="false">B31+B13+B28</f>
        <v>0</v>
      </c>
      <c r="C32" s="154" t="n">
        <f aca="false">C31+C13+C28</f>
        <v>0</v>
      </c>
      <c r="D32" s="154" t="n">
        <f aca="false">D31+D13+D28</f>
        <v>0</v>
      </c>
      <c r="E32" s="154" t="n">
        <f aca="false">E31+E13+E28</f>
        <v>0</v>
      </c>
      <c r="F32" s="154" t="n">
        <f aca="false">F31+F13+F28</f>
        <v>-6600</v>
      </c>
      <c r="G32" s="154" t="n">
        <f aca="false">G31+G13+G28</f>
        <v>-600</v>
      </c>
      <c r="H32" s="154" t="n">
        <f aca="false">H31+H13+H28</f>
        <v>-600</v>
      </c>
      <c r="I32" s="154" t="n">
        <f aca="false">I31+I13+I28</f>
        <v>-9727.82</v>
      </c>
      <c r="J32" s="154" t="n">
        <f aca="false">J31+J13+J28</f>
        <v>-11100</v>
      </c>
      <c r="K32" s="154" t="n">
        <f aca="false">K31+K13+K28</f>
        <v>-11100</v>
      </c>
      <c r="L32" s="154" t="n">
        <f aca="false">L31+L13+L28</f>
        <v>-2100</v>
      </c>
      <c r="M32" s="154" t="n">
        <f aca="false">M31+M13+M28</f>
        <v>-30935.69675</v>
      </c>
      <c r="N32" s="154" t="n">
        <f aca="false">N31+N13+N28</f>
        <v>-90989.1245066667</v>
      </c>
      <c r="O32" s="154" t="n">
        <f aca="false">O31+O13+O28</f>
        <v>-75602.2862697386</v>
      </c>
      <c r="P32" s="154" t="n">
        <f aca="false">P31+P13+P28</f>
        <v>-62834.3975386276</v>
      </c>
      <c r="Q32" s="154" t="n">
        <f aca="false">Q31+Q13+Q28</f>
        <v>-30364.6935326509</v>
      </c>
      <c r="R32" s="154" t="n">
        <f aca="false">R31+R13+R28</f>
        <v>-6993.91394303792</v>
      </c>
      <c r="S32" s="154" t="n">
        <f aca="false">S31+S13+S28</f>
        <v>-4314.17099758057</v>
      </c>
      <c r="T32" s="154" t="n">
        <f aca="false">T31+T13+T28</f>
        <v>9929.43528864451</v>
      </c>
      <c r="U32" s="154" t="n">
        <f aca="false">U31+U13+U28</f>
        <v>18082.6377952668</v>
      </c>
      <c r="V32" s="154" t="n">
        <f aca="false">V31+V13+V28</f>
        <v>24041.0017256003</v>
      </c>
      <c r="W32" s="154" t="n">
        <f aca="false">W31+W13+W28</f>
        <v>30757.1210308209</v>
      </c>
      <c r="X32" s="154" t="n">
        <f aca="false">X31+X13+X28</f>
        <v>35805.6168140176</v>
      </c>
      <c r="Y32" s="154" t="n">
        <f aca="false">Y31+Y13+Y28</f>
        <v>72409.1411540779</v>
      </c>
      <c r="Z32" s="154" t="n">
        <f aca="false">Z31+Z13+Z28</f>
        <v>2512.99780623114</v>
      </c>
      <c r="AA32" s="154" t="n">
        <f aca="false">AA31+AA13+AA28</f>
        <v>33829.289154316</v>
      </c>
      <c r="AB32" s="154" t="n">
        <f aca="false">AB31+AB13+AB28</f>
        <v>52966.3331573654</v>
      </c>
      <c r="AC32" s="154" t="n">
        <f aca="false">AC31+AC13+AC28</f>
        <v>70750.5087737169</v>
      </c>
      <c r="AD32" s="154" t="n">
        <f aca="false">AD31+AD13+AD28</f>
        <v>87290.591548266</v>
      </c>
      <c r="AE32" s="154" t="n">
        <f aca="false">AE31+AE13+AE28</f>
        <v>87645.0373204064</v>
      </c>
      <c r="AF32" s="154" t="n">
        <f aca="false">AF31+AF13+AF28</f>
        <v>116905.023357711</v>
      </c>
      <c r="AG32" s="154" t="n">
        <f aca="false">AG31+AG13+AG28</f>
        <v>130179.346614923</v>
      </c>
      <c r="AH32" s="154" t="n">
        <f aca="false">AH31+AH13+AH28</f>
        <v>142480.881034666</v>
      </c>
      <c r="AI32" s="154" t="n">
        <f aca="false">AI31+AI13+AI28</f>
        <v>153921.519236628</v>
      </c>
      <c r="AJ32" s="154" t="n">
        <f aca="false">AJ31+AJ13+AJ28</f>
        <v>164575.67833804</v>
      </c>
      <c r="AK32" s="154" t="n">
        <f aca="false">AK31+AK13+AK28</f>
        <v>174489.008139901</v>
      </c>
      <c r="AL32" s="154" t="n">
        <f aca="false">AL31+AL13+AL28</f>
        <v>42839.2754790075</v>
      </c>
      <c r="AM32" s="154" t="n">
        <f aca="false">AM31+AM13+AM28</f>
        <v>73013.863190227</v>
      </c>
      <c r="AN32" s="154" t="n">
        <f aca="false">AN31+AN13+AN28</f>
        <v>101150.122358121</v>
      </c>
      <c r="AO32" s="154" t="n">
        <f aca="false">AO31+AO13+AO28</f>
        <v>127453.412186849</v>
      </c>
      <c r="AP32" s="154" t="n">
        <f aca="false">AP31+AP13+AP28</f>
        <v>152015.972199105</v>
      </c>
      <c r="AQ32" s="154" t="n">
        <f aca="false">AQ31+AQ13+AQ28</f>
        <v>149925.384236952</v>
      </c>
      <c r="AR32" s="154" t="n">
        <f aca="false">AR31+AR13+AR28</f>
        <v>196335.766563725</v>
      </c>
      <c r="AS32" s="154" t="n">
        <f aca="false">AS31+AS13+AS28</f>
        <v>216292.389326741</v>
      </c>
      <c r="AT32" s="154" t="n">
        <f aca="false">AT31+AT13+AT28</f>
        <v>234937.207564019</v>
      </c>
      <c r="AU32" s="154" t="n">
        <f aca="false">AU31+AU13+AU28</f>
        <v>252347.203462666</v>
      </c>
      <c r="AV32" s="154" t="n">
        <f aca="false">AV31+AV13+AV28</f>
        <v>268617.874892157</v>
      </c>
      <c r="AW32" s="154" t="n">
        <f aca="false">AW31+AW13+AW28</f>
        <v>283768.450552223</v>
      </c>
      <c r="AX32" s="154" t="n">
        <f aca="false">AX31+AX13+AX28</f>
        <v>159893.582810827</v>
      </c>
      <c r="AY32" s="154" t="n">
        <f aca="false">AY31+AY13+AY28</f>
        <v>208012.579107051</v>
      </c>
      <c r="AZ32" s="154" t="n">
        <f aca="false">AZ31+AZ13+AZ28</f>
        <v>253083.289971783</v>
      </c>
      <c r="BA32" s="154" t="n">
        <f aca="false">BA31+BA13+BA28</f>
        <v>295383.899908452</v>
      </c>
      <c r="BB32" s="154" t="n">
        <f aca="false">BB31+BB13+BB28</f>
        <v>335027.408833143</v>
      </c>
      <c r="BC32" s="154" t="n">
        <f aca="false">BC31+BC13+BC28</f>
        <v>342172.803074992</v>
      </c>
      <c r="BD32" s="154" t="n">
        <f aca="false">BD31+BD13+BD28</f>
        <v>407044.840858663</v>
      </c>
      <c r="BE32" s="154" t="n">
        <f aca="false">BE31+BE13+BE28</f>
        <v>439713.273896072</v>
      </c>
      <c r="BF32" s="154" t="n">
        <f aca="false">BF31+BF13+BF28</f>
        <v>470364.785914089</v>
      </c>
      <c r="BG32" s="154" t="n">
        <f aca="false">BG31+BG13+BG28</f>
        <v>499042.619585767</v>
      </c>
      <c r="BH32" s="154" t="n">
        <f aca="false">BH31+BH13+BH28</f>
        <v>525969.155054732</v>
      </c>
      <c r="BI32" s="154" t="n">
        <f aca="false">BI31+BI13+BI28</f>
        <v>551209.704045469</v>
      </c>
      <c r="BJ32" s="154" t="n">
        <f aca="false">SUM(B32:BI32)</f>
        <v>7650323.92982513</v>
      </c>
      <c r="BK32" s="51" t="s">
        <v>465</v>
      </c>
    </row>
    <row r="33" customFormat="false" ht="15.75" hidden="false" customHeight="true" outlineLevel="0" collapsed="false">
      <c r="A33" s="49" t="s">
        <v>466</v>
      </c>
      <c r="B33" s="168" t="n">
        <f aca="false">B32/(1+Premissas!$B$19)^B$5</f>
        <v>0</v>
      </c>
      <c r="C33" s="168" t="n">
        <f aca="false">C32/(1+Premissas!$B$19)^C$5</f>
        <v>0</v>
      </c>
      <c r="D33" s="168" t="n">
        <f aca="false">D32/(1+Premissas!$B$19)^D$5</f>
        <v>0</v>
      </c>
      <c r="E33" s="168" t="n">
        <f aca="false">E32/(1+Premissas!$B$19)^E$5</f>
        <v>0</v>
      </c>
      <c r="F33" s="168" t="n">
        <f aca="false">F32/(1+Premissas!$B$19)^F$5</f>
        <v>-6014.01855172587</v>
      </c>
      <c r="G33" s="168" t="n">
        <f aca="false">G32/(1+Premissas!$B$19)^G$5</f>
        <v>-536.656314599949</v>
      </c>
      <c r="H33" s="168" t="n">
        <f aca="false">H32/(1+Premissas!$B$19)^H$5</f>
        <v>-526.769243019855</v>
      </c>
      <c r="I33" s="168" t="n">
        <f aca="false">I32/(1+Premissas!$B$19)^I$5</f>
        <v>-8383.18114655438</v>
      </c>
      <c r="J33" s="168" t="n">
        <f aca="false">J32/(1+Premissas!$B$19)^J$5</f>
        <v>-9389.4568193522</v>
      </c>
      <c r="K33" s="168" t="n">
        <f aca="false">K32/(1+Premissas!$B$19)^K$5</f>
        <v>-9216.47044213917</v>
      </c>
      <c r="L33" s="168" t="n">
        <f aca="false">L32/(1+Premissas!$B$19)^L$5</f>
        <v>-1711.53236540413</v>
      </c>
      <c r="M33" s="168" t="n">
        <f aca="false">M32/(1+Premissas!$B$19)^M$5</f>
        <v>-24748.5574</v>
      </c>
      <c r="N33" s="168" t="n">
        <f aca="false">N32/(1+Premissas!$B$19)^N$5</f>
        <v>-71450.2312716036</v>
      </c>
      <c r="O33" s="168" t="n">
        <f aca="false">O32/(1+Premissas!$B$19)^O$5</f>
        <v>-58273.7876752269</v>
      </c>
      <c r="P33" s="168" t="n">
        <f aca="false">P32/(1+Premissas!$B$19)^P$5</f>
        <v>-47540.0833831415</v>
      </c>
      <c r="Q33" s="168" t="n">
        <f aca="false">Q32/(1+Premissas!$B$19)^Q$5</f>
        <v>-22550.4675899562</v>
      </c>
      <c r="R33" s="168" t="n">
        <f aca="false">R32/(1+Premissas!$B$19)^R$5</f>
        <v>-5098.36705486111</v>
      </c>
      <c r="S33" s="168" t="n">
        <f aca="false">S32/(1+Premissas!$B$19)^S$5</f>
        <v>-3086.96947748743</v>
      </c>
      <c r="T33" s="168" t="n">
        <f aca="false">T32/(1+Premissas!$B$19)^T$5</f>
        <v>6974.02814748519</v>
      </c>
      <c r="U33" s="168" t="n">
        <f aca="false">U32/(1+Premissas!$B$19)^U$5</f>
        <v>12466.5158890894</v>
      </c>
      <c r="V33" s="168" t="n">
        <f aca="false">V32/(1+Premissas!$B$19)^V$5</f>
        <v>16268.9691961438</v>
      </c>
      <c r="W33" s="168" t="n">
        <f aca="false">W32/(1+Premissas!$B$19)^W$5</f>
        <v>20430.4213957375</v>
      </c>
      <c r="X33" s="168" t="n">
        <f aca="false">X32/(1+Premissas!$B$19)^X$5</f>
        <v>23345.7036344569</v>
      </c>
      <c r="Y33" s="168" t="n">
        <f aca="false">Y32/(1+Premissas!$B$19)^Y$5</f>
        <v>46341.8503386098</v>
      </c>
      <c r="Z33" s="168" t="n">
        <f aca="false">Z32/(1+Premissas!$B$19)^Z$5</f>
        <v>1578.68778638125</v>
      </c>
      <c r="AA33" s="168" t="n">
        <f aca="false">AA32/(1+Premissas!$B$19)^AA$5</f>
        <v>20860.3301370957</v>
      </c>
      <c r="AB33" s="168" t="n">
        <f aca="false">AB32/(1+Premissas!$B$19)^AB$5</f>
        <v>32059.1776916768</v>
      </c>
      <c r="AC33" s="168" t="n">
        <f aca="false">AC32/(1+Premissas!$B$19)^AC$5</f>
        <v>42034.5307515528</v>
      </c>
      <c r="AD33" s="168" t="n">
        <f aca="false">AD32/(1+Premissas!$B$19)^AD$5</f>
        <v>50905.9138872626</v>
      </c>
      <c r="AE33" s="168" t="n">
        <f aca="false">AE32/(1+Premissas!$B$19)^AE$5</f>
        <v>50170.9469027672</v>
      </c>
      <c r="AF33" s="168" t="n">
        <f aca="false">AF32/(1+Premissas!$B$19)^AF$5</f>
        <v>65687.4353699838</v>
      </c>
      <c r="AG33" s="168" t="n">
        <f aca="false">AG32/(1+Premissas!$B$19)^AG$5</f>
        <v>71798.5024698559</v>
      </c>
      <c r="AH33" s="168" t="n">
        <f aca="false">AH32/(1+Premissas!$B$19)^AH$5</f>
        <v>77135.4568682234</v>
      </c>
      <c r="AI33" s="168" t="n">
        <f aca="false">AI32/(1+Premissas!$B$19)^AI$5</f>
        <v>81793.9103396633</v>
      </c>
      <c r="AJ33" s="168" t="n">
        <f aca="false">AJ32/(1+Premissas!$B$19)^AJ$5</f>
        <v>85844.2971531867</v>
      </c>
      <c r="AK33" s="168" t="n">
        <f aca="false">AK32/(1+Premissas!$B$19)^AK$5</f>
        <v>89338.372167629</v>
      </c>
      <c r="AL33" s="168" t="n">
        <f aca="false">AL32/(1+Premissas!$B$19)^AL$5</f>
        <v>21529.6140118988</v>
      </c>
      <c r="AM33" s="168" t="n">
        <f aca="false">AM32/(1+Premissas!$B$19)^AM$5</f>
        <v>36018.3339066954</v>
      </c>
      <c r="AN33" s="168" t="n">
        <f aca="false">AN32/(1+Premissas!$B$19)^AN$5</f>
        <v>48978.8822885566</v>
      </c>
      <c r="AO33" s="168" t="n">
        <f aca="false">AO32/(1+Premissas!$B$19)^AO$5</f>
        <v>60578.4406847821</v>
      </c>
      <c r="AP33" s="168" t="n">
        <f aca="false">AP32/(1+Premissas!$B$19)^AP$5</f>
        <v>70921.8425766055</v>
      </c>
      <c r="AQ33" s="168" t="n">
        <f aca="false">AQ32/(1+Premissas!$B$19)^AQ$5</f>
        <v>68657.8382247115</v>
      </c>
      <c r="AR33" s="168" t="n">
        <f aca="false">AR32/(1+Premissas!$B$19)^AR$5</f>
        <v>88254.842138023</v>
      </c>
      <c r="AS33" s="168" t="n">
        <f aca="false">AS32/(1+Premissas!$B$19)^AS$5</f>
        <v>95434.3069195081</v>
      </c>
      <c r="AT33" s="168" t="n">
        <f aca="false">AT32/(1+Premissas!$B$19)^AT$5</f>
        <v>101751.132975581</v>
      </c>
      <c r="AU33" s="168" t="n">
        <f aca="false">AU32/(1+Premissas!$B$19)^AU$5</f>
        <v>107277.862832208</v>
      </c>
      <c r="AV33" s="168" t="n">
        <f aca="false">AV32/(1+Premissas!$B$19)^AV$5</f>
        <v>112090.986496976</v>
      </c>
      <c r="AW33" s="168" t="n">
        <f aca="false">AW32/(1+Premissas!$B$19)^AW$5</f>
        <v>116231.55734619</v>
      </c>
      <c r="AX33" s="168" t="n">
        <f aca="false">AX32/(1+Premissas!$B$19)^AX$5</f>
        <v>64285.8140321924</v>
      </c>
      <c r="AY33" s="168" t="n">
        <f aca="false">AY32/(1+Premissas!$B$19)^AY$5</f>
        <v>82091.440761606</v>
      </c>
      <c r="AZ33" s="168" t="n">
        <f aca="false">AZ32/(1+Premissas!$B$19)^AZ$5</f>
        <v>98038.3325674416</v>
      </c>
      <c r="BA33" s="168" t="n">
        <f aca="false">BA32/(1+Premissas!$B$19)^BA$5</f>
        <v>112316.466089497</v>
      </c>
      <c r="BB33" s="168" t="n">
        <f aca="false">BB32/(1+Premissas!$B$19)^BB$5</f>
        <v>125043.498018702</v>
      </c>
      <c r="BC33" s="168" t="n">
        <f aca="false">BC32/(1+Premissas!$B$19)^BC$5</f>
        <v>125357.530763645</v>
      </c>
      <c r="BD33" s="168" t="n">
        <f aca="false">BD32/(1+Premissas!$B$19)^BD$5</f>
        <v>146376.501039277</v>
      </c>
      <c r="BE33" s="168" t="n">
        <f aca="false">BE32/(1+Premissas!$B$19)^BE$5</f>
        <v>155211.125710714</v>
      </c>
      <c r="BF33" s="168" t="n">
        <f aca="false">BF32/(1+Premissas!$B$19)^BF$5</f>
        <v>162971.716144309</v>
      </c>
      <c r="BG33" s="168" t="n">
        <f aca="false">BG32/(1+Premissas!$B$19)^BG$5</f>
        <v>169722.42991159</v>
      </c>
      <c r="BH33" s="168" t="n">
        <f aca="false">BH32/(1+Premissas!$B$19)^BH$5</f>
        <v>175584.44755245</v>
      </c>
      <c r="BI33" s="168" t="n">
        <f aca="false">BI32/(1+Premissas!$B$19)^BI$5</f>
        <v>180620.395821618</v>
      </c>
      <c r="BJ33" s="154" t="n">
        <f aca="false">SUM(B33:BI33)</f>
        <v>3051853.84020651</v>
      </c>
    </row>
    <row r="34" customFormat="false" ht="15.75" hidden="false" customHeight="true" outlineLevel="0" collapsed="false">
      <c r="A34" s="49" t="s">
        <v>467</v>
      </c>
      <c r="B34" s="168" t="n">
        <f aca="false">B33</f>
        <v>0</v>
      </c>
      <c r="C34" s="168" t="n">
        <f aca="false">B34+C33</f>
        <v>0</v>
      </c>
      <c r="D34" s="168" t="n">
        <f aca="false">C34+D33</f>
        <v>0</v>
      </c>
      <c r="E34" s="168" t="n">
        <f aca="false">D34+E33</f>
        <v>0</v>
      </c>
      <c r="F34" s="168" t="n">
        <f aca="false">E34+F33</f>
        <v>-6014.01855172587</v>
      </c>
      <c r="G34" s="168" t="n">
        <f aca="false">F34+G33</f>
        <v>-6550.67486632582</v>
      </c>
      <c r="H34" s="168" t="n">
        <f aca="false">G34+H33</f>
        <v>-7077.44410934567</v>
      </c>
      <c r="I34" s="168" t="n">
        <f aca="false">H34+I33</f>
        <v>-15460.6252559</v>
      </c>
      <c r="J34" s="168" t="n">
        <f aca="false">I34+J33</f>
        <v>-24850.0820752523</v>
      </c>
      <c r="K34" s="168" t="n">
        <f aca="false">J34+K33</f>
        <v>-34066.5525173914</v>
      </c>
      <c r="L34" s="168" t="n">
        <f aca="false">K34+L33</f>
        <v>-35778.0848827955</v>
      </c>
      <c r="M34" s="168" t="n">
        <f aca="false">L34+M33</f>
        <v>-60526.6422827955</v>
      </c>
      <c r="N34" s="168" t="n">
        <f aca="false">M34+N33</f>
        <v>-131976.873554399</v>
      </c>
      <c r="O34" s="168" t="n">
        <f aca="false">N34+O33</f>
        <v>-190250.661229626</v>
      </c>
      <c r="P34" s="168" t="n">
        <f aca="false">O34+P33</f>
        <v>-237790.744612767</v>
      </c>
      <c r="Q34" s="168" t="n">
        <f aca="false">P34+Q33</f>
        <v>-260341.212202724</v>
      </c>
      <c r="R34" s="168" t="n">
        <f aca="false">Q34+R33</f>
        <v>-265439.579257585</v>
      </c>
      <c r="S34" s="168" t="n">
        <f aca="false">R34+S33</f>
        <v>-268526.548735072</v>
      </c>
      <c r="T34" s="168" t="n">
        <f aca="false">S34+T33</f>
        <v>-261552.520587587</v>
      </c>
      <c r="U34" s="168" t="n">
        <f aca="false">T34+U33</f>
        <v>-249086.004698498</v>
      </c>
      <c r="V34" s="168" t="n">
        <f aca="false">U34+V33</f>
        <v>-232817.035502354</v>
      </c>
      <c r="W34" s="168" t="n">
        <f aca="false">V34+W33</f>
        <v>-212386.614106616</v>
      </c>
      <c r="X34" s="168" t="n">
        <f aca="false">W34+X33</f>
        <v>-189040.910472159</v>
      </c>
      <c r="Y34" s="168" t="n">
        <f aca="false">X34+Y33</f>
        <v>-142699.06013355</v>
      </c>
      <c r="Z34" s="168" t="n">
        <f aca="false">Y34+Z33</f>
        <v>-141120.372347168</v>
      </c>
      <c r="AA34" s="168" t="n">
        <f aca="false">Z34+AA33</f>
        <v>-120260.042210073</v>
      </c>
      <c r="AB34" s="168" t="n">
        <f aca="false">AA34+AB33</f>
        <v>-88200.8645183959</v>
      </c>
      <c r="AC34" s="168" t="n">
        <f aca="false">AB34+AC33</f>
        <v>-46166.3337668431</v>
      </c>
      <c r="AD34" s="168" t="n">
        <f aca="false">AC34+AD33</f>
        <v>4739.58012041957</v>
      </c>
      <c r="AE34" s="168" t="n">
        <f aca="false">AD34+AE33</f>
        <v>54910.5270231867</v>
      </c>
      <c r="AF34" s="168" t="n">
        <f aca="false">AE34+AF33</f>
        <v>120597.96239317</v>
      </c>
      <c r="AG34" s="168" t="n">
        <f aca="false">AF34+AG33</f>
        <v>192396.464863026</v>
      </c>
      <c r="AH34" s="168" t="n">
        <f aca="false">AG34+AH33</f>
        <v>269531.92173125</v>
      </c>
      <c r="AI34" s="168" t="n">
        <f aca="false">AH34+AI33</f>
        <v>351325.832070913</v>
      </c>
      <c r="AJ34" s="168" t="n">
        <f aca="false">AI34+AJ33</f>
        <v>437170.1292241</v>
      </c>
      <c r="AK34" s="168" t="n">
        <f aca="false">AJ34+AK33</f>
        <v>526508.501391729</v>
      </c>
      <c r="AL34" s="168" t="n">
        <f aca="false">AK34+AL33</f>
        <v>548038.115403628</v>
      </c>
      <c r="AM34" s="168" t="n">
        <f aca="false">AL34+AM33</f>
        <v>584056.449310323</v>
      </c>
      <c r="AN34" s="168" t="n">
        <f aca="false">AM34+AN33</f>
        <v>633035.331598879</v>
      </c>
      <c r="AO34" s="168" t="n">
        <f aca="false">AN34+AO33</f>
        <v>693613.772283662</v>
      </c>
      <c r="AP34" s="168" t="n">
        <f aca="false">AO34+AP33</f>
        <v>764535.614860267</v>
      </c>
      <c r="AQ34" s="168" t="n">
        <f aca="false">AP34+AQ33</f>
        <v>833193.453084979</v>
      </c>
      <c r="AR34" s="168" t="n">
        <f aca="false">AQ34+AR33</f>
        <v>921448.295223002</v>
      </c>
      <c r="AS34" s="168" t="n">
        <f aca="false">AR34+AS33</f>
        <v>1016882.60214251</v>
      </c>
      <c r="AT34" s="168" t="n">
        <f aca="false">AS34+AT33</f>
        <v>1118633.73511809</v>
      </c>
      <c r="AU34" s="168" t="n">
        <f aca="false">AT34+AU33</f>
        <v>1225911.5979503</v>
      </c>
      <c r="AV34" s="168" t="n">
        <f aca="false">AU34+AV33</f>
        <v>1338002.58444727</v>
      </c>
      <c r="AW34" s="168" t="n">
        <f aca="false">AV34+AW33</f>
        <v>1454234.14179346</v>
      </c>
      <c r="AX34" s="168" t="n">
        <f aca="false">AW34+AX33</f>
        <v>1518519.95582566</v>
      </c>
      <c r="AY34" s="168" t="n">
        <f aca="false">AX34+AY33</f>
        <v>1600611.39658726</v>
      </c>
      <c r="AZ34" s="168" t="n">
        <f aca="false">AY34+AZ33</f>
        <v>1698649.7291547</v>
      </c>
      <c r="BA34" s="168" t="n">
        <f aca="false">AZ34+BA33</f>
        <v>1810966.1952442</v>
      </c>
      <c r="BB34" s="168" t="n">
        <f aca="false">BA34+BB33</f>
        <v>1936009.6932629</v>
      </c>
      <c r="BC34" s="168" t="n">
        <f aca="false">BB34+BC33</f>
        <v>2061367.22402655</v>
      </c>
      <c r="BD34" s="168" t="n">
        <f aca="false">BC34+BD33</f>
        <v>2207743.72506583</v>
      </c>
      <c r="BE34" s="168" t="n">
        <f aca="false">BD34+BE33</f>
        <v>2362954.85077654</v>
      </c>
      <c r="BF34" s="168" t="n">
        <f aca="false">BE34+BF33</f>
        <v>2525926.56692085</v>
      </c>
      <c r="BG34" s="168" t="n">
        <f aca="false">BF34+BG33</f>
        <v>2695648.99683244</v>
      </c>
      <c r="BH34" s="168" t="n">
        <f aca="false">BG34+BH33</f>
        <v>2871233.44438489</v>
      </c>
      <c r="BI34" s="168" t="n">
        <f aca="false">BH34+BI33</f>
        <v>3051853.84020651</v>
      </c>
    </row>
    <row r="35" customFormat="false" ht="15.75" hidden="false" customHeight="true" outlineLevel="0" collapsed="false">
      <c r="A35" s="49" t="s">
        <v>468</v>
      </c>
      <c r="B35" s="168" t="n">
        <f aca="false">B32</f>
        <v>0</v>
      </c>
      <c r="C35" s="168" t="n">
        <f aca="false">B35+C32</f>
        <v>0</v>
      </c>
      <c r="D35" s="168" t="n">
        <f aca="false">C35+D32</f>
        <v>0</v>
      </c>
      <c r="E35" s="168" t="n">
        <f aca="false">D35+E32</f>
        <v>0</v>
      </c>
      <c r="F35" s="168" t="n">
        <f aca="false">E35+F32</f>
        <v>-6600</v>
      </c>
      <c r="G35" s="168" t="n">
        <f aca="false">F35+G32</f>
        <v>-7200</v>
      </c>
      <c r="H35" s="168" t="n">
        <f aca="false">G35+H32</f>
        <v>-7800</v>
      </c>
      <c r="I35" s="168" t="n">
        <f aca="false">H35+I32</f>
        <v>-17527.82</v>
      </c>
      <c r="J35" s="168" t="n">
        <f aca="false">I35+J32</f>
        <v>-28627.82</v>
      </c>
      <c r="K35" s="168" t="n">
        <f aca="false">J35+K32</f>
        <v>-39727.82</v>
      </c>
      <c r="L35" s="168" t="n">
        <f aca="false">K35+L32</f>
        <v>-41827.82</v>
      </c>
      <c r="M35" s="168" t="n">
        <f aca="false">L35+M32</f>
        <v>-72763.51675</v>
      </c>
      <c r="N35" s="168" t="n">
        <f aca="false">M35+N32</f>
        <v>-163752.641256667</v>
      </c>
      <c r="O35" s="168" t="n">
        <f aca="false">N35+O32</f>
        <v>-239354.927526405</v>
      </c>
      <c r="P35" s="168" t="n">
        <f aca="false">O35+P32</f>
        <v>-302189.325065033</v>
      </c>
      <c r="Q35" s="168" t="n">
        <f aca="false">P35+Q32</f>
        <v>-332554.018597684</v>
      </c>
      <c r="R35" s="168" t="n">
        <f aca="false">Q35+R32</f>
        <v>-339547.932540722</v>
      </c>
      <c r="S35" s="168" t="n">
        <f aca="false">R35+S32</f>
        <v>-343862.103538302</v>
      </c>
      <c r="T35" s="168" t="n">
        <f aca="false">S35+T32</f>
        <v>-333932.668249658</v>
      </c>
      <c r="U35" s="168" t="n">
        <f aca="false">T35+U32</f>
        <v>-315850.030454391</v>
      </c>
      <c r="V35" s="168" t="n">
        <f aca="false">U35+V32</f>
        <v>-291809.028728791</v>
      </c>
      <c r="W35" s="168" t="n">
        <f aca="false">V35+W32</f>
        <v>-261051.90769797</v>
      </c>
      <c r="X35" s="168" t="n">
        <f aca="false">W35+X32</f>
        <v>-225246.290883952</v>
      </c>
      <c r="Y35" s="168" t="n">
        <f aca="false">X35+Y32</f>
        <v>-152837.149729874</v>
      </c>
      <c r="Z35" s="168" t="n">
        <f aca="false">Y35+Z32</f>
        <v>-150324.151923643</v>
      </c>
      <c r="AA35" s="168" t="n">
        <f aca="false">Z35+AA32</f>
        <v>-116494.862769327</v>
      </c>
      <c r="AB35" s="168" t="n">
        <f aca="false">AA35+AB32</f>
        <v>-63528.5296119616</v>
      </c>
      <c r="AC35" s="168" t="n">
        <f aca="false">AB35+AC32</f>
        <v>7221.97916175524</v>
      </c>
      <c r="AD35" s="168" t="n">
        <f aca="false">AC35+AD32</f>
        <v>94512.5707100213</v>
      </c>
      <c r="AE35" s="168" t="n">
        <f aca="false">AD35+AE32</f>
        <v>182157.608030428</v>
      </c>
      <c r="AF35" s="168" t="n">
        <f aca="false">AE35+AF32</f>
        <v>299062.631388139</v>
      </c>
      <c r="AG35" s="168" t="n">
        <f aca="false">AF35+AG32</f>
        <v>429241.978003062</v>
      </c>
      <c r="AH35" s="168" t="n">
        <f aca="false">AG35+AH32</f>
        <v>571722.859037728</v>
      </c>
      <c r="AI35" s="168" t="n">
        <f aca="false">AH35+AI32</f>
        <v>725644.378274356</v>
      </c>
      <c r="AJ35" s="168" t="n">
        <f aca="false">AI35+AJ32</f>
        <v>890220.056612396</v>
      </c>
      <c r="AK35" s="168" t="n">
        <f aca="false">AJ35+AK32</f>
        <v>1064709.0647523</v>
      </c>
      <c r="AL35" s="168" t="n">
        <f aca="false">AK35+AL32</f>
        <v>1107548.3402313</v>
      </c>
      <c r="AM35" s="168" t="n">
        <f aca="false">AL35+AM32</f>
        <v>1180562.20342153</v>
      </c>
      <c r="AN35" s="168" t="n">
        <f aca="false">AM35+AN32</f>
        <v>1281712.32577965</v>
      </c>
      <c r="AO35" s="168" t="n">
        <f aca="false">AN35+AO32</f>
        <v>1409165.7379665</v>
      </c>
      <c r="AP35" s="168" t="n">
        <f aca="false">AO35+AP32</f>
        <v>1561181.71016561</v>
      </c>
      <c r="AQ35" s="168" t="n">
        <f aca="false">AP35+AQ32</f>
        <v>1711107.09440256</v>
      </c>
      <c r="AR35" s="168" t="n">
        <f aca="false">AQ35+AR32</f>
        <v>1907442.86096628</v>
      </c>
      <c r="AS35" s="168" t="n">
        <f aca="false">AR35+AS32</f>
        <v>2123735.25029302</v>
      </c>
      <c r="AT35" s="168" t="n">
        <f aca="false">AS35+AT32</f>
        <v>2358672.45785704</v>
      </c>
      <c r="AU35" s="168" t="n">
        <f aca="false">AT35+AU32</f>
        <v>2611019.66131971</v>
      </c>
      <c r="AV35" s="168" t="n">
        <f aca="false">AU35+AV32</f>
        <v>2879637.53621187</v>
      </c>
      <c r="AW35" s="168" t="n">
        <f aca="false">AV35+AW32</f>
        <v>3163405.98676409</v>
      </c>
      <c r="AX35" s="168" t="n">
        <f aca="false">AW35+AX32</f>
        <v>3323299.56957491</v>
      </c>
      <c r="AY35" s="168" t="n">
        <f aca="false">AX35+AY32</f>
        <v>3531312.14868197</v>
      </c>
      <c r="AZ35" s="168" t="n">
        <f aca="false">AY35+AZ32</f>
        <v>3784395.43865375</v>
      </c>
      <c r="BA35" s="168" t="n">
        <f aca="false">AZ35+BA32</f>
        <v>4079779.3385622</v>
      </c>
      <c r="BB35" s="168" t="n">
        <f aca="false">BA35+BB32</f>
        <v>4414806.74739534</v>
      </c>
      <c r="BC35" s="168" t="n">
        <f aca="false">BB35+BC32</f>
        <v>4756979.55047034</v>
      </c>
      <c r="BD35" s="168" t="n">
        <f aca="false">BC35+BD32</f>
        <v>5164024.391329</v>
      </c>
      <c r="BE35" s="168" t="n">
        <f aca="false">BD35+BE32</f>
        <v>5603737.66522507</v>
      </c>
      <c r="BF35" s="168" t="n">
        <f aca="false">BE35+BF32</f>
        <v>6074102.45113916</v>
      </c>
      <c r="BG35" s="168" t="n">
        <f aca="false">BF35+BG32</f>
        <v>6573145.07072493</v>
      </c>
      <c r="BH35" s="168" t="n">
        <f aca="false">BG35+BH32</f>
        <v>7099114.22577966</v>
      </c>
      <c r="BI35" s="168" t="n">
        <f aca="false">BH35+BI32</f>
        <v>7650323.92982513</v>
      </c>
    </row>
    <row r="36" customFormat="false" ht="15.75" hidden="false" customHeight="true" outlineLevel="0" collapsed="false"/>
    <row r="37" customFormat="false" ht="15.75" hidden="false" customHeight="true" outlineLevel="0" collapsed="false">
      <c r="A37" s="49" t="s">
        <v>469</v>
      </c>
      <c r="B37" s="153" t="n">
        <f aca="false">Aportes!B96</f>
        <v>0</v>
      </c>
      <c r="C37" s="153" t="n">
        <f aca="false">Aportes!C96</f>
        <v>0</v>
      </c>
      <c r="D37" s="153" t="n">
        <f aca="false">Aportes!D96</f>
        <v>0</v>
      </c>
      <c r="E37" s="153" t="n">
        <f aca="false">Aportes!E96</f>
        <v>10000</v>
      </c>
      <c r="F37" s="153" t="n">
        <f aca="false">Aportes!F96</f>
        <v>0</v>
      </c>
      <c r="G37" s="153" t="n">
        <f aca="false">Aportes!G96</f>
        <v>0</v>
      </c>
      <c r="H37" s="153" t="n">
        <f aca="false">Aportes!H96</f>
        <v>5000</v>
      </c>
      <c r="I37" s="153" t="n">
        <f aca="false">Aportes!I96</f>
        <v>18000</v>
      </c>
      <c r="J37" s="153" t="n">
        <f aca="false">Aportes!J96</f>
        <v>4000</v>
      </c>
      <c r="K37" s="153" t="n">
        <f aca="false">Aportes!K96</f>
        <v>80000</v>
      </c>
      <c r="L37" s="153" t="n">
        <f aca="false">Aportes!L96</f>
        <v>0</v>
      </c>
      <c r="M37" s="153" t="n">
        <f aca="false">Aportes!M96</f>
        <v>0</v>
      </c>
      <c r="N37" s="153" t="n">
        <f aca="false">Aportes!N96</f>
        <v>0</v>
      </c>
      <c r="O37" s="153" t="n">
        <f aca="false">Aportes!O96</f>
        <v>200000</v>
      </c>
      <c r="P37" s="153" t="n">
        <f aca="false">Aportes!P96</f>
        <v>0</v>
      </c>
      <c r="Q37" s="153" t="n">
        <f aca="false">Aportes!Q96</f>
        <v>0</v>
      </c>
      <c r="R37" s="153" t="n">
        <f aca="false">Aportes!R96</f>
        <v>0</v>
      </c>
      <c r="S37" s="153" t="n">
        <f aca="false">Aportes!S96</f>
        <v>0</v>
      </c>
      <c r="T37" s="153" t="n">
        <f aca="false">Aportes!T96</f>
        <v>0</v>
      </c>
      <c r="U37" s="153" t="n">
        <f aca="false">Aportes!U96</f>
        <v>0</v>
      </c>
      <c r="V37" s="153" t="n">
        <f aca="false">Aportes!V96</f>
        <v>0</v>
      </c>
      <c r="W37" s="153" t="n">
        <f aca="false">Aportes!W96</f>
        <v>0</v>
      </c>
      <c r="X37" s="153" t="n">
        <f aca="false">Aportes!X96</f>
        <v>0</v>
      </c>
      <c r="Y37" s="153" t="n">
        <f aca="false">Aportes!Y96</f>
        <v>0</v>
      </c>
      <c r="Z37" s="153" t="n">
        <f aca="false">Aportes!Z96</f>
        <v>0</v>
      </c>
      <c r="AA37" s="153" t="n">
        <f aca="false">Aportes!AA96</f>
        <v>0</v>
      </c>
      <c r="AB37" s="153" t="n">
        <f aca="false">Aportes!AB96</f>
        <v>0</v>
      </c>
      <c r="AC37" s="153" t="n">
        <f aca="false">Aportes!AC96</f>
        <v>0</v>
      </c>
      <c r="AD37" s="153" t="n">
        <f aca="false">Aportes!AD96</f>
        <v>0</v>
      </c>
      <c r="AE37" s="153" t="n">
        <f aca="false">Aportes!AE96</f>
        <v>0</v>
      </c>
      <c r="AF37" s="153" t="n">
        <f aca="false">Aportes!AF96</f>
        <v>0</v>
      </c>
      <c r="AG37" s="153" t="n">
        <f aca="false">Aportes!AG96</f>
        <v>0</v>
      </c>
      <c r="AH37" s="153" t="n">
        <f aca="false">Aportes!AH96</f>
        <v>0</v>
      </c>
      <c r="AI37" s="153" t="n">
        <f aca="false">Aportes!AI96</f>
        <v>0</v>
      </c>
      <c r="AJ37" s="153" t="n">
        <f aca="false">Aportes!AJ96</f>
        <v>0</v>
      </c>
      <c r="AK37" s="153" t="n">
        <f aca="false">Aportes!AK96</f>
        <v>0</v>
      </c>
      <c r="AL37" s="153" t="n">
        <f aca="false">Aportes!AL96</f>
        <v>0</v>
      </c>
      <c r="AM37" s="153" t="n">
        <f aca="false">Aportes!AM96</f>
        <v>0</v>
      </c>
      <c r="AN37" s="153" t="n">
        <f aca="false">Aportes!AN96</f>
        <v>0</v>
      </c>
      <c r="AO37" s="153" t="n">
        <f aca="false">Aportes!AO96</f>
        <v>0</v>
      </c>
      <c r="AP37" s="153" t="n">
        <f aca="false">Aportes!AP96</f>
        <v>0</v>
      </c>
      <c r="AQ37" s="153" t="n">
        <f aca="false">Aportes!AQ96</f>
        <v>0</v>
      </c>
      <c r="AR37" s="153" t="n">
        <f aca="false">Aportes!AR96</f>
        <v>0</v>
      </c>
      <c r="AS37" s="153" t="n">
        <f aca="false">Aportes!AS96</f>
        <v>0</v>
      </c>
      <c r="AT37" s="153" t="n">
        <f aca="false">Aportes!AT96</f>
        <v>0</v>
      </c>
      <c r="AU37" s="153" t="n">
        <f aca="false">Aportes!AU96</f>
        <v>0</v>
      </c>
      <c r="AV37" s="153" t="n">
        <f aca="false">Aportes!AV96</f>
        <v>0</v>
      </c>
      <c r="AW37" s="153" t="n">
        <f aca="false">Aportes!AW96</f>
        <v>0</v>
      </c>
      <c r="AX37" s="153" t="n">
        <f aca="false">Aportes!AX96</f>
        <v>0</v>
      </c>
      <c r="AY37" s="153" t="n">
        <f aca="false">Aportes!AY96</f>
        <v>0</v>
      </c>
      <c r="AZ37" s="153" t="n">
        <f aca="false">Aportes!AZ96</f>
        <v>0</v>
      </c>
      <c r="BA37" s="153" t="n">
        <f aca="false">Aportes!BA96</f>
        <v>0</v>
      </c>
      <c r="BB37" s="153" t="n">
        <f aca="false">Aportes!BB96</f>
        <v>0</v>
      </c>
      <c r="BC37" s="153" t="n">
        <f aca="false">Aportes!BC96</f>
        <v>0</v>
      </c>
      <c r="BD37" s="153" t="n">
        <f aca="false">Aportes!BD96</f>
        <v>0</v>
      </c>
      <c r="BE37" s="153" t="n">
        <f aca="false">Aportes!BE96</f>
        <v>0</v>
      </c>
      <c r="BF37" s="153" t="n">
        <f aca="false">Aportes!BF96</f>
        <v>0</v>
      </c>
      <c r="BG37" s="153" t="n">
        <f aca="false">Aportes!BG96</f>
        <v>0</v>
      </c>
      <c r="BH37" s="153" t="n">
        <f aca="false">Aportes!BH96</f>
        <v>0</v>
      </c>
      <c r="BI37" s="153" t="n">
        <f aca="false">Aportes!BI96</f>
        <v>0</v>
      </c>
      <c r="BJ37" s="154" t="n">
        <f aca="false">SUM(B37:BI37)</f>
        <v>317000</v>
      </c>
    </row>
    <row r="38" customFormat="false" ht="15.75" hidden="false" customHeight="true" outlineLevel="0" collapsed="false">
      <c r="A38" s="53" t="s">
        <v>470</v>
      </c>
      <c r="B38" s="160" t="n">
        <f aca="false">B32+B37</f>
        <v>0</v>
      </c>
      <c r="C38" s="160" t="n">
        <f aca="false">C32+C37</f>
        <v>0</v>
      </c>
      <c r="D38" s="160" t="n">
        <f aca="false">D32+D37</f>
        <v>0</v>
      </c>
      <c r="E38" s="160" t="n">
        <f aca="false">E32+E37</f>
        <v>10000</v>
      </c>
      <c r="F38" s="160" t="n">
        <f aca="false">F32+F37</f>
        <v>-6600</v>
      </c>
      <c r="G38" s="160" t="n">
        <f aca="false">G32+G37</f>
        <v>-600</v>
      </c>
      <c r="H38" s="160" t="n">
        <f aca="false">H32+H37</f>
        <v>4400</v>
      </c>
      <c r="I38" s="160" t="n">
        <f aca="false">I32+I37</f>
        <v>8272.18</v>
      </c>
      <c r="J38" s="160" t="n">
        <f aca="false">J32+J37</f>
        <v>-7100</v>
      </c>
      <c r="K38" s="160" t="n">
        <f aca="false">K32+K37</f>
        <v>68900</v>
      </c>
      <c r="L38" s="160" t="n">
        <f aca="false">L32+L37</f>
        <v>-2100</v>
      </c>
      <c r="M38" s="160" t="n">
        <f aca="false">M32+M37</f>
        <v>-30935.69675</v>
      </c>
      <c r="N38" s="160" t="n">
        <f aca="false">N32+N37</f>
        <v>-90989.1245066667</v>
      </c>
      <c r="O38" s="160" t="n">
        <f aca="false">O32+O37</f>
        <v>124397.713730261</v>
      </c>
      <c r="P38" s="160" t="n">
        <f aca="false">P32+P37</f>
        <v>-62834.3975386276</v>
      </c>
      <c r="Q38" s="160" t="n">
        <f aca="false">Q32+Q37</f>
        <v>-30364.6935326509</v>
      </c>
      <c r="R38" s="160" t="n">
        <f aca="false">R32+R37</f>
        <v>-6993.91394303792</v>
      </c>
      <c r="S38" s="160" t="n">
        <f aca="false">S32+S37</f>
        <v>-4314.17099758057</v>
      </c>
      <c r="T38" s="160" t="n">
        <f aca="false">T32+T37</f>
        <v>9929.43528864451</v>
      </c>
      <c r="U38" s="160" t="n">
        <f aca="false">U32+U37</f>
        <v>18082.6377952668</v>
      </c>
      <c r="V38" s="160" t="n">
        <f aca="false">V32+V37</f>
        <v>24041.0017256003</v>
      </c>
      <c r="W38" s="160" t="n">
        <f aca="false">W32+W37</f>
        <v>30757.1210308209</v>
      </c>
      <c r="X38" s="160" t="n">
        <f aca="false">X32+X37</f>
        <v>35805.6168140176</v>
      </c>
      <c r="Y38" s="160" t="n">
        <f aca="false">Y32+Y37</f>
        <v>72409.1411540779</v>
      </c>
      <c r="Z38" s="160" t="n">
        <f aca="false">Z32+Z37</f>
        <v>2512.99780623114</v>
      </c>
      <c r="AA38" s="160" t="n">
        <f aca="false">AA32+AA37</f>
        <v>33829.289154316</v>
      </c>
      <c r="AB38" s="160" t="n">
        <f aca="false">AB32+AB37</f>
        <v>52966.3331573654</v>
      </c>
      <c r="AC38" s="160" t="n">
        <f aca="false">AC32+AC37</f>
        <v>70750.5087737169</v>
      </c>
      <c r="AD38" s="160" t="n">
        <f aca="false">AD32+AD37</f>
        <v>87290.591548266</v>
      </c>
      <c r="AE38" s="160" t="n">
        <f aca="false">AE32+AE37</f>
        <v>87645.0373204064</v>
      </c>
      <c r="AF38" s="160" t="n">
        <f aca="false">AF32+AF37</f>
        <v>116905.023357711</v>
      </c>
      <c r="AG38" s="160" t="n">
        <f aca="false">AG32+AG37</f>
        <v>130179.346614923</v>
      </c>
      <c r="AH38" s="160" t="n">
        <f aca="false">AH32+AH37</f>
        <v>142480.881034666</v>
      </c>
      <c r="AI38" s="160" t="n">
        <f aca="false">AI32+AI37</f>
        <v>153921.519236628</v>
      </c>
      <c r="AJ38" s="160" t="n">
        <f aca="false">AJ32+AJ37</f>
        <v>164575.67833804</v>
      </c>
      <c r="AK38" s="160" t="n">
        <f aca="false">AK32+AK37</f>
        <v>174489.008139901</v>
      </c>
      <c r="AL38" s="160" t="n">
        <f aca="false">AL32+AL37</f>
        <v>42839.2754790075</v>
      </c>
      <c r="AM38" s="160" t="n">
        <f aca="false">AM32+AM37</f>
        <v>73013.863190227</v>
      </c>
      <c r="AN38" s="160" t="n">
        <f aca="false">AN32+AN37</f>
        <v>101150.122358121</v>
      </c>
      <c r="AO38" s="160" t="n">
        <f aca="false">AO32+AO37</f>
        <v>127453.412186849</v>
      </c>
      <c r="AP38" s="160" t="n">
        <f aca="false">AP32+AP37</f>
        <v>152015.972199105</v>
      </c>
      <c r="AQ38" s="160" t="n">
        <f aca="false">AQ32+AQ37</f>
        <v>149925.384236952</v>
      </c>
      <c r="AR38" s="160" t="n">
        <f aca="false">AR32+AR37</f>
        <v>196335.766563725</v>
      </c>
      <c r="AS38" s="160" t="n">
        <f aca="false">AS32+AS37</f>
        <v>216292.389326741</v>
      </c>
      <c r="AT38" s="160" t="n">
        <f aca="false">AT32+AT37</f>
        <v>234937.207564019</v>
      </c>
      <c r="AU38" s="160" t="n">
        <f aca="false">AU32+AU37</f>
        <v>252347.203462666</v>
      </c>
      <c r="AV38" s="160" t="n">
        <f aca="false">AV32+AV37</f>
        <v>268617.874892157</v>
      </c>
      <c r="AW38" s="160" t="n">
        <f aca="false">AW32+AW37</f>
        <v>283768.450552223</v>
      </c>
      <c r="AX38" s="160" t="n">
        <f aca="false">AX32+AX37</f>
        <v>159893.582810827</v>
      </c>
      <c r="AY38" s="160" t="n">
        <f aca="false">AY32+AY37</f>
        <v>208012.579107051</v>
      </c>
      <c r="AZ38" s="160" t="n">
        <f aca="false">AZ32+AZ37</f>
        <v>253083.289971783</v>
      </c>
      <c r="BA38" s="160" t="n">
        <f aca="false">BA32+BA37</f>
        <v>295383.899908452</v>
      </c>
      <c r="BB38" s="160" t="n">
        <f aca="false">BB32+BB37</f>
        <v>335027.408833143</v>
      </c>
      <c r="BC38" s="160" t="n">
        <f aca="false">BC32+BC37</f>
        <v>342172.803074992</v>
      </c>
      <c r="BD38" s="160" t="n">
        <f aca="false">BD32+BD37</f>
        <v>407044.840858663</v>
      </c>
      <c r="BE38" s="160" t="n">
        <f aca="false">BE32+BE37</f>
        <v>439713.273896072</v>
      </c>
      <c r="BF38" s="160" t="n">
        <f aca="false">BF32+BF37</f>
        <v>470364.785914089</v>
      </c>
      <c r="BG38" s="160" t="n">
        <f aca="false">BG32+BG37</f>
        <v>499042.619585767</v>
      </c>
      <c r="BH38" s="160" t="n">
        <f aca="false">BH32+BH37</f>
        <v>525969.155054732</v>
      </c>
      <c r="BI38" s="160" t="n">
        <f aca="false">BI32+BI37</f>
        <v>551209.704045469</v>
      </c>
      <c r="BJ38" s="154" t="n">
        <f aca="false">SUM(B38:BI38)</f>
        <v>7967323.92982513</v>
      </c>
    </row>
    <row r="39" customFormat="false" ht="15.75" hidden="false" customHeight="true" outlineLevel="0" collapsed="false">
      <c r="A39" s="53" t="s">
        <v>471</v>
      </c>
      <c r="B39" s="154" t="n">
        <f aca="false">B38</f>
        <v>0</v>
      </c>
      <c r="C39" s="154" t="n">
        <f aca="false">B39+C38</f>
        <v>0</v>
      </c>
      <c r="D39" s="154" t="n">
        <f aca="false">C39+D38</f>
        <v>0</v>
      </c>
      <c r="E39" s="154" t="n">
        <f aca="false">D39+E38</f>
        <v>10000</v>
      </c>
      <c r="F39" s="154" t="n">
        <f aca="false">E39+F38</f>
        <v>3400</v>
      </c>
      <c r="G39" s="154" t="n">
        <f aca="false">F39+G38</f>
        <v>2800</v>
      </c>
      <c r="H39" s="154" t="n">
        <f aca="false">G39+H38</f>
        <v>7200</v>
      </c>
      <c r="I39" s="154" t="n">
        <f aca="false">H39+I38</f>
        <v>15472.18</v>
      </c>
      <c r="J39" s="154" t="n">
        <f aca="false">I39+J38</f>
        <v>8372.18</v>
      </c>
      <c r="K39" s="154" t="n">
        <f aca="false">J39+K38</f>
        <v>77272.18</v>
      </c>
      <c r="L39" s="154" t="n">
        <f aca="false">K39+L38</f>
        <v>75172.18</v>
      </c>
      <c r="M39" s="154" t="n">
        <f aca="false">L39+M38</f>
        <v>44236.48325</v>
      </c>
      <c r="N39" s="154" t="n">
        <f aca="false">M39+N38</f>
        <v>-46752.6412566667</v>
      </c>
      <c r="O39" s="154" t="n">
        <f aca="false">N39+O38</f>
        <v>77645.0724735947</v>
      </c>
      <c r="P39" s="154" t="n">
        <f aca="false">O39+P38</f>
        <v>14810.674934967</v>
      </c>
      <c r="Q39" s="154" t="n">
        <f aca="false">P39+Q38</f>
        <v>-15554.0185976838</v>
      </c>
      <c r="R39" s="154" t="n">
        <f aca="false">Q39+R38</f>
        <v>-22547.9325407217</v>
      </c>
      <c r="S39" s="154" t="n">
        <f aca="false">R39+S38</f>
        <v>-26862.1035383023</v>
      </c>
      <c r="T39" s="154" t="n">
        <f aca="false">S39+T38</f>
        <v>-16932.6682496578</v>
      </c>
      <c r="U39" s="154" t="n">
        <f aca="false">T39+U38</f>
        <v>1149.96954560901</v>
      </c>
      <c r="V39" s="154" t="n">
        <f aca="false">U39+V38</f>
        <v>25190.9712712093</v>
      </c>
      <c r="W39" s="154" t="n">
        <f aca="false">V39+W38</f>
        <v>55948.0923020302</v>
      </c>
      <c r="X39" s="154" t="n">
        <f aca="false">W39+X38</f>
        <v>91753.7091160479</v>
      </c>
      <c r="Y39" s="154" t="n">
        <f aca="false">X39+Y38</f>
        <v>164162.850270126</v>
      </c>
      <c r="Z39" s="154" t="n">
        <f aca="false">Y39+Z38</f>
        <v>166675.848076357</v>
      </c>
      <c r="AA39" s="154" t="n">
        <f aca="false">Z39+AA38</f>
        <v>200505.137230673</v>
      </c>
      <c r="AB39" s="154" t="n">
        <f aca="false">AA39+AB38</f>
        <v>253471.470388038</v>
      </c>
      <c r="AC39" s="154" t="n">
        <f aca="false">AB39+AC38</f>
        <v>324221.979161755</v>
      </c>
      <c r="AD39" s="154" t="n">
        <f aca="false">AC39+AD38</f>
        <v>411512.570710021</v>
      </c>
      <c r="AE39" s="154" t="n">
        <f aca="false">AD39+AE38</f>
        <v>499157.608030428</v>
      </c>
      <c r="AF39" s="154" t="n">
        <f aca="false">AE39+AF38</f>
        <v>616062.631388139</v>
      </c>
      <c r="AG39" s="154" t="n">
        <f aca="false">AF39+AG38</f>
        <v>746241.978003062</v>
      </c>
      <c r="AH39" s="154" t="n">
        <f aca="false">AG39+AH38</f>
        <v>888722.859037728</v>
      </c>
      <c r="AI39" s="154" t="n">
        <f aca="false">AH39+AI38</f>
        <v>1042644.37827436</v>
      </c>
      <c r="AJ39" s="154" t="n">
        <f aca="false">AI39+AJ38</f>
        <v>1207220.0566124</v>
      </c>
      <c r="AK39" s="154" t="n">
        <f aca="false">AJ39+AK38</f>
        <v>1381709.0647523</v>
      </c>
      <c r="AL39" s="154" t="n">
        <f aca="false">AK39+AL38</f>
        <v>1424548.3402313</v>
      </c>
      <c r="AM39" s="154" t="n">
        <f aca="false">AL39+AM38</f>
        <v>1497562.20342153</v>
      </c>
      <c r="AN39" s="154" t="n">
        <f aca="false">AM39+AN38</f>
        <v>1598712.32577965</v>
      </c>
      <c r="AO39" s="154" t="n">
        <f aca="false">AN39+AO38</f>
        <v>1726165.7379665</v>
      </c>
      <c r="AP39" s="154" t="n">
        <f aca="false">AO39+AP38</f>
        <v>1878181.71016561</v>
      </c>
      <c r="AQ39" s="154" t="n">
        <f aca="false">AP39+AQ38</f>
        <v>2028107.09440256</v>
      </c>
      <c r="AR39" s="154" t="n">
        <f aca="false">AQ39+AR38</f>
        <v>2224442.86096628</v>
      </c>
      <c r="AS39" s="154" t="n">
        <f aca="false">AR39+AS38</f>
        <v>2440735.25029302</v>
      </c>
      <c r="AT39" s="154" t="n">
        <f aca="false">AS39+AT38</f>
        <v>2675672.45785704</v>
      </c>
      <c r="AU39" s="154" t="n">
        <f aca="false">AT39+AU38</f>
        <v>2928019.66131971</v>
      </c>
      <c r="AV39" s="154" t="n">
        <f aca="false">AU39+AV38</f>
        <v>3196637.53621187</v>
      </c>
      <c r="AW39" s="154" t="n">
        <f aca="false">AV39+AW38</f>
        <v>3480405.98676409</v>
      </c>
      <c r="AX39" s="154" t="n">
        <f aca="false">AW39+AX38</f>
        <v>3640299.56957491</v>
      </c>
      <c r="AY39" s="154" t="n">
        <f aca="false">AX39+AY38</f>
        <v>3848312.14868197</v>
      </c>
      <c r="AZ39" s="154" t="n">
        <f aca="false">AY39+AZ38</f>
        <v>4101395.43865375</v>
      </c>
      <c r="BA39" s="154" t="n">
        <f aca="false">AZ39+BA38</f>
        <v>4396779.3385622</v>
      </c>
      <c r="BB39" s="154" t="n">
        <f aca="false">BA39+BB38</f>
        <v>4731806.74739534</v>
      </c>
      <c r="BC39" s="154" t="n">
        <f aca="false">BB39+BC38</f>
        <v>5073979.55047034</v>
      </c>
      <c r="BD39" s="154" t="n">
        <f aca="false">BC39+BD38</f>
        <v>5481024.391329</v>
      </c>
      <c r="BE39" s="154" t="n">
        <f aca="false">BD39+BE38</f>
        <v>5920737.66522507</v>
      </c>
      <c r="BF39" s="154" t="n">
        <f aca="false">BE39+BF38</f>
        <v>6391102.45113916</v>
      </c>
      <c r="BG39" s="154" t="n">
        <f aca="false">BF39+BG38</f>
        <v>6890145.07072493</v>
      </c>
      <c r="BH39" s="154" t="n">
        <f aca="false">BG39+BH38</f>
        <v>7416114.22577966</v>
      </c>
      <c r="BI39" s="154" t="n">
        <f aca="false">BH39+BI38</f>
        <v>7967323.92982513</v>
      </c>
    </row>
    <row r="40" customFormat="false" ht="15.75" hidden="false" customHeight="true" outlineLevel="0" collapsed="false">
      <c r="A40" s="111" t="s">
        <v>472</v>
      </c>
      <c r="B40" s="169" t="n">
        <f aca="false">IF(B35&lt;0,B$5,0)</f>
        <v>0</v>
      </c>
      <c r="C40" s="169" t="n">
        <f aca="false">IF(C35&lt;0,C$5,0)</f>
        <v>0</v>
      </c>
      <c r="D40" s="169" t="n">
        <f aca="false">IF(D35&lt;0,D$5,0)</f>
        <v>0</v>
      </c>
      <c r="E40" s="169" t="n">
        <f aca="false">IF(E35&lt;0,E$5,0)</f>
        <v>0</v>
      </c>
      <c r="F40" s="169" t="n">
        <f aca="false">IF(F35&lt;0,F$5,0)</f>
        <v>5</v>
      </c>
      <c r="G40" s="169" t="n">
        <f aca="false">IF(G35&lt;0,G$5,0)</f>
        <v>6</v>
      </c>
      <c r="H40" s="169" t="n">
        <f aca="false">IF(H35&lt;0,H$5,0)</f>
        <v>7</v>
      </c>
      <c r="I40" s="169" t="n">
        <f aca="false">IF(I35&lt;0,I$5,0)</f>
        <v>8</v>
      </c>
      <c r="J40" s="169" t="n">
        <f aca="false">IF(J35&lt;0,J$5,0)</f>
        <v>9</v>
      </c>
      <c r="K40" s="169" t="n">
        <f aca="false">IF(K35&lt;0,K$5,0)</f>
        <v>10</v>
      </c>
      <c r="L40" s="169" t="n">
        <f aca="false">IF(L35&lt;0,L$5,0)</f>
        <v>11</v>
      </c>
      <c r="M40" s="169" t="n">
        <f aca="false">IF(M35&lt;0,M$5,0)</f>
        <v>12</v>
      </c>
      <c r="N40" s="169" t="n">
        <f aca="false">IF(N35&lt;0,N$5,0)</f>
        <v>13</v>
      </c>
      <c r="O40" s="169" t="n">
        <f aca="false">IF(O35&lt;0,O$5,0)</f>
        <v>14</v>
      </c>
      <c r="P40" s="169" t="n">
        <f aca="false">IF(P35&lt;0,P$5,0)</f>
        <v>15</v>
      </c>
      <c r="Q40" s="169" t="n">
        <f aca="false">IF(Q35&lt;0,Q$5,0)</f>
        <v>16</v>
      </c>
      <c r="R40" s="169" t="n">
        <f aca="false">IF(R35&lt;0,R$5,0)</f>
        <v>17</v>
      </c>
      <c r="S40" s="169" t="n">
        <f aca="false">IF(S35&lt;0,S$5,0)</f>
        <v>18</v>
      </c>
      <c r="T40" s="169" t="n">
        <f aca="false">IF(T35&lt;0,T$5,0)</f>
        <v>19</v>
      </c>
      <c r="U40" s="169" t="n">
        <f aca="false">IF(U35&lt;0,U$5,0)</f>
        <v>20</v>
      </c>
      <c r="V40" s="169" t="n">
        <f aca="false">IF(V35&lt;0,V$5,0)</f>
        <v>21</v>
      </c>
      <c r="W40" s="169" t="n">
        <f aca="false">IF(W35&lt;0,W$5,0)</f>
        <v>22</v>
      </c>
      <c r="X40" s="169" t="n">
        <f aca="false">IF(X35&lt;0,X$5,0)</f>
        <v>23</v>
      </c>
      <c r="Y40" s="169" t="n">
        <f aca="false">IF(Y35&lt;0,Y$5,0)</f>
        <v>24</v>
      </c>
      <c r="Z40" s="169" t="n">
        <f aca="false">IF(Z35&lt;0,Z$5,0)</f>
        <v>25</v>
      </c>
      <c r="AA40" s="169" t="n">
        <f aca="false">IF(AA35&lt;0,AA$5,0)</f>
        <v>26</v>
      </c>
      <c r="AB40" s="169" t="n">
        <f aca="false">IF(AB35&lt;0,AB$5,0)</f>
        <v>27</v>
      </c>
      <c r="AC40" s="169" t="n">
        <f aca="false">IF(AC35&lt;0,AC$5,0)</f>
        <v>0</v>
      </c>
      <c r="AD40" s="169" t="n">
        <f aca="false">IF(AD35&lt;0,AD$5,0)</f>
        <v>0</v>
      </c>
      <c r="AE40" s="169" t="n">
        <f aca="false">IF(AE35&lt;0,AE$5,0)</f>
        <v>0</v>
      </c>
      <c r="AF40" s="169" t="n">
        <f aca="false">IF(AF35&lt;0,AF$5,0)</f>
        <v>0</v>
      </c>
      <c r="AG40" s="169" t="n">
        <f aca="false">IF(AG35&lt;0,AG$5,0)</f>
        <v>0</v>
      </c>
      <c r="AH40" s="169" t="n">
        <f aca="false">IF(AH35&lt;0,AH$5,0)</f>
        <v>0</v>
      </c>
      <c r="AI40" s="169" t="n">
        <f aca="false">IF(AI35&lt;0,AI$5,0)</f>
        <v>0</v>
      </c>
      <c r="AJ40" s="169" t="n">
        <f aca="false">IF(AJ35&lt;0,AJ$5,0)</f>
        <v>0</v>
      </c>
      <c r="AK40" s="169" t="n">
        <f aca="false">IF(AK35&lt;0,AK$5,0)</f>
        <v>0</v>
      </c>
      <c r="AL40" s="169" t="n">
        <f aca="false">IF(AL35&lt;0,AL$5,0)</f>
        <v>0</v>
      </c>
      <c r="AM40" s="169" t="n">
        <f aca="false">IF(AM35&lt;0,AM$5,0)</f>
        <v>0</v>
      </c>
      <c r="AN40" s="169" t="n">
        <f aca="false">IF(AN35&lt;0,AN$5,0)</f>
        <v>0</v>
      </c>
      <c r="AO40" s="169" t="n">
        <f aca="false">IF(AO35&lt;0,AO$5,0)</f>
        <v>0</v>
      </c>
      <c r="AP40" s="169" t="n">
        <f aca="false">IF(AP35&lt;0,AP$5,0)</f>
        <v>0</v>
      </c>
      <c r="AQ40" s="169" t="n">
        <f aca="false">IF(AQ35&lt;0,AQ$5,0)</f>
        <v>0</v>
      </c>
      <c r="AR40" s="169" t="n">
        <f aca="false">IF(AR35&lt;0,AR$5,0)</f>
        <v>0</v>
      </c>
      <c r="AS40" s="169" t="n">
        <f aca="false">IF(AS35&lt;0,AS$5,0)</f>
        <v>0</v>
      </c>
      <c r="AT40" s="169" t="n">
        <f aca="false">IF(AT35&lt;0,AT$5,0)</f>
        <v>0</v>
      </c>
      <c r="AU40" s="169" t="n">
        <f aca="false">IF(AU35&lt;0,AU$5,0)</f>
        <v>0</v>
      </c>
      <c r="AV40" s="169" t="n">
        <f aca="false">IF(AV35&lt;0,AV$5,0)</f>
        <v>0</v>
      </c>
      <c r="AW40" s="169" t="n">
        <f aca="false">IF(AW35&lt;0,AW$5,0)</f>
        <v>0</v>
      </c>
      <c r="AX40" s="169" t="n">
        <f aca="false">IF(AX35&lt;0,AX$5,0)</f>
        <v>0</v>
      </c>
      <c r="AY40" s="169" t="n">
        <f aca="false">IF(AY35&lt;0,AY$5,0)</f>
        <v>0</v>
      </c>
      <c r="AZ40" s="169" t="n">
        <f aca="false">IF(AZ35&lt;0,AZ$5,0)</f>
        <v>0</v>
      </c>
      <c r="BA40" s="169" t="n">
        <f aca="false">IF(BA35&lt;0,BA$5,0)</f>
        <v>0</v>
      </c>
      <c r="BB40" s="169" t="n">
        <f aca="false">IF(BB35&lt;0,BB$5,0)</f>
        <v>0</v>
      </c>
      <c r="BC40" s="169" t="n">
        <f aca="false">IF(BC35&lt;0,BC$5,0)</f>
        <v>0</v>
      </c>
      <c r="BD40" s="169" t="n">
        <f aca="false">IF(BD35&lt;0,BD$5,0)</f>
        <v>0</v>
      </c>
      <c r="BE40" s="169" t="n">
        <f aca="false">IF(BE35&lt;0,BE$5,0)</f>
        <v>0</v>
      </c>
      <c r="BF40" s="169" t="n">
        <f aca="false">IF(BF35&lt;0,BF$5,0)</f>
        <v>0</v>
      </c>
      <c r="BG40" s="169" t="n">
        <f aca="false">IF(BG35&lt;0,BG$5,0)</f>
        <v>0</v>
      </c>
      <c r="BH40" s="169" t="n">
        <f aca="false">IF(BH35&lt;0,BH$5,0)</f>
        <v>0</v>
      </c>
      <c r="BI40" s="169" t="n">
        <f aca="false">IF(BI35&lt;0,BI$5,0)</f>
        <v>0</v>
      </c>
      <c r="BK40" s="51" t="s">
        <v>473</v>
      </c>
    </row>
    <row r="41" customFormat="false" ht="15.75" hidden="false" customHeight="true" outlineLevel="0" collapsed="false">
      <c r="A41" s="111" t="s">
        <v>474</v>
      </c>
      <c r="B41" s="169" t="n">
        <f aca="false">IF(B34&lt;0,B$5,0)</f>
        <v>0</v>
      </c>
      <c r="C41" s="169" t="n">
        <f aca="false">IF(C34&lt;0,C$5,0)</f>
        <v>0</v>
      </c>
      <c r="D41" s="169" t="n">
        <f aca="false">IF(D34&lt;0,D$5,0)</f>
        <v>0</v>
      </c>
      <c r="E41" s="169" t="n">
        <f aca="false">IF(E34&lt;0,E$5,0)</f>
        <v>0</v>
      </c>
      <c r="F41" s="169" t="n">
        <f aca="false">IF(F34&lt;0,F$5,0)</f>
        <v>5</v>
      </c>
      <c r="G41" s="169" t="n">
        <f aca="false">IF(G34&lt;0,G$5,0)</f>
        <v>6</v>
      </c>
      <c r="H41" s="169" t="n">
        <f aca="false">IF(H34&lt;0,H$5,0)</f>
        <v>7</v>
      </c>
      <c r="I41" s="169" t="n">
        <f aca="false">IF(I34&lt;0,I$5,0)</f>
        <v>8</v>
      </c>
      <c r="J41" s="169" t="n">
        <f aca="false">IF(J34&lt;0,J$5,0)</f>
        <v>9</v>
      </c>
      <c r="K41" s="169" t="n">
        <f aca="false">IF(K34&lt;0,K$5,0)</f>
        <v>10</v>
      </c>
      <c r="L41" s="169" t="n">
        <f aca="false">IF(L34&lt;0,L$5,0)</f>
        <v>11</v>
      </c>
      <c r="M41" s="169" t="n">
        <f aca="false">IF(M34&lt;0,M$5,0)</f>
        <v>12</v>
      </c>
      <c r="N41" s="169" t="n">
        <f aca="false">IF(N34&lt;0,N$5,0)</f>
        <v>13</v>
      </c>
      <c r="O41" s="169" t="n">
        <f aca="false">IF(O34&lt;0,O$5,0)</f>
        <v>14</v>
      </c>
      <c r="P41" s="169" t="n">
        <f aca="false">IF(P34&lt;0,P$5,0)</f>
        <v>15</v>
      </c>
      <c r="Q41" s="169" t="n">
        <f aca="false">IF(Q34&lt;0,Q$5,0)</f>
        <v>16</v>
      </c>
      <c r="R41" s="169" t="n">
        <f aca="false">IF(R34&lt;0,R$5,0)</f>
        <v>17</v>
      </c>
      <c r="S41" s="169" t="n">
        <f aca="false">IF(S34&lt;0,S$5,0)</f>
        <v>18</v>
      </c>
      <c r="T41" s="169" t="n">
        <f aca="false">IF(T34&lt;0,T$5,0)</f>
        <v>19</v>
      </c>
      <c r="U41" s="169" t="n">
        <f aca="false">IF(U34&lt;0,U$5,0)</f>
        <v>20</v>
      </c>
      <c r="V41" s="169" t="n">
        <f aca="false">IF(V34&lt;0,V$5,0)</f>
        <v>21</v>
      </c>
      <c r="W41" s="169" t="n">
        <f aca="false">IF(W34&lt;0,W$5,0)</f>
        <v>22</v>
      </c>
      <c r="X41" s="169" t="n">
        <f aca="false">IF(X34&lt;0,X$5,0)</f>
        <v>23</v>
      </c>
      <c r="Y41" s="169" t="n">
        <f aca="false">IF(Y34&lt;0,Y$5,0)</f>
        <v>24</v>
      </c>
      <c r="Z41" s="169" t="n">
        <f aca="false">IF(Z34&lt;0,Z$5,0)</f>
        <v>25</v>
      </c>
      <c r="AA41" s="169" t="n">
        <f aca="false">IF(AA34&lt;0,AA$5,0)</f>
        <v>26</v>
      </c>
      <c r="AB41" s="169" t="n">
        <f aca="false">IF(AB34&lt;0,AB$5,0)</f>
        <v>27</v>
      </c>
      <c r="AC41" s="169" t="n">
        <f aca="false">IF(AC34&lt;0,AC$5,0)</f>
        <v>28</v>
      </c>
      <c r="AD41" s="169" t="n">
        <f aca="false">IF(AD34&lt;0,AD$5,0)</f>
        <v>0</v>
      </c>
      <c r="AE41" s="169" t="n">
        <f aca="false">IF(AE34&lt;0,AE$5,0)</f>
        <v>0</v>
      </c>
      <c r="AF41" s="169" t="n">
        <f aca="false">IF(AF34&lt;0,AF$5,0)</f>
        <v>0</v>
      </c>
      <c r="AG41" s="169" t="n">
        <f aca="false">IF(AG34&lt;0,AG$5,0)</f>
        <v>0</v>
      </c>
      <c r="AH41" s="169" t="n">
        <f aca="false">IF(AH34&lt;0,AH$5,0)</f>
        <v>0</v>
      </c>
      <c r="AI41" s="169" t="n">
        <f aca="false">IF(AI34&lt;0,AI$5,0)</f>
        <v>0</v>
      </c>
      <c r="AJ41" s="169" t="n">
        <f aca="false">IF(AJ34&lt;0,AJ$5,0)</f>
        <v>0</v>
      </c>
      <c r="AK41" s="169" t="n">
        <f aca="false">IF(AK34&lt;0,AK$5,0)</f>
        <v>0</v>
      </c>
      <c r="AL41" s="169" t="n">
        <f aca="false">IF(AL34&lt;0,AL$5,0)</f>
        <v>0</v>
      </c>
      <c r="AM41" s="169" t="n">
        <f aca="false">IF(AM34&lt;0,AM$5,0)</f>
        <v>0</v>
      </c>
      <c r="AN41" s="169" t="n">
        <f aca="false">IF(AN34&lt;0,AN$5,0)</f>
        <v>0</v>
      </c>
      <c r="AO41" s="169" t="n">
        <f aca="false">IF(AO34&lt;0,AO$5,0)</f>
        <v>0</v>
      </c>
      <c r="AP41" s="169" t="n">
        <f aca="false">IF(AP34&lt;0,AP$5,0)</f>
        <v>0</v>
      </c>
      <c r="AQ41" s="169" t="n">
        <f aca="false">IF(AQ34&lt;0,AQ$5,0)</f>
        <v>0</v>
      </c>
      <c r="AR41" s="169" t="n">
        <f aca="false">IF(AR34&lt;0,AR$5,0)</f>
        <v>0</v>
      </c>
      <c r="AS41" s="169" t="n">
        <f aca="false">IF(AS34&lt;0,AS$5,0)</f>
        <v>0</v>
      </c>
      <c r="AT41" s="169" t="n">
        <f aca="false">IF(AT34&lt;0,AT$5,0)</f>
        <v>0</v>
      </c>
      <c r="AU41" s="169" t="n">
        <f aca="false">IF(AU34&lt;0,AU$5,0)</f>
        <v>0</v>
      </c>
      <c r="AV41" s="169" t="n">
        <f aca="false">IF(AV34&lt;0,AV$5,0)</f>
        <v>0</v>
      </c>
      <c r="AW41" s="169" t="n">
        <f aca="false">IF(AW34&lt;0,AW$5,0)</f>
        <v>0</v>
      </c>
      <c r="AX41" s="169" t="n">
        <f aca="false">IF(AX34&lt;0,AX$5,0)</f>
        <v>0</v>
      </c>
      <c r="AY41" s="169" t="n">
        <f aca="false">IF(AY34&lt;0,AY$5,0)</f>
        <v>0</v>
      </c>
      <c r="AZ41" s="169" t="n">
        <f aca="false">IF(AZ34&lt;0,AZ$5,0)</f>
        <v>0</v>
      </c>
      <c r="BA41" s="169" t="n">
        <f aca="false">IF(BA34&lt;0,BA$5,0)</f>
        <v>0</v>
      </c>
      <c r="BB41" s="169" t="n">
        <f aca="false">IF(BB34&lt;0,BB$5,0)</f>
        <v>0</v>
      </c>
      <c r="BC41" s="169" t="n">
        <f aca="false">IF(BC34&lt;0,BC$5,0)</f>
        <v>0</v>
      </c>
      <c r="BD41" s="169" t="n">
        <f aca="false">IF(BD34&lt;0,BD$5,0)</f>
        <v>0</v>
      </c>
      <c r="BE41" s="169" t="n">
        <f aca="false">IF(BE34&lt;0,BE$5,0)</f>
        <v>0</v>
      </c>
      <c r="BF41" s="169" t="n">
        <f aca="false">IF(BF34&lt;0,BF$5,0)</f>
        <v>0</v>
      </c>
      <c r="BG41" s="169" t="n">
        <f aca="false">IF(BG34&lt;0,BG$5,0)</f>
        <v>0</v>
      </c>
      <c r="BH41" s="169" t="n">
        <f aca="false">IF(BH34&lt;0,BH$5,0)</f>
        <v>0</v>
      </c>
      <c r="BI41" s="169" t="n">
        <f aca="false">IF(BI34&lt;0,BI$5,0)</f>
        <v>0</v>
      </c>
    </row>
    <row r="42" customFormat="false" ht="15.75" hidden="false" customHeight="true" outlineLevel="0" collapsed="false">
      <c r="A42" s="111" t="s">
        <v>475</v>
      </c>
      <c r="B42" s="170" t="n">
        <f aca="false">ROUND(B32-CHOOSE(Premissas!$B$6,Cenários!B42,Cenários!B88,Cenários!B134),2)</f>
        <v>0</v>
      </c>
      <c r="C42" s="170" t="n">
        <f aca="false">ROUND(C32-CHOOSE(Premissas!$B$6,Cenários!C42,Cenários!C88,Cenários!C134),2)</f>
        <v>0</v>
      </c>
      <c r="D42" s="170" t="n">
        <f aca="false">ROUND(D32-CHOOSE(Premissas!$B$6,Cenários!D42,Cenários!D88,Cenários!D134),2)</f>
        <v>0</v>
      </c>
      <c r="E42" s="170" t="n">
        <f aca="false">ROUND(E32-CHOOSE(Premissas!$B$6,Cenários!E42,Cenários!E88,Cenários!E134),2)</f>
        <v>0</v>
      </c>
      <c r="F42" s="170" t="n">
        <f aca="false">ROUND(F32-CHOOSE(Premissas!$B$6,Cenários!F42,Cenários!F88,Cenários!F134),2)</f>
        <v>0</v>
      </c>
      <c r="G42" s="170" t="n">
        <f aca="false">ROUND(G32-CHOOSE(Premissas!$B$6,Cenários!G42,Cenários!G88,Cenários!G134),2)</f>
        <v>0</v>
      </c>
      <c r="H42" s="170" t="n">
        <f aca="false">ROUND(H32-CHOOSE(Premissas!$B$6,Cenários!H42,Cenários!H88,Cenários!H134),2)</f>
        <v>0</v>
      </c>
      <c r="I42" s="170" t="n">
        <f aca="false">ROUND(I32-CHOOSE(Premissas!$B$6,Cenários!I42,Cenários!I88,Cenários!I134),2)</f>
        <v>0</v>
      </c>
      <c r="J42" s="170" t="n">
        <f aca="false">ROUND(J32-CHOOSE(Premissas!$B$6,Cenários!J42,Cenários!J88,Cenários!J134),2)</f>
        <v>0</v>
      </c>
      <c r="K42" s="170" t="n">
        <f aca="false">ROUND(K32-CHOOSE(Premissas!$B$6,Cenários!K42,Cenários!K88,Cenários!K134),2)</f>
        <v>0</v>
      </c>
      <c r="L42" s="170" t="n">
        <f aca="false">ROUND(L32-CHOOSE(Premissas!$B$6,Cenários!L42,Cenários!L88,Cenários!L134),2)</f>
        <v>0</v>
      </c>
      <c r="M42" s="170" t="n">
        <f aca="false">ROUND(M32-CHOOSE(Premissas!$B$6,Cenários!M42,Cenários!M88,Cenários!M134),2)</f>
        <v>0</v>
      </c>
      <c r="N42" s="170" t="n">
        <f aca="false">ROUND(N32-CHOOSE(Premissas!$B$6,Cenários!N42,Cenários!N88,Cenários!N134),2)</f>
        <v>0</v>
      </c>
      <c r="O42" s="170" t="n">
        <f aca="false">ROUND(O32-CHOOSE(Premissas!$B$6,Cenários!O42,Cenários!O88,Cenários!O134),2)</f>
        <v>0</v>
      </c>
      <c r="P42" s="170" t="n">
        <f aca="false">ROUND(P32-CHOOSE(Premissas!$B$6,Cenários!P42,Cenários!P88,Cenários!P134),2)</f>
        <v>0</v>
      </c>
      <c r="Q42" s="170" t="n">
        <f aca="false">ROUND(Q32-CHOOSE(Premissas!$B$6,Cenários!Q42,Cenários!Q88,Cenários!Q134),2)</f>
        <v>0</v>
      </c>
      <c r="R42" s="170" t="n">
        <f aca="false">ROUND(R32-CHOOSE(Premissas!$B$6,Cenários!R42,Cenários!R88,Cenários!R134),2)</f>
        <v>0</v>
      </c>
      <c r="S42" s="170" t="n">
        <f aca="false">ROUND(S32-CHOOSE(Premissas!$B$6,Cenários!S42,Cenários!S88,Cenários!S134),2)</f>
        <v>0</v>
      </c>
      <c r="T42" s="170" t="n">
        <f aca="false">ROUND(T32-CHOOSE(Premissas!$B$6,Cenários!T42,Cenários!T88,Cenários!T134),2)</f>
        <v>0</v>
      </c>
      <c r="U42" s="170" t="n">
        <f aca="false">ROUND(U32-CHOOSE(Premissas!$B$6,Cenários!U42,Cenários!U88,Cenários!U134),2)</f>
        <v>0</v>
      </c>
      <c r="V42" s="170" t="n">
        <f aca="false">ROUND(V32-CHOOSE(Premissas!$B$6,Cenários!V42,Cenários!V88,Cenários!V134),2)</f>
        <v>0</v>
      </c>
      <c r="W42" s="170" t="n">
        <f aca="false">ROUND(W32-CHOOSE(Premissas!$B$6,Cenários!W42,Cenários!W88,Cenários!W134),2)</f>
        <v>0</v>
      </c>
      <c r="X42" s="170" t="n">
        <f aca="false">ROUND(X32-CHOOSE(Premissas!$B$6,Cenários!X42,Cenários!X88,Cenários!X134),2)</f>
        <v>0</v>
      </c>
      <c r="Y42" s="170" t="n">
        <f aca="false">ROUND(Y32-CHOOSE(Premissas!$B$6,Cenários!Y42,Cenários!Y88,Cenários!Y134),2)</f>
        <v>0</v>
      </c>
      <c r="Z42" s="170" t="n">
        <f aca="false">ROUND(Z32-CHOOSE(Premissas!$B$6,Cenários!Z42,Cenários!Z88,Cenários!Z134),2)</f>
        <v>0</v>
      </c>
      <c r="AA42" s="170" t="n">
        <f aca="false">ROUND(AA32-CHOOSE(Premissas!$B$6,Cenários!AA42,Cenários!AA88,Cenários!AA134),2)</f>
        <v>0</v>
      </c>
      <c r="AB42" s="170" t="n">
        <f aca="false">ROUND(AB32-CHOOSE(Premissas!$B$6,Cenários!AB42,Cenários!AB88,Cenários!AB134),2)</f>
        <v>0</v>
      </c>
      <c r="AC42" s="170" t="n">
        <f aca="false">ROUND(AC32-CHOOSE(Premissas!$B$6,Cenários!AC42,Cenários!AC88,Cenários!AC134),2)</f>
        <v>0</v>
      </c>
      <c r="AD42" s="170" t="n">
        <f aca="false">ROUND(AD32-CHOOSE(Premissas!$B$6,Cenários!AD42,Cenários!AD88,Cenários!AD134),2)</f>
        <v>0</v>
      </c>
      <c r="AE42" s="170" t="n">
        <f aca="false">ROUND(AE32-CHOOSE(Premissas!$B$6,Cenários!AE42,Cenários!AE88,Cenários!AE134),2)</f>
        <v>0</v>
      </c>
      <c r="AF42" s="170" t="n">
        <f aca="false">ROUND(AF32-CHOOSE(Premissas!$B$6,Cenários!AF42,Cenários!AF88,Cenários!AF134),2)</f>
        <v>0</v>
      </c>
      <c r="AG42" s="170" t="n">
        <f aca="false">ROUND(AG32-CHOOSE(Premissas!$B$6,Cenários!AG42,Cenários!AG88,Cenários!AG134),2)</f>
        <v>0</v>
      </c>
      <c r="AH42" s="170" t="n">
        <f aca="false">ROUND(AH32-CHOOSE(Premissas!$B$6,Cenários!AH42,Cenários!AH88,Cenários!AH134),2)</f>
        <v>0</v>
      </c>
      <c r="AI42" s="170" t="n">
        <f aca="false">ROUND(AI32-CHOOSE(Premissas!$B$6,Cenários!AI42,Cenários!AI88,Cenários!AI134),2)</f>
        <v>0</v>
      </c>
      <c r="AJ42" s="170" t="n">
        <f aca="false">ROUND(AJ32-CHOOSE(Premissas!$B$6,Cenários!AJ42,Cenários!AJ88,Cenários!AJ134),2)</f>
        <v>0</v>
      </c>
      <c r="AK42" s="170" t="n">
        <f aca="false">ROUND(AK32-CHOOSE(Premissas!$B$6,Cenários!AK42,Cenários!AK88,Cenários!AK134),2)</f>
        <v>0</v>
      </c>
      <c r="AL42" s="170" t="n">
        <f aca="false">ROUND(AL32-CHOOSE(Premissas!$B$6,Cenários!AL42,Cenários!AL88,Cenários!AL134),2)</f>
        <v>0</v>
      </c>
      <c r="AM42" s="170" t="n">
        <f aca="false">ROUND(AM32-CHOOSE(Premissas!$B$6,Cenários!AM42,Cenários!AM88,Cenários!AM134),2)</f>
        <v>0</v>
      </c>
      <c r="AN42" s="170" t="n">
        <f aca="false">ROUND(AN32-CHOOSE(Premissas!$B$6,Cenários!AN42,Cenários!AN88,Cenários!AN134),2)</f>
        <v>0</v>
      </c>
      <c r="AO42" s="170" t="n">
        <f aca="false">ROUND(AO32-CHOOSE(Premissas!$B$6,Cenários!AO42,Cenários!AO88,Cenários!AO134),2)</f>
        <v>0</v>
      </c>
      <c r="AP42" s="170" t="n">
        <f aca="false">ROUND(AP32-CHOOSE(Premissas!$B$6,Cenários!AP42,Cenários!AP88,Cenários!AP134),2)</f>
        <v>0</v>
      </c>
      <c r="AQ42" s="170" t="n">
        <f aca="false">ROUND(AQ32-CHOOSE(Premissas!$B$6,Cenários!AQ42,Cenários!AQ88,Cenários!AQ134),2)</f>
        <v>0</v>
      </c>
      <c r="AR42" s="170" t="n">
        <f aca="false">ROUND(AR32-CHOOSE(Premissas!$B$6,Cenários!AR42,Cenários!AR88,Cenários!AR134),2)</f>
        <v>0</v>
      </c>
      <c r="AS42" s="170" t="n">
        <f aca="false">ROUND(AS32-CHOOSE(Premissas!$B$6,Cenários!AS42,Cenários!AS88,Cenários!AS134),2)</f>
        <v>0</v>
      </c>
      <c r="AT42" s="170" t="n">
        <f aca="false">ROUND(AT32-CHOOSE(Premissas!$B$6,Cenários!AT42,Cenários!AT88,Cenários!AT134),2)</f>
        <v>0</v>
      </c>
      <c r="AU42" s="170" t="n">
        <f aca="false">ROUND(AU32-CHOOSE(Premissas!$B$6,Cenários!AU42,Cenários!AU88,Cenários!AU134),2)</f>
        <v>0</v>
      </c>
      <c r="AV42" s="170" t="n">
        <f aca="false">ROUND(AV32-CHOOSE(Premissas!$B$6,Cenários!AV42,Cenários!AV88,Cenários!AV134),2)</f>
        <v>0</v>
      </c>
      <c r="AW42" s="170" t="n">
        <f aca="false">ROUND(AW32-CHOOSE(Premissas!$B$6,Cenários!AW42,Cenários!AW88,Cenários!AW134),2)</f>
        <v>0</v>
      </c>
      <c r="AX42" s="170" t="n">
        <f aca="false">ROUND(AX32-CHOOSE(Premissas!$B$6,Cenários!AX42,Cenários!AX88,Cenários!AX134),2)</f>
        <v>0</v>
      </c>
      <c r="AY42" s="170" t="n">
        <f aca="false">ROUND(AY32-CHOOSE(Premissas!$B$6,Cenários!AY42,Cenários!AY88,Cenários!AY134),2)</f>
        <v>0</v>
      </c>
      <c r="AZ42" s="170" t="n">
        <f aca="false">ROUND(AZ32-CHOOSE(Premissas!$B$6,Cenários!AZ42,Cenários!AZ88,Cenários!AZ134),2)</f>
        <v>0</v>
      </c>
      <c r="BA42" s="170" t="n">
        <f aca="false">ROUND(BA32-CHOOSE(Premissas!$B$6,Cenários!BA42,Cenários!BA88,Cenários!BA134),2)</f>
        <v>0</v>
      </c>
      <c r="BB42" s="170" t="n">
        <f aca="false">ROUND(BB32-CHOOSE(Premissas!$B$6,Cenários!BB42,Cenários!BB88,Cenários!BB134),2)</f>
        <v>0</v>
      </c>
      <c r="BC42" s="170" t="n">
        <f aca="false">ROUND(BC32-CHOOSE(Premissas!$B$6,Cenários!BC42,Cenários!BC88,Cenários!BC134),2)</f>
        <v>0</v>
      </c>
      <c r="BD42" s="170" t="n">
        <f aca="false">ROUND(BD32-CHOOSE(Premissas!$B$6,Cenários!BD42,Cenários!BD88,Cenários!BD134),2)</f>
        <v>0</v>
      </c>
      <c r="BE42" s="170" t="n">
        <f aca="false">ROUND(BE32-CHOOSE(Premissas!$B$6,Cenários!BE42,Cenários!BE88,Cenários!BE134),2)</f>
        <v>0</v>
      </c>
      <c r="BF42" s="170" t="n">
        <f aca="false">ROUND(BF32-CHOOSE(Premissas!$B$6,Cenários!BF42,Cenários!BF88,Cenários!BF134),2)</f>
        <v>0</v>
      </c>
      <c r="BG42" s="170" t="n">
        <f aca="false">ROUND(BG32-CHOOSE(Premissas!$B$6,Cenários!BG42,Cenários!BG88,Cenários!BG134),2)</f>
        <v>0</v>
      </c>
      <c r="BH42" s="170" t="n">
        <f aca="false">ROUND(BH32-CHOOSE(Premissas!$B$6,Cenários!BH42,Cenários!BH88,Cenários!BH134),2)</f>
        <v>0</v>
      </c>
      <c r="BI42" s="170" t="n">
        <f aca="false">ROUND(BI32-CHOOSE(Premissas!$B$6,Cenários!BI42,Cenários!BI88,Cenários!BI134),2)</f>
        <v>0</v>
      </c>
      <c r="BJ42" s="171" t="n">
        <f aca="false">SUM(B42:BI42)</f>
        <v>0</v>
      </c>
      <c r="BK42" s="51" t="s">
        <v>476</v>
      </c>
    </row>
    <row r="43" customFormat="false" ht="15.75" hidden="false" customHeight="true" outlineLevel="0" collapsed="false"/>
    <row r="44" customFormat="false" ht="18" hidden="false" customHeight="true" outlineLevel="0" collapsed="false">
      <c r="A44" s="47" t="s">
        <v>477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</row>
    <row r="45" customFormat="false" ht="15.75" hidden="false" customHeight="true" outlineLevel="0" collapsed="false">
      <c r="A45" s="49" t="s">
        <v>102</v>
      </c>
      <c r="B45" s="54" t="n">
        <f aca="false" t="array" ref="B45:B45">NPV(Premissas!$B$19,B32:BI32)</f>
        <v>3051853.84020651</v>
      </c>
      <c r="D45" s="51" t="s">
        <v>478</v>
      </c>
    </row>
    <row r="46" customFormat="false" ht="15.75" hidden="false" customHeight="true" outlineLevel="0" collapsed="false">
      <c r="A46" s="49" t="s">
        <v>104</v>
      </c>
      <c r="B46" s="172" t="n">
        <f aca="false">IFERROR(IRR(B32:BI32),"n/d")</f>
        <v>0.115862173314524</v>
      </c>
      <c r="D46" s="51" t="s">
        <v>479</v>
      </c>
    </row>
    <row r="47" customFormat="false" ht="15.75" hidden="false" customHeight="true" outlineLevel="0" collapsed="false">
      <c r="A47" s="49" t="s">
        <v>105</v>
      </c>
      <c r="B47" s="58" t="n">
        <f aca="false">IFERROR((1+$B46)^12-1,"n/d")</f>
        <v>2.72671917412244</v>
      </c>
      <c r="D47" s="51" t="s">
        <v>480</v>
      </c>
    </row>
    <row r="48" customFormat="false" ht="15.75" hidden="false" customHeight="true" outlineLevel="0" collapsed="false">
      <c r="A48" s="49" t="s">
        <v>107</v>
      </c>
      <c r="B48" s="70" t="n">
        <f aca="false">IF(BI35&lt;0,"&gt; 60 meses",MAX(B40:BI40)+1)</f>
        <v>28</v>
      </c>
      <c r="D48" s="51" t="s">
        <v>108</v>
      </c>
    </row>
    <row r="49" customFormat="false" ht="15.75" hidden="false" customHeight="true" outlineLevel="0" collapsed="false">
      <c r="A49" s="49" t="s">
        <v>109</v>
      </c>
      <c r="B49" s="70" t="n">
        <f aca="false">IF(BI34&lt;0,"&gt; 60 meses",MAX(B41:BI41)+1)</f>
        <v>29</v>
      </c>
      <c r="D49" s="51" t="s">
        <v>481</v>
      </c>
    </row>
    <row r="50" customFormat="false" ht="15.75" hidden="false" customHeight="true" outlineLevel="0" collapsed="false">
      <c r="A50" s="49" t="s">
        <v>482</v>
      </c>
      <c r="B50" s="54" t="n">
        <f aca="false">-MIN(B35:BI35)</f>
        <v>343862.103538302</v>
      </c>
      <c r="D50" s="51" t="s">
        <v>483</v>
      </c>
    </row>
    <row r="51" customFormat="false" ht="15.75" hidden="false" customHeight="true" outlineLevel="0" collapsed="false">
      <c r="A51" s="49" t="s">
        <v>96</v>
      </c>
      <c r="B51" s="54" t="n">
        <f aca="false">MIN(B39:BI39)</f>
        <v>-46752.6412566667</v>
      </c>
      <c r="D51" s="51" t="s">
        <v>484</v>
      </c>
    </row>
    <row r="52" customFormat="false" ht="15.75" hidden="false" customHeight="true" outlineLevel="0" collapsed="false">
      <c r="A52" s="49" t="s">
        <v>92</v>
      </c>
      <c r="B52" s="54" t="n">
        <f aca="false">-BJ13</f>
        <v>124127.82</v>
      </c>
    </row>
    <row r="53" customFormat="false" ht="15.75" hidden="false" customHeight="true" outlineLevel="0" collapsed="false">
      <c r="A53" s="49" t="s">
        <v>485</v>
      </c>
      <c r="B53" s="54" t="n">
        <f aca="false">BJ31</f>
        <v>72831520.9738694</v>
      </c>
    </row>
    <row r="54" customFormat="false" ht="15.75" hidden="false" customHeight="true" outlineLevel="0" collapsed="false">
      <c r="A54" s="49" t="s">
        <v>486</v>
      </c>
      <c r="B54" s="54" t="n">
        <f aca="false">BJ32</f>
        <v>7650323.92982513</v>
      </c>
    </row>
    <row r="55" customFormat="false" ht="15.75" hidden="false" customHeight="true" outlineLevel="0" collapsed="false">
      <c r="A55" s="49" t="s">
        <v>112</v>
      </c>
      <c r="B55" s="67" t="n">
        <f aca="false">IFERROR(BJ32/$B50,0)</f>
        <v>22.2482322160661</v>
      </c>
      <c r="D55" s="51" t="s">
        <v>487</v>
      </c>
    </row>
    <row r="56" customFormat="false" ht="15.75" hidden="false" customHeight="true" outlineLevel="0" collapsed="false">
      <c r="A56" s="49" t="s">
        <v>488</v>
      </c>
      <c r="B56" s="173" t="n">
        <f aca="false">Premissas!$B$18</f>
        <v>0.25</v>
      </c>
    </row>
    <row r="57" customFormat="false" ht="15.75" hidden="false" customHeight="true" outlineLevel="0" collapsed="false">
      <c r="A57" s="49" t="s">
        <v>489</v>
      </c>
      <c r="B57" s="172" t="n">
        <f aca="false">IFERROR(-BJ26/BJ31,0)</f>
        <v>0.164832355977143</v>
      </c>
    </row>
    <row r="58" customFormat="false" ht="15.75" hidden="false" customHeight="true" outlineLevel="0" collapsed="false"/>
    <row r="59" customFormat="false" ht="18" hidden="false" customHeight="true" outlineLevel="0" collapsed="false">
      <c r="A59" s="47" t="s">
        <v>490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</row>
    <row r="60" customFormat="false" ht="15.75" hidden="false" customHeight="true" outlineLevel="0" collapsed="false">
      <c r="A60" s="49" t="s">
        <v>491</v>
      </c>
      <c r="B60" s="174" t="n">
        <f aca="false">Premissas!$B$29</f>
        <v>79.9</v>
      </c>
    </row>
    <row r="61" customFormat="false" ht="15.75" hidden="false" customHeight="true" outlineLevel="0" collapsed="false">
      <c r="A61" s="49" t="s">
        <v>492</v>
      </c>
      <c r="B61" s="174" t="n">
        <f aca="false">Premissas!$B$30</f>
        <v>89.9</v>
      </c>
    </row>
    <row r="62" customFormat="false" ht="15.75" hidden="false" customHeight="true" outlineLevel="0" collapsed="false">
      <c r="A62" s="49" t="s">
        <v>493</v>
      </c>
      <c r="B62" s="174" t="n">
        <f aca="false">Premissas!$B$31</f>
        <v>109</v>
      </c>
    </row>
    <row r="63" customFormat="false" ht="15.75" hidden="false" customHeight="true" outlineLevel="0" collapsed="false">
      <c r="A63" s="49" t="s">
        <v>494</v>
      </c>
      <c r="B63" s="175" t="n">
        <f aca="false">Premissas!$B$62</f>
        <v>0.15</v>
      </c>
    </row>
    <row r="64" customFormat="false" ht="15.75" hidden="false" customHeight="true" outlineLevel="0" collapsed="false">
      <c r="A64" s="49" t="s">
        <v>495</v>
      </c>
      <c r="B64" s="175" t="n">
        <f aca="false">Premissas!$B$86</f>
        <v>0.1</v>
      </c>
    </row>
    <row r="65" customFormat="false" ht="15.75" hidden="false" customHeight="true" outlineLevel="0" collapsed="false">
      <c r="A65" s="49" t="s">
        <v>496</v>
      </c>
      <c r="B65" s="175" t="n">
        <f aca="false">Premissas!$B$18</f>
        <v>0.25</v>
      </c>
    </row>
    <row r="66" customFormat="false" ht="15.75" hidden="false" customHeight="true" outlineLevel="0" collapsed="false">
      <c r="A66" s="49" t="s">
        <v>497</v>
      </c>
      <c r="B66" s="176" t="n">
        <f aca="false">Premissas!$B$20</f>
        <v>36</v>
      </c>
    </row>
    <row r="67" customFormat="false" ht="15.75" hidden="false" customHeight="true" outlineLevel="0" collapsed="false">
      <c r="A67" s="49" t="s">
        <v>498</v>
      </c>
      <c r="B67" s="176" t="n">
        <f aca="false">Premissas!$B$15</f>
        <v>6</v>
      </c>
    </row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44"/>
    <col collapsed="false" customWidth="true" hidden="false" outlineLevel="0" max="2" min="2" style="37" width="11"/>
    <col collapsed="false" customWidth="true" hidden="false" outlineLevel="0" max="3" min="3" style="37" width="12"/>
    <col collapsed="false" customWidth="true" hidden="false" outlineLevel="0" max="4" min="4" style="37" width="10.29"/>
    <col collapsed="false" customWidth="true" hidden="false" outlineLevel="0" max="5" min="5" style="37" width="14"/>
    <col collapsed="false" customWidth="true" hidden="false" outlineLevel="0" max="6" min="6" style="37" width="11.71"/>
    <col collapsed="false" customWidth="true" hidden="false" outlineLevel="0" max="7" min="7" style="37" width="15"/>
    <col collapsed="false" customWidth="true" hidden="false" outlineLevel="0" max="9" min="8" style="37" width="11"/>
    <col collapsed="false" customWidth="true" hidden="false" outlineLevel="0" max="10" min="10" style="37" width="14"/>
    <col collapsed="false" customWidth="true" hidden="false" outlineLevel="0" max="61" min="11" style="37" width="12"/>
    <col collapsed="false" customWidth="true" hidden="false" outlineLevel="0" max="62" min="62" style="37" width="15"/>
    <col collapsed="false" customWidth="true" hidden="false" outlineLevel="0" max="63" min="63" style="37" width="34"/>
  </cols>
  <sheetData>
    <row r="1" customFormat="false" ht="25.5" hidden="false" customHeight="true" outlineLevel="0" collapsed="false">
      <c r="A1" s="38" t="s">
        <v>499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customFormat="false" ht="15.75" hidden="false" customHeight="true" outlineLevel="0" collapsed="false">
      <c r="A2" s="40" t="s">
        <v>500</v>
      </c>
    </row>
    <row r="3" customFormat="false" ht="30" hidden="false" customHeight="true" outlineLevel="0" collapsed="false">
      <c r="A3" s="177" t="s">
        <v>501</v>
      </c>
      <c r="B3" s="177"/>
      <c r="C3" s="177"/>
      <c r="D3" s="177"/>
      <c r="E3" s="177"/>
      <c r="F3" s="177"/>
      <c r="G3" s="177"/>
      <c r="H3" s="177"/>
      <c r="I3" s="177"/>
      <c r="J3" s="177"/>
    </row>
    <row r="4" customFormat="false" ht="18" hidden="false" customHeight="true" outlineLevel="0" collapsed="false">
      <c r="A4" s="47" t="s">
        <v>502</v>
      </c>
      <c r="B4" s="48"/>
      <c r="C4" s="48"/>
      <c r="D4" s="48"/>
      <c r="E4" s="48"/>
      <c r="F4" s="48"/>
      <c r="G4" s="48"/>
      <c r="H4" s="48"/>
      <c r="I4" s="48"/>
      <c r="J4" s="48"/>
    </row>
    <row r="5" customFormat="false" ht="30" hidden="false" customHeight="true" outlineLevel="0" collapsed="false">
      <c r="A5" s="128" t="s">
        <v>503</v>
      </c>
      <c r="B5" s="128" t="s">
        <v>504</v>
      </c>
      <c r="C5" s="128" t="s">
        <v>328</v>
      </c>
      <c r="D5" s="128" t="s">
        <v>505</v>
      </c>
      <c r="E5" s="128" t="s">
        <v>506</v>
      </c>
      <c r="F5" s="128" t="s">
        <v>507</v>
      </c>
      <c r="G5" s="128" t="s">
        <v>508</v>
      </c>
      <c r="H5" s="128" t="s">
        <v>331</v>
      </c>
      <c r="I5" s="128" t="s">
        <v>332</v>
      </c>
      <c r="J5" s="128" t="s">
        <v>509</v>
      </c>
    </row>
    <row r="6" customFormat="false" ht="15" hidden="false" customHeight="true" outlineLevel="0" collapsed="false">
      <c r="A6" s="178" t="s">
        <v>510</v>
      </c>
      <c r="B6" s="179" t="s">
        <v>511</v>
      </c>
      <c r="C6" s="179" t="s">
        <v>512</v>
      </c>
      <c r="D6" s="180" t="n">
        <v>1</v>
      </c>
      <c r="E6" s="181" t="n">
        <v>10500</v>
      </c>
      <c r="F6" s="182" t="n">
        <v>0</v>
      </c>
      <c r="G6" s="183" t="n">
        <f aca="false">$D6*$E6*(1+$F6)</f>
        <v>10500</v>
      </c>
      <c r="H6" s="184" t="n">
        <v>46266</v>
      </c>
      <c r="I6" s="184" t="n">
        <v>46296</v>
      </c>
      <c r="J6" s="179" t="s">
        <v>513</v>
      </c>
    </row>
    <row r="7" customFormat="false" ht="15" hidden="false" customHeight="true" outlineLevel="0" collapsed="false">
      <c r="A7" s="185" t="s">
        <v>514</v>
      </c>
      <c r="B7" s="186" t="s">
        <v>511</v>
      </c>
      <c r="C7" s="186" t="s">
        <v>515</v>
      </c>
      <c r="D7" s="187" t="n">
        <v>2</v>
      </c>
      <c r="E7" s="188" t="n">
        <v>9000</v>
      </c>
      <c r="F7" s="189" t="n">
        <v>0</v>
      </c>
      <c r="G7" s="190" t="n">
        <f aca="false">$D7*$E7*(1+$F7)</f>
        <v>18000</v>
      </c>
      <c r="H7" s="191" t="n">
        <v>46388</v>
      </c>
      <c r="I7" s="191" t="n">
        <v>47818</v>
      </c>
      <c r="J7" s="186" t="s">
        <v>516</v>
      </c>
    </row>
    <row r="8" customFormat="false" ht="15" hidden="false" customHeight="true" outlineLevel="0" collapsed="false">
      <c r="A8" s="185" t="s">
        <v>517</v>
      </c>
      <c r="B8" s="186" t="s">
        <v>511</v>
      </c>
      <c r="C8" s="186" t="s">
        <v>515</v>
      </c>
      <c r="D8" s="187" t="n">
        <v>3</v>
      </c>
      <c r="E8" s="188" t="n">
        <v>9500</v>
      </c>
      <c r="F8" s="189" t="n">
        <v>0</v>
      </c>
      <c r="G8" s="190" t="n">
        <f aca="false">$D8*$E8*(1+$F8)</f>
        <v>28500</v>
      </c>
      <c r="H8" s="191" t="n">
        <v>46753</v>
      </c>
      <c r="I8" s="191" t="n">
        <v>47818</v>
      </c>
      <c r="J8" s="186" t="s">
        <v>516</v>
      </c>
    </row>
    <row r="9" customFormat="false" ht="15" hidden="false" customHeight="true" outlineLevel="0" collapsed="false">
      <c r="A9" s="185" t="s">
        <v>518</v>
      </c>
      <c r="B9" s="186" t="s">
        <v>511</v>
      </c>
      <c r="C9" s="186" t="s">
        <v>515</v>
      </c>
      <c r="D9" s="187" t="n">
        <v>5</v>
      </c>
      <c r="E9" s="188" t="n">
        <v>10000</v>
      </c>
      <c r="F9" s="189" t="n">
        <v>0</v>
      </c>
      <c r="G9" s="190" t="n">
        <f aca="false">$D9*$E9*(1+$F9)</f>
        <v>50000</v>
      </c>
      <c r="H9" s="191" t="n">
        <v>47119</v>
      </c>
      <c r="I9" s="191" t="n">
        <v>47818</v>
      </c>
      <c r="J9" s="186" t="s">
        <v>516</v>
      </c>
    </row>
    <row r="10" customFormat="false" ht="15" hidden="false" customHeight="true" outlineLevel="0" collapsed="false">
      <c r="A10" s="185" t="s">
        <v>519</v>
      </c>
      <c r="B10" s="186" t="s">
        <v>511</v>
      </c>
      <c r="C10" s="186" t="s">
        <v>515</v>
      </c>
      <c r="D10" s="187" t="n">
        <v>6</v>
      </c>
      <c r="E10" s="188" t="n">
        <v>10500</v>
      </c>
      <c r="F10" s="189" t="n">
        <v>0</v>
      </c>
      <c r="G10" s="190" t="n">
        <f aca="false">$D10*$E10*(1+$F10)</f>
        <v>63000</v>
      </c>
      <c r="H10" s="191" t="n">
        <v>47484</v>
      </c>
      <c r="I10" s="191" t="n">
        <v>47818</v>
      </c>
      <c r="J10" s="186" t="s">
        <v>516</v>
      </c>
    </row>
    <row r="11" customFormat="false" ht="15" hidden="false" customHeight="true" outlineLevel="0" collapsed="false">
      <c r="A11" s="185" t="s">
        <v>520</v>
      </c>
      <c r="B11" s="186" t="s">
        <v>511</v>
      </c>
      <c r="C11" s="186" t="s">
        <v>515</v>
      </c>
      <c r="D11" s="187" t="n">
        <v>1</v>
      </c>
      <c r="E11" s="188" t="n">
        <v>3500</v>
      </c>
      <c r="F11" s="189" t="n">
        <v>0</v>
      </c>
      <c r="G11" s="190" t="n">
        <f aca="false">$D11*$E11*(1+$F11)</f>
        <v>3500</v>
      </c>
      <c r="H11" s="191" t="n">
        <v>46388</v>
      </c>
      <c r="I11" s="191" t="n">
        <v>47818</v>
      </c>
      <c r="J11" s="186" t="s">
        <v>516</v>
      </c>
    </row>
    <row r="12" customFormat="false" ht="15" hidden="false" customHeight="true" outlineLevel="0" collapsed="false">
      <c r="A12" s="185" t="s">
        <v>521</v>
      </c>
      <c r="B12" s="186" t="s">
        <v>511</v>
      </c>
      <c r="C12" s="186" t="s">
        <v>515</v>
      </c>
      <c r="D12" s="187" t="n">
        <v>3</v>
      </c>
      <c r="E12" s="188" t="n">
        <v>3500</v>
      </c>
      <c r="F12" s="189" t="n">
        <v>0</v>
      </c>
      <c r="G12" s="190" t="n">
        <f aca="false">$D12*$E12*(1+$F12)</f>
        <v>10500</v>
      </c>
      <c r="H12" s="191" t="n">
        <v>46753</v>
      </c>
      <c r="I12" s="191" t="n">
        <v>47818</v>
      </c>
      <c r="J12" s="186" t="s">
        <v>516</v>
      </c>
    </row>
    <row r="13" customFormat="false" ht="15" hidden="false" customHeight="true" outlineLevel="0" collapsed="false">
      <c r="A13" s="185" t="s">
        <v>522</v>
      </c>
      <c r="B13" s="186" t="s">
        <v>511</v>
      </c>
      <c r="C13" s="186" t="s">
        <v>515</v>
      </c>
      <c r="D13" s="187" t="n">
        <v>6</v>
      </c>
      <c r="E13" s="188" t="n">
        <v>3800</v>
      </c>
      <c r="F13" s="189" t="n">
        <v>0</v>
      </c>
      <c r="G13" s="190" t="n">
        <f aca="false">$D13*$E13*(1+$F13)</f>
        <v>22800</v>
      </c>
      <c r="H13" s="191" t="n">
        <v>47119</v>
      </c>
      <c r="I13" s="191" t="n">
        <v>47818</v>
      </c>
      <c r="J13" s="186" t="s">
        <v>516</v>
      </c>
    </row>
    <row r="14" customFormat="false" ht="15" hidden="false" customHeight="true" outlineLevel="0" collapsed="false">
      <c r="A14" s="185" t="s">
        <v>523</v>
      </c>
      <c r="B14" s="186" t="s">
        <v>511</v>
      </c>
      <c r="C14" s="186" t="s">
        <v>515</v>
      </c>
      <c r="D14" s="187" t="n">
        <v>8</v>
      </c>
      <c r="E14" s="188" t="n">
        <v>4000</v>
      </c>
      <c r="F14" s="189" t="n">
        <v>0</v>
      </c>
      <c r="G14" s="190" t="n">
        <f aca="false">$D14*$E14*(1+$F14)</f>
        <v>32000</v>
      </c>
      <c r="H14" s="191" t="n">
        <v>47484</v>
      </c>
      <c r="I14" s="191" t="n">
        <v>47818</v>
      </c>
      <c r="J14" s="186" t="s">
        <v>516</v>
      </c>
    </row>
    <row r="15" customFormat="false" ht="15" hidden="false" customHeight="true" outlineLevel="0" collapsed="false">
      <c r="A15" s="185" t="s">
        <v>524</v>
      </c>
      <c r="B15" s="186" t="s">
        <v>511</v>
      </c>
      <c r="C15" s="186" t="s">
        <v>515</v>
      </c>
      <c r="D15" s="187" t="n">
        <v>1</v>
      </c>
      <c r="E15" s="188" t="n">
        <v>6000</v>
      </c>
      <c r="F15" s="189" t="n">
        <v>0</v>
      </c>
      <c r="G15" s="190" t="n">
        <f aca="false">$D15*$E15*(1+$F15)</f>
        <v>6000</v>
      </c>
      <c r="H15" s="191" t="n">
        <v>46388</v>
      </c>
      <c r="I15" s="191" t="n">
        <v>47818</v>
      </c>
      <c r="J15" s="186" t="s">
        <v>516</v>
      </c>
    </row>
    <row r="16" customFormat="false" ht="15" hidden="false" customHeight="true" outlineLevel="0" collapsed="false">
      <c r="A16" s="185" t="s">
        <v>525</v>
      </c>
      <c r="B16" s="186" t="s">
        <v>511</v>
      </c>
      <c r="C16" s="186" t="s">
        <v>515</v>
      </c>
      <c r="D16" s="187" t="n">
        <v>2</v>
      </c>
      <c r="E16" s="188" t="n">
        <v>7000</v>
      </c>
      <c r="F16" s="189" t="n">
        <v>0</v>
      </c>
      <c r="G16" s="190" t="n">
        <f aca="false">$D16*$E16*(1+$F16)</f>
        <v>14000</v>
      </c>
      <c r="H16" s="191" t="n">
        <v>46753</v>
      </c>
      <c r="I16" s="191" t="n">
        <v>47818</v>
      </c>
      <c r="J16" s="186" t="s">
        <v>516</v>
      </c>
    </row>
    <row r="17" customFormat="false" ht="15" hidden="false" customHeight="true" outlineLevel="0" collapsed="false">
      <c r="A17" s="185" t="s">
        <v>526</v>
      </c>
      <c r="B17" s="186" t="s">
        <v>511</v>
      </c>
      <c r="C17" s="186" t="s">
        <v>515</v>
      </c>
      <c r="D17" s="187" t="n">
        <v>3</v>
      </c>
      <c r="E17" s="188" t="n">
        <v>8000</v>
      </c>
      <c r="F17" s="189" t="n">
        <v>0</v>
      </c>
      <c r="G17" s="190" t="n">
        <f aca="false">$D17*$E17*(1+$F17)</f>
        <v>24000</v>
      </c>
      <c r="H17" s="191" t="n">
        <v>47119</v>
      </c>
      <c r="I17" s="191" t="n">
        <v>47818</v>
      </c>
      <c r="J17" s="186" t="s">
        <v>516</v>
      </c>
    </row>
    <row r="18" customFormat="false" ht="15" hidden="false" customHeight="true" outlineLevel="0" collapsed="false">
      <c r="A18" s="185" t="s">
        <v>527</v>
      </c>
      <c r="B18" s="186" t="s">
        <v>511</v>
      </c>
      <c r="C18" s="186" t="s">
        <v>515</v>
      </c>
      <c r="D18" s="187" t="n">
        <v>1</v>
      </c>
      <c r="E18" s="188" t="n">
        <v>10000</v>
      </c>
      <c r="F18" s="189" t="n">
        <v>0</v>
      </c>
      <c r="G18" s="190" t="n">
        <f aca="false">$D18*$E18*(1+$F18)</f>
        <v>10000</v>
      </c>
      <c r="H18" s="191" t="n">
        <v>46753</v>
      </c>
      <c r="I18" s="191" t="n">
        <v>47818</v>
      </c>
      <c r="J18" s="186" t="s">
        <v>516</v>
      </c>
    </row>
    <row r="19" customFormat="false" ht="15" hidden="false" customHeight="true" outlineLevel="0" collapsed="false">
      <c r="A19" s="185" t="s">
        <v>528</v>
      </c>
      <c r="B19" s="186" t="s">
        <v>511</v>
      </c>
      <c r="C19" s="186" t="s">
        <v>515</v>
      </c>
      <c r="D19" s="187" t="n">
        <v>2</v>
      </c>
      <c r="E19" s="188" t="n">
        <v>11000</v>
      </c>
      <c r="F19" s="189" t="n">
        <v>0</v>
      </c>
      <c r="G19" s="190" t="n">
        <f aca="false">$D19*$E19*(1+$F19)</f>
        <v>22000</v>
      </c>
      <c r="H19" s="191" t="n">
        <v>47119</v>
      </c>
      <c r="I19" s="191" t="n">
        <v>47818</v>
      </c>
      <c r="J19" s="186" t="s">
        <v>516</v>
      </c>
    </row>
    <row r="20" customFormat="false" ht="15" hidden="false" customHeight="true" outlineLevel="0" collapsed="false">
      <c r="A20" s="185" t="s">
        <v>529</v>
      </c>
      <c r="B20" s="186" t="s">
        <v>511</v>
      </c>
      <c r="C20" s="186" t="s">
        <v>515</v>
      </c>
      <c r="D20" s="187" t="n">
        <v>1</v>
      </c>
      <c r="E20" s="188" t="n">
        <v>12000</v>
      </c>
      <c r="F20" s="189" t="n">
        <v>0</v>
      </c>
      <c r="G20" s="190" t="n">
        <f aca="false">$D20*$E20*(1+$F20)</f>
        <v>12000</v>
      </c>
      <c r="H20" s="191" t="n">
        <v>46753</v>
      </c>
      <c r="I20" s="191" t="n">
        <v>47818</v>
      </c>
      <c r="J20" s="186" t="s">
        <v>516</v>
      </c>
    </row>
    <row r="21" customFormat="false" ht="15.75" hidden="false" customHeight="true" outlineLevel="0" collapsed="false">
      <c r="A21" s="185" t="s">
        <v>530</v>
      </c>
      <c r="B21" s="186" t="s">
        <v>511</v>
      </c>
      <c r="C21" s="186" t="s">
        <v>515</v>
      </c>
      <c r="D21" s="187" t="n">
        <v>2</v>
      </c>
      <c r="E21" s="188" t="n">
        <v>13000</v>
      </c>
      <c r="F21" s="189" t="n">
        <v>0</v>
      </c>
      <c r="G21" s="190" t="n">
        <f aca="false">$D21*$E21*(1+$F21)</f>
        <v>26000</v>
      </c>
      <c r="H21" s="191" t="n">
        <v>47484</v>
      </c>
      <c r="I21" s="191" t="n">
        <v>47818</v>
      </c>
      <c r="J21" s="186" t="s">
        <v>516</v>
      </c>
    </row>
    <row r="22" customFormat="false" ht="15.75" hidden="false" customHeight="true" outlineLevel="0" collapsed="false">
      <c r="A22" s="185" t="s">
        <v>531</v>
      </c>
      <c r="B22" s="186" t="s">
        <v>532</v>
      </c>
      <c r="C22" s="186" t="s">
        <v>515</v>
      </c>
      <c r="D22" s="187" t="n">
        <v>3</v>
      </c>
      <c r="E22" s="188" t="n">
        <v>5000</v>
      </c>
      <c r="F22" s="189" t="n">
        <v>0</v>
      </c>
      <c r="G22" s="190" t="n">
        <f aca="false">$D22*$E22*(1+$F22)</f>
        <v>15000</v>
      </c>
      <c r="H22" s="191" t="n">
        <v>46388</v>
      </c>
      <c r="I22" s="191" t="n">
        <v>47088</v>
      </c>
      <c r="J22" s="186" t="s">
        <v>516</v>
      </c>
    </row>
    <row r="23" customFormat="false" ht="15.75" hidden="false" customHeight="true" outlineLevel="0" collapsed="false">
      <c r="A23" s="185" t="s">
        <v>533</v>
      </c>
      <c r="B23" s="186" t="s">
        <v>532</v>
      </c>
      <c r="C23" s="186" t="s">
        <v>515</v>
      </c>
      <c r="D23" s="187" t="n">
        <v>4</v>
      </c>
      <c r="E23" s="188" t="n">
        <v>8000</v>
      </c>
      <c r="F23" s="189" t="n">
        <v>0</v>
      </c>
      <c r="G23" s="190" t="n">
        <f aca="false">$D23*$E23*(1+$F23)</f>
        <v>32000</v>
      </c>
      <c r="H23" s="191" t="n">
        <v>47119</v>
      </c>
      <c r="I23" s="191" t="n">
        <v>47818</v>
      </c>
      <c r="J23" s="186" t="s">
        <v>516</v>
      </c>
    </row>
    <row r="24" customFormat="false" ht="15.75" hidden="false" customHeight="true" outlineLevel="0" collapsed="false">
      <c r="A24" s="185" t="s">
        <v>534</v>
      </c>
      <c r="B24" s="186" t="s">
        <v>535</v>
      </c>
      <c r="C24" s="186" t="s">
        <v>515</v>
      </c>
      <c r="D24" s="187" t="n">
        <v>0</v>
      </c>
      <c r="E24" s="188" t="n">
        <v>8000</v>
      </c>
      <c r="F24" s="189" t="n">
        <v>0.7</v>
      </c>
      <c r="G24" s="190" t="n">
        <f aca="false">$D24*$E24*(1+$F24)</f>
        <v>0</v>
      </c>
      <c r="H24" s="191" t="n">
        <v>46753</v>
      </c>
      <c r="I24" s="191" t="n">
        <v>47818</v>
      </c>
      <c r="J24" s="186" t="s">
        <v>516</v>
      </c>
    </row>
    <row r="25" customFormat="false" ht="15.75" hidden="false" customHeight="true" outlineLevel="0" collapsed="false">
      <c r="A25" s="192"/>
      <c r="B25" s="193" t="s">
        <v>511</v>
      </c>
      <c r="C25" s="193" t="s">
        <v>515</v>
      </c>
      <c r="D25" s="194" t="n">
        <v>0</v>
      </c>
      <c r="E25" s="195" t="n">
        <v>0</v>
      </c>
      <c r="F25" s="196" t="n">
        <v>0</v>
      </c>
      <c r="G25" s="197" t="n">
        <f aca="false">$D25*$E25*(1+$F25)</f>
        <v>0</v>
      </c>
      <c r="H25" s="198" t="n">
        <v>46388</v>
      </c>
      <c r="I25" s="198" t="n">
        <v>47818</v>
      </c>
      <c r="J25" s="193" t="s">
        <v>516</v>
      </c>
    </row>
    <row r="26" customFormat="false" ht="15.75" hidden="false" customHeight="true" outlineLevel="0" collapsed="false">
      <c r="A26" s="192"/>
      <c r="B26" s="193" t="s">
        <v>511</v>
      </c>
      <c r="C26" s="193" t="s">
        <v>515</v>
      </c>
      <c r="D26" s="194" t="n">
        <v>0</v>
      </c>
      <c r="E26" s="195" t="n">
        <v>0</v>
      </c>
      <c r="F26" s="196" t="n">
        <v>0</v>
      </c>
      <c r="G26" s="197" t="n">
        <f aca="false">$D26*$E26*(1+$F26)</f>
        <v>0</v>
      </c>
      <c r="H26" s="198" t="n">
        <v>46388</v>
      </c>
      <c r="I26" s="198" t="n">
        <v>47818</v>
      </c>
      <c r="J26" s="193" t="s">
        <v>516</v>
      </c>
    </row>
    <row r="27" customFormat="false" ht="15.75" hidden="false" customHeight="true" outlineLevel="0" collapsed="false">
      <c r="A27" s="192"/>
      <c r="B27" s="193" t="s">
        <v>511</v>
      </c>
      <c r="C27" s="193" t="s">
        <v>515</v>
      </c>
      <c r="D27" s="194" t="n">
        <v>0</v>
      </c>
      <c r="E27" s="195" t="n">
        <v>0</v>
      </c>
      <c r="F27" s="196" t="n">
        <v>0</v>
      </c>
      <c r="G27" s="197" t="n">
        <f aca="false">$D27*$E27*(1+$F27)</f>
        <v>0</v>
      </c>
      <c r="H27" s="198" t="n">
        <v>46388</v>
      </c>
      <c r="I27" s="198" t="n">
        <v>47818</v>
      </c>
      <c r="J27" s="193" t="s">
        <v>516</v>
      </c>
    </row>
    <row r="28" customFormat="false" ht="15.75" hidden="false" customHeight="true" outlineLevel="0" collapsed="false">
      <c r="A28" s="192"/>
      <c r="B28" s="193" t="s">
        <v>511</v>
      </c>
      <c r="C28" s="193" t="s">
        <v>515</v>
      </c>
      <c r="D28" s="194" t="n">
        <v>0</v>
      </c>
      <c r="E28" s="195" t="n">
        <v>0</v>
      </c>
      <c r="F28" s="196" t="n">
        <v>0</v>
      </c>
      <c r="G28" s="197" t="n">
        <f aca="false">$D28*$E28*(1+$F28)</f>
        <v>0</v>
      </c>
      <c r="H28" s="198" t="n">
        <v>46388</v>
      </c>
      <c r="I28" s="198" t="n">
        <v>47818</v>
      </c>
      <c r="J28" s="193" t="s">
        <v>516</v>
      </c>
    </row>
    <row r="29" customFormat="false" ht="15.75" hidden="false" customHeight="true" outlineLevel="0" collapsed="false">
      <c r="A29" s="192"/>
      <c r="B29" s="193" t="s">
        <v>511</v>
      </c>
      <c r="C29" s="193" t="s">
        <v>515</v>
      </c>
      <c r="D29" s="194" t="n">
        <v>0</v>
      </c>
      <c r="E29" s="195" t="n">
        <v>0</v>
      </c>
      <c r="F29" s="196" t="n">
        <v>0</v>
      </c>
      <c r="G29" s="197" t="n">
        <f aca="false">$D29*$E29*(1+$F29)</f>
        <v>0</v>
      </c>
      <c r="H29" s="198" t="n">
        <v>46388</v>
      </c>
      <c r="I29" s="198" t="n">
        <v>47818</v>
      </c>
      <c r="J29" s="193" t="s">
        <v>516</v>
      </c>
    </row>
    <row r="30" customFormat="false" ht="15.75" hidden="false" customHeight="true" outlineLevel="0" collapsed="false">
      <c r="A30" s="192"/>
      <c r="B30" s="193" t="s">
        <v>511</v>
      </c>
      <c r="C30" s="193" t="s">
        <v>515</v>
      </c>
      <c r="D30" s="194" t="n">
        <v>0</v>
      </c>
      <c r="E30" s="195" t="n">
        <v>0</v>
      </c>
      <c r="F30" s="196" t="n">
        <v>0</v>
      </c>
      <c r="G30" s="197" t="n">
        <f aca="false">$D30*$E30*(1+$F30)</f>
        <v>0</v>
      </c>
      <c r="H30" s="198" t="n">
        <v>46388</v>
      </c>
      <c r="I30" s="198" t="n">
        <v>47818</v>
      </c>
      <c r="J30" s="193" t="s">
        <v>516</v>
      </c>
    </row>
    <row r="31" customFormat="false" ht="15.75" hidden="false" customHeight="true" outlineLevel="0" collapsed="false">
      <c r="A31" s="192"/>
      <c r="B31" s="193" t="s">
        <v>511</v>
      </c>
      <c r="C31" s="193" t="s">
        <v>515</v>
      </c>
      <c r="D31" s="194" t="n">
        <v>0</v>
      </c>
      <c r="E31" s="195" t="n">
        <v>0</v>
      </c>
      <c r="F31" s="196" t="n">
        <v>0</v>
      </c>
      <c r="G31" s="197" t="n">
        <f aca="false">$D31*$E31*(1+$F31)</f>
        <v>0</v>
      </c>
      <c r="H31" s="198" t="n">
        <v>46388</v>
      </c>
      <c r="I31" s="198" t="n">
        <v>47818</v>
      </c>
      <c r="J31" s="193" t="s">
        <v>516</v>
      </c>
    </row>
    <row r="32" customFormat="false" ht="15.75" hidden="false" customHeight="true" outlineLevel="0" collapsed="false">
      <c r="A32" s="192"/>
      <c r="B32" s="193" t="s">
        <v>511</v>
      </c>
      <c r="C32" s="193" t="s">
        <v>515</v>
      </c>
      <c r="D32" s="194" t="n">
        <v>0</v>
      </c>
      <c r="E32" s="195" t="n">
        <v>0</v>
      </c>
      <c r="F32" s="196" t="n">
        <v>0</v>
      </c>
      <c r="G32" s="197" t="n">
        <f aca="false">$D32*$E32*(1+$F32)</f>
        <v>0</v>
      </c>
      <c r="H32" s="198" t="n">
        <v>46388</v>
      </c>
      <c r="I32" s="198" t="n">
        <v>47818</v>
      </c>
      <c r="J32" s="193" t="s">
        <v>516</v>
      </c>
    </row>
    <row r="33" customFormat="false" ht="15.75" hidden="false" customHeight="true" outlineLevel="0" collapsed="false">
      <c r="A33" s="199" t="s">
        <v>536</v>
      </c>
      <c r="G33" s="200" t="n">
        <f aca="false">SUM(G6:G32)</f>
        <v>399800</v>
      </c>
    </row>
    <row r="34" customFormat="false" ht="15.75" hidden="false" customHeight="true" outlineLevel="0" collapsed="false">
      <c r="A34" s="51" t="s">
        <v>537</v>
      </c>
    </row>
    <row r="35" customFormat="false" ht="15.75" hidden="false" customHeight="true" outlineLevel="0" collapsed="false"/>
    <row r="36" customFormat="false" ht="15.75" hidden="false" customHeight="true" outlineLevel="0" collapsed="false">
      <c r="A36" s="144" t="s">
        <v>384</v>
      </c>
      <c r="B36" s="145" t="n">
        <v>46023</v>
      </c>
      <c r="C36" s="145" t="n">
        <v>46054</v>
      </c>
      <c r="D36" s="145" t="n">
        <v>46082</v>
      </c>
      <c r="E36" s="145" t="n">
        <v>46113</v>
      </c>
      <c r="F36" s="145" t="n">
        <v>46143</v>
      </c>
      <c r="G36" s="145" t="n">
        <v>46174</v>
      </c>
      <c r="H36" s="145" t="n">
        <v>46204</v>
      </c>
      <c r="I36" s="145" t="n">
        <v>46235</v>
      </c>
      <c r="J36" s="145" t="n">
        <v>46266</v>
      </c>
      <c r="K36" s="145" t="n">
        <v>46296</v>
      </c>
      <c r="L36" s="145" t="n">
        <v>46327</v>
      </c>
      <c r="M36" s="145" t="n">
        <v>46357</v>
      </c>
      <c r="N36" s="145" t="n">
        <v>46388</v>
      </c>
      <c r="O36" s="145" t="n">
        <v>46419</v>
      </c>
      <c r="P36" s="145" t="n">
        <v>46447</v>
      </c>
      <c r="Q36" s="145" t="n">
        <v>46478</v>
      </c>
      <c r="R36" s="145" t="n">
        <v>46508</v>
      </c>
      <c r="S36" s="145" t="n">
        <v>46539</v>
      </c>
      <c r="T36" s="145" t="n">
        <v>46569</v>
      </c>
      <c r="U36" s="145" t="n">
        <v>46600</v>
      </c>
      <c r="V36" s="145" t="n">
        <v>46631</v>
      </c>
      <c r="W36" s="145" t="n">
        <v>46661</v>
      </c>
      <c r="X36" s="145" t="n">
        <v>46692</v>
      </c>
      <c r="Y36" s="145" t="n">
        <v>46722</v>
      </c>
      <c r="Z36" s="145" t="n">
        <v>46753</v>
      </c>
      <c r="AA36" s="145" t="n">
        <v>46784</v>
      </c>
      <c r="AB36" s="145" t="n">
        <v>46813</v>
      </c>
      <c r="AC36" s="145" t="n">
        <v>46844</v>
      </c>
      <c r="AD36" s="145" t="n">
        <v>46874</v>
      </c>
      <c r="AE36" s="145" t="n">
        <v>46905</v>
      </c>
      <c r="AF36" s="145" t="n">
        <v>46935</v>
      </c>
      <c r="AG36" s="145" t="n">
        <v>46966</v>
      </c>
      <c r="AH36" s="145" t="n">
        <v>46997</v>
      </c>
      <c r="AI36" s="145" t="n">
        <v>47027</v>
      </c>
      <c r="AJ36" s="145" t="n">
        <v>47058</v>
      </c>
      <c r="AK36" s="145" t="n">
        <v>47088</v>
      </c>
      <c r="AL36" s="145" t="n">
        <v>47119</v>
      </c>
      <c r="AM36" s="145" t="n">
        <v>47150</v>
      </c>
      <c r="AN36" s="145" t="n">
        <v>47178</v>
      </c>
      <c r="AO36" s="145" t="n">
        <v>47209</v>
      </c>
      <c r="AP36" s="145" t="n">
        <v>47239</v>
      </c>
      <c r="AQ36" s="145" t="n">
        <v>47270</v>
      </c>
      <c r="AR36" s="145" t="n">
        <v>47300</v>
      </c>
      <c r="AS36" s="145" t="n">
        <v>47331</v>
      </c>
      <c r="AT36" s="145" t="n">
        <v>47362</v>
      </c>
      <c r="AU36" s="145" t="n">
        <v>47392</v>
      </c>
      <c r="AV36" s="145" t="n">
        <v>47423</v>
      </c>
      <c r="AW36" s="145" t="n">
        <v>47453</v>
      </c>
      <c r="AX36" s="145" t="n">
        <v>47484</v>
      </c>
      <c r="AY36" s="145" t="n">
        <v>47515</v>
      </c>
      <c r="AZ36" s="145" t="n">
        <v>47543</v>
      </c>
      <c r="BA36" s="145" t="n">
        <v>47574</v>
      </c>
      <c r="BB36" s="145" t="n">
        <v>47604</v>
      </c>
      <c r="BC36" s="145" t="n">
        <v>47635</v>
      </c>
      <c r="BD36" s="145" t="n">
        <v>47665</v>
      </c>
      <c r="BE36" s="145" t="n">
        <v>47696</v>
      </c>
      <c r="BF36" s="145" t="n">
        <v>47727</v>
      </c>
      <c r="BG36" s="145" t="n">
        <v>47757</v>
      </c>
      <c r="BH36" s="145" t="n">
        <v>47788</v>
      </c>
      <c r="BI36" s="145" t="n">
        <v>47818</v>
      </c>
      <c r="BJ36" s="146" t="s">
        <v>385</v>
      </c>
      <c r="BK36" s="146" t="s">
        <v>386</v>
      </c>
    </row>
    <row r="37" customFormat="false" ht="15.75" hidden="false" customHeight="true" outlineLevel="0" collapsed="false">
      <c r="A37" s="147" t="s">
        <v>387</v>
      </c>
      <c r="B37" s="148" t="n">
        <v>1</v>
      </c>
      <c r="C37" s="148" t="n">
        <v>2</v>
      </c>
      <c r="D37" s="148" t="n">
        <v>3</v>
      </c>
      <c r="E37" s="148" t="n">
        <v>4</v>
      </c>
      <c r="F37" s="148" t="n">
        <v>5</v>
      </c>
      <c r="G37" s="148" t="n">
        <v>6</v>
      </c>
      <c r="H37" s="148" t="n">
        <v>7</v>
      </c>
      <c r="I37" s="148" t="n">
        <v>8</v>
      </c>
      <c r="J37" s="148" t="n">
        <v>9</v>
      </c>
      <c r="K37" s="148" t="n">
        <v>10</v>
      </c>
      <c r="L37" s="148" t="n">
        <v>11</v>
      </c>
      <c r="M37" s="148" t="n">
        <v>12</v>
      </c>
      <c r="N37" s="148" t="n">
        <v>13</v>
      </c>
      <c r="O37" s="148" t="n">
        <v>14</v>
      </c>
      <c r="P37" s="148" t="n">
        <v>15</v>
      </c>
      <c r="Q37" s="148" t="n">
        <v>16</v>
      </c>
      <c r="R37" s="148" t="n">
        <v>17</v>
      </c>
      <c r="S37" s="148" t="n">
        <v>18</v>
      </c>
      <c r="T37" s="148" t="n">
        <v>19</v>
      </c>
      <c r="U37" s="148" t="n">
        <v>20</v>
      </c>
      <c r="V37" s="148" t="n">
        <v>21</v>
      </c>
      <c r="W37" s="148" t="n">
        <v>22</v>
      </c>
      <c r="X37" s="148" t="n">
        <v>23</v>
      </c>
      <c r="Y37" s="148" t="n">
        <v>24</v>
      </c>
      <c r="Z37" s="148" t="n">
        <v>25</v>
      </c>
      <c r="AA37" s="148" t="n">
        <v>26</v>
      </c>
      <c r="AB37" s="148" t="n">
        <v>27</v>
      </c>
      <c r="AC37" s="148" t="n">
        <v>28</v>
      </c>
      <c r="AD37" s="148" t="n">
        <v>29</v>
      </c>
      <c r="AE37" s="148" t="n">
        <v>30</v>
      </c>
      <c r="AF37" s="148" t="n">
        <v>31</v>
      </c>
      <c r="AG37" s="148" t="n">
        <v>32</v>
      </c>
      <c r="AH37" s="148" t="n">
        <v>33</v>
      </c>
      <c r="AI37" s="148" t="n">
        <v>34</v>
      </c>
      <c r="AJ37" s="148" t="n">
        <v>35</v>
      </c>
      <c r="AK37" s="148" t="n">
        <v>36</v>
      </c>
      <c r="AL37" s="148" t="n">
        <v>37</v>
      </c>
      <c r="AM37" s="148" t="n">
        <v>38</v>
      </c>
      <c r="AN37" s="148" t="n">
        <v>39</v>
      </c>
      <c r="AO37" s="148" t="n">
        <v>40</v>
      </c>
      <c r="AP37" s="148" t="n">
        <v>41</v>
      </c>
      <c r="AQ37" s="148" t="n">
        <v>42</v>
      </c>
      <c r="AR37" s="148" t="n">
        <v>43</v>
      </c>
      <c r="AS37" s="148" t="n">
        <v>44</v>
      </c>
      <c r="AT37" s="148" t="n">
        <v>45</v>
      </c>
      <c r="AU37" s="148" t="n">
        <v>46</v>
      </c>
      <c r="AV37" s="148" t="n">
        <v>47</v>
      </c>
      <c r="AW37" s="148" t="n">
        <v>48</v>
      </c>
      <c r="AX37" s="148" t="n">
        <v>49</v>
      </c>
      <c r="AY37" s="148" t="n">
        <v>50</v>
      </c>
      <c r="AZ37" s="148" t="n">
        <v>51</v>
      </c>
      <c r="BA37" s="148" t="n">
        <v>52</v>
      </c>
      <c r="BB37" s="148" t="n">
        <v>53</v>
      </c>
      <c r="BC37" s="148" t="n">
        <v>54</v>
      </c>
      <c r="BD37" s="148" t="n">
        <v>55</v>
      </c>
      <c r="BE37" s="148" t="n">
        <v>56</v>
      </c>
      <c r="BF37" s="148" t="n">
        <v>57</v>
      </c>
      <c r="BG37" s="148" t="n">
        <v>58</v>
      </c>
      <c r="BH37" s="148" t="n">
        <v>59</v>
      </c>
      <c r="BI37" s="148" t="n">
        <v>60</v>
      </c>
    </row>
    <row r="38" customFormat="false" ht="15.75" hidden="false" customHeight="true" outlineLevel="0" collapsed="false">
      <c r="A38" s="147" t="s">
        <v>388</v>
      </c>
      <c r="B38" s="149" t="n">
        <f aca="false">YEAR(B36)</f>
        <v>2026</v>
      </c>
      <c r="C38" s="149" t="n">
        <f aca="false">YEAR(C36)</f>
        <v>2026</v>
      </c>
      <c r="D38" s="149" t="n">
        <f aca="false">YEAR(D36)</f>
        <v>2026</v>
      </c>
      <c r="E38" s="149" t="n">
        <f aca="false">YEAR(E36)</f>
        <v>2026</v>
      </c>
      <c r="F38" s="149" t="n">
        <f aca="false">YEAR(F36)</f>
        <v>2026</v>
      </c>
      <c r="G38" s="149" t="n">
        <f aca="false">YEAR(G36)</f>
        <v>2026</v>
      </c>
      <c r="H38" s="149" t="n">
        <f aca="false">YEAR(H36)</f>
        <v>2026</v>
      </c>
      <c r="I38" s="149" t="n">
        <f aca="false">YEAR(I36)</f>
        <v>2026</v>
      </c>
      <c r="J38" s="149" t="n">
        <f aca="false">YEAR(J36)</f>
        <v>2026</v>
      </c>
      <c r="K38" s="149" t="n">
        <f aca="false">YEAR(K36)</f>
        <v>2026</v>
      </c>
      <c r="L38" s="149" t="n">
        <f aca="false">YEAR(L36)</f>
        <v>2026</v>
      </c>
      <c r="M38" s="149" t="n">
        <f aca="false">YEAR(M36)</f>
        <v>2026</v>
      </c>
      <c r="N38" s="149" t="n">
        <f aca="false">YEAR(N36)</f>
        <v>2027</v>
      </c>
      <c r="O38" s="149" t="n">
        <f aca="false">YEAR(O36)</f>
        <v>2027</v>
      </c>
      <c r="P38" s="149" t="n">
        <f aca="false">YEAR(P36)</f>
        <v>2027</v>
      </c>
      <c r="Q38" s="149" t="n">
        <f aca="false">YEAR(Q36)</f>
        <v>2027</v>
      </c>
      <c r="R38" s="149" t="n">
        <f aca="false">YEAR(R36)</f>
        <v>2027</v>
      </c>
      <c r="S38" s="149" t="n">
        <f aca="false">YEAR(S36)</f>
        <v>2027</v>
      </c>
      <c r="T38" s="149" t="n">
        <f aca="false">YEAR(T36)</f>
        <v>2027</v>
      </c>
      <c r="U38" s="149" t="n">
        <f aca="false">YEAR(U36)</f>
        <v>2027</v>
      </c>
      <c r="V38" s="149" t="n">
        <f aca="false">YEAR(V36)</f>
        <v>2027</v>
      </c>
      <c r="W38" s="149" t="n">
        <f aca="false">YEAR(W36)</f>
        <v>2027</v>
      </c>
      <c r="X38" s="149" t="n">
        <f aca="false">YEAR(X36)</f>
        <v>2027</v>
      </c>
      <c r="Y38" s="149" t="n">
        <f aca="false">YEAR(Y36)</f>
        <v>2027</v>
      </c>
      <c r="Z38" s="149" t="n">
        <f aca="false">YEAR(Z36)</f>
        <v>2028</v>
      </c>
      <c r="AA38" s="149" t="n">
        <f aca="false">YEAR(AA36)</f>
        <v>2028</v>
      </c>
      <c r="AB38" s="149" t="n">
        <f aca="false">YEAR(AB36)</f>
        <v>2028</v>
      </c>
      <c r="AC38" s="149" t="n">
        <f aca="false">YEAR(AC36)</f>
        <v>2028</v>
      </c>
      <c r="AD38" s="149" t="n">
        <f aca="false">YEAR(AD36)</f>
        <v>2028</v>
      </c>
      <c r="AE38" s="149" t="n">
        <f aca="false">YEAR(AE36)</f>
        <v>2028</v>
      </c>
      <c r="AF38" s="149" t="n">
        <f aca="false">YEAR(AF36)</f>
        <v>2028</v>
      </c>
      <c r="AG38" s="149" t="n">
        <f aca="false">YEAR(AG36)</f>
        <v>2028</v>
      </c>
      <c r="AH38" s="149" t="n">
        <f aca="false">YEAR(AH36)</f>
        <v>2028</v>
      </c>
      <c r="AI38" s="149" t="n">
        <f aca="false">YEAR(AI36)</f>
        <v>2028</v>
      </c>
      <c r="AJ38" s="149" t="n">
        <f aca="false">YEAR(AJ36)</f>
        <v>2028</v>
      </c>
      <c r="AK38" s="149" t="n">
        <f aca="false">YEAR(AK36)</f>
        <v>2028</v>
      </c>
      <c r="AL38" s="149" t="n">
        <f aca="false">YEAR(AL36)</f>
        <v>2029</v>
      </c>
      <c r="AM38" s="149" t="n">
        <f aca="false">YEAR(AM36)</f>
        <v>2029</v>
      </c>
      <c r="AN38" s="149" t="n">
        <f aca="false">YEAR(AN36)</f>
        <v>2029</v>
      </c>
      <c r="AO38" s="149" t="n">
        <f aca="false">YEAR(AO36)</f>
        <v>2029</v>
      </c>
      <c r="AP38" s="149" t="n">
        <f aca="false">YEAR(AP36)</f>
        <v>2029</v>
      </c>
      <c r="AQ38" s="149" t="n">
        <f aca="false">YEAR(AQ36)</f>
        <v>2029</v>
      </c>
      <c r="AR38" s="149" t="n">
        <f aca="false">YEAR(AR36)</f>
        <v>2029</v>
      </c>
      <c r="AS38" s="149" t="n">
        <f aca="false">YEAR(AS36)</f>
        <v>2029</v>
      </c>
      <c r="AT38" s="149" t="n">
        <f aca="false">YEAR(AT36)</f>
        <v>2029</v>
      </c>
      <c r="AU38" s="149" t="n">
        <f aca="false">YEAR(AU36)</f>
        <v>2029</v>
      </c>
      <c r="AV38" s="149" t="n">
        <f aca="false">YEAR(AV36)</f>
        <v>2029</v>
      </c>
      <c r="AW38" s="149" t="n">
        <f aca="false">YEAR(AW36)</f>
        <v>2029</v>
      </c>
      <c r="AX38" s="149" t="n">
        <f aca="false">YEAR(AX36)</f>
        <v>2030</v>
      </c>
      <c r="AY38" s="149" t="n">
        <f aca="false">YEAR(AY36)</f>
        <v>2030</v>
      </c>
      <c r="AZ38" s="149" t="n">
        <f aca="false">YEAR(AZ36)</f>
        <v>2030</v>
      </c>
      <c r="BA38" s="149" t="n">
        <f aca="false">YEAR(BA36)</f>
        <v>2030</v>
      </c>
      <c r="BB38" s="149" t="n">
        <f aca="false">YEAR(BB36)</f>
        <v>2030</v>
      </c>
      <c r="BC38" s="149" t="n">
        <f aca="false">YEAR(BC36)</f>
        <v>2030</v>
      </c>
      <c r="BD38" s="149" t="n">
        <f aca="false">YEAR(BD36)</f>
        <v>2030</v>
      </c>
      <c r="BE38" s="149" t="n">
        <f aca="false">YEAR(BE36)</f>
        <v>2030</v>
      </c>
      <c r="BF38" s="149" t="n">
        <f aca="false">YEAR(BF36)</f>
        <v>2030</v>
      </c>
      <c r="BG38" s="149" t="n">
        <f aca="false">YEAR(BG36)</f>
        <v>2030</v>
      </c>
      <c r="BH38" s="149" t="n">
        <f aca="false">YEAR(BH36)</f>
        <v>2030</v>
      </c>
      <c r="BI38" s="149" t="n">
        <f aca="false">YEAR(BI36)</f>
        <v>2030</v>
      </c>
    </row>
    <row r="39" customFormat="false" ht="15.75" hidden="false" customHeight="true" outlineLevel="0" collapsed="false">
      <c r="A39" s="150" t="s">
        <v>389</v>
      </c>
      <c r="B39" s="151" t="n">
        <f aca="false">MATCH(B38,Premissas!$C$5:$G$5,0)</f>
        <v>1</v>
      </c>
      <c r="C39" s="151" t="n">
        <f aca="false">MATCH(C38,Premissas!$C$5:$G$5,0)</f>
        <v>1</v>
      </c>
      <c r="D39" s="151" t="n">
        <f aca="false">MATCH(D38,Premissas!$C$5:$G$5,0)</f>
        <v>1</v>
      </c>
      <c r="E39" s="151" t="n">
        <f aca="false">MATCH(E38,Premissas!$C$5:$G$5,0)</f>
        <v>1</v>
      </c>
      <c r="F39" s="151" t="n">
        <f aca="false">MATCH(F38,Premissas!$C$5:$G$5,0)</f>
        <v>1</v>
      </c>
      <c r="G39" s="151" t="n">
        <f aca="false">MATCH(G38,Premissas!$C$5:$G$5,0)</f>
        <v>1</v>
      </c>
      <c r="H39" s="151" t="n">
        <f aca="false">MATCH(H38,Premissas!$C$5:$G$5,0)</f>
        <v>1</v>
      </c>
      <c r="I39" s="151" t="n">
        <f aca="false">MATCH(I38,Premissas!$C$5:$G$5,0)</f>
        <v>1</v>
      </c>
      <c r="J39" s="151" t="n">
        <f aca="false">MATCH(J38,Premissas!$C$5:$G$5,0)</f>
        <v>1</v>
      </c>
      <c r="K39" s="151" t="n">
        <f aca="false">MATCH(K38,Premissas!$C$5:$G$5,0)</f>
        <v>1</v>
      </c>
      <c r="L39" s="151" t="n">
        <f aca="false">MATCH(L38,Premissas!$C$5:$G$5,0)</f>
        <v>1</v>
      </c>
      <c r="M39" s="151" t="n">
        <f aca="false">MATCH(M38,Premissas!$C$5:$G$5,0)</f>
        <v>1</v>
      </c>
      <c r="N39" s="151" t="n">
        <f aca="false">MATCH(N38,Premissas!$C$5:$G$5,0)</f>
        <v>2</v>
      </c>
      <c r="O39" s="151" t="n">
        <f aca="false">MATCH(O38,Premissas!$C$5:$G$5,0)</f>
        <v>2</v>
      </c>
      <c r="P39" s="151" t="n">
        <f aca="false">MATCH(P38,Premissas!$C$5:$G$5,0)</f>
        <v>2</v>
      </c>
      <c r="Q39" s="151" t="n">
        <f aca="false">MATCH(Q38,Premissas!$C$5:$G$5,0)</f>
        <v>2</v>
      </c>
      <c r="R39" s="151" t="n">
        <f aca="false">MATCH(R38,Premissas!$C$5:$G$5,0)</f>
        <v>2</v>
      </c>
      <c r="S39" s="151" t="n">
        <f aca="false">MATCH(S38,Premissas!$C$5:$G$5,0)</f>
        <v>2</v>
      </c>
      <c r="T39" s="151" t="n">
        <f aca="false">MATCH(T38,Premissas!$C$5:$G$5,0)</f>
        <v>2</v>
      </c>
      <c r="U39" s="151" t="n">
        <f aca="false">MATCH(U38,Premissas!$C$5:$G$5,0)</f>
        <v>2</v>
      </c>
      <c r="V39" s="151" t="n">
        <f aca="false">MATCH(V38,Premissas!$C$5:$G$5,0)</f>
        <v>2</v>
      </c>
      <c r="W39" s="151" t="n">
        <f aca="false">MATCH(W38,Premissas!$C$5:$G$5,0)</f>
        <v>2</v>
      </c>
      <c r="X39" s="151" t="n">
        <f aca="false">MATCH(X38,Premissas!$C$5:$G$5,0)</f>
        <v>2</v>
      </c>
      <c r="Y39" s="151" t="n">
        <f aca="false">MATCH(Y38,Premissas!$C$5:$G$5,0)</f>
        <v>2</v>
      </c>
      <c r="Z39" s="151" t="n">
        <f aca="false">MATCH(Z38,Premissas!$C$5:$G$5,0)</f>
        <v>3</v>
      </c>
      <c r="AA39" s="151" t="n">
        <f aca="false">MATCH(AA38,Premissas!$C$5:$G$5,0)</f>
        <v>3</v>
      </c>
      <c r="AB39" s="151" t="n">
        <f aca="false">MATCH(AB38,Premissas!$C$5:$G$5,0)</f>
        <v>3</v>
      </c>
      <c r="AC39" s="151" t="n">
        <f aca="false">MATCH(AC38,Premissas!$C$5:$G$5,0)</f>
        <v>3</v>
      </c>
      <c r="AD39" s="151" t="n">
        <f aca="false">MATCH(AD38,Premissas!$C$5:$G$5,0)</f>
        <v>3</v>
      </c>
      <c r="AE39" s="151" t="n">
        <f aca="false">MATCH(AE38,Premissas!$C$5:$G$5,0)</f>
        <v>3</v>
      </c>
      <c r="AF39" s="151" t="n">
        <f aca="false">MATCH(AF38,Premissas!$C$5:$G$5,0)</f>
        <v>3</v>
      </c>
      <c r="AG39" s="151" t="n">
        <f aca="false">MATCH(AG38,Premissas!$C$5:$G$5,0)</f>
        <v>3</v>
      </c>
      <c r="AH39" s="151" t="n">
        <f aca="false">MATCH(AH38,Premissas!$C$5:$G$5,0)</f>
        <v>3</v>
      </c>
      <c r="AI39" s="151" t="n">
        <f aca="false">MATCH(AI38,Premissas!$C$5:$G$5,0)</f>
        <v>3</v>
      </c>
      <c r="AJ39" s="151" t="n">
        <f aca="false">MATCH(AJ38,Premissas!$C$5:$G$5,0)</f>
        <v>3</v>
      </c>
      <c r="AK39" s="151" t="n">
        <f aca="false">MATCH(AK38,Premissas!$C$5:$G$5,0)</f>
        <v>3</v>
      </c>
      <c r="AL39" s="151" t="n">
        <f aca="false">MATCH(AL38,Premissas!$C$5:$G$5,0)</f>
        <v>4</v>
      </c>
      <c r="AM39" s="151" t="n">
        <f aca="false">MATCH(AM38,Premissas!$C$5:$G$5,0)</f>
        <v>4</v>
      </c>
      <c r="AN39" s="151" t="n">
        <f aca="false">MATCH(AN38,Premissas!$C$5:$G$5,0)</f>
        <v>4</v>
      </c>
      <c r="AO39" s="151" t="n">
        <f aca="false">MATCH(AO38,Premissas!$C$5:$G$5,0)</f>
        <v>4</v>
      </c>
      <c r="AP39" s="151" t="n">
        <f aca="false">MATCH(AP38,Premissas!$C$5:$G$5,0)</f>
        <v>4</v>
      </c>
      <c r="AQ39" s="151" t="n">
        <f aca="false">MATCH(AQ38,Premissas!$C$5:$G$5,0)</f>
        <v>4</v>
      </c>
      <c r="AR39" s="151" t="n">
        <f aca="false">MATCH(AR38,Premissas!$C$5:$G$5,0)</f>
        <v>4</v>
      </c>
      <c r="AS39" s="151" t="n">
        <f aca="false">MATCH(AS38,Premissas!$C$5:$G$5,0)</f>
        <v>4</v>
      </c>
      <c r="AT39" s="151" t="n">
        <f aca="false">MATCH(AT38,Premissas!$C$5:$G$5,0)</f>
        <v>4</v>
      </c>
      <c r="AU39" s="151" t="n">
        <f aca="false">MATCH(AU38,Premissas!$C$5:$G$5,0)</f>
        <v>4</v>
      </c>
      <c r="AV39" s="151" t="n">
        <f aca="false">MATCH(AV38,Premissas!$C$5:$G$5,0)</f>
        <v>4</v>
      </c>
      <c r="AW39" s="151" t="n">
        <f aca="false">MATCH(AW38,Premissas!$C$5:$G$5,0)</f>
        <v>4</v>
      </c>
      <c r="AX39" s="151" t="n">
        <f aca="false">MATCH(AX38,Premissas!$C$5:$G$5,0)</f>
        <v>5</v>
      </c>
      <c r="AY39" s="151" t="n">
        <f aca="false">MATCH(AY38,Premissas!$C$5:$G$5,0)</f>
        <v>5</v>
      </c>
      <c r="AZ39" s="151" t="n">
        <f aca="false">MATCH(AZ38,Premissas!$C$5:$G$5,0)</f>
        <v>5</v>
      </c>
      <c r="BA39" s="151" t="n">
        <f aca="false">MATCH(BA38,Premissas!$C$5:$G$5,0)</f>
        <v>5</v>
      </c>
      <c r="BB39" s="151" t="n">
        <f aca="false">MATCH(BB38,Premissas!$C$5:$G$5,0)</f>
        <v>5</v>
      </c>
      <c r="BC39" s="151" t="n">
        <f aca="false">MATCH(BC38,Premissas!$C$5:$G$5,0)</f>
        <v>5</v>
      </c>
      <c r="BD39" s="151" t="n">
        <f aca="false">MATCH(BD38,Premissas!$C$5:$G$5,0)</f>
        <v>5</v>
      </c>
      <c r="BE39" s="151" t="n">
        <f aca="false">MATCH(BE38,Premissas!$C$5:$G$5,0)</f>
        <v>5</v>
      </c>
      <c r="BF39" s="151" t="n">
        <f aca="false">MATCH(BF38,Premissas!$C$5:$G$5,0)</f>
        <v>5</v>
      </c>
      <c r="BG39" s="151" t="n">
        <f aca="false">MATCH(BG38,Premissas!$C$5:$G$5,0)</f>
        <v>5</v>
      </c>
      <c r="BH39" s="151" t="n">
        <f aca="false">MATCH(BH38,Premissas!$C$5:$G$5,0)</f>
        <v>5</v>
      </c>
      <c r="BI39" s="151" t="n">
        <f aca="false">MATCH(BI38,Premissas!$C$5:$G$5,0)</f>
        <v>5</v>
      </c>
    </row>
    <row r="40" customFormat="false" ht="18" hidden="false" customHeight="true" outlineLevel="0" collapsed="false">
      <c r="A40" s="47" t="s">
        <v>538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</row>
    <row r="41" customFormat="false" ht="15.75" hidden="false" customHeight="true" outlineLevel="0" collapsed="false">
      <c r="A41" s="49" t="s">
        <v>539</v>
      </c>
      <c r="B41" s="201" t="n">
        <f aca="false">SUMPRODUCT(($H$6:$H$32&lt;=B$36)*($I$6:$I$32&gt;=B$36)*(($C$6:$C$32="Contratado")+($C$6:$C$32="Plano")*Premissas!$B$8)*$D$6:$D$32)</f>
        <v>0</v>
      </c>
      <c r="C41" s="201" t="n">
        <f aca="false">SUMPRODUCT(($H$6:$H$32&lt;=C$36)*($I$6:$I$32&gt;=C$36)*(($C$6:$C$32="Contratado")+($C$6:$C$32="Plano")*Premissas!$B$8)*$D$6:$D$32)</f>
        <v>0</v>
      </c>
      <c r="D41" s="201" t="n">
        <f aca="false">SUMPRODUCT(($H$6:$H$32&lt;=D$36)*($I$6:$I$32&gt;=D$36)*(($C$6:$C$32="Contratado")+($C$6:$C$32="Plano")*Premissas!$B$8)*$D$6:$D$32)</f>
        <v>0</v>
      </c>
      <c r="E41" s="201" t="n">
        <f aca="false">SUMPRODUCT(($H$6:$H$32&lt;=E$36)*($I$6:$I$32&gt;=E$36)*(($C$6:$C$32="Contratado")+($C$6:$C$32="Plano")*Premissas!$B$8)*$D$6:$D$32)</f>
        <v>0</v>
      </c>
      <c r="F41" s="201" t="n">
        <f aca="false">SUMPRODUCT(($H$6:$H$32&lt;=F$36)*($I$6:$I$32&gt;=F$36)*(($C$6:$C$32="Contratado")+($C$6:$C$32="Plano")*Premissas!$B$8)*$D$6:$D$32)</f>
        <v>0</v>
      </c>
      <c r="G41" s="201" t="n">
        <f aca="false">SUMPRODUCT(($H$6:$H$32&lt;=G$36)*($I$6:$I$32&gt;=G$36)*(($C$6:$C$32="Contratado")+($C$6:$C$32="Plano")*Premissas!$B$8)*$D$6:$D$32)</f>
        <v>0</v>
      </c>
      <c r="H41" s="201" t="n">
        <f aca="false">SUMPRODUCT(($H$6:$H$32&lt;=H$36)*($I$6:$I$32&gt;=H$36)*(($C$6:$C$32="Contratado")+($C$6:$C$32="Plano")*Premissas!$B$8)*$D$6:$D$32)</f>
        <v>0</v>
      </c>
      <c r="I41" s="201" t="n">
        <f aca="false">SUMPRODUCT(($H$6:$H$32&lt;=I$36)*($I$6:$I$32&gt;=I$36)*(($C$6:$C$32="Contratado")+($C$6:$C$32="Plano")*Premissas!$B$8)*$D$6:$D$32)</f>
        <v>0</v>
      </c>
      <c r="J41" s="201" t="n">
        <f aca="false">SUMPRODUCT(($H$6:$H$32&lt;=J$36)*($I$6:$I$32&gt;=J$36)*(($C$6:$C$32="Contratado")+($C$6:$C$32="Plano")*Premissas!$B$8)*$D$6:$D$32)</f>
        <v>1</v>
      </c>
      <c r="K41" s="201" t="n">
        <f aca="false">SUMPRODUCT(($H$6:$H$32&lt;=K$36)*($I$6:$I$32&gt;=K$36)*(($C$6:$C$32="Contratado")+($C$6:$C$32="Plano")*Premissas!$B$8)*$D$6:$D$32)</f>
        <v>1</v>
      </c>
      <c r="L41" s="201" t="n">
        <f aca="false">SUMPRODUCT(($H$6:$H$32&lt;=L$36)*($I$6:$I$32&gt;=L$36)*(($C$6:$C$32="Contratado")+($C$6:$C$32="Plano")*Premissas!$B$8)*$D$6:$D$32)</f>
        <v>0</v>
      </c>
      <c r="M41" s="201" t="n">
        <f aca="false">SUMPRODUCT(($H$6:$H$32&lt;=M$36)*($I$6:$I$32&gt;=M$36)*(($C$6:$C$32="Contratado")+($C$6:$C$32="Plano")*Premissas!$B$8)*$D$6:$D$32)</f>
        <v>0</v>
      </c>
      <c r="N41" s="201" t="n">
        <f aca="false">SUMPRODUCT(($H$6:$H$32&lt;=N$36)*($I$6:$I$32&gt;=N$36)*(($C$6:$C$32="Contratado")+($C$6:$C$32="Plano")*Premissas!$B$8)*$D$6:$D$32)</f>
        <v>7</v>
      </c>
      <c r="O41" s="201" t="n">
        <f aca="false">SUMPRODUCT(($H$6:$H$32&lt;=O$36)*($I$6:$I$32&gt;=O$36)*(($C$6:$C$32="Contratado")+($C$6:$C$32="Plano")*Premissas!$B$8)*$D$6:$D$32)</f>
        <v>7</v>
      </c>
      <c r="P41" s="201" t="n">
        <f aca="false">SUMPRODUCT(($H$6:$H$32&lt;=P$36)*($I$6:$I$32&gt;=P$36)*(($C$6:$C$32="Contratado")+($C$6:$C$32="Plano")*Premissas!$B$8)*$D$6:$D$32)</f>
        <v>7</v>
      </c>
      <c r="Q41" s="201" t="n">
        <f aca="false">SUMPRODUCT(($H$6:$H$32&lt;=Q$36)*($I$6:$I$32&gt;=Q$36)*(($C$6:$C$32="Contratado")+($C$6:$C$32="Plano")*Premissas!$B$8)*$D$6:$D$32)</f>
        <v>7</v>
      </c>
      <c r="R41" s="201" t="n">
        <f aca="false">SUMPRODUCT(($H$6:$H$32&lt;=R$36)*($I$6:$I$32&gt;=R$36)*(($C$6:$C$32="Contratado")+($C$6:$C$32="Plano")*Premissas!$B$8)*$D$6:$D$32)</f>
        <v>7</v>
      </c>
      <c r="S41" s="201" t="n">
        <f aca="false">SUMPRODUCT(($H$6:$H$32&lt;=S$36)*($I$6:$I$32&gt;=S$36)*(($C$6:$C$32="Contratado")+($C$6:$C$32="Plano")*Premissas!$B$8)*$D$6:$D$32)</f>
        <v>7</v>
      </c>
      <c r="T41" s="201" t="n">
        <f aca="false">SUMPRODUCT(($H$6:$H$32&lt;=T$36)*($I$6:$I$32&gt;=T$36)*(($C$6:$C$32="Contratado")+($C$6:$C$32="Plano")*Premissas!$B$8)*$D$6:$D$32)</f>
        <v>7</v>
      </c>
      <c r="U41" s="201" t="n">
        <f aca="false">SUMPRODUCT(($H$6:$H$32&lt;=U$36)*($I$6:$I$32&gt;=U$36)*(($C$6:$C$32="Contratado")+($C$6:$C$32="Plano")*Premissas!$B$8)*$D$6:$D$32)</f>
        <v>7</v>
      </c>
      <c r="V41" s="201" t="n">
        <f aca="false">SUMPRODUCT(($H$6:$H$32&lt;=V$36)*($I$6:$I$32&gt;=V$36)*(($C$6:$C$32="Contratado")+($C$6:$C$32="Plano")*Premissas!$B$8)*$D$6:$D$32)</f>
        <v>7</v>
      </c>
      <c r="W41" s="201" t="n">
        <f aca="false">SUMPRODUCT(($H$6:$H$32&lt;=W$36)*($I$6:$I$32&gt;=W$36)*(($C$6:$C$32="Contratado")+($C$6:$C$32="Plano")*Premissas!$B$8)*$D$6:$D$32)</f>
        <v>7</v>
      </c>
      <c r="X41" s="201" t="n">
        <f aca="false">SUMPRODUCT(($H$6:$H$32&lt;=X$36)*($I$6:$I$32&gt;=X$36)*(($C$6:$C$32="Contratado")+($C$6:$C$32="Plano")*Premissas!$B$8)*$D$6:$D$32)</f>
        <v>7</v>
      </c>
      <c r="Y41" s="201" t="n">
        <f aca="false">SUMPRODUCT(($H$6:$H$32&lt;=Y$36)*($I$6:$I$32&gt;=Y$36)*(($C$6:$C$32="Contratado")+($C$6:$C$32="Plano")*Premissas!$B$8)*$D$6:$D$32)</f>
        <v>7</v>
      </c>
      <c r="Z41" s="201" t="n">
        <f aca="false">SUMPRODUCT(($H$6:$H$32&lt;=Z$36)*($I$6:$I$32&gt;=Z$36)*(($C$6:$C$32="Contratado")+($C$6:$C$32="Plano")*Premissas!$B$8)*$D$6:$D$32)</f>
        <v>17</v>
      </c>
      <c r="AA41" s="201" t="n">
        <f aca="false">SUMPRODUCT(($H$6:$H$32&lt;=AA$36)*($I$6:$I$32&gt;=AA$36)*(($C$6:$C$32="Contratado")+($C$6:$C$32="Plano")*Premissas!$B$8)*$D$6:$D$32)</f>
        <v>17</v>
      </c>
      <c r="AB41" s="201" t="n">
        <f aca="false">SUMPRODUCT(($H$6:$H$32&lt;=AB$36)*($I$6:$I$32&gt;=AB$36)*(($C$6:$C$32="Contratado")+($C$6:$C$32="Plano")*Premissas!$B$8)*$D$6:$D$32)</f>
        <v>17</v>
      </c>
      <c r="AC41" s="201" t="n">
        <f aca="false">SUMPRODUCT(($H$6:$H$32&lt;=AC$36)*($I$6:$I$32&gt;=AC$36)*(($C$6:$C$32="Contratado")+($C$6:$C$32="Plano")*Premissas!$B$8)*$D$6:$D$32)</f>
        <v>17</v>
      </c>
      <c r="AD41" s="201" t="n">
        <f aca="false">SUMPRODUCT(($H$6:$H$32&lt;=AD$36)*($I$6:$I$32&gt;=AD$36)*(($C$6:$C$32="Contratado")+($C$6:$C$32="Plano")*Premissas!$B$8)*$D$6:$D$32)</f>
        <v>17</v>
      </c>
      <c r="AE41" s="201" t="n">
        <f aca="false">SUMPRODUCT(($H$6:$H$32&lt;=AE$36)*($I$6:$I$32&gt;=AE$36)*(($C$6:$C$32="Contratado")+($C$6:$C$32="Plano")*Premissas!$B$8)*$D$6:$D$32)</f>
        <v>17</v>
      </c>
      <c r="AF41" s="201" t="n">
        <f aca="false">SUMPRODUCT(($H$6:$H$32&lt;=AF$36)*($I$6:$I$32&gt;=AF$36)*(($C$6:$C$32="Contratado")+($C$6:$C$32="Plano")*Premissas!$B$8)*$D$6:$D$32)</f>
        <v>17</v>
      </c>
      <c r="AG41" s="201" t="n">
        <f aca="false">SUMPRODUCT(($H$6:$H$32&lt;=AG$36)*($I$6:$I$32&gt;=AG$36)*(($C$6:$C$32="Contratado")+($C$6:$C$32="Plano")*Premissas!$B$8)*$D$6:$D$32)</f>
        <v>17</v>
      </c>
      <c r="AH41" s="201" t="n">
        <f aca="false">SUMPRODUCT(($H$6:$H$32&lt;=AH$36)*($I$6:$I$32&gt;=AH$36)*(($C$6:$C$32="Contratado")+($C$6:$C$32="Plano")*Premissas!$B$8)*$D$6:$D$32)</f>
        <v>17</v>
      </c>
      <c r="AI41" s="201" t="n">
        <f aca="false">SUMPRODUCT(($H$6:$H$32&lt;=AI$36)*($I$6:$I$32&gt;=AI$36)*(($C$6:$C$32="Contratado")+($C$6:$C$32="Plano")*Premissas!$B$8)*$D$6:$D$32)</f>
        <v>17</v>
      </c>
      <c r="AJ41" s="201" t="n">
        <f aca="false">SUMPRODUCT(($H$6:$H$32&lt;=AJ$36)*($I$6:$I$32&gt;=AJ$36)*(($C$6:$C$32="Contratado")+($C$6:$C$32="Plano")*Premissas!$B$8)*$D$6:$D$32)</f>
        <v>17</v>
      </c>
      <c r="AK41" s="201" t="n">
        <f aca="false">SUMPRODUCT(($H$6:$H$32&lt;=AK$36)*($I$6:$I$32&gt;=AK$36)*(($C$6:$C$32="Contratado")+($C$6:$C$32="Plano")*Premissas!$B$8)*$D$6:$D$32)</f>
        <v>17</v>
      </c>
      <c r="AL41" s="201" t="n">
        <f aca="false">SUMPRODUCT(($H$6:$H$32&lt;=AL$36)*($I$6:$I$32&gt;=AL$36)*(($C$6:$C$32="Contratado")+($C$6:$C$32="Plano")*Premissas!$B$8)*$D$6:$D$32)</f>
        <v>34</v>
      </c>
      <c r="AM41" s="201" t="n">
        <f aca="false">SUMPRODUCT(($H$6:$H$32&lt;=AM$36)*($I$6:$I$32&gt;=AM$36)*(($C$6:$C$32="Contratado")+($C$6:$C$32="Plano")*Premissas!$B$8)*$D$6:$D$32)</f>
        <v>34</v>
      </c>
      <c r="AN41" s="201" t="n">
        <f aca="false">SUMPRODUCT(($H$6:$H$32&lt;=AN$36)*($I$6:$I$32&gt;=AN$36)*(($C$6:$C$32="Contratado")+($C$6:$C$32="Plano")*Premissas!$B$8)*$D$6:$D$32)</f>
        <v>34</v>
      </c>
      <c r="AO41" s="201" t="n">
        <f aca="false">SUMPRODUCT(($H$6:$H$32&lt;=AO$36)*($I$6:$I$32&gt;=AO$36)*(($C$6:$C$32="Contratado")+($C$6:$C$32="Plano")*Premissas!$B$8)*$D$6:$D$32)</f>
        <v>34</v>
      </c>
      <c r="AP41" s="201" t="n">
        <f aca="false">SUMPRODUCT(($H$6:$H$32&lt;=AP$36)*($I$6:$I$32&gt;=AP$36)*(($C$6:$C$32="Contratado")+($C$6:$C$32="Plano")*Premissas!$B$8)*$D$6:$D$32)</f>
        <v>34</v>
      </c>
      <c r="AQ41" s="201" t="n">
        <f aca="false">SUMPRODUCT(($H$6:$H$32&lt;=AQ$36)*($I$6:$I$32&gt;=AQ$36)*(($C$6:$C$32="Contratado")+($C$6:$C$32="Plano")*Premissas!$B$8)*$D$6:$D$32)</f>
        <v>34</v>
      </c>
      <c r="AR41" s="201" t="n">
        <f aca="false">SUMPRODUCT(($H$6:$H$32&lt;=AR$36)*($I$6:$I$32&gt;=AR$36)*(($C$6:$C$32="Contratado")+($C$6:$C$32="Plano")*Premissas!$B$8)*$D$6:$D$32)</f>
        <v>34</v>
      </c>
      <c r="AS41" s="201" t="n">
        <f aca="false">SUMPRODUCT(($H$6:$H$32&lt;=AS$36)*($I$6:$I$32&gt;=AS$36)*(($C$6:$C$32="Contratado")+($C$6:$C$32="Plano")*Premissas!$B$8)*$D$6:$D$32)</f>
        <v>34</v>
      </c>
      <c r="AT41" s="201" t="n">
        <f aca="false">SUMPRODUCT(($H$6:$H$32&lt;=AT$36)*($I$6:$I$32&gt;=AT$36)*(($C$6:$C$32="Contratado")+($C$6:$C$32="Plano")*Premissas!$B$8)*$D$6:$D$32)</f>
        <v>34</v>
      </c>
      <c r="AU41" s="201" t="n">
        <f aca="false">SUMPRODUCT(($H$6:$H$32&lt;=AU$36)*($I$6:$I$32&gt;=AU$36)*(($C$6:$C$32="Contratado")+($C$6:$C$32="Plano")*Premissas!$B$8)*$D$6:$D$32)</f>
        <v>34</v>
      </c>
      <c r="AV41" s="201" t="n">
        <f aca="false">SUMPRODUCT(($H$6:$H$32&lt;=AV$36)*($I$6:$I$32&gt;=AV$36)*(($C$6:$C$32="Contratado")+($C$6:$C$32="Plano")*Premissas!$B$8)*$D$6:$D$32)</f>
        <v>34</v>
      </c>
      <c r="AW41" s="201" t="n">
        <f aca="false">SUMPRODUCT(($H$6:$H$32&lt;=AW$36)*($I$6:$I$32&gt;=AW$36)*(($C$6:$C$32="Contratado")+($C$6:$C$32="Plano")*Premissas!$B$8)*$D$6:$D$32)</f>
        <v>34</v>
      </c>
      <c r="AX41" s="201" t="n">
        <f aca="false">SUMPRODUCT(($H$6:$H$32&lt;=AX$36)*($I$6:$I$32&gt;=AX$36)*(($C$6:$C$32="Contratado")+($C$6:$C$32="Plano")*Premissas!$B$8)*$D$6:$D$32)</f>
        <v>50</v>
      </c>
      <c r="AY41" s="201" t="n">
        <f aca="false">SUMPRODUCT(($H$6:$H$32&lt;=AY$36)*($I$6:$I$32&gt;=AY$36)*(($C$6:$C$32="Contratado")+($C$6:$C$32="Plano")*Premissas!$B$8)*$D$6:$D$32)</f>
        <v>50</v>
      </c>
      <c r="AZ41" s="201" t="n">
        <f aca="false">SUMPRODUCT(($H$6:$H$32&lt;=AZ$36)*($I$6:$I$32&gt;=AZ$36)*(($C$6:$C$32="Contratado")+($C$6:$C$32="Plano")*Premissas!$B$8)*$D$6:$D$32)</f>
        <v>50</v>
      </c>
      <c r="BA41" s="201" t="n">
        <f aca="false">SUMPRODUCT(($H$6:$H$32&lt;=BA$36)*($I$6:$I$32&gt;=BA$36)*(($C$6:$C$32="Contratado")+($C$6:$C$32="Plano")*Premissas!$B$8)*$D$6:$D$32)</f>
        <v>50</v>
      </c>
      <c r="BB41" s="201" t="n">
        <f aca="false">SUMPRODUCT(($H$6:$H$32&lt;=BB$36)*($I$6:$I$32&gt;=BB$36)*(($C$6:$C$32="Contratado")+($C$6:$C$32="Plano")*Premissas!$B$8)*$D$6:$D$32)</f>
        <v>50</v>
      </c>
      <c r="BC41" s="201" t="n">
        <f aca="false">SUMPRODUCT(($H$6:$H$32&lt;=BC$36)*($I$6:$I$32&gt;=BC$36)*(($C$6:$C$32="Contratado")+($C$6:$C$32="Plano")*Premissas!$B$8)*$D$6:$D$32)</f>
        <v>50</v>
      </c>
      <c r="BD41" s="201" t="n">
        <f aca="false">SUMPRODUCT(($H$6:$H$32&lt;=BD$36)*($I$6:$I$32&gt;=BD$36)*(($C$6:$C$32="Contratado")+($C$6:$C$32="Plano")*Premissas!$B$8)*$D$6:$D$32)</f>
        <v>50</v>
      </c>
      <c r="BE41" s="201" t="n">
        <f aca="false">SUMPRODUCT(($H$6:$H$32&lt;=BE$36)*($I$6:$I$32&gt;=BE$36)*(($C$6:$C$32="Contratado")+($C$6:$C$32="Plano")*Premissas!$B$8)*$D$6:$D$32)</f>
        <v>50</v>
      </c>
      <c r="BF41" s="201" t="n">
        <f aca="false">SUMPRODUCT(($H$6:$H$32&lt;=BF$36)*($I$6:$I$32&gt;=BF$36)*(($C$6:$C$32="Contratado")+($C$6:$C$32="Plano")*Premissas!$B$8)*$D$6:$D$32)</f>
        <v>50</v>
      </c>
      <c r="BG41" s="201" t="n">
        <f aca="false">SUMPRODUCT(($H$6:$H$32&lt;=BG$36)*($I$6:$I$32&gt;=BG$36)*(($C$6:$C$32="Contratado")+($C$6:$C$32="Plano")*Premissas!$B$8)*$D$6:$D$32)</f>
        <v>50</v>
      </c>
      <c r="BH41" s="201" t="n">
        <f aca="false">SUMPRODUCT(($H$6:$H$32&lt;=BH$36)*($I$6:$I$32&gt;=BH$36)*(($C$6:$C$32="Contratado")+($C$6:$C$32="Plano")*Premissas!$B$8)*$D$6:$D$32)</f>
        <v>50</v>
      </c>
      <c r="BI41" s="201" t="n">
        <f aca="false">SUMPRODUCT(($H$6:$H$32&lt;=BI$36)*($I$6:$I$32&gt;=BI$36)*(($C$6:$C$32="Contratado")+($C$6:$C$32="Plano")*Premissas!$B$8)*$D$6:$D$32)</f>
        <v>50</v>
      </c>
      <c r="BJ41" s="202" t="n">
        <f aca="false">BI41</f>
        <v>50</v>
      </c>
      <c r="BK41" s="51" t="s">
        <v>540</v>
      </c>
    </row>
    <row r="42" customFormat="false" ht="15.75" hidden="false" customHeight="true" outlineLevel="0" collapsed="false">
      <c r="A42" s="49" t="s">
        <v>541</v>
      </c>
      <c r="B42" s="168" t="n">
        <f aca="false">SUMPRODUCT(($B$6:$B$32="PJ")*($J$6:$J$32="Despesa")*($H$6:$H$32&lt;=B$36)*($I$6:$I$32&gt;=B$36)*(($C$6:$C$32="Contratado")+($C$6:$C$32="Plano")*Premissas!$B$8)*$G$6:$G$32)</f>
        <v>0</v>
      </c>
      <c r="C42" s="168" t="n">
        <f aca="false">SUMPRODUCT(($B$6:$B$32="PJ")*($J$6:$J$32="Despesa")*($H$6:$H$32&lt;=C$36)*($I$6:$I$32&gt;=C$36)*(($C$6:$C$32="Contratado")+($C$6:$C$32="Plano")*Premissas!$B$8)*$G$6:$G$32)</f>
        <v>0</v>
      </c>
      <c r="D42" s="168" t="n">
        <f aca="false">SUMPRODUCT(($B$6:$B$32="PJ")*($J$6:$J$32="Despesa")*($H$6:$H$32&lt;=D$36)*($I$6:$I$32&gt;=D$36)*(($C$6:$C$32="Contratado")+($C$6:$C$32="Plano")*Premissas!$B$8)*$G$6:$G$32)</f>
        <v>0</v>
      </c>
      <c r="E42" s="168" t="n">
        <f aca="false">SUMPRODUCT(($B$6:$B$32="PJ")*($J$6:$J$32="Despesa")*($H$6:$H$32&lt;=E$36)*($I$6:$I$32&gt;=E$36)*(($C$6:$C$32="Contratado")+($C$6:$C$32="Plano")*Premissas!$B$8)*$G$6:$G$32)</f>
        <v>0</v>
      </c>
      <c r="F42" s="168" t="n">
        <f aca="false">SUMPRODUCT(($B$6:$B$32="PJ")*($J$6:$J$32="Despesa")*($H$6:$H$32&lt;=F$36)*($I$6:$I$32&gt;=F$36)*(($C$6:$C$32="Contratado")+($C$6:$C$32="Plano")*Premissas!$B$8)*$G$6:$G$32)</f>
        <v>0</v>
      </c>
      <c r="G42" s="168" t="n">
        <f aca="false">SUMPRODUCT(($B$6:$B$32="PJ")*($J$6:$J$32="Despesa")*($H$6:$H$32&lt;=G$36)*($I$6:$I$32&gt;=G$36)*(($C$6:$C$32="Contratado")+($C$6:$C$32="Plano")*Premissas!$B$8)*$G$6:$G$32)</f>
        <v>0</v>
      </c>
      <c r="H42" s="168" t="n">
        <f aca="false">SUMPRODUCT(($B$6:$B$32="PJ")*($J$6:$J$32="Despesa")*($H$6:$H$32&lt;=H$36)*($I$6:$I$32&gt;=H$36)*(($C$6:$C$32="Contratado")+($C$6:$C$32="Plano")*Premissas!$B$8)*$G$6:$G$32)</f>
        <v>0</v>
      </c>
      <c r="I42" s="168" t="n">
        <f aca="false">SUMPRODUCT(($B$6:$B$32="PJ")*($J$6:$J$32="Despesa")*($H$6:$H$32&lt;=I$36)*($I$6:$I$32&gt;=I$36)*(($C$6:$C$32="Contratado")+($C$6:$C$32="Plano")*Premissas!$B$8)*$G$6:$G$32)</f>
        <v>0</v>
      </c>
      <c r="J42" s="168" t="n">
        <f aca="false">SUMPRODUCT(($B$6:$B$32="PJ")*($J$6:$J$32="Despesa")*($H$6:$H$32&lt;=J$36)*($I$6:$I$32&gt;=J$36)*(($C$6:$C$32="Contratado")+($C$6:$C$32="Plano")*Premissas!$B$8)*$G$6:$G$32)</f>
        <v>0</v>
      </c>
      <c r="K42" s="168" t="n">
        <f aca="false">SUMPRODUCT(($B$6:$B$32="PJ")*($J$6:$J$32="Despesa")*($H$6:$H$32&lt;=K$36)*($I$6:$I$32&gt;=K$36)*(($C$6:$C$32="Contratado")+($C$6:$C$32="Plano")*Premissas!$B$8)*$G$6:$G$32)</f>
        <v>0</v>
      </c>
      <c r="L42" s="168" t="n">
        <f aca="false">SUMPRODUCT(($B$6:$B$32="PJ")*($J$6:$J$32="Despesa")*($H$6:$H$32&lt;=L$36)*($I$6:$I$32&gt;=L$36)*(($C$6:$C$32="Contratado")+($C$6:$C$32="Plano")*Premissas!$B$8)*$G$6:$G$32)</f>
        <v>0</v>
      </c>
      <c r="M42" s="168" t="n">
        <f aca="false">SUMPRODUCT(($B$6:$B$32="PJ")*($J$6:$J$32="Despesa")*($H$6:$H$32&lt;=M$36)*($I$6:$I$32&gt;=M$36)*(($C$6:$C$32="Contratado")+($C$6:$C$32="Plano")*Premissas!$B$8)*$G$6:$G$32)</f>
        <v>0</v>
      </c>
      <c r="N42" s="168" t="n">
        <f aca="false">SUMPRODUCT(($B$6:$B$32="PJ")*($J$6:$J$32="Despesa")*($H$6:$H$32&lt;=N$36)*($I$6:$I$32&gt;=N$36)*(($C$6:$C$32="Contratado")+($C$6:$C$32="Plano")*Premissas!$B$8)*$G$6:$G$32)</f>
        <v>27500</v>
      </c>
      <c r="O42" s="168" t="n">
        <f aca="false">SUMPRODUCT(($B$6:$B$32="PJ")*($J$6:$J$32="Despesa")*($H$6:$H$32&lt;=O$36)*($I$6:$I$32&gt;=O$36)*(($C$6:$C$32="Contratado")+($C$6:$C$32="Plano")*Premissas!$B$8)*$G$6:$G$32)</f>
        <v>27500</v>
      </c>
      <c r="P42" s="168" t="n">
        <f aca="false">SUMPRODUCT(($B$6:$B$32="PJ")*($J$6:$J$32="Despesa")*($H$6:$H$32&lt;=P$36)*($I$6:$I$32&gt;=P$36)*(($C$6:$C$32="Contratado")+($C$6:$C$32="Plano")*Premissas!$B$8)*$G$6:$G$32)</f>
        <v>27500</v>
      </c>
      <c r="Q42" s="168" t="n">
        <f aca="false">SUMPRODUCT(($B$6:$B$32="PJ")*($J$6:$J$32="Despesa")*($H$6:$H$32&lt;=Q$36)*($I$6:$I$32&gt;=Q$36)*(($C$6:$C$32="Contratado")+($C$6:$C$32="Plano")*Premissas!$B$8)*$G$6:$G$32)</f>
        <v>27500</v>
      </c>
      <c r="R42" s="168" t="n">
        <f aca="false">SUMPRODUCT(($B$6:$B$32="PJ")*($J$6:$J$32="Despesa")*($H$6:$H$32&lt;=R$36)*($I$6:$I$32&gt;=R$36)*(($C$6:$C$32="Contratado")+($C$6:$C$32="Plano")*Premissas!$B$8)*$G$6:$G$32)</f>
        <v>27500</v>
      </c>
      <c r="S42" s="168" t="n">
        <f aca="false">SUMPRODUCT(($B$6:$B$32="PJ")*($J$6:$J$32="Despesa")*($H$6:$H$32&lt;=S$36)*($I$6:$I$32&gt;=S$36)*(($C$6:$C$32="Contratado")+($C$6:$C$32="Plano")*Premissas!$B$8)*$G$6:$G$32)</f>
        <v>27500</v>
      </c>
      <c r="T42" s="168" t="n">
        <f aca="false">SUMPRODUCT(($B$6:$B$32="PJ")*($J$6:$J$32="Despesa")*($H$6:$H$32&lt;=T$36)*($I$6:$I$32&gt;=T$36)*(($C$6:$C$32="Contratado")+($C$6:$C$32="Plano")*Premissas!$B$8)*$G$6:$G$32)</f>
        <v>27500</v>
      </c>
      <c r="U42" s="168" t="n">
        <f aca="false">SUMPRODUCT(($B$6:$B$32="PJ")*($J$6:$J$32="Despesa")*($H$6:$H$32&lt;=U$36)*($I$6:$I$32&gt;=U$36)*(($C$6:$C$32="Contratado")+($C$6:$C$32="Plano")*Premissas!$B$8)*$G$6:$G$32)</f>
        <v>27500</v>
      </c>
      <c r="V42" s="168" t="n">
        <f aca="false">SUMPRODUCT(($B$6:$B$32="PJ")*($J$6:$J$32="Despesa")*($H$6:$H$32&lt;=V$36)*($I$6:$I$32&gt;=V$36)*(($C$6:$C$32="Contratado")+($C$6:$C$32="Plano")*Premissas!$B$8)*$G$6:$G$32)</f>
        <v>27500</v>
      </c>
      <c r="W42" s="168" t="n">
        <f aca="false">SUMPRODUCT(($B$6:$B$32="PJ")*($J$6:$J$32="Despesa")*($H$6:$H$32&lt;=W$36)*($I$6:$I$32&gt;=W$36)*(($C$6:$C$32="Contratado")+($C$6:$C$32="Plano")*Premissas!$B$8)*$G$6:$G$32)</f>
        <v>27500</v>
      </c>
      <c r="X42" s="168" t="n">
        <f aca="false">SUMPRODUCT(($B$6:$B$32="PJ")*($J$6:$J$32="Despesa")*($H$6:$H$32&lt;=X$36)*($I$6:$I$32&gt;=X$36)*(($C$6:$C$32="Contratado")+($C$6:$C$32="Plano")*Premissas!$B$8)*$G$6:$G$32)</f>
        <v>27500</v>
      </c>
      <c r="Y42" s="168" t="n">
        <f aca="false">SUMPRODUCT(($B$6:$B$32="PJ")*($J$6:$J$32="Despesa")*($H$6:$H$32&lt;=Y$36)*($I$6:$I$32&gt;=Y$36)*(($C$6:$C$32="Contratado")+($C$6:$C$32="Plano")*Premissas!$B$8)*$G$6:$G$32)</f>
        <v>27500</v>
      </c>
      <c r="Z42" s="168" t="n">
        <f aca="false">SUMPRODUCT(($B$6:$B$32="PJ")*($J$6:$J$32="Despesa")*($H$6:$H$32&lt;=Z$36)*($I$6:$I$32&gt;=Z$36)*(($C$6:$C$32="Contratado")+($C$6:$C$32="Plano")*Premissas!$B$8)*$G$6:$G$32)</f>
        <v>102500</v>
      </c>
      <c r="AA42" s="168" t="n">
        <f aca="false">SUMPRODUCT(($B$6:$B$32="PJ")*($J$6:$J$32="Despesa")*($H$6:$H$32&lt;=AA$36)*($I$6:$I$32&gt;=AA$36)*(($C$6:$C$32="Contratado")+($C$6:$C$32="Plano")*Premissas!$B$8)*$G$6:$G$32)</f>
        <v>102500</v>
      </c>
      <c r="AB42" s="168" t="n">
        <f aca="false">SUMPRODUCT(($B$6:$B$32="PJ")*($J$6:$J$32="Despesa")*($H$6:$H$32&lt;=AB$36)*($I$6:$I$32&gt;=AB$36)*(($C$6:$C$32="Contratado")+($C$6:$C$32="Plano")*Premissas!$B$8)*$G$6:$G$32)</f>
        <v>102500</v>
      </c>
      <c r="AC42" s="168" t="n">
        <f aca="false">SUMPRODUCT(($B$6:$B$32="PJ")*($J$6:$J$32="Despesa")*($H$6:$H$32&lt;=AC$36)*($I$6:$I$32&gt;=AC$36)*(($C$6:$C$32="Contratado")+($C$6:$C$32="Plano")*Premissas!$B$8)*$G$6:$G$32)</f>
        <v>102500</v>
      </c>
      <c r="AD42" s="168" t="n">
        <f aca="false">SUMPRODUCT(($B$6:$B$32="PJ")*($J$6:$J$32="Despesa")*($H$6:$H$32&lt;=AD$36)*($I$6:$I$32&gt;=AD$36)*(($C$6:$C$32="Contratado")+($C$6:$C$32="Plano")*Premissas!$B$8)*$G$6:$G$32)</f>
        <v>102500</v>
      </c>
      <c r="AE42" s="168" t="n">
        <f aca="false">SUMPRODUCT(($B$6:$B$32="PJ")*($J$6:$J$32="Despesa")*($H$6:$H$32&lt;=AE$36)*($I$6:$I$32&gt;=AE$36)*(($C$6:$C$32="Contratado")+($C$6:$C$32="Plano")*Premissas!$B$8)*$G$6:$G$32)</f>
        <v>102500</v>
      </c>
      <c r="AF42" s="168" t="n">
        <f aca="false">SUMPRODUCT(($B$6:$B$32="PJ")*($J$6:$J$32="Despesa")*($H$6:$H$32&lt;=AF$36)*($I$6:$I$32&gt;=AF$36)*(($C$6:$C$32="Contratado")+($C$6:$C$32="Plano")*Premissas!$B$8)*$G$6:$G$32)</f>
        <v>102500</v>
      </c>
      <c r="AG42" s="168" t="n">
        <f aca="false">SUMPRODUCT(($B$6:$B$32="PJ")*($J$6:$J$32="Despesa")*($H$6:$H$32&lt;=AG$36)*($I$6:$I$32&gt;=AG$36)*(($C$6:$C$32="Contratado")+($C$6:$C$32="Plano")*Premissas!$B$8)*$G$6:$G$32)</f>
        <v>102500</v>
      </c>
      <c r="AH42" s="168" t="n">
        <f aca="false">SUMPRODUCT(($B$6:$B$32="PJ")*($J$6:$J$32="Despesa")*($H$6:$H$32&lt;=AH$36)*($I$6:$I$32&gt;=AH$36)*(($C$6:$C$32="Contratado")+($C$6:$C$32="Plano")*Premissas!$B$8)*$G$6:$G$32)</f>
        <v>102500</v>
      </c>
      <c r="AI42" s="168" t="n">
        <f aca="false">SUMPRODUCT(($B$6:$B$32="PJ")*($J$6:$J$32="Despesa")*($H$6:$H$32&lt;=AI$36)*($I$6:$I$32&gt;=AI$36)*(($C$6:$C$32="Contratado")+($C$6:$C$32="Plano")*Premissas!$B$8)*$G$6:$G$32)</f>
        <v>102500</v>
      </c>
      <c r="AJ42" s="168" t="n">
        <f aca="false">SUMPRODUCT(($B$6:$B$32="PJ")*($J$6:$J$32="Despesa")*($H$6:$H$32&lt;=AJ$36)*($I$6:$I$32&gt;=AJ$36)*(($C$6:$C$32="Contratado")+($C$6:$C$32="Plano")*Premissas!$B$8)*$G$6:$G$32)</f>
        <v>102500</v>
      </c>
      <c r="AK42" s="168" t="n">
        <f aca="false">SUMPRODUCT(($B$6:$B$32="PJ")*($J$6:$J$32="Despesa")*($H$6:$H$32&lt;=AK$36)*($I$6:$I$32&gt;=AK$36)*(($C$6:$C$32="Contratado")+($C$6:$C$32="Plano")*Premissas!$B$8)*$G$6:$G$32)</f>
        <v>102500</v>
      </c>
      <c r="AL42" s="168" t="n">
        <f aca="false">SUMPRODUCT(($B$6:$B$32="PJ")*($J$6:$J$32="Despesa")*($H$6:$H$32&lt;=AL$36)*($I$6:$I$32&gt;=AL$36)*(($C$6:$C$32="Contratado")+($C$6:$C$32="Plano")*Premissas!$B$8)*$G$6:$G$32)</f>
        <v>221300</v>
      </c>
      <c r="AM42" s="168" t="n">
        <f aca="false">SUMPRODUCT(($B$6:$B$32="PJ")*($J$6:$J$32="Despesa")*($H$6:$H$32&lt;=AM$36)*($I$6:$I$32&gt;=AM$36)*(($C$6:$C$32="Contratado")+($C$6:$C$32="Plano")*Premissas!$B$8)*$G$6:$G$32)</f>
        <v>221300</v>
      </c>
      <c r="AN42" s="168" t="n">
        <f aca="false">SUMPRODUCT(($B$6:$B$32="PJ")*($J$6:$J$32="Despesa")*($H$6:$H$32&lt;=AN$36)*($I$6:$I$32&gt;=AN$36)*(($C$6:$C$32="Contratado")+($C$6:$C$32="Plano")*Premissas!$B$8)*$G$6:$G$32)</f>
        <v>221300</v>
      </c>
      <c r="AO42" s="168" t="n">
        <f aca="false">SUMPRODUCT(($B$6:$B$32="PJ")*($J$6:$J$32="Despesa")*($H$6:$H$32&lt;=AO$36)*($I$6:$I$32&gt;=AO$36)*(($C$6:$C$32="Contratado")+($C$6:$C$32="Plano")*Premissas!$B$8)*$G$6:$G$32)</f>
        <v>221300</v>
      </c>
      <c r="AP42" s="168" t="n">
        <f aca="false">SUMPRODUCT(($B$6:$B$32="PJ")*($J$6:$J$32="Despesa")*($H$6:$H$32&lt;=AP$36)*($I$6:$I$32&gt;=AP$36)*(($C$6:$C$32="Contratado")+($C$6:$C$32="Plano")*Premissas!$B$8)*$G$6:$G$32)</f>
        <v>221300</v>
      </c>
      <c r="AQ42" s="168" t="n">
        <f aca="false">SUMPRODUCT(($B$6:$B$32="PJ")*($J$6:$J$32="Despesa")*($H$6:$H$32&lt;=AQ$36)*($I$6:$I$32&gt;=AQ$36)*(($C$6:$C$32="Contratado")+($C$6:$C$32="Plano")*Premissas!$B$8)*$G$6:$G$32)</f>
        <v>221300</v>
      </c>
      <c r="AR42" s="168" t="n">
        <f aca="false">SUMPRODUCT(($B$6:$B$32="PJ")*($J$6:$J$32="Despesa")*($H$6:$H$32&lt;=AR$36)*($I$6:$I$32&gt;=AR$36)*(($C$6:$C$32="Contratado")+($C$6:$C$32="Plano")*Premissas!$B$8)*$G$6:$G$32)</f>
        <v>221300</v>
      </c>
      <c r="AS42" s="168" t="n">
        <f aca="false">SUMPRODUCT(($B$6:$B$32="PJ")*($J$6:$J$32="Despesa")*($H$6:$H$32&lt;=AS$36)*($I$6:$I$32&gt;=AS$36)*(($C$6:$C$32="Contratado")+($C$6:$C$32="Plano")*Premissas!$B$8)*$G$6:$G$32)</f>
        <v>221300</v>
      </c>
      <c r="AT42" s="168" t="n">
        <f aca="false">SUMPRODUCT(($B$6:$B$32="PJ")*($J$6:$J$32="Despesa")*($H$6:$H$32&lt;=AT$36)*($I$6:$I$32&gt;=AT$36)*(($C$6:$C$32="Contratado")+($C$6:$C$32="Plano")*Premissas!$B$8)*$G$6:$G$32)</f>
        <v>221300</v>
      </c>
      <c r="AU42" s="168" t="n">
        <f aca="false">SUMPRODUCT(($B$6:$B$32="PJ")*($J$6:$J$32="Despesa")*($H$6:$H$32&lt;=AU$36)*($I$6:$I$32&gt;=AU$36)*(($C$6:$C$32="Contratado")+($C$6:$C$32="Plano")*Premissas!$B$8)*$G$6:$G$32)</f>
        <v>221300</v>
      </c>
      <c r="AV42" s="168" t="n">
        <f aca="false">SUMPRODUCT(($B$6:$B$32="PJ")*($J$6:$J$32="Despesa")*($H$6:$H$32&lt;=AV$36)*($I$6:$I$32&gt;=AV$36)*(($C$6:$C$32="Contratado")+($C$6:$C$32="Plano")*Premissas!$B$8)*$G$6:$G$32)</f>
        <v>221300</v>
      </c>
      <c r="AW42" s="168" t="n">
        <f aca="false">SUMPRODUCT(($B$6:$B$32="PJ")*($J$6:$J$32="Despesa")*($H$6:$H$32&lt;=AW$36)*($I$6:$I$32&gt;=AW$36)*(($C$6:$C$32="Contratado")+($C$6:$C$32="Plano")*Premissas!$B$8)*$G$6:$G$32)</f>
        <v>221300</v>
      </c>
      <c r="AX42" s="168" t="n">
        <f aca="false">SUMPRODUCT(($B$6:$B$32="PJ")*($J$6:$J$32="Despesa")*($H$6:$H$32&lt;=AX$36)*($I$6:$I$32&gt;=AX$36)*(($C$6:$C$32="Contratado")+($C$6:$C$32="Plano")*Premissas!$B$8)*$G$6:$G$32)</f>
        <v>342300</v>
      </c>
      <c r="AY42" s="168" t="n">
        <f aca="false">SUMPRODUCT(($B$6:$B$32="PJ")*($J$6:$J$32="Despesa")*($H$6:$H$32&lt;=AY$36)*($I$6:$I$32&gt;=AY$36)*(($C$6:$C$32="Contratado")+($C$6:$C$32="Plano")*Premissas!$B$8)*$G$6:$G$32)</f>
        <v>342300</v>
      </c>
      <c r="AZ42" s="168" t="n">
        <f aca="false">SUMPRODUCT(($B$6:$B$32="PJ")*($J$6:$J$32="Despesa")*($H$6:$H$32&lt;=AZ$36)*($I$6:$I$32&gt;=AZ$36)*(($C$6:$C$32="Contratado")+($C$6:$C$32="Plano")*Premissas!$B$8)*$G$6:$G$32)</f>
        <v>342300</v>
      </c>
      <c r="BA42" s="168" t="n">
        <f aca="false">SUMPRODUCT(($B$6:$B$32="PJ")*($J$6:$J$32="Despesa")*($H$6:$H$32&lt;=BA$36)*($I$6:$I$32&gt;=BA$36)*(($C$6:$C$32="Contratado")+($C$6:$C$32="Plano")*Premissas!$B$8)*$G$6:$G$32)</f>
        <v>342300</v>
      </c>
      <c r="BB42" s="168" t="n">
        <f aca="false">SUMPRODUCT(($B$6:$B$32="PJ")*($J$6:$J$32="Despesa")*($H$6:$H$32&lt;=BB$36)*($I$6:$I$32&gt;=BB$36)*(($C$6:$C$32="Contratado")+($C$6:$C$32="Plano")*Premissas!$B$8)*$G$6:$G$32)</f>
        <v>342300</v>
      </c>
      <c r="BC42" s="168" t="n">
        <f aca="false">SUMPRODUCT(($B$6:$B$32="PJ")*($J$6:$J$32="Despesa")*($H$6:$H$32&lt;=BC$36)*($I$6:$I$32&gt;=BC$36)*(($C$6:$C$32="Contratado")+($C$6:$C$32="Plano")*Premissas!$B$8)*$G$6:$G$32)</f>
        <v>342300</v>
      </c>
      <c r="BD42" s="168" t="n">
        <f aca="false">SUMPRODUCT(($B$6:$B$32="PJ")*($J$6:$J$32="Despesa")*($H$6:$H$32&lt;=BD$36)*($I$6:$I$32&gt;=BD$36)*(($C$6:$C$32="Contratado")+($C$6:$C$32="Plano")*Premissas!$B$8)*$G$6:$G$32)</f>
        <v>342300</v>
      </c>
      <c r="BE42" s="168" t="n">
        <f aca="false">SUMPRODUCT(($B$6:$B$32="PJ")*($J$6:$J$32="Despesa")*($H$6:$H$32&lt;=BE$36)*($I$6:$I$32&gt;=BE$36)*(($C$6:$C$32="Contratado")+($C$6:$C$32="Plano")*Premissas!$B$8)*$G$6:$G$32)</f>
        <v>342300</v>
      </c>
      <c r="BF42" s="168" t="n">
        <f aca="false">SUMPRODUCT(($B$6:$B$32="PJ")*($J$6:$J$32="Despesa")*($H$6:$H$32&lt;=BF$36)*($I$6:$I$32&gt;=BF$36)*(($C$6:$C$32="Contratado")+($C$6:$C$32="Plano")*Premissas!$B$8)*$G$6:$G$32)</f>
        <v>342300</v>
      </c>
      <c r="BG42" s="168" t="n">
        <f aca="false">SUMPRODUCT(($B$6:$B$32="PJ")*($J$6:$J$32="Despesa")*($H$6:$H$32&lt;=BG$36)*($I$6:$I$32&gt;=BG$36)*(($C$6:$C$32="Contratado")+($C$6:$C$32="Plano")*Premissas!$B$8)*$G$6:$G$32)</f>
        <v>342300</v>
      </c>
      <c r="BH42" s="168" t="n">
        <f aca="false">SUMPRODUCT(($B$6:$B$32="PJ")*($J$6:$J$32="Despesa")*($H$6:$H$32&lt;=BH$36)*($I$6:$I$32&gt;=BH$36)*(($C$6:$C$32="Contratado")+($C$6:$C$32="Plano")*Premissas!$B$8)*$G$6:$G$32)</f>
        <v>342300</v>
      </c>
      <c r="BI42" s="168" t="n">
        <f aca="false">SUMPRODUCT(($B$6:$B$32="PJ")*($J$6:$J$32="Despesa")*($H$6:$H$32&lt;=BI$36)*($I$6:$I$32&gt;=BI$36)*(($C$6:$C$32="Contratado")+($C$6:$C$32="Plano")*Premissas!$B$8)*$G$6:$G$32)</f>
        <v>342300</v>
      </c>
      <c r="BJ42" s="154" t="n">
        <f aca="false">SUM(B42:BI42)</f>
        <v>8323200</v>
      </c>
    </row>
    <row r="43" customFormat="false" ht="15.75" hidden="false" customHeight="true" outlineLevel="0" collapsed="false">
      <c r="A43" s="49" t="s">
        <v>542</v>
      </c>
      <c r="B43" s="168" t="n">
        <f aca="false">SUMPRODUCT(($B$6:$B$32="CLT")*($J$6:$J$32="Despesa")*($H$6:$H$32&lt;=B$36)*($I$6:$I$32&gt;=B$36)*(($C$6:$C$32="Contratado")+($C$6:$C$32="Plano")*Premissas!$B$8)*$G$6:$G$32)</f>
        <v>0</v>
      </c>
      <c r="C43" s="168" t="n">
        <f aca="false">SUMPRODUCT(($B$6:$B$32="CLT")*($J$6:$J$32="Despesa")*($H$6:$H$32&lt;=C$36)*($I$6:$I$32&gt;=C$36)*(($C$6:$C$32="Contratado")+($C$6:$C$32="Plano")*Premissas!$B$8)*$G$6:$G$32)</f>
        <v>0</v>
      </c>
      <c r="D43" s="168" t="n">
        <f aca="false">SUMPRODUCT(($B$6:$B$32="CLT")*($J$6:$J$32="Despesa")*($H$6:$H$32&lt;=D$36)*($I$6:$I$32&gt;=D$36)*(($C$6:$C$32="Contratado")+($C$6:$C$32="Plano")*Premissas!$B$8)*$G$6:$G$32)</f>
        <v>0</v>
      </c>
      <c r="E43" s="168" t="n">
        <f aca="false">SUMPRODUCT(($B$6:$B$32="CLT")*($J$6:$J$32="Despesa")*($H$6:$H$32&lt;=E$36)*($I$6:$I$32&gt;=E$36)*(($C$6:$C$32="Contratado")+($C$6:$C$32="Plano")*Premissas!$B$8)*$G$6:$G$32)</f>
        <v>0</v>
      </c>
      <c r="F43" s="168" t="n">
        <f aca="false">SUMPRODUCT(($B$6:$B$32="CLT")*($J$6:$J$32="Despesa")*($H$6:$H$32&lt;=F$36)*($I$6:$I$32&gt;=F$36)*(($C$6:$C$32="Contratado")+($C$6:$C$32="Plano")*Premissas!$B$8)*$G$6:$G$32)</f>
        <v>0</v>
      </c>
      <c r="G43" s="168" t="n">
        <f aca="false">SUMPRODUCT(($B$6:$B$32="CLT")*($J$6:$J$32="Despesa")*($H$6:$H$32&lt;=G$36)*($I$6:$I$32&gt;=G$36)*(($C$6:$C$32="Contratado")+($C$6:$C$32="Plano")*Premissas!$B$8)*$G$6:$G$32)</f>
        <v>0</v>
      </c>
      <c r="H43" s="168" t="n">
        <f aca="false">SUMPRODUCT(($B$6:$B$32="CLT")*($J$6:$J$32="Despesa")*($H$6:$H$32&lt;=H$36)*($I$6:$I$32&gt;=H$36)*(($C$6:$C$32="Contratado")+($C$6:$C$32="Plano")*Premissas!$B$8)*$G$6:$G$32)</f>
        <v>0</v>
      </c>
      <c r="I43" s="168" t="n">
        <f aca="false">SUMPRODUCT(($B$6:$B$32="CLT")*($J$6:$J$32="Despesa")*($H$6:$H$32&lt;=I$36)*($I$6:$I$32&gt;=I$36)*(($C$6:$C$32="Contratado")+($C$6:$C$32="Plano")*Premissas!$B$8)*$G$6:$G$32)</f>
        <v>0</v>
      </c>
      <c r="J43" s="168" t="n">
        <f aca="false">SUMPRODUCT(($B$6:$B$32="CLT")*($J$6:$J$32="Despesa")*($H$6:$H$32&lt;=J$36)*($I$6:$I$32&gt;=J$36)*(($C$6:$C$32="Contratado")+($C$6:$C$32="Plano")*Premissas!$B$8)*$G$6:$G$32)</f>
        <v>0</v>
      </c>
      <c r="K43" s="168" t="n">
        <f aca="false">SUMPRODUCT(($B$6:$B$32="CLT")*($J$6:$J$32="Despesa")*($H$6:$H$32&lt;=K$36)*($I$6:$I$32&gt;=K$36)*(($C$6:$C$32="Contratado")+($C$6:$C$32="Plano")*Premissas!$B$8)*$G$6:$G$32)</f>
        <v>0</v>
      </c>
      <c r="L43" s="168" t="n">
        <f aca="false">SUMPRODUCT(($B$6:$B$32="CLT")*($J$6:$J$32="Despesa")*($H$6:$H$32&lt;=L$36)*($I$6:$I$32&gt;=L$36)*(($C$6:$C$32="Contratado")+($C$6:$C$32="Plano")*Premissas!$B$8)*$G$6:$G$32)</f>
        <v>0</v>
      </c>
      <c r="M43" s="168" t="n">
        <f aca="false">SUMPRODUCT(($B$6:$B$32="CLT")*($J$6:$J$32="Despesa")*($H$6:$H$32&lt;=M$36)*($I$6:$I$32&gt;=M$36)*(($C$6:$C$32="Contratado")+($C$6:$C$32="Plano")*Premissas!$B$8)*$G$6:$G$32)</f>
        <v>0</v>
      </c>
      <c r="N43" s="168" t="n">
        <f aca="false">SUMPRODUCT(($B$6:$B$32="CLT")*($J$6:$J$32="Despesa")*($H$6:$H$32&lt;=N$36)*($I$6:$I$32&gt;=N$36)*(($C$6:$C$32="Contratado")+($C$6:$C$32="Plano")*Premissas!$B$8)*$G$6:$G$32)</f>
        <v>0</v>
      </c>
      <c r="O43" s="168" t="n">
        <f aca="false">SUMPRODUCT(($B$6:$B$32="CLT")*($J$6:$J$32="Despesa")*($H$6:$H$32&lt;=O$36)*($I$6:$I$32&gt;=O$36)*(($C$6:$C$32="Contratado")+($C$6:$C$32="Plano")*Premissas!$B$8)*$G$6:$G$32)</f>
        <v>0</v>
      </c>
      <c r="P43" s="168" t="n">
        <f aca="false">SUMPRODUCT(($B$6:$B$32="CLT")*($J$6:$J$32="Despesa")*($H$6:$H$32&lt;=P$36)*($I$6:$I$32&gt;=P$36)*(($C$6:$C$32="Contratado")+($C$6:$C$32="Plano")*Premissas!$B$8)*$G$6:$G$32)</f>
        <v>0</v>
      </c>
      <c r="Q43" s="168" t="n">
        <f aca="false">SUMPRODUCT(($B$6:$B$32="CLT")*($J$6:$J$32="Despesa")*($H$6:$H$32&lt;=Q$36)*($I$6:$I$32&gt;=Q$36)*(($C$6:$C$32="Contratado")+($C$6:$C$32="Plano")*Premissas!$B$8)*$G$6:$G$32)</f>
        <v>0</v>
      </c>
      <c r="R43" s="168" t="n">
        <f aca="false">SUMPRODUCT(($B$6:$B$32="CLT")*($J$6:$J$32="Despesa")*($H$6:$H$32&lt;=R$36)*($I$6:$I$32&gt;=R$36)*(($C$6:$C$32="Contratado")+($C$6:$C$32="Plano")*Premissas!$B$8)*$G$6:$G$32)</f>
        <v>0</v>
      </c>
      <c r="S43" s="168" t="n">
        <f aca="false">SUMPRODUCT(($B$6:$B$32="CLT")*($J$6:$J$32="Despesa")*($H$6:$H$32&lt;=S$36)*($I$6:$I$32&gt;=S$36)*(($C$6:$C$32="Contratado")+($C$6:$C$32="Plano")*Premissas!$B$8)*$G$6:$G$32)</f>
        <v>0</v>
      </c>
      <c r="T43" s="168" t="n">
        <f aca="false">SUMPRODUCT(($B$6:$B$32="CLT")*($J$6:$J$32="Despesa")*($H$6:$H$32&lt;=T$36)*($I$6:$I$32&gt;=T$36)*(($C$6:$C$32="Contratado")+($C$6:$C$32="Plano")*Premissas!$B$8)*$G$6:$G$32)</f>
        <v>0</v>
      </c>
      <c r="U43" s="168" t="n">
        <f aca="false">SUMPRODUCT(($B$6:$B$32="CLT")*($J$6:$J$32="Despesa")*($H$6:$H$32&lt;=U$36)*($I$6:$I$32&gt;=U$36)*(($C$6:$C$32="Contratado")+($C$6:$C$32="Plano")*Premissas!$B$8)*$G$6:$G$32)</f>
        <v>0</v>
      </c>
      <c r="V43" s="168" t="n">
        <f aca="false">SUMPRODUCT(($B$6:$B$32="CLT")*($J$6:$J$32="Despesa")*($H$6:$H$32&lt;=V$36)*($I$6:$I$32&gt;=V$36)*(($C$6:$C$32="Contratado")+($C$6:$C$32="Plano")*Premissas!$B$8)*$G$6:$G$32)</f>
        <v>0</v>
      </c>
      <c r="W43" s="168" t="n">
        <f aca="false">SUMPRODUCT(($B$6:$B$32="CLT")*($J$6:$J$32="Despesa")*($H$6:$H$32&lt;=W$36)*($I$6:$I$32&gt;=W$36)*(($C$6:$C$32="Contratado")+($C$6:$C$32="Plano")*Premissas!$B$8)*$G$6:$G$32)</f>
        <v>0</v>
      </c>
      <c r="X43" s="168" t="n">
        <f aca="false">SUMPRODUCT(($B$6:$B$32="CLT")*($J$6:$J$32="Despesa")*($H$6:$H$32&lt;=X$36)*($I$6:$I$32&gt;=X$36)*(($C$6:$C$32="Contratado")+($C$6:$C$32="Plano")*Premissas!$B$8)*$G$6:$G$32)</f>
        <v>0</v>
      </c>
      <c r="Y43" s="168" t="n">
        <f aca="false">SUMPRODUCT(($B$6:$B$32="CLT")*($J$6:$J$32="Despesa")*($H$6:$H$32&lt;=Y$36)*($I$6:$I$32&gt;=Y$36)*(($C$6:$C$32="Contratado")+($C$6:$C$32="Plano")*Premissas!$B$8)*$G$6:$G$32)</f>
        <v>0</v>
      </c>
      <c r="Z43" s="168" t="n">
        <f aca="false">SUMPRODUCT(($B$6:$B$32="CLT")*($J$6:$J$32="Despesa")*($H$6:$H$32&lt;=Z$36)*($I$6:$I$32&gt;=Z$36)*(($C$6:$C$32="Contratado")+($C$6:$C$32="Plano")*Premissas!$B$8)*$G$6:$G$32)</f>
        <v>0</v>
      </c>
      <c r="AA43" s="168" t="n">
        <f aca="false">SUMPRODUCT(($B$6:$B$32="CLT")*($J$6:$J$32="Despesa")*($H$6:$H$32&lt;=AA$36)*($I$6:$I$32&gt;=AA$36)*(($C$6:$C$32="Contratado")+($C$6:$C$32="Plano")*Premissas!$B$8)*$G$6:$G$32)</f>
        <v>0</v>
      </c>
      <c r="AB43" s="168" t="n">
        <f aca="false">SUMPRODUCT(($B$6:$B$32="CLT")*($J$6:$J$32="Despesa")*($H$6:$H$32&lt;=AB$36)*($I$6:$I$32&gt;=AB$36)*(($C$6:$C$32="Contratado")+($C$6:$C$32="Plano")*Premissas!$B$8)*$G$6:$G$32)</f>
        <v>0</v>
      </c>
      <c r="AC43" s="168" t="n">
        <f aca="false">SUMPRODUCT(($B$6:$B$32="CLT")*($J$6:$J$32="Despesa")*($H$6:$H$32&lt;=AC$36)*($I$6:$I$32&gt;=AC$36)*(($C$6:$C$32="Contratado")+($C$6:$C$32="Plano")*Premissas!$B$8)*$G$6:$G$32)</f>
        <v>0</v>
      </c>
      <c r="AD43" s="168" t="n">
        <f aca="false">SUMPRODUCT(($B$6:$B$32="CLT")*($J$6:$J$32="Despesa")*($H$6:$H$32&lt;=AD$36)*($I$6:$I$32&gt;=AD$36)*(($C$6:$C$32="Contratado")+($C$6:$C$32="Plano")*Premissas!$B$8)*$G$6:$G$32)</f>
        <v>0</v>
      </c>
      <c r="AE43" s="168" t="n">
        <f aca="false">SUMPRODUCT(($B$6:$B$32="CLT")*($J$6:$J$32="Despesa")*($H$6:$H$32&lt;=AE$36)*($I$6:$I$32&gt;=AE$36)*(($C$6:$C$32="Contratado")+($C$6:$C$32="Plano")*Premissas!$B$8)*$G$6:$G$32)</f>
        <v>0</v>
      </c>
      <c r="AF43" s="168" t="n">
        <f aca="false">SUMPRODUCT(($B$6:$B$32="CLT")*($J$6:$J$32="Despesa")*($H$6:$H$32&lt;=AF$36)*($I$6:$I$32&gt;=AF$36)*(($C$6:$C$32="Contratado")+($C$6:$C$32="Plano")*Premissas!$B$8)*$G$6:$G$32)</f>
        <v>0</v>
      </c>
      <c r="AG43" s="168" t="n">
        <f aca="false">SUMPRODUCT(($B$6:$B$32="CLT")*($J$6:$J$32="Despesa")*($H$6:$H$32&lt;=AG$36)*($I$6:$I$32&gt;=AG$36)*(($C$6:$C$32="Contratado")+($C$6:$C$32="Plano")*Premissas!$B$8)*$G$6:$G$32)</f>
        <v>0</v>
      </c>
      <c r="AH43" s="168" t="n">
        <f aca="false">SUMPRODUCT(($B$6:$B$32="CLT")*($J$6:$J$32="Despesa")*($H$6:$H$32&lt;=AH$36)*($I$6:$I$32&gt;=AH$36)*(($C$6:$C$32="Contratado")+($C$6:$C$32="Plano")*Premissas!$B$8)*$G$6:$G$32)</f>
        <v>0</v>
      </c>
      <c r="AI43" s="168" t="n">
        <f aca="false">SUMPRODUCT(($B$6:$B$32="CLT")*($J$6:$J$32="Despesa")*($H$6:$H$32&lt;=AI$36)*($I$6:$I$32&gt;=AI$36)*(($C$6:$C$32="Contratado")+($C$6:$C$32="Plano")*Premissas!$B$8)*$G$6:$G$32)</f>
        <v>0</v>
      </c>
      <c r="AJ43" s="168" t="n">
        <f aca="false">SUMPRODUCT(($B$6:$B$32="CLT")*($J$6:$J$32="Despesa")*($H$6:$H$32&lt;=AJ$36)*($I$6:$I$32&gt;=AJ$36)*(($C$6:$C$32="Contratado")+($C$6:$C$32="Plano")*Premissas!$B$8)*$G$6:$G$32)</f>
        <v>0</v>
      </c>
      <c r="AK43" s="168" t="n">
        <f aca="false">SUMPRODUCT(($B$6:$B$32="CLT")*($J$6:$J$32="Despesa")*($H$6:$H$32&lt;=AK$36)*($I$6:$I$32&gt;=AK$36)*(($C$6:$C$32="Contratado")+($C$6:$C$32="Plano")*Premissas!$B$8)*$G$6:$G$32)</f>
        <v>0</v>
      </c>
      <c r="AL43" s="168" t="n">
        <f aca="false">SUMPRODUCT(($B$6:$B$32="CLT")*($J$6:$J$32="Despesa")*($H$6:$H$32&lt;=AL$36)*($I$6:$I$32&gt;=AL$36)*(($C$6:$C$32="Contratado")+($C$6:$C$32="Plano")*Premissas!$B$8)*$G$6:$G$32)</f>
        <v>0</v>
      </c>
      <c r="AM43" s="168" t="n">
        <f aca="false">SUMPRODUCT(($B$6:$B$32="CLT")*($J$6:$J$32="Despesa")*($H$6:$H$32&lt;=AM$36)*($I$6:$I$32&gt;=AM$36)*(($C$6:$C$32="Contratado")+($C$6:$C$32="Plano")*Premissas!$B$8)*$G$6:$G$32)</f>
        <v>0</v>
      </c>
      <c r="AN43" s="168" t="n">
        <f aca="false">SUMPRODUCT(($B$6:$B$32="CLT")*($J$6:$J$32="Despesa")*($H$6:$H$32&lt;=AN$36)*($I$6:$I$32&gt;=AN$36)*(($C$6:$C$32="Contratado")+($C$6:$C$32="Plano")*Premissas!$B$8)*$G$6:$G$32)</f>
        <v>0</v>
      </c>
      <c r="AO43" s="168" t="n">
        <f aca="false">SUMPRODUCT(($B$6:$B$32="CLT")*($J$6:$J$32="Despesa")*($H$6:$H$32&lt;=AO$36)*($I$6:$I$32&gt;=AO$36)*(($C$6:$C$32="Contratado")+($C$6:$C$32="Plano")*Premissas!$B$8)*$G$6:$G$32)</f>
        <v>0</v>
      </c>
      <c r="AP43" s="168" t="n">
        <f aca="false">SUMPRODUCT(($B$6:$B$32="CLT")*($J$6:$J$32="Despesa")*($H$6:$H$32&lt;=AP$36)*($I$6:$I$32&gt;=AP$36)*(($C$6:$C$32="Contratado")+($C$6:$C$32="Plano")*Premissas!$B$8)*$G$6:$G$32)</f>
        <v>0</v>
      </c>
      <c r="AQ43" s="168" t="n">
        <f aca="false">SUMPRODUCT(($B$6:$B$32="CLT")*($J$6:$J$32="Despesa")*($H$6:$H$32&lt;=AQ$36)*($I$6:$I$32&gt;=AQ$36)*(($C$6:$C$32="Contratado")+($C$6:$C$32="Plano")*Premissas!$B$8)*$G$6:$G$32)</f>
        <v>0</v>
      </c>
      <c r="AR43" s="168" t="n">
        <f aca="false">SUMPRODUCT(($B$6:$B$32="CLT")*($J$6:$J$32="Despesa")*($H$6:$H$32&lt;=AR$36)*($I$6:$I$32&gt;=AR$36)*(($C$6:$C$32="Contratado")+($C$6:$C$32="Plano")*Premissas!$B$8)*$G$6:$G$32)</f>
        <v>0</v>
      </c>
      <c r="AS43" s="168" t="n">
        <f aca="false">SUMPRODUCT(($B$6:$B$32="CLT")*($J$6:$J$32="Despesa")*($H$6:$H$32&lt;=AS$36)*($I$6:$I$32&gt;=AS$36)*(($C$6:$C$32="Contratado")+($C$6:$C$32="Plano")*Premissas!$B$8)*$G$6:$G$32)</f>
        <v>0</v>
      </c>
      <c r="AT43" s="168" t="n">
        <f aca="false">SUMPRODUCT(($B$6:$B$32="CLT")*($J$6:$J$32="Despesa")*($H$6:$H$32&lt;=AT$36)*($I$6:$I$32&gt;=AT$36)*(($C$6:$C$32="Contratado")+($C$6:$C$32="Plano")*Premissas!$B$8)*$G$6:$G$32)</f>
        <v>0</v>
      </c>
      <c r="AU43" s="168" t="n">
        <f aca="false">SUMPRODUCT(($B$6:$B$32="CLT")*($J$6:$J$32="Despesa")*($H$6:$H$32&lt;=AU$36)*($I$6:$I$32&gt;=AU$36)*(($C$6:$C$32="Contratado")+($C$6:$C$32="Plano")*Premissas!$B$8)*$G$6:$G$32)</f>
        <v>0</v>
      </c>
      <c r="AV43" s="168" t="n">
        <f aca="false">SUMPRODUCT(($B$6:$B$32="CLT")*($J$6:$J$32="Despesa")*($H$6:$H$32&lt;=AV$36)*($I$6:$I$32&gt;=AV$36)*(($C$6:$C$32="Contratado")+($C$6:$C$32="Plano")*Premissas!$B$8)*$G$6:$G$32)</f>
        <v>0</v>
      </c>
      <c r="AW43" s="168" t="n">
        <f aca="false">SUMPRODUCT(($B$6:$B$32="CLT")*($J$6:$J$32="Despesa")*($H$6:$H$32&lt;=AW$36)*($I$6:$I$32&gt;=AW$36)*(($C$6:$C$32="Contratado")+($C$6:$C$32="Plano")*Premissas!$B$8)*$G$6:$G$32)</f>
        <v>0</v>
      </c>
      <c r="AX43" s="168" t="n">
        <f aca="false">SUMPRODUCT(($B$6:$B$32="CLT")*($J$6:$J$32="Despesa")*($H$6:$H$32&lt;=AX$36)*($I$6:$I$32&gt;=AX$36)*(($C$6:$C$32="Contratado")+($C$6:$C$32="Plano")*Premissas!$B$8)*$G$6:$G$32)</f>
        <v>0</v>
      </c>
      <c r="AY43" s="168" t="n">
        <f aca="false">SUMPRODUCT(($B$6:$B$32="CLT")*($J$6:$J$32="Despesa")*($H$6:$H$32&lt;=AY$36)*($I$6:$I$32&gt;=AY$36)*(($C$6:$C$32="Contratado")+($C$6:$C$32="Plano")*Premissas!$B$8)*$G$6:$G$32)</f>
        <v>0</v>
      </c>
      <c r="AZ43" s="168" t="n">
        <f aca="false">SUMPRODUCT(($B$6:$B$32="CLT")*($J$6:$J$32="Despesa")*($H$6:$H$32&lt;=AZ$36)*($I$6:$I$32&gt;=AZ$36)*(($C$6:$C$32="Contratado")+($C$6:$C$32="Plano")*Premissas!$B$8)*$G$6:$G$32)</f>
        <v>0</v>
      </c>
      <c r="BA43" s="168" t="n">
        <f aca="false">SUMPRODUCT(($B$6:$B$32="CLT")*($J$6:$J$32="Despesa")*($H$6:$H$32&lt;=BA$36)*($I$6:$I$32&gt;=BA$36)*(($C$6:$C$32="Contratado")+($C$6:$C$32="Plano")*Premissas!$B$8)*$G$6:$G$32)</f>
        <v>0</v>
      </c>
      <c r="BB43" s="168" t="n">
        <f aca="false">SUMPRODUCT(($B$6:$B$32="CLT")*($J$6:$J$32="Despesa")*($H$6:$H$32&lt;=BB$36)*($I$6:$I$32&gt;=BB$36)*(($C$6:$C$32="Contratado")+($C$6:$C$32="Plano")*Premissas!$B$8)*$G$6:$G$32)</f>
        <v>0</v>
      </c>
      <c r="BC43" s="168" t="n">
        <f aca="false">SUMPRODUCT(($B$6:$B$32="CLT")*($J$6:$J$32="Despesa")*($H$6:$H$32&lt;=BC$36)*($I$6:$I$32&gt;=BC$36)*(($C$6:$C$32="Contratado")+($C$6:$C$32="Plano")*Premissas!$B$8)*$G$6:$G$32)</f>
        <v>0</v>
      </c>
      <c r="BD43" s="168" t="n">
        <f aca="false">SUMPRODUCT(($B$6:$B$32="CLT")*($J$6:$J$32="Despesa")*($H$6:$H$32&lt;=BD$36)*($I$6:$I$32&gt;=BD$36)*(($C$6:$C$32="Contratado")+($C$6:$C$32="Plano")*Premissas!$B$8)*$G$6:$G$32)</f>
        <v>0</v>
      </c>
      <c r="BE43" s="168" t="n">
        <f aca="false">SUMPRODUCT(($B$6:$B$32="CLT")*($J$6:$J$32="Despesa")*($H$6:$H$32&lt;=BE$36)*($I$6:$I$32&gt;=BE$36)*(($C$6:$C$32="Contratado")+($C$6:$C$32="Plano")*Premissas!$B$8)*$G$6:$G$32)</f>
        <v>0</v>
      </c>
      <c r="BF43" s="168" t="n">
        <f aca="false">SUMPRODUCT(($B$6:$B$32="CLT")*($J$6:$J$32="Despesa")*($H$6:$H$32&lt;=BF$36)*($I$6:$I$32&gt;=BF$36)*(($C$6:$C$32="Contratado")+($C$6:$C$32="Plano")*Premissas!$B$8)*$G$6:$G$32)</f>
        <v>0</v>
      </c>
      <c r="BG43" s="168" t="n">
        <f aca="false">SUMPRODUCT(($B$6:$B$32="CLT")*($J$6:$J$32="Despesa")*($H$6:$H$32&lt;=BG$36)*($I$6:$I$32&gt;=BG$36)*(($C$6:$C$32="Contratado")+($C$6:$C$32="Plano")*Premissas!$B$8)*$G$6:$G$32)</f>
        <v>0</v>
      </c>
      <c r="BH43" s="168" t="n">
        <f aca="false">SUMPRODUCT(($B$6:$B$32="CLT")*($J$6:$J$32="Despesa")*($H$6:$H$32&lt;=BH$36)*($I$6:$I$32&gt;=BH$36)*(($C$6:$C$32="Contratado")+($C$6:$C$32="Plano")*Premissas!$B$8)*$G$6:$G$32)</f>
        <v>0</v>
      </c>
      <c r="BI43" s="168" t="n">
        <f aca="false">SUMPRODUCT(($B$6:$B$32="CLT")*($J$6:$J$32="Despesa")*($H$6:$H$32&lt;=BI$36)*($I$6:$I$32&gt;=BI$36)*(($C$6:$C$32="Contratado")+($C$6:$C$32="Plano")*Premissas!$B$8)*$G$6:$G$32)</f>
        <v>0</v>
      </c>
      <c r="BJ43" s="154" t="n">
        <f aca="false">SUM(B43:BI43)</f>
        <v>0</v>
      </c>
    </row>
    <row r="44" customFormat="false" ht="15.75" hidden="false" customHeight="true" outlineLevel="0" collapsed="false">
      <c r="A44" s="49" t="s">
        <v>543</v>
      </c>
      <c r="B44" s="168" t="n">
        <f aca="false">SUMPRODUCT(($B$6:$B$32="Sócio")*($J$6:$J$32="Despesa")*($H$6:$H$32&lt;=B$36)*($I$6:$I$32&gt;=B$36)*(($C$6:$C$32="Contratado")+($C$6:$C$32="Plano")*Premissas!$B$8)*$G$6:$G$32)</f>
        <v>0</v>
      </c>
      <c r="C44" s="168" t="n">
        <f aca="false">SUMPRODUCT(($B$6:$B$32="Sócio")*($J$6:$J$32="Despesa")*($H$6:$H$32&lt;=C$36)*($I$6:$I$32&gt;=C$36)*(($C$6:$C$32="Contratado")+($C$6:$C$32="Plano")*Premissas!$B$8)*$G$6:$G$32)</f>
        <v>0</v>
      </c>
      <c r="D44" s="168" t="n">
        <f aca="false">SUMPRODUCT(($B$6:$B$32="Sócio")*($J$6:$J$32="Despesa")*($H$6:$H$32&lt;=D$36)*($I$6:$I$32&gt;=D$36)*(($C$6:$C$32="Contratado")+($C$6:$C$32="Plano")*Premissas!$B$8)*$G$6:$G$32)</f>
        <v>0</v>
      </c>
      <c r="E44" s="168" t="n">
        <f aca="false">SUMPRODUCT(($B$6:$B$32="Sócio")*($J$6:$J$32="Despesa")*($H$6:$H$32&lt;=E$36)*($I$6:$I$32&gt;=E$36)*(($C$6:$C$32="Contratado")+($C$6:$C$32="Plano")*Premissas!$B$8)*$G$6:$G$32)</f>
        <v>0</v>
      </c>
      <c r="F44" s="168" t="n">
        <f aca="false">SUMPRODUCT(($B$6:$B$32="Sócio")*($J$6:$J$32="Despesa")*($H$6:$H$32&lt;=F$36)*($I$6:$I$32&gt;=F$36)*(($C$6:$C$32="Contratado")+($C$6:$C$32="Plano")*Premissas!$B$8)*$G$6:$G$32)</f>
        <v>0</v>
      </c>
      <c r="G44" s="168" t="n">
        <f aca="false">SUMPRODUCT(($B$6:$B$32="Sócio")*($J$6:$J$32="Despesa")*($H$6:$H$32&lt;=G$36)*($I$6:$I$32&gt;=G$36)*(($C$6:$C$32="Contratado")+($C$6:$C$32="Plano")*Premissas!$B$8)*$G$6:$G$32)</f>
        <v>0</v>
      </c>
      <c r="H44" s="168" t="n">
        <f aca="false">SUMPRODUCT(($B$6:$B$32="Sócio")*($J$6:$J$32="Despesa")*($H$6:$H$32&lt;=H$36)*($I$6:$I$32&gt;=H$36)*(($C$6:$C$32="Contratado")+($C$6:$C$32="Plano")*Premissas!$B$8)*$G$6:$G$32)</f>
        <v>0</v>
      </c>
      <c r="I44" s="168" t="n">
        <f aca="false">SUMPRODUCT(($B$6:$B$32="Sócio")*($J$6:$J$32="Despesa")*($H$6:$H$32&lt;=I$36)*($I$6:$I$32&gt;=I$36)*(($C$6:$C$32="Contratado")+($C$6:$C$32="Plano")*Premissas!$B$8)*$G$6:$G$32)</f>
        <v>0</v>
      </c>
      <c r="J44" s="168" t="n">
        <f aca="false">SUMPRODUCT(($B$6:$B$32="Sócio")*($J$6:$J$32="Despesa")*($H$6:$H$32&lt;=J$36)*($I$6:$I$32&gt;=J$36)*(($C$6:$C$32="Contratado")+($C$6:$C$32="Plano")*Premissas!$B$8)*$G$6:$G$32)</f>
        <v>0</v>
      </c>
      <c r="K44" s="168" t="n">
        <f aca="false">SUMPRODUCT(($B$6:$B$32="Sócio")*($J$6:$J$32="Despesa")*($H$6:$H$32&lt;=K$36)*($I$6:$I$32&gt;=K$36)*(($C$6:$C$32="Contratado")+($C$6:$C$32="Plano")*Premissas!$B$8)*$G$6:$G$32)</f>
        <v>0</v>
      </c>
      <c r="L44" s="168" t="n">
        <f aca="false">SUMPRODUCT(($B$6:$B$32="Sócio")*($J$6:$J$32="Despesa")*($H$6:$H$32&lt;=L$36)*($I$6:$I$32&gt;=L$36)*(($C$6:$C$32="Contratado")+($C$6:$C$32="Plano")*Premissas!$B$8)*$G$6:$G$32)</f>
        <v>0</v>
      </c>
      <c r="M44" s="168" t="n">
        <f aca="false">SUMPRODUCT(($B$6:$B$32="Sócio")*($J$6:$J$32="Despesa")*($H$6:$H$32&lt;=M$36)*($I$6:$I$32&gt;=M$36)*(($C$6:$C$32="Contratado")+($C$6:$C$32="Plano")*Premissas!$B$8)*$G$6:$G$32)</f>
        <v>0</v>
      </c>
      <c r="N44" s="168" t="n">
        <f aca="false">SUMPRODUCT(($B$6:$B$32="Sócio")*($J$6:$J$32="Despesa")*($H$6:$H$32&lt;=N$36)*($I$6:$I$32&gt;=N$36)*(($C$6:$C$32="Contratado")+($C$6:$C$32="Plano")*Premissas!$B$8)*$G$6:$G$32)</f>
        <v>15000</v>
      </c>
      <c r="O44" s="168" t="n">
        <f aca="false">SUMPRODUCT(($B$6:$B$32="Sócio")*($J$6:$J$32="Despesa")*($H$6:$H$32&lt;=O$36)*($I$6:$I$32&gt;=O$36)*(($C$6:$C$32="Contratado")+($C$6:$C$32="Plano")*Premissas!$B$8)*$G$6:$G$32)</f>
        <v>15000</v>
      </c>
      <c r="P44" s="168" t="n">
        <f aca="false">SUMPRODUCT(($B$6:$B$32="Sócio")*($J$6:$J$32="Despesa")*($H$6:$H$32&lt;=P$36)*($I$6:$I$32&gt;=P$36)*(($C$6:$C$32="Contratado")+($C$6:$C$32="Plano")*Premissas!$B$8)*$G$6:$G$32)</f>
        <v>15000</v>
      </c>
      <c r="Q44" s="168" t="n">
        <f aca="false">SUMPRODUCT(($B$6:$B$32="Sócio")*($J$6:$J$32="Despesa")*($H$6:$H$32&lt;=Q$36)*($I$6:$I$32&gt;=Q$36)*(($C$6:$C$32="Contratado")+($C$6:$C$32="Plano")*Premissas!$B$8)*$G$6:$G$32)</f>
        <v>15000</v>
      </c>
      <c r="R44" s="168" t="n">
        <f aca="false">SUMPRODUCT(($B$6:$B$32="Sócio")*($J$6:$J$32="Despesa")*($H$6:$H$32&lt;=R$36)*($I$6:$I$32&gt;=R$36)*(($C$6:$C$32="Contratado")+($C$6:$C$32="Plano")*Premissas!$B$8)*$G$6:$G$32)</f>
        <v>15000</v>
      </c>
      <c r="S44" s="168" t="n">
        <f aca="false">SUMPRODUCT(($B$6:$B$32="Sócio")*($J$6:$J$32="Despesa")*($H$6:$H$32&lt;=S$36)*($I$6:$I$32&gt;=S$36)*(($C$6:$C$32="Contratado")+($C$6:$C$32="Plano")*Premissas!$B$8)*$G$6:$G$32)</f>
        <v>15000</v>
      </c>
      <c r="T44" s="168" t="n">
        <f aca="false">SUMPRODUCT(($B$6:$B$32="Sócio")*($J$6:$J$32="Despesa")*($H$6:$H$32&lt;=T$36)*($I$6:$I$32&gt;=T$36)*(($C$6:$C$32="Contratado")+($C$6:$C$32="Plano")*Premissas!$B$8)*$G$6:$G$32)</f>
        <v>15000</v>
      </c>
      <c r="U44" s="168" t="n">
        <f aca="false">SUMPRODUCT(($B$6:$B$32="Sócio")*($J$6:$J$32="Despesa")*($H$6:$H$32&lt;=U$36)*($I$6:$I$32&gt;=U$36)*(($C$6:$C$32="Contratado")+($C$6:$C$32="Plano")*Premissas!$B$8)*$G$6:$G$32)</f>
        <v>15000</v>
      </c>
      <c r="V44" s="168" t="n">
        <f aca="false">SUMPRODUCT(($B$6:$B$32="Sócio")*($J$6:$J$32="Despesa")*($H$6:$H$32&lt;=V$36)*($I$6:$I$32&gt;=V$36)*(($C$6:$C$32="Contratado")+($C$6:$C$32="Plano")*Premissas!$B$8)*$G$6:$G$32)</f>
        <v>15000</v>
      </c>
      <c r="W44" s="168" t="n">
        <f aca="false">SUMPRODUCT(($B$6:$B$32="Sócio")*($J$6:$J$32="Despesa")*($H$6:$H$32&lt;=W$36)*($I$6:$I$32&gt;=W$36)*(($C$6:$C$32="Contratado")+($C$6:$C$32="Plano")*Premissas!$B$8)*$G$6:$G$32)</f>
        <v>15000</v>
      </c>
      <c r="X44" s="168" t="n">
        <f aca="false">SUMPRODUCT(($B$6:$B$32="Sócio")*($J$6:$J$32="Despesa")*($H$6:$H$32&lt;=X$36)*($I$6:$I$32&gt;=X$36)*(($C$6:$C$32="Contratado")+($C$6:$C$32="Plano")*Premissas!$B$8)*$G$6:$G$32)</f>
        <v>15000</v>
      </c>
      <c r="Y44" s="168" t="n">
        <f aca="false">SUMPRODUCT(($B$6:$B$32="Sócio")*($J$6:$J$32="Despesa")*($H$6:$H$32&lt;=Y$36)*($I$6:$I$32&gt;=Y$36)*(($C$6:$C$32="Contratado")+($C$6:$C$32="Plano")*Premissas!$B$8)*$G$6:$G$32)</f>
        <v>15000</v>
      </c>
      <c r="Z44" s="168" t="n">
        <f aca="false">SUMPRODUCT(($B$6:$B$32="Sócio")*($J$6:$J$32="Despesa")*($H$6:$H$32&lt;=Z$36)*($I$6:$I$32&gt;=Z$36)*(($C$6:$C$32="Contratado")+($C$6:$C$32="Plano")*Premissas!$B$8)*$G$6:$G$32)</f>
        <v>15000</v>
      </c>
      <c r="AA44" s="168" t="n">
        <f aca="false">SUMPRODUCT(($B$6:$B$32="Sócio")*($J$6:$J$32="Despesa")*($H$6:$H$32&lt;=AA$36)*($I$6:$I$32&gt;=AA$36)*(($C$6:$C$32="Contratado")+($C$6:$C$32="Plano")*Premissas!$B$8)*$G$6:$G$32)</f>
        <v>15000</v>
      </c>
      <c r="AB44" s="168" t="n">
        <f aca="false">SUMPRODUCT(($B$6:$B$32="Sócio")*($J$6:$J$32="Despesa")*($H$6:$H$32&lt;=AB$36)*($I$6:$I$32&gt;=AB$36)*(($C$6:$C$32="Contratado")+($C$6:$C$32="Plano")*Premissas!$B$8)*$G$6:$G$32)</f>
        <v>15000</v>
      </c>
      <c r="AC44" s="168" t="n">
        <f aca="false">SUMPRODUCT(($B$6:$B$32="Sócio")*($J$6:$J$32="Despesa")*($H$6:$H$32&lt;=AC$36)*($I$6:$I$32&gt;=AC$36)*(($C$6:$C$32="Contratado")+($C$6:$C$32="Plano")*Premissas!$B$8)*$G$6:$G$32)</f>
        <v>15000</v>
      </c>
      <c r="AD44" s="168" t="n">
        <f aca="false">SUMPRODUCT(($B$6:$B$32="Sócio")*($J$6:$J$32="Despesa")*($H$6:$H$32&lt;=AD$36)*($I$6:$I$32&gt;=AD$36)*(($C$6:$C$32="Contratado")+($C$6:$C$32="Plano")*Premissas!$B$8)*$G$6:$G$32)</f>
        <v>15000</v>
      </c>
      <c r="AE44" s="168" t="n">
        <f aca="false">SUMPRODUCT(($B$6:$B$32="Sócio")*($J$6:$J$32="Despesa")*($H$6:$H$32&lt;=AE$36)*($I$6:$I$32&gt;=AE$36)*(($C$6:$C$32="Contratado")+($C$6:$C$32="Plano")*Premissas!$B$8)*$G$6:$G$32)</f>
        <v>15000</v>
      </c>
      <c r="AF44" s="168" t="n">
        <f aca="false">SUMPRODUCT(($B$6:$B$32="Sócio")*($J$6:$J$32="Despesa")*($H$6:$H$32&lt;=AF$36)*($I$6:$I$32&gt;=AF$36)*(($C$6:$C$32="Contratado")+($C$6:$C$32="Plano")*Premissas!$B$8)*$G$6:$G$32)</f>
        <v>15000</v>
      </c>
      <c r="AG44" s="168" t="n">
        <f aca="false">SUMPRODUCT(($B$6:$B$32="Sócio")*($J$6:$J$32="Despesa")*($H$6:$H$32&lt;=AG$36)*($I$6:$I$32&gt;=AG$36)*(($C$6:$C$32="Contratado")+($C$6:$C$32="Plano")*Premissas!$B$8)*$G$6:$G$32)</f>
        <v>15000</v>
      </c>
      <c r="AH44" s="168" t="n">
        <f aca="false">SUMPRODUCT(($B$6:$B$32="Sócio")*($J$6:$J$32="Despesa")*($H$6:$H$32&lt;=AH$36)*($I$6:$I$32&gt;=AH$36)*(($C$6:$C$32="Contratado")+($C$6:$C$32="Plano")*Premissas!$B$8)*$G$6:$G$32)</f>
        <v>15000</v>
      </c>
      <c r="AI44" s="168" t="n">
        <f aca="false">SUMPRODUCT(($B$6:$B$32="Sócio")*($J$6:$J$32="Despesa")*($H$6:$H$32&lt;=AI$36)*($I$6:$I$32&gt;=AI$36)*(($C$6:$C$32="Contratado")+($C$6:$C$32="Plano")*Premissas!$B$8)*$G$6:$G$32)</f>
        <v>15000</v>
      </c>
      <c r="AJ44" s="168" t="n">
        <f aca="false">SUMPRODUCT(($B$6:$B$32="Sócio")*($J$6:$J$32="Despesa")*($H$6:$H$32&lt;=AJ$36)*($I$6:$I$32&gt;=AJ$36)*(($C$6:$C$32="Contratado")+($C$6:$C$32="Plano")*Premissas!$B$8)*$G$6:$G$32)</f>
        <v>15000</v>
      </c>
      <c r="AK44" s="168" t="n">
        <f aca="false">SUMPRODUCT(($B$6:$B$32="Sócio")*($J$6:$J$32="Despesa")*($H$6:$H$32&lt;=AK$36)*($I$6:$I$32&gt;=AK$36)*(($C$6:$C$32="Contratado")+($C$6:$C$32="Plano")*Premissas!$B$8)*$G$6:$G$32)</f>
        <v>15000</v>
      </c>
      <c r="AL44" s="168" t="n">
        <f aca="false">SUMPRODUCT(($B$6:$B$32="Sócio")*($J$6:$J$32="Despesa")*($H$6:$H$32&lt;=AL$36)*($I$6:$I$32&gt;=AL$36)*(($C$6:$C$32="Contratado")+($C$6:$C$32="Plano")*Premissas!$B$8)*$G$6:$G$32)</f>
        <v>32000</v>
      </c>
      <c r="AM44" s="168" t="n">
        <f aca="false">SUMPRODUCT(($B$6:$B$32="Sócio")*($J$6:$J$32="Despesa")*($H$6:$H$32&lt;=AM$36)*($I$6:$I$32&gt;=AM$36)*(($C$6:$C$32="Contratado")+($C$6:$C$32="Plano")*Premissas!$B$8)*$G$6:$G$32)</f>
        <v>32000</v>
      </c>
      <c r="AN44" s="168" t="n">
        <f aca="false">SUMPRODUCT(($B$6:$B$32="Sócio")*($J$6:$J$32="Despesa")*($H$6:$H$32&lt;=AN$36)*($I$6:$I$32&gt;=AN$36)*(($C$6:$C$32="Contratado")+($C$6:$C$32="Plano")*Premissas!$B$8)*$G$6:$G$32)</f>
        <v>32000</v>
      </c>
      <c r="AO44" s="168" t="n">
        <f aca="false">SUMPRODUCT(($B$6:$B$32="Sócio")*($J$6:$J$32="Despesa")*($H$6:$H$32&lt;=AO$36)*($I$6:$I$32&gt;=AO$36)*(($C$6:$C$32="Contratado")+($C$6:$C$32="Plano")*Premissas!$B$8)*$G$6:$G$32)</f>
        <v>32000</v>
      </c>
      <c r="AP44" s="168" t="n">
        <f aca="false">SUMPRODUCT(($B$6:$B$32="Sócio")*($J$6:$J$32="Despesa")*($H$6:$H$32&lt;=AP$36)*($I$6:$I$32&gt;=AP$36)*(($C$6:$C$32="Contratado")+($C$6:$C$32="Plano")*Premissas!$B$8)*$G$6:$G$32)</f>
        <v>32000</v>
      </c>
      <c r="AQ44" s="168" t="n">
        <f aca="false">SUMPRODUCT(($B$6:$B$32="Sócio")*($J$6:$J$32="Despesa")*($H$6:$H$32&lt;=AQ$36)*($I$6:$I$32&gt;=AQ$36)*(($C$6:$C$32="Contratado")+($C$6:$C$32="Plano")*Premissas!$B$8)*$G$6:$G$32)</f>
        <v>32000</v>
      </c>
      <c r="AR44" s="168" t="n">
        <f aca="false">SUMPRODUCT(($B$6:$B$32="Sócio")*($J$6:$J$32="Despesa")*($H$6:$H$32&lt;=AR$36)*($I$6:$I$32&gt;=AR$36)*(($C$6:$C$32="Contratado")+($C$6:$C$32="Plano")*Premissas!$B$8)*$G$6:$G$32)</f>
        <v>32000</v>
      </c>
      <c r="AS44" s="168" t="n">
        <f aca="false">SUMPRODUCT(($B$6:$B$32="Sócio")*($J$6:$J$32="Despesa")*($H$6:$H$32&lt;=AS$36)*($I$6:$I$32&gt;=AS$36)*(($C$6:$C$32="Contratado")+($C$6:$C$32="Plano")*Premissas!$B$8)*$G$6:$G$32)</f>
        <v>32000</v>
      </c>
      <c r="AT44" s="168" t="n">
        <f aca="false">SUMPRODUCT(($B$6:$B$32="Sócio")*($J$6:$J$32="Despesa")*($H$6:$H$32&lt;=AT$36)*($I$6:$I$32&gt;=AT$36)*(($C$6:$C$32="Contratado")+($C$6:$C$32="Plano")*Premissas!$B$8)*$G$6:$G$32)</f>
        <v>32000</v>
      </c>
      <c r="AU44" s="168" t="n">
        <f aca="false">SUMPRODUCT(($B$6:$B$32="Sócio")*($J$6:$J$32="Despesa")*($H$6:$H$32&lt;=AU$36)*($I$6:$I$32&gt;=AU$36)*(($C$6:$C$32="Contratado")+($C$6:$C$32="Plano")*Premissas!$B$8)*$G$6:$G$32)</f>
        <v>32000</v>
      </c>
      <c r="AV44" s="168" t="n">
        <f aca="false">SUMPRODUCT(($B$6:$B$32="Sócio")*($J$6:$J$32="Despesa")*($H$6:$H$32&lt;=AV$36)*($I$6:$I$32&gt;=AV$36)*(($C$6:$C$32="Contratado")+($C$6:$C$32="Plano")*Premissas!$B$8)*$G$6:$G$32)</f>
        <v>32000</v>
      </c>
      <c r="AW44" s="168" t="n">
        <f aca="false">SUMPRODUCT(($B$6:$B$32="Sócio")*($J$6:$J$32="Despesa")*($H$6:$H$32&lt;=AW$36)*($I$6:$I$32&gt;=AW$36)*(($C$6:$C$32="Contratado")+($C$6:$C$32="Plano")*Premissas!$B$8)*$G$6:$G$32)</f>
        <v>32000</v>
      </c>
      <c r="AX44" s="168" t="n">
        <f aca="false">SUMPRODUCT(($B$6:$B$32="Sócio")*($J$6:$J$32="Despesa")*($H$6:$H$32&lt;=AX$36)*($I$6:$I$32&gt;=AX$36)*(($C$6:$C$32="Contratado")+($C$6:$C$32="Plano")*Premissas!$B$8)*$G$6:$G$32)</f>
        <v>32000</v>
      </c>
      <c r="AY44" s="168" t="n">
        <f aca="false">SUMPRODUCT(($B$6:$B$32="Sócio")*($J$6:$J$32="Despesa")*($H$6:$H$32&lt;=AY$36)*($I$6:$I$32&gt;=AY$36)*(($C$6:$C$32="Contratado")+($C$6:$C$32="Plano")*Premissas!$B$8)*$G$6:$G$32)</f>
        <v>32000</v>
      </c>
      <c r="AZ44" s="168" t="n">
        <f aca="false">SUMPRODUCT(($B$6:$B$32="Sócio")*($J$6:$J$32="Despesa")*($H$6:$H$32&lt;=AZ$36)*($I$6:$I$32&gt;=AZ$36)*(($C$6:$C$32="Contratado")+($C$6:$C$32="Plano")*Premissas!$B$8)*$G$6:$G$32)</f>
        <v>32000</v>
      </c>
      <c r="BA44" s="168" t="n">
        <f aca="false">SUMPRODUCT(($B$6:$B$32="Sócio")*($J$6:$J$32="Despesa")*($H$6:$H$32&lt;=BA$36)*($I$6:$I$32&gt;=BA$36)*(($C$6:$C$32="Contratado")+($C$6:$C$32="Plano")*Premissas!$B$8)*$G$6:$G$32)</f>
        <v>32000</v>
      </c>
      <c r="BB44" s="168" t="n">
        <f aca="false">SUMPRODUCT(($B$6:$B$32="Sócio")*($J$6:$J$32="Despesa")*($H$6:$H$32&lt;=BB$36)*($I$6:$I$32&gt;=BB$36)*(($C$6:$C$32="Contratado")+($C$6:$C$32="Plano")*Premissas!$B$8)*$G$6:$G$32)</f>
        <v>32000</v>
      </c>
      <c r="BC44" s="168" t="n">
        <f aca="false">SUMPRODUCT(($B$6:$B$32="Sócio")*($J$6:$J$32="Despesa")*($H$6:$H$32&lt;=BC$36)*($I$6:$I$32&gt;=BC$36)*(($C$6:$C$32="Contratado")+($C$6:$C$32="Plano")*Premissas!$B$8)*$G$6:$G$32)</f>
        <v>32000</v>
      </c>
      <c r="BD44" s="168" t="n">
        <f aca="false">SUMPRODUCT(($B$6:$B$32="Sócio")*($J$6:$J$32="Despesa")*($H$6:$H$32&lt;=BD$36)*($I$6:$I$32&gt;=BD$36)*(($C$6:$C$32="Contratado")+($C$6:$C$32="Plano")*Premissas!$B$8)*$G$6:$G$32)</f>
        <v>32000</v>
      </c>
      <c r="BE44" s="168" t="n">
        <f aca="false">SUMPRODUCT(($B$6:$B$32="Sócio")*($J$6:$J$32="Despesa")*($H$6:$H$32&lt;=BE$36)*($I$6:$I$32&gt;=BE$36)*(($C$6:$C$32="Contratado")+($C$6:$C$32="Plano")*Premissas!$B$8)*$G$6:$G$32)</f>
        <v>32000</v>
      </c>
      <c r="BF44" s="168" t="n">
        <f aca="false">SUMPRODUCT(($B$6:$B$32="Sócio")*($J$6:$J$32="Despesa")*($H$6:$H$32&lt;=BF$36)*($I$6:$I$32&gt;=BF$36)*(($C$6:$C$32="Contratado")+($C$6:$C$32="Plano")*Premissas!$B$8)*$G$6:$G$32)</f>
        <v>32000</v>
      </c>
      <c r="BG44" s="168" t="n">
        <f aca="false">SUMPRODUCT(($B$6:$B$32="Sócio")*($J$6:$J$32="Despesa")*($H$6:$H$32&lt;=BG$36)*($I$6:$I$32&gt;=BG$36)*(($C$6:$C$32="Contratado")+($C$6:$C$32="Plano")*Premissas!$B$8)*$G$6:$G$32)</f>
        <v>32000</v>
      </c>
      <c r="BH44" s="168" t="n">
        <f aca="false">SUMPRODUCT(($B$6:$B$32="Sócio")*($J$6:$J$32="Despesa")*($H$6:$H$32&lt;=BH$36)*($I$6:$I$32&gt;=BH$36)*(($C$6:$C$32="Contratado")+($C$6:$C$32="Plano")*Premissas!$B$8)*$G$6:$G$32)</f>
        <v>32000</v>
      </c>
      <c r="BI44" s="168" t="n">
        <f aca="false">SUMPRODUCT(($B$6:$B$32="Sócio")*($J$6:$J$32="Despesa")*($H$6:$H$32&lt;=BI$36)*($I$6:$I$32&gt;=BI$36)*(($C$6:$C$32="Contratado")+($C$6:$C$32="Plano")*Premissas!$B$8)*$G$6:$G$32)</f>
        <v>32000</v>
      </c>
      <c r="BJ44" s="154" t="n">
        <f aca="false">SUM(B44:BI44)</f>
        <v>1128000</v>
      </c>
    </row>
    <row r="45" customFormat="false" ht="15.75" hidden="false" customHeight="true" outlineLevel="0" collapsed="false">
      <c r="A45" s="53" t="s">
        <v>544</v>
      </c>
      <c r="B45" s="154" t="n">
        <f aca="false">SUMPRODUCT(($J$6:$J$32="Despesa")*($H$6:$H$32&lt;=B$36)*($I$6:$I$32&gt;=B$36)*(($C$6:$C$32="Contratado")+($C$6:$C$32="Plano")*Premissas!$B$8)*$G$6:$G$32)</f>
        <v>0</v>
      </c>
      <c r="C45" s="154" t="n">
        <f aca="false">SUMPRODUCT(($J$6:$J$32="Despesa")*($H$6:$H$32&lt;=C$36)*($I$6:$I$32&gt;=C$36)*(($C$6:$C$32="Contratado")+($C$6:$C$32="Plano")*Premissas!$B$8)*$G$6:$G$32)</f>
        <v>0</v>
      </c>
      <c r="D45" s="154" t="n">
        <f aca="false">SUMPRODUCT(($J$6:$J$32="Despesa")*($H$6:$H$32&lt;=D$36)*($I$6:$I$32&gt;=D$36)*(($C$6:$C$32="Contratado")+($C$6:$C$32="Plano")*Premissas!$B$8)*$G$6:$G$32)</f>
        <v>0</v>
      </c>
      <c r="E45" s="154" t="n">
        <f aca="false">SUMPRODUCT(($J$6:$J$32="Despesa")*($H$6:$H$32&lt;=E$36)*($I$6:$I$32&gt;=E$36)*(($C$6:$C$32="Contratado")+($C$6:$C$32="Plano")*Premissas!$B$8)*$G$6:$G$32)</f>
        <v>0</v>
      </c>
      <c r="F45" s="154" t="n">
        <f aca="false">SUMPRODUCT(($J$6:$J$32="Despesa")*($H$6:$H$32&lt;=F$36)*($I$6:$I$32&gt;=F$36)*(($C$6:$C$32="Contratado")+($C$6:$C$32="Plano")*Premissas!$B$8)*$G$6:$G$32)</f>
        <v>0</v>
      </c>
      <c r="G45" s="154" t="n">
        <f aca="false">SUMPRODUCT(($J$6:$J$32="Despesa")*($H$6:$H$32&lt;=G$36)*($I$6:$I$32&gt;=G$36)*(($C$6:$C$32="Contratado")+($C$6:$C$32="Plano")*Premissas!$B$8)*$G$6:$G$32)</f>
        <v>0</v>
      </c>
      <c r="H45" s="154" t="n">
        <f aca="false">SUMPRODUCT(($J$6:$J$32="Despesa")*($H$6:$H$32&lt;=H$36)*($I$6:$I$32&gt;=H$36)*(($C$6:$C$32="Contratado")+($C$6:$C$32="Plano")*Premissas!$B$8)*$G$6:$G$32)</f>
        <v>0</v>
      </c>
      <c r="I45" s="154" t="n">
        <f aca="false">SUMPRODUCT(($J$6:$J$32="Despesa")*($H$6:$H$32&lt;=I$36)*($I$6:$I$32&gt;=I$36)*(($C$6:$C$32="Contratado")+($C$6:$C$32="Plano")*Premissas!$B$8)*$G$6:$G$32)</f>
        <v>0</v>
      </c>
      <c r="J45" s="154" t="n">
        <f aca="false">SUMPRODUCT(($J$6:$J$32="Despesa")*($H$6:$H$32&lt;=J$36)*($I$6:$I$32&gt;=J$36)*(($C$6:$C$32="Contratado")+($C$6:$C$32="Plano")*Premissas!$B$8)*$G$6:$G$32)</f>
        <v>0</v>
      </c>
      <c r="K45" s="154" t="n">
        <f aca="false">SUMPRODUCT(($J$6:$J$32="Despesa")*($H$6:$H$32&lt;=K$36)*($I$6:$I$32&gt;=K$36)*(($C$6:$C$32="Contratado")+($C$6:$C$32="Plano")*Premissas!$B$8)*$G$6:$G$32)</f>
        <v>0</v>
      </c>
      <c r="L45" s="154" t="n">
        <f aca="false">SUMPRODUCT(($J$6:$J$32="Despesa")*($H$6:$H$32&lt;=L$36)*($I$6:$I$32&gt;=L$36)*(($C$6:$C$32="Contratado")+($C$6:$C$32="Plano")*Premissas!$B$8)*$G$6:$G$32)</f>
        <v>0</v>
      </c>
      <c r="M45" s="154" t="n">
        <f aca="false">SUMPRODUCT(($J$6:$J$32="Despesa")*($H$6:$H$32&lt;=M$36)*($I$6:$I$32&gt;=M$36)*(($C$6:$C$32="Contratado")+($C$6:$C$32="Plano")*Premissas!$B$8)*$G$6:$G$32)</f>
        <v>0</v>
      </c>
      <c r="N45" s="154" t="n">
        <f aca="false">SUMPRODUCT(($J$6:$J$32="Despesa")*($H$6:$H$32&lt;=N$36)*($I$6:$I$32&gt;=N$36)*(($C$6:$C$32="Contratado")+($C$6:$C$32="Plano")*Premissas!$B$8)*$G$6:$G$32)</f>
        <v>42500</v>
      </c>
      <c r="O45" s="154" t="n">
        <f aca="false">SUMPRODUCT(($J$6:$J$32="Despesa")*($H$6:$H$32&lt;=O$36)*($I$6:$I$32&gt;=O$36)*(($C$6:$C$32="Contratado")+($C$6:$C$32="Plano")*Premissas!$B$8)*$G$6:$G$32)</f>
        <v>42500</v>
      </c>
      <c r="P45" s="154" t="n">
        <f aca="false">SUMPRODUCT(($J$6:$J$32="Despesa")*($H$6:$H$32&lt;=P$36)*($I$6:$I$32&gt;=P$36)*(($C$6:$C$32="Contratado")+($C$6:$C$32="Plano")*Premissas!$B$8)*$G$6:$G$32)</f>
        <v>42500</v>
      </c>
      <c r="Q45" s="154" t="n">
        <f aca="false">SUMPRODUCT(($J$6:$J$32="Despesa")*($H$6:$H$32&lt;=Q$36)*($I$6:$I$32&gt;=Q$36)*(($C$6:$C$32="Contratado")+($C$6:$C$32="Plano")*Premissas!$B$8)*$G$6:$G$32)</f>
        <v>42500</v>
      </c>
      <c r="R45" s="154" t="n">
        <f aca="false">SUMPRODUCT(($J$6:$J$32="Despesa")*($H$6:$H$32&lt;=R$36)*($I$6:$I$32&gt;=R$36)*(($C$6:$C$32="Contratado")+($C$6:$C$32="Plano")*Premissas!$B$8)*$G$6:$G$32)</f>
        <v>42500</v>
      </c>
      <c r="S45" s="154" t="n">
        <f aca="false">SUMPRODUCT(($J$6:$J$32="Despesa")*($H$6:$H$32&lt;=S$36)*($I$6:$I$32&gt;=S$36)*(($C$6:$C$32="Contratado")+($C$6:$C$32="Plano")*Premissas!$B$8)*$G$6:$G$32)</f>
        <v>42500</v>
      </c>
      <c r="T45" s="154" t="n">
        <f aca="false">SUMPRODUCT(($J$6:$J$32="Despesa")*($H$6:$H$32&lt;=T$36)*($I$6:$I$32&gt;=T$36)*(($C$6:$C$32="Contratado")+($C$6:$C$32="Plano")*Premissas!$B$8)*$G$6:$G$32)</f>
        <v>42500</v>
      </c>
      <c r="U45" s="154" t="n">
        <f aca="false">SUMPRODUCT(($J$6:$J$32="Despesa")*($H$6:$H$32&lt;=U$36)*($I$6:$I$32&gt;=U$36)*(($C$6:$C$32="Contratado")+($C$6:$C$32="Plano")*Premissas!$B$8)*$G$6:$G$32)</f>
        <v>42500</v>
      </c>
      <c r="V45" s="154" t="n">
        <f aca="false">SUMPRODUCT(($J$6:$J$32="Despesa")*($H$6:$H$32&lt;=V$36)*($I$6:$I$32&gt;=V$36)*(($C$6:$C$32="Contratado")+($C$6:$C$32="Plano")*Premissas!$B$8)*$G$6:$G$32)</f>
        <v>42500</v>
      </c>
      <c r="W45" s="154" t="n">
        <f aca="false">SUMPRODUCT(($J$6:$J$32="Despesa")*($H$6:$H$32&lt;=W$36)*($I$6:$I$32&gt;=W$36)*(($C$6:$C$32="Contratado")+($C$6:$C$32="Plano")*Premissas!$B$8)*$G$6:$G$32)</f>
        <v>42500</v>
      </c>
      <c r="X45" s="154" t="n">
        <f aca="false">SUMPRODUCT(($J$6:$J$32="Despesa")*($H$6:$H$32&lt;=X$36)*($I$6:$I$32&gt;=X$36)*(($C$6:$C$32="Contratado")+($C$6:$C$32="Plano")*Premissas!$B$8)*$G$6:$G$32)</f>
        <v>42500</v>
      </c>
      <c r="Y45" s="154" t="n">
        <f aca="false">SUMPRODUCT(($J$6:$J$32="Despesa")*($H$6:$H$32&lt;=Y$36)*($I$6:$I$32&gt;=Y$36)*(($C$6:$C$32="Contratado")+($C$6:$C$32="Plano")*Premissas!$B$8)*$G$6:$G$32)</f>
        <v>42500</v>
      </c>
      <c r="Z45" s="154" t="n">
        <f aca="false">SUMPRODUCT(($J$6:$J$32="Despesa")*($H$6:$H$32&lt;=Z$36)*($I$6:$I$32&gt;=Z$36)*(($C$6:$C$32="Contratado")+($C$6:$C$32="Plano")*Premissas!$B$8)*$G$6:$G$32)</f>
        <v>117500</v>
      </c>
      <c r="AA45" s="154" t="n">
        <f aca="false">SUMPRODUCT(($J$6:$J$32="Despesa")*($H$6:$H$32&lt;=AA$36)*($I$6:$I$32&gt;=AA$36)*(($C$6:$C$32="Contratado")+($C$6:$C$32="Plano")*Premissas!$B$8)*$G$6:$G$32)</f>
        <v>117500</v>
      </c>
      <c r="AB45" s="154" t="n">
        <f aca="false">SUMPRODUCT(($J$6:$J$32="Despesa")*($H$6:$H$32&lt;=AB$36)*($I$6:$I$32&gt;=AB$36)*(($C$6:$C$32="Contratado")+($C$6:$C$32="Plano")*Premissas!$B$8)*$G$6:$G$32)</f>
        <v>117500</v>
      </c>
      <c r="AC45" s="154" t="n">
        <f aca="false">SUMPRODUCT(($J$6:$J$32="Despesa")*($H$6:$H$32&lt;=AC$36)*($I$6:$I$32&gt;=AC$36)*(($C$6:$C$32="Contratado")+($C$6:$C$32="Plano")*Premissas!$B$8)*$G$6:$G$32)</f>
        <v>117500</v>
      </c>
      <c r="AD45" s="154" t="n">
        <f aca="false">SUMPRODUCT(($J$6:$J$32="Despesa")*($H$6:$H$32&lt;=AD$36)*($I$6:$I$32&gt;=AD$36)*(($C$6:$C$32="Contratado")+($C$6:$C$32="Plano")*Premissas!$B$8)*$G$6:$G$32)</f>
        <v>117500</v>
      </c>
      <c r="AE45" s="154" t="n">
        <f aca="false">SUMPRODUCT(($J$6:$J$32="Despesa")*($H$6:$H$32&lt;=AE$36)*($I$6:$I$32&gt;=AE$36)*(($C$6:$C$32="Contratado")+($C$6:$C$32="Plano")*Premissas!$B$8)*$G$6:$G$32)</f>
        <v>117500</v>
      </c>
      <c r="AF45" s="154" t="n">
        <f aca="false">SUMPRODUCT(($J$6:$J$32="Despesa")*($H$6:$H$32&lt;=AF$36)*($I$6:$I$32&gt;=AF$36)*(($C$6:$C$32="Contratado")+($C$6:$C$32="Plano")*Premissas!$B$8)*$G$6:$G$32)</f>
        <v>117500</v>
      </c>
      <c r="AG45" s="154" t="n">
        <f aca="false">SUMPRODUCT(($J$6:$J$32="Despesa")*($H$6:$H$32&lt;=AG$36)*($I$6:$I$32&gt;=AG$36)*(($C$6:$C$32="Contratado")+($C$6:$C$32="Plano")*Premissas!$B$8)*$G$6:$G$32)</f>
        <v>117500</v>
      </c>
      <c r="AH45" s="154" t="n">
        <f aca="false">SUMPRODUCT(($J$6:$J$32="Despesa")*($H$6:$H$32&lt;=AH$36)*($I$6:$I$32&gt;=AH$36)*(($C$6:$C$32="Contratado")+($C$6:$C$32="Plano")*Premissas!$B$8)*$G$6:$G$32)</f>
        <v>117500</v>
      </c>
      <c r="AI45" s="154" t="n">
        <f aca="false">SUMPRODUCT(($J$6:$J$32="Despesa")*($H$6:$H$32&lt;=AI$36)*($I$6:$I$32&gt;=AI$36)*(($C$6:$C$32="Contratado")+($C$6:$C$32="Plano")*Premissas!$B$8)*$G$6:$G$32)</f>
        <v>117500</v>
      </c>
      <c r="AJ45" s="154" t="n">
        <f aca="false">SUMPRODUCT(($J$6:$J$32="Despesa")*($H$6:$H$32&lt;=AJ$36)*($I$6:$I$32&gt;=AJ$36)*(($C$6:$C$32="Contratado")+($C$6:$C$32="Plano")*Premissas!$B$8)*$G$6:$G$32)</f>
        <v>117500</v>
      </c>
      <c r="AK45" s="154" t="n">
        <f aca="false">SUMPRODUCT(($J$6:$J$32="Despesa")*($H$6:$H$32&lt;=AK$36)*($I$6:$I$32&gt;=AK$36)*(($C$6:$C$32="Contratado")+($C$6:$C$32="Plano")*Premissas!$B$8)*$G$6:$G$32)</f>
        <v>117500</v>
      </c>
      <c r="AL45" s="154" t="n">
        <f aca="false">SUMPRODUCT(($J$6:$J$32="Despesa")*($H$6:$H$32&lt;=AL$36)*($I$6:$I$32&gt;=AL$36)*(($C$6:$C$32="Contratado")+($C$6:$C$32="Plano")*Premissas!$B$8)*$G$6:$G$32)</f>
        <v>253300</v>
      </c>
      <c r="AM45" s="154" t="n">
        <f aca="false">SUMPRODUCT(($J$6:$J$32="Despesa")*($H$6:$H$32&lt;=AM$36)*($I$6:$I$32&gt;=AM$36)*(($C$6:$C$32="Contratado")+($C$6:$C$32="Plano")*Premissas!$B$8)*$G$6:$G$32)</f>
        <v>253300</v>
      </c>
      <c r="AN45" s="154" t="n">
        <f aca="false">SUMPRODUCT(($J$6:$J$32="Despesa")*($H$6:$H$32&lt;=AN$36)*($I$6:$I$32&gt;=AN$36)*(($C$6:$C$32="Contratado")+($C$6:$C$32="Plano")*Premissas!$B$8)*$G$6:$G$32)</f>
        <v>253300</v>
      </c>
      <c r="AO45" s="154" t="n">
        <f aca="false">SUMPRODUCT(($J$6:$J$32="Despesa")*($H$6:$H$32&lt;=AO$36)*($I$6:$I$32&gt;=AO$36)*(($C$6:$C$32="Contratado")+($C$6:$C$32="Plano")*Premissas!$B$8)*$G$6:$G$32)</f>
        <v>253300</v>
      </c>
      <c r="AP45" s="154" t="n">
        <f aca="false">SUMPRODUCT(($J$6:$J$32="Despesa")*($H$6:$H$32&lt;=AP$36)*($I$6:$I$32&gt;=AP$36)*(($C$6:$C$32="Contratado")+($C$6:$C$32="Plano")*Premissas!$B$8)*$G$6:$G$32)</f>
        <v>253300</v>
      </c>
      <c r="AQ45" s="154" t="n">
        <f aca="false">SUMPRODUCT(($J$6:$J$32="Despesa")*($H$6:$H$32&lt;=AQ$36)*($I$6:$I$32&gt;=AQ$36)*(($C$6:$C$32="Contratado")+($C$6:$C$32="Plano")*Premissas!$B$8)*$G$6:$G$32)</f>
        <v>253300</v>
      </c>
      <c r="AR45" s="154" t="n">
        <f aca="false">SUMPRODUCT(($J$6:$J$32="Despesa")*($H$6:$H$32&lt;=AR$36)*($I$6:$I$32&gt;=AR$36)*(($C$6:$C$32="Contratado")+($C$6:$C$32="Plano")*Premissas!$B$8)*$G$6:$G$32)</f>
        <v>253300</v>
      </c>
      <c r="AS45" s="154" t="n">
        <f aca="false">SUMPRODUCT(($J$6:$J$32="Despesa")*($H$6:$H$32&lt;=AS$36)*($I$6:$I$32&gt;=AS$36)*(($C$6:$C$32="Contratado")+($C$6:$C$32="Plano")*Premissas!$B$8)*$G$6:$G$32)</f>
        <v>253300</v>
      </c>
      <c r="AT45" s="154" t="n">
        <f aca="false">SUMPRODUCT(($J$6:$J$32="Despesa")*($H$6:$H$32&lt;=AT$36)*($I$6:$I$32&gt;=AT$36)*(($C$6:$C$32="Contratado")+($C$6:$C$32="Plano")*Premissas!$B$8)*$G$6:$G$32)</f>
        <v>253300</v>
      </c>
      <c r="AU45" s="154" t="n">
        <f aca="false">SUMPRODUCT(($J$6:$J$32="Despesa")*($H$6:$H$32&lt;=AU$36)*($I$6:$I$32&gt;=AU$36)*(($C$6:$C$32="Contratado")+($C$6:$C$32="Plano")*Premissas!$B$8)*$G$6:$G$32)</f>
        <v>253300</v>
      </c>
      <c r="AV45" s="154" t="n">
        <f aca="false">SUMPRODUCT(($J$6:$J$32="Despesa")*($H$6:$H$32&lt;=AV$36)*($I$6:$I$32&gt;=AV$36)*(($C$6:$C$32="Contratado")+($C$6:$C$32="Plano")*Premissas!$B$8)*$G$6:$G$32)</f>
        <v>253300</v>
      </c>
      <c r="AW45" s="154" t="n">
        <f aca="false">SUMPRODUCT(($J$6:$J$32="Despesa")*($H$6:$H$32&lt;=AW$36)*($I$6:$I$32&gt;=AW$36)*(($C$6:$C$32="Contratado")+($C$6:$C$32="Plano")*Premissas!$B$8)*$G$6:$G$32)</f>
        <v>253300</v>
      </c>
      <c r="AX45" s="154" t="n">
        <f aca="false">SUMPRODUCT(($J$6:$J$32="Despesa")*($H$6:$H$32&lt;=AX$36)*($I$6:$I$32&gt;=AX$36)*(($C$6:$C$32="Contratado")+($C$6:$C$32="Plano")*Premissas!$B$8)*$G$6:$G$32)</f>
        <v>374300</v>
      </c>
      <c r="AY45" s="154" t="n">
        <f aca="false">SUMPRODUCT(($J$6:$J$32="Despesa")*($H$6:$H$32&lt;=AY$36)*($I$6:$I$32&gt;=AY$36)*(($C$6:$C$32="Contratado")+($C$6:$C$32="Plano")*Premissas!$B$8)*$G$6:$G$32)</f>
        <v>374300</v>
      </c>
      <c r="AZ45" s="154" t="n">
        <f aca="false">SUMPRODUCT(($J$6:$J$32="Despesa")*($H$6:$H$32&lt;=AZ$36)*($I$6:$I$32&gt;=AZ$36)*(($C$6:$C$32="Contratado")+($C$6:$C$32="Plano")*Premissas!$B$8)*$G$6:$G$32)</f>
        <v>374300</v>
      </c>
      <c r="BA45" s="154" t="n">
        <f aca="false">SUMPRODUCT(($J$6:$J$32="Despesa")*($H$6:$H$32&lt;=BA$36)*($I$6:$I$32&gt;=BA$36)*(($C$6:$C$32="Contratado")+($C$6:$C$32="Plano")*Premissas!$B$8)*$G$6:$G$32)</f>
        <v>374300</v>
      </c>
      <c r="BB45" s="154" t="n">
        <f aca="false">SUMPRODUCT(($J$6:$J$32="Despesa")*($H$6:$H$32&lt;=BB$36)*($I$6:$I$32&gt;=BB$36)*(($C$6:$C$32="Contratado")+($C$6:$C$32="Plano")*Premissas!$B$8)*$G$6:$G$32)</f>
        <v>374300</v>
      </c>
      <c r="BC45" s="154" t="n">
        <f aca="false">SUMPRODUCT(($J$6:$J$32="Despesa")*($H$6:$H$32&lt;=BC$36)*($I$6:$I$32&gt;=BC$36)*(($C$6:$C$32="Contratado")+($C$6:$C$32="Plano")*Premissas!$B$8)*$G$6:$G$32)</f>
        <v>374300</v>
      </c>
      <c r="BD45" s="154" t="n">
        <f aca="false">SUMPRODUCT(($J$6:$J$32="Despesa")*($H$6:$H$32&lt;=BD$36)*($I$6:$I$32&gt;=BD$36)*(($C$6:$C$32="Contratado")+($C$6:$C$32="Plano")*Premissas!$B$8)*$G$6:$G$32)</f>
        <v>374300</v>
      </c>
      <c r="BE45" s="154" t="n">
        <f aca="false">SUMPRODUCT(($J$6:$J$32="Despesa")*($H$6:$H$32&lt;=BE$36)*($I$6:$I$32&gt;=BE$36)*(($C$6:$C$32="Contratado")+($C$6:$C$32="Plano")*Premissas!$B$8)*$G$6:$G$32)</f>
        <v>374300</v>
      </c>
      <c r="BF45" s="154" t="n">
        <f aca="false">SUMPRODUCT(($J$6:$J$32="Despesa")*($H$6:$H$32&lt;=BF$36)*($I$6:$I$32&gt;=BF$36)*(($C$6:$C$32="Contratado")+($C$6:$C$32="Plano")*Premissas!$B$8)*$G$6:$G$32)</f>
        <v>374300</v>
      </c>
      <c r="BG45" s="154" t="n">
        <f aca="false">SUMPRODUCT(($J$6:$J$32="Despesa")*($H$6:$H$32&lt;=BG$36)*($I$6:$I$32&gt;=BG$36)*(($C$6:$C$32="Contratado")+($C$6:$C$32="Plano")*Premissas!$B$8)*$G$6:$G$32)</f>
        <v>374300</v>
      </c>
      <c r="BH45" s="154" t="n">
        <f aca="false">SUMPRODUCT(($J$6:$J$32="Despesa")*($H$6:$H$32&lt;=BH$36)*($I$6:$I$32&gt;=BH$36)*(($C$6:$C$32="Contratado")+($C$6:$C$32="Plano")*Premissas!$B$8)*$G$6:$G$32)</f>
        <v>374300</v>
      </c>
      <c r="BI45" s="154" t="n">
        <f aca="false">SUMPRODUCT(($J$6:$J$32="Despesa")*($H$6:$H$32&lt;=BI$36)*($I$6:$I$32&gt;=BI$36)*(($C$6:$C$32="Contratado")+($C$6:$C$32="Plano")*Premissas!$B$8)*$G$6:$G$32)</f>
        <v>374300</v>
      </c>
      <c r="BJ45" s="154" t="n">
        <f aca="false">SUM(B45:BI45)</f>
        <v>9451200</v>
      </c>
    </row>
    <row r="46" customFormat="false" ht="15.75" hidden="false" customHeight="true" outlineLevel="0" collapsed="false">
      <c r="A46" s="152" t="s">
        <v>545</v>
      </c>
      <c r="B46" s="153" t="n">
        <f aca="false">SUMPRODUCT(($J$6:$J$32="Investimento")*($H$6:$H$32&lt;=B$36)*($I$6:$I$32&gt;=B$36)*(($C$6:$C$32="Contratado")+($C$6:$C$32="Plano")*Premissas!$B$8)*$G$6:$G$32)</f>
        <v>0</v>
      </c>
      <c r="C46" s="153" t="n">
        <f aca="false">SUMPRODUCT(($J$6:$J$32="Investimento")*($H$6:$H$32&lt;=C$36)*($I$6:$I$32&gt;=C$36)*(($C$6:$C$32="Contratado")+($C$6:$C$32="Plano")*Premissas!$B$8)*$G$6:$G$32)</f>
        <v>0</v>
      </c>
      <c r="D46" s="153" t="n">
        <f aca="false">SUMPRODUCT(($J$6:$J$32="Investimento")*($H$6:$H$32&lt;=D$36)*($I$6:$I$32&gt;=D$36)*(($C$6:$C$32="Contratado")+($C$6:$C$32="Plano")*Premissas!$B$8)*$G$6:$G$32)</f>
        <v>0</v>
      </c>
      <c r="E46" s="153" t="n">
        <f aca="false">SUMPRODUCT(($J$6:$J$32="Investimento")*($H$6:$H$32&lt;=E$36)*($I$6:$I$32&gt;=E$36)*(($C$6:$C$32="Contratado")+($C$6:$C$32="Plano")*Premissas!$B$8)*$G$6:$G$32)</f>
        <v>0</v>
      </c>
      <c r="F46" s="153" t="n">
        <f aca="false">SUMPRODUCT(($J$6:$J$32="Investimento")*($H$6:$H$32&lt;=F$36)*($I$6:$I$32&gt;=F$36)*(($C$6:$C$32="Contratado")+($C$6:$C$32="Plano")*Premissas!$B$8)*$G$6:$G$32)</f>
        <v>0</v>
      </c>
      <c r="G46" s="153" t="n">
        <f aca="false">SUMPRODUCT(($J$6:$J$32="Investimento")*($H$6:$H$32&lt;=G$36)*($I$6:$I$32&gt;=G$36)*(($C$6:$C$32="Contratado")+($C$6:$C$32="Plano")*Premissas!$B$8)*$G$6:$G$32)</f>
        <v>0</v>
      </c>
      <c r="H46" s="153" t="n">
        <f aca="false">SUMPRODUCT(($J$6:$J$32="Investimento")*($H$6:$H$32&lt;=H$36)*($I$6:$I$32&gt;=H$36)*(($C$6:$C$32="Contratado")+($C$6:$C$32="Plano")*Premissas!$B$8)*$G$6:$G$32)</f>
        <v>0</v>
      </c>
      <c r="I46" s="153" t="n">
        <f aca="false">SUMPRODUCT(($J$6:$J$32="Investimento")*($H$6:$H$32&lt;=I$36)*($I$6:$I$32&gt;=I$36)*(($C$6:$C$32="Contratado")+($C$6:$C$32="Plano")*Premissas!$B$8)*$G$6:$G$32)</f>
        <v>0</v>
      </c>
      <c r="J46" s="153" t="n">
        <f aca="false">SUMPRODUCT(($J$6:$J$32="Investimento")*($H$6:$H$32&lt;=J$36)*($I$6:$I$32&gt;=J$36)*(($C$6:$C$32="Contratado")+($C$6:$C$32="Plano")*Premissas!$B$8)*$G$6:$G$32)</f>
        <v>10500</v>
      </c>
      <c r="K46" s="153" t="n">
        <f aca="false">SUMPRODUCT(($J$6:$J$32="Investimento")*($H$6:$H$32&lt;=K$36)*($I$6:$I$32&gt;=K$36)*(($C$6:$C$32="Contratado")+($C$6:$C$32="Plano")*Premissas!$B$8)*$G$6:$G$32)</f>
        <v>10500</v>
      </c>
      <c r="L46" s="153" t="n">
        <f aca="false">SUMPRODUCT(($J$6:$J$32="Investimento")*($H$6:$H$32&lt;=L$36)*($I$6:$I$32&gt;=L$36)*(($C$6:$C$32="Contratado")+($C$6:$C$32="Plano")*Premissas!$B$8)*$G$6:$G$32)</f>
        <v>0</v>
      </c>
      <c r="M46" s="153" t="n">
        <f aca="false">SUMPRODUCT(($J$6:$J$32="Investimento")*($H$6:$H$32&lt;=M$36)*($I$6:$I$32&gt;=M$36)*(($C$6:$C$32="Contratado")+($C$6:$C$32="Plano")*Premissas!$B$8)*$G$6:$G$32)</f>
        <v>0</v>
      </c>
      <c r="N46" s="153" t="n">
        <f aca="false">SUMPRODUCT(($J$6:$J$32="Investimento")*($H$6:$H$32&lt;=N$36)*($I$6:$I$32&gt;=N$36)*(($C$6:$C$32="Contratado")+($C$6:$C$32="Plano")*Premissas!$B$8)*$G$6:$G$32)</f>
        <v>0</v>
      </c>
      <c r="O46" s="153" t="n">
        <f aca="false">SUMPRODUCT(($J$6:$J$32="Investimento")*($H$6:$H$32&lt;=O$36)*($I$6:$I$32&gt;=O$36)*(($C$6:$C$32="Contratado")+($C$6:$C$32="Plano")*Premissas!$B$8)*$G$6:$G$32)</f>
        <v>0</v>
      </c>
      <c r="P46" s="153" t="n">
        <f aca="false">SUMPRODUCT(($J$6:$J$32="Investimento")*($H$6:$H$32&lt;=P$36)*($I$6:$I$32&gt;=P$36)*(($C$6:$C$32="Contratado")+($C$6:$C$32="Plano")*Premissas!$B$8)*$G$6:$G$32)</f>
        <v>0</v>
      </c>
      <c r="Q46" s="153" t="n">
        <f aca="false">SUMPRODUCT(($J$6:$J$32="Investimento")*($H$6:$H$32&lt;=Q$36)*($I$6:$I$32&gt;=Q$36)*(($C$6:$C$32="Contratado")+($C$6:$C$32="Plano")*Premissas!$B$8)*$G$6:$G$32)</f>
        <v>0</v>
      </c>
      <c r="R46" s="153" t="n">
        <f aca="false">SUMPRODUCT(($J$6:$J$32="Investimento")*($H$6:$H$32&lt;=R$36)*($I$6:$I$32&gt;=R$36)*(($C$6:$C$32="Contratado")+($C$6:$C$32="Plano")*Premissas!$B$8)*$G$6:$G$32)</f>
        <v>0</v>
      </c>
      <c r="S46" s="153" t="n">
        <f aca="false">SUMPRODUCT(($J$6:$J$32="Investimento")*($H$6:$H$32&lt;=S$36)*($I$6:$I$32&gt;=S$36)*(($C$6:$C$32="Contratado")+($C$6:$C$32="Plano")*Premissas!$B$8)*$G$6:$G$32)</f>
        <v>0</v>
      </c>
      <c r="T46" s="153" t="n">
        <f aca="false">SUMPRODUCT(($J$6:$J$32="Investimento")*($H$6:$H$32&lt;=T$36)*($I$6:$I$32&gt;=T$36)*(($C$6:$C$32="Contratado")+($C$6:$C$32="Plano")*Premissas!$B$8)*$G$6:$G$32)</f>
        <v>0</v>
      </c>
      <c r="U46" s="153" t="n">
        <f aca="false">SUMPRODUCT(($J$6:$J$32="Investimento")*($H$6:$H$32&lt;=U$36)*($I$6:$I$32&gt;=U$36)*(($C$6:$C$32="Contratado")+($C$6:$C$32="Plano")*Premissas!$B$8)*$G$6:$G$32)</f>
        <v>0</v>
      </c>
      <c r="V46" s="153" t="n">
        <f aca="false">SUMPRODUCT(($J$6:$J$32="Investimento")*($H$6:$H$32&lt;=V$36)*($I$6:$I$32&gt;=V$36)*(($C$6:$C$32="Contratado")+($C$6:$C$32="Plano")*Premissas!$B$8)*$G$6:$G$32)</f>
        <v>0</v>
      </c>
      <c r="W46" s="153" t="n">
        <f aca="false">SUMPRODUCT(($J$6:$J$32="Investimento")*($H$6:$H$32&lt;=W$36)*($I$6:$I$32&gt;=W$36)*(($C$6:$C$32="Contratado")+($C$6:$C$32="Plano")*Premissas!$B$8)*$G$6:$G$32)</f>
        <v>0</v>
      </c>
      <c r="X46" s="153" t="n">
        <f aca="false">SUMPRODUCT(($J$6:$J$32="Investimento")*($H$6:$H$32&lt;=X$36)*($I$6:$I$32&gt;=X$36)*(($C$6:$C$32="Contratado")+($C$6:$C$32="Plano")*Premissas!$B$8)*$G$6:$G$32)</f>
        <v>0</v>
      </c>
      <c r="Y46" s="153" t="n">
        <f aca="false">SUMPRODUCT(($J$6:$J$32="Investimento")*($H$6:$H$32&lt;=Y$36)*($I$6:$I$32&gt;=Y$36)*(($C$6:$C$32="Contratado")+($C$6:$C$32="Plano")*Premissas!$B$8)*$G$6:$G$32)</f>
        <v>0</v>
      </c>
      <c r="Z46" s="153" t="n">
        <f aca="false">SUMPRODUCT(($J$6:$J$32="Investimento")*($H$6:$H$32&lt;=Z$36)*($I$6:$I$32&gt;=Z$36)*(($C$6:$C$32="Contratado")+($C$6:$C$32="Plano")*Premissas!$B$8)*$G$6:$G$32)</f>
        <v>0</v>
      </c>
      <c r="AA46" s="153" t="n">
        <f aca="false">SUMPRODUCT(($J$6:$J$32="Investimento")*($H$6:$H$32&lt;=AA$36)*($I$6:$I$32&gt;=AA$36)*(($C$6:$C$32="Contratado")+($C$6:$C$32="Plano")*Premissas!$B$8)*$G$6:$G$32)</f>
        <v>0</v>
      </c>
      <c r="AB46" s="153" t="n">
        <f aca="false">SUMPRODUCT(($J$6:$J$32="Investimento")*($H$6:$H$32&lt;=AB$36)*($I$6:$I$32&gt;=AB$36)*(($C$6:$C$32="Contratado")+($C$6:$C$32="Plano")*Premissas!$B$8)*$G$6:$G$32)</f>
        <v>0</v>
      </c>
      <c r="AC46" s="153" t="n">
        <f aca="false">SUMPRODUCT(($J$6:$J$32="Investimento")*($H$6:$H$32&lt;=AC$36)*($I$6:$I$32&gt;=AC$36)*(($C$6:$C$32="Contratado")+($C$6:$C$32="Plano")*Premissas!$B$8)*$G$6:$G$32)</f>
        <v>0</v>
      </c>
      <c r="AD46" s="153" t="n">
        <f aca="false">SUMPRODUCT(($J$6:$J$32="Investimento")*($H$6:$H$32&lt;=AD$36)*($I$6:$I$32&gt;=AD$36)*(($C$6:$C$32="Contratado")+($C$6:$C$32="Plano")*Premissas!$B$8)*$G$6:$G$32)</f>
        <v>0</v>
      </c>
      <c r="AE46" s="153" t="n">
        <f aca="false">SUMPRODUCT(($J$6:$J$32="Investimento")*($H$6:$H$32&lt;=AE$36)*($I$6:$I$32&gt;=AE$36)*(($C$6:$C$32="Contratado")+($C$6:$C$32="Plano")*Premissas!$B$8)*$G$6:$G$32)</f>
        <v>0</v>
      </c>
      <c r="AF46" s="153" t="n">
        <f aca="false">SUMPRODUCT(($J$6:$J$32="Investimento")*($H$6:$H$32&lt;=AF$36)*($I$6:$I$32&gt;=AF$36)*(($C$6:$C$32="Contratado")+($C$6:$C$32="Plano")*Premissas!$B$8)*$G$6:$G$32)</f>
        <v>0</v>
      </c>
      <c r="AG46" s="153" t="n">
        <f aca="false">SUMPRODUCT(($J$6:$J$32="Investimento")*($H$6:$H$32&lt;=AG$36)*($I$6:$I$32&gt;=AG$36)*(($C$6:$C$32="Contratado")+($C$6:$C$32="Plano")*Premissas!$B$8)*$G$6:$G$32)</f>
        <v>0</v>
      </c>
      <c r="AH46" s="153" t="n">
        <f aca="false">SUMPRODUCT(($J$6:$J$32="Investimento")*($H$6:$H$32&lt;=AH$36)*($I$6:$I$32&gt;=AH$36)*(($C$6:$C$32="Contratado")+($C$6:$C$32="Plano")*Premissas!$B$8)*$G$6:$G$32)</f>
        <v>0</v>
      </c>
      <c r="AI46" s="153" t="n">
        <f aca="false">SUMPRODUCT(($J$6:$J$32="Investimento")*($H$6:$H$32&lt;=AI$36)*($I$6:$I$32&gt;=AI$36)*(($C$6:$C$32="Contratado")+($C$6:$C$32="Plano")*Premissas!$B$8)*$G$6:$G$32)</f>
        <v>0</v>
      </c>
      <c r="AJ46" s="153" t="n">
        <f aca="false">SUMPRODUCT(($J$6:$J$32="Investimento")*($H$6:$H$32&lt;=AJ$36)*($I$6:$I$32&gt;=AJ$36)*(($C$6:$C$32="Contratado")+($C$6:$C$32="Plano")*Premissas!$B$8)*$G$6:$G$32)</f>
        <v>0</v>
      </c>
      <c r="AK46" s="153" t="n">
        <f aca="false">SUMPRODUCT(($J$6:$J$32="Investimento")*($H$6:$H$32&lt;=AK$36)*($I$6:$I$32&gt;=AK$36)*(($C$6:$C$32="Contratado")+($C$6:$C$32="Plano")*Premissas!$B$8)*$G$6:$G$32)</f>
        <v>0</v>
      </c>
      <c r="AL46" s="153" t="n">
        <f aca="false">SUMPRODUCT(($J$6:$J$32="Investimento")*($H$6:$H$32&lt;=AL$36)*($I$6:$I$32&gt;=AL$36)*(($C$6:$C$32="Contratado")+($C$6:$C$32="Plano")*Premissas!$B$8)*$G$6:$G$32)</f>
        <v>0</v>
      </c>
      <c r="AM46" s="153" t="n">
        <f aca="false">SUMPRODUCT(($J$6:$J$32="Investimento")*($H$6:$H$32&lt;=AM$36)*($I$6:$I$32&gt;=AM$36)*(($C$6:$C$32="Contratado")+($C$6:$C$32="Plano")*Premissas!$B$8)*$G$6:$G$32)</f>
        <v>0</v>
      </c>
      <c r="AN46" s="153" t="n">
        <f aca="false">SUMPRODUCT(($J$6:$J$32="Investimento")*($H$6:$H$32&lt;=AN$36)*($I$6:$I$32&gt;=AN$36)*(($C$6:$C$32="Contratado")+($C$6:$C$32="Plano")*Premissas!$B$8)*$G$6:$G$32)</f>
        <v>0</v>
      </c>
      <c r="AO46" s="153" t="n">
        <f aca="false">SUMPRODUCT(($J$6:$J$32="Investimento")*($H$6:$H$32&lt;=AO$36)*($I$6:$I$32&gt;=AO$36)*(($C$6:$C$32="Contratado")+($C$6:$C$32="Plano")*Premissas!$B$8)*$G$6:$G$32)</f>
        <v>0</v>
      </c>
      <c r="AP46" s="153" t="n">
        <f aca="false">SUMPRODUCT(($J$6:$J$32="Investimento")*($H$6:$H$32&lt;=AP$36)*($I$6:$I$32&gt;=AP$36)*(($C$6:$C$32="Contratado")+($C$6:$C$32="Plano")*Premissas!$B$8)*$G$6:$G$32)</f>
        <v>0</v>
      </c>
      <c r="AQ46" s="153" t="n">
        <f aca="false">SUMPRODUCT(($J$6:$J$32="Investimento")*($H$6:$H$32&lt;=AQ$36)*($I$6:$I$32&gt;=AQ$36)*(($C$6:$C$32="Contratado")+($C$6:$C$32="Plano")*Premissas!$B$8)*$G$6:$G$32)</f>
        <v>0</v>
      </c>
      <c r="AR46" s="153" t="n">
        <f aca="false">SUMPRODUCT(($J$6:$J$32="Investimento")*($H$6:$H$32&lt;=AR$36)*($I$6:$I$32&gt;=AR$36)*(($C$6:$C$32="Contratado")+($C$6:$C$32="Plano")*Premissas!$B$8)*$G$6:$G$32)</f>
        <v>0</v>
      </c>
      <c r="AS46" s="153" t="n">
        <f aca="false">SUMPRODUCT(($J$6:$J$32="Investimento")*($H$6:$H$32&lt;=AS$36)*($I$6:$I$32&gt;=AS$36)*(($C$6:$C$32="Contratado")+($C$6:$C$32="Plano")*Premissas!$B$8)*$G$6:$G$32)</f>
        <v>0</v>
      </c>
      <c r="AT46" s="153" t="n">
        <f aca="false">SUMPRODUCT(($J$6:$J$32="Investimento")*($H$6:$H$32&lt;=AT$36)*($I$6:$I$32&gt;=AT$36)*(($C$6:$C$32="Contratado")+($C$6:$C$32="Plano")*Premissas!$B$8)*$G$6:$G$32)</f>
        <v>0</v>
      </c>
      <c r="AU46" s="153" t="n">
        <f aca="false">SUMPRODUCT(($J$6:$J$32="Investimento")*($H$6:$H$32&lt;=AU$36)*($I$6:$I$32&gt;=AU$36)*(($C$6:$C$32="Contratado")+($C$6:$C$32="Plano")*Premissas!$B$8)*$G$6:$G$32)</f>
        <v>0</v>
      </c>
      <c r="AV46" s="153" t="n">
        <f aca="false">SUMPRODUCT(($J$6:$J$32="Investimento")*($H$6:$H$32&lt;=AV$36)*($I$6:$I$32&gt;=AV$36)*(($C$6:$C$32="Contratado")+($C$6:$C$32="Plano")*Premissas!$B$8)*$G$6:$G$32)</f>
        <v>0</v>
      </c>
      <c r="AW46" s="153" t="n">
        <f aca="false">SUMPRODUCT(($J$6:$J$32="Investimento")*($H$6:$H$32&lt;=AW$36)*($I$6:$I$32&gt;=AW$36)*(($C$6:$C$32="Contratado")+($C$6:$C$32="Plano")*Premissas!$B$8)*$G$6:$G$32)</f>
        <v>0</v>
      </c>
      <c r="AX46" s="153" t="n">
        <f aca="false">SUMPRODUCT(($J$6:$J$32="Investimento")*($H$6:$H$32&lt;=AX$36)*($I$6:$I$32&gt;=AX$36)*(($C$6:$C$32="Contratado")+($C$6:$C$32="Plano")*Premissas!$B$8)*$G$6:$G$32)</f>
        <v>0</v>
      </c>
      <c r="AY46" s="153" t="n">
        <f aca="false">SUMPRODUCT(($J$6:$J$32="Investimento")*($H$6:$H$32&lt;=AY$36)*($I$6:$I$32&gt;=AY$36)*(($C$6:$C$32="Contratado")+($C$6:$C$32="Plano")*Premissas!$B$8)*$G$6:$G$32)</f>
        <v>0</v>
      </c>
      <c r="AZ46" s="153" t="n">
        <f aca="false">SUMPRODUCT(($J$6:$J$32="Investimento")*($H$6:$H$32&lt;=AZ$36)*($I$6:$I$32&gt;=AZ$36)*(($C$6:$C$32="Contratado")+($C$6:$C$32="Plano")*Premissas!$B$8)*$G$6:$G$32)</f>
        <v>0</v>
      </c>
      <c r="BA46" s="153" t="n">
        <f aca="false">SUMPRODUCT(($J$6:$J$32="Investimento")*($H$6:$H$32&lt;=BA$36)*($I$6:$I$32&gt;=BA$36)*(($C$6:$C$32="Contratado")+($C$6:$C$32="Plano")*Premissas!$B$8)*$G$6:$G$32)</f>
        <v>0</v>
      </c>
      <c r="BB46" s="153" t="n">
        <f aca="false">SUMPRODUCT(($J$6:$J$32="Investimento")*($H$6:$H$32&lt;=BB$36)*($I$6:$I$32&gt;=BB$36)*(($C$6:$C$32="Contratado")+($C$6:$C$32="Plano")*Premissas!$B$8)*$G$6:$G$32)</f>
        <v>0</v>
      </c>
      <c r="BC46" s="153" t="n">
        <f aca="false">SUMPRODUCT(($J$6:$J$32="Investimento")*($H$6:$H$32&lt;=BC$36)*($I$6:$I$32&gt;=BC$36)*(($C$6:$C$32="Contratado")+($C$6:$C$32="Plano")*Premissas!$B$8)*$G$6:$G$32)</f>
        <v>0</v>
      </c>
      <c r="BD46" s="153" t="n">
        <f aca="false">SUMPRODUCT(($J$6:$J$32="Investimento")*($H$6:$H$32&lt;=BD$36)*($I$6:$I$32&gt;=BD$36)*(($C$6:$C$32="Contratado")+($C$6:$C$32="Plano")*Premissas!$B$8)*$G$6:$G$32)</f>
        <v>0</v>
      </c>
      <c r="BE46" s="153" t="n">
        <f aca="false">SUMPRODUCT(($J$6:$J$32="Investimento")*($H$6:$H$32&lt;=BE$36)*($I$6:$I$32&gt;=BE$36)*(($C$6:$C$32="Contratado")+($C$6:$C$32="Plano")*Premissas!$B$8)*$G$6:$G$32)</f>
        <v>0</v>
      </c>
      <c r="BF46" s="153" t="n">
        <f aca="false">SUMPRODUCT(($J$6:$J$32="Investimento")*($H$6:$H$32&lt;=BF$36)*($I$6:$I$32&gt;=BF$36)*(($C$6:$C$32="Contratado")+($C$6:$C$32="Plano")*Premissas!$B$8)*$G$6:$G$32)</f>
        <v>0</v>
      </c>
      <c r="BG46" s="153" t="n">
        <f aca="false">SUMPRODUCT(($J$6:$J$32="Investimento")*($H$6:$H$32&lt;=BG$36)*($I$6:$I$32&gt;=BG$36)*(($C$6:$C$32="Contratado")+($C$6:$C$32="Plano")*Premissas!$B$8)*$G$6:$G$32)</f>
        <v>0</v>
      </c>
      <c r="BH46" s="153" t="n">
        <f aca="false">SUMPRODUCT(($J$6:$J$32="Investimento")*($H$6:$H$32&lt;=BH$36)*($I$6:$I$32&gt;=BH$36)*(($C$6:$C$32="Contratado")+($C$6:$C$32="Plano")*Premissas!$B$8)*$G$6:$G$32)</f>
        <v>0</v>
      </c>
      <c r="BI46" s="153" t="n">
        <f aca="false">SUMPRODUCT(($J$6:$J$32="Investimento")*($H$6:$H$32&lt;=BI$36)*($I$6:$I$32&gt;=BI$36)*(($C$6:$C$32="Contratado")+($C$6:$C$32="Plano")*Premissas!$B$8)*$G$6:$G$32)</f>
        <v>0</v>
      </c>
      <c r="BJ46" s="154" t="n">
        <f aca="false">SUM(B46:BI46)</f>
        <v>21000</v>
      </c>
      <c r="BK46" s="51" t="s">
        <v>546</v>
      </c>
    </row>
    <row r="47" customFormat="false" ht="15.75" hidden="false" customHeight="true" outlineLevel="0" collapsed="false">
      <c r="A47" s="158" t="s">
        <v>547</v>
      </c>
      <c r="B47" s="159" t="n">
        <f aca="false">SUMPRODUCT((($B$6:$B$32="CLT")+($B$6:$B$32="Sócio"))*($H$6:$H$32&lt;=B$36)*($I$6:$I$32&gt;=B$36)*(($C$6:$C$32="Contratado")+($C$6:$C$32="Plano")*Premissas!$B$8)*$G$6:$G$32)</f>
        <v>0</v>
      </c>
      <c r="C47" s="159" t="n">
        <f aca="false">SUMPRODUCT((($B$6:$B$32="CLT")+($B$6:$B$32="Sócio"))*($H$6:$H$32&lt;=C$36)*($I$6:$I$32&gt;=C$36)*(($C$6:$C$32="Contratado")+($C$6:$C$32="Plano")*Premissas!$B$8)*$G$6:$G$32)</f>
        <v>0</v>
      </c>
      <c r="D47" s="159" t="n">
        <f aca="false">SUMPRODUCT((($B$6:$B$32="CLT")+($B$6:$B$32="Sócio"))*($H$6:$H$32&lt;=D$36)*($I$6:$I$32&gt;=D$36)*(($C$6:$C$32="Contratado")+($C$6:$C$32="Plano")*Premissas!$B$8)*$G$6:$G$32)</f>
        <v>0</v>
      </c>
      <c r="E47" s="159" t="n">
        <f aca="false">SUMPRODUCT((($B$6:$B$32="CLT")+($B$6:$B$32="Sócio"))*($H$6:$H$32&lt;=E$36)*($I$6:$I$32&gt;=E$36)*(($C$6:$C$32="Contratado")+($C$6:$C$32="Plano")*Premissas!$B$8)*$G$6:$G$32)</f>
        <v>0</v>
      </c>
      <c r="F47" s="159" t="n">
        <f aca="false">SUMPRODUCT((($B$6:$B$32="CLT")+($B$6:$B$32="Sócio"))*($H$6:$H$32&lt;=F$36)*($I$6:$I$32&gt;=F$36)*(($C$6:$C$32="Contratado")+($C$6:$C$32="Plano")*Premissas!$B$8)*$G$6:$G$32)</f>
        <v>0</v>
      </c>
      <c r="G47" s="159" t="n">
        <f aca="false">SUMPRODUCT((($B$6:$B$32="CLT")+($B$6:$B$32="Sócio"))*($H$6:$H$32&lt;=G$36)*($I$6:$I$32&gt;=G$36)*(($C$6:$C$32="Contratado")+($C$6:$C$32="Plano")*Premissas!$B$8)*$G$6:$G$32)</f>
        <v>0</v>
      </c>
      <c r="H47" s="159" t="n">
        <f aca="false">SUMPRODUCT((($B$6:$B$32="CLT")+($B$6:$B$32="Sócio"))*($H$6:$H$32&lt;=H$36)*($I$6:$I$32&gt;=H$36)*(($C$6:$C$32="Contratado")+($C$6:$C$32="Plano")*Premissas!$B$8)*$G$6:$G$32)</f>
        <v>0</v>
      </c>
      <c r="I47" s="159" t="n">
        <f aca="false">SUMPRODUCT((($B$6:$B$32="CLT")+($B$6:$B$32="Sócio"))*($H$6:$H$32&lt;=I$36)*($I$6:$I$32&gt;=I$36)*(($C$6:$C$32="Contratado")+($C$6:$C$32="Plano")*Premissas!$B$8)*$G$6:$G$32)</f>
        <v>0</v>
      </c>
      <c r="J47" s="159" t="n">
        <f aca="false">SUMPRODUCT((($B$6:$B$32="CLT")+($B$6:$B$32="Sócio"))*($H$6:$H$32&lt;=J$36)*($I$6:$I$32&gt;=J$36)*(($C$6:$C$32="Contratado")+($C$6:$C$32="Plano")*Premissas!$B$8)*$G$6:$G$32)</f>
        <v>0</v>
      </c>
      <c r="K47" s="159" t="n">
        <f aca="false">SUMPRODUCT((($B$6:$B$32="CLT")+($B$6:$B$32="Sócio"))*($H$6:$H$32&lt;=K$36)*($I$6:$I$32&gt;=K$36)*(($C$6:$C$32="Contratado")+($C$6:$C$32="Plano")*Premissas!$B$8)*$G$6:$G$32)</f>
        <v>0</v>
      </c>
      <c r="L47" s="159" t="n">
        <f aca="false">SUMPRODUCT((($B$6:$B$32="CLT")+($B$6:$B$32="Sócio"))*($H$6:$H$32&lt;=L$36)*($I$6:$I$32&gt;=L$36)*(($C$6:$C$32="Contratado")+($C$6:$C$32="Plano")*Premissas!$B$8)*$G$6:$G$32)</f>
        <v>0</v>
      </c>
      <c r="M47" s="159" t="n">
        <f aca="false">SUMPRODUCT((($B$6:$B$32="CLT")+($B$6:$B$32="Sócio"))*($H$6:$H$32&lt;=M$36)*($I$6:$I$32&gt;=M$36)*(($C$6:$C$32="Contratado")+($C$6:$C$32="Plano")*Premissas!$B$8)*$G$6:$G$32)</f>
        <v>0</v>
      </c>
      <c r="N47" s="159" t="n">
        <f aca="false">SUMPRODUCT((($B$6:$B$32="CLT")+($B$6:$B$32="Sócio"))*($H$6:$H$32&lt;=N$36)*($I$6:$I$32&gt;=N$36)*(($C$6:$C$32="Contratado")+($C$6:$C$32="Plano")*Premissas!$B$8)*$G$6:$G$32)</f>
        <v>15000</v>
      </c>
      <c r="O47" s="159" t="n">
        <f aca="false">SUMPRODUCT((($B$6:$B$32="CLT")+($B$6:$B$32="Sócio"))*($H$6:$H$32&lt;=O$36)*($I$6:$I$32&gt;=O$36)*(($C$6:$C$32="Contratado")+($C$6:$C$32="Plano")*Premissas!$B$8)*$G$6:$G$32)</f>
        <v>15000</v>
      </c>
      <c r="P47" s="159" t="n">
        <f aca="false">SUMPRODUCT((($B$6:$B$32="CLT")+($B$6:$B$32="Sócio"))*($H$6:$H$32&lt;=P$36)*($I$6:$I$32&gt;=P$36)*(($C$6:$C$32="Contratado")+($C$6:$C$32="Plano")*Premissas!$B$8)*$G$6:$G$32)</f>
        <v>15000</v>
      </c>
      <c r="Q47" s="159" t="n">
        <f aca="false">SUMPRODUCT((($B$6:$B$32="CLT")+($B$6:$B$32="Sócio"))*($H$6:$H$32&lt;=Q$36)*($I$6:$I$32&gt;=Q$36)*(($C$6:$C$32="Contratado")+($C$6:$C$32="Plano")*Premissas!$B$8)*$G$6:$G$32)</f>
        <v>15000</v>
      </c>
      <c r="R47" s="159" t="n">
        <f aca="false">SUMPRODUCT((($B$6:$B$32="CLT")+($B$6:$B$32="Sócio"))*($H$6:$H$32&lt;=R$36)*($I$6:$I$32&gt;=R$36)*(($C$6:$C$32="Contratado")+($C$6:$C$32="Plano")*Premissas!$B$8)*$G$6:$G$32)</f>
        <v>15000</v>
      </c>
      <c r="S47" s="159" t="n">
        <f aca="false">SUMPRODUCT((($B$6:$B$32="CLT")+($B$6:$B$32="Sócio"))*($H$6:$H$32&lt;=S$36)*($I$6:$I$32&gt;=S$36)*(($C$6:$C$32="Contratado")+($C$6:$C$32="Plano")*Premissas!$B$8)*$G$6:$G$32)</f>
        <v>15000</v>
      </c>
      <c r="T47" s="159" t="n">
        <f aca="false">SUMPRODUCT((($B$6:$B$32="CLT")+($B$6:$B$32="Sócio"))*($H$6:$H$32&lt;=T$36)*($I$6:$I$32&gt;=T$36)*(($C$6:$C$32="Contratado")+($C$6:$C$32="Plano")*Premissas!$B$8)*$G$6:$G$32)</f>
        <v>15000</v>
      </c>
      <c r="U47" s="159" t="n">
        <f aca="false">SUMPRODUCT((($B$6:$B$32="CLT")+($B$6:$B$32="Sócio"))*($H$6:$H$32&lt;=U$36)*($I$6:$I$32&gt;=U$36)*(($C$6:$C$32="Contratado")+($C$6:$C$32="Plano")*Premissas!$B$8)*$G$6:$G$32)</f>
        <v>15000</v>
      </c>
      <c r="V47" s="159" t="n">
        <f aca="false">SUMPRODUCT((($B$6:$B$32="CLT")+($B$6:$B$32="Sócio"))*($H$6:$H$32&lt;=V$36)*($I$6:$I$32&gt;=V$36)*(($C$6:$C$32="Contratado")+($C$6:$C$32="Plano")*Premissas!$B$8)*$G$6:$G$32)</f>
        <v>15000</v>
      </c>
      <c r="W47" s="159" t="n">
        <f aca="false">SUMPRODUCT((($B$6:$B$32="CLT")+($B$6:$B$32="Sócio"))*($H$6:$H$32&lt;=W$36)*($I$6:$I$32&gt;=W$36)*(($C$6:$C$32="Contratado")+($C$6:$C$32="Plano")*Premissas!$B$8)*$G$6:$G$32)</f>
        <v>15000</v>
      </c>
      <c r="X47" s="159" t="n">
        <f aca="false">SUMPRODUCT((($B$6:$B$32="CLT")+($B$6:$B$32="Sócio"))*($H$6:$H$32&lt;=X$36)*($I$6:$I$32&gt;=X$36)*(($C$6:$C$32="Contratado")+($C$6:$C$32="Plano")*Premissas!$B$8)*$G$6:$G$32)</f>
        <v>15000</v>
      </c>
      <c r="Y47" s="159" t="n">
        <f aca="false">SUMPRODUCT((($B$6:$B$32="CLT")+($B$6:$B$32="Sócio"))*($H$6:$H$32&lt;=Y$36)*($I$6:$I$32&gt;=Y$36)*(($C$6:$C$32="Contratado")+($C$6:$C$32="Plano")*Premissas!$B$8)*$G$6:$G$32)</f>
        <v>15000</v>
      </c>
      <c r="Z47" s="159" t="n">
        <f aca="false">SUMPRODUCT((($B$6:$B$32="CLT")+($B$6:$B$32="Sócio"))*($H$6:$H$32&lt;=Z$36)*($I$6:$I$32&gt;=Z$36)*(($C$6:$C$32="Contratado")+($C$6:$C$32="Plano")*Premissas!$B$8)*$G$6:$G$32)</f>
        <v>15000</v>
      </c>
      <c r="AA47" s="159" t="n">
        <f aca="false">SUMPRODUCT((($B$6:$B$32="CLT")+($B$6:$B$32="Sócio"))*($H$6:$H$32&lt;=AA$36)*($I$6:$I$32&gt;=AA$36)*(($C$6:$C$32="Contratado")+($C$6:$C$32="Plano")*Premissas!$B$8)*$G$6:$G$32)</f>
        <v>15000</v>
      </c>
      <c r="AB47" s="159" t="n">
        <f aca="false">SUMPRODUCT((($B$6:$B$32="CLT")+($B$6:$B$32="Sócio"))*($H$6:$H$32&lt;=AB$36)*($I$6:$I$32&gt;=AB$36)*(($C$6:$C$32="Contratado")+($C$6:$C$32="Plano")*Premissas!$B$8)*$G$6:$G$32)</f>
        <v>15000</v>
      </c>
      <c r="AC47" s="159" t="n">
        <f aca="false">SUMPRODUCT((($B$6:$B$32="CLT")+($B$6:$B$32="Sócio"))*($H$6:$H$32&lt;=AC$36)*($I$6:$I$32&gt;=AC$36)*(($C$6:$C$32="Contratado")+($C$6:$C$32="Plano")*Premissas!$B$8)*$G$6:$G$32)</f>
        <v>15000</v>
      </c>
      <c r="AD47" s="159" t="n">
        <f aca="false">SUMPRODUCT((($B$6:$B$32="CLT")+($B$6:$B$32="Sócio"))*($H$6:$H$32&lt;=AD$36)*($I$6:$I$32&gt;=AD$36)*(($C$6:$C$32="Contratado")+($C$6:$C$32="Plano")*Premissas!$B$8)*$G$6:$G$32)</f>
        <v>15000</v>
      </c>
      <c r="AE47" s="159" t="n">
        <f aca="false">SUMPRODUCT((($B$6:$B$32="CLT")+($B$6:$B$32="Sócio"))*($H$6:$H$32&lt;=AE$36)*($I$6:$I$32&gt;=AE$36)*(($C$6:$C$32="Contratado")+($C$6:$C$32="Plano")*Premissas!$B$8)*$G$6:$G$32)</f>
        <v>15000</v>
      </c>
      <c r="AF47" s="159" t="n">
        <f aca="false">SUMPRODUCT((($B$6:$B$32="CLT")+($B$6:$B$32="Sócio"))*($H$6:$H$32&lt;=AF$36)*($I$6:$I$32&gt;=AF$36)*(($C$6:$C$32="Contratado")+($C$6:$C$32="Plano")*Premissas!$B$8)*$G$6:$G$32)</f>
        <v>15000</v>
      </c>
      <c r="AG47" s="159" t="n">
        <f aca="false">SUMPRODUCT((($B$6:$B$32="CLT")+($B$6:$B$32="Sócio"))*($H$6:$H$32&lt;=AG$36)*($I$6:$I$32&gt;=AG$36)*(($C$6:$C$32="Contratado")+($C$6:$C$32="Plano")*Premissas!$B$8)*$G$6:$G$32)</f>
        <v>15000</v>
      </c>
      <c r="AH47" s="159" t="n">
        <f aca="false">SUMPRODUCT((($B$6:$B$32="CLT")+($B$6:$B$32="Sócio"))*($H$6:$H$32&lt;=AH$36)*($I$6:$I$32&gt;=AH$36)*(($C$6:$C$32="Contratado")+($C$6:$C$32="Plano")*Premissas!$B$8)*$G$6:$G$32)</f>
        <v>15000</v>
      </c>
      <c r="AI47" s="159" t="n">
        <f aca="false">SUMPRODUCT((($B$6:$B$32="CLT")+($B$6:$B$32="Sócio"))*($H$6:$H$32&lt;=AI$36)*($I$6:$I$32&gt;=AI$36)*(($C$6:$C$32="Contratado")+($C$6:$C$32="Plano")*Premissas!$B$8)*$G$6:$G$32)</f>
        <v>15000</v>
      </c>
      <c r="AJ47" s="159" t="n">
        <f aca="false">SUMPRODUCT((($B$6:$B$32="CLT")+($B$6:$B$32="Sócio"))*($H$6:$H$32&lt;=AJ$36)*($I$6:$I$32&gt;=AJ$36)*(($C$6:$C$32="Contratado")+($C$6:$C$32="Plano")*Premissas!$B$8)*$G$6:$G$32)</f>
        <v>15000</v>
      </c>
      <c r="AK47" s="159" t="n">
        <f aca="false">SUMPRODUCT((($B$6:$B$32="CLT")+($B$6:$B$32="Sócio"))*($H$6:$H$32&lt;=AK$36)*($I$6:$I$32&gt;=AK$36)*(($C$6:$C$32="Contratado")+($C$6:$C$32="Plano")*Premissas!$B$8)*$G$6:$G$32)</f>
        <v>15000</v>
      </c>
      <c r="AL47" s="159" t="n">
        <f aca="false">SUMPRODUCT((($B$6:$B$32="CLT")+($B$6:$B$32="Sócio"))*($H$6:$H$32&lt;=AL$36)*($I$6:$I$32&gt;=AL$36)*(($C$6:$C$32="Contratado")+($C$6:$C$32="Plano")*Premissas!$B$8)*$G$6:$G$32)</f>
        <v>32000</v>
      </c>
      <c r="AM47" s="159" t="n">
        <f aca="false">SUMPRODUCT((($B$6:$B$32="CLT")+($B$6:$B$32="Sócio"))*($H$6:$H$32&lt;=AM$36)*($I$6:$I$32&gt;=AM$36)*(($C$6:$C$32="Contratado")+($C$6:$C$32="Plano")*Premissas!$B$8)*$G$6:$G$32)</f>
        <v>32000</v>
      </c>
      <c r="AN47" s="159" t="n">
        <f aca="false">SUMPRODUCT((($B$6:$B$32="CLT")+($B$6:$B$32="Sócio"))*($H$6:$H$32&lt;=AN$36)*($I$6:$I$32&gt;=AN$36)*(($C$6:$C$32="Contratado")+($C$6:$C$32="Plano")*Premissas!$B$8)*$G$6:$G$32)</f>
        <v>32000</v>
      </c>
      <c r="AO47" s="159" t="n">
        <f aca="false">SUMPRODUCT((($B$6:$B$32="CLT")+($B$6:$B$32="Sócio"))*($H$6:$H$32&lt;=AO$36)*($I$6:$I$32&gt;=AO$36)*(($C$6:$C$32="Contratado")+($C$6:$C$32="Plano")*Premissas!$B$8)*$G$6:$G$32)</f>
        <v>32000</v>
      </c>
      <c r="AP47" s="159" t="n">
        <f aca="false">SUMPRODUCT((($B$6:$B$32="CLT")+($B$6:$B$32="Sócio"))*($H$6:$H$32&lt;=AP$36)*($I$6:$I$32&gt;=AP$36)*(($C$6:$C$32="Contratado")+($C$6:$C$32="Plano")*Premissas!$B$8)*$G$6:$G$32)</f>
        <v>32000</v>
      </c>
      <c r="AQ47" s="159" t="n">
        <f aca="false">SUMPRODUCT((($B$6:$B$32="CLT")+($B$6:$B$32="Sócio"))*($H$6:$H$32&lt;=AQ$36)*($I$6:$I$32&gt;=AQ$36)*(($C$6:$C$32="Contratado")+($C$6:$C$32="Plano")*Premissas!$B$8)*$G$6:$G$32)</f>
        <v>32000</v>
      </c>
      <c r="AR47" s="159" t="n">
        <f aca="false">SUMPRODUCT((($B$6:$B$32="CLT")+($B$6:$B$32="Sócio"))*($H$6:$H$32&lt;=AR$36)*($I$6:$I$32&gt;=AR$36)*(($C$6:$C$32="Contratado")+($C$6:$C$32="Plano")*Premissas!$B$8)*$G$6:$G$32)</f>
        <v>32000</v>
      </c>
      <c r="AS47" s="159" t="n">
        <f aca="false">SUMPRODUCT((($B$6:$B$32="CLT")+($B$6:$B$32="Sócio"))*($H$6:$H$32&lt;=AS$36)*($I$6:$I$32&gt;=AS$36)*(($C$6:$C$32="Contratado")+($C$6:$C$32="Plano")*Premissas!$B$8)*$G$6:$G$32)</f>
        <v>32000</v>
      </c>
      <c r="AT47" s="159" t="n">
        <f aca="false">SUMPRODUCT((($B$6:$B$32="CLT")+($B$6:$B$32="Sócio"))*($H$6:$H$32&lt;=AT$36)*($I$6:$I$32&gt;=AT$36)*(($C$6:$C$32="Contratado")+($C$6:$C$32="Plano")*Premissas!$B$8)*$G$6:$G$32)</f>
        <v>32000</v>
      </c>
      <c r="AU47" s="159" t="n">
        <f aca="false">SUMPRODUCT((($B$6:$B$32="CLT")+($B$6:$B$32="Sócio"))*($H$6:$H$32&lt;=AU$36)*($I$6:$I$32&gt;=AU$36)*(($C$6:$C$32="Contratado")+($C$6:$C$32="Plano")*Premissas!$B$8)*$G$6:$G$32)</f>
        <v>32000</v>
      </c>
      <c r="AV47" s="159" t="n">
        <f aca="false">SUMPRODUCT((($B$6:$B$32="CLT")+($B$6:$B$32="Sócio"))*($H$6:$H$32&lt;=AV$36)*($I$6:$I$32&gt;=AV$36)*(($C$6:$C$32="Contratado")+($C$6:$C$32="Plano")*Premissas!$B$8)*$G$6:$G$32)</f>
        <v>32000</v>
      </c>
      <c r="AW47" s="159" t="n">
        <f aca="false">SUMPRODUCT((($B$6:$B$32="CLT")+($B$6:$B$32="Sócio"))*($H$6:$H$32&lt;=AW$36)*($I$6:$I$32&gt;=AW$36)*(($C$6:$C$32="Contratado")+($C$6:$C$32="Plano")*Premissas!$B$8)*$G$6:$G$32)</f>
        <v>32000</v>
      </c>
      <c r="AX47" s="159" t="n">
        <f aca="false">SUMPRODUCT((($B$6:$B$32="CLT")+($B$6:$B$32="Sócio"))*($H$6:$H$32&lt;=AX$36)*($I$6:$I$32&gt;=AX$36)*(($C$6:$C$32="Contratado")+($C$6:$C$32="Plano")*Premissas!$B$8)*$G$6:$G$32)</f>
        <v>32000</v>
      </c>
      <c r="AY47" s="159" t="n">
        <f aca="false">SUMPRODUCT((($B$6:$B$32="CLT")+($B$6:$B$32="Sócio"))*($H$6:$H$32&lt;=AY$36)*($I$6:$I$32&gt;=AY$36)*(($C$6:$C$32="Contratado")+($C$6:$C$32="Plano")*Premissas!$B$8)*$G$6:$G$32)</f>
        <v>32000</v>
      </c>
      <c r="AZ47" s="159" t="n">
        <f aca="false">SUMPRODUCT((($B$6:$B$32="CLT")+($B$6:$B$32="Sócio"))*($H$6:$H$32&lt;=AZ$36)*($I$6:$I$32&gt;=AZ$36)*(($C$6:$C$32="Contratado")+($C$6:$C$32="Plano")*Premissas!$B$8)*$G$6:$G$32)</f>
        <v>32000</v>
      </c>
      <c r="BA47" s="159" t="n">
        <f aca="false">SUMPRODUCT((($B$6:$B$32="CLT")+($B$6:$B$32="Sócio"))*($H$6:$H$32&lt;=BA$36)*($I$6:$I$32&gt;=BA$36)*(($C$6:$C$32="Contratado")+($C$6:$C$32="Plano")*Premissas!$B$8)*$G$6:$G$32)</f>
        <v>32000</v>
      </c>
      <c r="BB47" s="159" t="n">
        <f aca="false">SUMPRODUCT((($B$6:$B$32="CLT")+($B$6:$B$32="Sócio"))*($H$6:$H$32&lt;=BB$36)*($I$6:$I$32&gt;=BB$36)*(($C$6:$C$32="Contratado")+($C$6:$C$32="Plano")*Premissas!$B$8)*$G$6:$G$32)</f>
        <v>32000</v>
      </c>
      <c r="BC47" s="159" t="n">
        <f aca="false">SUMPRODUCT((($B$6:$B$32="CLT")+($B$6:$B$32="Sócio"))*($H$6:$H$32&lt;=BC$36)*($I$6:$I$32&gt;=BC$36)*(($C$6:$C$32="Contratado")+($C$6:$C$32="Plano")*Premissas!$B$8)*$G$6:$G$32)</f>
        <v>32000</v>
      </c>
      <c r="BD47" s="159" t="n">
        <f aca="false">SUMPRODUCT((($B$6:$B$32="CLT")+($B$6:$B$32="Sócio"))*($H$6:$H$32&lt;=BD$36)*($I$6:$I$32&gt;=BD$36)*(($C$6:$C$32="Contratado")+($C$6:$C$32="Plano")*Premissas!$B$8)*$G$6:$G$32)</f>
        <v>32000</v>
      </c>
      <c r="BE47" s="159" t="n">
        <f aca="false">SUMPRODUCT((($B$6:$B$32="CLT")+($B$6:$B$32="Sócio"))*($H$6:$H$32&lt;=BE$36)*($I$6:$I$32&gt;=BE$36)*(($C$6:$C$32="Contratado")+($C$6:$C$32="Plano")*Premissas!$B$8)*$G$6:$G$32)</f>
        <v>32000</v>
      </c>
      <c r="BF47" s="159" t="n">
        <f aca="false">SUMPRODUCT((($B$6:$B$32="CLT")+($B$6:$B$32="Sócio"))*($H$6:$H$32&lt;=BF$36)*($I$6:$I$32&gt;=BF$36)*(($C$6:$C$32="Contratado")+($C$6:$C$32="Plano")*Premissas!$B$8)*$G$6:$G$32)</f>
        <v>32000</v>
      </c>
      <c r="BG47" s="159" t="n">
        <f aca="false">SUMPRODUCT((($B$6:$B$32="CLT")+($B$6:$B$32="Sócio"))*($H$6:$H$32&lt;=BG$36)*($I$6:$I$32&gt;=BG$36)*(($C$6:$C$32="Contratado")+($C$6:$C$32="Plano")*Premissas!$B$8)*$G$6:$G$32)</f>
        <v>32000</v>
      </c>
      <c r="BH47" s="159" t="n">
        <f aca="false">SUMPRODUCT((($B$6:$B$32="CLT")+($B$6:$B$32="Sócio"))*($H$6:$H$32&lt;=BH$36)*($I$6:$I$32&gt;=BH$36)*(($C$6:$C$32="Contratado")+($C$6:$C$32="Plano")*Premissas!$B$8)*$G$6:$G$32)</f>
        <v>32000</v>
      </c>
      <c r="BI47" s="159" t="n">
        <f aca="false">SUMPRODUCT((($B$6:$B$32="CLT")+($B$6:$B$32="Sócio"))*($H$6:$H$32&lt;=BI$36)*($I$6:$I$32&gt;=BI$36)*(($C$6:$C$32="Contratado")+($C$6:$C$32="Plano")*Premissas!$B$8)*$G$6:$G$32)</f>
        <v>32000</v>
      </c>
      <c r="BJ47" s="154" t="n">
        <f aca="false">SUM(B47:BI47)</f>
        <v>1128000</v>
      </c>
      <c r="BK47" s="51" t="s">
        <v>548</v>
      </c>
    </row>
    <row r="48" customFormat="false" ht="15.75" hidden="false" customHeight="true" outlineLevel="0" collapsed="false"/>
    <row r="49" customFormat="false" ht="18" hidden="false" customHeight="true" outlineLevel="0" collapsed="false">
      <c r="A49" s="47" t="s">
        <v>549</v>
      </c>
      <c r="B49" s="48"/>
      <c r="C49" s="48"/>
      <c r="D49" s="48"/>
      <c r="E49" s="48"/>
      <c r="F49" s="48"/>
      <c r="G49" s="48"/>
      <c r="H49" s="48"/>
      <c r="I49" s="48"/>
      <c r="J49" s="48"/>
    </row>
    <row r="50" customFormat="false" ht="15.75" hidden="false" customHeight="true" outlineLevel="0" collapsed="false">
      <c r="A50" s="203"/>
      <c r="B50" s="107" t="n">
        <v>2026</v>
      </c>
      <c r="C50" s="107" t="n">
        <v>2027</v>
      </c>
      <c r="D50" s="107" t="n">
        <v>2028</v>
      </c>
      <c r="E50" s="107" t="n">
        <v>2029</v>
      </c>
      <c r="F50" s="107" t="n">
        <v>2030</v>
      </c>
    </row>
    <row r="51" customFormat="false" ht="15.75" hidden="false" customHeight="true" outlineLevel="0" collapsed="false">
      <c r="A51" s="53" t="s">
        <v>550</v>
      </c>
      <c r="B51" s="163" t="n">
        <f aca="false">SUMIFS($B$45:$BI$45,$B$38:$BI$38,B$50)</f>
        <v>0</v>
      </c>
      <c r="C51" s="163" t="n">
        <f aca="false">SUMIFS($B$45:$BI$45,$B$38:$BI$38,C$50)</f>
        <v>510000</v>
      </c>
      <c r="D51" s="163" t="n">
        <f aca="false">SUMIFS($B$45:$BI$45,$B$38:$BI$38,D$50)</f>
        <v>1410000</v>
      </c>
      <c r="E51" s="163" t="n">
        <f aca="false">SUMIFS($B$45:$BI$45,$B$38:$BI$38,E$50)</f>
        <v>3039600</v>
      </c>
      <c r="F51" s="163" t="n">
        <f aca="false">SUMIFS($B$45:$BI$45,$B$38:$BI$38,F$50)</f>
        <v>4491600</v>
      </c>
    </row>
    <row r="52" customFormat="false" ht="15.75" hidden="false" customHeight="true" outlineLevel="0" collapsed="false">
      <c r="A52" s="49" t="s">
        <v>551</v>
      </c>
      <c r="B52" s="165" t="n">
        <f aca="false">SUMIFS($B$46:$BI$46,$B$38:$BI$38,B$50)</f>
        <v>21000</v>
      </c>
      <c r="C52" s="165" t="n">
        <f aca="false">SUMIFS($B$46:$BI$46,$B$38:$BI$38,C$50)</f>
        <v>0</v>
      </c>
      <c r="D52" s="165" t="n">
        <f aca="false">SUMIFS($B$46:$BI$46,$B$38:$BI$38,D$50)</f>
        <v>0</v>
      </c>
      <c r="E52" s="165" t="n">
        <f aca="false">SUMIFS($B$46:$BI$46,$B$38:$BI$38,E$50)</f>
        <v>0</v>
      </c>
      <c r="F52" s="165" t="n">
        <f aca="false">SUMIFS($B$46:$BI$46,$B$38:$BI$38,F$50)</f>
        <v>0</v>
      </c>
    </row>
    <row r="53" customFormat="false" ht="15.75" hidden="false" customHeight="true" outlineLevel="0" collapsed="false">
      <c r="A53" s="49" t="s">
        <v>552</v>
      </c>
      <c r="B53" s="165" t="n">
        <f aca="false">SUMIFS($B$47:$BI$47,$B$38:$BI$38,B$50)</f>
        <v>0</v>
      </c>
      <c r="C53" s="165" t="n">
        <f aca="false">SUMIFS($B$47:$BI$47,$B$38:$BI$38,C$50)</f>
        <v>180000</v>
      </c>
      <c r="D53" s="165" t="n">
        <f aca="false">SUMIFS($B$47:$BI$47,$B$38:$BI$38,D$50)</f>
        <v>180000</v>
      </c>
      <c r="E53" s="165" t="n">
        <f aca="false">SUMIFS($B$47:$BI$47,$B$38:$BI$38,E$50)</f>
        <v>384000</v>
      </c>
      <c r="F53" s="165" t="n">
        <f aca="false">SUMIFS($B$47:$BI$47,$B$38:$BI$38,F$50)</f>
        <v>384000</v>
      </c>
    </row>
    <row r="54" customFormat="false" ht="15.75" hidden="false" customHeight="true" outlineLevel="0" collapsed="false">
      <c r="A54" s="49" t="s">
        <v>553</v>
      </c>
      <c r="B54" s="204" t="n">
        <f aca="false">M41</f>
        <v>0</v>
      </c>
      <c r="C54" s="204" t="n">
        <f aca="false">Y41</f>
        <v>7</v>
      </c>
      <c r="D54" s="204" t="n">
        <f aca="false">AK41</f>
        <v>17</v>
      </c>
      <c r="E54" s="204" t="n">
        <f aca="false">AW41</f>
        <v>34</v>
      </c>
      <c r="F54" s="204" t="n">
        <f aca="false">BI41</f>
        <v>50</v>
      </c>
    </row>
    <row r="55" customFormat="false" ht="15.75" hidden="false" customHeight="true" outlineLevel="0" collapsed="false">
      <c r="A55" s="49" t="s">
        <v>554</v>
      </c>
      <c r="B55" s="205" t="n">
        <f aca="false">SUMIFS(Faturamento!$B$16:$BI$16,Faturamento!$B$6:$BI$6,B$50)</f>
        <v>7191</v>
      </c>
      <c r="C55" s="205" t="n">
        <f aca="false">SUMIFS(Faturamento!$B$16:$BI$16,Faturamento!$B$6:$BI$6,C$50)</f>
        <v>4266370.58306995</v>
      </c>
      <c r="D55" s="205" t="n">
        <f aca="false">SUMIFS(Faturamento!$B$16:$BI$16,Faturamento!$B$6:$BI$6,D$50)</f>
        <v>11883042.4841353</v>
      </c>
      <c r="E55" s="205" t="n">
        <f aca="false">SUMIFS(Faturamento!$B$16:$BI$16,Faturamento!$B$6:$BI$6,E$50)</f>
        <v>21235018.6989128</v>
      </c>
      <c r="F55" s="205" t="n">
        <f aca="false">SUMIFS(Faturamento!$B$16:$BI$16,Faturamento!$B$6:$BI$6,F$50)</f>
        <v>35439898.2077514</v>
      </c>
    </row>
    <row r="56" customFormat="false" ht="15.75" hidden="false" customHeight="true" outlineLevel="0" collapsed="false">
      <c r="A56" s="53" t="s">
        <v>555</v>
      </c>
      <c r="B56" s="206" t="n">
        <f aca="false">IFERROR(B53/B55,0)</f>
        <v>0</v>
      </c>
      <c r="C56" s="206" t="n">
        <f aca="false">IFERROR(C53/C55,0)</f>
        <v>0.042190427787564</v>
      </c>
      <c r="D56" s="206" t="n">
        <f aca="false">IFERROR(D53/D55,0)</f>
        <v>0.0151476358214079</v>
      </c>
      <c r="E56" s="206" t="n">
        <f aca="false">IFERROR(E53/E55,0)</f>
        <v>0.0180833370313755</v>
      </c>
      <c r="F56" s="206" t="n">
        <f aca="false">IFERROR(F53/F55,0)</f>
        <v>0.0108352455683976</v>
      </c>
    </row>
    <row r="57" customFormat="false" ht="15.75" hidden="false" customHeight="true" outlineLevel="0" collapsed="false">
      <c r="A57" s="49" t="s">
        <v>556</v>
      </c>
      <c r="B57" s="207" t="str">
        <f aca="false">IF(B56&gt;=0.28,"Anexo III","Anexo V")</f>
        <v>Anexo V</v>
      </c>
      <c r="C57" s="207" t="str">
        <f aca="false">IF(C56&gt;=0.28,"Anexo III","Anexo V")</f>
        <v>Anexo V</v>
      </c>
      <c r="D57" s="207" t="str">
        <f aca="false">IF(D56&gt;=0.28,"Anexo III","Anexo V")</f>
        <v>Anexo V</v>
      </c>
      <c r="E57" s="207" t="str">
        <f aca="false">IF(E56&gt;=0.28,"Anexo III","Anexo V")</f>
        <v>Anexo V</v>
      </c>
      <c r="F57" s="207" t="str">
        <f aca="false">IF(F56&gt;=0.28,"Anexo III","Anexo V")</f>
        <v>Anexo V</v>
      </c>
    </row>
    <row r="58" customFormat="false" ht="15.75" hidden="false" customHeight="true" outlineLevel="0" collapsed="false">
      <c r="A58" s="111" t="s">
        <v>557</v>
      </c>
      <c r="B58" s="208" t="str">
        <f aca="false">CHOOSE(Premissas!$B$23,"Anexo III","Anexo V","Lucro Presumido")</f>
        <v>Anexo V</v>
      </c>
      <c r="C58" s="208" t="str">
        <f aca="false">CHOOSE(Premissas!$B$23,"Anexo III","Anexo V","Lucro Presumido")</f>
        <v>Anexo V</v>
      </c>
      <c r="D58" s="208" t="str">
        <f aca="false">CHOOSE(Premissas!$B$23,"Anexo III","Anexo V","Lucro Presumido")</f>
        <v>Anexo V</v>
      </c>
      <c r="E58" s="208" t="str">
        <f aca="false">CHOOSE(Premissas!$B$23,"Anexo III","Anexo V","Lucro Presumido")</f>
        <v>Anexo V</v>
      </c>
      <c r="F58" s="208" t="str">
        <f aca="false">CHOOSE(Premissas!$B$23,"Anexo III","Anexo V","Lucro Presumido")</f>
        <v>Anexo V</v>
      </c>
    </row>
    <row r="59" customFormat="false" ht="15.75" hidden="false" customHeight="true" outlineLevel="0" collapsed="false">
      <c r="A59" s="53" t="s">
        <v>558</v>
      </c>
      <c r="B59" s="61" t="str">
        <f aca="false">IF(Premissas!$B$23=3,"n/a",IF(B58=B57,"✔ SIM","⚠ NÃO"))</f>
        <v>✔ SIM</v>
      </c>
      <c r="C59" s="61" t="str">
        <f aca="false">IF(Premissas!$B$23=3,"n/a",IF(C58=C57,"✔ SIM","⚠ NÃO"))</f>
        <v>✔ SIM</v>
      </c>
      <c r="D59" s="61" t="str">
        <f aca="false">IF(Premissas!$B$23=3,"n/a",IF(D58=D57,"✔ SIM","⚠ NÃO"))</f>
        <v>✔ SIM</v>
      </c>
      <c r="E59" s="61" t="str">
        <f aca="false">IF(Premissas!$B$23=3,"n/a",IF(E58=E57,"✔ SIM","⚠ NÃO"))</f>
        <v>✔ SIM</v>
      </c>
      <c r="F59" s="61" t="str">
        <f aca="false">IF(Premissas!$B$23=3,"n/a",IF(F58=F57,"✔ SIM","⚠ NÃO"))</f>
        <v>✔ SIM</v>
      </c>
    </row>
    <row r="60" customFormat="false" ht="15.75" hidden="false" customHeight="true" outlineLevel="0" collapsed="false">
      <c r="A60" s="111" t="s">
        <v>559</v>
      </c>
      <c r="B60" s="166" t="n">
        <f aca="false">IFERROR(B51/B55,0)</f>
        <v>0</v>
      </c>
      <c r="C60" s="166" t="n">
        <f aca="false">IFERROR(C51/C55,0)</f>
        <v>0.119539545398098</v>
      </c>
      <c r="D60" s="166" t="n">
        <f aca="false">IFERROR(D51/D55,0)</f>
        <v>0.118656480601028</v>
      </c>
      <c r="E60" s="166" t="n">
        <f aca="false">IFERROR(E51/E55,0)</f>
        <v>0.143140914688982</v>
      </c>
      <c r="F60" s="166" t="n">
        <f aca="false">IFERROR(F51/F55,0)</f>
        <v>0.126738513007851</v>
      </c>
    </row>
    <row r="61" customFormat="false" ht="15.75" hidden="false" customHeight="true" outlineLevel="0" collapsed="false"/>
    <row r="62" customFormat="false" ht="15.75" hidden="false" customHeight="true" outlineLevel="0" collapsed="false">
      <c r="A62" s="209" t="s">
        <v>560</v>
      </c>
    </row>
    <row r="63" customFormat="false" ht="43.5" hidden="false" customHeight="true" outlineLevel="0" collapsed="false">
      <c r="A63" s="72" t="s">
        <v>561</v>
      </c>
      <c r="B63" s="72"/>
      <c r="C63" s="72"/>
      <c r="D63" s="72"/>
      <c r="E63" s="72"/>
      <c r="F63" s="72"/>
      <c r="G63" s="72"/>
      <c r="H63" s="72"/>
      <c r="I63" s="72"/>
      <c r="J63" s="72"/>
    </row>
    <row r="64" customFormat="false" ht="15.75" hidden="false" customHeight="true" outlineLevel="0" collapsed="false">
      <c r="A64" s="209" t="s">
        <v>562</v>
      </c>
    </row>
    <row r="65" customFormat="false" ht="43.5" hidden="false" customHeight="true" outlineLevel="0" collapsed="false">
      <c r="A65" s="72" t="s">
        <v>563</v>
      </c>
      <c r="B65" s="72"/>
      <c r="C65" s="72"/>
      <c r="D65" s="72"/>
      <c r="E65" s="72"/>
      <c r="F65" s="72"/>
      <c r="G65" s="72"/>
      <c r="H65" s="72"/>
      <c r="I65" s="72"/>
      <c r="J65" s="72"/>
    </row>
    <row r="66" customFormat="false" ht="15.75" hidden="false" customHeight="true" outlineLevel="0" collapsed="false">
      <c r="A66" s="209" t="s">
        <v>564</v>
      </c>
    </row>
    <row r="67" customFormat="false" ht="43.5" hidden="false" customHeight="true" outlineLevel="0" collapsed="false">
      <c r="A67" s="72" t="s">
        <v>565</v>
      </c>
      <c r="B67" s="72"/>
      <c r="C67" s="72"/>
      <c r="D67" s="72"/>
      <c r="E67" s="72"/>
      <c r="F67" s="72"/>
      <c r="G67" s="72"/>
      <c r="H67" s="72"/>
      <c r="I67" s="72"/>
      <c r="J67" s="72"/>
    </row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3:J3"/>
    <mergeCell ref="A63:J63"/>
    <mergeCell ref="A65:J65"/>
    <mergeCell ref="A67:J67"/>
  </mergeCells>
  <dataValidations count="3">
    <dataValidation allowBlank="true" errorStyle="stop" operator="between" showDropDown="false" showErrorMessage="false" showInputMessage="false" sqref="C6:C32" type="list">
      <formula1>"Contratado,Plano"</formula1>
      <formula2>0</formula2>
    </dataValidation>
    <dataValidation allowBlank="true" errorStyle="stop" operator="between" showDropDown="false" showErrorMessage="false" showInputMessage="false" sqref="B6:B32" type="list">
      <formula1>"PJ,CLT,Sócio"</formula1>
      <formula2>0</formula2>
    </dataValidation>
    <dataValidation allowBlank="true" errorStyle="stop" operator="between" showDropDown="false" showErrorMessage="false" showInputMessage="false" sqref="J6:J32" type="list">
      <formula1>"Despesa,Investimento"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K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39.43"/>
    <col collapsed="false" customWidth="true" hidden="false" outlineLevel="0" max="2" min="2" style="37" width="43"/>
    <col collapsed="false" customWidth="true" hidden="false" outlineLevel="0" max="7" min="3" style="37" width="16"/>
    <col collapsed="false" customWidth="true" hidden="false" outlineLevel="0" max="8" min="8" style="37" width="46"/>
    <col collapsed="false" customWidth="true" hidden="false" outlineLevel="0" max="61" min="9" style="37" width="11"/>
    <col collapsed="false" customWidth="true" hidden="false" outlineLevel="0" max="62" min="62" style="37" width="15"/>
    <col collapsed="false" customWidth="true" hidden="false" outlineLevel="0" max="63" min="63" style="37" width="54.43"/>
  </cols>
  <sheetData>
    <row r="1" customFormat="false" ht="25.5" hidden="false" customHeight="true" outlineLevel="0" collapsed="false">
      <c r="A1" s="38" t="s">
        <v>566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customFormat="false" ht="15.75" hidden="false" customHeight="true" outlineLevel="0" collapsed="false">
      <c r="A2" s="40" t="s">
        <v>567</v>
      </c>
    </row>
    <row r="3" customFormat="false" ht="30" hidden="false" customHeight="true" outlineLevel="0" collapsed="false">
      <c r="A3" s="177" t="s">
        <v>568</v>
      </c>
      <c r="B3" s="177"/>
      <c r="C3" s="177"/>
      <c r="D3" s="177"/>
      <c r="E3" s="177"/>
      <c r="F3" s="177"/>
      <c r="G3" s="177"/>
      <c r="H3" s="177"/>
      <c r="I3" s="177"/>
      <c r="J3" s="177"/>
    </row>
    <row r="4" customFormat="false" ht="18" hidden="false" customHeight="true" outlineLevel="0" collapsed="false">
      <c r="A4" s="47" t="s">
        <v>569</v>
      </c>
      <c r="B4" s="48"/>
      <c r="C4" s="48"/>
      <c r="D4" s="48"/>
      <c r="E4" s="48"/>
      <c r="F4" s="48"/>
      <c r="G4" s="48"/>
      <c r="H4" s="48"/>
    </row>
    <row r="5" customFormat="false" ht="15" hidden="false" customHeight="true" outlineLevel="0" collapsed="false">
      <c r="A5" s="106" t="s">
        <v>570</v>
      </c>
      <c r="B5" s="106" t="s">
        <v>571</v>
      </c>
      <c r="C5" s="106" t="s">
        <v>330</v>
      </c>
      <c r="D5" s="106" t="s">
        <v>328</v>
      </c>
      <c r="E5" s="106" t="s">
        <v>504</v>
      </c>
      <c r="F5" s="210" t="s">
        <v>572</v>
      </c>
      <c r="G5" s="210"/>
      <c r="H5" s="210"/>
    </row>
    <row r="6" customFormat="false" ht="15" hidden="false" customHeight="true" outlineLevel="0" collapsed="false">
      <c r="A6" s="211" t="n">
        <v>46128</v>
      </c>
      <c r="B6" s="178" t="s">
        <v>573</v>
      </c>
      <c r="C6" s="181" t="n">
        <v>10000</v>
      </c>
      <c r="D6" s="179" t="s">
        <v>574</v>
      </c>
      <c r="E6" s="179" t="s">
        <v>575</v>
      </c>
      <c r="F6" s="178"/>
      <c r="G6" s="178"/>
      <c r="H6" s="178"/>
    </row>
    <row r="7" customFormat="false" ht="15" hidden="false" customHeight="true" outlineLevel="0" collapsed="false">
      <c r="A7" s="211" t="n">
        <v>46207</v>
      </c>
      <c r="B7" s="178" t="s">
        <v>576</v>
      </c>
      <c r="C7" s="181" t="n">
        <v>5000</v>
      </c>
      <c r="D7" s="179" t="s">
        <v>574</v>
      </c>
      <c r="E7" s="179" t="s">
        <v>575</v>
      </c>
      <c r="F7" s="178"/>
      <c r="G7" s="178"/>
      <c r="H7" s="178"/>
    </row>
    <row r="8" customFormat="false" ht="15" hidden="false" customHeight="true" outlineLevel="0" collapsed="false">
      <c r="A8" s="211" t="n">
        <v>46254</v>
      </c>
      <c r="B8" s="178" t="s">
        <v>573</v>
      </c>
      <c r="C8" s="181" t="n">
        <v>10000</v>
      </c>
      <c r="D8" s="179" t="s">
        <v>574</v>
      </c>
      <c r="E8" s="179" t="s">
        <v>575</v>
      </c>
      <c r="F8" s="178" t="s">
        <v>577</v>
      </c>
      <c r="G8" s="178"/>
      <c r="H8" s="178"/>
    </row>
    <row r="9" customFormat="false" ht="15" hidden="false" customHeight="true" outlineLevel="0" collapsed="false">
      <c r="A9" s="211" t="n">
        <v>46254</v>
      </c>
      <c r="B9" s="178" t="s">
        <v>578</v>
      </c>
      <c r="C9" s="181" t="n">
        <v>3000</v>
      </c>
      <c r="D9" s="179" t="s">
        <v>574</v>
      </c>
      <c r="E9" s="179" t="s">
        <v>575</v>
      </c>
      <c r="F9" s="178"/>
      <c r="G9" s="178"/>
      <c r="H9" s="178"/>
    </row>
    <row r="10" customFormat="false" ht="15" hidden="false" customHeight="true" outlineLevel="0" collapsed="false">
      <c r="A10" s="211" t="n">
        <v>46254</v>
      </c>
      <c r="B10" s="178" t="s">
        <v>579</v>
      </c>
      <c r="C10" s="181" t="n">
        <v>2000</v>
      </c>
      <c r="D10" s="179" t="s">
        <v>574</v>
      </c>
      <c r="E10" s="179" t="s">
        <v>575</v>
      </c>
      <c r="F10" s="178"/>
      <c r="G10" s="178"/>
      <c r="H10" s="178"/>
    </row>
    <row r="11" customFormat="false" ht="15" hidden="false" customHeight="true" outlineLevel="0" collapsed="false">
      <c r="A11" s="211" t="n">
        <v>46263</v>
      </c>
      <c r="B11" s="178" t="s">
        <v>579</v>
      </c>
      <c r="C11" s="181" t="n">
        <v>3000</v>
      </c>
      <c r="D11" s="179" t="s">
        <v>574</v>
      </c>
      <c r="E11" s="179" t="s">
        <v>575</v>
      </c>
      <c r="F11" s="178"/>
      <c r="G11" s="178"/>
      <c r="H11" s="178"/>
    </row>
    <row r="12" customFormat="false" ht="15" hidden="false" customHeight="true" outlineLevel="0" collapsed="false">
      <c r="A12" s="211" t="n">
        <v>46269</v>
      </c>
      <c r="B12" s="178" t="s">
        <v>578</v>
      </c>
      <c r="C12" s="181" t="n">
        <v>2000</v>
      </c>
      <c r="D12" s="179" t="s">
        <v>574</v>
      </c>
      <c r="E12" s="179" t="s">
        <v>575</v>
      </c>
      <c r="F12" s="178"/>
      <c r="G12" s="178"/>
      <c r="H12" s="178"/>
      <c r="I12" s="178"/>
    </row>
    <row r="13" customFormat="false" ht="15" hidden="false" customHeight="true" outlineLevel="0" collapsed="false">
      <c r="A13" s="211" t="n">
        <v>46281</v>
      </c>
      <c r="B13" s="178" t="s">
        <v>579</v>
      </c>
      <c r="C13" s="181" t="n">
        <v>1000</v>
      </c>
      <c r="D13" s="179" t="s">
        <v>574</v>
      </c>
      <c r="E13" s="179" t="s">
        <v>575</v>
      </c>
      <c r="F13" s="178"/>
      <c r="G13" s="178"/>
      <c r="H13" s="178"/>
      <c r="I13" s="178"/>
    </row>
    <row r="14" customFormat="false" ht="15" hidden="false" customHeight="true" outlineLevel="0" collapsed="false">
      <c r="A14" s="211" t="n">
        <v>46281</v>
      </c>
      <c r="B14" s="178" t="s">
        <v>576</v>
      </c>
      <c r="C14" s="181" t="n">
        <v>1000</v>
      </c>
      <c r="D14" s="179" t="s">
        <v>574</v>
      </c>
      <c r="E14" s="179" t="s">
        <v>575</v>
      </c>
      <c r="F14" s="178"/>
      <c r="G14" s="178"/>
      <c r="H14" s="178"/>
      <c r="I14" s="178"/>
    </row>
    <row r="15" customFormat="false" ht="15" hidden="false" customHeight="true" outlineLevel="0" collapsed="false">
      <c r="A15" s="212" t="n">
        <v>46310</v>
      </c>
      <c r="B15" s="213" t="s">
        <v>580</v>
      </c>
      <c r="C15" s="214" t="n">
        <v>40000</v>
      </c>
      <c r="D15" s="215" t="s">
        <v>581</v>
      </c>
      <c r="E15" s="215" t="s">
        <v>582</v>
      </c>
      <c r="F15" s="213" t="s">
        <v>583</v>
      </c>
      <c r="G15" s="213"/>
      <c r="H15" s="213"/>
    </row>
    <row r="16" customFormat="false" ht="15" hidden="false" customHeight="true" outlineLevel="0" collapsed="false">
      <c r="A16" s="212" t="n">
        <v>46310</v>
      </c>
      <c r="B16" s="213" t="s">
        <v>584</v>
      </c>
      <c r="C16" s="214" t="n">
        <v>40000</v>
      </c>
      <c r="D16" s="215" t="s">
        <v>581</v>
      </c>
      <c r="E16" s="215" t="s">
        <v>582</v>
      </c>
      <c r="F16" s="213" t="s">
        <v>583</v>
      </c>
      <c r="G16" s="213"/>
      <c r="H16" s="213"/>
    </row>
    <row r="17" customFormat="false" ht="15" hidden="false" customHeight="true" outlineLevel="0" collapsed="false">
      <c r="A17" s="216"/>
      <c r="B17" s="217"/>
      <c r="C17" s="218"/>
      <c r="D17" s="219"/>
      <c r="E17" s="219"/>
      <c r="F17" s="217"/>
      <c r="G17" s="217"/>
      <c r="H17" s="217"/>
    </row>
    <row r="18" customFormat="false" ht="15" hidden="false" customHeight="true" outlineLevel="0" collapsed="false">
      <c r="A18" s="216"/>
      <c r="B18" s="217"/>
      <c r="C18" s="218"/>
      <c r="D18" s="219"/>
      <c r="E18" s="219"/>
      <c r="F18" s="217"/>
      <c r="G18" s="217"/>
      <c r="H18" s="217"/>
    </row>
    <row r="19" customFormat="false" ht="15.75" hidden="false" customHeight="true" outlineLevel="0" collapsed="false">
      <c r="A19" s="216"/>
      <c r="B19" s="217"/>
      <c r="C19" s="218"/>
      <c r="D19" s="219"/>
      <c r="E19" s="219"/>
      <c r="F19" s="217"/>
      <c r="G19" s="217"/>
      <c r="H19" s="217"/>
    </row>
    <row r="20" customFormat="false" ht="15.75" hidden="false" customHeight="true" outlineLevel="0" collapsed="false">
      <c r="A20" s="216"/>
      <c r="B20" s="217"/>
      <c r="C20" s="218"/>
      <c r="D20" s="219"/>
      <c r="E20" s="219"/>
      <c r="F20" s="217"/>
      <c r="G20" s="217"/>
      <c r="H20" s="217"/>
    </row>
    <row r="21" customFormat="false" ht="15.75" hidden="false" customHeight="true" outlineLevel="0" collapsed="false">
      <c r="A21" s="216"/>
      <c r="B21" s="217"/>
      <c r="C21" s="218"/>
      <c r="D21" s="219"/>
      <c r="E21" s="219"/>
      <c r="F21" s="217"/>
      <c r="G21" s="217"/>
      <c r="H21" s="217"/>
    </row>
    <row r="22" customFormat="false" ht="15.75" hidden="false" customHeight="true" outlineLevel="0" collapsed="false">
      <c r="A22" s="220"/>
      <c r="B22" s="137"/>
      <c r="C22" s="221"/>
      <c r="D22" s="138"/>
      <c r="E22" s="138"/>
      <c r="F22" s="137"/>
      <c r="G22" s="137"/>
      <c r="H22" s="137"/>
    </row>
    <row r="23" customFormat="false" ht="15.75" hidden="false" customHeight="true" outlineLevel="0" collapsed="false">
      <c r="A23" s="220"/>
      <c r="B23" s="137"/>
      <c r="C23" s="221"/>
      <c r="D23" s="138"/>
      <c r="E23" s="138"/>
      <c r="F23" s="137"/>
      <c r="G23" s="137"/>
      <c r="H23" s="137"/>
    </row>
    <row r="24" customFormat="false" ht="15.75" hidden="false" customHeight="true" outlineLevel="0" collapsed="false">
      <c r="A24" s="220"/>
      <c r="B24" s="137"/>
      <c r="C24" s="221"/>
      <c r="D24" s="138"/>
      <c r="E24" s="138"/>
      <c r="F24" s="137"/>
      <c r="G24" s="137"/>
      <c r="H24" s="137"/>
    </row>
    <row r="25" customFormat="false" ht="15.75" hidden="false" customHeight="true" outlineLevel="0" collapsed="false">
      <c r="A25" s="220"/>
      <c r="B25" s="137"/>
      <c r="C25" s="221"/>
      <c r="D25" s="138"/>
      <c r="E25" s="138"/>
      <c r="F25" s="137"/>
      <c r="G25" s="137"/>
      <c r="H25" s="137"/>
    </row>
    <row r="26" customFormat="false" ht="15.75" hidden="false" customHeight="true" outlineLevel="0" collapsed="false">
      <c r="A26" s="220"/>
      <c r="B26" s="137"/>
      <c r="C26" s="221"/>
      <c r="D26" s="138"/>
      <c r="E26" s="138"/>
      <c r="F26" s="137"/>
      <c r="G26" s="137"/>
      <c r="H26" s="137"/>
    </row>
    <row r="27" customFormat="false" ht="15.75" hidden="false" customHeight="true" outlineLevel="0" collapsed="false">
      <c r="A27" s="220"/>
      <c r="B27" s="137"/>
      <c r="C27" s="221"/>
      <c r="D27" s="138"/>
      <c r="E27" s="138"/>
      <c r="F27" s="137"/>
      <c r="G27" s="137"/>
      <c r="H27" s="137"/>
    </row>
    <row r="28" customFormat="false" ht="15.75" hidden="false" customHeight="true" outlineLevel="0" collapsed="false">
      <c r="A28" s="220"/>
      <c r="B28" s="137"/>
      <c r="C28" s="221"/>
      <c r="D28" s="138"/>
      <c r="E28" s="138"/>
      <c r="F28" s="137"/>
      <c r="G28" s="137"/>
      <c r="H28" s="137"/>
    </row>
    <row r="29" customFormat="false" ht="15.75" hidden="false" customHeight="true" outlineLevel="0" collapsed="false">
      <c r="A29" s="220"/>
      <c r="B29" s="137"/>
      <c r="C29" s="221"/>
      <c r="D29" s="138"/>
      <c r="E29" s="138"/>
      <c r="F29" s="137"/>
      <c r="G29" s="137"/>
      <c r="H29" s="137"/>
    </row>
    <row r="30" customFormat="false" ht="15.75" hidden="false" customHeight="true" outlineLevel="0" collapsed="false">
      <c r="A30" s="220"/>
      <c r="B30" s="137"/>
      <c r="C30" s="221"/>
      <c r="D30" s="138"/>
      <c r="E30" s="138"/>
      <c r="F30" s="137"/>
      <c r="G30" s="137"/>
      <c r="H30" s="137"/>
    </row>
    <row r="31" customFormat="false" ht="15.75" hidden="false" customHeight="true" outlineLevel="0" collapsed="false">
      <c r="A31" s="220"/>
      <c r="B31" s="137"/>
      <c r="C31" s="221"/>
      <c r="D31" s="138"/>
      <c r="E31" s="138"/>
      <c r="F31" s="137"/>
      <c r="G31" s="137"/>
      <c r="H31" s="137"/>
    </row>
    <row r="32" customFormat="false" ht="15.75" hidden="false" customHeight="true" outlineLevel="0" collapsed="false">
      <c r="A32" s="220"/>
      <c r="B32" s="137"/>
      <c r="C32" s="221"/>
      <c r="D32" s="138"/>
      <c r="E32" s="138"/>
      <c r="F32" s="137"/>
      <c r="G32" s="137"/>
      <c r="H32" s="137"/>
    </row>
    <row r="33" customFormat="false" ht="15.75" hidden="false" customHeight="true" outlineLevel="0" collapsed="false">
      <c r="A33" s="220"/>
      <c r="B33" s="137"/>
      <c r="C33" s="221"/>
      <c r="D33" s="138"/>
      <c r="E33" s="138"/>
      <c r="F33" s="137"/>
      <c r="G33" s="137"/>
      <c r="H33" s="137"/>
    </row>
    <row r="34" customFormat="false" ht="15.75" hidden="false" customHeight="true" outlineLevel="0" collapsed="false">
      <c r="A34" s="220"/>
      <c r="B34" s="137"/>
      <c r="C34" s="221"/>
      <c r="D34" s="138"/>
      <c r="E34" s="138"/>
      <c r="F34" s="137"/>
      <c r="G34" s="137"/>
      <c r="H34" s="137"/>
    </row>
    <row r="35" customFormat="false" ht="15.75" hidden="false" customHeight="true" outlineLevel="0" collapsed="false">
      <c r="A35" s="220"/>
      <c r="B35" s="137"/>
      <c r="C35" s="221"/>
      <c r="D35" s="138"/>
      <c r="E35" s="138"/>
      <c r="F35" s="137"/>
      <c r="G35" s="137"/>
      <c r="H35" s="137"/>
    </row>
    <row r="36" customFormat="false" ht="15.75" hidden="false" customHeight="true" outlineLevel="0" collapsed="false">
      <c r="B36" s="199" t="s">
        <v>585</v>
      </c>
      <c r="C36" s="200" t="n">
        <f aca="false">SUMPRODUCT((($D$6:$D$35="Realizado")+($D$6:$D$35="Compromisso")+($D$6:$D$35="Previsto")*Premissas!$B$105+($D$6:$D$35="Em negociação")*Premissas!$B$106)*$C$6:$C$35)</f>
        <v>117000</v>
      </c>
    </row>
    <row r="37" customFormat="false" ht="15.75" hidden="false" customHeight="true" outlineLevel="0" collapsed="false"/>
    <row r="38" customFormat="false" ht="18" hidden="false" customHeight="true" outlineLevel="0" collapsed="false">
      <c r="A38" s="47" t="s">
        <v>586</v>
      </c>
      <c r="B38" s="48"/>
      <c r="C38" s="48"/>
      <c r="D38" s="48"/>
      <c r="E38" s="48"/>
      <c r="F38" s="48"/>
      <c r="G38" s="48"/>
      <c r="H38" s="48"/>
    </row>
    <row r="39" customFormat="false" ht="27.75" hidden="false" customHeight="true" outlineLevel="0" collapsed="false">
      <c r="A39" s="127" t="s">
        <v>587</v>
      </c>
      <c r="B39" s="127"/>
      <c r="C39" s="127"/>
      <c r="D39" s="127"/>
      <c r="E39" s="127"/>
      <c r="F39" s="127"/>
      <c r="G39" s="127"/>
      <c r="H39" s="127"/>
    </row>
    <row r="40" customFormat="false" ht="27.75" hidden="false" customHeight="true" outlineLevel="0" collapsed="false">
      <c r="A40" s="128" t="s">
        <v>588</v>
      </c>
      <c r="B40" s="128" t="s">
        <v>328</v>
      </c>
      <c r="C40" s="128" t="s">
        <v>589</v>
      </c>
      <c r="D40" s="128" t="s">
        <v>590</v>
      </c>
      <c r="E40" s="128" t="s">
        <v>591</v>
      </c>
      <c r="F40" s="128" t="s">
        <v>592</v>
      </c>
      <c r="G40" s="128" t="s">
        <v>593</v>
      </c>
      <c r="H40" s="128" t="s">
        <v>572</v>
      </c>
    </row>
    <row r="41" customFormat="false" ht="15.75" hidden="false" customHeight="true" outlineLevel="0" collapsed="false">
      <c r="A41" s="222" t="s">
        <v>594</v>
      </c>
      <c r="B41" s="223" t="s">
        <v>581</v>
      </c>
      <c r="C41" s="224" t="n">
        <v>200000</v>
      </c>
      <c r="D41" s="225" t="n">
        <v>46419</v>
      </c>
      <c r="E41" s="224" t="n">
        <v>5000</v>
      </c>
      <c r="F41" s="225" t="n">
        <v>46447</v>
      </c>
      <c r="G41" s="225" t="n">
        <v>47818</v>
      </c>
      <c r="H41" s="226" t="s">
        <v>595</v>
      </c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  <c r="BC41" s="227"/>
      <c r="BD41" s="227"/>
      <c r="BE41" s="227"/>
      <c r="BF41" s="227"/>
      <c r="BG41" s="227"/>
      <c r="BH41" s="227"/>
      <c r="BI41" s="227"/>
      <c r="BJ41" s="227"/>
      <c r="BK41" s="227"/>
    </row>
    <row r="42" customFormat="false" ht="15.75" hidden="false" customHeight="true" outlineLevel="0" collapsed="false">
      <c r="A42" s="137"/>
      <c r="B42" s="138" t="s">
        <v>581</v>
      </c>
      <c r="C42" s="221" t="n">
        <v>0</v>
      </c>
      <c r="D42" s="140" t="n">
        <v>46753</v>
      </c>
      <c r="E42" s="221" t="n">
        <v>0</v>
      </c>
      <c r="F42" s="140" t="n">
        <v>46753</v>
      </c>
      <c r="G42" s="140" t="n">
        <v>47818</v>
      </c>
      <c r="H42" s="228"/>
    </row>
    <row r="43" customFormat="false" ht="15.75" hidden="false" customHeight="true" outlineLevel="0" collapsed="false">
      <c r="A43" s="137"/>
      <c r="B43" s="138" t="s">
        <v>581</v>
      </c>
      <c r="C43" s="221" t="n">
        <v>0</v>
      </c>
      <c r="D43" s="140" t="n">
        <v>46753</v>
      </c>
      <c r="E43" s="221" t="n">
        <v>0</v>
      </c>
      <c r="F43" s="140" t="n">
        <v>46753</v>
      </c>
      <c r="G43" s="140" t="n">
        <v>47818</v>
      </c>
      <c r="H43" s="228"/>
    </row>
    <row r="44" customFormat="false" ht="15.75" hidden="false" customHeight="true" outlineLevel="0" collapsed="false">
      <c r="A44" s="137"/>
      <c r="B44" s="138" t="s">
        <v>581</v>
      </c>
      <c r="C44" s="221" t="n">
        <v>0</v>
      </c>
      <c r="D44" s="140" t="n">
        <v>46753</v>
      </c>
      <c r="E44" s="221" t="n">
        <v>0</v>
      </c>
      <c r="F44" s="140" t="n">
        <v>46753</v>
      </c>
      <c r="G44" s="140" t="n">
        <v>47818</v>
      </c>
      <c r="H44" s="228"/>
    </row>
    <row r="45" customFormat="false" ht="15.75" hidden="false" customHeight="true" outlineLevel="0" collapsed="false">
      <c r="A45" s="137"/>
      <c r="B45" s="138" t="s">
        <v>581</v>
      </c>
      <c r="C45" s="221" t="n">
        <v>0</v>
      </c>
      <c r="D45" s="140" t="n">
        <v>46753</v>
      </c>
      <c r="E45" s="221" t="n">
        <v>0</v>
      </c>
      <c r="F45" s="140" t="n">
        <v>46753</v>
      </c>
      <c r="G45" s="140" t="n">
        <v>47818</v>
      </c>
      <c r="H45" s="228"/>
    </row>
    <row r="46" customFormat="false" ht="15.75" hidden="false" customHeight="true" outlineLevel="0" collapsed="false">
      <c r="A46" s="137"/>
      <c r="B46" s="138" t="s">
        <v>581</v>
      </c>
      <c r="C46" s="221" t="n">
        <v>0</v>
      </c>
      <c r="D46" s="140" t="n">
        <v>46753</v>
      </c>
      <c r="E46" s="221" t="n">
        <v>0</v>
      </c>
      <c r="F46" s="140" t="n">
        <v>46753</v>
      </c>
      <c r="G46" s="140" t="n">
        <v>47818</v>
      </c>
      <c r="H46" s="228"/>
    </row>
    <row r="47" customFormat="false" ht="15.75" hidden="false" customHeight="true" outlineLevel="0" collapsed="false">
      <c r="A47" s="137"/>
      <c r="B47" s="138" t="s">
        <v>581</v>
      </c>
      <c r="C47" s="221" t="n">
        <v>0</v>
      </c>
      <c r="D47" s="140" t="n">
        <v>46753</v>
      </c>
      <c r="E47" s="221" t="n">
        <v>0</v>
      </c>
      <c r="F47" s="140" t="n">
        <v>46753</v>
      </c>
      <c r="G47" s="140" t="n">
        <v>47818</v>
      </c>
      <c r="H47" s="228"/>
    </row>
    <row r="48" customFormat="false" ht="15.75" hidden="false" customHeight="true" outlineLevel="0" collapsed="false">
      <c r="A48" s="137"/>
      <c r="B48" s="138" t="s">
        <v>581</v>
      </c>
      <c r="C48" s="221" t="n">
        <v>0</v>
      </c>
      <c r="D48" s="140" t="n">
        <v>46753</v>
      </c>
      <c r="E48" s="221" t="n">
        <v>0</v>
      </c>
      <c r="F48" s="140" t="n">
        <v>46753</v>
      </c>
      <c r="G48" s="140" t="n">
        <v>47818</v>
      </c>
      <c r="H48" s="228"/>
    </row>
    <row r="49" customFormat="false" ht="15.75" hidden="false" customHeight="true" outlineLevel="0" collapsed="false">
      <c r="A49" s="199" t="s">
        <v>385</v>
      </c>
      <c r="C49" s="200" t="n">
        <f aca="false">SUMPRODUCT((($B$41:$B$48="Confirmado")+($B$41:$B$48="Em negociação")*Premissas!$B$106)*$C$41:$C$48)</f>
        <v>200000</v>
      </c>
      <c r="E49" s="200" t="n">
        <f aca="false">SUMPRODUCT((($B$41:$B$48="Confirmado")+($B$41:$B$48="Em negociação")*Premissas!$B$106)*$E$41:$E$48)</f>
        <v>5000</v>
      </c>
      <c r="I49" s="51" t="s">
        <v>596</v>
      </c>
    </row>
    <row r="50" customFormat="false" ht="15.75" hidden="false" customHeight="true" outlineLevel="0" collapsed="false"/>
    <row r="51" customFormat="false" ht="18" hidden="false" customHeight="true" outlineLevel="0" collapsed="false">
      <c r="A51" s="47" t="s">
        <v>597</v>
      </c>
      <c r="B51" s="48"/>
      <c r="C51" s="48"/>
      <c r="D51" s="48"/>
      <c r="E51" s="48"/>
      <c r="F51" s="48"/>
      <c r="G51" s="48"/>
      <c r="H51" s="48"/>
    </row>
    <row r="52" customFormat="false" ht="15.75" hidden="false" customHeight="true" outlineLevel="0" collapsed="false">
      <c r="B52" s="203" t="s">
        <v>598</v>
      </c>
      <c r="C52" s="160" t="n">
        <f aca="false">SUMIFS($C$6:$C$35,$D$6:$D$35,"Realizado")</f>
        <v>37000</v>
      </c>
    </row>
    <row r="53" customFormat="false" ht="15.75" hidden="false" customHeight="true" outlineLevel="0" collapsed="false">
      <c r="B53" s="203" t="s">
        <v>599</v>
      </c>
      <c r="C53" s="160" t="n">
        <f aca="false">SUMIFS($C$6:$C$35,$D$6:$D$35,"Compromisso")</f>
        <v>0</v>
      </c>
    </row>
    <row r="54" customFormat="false" ht="15.75" hidden="false" customHeight="true" outlineLevel="0" collapsed="false">
      <c r="B54" s="203" t="s">
        <v>600</v>
      </c>
      <c r="C54" s="160" t="n">
        <f aca="false">SUMIFS($C$6:$C$35,$D$6:$D$35,"Previsto")*Premissas!$B$105</f>
        <v>0</v>
      </c>
    </row>
    <row r="55" customFormat="false" ht="15.75" hidden="false" customHeight="true" outlineLevel="0" collapsed="false">
      <c r="B55" s="203" t="s">
        <v>601</v>
      </c>
      <c r="C55" s="160" t="n">
        <f aca="false">SUMIFS($C$6:$C$35,$D$6:$D$35,"Em negociação")*Premissas!$B$106</f>
        <v>80000</v>
      </c>
    </row>
    <row r="56" customFormat="false" ht="15.75" hidden="false" customHeight="true" outlineLevel="0" collapsed="false">
      <c r="B56" s="203" t="s">
        <v>602</v>
      </c>
      <c r="C56" s="160" t="n">
        <f aca="false">SUMPRODUCT((($B$41:$B$48="Confirmado")+($B$41:$B$48="Em negociação")*Premissas!$B$106)*$C$41:$C$48)</f>
        <v>200000</v>
      </c>
    </row>
    <row r="57" customFormat="false" ht="15.75" hidden="false" customHeight="true" outlineLevel="0" collapsed="false">
      <c r="B57" s="199" t="s">
        <v>603</v>
      </c>
      <c r="C57" s="200" t="n">
        <f aca="false">C36+C49</f>
        <v>317000</v>
      </c>
      <c r="E57" s="51" t="s">
        <v>604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8" hidden="false" customHeight="true" outlineLevel="0" collapsed="false">
      <c r="A60" s="47" t="s">
        <v>605</v>
      </c>
      <c r="B60" s="48"/>
      <c r="C60" s="48"/>
      <c r="D60" s="48"/>
      <c r="E60" s="48"/>
      <c r="F60" s="48"/>
      <c r="G60" s="48"/>
      <c r="H60" s="48"/>
    </row>
    <row r="61" customFormat="false" ht="15.75" hidden="false" customHeight="true" outlineLevel="0" collapsed="false">
      <c r="A61" s="229" t="s">
        <v>575</v>
      </c>
      <c r="B61" s="229" t="s">
        <v>606</v>
      </c>
      <c r="C61" s="229" t="s">
        <v>607</v>
      </c>
      <c r="D61" s="229" t="s">
        <v>608</v>
      </c>
      <c r="E61" s="229" t="s">
        <v>609</v>
      </c>
      <c r="F61" s="229" t="s">
        <v>610</v>
      </c>
    </row>
    <row r="62" customFormat="false" ht="15.75" hidden="false" customHeight="true" outlineLevel="0" collapsed="false">
      <c r="A62" s="230" t="s">
        <v>573</v>
      </c>
      <c r="B62" s="195" t="n">
        <v>20000</v>
      </c>
      <c r="C62" s="218" t="n">
        <f aca="false">SUMIFS($C$6:$C$35,$B$6:$B$35,$A62,$A$6:$A$35,"&lt;="&amp;DATE(2026,12,31))</f>
        <v>20000</v>
      </c>
      <c r="D62" s="218" t="n">
        <f aca="false">SUMIFS($C$6:$C$35,$B$6:$B$35,$A62)</f>
        <v>20000</v>
      </c>
      <c r="E62" s="218" t="n">
        <f aca="false">MAX(0,10000-$C62)</f>
        <v>0</v>
      </c>
      <c r="F62" s="218" t="n">
        <f aca="false">MAX(0,$B62-$D62)</f>
        <v>0</v>
      </c>
      <c r="H62" s="51" t="s">
        <v>611</v>
      </c>
    </row>
    <row r="63" customFormat="false" ht="15.75" hidden="false" customHeight="true" outlineLevel="0" collapsed="false">
      <c r="A63" s="230" t="s">
        <v>576</v>
      </c>
      <c r="B63" s="195" t="n">
        <v>20000</v>
      </c>
      <c r="C63" s="218" t="n">
        <f aca="false">SUMIFS($C$6:$C$35,$B$6:$B$35,$A63,$A$6:$A$35,"&lt;="&amp;DATE(2026,12,31))</f>
        <v>6000</v>
      </c>
      <c r="D63" s="218" t="n">
        <f aca="false">SUMIFS($C$6:$C$35,$B$6:$B$35,$A63)</f>
        <v>6000</v>
      </c>
      <c r="E63" s="218" t="n">
        <f aca="false">MAX(0,10000-$C63)</f>
        <v>4000</v>
      </c>
      <c r="F63" s="218" t="n">
        <f aca="false">MAX(0,$B63-$D63)</f>
        <v>14000</v>
      </c>
    </row>
    <row r="64" customFormat="false" ht="15.75" hidden="false" customHeight="true" outlineLevel="0" collapsed="false">
      <c r="A64" s="230" t="s">
        <v>578</v>
      </c>
      <c r="B64" s="195" t="n">
        <v>20000</v>
      </c>
      <c r="C64" s="218" t="n">
        <f aca="false">SUMIFS($C$6:$C$35,$B$6:$B$35,$A64,$A$6:$A$35,"&lt;="&amp;DATE(2026,12,31))</f>
        <v>5000</v>
      </c>
      <c r="D64" s="218" t="n">
        <f aca="false">SUMIFS($C$6:$C$35,$B$6:$B$35,$A64)</f>
        <v>5000</v>
      </c>
      <c r="E64" s="218" t="n">
        <f aca="false">MAX(0,10000-$C64)</f>
        <v>5000</v>
      </c>
      <c r="F64" s="218" t="n">
        <f aca="false">MAX(0,$B64-$D64)</f>
        <v>15000</v>
      </c>
    </row>
    <row r="65" customFormat="false" ht="15.75" hidden="false" customHeight="true" outlineLevel="0" collapsed="false">
      <c r="A65" s="230" t="s">
        <v>579</v>
      </c>
      <c r="B65" s="195" t="n">
        <v>20000</v>
      </c>
      <c r="C65" s="218" t="n">
        <f aca="false">SUMIFS($C$6:$C$35,$B$6:$B$35,$A65,$A$6:$A$35,"&lt;="&amp;DATE(2026,12,31))</f>
        <v>6000</v>
      </c>
      <c r="D65" s="218" t="n">
        <f aca="false">SUMIFS($C$6:$C$35,$B$6:$B$35,$A65)</f>
        <v>6000</v>
      </c>
      <c r="E65" s="218" t="n">
        <f aca="false">MAX(0,10000-$C65)</f>
        <v>4000</v>
      </c>
      <c r="F65" s="218" t="n">
        <f aca="false">MAX(0,$B65-$D65)</f>
        <v>14000</v>
      </c>
    </row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8" hidden="false" customHeight="true" outlineLevel="0" collapsed="false">
      <c r="A68" s="47" t="s">
        <v>612</v>
      </c>
      <c r="B68" s="48"/>
      <c r="C68" s="48"/>
      <c r="D68" s="48"/>
      <c r="E68" s="48"/>
      <c r="F68" s="48"/>
      <c r="G68" s="48"/>
      <c r="H68" s="48"/>
    </row>
    <row r="69" customFormat="false" ht="31.5" hidden="false" customHeight="true" outlineLevel="0" collapsed="false">
      <c r="A69" s="231" t="s">
        <v>613</v>
      </c>
      <c r="B69" s="231"/>
      <c r="C69" s="231"/>
      <c r="D69" s="231"/>
      <c r="E69" s="231"/>
      <c r="F69" s="231"/>
      <c r="G69" s="231"/>
      <c r="H69" s="231"/>
    </row>
    <row r="70" customFormat="false" ht="15.75" hidden="false" customHeight="true" outlineLevel="0" collapsed="false">
      <c r="A70" s="106" t="s">
        <v>571</v>
      </c>
      <c r="B70" s="106" t="s">
        <v>614</v>
      </c>
      <c r="C70" s="106" t="s">
        <v>615</v>
      </c>
    </row>
    <row r="71" customFormat="false" ht="15.75" hidden="false" customHeight="true" outlineLevel="0" collapsed="false">
      <c r="A71" s="230" t="s">
        <v>573</v>
      </c>
      <c r="B71" s="218" t="n">
        <f aca="false">IF($A71="",0,SUMPRODUCT((($D$6:$D$35="Realizado")+($D$6:$D$35="Compromisso")+($D$6:$D$35="Previsto")*Premissas!$B$105+($D$6:$D$35="Em negociação")*Premissas!$B$106)*($B$6:$B$35=$A71)*$C$6:$C$35)+SUMPRODUCT((($B$41:$B$48="Confirmado")+($B$41:$B$48="Em negociação")*Premissas!$B$106)*($A$41:$A$48=$A71)*$C$41:$C$48))</f>
        <v>20000</v>
      </c>
      <c r="C71" s="232" t="n">
        <f aca="false">IFERROR($B71/$B$84,0)</f>
        <v>0.170940170940171</v>
      </c>
    </row>
    <row r="72" customFormat="false" ht="15.75" hidden="false" customHeight="true" outlineLevel="0" collapsed="false">
      <c r="A72" s="230" t="s">
        <v>576</v>
      </c>
      <c r="B72" s="218" t="n">
        <f aca="false">IF($A72="",0,SUMPRODUCT((($D$6:$D$35="Realizado")+($D$6:$D$35="Compromisso")+($D$6:$D$35="Previsto")*Premissas!$B$105+($D$6:$D$35="Em negociação")*Premissas!$B$106)*($B$6:$B$35=$A72)*$C$6:$C$35)+SUMPRODUCT((($B$41:$B$48="Confirmado")+($B$41:$B$48="Em negociação")*Premissas!$B$106)*($A$41:$A$48=$A72)*$C$41:$C$48))</f>
        <v>6000</v>
      </c>
      <c r="C72" s="232" t="n">
        <f aca="false">IFERROR($B72/$B$84,0)</f>
        <v>0.0512820512820513</v>
      </c>
    </row>
    <row r="73" customFormat="false" ht="15.75" hidden="false" customHeight="true" outlineLevel="0" collapsed="false">
      <c r="A73" s="230" t="s">
        <v>578</v>
      </c>
      <c r="B73" s="218" t="n">
        <f aca="false">IF($A73="",0,SUMPRODUCT((($D$6:$D$35="Realizado")+($D$6:$D$35="Compromisso")+($D$6:$D$35="Previsto")*Premissas!$B$105+($D$6:$D$35="Em negociação")*Premissas!$B$106)*($B$6:$B$35=$A73)*$C$6:$C$35)+SUMPRODUCT((($B$41:$B$48="Confirmado")+($B$41:$B$48="Em negociação")*Premissas!$B$106)*($A$41:$A$48=$A73)*$C$41:$C$48))</f>
        <v>5000</v>
      </c>
      <c r="C73" s="232" t="n">
        <f aca="false">IFERROR($B73/$B$84,0)</f>
        <v>0.0427350427350427</v>
      </c>
    </row>
    <row r="74" customFormat="false" ht="15.75" hidden="false" customHeight="true" outlineLevel="0" collapsed="false">
      <c r="A74" s="230" t="s">
        <v>579</v>
      </c>
      <c r="B74" s="218" t="n">
        <f aca="false">IF($A74="",0,SUMPRODUCT((($D$6:$D$35="Realizado")+($D$6:$D$35="Compromisso")+($D$6:$D$35="Previsto")*Premissas!$B$105+($D$6:$D$35="Em negociação")*Premissas!$B$106)*($B$6:$B$35=$A74)*$C$6:$C$35)+SUMPRODUCT((($B$41:$B$48="Confirmado")+($B$41:$B$48="Em negociação")*Premissas!$B$106)*($A$41:$A$48=$A74)*$C$41:$C$48))</f>
        <v>6000</v>
      </c>
      <c r="C74" s="232" t="n">
        <f aca="false">IFERROR($B74/$B$84,0)</f>
        <v>0.0512820512820513</v>
      </c>
    </row>
    <row r="75" customFormat="false" ht="15.75" hidden="false" customHeight="true" outlineLevel="0" collapsed="false">
      <c r="A75" s="230" t="s">
        <v>580</v>
      </c>
      <c r="B75" s="218" t="n">
        <f aca="false">IF($A75="",0,SUMPRODUCT((($D$6:$D$35="Realizado")+($D$6:$D$35="Compromisso")+($D$6:$D$35="Previsto")*Premissas!$B$105+($D$6:$D$35="Em negociação")*Premissas!$B$106)*($B$6:$B$35=$A75)*$C$6:$C$35)+SUMPRODUCT((($B$41:$B$48="Confirmado")+($B$41:$B$48="Em negociação")*Premissas!$B$106)*($A$41:$A$48=$A75)*$C$41:$C$48))</f>
        <v>40000</v>
      </c>
      <c r="C75" s="232" t="n">
        <f aca="false">IFERROR($B75/$B$84,0)</f>
        <v>0.341880341880342</v>
      </c>
    </row>
    <row r="76" customFormat="false" ht="15.75" hidden="false" customHeight="true" outlineLevel="0" collapsed="false">
      <c r="A76" s="230" t="s">
        <v>584</v>
      </c>
      <c r="B76" s="218" t="n">
        <f aca="false">IF($A76="",0,SUMPRODUCT((($D$6:$D$35="Realizado")+($D$6:$D$35="Compromisso")+($D$6:$D$35="Previsto")*Premissas!$B$105+($D$6:$D$35="Em negociação")*Premissas!$B$106)*($B$6:$B$35=$A76)*$C$6:$C$35)+SUMPRODUCT((($B$41:$B$48="Confirmado")+($B$41:$B$48="Em negociação")*Premissas!$B$106)*($A$41:$A$48=$A76)*$C$41:$C$48))</f>
        <v>40000</v>
      </c>
      <c r="C76" s="232" t="n">
        <f aca="false">IFERROR($B76/$B$84,0)</f>
        <v>0.341880341880342</v>
      </c>
    </row>
    <row r="77" customFormat="false" ht="15.75" hidden="false" customHeight="true" outlineLevel="0" collapsed="false">
      <c r="A77" s="230" t="s">
        <v>616</v>
      </c>
      <c r="B77" s="218" t="n">
        <f aca="false">IF($A77="",0,SUMPRODUCT((($D$6:$D$35="Realizado")+($D$6:$D$35="Compromisso")+($D$6:$D$35="Previsto")*Premissas!$B$105+($D$6:$D$35="Em negociação")*Premissas!$B$106)*($B$6:$B$35=$A77)*$C$6:$C$35)+SUMPRODUCT((($B$41:$B$48="Confirmado")+($B$41:$B$48="Em negociação")*Premissas!$B$106)*($A$41:$A$48=$A77)*$C$41:$C$48))</f>
        <v>0</v>
      </c>
      <c r="C77" s="232" t="n">
        <f aca="false">IFERROR($B77/$B$84,0)</f>
        <v>0</v>
      </c>
    </row>
    <row r="78" customFormat="false" ht="15.75" hidden="false" customHeight="true" outlineLevel="0" collapsed="false">
      <c r="A78" s="137"/>
      <c r="B78" s="218" t="n">
        <f aca="false">IF($A78="",0,SUMPRODUCT((($D$6:$D$35="Realizado")+($D$6:$D$35="Compromisso")+($D$6:$D$35="Previsto")*Premissas!$B$105+($D$6:$D$35="Em negociação")*Premissas!$B$106)*($B$6:$B$35=$A78)*$C$6:$C$35)+SUMPRODUCT((($B$41:$B$48="Confirmado")+($B$41:$B$48="Em negociação")*Premissas!$B$106)*($A$41:$A$48=$A78)*$C$41:$C$48))</f>
        <v>0</v>
      </c>
      <c r="C78" s="232" t="n">
        <f aca="false">IFERROR($B78/$B$84,0)</f>
        <v>0</v>
      </c>
    </row>
    <row r="79" customFormat="false" ht="15.75" hidden="false" customHeight="true" outlineLevel="0" collapsed="false">
      <c r="A79" s="137"/>
      <c r="B79" s="218" t="n">
        <f aca="false">IF($A79="",0,SUMPRODUCT((($D$6:$D$35="Realizado")+($D$6:$D$35="Compromisso")+($D$6:$D$35="Previsto")*Premissas!$B$105+($D$6:$D$35="Em negociação")*Premissas!$B$106)*($B$6:$B$35=$A79)*$C$6:$C$35)+SUMPRODUCT((($B$41:$B$48="Confirmado")+($B$41:$B$48="Em negociação")*Premissas!$B$106)*($A$41:$A$48=$A79)*$C$41:$C$48))</f>
        <v>0</v>
      </c>
      <c r="C79" s="232" t="n">
        <f aca="false">IFERROR($B79/$B$84,0)</f>
        <v>0</v>
      </c>
    </row>
    <row r="80" customFormat="false" ht="15.75" hidden="false" customHeight="true" outlineLevel="0" collapsed="false">
      <c r="A80" s="137"/>
      <c r="B80" s="218" t="n">
        <f aca="false">IF($A80="",0,SUMPRODUCT((($D$6:$D$35="Realizado")+($D$6:$D$35="Compromisso")+($D$6:$D$35="Previsto")*Premissas!$B$105+($D$6:$D$35="Em negociação")*Premissas!$B$106)*($B$6:$B$35=$A80)*$C$6:$C$35)+SUMPRODUCT((($B$41:$B$48="Confirmado")+($B$41:$B$48="Em negociação")*Premissas!$B$106)*($A$41:$A$48=$A80)*$C$41:$C$48))</f>
        <v>0</v>
      </c>
      <c r="C80" s="232" t="n">
        <f aca="false">IFERROR($B80/$B$84,0)</f>
        <v>0</v>
      </c>
    </row>
    <row r="81" customFormat="false" ht="15.75" hidden="false" customHeight="true" outlineLevel="0" collapsed="false">
      <c r="A81" s="137"/>
      <c r="B81" s="218" t="n">
        <f aca="false">IF($A81="",0,SUMPRODUCT((($D$6:$D$35="Realizado")+($D$6:$D$35="Compromisso")+($D$6:$D$35="Previsto")*Premissas!$B$105+($D$6:$D$35="Em negociação")*Premissas!$B$106)*($B$6:$B$35=$A81)*$C$6:$C$35)+SUMPRODUCT((($B$41:$B$48="Confirmado")+($B$41:$B$48="Em negociação")*Premissas!$B$106)*($A$41:$A$48=$A81)*$C$41:$C$48))</f>
        <v>0</v>
      </c>
      <c r="C81" s="232" t="n">
        <f aca="false">IFERROR($B81/$B$84,0)</f>
        <v>0</v>
      </c>
    </row>
    <row r="82" customFormat="false" ht="15.75" hidden="false" customHeight="true" outlineLevel="0" collapsed="false">
      <c r="A82" s="137"/>
      <c r="B82" s="218" t="n">
        <f aca="false">IF($A82="",0,SUMPRODUCT((($D$6:$D$35="Realizado")+($D$6:$D$35="Compromisso")+($D$6:$D$35="Previsto")*Premissas!$B$105+($D$6:$D$35="Em negociação")*Premissas!$B$106)*($B$6:$B$35=$A82)*$C$6:$C$35)+SUMPRODUCT((($B$41:$B$48="Confirmado")+($B$41:$B$48="Em negociação")*Premissas!$B$106)*($A$41:$A$48=$A82)*$C$41:$C$48))</f>
        <v>0</v>
      </c>
      <c r="C82" s="232" t="n">
        <f aca="false">IFERROR($B82/$B$84,0)</f>
        <v>0</v>
      </c>
    </row>
    <row r="83" customFormat="false" ht="15.75" hidden="false" customHeight="true" outlineLevel="0" collapsed="false">
      <c r="A83" s="137"/>
      <c r="B83" s="218" t="n">
        <f aca="false">IF($A83="",0,SUMPRODUCT((($D$6:$D$35="Realizado")+($D$6:$D$35="Compromisso")+($D$6:$D$35="Previsto")*Premissas!$B$105+($D$6:$D$35="Em negociação")*Premissas!$B$106)*($B$6:$B$35=$A83)*$C$6:$C$35)+SUMPRODUCT((($B$41:$B$48="Confirmado")+($B$41:$B$48="Em negociação")*Premissas!$B$106)*($A$41:$A$48=$A83)*$C$41:$C$48))</f>
        <v>0</v>
      </c>
      <c r="C83" s="232" t="n">
        <f aca="false">IFERROR($B83/$B$84,0)</f>
        <v>0</v>
      </c>
    </row>
    <row r="84" customFormat="false" ht="15.75" hidden="false" customHeight="true" outlineLevel="0" collapsed="false">
      <c r="A84" s="199" t="s">
        <v>385</v>
      </c>
      <c r="B84" s="200" t="n">
        <f aca="false">SUM(B71:B83)</f>
        <v>117000</v>
      </c>
      <c r="C84" s="233" t="n">
        <f aca="false">SUM(C71:C83)</f>
        <v>1</v>
      </c>
    </row>
    <row r="85" customFormat="false" ht="15.75" hidden="false" customHeight="true" outlineLevel="0" collapsed="false">
      <c r="A85" s="71" t="s">
        <v>617</v>
      </c>
      <c r="B85" s="234" t="n">
        <f aca="false">C36+C49-B84</f>
        <v>200000</v>
      </c>
      <c r="C85" s="235" t="str">
        <f aca="false">IF(ROUND(B85,2)=0,"✔ tudo atribuído","⚠ acrescente o nome que falta")</f>
        <v>⚠ acrescente o nome que falta</v>
      </c>
      <c r="E85" s="51" t="s">
        <v>618</v>
      </c>
    </row>
    <row r="86" customFormat="false" ht="15.75" hidden="false" customHeight="true" outlineLevel="0" collapsed="false"/>
    <row r="87" customFormat="false" ht="18" hidden="false" customHeight="true" outlineLevel="0" collapsed="false">
      <c r="A87" s="47" t="s">
        <v>619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</row>
    <row r="88" customFormat="false" ht="15.75" hidden="false" customHeight="true" outlineLevel="0" collapsed="false">
      <c r="A88" s="144" t="s">
        <v>384</v>
      </c>
      <c r="B88" s="145" t="n">
        <v>46023</v>
      </c>
      <c r="C88" s="145" t="n">
        <v>46054</v>
      </c>
      <c r="D88" s="145" t="n">
        <v>46082</v>
      </c>
      <c r="E88" s="145" t="n">
        <v>46113</v>
      </c>
      <c r="F88" s="145" t="n">
        <v>46143</v>
      </c>
      <c r="G88" s="145" t="n">
        <v>46174</v>
      </c>
      <c r="H88" s="145" t="n">
        <v>46204</v>
      </c>
      <c r="I88" s="145" t="n">
        <v>46235</v>
      </c>
      <c r="J88" s="145" t="n">
        <v>46266</v>
      </c>
      <c r="K88" s="145" t="n">
        <v>46296</v>
      </c>
      <c r="L88" s="145" t="n">
        <v>46327</v>
      </c>
      <c r="M88" s="145" t="n">
        <v>46357</v>
      </c>
      <c r="N88" s="145" t="n">
        <v>46388</v>
      </c>
      <c r="O88" s="145" t="n">
        <v>46419</v>
      </c>
      <c r="P88" s="145" t="n">
        <v>46447</v>
      </c>
      <c r="Q88" s="145" t="n">
        <v>46478</v>
      </c>
      <c r="R88" s="145" t="n">
        <v>46508</v>
      </c>
      <c r="S88" s="145" t="n">
        <v>46539</v>
      </c>
      <c r="T88" s="145" t="n">
        <v>46569</v>
      </c>
      <c r="U88" s="145" t="n">
        <v>46600</v>
      </c>
      <c r="V88" s="145" t="n">
        <v>46631</v>
      </c>
      <c r="W88" s="145" t="n">
        <v>46661</v>
      </c>
      <c r="X88" s="145" t="n">
        <v>46692</v>
      </c>
      <c r="Y88" s="145" t="n">
        <v>46722</v>
      </c>
      <c r="Z88" s="145" t="n">
        <v>46753</v>
      </c>
      <c r="AA88" s="145" t="n">
        <v>46784</v>
      </c>
      <c r="AB88" s="145" t="n">
        <v>46813</v>
      </c>
      <c r="AC88" s="145" t="n">
        <v>46844</v>
      </c>
      <c r="AD88" s="145" t="n">
        <v>46874</v>
      </c>
      <c r="AE88" s="145" t="n">
        <v>46905</v>
      </c>
      <c r="AF88" s="145" t="n">
        <v>46935</v>
      </c>
      <c r="AG88" s="145" t="n">
        <v>46966</v>
      </c>
      <c r="AH88" s="145" t="n">
        <v>46997</v>
      </c>
      <c r="AI88" s="145" t="n">
        <v>47027</v>
      </c>
      <c r="AJ88" s="145" t="n">
        <v>47058</v>
      </c>
      <c r="AK88" s="145" t="n">
        <v>47088</v>
      </c>
      <c r="AL88" s="145" t="n">
        <v>47119</v>
      </c>
      <c r="AM88" s="145" t="n">
        <v>47150</v>
      </c>
      <c r="AN88" s="145" t="n">
        <v>47178</v>
      </c>
      <c r="AO88" s="145" t="n">
        <v>47209</v>
      </c>
      <c r="AP88" s="145" t="n">
        <v>47239</v>
      </c>
      <c r="AQ88" s="145" t="n">
        <v>47270</v>
      </c>
      <c r="AR88" s="145" t="n">
        <v>47300</v>
      </c>
      <c r="AS88" s="145" t="n">
        <v>47331</v>
      </c>
      <c r="AT88" s="145" t="n">
        <v>47362</v>
      </c>
      <c r="AU88" s="145" t="n">
        <v>47392</v>
      </c>
      <c r="AV88" s="145" t="n">
        <v>47423</v>
      </c>
      <c r="AW88" s="145" t="n">
        <v>47453</v>
      </c>
      <c r="AX88" s="145" t="n">
        <v>47484</v>
      </c>
      <c r="AY88" s="145" t="n">
        <v>47515</v>
      </c>
      <c r="AZ88" s="145" t="n">
        <v>47543</v>
      </c>
      <c r="BA88" s="145" t="n">
        <v>47574</v>
      </c>
      <c r="BB88" s="145" t="n">
        <v>47604</v>
      </c>
      <c r="BC88" s="145" t="n">
        <v>47635</v>
      </c>
      <c r="BD88" s="145" t="n">
        <v>47665</v>
      </c>
      <c r="BE88" s="145" t="n">
        <v>47696</v>
      </c>
      <c r="BF88" s="145" t="n">
        <v>47727</v>
      </c>
      <c r="BG88" s="145" t="n">
        <v>47757</v>
      </c>
      <c r="BH88" s="145" t="n">
        <v>47788</v>
      </c>
      <c r="BI88" s="145" t="n">
        <v>47818</v>
      </c>
      <c r="BJ88" s="146" t="s">
        <v>385</v>
      </c>
      <c r="BK88" s="146" t="s">
        <v>386</v>
      </c>
    </row>
    <row r="89" customFormat="false" ht="15.75" hidden="false" customHeight="true" outlineLevel="0" collapsed="false">
      <c r="A89" s="147" t="s">
        <v>387</v>
      </c>
      <c r="B89" s="148" t="n">
        <v>1</v>
      </c>
      <c r="C89" s="148" t="n">
        <v>2</v>
      </c>
      <c r="D89" s="148" t="n">
        <v>3</v>
      </c>
      <c r="E89" s="148" t="n">
        <v>4</v>
      </c>
      <c r="F89" s="148" t="n">
        <v>5</v>
      </c>
      <c r="G89" s="148" t="n">
        <v>6</v>
      </c>
      <c r="H89" s="148" t="n">
        <v>7</v>
      </c>
      <c r="I89" s="148" t="n">
        <v>8</v>
      </c>
      <c r="J89" s="148" t="n">
        <v>9</v>
      </c>
      <c r="K89" s="148" t="n">
        <v>10</v>
      </c>
      <c r="L89" s="148" t="n">
        <v>11</v>
      </c>
      <c r="M89" s="148" t="n">
        <v>12</v>
      </c>
      <c r="N89" s="148" t="n">
        <v>13</v>
      </c>
      <c r="O89" s="148" t="n">
        <v>14</v>
      </c>
      <c r="P89" s="148" t="n">
        <v>15</v>
      </c>
      <c r="Q89" s="148" t="n">
        <v>16</v>
      </c>
      <c r="R89" s="148" t="n">
        <v>17</v>
      </c>
      <c r="S89" s="148" t="n">
        <v>18</v>
      </c>
      <c r="T89" s="148" t="n">
        <v>19</v>
      </c>
      <c r="U89" s="148" t="n">
        <v>20</v>
      </c>
      <c r="V89" s="148" t="n">
        <v>21</v>
      </c>
      <c r="W89" s="148" t="n">
        <v>22</v>
      </c>
      <c r="X89" s="148" t="n">
        <v>23</v>
      </c>
      <c r="Y89" s="148" t="n">
        <v>24</v>
      </c>
      <c r="Z89" s="148" t="n">
        <v>25</v>
      </c>
      <c r="AA89" s="148" t="n">
        <v>26</v>
      </c>
      <c r="AB89" s="148" t="n">
        <v>27</v>
      </c>
      <c r="AC89" s="148" t="n">
        <v>28</v>
      </c>
      <c r="AD89" s="148" t="n">
        <v>29</v>
      </c>
      <c r="AE89" s="148" t="n">
        <v>30</v>
      </c>
      <c r="AF89" s="148" t="n">
        <v>31</v>
      </c>
      <c r="AG89" s="148" t="n">
        <v>32</v>
      </c>
      <c r="AH89" s="148" t="n">
        <v>33</v>
      </c>
      <c r="AI89" s="148" t="n">
        <v>34</v>
      </c>
      <c r="AJ89" s="148" t="n">
        <v>35</v>
      </c>
      <c r="AK89" s="148" t="n">
        <v>36</v>
      </c>
      <c r="AL89" s="148" t="n">
        <v>37</v>
      </c>
      <c r="AM89" s="148" t="n">
        <v>38</v>
      </c>
      <c r="AN89" s="148" t="n">
        <v>39</v>
      </c>
      <c r="AO89" s="148" t="n">
        <v>40</v>
      </c>
      <c r="AP89" s="148" t="n">
        <v>41</v>
      </c>
      <c r="AQ89" s="148" t="n">
        <v>42</v>
      </c>
      <c r="AR89" s="148" t="n">
        <v>43</v>
      </c>
      <c r="AS89" s="148" t="n">
        <v>44</v>
      </c>
      <c r="AT89" s="148" t="n">
        <v>45</v>
      </c>
      <c r="AU89" s="148" t="n">
        <v>46</v>
      </c>
      <c r="AV89" s="148" t="n">
        <v>47</v>
      </c>
      <c r="AW89" s="148" t="n">
        <v>48</v>
      </c>
      <c r="AX89" s="148" t="n">
        <v>49</v>
      </c>
      <c r="AY89" s="148" t="n">
        <v>50</v>
      </c>
      <c r="AZ89" s="148" t="n">
        <v>51</v>
      </c>
      <c r="BA89" s="148" t="n">
        <v>52</v>
      </c>
      <c r="BB89" s="148" t="n">
        <v>53</v>
      </c>
      <c r="BC89" s="148" t="n">
        <v>54</v>
      </c>
      <c r="BD89" s="148" t="n">
        <v>55</v>
      </c>
      <c r="BE89" s="148" t="n">
        <v>56</v>
      </c>
      <c r="BF89" s="148" t="n">
        <v>57</v>
      </c>
      <c r="BG89" s="148" t="n">
        <v>58</v>
      </c>
      <c r="BH89" s="148" t="n">
        <v>59</v>
      </c>
      <c r="BI89" s="148" t="n">
        <v>60</v>
      </c>
    </row>
    <row r="90" customFormat="false" ht="15.75" hidden="false" customHeight="true" outlineLevel="0" collapsed="false">
      <c r="A90" s="147" t="s">
        <v>388</v>
      </c>
      <c r="B90" s="149" t="n">
        <f aca="false">YEAR(B88)</f>
        <v>2026</v>
      </c>
      <c r="C90" s="149" t="n">
        <f aca="false">YEAR(C88)</f>
        <v>2026</v>
      </c>
      <c r="D90" s="149" t="n">
        <f aca="false">YEAR(D88)</f>
        <v>2026</v>
      </c>
      <c r="E90" s="149" t="n">
        <f aca="false">YEAR(E88)</f>
        <v>2026</v>
      </c>
      <c r="F90" s="149" t="n">
        <f aca="false">YEAR(F88)</f>
        <v>2026</v>
      </c>
      <c r="G90" s="149" t="n">
        <f aca="false">YEAR(G88)</f>
        <v>2026</v>
      </c>
      <c r="H90" s="149" t="n">
        <f aca="false">YEAR(H88)</f>
        <v>2026</v>
      </c>
      <c r="I90" s="149" t="n">
        <f aca="false">YEAR(I88)</f>
        <v>2026</v>
      </c>
      <c r="J90" s="149" t="n">
        <f aca="false">YEAR(J88)</f>
        <v>2026</v>
      </c>
      <c r="K90" s="149" t="n">
        <f aca="false">YEAR(K88)</f>
        <v>2026</v>
      </c>
      <c r="L90" s="149" t="n">
        <f aca="false">YEAR(L88)</f>
        <v>2026</v>
      </c>
      <c r="M90" s="149" t="n">
        <f aca="false">YEAR(M88)</f>
        <v>2026</v>
      </c>
      <c r="N90" s="149" t="n">
        <f aca="false">YEAR(N88)</f>
        <v>2027</v>
      </c>
      <c r="O90" s="149" t="n">
        <f aca="false">YEAR(O88)</f>
        <v>2027</v>
      </c>
      <c r="P90" s="149" t="n">
        <f aca="false">YEAR(P88)</f>
        <v>2027</v>
      </c>
      <c r="Q90" s="149" t="n">
        <f aca="false">YEAR(Q88)</f>
        <v>2027</v>
      </c>
      <c r="R90" s="149" t="n">
        <f aca="false">YEAR(R88)</f>
        <v>2027</v>
      </c>
      <c r="S90" s="149" t="n">
        <f aca="false">YEAR(S88)</f>
        <v>2027</v>
      </c>
      <c r="T90" s="149" t="n">
        <f aca="false">YEAR(T88)</f>
        <v>2027</v>
      </c>
      <c r="U90" s="149" t="n">
        <f aca="false">YEAR(U88)</f>
        <v>2027</v>
      </c>
      <c r="V90" s="149" t="n">
        <f aca="false">YEAR(V88)</f>
        <v>2027</v>
      </c>
      <c r="W90" s="149" t="n">
        <f aca="false">YEAR(W88)</f>
        <v>2027</v>
      </c>
      <c r="X90" s="149" t="n">
        <f aca="false">YEAR(X88)</f>
        <v>2027</v>
      </c>
      <c r="Y90" s="149" t="n">
        <f aca="false">YEAR(Y88)</f>
        <v>2027</v>
      </c>
      <c r="Z90" s="149" t="n">
        <f aca="false">YEAR(Z88)</f>
        <v>2028</v>
      </c>
      <c r="AA90" s="149" t="n">
        <f aca="false">YEAR(AA88)</f>
        <v>2028</v>
      </c>
      <c r="AB90" s="149" t="n">
        <f aca="false">YEAR(AB88)</f>
        <v>2028</v>
      </c>
      <c r="AC90" s="149" t="n">
        <f aca="false">YEAR(AC88)</f>
        <v>2028</v>
      </c>
      <c r="AD90" s="149" t="n">
        <f aca="false">YEAR(AD88)</f>
        <v>2028</v>
      </c>
      <c r="AE90" s="149" t="n">
        <f aca="false">YEAR(AE88)</f>
        <v>2028</v>
      </c>
      <c r="AF90" s="149" t="n">
        <f aca="false">YEAR(AF88)</f>
        <v>2028</v>
      </c>
      <c r="AG90" s="149" t="n">
        <f aca="false">YEAR(AG88)</f>
        <v>2028</v>
      </c>
      <c r="AH90" s="149" t="n">
        <f aca="false">YEAR(AH88)</f>
        <v>2028</v>
      </c>
      <c r="AI90" s="149" t="n">
        <f aca="false">YEAR(AI88)</f>
        <v>2028</v>
      </c>
      <c r="AJ90" s="149" t="n">
        <f aca="false">YEAR(AJ88)</f>
        <v>2028</v>
      </c>
      <c r="AK90" s="149" t="n">
        <f aca="false">YEAR(AK88)</f>
        <v>2028</v>
      </c>
      <c r="AL90" s="149" t="n">
        <f aca="false">YEAR(AL88)</f>
        <v>2029</v>
      </c>
      <c r="AM90" s="149" t="n">
        <f aca="false">YEAR(AM88)</f>
        <v>2029</v>
      </c>
      <c r="AN90" s="149" t="n">
        <f aca="false">YEAR(AN88)</f>
        <v>2029</v>
      </c>
      <c r="AO90" s="149" t="n">
        <f aca="false">YEAR(AO88)</f>
        <v>2029</v>
      </c>
      <c r="AP90" s="149" t="n">
        <f aca="false">YEAR(AP88)</f>
        <v>2029</v>
      </c>
      <c r="AQ90" s="149" t="n">
        <f aca="false">YEAR(AQ88)</f>
        <v>2029</v>
      </c>
      <c r="AR90" s="149" t="n">
        <f aca="false">YEAR(AR88)</f>
        <v>2029</v>
      </c>
      <c r="AS90" s="149" t="n">
        <f aca="false">YEAR(AS88)</f>
        <v>2029</v>
      </c>
      <c r="AT90" s="149" t="n">
        <f aca="false">YEAR(AT88)</f>
        <v>2029</v>
      </c>
      <c r="AU90" s="149" t="n">
        <f aca="false">YEAR(AU88)</f>
        <v>2029</v>
      </c>
      <c r="AV90" s="149" t="n">
        <f aca="false">YEAR(AV88)</f>
        <v>2029</v>
      </c>
      <c r="AW90" s="149" t="n">
        <f aca="false">YEAR(AW88)</f>
        <v>2029</v>
      </c>
      <c r="AX90" s="149" t="n">
        <f aca="false">YEAR(AX88)</f>
        <v>2030</v>
      </c>
      <c r="AY90" s="149" t="n">
        <f aca="false">YEAR(AY88)</f>
        <v>2030</v>
      </c>
      <c r="AZ90" s="149" t="n">
        <f aca="false">YEAR(AZ88)</f>
        <v>2030</v>
      </c>
      <c r="BA90" s="149" t="n">
        <f aca="false">YEAR(BA88)</f>
        <v>2030</v>
      </c>
      <c r="BB90" s="149" t="n">
        <f aca="false">YEAR(BB88)</f>
        <v>2030</v>
      </c>
      <c r="BC90" s="149" t="n">
        <f aca="false">YEAR(BC88)</f>
        <v>2030</v>
      </c>
      <c r="BD90" s="149" t="n">
        <f aca="false">YEAR(BD88)</f>
        <v>2030</v>
      </c>
      <c r="BE90" s="149" t="n">
        <f aca="false">YEAR(BE88)</f>
        <v>2030</v>
      </c>
      <c r="BF90" s="149" t="n">
        <f aca="false">YEAR(BF88)</f>
        <v>2030</v>
      </c>
      <c r="BG90" s="149" t="n">
        <f aca="false">YEAR(BG88)</f>
        <v>2030</v>
      </c>
      <c r="BH90" s="149" t="n">
        <f aca="false">YEAR(BH88)</f>
        <v>2030</v>
      </c>
      <c r="BI90" s="149" t="n">
        <f aca="false">YEAR(BI88)</f>
        <v>2030</v>
      </c>
    </row>
    <row r="91" customFormat="false" ht="15.75" hidden="false" customHeight="true" outlineLevel="0" collapsed="false">
      <c r="A91" s="150" t="s">
        <v>389</v>
      </c>
      <c r="B91" s="151" t="n">
        <f aca="false">MATCH(B90,Premissas!$C$5:$G$5,0)</f>
        <v>1</v>
      </c>
      <c r="C91" s="151" t="n">
        <f aca="false">MATCH(C90,Premissas!$C$5:$G$5,0)</f>
        <v>1</v>
      </c>
      <c r="D91" s="151" t="n">
        <f aca="false">MATCH(D90,Premissas!$C$5:$G$5,0)</f>
        <v>1</v>
      </c>
      <c r="E91" s="151" t="n">
        <f aca="false">MATCH(E90,Premissas!$C$5:$G$5,0)</f>
        <v>1</v>
      </c>
      <c r="F91" s="151" t="n">
        <f aca="false">MATCH(F90,Premissas!$C$5:$G$5,0)</f>
        <v>1</v>
      </c>
      <c r="G91" s="151" t="n">
        <f aca="false">MATCH(G90,Premissas!$C$5:$G$5,0)</f>
        <v>1</v>
      </c>
      <c r="H91" s="151" t="n">
        <f aca="false">MATCH(H90,Premissas!$C$5:$G$5,0)</f>
        <v>1</v>
      </c>
      <c r="I91" s="151" t="n">
        <f aca="false">MATCH(I90,Premissas!$C$5:$G$5,0)</f>
        <v>1</v>
      </c>
      <c r="J91" s="151" t="n">
        <f aca="false">MATCH(J90,Premissas!$C$5:$G$5,0)</f>
        <v>1</v>
      </c>
      <c r="K91" s="151" t="n">
        <f aca="false">MATCH(K90,Premissas!$C$5:$G$5,0)</f>
        <v>1</v>
      </c>
      <c r="L91" s="151" t="n">
        <f aca="false">MATCH(L90,Premissas!$C$5:$G$5,0)</f>
        <v>1</v>
      </c>
      <c r="M91" s="151" t="n">
        <f aca="false">MATCH(M90,Premissas!$C$5:$G$5,0)</f>
        <v>1</v>
      </c>
      <c r="N91" s="151" t="n">
        <f aca="false">MATCH(N90,Premissas!$C$5:$G$5,0)</f>
        <v>2</v>
      </c>
      <c r="O91" s="151" t="n">
        <f aca="false">MATCH(O90,Premissas!$C$5:$G$5,0)</f>
        <v>2</v>
      </c>
      <c r="P91" s="151" t="n">
        <f aca="false">MATCH(P90,Premissas!$C$5:$G$5,0)</f>
        <v>2</v>
      </c>
      <c r="Q91" s="151" t="n">
        <f aca="false">MATCH(Q90,Premissas!$C$5:$G$5,0)</f>
        <v>2</v>
      </c>
      <c r="R91" s="151" t="n">
        <f aca="false">MATCH(R90,Premissas!$C$5:$G$5,0)</f>
        <v>2</v>
      </c>
      <c r="S91" s="151" t="n">
        <f aca="false">MATCH(S90,Premissas!$C$5:$G$5,0)</f>
        <v>2</v>
      </c>
      <c r="T91" s="151" t="n">
        <f aca="false">MATCH(T90,Premissas!$C$5:$G$5,0)</f>
        <v>2</v>
      </c>
      <c r="U91" s="151" t="n">
        <f aca="false">MATCH(U90,Premissas!$C$5:$G$5,0)</f>
        <v>2</v>
      </c>
      <c r="V91" s="151" t="n">
        <f aca="false">MATCH(V90,Premissas!$C$5:$G$5,0)</f>
        <v>2</v>
      </c>
      <c r="W91" s="151" t="n">
        <f aca="false">MATCH(W90,Premissas!$C$5:$G$5,0)</f>
        <v>2</v>
      </c>
      <c r="X91" s="151" t="n">
        <f aca="false">MATCH(X90,Premissas!$C$5:$G$5,0)</f>
        <v>2</v>
      </c>
      <c r="Y91" s="151" t="n">
        <f aca="false">MATCH(Y90,Premissas!$C$5:$G$5,0)</f>
        <v>2</v>
      </c>
      <c r="Z91" s="151" t="n">
        <f aca="false">MATCH(Z90,Premissas!$C$5:$G$5,0)</f>
        <v>3</v>
      </c>
      <c r="AA91" s="151" t="n">
        <f aca="false">MATCH(AA90,Premissas!$C$5:$G$5,0)</f>
        <v>3</v>
      </c>
      <c r="AB91" s="151" t="n">
        <f aca="false">MATCH(AB90,Premissas!$C$5:$G$5,0)</f>
        <v>3</v>
      </c>
      <c r="AC91" s="151" t="n">
        <f aca="false">MATCH(AC90,Premissas!$C$5:$G$5,0)</f>
        <v>3</v>
      </c>
      <c r="AD91" s="151" t="n">
        <f aca="false">MATCH(AD90,Premissas!$C$5:$G$5,0)</f>
        <v>3</v>
      </c>
      <c r="AE91" s="151" t="n">
        <f aca="false">MATCH(AE90,Premissas!$C$5:$G$5,0)</f>
        <v>3</v>
      </c>
      <c r="AF91" s="151" t="n">
        <f aca="false">MATCH(AF90,Premissas!$C$5:$G$5,0)</f>
        <v>3</v>
      </c>
      <c r="AG91" s="151" t="n">
        <f aca="false">MATCH(AG90,Premissas!$C$5:$G$5,0)</f>
        <v>3</v>
      </c>
      <c r="AH91" s="151" t="n">
        <f aca="false">MATCH(AH90,Premissas!$C$5:$G$5,0)</f>
        <v>3</v>
      </c>
      <c r="AI91" s="151" t="n">
        <f aca="false">MATCH(AI90,Premissas!$C$5:$G$5,0)</f>
        <v>3</v>
      </c>
      <c r="AJ91" s="151" t="n">
        <f aca="false">MATCH(AJ90,Premissas!$C$5:$G$5,0)</f>
        <v>3</v>
      </c>
      <c r="AK91" s="151" t="n">
        <f aca="false">MATCH(AK90,Premissas!$C$5:$G$5,0)</f>
        <v>3</v>
      </c>
      <c r="AL91" s="151" t="n">
        <f aca="false">MATCH(AL90,Premissas!$C$5:$G$5,0)</f>
        <v>4</v>
      </c>
      <c r="AM91" s="151" t="n">
        <f aca="false">MATCH(AM90,Premissas!$C$5:$G$5,0)</f>
        <v>4</v>
      </c>
      <c r="AN91" s="151" t="n">
        <f aca="false">MATCH(AN90,Premissas!$C$5:$G$5,0)</f>
        <v>4</v>
      </c>
      <c r="AO91" s="151" t="n">
        <f aca="false">MATCH(AO90,Premissas!$C$5:$G$5,0)</f>
        <v>4</v>
      </c>
      <c r="AP91" s="151" t="n">
        <f aca="false">MATCH(AP90,Premissas!$C$5:$G$5,0)</f>
        <v>4</v>
      </c>
      <c r="AQ91" s="151" t="n">
        <f aca="false">MATCH(AQ90,Premissas!$C$5:$G$5,0)</f>
        <v>4</v>
      </c>
      <c r="AR91" s="151" t="n">
        <f aca="false">MATCH(AR90,Premissas!$C$5:$G$5,0)</f>
        <v>4</v>
      </c>
      <c r="AS91" s="151" t="n">
        <f aca="false">MATCH(AS90,Premissas!$C$5:$G$5,0)</f>
        <v>4</v>
      </c>
      <c r="AT91" s="151" t="n">
        <f aca="false">MATCH(AT90,Premissas!$C$5:$G$5,0)</f>
        <v>4</v>
      </c>
      <c r="AU91" s="151" t="n">
        <f aca="false">MATCH(AU90,Premissas!$C$5:$G$5,0)</f>
        <v>4</v>
      </c>
      <c r="AV91" s="151" t="n">
        <f aca="false">MATCH(AV90,Premissas!$C$5:$G$5,0)</f>
        <v>4</v>
      </c>
      <c r="AW91" s="151" t="n">
        <f aca="false">MATCH(AW90,Premissas!$C$5:$G$5,0)</f>
        <v>4</v>
      </c>
      <c r="AX91" s="151" t="n">
        <f aca="false">MATCH(AX90,Premissas!$C$5:$G$5,0)</f>
        <v>5</v>
      </c>
      <c r="AY91" s="151" t="n">
        <f aca="false">MATCH(AY90,Premissas!$C$5:$G$5,0)</f>
        <v>5</v>
      </c>
      <c r="AZ91" s="151" t="n">
        <f aca="false">MATCH(AZ90,Premissas!$C$5:$G$5,0)</f>
        <v>5</v>
      </c>
      <c r="BA91" s="151" t="n">
        <f aca="false">MATCH(BA90,Premissas!$C$5:$G$5,0)</f>
        <v>5</v>
      </c>
      <c r="BB91" s="151" t="n">
        <f aca="false">MATCH(BB90,Premissas!$C$5:$G$5,0)</f>
        <v>5</v>
      </c>
      <c r="BC91" s="151" t="n">
        <f aca="false">MATCH(BC90,Premissas!$C$5:$G$5,0)</f>
        <v>5</v>
      </c>
      <c r="BD91" s="151" t="n">
        <f aca="false">MATCH(BD90,Premissas!$C$5:$G$5,0)</f>
        <v>5</v>
      </c>
      <c r="BE91" s="151" t="n">
        <f aca="false">MATCH(BE90,Premissas!$C$5:$G$5,0)</f>
        <v>5</v>
      </c>
      <c r="BF91" s="151" t="n">
        <f aca="false">MATCH(BF90,Premissas!$C$5:$G$5,0)</f>
        <v>5</v>
      </c>
      <c r="BG91" s="151" t="n">
        <f aca="false">MATCH(BG90,Premissas!$C$5:$G$5,0)</f>
        <v>5</v>
      </c>
      <c r="BH91" s="151" t="n">
        <f aca="false">MATCH(BH90,Premissas!$C$5:$G$5,0)</f>
        <v>5</v>
      </c>
      <c r="BI91" s="151" t="n">
        <f aca="false">MATCH(BI90,Premissas!$C$5:$G$5,0)</f>
        <v>5</v>
      </c>
    </row>
    <row r="92" customFormat="false" ht="15.75" hidden="false" customHeight="true" outlineLevel="0" collapsed="false">
      <c r="A92" s="49" t="s">
        <v>620</v>
      </c>
      <c r="B92" s="168" t="n">
        <f aca="false">SUMPRODUCT(($E$6:$E$35="Fundador")*(($D$6:$D$35="Realizado")+($D$6:$D$35="Compromisso")+($D$6:$D$35="Previsto")*Premissas!$B$105+($D$6:$D$35="Em negociação")*Premissas!$B$106)*($A$6:$A$35&gt;=B$88)*($A$6:$A$35&lt;=EOMONTH(B$88,0))*$C$6:$C$35)</f>
        <v>0</v>
      </c>
      <c r="C92" s="168" t="n">
        <f aca="false">SUMPRODUCT(($E$6:$E$35="Fundador")*(($D$6:$D$35="Realizado")+($D$6:$D$35="Compromisso")+($D$6:$D$35="Previsto")*Premissas!$B$105+($D$6:$D$35="Em negociação")*Premissas!$B$106)*($A$6:$A$35&gt;=C$88)*($A$6:$A$35&lt;=EOMONTH(C$88,0))*$C$6:$C$35)</f>
        <v>0</v>
      </c>
      <c r="D92" s="168" t="n">
        <f aca="false">SUMPRODUCT(($E$6:$E$35="Fundador")*(($D$6:$D$35="Realizado")+($D$6:$D$35="Compromisso")+($D$6:$D$35="Previsto")*Premissas!$B$105+($D$6:$D$35="Em negociação")*Premissas!$B$106)*($A$6:$A$35&gt;=D$88)*($A$6:$A$35&lt;=EOMONTH(D$88,0))*$C$6:$C$35)</f>
        <v>0</v>
      </c>
      <c r="E92" s="168" t="n">
        <f aca="false">SUMPRODUCT(($E$6:$E$35="Fundador")*(($D$6:$D$35="Realizado")+($D$6:$D$35="Compromisso")+($D$6:$D$35="Previsto")*Premissas!$B$105+($D$6:$D$35="Em negociação")*Premissas!$B$106)*($A$6:$A$35&gt;=E$88)*($A$6:$A$35&lt;=EOMONTH(E$88,0))*$C$6:$C$35)</f>
        <v>10000</v>
      </c>
      <c r="F92" s="168" t="n">
        <f aca="false">SUMPRODUCT(($E$6:$E$35="Fundador")*(($D$6:$D$35="Realizado")+($D$6:$D$35="Compromisso")+($D$6:$D$35="Previsto")*Premissas!$B$105+($D$6:$D$35="Em negociação")*Premissas!$B$106)*($A$6:$A$35&gt;=F$88)*($A$6:$A$35&lt;=EOMONTH(F$88,0))*$C$6:$C$35)</f>
        <v>0</v>
      </c>
      <c r="G92" s="168" t="n">
        <f aca="false">SUMPRODUCT(($E$6:$E$35="Fundador")*(($D$6:$D$35="Realizado")+($D$6:$D$35="Compromisso")+($D$6:$D$35="Previsto")*Premissas!$B$105+($D$6:$D$35="Em negociação")*Premissas!$B$106)*($A$6:$A$35&gt;=G$88)*($A$6:$A$35&lt;=EOMONTH(G$88,0))*$C$6:$C$35)</f>
        <v>0</v>
      </c>
      <c r="H92" s="168" t="n">
        <f aca="false">SUMPRODUCT(($E$6:$E$35="Fundador")*(($D$6:$D$35="Realizado")+($D$6:$D$35="Compromisso")+($D$6:$D$35="Previsto")*Premissas!$B$105+($D$6:$D$35="Em negociação")*Premissas!$B$106)*($A$6:$A$35&gt;=H$88)*($A$6:$A$35&lt;=EOMONTH(H$88,0))*$C$6:$C$35)</f>
        <v>5000</v>
      </c>
      <c r="I92" s="168" t="n">
        <f aca="false">SUMPRODUCT(($E$6:$E$35="Fundador")*(($D$6:$D$35="Realizado")+($D$6:$D$35="Compromisso")+($D$6:$D$35="Previsto")*Premissas!$B$105+($D$6:$D$35="Em negociação")*Premissas!$B$106)*($A$6:$A$35&gt;=I$88)*($A$6:$A$35&lt;=EOMONTH(I$88,0))*$C$6:$C$35)</f>
        <v>18000</v>
      </c>
      <c r="J92" s="168" t="n">
        <f aca="false">SUMPRODUCT(($E$6:$E$35="Fundador")*(($D$6:$D$35="Realizado")+($D$6:$D$35="Compromisso")+($D$6:$D$35="Previsto")*Premissas!$B$105+($D$6:$D$35="Em negociação")*Premissas!$B$106)*($A$6:$A$35&gt;=J$88)*($A$6:$A$35&lt;=EOMONTH(J$88,0))*$C$6:$C$35)</f>
        <v>4000</v>
      </c>
      <c r="K92" s="168" t="n">
        <f aca="false">SUMPRODUCT(($E$6:$E$35="Fundador")*(($D$6:$D$35="Realizado")+($D$6:$D$35="Compromisso")+($D$6:$D$35="Previsto")*Premissas!$B$105+($D$6:$D$35="Em negociação")*Premissas!$B$106)*($A$6:$A$35&gt;=K$88)*($A$6:$A$35&lt;=EOMONTH(K$88,0))*$C$6:$C$35)</f>
        <v>0</v>
      </c>
      <c r="L92" s="168" t="n">
        <f aca="false">SUMPRODUCT(($E$6:$E$35="Fundador")*(($D$6:$D$35="Realizado")+($D$6:$D$35="Compromisso")+($D$6:$D$35="Previsto")*Premissas!$B$105+($D$6:$D$35="Em negociação")*Premissas!$B$106)*($A$6:$A$35&gt;=L$88)*($A$6:$A$35&lt;=EOMONTH(L$88,0))*$C$6:$C$35)</f>
        <v>0</v>
      </c>
      <c r="M92" s="168" t="n">
        <f aca="false">SUMPRODUCT(($E$6:$E$35="Fundador")*(($D$6:$D$35="Realizado")+($D$6:$D$35="Compromisso")+($D$6:$D$35="Previsto")*Premissas!$B$105+($D$6:$D$35="Em negociação")*Premissas!$B$106)*($A$6:$A$35&gt;=M$88)*($A$6:$A$35&lt;=EOMONTH(M$88,0))*$C$6:$C$35)</f>
        <v>0</v>
      </c>
      <c r="N92" s="168" t="n">
        <f aca="false">SUMPRODUCT(($E$6:$E$35="Fundador")*(($D$6:$D$35="Realizado")+($D$6:$D$35="Compromisso")+($D$6:$D$35="Previsto")*Premissas!$B$105+($D$6:$D$35="Em negociação")*Premissas!$B$106)*($A$6:$A$35&gt;=N$88)*($A$6:$A$35&lt;=EOMONTH(N$88,0))*$C$6:$C$35)</f>
        <v>0</v>
      </c>
      <c r="O92" s="168" t="n">
        <f aca="false">SUMPRODUCT(($E$6:$E$35="Fundador")*(($D$6:$D$35="Realizado")+($D$6:$D$35="Compromisso")+($D$6:$D$35="Previsto")*Premissas!$B$105+($D$6:$D$35="Em negociação")*Premissas!$B$106)*($A$6:$A$35&gt;=O$88)*($A$6:$A$35&lt;=EOMONTH(O$88,0))*$C$6:$C$35)</f>
        <v>0</v>
      </c>
      <c r="P92" s="168" t="n">
        <f aca="false">SUMPRODUCT(($E$6:$E$35="Fundador")*(($D$6:$D$35="Realizado")+($D$6:$D$35="Compromisso")+($D$6:$D$35="Previsto")*Premissas!$B$105+($D$6:$D$35="Em negociação")*Premissas!$B$106)*($A$6:$A$35&gt;=P$88)*($A$6:$A$35&lt;=EOMONTH(P$88,0))*$C$6:$C$35)</f>
        <v>0</v>
      </c>
      <c r="Q92" s="168" t="n">
        <f aca="false">SUMPRODUCT(($E$6:$E$35="Fundador")*(($D$6:$D$35="Realizado")+($D$6:$D$35="Compromisso")+($D$6:$D$35="Previsto")*Premissas!$B$105+($D$6:$D$35="Em negociação")*Premissas!$B$106)*($A$6:$A$35&gt;=Q$88)*($A$6:$A$35&lt;=EOMONTH(Q$88,0))*$C$6:$C$35)</f>
        <v>0</v>
      </c>
      <c r="R92" s="168" t="n">
        <f aca="false">SUMPRODUCT(($E$6:$E$35="Fundador")*(($D$6:$D$35="Realizado")+($D$6:$D$35="Compromisso")+($D$6:$D$35="Previsto")*Premissas!$B$105+($D$6:$D$35="Em negociação")*Premissas!$B$106)*($A$6:$A$35&gt;=R$88)*($A$6:$A$35&lt;=EOMONTH(R$88,0))*$C$6:$C$35)</f>
        <v>0</v>
      </c>
      <c r="S92" s="168" t="n">
        <f aca="false">SUMPRODUCT(($E$6:$E$35="Fundador")*(($D$6:$D$35="Realizado")+($D$6:$D$35="Compromisso")+($D$6:$D$35="Previsto")*Premissas!$B$105+($D$6:$D$35="Em negociação")*Premissas!$B$106)*($A$6:$A$35&gt;=S$88)*($A$6:$A$35&lt;=EOMONTH(S$88,0))*$C$6:$C$35)</f>
        <v>0</v>
      </c>
      <c r="T92" s="168" t="n">
        <f aca="false">SUMPRODUCT(($E$6:$E$35="Fundador")*(($D$6:$D$35="Realizado")+($D$6:$D$35="Compromisso")+($D$6:$D$35="Previsto")*Premissas!$B$105+($D$6:$D$35="Em negociação")*Premissas!$B$106)*($A$6:$A$35&gt;=T$88)*($A$6:$A$35&lt;=EOMONTH(T$88,0))*$C$6:$C$35)</f>
        <v>0</v>
      </c>
      <c r="U92" s="168" t="n">
        <f aca="false">SUMPRODUCT(($E$6:$E$35="Fundador")*(($D$6:$D$35="Realizado")+($D$6:$D$35="Compromisso")+($D$6:$D$35="Previsto")*Premissas!$B$105+($D$6:$D$35="Em negociação")*Premissas!$B$106)*($A$6:$A$35&gt;=U$88)*($A$6:$A$35&lt;=EOMONTH(U$88,0))*$C$6:$C$35)</f>
        <v>0</v>
      </c>
      <c r="V92" s="168" t="n">
        <f aca="false">SUMPRODUCT(($E$6:$E$35="Fundador")*(($D$6:$D$35="Realizado")+($D$6:$D$35="Compromisso")+($D$6:$D$35="Previsto")*Premissas!$B$105+($D$6:$D$35="Em negociação")*Premissas!$B$106)*($A$6:$A$35&gt;=V$88)*($A$6:$A$35&lt;=EOMONTH(V$88,0))*$C$6:$C$35)</f>
        <v>0</v>
      </c>
      <c r="W92" s="168" t="n">
        <f aca="false">SUMPRODUCT(($E$6:$E$35="Fundador")*(($D$6:$D$35="Realizado")+($D$6:$D$35="Compromisso")+($D$6:$D$35="Previsto")*Premissas!$B$105+($D$6:$D$35="Em negociação")*Premissas!$B$106)*($A$6:$A$35&gt;=W$88)*($A$6:$A$35&lt;=EOMONTH(W$88,0))*$C$6:$C$35)</f>
        <v>0</v>
      </c>
      <c r="X92" s="168" t="n">
        <f aca="false">SUMPRODUCT(($E$6:$E$35="Fundador")*(($D$6:$D$35="Realizado")+($D$6:$D$35="Compromisso")+($D$6:$D$35="Previsto")*Premissas!$B$105+($D$6:$D$35="Em negociação")*Premissas!$B$106)*($A$6:$A$35&gt;=X$88)*($A$6:$A$35&lt;=EOMONTH(X$88,0))*$C$6:$C$35)</f>
        <v>0</v>
      </c>
      <c r="Y92" s="168" t="n">
        <f aca="false">SUMPRODUCT(($E$6:$E$35="Fundador")*(($D$6:$D$35="Realizado")+($D$6:$D$35="Compromisso")+($D$6:$D$35="Previsto")*Premissas!$B$105+($D$6:$D$35="Em negociação")*Premissas!$B$106)*($A$6:$A$35&gt;=Y$88)*($A$6:$A$35&lt;=EOMONTH(Y$88,0))*$C$6:$C$35)</f>
        <v>0</v>
      </c>
      <c r="Z92" s="168" t="n">
        <f aca="false">SUMPRODUCT(($E$6:$E$35="Fundador")*(($D$6:$D$35="Realizado")+($D$6:$D$35="Compromisso")+($D$6:$D$35="Previsto")*Premissas!$B$105+($D$6:$D$35="Em negociação")*Premissas!$B$106)*($A$6:$A$35&gt;=Z$88)*($A$6:$A$35&lt;=EOMONTH(Z$88,0))*$C$6:$C$35)</f>
        <v>0</v>
      </c>
      <c r="AA92" s="168" t="n">
        <f aca="false">SUMPRODUCT(($E$6:$E$35="Fundador")*(($D$6:$D$35="Realizado")+($D$6:$D$35="Compromisso")+($D$6:$D$35="Previsto")*Premissas!$B$105+($D$6:$D$35="Em negociação")*Premissas!$B$106)*($A$6:$A$35&gt;=AA$88)*($A$6:$A$35&lt;=EOMONTH(AA$88,0))*$C$6:$C$35)</f>
        <v>0</v>
      </c>
      <c r="AB92" s="168" t="n">
        <f aca="false">SUMPRODUCT(($E$6:$E$35="Fundador")*(($D$6:$D$35="Realizado")+($D$6:$D$35="Compromisso")+($D$6:$D$35="Previsto")*Premissas!$B$105+($D$6:$D$35="Em negociação")*Premissas!$B$106)*($A$6:$A$35&gt;=AB$88)*($A$6:$A$35&lt;=EOMONTH(AB$88,0))*$C$6:$C$35)</f>
        <v>0</v>
      </c>
      <c r="AC92" s="168" t="n">
        <f aca="false">SUMPRODUCT(($E$6:$E$35="Fundador")*(($D$6:$D$35="Realizado")+($D$6:$D$35="Compromisso")+($D$6:$D$35="Previsto")*Premissas!$B$105+($D$6:$D$35="Em negociação")*Premissas!$B$106)*($A$6:$A$35&gt;=AC$88)*($A$6:$A$35&lt;=EOMONTH(AC$88,0))*$C$6:$C$35)</f>
        <v>0</v>
      </c>
      <c r="AD92" s="168" t="n">
        <f aca="false">SUMPRODUCT(($E$6:$E$35="Fundador")*(($D$6:$D$35="Realizado")+($D$6:$D$35="Compromisso")+($D$6:$D$35="Previsto")*Premissas!$B$105+($D$6:$D$35="Em negociação")*Premissas!$B$106)*($A$6:$A$35&gt;=AD$88)*($A$6:$A$35&lt;=EOMONTH(AD$88,0))*$C$6:$C$35)</f>
        <v>0</v>
      </c>
      <c r="AE92" s="168" t="n">
        <f aca="false">SUMPRODUCT(($E$6:$E$35="Fundador")*(($D$6:$D$35="Realizado")+($D$6:$D$35="Compromisso")+($D$6:$D$35="Previsto")*Premissas!$B$105+($D$6:$D$35="Em negociação")*Premissas!$B$106)*($A$6:$A$35&gt;=AE$88)*($A$6:$A$35&lt;=EOMONTH(AE$88,0))*$C$6:$C$35)</f>
        <v>0</v>
      </c>
      <c r="AF92" s="168" t="n">
        <f aca="false">SUMPRODUCT(($E$6:$E$35="Fundador")*(($D$6:$D$35="Realizado")+($D$6:$D$35="Compromisso")+($D$6:$D$35="Previsto")*Premissas!$B$105+($D$6:$D$35="Em negociação")*Premissas!$B$106)*($A$6:$A$35&gt;=AF$88)*($A$6:$A$35&lt;=EOMONTH(AF$88,0))*$C$6:$C$35)</f>
        <v>0</v>
      </c>
      <c r="AG92" s="168" t="n">
        <f aca="false">SUMPRODUCT(($E$6:$E$35="Fundador")*(($D$6:$D$35="Realizado")+($D$6:$D$35="Compromisso")+($D$6:$D$35="Previsto")*Premissas!$B$105+($D$6:$D$35="Em negociação")*Premissas!$B$106)*($A$6:$A$35&gt;=AG$88)*($A$6:$A$35&lt;=EOMONTH(AG$88,0))*$C$6:$C$35)</f>
        <v>0</v>
      </c>
      <c r="AH92" s="168" t="n">
        <f aca="false">SUMPRODUCT(($E$6:$E$35="Fundador")*(($D$6:$D$35="Realizado")+($D$6:$D$35="Compromisso")+($D$6:$D$35="Previsto")*Premissas!$B$105+($D$6:$D$35="Em negociação")*Premissas!$B$106)*($A$6:$A$35&gt;=AH$88)*($A$6:$A$35&lt;=EOMONTH(AH$88,0))*$C$6:$C$35)</f>
        <v>0</v>
      </c>
      <c r="AI92" s="168" t="n">
        <f aca="false">SUMPRODUCT(($E$6:$E$35="Fundador")*(($D$6:$D$35="Realizado")+($D$6:$D$35="Compromisso")+($D$6:$D$35="Previsto")*Premissas!$B$105+($D$6:$D$35="Em negociação")*Premissas!$B$106)*($A$6:$A$35&gt;=AI$88)*($A$6:$A$35&lt;=EOMONTH(AI$88,0))*$C$6:$C$35)</f>
        <v>0</v>
      </c>
      <c r="AJ92" s="168" t="n">
        <f aca="false">SUMPRODUCT(($E$6:$E$35="Fundador")*(($D$6:$D$35="Realizado")+($D$6:$D$35="Compromisso")+($D$6:$D$35="Previsto")*Premissas!$B$105+($D$6:$D$35="Em negociação")*Premissas!$B$106)*($A$6:$A$35&gt;=AJ$88)*($A$6:$A$35&lt;=EOMONTH(AJ$88,0))*$C$6:$C$35)</f>
        <v>0</v>
      </c>
      <c r="AK92" s="168" t="n">
        <f aca="false">SUMPRODUCT(($E$6:$E$35="Fundador")*(($D$6:$D$35="Realizado")+($D$6:$D$35="Compromisso")+($D$6:$D$35="Previsto")*Premissas!$B$105+($D$6:$D$35="Em negociação")*Premissas!$B$106)*($A$6:$A$35&gt;=AK$88)*($A$6:$A$35&lt;=EOMONTH(AK$88,0))*$C$6:$C$35)</f>
        <v>0</v>
      </c>
      <c r="AL92" s="168" t="n">
        <f aca="false">SUMPRODUCT(($E$6:$E$35="Fundador")*(($D$6:$D$35="Realizado")+($D$6:$D$35="Compromisso")+($D$6:$D$35="Previsto")*Premissas!$B$105+($D$6:$D$35="Em negociação")*Premissas!$B$106)*($A$6:$A$35&gt;=AL$88)*($A$6:$A$35&lt;=EOMONTH(AL$88,0))*$C$6:$C$35)</f>
        <v>0</v>
      </c>
      <c r="AM92" s="168" t="n">
        <f aca="false">SUMPRODUCT(($E$6:$E$35="Fundador")*(($D$6:$D$35="Realizado")+($D$6:$D$35="Compromisso")+($D$6:$D$35="Previsto")*Premissas!$B$105+($D$6:$D$35="Em negociação")*Premissas!$B$106)*($A$6:$A$35&gt;=AM$88)*($A$6:$A$35&lt;=EOMONTH(AM$88,0))*$C$6:$C$35)</f>
        <v>0</v>
      </c>
      <c r="AN92" s="168" t="n">
        <f aca="false">SUMPRODUCT(($E$6:$E$35="Fundador")*(($D$6:$D$35="Realizado")+($D$6:$D$35="Compromisso")+($D$6:$D$35="Previsto")*Premissas!$B$105+($D$6:$D$35="Em negociação")*Premissas!$B$106)*($A$6:$A$35&gt;=AN$88)*($A$6:$A$35&lt;=EOMONTH(AN$88,0))*$C$6:$C$35)</f>
        <v>0</v>
      </c>
      <c r="AO92" s="168" t="n">
        <f aca="false">SUMPRODUCT(($E$6:$E$35="Fundador")*(($D$6:$D$35="Realizado")+($D$6:$D$35="Compromisso")+($D$6:$D$35="Previsto")*Premissas!$B$105+($D$6:$D$35="Em negociação")*Premissas!$B$106)*($A$6:$A$35&gt;=AO$88)*($A$6:$A$35&lt;=EOMONTH(AO$88,0))*$C$6:$C$35)</f>
        <v>0</v>
      </c>
      <c r="AP92" s="168" t="n">
        <f aca="false">SUMPRODUCT(($E$6:$E$35="Fundador")*(($D$6:$D$35="Realizado")+($D$6:$D$35="Compromisso")+($D$6:$D$35="Previsto")*Premissas!$B$105+($D$6:$D$35="Em negociação")*Premissas!$B$106)*($A$6:$A$35&gt;=AP$88)*($A$6:$A$35&lt;=EOMONTH(AP$88,0))*$C$6:$C$35)</f>
        <v>0</v>
      </c>
      <c r="AQ92" s="168" t="n">
        <f aca="false">SUMPRODUCT(($E$6:$E$35="Fundador")*(($D$6:$D$35="Realizado")+($D$6:$D$35="Compromisso")+($D$6:$D$35="Previsto")*Premissas!$B$105+($D$6:$D$35="Em negociação")*Premissas!$B$106)*($A$6:$A$35&gt;=AQ$88)*($A$6:$A$35&lt;=EOMONTH(AQ$88,0))*$C$6:$C$35)</f>
        <v>0</v>
      </c>
      <c r="AR92" s="168" t="n">
        <f aca="false">SUMPRODUCT(($E$6:$E$35="Fundador")*(($D$6:$D$35="Realizado")+($D$6:$D$35="Compromisso")+($D$6:$D$35="Previsto")*Premissas!$B$105+($D$6:$D$35="Em negociação")*Premissas!$B$106)*($A$6:$A$35&gt;=AR$88)*($A$6:$A$35&lt;=EOMONTH(AR$88,0))*$C$6:$C$35)</f>
        <v>0</v>
      </c>
      <c r="AS92" s="168" t="n">
        <f aca="false">SUMPRODUCT(($E$6:$E$35="Fundador")*(($D$6:$D$35="Realizado")+($D$6:$D$35="Compromisso")+($D$6:$D$35="Previsto")*Premissas!$B$105+($D$6:$D$35="Em negociação")*Premissas!$B$106)*($A$6:$A$35&gt;=AS$88)*($A$6:$A$35&lt;=EOMONTH(AS$88,0))*$C$6:$C$35)</f>
        <v>0</v>
      </c>
      <c r="AT92" s="168" t="n">
        <f aca="false">SUMPRODUCT(($E$6:$E$35="Fundador")*(($D$6:$D$35="Realizado")+($D$6:$D$35="Compromisso")+($D$6:$D$35="Previsto")*Premissas!$B$105+($D$6:$D$35="Em negociação")*Premissas!$B$106)*($A$6:$A$35&gt;=AT$88)*($A$6:$A$35&lt;=EOMONTH(AT$88,0))*$C$6:$C$35)</f>
        <v>0</v>
      </c>
      <c r="AU92" s="168" t="n">
        <f aca="false">SUMPRODUCT(($E$6:$E$35="Fundador")*(($D$6:$D$35="Realizado")+($D$6:$D$35="Compromisso")+($D$6:$D$35="Previsto")*Premissas!$B$105+($D$6:$D$35="Em negociação")*Premissas!$B$106)*($A$6:$A$35&gt;=AU$88)*($A$6:$A$35&lt;=EOMONTH(AU$88,0))*$C$6:$C$35)</f>
        <v>0</v>
      </c>
      <c r="AV92" s="168" t="n">
        <f aca="false">SUMPRODUCT(($E$6:$E$35="Fundador")*(($D$6:$D$35="Realizado")+($D$6:$D$35="Compromisso")+($D$6:$D$35="Previsto")*Premissas!$B$105+($D$6:$D$35="Em negociação")*Premissas!$B$106)*($A$6:$A$35&gt;=AV$88)*($A$6:$A$35&lt;=EOMONTH(AV$88,0))*$C$6:$C$35)</f>
        <v>0</v>
      </c>
      <c r="AW92" s="168" t="n">
        <f aca="false">SUMPRODUCT(($E$6:$E$35="Fundador")*(($D$6:$D$35="Realizado")+($D$6:$D$35="Compromisso")+($D$6:$D$35="Previsto")*Premissas!$B$105+($D$6:$D$35="Em negociação")*Premissas!$B$106)*($A$6:$A$35&gt;=AW$88)*($A$6:$A$35&lt;=EOMONTH(AW$88,0))*$C$6:$C$35)</f>
        <v>0</v>
      </c>
      <c r="AX92" s="168" t="n">
        <f aca="false">SUMPRODUCT(($E$6:$E$35="Fundador")*(($D$6:$D$35="Realizado")+($D$6:$D$35="Compromisso")+($D$6:$D$35="Previsto")*Premissas!$B$105+($D$6:$D$35="Em negociação")*Premissas!$B$106)*($A$6:$A$35&gt;=AX$88)*($A$6:$A$35&lt;=EOMONTH(AX$88,0))*$C$6:$C$35)</f>
        <v>0</v>
      </c>
      <c r="AY92" s="168" t="n">
        <f aca="false">SUMPRODUCT(($E$6:$E$35="Fundador")*(($D$6:$D$35="Realizado")+($D$6:$D$35="Compromisso")+($D$6:$D$35="Previsto")*Premissas!$B$105+($D$6:$D$35="Em negociação")*Premissas!$B$106)*($A$6:$A$35&gt;=AY$88)*($A$6:$A$35&lt;=EOMONTH(AY$88,0))*$C$6:$C$35)</f>
        <v>0</v>
      </c>
      <c r="AZ92" s="168" t="n">
        <f aca="false">SUMPRODUCT(($E$6:$E$35="Fundador")*(($D$6:$D$35="Realizado")+($D$6:$D$35="Compromisso")+($D$6:$D$35="Previsto")*Premissas!$B$105+($D$6:$D$35="Em negociação")*Premissas!$B$106)*($A$6:$A$35&gt;=AZ$88)*($A$6:$A$35&lt;=EOMONTH(AZ$88,0))*$C$6:$C$35)</f>
        <v>0</v>
      </c>
      <c r="BA92" s="168" t="n">
        <f aca="false">SUMPRODUCT(($E$6:$E$35="Fundador")*(($D$6:$D$35="Realizado")+($D$6:$D$35="Compromisso")+($D$6:$D$35="Previsto")*Premissas!$B$105+($D$6:$D$35="Em negociação")*Premissas!$B$106)*($A$6:$A$35&gt;=BA$88)*($A$6:$A$35&lt;=EOMONTH(BA$88,0))*$C$6:$C$35)</f>
        <v>0</v>
      </c>
      <c r="BB92" s="168" t="n">
        <f aca="false">SUMPRODUCT(($E$6:$E$35="Fundador")*(($D$6:$D$35="Realizado")+($D$6:$D$35="Compromisso")+($D$6:$D$35="Previsto")*Premissas!$B$105+($D$6:$D$35="Em negociação")*Premissas!$B$106)*($A$6:$A$35&gt;=BB$88)*($A$6:$A$35&lt;=EOMONTH(BB$88,0))*$C$6:$C$35)</f>
        <v>0</v>
      </c>
      <c r="BC92" s="168" t="n">
        <f aca="false">SUMPRODUCT(($E$6:$E$35="Fundador")*(($D$6:$D$35="Realizado")+($D$6:$D$35="Compromisso")+($D$6:$D$35="Previsto")*Premissas!$B$105+($D$6:$D$35="Em negociação")*Premissas!$B$106)*($A$6:$A$35&gt;=BC$88)*($A$6:$A$35&lt;=EOMONTH(BC$88,0))*$C$6:$C$35)</f>
        <v>0</v>
      </c>
      <c r="BD92" s="168" t="n">
        <f aca="false">SUMPRODUCT(($E$6:$E$35="Fundador")*(($D$6:$D$35="Realizado")+($D$6:$D$35="Compromisso")+($D$6:$D$35="Previsto")*Premissas!$B$105+($D$6:$D$35="Em negociação")*Premissas!$B$106)*($A$6:$A$35&gt;=BD$88)*($A$6:$A$35&lt;=EOMONTH(BD$88,0))*$C$6:$C$35)</f>
        <v>0</v>
      </c>
      <c r="BE92" s="168" t="n">
        <f aca="false">SUMPRODUCT(($E$6:$E$35="Fundador")*(($D$6:$D$35="Realizado")+($D$6:$D$35="Compromisso")+($D$6:$D$35="Previsto")*Premissas!$B$105+($D$6:$D$35="Em negociação")*Premissas!$B$106)*($A$6:$A$35&gt;=BE$88)*($A$6:$A$35&lt;=EOMONTH(BE$88,0))*$C$6:$C$35)</f>
        <v>0</v>
      </c>
      <c r="BF92" s="168" t="n">
        <f aca="false">SUMPRODUCT(($E$6:$E$35="Fundador")*(($D$6:$D$35="Realizado")+($D$6:$D$35="Compromisso")+($D$6:$D$35="Previsto")*Premissas!$B$105+($D$6:$D$35="Em negociação")*Premissas!$B$106)*($A$6:$A$35&gt;=BF$88)*($A$6:$A$35&lt;=EOMONTH(BF$88,0))*$C$6:$C$35)</f>
        <v>0</v>
      </c>
      <c r="BG92" s="168" t="n">
        <f aca="false">SUMPRODUCT(($E$6:$E$35="Fundador")*(($D$6:$D$35="Realizado")+($D$6:$D$35="Compromisso")+($D$6:$D$35="Previsto")*Premissas!$B$105+($D$6:$D$35="Em negociação")*Premissas!$B$106)*($A$6:$A$35&gt;=BG$88)*($A$6:$A$35&lt;=EOMONTH(BG$88,0))*$C$6:$C$35)</f>
        <v>0</v>
      </c>
      <c r="BH92" s="168" t="n">
        <f aca="false">SUMPRODUCT(($E$6:$E$35="Fundador")*(($D$6:$D$35="Realizado")+($D$6:$D$35="Compromisso")+($D$6:$D$35="Previsto")*Premissas!$B$105+($D$6:$D$35="Em negociação")*Premissas!$B$106)*($A$6:$A$35&gt;=BH$88)*($A$6:$A$35&lt;=EOMONTH(BH$88,0))*$C$6:$C$35)</f>
        <v>0</v>
      </c>
      <c r="BI92" s="168" t="n">
        <f aca="false">SUMPRODUCT(($E$6:$E$35="Fundador")*(($D$6:$D$35="Realizado")+($D$6:$D$35="Compromisso")+($D$6:$D$35="Previsto")*Premissas!$B$105+($D$6:$D$35="Em negociação")*Premissas!$B$106)*($A$6:$A$35&gt;=BI$88)*($A$6:$A$35&lt;=EOMONTH(BI$88,0))*$C$6:$C$35)</f>
        <v>0</v>
      </c>
      <c r="BJ92" s="154" t="n">
        <f aca="false">SUM(B92:BI92)</f>
        <v>37000</v>
      </c>
    </row>
    <row r="93" customFormat="false" ht="15.75" hidden="false" customHeight="true" outlineLevel="0" collapsed="false">
      <c r="A93" s="49" t="s">
        <v>621</v>
      </c>
      <c r="B93" s="168" t="n">
        <f aca="false">SUMPRODUCT(($E$6:$E$35="Novo sócio")*(($D$6:$D$35="Realizado")+($D$6:$D$35="Compromisso")+($D$6:$D$35="Previsto")*Premissas!$B$105+($D$6:$D$35="Em negociação")*Premissas!$B$106)*($A$6:$A$35&gt;=B$88)*($A$6:$A$35&lt;=EOMONTH(B$88,0))*$C$6:$C$35)</f>
        <v>0</v>
      </c>
      <c r="C93" s="168" t="n">
        <f aca="false">SUMPRODUCT(($E$6:$E$35="Novo sócio")*(($D$6:$D$35="Realizado")+($D$6:$D$35="Compromisso")+($D$6:$D$35="Previsto")*Premissas!$B$105+($D$6:$D$35="Em negociação")*Premissas!$B$106)*($A$6:$A$35&gt;=C$88)*($A$6:$A$35&lt;=EOMONTH(C$88,0))*$C$6:$C$35)</f>
        <v>0</v>
      </c>
      <c r="D93" s="168" t="n">
        <f aca="false">SUMPRODUCT(($E$6:$E$35="Novo sócio")*(($D$6:$D$35="Realizado")+($D$6:$D$35="Compromisso")+($D$6:$D$35="Previsto")*Premissas!$B$105+($D$6:$D$35="Em negociação")*Premissas!$B$106)*($A$6:$A$35&gt;=D$88)*($A$6:$A$35&lt;=EOMONTH(D$88,0))*$C$6:$C$35)</f>
        <v>0</v>
      </c>
      <c r="E93" s="168" t="n">
        <f aca="false">SUMPRODUCT(($E$6:$E$35="Novo sócio")*(($D$6:$D$35="Realizado")+($D$6:$D$35="Compromisso")+($D$6:$D$35="Previsto")*Premissas!$B$105+($D$6:$D$35="Em negociação")*Premissas!$B$106)*($A$6:$A$35&gt;=E$88)*($A$6:$A$35&lt;=EOMONTH(E$88,0))*$C$6:$C$35)</f>
        <v>0</v>
      </c>
      <c r="F93" s="168" t="n">
        <f aca="false">SUMPRODUCT(($E$6:$E$35="Novo sócio")*(($D$6:$D$35="Realizado")+($D$6:$D$35="Compromisso")+($D$6:$D$35="Previsto")*Premissas!$B$105+($D$6:$D$35="Em negociação")*Premissas!$B$106)*($A$6:$A$35&gt;=F$88)*($A$6:$A$35&lt;=EOMONTH(F$88,0))*$C$6:$C$35)</f>
        <v>0</v>
      </c>
      <c r="G93" s="168" t="n">
        <f aca="false">SUMPRODUCT(($E$6:$E$35="Novo sócio")*(($D$6:$D$35="Realizado")+($D$6:$D$35="Compromisso")+($D$6:$D$35="Previsto")*Premissas!$B$105+($D$6:$D$35="Em negociação")*Premissas!$B$106)*($A$6:$A$35&gt;=G$88)*($A$6:$A$35&lt;=EOMONTH(G$88,0))*$C$6:$C$35)</f>
        <v>0</v>
      </c>
      <c r="H93" s="168" t="n">
        <f aca="false">SUMPRODUCT(($E$6:$E$35="Novo sócio")*(($D$6:$D$35="Realizado")+($D$6:$D$35="Compromisso")+($D$6:$D$35="Previsto")*Premissas!$B$105+($D$6:$D$35="Em negociação")*Premissas!$B$106)*($A$6:$A$35&gt;=H$88)*($A$6:$A$35&lt;=EOMONTH(H$88,0))*$C$6:$C$35)</f>
        <v>0</v>
      </c>
      <c r="I93" s="168" t="n">
        <f aca="false">SUMPRODUCT(($E$6:$E$35="Novo sócio")*(($D$6:$D$35="Realizado")+($D$6:$D$35="Compromisso")+($D$6:$D$35="Previsto")*Premissas!$B$105+($D$6:$D$35="Em negociação")*Premissas!$B$106)*($A$6:$A$35&gt;=I$88)*($A$6:$A$35&lt;=EOMONTH(I$88,0))*$C$6:$C$35)</f>
        <v>0</v>
      </c>
      <c r="J93" s="168" t="n">
        <f aca="false">SUMPRODUCT(($E$6:$E$35="Novo sócio")*(($D$6:$D$35="Realizado")+($D$6:$D$35="Compromisso")+($D$6:$D$35="Previsto")*Premissas!$B$105+($D$6:$D$35="Em negociação")*Premissas!$B$106)*($A$6:$A$35&gt;=J$88)*($A$6:$A$35&lt;=EOMONTH(J$88,0))*$C$6:$C$35)</f>
        <v>0</v>
      </c>
      <c r="K93" s="168" t="n">
        <f aca="false">SUMPRODUCT(($E$6:$E$35="Novo sócio")*(($D$6:$D$35="Realizado")+($D$6:$D$35="Compromisso")+($D$6:$D$35="Previsto")*Premissas!$B$105+($D$6:$D$35="Em negociação")*Premissas!$B$106)*($A$6:$A$35&gt;=K$88)*($A$6:$A$35&lt;=EOMONTH(K$88,0))*$C$6:$C$35)</f>
        <v>80000</v>
      </c>
      <c r="L93" s="168" t="n">
        <f aca="false">SUMPRODUCT(($E$6:$E$35="Novo sócio")*(($D$6:$D$35="Realizado")+($D$6:$D$35="Compromisso")+($D$6:$D$35="Previsto")*Premissas!$B$105+($D$6:$D$35="Em negociação")*Premissas!$B$106)*($A$6:$A$35&gt;=L$88)*($A$6:$A$35&lt;=EOMONTH(L$88,0))*$C$6:$C$35)</f>
        <v>0</v>
      </c>
      <c r="M93" s="168" t="n">
        <f aca="false">SUMPRODUCT(($E$6:$E$35="Novo sócio")*(($D$6:$D$35="Realizado")+($D$6:$D$35="Compromisso")+($D$6:$D$35="Previsto")*Premissas!$B$105+($D$6:$D$35="Em negociação")*Premissas!$B$106)*($A$6:$A$35&gt;=M$88)*($A$6:$A$35&lt;=EOMONTH(M$88,0))*$C$6:$C$35)</f>
        <v>0</v>
      </c>
      <c r="N93" s="168" t="n">
        <f aca="false">SUMPRODUCT(($E$6:$E$35="Novo sócio")*(($D$6:$D$35="Realizado")+($D$6:$D$35="Compromisso")+($D$6:$D$35="Previsto")*Premissas!$B$105+($D$6:$D$35="Em negociação")*Premissas!$B$106)*($A$6:$A$35&gt;=N$88)*($A$6:$A$35&lt;=EOMONTH(N$88,0))*$C$6:$C$35)</f>
        <v>0</v>
      </c>
      <c r="O93" s="168" t="n">
        <f aca="false">SUMPRODUCT(($E$6:$E$35="Novo sócio")*(($D$6:$D$35="Realizado")+($D$6:$D$35="Compromisso")+($D$6:$D$35="Previsto")*Premissas!$B$105+($D$6:$D$35="Em negociação")*Premissas!$B$106)*($A$6:$A$35&gt;=O$88)*($A$6:$A$35&lt;=EOMONTH(O$88,0))*$C$6:$C$35)</f>
        <v>0</v>
      </c>
      <c r="P93" s="168" t="n">
        <f aca="false">SUMPRODUCT(($E$6:$E$35="Novo sócio")*(($D$6:$D$35="Realizado")+($D$6:$D$35="Compromisso")+($D$6:$D$35="Previsto")*Premissas!$B$105+($D$6:$D$35="Em negociação")*Premissas!$B$106)*($A$6:$A$35&gt;=P$88)*($A$6:$A$35&lt;=EOMONTH(P$88,0))*$C$6:$C$35)</f>
        <v>0</v>
      </c>
      <c r="Q93" s="168" t="n">
        <f aca="false">SUMPRODUCT(($E$6:$E$35="Novo sócio")*(($D$6:$D$35="Realizado")+($D$6:$D$35="Compromisso")+($D$6:$D$35="Previsto")*Premissas!$B$105+($D$6:$D$35="Em negociação")*Premissas!$B$106)*($A$6:$A$35&gt;=Q$88)*($A$6:$A$35&lt;=EOMONTH(Q$88,0))*$C$6:$C$35)</f>
        <v>0</v>
      </c>
      <c r="R93" s="168" t="n">
        <f aca="false">SUMPRODUCT(($E$6:$E$35="Novo sócio")*(($D$6:$D$35="Realizado")+($D$6:$D$35="Compromisso")+($D$6:$D$35="Previsto")*Premissas!$B$105+($D$6:$D$35="Em negociação")*Premissas!$B$106)*($A$6:$A$35&gt;=R$88)*($A$6:$A$35&lt;=EOMONTH(R$88,0))*$C$6:$C$35)</f>
        <v>0</v>
      </c>
      <c r="S93" s="168" t="n">
        <f aca="false">SUMPRODUCT(($E$6:$E$35="Novo sócio")*(($D$6:$D$35="Realizado")+($D$6:$D$35="Compromisso")+($D$6:$D$35="Previsto")*Premissas!$B$105+($D$6:$D$35="Em negociação")*Premissas!$B$106)*($A$6:$A$35&gt;=S$88)*($A$6:$A$35&lt;=EOMONTH(S$88,0))*$C$6:$C$35)</f>
        <v>0</v>
      </c>
      <c r="T93" s="168" t="n">
        <f aca="false">SUMPRODUCT(($E$6:$E$35="Novo sócio")*(($D$6:$D$35="Realizado")+($D$6:$D$35="Compromisso")+($D$6:$D$35="Previsto")*Premissas!$B$105+($D$6:$D$35="Em negociação")*Premissas!$B$106)*($A$6:$A$35&gt;=T$88)*($A$6:$A$35&lt;=EOMONTH(T$88,0))*$C$6:$C$35)</f>
        <v>0</v>
      </c>
      <c r="U93" s="168" t="n">
        <f aca="false">SUMPRODUCT(($E$6:$E$35="Novo sócio")*(($D$6:$D$35="Realizado")+($D$6:$D$35="Compromisso")+($D$6:$D$35="Previsto")*Premissas!$B$105+($D$6:$D$35="Em negociação")*Premissas!$B$106)*($A$6:$A$35&gt;=U$88)*($A$6:$A$35&lt;=EOMONTH(U$88,0))*$C$6:$C$35)</f>
        <v>0</v>
      </c>
      <c r="V93" s="168" t="n">
        <f aca="false">SUMPRODUCT(($E$6:$E$35="Novo sócio")*(($D$6:$D$35="Realizado")+($D$6:$D$35="Compromisso")+($D$6:$D$35="Previsto")*Premissas!$B$105+($D$6:$D$35="Em negociação")*Premissas!$B$106)*($A$6:$A$35&gt;=V$88)*($A$6:$A$35&lt;=EOMONTH(V$88,0))*$C$6:$C$35)</f>
        <v>0</v>
      </c>
      <c r="W93" s="168" t="n">
        <f aca="false">SUMPRODUCT(($E$6:$E$35="Novo sócio")*(($D$6:$D$35="Realizado")+($D$6:$D$35="Compromisso")+($D$6:$D$35="Previsto")*Premissas!$B$105+($D$6:$D$35="Em negociação")*Premissas!$B$106)*($A$6:$A$35&gt;=W$88)*($A$6:$A$35&lt;=EOMONTH(W$88,0))*$C$6:$C$35)</f>
        <v>0</v>
      </c>
      <c r="X93" s="168" t="n">
        <f aca="false">SUMPRODUCT(($E$6:$E$35="Novo sócio")*(($D$6:$D$35="Realizado")+($D$6:$D$35="Compromisso")+($D$6:$D$35="Previsto")*Premissas!$B$105+($D$6:$D$35="Em negociação")*Premissas!$B$106)*($A$6:$A$35&gt;=X$88)*($A$6:$A$35&lt;=EOMONTH(X$88,0))*$C$6:$C$35)</f>
        <v>0</v>
      </c>
      <c r="Y93" s="168" t="n">
        <f aca="false">SUMPRODUCT(($E$6:$E$35="Novo sócio")*(($D$6:$D$35="Realizado")+($D$6:$D$35="Compromisso")+($D$6:$D$35="Previsto")*Premissas!$B$105+($D$6:$D$35="Em negociação")*Premissas!$B$106)*($A$6:$A$35&gt;=Y$88)*($A$6:$A$35&lt;=EOMONTH(Y$88,0))*$C$6:$C$35)</f>
        <v>0</v>
      </c>
      <c r="Z93" s="168" t="n">
        <f aca="false">SUMPRODUCT(($E$6:$E$35="Novo sócio")*(($D$6:$D$35="Realizado")+($D$6:$D$35="Compromisso")+($D$6:$D$35="Previsto")*Premissas!$B$105+($D$6:$D$35="Em negociação")*Premissas!$B$106)*($A$6:$A$35&gt;=Z$88)*($A$6:$A$35&lt;=EOMONTH(Z$88,0))*$C$6:$C$35)</f>
        <v>0</v>
      </c>
      <c r="AA93" s="168" t="n">
        <f aca="false">SUMPRODUCT(($E$6:$E$35="Novo sócio")*(($D$6:$D$35="Realizado")+($D$6:$D$35="Compromisso")+($D$6:$D$35="Previsto")*Premissas!$B$105+($D$6:$D$35="Em negociação")*Premissas!$B$106)*($A$6:$A$35&gt;=AA$88)*($A$6:$A$35&lt;=EOMONTH(AA$88,0))*$C$6:$C$35)</f>
        <v>0</v>
      </c>
      <c r="AB93" s="168" t="n">
        <f aca="false">SUMPRODUCT(($E$6:$E$35="Novo sócio")*(($D$6:$D$35="Realizado")+($D$6:$D$35="Compromisso")+($D$6:$D$35="Previsto")*Premissas!$B$105+($D$6:$D$35="Em negociação")*Premissas!$B$106)*($A$6:$A$35&gt;=AB$88)*($A$6:$A$35&lt;=EOMONTH(AB$88,0))*$C$6:$C$35)</f>
        <v>0</v>
      </c>
      <c r="AC93" s="168" t="n">
        <f aca="false">SUMPRODUCT(($E$6:$E$35="Novo sócio")*(($D$6:$D$35="Realizado")+($D$6:$D$35="Compromisso")+($D$6:$D$35="Previsto")*Premissas!$B$105+($D$6:$D$35="Em negociação")*Premissas!$B$106)*($A$6:$A$35&gt;=AC$88)*($A$6:$A$35&lt;=EOMONTH(AC$88,0))*$C$6:$C$35)</f>
        <v>0</v>
      </c>
      <c r="AD93" s="168" t="n">
        <f aca="false">SUMPRODUCT(($E$6:$E$35="Novo sócio")*(($D$6:$D$35="Realizado")+($D$6:$D$35="Compromisso")+($D$6:$D$35="Previsto")*Premissas!$B$105+($D$6:$D$35="Em negociação")*Premissas!$B$106)*($A$6:$A$35&gt;=AD$88)*($A$6:$A$35&lt;=EOMONTH(AD$88,0))*$C$6:$C$35)</f>
        <v>0</v>
      </c>
      <c r="AE93" s="168" t="n">
        <f aca="false">SUMPRODUCT(($E$6:$E$35="Novo sócio")*(($D$6:$D$35="Realizado")+($D$6:$D$35="Compromisso")+($D$6:$D$35="Previsto")*Premissas!$B$105+($D$6:$D$35="Em negociação")*Premissas!$B$106)*($A$6:$A$35&gt;=AE$88)*($A$6:$A$35&lt;=EOMONTH(AE$88,0))*$C$6:$C$35)</f>
        <v>0</v>
      </c>
      <c r="AF93" s="168" t="n">
        <f aca="false">SUMPRODUCT(($E$6:$E$35="Novo sócio")*(($D$6:$D$35="Realizado")+($D$6:$D$35="Compromisso")+($D$6:$D$35="Previsto")*Premissas!$B$105+($D$6:$D$35="Em negociação")*Premissas!$B$106)*($A$6:$A$35&gt;=AF$88)*($A$6:$A$35&lt;=EOMONTH(AF$88,0))*$C$6:$C$35)</f>
        <v>0</v>
      </c>
      <c r="AG93" s="168" t="n">
        <f aca="false">SUMPRODUCT(($E$6:$E$35="Novo sócio")*(($D$6:$D$35="Realizado")+($D$6:$D$35="Compromisso")+($D$6:$D$35="Previsto")*Premissas!$B$105+($D$6:$D$35="Em negociação")*Premissas!$B$106)*($A$6:$A$35&gt;=AG$88)*($A$6:$A$35&lt;=EOMONTH(AG$88,0))*$C$6:$C$35)</f>
        <v>0</v>
      </c>
      <c r="AH93" s="168" t="n">
        <f aca="false">SUMPRODUCT(($E$6:$E$35="Novo sócio")*(($D$6:$D$35="Realizado")+($D$6:$D$35="Compromisso")+($D$6:$D$35="Previsto")*Premissas!$B$105+($D$6:$D$35="Em negociação")*Premissas!$B$106)*($A$6:$A$35&gt;=AH$88)*($A$6:$A$35&lt;=EOMONTH(AH$88,0))*$C$6:$C$35)</f>
        <v>0</v>
      </c>
      <c r="AI93" s="168" t="n">
        <f aca="false">SUMPRODUCT(($E$6:$E$35="Novo sócio")*(($D$6:$D$35="Realizado")+($D$6:$D$35="Compromisso")+($D$6:$D$35="Previsto")*Premissas!$B$105+($D$6:$D$35="Em negociação")*Premissas!$B$106)*($A$6:$A$35&gt;=AI$88)*($A$6:$A$35&lt;=EOMONTH(AI$88,0))*$C$6:$C$35)</f>
        <v>0</v>
      </c>
      <c r="AJ93" s="168" t="n">
        <f aca="false">SUMPRODUCT(($E$6:$E$35="Novo sócio")*(($D$6:$D$35="Realizado")+($D$6:$D$35="Compromisso")+($D$6:$D$35="Previsto")*Premissas!$B$105+($D$6:$D$35="Em negociação")*Premissas!$B$106)*($A$6:$A$35&gt;=AJ$88)*($A$6:$A$35&lt;=EOMONTH(AJ$88,0))*$C$6:$C$35)</f>
        <v>0</v>
      </c>
      <c r="AK93" s="168" t="n">
        <f aca="false">SUMPRODUCT(($E$6:$E$35="Novo sócio")*(($D$6:$D$35="Realizado")+($D$6:$D$35="Compromisso")+($D$6:$D$35="Previsto")*Premissas!$B$105+($D$6:$D$35="Em negociação")*Premissas!$B$106)*($A$6:$A$35&gt;=AK$88)*($A$6:$A$35&lt;=EOMONTH(AK$88,0))*$C$6:$C$35)</f>
        <v>0</v>
      </c>
      <c r="AL93" s="168" t="n">
        <f aca="false">SUMPRODUCT(($E$6:$E$35="Novo sócio")*(($D$6:$D$35="Realizado")+($D$6:$D$35="Compromisso")+($D$6:$D$35="Previsto")*Premissas!$B$105+($D$6:$D$35="Em negociação")*Premissas!$B$106)*($A$6:$A$35&gt;=AL$88)*($A$6:$A$35&lt;=EOMONTH(AL$88,0))*$C$6:$C$35)</f>
        <v>0</v>
      </c>
      <c r="AM93" s="168" t="n">
        <f aca="false">SUMPRODUCT(($E$6:$E$35="Novo sócio")*(($D$6:$D$35="Realizado")+($D$6:$D$35="Compromisso")+($D$6:$D$35="Previsto")*Premissas!$B$105+($D$6:$D$35="Em negociação")*Premissas!$B$106)*($A$6:$A$35&gt;=AM$88)*($A$6:$A$35&lt;=EOMONTH(AM$88,0))*$C$6:$C$35)</f>
        <v>0</v>
      </c>
      <c r="AN93" s="168" t="n">
        <f aca="false">SUMPRODUCT(($E$6:$E$35="Novo sócio")*(($D$6:$D$35="Realizado")+($D$6:$D$35="Compromisso")+($D$6:$D$35="Previsto")*Premissas!$B$105+($D$6:$D$35="Em negociação")*Premissas!$B$106)*($A$6:$A$35&gt;=AN$88)*($A$6:$A$35&lt;=EOMONTH(AN$88,0))*$C$6:$C$35)</f>
        <v>0</v>
      </c>
      <c r="AO93" s="168" t="n">
        <f aca="false">SUMPRODUCT(($E$6:$E$35="Novo sócio")*(($D$6:$D$35="Realizado")+($D$6:$D$35="Compromisso")+($D$6:$D$35="Previsto")*Premissas!$B$105+($D$6:$D$35="Em negociação")*Premissas!$B$106)*($A$6:$A$35&gt;=AO$88)*($A$6:$A$35&lt;=EOMONTH(AO$88,0))*$C$6:$C$35)</f>
        <v>0</v>
      </c>
      <c r="AP93" s="168" t="n">
        <f aca="false">SUMPRODUCT(($E$6:$E$35="Novo sócio")*(($D$6:$D$35="Realizado")+($D$6:$D$35="Compromisso")+($D$6:$D$35="Previsto")*Premissas!$B$105+($D$6:$D$35="Em negociação")*Premissas!$B$106)*($A$6:$A$35&gt;=AP$88)*($A$6:$A$35&lt;=EOMONTH(AP$88,0))*$C$6:$C$35)</f>
        <v>0</v>
      </c>
      <c r="AQ93" s="168" t="n">
        <f aca="false">SUMPRODUCT(($E$6:$E$35="Novo sócio")*(($D$6:$D$35="Realizado")+($D$6:$D$35="Compromisso")+($D$6:$D$35="Previsto")*Premissas!$B$105+($D$6:$D$35="Em negociação")*Premissas!$B$106)*($A$6:$A$35&gt;=AQ$88)*($A$6:$A$35&lt;=EOMONTH(AQ$88,0))*$C$6:$C$35)</f>
        <v>0</v>
      </c>
      <c r="AR93" s="168" t="n">
        <f aca="false">SUMPRODUCT(($E$6:$E$35="Novo sócio")*(($D$6:$D$35="Realizado")+($D$6:$D$35="Compromisso")+($D$6:$D$35="Previsto")*Premissas!$B$105+($D$6:$D$35="Em negociação")*Premissas!$B$106)*($A$6:$A$35&gt;=AR$88)*($A$6:$A$35&lt;=EOMONTH(AR$88,0))*$C$6:$C$35)</f>
        <v>0</v>
      </c>
      <c r="AS93" s="168" t="n">
        <f aca="false">SUMPRODUCT(($E$6:$E$35="Novo sócio")*(($D$6:$D$35="Realizado")+($D$6:$D$35="Compromisso")+($D$6:$D$35="Previsto")*Premissas!$B$105+($D$6:$D$35="Em negociação")*Premissas!$B$106)*($A$6:$A$35&gt;=AS$88)*($A$6:$A$35&lt;=EOMONTH(AS$88,0))*$C$6:$C$35)</f>
        <v>0</v>
      </c>
      <c r="AT93" s="168" t="n">
        <f aca="false">SUMPRODUCT(($E$6:$E$35="Novo sócio")*(($D$6:$D$35="Realizado")+($D$6:$D$35="Compromisso")+($D$6:$D$35="Previsto")*Premissas!$B$105+($D$6:$D$35="Em negociação")*Premissas!$B$106)*($A$6:$A$35&gt;=AT$88)*($A$6:$A$35&lt;=EOMONTH(AT$88,0))*$C$6:$C$35)</f>
        <v>0</v>
      </c>
      <c r="AU93" s="168" t="n">
        <f aca="false">SUMPRODUCT(($E$6:$E$35="Novo sócio")*(($D$6:$D$35="Realizado")+($D$6:$D$35="Compromisso")+($D$6:$D$35="Previsto")*Premissas!$B$105+($D$6:$D$35="Em negociação")*Premissas!$B$106)*($A$6:$A$35&gt;=AU$88)*($A$6:$A$35&lt;=EOMONTH(AU$88,0))*$C$6:$C$35)</f>
        <v>0</v>
      </c>
      <c r="AV93" s="168" t="n">
        <f aca="false">SUMPRODUCT(($E$6:$E$35="Novo sócio")*(($D$6:$D$35="Realizado")+($D$6:$D$35="Compromisso")+($D$6:$D$35="Previsto")*Premissas!$B$105+($D$6:$D$35="Em negociação")*Premissas!$B$106)*($A$6:$A$35&gt;=AV$88)*($A$6:$A$35&lt;=EOMONTH(AV$88,0))*$C$6:$C$35)</f>
        <v>0</v>
      </c>
      <c r="AW93" s="168" t="n">
        <f aca="false">SUMPRODUCT(($E$6:$E$35="Novo sócio")*(($D$6:$D$35="Realizado")+($D$6:$D$35="Compromisso")+($D$6:$D$35="Previsto")*Premissas!$B$105+($D$6:$D$35="Em negociação")*Premissas!$B$106)*($A$6:$A$35&gt;=AW$88)*($A$6:$A$35&lt;=EOMONTH(AW$88,0))*$C$6:$C$35)</f>
        <v>0</v>
      </c>
      <c r="AX93" s="168" t="n">
        <f aca="false">SUMPRODUCT(($E$6:$E$35="Novo sócio")*(($D$6:$D$35="Realizado")+($D$6:$D$35="Compromisso")+($D$6:$D$35="Previsto")*Premissas!$B$105+($D$6:$D$35="Em negociação")*Premissas!$B$106)*($A$6:$A$35&gt;=AX$88)*($A$6:$A$35&lt;=EOMONTH(AX$88,0))*$C$6:$C$35)</f>
        <v>0</v>
      </c>
      <c r="AY93" s="168" t="n">
        <f aca="false">SUMPRODUCT(($E$6:$E$35="Novo sócio")*(($D$6:$D$35="Realizado")+($D$6:$D$35="Compromisso")+($D$6:$D$35="Previsto")*Premissas!$B$105+($D$6:$D$35="Em negociação")*Premissas!$B$106)*($A$6:$A$35&gt;=AY$88)*($A$6:$A$35&lt;=EOMONTH(AY$88,0))*$C$6:$C$35)</f>
        <v>0</v>
      </c>
      <c r="AZ93" s="168" t="n">
        <f aca="false">SUMPRODUCT(($E$6:$E$35="Novo sócio")*(($D$6:$D$35="Realizado")+($D$6:$D$35="Compromisso")+($D$6:$D$35="Previsto")*Premissas!$B$105+($D$6:$D$35="Em negociação")*Premissas!$B$106)*($A$6:$A$35&gt;=AZ$88)*($A$6:$A$35&lt;=EOMONTH(AZ$88,0))*$C$6:$C$35)</f>
        <v>0</v>
      </c>
      <c r="BA93" s="168" t="n">
        <f aca="false">SUMPRODUCT(($E$6:$E$35="Novo sócio")*(($D$6:$D$35="Realizado")+($D$6:$D$35="Compromisso")+($D$6:$D$35="Previsto")*Premissas!$B$105+($D$6:$D$35="Em negociação")*Premissas!$B$106)*($A$6:$A$35&gt;=BA$88)*($A$6:$A$35&lt;=EOMONTH(BA$88,0))*$C$6:$C$35)</f>
        <v>0</v>
      </c>
      <c r="BB93" s="168" t="n">
        <f aca="false">SUMPRODUCT(($E$6:$E$35="Novo sócio")*(($D$6:$D$35="Realizado")+($D$6:$D$35="Compromisso")+($D$6:$D$35="Previsto")*Premissas!$B$105+($D$6:$D$35="Em negociação")*Premissas!$B$106)*($A$6:$A$35&gt;=BB$88)*($A$6:$A$35&lt;=EOMONTH(BB$88,0))*$C$6:$C$35)</f>
        <v>0</v>
      </c>
      <c r="BC93" s="168" t="n">
        <f aca="false">SUMPRODUCT(($E$6:$E$35="Novo sócio")*(($D$6:$D$35="Realizado")+($D$6:$D$35="Compromisso")+($D$6:$D$35="Previsto")*Premissas!$B$105+($D$6:$D$35="Em negociação")*Premissas!$B$106)*($A$6:$A$35&gt;=BC$88)*($A$6:$A$35&lt;=EOMONTH(BC$88,0))*$C$6:$C$35)</f>
        <v>0</v>
      </c>
      <c r="BD93" s="168" t="n">
        <f aca="false">SUMPRODUCT(($E$6:$E$35="Novo sócio")*(($D$6:$D$35="Realizado")+($D$6:$D$35="Compromisso")+($D$6:$D$35="Previsto")*Premissas!$B$105+($D$6:$D$35="Em negociação")*Premissas!$B$106)*($A$6:$A$35&gt;=BD$88)*($A$6:$A$35&lt;=EOMONTH(BD$88,0))*$C$6:$C$35)</f>
        <v>0</v>
      </c>
      <c r="BE93" s="168" t="n">
        <f aca="false">SUMPRODUCT(($E$6:$E$35="Novo sócio")*(($D$6:$D$35="Realizado")+($D$6:$D$35="Compromisso")+($D$6:$D$35="Previsto")*Premissas!$B$105+($D$6:$D$35="Em negociação")*Premissas!$B$106)*($A$6:$A$35&gt;=BE$88)*($A$6:$A$35&lt;=EOMONTH(BE$88,0))*$C$6:$C$35)</f>
        <v>0</v>
      </c>
      <c r="BF93" s="168" t="n">
        <f aca="false">SUMPRODUCT(($E$6:$E$35="Novo sócio")*(($D$6:$D$35="Realizado")+($D$6:$D$35="Compromisso")+($D$6:$D$35="Previsto")*Premissas!$B$105+($D$6:$D$35="Em negociação")*Premissas!$B$106)*($A$6:$A$35&gt;=BF$88)*($A$6:$A$35&lt;=EOMONTH(BF$88,0))*$C$6:$C$35)</f>
        <v>0</v>
      </c>
      <c r="BG93" s="168" t="n">
        <f aca="false">SUMPRODUCT(($E$6:$E$35="Novo sócio")*(($D$6:$D$35="Realizado")+($D$6:$D$35="Compromisso")+($D$6:$D$35="Previsto")*Premissas!$B$105+($D$6:$D$35="Em negociação")*Premissas!$B$106)*($A$6:$A$35&gt;=BG$88)*($A$6:$A$35&lt;=EOMONTH(BG$88,0))*$C$6:$C$35)</f>
        <v>0</v>
      </c>
      <c r="BH93" s="168" t="n">
        <f aca="false">SUMPRODUCT(($E$6:$E$35="Novo sócio")*(($D$6:$D$35="Realizado")+($D$6:$D$35="Compromisso")+($D$6:$D$35="Previsto")*Premissas!$B$105+($D$6:$D$35="Em negociação")*Premissas!$B$106)*($A$6:$A$35&gt;=BH$88)*($A$6:$A$35&lt;=EOMONTH(BH$88,0))*$C$6:$C$35)</f>
        <v>0</v>
      </c>
      <c r="BI93" s="168" t="n">
        <f aca="false">SUMPRODUCT(($E$6:$E$35="Novo sócio")*(($D$6:$D$35="Realizado")+($D$6:$D$35="Compromisso")+($D$6:$D$35="Previsto")*Premissas!$B$105+($D$6:$D$35="Em negociação")*Premissas!$B$106)*($A$6:$A$35&gt;=BI$88)*($A$6:$A$35&lt;=EOMONTH(BI$88,0))*$C$6:$C$35)</f>
        <v>0</v>
      </c>
      <c r="BJ93" s="154" t="n">
        <f aca="false">SUM(B93:BI93)</f>
        <v>80000</v>
      </c>
    </row>
    <row r="94" customFormat="false" ht="15.75" hidden="false" customHeight="true" outlineLevel="0" collapsed="false">
      <c r="A94" s="49" t="s">
        <v>622</v>
      </c>
      <c r="B94" s="168" t="n">
        <f aca="false">SUMPRODUCT(($E$6:$E$35="Investidor estratégico")*(($D$6:$D$35="Realizado")+($D$6:$D$35="Compromisso")+($D$6:$D$35="Previsto")*Premissas!$B$105+($D$6:$D$35="Em negociação")*Premissas!$B$106)*($A$6:$A$35&gt;=B$88)*($A$6:$A$35&lt;=EOMONTH(B$88,0))*$C$6:$C$35)</f>
        <v>0</v>
      </c>
      <c r="C94" s="168" t="n">
        <f aca="false">SUMPRODUCT(($E$6:$E$35="Investidor estratégico")*(($D$6:$D$35="Realizado")+($D$6:$D$35="Compromisso")+($D$6:$D$35="Previsto")*Premissas!$B$105+($D$6:$D$35="Em negociação")*Premissas!$B$106)*($A$6:$A$35&gt;=C$88)*($A$6:$A$35&lt;=EOMONTH(C$88,0))*$C$6:$C$35)</f>
        <v>0</v>
      </c>
      <c r="D94" s="168" t="n">
        <f aca="false">SUMPRODUCT(($E$6:$E$35="Investidor estratégico")*(($D$6:$D$35="Realizado")+($D$6:$D$35="Compromisso")+($D$6:$D$35="Previsto")*Premissas!$B$105+($D$6:$D$35="Em negociação")*Premissas!$B$106)*($A$6:$A$35&gt;=D$88)*($A$6:$A$35&lt;=EOMONTH(D$88,0))*$C$6:$C$35)</f>
        <v>0</v>
      </c>
      <c r="E94" s="168" t="n">
        <f aca="false">SUMPRODUCT(($E$6:$E$35="Investidor estratégico")*(($D$6:$D$35="Realizado")+($D$6:$D$35="Compromisso")+($D$6:$D$35="Previsto")*Premissas!$B$105+($D$6:$D$35="Em negociação")*Premissas!$B$106)*($A$6:$A$35&gt;=E$88)*($A$6:$A$35&lt;=EOMONTH(E$88,0))*$C$6:$C$35)</f>
        <v>0</v>
      </c>
      <c r="F94" s="168" t="n">
        <f aca="false">SUMPRODUCT(($E$6:$E$35="Investidor estratégico")*(($D$6:$D$35="Realizado")+($D$6:$D$35="Compromisso")+($D$6:$D$35="Previsto")*Premissas!$B$105+($D$6:$D$35="Em negociação")*Premissas!$B$106)*($A$6:$A$35&gt;=F$88)*($A$6:$A$35&lt;=EOMONTH(F$88,0))*$C$6:$C$35)</f>
        <v>0</v>
      </c>
      <c r="G94" s="168" t="n">
        <f aca="false">SUMPRODUCT(($E$6:$E$35="Investidor estratégico")*(($D$6:$D$35="Realizado")+($D$6:$D$35="Compromisso")+($D$6:$D$35="Previsto")*Premissas!$B$105+($D$6:$D$35="Em negociação")*Premissas!$B$106)*($A$6:$A$35&gt;=G$88)*($A$6:$A$35&lt;=EOMONTH(G$88,0))*$C$6:$C$35)</f>
        <v>0</v>
      </c>
      <c r="H94" s="168" t="n">
        <f aca="false">SUMPRODUCT(($E$6:$E$35="Investidor estratégico")*(($D$6:$D$35="Realizado")+($D$6:$D$35="Compromisso")+($D$6:$D$35="Previsto")*Premissas!$B$105+($D$6:$D$35="Em negociação")*Premissas!$B$106)*($A$6:$A$35&gt;=H$88)*($A$6:$A$35&lt;=EOMONTH(H$88,0))*$C$6:$C$35)</f>
        <v>0</v>
      </c>
      <c r="I94" s="168" t="n">
        <f aca="false">SUMPRODUCT(($E$6:$E$35="Investidor estratégico")*(($D$6:$D$35="Realizado")+($D$6:$D$35="Compromisso")+($D$6:$D$35="Previsto")*Premissas!$B$105+($D$6:$D$35="Em negociação")*Premissas!$B$106)*($A$6:$A$35&gt;=I$88)*($A$6:$A$35&lt;=EOMONTH(I$88,0))*$C$6:$C$35)</f>
        <v>0</v>
      </c>
      <c r="J94" s="168" t="n">
        <f aca="false">SUMPRODUCT(($E$6:$E$35="Investidor estratégico")*(($D$6:$D$35="Realizado")+($D$6:$D$35="Compromisso")+($D$6:$D$35="Previsto")*Premissas!$B$105+($D$6:$D$35="Em negociação")*Premissas!$B$106)*($A$6:$A$35&gt;=J$88)*($A$6:$A$35&lt;=EOMONTH(J$88,0))*$C$6:$C$35)</f>
        <v>0</v>
      </c>
      <c r="K94" s="168" t="n">
        <f aca="false">SUMPRODUCT(($E$6:$E$35="Investidor estratégico")*(($D$6:$D$35="Realizado")+($D$6:$D$35="Compromisso")+($D$6:$D$35="Previsto")*Premissas!$B$105+($D$6:$D$35="Em negociação")*Premissas!$B$106)*($A$6:$A$35&gt;=K$88)*($A$6:$A$35&lt;=EOMONTH(K$88,0))*$C$6:$C$35)</f>
        <v>0</v>
      </c>
      <c r="L94" s="168" t="n">
        <f aca="false">SUMPRODUCT(($E$6:$E$35="Investidor estratégico")*(($D$6:$D$35="Realizado")+($D$6:$D$35="Compromisso")+($D$6:$D$35="Previsto")*Premissas!$B$105+($D$6:$D$35="Em negociação")*Premissas!$B$106)*($A$6:$A$35&gt;=L$88)*($A$6:$A$35&lt;=EOMONTH(L$88,0))*$C$6:$C$35)</f>
        <v>0</v>
      </c>
      <c r="M94" s="168" t="n">
        <f aca="false">SUMPRODUCT(($E$6:$E$35="Investidor estratégico")*(($D$6:$D$35="Realizado")+($D$6:$D$35="Compromisso")+($D$6:$D$35="Previsto")*Premissas!$B$105+($D$6:$D$35="Em negociação")*Premissas!$B$106)*($A$6:$A$35&gt;=M$88)*($A$6:$A$35&lt;=EOMONTH(M$88,0))*$C$6:$C$35)</f>
        <v>0</v>
      </c>
      <c r="N94" s="168" t="n">
        <f aca="false">SUMPRODUCT(($E$6:$E$35="Investidor estratégico")*(($D$6:$D$35="Realizado")+($D$6:$D$35="Compromisso")+($D$6:$D$35="Previsto")*Premissas!$B$105+($D$6:$D$35="Em negociação")*Premissas!$B$106)*($A$6:$A$35&gt;=N$88)*($A$6:$A$35&lt;=EOMONTH(N$88,0))*$C$6:$C$35)</f>
        <v>0</v>
      </c>
      <c r="O94" s="168" t="n">
        <f aca="false">SUMPRODUCT(($E$6:$E$35="Investidor estratégico")*(($D$6:$D$35="Realizado")+($D$6:$D$35="Compromisso")+($D$6:$D$35="Previsto")*Premissas!$B$105+($D$6:$D$35="Em negociação")*Premissas!$B$106)*($A$6:$A$35&gt;=O$88)*($A$6:$A$35&lt;=EOMONTH(O$88,0))*$C$6:$C$35)</f>
        <v>0</v>
      </c>
      <c r="P94" s="168" t="n">
        <f aca="false">SUMPRODUCT(($E$6:$E$35="Investidor estratégico")*(($D$6:$D$35="Realizado")+($D$6:$D$35="Compromisso")+($D$6:$D$35="Previsto")*Premissas!$B$105+($D$6:$D$35="Em negociação")*Premissas!$B$106)*($A$6:$A$35&gt;=P$88)*($A$6:$A$35&lt;=EOMONTH(P$88,0))*$C$6:$C$35)</f>
        <v>0</v>
      </c>
      <c r="Q94" s="168" t="n">
        <f aca="false">SUMPRODUCT(($E$6:$E$35="Investidor estratégico")*(($D$6:$D$35="Realizado")+($D$6:$D$35="Compromisso")+($D$6:$D$35="Previsto")*Premissas!$B$105+($D$6:$D$35="Em negociação")*Premissas!$B$106)*($A$6:$A$35&gt;=Q$88)*($A$6:$A$35&lt;=EOMONTH(Q$88,0))*$C$6:$C$35)</f>
        <v>0</v>
      </c>
      <c r="R94" s="168" t="n">
        <f aca="false">SUMPRODUCT(($E$6:$E$35="Investidor estratégico")*(($D$6:$D$35="Realizado")+($D$6:$D$35="Compromisso")+($D$6:$D$35="Previsto")*Premissas!$B$105+($D$6:$D$35="Em negociação")*Premissas!$B$106)*($A$6:$A$35&gt;=R$88)*($A$6:$A$35&lt;=EOMONTH(R$88,0))*$C$6:$C$35)</f>
        <v>0</v>
      </c>
      <c r="S94" s="168" t="n">
        <f aca="false">SUMPRODUCT(($E$6:$E$35="Investidor estratégico")*(($D$6:$D$35="Realizado")+($D$6:$D$35="Compromisso")+($D$6:$D$35="Previsto")*Premissas!$B$105+($D$6:$D$35="Em negociação")*Premissas!$B$106)*($A$6:$A$35&gt;=S$88)*($A$6:$A$35&lt;=EOMONTH(S$88,0))*$C$6:$C$35)</f>
        <v>0</v>
      </c>
      <c r="T94" s="168" t="n">
        <f aca="false">SUMPRODUCT(($E$6:$E$35="Investidor estratégico")*(($D$6:$D$35="Realizado")+($D$6:$D$35="Compromisso")+($D$6:$D$35="Previsto")*Premissas!$B$105+($D$6:$D$35="Em negociação")*Premissas!$B$106)*($A$6:$A$35&gt;=T$88)*($A$6:$A$35&lt;=EOMONTH(T$88,0))*$C$6:$C$35)</f>
        <v>0</v>
      </c>
      <c r="U94" s="168" t="n">
        <f aca="false">SUMPRODUCT(($E$6:$E$35="Investidor estratégico")*(($D$6:$D$35="Realizado")+($D$6:$D$35="Compromisso")+($D$6:$D$35="Previsto")*Premissas!$B$105+($D$6:$D$35="Em negociação")*Premissas!$B$106)*($A$6:$A$35&gt;=U$88)*($A$6:$A$35&lt;=EOMONTH(U$88,0))*$C$6:$C$35)</f>
        <v>0</v>
      </c>
      <c r="V94" s="168" t="n">
        <f aca="false">SUMPRODUCT(($E$6:$E$35="Investidor estratégico")*(($D$6:$D$35="Realizado")+($D$6:$D$35="Compromisso")+($D$6:$D$35="Previsto")*Premissas!$B$105+($D$6:$D$35="Em negociação")*Premissas!$B$106)*($A$6:$A$35&gt;=V$88)*($A$6:$A$35&lt;=EOMONTH(V$88,0))*$C$6:$C$35)</f>
        <v>0</v>
      </c>
      <c r="W94" s="168" t="n">
        <f aca="false">SUMPRODUCT(($E$6:$E$35="Investidor estratégico")*(($D$6:$D$35="Realizado")+($D$6:$D$35="Compromisso")+($D$6:$D$35="Previsto")*Premissas!$B$105+($D$6:$D$35="Em negociação")*Premissas!$B$106)*($A$6:$A$35&gt;=W$88)*($A$6:$A$35&lt;=EOMONTH(W$88,0))*$C$6:$C$35)</f>
        <v>0</v>
      </c>
      <c r="X94" s="168" t="n">
        <f aca="false">SUMPRODUCT(($E$6:$E$35="Investidor estratégico")*(($D$6:$D$35="Realizado")+($D$6:$D$35="Compromisso")+($D$6:$D$35="Previsto")*Premissas!$B$105+($D$6:$D$35="Em negociação")*Premissas!$B$106)*($A$6:$A$35&gt;=X$88)*($A$6:$A$35&lt;=EOMONTH(X$88,0))*$C$6:$C$35)</f>
        <v>0</v>
      </c>
      <c r="Y94" s="168" t="n">
        <f aca="false">SUMPRODUCT(($E$6:$E$35="Investidor estratégico")*(($D$6:$D$35="Realizado")+($D$6:$D$35="Compromisso")+($D$6:$D$35="Previsto")*Premissas!$B$105+($D$6:$D$35="Em negociação")*Premissas!$B$106)*($A$6:$A$35&gt;=Y$88)*($A$6:$A$35&lt;=EOMONTH(Y$88,0))*$C$6:$C$35)</f>
        <v>0</v>
      </c>
      <c r="Z94" s="168" t="n">
        <f aca="false">SUMPRODUCT(($E$6:$E$35="Investidor estratégico")*(($D$6:$D$35="Realizado")+($D$6:$D$35="Compromisso")+($D$6:$D$35="Previsto")*Premissas!$B$105+($D$6:$D$35="Em negociação")*Premissas!$B$106)*($A$6:$A$35&gt;=Z$88)*($A$6:$A$35&lt;=EOMONTH(Z$88,0))*$C$6:$C$35)</f>
        <v>0</v>
      </c>
      <c r="AA94" s="168" t="n">
        <f aca="false">SUMPRODUCT(($E$6:$E$35="Investidor estratégico")*(($D$6:$D$35="Realizado")+($D$6:$D$35="Compromisso")+($D$6:$D$35="Previsto")*Premissas!$B$105+($D$6:$D$35="Em negociação")*Premissas!$B$106)*($A$6:$A$35&gt;=AA$88)*($A$6:$A$35&lt;=EOMONTH(AA$88,0))*$C$6:$C$35)</f>
        <v>0</v>
      </c>
      <c r="AB94" s="168" t="n">
        <f aca="false">SUMPRODUCT(($E$6:$E$35="Investidor estratégico")*(($D$6:$D$35="Realizado")+($D$6:$D$35="Compromisso")+($D$6:$D$35="Previsto")*Premissas!$B$105+($D$6:$D$35="Em negociação")*Premissas!$B$106)*($A$6:$A$35&gt;=AB$88)*($A$6:$A$35&lt;=EOMONTH(AB$88,0))*$C$6:$C$35)</f>
        <v>0</v>
      </c>
      <c r="AC94" s="168" t="n">
        <f aca="false">SUMPRODUCT(($E$6:$E$35="Investidor estratégico")*(($D$6:$D$35="Realizado")+($D$6:$D$35="Compromisso")+($D$6:$D$35="Previsto")*Premissas!$B$105+($D$6:$D$35="Em negociação")*Premissas!$B$106)*($A$6:$A$35&gt;=AC$88)*($A$6:$A$35&lt;=EOMONTH(AC$88,0))*$C$6:$C$35)</f>
        <v>0</v>
      </c>
      <c r="AD94" s="168" t="n">
        <f aca="false">SUMPRODUCT(($E$6:$E$35="Investidor estratégico")*(($D$6:$D$35="Realizado")+($D$6:$D$35="Compromisso")+($D$6:$D$35="Previsto")*Premissas!$B$105+($D$6:$D$35="Em negociação")*Premissas!$B$106)*($A$6:$A$35&gt;=AD$88)*($A$6:$A$35&lt;=EOMONTH(AD$88,0))*$C$6:$C$35)</f>
        <v>0</v>
      </c>
      <c r="AE94" s="168" t="n">
        <f aca="false">SUMPRODUCT(($E$6:$E$35="Investidor estratégico")*(($D$6:$D$35="Realizado")+($D$6:$D$35="Compromisso")+($D$6:$D$35="Previsto")*Premissas!$B$105+($D$6:$D$35="Em negociação")*Premissas!$B$106)*($A$6:$A$35&gt;=AE$88)*($A$6:$A$35&lt;=EOMONTH(AE$88,0))*$C$6:$C$35)</f>
        <v>0</v>
      </c>
      <c r="AF94" s="168" t="n">
        <f aca="false">SUMPRODUCT(($E$6:$E$35="Investidor estratégico")*(($D$6:$D$35="Realizado")+($D$6:$D$35="Compromisso")+($D$6:$D$35="Previsto")*Premissas!$B$105+($D$6:$D$35="Em negociação")*Premissas!$B$106)*($A$6:$A$35&gt;=AF$88)*($A$6:$A$35&lt;=EOMONTH(AF$88,0))*$C$6:$C$35)</f>
        <v>0</v>
      </c>
      <c r="AG94" s="168" t="n">
        <f aca="false">SUMPRODUCT(($E$6:$E$35="Investidor estratégico")*(($D$6:$D$35="Realizado")+($D$6:$D$35="Compromisso")+($D$6:$D$35="Previsto")*Premissas!$B$105+($D$6:$D$35="Em negociação")*Premissas!$B$106)*($A$6:$A$35&gt;=AG$88)*($A$6:$A$35&lt;=EOMONTH(AG$88,0))*$C$6:$C$35)</f>
        <v>0</v>
      </c>
      <c r="AH94" s="168" t="n">
        <f aca="false">SUMPRODUCT(($E$6:$E$35="Investidor estratégico")*(($D$6:$D$35="Realizado")+($D$6:$D$35="Compromisso")+($D$6:$D$35="Previsto")*Premissas!$B$105+($D$6:$D$35="Em negociação")*Premissas!$B$106)*($A$6:$A$35&gt;=AH$88)*($A$6:$A$35&lt;=EOMONTH(AH$88,0))*$C$6:$C$35)</f>
        <v>0</v>
      </c>
      <c r="AI94" s="168" t="n">
        <f aca="false">SUMPRODUCT(($E$6:$E$35="Investidor estratégico")*(($D$6:$D$35="Realizado")+($D$6:$D$35="Compromisso")+($D$6:$D$35="Previsto")*Premissas!$B$105+($D$6:$D$35="Em negociação")*Premissas!$B$106)*($A$6:$A$35&gt;=AI$88)*($A$6:$A$35&lt;=EOMONTH(AI$88,0))*$C$6:$C$35)</f>
        <v>0</v>
      </c>
      <c r="AJ94" s="168" t="n">
        <f aca="false">SUMPRODUCT(($E$6:$E$35="Investidor estratégico")*(($D$6:$D$35="Realizado")+($D$6:$D$35="Compromisso")+($D$6:$D$35="Previsto")*Premissas!$B$105+($D$6:$D$35="Em negociação")*Premissas!$B$106)*($A$6:$A$35&gt;=AJ$88)*($A$6:$A$35&lt;=EOMONTH(AJ$88,0))*$C$6:$C$35)</f>
        <v>0</v>
      </c>
      <c r="AK94" s="168" t="n">
        <f aca="false">SUMPRODUCT(($E$6:$E$35="Investidor estratégico")*(($D$6:$D$35="Realizado")+($D$6:$D$35="Compromisso")+($D$6:$D$35="Previsto")*Premissas!$B$105+($D$6:$D$35="Em negociação")*Premissas!$B$106)*($A$6:$A$35&gt;=AK$88)*($A$6:$A$35&lt;=EOMONTH(AK$88,0))*$C$6:$C$35)</f>
        <v>0</v>
      </c>
      <c r="AL94" s="168" t="n">
        <f aca="false">SUMPRODUCT(($E$6:$E$35="Investidor estratégico")*(($D$6:$D$35="Realizado")+($D$6:$D$35="Compromisso")+($D$6:$D$35="Previsto")*Premissas!$B$105+($D$6:$D$35="Em negociação")*Premissas!$B$106)*($A$6:$A$35&gt;=AL$88)*($A$6:$A$35&lt;=EOMONTH(AL$88,0))*$C$6:$C$35)</f>
        <v>0</v>
      </c>
      <c r="AM94" s="168" t="n">
        <f aca="false">SUMPRODUCT(($E$6:$E$35="Investidor estratégico")*(($D$6:$D$35="Realizado")+($D$6:$D$35="Compromisso")+($D$6:$D$35="Previsto")*Premissas!$B$105+($D$6:$D$35="Em negociação")*Premissas!$B$106)*($A$6:$A$35&gt;=AM$88)*($A$6:$A$35&lt;=EOMONTH(AM$88,0))*$C$6:$C$35)</f>
        <v>0</v>
      </c>
      <c r="AN94" s="168" t="n">
        <f aca="false">SUMPRODUCT(($E$6:$E$35="Investidor estratégico")*(($D$6:$D$35="Realizado")+($D$6:$D$35="Compromisso")+($D$6:$D$35="Previsto")*Premissas!$B$105+($D$6:$D$35="Em negociação")*Premissas!$B$106)*($A$6:$A$35&gt;=AN$88)*($A$6:$A$35&lt;=EOMONTH(AN$88,0))*$C$6:$C$35)</f>
        <v>0</v>
      </c>
      <c r="AO94" s="168" t="n">
        <f aca="false">SUMPRODUCT(($E$6:$E$35="Investidor estratégico")*(($D$6:$D$35="Realizado")+($D$6:$D$35="Compromisso")+($D$6:$D$35="Previsto")*Premissas!$B$105+($D$6:$D$35="Em negociação")*Premissas!$B$106)*($A$6:$A$35&gt;=AO$88)*($A$6:$A$35&lt;=EOMONTH(AO$88,0))*$C$6:$C$35)</f>
        <v>0</v>
      </c>
      <c r="AP94" s="168" t="n">
        <f aca="false">SUMPRODUCT(($E$6:$E$35="Investidor estratégico")*(($D$6:$D$35="Realizado")+($D$6:$D$35="Compromisso")+($D$6:$D$35="Previsto")*Premissas!$B$105+($D$6:$D$35="Em negociação")*Premissas!$B$106)*($A$6:$A$35&gt;=AP$88)*($A$6:$A$35&lt;=EOMONTH(AP$88,0))*$C$6:$C$35)</f>
        <v>0</v>
      </c>
      <c r="AQ94" s="168" t="n">
        <f aca="false">SUMPRODUCT(($E$6:$E$35="Investidor estratégico")*(($D$6:$D$35="Realizado")+($D$6:$D$35="Compromisso")+($D$6:$D$35="Previsto")*Premissas!$B$105+($D$6:$D$35="Em negociação")*Premissas!$B$106)*($A$6:$A$35&gt;=AQ$88)*($A$6:$A$35&lt;=EOMONTH(AQ$88,0))*$C$6:$C$35)</f>
        <v>0</v>
      </c>
      <c r="AR94" s="168" t="n">
        <f aca="false">SUMPRODUCT(($E$6:$E$35="Investidor estratégico")*(($D$6:$D$35="Realizado")+($D$6:$D$35="Compromisso")+($D$6:$D$35="Previsto")*Premissas!$B$105+($D$6:$D$35="Em negociação")*Premissas!$B$106)*($A$6:$A$35&gt;=AR$88)*($A$6:$A$35&lt;=EOMONTH(AR$88,0))*$C$6:$C$35)</f>
        <v>0</v>
      </c>
      <c r="AS94" s="168" t="n">
        <f aca="false">SUMPRODUCT(($E$6:$E$35="Investidor estratégico")*(($D$6:$D$35="Realizado")+($D$6:$D$35="Compromisso")+($D$6:$D$35="Previsto")*Premissas!$B$105+($D$6:$D$35="Em negociação")*Premissas!$B$106)*($A$6:$A$35&gt;=AS$88)*($A$6:$A$35&lt;=EOMONTH(AS$88,0))*$C$6:$C$35)</f>
        <v>0</v>
      </c>
      <c r="AT94" s="168" t="n">
        <f aca="false">SUMPRODUCT(($E$6:$E$35="Investidor estratégico")*(($D$6:$D$35="Realizado")+($D$6:$D$35="Compromisso")+($D$6:$D$35="Previsto")*Premissas!$B$105+($D$6:$D$35="Em negociação")*Premissas!$B$106)*($A$6:$A$35&gt;=AT$88)*($A$6:$A$35&lt;=EOMONTH(AT$88,0))*$C$6:$C$35)</f>
        <v>0</v>
      </c>
      <c r="AU94" s="168" t="n">
        <f aca="false">SUMPRODUCT(($E$6:$E$35="Investidor estratégico")*(($D$6:$D$35="Realizado")+($D$6:$D$35="Compromisso")+($D$6:$D$35="Previsto")*Premissas!$B$105+($D$6:$D$35="Em negociação")*Premissas!$B$106)*($A$6:$A$35&gt;=AU$88)*($A$6:$A$35&lt;=EOMONTH(AU$88,0))*$C$6:$C$35)</f>
        <v>0</v>
      </c>
      <c r="AV94" s="168" t="n">
        <f aca="false">SUMPRODUCT(($E$6:$E$35="Investidor estratégico")*(($D$6:$D$35="Realizado")+($D$6:$D$35="Compromisso")+($D$6:$D$35="Previsto")*Premissas!$B$105+($D$6:$D$35="Em negociação")*Premissas!$B$106)*($A$6:$A$35&gt;=AV$88)*($A$6:$A$35&lt;=EOMONTH(AV$88,0))*$C$6:$C$35)</f>
        <v>0</v>
      </c>
      <c r="AW94" s="168" t="n">
        <f aca="false">SUMPRODUCT(($E$6:$E$35="Investidor estratégico")*(($D$6:$D$35="Realizado")+($D$6:$D$35="Compromisso")+($D$6:$D$35="Previsto")*Premissas!$B$105+($D$6:$D$35="Em negociação")*Premissas!$B$106)*($A$6:$A$35&gt;=AW$88)*($A$6:$A$35&lt;=EOMONTH(AW$88,0))*$C$6:$C$35)</f>
        <v>0</v>
      </c>
      <c r="AX94" s="168" t="n">
        <f aca="false">SUMPRODUCT(($E$6:$E$35="Investidor estratégico")*(($D$6:$D$35="Realizado")+($D$6:$D$35="Compromisso")+($D$6:$D$35="Previsto")*Premissas!$B$105+($D$6:$D$35="Em negociação")*Premissas!$B$106)*($A$6:$A$35&gt;=AX$88)*($A$6:$A$35&lt;=EOMONTH(AX$88,0))*$C$6:$C$35)</f>
        <v>0</v>
      </c>
      <c r="AY94" s="168" t="n">
        <f aca="false">SUMPRODUCT(($E$6:$E$35="Investidor estratégico")*(($D$6:$D$35="Realizado")+($D$6:$D$35="Compromisso")+($D$6:$D$35="Previsto")*Premissas!$B$105+($D$6:$D$35="Em negociação")*Premissas!$B$106)*($A$6:$A$35&gt;=AY$88)*($A$6:$A$35&lt;=EOMONTH(AY$88,0))*$C$6:$C$35)</f>
        <v>0</v>
      </c>
      <c r="AZ94" s="168" t="n">
        <f aca="false">SUMPRODUCT(($E$6:$E$35="Investidor estratégico")*(($D$6:$D$35="Realizado")+($D$6:$D$35="Compromisso")+($D$6:$D$35="Previsto")*Premissas!$B$105+($D$6:$D$35="Em negociação")*Premissas!$B$106)*($A$6:$A$35&gt;=AZ$88)*($A$6:$A$35&lt;=EOMONTH(AZ$88,0))*$C$6:$C$35)</f>
        <v>0</v>
      </c>
      <c r="BA94" s="168" t="n">
        <f aca="false">SUMPRODUCT(($E$6:$E$35="Investidor estratégico")*(($D$6:$D$35="Realizado")+($D$6:$D$35="Compromisso")+($D$6:$D$35="Previsto")*Premissas!$B$105+($D$6:$D$35="Em negociação")*Premissas!$B$106)*($A$6:$A$35&gt;=BA$88)*($A$6:$A$35&lt;=EOMONTH(BA$88,0))*$C$6:$C$35)</f>
        <v>0</v>
      </c>
      <c r="BB94" s="168" t="n">
        <f aca="false">SUMPRODUCT(($E$6:$E$35="Investidor estratégico")*(($D$6:$D$35="Realizado")+($D$6:$D$35="Compromisso")+($D$6:$D$35="Previsto")*Premissas!$B$105+($D$6:$D$35="Em negociação")*Premissas!$B$106)*($A$6:$A$35&gt;=BB$88)*($A$6:$A$35&lt;=EOMONTH(BB$88,0))*$C$6:$C$35)</f>
        <v>0</v>
      </c>
      <c r="BC94" s="168" t="n">
        <f aca="false">SUMPRODUCT(($E$6:$E$35="Investidor estratégico")*(($D$6:$D$35="Realizado")+($D$6:$D$35="Compromisso")+($D$6:$D$35="Previsto")*Premissas!$B$105+($D$6:$D$35="Em negociação")*Premissas!$B$106)*($A$6:$A$35&gt;=BC$88)*($A$6:$A$35&lt;=EOMONTH(BC$88,0))*$C$6:$C$35)</f>
        <v>0</v>
      </c>
      <c r="BD94" s="168" t="n">
        <f aca="false">SUMPRODUCT(($E$6:$E$35="Investidor estratégico")*(($D$6:$D$35="Realizado")+($D$6:$D$35="Compromisso")+($D$6:$D$35="Previsto")*Premissas!$B$105+($D$6:$D$35="Em negociação")*Premissas!$B$106)*($A$6:$A$35&gt;=BD$88)*($A$6:$A$35&lt;=EOMONTH(BD$88,0))*$C$6:$C$35)</f>
        <v>0</v>
      </c>
      <c r="BE94" s="168" t="n">
        <f aca="false">SUMPRODUCT(($E$6:$E$35="Investidor estratégico")*(($D$6:$D$35="Realizado")+($D$6:$D$35="Compromisso")+($D$6:$D$35="Previsto")*Premissas!$B$105+($D$6:$D$35="Em negociação")*Premissas!$B$106)*($A$6:$A$35&gt;=BE$88)*($A$6:$A$35&lt;=EOMONTH(BE$88,0))*$C$6:$C$35)</f>
        <v>0</v>
      </c>
      <c r="BF94" s="168" t="n">
        <f aca="false">SUMPRODUCT(($E$6:$E$35="Investidor estratégico")*(($D$6:$D$35="Realizado")+($D$6:$D$35="Compromisso")+($D$6:$D$35="Previsto")*Premissas!$B$105+($D$6:$D$35="Em negociação")*Premissas!$B$106)*($A$6:$A$35&gt;=BF$88)*($A$6:$A$35&lt;=EOMONTH(BF$88,0))*$C$6:$C$35)</f>
        <v>0</v>
      </c>
      <c r="BG94" s="168" t="n">
        <f aca="false">SUMPRODUCT(($E$6:$E$35="Investidor estratégico")*(($D$6:$D$35="Realizado")+($D$6:$D$35="Compromisso")+($D$6:$D$35="Previsto")*Premissas!$B$105+($D$6:$D$35="Em negociação")*Premissas!$B$106)*($A$6:$A$35&gt;=BG$88)*($A$6:$A$35&lt;=EOMONTH(BG$88,0))*$C$6:$C$35)</f>
        <v>0</v>
      </c>
      <c r="BH94" s="168" t="n">
        <f aca="false">SUMPRODUCT(($E$6:$E$35="Investidor estratégico")*(($D$6:$D$35="Realizado")+($D$6:$D$35="Compromisso")+($D$6:$D$35="Previsto")*Premissas!$B$105+($D$6:$D$35="Em negociação")*Premissas!$B$106)*($A$6:$A$35&gt;=BH$88)*($A$6:$A$35&lt;=EOMONTH(BH$88,0))*$C$6:$C$35)</f>
        <v>0</v>
      </c>
      <c r="BI94" s="168" t="n">
        <f aca="false">SUMPRODUCT(($E$6:$E$35="Investidor estratégico")*(($D$6:$D$35="Realizado")+($D$6:$D$35="Compromisso")+($D$6:$D$35="Previsto")*Premissas!$B$105+($D$6:$D$35="Em negociação")*Premissas!$B$106)*($A$6:$A$35&gt;=BI$88)*($A$6:$A$35&lt;=EOMONTH(BI$88,0))*$C$6:$C$35)</f>
        <v>0</v>
      </c>
      <c r="BJ94" s="154" t="n">
        <f aca="false">SUM(B94:BI94)</f>
        <v>0</v>
      </c>
    </row>
    <row r="95" customFormat="false" ht="15.75" hidden="false" customHeight="true" outlineLevel="0" collapsed="false">
      <c r="A95" s="49" t="s">
        <v>623</v>
      </c>
      <c r="B95" s="153" t="n">
        <f aca="false">SUMPRODUCT((($B$41:$B$48="Confirmado")+($B$41:$B$48="Em negociação")*Premissas!$B$106)*($D$41:$D$48&gt;=B$88)*($D$41:$D$48&lt;=EOMONTH(B$88,0))*$C$41:$C$48)</f>
        <v>0</v>
      </c>
      <c r="C95" s="153" t="n">
        <f aca="false">SUMPRODUCT((($B$41:$B$48="Confirmado")+($B$41:$B$48="Em negociação")*Premissas!$B$106)*($D$41:$D$48&gt;=C$88)*($D$41:$D$48&lt;=EOMONTH(C$88,0))*$C$41:$C$48)</f>
        <v>0</v>
      </c>
      <c r="D95" s="153" t="n">
        <f aca="false">SUMPRODUCT((($B$41:$B$48="Confirmado")+($B$41:$B$48="Em negociação")*Premissas!$B$106)*($D$41:$D$48&gt;=D$88)*($D$41:$D$48&lt;=EOMONTH(D$88,0))*$C$41:$C$48)</f>
        <v>0</v>
      </c>
      <c r="E95" s="153" t="n">
        <f aca="false">SUMPRODUCT((($B$41:$B$48="Confirmado")+($B$41:$B$48="Em negociação")*Premissas!$B$106)*($D$41:$D$48&gt;=E$88)*($D$41:$D$48&lt;=EOMONTH(E$88,0))*$C$41:$C$48)</f>
        <v>0</v>
      </c>
      <c r="F95" s="153" t="n">
        <f aca="false">SUMPRODUCT((($B$41:$B$48="Confirmado")+($B$41:$B$48="Em negociação")*Premissas!$B$106)*($D$41:$D$48&gt;=F$88)*($D$41:$D$48&lt;=EOMONTH(F$88,0))*$C$41:$C$48)</f>
        <v>0</v>
      </c>
      <c r="G95" s="153" t="n">
        <f aca="false">SUMPRODUCT((($B$41:$B$48="Confirmado")+($B$41:$B$48="Em negociação")*Premissas!$B$106)*($D$41:$D$48&gt;=G$88)*($D$41:$D$48&lt;=EOMONTH(G$88,0))*$C$41:$C$48)</f>
        <v>0</v>
      </c>
      <c r="H95" s="153" t="n">
        <f aca="false">SUMPRODUCT((($B$41:$B$48="Confirmado")+($B$41:$B$48="Em negociação")*Premissas!$B$106)*($D$41:$D$48&gt;=H$88)*($D$41:$D$48&lt;=EOMONTH(H$88,0))*$C$41:$C$48)</f>
        <v>0</v>
      </c>
      <c r="I95" s="153" t="n">
        <f aca="false">SUMPRODUCT((($B$41:$B$48="Confirmado")+($B$41:$B$48="Em negociação")*Premissas!$B$106)*($D$41:$D$48&gt;=I$88)*($D$41:$D$48&lt;=EOMONTH(I$88,0))*$C$41:$C$48)</f>
        <v>0</v>
      </c>
      <c r="J95" s="153" t="n">
        <f aca="false">SUMPRODUCT((($B$41:$B$48="Confirmado")+($B$41:$B$48="Em negociação")*Premissas!$B$106)*($D$41:$D$48&gt;=J$88)*($D$41:$D$48&lt;=EOMONTH(J$88,0))*$C$41:$C$48)</f>
        <v>0</v>
      </c>
      <c r="K95" s="153" t="n">
        <f aca="false">SUMPRODUCT((($B$41:$B$48="Confirmado")+($B$41:$B$48="Em negociação")*Premissas!$B$106)*($D$41:$D$48&gt;=K$88)*($D$41:$D$48&lt;=EOMONTH(K$88,0))*$C$41:$C$48)</f>
        <v>0</v>
      </c>
      <c r="L95" s="153" t="n">
        <f aca="false">SUMPRODUCT((($B$41:$B$48="Confirmado")+($B$41:$B$48="Em negociação")*Premissas!$B$106)*($D$41:$D$48&gt;=L$88)*($D$41:$D$48&lt;=EOMONTH(L$88,0))*$C$41:$C$48)</f>
        <v>0</v>
      </c>
      <c r="M95" s="153" t="n">
        <f aca="false">SUMPRODUCT((($B$41:$B$48="Confirmado")+($B$41:$B$48="Em negociação")*Premissas!$B$106)*($D$41:$D$48&gt;=M$88)*($D$41:$D$48&lt;=EOMONTH(M$88,0))*$C$41:$C$48)</f>
        <v>0</v>
      </c>
      <c r="N95" s="153" t="n">
        <f aca="false">SUMPRODUCT((($B$41:$B$48="Confirmado")+($B$41:$B$48="Em negociação")*Premissas!$B$106)*($D$41:$D$48&gt;=N$88)*($D$41:$D$48&lt;=EOMONTH(N$88,0))*$C$41:$C$48)</f>
        <v>0</v>
      </c>
      <c r="O95" s="153" t="n">
        <f aca="false">SUMPRODUCT((($B$41:$B$48="Confirmado")+($B$41:$B$48="Em negociação")*Premissas!$B$106)*($D$41:$D$48&gt;=O$88)*($D$41:$D$48&lt;=EOMONTH(O$88,0))*$C$41:$C$48)</f>
        <v>200000</v>
      </c>
      <c r="P95" s="153" t="n">
        <f aca="false">SUMPRODUCT((($B$41:$B$48="Confirmado")+($B$41:$B$48="Em negociação")*Premissas!$B$106)*($D$41:$D$48&gt;=P$88)*($D$41:$D$48&lt;=EOMONTH(P$88,0))*$C$41:$C$48)</f>
        <v>0</v>
      </c>
      <c r="Q95" s="153" t="n">
        <f aca="false">SUMPRODUCT((($B$41:$B$48="Confirmado")+($B$41:$B$48="Em negociação")*Premissas!$B$106)*($D$41:$D$48&gt;=Q$88)*($D$41:$D$48&lt;=EOMONTH(Q$88,0))*$C$41:$C$48)</f>
        <v>0</v>
      </c>
      <c r="R95" s="153" t="n">
        <f aca="false">SUMPRODUCT((($B$41:$B$48="Confirmado")+($B$41:$B$48="Em negociação")*Premissas!$B$106)*($D$41:$D$48&gt;=R$88)*($D$41:$D$48&lt;=EOMONTH(R$88,0))*$C$41:$C$48)</f>
        <v>0</v>
      </c>
      <c r="S95" s="153" t="n">
        <f aca="false">SUMPRODUCT((($B$41:$B$48="Confirmado")+($B$41:$B$48="Em negociação")*Premissas!$B$106)*($D$41:$D$48&gt;=S$88)*($D$41:$D$48&lt;=EOMONTH(S$88,0))*$C$41:$C$48)</f>
        <v>0</v>
      </c>
      <c r="T95" s="153" t="n">
        <f aca="false">SUMPRODUCT((($B$41:$B$48="Confirmado")+($B$41:$B$48="Em negociação")*Premissas!$B$106)*($D$41:$D$48&gt;=T$88)*($D$41:$D$48&lt;=EOMONTH(T$88,0))*$C$41:$C$48)</f>
        <v>0</v>
      </c>
      <c r="U95" s="153" t="n">
        <f aca="false">SUMPRODUCT((($B$41:$B$48="Confirmado")+($B$41:$B$48="Em negociação")*Premissas!$B$106)*($D$41:$D$48&gt;=U$88)*($D$41:$D$48&lt;=EOMONTH(U$88,0))*$C$41:$C$48)</f>
        <v>0</v>
      </c>
      <c r="V95" s="153" t="n">
        <f aca="false">SUMPRODUCT((($B$41:$B$48="Confirmado")+($B$41:$B$48="Em negociação")*Premissas!$B$106)*($D$41:$D$48&gt;=V$88)*($D$41:$D$48&lt;=EOMONTH(V$88,0))*$C$41:$C$48)</f>
        <v>0</v>
      </c>
      <c r="W95" s="153" t="n">
        <f aca="false">SUMPRODUCT((($B$41:$B$48="Confirmado")+($B$41:$B$48="Em negociação")*Premissas!$B$106)*($D$41:$D$48&gt;=W$88)*($D$41:$D$48&lt;=EOMONTH(W$88,0))*$C$41:$C$48)</f>
        <v>0</v>
      </c>
      <c r="X95" s="153" t="n">
        <f aca="false">SUMPRODUCT((($B$41:$B$48="Confirmado")+($B$41:$B$48="Em negociação")*Premissas!$B$106)*($D$41:$D$48&gt;=X$88)*($D$41:$D$48&lt;=EOMONTH(X$88,0))*$C$41:$C$48)</f>
        <v>0</v>
      </c>
      <c r="Y95" s="153" t="n">
        <f aca="false">SUMPRODUCT((($B$41:$B$48="Confirmado")+($B$41:$B$48="Em negociação")*Premissas!$B$106)*($D$41:$D$48&gt;=Y$88)*($D$41:$D$48&lt;=EOMONTH(Y$88,0))*$C$41:$C$48)</f>
        <v>0</v>
      </c>
      <c r="Z95" s="153" t="n">
        <f aca="false">SUMPRODUCT((($B$41:$B$48="Confirmado")+($B$41:$B$48="Em negociação")*Premissas!$B$106)*($D$41:$D$48&gt;=Z$88)*($D$41:$D$48&lt;=EOMONTH(Z$88,0))*$C$41:$C$48)</f>
        <v>0</v>
      </c>
      <c r="AA95" s="153" t="n">
        <f aca="false">SUMPRODUCT((($B$41:$B$48="Confirmado")+($B$41:$B$48="Em negociação")*Premissas!$B$106)*($D$41:$D$48&gt;=AA$88)*($D$41:$D$48&lt;=EOMONTH(AA$88,0))*$C$41:$C$48)</f>
        <v>0</v>
      </c>
      <c r="AB95" s="153" t="n">
        <f aca="false">SUMPRODUCT((($B$41:$B$48="Confirmado")+($B$41:$B$48="Em negociação")*Premissas!$B$106)*($D$41:$D$48&gt;=AB$88)*($D$41:$D$48&lt;=EOMONTH(AB$88,0))*$C$41:$C$48)</f>
        <v>0</v>
      </c>
      <c r="AC95" s="153" t="n">
        <f aca="false">SUMPRODUCT((($B$41:$B$48="Confirmado")+($B$41:$B$48="Em negociação")*Premissas!$B$106)*($D$41:$D$48&gt;=AC$88)*($D$41:$D$48&lt;=EOMONTH(AC$88,0))*$C$41:$C$48)</f>
        <v>0</v>
      </c>
      <c r="AD95" s="153" t="n">
        <f aca="false">SUMPRODUCT((($B$41:$B$48="Confirmado")+($B$41:$B$48="Em negociação")*Premissas!$B$106)*($D$41:$D$48&gt;=AD$88)*($D$41:$D$48&lt;=EOMONTH(AD$88,0))*$C$41:$C$48)</f>
        <v>0</v>
      </c>
      <c r="AE95" s="153" t="n">
        <f aca="false">SUMPRODUCT((($B$41:$B$48="Confirmado")+($B$41:$B$48="Em negociação")*Premissas!$B$106)*($D$41:$D$48&gt;=AE$88)*($D$41:$D$48&lt;=EOMONTH(AE$88,0))*$C$41:$C$48)</f>
        <v>0</v>
      </c>
      <c r="AF95" s="153" t="n">
        <f aca="false">SUMPRODUCT((($B$41:$B$48="Confirmado")+($B$41:$B$48="Em negociação")*Premissas!$B$106)*($D$41:$D$48&gt;=AF$88)*($D$41:$D$48&lt;=EOMONTH(AF$88,0))*$C$41:$C$48)</f>
        <v>0</v>
      </c>
      <c r="AG95" s="153" t="n">
        <f aca="false">SUMPRODUCT((($B$41:$B$48="Confirmado")+($B$41:$B$48="Em negociação")*Premissas!$B$106)*($D$41:$D$48&gt;=AG$88)*($D$41:$D$48&lt;=EOMONTH(AG$88,0))*$C$41:$C$48)</f>
        <v>0</v>
      </c>
      <c r="AH95" s="153" t="n">
        <f aca="false">SUMPRODUCT((($B$41:$B$48="Confirmado")+($B$41:$B$48="Em negociação")*Premissas!$B$106)*($D$41:$D$48&gt;=AH$88)*($D$41:$D$48&lt;=EOMONTH(AH$88,0))*$C$41:$C$48)</f>
        <v>0</v>
      </c>
      <c r="AI95" s="153" t="n">
        <f aca="false">SUMPRODUCT((($B$41:$B$48="Confirmado")+($B$41:$B$48="Em negociação")*Premissas!$B$106)*($D$41:$D$48&gt;=AI$88)*($D$41:$D$48&lt;=EOMONTH(AI$88,0))*$C$41:$C$48)</f>
        <v>0</v>
      </c>
      <c r="AJ95" s="153" t="n">
        <f aca="false">SUMPRODUCT((($B$41:$B$48="Confirmado")+($B$41:$B$48="Em negociação")*Premissas!$B$106)*($D$41:$D$48&gt;=AJ$88)*($D$41:$D$48&lt;=EOMONTH(AJ$88,0))*$C$41:$C$48)</f>
        <v>0</v>
      </c>
      <c r="AK95" s="153" t="n">
        <f aca="false">SUMPRODUCT((($B$41:$B$48="Confirmado")+($B$41:$B$48="Em negociação")*Premissas!$B$106)*($D$41:$D$48&gt;=AK$88)*($D$41:$D$48&lt;=EOMONTH(AK$88,0))*$C$41:$C$48)</f>
        <v>0</v>
      </c>
      <c r="AL95" s="153" t="n">
        <f aca="false">SUMPRODUCT((($B$41:$B$48="Confirmado")+($B$41:$B$48="Em negociação")*Premissas!$B$106)*($D$41:$D$48&gt;=AL$88)*($D$41:$D$48&lt;=EOMONTH(AL$88,0))*$C$41:$C$48)</f>
        <v>0</v>
      </c>
      <c r="AM95" s="153" t="n">
        <f aca="false">SUMPRODUCT((($B$41:$B$48="Confirmado")+($B$41:$B$48="Em negociação")*Premissas!$B$106)*($D$41:$D$48&gt;=AM$88)*($D$41:$D$48&lt;=EOMONTH(AM$88,0))*$C$41:$C$48)</f>
        <v>0</v>
      </c>
      <c r="AN95" s="153" t="n">
        <f aca="false">SUMPRODUCT((($B$41:$B$48="Confirmado")+($B$41:$B$48="Em negociação")*Premissas!$B$106)*($D$41:$D$48&gt;=AN$88)*($D$41:$D$48&lt;=EOMONTH(AN$88,0))*$C$41:$C$48)</f>
        <v>0</v>
      </c>
      <c r="AO95" s="153" t="n">
        <f aca="false">SUMPRODUCT((($B$41:$B$48="Confirmado")+($B$41:$B$48="Em negociação")*Premissas!$B$106)*($D$41:$D$48&gt;=AO$88)*($D$41:$D$48&lt;=EOMONTH(AO$88,0))*$C$41:$C$48)</f>
        <v>0</v>
      </c>
      <c r="AP95" s="153" t="n">
        <f aca="false">SUMPRODUCT((($B$41:$B$48="Confirmado")+($B$41:$B$48="Em negociação")*Premissas!$B$106)*($D$41:$D$48&gt;=AP$88)*($D$41:$D$48&lt;=EOMONTH(AP$88,0))*$C$41:$C$48)</f>
        <v>0</v>
      </c>
      <c r="AQ95" s="153" t="n">
        <f aca="false">SUMPRODUCT((($B$41:$B$48="Confirmado")+($B$41:$B$48="Em negociação")*Premissas!$B$106)*($D$41:$D$48&gt;=AQ$88)*($D$41:$D$48&lt;=EOMONTH(AQ$88,0))*$C$41:$C$48)</f>
        <v>0</v>
      </c>
      <c r="AR95" s="153" t="n">
        <f aca="false">SUMPRODUCT((($B$41:$B$48="Confirmado")+($B$41:$B$48="Em negociação")*Premissas!$B$106)*($D$41:$D$48&gt;=AR$88)*($D$41:$D$48&lt;=EOMONTH(AR$88,0))*$C$41:$C$48)</f>
        <v>0</v>
      </c>
      <c r="AS95" s="153" t="n">
        <f aca="false">SUMPRODUCT((($B$41:$B$48="Confirmado")+($B$41:$B$48="Em negociação")*Premissas!$B$106)*($D$41:$D$48&gt;=AS$88)*($D$41:$D$48&lt;=EOMONTH(AS$88,0))*$C$41:$C$48)</f>
        <v>0</v>
      </c>
      <c r="AT95" s="153" t="n">
        <f aca="false">SUMPRODUCT((($B$41:$B$48="Confirmado")+($B$41:$B$48="Em negociação")*Premissas!$B$106)*($D$41:$D$48&gt;=AT$88)*($D$41:$D$48&lt;=EOMONTH(AT$88,0))*$C$41:$C$48)</f>
        <v>0</v>
      </c>
      <c r="AU95" s="153" t="n">
        <f aca="false">SUMPRODUCT((($B$41:$B$48="Confirmado")+($B$41:$B$48="Em negociação")*Premissas!$B$106)*($D$41:$D$48&gt;=AU$88)*($D$41:$D$48&lt;=EOMONTH(AU$88,0))*$C$41:$C$48)</f>
        <v>0</v>
      </c>
      <c r="AV95" s="153" t="n">
        <f aca="false">SUMPRODUCT((($B$41:$B$48="Confirmado")+($B$41:$B$48="Em negociação")*Premissas!$B$106)*($D$41:$D$48&gt;=AV$88)*($D$41:$D$48&lt;=EOMONTH(AV$88,0))*$C$41:$C$48)</f>
        <v>0</v>
      </c>
      <c r="AW95" s="153" t="n">
        <f aca="false">SUMPRODUCT((($B$41:$B$48="Confirmado")+($B$41:$B$48="Em negociação")*Premissas!$B$106)*($D$41:$D$48&gt;=AW$88)*($D$41:$D$48&lt;=EOMONTH(AW$88,0))*$C$41:$C$48)</f>
        <v>0</v>
      </c>
      <c r="AX95" s="153" t="n">
        <f aca="false">SUMPRODUCT((($B$41:$B$48="Confirmado")+($B$41:$B$48="Em negociação")*Premissas!$B$106)*($D$41:$D$48&gt;=AX$88)*($D$41:$D$48&lt;=EOMONTH(AX$88,0))*$C$41:$C$48)</f>
        <v>0</v>
      </c>
      <c r="AY95" s="153" t="n">
        <f aca="false">SUMPRODUCT((($B$41:$B$48="Confirmado")+($B$41:$B$48="Em negociação")*Premissas!$B$106)*($D$41:$D$48&gt;=AY$88)*($D$41:$D$48&lt;=EOMONTH(AY$88,0))*$C$41:$C$48)</f>
        <v>0</v>
      </c>
      <c r="AZ95" s="153" t="n">
        <f aca="false">SUMPRODUCT((($B$41:$B$48="Confirmado")+($B$41:$B$48="Em negociação")*Premissas!$B$106)*($D$41:$D$48&gt;=AZ$88)*($D$41:$D$48&lt;=EOMONTH(AZ$88,0))*$C$41:$C$48)</f>
        <v>0</v>
      </c>
      <c r="BA95" s="153" t="n">
        <f aca="false">SUMPRODUCT((($B$41:$B$48="Confirmado")+($B$41:$B$48="Em negociação")*Premissas!$B$106)*($D$41:$D$48&gt;=BA$88)*($D$41:$D$48&lt;=EOMONTH(BA$88,0))*$C$41:$C$48)</f>
        <v>0</v>
      </c>
      <c r="BB95" s="153" t="n">
        <f aca="false">SUMPRODUCT((($B$41:$B$48="Confirmado")+($B$41:$B$48="Em negociação")*Premissas!$B$106)*($D$41:$D$48&gt;=BB$88)*($D$41:$D$48&lt;=EOMONTH(BB$88,0))*$C$41:$C$48)</f>
        <v>0</v>
      </c>
      <c r="BC95" s="153" t="n">
        <f aca="false">SUMPRODUCT((($B$41:$B$48="Confirmado")+($B$41:$B$48="Em negociação")*Premissas!$B$106)*($D$41:$D$48&gt;=BC$88)*($D$41:$D$48&lt;=EOMONTH(BC$88,0))*$C$41:$C$48)</f>
        <v>0</v>
      </c>
      <c r="BD95" s="153" t="n">
        <f aca="false">SUMPRODUCT((($B$41:$B$48="Confirmado")+($B$41:$B$48="Em negociação")*Premissas!$B$106)*($D$41:$D$48&gt;=BD$88)*($D$41:$D$48&lt;=EOMONTH(BD$88,0))*$C$41:$C$48)</f>
        <v>0</v>
      </c>
      <c r="BE95" s="153" t="n">
        <f aca="false">SUMPRODUCT((($B$41:$B$48="Confirmado")+($B$41:$B$48="Em negociação")*Premissas!$B$106)*($D$41:$D$48&gt;=BE$88)*($D$41:$D$48&lt;=EOMONTH(BE$88,0))*$C$41:$C$48)</f>
        <v>0</v>
      </c>
      <c r="BF95" s="153" t="n">
        <f aca="false">SUMPRODUCT((($B$41:$B$48="Confirmado")+($B$41:$B$48="Em negociação")*Premissas!$B$106)*($D$41:$D$48&gt;=BF$88)*($D$41:$D$48&lt;=EOMONTH(BF$88,0))*$C$41:$C$48)</f>
        <v>0</v>
      </c>
      <c r="BG95" s="153" t="n">
        <f aca="false">SUMPRODUCT((($B$41:$B$48="Confirmado")+($B$41:$B$48="Em negociação")*Premissas!$B$106)*($D$41:$D$48&gt;=BG$88)*($D$41:$D$48&lt;=EOMONTH(BG$88,0))*$C$41:$C$48)</f>
        <v>0</v>
      </c>
      <c r="BH95" s="153" t="n">
        <f aca="false">SUMPRODUCT((($B$41:$B$48="Confirmado")+($B$41:$B$48="Em negociação")*Premissas!$B$106)*($D$41:$D$48&gt;=BH$88)*($D$41:$D$48&lt;=EOMONTH(BH$88,0))*$C$41:$C$48)</f>
        <v>0</v>
      </c>
      <c r="BI95" s="153" t="n">
        <f aca="false">SUMPRODUCT((($B$41:$B$48="Confirmado")+($B$41:$B$48="Em negociação")*Premissas!$B$106)*($D$41:$D$48&gt;=BI$88)*($D$41:$D$48&lt;=EOMONTH(BI$88,0))*$C$41:$C$48)</f>
        <v>0</v>
      </c>
      <c r="BJ95" s="154" t="n">
        <f aca="false">SUM(B95:BI95)</f>
        <v>200000</v>
      </c>
    </row>
    <row r="96" customFormat="false" ht="15.75" hidden="false" customHeight="true" outlineLevel="0" collapsed="false">
      <c r="A96" s="53" t="s">
        <v>624</v>
      </c>
      <c r="B96" s="154" t="n">
        <f aca="false">SUM(B92:B95)</f>
        <v>0</v>
      </c>
      <c r="C96" s="154" t="n">
        <f aca="false">SUM(C92:C95)</f>
        <v>0</v>
      </c>
      <c r="D96" s="154" t="n">
        <f aca="false">SUM(D92:D95)</f>
        <v>0</v>
      </c>
      <c r="E96" s="154" t="n">
        <f aca="false">SUM(E92:E95)</f>
        <v>10000</v>
      </c>
      <c r="F96" s="154" t="n">
        <f aca="false">SUM(F92:F95)</f>
        <v>0</v>
      </c>
      <c r="G96" s="154" t="n">
        <f aca="false">SUM(G92:G95)</f>
        <v>0</v>
      </c>
      <c r="H96" s="154" t="n">
        <f aca="false">SUM(H92:H95)</f>
        <v>5000</v>
      </c>
      <c r="I96" s="154" t="n">
        <f aca="false">SUM(I92:I95)</f>
        <v>18000</v>
      </c>
      <c r="J96" s="154" t="n">
        <f aca="false">SUM(J92:J95)</f>
        <v>4000</v>
      </c>
      <c r="K96" s="154" t="n">
        <f aca="false">SUM(K92:K95)</f>
        <v>80000</v>
      </c>
      <c r="L96" s="154" t="n">
        <f aca="false">SUM(L92:L95)</f>
        <v>0</v>
      </c>
      <c r="M96" s="154" t="n">
        <f aca="false">SUM(M92:M95)</f>
        <v>0</v>
      </c>
      <c r="N96" s="154" t="n">
        <f aca="false">SUM(N92:N95)</f>
        <v>0</v>
      </c>
      <c r="O96" s="154" t="n">
        <f aca="false">SUM(O92:O95)</f>
        <v>200000</v>
      </c>
      <c r="P96" s="154" t="n">
        <f aca="false">SUM(P92:P95)</f>
        <v>0</v>
      </c>
      <c r="Q96" s="154" t="n">
        <f aca="false">SUM(Q92:Q95)</f>
        <v>0</v>
      </c>
      <c r="R96" s="154" t="n">
        <f aca="false">SUM(R92:R95)</f>
        <v>0</v>
      </c>
      <c r="S96" s="154" t="n">
        <f aca="false">SUM(S92:S95)</f>
        <v>0</v>
      </c>
      <c r="T96" s="154" t="n">
        <f aca="false">SUM(T92:T95)</f>
        <v>0</v>
      </c>
      <c r="U96" s="154" t="n">
        <f aca="false">SUM(U92:U95)</f>
        <v>0</v>
      </c>
      <c r="V96" s="154" t="n">
        <f aca="false">SUM(V92:V95)</f>
        <v>0</v>
      </c>
      <c r="W96" s="154" t="n">
        <f aca="false">SUM(W92:W95)</f>
        <v>0</v>
      </c>
      <c r="X96" s="154" t="n">
        <f aca="false">SUM(X92:X95)</f>
        <v>0</v>
      </c>
      <c r="Y96" s="154" t="n">
        <f aca="false">SUM(Y92:Y95)</f>
        <v>0</v>
      </c>
      <c r="Z96" s="154" t="n">
        <f aca="false">SUM(Z92:Z95)</f>
        <v>0</v>
      </c>
      <c r="AA96" s="154" t="n">
        <f aca="false">SUM(AA92:AA95)</f>
        <v>0</v>
      </c>
      <c r="AB96" s="154" t="n">
        <f aca="false">SUM(AB92:AB95)</f>
        <v>0</v>
      </c>
      <c r="AC96" s="154" t="n">
        <f aca="false">SUM(AC92:AC95)</f>
        <v>0</v>
      </c>
      <c r="AD96" s="154" t="n">
        <f aca="false">SUM(AD92:AD95)</f>
        <v>0</v>
      </c>
      <c r="AE96" s="154" t="n">
        <f aca="false">SUM(AE92:AE95)</f>
        <v>0</v>
      </c>
      <c r="AF96" s="154" t="n">
        <f aca="false">SUM(AF92:AF95)</f>
        <v>0</v>
      </c>
      <c r="AG96" s="154" t="n">
        <f aca="false">SUM(AG92:AG95)</f>
        <v>0</v>
      </c>
      <c r="AH96" s="154" t="n">
        <f aca="false">SUM(AH92:AH95)</f>
        <v>0</v>
      </c>
      <c r="AI96" s="154" t="n">
        <f aca="false">SUM(AI92:AI95)</f>
        <v>0</v>
      </c>
      <c r="AJ96" s="154" t="n">
        <f aca="false">SUM(AJ92:AJ95)</f>
        <v>0</v>
      </c>
      <c r="AK96" s="154" t="n">
        <f aca="false">SUM(AK92:AK95)</f>
        <v>0</v>
      </c>
      <c r="AL96" s="154" t="n">
        <f aca="false">SUM(AL92:AL95)</f>
        <v>0</v>
      </c>
      <c r="AM96" s="154" t="n">
        <f aca="false">SUM(AM92:AM95)</f>
        <v>0</v>
      </c>
      <c r="AN96" s="154" t="n">
        <f aca="false">SUM(AN92:AN95)</f>
        <v>0</v>
      </c>
      <c r="AO96" s="154" t="n">
        <f aca="false">SUM(AO92:AO95)</f>
        <v>0</v>
      </c>
      <c r="AP96" s="154" t="n">
        <f aca="false">SUM(AP92:AP95)</f>
        <v>0</v>
      </c>
      <c r="AQ96" s="154" t="n">
        <f aca="false">SUM(AQ92:AQ95)</f>
        <v>0</v>
      </c>
      <c r="AR96" s="154" t="n">
        <f aca="false">SUM(AR92:AR95)</f>
        <v>0</v>
      </c>
      <c r="AS96" s="154" t="n">
        <f aca="false">SUM(AS92:AS95)</f>
        <v>0</v>
      </c>
      <c r="AT96" s="154" t="n">
        <f aca="false">SUM(AT92:AT95)</f>
        <v>0</v>
      </c>
      <c r="AU96" s="154" t="n">
        <f aca="false">SUM(AU92:AU95)</f>
        <v>0</v>
      </c>
      <c r="AV96" s="154" t="n">
        <f aca="false">SUM(AV92:AV95)</f>
        <v>0</v>
      </c>
      <c r="AW96" s="154" t="n">
        <f aca="false">SUM(AW92:AW95)</f>
        <v>0</v>
      </c>
      <c r="AX96" s="154" t="n">
        <f aca="false">SUM(AX92:AX95)</f>
        <v>0</v>
      </c>
      <c r="AY96" s="154" t="n">
        <f aca="false">SUM(AY92:AY95)</f>
        <v>0</v>
      </c>
      <c r="AZ96" s="154" t="n">
        <f aca="false">SUM(AZ92:AZ95)</f>
        <v>0</v>
      </c>
      <c r="BA96" s="154" t="n">
        <f aca="false">SUM(BA92:BA95)</f>
        <v>0</v>
      </c>
      <c r="BB96" s="154" t="n">
        <f aca="false">SUM(BB92:BB95)</f>
        <v>0</v>
      </c>
      <c r="BC96" s="154" t="n">
        <f aca="false">SUM(BC92:BC95)</f>
        <v>0</v>
      </c>
      <c r="BD96" s="154" t="n">
        <f aca="false">SUM(BD92:BD95)</f>
        <v>0</v>
      </c>
      <c r="BE96" s="154" t="n">
        <f aca="false">SUM(BE92:BE95)</f>
        <v>0</v>
      </c>
      <c r="BF96" s="154" t="n">
        <f aca="false">SUM(BF92:BF95)</f>
        <v>0</v>
      </c>
      <c r="BG96" s="154" t="n">
        <f aca="false">SUM(BG92:BG95)</f>
        <v>0</v>
      </c>
      <c r="BH96" s="154" t="n">
        <f aca="false">SUM(BH92:BH95)</f>
        <v>0</v>
      </c>
      <c r="BI96" s="154" t="n">
        <f aca="false">SUM(BI92:BI95)</f>
        <v>0</v>
      </c>
      <c r="BJ96" s="154" t="n">
        <f aca="false">SUM(B96:BI96)</f>
        <v>317000</v>
      </c>
    </row>
    <row r="97" customFormat="false" ht="15.75" hidden="false" customHeight="true" outlineLevel="0" collapsed="false">
      <c r="A97" s="111" t="s">
        <v>625</v>
      </c>
      <c r="B97" s="159" t="n">
        <f aca="false">B96</f>
        <v>0</v>
      </c>
      <c r="C97" s="159" t="n">
        <f aca="false">B97+C96</f>
        <v>0</v>
      </c>
      <c r="D97" s="159" t="n">
        <f aca="false">C97+D96</f>
        <v>0</v>
      </c>
      <c r="E97" s="159" t="n">
        <f aca="false">D97+E96</f>
        <v>10000</v>
      </c>
      <c r="F97" s="159" t="n">
        <f aca="false">E97+F96</f>
        <v>10000</v>
      </c>
      <c r="G97" s="159" t="n">
        <f aca="false">F97+G96</f>
        <v>10000</v>
      </c>
      <c r="H97" s="159" t="n">
        <f aca="false">G97+H96</f>
        <v>15000</v>
      </c>
      <c r="I97" s="159" t="n">
        <f aca="false">H97+I96</f>
        <v>33000</v>
      </c>
      <c r="J97" s="159" t="n">
        <f aca="false">I97+J96</f>
        <v>37000</v>
      </c>
      <c r="K97" s="159" t="n">
        <f aca="false">J97+K96</f>
        <v>117000</v>
      </c>
      <c r="L97" s="159" t="n">
        <f aca="false">K97+L96</f>
        <v>117000</v>
      </c>
      <c r="M97" s="159" t="n">
        <f aca="false">L97+M96</f>
        <v>117000</v>
      </c>
      <c r="N97" s="159" t="n">
        <f aca="false">M97+N96</f>
        <v>117000</v>
      </c>
      <c r="O97" s="159" t="n">
        <f aca="false">N97+O96</f>
        <v>317000</v>
      </c>
      <c r="P97" s="159" t="n">
        <f aca="false">O97+P96</f>
        <v>317000</v>
      </c>
      <c r="Q97" s="159" t="n">
        <f aca="false">P97+Q96</f>
        <v>317000</v>
      </c>
      <c r="R97" s="159" t="n">
        <f aca="false">Q97+R96</f>
        <v>317000</v>
      </c>
      <c r="S97" s="159" t="n">
        <f aca="false">R97+S96</f>
        <v>317000</v>
      </c>
      <c r="T97" s="159" t="n">
        <f aca="false">S97+T96</f>
        <v>317000</v>
      </c>
      <c r="U97" s="159" t="n">
        <f aca="false">T97+U96</f>
        <v>317000</v>
      </c>
      <c r="V97" s="159" t="n">
        <f aca="false">U97+V96</f>
        <v>317000</v>
      </c>
      <c r="W97" s="159" t="n">
        <f aca="false">V97+W96</f>
        <v>317000</v>
      </c>
      <c r="X97" s="159" t="n">
        <f aca="false">W97+X96</f>
        <v>317000</v>
      </c>
      <c r="Y97" s="159" t="n">
        <f aca="false">X97+Y96</f>
        <v>317000</v>
      </c>
      <c r="Z97" s="159" t="n">
        <f aca="false">Y97+Z96</f>
        <v>317000</v>
      </c>
      <c r="AA97" s="159" t="n">
        <f aca="false">Z97+AA96</f>
        <v>317000</v>
      </c>
      <c r="AB97" s="159" t="n">
        <f aca="false">AA97+AB96</f>
        <v>317000</v>
      </c>
      <c r="AC97" s="159" t="n">
        <f aca="false">AB97+AC96</f>
        <v>317000</v>
      </c>
      <c r="AD97" s="159" t="n">
        <f aca="false">AC97+AD96</f>
        <v>317000</v>
      </c>
      <c r="AE97" s="159" t="n">
        <f aca="false">AD97+AE96</f>
        <v>317000</v>
      </c>
      <c r="AF97" s="159" t="n">
        <f aca="false">AE97+AF96</f>
        <v>317000</v>
      </c>
      <c r="AG97" s="159" t="n">
        <f aca="false">AF97+AG96</f>
        <v>317000</v>
      </c>
      <c r="AH97" s="159" t="n">
        <f aca="false">AG97+AH96</f>
        <v>317000</v>
      </c>
      <c r="AI97" s="159" t="n">
        <f aca="false">AH97+AI96</f>
        <v>317000</v>
      </c>
      <c r="AJ97" s="159" t="n">
        <f aca="false">AI97+AJ96</f>
        <v>317000</v>
      </c>
      <c r="AK97" s="159" t="n">
        <f aca="false">AJ97+AK96</f>
        <v>317000</v>
      </c>
      <c r="AL97" s="159" t="n">
        <f aca="false">AK97+AL96</f>
        <v>317000</v>
      </c>
      <c r="AM97" s="159" t="n">
        <f aca="false">AL97+AM96</f>
        <v>317000</v>
      </c>
      <c r="AN97" s="159" t="n">
        <f aca="false">AM97+AN96</f>
        <v>317000</v>
      </c>
      <c r="AO97" s="159" t="n">
        <f aca="false">AN97+AO96</f>
        <v>317000</v>
      </c>
      <c r="AP97" s="159" t="n">
        <f aca="false">AO97+AP96</f>
        <v>317000</v>
      </c>
      <c r="AQ97" s="159" t="n">
        <f aca="false">AP97+AQ96</f>
        <v>317000</v>
      </c>
      <c r="AR97" s="159" t="n">
        <f aca="false">AQ97+AR96</f>
        <v>317000</v>
      </c>
      <c r="AS97" s="159" t="n">
        <f aca="false">AR97+AS96</f>
        <v>317000</v>
      </c>
      <c r="AT97" s="159" t="n">
        <f aca="false">AS97+AT96</f>
        <v>317000</v>
      </c>
      <c r="AU97" s="159" t="n">
        <f aca="false">AT97+AU96</f>
        <v>317000</v>
      </c>
      <c r="AV97" s="159" t="n">
        <f aca="false">AU97+AV96</f>
        <v>317000</v>
      </c>
      <c r="AW97" s="159" t="n">
        <f aca="false">AV97+AW96</f>
        <v>317000</v>
      </c>
      <c r="AX97" s="159" t="n">
        <f aca="false">AW97+AX96</f>
        <v>317000</v>
      </c>
      <c r="AY97" s="159" t="n">
        <f aca="false">AX97+AY96</f>
        <v>317000</v>
      </c>
      <c r="AZ97" s="159" t="n">
        <f aca="false">AY97+AZ96</f>
        <v>317000</v>
      </c>
      <c r="BA97" s="159" t="n">
        <f aca="false">AZ97+BA96</f>
        <v>317000</v>
      </c>
      <c r="BB97" s="159" t="n">
        <f aca="false">BA97+BB96</f>
        <v>317000</v>
      </c>
      <c r="BC97" s="159" t="n">
        <f aca="false">BB97+BC96</f>
        <v>317000</v>
      </c>
      <c r="BD97" s="159" t="n">
        <f aca="false">BC97+BD96</f>
        <v>317000</v>
      </c>
      <c r="BE97" s="159" t="n">
        <f aca="false">BD97+BE96</f>
        <v>317000</v>
      </c>
      <c r="BF97" s="159" t="n">
        <f aca="false">BE97+BF96</f>
        <v>317000</v>
      </c>
      <c r="BG97" s="159" t="n">
        <f aca="false">BF97+BG96</f>
        <v>317000</v>
      </c>
      <c r="BH97" s="159" t="n">
        <f aca="false">BG97+BH96</f>
        <v>317000</v>
      </c>
      <c r="BI97" s="159" t="n">
        <f aca="false">BH97+BI96</f>
        <v>317000</v>
      </c>
    </row>
    <row r="98" customFormat="false" ht="15.75" hidden="false" customHeight="true" outlineLevel="0" collapsed="false">
      <c r="A98" s="111" t="s">
        <v>626</v>
      </c>
      <c r="B98" s="153" t="n">
        <f aca="false">SUMPRODUCT((($B$41:$B$48="Confirmado")+($B$41:$B$48="Em negociação")*Premissas!$B$106)*($F$41:$F$48&lt;=B$88)*($G$41:$G$48&gt;=B$88)*$E$41:$E$48)</f>
        <v>0</v>
      </c>
      <c r="C98" s="153" t="n">
        <f aca="false">SUMPRODUCT((($B$41:$B$48="Confirmado")+($B$41:$B$48="Em negociação")*Premissas!$B$106)*($F$41:$F$48&lt;=C$88)*($G$41:$G$48&gt;=C$88)*$E$41:$E$48)</f>
        <v>0</v>
      </c>
      <c r="D98" s="153" t="n">
        <f aca="false">SUMPRODUCT((($B$41:$B$48="Confirmado")+($B$41:$B$48="Em negociação")*Premissas!$B$106)*($F$41:$F$48&lt;=D$88)*($G$41:$G$48&gt;=D$88)*$E$41:$E$48)</f>
        <v>0</v>
      </c>
      <c r="E98" s="153" t="n">
        <f aca="false">SUMPRODUCT((($B$41:$B$48="Confirmado")+($B$41:$B$48="Em negociação")*Premissas!$B$106)*($F$41:$F$48&lt;=E$88)*($G$41:$G$48&gt;=E$88)*$E$41:$E$48)</f>
        <v>0</v>
      </c>
      <c r="F98" s="153" t="n">
        <f aca="false">SUMPRODUCT((($B$41:$B$48="Confirmado")+($B$41:$B$48="Em negociação")*Premissas!$B$106)*($F$41:$F$48&lt;=F$88)*($G$41:$G$48&gt;=F$88)*$E$41:$E$48)</f>
        <v>0</v>
      </c>
      <c r="G98" s="153" t="n">
        <f aca="false">SUMPRODUCT((($B$41:$B$48="Confirmado")+($B$41:$B$48="Em negociação")*Premissas!$B$106)*($F$41:$F$48&lt;=G$88)*($G$41:$G$48&gt;=G$88)*$E$41:$E$48)</f>
        <v>0</v>
      </c>
      <c r="H98" s="153" t="n">
        <f aca="false">SUMPRODUCT((($B$41:$B$48="Confirmado")+($B$41:$B$48="Em negociação")*Premissas!$B$106)*($F$41:$F$48&lt;=H$88)*($G$41:$G$48&gt;=H$88)*$E$41:$E$48)</f>
        <v>0</v>
      </c>
      <c r="I98" s="153" t="n">
        <f aca="false">SUMPRODUCT((($B$41:$B$48="Confirmado")+($B$41:$B$48="Em negociação")*Premissas!$B$106)*($F$41:$F$48&lt;=I$88)*($G$41:$G$48&gt;=I$88)*$E$41:$E$48)</f>
        <v>0</v>
      </c>
      <c r="J98" s="153" t="n">
        <f aca="false">SUMPRODUCT((($B$41:$B$48="Confirmado")+($B$41:$B$48="Em negociação")*Premissas!$B$106)*($F$41:$F$48&lt;=J$88)*($G$41:$G$48&gt;=J$88)*$E$41:$E$48)</f>
        <v>0</v>
      </c>
      <c r="K98" s="153" t="n">
        <f aca="false">SUMPRODUCT((($B$41:$B$48="Confirmado")+($B$41:$B$48="Em negociação")*Premissas!$B$106)*($F$41:$F$48&lt;=K$88)*($G$41:$G$48&gt;=K$88)*$E$41:$E$48)</f>
        <v>0</v>
      </c>
      <c r="L98" s="153" t="n">
        <f aca="false">SUMPRODUCT((($B$41:$B$48="Confirmado")+($B$41:$B$48="Em negociação")*Premissas!$B$106)*($F$41:$F$48&lt;=L$88)*($G$41:$G$48&gt;=L$88)*$E$41:$E$48)</f>
        <v>0</v>
      </c>
      <c r="M98" s="153" t="n">
        <f aca="false">SUMPRODUCT((($B$41:$B$48="Confirmado")+($B$41:$B$48="Em negociação")*Premissas!$B$106)*($F$41:$F$48&lt;=M$88)*($G$41:$G$48&gt;=M$88)*$E$41:$E$48)</f>
        <v>0</v>
      </c>
      <c r="N98" s="153" t="n">
        <f aca="false">SUMPRODUCT((($B$41:$B$48="Confirmado")+($B$41:$B$48="Em negociação")*Premissas!$B$106)*($F$41:$F$48&lt;=N$88)*($G$41:$G$48&gt;=N$88)*$E$41:$E$48)</f>
        <v>0</v>
      </c>
      <c r="O98" s="153" t="n">
        <f aca="false">SUMPRODUCT((($B$41:$B$48="Confirmado")+($B$41:$B$48="Em negociação")*Premissas!$B$106)*($F$41:$F$48&lt;=O$88)*($G$41:$G$48&gt;=O$88)*$E$41:$E$48)</f>
        <v>0</v>
      </c>
      <c r="P98" s="153" t="n">
        <f aca="false">SUMPRODUCT((($B$41:$B$48="Confirmado")+($B$41:$B$48="Em negociação")*Premissas!$B$106)*($F$41:$F$48&lt;=P$88)*($G$41:$G$48&gt;=P$88)*$E$41:$E$48)</f>
        <v>5000</v>
      </c>
      <c r="Q98" s="153" t="n">
        <f aca="false">SUMPRODUCT((($B$41:$B$48="Confirmado")+($B$41:$B$48="Em negociação")*Premissas!$B$106)*($F$41:$F$48&lt;=Q$88)*($G$41:$G$48&gt;=Q$88)*$E$41:$E$48)</f>
        <v>5000</v>
      </c>
      <c r="R98" s="153" t="n">
        <f aca="false">SUMPRODUCT((($B$41:$B$48="Confirmado")+($B$41:$B$48="Em negociação")*Premissas!$B$106)*($F$41:$F$48&lt;=R$88)*($G$41:$G$48&gt;=R$88)*$E$41:$E$48)</f>
        <v>5000</v>
      </c>
      <c r="S98" s="153" t="n">
        <f aca="false">SUMPRODUCT((($B$41:$B$48="Confirmado")+($B$41:$B$48="Em negociação")*Premissas!$B$106)*($F$41:$F$48&lt;=S$88)*($G$41:$G$48&gt;=S$88)*$E$41:$E$48)</f>
        <v>5000</v>
      </c>
      <c r="T98" s="153" t="n">
        <f aca="false">SUMPRODUCT((($B$41:$B$48="Confirmado")+($B$41:$B$48="Em negociação")*Premissas!$B$106)*($F$41:$F$48&lt;=T$88)*($G$41:$G$48&gt;=T$88)*$E$41:$E$48)</f>
        <v>5000</v>
      </c>
      <c r="U98" s="153" t="n">
        <f aca="false">SUMPRODUCT((($B$41:$B$48="Confirmado")+($B$41:$B$48="Em negociação")*Premissas!$B$106)*($F$41:$F$48&lt;=U$88)*($G$41:$G$48&gt;=U$88)*$E$41:$E$48)</f>
        <v>5000</v>
      </c>
      <c r="V98" s="153" t="n">
        <f aca="false">SUMPRODUCT((($B$41:$B$48="Confirmado")+($B$41:$B$48="Em negociação")*Premissas!$B$106)*($F$41:$F$48&lt;=V$88)*($G$41:$G$48&gt;=V$88)*$E$41:$E$48)</f>
        <v>5000</v>
      </c>
      <c r="W98" s="153" t="n">
        <f aca="false">SUMPRODUCT((($B$41:$B$48="Confirmado")+($B$41:$B$48="Em negociação")*Premissas!$B$106)*($F$41:$F$48&lt;=W$88)*($G$41:$G$48&gt;=W$88)*$E$41:$E$48)</f>
        <v>5000</v>
      </c>
      <c r="X98" s="153" t="n">
        <f aca="false">SUMPRODUCT((($B$41:$B$48="Confirmado")+($B$41:$B$48="Em negociação")*Premissas!$B$106)*($F$41:$F$48&lt;=X$88)*($G$41:$G$48&gt;=X$88)*$E$41:$E$48)</f>
        <v>5000</v>
      </c>
      <c r="Y98" s="153" t="n">
        <f aca="false">SUMPRODUCT((($B$41:$B$48="Confirmado")+($B$41:$B$48="Em negociação")*Premissas!$B$106)*($F$41:$F$48&lt;=Y$88)*($G$41:$G$48&gt;=Y$88)*$E$41:$E$48)</f>
        <v>5000</v>
      </c>
      <c r="Z98" s="153" t="n">
        <f aca="false">SUMPRODUCT((($B$41:$B$48="Confirmado")+($B$41:$B$48="Em negociação")*Premissas!$B$106)*($F$41:$F$48&lt;=Z$88)*($G$41:$G$48&gt;=Z$88)*$E$41:$E$48)</f>
        <v>5000</v>
      </c>
      <c r="AA98" s="153" t="n">
        <f aca="false">SUMPRODUCT((($B$41:$B$48="Confirmado")+($B$41:$B$48="Em negociação")*Premissas!$B$106)*($F$41:$F$48&lt;=AA$88)*($G$41:$G$48&gt;=AA$88)*$E$41:$E$48)</f>
        <v>5000</v>
      </c>
      <c r="AB98" s="153" t="n">
        <f aca="false">SUMPRODUCT((($B$41:$B$48="Confirmado")+($B$41:$B$48="Em negociação")*Premissas!$B$106)*($F$41:$F$48&lt;=AB$88)*($G$41:$G$48&gt;=AB$88)*$E$41:$E$48)</f>
        <v>5000</v>
      </c>
      <c r="AC98" s="153" t="n">
        <f aca="false">SUMPRODUCT((($B$41:$B$48="Confirmado")+($B$41:$B$48="Em negociação")*Premissas!$B$106)*($F$41:$F$48&lt;=AC$88)*($G$41:$G$48&gt;=AC$88)*$E$41:$E$48)</f>
        <v>5000</v>
      </c>
      <c r="AD98" s="153" t="n">
        <f aca="false">SUMPRODUCT((($B$41:$B$48="Confirmado")+($B$41:$B$48="Em negociação")*Premissas!$B$106)*($F$41:$F$48&lt;=AD$88)*($G$41:$G$48&gt;=AD$88)*$E$41:$E$48)</f>
        <v>5000</v>
      </c>
      <c r="AE98" s="153" t="n">
        <f aca="false">SUMPRODUCT((($B$41:$B$48="Confirmado")+($B$41:$B$48="Em negociação")*Premissas!$B$106)*($F$41:$F$48&lt;=AE$88)*($G$41:$G$48&gt;=AE$88)*$E$41:$E$48)</f>
        <v>5000</v>
      </c>
      <c r="AF98" s="153" t="n">
        <f aca="false">SUMPRODUCT((($B$41:$B$48="Confirmado")+($B$41:$B$48="Em negociação")*Premissas!$B$106)*($F$41:$F$48&lt;=AF$88)*($G$41:$G$48&gt;=AF$88)*$E$41:$E$48)</f>
        <v>5000</v>
      </c>
      <c r="AG98" s="153" t="n">
        <f aca="false">SUMPRODUCT((($B$41:$B$48="Confirmado")+($B$41:$B$48="Em negociação")*Premissas!$B$106)*($F$41:$F$48&lt;=AG$88)*($G$41:$G$48&gt;=AG$88)*$E$41:$E$48)</f>
        <v>5000</v>
      </c>
      <c r="AH98" s="153" t="n">
        <f aca="false">SUMPRODUCT((($B$41:$B$48="Confirmado")+($B$41:$B$48="Em negociação")*Premissas!$B$106)*($F$41:$F$48&lt;=AH$88)*($G$41:$G$48&gt;=AH$88)*$E$41:$E$48)</f>
        <v>5000</v>
      </c>
      <c r="AI98" s="153" t="n">
        <f aca="false">SUMPRODUCT((($B$41:$B$48="Confirmado")+($B$41:$B$48="Em negociação")*Premissas!$B$106)*($F$41:$F$48&lt;=AI$88)*($G$41:$G$48&gt;=AI$88)*$E$41:$E$48)</f>
        <v>5000</v>
      </c>
      <c r="AJ98" s="153" t="n">
        <f aca="false">SUMPRODUCT((($B$41:$B$48="Confirmado")+($B$41:$B$48="Em negociação")*Premissas!$B$106)*($F$41:$F$48&lt;=AJ$88)*($G$41:$G$48&gt;=AJ$88)*$E$41:$E$48)</f>
        <v>5000</v>
      </c>
      <c r="AK98" s="153" t="n">
        <f aca="false">SUMPRODUCT((($B$41:$B$48="Confirmado")+($B$41:$B$48="Em negociação")*Premissas!$B$106)*($F$41:$F$48&lt;=AK$88)*($G$41:$G$48&gt;=AK$88)*$E$41:$E$48)</f>
        <v>5000</v>
      </c>
      <c r="AL98" s="153" t="n">
        <f aca="false">SUMPRODUCT((($B$41:$B$48="Confirmado")+($B$41:$B$48="Em negociação")*Premissas!$B$106)*($F$41:$F$48&lt;=AL$88)*($G$41:$G$48&gt;=AL$88)*$E$41:$E$48)</f>
        <v>5000</v>
      </c>
      <c r="AM98" s="153" t="n">
        <f aca="false">SUMPRODUCT((($B$41:$B$48="Confirmado")+($B$41:$B$48="Em negociação")*Premissas!$B$106)*($F$41:$F$48&lt;=AM$88)*($G$41:$G$48&gt;=AM$88)*$E$41:$E$48)</f>
        <v>5000</v>
      </c>
      <c r="AN98" s="153" t="n">
        <f aca="false">SUMPRODUCT((($B$41:$B$48="Confirmado")+($B$41:$B$48="Em negociação")*Premissas!$B$106)*($F$41:$F$48&lt;=AN$88)*($G$41:$G$48&gt;=AN$88)*$E$41:$E$48)</f>
        <v>5000</v>
      </c>
      <c r="AO98" s="153" t="n">
        <f aca="false">SUMPRODUCT((($B$41:$B$48="Confirmado")+($B$41:$B$48="Em negociação")*Premissas!$B$106)*($F$41:$F$48&lt;=AO$88)*($G$41:$G$48&gt;=AO$88)*$E$41:$E$48)</f>
        <v>5000</v>
      </c>
      <c r="AP98" s="153" t="n">
        <f aca="false">SUMPRODUCT((($B$41:$B$48="Confirmado")+($B$41:$B$48="Em negociação")*Premissas!$B$106)*($F$41:$F$48&lt;=AP$88)*($G$41:$G$48&gt;=AP$88)*$E$41:$E$48)</f>
        <v>5000</v>
      </c>
      <c r="AQ98" s="153" t="n">
        <f aca="false">SUMPRODUCT((($B$41:$B$48="Confirmado")+($B$41:$B$48="Em negociação")*Premissas!$B$106)*($F$41:$F$48&lt;=AQ$88)*($G$41:$G$48&gt;=AQ$88)*$E$41:$E$48)</f>
        <v>5000</v>
      </c>
      <c r="AR98" s="153" t="n">
        <f aca="false">SUMPRODUCT((($B$41:$B$48="Confirmado")+($B$41:$B$48="Em negociação")*Premissas!$B$106)*($F$41:$F$48&lt;=AR$88)*($G$41:$G$48&gt;=AR$88)*$E$41:$E$48)</f>
        <v>5000</v>
      </c>
      <c r="AS98" s="153" t="n">
        <f aca="false">SUMPRODUCT((($B$41:$B$48="Confirmado")+($B$41:$B$48="Em negociação")*Premissas!$B$106)*($F$41:$F$48&lt;=AS$88)*($G$41:$G$48&gt;=AS$88)*$E$41:$E$48)</f>
        <v>5000</v>
      </c>
      <c r="AT98" s="153" t="n">
        <f aca="false">SUMPRODUCT((($B$41:$B$48="Confirmado")+($B$41:$B$48="Em negociação")*Premissas!$B$106)*($F$41:$F$48&lt;=AT$88)*($G$41:$G$48&gt;=AT$88)*$E$41:$E$48)</f>
        <v>5000</v>
      </c>
      <c r="AU98" s="153" t="n">
        <f aca="false">SUMPRODUCT((($B$41:$B$48="Confirmado")+($B$41:$B$48="Em negociação")*Premissas!$B$106)*($F$41:$F$48&lt;=AU$88)*($G$41:$G$48&gt;=AU$88)*$E$41:$E$48)</f>
        <v>5000</v>
      </c>
      <c r="AV98" s="153" t="n">
        <f aca="false">SUMPRODUCT((($B$41:$B$48="Confirmado")+($B$41:$B$48="Em negociação")*Premissas!$B$106)*($F$41:$F$48&lt;=AV$88)*($G$41:$G$48&gt;=AV$88)*$E$41:$E$48)</f>
        <v>5000</v>
      </c>
      <c r="AW98" s="153" t="n">
        <f aca="false">SUMPRODUCT((($B$41:$B$48="Confirmado")+($B$41:$B$48="Em negociação")*Premissas!$B$106)*($F$41:$F$48&lt;=AW$88)*($G$41:$G$48&gt;=AW$88)*$E$41:$E$48)</f>
        <v>5000</v>
      </c>
      <c r="AX98" s="153" t="n">
        <f aca="false">SUMPRODUCT((($B$41:$B$48="Confirmado")+($B$41:$B$48="Em negociação")*Premissas!$B$106)*($F$41:$F$48&lt;=AX$88)*($G$41:$G$48&gt;=AX$88)*$E$41:$E$48)</f>
        <v>5000</v>
      </c>
      <c r="AY98" s="153" t="n">
        <f aca="false">SUMPRODUCT((($B$41:$B$48="Confirmado")+($B$41:$B$48="Em negociação")*Premissas!$B$106)*($F$41:$F$48&lt;=AY$88)*($G$41:$G$48&gt;=AY$88)*$E$41:$E$48)</f>
        <v>5000</v>
      </c>
      <c r="AZ98" s="153" t="n">
        <f aca="false">SUMPRODUCT((($B$41:$B$48="Confirmado")+($B$41:$B$48="Em negociação")*Premissas!$B$106)*($F$41:$F$48&lt;=AZ$88)*($G$41:$G$48&gt;=AZ$88)*$E$41:$E$48)</f>
        <v>5000</v>
      </c>
      <c r="BA98" s="153" t="n">
        <f aca="false">SUMPRODUCT((($B$41:$B$48="Confirmado")+($B$41:$B$48="Em negociação")*Premissas!$B$106)*($F$41:$F$48&lt;=BA$88)*($G$41:$G$48&gt;=BA$88)*$E$41:$E$48)</f>
        <v>5000</v>
      </c>
      <c r="BB98" s="153" t="n">
        <f aca="false">SUMPRODUCT((($B$41:$B$48="Confirmado")+($B$41:$B$48="Em negociação")*Premissas!$B$106)*($F$41:$F$48&lt;=BB$88)*($G$41:$G$48&gt;=BB$88)*$E$41:$E$48)</f>
        <v>5000</v>
      </c>
      <c r="BC98" s="153" t="n">
        <f aca="false">SUMPRODUCT((($B$41:$B$48="Confirmado")+($B$41:$B$48="Em negociação")*Premissas!$B$106)*($F$41:$F$48&lt;=BC$88)*($G$41:$G$48&gt;=BC$88)*$E$41:$E$48)</f>
        <v>5000</v>
      </c>
      <c r="BD98" s="153" t="n">
        <f aca="false">SUMPRODUCT((($B$41:$B$48="Confirmado")+($B$41:$B$48="Em negociação")*Premissas!$B$106)*($F$41:$F$48&lt;=BD$88)*($G$41:$G$48&gt;=BD$88)*$E$41:$E$48)</f>
        <v>5000</v>
      </c>
      <c r="BE98" s="153" t="n">
        <f aca="false">SUMPRODUCT((($B$41:$B$48="Confirmado")+($B$41:$B$48="Em negociação")*Premissas!$B$106)*($F$41:$F$48&lt;=BE$88)*($G$41:$G$48&gt;=BE$88)*$E$41:$E$48)</f>
        <v>5000</v>
      </c>
      <c r="BF98" s="153" t="n">
        <f aca="false">SUMPRODUCT((($B$41:$B$48="Confirmado")+($B$41:$B$48="Em negociação")*Premissas!$B$106)*($F$41:$F$48&lt;=BF$88)*($G$41:$G$48&gt;=BF$88)*$E$41:$E$48)</f>
        <v>5000</v>
      </c>
      <c r="BG98" s="153" t="n">
        <f aca="false">SUMPRODUCT((($B$41:$B$48="Confirmado")+($B$41:$B$48="Em negociação")*Premissas!$B$106)*($F$41:$F$48&lt;=BG$88)*($G$41:$G$48&gt;=BG$88)*$E$41:$E$48)</f>
        <v>5000</v>
      </c>
      <c r="BH98" s="153" t="n">
        <f aca="false">SUMPRODUCT((($B$41:$B$48="Confirmado")+($B$41:$B$48="Em negociação")*Premissas!$B$106)*($F$41:$F$48&lt;=BH$88)*($G$41:$G$48&gt;=BH$88)*$E$41:$E$48)</f>
        <v>5000</v>
      </c>
      <c r="BI98" s="153" t="n">
        <f aca="false">SUMPRODUCT((($B$41:$B$48="Confirmado")+($B$41:$B$48="Em negociação")*Premissas!$B$106)*($F$41:$F$48&lt;=BI$88)*($G$41:$G$48&gt;=BI$88)*$E$41:$E$48)</f>
        <v>5000</v>
      </c>
      <c r="BJ98" s="154" t="n">
        <f aca="false">SUM(B98:BI98)</f>
        <v>230000</v>
      </c>
      <c r="BK98" s="51" t="s">
        <v>627</v>
      </c>
    </row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mergeCells count="34">
    <mergeCell ref="A3:J3"/>
    <mergeCell ref="F5:H5"/>
    <mergeCell ref="F6:H6"/>
    <mergeCell ref="F7:H7"/>
    <mergeCell ref="F8:H8"/>
    <mergeCell ref="F9:H9"/>
    <mergeCell ref="F10:H10"/>
    <mergeCell ref="F11:H11"/>
    <mergeCell ref="F12:I12"/>
    <mergeCell ref="F13:I13"/>
    <mergeCell ref="F14:I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A39:H39"/>
    <mergeCell ref="A69:H69"/>
  </mergeCells>
  <dataValidations count="3">
    <dataValidation allowBlank="true" errorStyle="stop" operator="between" showDropDown="false" showErrorMessage="false" showInputMessage="false" sqref="D6:D35" type="list">
      <formula1>"Realizado,Compromisso,Previsto,Em negociação"</formula1>
      <formula2>0</formula2>
    </dataValidation>
    <dataValidation allowBlank="true" errorStyle="stop" operator="between" showDropDown="false" showErrorMessage="false" showInputMessage="false" sqref="E6:E35" type="list">
      <formula1>"Fundador,Novo sócio,Investidor estratégico"</formula1>
      <formula2>0</formula2>
    </dataValidation>
    <dataValidation allowBlank="true" errorStyle="stop" operator="between" showDropDown="false" showErrorMessage="false" showInputMessage="false" sqref="B41:B48" type="list">
      <formula1>"Confirmado,Em negociação"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B21" activeCellId="0" sqref="B21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42.14"/>
    <col collapsed="false" customWidth="true" hidden="false" outlineLevel="0" max="2" min="2" style="37" width="56"/>
    <col collapsed="false" customWidth="true" hidden="false" outlineLevel="0" max="3" min="3" style="37" width="20"/>
    <col collapsed="false" customWidth="true" hidden="false" outlineLevel="0" max="4" min="4" style="37" width="16"/>
    <col collapsed="false" customWidth="true" hidden="false" outlineLevel="0" max="5" min="5" style="37" width="14"/>
    <col collapsed="false" customWidth="true" hidden="false" outlineLevel="0" max="61" min="6" style="37" width="11"/>
    <col collapsed="false" customWidth="true" hidden="false" outlineLevel="0" max="62" min="62" style="37" width="15"/>
    <col collapsed="false" customWidth="true" hidden="false" outlineLevel="0" max="63" min="63" style="37" width="34"/>
  </cols>
  <sheetData>
    <row r="1" customFormat="false" ht="25.5" hidden="false" customHeight="true" outlineLevel="0" collapsed="false">
      <c r="A1" s="38" t="s">
        <v>628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customFormat="false" ht="15.75" hidden="false" customHeight="true" outlineLevel="0" collapsed="false">
      <c r="A2" s="40" t="s">
        <v>629</v>
      </c>
    </row>
    <row r="3" customFormat="false" ht="30" hidden="false" customHeight="true" outlineLevel="0" collapsed="false">
      <c r="A3" s="177" t="s">
        <v>630</v>
      </c>
      <c r="B3" s="177"/>
      <c r="C3" s="177"/>
      <c r="D3" s="177"/>
      <c r="E3" s="177"/>
      <c r="F3" s="177"/>
      <c r="G3" s="177"/>
      <c r="H3" s="177"/>
      <c r="I3" s="177"/>
      <c r="J3" s="177"/>
    </row>
    <row r="4" customFormat="false" ht="18" hidden="false" customHeight="true" outlineLevel="0" collapsed="false">
      <c r="A4" s="47" t="s">
        <v>631</v>
      </c>
      <c r="B4" s="48"/>
      <c r="C4" s="48"/>
      <c r="D4" s="48"/>
      <c r="E4" s="48"/>
      <c r="F4" s="48"/>
    </row>
    <row r="5" customFormat="false" ht="15" hidden="false" customHeight="true" outlineLevel="0" collapsed="false">
      <c r="A5" s="106" t="s">
        <v>570</v>
      </c>
      <c r="B5" s="106" t="s">
        <v>632</v>
      </c>
      <c r="C5" s="106" t="s">
        <v>327</v>
      </c>
      <c r="D5" s="106" t="s">
        <v>330</v>
      </c>
      <c r="E5" s="106" t="s">
        <v>328</v>
      </c>
    </row>
    <row r="6" customFormat="false" ht="15" hidden="false" customHeight="true" outlineLevel="0" collapsed="false">
      <c r="A6" s="236" t="n">
        <v>46146</v>
      </c>
      <c r="B6" s="217" t="s">
        <v>633</v>
      </c>
      <c r="C6" s="219" t="s">
        <v>634</v>
      </c>
      <c r="D6" s="237" t="n">
        <v>6000</v>
      </c>
      <c r="E6" s="219" t="s">
        <v>635</v>
      </c>
    </row>
    <row r="7" customFormat="false" ht="15" hidden="false" customHeight="true" outlineLevel="0" collapsed="false">
      <c r="A7" s="238" t="n">
        <v>46254</v>
      </c>
      <c r="B7" s="178" t="s">
        <v>636</v>
      </c>
      <c r="C7" s="179" t="s">
        <v>445</v>
      </c>
      <c r="D7" s="239" t="n">
        <v>9127.82</v>
      </c>
      <c r="E7" s="179" t="s">
        <v>574</v>
      </c>
      <c r="F7" s="51" t="s">
        <v>637</v>
      </c>
    </row>
    <row r="8" customFormat="false" ht="15" hidden="false" customHeight="true" outlineLevel="0" collapsed="false">
      <c r="A8" s="236" t="n">
        <v>46477</v>
      </c>
      <c r="B8" s="217" t="s">
        <v>638</v>
      </c>
      <c r="C8" s="219" t="s">
        <v>639</v>
      </c>
      <c r="D8" s="237" t="n">
        <v>12000</v>
      </c>
      <c r="E8" s="219" t="s">
        <v>635</v>
      </c>
    </row>
    <row r="9" customFormat="false" ht="15" hidden="false" customHeight="true" outlineLevel="0" collapsed="false">
      <c r="A9" s="236" t="n">
        <v>46568</v>
      </c>
      <c r="B9" s="217" t="s">
        <v>640</v>
      </c>
      <c r="C9" s="219" t="s">
        <v>445</v>
      </c>
      <c r="D9" s="237" t="n">
        <v>6000</v>
      </c>
      <c r="E9" s="219" t="s">
        <v>635</v>
      </c>
    </row>
    <row r="10" customFormat="false" ht="15" hidden="false" customHeight="true" outlineLevel="0" collapsed="false">
      <c r="A10" s="236" t="n">
        <v>46934</v>
      </c>
      <c r="B10" s="217" t="s">
        <v>445</v>
      </c>
      <c r="C10" s="219" t="s">
        <v>445</v>
      </c>
      <c r="D10" s="237" t="n">
        <v>15000</v>
      </c>
      <c r="E10" s="219" t="s">
        <v>635</v>
      </c>
    </row>
    <row r="11" customFormat="false" ht="15" hidden="false" customHeight="true" outlineLevel="0" collapsed="false">
      <c r="A11" s="236" t="n">
        <v>47299</v>
      </c>
      <c r="B11" s="217" t="s">
        <v>445</v>
      </c>
      <c r="C11" s="219" t="s">
        <v>445</v>
      </c>
      <c r="D11" s="237" t="n">
        <v>25000</v>
      </c>
      <c r="E11" s="219" t="s">
        <v>635</v>
      </c>
    </row>
    <row r="12" customFormat="false" ht="15" hidden="false" customHeight="true" outlineLevel="0" collapsed="false">
      <c r="A12" s="236" t="n">
        <v>47664</v>
      </c>
      <c r="B12" s="217" t="s">
        <v>445</v>
      </c>
      <c r="C12" s="219" t="s">
        <v>445</v>
      </c>
      <c r="D12" s="237" t="n">
        <v>30000</v>
      </c>
      <c r="E12" s="219" t="s">
        <v>635</v>
      </c>
    </row>
    <row r="13" customFormat="false" ht="15" hidden="false" customHeight="true" outlineLevel="0" collapsed="false">
      <c r="A13" s="236"/>
      <c r="B13" s="217"/>
      <c r="C13" s="219"/>
      <c r="D13" s="237"/>
      <c r="E13" s="219"/>
    </row>
    <row r="14" customFormat="false" ht="15" hidden="false" customHeight="true" outlineLevel="0" collapsed="false">
      <c r="C14" s="199" t="s">
        <v>385</v>
      </c>
      <c r="D14" s="240" t="n">
        <f aca="false">SUM(D6:D13)</f>
        <v>103127.82</v>
      </c>
    </row>
    <row r="16" customFormat="false" ht="15" hidden="false" customHeight="true" outlineLevel="0" collapsed="false">
      <c r="A16" s="144" t="s">
        <v>384</v>
      </c>
      <c r="B16" s="145" t="n">
        <v>46023</v>
      </c>
      <c r="C16" s="145" t="n">
        <v>46054</v>
      </c>
      <c r="D16" s="145" t="n">
        <v>46082</v>
      </c>
      <c r="E16" s="145" t="n">
        <v>46113</v>
      </c>
      <c r="F16" s="145" t="n">
        <v>46143</v>
      </c>
      <c r="G16" s="145" t="n">
        <v>46174</v>
      </c>
      <c r="H16" s="145" t="n">
        <v>46204</v>
      </c>
      <c r="I16" s="145" t="n">
        <v>46235</v>
      </c>
      <c r="J16" s="145" t="n">
        <v>46266</v>
      </c>
      <c r="K16" s="145" t="n">
        <v>46296</v>
      </c>
      <c r="L16" s="145" t="n">
        <v>46327</v>
      </c>
      <c r="M16" s="145" t="n">
        <v>46357</v>
      </c>
      <c r="N16" s="145" t="n">
        <v>46388</v>
      </c>
      <c r="O16" s="145" t="n">
        <v>46419</v>
      </c>
      <c r="P16" s="145" t="n">
        <v>46447</v>
      </c>
      <c r="Q16" s="145" t="n">
        <v>46478</v>
      </c>
      <c r="R16" s="145" t="n">
        <v>46508</v>
      </c>
      <c r="S16" s="145" t="n">
        <v>46539</v>
      </c>
      <c r="T16" s="145" t="n">
        <v>46569</v>
      </c>
      <c r="U16" s="145" t="n">
        <v>46600</v>
      </c>
      <c r="V16" s="145" t="n">
        <v>46631</v>
      </c>
      <c r="W16" s="145" t="n">
        <v>46661</v>
      </c>
      <c r="X16" s="145" t="n">
        <v>46692</v>
      </c>
      <c r="Y16" s="145" t="n">
        <v>46722</v>
      </c>
      <c r="Z16" s="145" t="n">
        <v>46753</v>
      </c>
      <c r="AA16" s="145" t="n">
        <v>46784</v>
      </c>
      <c r="AB16" s="145" t="n">
        <v>46813</v>
      </c>
      <c r="AC16" s="145" t="n">
        <v>46844</v>
      </c>
      <c r="AD16" s="145" t="n">
        <v>46874</v>
      </c>
      <c r="AE16" s="145" t="n">
        <v>46905</v>
      </c>
      <c r="AF16" s="145" t="n">
        <v>46935</v>
      </c>
      <c r="AG16" s="145" t="n">
        <v>46966</v>
      </c>
      <c r="AH16" s="145" t="n">
        <v>46997</v>
      </c>
      <c r="AI16" s="145" t="n">
        <v>47027</v>
      </c>
      <c r="AJ16" s="145" t="n">
        <v>47058</v>
      </c>
      <c r="AK16" s="145" t="n">
        <v>47088</v>
      </c>
      <c r="AL16" s="145" t="n">
        <v>47119</v>
      </c>
      <c r="AM16" s="145" t="n">
        <v>47150</v>
      </c>
      <c r="AN16" s="145" t="n">
        <v>47178</v>
      </c>
      <c r="AO16" s="145" t="n">
        <v>47209</v>
      </c>
      <c r="AP16" s="145" t="n">
        <v>47239</v>
      </c>
      <c r="AQ16" s="145" t="n">
        <v>47270</v>
      </c>
      <c r="AR16" s="145" t="n">
        <v>47300</v>
      </c>
      <c r="AS16" s="145" t="n">
        <v>47331</v>
      </c>
      <c r="AT16" s="145" t="n">
        <v>47362</v>
      </c>
      <c r="AU16" s="145" t="n">
        <v>47392</v>
      </c>
      <c r="AV16" s="145" t="n">
        <v>47423</v>
      </c>
      <c r="AW16" s="145" t="n">
        <v>47453</v>
      </c>
      <c r="AX16" s="145" t="n">
        <v>47484</v>
      </c>
      <c r="AY16" s="145" t="n">
        <v>47515</v>
      </c>
      <c r="AZ16" s="145" t="n">
        <v>47543</v>
      </c>
      <c r="BA16" s="145" t="n">
        <v>47574</v>
      </c>
      <c r="BB16" s="145" t="n">
        <v>47604</v>
      </c>
      <c r="BC16" s="145" t="n">
        <v>47635</v>
      </c>
      <c r="BD16" s="145" t="n">
        <v>47665</v>
      </c>
      <c r="BE16" s="145" t="n">
        <v>47696</v>
      </c>
      <c r="BF16" s="145" t="n">
        <v>47727</v>
      </c>
      <c r="BG16" s="145" t="n">
        <v>47757</v>
      </c>
      <c r="BH16" s="145" t="n">
        <v>47788</v>
      </c>
      <c r="BI16" s="145" t="n">
        <v>47818</v>
      </c>
      <c r="BJ16" s="146" t="s">
        <v>385</v>
      </c>
      <c r="BK16" s="146" t="s">
        <v>386</v>
      </c>
    </row>
    <row r="17" customFormat="false" ht="15" hidden="false" customHeight="true" outlineLevel="0" collapsed="false">
      <c r="A17" s="147" t="s">
        <v>387</v>
      </c>
      <c r="B17" s="148" t="n">
        <v>1</v>
      </c>
      <c r="C17" s="148" t="n">
        <v>2</v>
      </c>
      <c r="D17" s="148" t="n">
        <v>3</v>
      </c>
      <c r="E17" s="148" t="n">
        <v>4</v>
      </c>
      <c r="F17" s="148" t="n">
        <v>5</v>
      </c>
      <c r="G17" s="148" t="n">
        <v>6</v>
      </c>
      <c r="H17" s="148" t="n">
        <v>7</v>
      </c>
      <c r="I17" s="148" t="n">
        <v>8</v>
      </c>
      <c r="J17" s="148" t="n">
        <v>9</v>
      </c>
      <c r="K17" s="148" t="n">
        <v>10</v>
      </c>
      <c r="L17" s="148" t="n">
        <v>11</v>
      </c>
      <c r="M17" s="148" t="n">
        <v>12</v>
      </c>
      <c r="N17" s="148" t="n">
        <v>13</v>
      </c>
      <c r="O17" s="148" t="n">
        <v>14</v>
      </c>
      <c r="P17" s="148" t="n">
        <v>15</v>
      </c>
      <c r="Q17" s="148" t="n">
        <v>16</v>
      </c>
      <c r="R17" s="148" t="n">
        <v>17</v>
      </c>
      <c r="S17" s="148" t="n">
        <v>18</v>
      </c>
      <c r="T17" s="148" t="n">
        <v>19</v>
      </c>
      <c r="U17" s="148" t="n">
        <v>20</v>
      </c>
      <c r="V17" s="148" t="n">
        <v>21</v>
      </c>
      <c r="W17" s="148" t="n">
        <v>22</v>
      </c>
      <c r="X17" s="148" t="n">
        <v>23</v>
      </c>
      <c r="Y17" s="148" t="n">
        <v>24</v>
      </c>
      <c r="Z17" s="148" t="n">
        <v>25</v>
      </c>
      <c r="AA17" s="148" t="n">
        <v>26</v>
      </c>
      <c r="AB17" s="148" t="n">
        <v>27</v>
      </c>
      <c r="AC17" s="148" t="n">
        <v>28</v>
      </c>
      <c r="AD17" s="148" t="n">
        <v>29</v>
      </c>
      <c r="AE17" s="148" t="n">
        <v>30</v>
      </c>
      <c r="AF17" s="148" t="n">
        <v>31</v>
      </c>
      <c r="AG17" s="148" t="n">
        <v>32</v>
      </c>
      <c r="AH17" s="148" t="n">
        <v>33</v>
      </c>
      <c r="AI17" s="148" t="n">
        <v>34</v>
      </c>
      <c r="AJ17" s="148" t="n">
        <v>35</v>
      </c>
      <c r="AK17" s="148" t="n">
        <v>36</v>
      </c>
      <c r="AL17" s="148" t="n">
        <v>37</v>
      </c>
      <c r="AM17" s="148" t="n">
        <v>38</v>
      </c>
      <c r="AN17" s="148" t="n">
        <v>39</v>
      </c>
      <c r="AO17" s="148" t="n">
        <v>40</v>
      </c>
      <c r="AP17" s="148" t="n">
        <v>41</v>
      </c>
      <c r="AQ17" s="148" t="n">
        <v>42</v>
      </c>
      <c r="AR17" s="148" t="n">
        <v>43</v>
      </c>
      <c r="AS17" s="148" t="n">
        <v>44</v>
      </c>
      <c r="AT17" s="148" t="n">
        <v>45</v>
      </c>
      <c r="AU17" s="148" t="n">
        <v>46</v>
      </c>
      <c r="AV17" s="148" t="n">
        <v>47</v>
      </c>
      <c r="AW17" s="148" t="n">
        <v>48</v>
      </c>
      <c r="AX17" s="148" t="n">
        <v>49</v>
      </c>
      <c r="AY17" s="148" t="n">
        <v>50</v>
      </c>
      <c r="AZ17" s="148" t="n">
        <v>51</v>
      </c>
      <c r="BA17" s="148" t="n">
        <v>52</v>
      </c>
      <c r="BB17" s="148" t="n">
        <v>53</v>
      </c>
      <c r="BC17" s="148" t="n">
        <v>54</v>
      </c>
      <c r="BD17" s="148" t="n">
        <v>55</v>
      </c>
      <c r="BE17" s="148" t="n">
        <v>56</v>
      </c>
      <c r="BF17" s="148" t="n">
        <v>57</v>
      </c>
      <c r="BG17" s="148" t="n">
        <v>58</v>
      </c>
      <c r="BH17" s="148" t="n">
        <v>59</v>
      </c>
      <c r="BI17" s="148" t="n">
        <v>60</v>
      </c>
    </row>
    <row r="18" customFormat="false" ht="15" hidden="false" customHeight="true" outlineLevel="0" collapsed="false">
      <c r="A18" s="147" t="s">
        <v>388</v>
      </c>
      <c r="B18" s="149" t="n">
        <f aca="false">YEAR(B16)</f>
        <v>2026</v>
      </c>
      <c r="C18" s="149" t="n">
        <f aca="false">YEAR(C16)</f>
        <v>2026</v>
      </c>
      <c r="D18" s="149" t="n">
        <f aca="false">YEAR(D16)</f>
        <v>2026</v>
      </c>
      <c r="E18" s="149" t="n">
        <f aca="false">YEAR(E16)</f>
        <v>2026</v>
      </c>
      <c r="F18" s="149" t="n">
        <f aca="false">YEAR(F16)</f>
        <v>2026</v>
      </c>
      <c r="G18" s="149" t="n">
        <f aca="false">YEAR(G16)</f>
        <v>2026</v>
      </c>
      <c r="H18" s="149" t="n">
        <f aca="false">YEAR(H16)</f>
        <v>2026</v>
      </c>
      <c r="I18" s="149" t="n">
        <f aca="false">YEAR(I16)</f>
        <v>2026</v>
      </c>
      <c r="J18" s="149" t="n">
        <f aca="false">YEAR(J16)</f>
        <v>2026</v>
      </c>
      <c r="K18" s="149" t="n">
        <f aca="false">YEAR(K16)</f>
        <v>2026</v>
      </c>
      <c r="L18" s="149" t="n">
        <f aca="false">YEAR(L16)</f>
        <v>2026</v>
      </c>
      <c r="M18" s="149" t="n">
        <f aca="false">YEAR(M16)</f>
        <v>2026</v>
      </c>
      <c r="N18" s="149" t="n">
        <f aca="false">YEAR(N16)</f>
        <v>2027</v>
      </c>
      <c r="O18" s="149" t="n">
        <f aca="false">YEAR(O16)</f>
        <v>2027</v>
      </c>
      <c r="P18" s="149" t="n">
        <f aca="false">YEAR(P16)</f>
        <v>2027</v>
      </c>
      <c r="Q18" s="149" t="n">
        <f aca="false">YEAR(Q16)</f>
        <v>2027</v>
      </c>
      <c r="R18" s="149" t="n">
        <f aca="false">YEAR(R16)</f>
        <v>2027</v>
      </c>
      <c r="S18" s="149" t="n">
        <f aca="false">YEAR(S16)</f>
        <v>2027</v>
      </c>
      <c r="T18" s="149" t="n">
        <f aca="false">YEAR(T16)</f>
        <v>2027</v>
      </c>
      <c r="U18" s="149" t="n">
        <f aca="false">YEAR(U16)</f>
        <v>2027</v>
      </c>
      <c r="V18" s="149" t="n">
        <f aca="false">YEAR(V16)</f>
        <v>2027</v>
      </c>
      <c r="W18" s="149" t="n">
        <f aca="false">YEAR(W16)</f>
        <v>2027</v>
      </c>
      <c r="X18" s="149" t="n">
        <f aca="false">YEAR(X16)</f>
        <v>2027</v>
      </c>
      <c r="Y18" s="149" t="n">
        <f aca="false">YEAR(Y16)</f>
        <v>2027</v>
      </c>
      <c r="Z18" s="149" t="n">
        <f aca="false">YEAR(Z16)</f>
        <v>2028</v>
      </c>
      <c r="AA18" s="149" t="n">
        <f aca="false">YEAR(AA16)</f>
        <v>2028</v>
      </c>
      <c r="AB18" s="149" t="n">
        <f aca="false">YEAR(AB16)</f>
        <v>2028</v>
      </c>
      <c r="AC18" s="149" t="n">
        <f aca="false">YEAR(AC16)</f>
        <v>2028</v>
      </c>
      <c r="AD18" s="149" t="n">
        <f aca="false">YEAR(AD16)</f>
        <v>2028</v>
      </c>
      <c r="AE18" s="149" t="n">
        <f aca="false">YEAR(AE16)</f>
        <v>2028</v>
      </c>
      <c r="AF18" s="149" t="n">
        <f aca="false">YEAR(AF16)</f>
        <v>2028</v>
      </c>
      <c r="AG18" s="149" t="n">
        <f aca="false">YEAR(AG16)</f>
        <v>2028</v>
      </c>
      <c r="AH18" s="149" t="n">
        <f aca="false">YEAR(AH16)</f>
        <v>2028</v>
      </c>
      <c r="AI18" s="149" t="n">
        <f aca="false">YEAR(AI16)</f>
        <v>2028</v>
      </c>
      <c r="AJ18" s="149" t="n">
        <f aca="false">YEAR(AJ16)</f>
        <v>2028</v>
      </c>
      <c r="AK18" s="149" t="n">
        <f aca="false">YEAR(AK16)</f>
        <v>2028</v>
      </c>
      <c r="AL18" s="149" t="n">
        <f aca="false">YEAR(AL16)</f>
        <v>2029</v>
      </c>
      <c r="AM18" s="149" t="n">
        <f aca="false">YEAR(AM16)</f>
        <v>2029</v>
      </c>
      <c r="AN18" s="149" t="n">
        <f aca="false">YEAR(AN16)</f>
        <v>2029</v>
      </c>
      <c r="AO18" s="149" t="n">
        <f aca="false">YEAR(AO16)</f>
        <v>2029</v>
      </c>
      <c r="AP18" s="149" t="n">
        <f aca="false">YEAR(AP16)</f>
        <v>2029</v>
      </c>
      <c r="AQ18" s="149" t="n">
        <f aca="false">YEAR(AQ16)</f>
        <v>2029</v>
      </c>
      <c r="AR18" s="149" t="n">
        <f aca="false">YEAR(AR16)</f>
        <v>2029</v>
      </c>
      <c r="AS18" s="149" t="n">
        <f aca="false">YEAR(AS16)</f>
        <v>2029</v>
      </c>
      <c r="AT18" s="149" t="n">
        <f aca="false">YEAR(AT16)</f>
        <v>2029</v>
      </c>
      <c r="AU18" s="149" t="n">
        <f aca="false">YEAR(AU16)</f>
        <v>2029</v>
      </c>
      <c r="AV18" s="149" t="n">
        <f aca="false">YEAR(AV16)</f>
        <v>2029</v>
      </c>
      <c r="AW18" s="149" t="n">
        <f aca="false">YEAR(AW16)</f>
        <v>2029</v>
      </c>
      <c r="AX18" s="149" t="n">
        <f aca="false">YEAR(AX16)</f>
        <v>2030</v>
      </c>
      <c r="AY18" s="149" t="n">
        <f aca="false">YEAR(AY16)</f>
        <v>2030</v>
      </c>
      <c r="AZ18" s="149" t="n">
        <f aca="false">YEAR(AZ16)</f>
        <v>2030</v>
      </c>
      <c r="BA18" s="149" t="n">
        <f aca="false">YEAR(BA16)</f>
        <v>2030</v>
      </c>
      <c r="BB18" s="149" t="n">
        <f aca="false">YEAR(BB16)</f>
        <v>2030</v>
      </c>
      <c r="BC18" s="149" t="n">
        <f aca="false">YEAR(BC16)</f>
        <v>2030</v>
      </c>
      <c r="BD18" s="149" t="n">
        <f aca="false">YEAR(BD16)</f>
        <v>2030</v>
      </c>
      <c r="BE18" s="149" t="n">
        <f aca="false">YEAR(BE16)</f>
        <v>2030</v>
      </c>
      <c r="BF18" s="149" t="n">
        <f aca="false">YEAR(BF16)</f>
        <v>2030</v>
      </c>
      <c r="BG18" s="149" t="n">
        <f aca="false">YEAR(BG16)</f>
        <v>2030</v>
      </c>
      <c r="BH18" s="149" t="n">
        <f aca="false">YEAR(BH16)</f>
        <v>2030</v>
      </c>
      <c r="BI18" s="149" t="n">
        <f aca="false">YEAR(BI16)</f>
        <v>2030</v>
      </c>
    </row>
    <row r="20" customFormat="false" ht="18" hidden="false" customHeight="true" outlineLevel="0" collapsed="false">
      <c r="A20" s="47" t="s">
        <v>641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</row>
    <row r="21" customFormat="false" ht="15.75" hidden="false" customHeight="true" outlineLevel="0" collapsed="false">
      <c r="A21" s="49" t="s">
        <v>445</v>
      </c>
      <c r="B21" s="168" t="n">
        <f aca="false">SUMIFS($D$6:$D$13,$C$6:$C$13,"Equipamentos",$A$6:$A$13,"&gt;="&amp;B$16,$A$6:$A$13,"&lt;="&amp;EOMONTH(B$16,0))</f>
        <v>0</v>
      </c>
      <c r="C21" s="168" t="n">
        <f aca="false">SUMIFS($D$6:$D$13,$C$6:$C$13,"Equipamentos",$A$6:$A$13,"&gt;="&amp;C$16,$A$6:$A$13,"&lt;="&amp;EOMONTH(C$16,0))</f>
        <v>0</v>
      </c>
      <c r="D21" s="168" t="n">
        <f aca="false">SUMIFS($D$6:$D$13,$C$6:$C$13,"Equipamentos",$A$6:$A$13,"&gt;="&amp;D$16,$A$6:$A$13,"&lt;="&amp;EOMONTH(D$16,0))</f>
        <v>0</v>
      </c>
      <c r="E21" s="168" t="n">
        <f aca="false">SUMIFS($D$6:$D$13,$C$6:$C$13,"Equipamentos",$A$6:$A$13,"&gt;="&amp;E$16,$A$6:$A$13,"&lt;="&amp;EOMONTH(E$16,0))</f>
        <v>0</v>
      </c>
      <c r="F21" s="168" t="n">
        <f aca="false">SUMIFS($D$6:$D$13,$C$6:$C$13,"Equipamentos",$A$6:$A$13,"&gt;="&amp;F$16,$A$6:$A$13,"&lt;="&amp;EOMONTH(F$16,0))</f>
        <v>0</v>
      </c>
      <c r="G21" s="168" t="n">
        <f aca="false">SUMIFS($D$6:$D$13,$C$6:$C$13,"Equipamentos",$A$6:$A$13,"&gt;="&amp;G$16,$A$6:$A$13,"&lt;="&amp;EOMONTH(G$16,0))</f>
        <v>0</v>
      </c>
      <c r="H21" s="168" t="n">
        <f aca="false">SUMIFS($D$6:$D$13,$C$6:$C$13,"Equipamentos",$A$6:$A$13,"&gt;="&amp;H$16,$A$6:$A$13,"&lt;="&amp;EOMONTH(H$16,0))</f>
        <v>0</v>
      </c>
      <c r="I21" s="168" t="n">
        <f aca="false">SUMIFS($D$6:$D$13,$C$6:$C$13,"Equipamentos",$A$6:$A$13,"&gt;="&amp;I$16,$A$6:$A$13,"&lt;="&amp;EOMONTH(I$16,0))</f>
        <v>9127.82</v>
      </c>
      <c r="J21" s="168" t="n">
        <f aca="false">SUMIFS($D$6:$D$13,$C$6:$C$13,"Equipamentos",$A$6:$A$13,"&gt;="&amp;J$16,$A$6:$A$13,"&lt;="&amp;EOMONTH(J$16,0))</f>
        <v>0</v>
      </c>
      <c r="K21" s="168" t="n">
        <f aca="false">SUMIFS($D$6:$D$13,$C$6:$C$13,"Equipamentos",$A$6:$A$13,"&gt;="&amp;K$16,$A$6:$A$13,"&lt;="&amp;EOMONTH(K$16,0))</f>
        <v>0</v>
      </c>
      <c r="L21" s="168" t="n">
        <f aca="false">SUMIFS($D$6:$D$13,$C$6:$C$13,"Equipamentos",$A$6:$A$13,"&gt;="&amp;L$16,$A$6:$A$13,"&lt;="&amp;EOMONTH(L$16,0))</f>
        <v>0</v>
      </c>
      <c r="M21" s="168" t="n">
        <f aca="false">SUMIFS($D$6:$D$13,$C$6:$C$13,"Equipamentos",$A$6:$A$13,"&gt;="&amp;M$16,$A$6:$A$13,"&lt;="&amp;EOMONTH(M$16,0))</f>
        <v>0</v>
      </c>
      <c r="N21" s="168" t="n">
        <f aca="false">SUMIFS($D$6:$D$13,$C$6:$C$13,"Equipamentos",$A$6:$A$13,"&gt;="&amp;N$16,$A$6:$A$13,"&lt;="&amp;EOMONTH(N$16,0))</f>
        <v>0</v>
      </c>
      <c r="O21" s="168" t="n">
        <f aca="false">SUMIFS($D$6:$D$13,$C$6:$C$13,"Equipamentos",$A$6:$A$13,"&gt;="&amp;O$16,$A$6:$A$13,"&lt;="&amp;EOMONTH(O$16,0))</f>
        <v>0</v>
      </c>
      <c r="P21" s="168" t="n">
        <f aca="false">SUMIFS($D$6:$D$13,$C$6:$C$13,"Equipamentos",$A$6:$A$13,"&gt;="&amp;P$16,$A$6:$A$13,"&lt;="&amp;EOMONTH(P$16,0))</f>
        <v>0</v>
      </c>
      <c r="Q21" s="168" t="n">
        <f aca="false">SUMIFS($D$6:$D$13,$C$6:$C$13,"Equipamentos",$A$6:$A$13,"&gt;="&amp;Q$16,$A$6:$A$13,"&lt;="&amp;EOMONTH(Q$16,0))</f>
        <v>0</v>
      </c>
      <c r="R21" s="168" t="n">
        <f aca="false">SUMIFS($D$6:$D$13,$C$6:$C$13,"Equipamentos",$A$6:$A$13,"&gt;="&amp;R$16,$A$6:$A$13,"&lt;="&amp;EOMONTH(R$16,0))</f>
        <v>0</v>
      </c>
      <c r="S21" s="168" t="n">
        <f aca="false">SUMIFS($D$6:$D$13,$C$6:$C$13,"Equipamentos",$A$6:$A$13,"&gt;="&amp;S$16,$A$6:$A$13,"&lt;="&amp;EOMONTH(S$16,0))</f>
        <v>6000</v>
      </c>
      <c r="T21" s="168" t="n">
        <f aca="false">SUMIFS($D$6:$D$13,$C$6:$C$13,"Equipamentos",$A$6:$A$13,"&gt;="&amp;T$16,$A$6:$A$13,"&lt;="&amp;EOMONTH(T$16,0))</f>
        <v>0</v>
      </c>
      <c r="U21" s="168" t="n">
        <f aca="false">SUMIFS($D$6:$D$13,$C$6:$C$13,"Equipamentos",$A$6:$A$13,"&gt;="&amp;U$16,$A$6:$A$13,"&lt;="&amp;EOMONTH(U$16,0))</f>
        <v>0</v>
      </c>
      <c r="V21" s="168" t="n">
        <f aca="false">SUMIFS($D$6:$D$13,$C$6:$C$13,"Equipamentos",$A$6:$A$13,"&gt;="&amp;V$16,$A$6:$A$13,"&lt;="&amp;EOMONTH(V$16,0))</f>
        <v>0</v>
      </c>
      <c r="W21" s="168" t="n">
        <f aca="false">SUMIFS($D$6:$D$13,$C$6:$C$13,"Equipamentos",$A$6:$A$13,"&gt;="&amp;W$16,$A$6:$A$13,"&lt;="&amp;EOMONTH(W$16,0))</f>
        <v>0</v>
      </c>
      <c r="X21" s="168" t="n">
        <f aca="false">SUMIFS($D$6:$D$13,$C$6:$C$13,"Equipamentos",$A$6:$A$13,"&gt;="&amp;X$16,$A$6:$A$13,"&lt;="&amp;EOMONTH(X$16,0))</f>
        <v>0</v>
      </c>
      <c r="Y21" s="168" t="n">
        <f aca="false">SUMIFS($D$6:$D$13,$C$6:$C$13,"Equipamentos",$A$6:$A$13,"&gt;="&amp;Y$16,$A$6:$A$13,"&lt;="&amp;EOMONTH(Y$16,0))</f>
        <v>0</v>
      </c>
      <c r="Z21" s="168" t="n">
        <f aca="false">SUMIFS($D$6:$D$13,$C$6:$C$13,"Equipamentos",$A$6:$A$13,"&gt;="&amp;Z$16,$A$6:$A$13,"&lt;="&amp;EOMONTH(Z$16,0))</f>
        <v>0</v>
      </c>
      <c r="AA21" s="168" t="n">
        <f aca="false">SUMIFS($D$6:$D$13,$C$6:$C$13,"Equipamentos",$A$6:$A$13,"&gt;="&amp;AA$16,$A$6:$A$13,"&lt;="&amp;EOMONTH(AA$16,0))</f>
        <v>0</v>
      </c>
      <c r="AB21" s="168" t="n">
        <f aca="false">SUMIFS($D$6:$D$13,$C$6:$C$13,"Equipamentos",$A$6:$A$13,"&gt;="&amp;AB$16,$A$6:$A$13,"&lt;="&amp;EOMONTH(AB$16,0))</f>
        <v>0</v>
      </c>
      <c r="AC21" s="168" t="n">
        <f aca="false">SUMIFS($D$6:$D$13,$C$6:$C$13,"Equipamentos",$A$6:$A$13,"&gt;="&amp;AC$16,$A$6:$A$13,"&lt;="&amp;EOMONTH(AC$16,0))</f>
        <v>0</v>
      </c>
      <c r="AD21" s="168" t="n">
        <f aca="false">SUMIFS($D$6:$D$13,$C$6:$C$13,"Equipamentos",$A$6:$A$13,"&gt;="&amp;AD$16,$A$6:$A$13,"&lt;="&amp;EOMONTH(AD$16,0))</f>
        <v>0</v>
      </c>
      <c r="AE21" s="168" t="n">
        <f aca="false">SUMIFS($D$6:$D$13,$C$6:$C$13,"Equipamentos",$A$6:$A$13,"&gt;="&amp;AE$16,$A$6:$A$13,"&lt;="&amp;EOMONTH(AE$16,0))</f>
        <v>15000</v>
      </c>
      <c r="AF21" s="168" t="n">
        <f aca="false">SUMIFS($D$6:$D$13,$C$6:$C$13,"Equipamentos",$A$6:$A$13,"&gt;="&amp;AF$16,$A$6:$A$13,"&lt;="&amp;EOMONTH(AF$16,0))</f>
        <v>0</v>
      </c>
      <c r="AG21" s="168" t="n">
        <f aca="false">SUMIFS($D$6:$D$13,$C$6:$C$13,"Equipamentos",$A$6:$A$13,"&gt;="&amp;AG$16,$A$6:$A$13,"&lt;="&amp;EOMONTH(AG$16,0))</f>
        <v>0</v>
      </c>
      <c r="AH21" s="168" t="n">
        <f aca="false">SUMIFS($D$6:$D$13,$C$6:$C$13,"Equipamentos",$A$6:$A$13,"&gt;="&amp;AH$16,$A$6:$A$13,"&lt;="&amp;EOMONTH(AH$16,0))</f>
        <v>0</v>
      </c>
      <c r="AI21" s="168" t="n">
        <f aca="false">SUMIFS($D$6:$D$13,$C$6:$C$13,"Equipamentos",$A$6:$A$13,"&gt;="&amp;AI$16,$A$6:$A$13,"&lt;="&amp;EOMONTH(AI$16,0))</f>
        <v>0</v>
      </c>
      <c r="AJ21" s="168" t="n">
        <f aca="false">SUMIFS($D$6:$D$13,$C$6:$C$13,"Equipamentos",$A$6:$A$13,"&gt;="&amp;AJ$16,$A$6:$A$13,"&lt;="&amp;EOMONTH(AJ$16,0))</f>
        <v>0</v>
      </c>
      <c r="AK21" s="168" t="n">
        <f aca="false">SUMIFS($D$6:$D$13,$C$6:$C$13,"Equipamentos",$A$6:$A$13,"&gt;="&amp;AK$16,$A$6:$A$13,"&lt;="&amp;EOMONTH(AK$16,0))</f>
        <v>0</v>
      </c>
      <c r="AL21" s="168" t="n">
        <f aca="false">SUMIFS($D$6:$D$13,$C$6:$C$13,"Equipamentos",$A$6:$A$13,"&gt;="&amp;AL$16,$A$6:$A$13,"&lt;="&amp;EOMONTH(AL$16,0))</f>
        <v>0</v>
      </c>
      <c r="AM21" s="168" t="n">
        <f aca="false">SUMIFS($D$6:$D$13,$C$6:$C$13,"Equipamentos",$A$6:$A$13,"&gt;="&amp;AM$16,$A$6:$A$13,"&lt;="&amp;EOMONTH(AM$16,0))</f>
        <v>0</v>
      </c>
      <c r="AN21" s="168" t="n">
        <f aca="false">SUMIFS($D$6:$D$13,$C$6:$C$13,"Equipamentos",$A$6:$A$13,"&gt;="&amp;AN$16,$A$6:$A$13,"&lt;="&amp;EOMONTH(AN$16,0))</f>
        <v>0</v>
      </c>
      <c r="AO21" s="168" t="n">
        <f aca="false">SUMIFS($D$6:$D$13,$C$6:$C$13,"Equipamentos",$A$6:$A$13,"&gt;="&amp;AO$16,$A$6:$A$13,"&lt;="&amp;EOMONTH(AO$16,0))</f>
        <v>0</v>
      </c>
      <c r="AP21" s="168" t="n">
        <f aca="false">SUMIFS($D$6:$D$13,$C$6:$C$13,"Equipamentos",$A$6:$A$13,"&gt;="&amp;AP$16,$A$6:$A$13,"&lt;="&amp;EOMONTH(AP$16,0))</f>
        <v>0</v>
      </c>
      <c r="AQ21" s="168" t="n">
        <f aca="false">SUMIFS($D$6:$D$13,$C$6:$C$13,"Equipamentos",$A$6:$A$13,"&gt;="&amp;AQ$16,$A$6:$A$13,"&lt;="&amp;EOMONTH(AQ$16,0))</f>
        <v>25000</v>
      </c>
      <c r="AR21" s="168" t="n">
        <f aca="false">SUMIFS($D$6:$D$13,$C$6:$C$13,"Equipamentos",$A$6:$A$13,"&gt;="&amp;AR$16,$A$6:$A$13,"&lt;="&amp;EOMONTH(AR$16,0))</f>
        <v>0</v>
      </c>
      <c r="AS21" s="168" t="n">
        <f aca="false">SUMIFS($D$6:$D$13,$C$6:$C$13,"Equipamentos",$A$6:$A$13,"&gt;="&amp;AS$16,$A$6:$A$13,"&lt;="&amp;EOMONTH(AS$16,0))</f>
        <v>0</v>
      </c>
      <c r="AT21" s="168" t="n">
        <f aca="false">SUMIFS($D$6:$D$13,$C$6:$C$13,"Equipamentos",$A$6:$A$13,"&gt;="&amp;AT$16,$A$6:$A$13,"&lt;="&amp;EOMONTH(AT$16,0))</f>
        <v>0</v>
      </c>
      <c r="AU21" s="168" t="n">
        <f aca="false">SUMIFS($D$6:$D$13,$C$6:$C$13,"Equipamentos",$A$6:$A$13,"&gt;="&amp;AU$16,$A$6:$A$13,"&lt;="&amp;EOMONTH(AU$16,0))</f>
        <v>0</v>
      </c>
      <c r="AV21" s="168" t="n">
        <f aca="false">SUMIFS($D$6:$D$13,$C$6:$C$13,"Equipamentos",$A$6:$A$13,"&gt;="&amp;AV$16,$A$6:$A$13,"&lt;="&amp;EOMONTH(AV$16,0))</f>
        <v>0</v>
      </c>
      <c r="AW21" s="168" t="n">
        <f aca="false">SUMIFS($D$6:$D$13,$C$6:$C$13,"Equipamentos",$A$6:$A$13,"&gt;="&amp;AW$16,$A$6:$A$13,"&lt;="&amp;EOMONTH(AW$16,0))</f>
        <v>0</v>
      </c>
      <c r="AX21" s="168" t="n">
        <f aca="false">SUMIFS($D$6:$D$13,$C$6:$C$13,"Equipamentos",$A$6:$A$13,"&gt;="&amp;AX$16,$A$6:$A$13,"&lt;="&amp;EOMONTH(AX$16,0))</f>
        <v>0</v>
      </c>
      <c r="AY21" s="168" t="n">
        <f aca="false">SUMIFS($D$6:$D$13,$C$6:$C$13,"Equipamentos",$A$6:$A$13,"&gt;="&amp;AY$16,$A$6:$A$13,"&lt;="&amp;EOMONTH(AY$16,0))</f>
        <v>0</v>
      </c>
      <c r="AZ21" s="168" t="n">
        <f aca="false">SUMIFS($D$6:$D$13,$C$6:$C$13,"Equipamentos",$A$6:$A$13,"&gt;="&amp;AZ$16,$A$6:$A$13,"&lt;="&amp;EOMONTH(AZ$16,0))</f>
        <v>0</v>
      </c>
      <c r="BA21" s="168" t="n">
        <f aca="false">SUMIFS($D$6:$D$13,$C$6:$C$13,"Equipamentos",$A$6:$A$13,"&gt;="&amp;BA$16,$A$6:$A$13,"&lt;="&amp;EOMONTH(BA$16,0))</f>
        <v>0</v>
      </c>
      <c r="BB21" s="168" t="n">
        <f aca="false">SUMIFS($D$6:$D$13,$C$6:$C$13,"Equipamentos",$A$6:$A$13,"&gt;="&amp;BB$16,$A$6:$A$13,"&lt;="&amp;EOMONTH(BB$16,0))</f>
        <v>0</v>
      </c>
      <c r="BC21" s="168" t="n">
        <f aca="false">SUMIFS($D$6:$D$13,$C$6:$C$13,"Equipamentos",$A$6:$A$13,"&gt;="&amp;BC$16,$A$6:$A$13,"&lt;="&amp;EOMONTH(BC$16,0))</f>
        <v>30000</v>
      </c>
      <c r="BD21" s="168" t="n">
        <f aca="false">SUMIFS($D$6:$D$13,$C$6:$C$13,"Equipamentos",$A$6:$A$13,"&gt;="&amp;BD$16,$A$6:$A$13,"&lt;="&amp;EOMONTH(BD$16,0))</f>
        <v>0</v>
      </c>
      <c r="BE21" s="168" t="n">
        <f aca="false">SUMIFS($D$6:$D$13,$C$6:$C$13,"Equipamentos",$A$6:$A$13,"&gt;="&amp;BE$16,$A$6:$A$13,"&lt;="&amp;EOMONTH(BE$16,0))</f>
        <v>0</v>
      </c>
      <c r="BF21" s="168" t="n">
        <f aca="false">SUMIFS($D$6:$D$13,$C$6:$C$13,"Equipamentos",$A$6:$A$13,"&gt;="&amp;BF$16,$A$6:$A$13,"&lt;="&amp;EOMONTH(BF$16,0))</f>
        <v>0</v>
      </c>
      <c r="BG21" s="168" t="n">
        <f aca="false">SUMIFS($D$6:$D$13,$C$6:$C$13,"Equipamentos",$A$6:$A$13,"&gt;="&amp;BG$16,$A$6:$A$13,"&lt;="&amp;EOMONTH(BG$16,0))</f>
        <v>0</v>
      </c>
      <c r="BH21" s="168" t="n">
        <f aca="false">SUMIFS($D$6:$D$13,$C$6:$C$13,"Equipamentos",$A$6:$A$13,"&gt;="&amp;BH$16,$A$6:$A$13,"&lt;="&amp;EOMONTH(BH$16,0))</f>
        <v>0</v>
      </c>
      <c r="BI21" s="168" t="n">
        <f aca="false">SUMIFS($D$6:$D$13,$C$6:$C$13,"Equipamentos",$A$6:$A$13,"&gt;="&amp;BI$16,$A$6:$A$13,"&lt;="&amp;EOMONTH(BI$16,0))</f>
        <v>0</v>
      </c>
      <c r="BJ21" s="154" t="n">
        <f aca="false">SUM(B21:BI21)</f>
        <v>85127.82</v>
      </c>
      <c r="BK21" s="155" t="n">
        <f aca="false">IFERROR(BJ21/BJ$25,0)</f>
        <v>0.68580774237395</v>
      </c>
    </row>
    <row r="22" customFormat="false" ht="15.75" hidden="false" customHeight="true" outlineLevel="0" collapsed="false">
      <c r="A22" s="49" t="s">
        <v>634</v>
      </c>
      <c r="B22" s="168" t="n">
        <f aca="false">SUMIFS($D$6:$D$13,$C$6:$C$13,"Marca e jurídico",$A$6:$A$13,"&gt;="&amp;B$16,$A$6:$A$13,"&lt;="&amp;EOMONTH(B$16,0))</f>
        <v>0</v>
      </c>
      <c r="C22" s="168" t="n">
        <f aca="false">SUMIFS($D$6:$D$13,$C$6:$C$13,"Marca e jurídico",$A$6:$A$13,"&gt;="&amp;C$16,$A$6:$A$13,"&lt;="&amp;EOMONTH(C$16,0))</f>
        <v>0</v>
      </c>
      <c r="D22" s="168" t="n">
        <f aca="false">SUMIFS($D$6:$D$13,$C$6:$C$13,"Marca e jurídico",$A$6:$A$13,"&gt;="&amp;D$16,$A$6:$A$13,"&lt;="&amp;EOMONTH(D$16,0))</f>
        <v>0</v>
      </c>
      <c r="E22" s="168" t="n">
        <f aca="false">SUMIFS($D$6:$D$13,$C$6:$C$13,"Marca e jurídico",$A$6:$A$13,"&gt;="&amp;E$16,$A$6:$A$13,"&lt;="&amp;EOMONTH(E$16,0))</f>
        <v>0</v>
      </c>
      <c r="F22" s="168" t="n">
        <f aca="false">SUMIFS($D$6:$D$13,$C$6:$C$13,"Marca e jurídico",$A$6:$A$13,"&gt;="&amp;F$16,$A$6:$A$13,"&lt;="&amp;EOMONTH(F$16,0))</f>
        <v>6000</v>
      </c>
      <c r="G22" s="168" t="n">
        <f aca="false">SUMIFS($D$6:$D$13,$C$6:$C$13,"Marca e jurídico",$A$6:$A$13,"&gt;="&amp;G$16,$A$6:$A$13,"&lt;="&amp;EOMONTH(G$16,0))</f>
        <v>0</v>
      </c>
      <c r="H22" s="168" t="n">
        <f aca="false">SUMIFS($D$6:$D$13,$C$6:$C$13,"Marca e jurídico",$A$6:$A$13,"&gt;="&amp;H$16,$A$6:$A$13,"&lt;="&amp;EOMONTH(H$16,0))</f>
        <v>0</v>
      </c>
      <c r="I22" s="168" t="n">
        <f aca="false">SUMIFS($D$6:$D$13,$C$6:$C$13,"Marca e jurídico",$A$6:$A$13,"&gt;="&amp;I$16,$A$6:$A$13,"&lt;="&amp;EOMONTH(I$16,0))</f>
        <v>0</v>
      </c>
      <c r="J22" s="168" t="n">
        <f aca="false">SUMIFS($D$6:$D$13,$C$6:$C$13,"Marca e jurídico",$A$6:$A$13,"&gt;="&amp;J$16,$A$6:$A$13,"&lt;="&amp;EOMONTH(J$16,0))</f>
        <v>0</v>
      </c>
      <c r="K22" s="168" t="n">
        <f aca="false">SUMIFS($D$6:$D$13,$C$6:$C$13,"Marca e jurídico",$A$6:$A$13,"&gt;="&amp;K$16,$A$6:$A$13,"&lt;="&amp;EOMONTH(K$16,0))</f>
        <v>0</v>
      </c>
      <c r="L22" s="168" t="n">
        <f aca="false">SUMIFS($D$6:$D$13,$C$6:$C$13,"Marca e jurídico",$A$6:$A$13,"&gt;="&amp;L$16,$A$6:$A$13,"&lt;="&amp;EOMONTH(L$16,0))</f>
        <v>0</v>
      </c>
      <c r="M22" s="168" t="n">
        <f aca="false">SUMIFS($D$6:$D$13,$C$6:$C$13,"Marca e jurídico",$A$6:$A$13,"&gt;="&amp;M$16,$A$6:$A$13,"&lt;="&amp;EOMONTH(M$16,0))</f>
        <v>0</v>
      </c>
      <c r="N22" s="168" t="n">
        <f aca="false">SUMIFS($D$6:$D$13,$C$6:$C$13,"Marca e jurídico",$A$6:$A$13,"&gt;="&amp;N$16,$A$6:$A$13,"&lt;="&amp;EOMONTH(N$16,0))</f>
        <v>0</v>
      </c>
      <c r="O22" s="168" t="n">
        <f aca="false">SUMIFS($D$6:$D$13,$C$6:$C$13,"Marca e jurídico",$A$6:$A$13,"&gt;="&amp;O$16,$A$6:$A$13,"&lt;="&amp;EOMONTH(O$16,0))</f>
        <v>0</v>
      </c>
      <c r="P22" s="168" t="n">
        <f aca="false">SUMIFS($D$6:$D$13,$C$6:$C$13,"Marca e jurídico",$A$6:$A$13,"&gt;="&amp;P$16,$A$6:$A$13,"&lt;="&amp;EOMONTH(P$16,0))</f>
        <v>0</v>
      </c>
      <c r="Q22" s="168" t="n">
        <f aca="false">SUMIFS($D$6:$D$13,$C$6:$C$13,"Marca e jurídico",$A$6:$A$13,"&gt;="&amp;Q$16,$A$6:$A$13,"&lt;="&amp;EOMONTH(Q$16,0))</f>
        <v>0</v>
      </c>
      <c r="R22" s="168" t="n">
        <f aca="false">SUMIFS($D$6:$D$13,$C$6:$C$13,"Marca e jurídico",$A$6:$A$13,"&gt;="&amp;R$16,$A$6:$A$13,"&lt;="&amp;EOMONTH(R$16,0))</f>
        <v>0</v>
      </c>
      <c r="S22" s="168" t="n">
        <f aca="false">SUMIFS($D$6:$D$13,$C$6:$C$13,"Marca e jurídico",$A$6:$A$13,"&gt;="&amp;S$16,$A$6:$A$13,"&lt;="&amp;EOMONTH(S$16,0))</f>
        <v>0</v>
      </c>
      <c r="T22" s="168" t="n">
        <f aca="false">SUMIFS($D$6:$D$13,$C$6:$C$13,"Marca e jurídico",$A$6:$A$13,"&gt;="&amp;T$16,$A$6:$A$13,"&lt;="&amp;EOMONTH(T$16,0))</f>
        <v>0</v>
      </c>
      <c r="U22" s="168" t="n">
        <f aca="false">SUMIFS($D$6:$D$13,$C$6:$C$13,"Marca e jurídico",$A$6:$A$13,"&gt;="&amp;U$16,$A$6:$A$13,"&lt;="&amp;EOMONTH(U$16,0))</f>
        <v>0</v>
      </c>
      <c r="V22" s="168" t="n">
        <f aca="false">SUMIFS($D$6:$D$13,$C$6:$C$13,"Marca e jurídico",$A$6:$A$13,"&gt;="&amp;V$16,$A$6:$A$13,"&lt;="&amp;EOMONTH(V$16,0))</f>
        <v>0</v>
      </c>
      <c r="W22" s="168" t="n">
        <f aca="false">SUMIFS($D$6:$D$13,$C$6:$C$13,"Marca e jurídico",$A$6:$A$13,"&gt;="&amp;W$16,$A$6:$A$13,"&lt;="&amp;EOMONTH(W$16,0))</f>
        <v>0</v>
      </c>
      <c r="X22" s="168" t="n">
        <f aca="false">SUMIFS($D$6:$D$13,$C$6:$C$13,"Marca e jurídico",$A$6:$A$13,"&gt;="&amp;X$16,$A$6:$A$13,"&lt;="&amp;EOMONTH(X$16,0))</f>
        <v>0</v>
      </c>
      <c r="Y22" s="168" t="n">
        <f aca="false">SUMIFS($D$6:$D$13,$C$6:$C$13,"Marca e jurídico",$A$6:$A$13,"&gt;="&amp;Y$16,$A$6:$A$13,"&lt;="&amp;EOMONTH(Y$16,0))</f>
        <v>0</v>
      </c>
      <c r="Z22" s="168" t="n">
        <f aca="false">SUMIFS($D$6:$D$13,$C$6:$C$13,"Marca e jurídico",$A$6:$A$13,"&gt;="&amp;Z$16,$A$6:$A$13,"&lt;="&amp;EOMONTH(Z$16,0))</f>
        <v>0</v>
      </c>
      <c r="AA22" s="168" t="n">
        <f aca="false">SUMIFS($D$6:$D$13,$C$6:$C$13,"Marca e jurídico",$A$6:$A$13,"&gt;="&amp;AA$16,$A$6:$A$13,"&lt;="&amp;EOMONTH(AA$16,0))</f>
        <v>0</v>
      </c>
      <c r="AB22" s="168" t="n">
        <f aca="false">SUMIFS($D$6:$D$13,$C$6:$C$13,"Marca e jurídico",$A$6:$A$13,"&gt;="&amp;AB$16,$A$6:$A$13,"&lt;="&amp;EOMONTH(AB$16,0))</f>
        <v>0</v>
      </c>
      <c r="AC22" s="168" t="n">
        <f aca="false">SUMIFS($D$6:$D$13,$C$6:$C$13,"Marca e jurídico",$A$6:$A$13,"&gt;="&amp;AC$16,$A$6:$A$13,"&lt;="&amp;EOMONTH(AC$16,0))</f>
        <v>0</v>
      </c>
      <c r="AD22" s="168" t="n">
        <f aca="false">SUMIFS($D$6:$D$13,$C$6:$C$13,"Marca e jurídico",$A$6:$A$13,"&gt;="&amp;AD$16,$A$6:$A$13,"&lt;="&amp;EOMONTH(AD$16,0))</f>
        <v>0</v>
      </c>
      <c r="AE22" s="168" t="n">
        <f aca="false">SUMIFS($D$6:$D$13,$C$6:$C$13,"Marca e jurídico",$A$6:$A$13,"&gt;="&amp;AE$16,$A$6:$A$13,"&lt;="&amp;EOMONTH(AE$16,0))</f>
        <v>0</v>
      </c>
      <c r="AF22" s="168" t="n">
        <f aca="false">SUMIFS($D$6:$D$13,$C$6:$C$13,"Marca e jurídico",$A$6:$A$13,"&gt;="&amp;AF$16,$A$6:$A$13,"&lt;="&amp;EOMONTH(AF$16,0))</f>
        <v>0</v>
      </c>
      <c r="AG22" s="168" t="n">
        <f aca="false">SUMIFS($D$6:$D$13,$C$6:$C$13,"Marca e jurídico",$A$6:$A$13,"&gt;="&amp;AG$16,$A$6:$A$13,"&lt;="&amp;EOMONTH(AG$16,0))</f>
        <v>0</v>
      </c>
      <c r="AH22" s="168" t="n">
        <f aca="false">SUMIFS($D$6:$D$13,$C$6:$C$13,"Marca e jurídico",$A$6:$A$13,"&gt;="&amp;AH$16,$A$6:$A$13,"&lt;="&amp;EOMONTH(AH$16,0))</f>
        <v>0</v>
      </c>
      <c r="AI22" s="168" t="n">
        <f aca="false">SUMIFS($D$6:$D$13,$C$6:$C$13,"Marca e jurídico",$A$6:$A$13,"&gt;="&amp;AI$16,$A$6:$A$13,"&lt;="&amp;EOMONTH(AI$16,0))</f>
        <v>0</v>
      </c>
      <c r="AJ22" s="168" t="n">
        <f aca="false">SUMIFS($D$6:$D$13,$C$6:$C$13,"Marca e jurídico",$A$6:$A$13,"&gt;="&amp;AJ$16,$A$6:$A$13,"&lt;="&amp;EOMONTH(AJ$16,0))</f>
        <v>0</v>
      </c>
      <c r="AK22" s="168" t="n">
        <f aca="false">SUMIFS($D$6:$D$13,$C$6:$C$13,"Marca e jurídico",$A$6:$A$13,"&gt;="&amp;AK$16,$A$6:$A$13,"&lt;="&amp;EOMONTH(AK$16,0))</f>
        <v>0</v>
      </c>
      <c r="AL22" s="168" t="n">
        <f aca="false">SUMIFS($D$6:$D$13,$C$6:$C$13,"Marca e jurídico",$A$6:$A$13,"&gt;="&amp;AL$16,$A$6:$A$13,"&lt;="&amp;EOMONTH(AL$16,0))</f>
        <v>0</v>
      </c>
      <c r="AM22" s="168" t="n">
        <f aca="false">SUMIFS($D$6:$D$13,$C$6:$C$13,"Marca e jurídico",$A$6:$A$13,"&gt;="&amp;AM$16,$A$6:$A$13,"&lt;="&amp;EOMONTH(AM$16,0))</f>
        <v>0</v>
      </c>
      <c r="AN22" s="168" t="n">
        <f aca="false">SUMIFS($D$6:$D$13,$C$6:$C$13,"Marca e jurídico",$A$6:$A$13,"&gt;="&amp;AN$16,$A$6:$A$13,"&lt;="&amp;EOMONTH(AN$16,0))</f>
        <v>0</v>
      </c>
      <c r="AO22" s="168" t="n">
        <f aca="false">SUMIFS($D$6:$D$13,$C$6:$C$13,"Marca e jurídico",$A$6:$A$13,"&gt;="&amp;AO$16,$A$6:$A$13,"&lt;="&amp;EOMONTH(AO$16,0))</f>
        <v>0</v>
      </c>
      <c r="AP22" s="168" t="n">
        <f aca="false">SUMIFS($D$6:$D$13,$C$6:$C$13,"Marca e jurídico",$A$6:$A$13,"&gt;="&amp;AP$16,$A$6:$A$13,"&lt;="&amp;EOMONTH(AP$16,0))</f>
        <v>0</v>
      </c>
      <c r="AQ22" s="168" t="n">
        <f aca="false">SUMIFS($D$6:$D$13,$C$6:$C$13,"Marca e jurídico",$A$6:$A$13,"&gt;="&amp;AQ$16,$A$6:$A$13,"&lt;="&amp;EOMONTH(AQ$16,0))</f>
        <v>0</v>
      </c>
      <c r="AR22" s="168" t="n">
        <f aca="false">SUMIFS($D$6:$D$13,$C$6:$C$13,"Marca e jurídico",$A$6:$A$13,"&gt;="&amp;AR$16,$A$6:$A$13,"&lt;="&amp;EOMONTH(AR$16,0))</f>
        <v>0</v>
      </c>
      <c r="AS22" s="168" t="n">
        <f aca="false">SUMIFS($D$6:$D$13,$C$6:$C$13,"Marca e jurídico",$A$6:$A$13,"&gt;="&amp;AS$16,$A$6:$A$13,"&lt;="&amp;EOMONTH(AS$16,0))</f>
        <v>0</v>
      </c>
      <c r="AT22" s="168" t="n">
        <f aca="false">SUMIFS($D$6:$D$13,$C$6:$C$13,"Marca e jurídico",$A$6:$A$13,"&gt;="&amp;AT$16,$A$6:$A$13,"&lt;="&amp;EOMONTH(AT$16,0))</f>
        <v>0</v>
      </c>
      <c r="AU22" s="168" t="n">
        <f aca="false">SUMIFS($D$6:$D$13,$C$6:$C$13,"Marca e jurídico",$A$6:$A$13,"&gt;="&amp;AU$16,$A$6:$A$13,"&lt;="&amp;EOMONTH(AU$16,0))</f>
        <v>0</v>
      </c>
      <c r="AV22" s="168" t="n">
        <f aca="false">SUMIFS($D$6:$D$13,$C$6:$C$13,"Marca e jurídico",$A$6:$A$13,"&gt;="&amp;AV$16,$A$6:$A$13,"&lt;="&amp;EOMONTH(AV$16,0))</f>
        <v>0</v>
      </c>
      <c r="AW22" s="168" t="n">
        <f aca="false">SUMIFS($D$6:$D$13,$C$6:$C$13,"Marca e jurídico",$A$6:$A$13,"&gt;="&amp;AW$16,$A$6:$A$13,"&lt;="&amp;EOMONTH(AW$16,0))</f>
        <v>0</v>
      </c>
      <c r="AX22" s="168" t="n">
        <f aca="false">SUMIFS($D$6:$D$13,$C$6:$C$13,"Marca e jurídico",$A$6:$A$13,"&gt;="&amp;AX$16,$A$6:$A$13,"&lt;="&amp;EOMONTH(AX$16,0))</f>
        <v>0</v>
      </c>
      <c r="AY22" s="168" t="n">
        <f aca="false">SUMIFS($D$6:$D$13,$C$6:$C$13,"Marca e jurídico",$A$6:$A$13,"&gt;="&amp;AY$16,$A$6:$A$13,"&lt;="&amp;EOMONTH(AY$16,0))</f>
        <v>0</v>
      </c>
      <c r="AZ22" s="168" t="n">
        <f aca="false">SUMIFS($D$6:$D$13,$C$6:$C$13,"Marca e jurídico",$A$6:$A$13,"&gt;="&amp;AZ$16,$A$6:$A$13,"&lt;="&amp;EOMONTH(AZ$16,0))</f>
        <v>0</v>
      </c>
      <c r="BA22" s="168" t="n">
        <f aca="false">SUMIFS($D$6:$D$13,$C$6:$C$13,"Marca e jurídico",$A$6:$A$13,"&gt;="&amp;BA$16,$A$6:$A$13,"&lt;="&amp;EOMONTH(BA$16,0))</f>
        <v>0</v>
      </c>
      <c r="BB22" s="168" t="n">
        <f aca="false">SUMIFS($D$6:$D$13,$C$6:$C$13,"Marca e jurídico",$A$6:$A$13,"&gt;="&amp;BB$16,$A$6:$A$13,"&lt;="&amp;EOMONTH(BB$16,0))</f>
        <v>0</v>
      </c>
      <c r="BC22" s="168" t="n">
        <f aca="false">SUMIFS($D$6:$D$13,$C$6:$C$13,"Marca e jurídico",$A$6:$A$13,"&gt;="&amp;BC$16,$A$6:$A$13,"&lt;="&amp;EOMONTH(BC$16,0))</f>
        <v>0</v>
      </c>
      <c r="BD22" s="168" t="n">
        <f aca="false">SUMIFS($D$6:$D$13,$C$6:$C$13,"Marca e jurídico",$A$6:$A$13,"&gt;="&amp;BD$16,$A$6:$A$13,"&lt;="&amp;EOMONTH(BD$16,0))</f>
        <v>0</v>
      </c>
      <c r="BE22" s="168" t="n">
        <f aca="false">SUMIFS($D$6:$D$13,$C$6:$C$13,"Marca e jurídico",$A$6:$A$13,"&gt;="&amp;BE$16,$A$6:$A$13,"&lt;="&amp;EOMONTH(BE$16,0))</f>
        <v>0</v>
      </c>
      <c r="BF22" s="168" t="n">
        <f aca="false">SUMIFS($D$6:$D$13,$C$6:$C$13,"Marca e jurídico",$A$6:$A$13,"&gt;="&amp;BF$16,$A$6:$A$13,"&lt;="&amp;EOMONTH(BF$16,0))</f>
        <v>0</v>
      </c>
      <c r="BG22" s="168" t="n">
        <f aca="false">SUMIFS($D$6:$D$13,$C$6:$C$13,"Marca e jurídico",$A$6:$A$13,"&gt;="&amp;BG$16,$A$6:$A$13,"&lt;="&amp;EOMONTH(BG$16,0))</f>
        <v>0</v>
      </c>
      <c r="BH22" s="168" t="n">
        <f aca="false">SUMIFS($D$6:$D$13,$C$6:$C$13,"Marca e jurídico",$A$6:$A$13,"&gt;="&amp;BH$16,$A$6:$A$13,"&lt;="&amp;EOMONTH(BH$16,0))</f>
        <v>0</v>
      </c>
      <c r="BI22" s="168" t="n">
        <f aca="false">SUMIFS($D$6:$D$13,$C$6:$C$13,"Marca e jurídico",$A$6:$A$13,"&gt;="&amp;BI$16,$A$6:$A$13,"&lt;="&amp;EOMONTH(BI$16,0))</f>
        <v>0</v>
      </c>
      <c r="BJ22" s="154" t="n">
        <f aca="false">SUM(B22:BI22)</f>
        <v>6000</v>
      </c>
      <c r="BK22" s="155" t="n">
        <f aca="false">IFERROR(BJ22/BJ$25,0)</f>
        <v>0.0483372704040077</v>
      </c>
    </row>
    <row r="23" customFormat="false" ht="15.75" hidden="false" customHeight="true" outlineLevel="0" collapsed="false">
      <c r="A23" s="49" t="s">
        <v>639</v>
      </c>
      <c r="B23" s="168" t="n">
        <f aca="false">SUMIFS($D$6:$D$13,$C$6:$C$13,"Certificações",$A$6:$A$13,"&gt;="&amp;B$16,$A$6:$A$13,"&lt;="&amp;EOMONTH(B$16,0))</f>
        <v>0</v>
      </c>
      <c r="C23" s="168" t="n">
        <f aca="false">SUMIFS($D$6:$D$13,$C$6:$C$13,"Certificações",$A$6:$A$13,"&gt;="&amp;C$16,$A$6:$A$13,"&lt;="&amp;EOMONTH(C$16,0))</f>
        <v>0</v>
      </c>
      <c r="D23" s="168" t="n">
        <f aca="false">SUMIFS($D$6:$D$13,$C$6:$C$13,"Certificações",$A$6:$A$13,"&gt;="&amp;D$16,$A$6:$A$13,"&lt;="&amp;EOMONTH(D$16,0))</f>
        <v>0</v>
      </c>
      <c r="E23" s="168" t="n">
        <f aca="false">SUMIFS($D$6:$D$13,$C$6:$C$13,"Certificações",$A$6:$A$13,"&gt;="&amp;E$16,$A$6:$A$13,"&lt;="&amp;EOMONTH(E$16,0))</f>
        <v>0</v>
      </c>
      <c r="F23" s="168" t="n">
        <f aca="false">SUMIFS($D$6:$D$13,$C$6:$C$13,"Certificações",$A$6:$A$13,"&gt;="&amp;F$16,$A$6:$A$13,"&lt;="&amp;EOMONTH(F$16,0))</f>
        <v>0</v>
      </c>
      <c r="G23" s="168" t="n">
        <f aca="false">SUMIFS($D$6:$D$13,$C$6:$C$13,"Certificações",$A$6:$A$13,"&gt;="&amp;G$16,$A$6:$A$13,"&lt;="&amp;EOMONTH(G$16,0))</f>
        <v>0</v>
      </c>
      <c r="H23" s="168" t="n">
        <f aca="false">SUMIFS($D$6:$D$13,$C$6:$C$13,"Certificações",$A$6:$A$13,"&gt;="&amp;H$16,$A$6:$A$13,"&lt;="&amp;EOMONTH(H$16,0))</f>
        <v>0</v>
      </c>
      <c r="I23" s="168" t="n">
        <f aca="false">SUMIFS($D$6:$D$13,$C$6:$C$13,"Certificações",$A$6:$A$13,"&gt;="&amp;I$16,$A$6:$A$13,"&lt;="&amp;EOMONTH(I$16,0))</f>
        <v>0</v>
      </c>
      <c r="J23" s="168" t="n">
        <f aca="false">SUMIFS($D$6:$D$13,$C$6:$C$13,"Certificações",$A$6:$A$13,"&gt;="&amp;J$16,$A$6:$A$13,"&lt;="&amp;EOMONTH(J$16,0))</f>
        <v>0</v>
      </c>
      <c r="K23" s="168" t="n">
        <f aca="false">SUMIFS($D$6:$D$13,$C$6:$C$13,"Certificações",$A$6:$A$13,"&gt;="&amp;K$16,$A$6:$A$13,"&lt;="&amp;EOMONTH(K$16,0))</f>
        <v>0</v>
      </c>
      <c r="L23" s="168" t="n">
        <f aca="false">SUMIFS($D$6:$D$13,$C$6:$C$13,"Certificações",$A$6:$A$13,"&gt;="&amp;L$16,$A$6:$A$13,"&lt;="&amp;EOMONTH(L$16,0))</f>
        <v>0</v>
      </c>
      <c r="M23" s="168" t="n">
        <f aca="false">SUMIFS($D$6:$D$13,$C$6:$C$13,"Certificações",$A$6:$A$13,"&gt;="&amp;M$16,$A$6:$A$13,"&lt;="&amp;EOMONTH(M$16,0))</f>
        <v>0</v>
      </c>
      <c r="N23" s="168" t="n">
        <f aca="false">SUMIFS($D$6:$D$13,$C$6:$C$13,"Certificações",$A$6:$A$13,"&gt;="&amp;N$16,$A$6:$A$13,"&lt;="&amp;EOMONTH(N$16,0))</f>
        <v>0</v>
      </c>
      <c r="O23" s="168" t="n">
        <f aca="false">SUMIFS($D$6:$D$13,$C$6:$C$13,"Certificações",$A$6:$A$13,"&gt;="&amp;O$16,$A$6:$A$13,"&lt;="&amp;EOMONTH(O$16,0))</f>
        <v>0</v>
      </c>
      <c r="P23" s="168" t="n">
        <f aca="false">SUMIFS($D$6:$D$13,$C$6:$C$13,"Certificações",$A$6:$A$13,"&gt;="&amp;P$16,$A$6:$A$13,"&lt;="&amp;EOMONTH(P$16,0))</f>
        <v>12000</v>
      </c>
      <c r="Q23" s="168" t="n">
        <f aca="false">SUMIFS($D$6:$D$13,$C$6:$C$13,"Certificações",$A$6:$A$13,"&gt;="&amp;Q$16,$A$6:$A$13,"&lt;="&amp;EOMONTH(Q$16,0))</f>
        <v>0</v>
      </c>
      <c r="R23" s="168" t="n">
        <f aca="false">SUMIFS($D$6:$D$13,$C$6:$C$13,"Certificações",$A$6:$A$13,"&gt;="&amp;R$16,$A$6:$A$13,"&lt;="&amp;EOMONTH(R$16,0))</f>
        <v>0</v>
      </c>
      <c r="S23" s="168" t="n">
        <f aca="false">SUMIFS($D$6:$D$13,$C$6:$C$13,"Certificações",$A$6:$A$13,"&gt;="&amp;S$16,$A$6:$A$13,"&lt;="&amp;EOMONTH(S$16,0))</f>
        <v>0</v>
      </c>
      <c r="T23" s="168" t="n">
        <f aca="false">SUMIFS($D$6:$D$13,$C$6:$C$13,"Certificações",$A$6:$A$13,"&gt;="&amp;T$16,$A$6:$A$13,"&lt;="&amp;EOMONTH(T$16,0))</f>
        <v>0</v>
      </c>
      <c r="U23" s="168" t="n">
        <f aca="false">SUMIFS($D$6:$D$13,$C$6:$C$13,"Certificações",$A$6:$A$13,"&gt;="&amp;U$16,$A$6:$A$13,"&lt;="&amp;EOMONTH(U$16,0))</f>
        <v>0</v>
      </c>
      <c r="V23" s="168" t="n">
        <f aca="false">SUMIFS($D$6:$D$13,$C$6:$C$13,"Certificações",$A$6:$A$13,"&gt;="&amp;V$16,$A$6:$A$13,"&lt;="&amp;EOMONTH(V$16,0))</f>
        <v>0</v>
      </c>
      <c r="W23" s="168" t="n">
        <f aca="false">SUMIFS($D$6:$D$13,$C$6:$C$13,"Certificações",$A$6:$A$13,"&gt;="&amp;W$16,$A$6:$A$13,"&lt;="&amp;EOMONTH(W$16,0))</f>
        <v>0</v>
      </c>
      <c r="X23" s="168" t="n">
        <f aca="false">SUMIFS($D$6:$D$13,$C$6:$C$13,"Certificações",$A$6:$A$13,"&gt;="&amp;X$16,$A$6:$A$13,"&lt;="&amp;EOMONTH(X$16,0))</f>
        <v>0</v>
      </c>
      <c r="Y23" s="168" t="n">
        <f aca="false">SUMIFS($D$6:$D$13,$C$6:$C$13,"Certificações",$A$6:$A$13,"&gt;="&amp;Y$16,$A$6:$A$13,"&lt;="&amp;EOMONTH(Y$16,0))</f>
        <v>0</v>
      </c>
      <c r="Z23" s="168" t="n">
        <f aca="false">SUMIFS($D$6:$D$13,$C$6:$C$13,"Certificações",$A$6:$A$13,"&gt;="&amp;Z$16,$A$6:$A$13,"&lt;="&amp;EOMONTH(Z$16,0))</f>
        <v>0</v>
      </c>
      <c r="AA23" s="168" t="n">
        <f aca="false">SUMIFS($D$6:$D$13,$C$6:$C$13,"Certificações",$A$6:$A$13,"&gt;="&amp;AA$16,$A$6:$A$13,"&lt;="&amp;EOMONTH(AA$16,0))</f>
        <v>0</v>
      </c>
      <c r="AB23" s="168" t="n">
        <f aca="false">SUMIFS($D$6:$D$13,$C$6:$C$13,"Certificações",$A$6:$A$13,"&gt;="&amp;AB$16,$A$6:$A$13,"&lt;="&amp;EOMONTH(AB$16,0))</f>
        <v>0</v>
      </c>
      <c r="AC23" s="168" t="n">
        <f aca="false">SUMIFS($D$6:$D$13,$C$6:$C$13,"Certificações",$A$6:$A$13,"&gt;="&amp;AC$16,$A$6:$A$13,"&lt;="&amp;EOMONTH(AC$16,0))</f>
        <v>0</v>
      </c>
      <c r="AD23" s="168" t="n">
        <f aca="false">SUMIFS($D$6:$D$13,$C$6:$C$13,"Certificações",$A$6:$A$13,"&gt;="&amp;AD$16,$A$6:$A$13,"&lt;="&amp;EOMONTH(AD$16,0))</f>
        <v>0</v>
      </c>
      <c r="AE23" s="168" t="n">
        <f aca="false">SUMIFS($D$6:$D$13,$C$6:$C$13,"Certificações",$A$6:$A$13,"&gt;="&amp;AE$16,$A$6:$A$13,"&lt;="&amp;EOMONTH(AE$16,0))</f>
        <v>0</v>
      </c>
      <c r="AF23" s="168" t="n">
        <f aca="false">SUMIFS($D$6:$D$13,$C$6:$C$13,"Certificações",$A$6:$A$13,"&gt;="&amp;AF$16,$A$6:$A$13,"&lt;="&amp;EOMONTH(AF$16,0))</f>
        <v>0</v>
      </c>
      <c r="AG23" s="168" t="n">
        <f aca="false">SUMIFS($D$6:$D$13,$C$6:$C$13,"Certificações",$A$6:$A$13,"&gt;="&amp;AG$16,$A$6:$A$13,"&lt;="&amp;EOMONTH(AG$16,0))</f>
        <v>0</v>
      </c>
      <c r="AH23" s="168" t="n">
        <f aca="false">SUMIFS($D$6:$D$13,$C$6:$C$13,"Certificações",$A$6:$A$13,"&gt;="&amp;AH$16,$A$6:$A$13,"&lt;="&amp;EOMONTH(AH$16,0))</f>
        <v>0</v>
      </c>
      <c r="AI23" s="168" t="n">
        <f aca="false">SUMIFS($D$6:$D$13,$C$6:$C$13,"Certificações",$A$6:$A$13,"&gt;="&amp;AI$16,$A$6:$A$13,"&lt;="&amp;EOMONTH(AI$16,0))</f>
        <v>0</v>
      </c>
      <c r="AJ23" s="168" t="n">
        <f aca="false">SUMIFS($D$6:$D$13,$C$6:$C$13,"Certificações",$A$6:$A$13,"&gt;="&amp;AJ$16,$A$6:$A$13,"&lt;="&amp;EOMONTH(AJ$16,0))</f>
        <v>0</v>
      </c>
      <c r="AK23" s="168" t="n">
        <f aca="false">SUMIFS($D$6:$D$13,$C$6:$C$13,"Certificações",$A$6:$A$13,"&gt;="&amp;AK$16,$A$6:$A$13,"&lt;="&amp;EOMONTH(AK$16,0))</f>
        <v>0</v>
      </c>
      <c r="AL23" s="168" t="n">
        <f aca="false">SUMIFS($D$6:$D$13,$C$6:$C$13,"Certificações",$A$6:$A$13,"&gt;="&amp;AL$16,$A$6:$A$13,"&lt;="&amp;EOMONTH(AL$16,0))</f>
        <v>0</v>
      </c>
      <c r="AM23" s="168" t="n">
        <f aca="false">SUMIFS($D$6:$D$13,$C$6:$C$13,"Certificações",$A$6:$A$13,"&gt;="&amp;AM$16,$A$6:$A$13,"&lt;="&amp;EOMONTH(AM$16,0))</f>
        <v>0</v>
      </c>
      <c r="AN23" s="168" t="n">
        <f aca="false">SUMIFS($D$6:$D$13,$C$6:$C$13,"Certificações",$A$6:$A$13,"&gt;="&amp;AN$16,$A$6:$A$13,"&lt;="&amp;EOMONTH(AN$16,0))</f>
        <v>0</v>
      </c>
      <c r="AO23" s="168" t="n">
        <f aca="false">SUMIFS($D$6:$D$13,$C$6:$C$13,"Certificações",$A$6:$A$13,"&gt;="&amp;AO$16,$A$6:$A$13,"&lt;="&amp;EOMONTH(AO$16,0))</f>
        <v>0</v>
      </c>
      <c r="AP23" s="168" t="n">
        <f aca="false">SUMIFS($D$6:$D$13,$C$6:$C$13,"Certificações",$A$6:$A$13,"&gt;="&amp;AP$16,$A$6:$A$13,"&lt;="&amp;EOMONTH(AP$16,0))</f>
        <v>0</v>
      </c>
      <c r="AQ23" s="168" t="n">
        <f aca="false">SUMIFS($D$6:$D$13,$C$6:$C$13,"Certificações",$A$6:$A$13,"&gt;="&amp;AQ$16,$A$6:$A$13,"&lt;="&amp;EOMONTH(AQ$16,0))</f>
        <v>0</v>
      </c>
      <c r="AR23" s="168" t="n">
        <f aca="false">SUMIFS($D$6:$D$13,$C$6:$C$13,"Certificações",$A$6:$A$13,"&gt;="&amp;AR$16,$A$6:$A$13,"&lt;="&amp;EOMONTH(AR$16,0))</f>
        <v>0</v>
      </c>
      <c r="AS23" s="168" t="n">
        <f aca="false">SUMIFS($D$6:$D$13,$C$6:$C$13,"Certificações",$A$6:$A$13,"&gt;="&amp;AS$16,$A$6:$A$13,"&lt;="&amp;EOMONTH(AS$16,0))</f>
        <v>0</v>
      </c>
      <c r="AT23" s="168" t="n">
        <f aca="false">SUMIFS($D$6:$D$13,$C$6:$C$13,"Certificações",$A$6:$A$13,"&gt;="&amp;AT$16,$A$6:$A$13,"&lt;="&amp;EOMONTH(AT$16,0))</f>
        <v>0</v>
      </c>
      <c r="AU23" s="168" t="n">
        <f aca="false">SUMIFS($D$6:$D$13,$C$6:$C$13,"Certificações",$A$6:$A$13,"&gt;="&amp;AU$16,$A$6:$A$13,"&lt;="&amp;EOMONTH(AU$16,0))</f>
        <v>0</v>
      </c>
      <c r="AV23" s="168" t="n">
        <f aca="false">SUMIFS($D$6:$D$13,$C$6:$C$13,"Certificações",$A$6:$A$13,"&gt;="&amp;AV$16,$A$6:$A$13,"&lt;="&amp;EOMONTH(AV$16,0))</f>
        <v>0</v>
      </c>
      <c r="AW23" s="168" t="n">
        <f aca="false">SUMIFS($D$6:$D$13,$C$6:$C$13,"Certificações",$A$6:$A$13,"&gt;="&amp;AW$16,$A$6:$A$13,"&lt;="&amp;EOMONTH(AW$16,0))</f>
        <v>0</v>
      </c>
      <c r="AX23" s="168" t="n">
        <f aca="false">SUMIFS($D$6:$D$13,$C$6:$C$13,"Certificações",$A$6:$A$13,"&gt;="&amp;AX$16,$A$6:$A$13,"&lt;="&amp;EOMONTH(AX$16,0))</f>
        <v>0</v>
      </c>
      <c r="AY23" s="168" t="n">
        <f aca="false">SUMIFS($D$6:$D$13,$C$6:$C$13,"Certificações",$A$6:$A$13,"&gt;="&amp;AY$16,$A$6:$A$13,"&lt;="&amp;EOMONTH(AY$16,0))</f>
        <v>0</v>
      </c>
      <c r="AZ23" s="168" t="n">
        <f aca="false">SUMIFS($D$6:$D$13,$C$6:$C$13,"Certificações",$A$6:$A$13,"&gt;="&amp;AZ$16,$A$6:$A$13,"&lt;="&amp;EOMONTH(AZ$16,0))</f>
        <v>0</v>
      </c>
      <c r="BA23" s="168" t="n">
        <f aca="false">SUMIFS($D$6:$D$13,$C$6:$C$13,"Certificações",$A$6:$A$13,"&gt;="&amp;BA$16,$A$6:$A$13,"&lt;="&amp;EOMONTH(BA$16,0))</f>
        <v>0</v>
      </c>
      <c r="BB23" s="168" t="n">
        <f aca="false">SUMIFS($D$6:$D$13,$C$6:$C$13,"Certificações",$A$6:$A$13,"&gt;="&amp;BB$16,$A$6:$A$13,"&lt;="&amp;EOMONTH(BB$16,0))</f>
        <v>0</v>
      </c>
      <c r="BC23" s="168" t="n">
        <f aca="false">SUMIFS($D$6:$D$13,$C$6:$C$13,"Certificações",$A$6:$A$13,"&gt;="&amp;BC$16,$A$6:$A$13,"&lt;="&amp;EOMONTH(BC$16,0))</f>
        <v>0</v>
      </c>
      <c r="BD23" s="168" t="n">
        <f aca="false">SUMIFS($D$6:$D$13,$C$6:$C$13,"Certificações",$A$6:$A$13,"&gt;="&amp;BD$16,$A$6:$A$13,"&lt;="&amp;EOMONTH(BD$16,0))</f>
        <v>0</v>
      </c>
      <c r="BE23" s="168" t="n">
        <f aca="false">SUMIFS($D$6:$D$13,$C$6:$C$13,"Certificações",$A$6:$A$13,"&gt;="&amp;BE$16,$A$6:$A$13,"&lt;="&amp;EOMONTH(BE$16,0))</f>
        <v>0</v>
      </c>
      <c r="BF23" s="168" t="n">
        <f aca="false">SUMIFS($D$6:$D$13,$C$6:$C$13,"Certificações",$A$6:$A$13,"&gt;="&amp;BF$16,$A$6:$A$13,"&lt;="&amp;EOMONTH(BF$16,0))</f>
        <v>0</v>
      </c>
      <c r="BG23" s="168" t="n">
        <f aca="false">SUMIFS($D$6:$D$13,$C$6:$C$13,"Certificações",$A$6:$A$13,"&gt;="&amp;BG$16,$A$6:$A$13,"&lt;="&amp;EOMONTH(BG$16,0))</f>
        <v>0</v>
      </c>
      <c r="BH23" s="168" t="n">
        <f aca="false">SUMIFS($D$6:$D$13,$C$6:$C$13,"Certificações",$A$6:$A$13,"&gt;="&amp;BH$16,$A$6:$A$13,"&lt;="&amp;EOMONTH(BH$16,0))</f>
        <v>0</v>
      </c>
      <c r="BI23" s="168" t="n">
        <f aca="false">SUMIFS($D$6:$D$13,$C$6:$C$13,"Certificações",$A$6:$A$13,"&gt;="&amp;BI$16,$A$6:$A$13,"&lt;="&amp;EOMONTH(BI$16,0))</f>
        <v>0</v>
      </c>
      <c r="BJ23" s="154" t="n">
        <f aca="false">SUM(B23:BI23)</f>
        <v>12000</v>
      </c>
      <c r="BK23" s="155" t="n">
        <f aca="false">IFERROR(BJ23/BJ$25,0)</f>
        <v>0.0966745408080155</v>
      </c>
    </row>
    <row r="24" customFormat="false" ht="15.75" hidden="false" customHeight="true" outlineLevel="0" collapsed="false">
      <c r="A24" s="49" t="s">
        <v>444</v>
      </c>
      <c r="B24" s="153" t="n">
        <f aca="false">Pessoas!B46</f>
        <v>0</v>
      </c>
      <c r="C24" s="153" t="n">
        <f aca="false">Pessoas!C46</f>
        <v>0</v>
      </c>
      <c r="D24" s="153" t="n">
        <f aca="false">Pessoas!D46</f>
        <v>0</v>
      </c>
      <c r="E24" s="153" t="n">
        <f aca="false">Pessoas!E46</f>
        <v>0</v>
      </c>
      <c r="F24" s="153" t="n">
        <f aca="false">Pessoas!F46</f>
        <v>0</v>
      </c>
      <c r="G24" s="153" t="n">
        <f aca="false">Pessoas!G46</f>
        <v>0</v>
      </c>
      <c r="H24" s="153" t="n">
        <f aca="false">Pessoas!H46</f>
        <v>0</v>
      </c>
      <c r="I24" s="153" t="n">
        <f aca="false">Pessoas!I46</f>
        <v>0</v>
      </c>
      <c r="J24" s="153" t="n">
        <f aca="false">Pessoas!J46</f>
        <v>10500</v>
      </c>
      <c r="K24" s="153" t="n">
        <f aca="false">Pessoas!K46</f>
        <v>10500</v>
      </c>
      <c r="L24" s="153" t="n">
        <f aca="false">Pessoas!L46</f>
        <v>0</v>
      </c>
      <c r="M24" s="153" t="n">
        <f aca="false">Pessoas!M46</f>
        <v>0</v>
      </c>
      <c r="N24" s="153" t="n">
        <f aca="false">Pessoas!N46</f>
        <v>0</v>
      </c>
      <c r="O24" s="153" t="n">
        <f aca="false">Pessoas!O46</f>
        <v>0</v>
      </c>
      <c r="P24" s="153" t="n">
        <f aca="false">Pessoas!P46</f>
        <v>0</v>
      </c>
      <c r="Q24" s="153" t="n">
        <f aca="false">Pessoas!Q46</f>
        <v>0</v>
      </c>
      <c r="R24" s="153" t="n">
        <f aca="false">Pessoas!R46</f>
        <v>0</v>
      </c>
      <c r="S24" s="153" t="n">
        <f aca="false">Pessoas!S46</f>
        <v>0</v>
      </c>
      <c r="T24" s="153" t="n">
        <f aca="false">Pessoas!T46</f>
        <v>0</v>
      </c>
      <c r="U24" s="153" t="n">
        <f aca="false">Pessoas!U46</f>
        <v>0</v>
      </c>
      <c r="V24" s="153" t="n">
        <f aca="false">Pessoas!V46</f>
        <v>0</v>
      </c>
      <c r="W24" s="153" t="n">
        <f aca="false">Pessoas!W46</f>
        <v>0</v>
      </c>
      <c r="X24" s="153" t="n">
        <f aca="false">Pessoas!X46</f>
        <v>0</v>
      </c>
      <c r="Y24" s="153" t="n">
        <f aca="false">Pessoas!Y46</f>
        <v>0</v>
      </c>
      <c r="Z24" s="153" t="n">
        <f aca="false">Pessoas!Z46</f>
        <v>0</v>
      </c>
      <c r="AA24" s="153" t="n">
        <f aca="false">Pessoas!AA46</f>
        <v>0</v>
      </c>
      <c r="AB24" s="153" t="n">
        <f aca="false">Pessoas!AB46</f>
        <v>0</v>
      </c>
      <c r="AC24" s="153" t="n">
        <f aca="false">Pessoas!AC46</f>
        <v>0</v>
      </c>
      <c r="AD24" s="153" t="n">
        <f aca="false">Pessoas!AD46</f>
        <v>0</v>
      </c>
      <c r="AE24" s="153" t="n">
        <f aca="false">Pessoas!AE46</f>
        <v>0</v>
      </c>
      <c r="AF24" s="153" t="n">
        <f aca="false">Pessoas!AF46</f>
        <v>0</v>
      </c>
      <c r="AG24" s="153" t="n">
        <f aca="false">Pessoas!AG46</f>
        <v>0</v>
      </c>
      <c r="AH24" s="153" t="n">
        <f aca="false">Pessoas!AH46</f>
        <v>0</v>
      </c>
      <c r="AI24" s="153" t="n">
        <f aca="false">Pessoas!AI46</f>
        <v>0</v>
      </c>
      <c r="AJ24" s="153" t="n">
        <f aca="false">Pessoas!AJ46</f>
        <v>0</v>
      </c>
      <c r="AK24" s="153" t="n">
        <f aca="false">Pessoas!AK46</f>
        <v>0</v>
      </c>
      <c r="AL24" s="153" t="n">
        <f aca="false">Pessoas!AL46</f>
        <v>0</v>
      </c>
      <c r="AM24" s="153" t="n">
        <f aca="false">Pessoas!AM46</f>
        <v>0</v>
      </c>
      <c r="AN24" s="153" t="n">
        <f aca="false">Pessoas!AN46</f>
        <v>0</v>
      </c>
      <c r="AO24" s="153" t="n">
        <f aca="false">Pessoas!AO46</f>
        <v>0</v>
      </c>
      <c r="AP24" s="153" t="n">
        <f aca="false">Pessoas!AP46</f>
        <v>0</v>
      </c>
      <c r="AQ24" s="153" t="n">
        <f aca="false">Pessoas!AQ46</f>
        <v>0</v>
      </c>
      <c r="AR24" s="153" t="n">
        <f aca="false">Pessoas!AR46</f>
        <v>0</v>
      </c>
      <c r="AS24" s="153" t="n">
        <f aca="false">Pessoas!AS46</f>
        <v>0</v>
      </c>
      <c r="AT24" s="153" t="n">
        <f aca="false">Pessoas!AT46</f>
        <v>0</v>
      </c>
      <c r="AU24" s="153" t="n">
        <f aca="false">Pessoas!AU46</f>
        <v>0</v>
      </c>
      <c r="AV24" s="153" t="n">
        <f aca="false">Pessoas!AV46</f>
        <v>0</v>
      </c>
      <c r="AW24" s="153" t="n">
        <f aca="false">Pessoas!AW46</f>
        <v>0</v>
      </c>
      <c r="AX24" s="153" t="n">
        <f aca="false">Pessoas!AX46</f>
        <v>0</v>
      </c>
      <c r="AY24" s="153" t="n">
        <f aca="false">Pessoas!AY46</f>
        <v>0</v>
      </c>
      <c r="AZ24" s="153" t="n">
        <f aca="false">Pessoas!AZ46</f>
        <v>0</v>
      </c>
      <c r="BA24" s="153" t="n">
        <f aca="false">Pessoas!BA46</f>
        <v>0</v>
      </c>
      <c r="BB24" s="153" t="n">
        <f aca="false">Pessoas!BB46</f>
        <v>0</v>
      </c>
      <c r="BC24" s="153" t="n">
        <f aca="false">Pessoas!BC46</f>
        <v>0</v>
      </c>
      <c r="BD24" s="153" t="n">
        <f aca="false">Pessoas!BD46</f>
        <v>0</v>
      </c>
      <c r="BE24" s="153" t="n">
        <f aca="false">Pessoas!BE46</f>
        <v>0</v>
      </c>
      <c r="BF24" s="153" t="n">
        <f aca="false">Pessoas!BF46</f>
        <v>0</v>
      </c>
      <c r="BG24" s="153" t="n">
        <f aca="false">Pessoas!BG46</f>
        <v>0</v>
      </c>
      <c r="BH24" s="153" t="n">
        <f aca="false">Pessoas!BH46</f>
        <v>0</v>
      </c>
      <c r="BI24" s="153" t="n">
        <f aca="false">Pessoas!BI46</f>
        <v>0</v>
      </c>
      <c r="BJ24" s="154" t="n">
        <f aca="false">SUM(B24:BI24)</f>
        <v>21000</v>
      </c>
      <c r="BK24" s="241" t="n">
        <f aca="false">IFERROR(BJ24/BJ$25,0)</f>
        <v>0.169180446414027</v>
      </c>
    </row>
    <row r="25" customFormat="false" ht="15.75" hidden="false" customHeight="true" outlineLevel="0" collapsed="false">
      <c r="A25" s="53" t="s">
        <v>642</v>
      </c>
      <c r="B25" s="154" t="n">
        <f aca="false">SUM(B21:B24)</f>
        <v>0</v>
      </c>
      <c r="C25" s="154" t="n">
        <f aca="false">SUM(C21:C24)</f>
        <v>0</v>
      </c>
      <c r="D25" s="154" t="n">
        <f aca="false">SUM(D21:D24)</f>
        <v>0</v>
      </c>
      <c r="E25" s="154" t="n">
        <f aca="false">SUM(E21:E24)</f>
        <v>0</v>
      </c>
      <c r="F25" s="154" t="n">
        <f aca="false">SUM(F21:F24)</f>
        <v>6000</v>
      </c>
      <c r="G25" s="154" t="n">
        <f aca="false">SUM(G21:G24)</f>
        <v>0</v>
      </c>
      <c r="H25" s="154" t="n">
        <f aca="false">SUM(H21:H24)</f>
        <v>0</v>
      </c>
      <c r="I25" s="154" t="n">
        <f aca="false">SUM(I21:I24)</f>
        <v>9127.82</v>
      </c>
      <c r="J25" s="154" t="n">
        <f aca="false">SUM(J21:J24)</f>
        <v>10500</v>
      </c>
      <c r="K25" s="154" t="n">
        <f aca="false">SUM(K21:K24)</f>
        <v>10500</v>
      </c>
      <c r="L25" s="154" t="n">
        <f aca="false">SUM(L21:L24)</f>
        <v>0</v>
      </c>
      <c r="M25" s="154" t="n">
        <f aca="false">SUM(M21:M24)</f>
        <v>0</v>
      </c>
      <c r="N25" s="154" t="n">
        <f aca="false">SUM(N21:N24)</f>
        <v>0</v>
      </c>
      <c r="O25" s="154" t="n">
        <f aca="false">SUM(O21:O24)</f>
        <v>0</v>
      </c>
      <c r="P25" s="154" t="n">
        <f aca="false">SUM(P21:P24)</f>
        <v>12000</v>
      </c>
      <c r="Q25" s="154" t="n">
        <f aca="false">SUM(Q21:Q24)</f>
        <v>0</v>
      </c>
      <c r="R25" s="154" t="n">
        <f aca="false">SUM(R21:R24)</f>
        <v>0</v>
      </c>
      <c r="S25" s="154" t="n">
        <f aca="false">SUM(S21:S24)</f>
        <v>6000</v>
      </c>
      <c r="T25" s="154" t="n">
        <f aca="false">SUM(T21:T24)</f>
        <v>0</v>
      </c>
      <c r="U25" s="154" t="n">
        <f aca="false">SUM(U21:U24)</f>
        <v>0</v>
      </c>
      <c r="V25" s="154" t="n">
        <f aca="false">SUM(V21:V24)</f>
        <v>0</v>
      </c>
      <c r="W25" s="154" t="n">
        <f aca="false">SUM(W21:W24)</f>
        <v>0</v>
      </c>
      <c r="X25" s="154" t="n">
        <f aca="false">SUM(X21:X24)</f>
        <v>0</v>
      </c>
      <c r="Y25" s="154" t="n">
        <f aca="false">SUM(Y21:Y24)</f>
        <v>0</v>
      </c>
      <c r="Z25" s="154" t="n">
        <f aca="false">SUM(Z21:Z24)</f>
        <v>0</v>
      </c>
      <c r="AA25" s="154" t="n">
        <f aca="false">SUM(AA21:AA24)</f>
        <v>0</v>
      </c>
      <c r="AB25" s="154" t="n">
        <f aca="false">SUM(AB21:AB24)</f>
        <v>0</v>
      </c>
      <c r="AC25" s="154" t="n">
        <f aca="false">SUM(AC21:AC24)</f>
        <v>0</v>
      </c>
      <c r="AD25" s="154" t="n">
        <f aca="false">SUM(AD21:AD24)</f>
        <v>0</v>
      </c>
      <c r="AE25" s="154" t="n">
        <f aca="false">SUM(AE21:AE24)</f>
        <v>15000</v>
      </c>
      <c r="AF25" s="154" t="n">
        <f aca="false">SUM(AF21:AF24)</f>
        <v>0</v>
      </c>
      <c r="AG25" s="154" t="n">
        <f aca="false">SUM(AG21:AG24)</f>
        <v>0</v>
      </c>
      <c r="AH25" s="154" t="n">
        <f aca="false">SUM(AH21:AH24)</f>
        <v>0</v>
      </c>
      <c r="AI25" s="154" t="n">
        <f aca="false">SUM(AI21:AI24)</f>
        <v>0</v>
      </c>
      <c r="AJ25" s="154" t="n">
        <f aca="false">SUM(AJ21:AJ24)</f>
        <v>0</v>
      </c>
      <c r="AK25" s="154" t="n">
        <f aca="false">SUM(AK21:AK24)</f>
        <v>0</v>
      </c>
      <c r="AL25" s="154" t="n">
        <f aca="false">SUM(AL21:AL24)</f>
        <v>0</v>
      </c>
      <c r="AM25" s="154" t="n">
        <f aca="false">SUM(AM21:AM24)</f>
        <v>0</v>
      </c>
      <c r="AN25" s="154" t="n">
        <f aca="false">SUM(AN21:AN24)</f>
        <v>0</v>
      </c>
      <c r="AO25" s="154" t="n">
        <f aca="false">SUM(AO21:AO24)</f>
        <v>0</v>
      </c>
      <c r="AP25" s="154" t="n">
        <f aca="false">SUM(AP21:AP24)</f>
        <v>0</v>
      </c>
      <c r="AQ25" s="154" t="n">
        <f aca="false">SUM(AQ21:AQ24)</f>
        <v>25000</v>
      </c>
      <c r="AR25" s="154" t="n">
        <f aca="false">SUM(AR21:AR24)</f>
        <v>0</v>
      </c>
      <c r="AS25" s="154" t="n">
        <f aca="false">SUM(AS21:AS24)</f>
        <v>0</v>
      </c>
      <c r="AT25" s="154" t="n">
        <f aca="false">SUM(AT21:AT24)</f>
        <v>0</v>
      </c>
      <c r="AU25" s="154" t="n">
        <f aca="false">SUM(AU21:AU24)</f>
        <v>0</v>
      </c>
      <c r="AV25" s="154" t="n">
        <f aca="false">SUM(AV21:AV24)</f>
        <v>0</v>
      </c>
      <c r="AW25" s="154" t="n">
        <f aca="false">SUM(AW21:AW24)</f>
        <v>0</v>
      </c>
      <c r="AX25" s="154" t="n">
        <f aca="false">SUM(AX21:AX24)</f>
        <v>0</v>
      </c>
      <c r="AY25" s="154" t="n">
        <f aca="false">SUM(AY21:AY24)</f>
        <v>0</v>
      </c>
      <c r="AZ25" s="154" t="n">
        <f aca="false">SUM(AZ21:AZ24)</f>
        <v>0</v>
      </c>
      <c r="BA25" s="154" t="n">
        <f aca="false">SUM(BA21:BA24)</f>
        <v>0</v>
      </c>
      <c r="BB25" s="154" t="n">
        <f aca="false">SUM(BB21:BB24)</f>
        <v>0</v>
      </c>
      <c r="BC25" s="154" t="n">
        <f aca="false">SUM(BC21:BC24)</f>
        <v>30000</v>
      </c>
      <c r="BD25" s="154" t="n">
        <f aca="false">SUM(BD21:BD24)</f>
        <v>0</v>
      </c>
      <c r="BE25" s="154" t="n">
        <f aca="false">SUM(BE21:BE24)</f>
        <v>0</v>
      </c>
      <c r="BF25" s="154" t="n">
        <f aca="false">SUM(BF21:BF24)</f>
        <v>0</v>
      </c>
      <c r="BG25" s="154" t="n">
        <f aca="false">SUM(BG21:BG24)</f>
        <v>0</v>
      </c>
      <c r="BH25" s="154" t="n">
        <f aca="false">SUM(BH21:BH24)</f>
        <v>0</v>
      </c>
      <c r="BI25" s="154" t="n">
        <f aca="false">SUM(BI21:BI24)</f>
        <v>0</v>
      </c>
      <c r="BJ25" s="154" t="n">
        <f aca="false">SUM(B25:BI25)</f>
        <v>124127.82</v>
      </c>
    </row>
    <row r="26" customFormat="false" ht="15.75" hidden="false" customHeight="true" outlineLevel="0" collapsed="false"/>
    <row r="27" customFormat="false" ht="18" hidden="false" customHeight="true" outlineLevel="0" collapsed="false">
      <c r="A27" s="47" t="s">
        <v>643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</row>
    <row r="28" customFormat="false" ht="15.75" hidden="false" customHeight="true" outlineLevel="0" collapsed="false">
      <c r="A28" s="49" t="s">
        <v>644</v>
      </c>
      <c r="B28" s="116" t="n">
        <v>60</v>
      </c>
      <c r="D28" s="51" t="s">
        <v>645</v>
      </c>
    </row>
    <row r="29" customFormat="false" ht="15.75" hidden="false" customHeight="true" outlineLevel="0" collapsed="false">
      <c r="A29" s="49" t="s">
        <v>646</v>
      </c>
      <c r="B29" s="159" t="n">
        <f aca="false">SUM($B25:B25)</f>
        <v>0</v>
      </c>
      <c r="C29" s="159" t="n">
        <f aca="false">SUM($B25:C25)</f>
        <v>0</v>
      </c>
      <c r="D29" s="159" t="n">
        <f aca="false">SUM($B25:D25)</f>
        <v>0</v>
      </c>
      <c r="E29" s="159" t="n">
        <f aca="false">SUM($B25:E25)</f>
        <v>0</v>
      </c>
      <c r="F29" s="159" t="n">
        <f aca="false">SUM($B25:F25)</f>
        <v>6000</v>
      </c>
      <c r="G29" s="159" t="n">
        <f aca="false">SUM($B25:G25)</f>
        <v>6000</v>
      </c>
      <c r="H29" s="159" t="n">
        <f aca="false">SUM($B25:H25)</f>
        <v>6000</v>
      </c>
      <c r="I29" s="159" t="n">
        <f aca="false">SUM($B25:I25)</f>
        <v>15127.82</v>
      </c>
      <c r="J29" s="159" t="n">
        <f aca="false">SUM($B25:J25)</f>
        <v>25627.82</v>
      </c>
      <c r="K29" s="159" t="n">
        <f aca="false">SUM($B25:K25)</f>
        <v>36127.82</v>
      </c>
      <c r="L29" s="159" t="n">
        <f aca="false">SUM($B25:L25)</f>
        <v>36127.82</v>
      </c>
      <c r="M29" s="159" t="n">
        <f aca="false">SUM($B25:M25)</f>
        <v>36127.82</v>
      </c>
      <c r="N29" s="159" t="n">
        <f aca="false">SUM($B25:N25)</f>
        <v>36127.82</v>
      </c>
      <c r="O29" s="159" t="n">
        <f aca="false">SUM($B25:O25)</f>
        <v>36127.82</v>
      </c>
      <c r="P29" s="159" t="n">
        <f aca="false">SUM($B25:P25)</f>
        <v>48127.82</v>
      </c>
      <c r="Q29" s="159" t="n">
        <f aca="false">SUM($B25:Q25)</f>
        <v>48127.82</v>
      </c>
      <c r="R29" s="159" t="n">
        <f aca="false">SUM($B25:R25)</f>
        <v>48127.82</v>
      </c>
      <c r="S29" s="159" t="n">
        <f aca="false">SUM($B25:S25)</f>
        <v>54127.82</v>
      </c>
      <c r="T29" s="159" t="n">
        <f aca="false">SUM($B25:T25)</f>
        <v>54127.82</v>
      </c>
      <c r="U29" s="159" t="n">
        <f aca="false">SUM($B25:U25)</f>
        <v>54127.82</v>
      </c>
      <c r="V29" s="159" t="n">
        <f aca="false">SUM($B25:V25)</f>
        <v>54127.82</v>
      </c>
      <c r="W29" s="159" t="n">
        <f aca="false">SUM($B25:W25)</f>
        <v>54127.82</v>
      </c>
      <c r="X29" s="159" t="n">
        <f aca="false">SUM($B25:X25)</f>
        <v>54127.82</v>
      </c>
      <c r="Y29" s="159" t="n">
        <f aca="false">SUM($B25:Y25)</f>
        <v>54127.82</v>
      </c>
      <c r="Z29" s="159" t="n">
        <f aca="false">SUM($B25:Z25)</f>
        <v>54127.82</v>
      </c>
      <c r="AA29" s="159" t="n">
        <f aca="false">SUM($B25:AA25)</f>
        <v>54127.82</v>
      </c>
      <c r="AB29" s="159" t="n">
        <f aca="false">SUM($B25:AB25)</f>
        <v>54127.82</v>
      </c>
      <c r="AC29" s="159" t="n">
        <f aca="false">SUM($B25:AC25)</f>
        <v>54127.82</v>
      </c>
      <c r="AD29" s="159" t="n">
        <f aca="false">SUM($B25:AD25)</f>
        <v>54127.82</v>
      </c>
      <c r="AE29" s="159" t="n">
        <f aca="false">SUM($B25:AE25)</f>
        <v>69127.82</v>
      </c>
      <c r="AF29" s="159" t="n">
        <f aca="false">SUM($B25:AF25)</f>
        <v>69127.82</v>
      </c>
      <c r="AG29" s="159" t="n">
        <f aca="false">SUM($B25:AG25)</f>
        <v>69127.82</v>
      </c>
      <c r="AH29" s="159" t="n">
        <f aca="false">SUM($B25:AH25)</f>
        <v>69127.82</v>
      </c>
      <c r="AI29" s="159" t="n">
        <f aca="false">SUM($B25:AI25)</f>
        <v>69127.82</v>
      </c>
      <c r="AJ29" s="159" t="n">
        <f aca="false">SUM($B25:AJ25)</f>
        <v>69127.82</v>
      </c>
      <c r="AK29" s="159" t="n">
        <f aca="false">SUM($B25:AK25)</f>
        <v>69127.82</v>
      </c>
      <c r="AL29" s="159" t="n">
        <f aca="false">SUM($B25:AL25)</f>
        <v>69127.82</v>
      </c>
      <c r="AM29" s="159" t="n">
        <f aca="false">SUM($B25:AM25)</f>
        <v>69127.82</v>
      </c>
      <c r="AN29" s="159" t="n">
        <f aca="false">SUM($B25:AN25)</f>
        <v>69127.82</v>
      </c>
      <c r="AO29" s="159" t="n">
        <f aca="false">SUM($B25:AO25)</f>
        <v>69127.82</v>
      </c>
      <c r="AP29" s="159" t="n">
        <f aca="false">SUM($B25:AP25)</f>
        <v>69127.82</v>
      </c>
      <c r="AQ29" s="159" t="n">
        <f aca="false">SUM($B25:AQ25)</f>
        <v>94127.82</v>
      </c>
      <c r="AR29" s="159" t="n">
        <f aca="false">SUM($B25:AR25)</f>
        <v>94127.82</v>
      </c>
      <c r="AS29" s="159" t="n">
        <f aca="false">SUM($B25:AS25)</f>
        <v>94127.82</v>
      </c>
      <c r="AT29" s="159" t="n">
        <f aca="false">SUM($B25:AT25)</f>
        <v>94127.82</v>
      </c>
      <c r="AU29" s="159" t="n">
        <f aca="false">SUM($B25:AU25)</f>
        <v>94127.82</v>
      </c>
      <c r="AV29" s="159" t="n">
        <f aca="false">SUM($B25:AV25)</f>
        <v>94127.82</v>
      </c>
      <c r="AW29" s="159" t="n">
        <f aca="false">SUM($B25:AW25)</f>
        <v>94127.82</v>
      </c>
      <c r="AX29" s="159" t="n">
        <f aca="false">SUM($B25:AX25)</f>
        <v>94127.82</v>
      </c>
      <c r="AY29" s="159" t="n">
        <f aca="false">SUM($B25:AY25)</f>
        <v>94127.82</v>
      </c>
      <c r="AZ29" s="159" t="n">
        <f aca="false">SUM($B25:AZ25)</f>
        <v>94127.82</v>
      </c>
      <c r="BA29" s="159" t="n">
        <f aca="false">SUM($B25:BA25)</f>
        <v>94127.82</v>
      </c>
      <c r="BB29" s="159" t="n">
        <f aca="false">SUM($B25:BB25)</f>
        <v>94127.82</v>
      </c>
      <c r="BC29" s="159" t="n">
        <f aca="false">SUM($B25:BC25)</f>
        <v>124127.82</v>
      </c>
      <c r="BD29" s="159" t="n">
        <f aca="false">SUM($B25:BD25)</f>
        <v>124127.82</v>
      </c>
      <c r="BE29" s="159" t="n">
        <f aca="false">SUM($B25:BE25)</f>
        <v>124127.82</v>
      </c>
      <c r="BF29" s="159" t="n">
        <f aca="false">SUM($B25:BF25)</f>
        <v>124127.82</v>
      </c>
      <c r="BG29" s="159" t="n">
        <f aca="false">SUM($B25:BG25)</f>
        <v>124127.82</v>
      </c>
      <c r="BH29" s="159" t="n">
        <f aca="false">SUM($B25:BH25)</f>
        <v>124127.82</v>
      </c>
      <c r="BI29" s="159" t="n">
        <f aca="false">SUM($B25:BI25)</f>
        <v>124127.82</v>
      </c>
      <c r="BJ29" s="154" t="n">
        <f aca="false">SUM(B29:BI29)</f>
        <v>3861274.46</v>
      </c>
    </row>
    <row r="30" customFormat="false" ht="15.75" hidden="false" customHeight="true" outlineLevel="0" collapsed="false">
      <c r="A30" s="53" t="s">
        <v>647</v>
      </c>
      <c r="B30" s="160" t="n">
        <f aca="false">0</f>
        <v>0</v>
      </c>
      <c r="C30" s="160" t="n">
        <f aca="false">B29/$B$28</f>
        <v>0</v>
      </c>
      <c r="D30" s="160" t="n">
        <f aca="false">C29/$B$28</f>
        <v>0</v>
      </c>
      <c r="E30" s="160" t="n">
        <f aca="false">D29/$B$28</f>
        <v>0</v>
      </c>
      <c r="F30" s="160" t="n">
        <f aca="false">E29/$B$28</f>
        <v>0</v>
      </c>
      <c r="G30" s="160" t="n">
        <f aca="false">F29/$B$28</f>
        <v>100</v>
      </c>
      <c r="H30" s="160" t="n">
        <f aca="false">G29/$B$28</f>
        <v>100</v>
      </c>
      <c r="I30" s="160" t="n">
        <f aca="false">H29/$B$28</f>
        <v>100</v>
      </c>
      <c r="J30" s="160" t="n">
        <f aca="false">I29/$B$28</f>
        <v>252.130333333333</v>
      </c>
      <c r="K30" s="160" t="n">
        <f aca="false">J29/$B$28</f>
        <v>427.130333333333</v>
      </c>
      <c r="L30" s="160" t="n">
        <f aca="false">K29/$B$28</f>
        <v>602.130333333333</v>
      </c>
      <c r="M30" s="160" t="n">
        <f aca="false">L29/$B$28</f>
        <v>602.130333333333</v>
      </c>
      <c r="N30" s="160" t="n">
        <f aca="false">M29/$B$28</f>
        <v>602.130333333333</v>
      </c>
      <c r="O30" s="160" t="n">
        <f aca="false">N29/$B$28</f>
        <v>602.130333333333</v>
      </c>
      <c r="P30" s="160" t="n">
        <f aca="false">O29/$B$28</f>
        <v>602.130333333333</v>
      </c>
      <c r="Q30" s="160" t="n">
        <f aca="false">P29/$B$28</f>
        <v>802.130333333333</v>
      </c>
      <c r="R30" s="160" t="n">
        <f aca="false">Q29/$B$28</f>
        <v>802.130333333333</v>
      </c>
      <c r="S30" s="160" t="n">
        <f aca="false">R29/$B$28</f>
        <v>802.130333333333</v>
      </c>
      <c r="T30" s="160" t="n">
        <f aca="false">S29/$B$28</f>
        <v>902.130333333333</v>
      </c>
      <c r="U30" s="160" t="n">
        <f aca="false">T29/$B$28</f>
        <v>902.130333333333</v>
      </c>
      <c r="V30" s="160" t="n">
        <f aca="false">U29/$B$28</f>
        <v>902.130333333333</v>
      </c>
      <c r="W30" s="160" t="n">
        <f aca="false">V29/$B$28</f>
        <v>902.130333333333</v>
      </c>
      <c r="X30" s="160" t="n">
        <f aca="false">W29/$B$28</f>
        <v>902.130333333333</v>
      </c>
      <c r="Y30" s="160" t="n">
        <f aca="false">X29/$B$28</f>
        <v>902.130333333333</v>
      </c>
      <c r="Z30" s="160" t="n">
        <f aca="false">Y29/$B$28</f>
        <v>902.130333333333</v>
      </c>
      <c r="AA30" s="160" t="n">
        <f aca="false">Z29/$B$28</f>
        <v>902.130333333333</v>
      </c>
      <c r="AB30" s="160" t="n">
        <f aca="false">AA29/$B$28</f>
        <v>902.130333333333</v>
      </c>
      <c r="AC30" s="160" t="n">
        <f aca="false">AB29/$B$28</f>
        <v>902.130333333333</v>
      </c>
      <c r="AD30" s="160" t="n">
        <f aca="false">AC29/$B$28</f>
        <v>902.130333333333</v>
      </c>
      <c r="AE30" s="160" t="n">
        <f aca="false">AD29/$B$28</f>
        <v>902.130333333333</v>
      </c>
      <c r="AF30" s="160" t="n">
        <f aca="false">AE29/$B$28</f>
        <v>1152.13033333333</v>
      </c>
      <c r="AG30" s="160" t="n">
        <f aca="false">AF29/$B$28</f>
        <v>1152.13033333333</v>
      </c>
      <c r="AH30" s="160" t="n">
        <f aca="false">AG29/$B$28</f>
        <v>1152.13033333333</v>
      </c>
      <c r="AI30" s="160" t="n">
        <f aca="false">AH29/$B$28</f>
        <v>1152.13033333333</v>
      </c>
      <c r="AJ30" s="160" t="n">
        <f aca="false">AI29/$B$28</f>
        <v>1152.13033333333</v>
      </c>
      <c r="AK30" s="160" t="n">
        <f aca="false">AJ29/$B$28</f>
        <v>1152.13033333333</v>
      </c>
      <c r="AL30" s="160" t="n">
        <f aca="false">AK29/$B$28</f>
        <v>1152.13033333333</v>
      </c>
      <c r="AM30" s="160" t="n">
        <f aca="false">AL29/$B$28</f>
        <v>1152.13033333333</v>
      </c>
      <c r="AN30" s="160" t="n">
        <f aca="false">AM29/$B$28</f>
        <v>1152.13033333333</v>
      </c>
      <c r="AO30" s="160" t="n">
        <f aca="false">AN29/$B$28</f>
        <v>1152.13033333333</v>
      </c>
      <c r="AP30" s="160" t="n">
        <f aca="false">AO29/$B$28</f>
        <v>1152.13033333333</v>
      </c>
      <c r="AQ30" s="160" t="n">
        <f aca="false">AP29/$B$28</f>
        <v>1152.13033333333</v>
      </c>
      <c r="AR30" s="160" t="n">
        <f aca="false">AQ29/$B$28</f>
        <v>1568.797</v>
      </c>
      <c r="AS30" s="160" t="n">
        <f aca="false">AR29/$B$28</f>
        <v>1568.797</v>
      </c>
      <c r="AT30" s="160" t="n">
        <f aca="false">AS29/$B$28</f>
        <v>1568.797</v>
      </c>
      <c r="AU30" s="160" t="n">
        <f aca="false">AT29/$B$28</f>
        <v>1568.797</v>
      </c>
      <c r="AV30" s="160" t="n">
        <f aca="false">AU29/$B$28</f>
        <v>1568.797</v>
      </c>
      <c r="AW30" s="160" t="n">
        <f aca="false">AV29/$B$28</f>
        <v>1568.797</v>
      </c>
      <c r="AX30" s="160" t="n">
        <f aca="false">AW29/$B$28</f>
        <v>1568.797</v>
      </c>
      <c r="AY30" s="160" t="n">
        <f aca="false">AX29/$B$28</f>
        <v>1568.797</v>
      </c>
      <c r="AZ30" s="160" t="n">
        <f aca="false">AY29/$B$28</f>
        <v>1568.797</v>
      </c>
      <c r="BA30" s="160" t="n">
        <f aca="false">AZ29/$B$28</f>
        <v>1568.797</v>
      </c>
      <c r="BB30" s="160" t="n">
        <f aca="false">BA29/$B$28</f>
        <v>1568.797</v>
      </c>
      <c r="BC30" s="160" t="n">
        <f aca="false">BB29/$B$28</f>
        <v>1568.797</v>
      </c>
      <c r="BD30" s="160" t="n">
        <f aca="false">BC29/$B$28</f>
        <v>2068.797</v>
      </c>
      <c r="BE30" s="160" t="n">
        <f aca="false">BD29/$B$28</f>
        <v>2068.797</v>
      </c>
      <c r="BF30" s="160" t="n">
        <f aca="false">BE29/$B$28</f>
        <v>2068.797</v>
      </c>
      <c r="BG30" s="160" t="n">
        <f aca="false">BF29/$B$28</f>
        <v>2068.797</v>
      </c>
      <c r="BH30" s="160" t="n">
        <f aca="false">BG29/$B$28</f>
        <v>2068.797</v>
      </c>
      <c r="BI30" s="160" t="n">
        <f aca="false">BH29/$B$28</f>
        <v>2068.797</v>
      </c>
      <c r="BJ30" s="154" t="n">
        <f aca="false">SUM(B30:BI30)</f>
        <v>62285.7773333333</v>
      </c>
      <c r="BK30" s="51" t="s">
        <v>648</v>
      </c>
    </row>
    <row r="31" customFormat="false" ht="15.75" hidden="false" customHeight="true" outlineLevel="0" collapsed="false">
      <c r="A31" s="111" t="s">
        <v>649</v>
      </c>
      <c r="B31" s="159" t="n">
        <f aca="false">B25</f>
        <v>0</v>
      </c>
      <c r="C31" s="159" t="n">
        <f aca="false">B31+C25-C30</f>
        <v>0</v>
      </c>
      <c r="D31" s="159" t="n">
        <f aca="false">C31+D25-D30</f>
        <v>0</v>
      </c>
      <c r="E31" s="159" t="n">
        <f aca="false">D31+E25-E30</f>
        <v>0</v>
      </c>
      <c r="F31" s="159" t="n">
        <f aca="false">E31+F25-F30</f>
        <v>6000</v>
      </c>
      <c r="G31" s="159" t="n">
        <f aca="false">F31+G25-G30</f>
        <v>5900</v>
      </c>
      <c r="H31" s="159" t="n">
        <f aca="false">G31+H25-H30</f>
        <v>5800</v>
      </c>
      <c r="I31" s="159" t="n">
        <f aca="false">H31+I25-I30</f>
        <v>14827.82</v>
      </c>
      <c r="J31" s="159" t="n">
        <f aca="false">I31+J25-J30</f>
        <v>25075.6896666667</v>
      </c>
      <c r="K31" s="159" t="n">
        <f aca="false">J31+K25-K30</f>
        <v>35148.5593333333</v>
      </c>
      <c r="L31" s="159" t="n">
        <f aca="false">K31+L25-L30</f>
        <v>34546.429</v>
      </c>
      <c r="M31" s="159" t="n">
        <f aca="false">L31+M25-M30</f>
        <v>33944.2986666667</v>
      </c>
      <c r="N31" s="159" t="n">
        <f aca="false">M31+N25-N30</f>
        <v>33342.1683333333</v>
      </c>
      <c r="O31" s="159" t="n">
        <f aca="false">N31+O25-O30</f>
        <v>32740.038</v>
      </c>
      <c r="P31" s="159" t="n">
        <f aca="false">O31+P25-P30</f>
        <v>44137.9076666667</v>
      </c>
      <c r="Q31" s="159" t="n">
        <f aca="false">P31+Q25-Q30</f>
        <v>43335.7773333333</v>
      </c>
      <c r="R31" s="159" t="n">
        <f aca="false">Q31+R25-R30</f>
        <v>42533.647</v>
      </c>
      <c r="S31" s="159" t="n">
        <f aca="false">R31+S25-S30</f>
        <v>47731.5166666667</v>
      </c>
      <c r="T31" s="159" t="n">
        <f aca="false">S31+T25-T30</f>
        <v>46829.3863333333</v>
      </c>
      <c r="U31" s="159" t="n">
        <f aca="false">T31+U25-U30</f>
        <v>45927.256</v>
      </c>
      <c r="V31" s="159" t="n">
        <f aca="false">U31+V25-V30</f>
        <v>45025.1256666667</v>
      </c>
      <c r="W31" s="159" t="n">
        <f aca="false">V31+W25-W30</f>
        <v>44122.9953333333</v>
      </c>
      <c r="X31" s="159" t="n">
        <f aca="false">W31+X25-X30</f>
        <v>43220.865</v>
      </c>
      <c r="Y31" s="159" t="n">
        <f aca="false">X31+Y25-Y30</f>
        <v>42318.7346666667</v>
      </c>
      <c r="Z31" s="159" t="n">
        <f aca="false">Y31+Z25-Z30</f>
        <v>41416.6043333333</v>
      </c>
      <c r="AA31" s="159" t="n">
        <f aca="false">Z31+AA25-AA30</f>
        <v>40514.474</v>
      </c>
      <c r="AB31" s="159" t="n">
        <f aca="false">AA31+AB25-AB30</f>
        <v>39612.3436666666</v>
      </c>
      <c r="AC31" s="159" t="n">
        <f aca="false">AB31+AC25-AC30</f>
        <v>38710.2133333333</v>
      </c>
      <c r="AD31" s="159" t="n">
        <f aca="false">AC31+AD25-AD30</f>
        <v>37808.083</v>
      </c>
      <c r="AE31" s="159" t="n">
        <f aca="false">AD31+AE25-AE30</f>
        <v>51905.9526666666</v>
      </c>
      <c r="AF31" s="159" t="n">
        <f aca="false">AE31+AF25-AF30</f>
        <v>50753.8223333333</v>
      </c>
      <c r="AG31" s="159" t="n">
        <f aca="false">AF31+AG25-AG30</f>
        <v>49601.692</v>
      </c>
      <c r="AH31" s="159" t="n">
        <f aca="false">AG31+AH25-AH30</f>
        <v>48449.5616666666</v>
      </c>
      <c r="AI31" s="159" t="n">
        <f aca="false">AH31+AI25-AI30</f>
        <v>47297.4313333333</v>
      </c>
      <c r="AJ31" s="159" t="n">
        <f aca="false">AI31+AJ25-AJ30</f>
        <v>46145.301</v>
      </c>
      <c r="AK31" s="159" t="n">
        <f aca="false">AJ31+AK25-AK30</f>
        <v>44993.1706666666</v>
      </c>
      <c r="AL31" s="159" t="n">
        <f aca="false">AK31+AL25-AL30</f>
        <v>43841.0403333333</v>
      </c>
      <c r="AM31" s="159" t="n">
        <f aca="false">AL31+AM25-AM30</f>
        <v>42688.91</v>
      </c>
      <c r="AN31" s="159" t="n">
        <f aca="false">AM31+AN25-AN30</f>
        <v>41536.7796666666</v>
      </c>
      <c r="AO31" s="159" t="n">
        <f aca="false">AN31+AO25-AO30</f>
        <v>40384.6493333333</v>
      </c>
      <c r="AP31" s="159" t="n">
        <f aca="false">AO31+AP25-AP30</f>
        <v>39232.519</v>
      </c>
      <c r="AQ31" s="159" t="n">
        <f aca="false">AP31+AQ25-AQ30</f>
        <v>63080.3886666666</v>
      </c>
      <c r="AR31" s="159" t="n">
        <f aca="false">AQ31+AR25-AR30</f>
        <v>61511.5916666666</v>
      </c>
      <c r="AS31" s="159" t="n">
        <f aca="false">AR31+AS25-AS30</f>
        <v>59942.7946666666</v>
      </c>
      <c r="AT31" s="159" t="n">
        <f aca="false">AS31+AT25-AT30</f>
        <v>58373.9976666666</v>
      </c>
      <c r="AU31" s="159" t="n">
        <f aca="false">AT31+AU25-AU30</f>
        <v>56805.2006666666</v>
      </c>
      <c r="AV31" s="159" t="n">
        <f aca="false">AU31+AV25-AV30</f>
        <v>55236.4036666666</v>
      </c>
      <c r="AW31" s="159" t="n">
        <f aca="false">AV31+AW25-AW30</f>
        <v>53667.6066666666</v>
      </c>
      <c r="AX31" s="159" t="n">
        <f aca="false">AW31+AX25-AX30</f>
        <v>52098.8096666666</v>
      </c>
      <c r="AY31" s="159" t="n">
        <f aca="false">AX31+AY25-AY30</f>
        <v>50530.0126666666</v>
      </c>
      <c r="AZ31" s="159" t="n">
        <f aca="false">AY31+AZ25-AZ30</f>
        <v>48961.2156666666</v>
      </c>
      <c r="BA31" s="159" t="n">
        <f aca="false">AZ31+BA25-BA30</f>
        <v>47392.4186666666</v>
      </c>
      <c r="BB31" s="159" t="n">
        <f aca="false">BA31+BB25-BB30</f>
        <v>45823.6216666666</v>
      </c>
      <c r="BC31" s="159" t="n">
        <f aca="false">BB31+BC25-BC30</f>
        <v>74254.8246666666</v>
      </c>
      <c r="BD31" s="159" t="n">
        <f aca="false">BC31+BD25-BD30</f>
        <v>72186.0276666666</v>
      </c>
      <c r="BE31" s="159" t="n">
        <f aca="false">BD31+BE25-BE30</f>
        <v>70117.2306666666</v>
      </c>
      <c r="BF31" s="159" t="n">
        <f aca="false">BE31+BF25-BF30</f>
        <v>68048.4336666666</v>
      </c>
      <c r="BG31" s="159" t="n">
        <f aca="false">BF31+BG25-BG30</f>
        <v>65979.6366666666</v>
      </c>
      <c r="BH31" s="159" t="n">
        <f aca="false">BG31+BH25-BH30</f>
        <v>63910.8396666666</v>
      </c>
      <c r="BI31" s="159" t="n">
        <f aca="false">BH31+BI25-BI30</f>
        <v>61842.0426666666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53"/>
    <col collapsed="false" customWidth="true" hidden="false" outlineLevel="0" max="6" min="2" style="37" width="17"/>
    <col collapsed="false" customWidth="true" hidden="false" outlineLevel="0" max="7" min="7" style="37" width="18"/>
    <col collapsed="false" customWidth="true" hidden="false" outlineLevel="0" max="8" min="8" style="37" width="3"/>
    <col collapsed="false" customWidth="true" hidden="false" outlineLevel="0" max="9" min="9" style="37" width="66"/>
    <col collapsed="false" customWidth="true" hidden="false" outlineLevel="0" max="26" min="10" style="37" width="8.43"/>
  </cols>
  <sheetData>
    <row r="1" customFormat="false" ht="25.5" hidden="false" customHeight="true" outlineLevel="0" collapsed="false">
      <c r="A1" s="38" t="s">
        <v>650</v>
      </c>
      <c r="B1" s="39"/>
      <c r="C1" s="39"/>
      <c r="D1" s="39"/>
      <c r="E1" s="39"/>
      <c r="F1" s="39"/>
      <c r="G1" s="39"/>
      <c r="H1" s="39"/>
      <c r="I1" s="39"/>
    </row>
    <row r="2" customFormat="false" ht="15.75" hidden="false" customHeight="true" outlineLevel="0" collapsed="false">
      <c r="A2" s="40" t="s">
        <v>651</v>
      </c>
    </row>
    <row r="3" customFormat="false" ht="30" hidden="false" customHeight="true" outlineLevel="0" collapsed="false">
      <c r="A3" s="177" t="s">
        <v>652</v>
      </c>
      <c r="B3" s="177"/>
      <c r="C3" s="177"/>
      <c r="D3" s="177"/>
      <c r="E3" s="177"/>
      <c r="F3" s="177"/>
      <c r="G3" s="177"/>
      <c r="H3" s="177"/>
      <c r="I3" s="177"/>
      <c r="J3" s="177"/>
    </row>
    <row r="4" customFormat="false" ht="18" hidden="false" customHeight="true" outlineLevel="0" collapsed="false">
      <c r="A4" s="47" t="s">
        <v>653</v>
      </c>
      <c r="B4" s="48"/>
      <c r="C4" s="48"/>
      <c r="D4" s="48"/>
      <c r="E4" s="48"/>
      <c r="F4" s="48"/>
      <c r="G4" s="48"/>
      <c r="H4" s="48"/>
      <c r="I4" s="48"/>
    </row>
    <row r="5" customFormat="false" ht="15" hidden="false" customHeight="true" outlineLevel="0" collapsed="false">
      <c r="A5" s="242"/>
      <c r="B5" s="242"/>
      <c r="C5" s="242"/>
      <c r="D5" s="242"/>
      <c r="E5" s="242"/>
      <c r="F5" s="242"/>
      <c r="G5" s="242"/>
    </row>
    <row r="6" customFormat="false" ht="30" hidden="false" customHeight="true" outlineLevel="0" collapsed="false">
      <c r="A6" s="128" t="s">
        <v>532</v>
      </c>
      <c r="B6" s="128" t="s">
        <v>504</v>
      </c>
      <c r="C6" s="128" t="s">
        <v>654</v>
      </c>
      <c r="D6" s="128" t="s">
        <v>655</v>
      </c>
      <c r="E6" s="128" t="s">
        <v>656</v>
      </c>
      <c r="F6" s="128" t="s">
        <v>657</v>
      </c>
      <c r="G6" s="128" t="s">
        <v>658</v>
      </c>
    </row>
    <row r="7" customFormat="false" ht="15" hidden="false" customHeight="true" outlineLevel="0" collapsed="false">
      <c r="A7" s="192" t="s">
        <v>573</v>
      </c>
      <c r="B7" s="193" t="s">
        <v>575</v>
      </c>
      <c r="C7" s="243" t="n">
        <f aca="false">0.5/6</f>
        <v>0.0833333333333333</v>
      </c>
      <c r="D7" s="243" t="n">
        <v>0.25</v>
      </c>
      <c r="E7" s="218" t="n">
        <f aca="false">IF($A7="",0,SUMIFS(Aportes!$C$6:$C$35,Aportes!$B$6:$B$35,$A7)+SUMIFS(Aportes!$C$41:$C$48,Aportes!$A$41:$A$48,$A7))</f>
        <v>20000</v>
      </c>
      <c r="F7" s="232" t="n">
        <f aca="false">IFERROR($E7/$E$20,0)</f>
        <v>0.25974025974026</v>
      </c>
      <c r="G7" s="232" t="n">
        <f aca="false">$C7-$F7</f>
        <v>-0.176406926406926</v>
      </c>
    </row>
    <row r="8" customFormat="false" ht="15" hidden="false" customHeight="true" outlineLevel="0" collapsed="false">
      <c r="A8" s="192" t="s">
        <v>576</v>
      </c>
      <c r="B8" s="193" t="s">
        <v>575</v>
      </c>
      <c r="C8" s="243" t="n">
        <f aca="false">0.5/6</f>
        <v>0.0833333333333333</v>
      </c>
      <c r="D8" s="243" t="n">
        <v>0.25</v>
      </c>
      <c r="E8" s="218" t="n">
        <f aca="false">IF($A8="",0,SUMIFS(Aportes!$C$6:$C$35,Aportes!$B$6:$B$35,$A8)+SUMIFS(Aportes!$C$41:$C$48,Aportes!$A$41:$A$48,$A8))</f>
        <v>6000</v>
      </c>
      <c r="F8" s="232" t="n">
        <f aca="false">IFERROR($E8/$E$20,0)</f>
        <v>0.0779220779220779</v>
      </c>
      <c r="G8" s="232" t="n">
        <f aca="false">$C8-$F8</f>
        <v>0.00541125541125541</v>
      </c>
    </row>
    <row r="9" customFormat="false" ht="15" hidden="false" customHeight="true" outlineLevel="0" collapsed="false">
      <c r="A9" s="192" t="s">
        <v>578</v>
      </c>
      <c r="B9" s="193" t="s">
        <v>575</v>
      </c>
      <c r="C9" s="243" t="n">
        <f aca="false">0.5/6</f>
        <v>0.0833333333333333</v>
      </c>
      <c r="D9" s="243" t="n">
        <v>0.25</v>
      </c>
      <c r="E9" s="218" t="n">
        <f aca="false">IF($A9="",0,SUMIFS(Aportes!$C$6:$C$35,Aportes!$B$6:$B$35,$A9)+SUMIFS(Aportes!$C$41:$C$48,Aportes!$A$41:$A$48,$A9))</f>
        <v>5000</v>
      </c>
      <c r="F9" s="232" t="n">
        <f aca="false">IFERROR($E9/$E$20,0)</f>
        <v>0.0649350649350649</v>
      </c>
      <c r="G9" s="232" t="n">
        <f aca="false">$C9-$F9</f>
        <v>0.0183982683982684</v>
      </c>
    </row>
    <row r="10" customFormat="false" ht="15" hidden="false" customHeight="true" outlineLevel="0" collapsed="false">
      <c r="A10" s="192" t="s">
        <v>579</v>
      </c>
      <c r="B10" s="193" t="s">
        <v>575</v>
      </c>
      <c r="C10" s="243" t="n">
        <f aca="false">0.5/6</f>
        <v>0.0833333333333333</v>
      </c>
      <c r="D10" s="243" t="n">
        <v>0.25</v>
      </c>
      <c r="E10" s="218" t="n">
        <f aca="false">IF($A10="",0,SUMIFS(Aportes!$C$6:$C$35,Aportes!$B$6:$B$35,$A10)+SUMIFS(Aportes!$C$41:$C$48,Aportes!$A$41:$A$48,$A10))</f>
        <v>6000</v>
      </c>
      <c r="F10" s="232" t="n">
        <f aca="false">IFERROR($E10/$E$20,0)</f>
        <v>0.0779220779220779</v>
      </c>
      <c r="G10" s="232" t="n">
        <f aca="false">$C10-$F10</f>
        <v>0.00541125541125541</v>
      </c>
    </row>
    <row r="11" customFormat="false" ht="15" hidden="false" customHeight="true" outlineLevel="0" collapsed="false">
      <c r="A11" s="192" t="s">
        <v>584</v>
      </c>
      <c r="B11" s="193" t="s">
        <v>588</v>
      </c>
      <c r="C11" s="243" t="n">
        <f aca="false">0.5/6</f>
        <v>0.0833333333333333</v>
      </c>
      <c r="D11" s="243" t="n">
        <v>0</v>
      </c>
      <c r="E11" s="218" t="n">
        <f aca="false">IF($A11="",0,SUMIFS(Aportes!$C$6:$C$35,Aportes!$B$6:$B$35,$A11)+SUMIFS(Aportes!$C$41:$C$48,Aportes!$A$41:$A$48,$A11))</f>
        <v>40000</v>
      </c>
      <c r="F11" s="232" t="n">
        <f aca="false">IFERROR($E11/$E$20,0)</f>
        <v>0.519480519480519</v>
      </c>
      <c r="G11" s="232" t="n">
        <f aca="false">$C11-$F11</f>
        <v>-0.436147186147186</v>
      </c>
    </row>
    <row r="12" customFormat="false" ht="15" hidden="false" customHeight="true" outlineLevel="0" collapsed="false">
      <c r="A12" s="192" t="s">
        <v>659</v>
      </c>
      <c r="B12" s="193" t="s">
        <v>588</v>
      </c>
      <c r="C12" s="243" t="n">
        <f aca="false">0.5/6</f>
        <v>0.0833333333333333</v>
      </c>
      <c r="D12" s="243" t="n">
        <v>0</v>
      </c>
      <c r="E12" s="218" t="n">
        <f aca="false">IF($A12="",0,SUMIFS(Aportes!$C$6:$C$35,Aportes!$B$6:$B$35,$A12)+SUMIFS(Aportes!$C$41:$C$48,Aportes!$A$41:$A$48,$A12))</f>
        <v>0</v>
      </c>
      <c r="F12" s="232" t="n">
        <f aca="false">IFERROR($E12/$E$20,0)</f>
        <v>0</v>
      </c>
      <c r="G12" s="232" t="n">
        <f aca="false">$C12-$F12</f>
        <v>0.0833333333333333</v>
      </c>
    </row>
    <row r="13" customFormat="false" ht="15" hidden="false" customHeight="true" outlineLevel="0" collapsed="false">
      <c r="A13" s="192" t="s">
        <v>660</v>
      </c>
      <c r="B13" s="193" t="s">
        <v>575</v>
      </c>
      <c r="C13" s="244" t="n">
        <v>0.5</v>
      </c>
      <c r="D13" s="243" t="n">
        <v>0</v>
      </c>
      <c r="E13" s="218" t="n">
        <f aca="false">IF($A13="",0,SUMIFS(Aportes!$C$6:$C$35,Aportes!$B$6:$B$35,$A13)+SUMIFS(Aportes!$C$41:$C$48,Aportes!$A$41:$A$48,$A13))</f>
        <v>0</v>
      </c>
      <c r="F13" s="232" t="n">
        <f aca="false">IFERROR($E13/$E$20,0)</f>
        <v>0</v>
      </c>
      <c r="G13" s="232" t="n">
        <f aca="false">$C13-$F13</f>
        <v>0.5</v>
      </c>
    </row>
    <row r="14" customFormat="false" ht="15" hidden="false" customHeight="true" outlineLevel="0" collapsed="false">
      <c r="A14" s="192"/>
      <c r="B14" s="193" t="s">
        <v>588</v>
      </c>
      <c r="C14" s="244"/>
      <c r="D14" s="196" t="n">
        <v>0</v>
      </c>
      <c r="E14" s="218" t="n">
        <f aca="false">IF($A14="",0,SUMIFS(Aportes!$C$6:$C$35,Aportes!$B$6:$B$35,$A14)+SUMIFS(Aportes!$C$41:$C$48,Aportes!$A$41:$A$48,$A14))</f>
        <v>0</v>
      </c>
      <c r="F14" s="232" t="n">
        <f aca="false">IFERROR($E14/$E$20,0)</f>
        <v>0</v>
      </c>
      <c r="G14" s="232" t="n">
        <f aca="false">$C14-$F14</f>
        <v>0</v>
      </c>
    </row>
    <row r="15" customFormat="false" ht="15" hidden="false" customHeight="true" outlineLevel="0" collapsed="false">
      <c r="A15" s="192"/>
      <c r="B15" s="193" t="s">
        <v>588</v>
      </c>
      <c r="C15" s="196" t="n">
        <v>0</v>
      </c>
      <c r="D15" s="196" t="n">
        <v>0</v>
      </c>
      <c r="E15" s="218" t="n">
        <f aca="false">IF($A15="",0,SUMIFS(Aportes!$C$6:$C$35,Aportes!$B$6:$B$35,$A15)+SUMIFS(Aportes!$C$41:$C$48,Aportes!$A$41:$A$48,$A15))</f>
        <v>0</v>
      </c>
      <c r="F15" s="232" t="n">
        <f aca="false">IFERROR($E15/$E$20,0)</f>
        <v>0</v>
      </c>
      <c r="G15" s="232" t="n">
        <f aca="false">$C15-$F15</f>
        <v>0</v>
      </c>
    </row>
    <row r="16" customFormat="false" ht="15" hidden="false" customHeight="true" outlineLevel="0" collapsed="false">
      <c r="A16" s="192"/>
      <c r="B16" s="193" t="s">
        <v>588</v>
      </c>
      <c r="C16" s="196" t="n">
        <v>0</v>
      </c>
      <c r="D16" s="196" t="n">
        <v>0</v>
      </c>
      <c r="E16" s="218" t="n">
        <f aca="false">IF($A16="",0,SUMIFS(Aportes!$C$6:$C$35,Aportes!$B$6:$B$35,$A16)+SUMIFS(Aportes!$C$41:$C$48,Aportes!$A$41:$A$48,$A16))</f>
        <v>0</v>
      </c>
      <c r="F16" s="232" t="n">
        <f aca="false">IFERROR($E16/$E$20,0)</f>
        <v>0</v>
      </c>
      <c r="G16" s="232" t="n">
        <f aca="false">$C16-$F16</f>
        <v>0</v>
      </c>
    </row>
    <row r="17" customFormat="false" ht="15" hidden="false" customHeight="true" outlineLevel="0" collapsed="false">
      <c r="A17" s="192"/>
      <c r="B17" s="193" t="s">
        <v>588</v>
      </c>
      <c r="C17" s="196" t="n">
        <v>0</v>
      </c>
      <c r="D17" s="196" t="n">
        <v>0</v>
      </c>
      <c r="E17" s="218" t="n">
        <f aca="false">IF($A17="",0,SUMIFS(Aportes!$C$6:$C$35,Aportes!$B$6:$B$35,$A17)+SUMIFS(Aportes!$C$41:$C$48,Aportes!$A$41:$A$48,$A17))</f>
        <v>0</v>
      </c>
      <c r="F17" s="232" t="n">
        <f aca="false">IFERROR($E17/$E$20,0)</f>
        <v>0</v>
      </c>
      <c r="G17" s="232" t="n">
        <f aca="false">$C17-$F17</f>
        <v>0</v>
      </c>
    </row>
    <row r="18" customFormat="false" ht="15" hidden="false" customHeight="true" outlineLevel="0" collapsed="false">
      <c r="A18" s="192"/>
      <c r="B18" s="193" t="s">
        <v>588</v>
      </c>
      <c r="C18" s="196" t="n">
        <v>0</v>
      </c>
      <c r="D18" s="196" t="n">
        <v>0</v>
      </c>
      <c r="E18" s="218" t="n">
        <f aca="false">IF($A18="",0,SUMIFS(Aportes!$C$6:$C$35,Aportes!$B$6:$B$35,$A18)+SUMIFS(Aportes!$C$41:$C$48,Aportes!$A$41:$A$48,$A18))</f>
        <v>0</v>
      </c>
      <c r="F18" s="232" t="n">
        <f aca="false">IFERROR($E18/$E$20,0)</f>
        <v>0</v>
      </c>
      <c r="G18" s="232" t="n">
        <f aca="false">$C18-$F18</f>
        <v>0</v>
      </c>
    </row>
    <row r="19" customFormat="false" ht="15" hidden="false" customHeight="true" outlineLevel="0" collapsed="false">
      <c r="A19" s="192"/>
      <c r="B19" s="193" t="s">
        <v>588</v>
      </c>
      <c r="C19" s="196" t="n">
        <v>0</v>
      </c>
      <c r="D19" s="196" t="n">
        <v>0</v>
      </c>
      <c r="E19" s="218" t="n">
        <f aca="false">IF($A19="",0,SUMIFS(Aportes!$C$6:$C$35,Aportes!$B$6:$B$35,$A19)+SUMIFS(Aportes!$C$41:$C$48,Aportes!$A$41:$A$48,$A19))</f>
        <v>0</v>
      </c>
      <c r="F19" s="232" t="n">
        <f aca="false">IFERROR($E19/$E$20,0)</f>
        <v>0</v>
      </c>
      <c r="G19" s="232" t="n">
        <f aca="false">$C19-$F19</f>
        <v>0</v>
      </c>
    </row>
    <row r="20" customFormat="false" ht="15" hidden="false" customHeight="true" outlineLevel="0" collapsed="false">
      <c r="A20" s="199" t="s">
        <v>385</v>
      </c>
      <c r="C20" s="173" t="n">
        <f aca="false">SUM(C7:C19)</f>
        <v>1</v>
      </c>
      <c r="D20" s="173" t="n">
        <f aca="false">SUM(D7:D19)</f>
        <v>1</v>
      </c>
      <c r="E20" s="54" t="n">
        <f aca="false">SUM(E7:E19)</f>
        <v>77000</v>
      </c>
      <c r="F20" s="173" t="n">
        <f aca="false">SUM(F7:F19)</f>
        <v>1</v>
      </c>
    </row>
    <row r="21" customFormat="false" ht="15.75" hidden="false" customHeight="true" outlineLevel="0" collapsed="false">
      <c r="A21" s="245" t="s">
        <v>661</v>
      </c>
      <c r="C21" s="235" t="str">
        <f aca="false">IF(ROUND(C20,6)=1,"✔ SIM","⚠ NÃO — ajuste")</f>
        <v>✔ SIM</v>
      </c>
      <c r="I21" s="51"/>
    </row>
    <row r="22" customFormat="false" ht="15.75" hidden="false" customHeight="true" outlineLevel="0" collapsed="false"/>
    <row r="23" customFormat="false" ht="18" hidden="false" customHeight="true" outlineLevel="0" collapsed="false">
      <c r="A23" s="47" t="s">
        <v>662</v>
      </c>
      <c r="B23" s="48"/>
      <c r="C23" s="48"/>
      <c r="D23" s="48"/>
      <c r="E23" s="48"/>
      <c r="F23" s="48"/>
      <c r="G23" s="48"/>
      <c r="H23" s="48"/>
      <c r="I23" s="48"/>
    </row>
    <row r="24" customFormat="false" ht="15.75" hidden="false" customHeight="true" outlineLevel="0" collapsed="false">
      <c r="A24" s="49" t="s">
        <v>663</v>
      </c>
      <c r="B24" s="113" t="n">
        <v>6</v>
      </c>
    </row>
    <row r="25" customFormat="false" ht="15.75" hidden="false" customHeight="true" outlineLevel="0" collapsed="false">
      <c r="A25" s="49" t="s">
        <v>664</v>
      </c>
      <c r="B25" s="114" t="n">
        <v>0</v>
      </c>
      <c r="C25" s="114" t="n">
        <v>0</v>
      </c>
      <c r="D25" s="114" t="n">
        <v>0.3</v>
      </c>
      <c r="E25" s="114" t="n">
        <v>0.4</v>
      </c>
      <c r="F25" s="114" t="n">
        <v>0.5</v>
      </c>
      <c r="I25" s="51" t="s">
        <v>665</v>
      </c>
    </row>
    <row r="26" customFormat="false" ht="15.75" hidden="false" customHeight="true" outlineLevel="0" collapsed="false"/>
    <row r="27" customFormat="false" ht="18" hidden="false" customHeight="true" outlineLevel="0" collapsed="false">
      <c r="A27" s="47" t="s">
        <v>666</v>
      </c>
      <c r="B27" s="48"/>
      <c r="C27" s="48"/>
      <c r="D27" s="48"/>
      <c r="E27" s="48"/>
      <c r="F27" s="48"/>
      <c r="G27" s="48"/>
      <c r="H27" s="48"/>
      <c r="I27" s="48"/>
    </row>
    <row r="28" customFormat="false" ht="15.75" hidden="false" customHeight="true" outlineLevel="0" collapsed="false">
      <c r="A28" s="203"/>
      <c r="B28" s="107" t="n">
        <v>2026</v>
      </c>
      <c r="C28" s="107" t="n">
        <v>2027</v>
      </c>
      <c r="D28" s="107" t="n">
        <v>2028</v>
      </c>
      <c r="E28" s="107" t="n">
        <v>2029</v>
      </c>
      <c r="F28" s="107" t="n">
        <v>2030</v>
      </c>
      <c r="G28" s="162" t="s">
        <v>385</v>
      </c>
    </row>
    <row r="29" customFormat="false" ht="15.75" hidden="false" customHeight="true" outlineLevel="0" collapsed="false">
      <c r="A29" s="152" t="s">
        <v>667</v>
      </c>
      <c r="B29" s="205" t="n">
        <f aca="false">'DRE Projetada'!B65</f>
        <v>-38819.2180833333</v>
      </c>
      <c r="C29" s="205" t="n">
        <f aca="false">'DRE Projetada'!C65</f>
        <v>-71699.1969798741</v>
      </c>
      <c r="D29" s="205" t="n">
        <f aca="false">'DRE Projetada'!D65</f>
        <v>1220220.65048217</v>
      </c>
      <c r="E29" s="205" t="n">
        <f aca="false">'DRE Projetada'!E65</f>
        <v>2107371.35801179</v>
      </c>
      <c r="F29" s="205" t="n">
        <f aca="false">'DRE Projetada'!F65</f>
        <v>4495092.37906104</v>
      </c>
      <c r="G29" s="246" t="n">
        <f aca="false">SUM(B29:F29)</f>
        <v>7712165.97249179</v>
      </c>
      <c r="I29" s="51" t="s">
        <v>668</v>
      </c>
    </row>
    <row r="30" customFormat="false" ht="15.75" hidden="false" customHeight="true" outlineLevel="0" collapsed="false">
      <c r="A30" s="49" t="s">
        <v>669</v>
      </c>
      <c r="B30" s="165" t="n">
        <f aca="false">B29</f>
        <v>-38819.2180833333</v>
      </c>
      <c r="C30" s="165" t="n">
        <f aca="false">B30+C29</f>
        <v>-110518.415063207</v>
      </c>
      <c r="D30" s="165" t="n">
        <f aca="false">C30+D29</f>
        <v>1109702.23541896</v>
      </c>
      <c r="E30" s="165" t="n">
        <f aca="false">D30+E29</f>
        <v>3217073.59343075</v>
      </c>
      <c r="F30" s="165" t="n">
        <f aca="false">E30+F29</f>
        <v>7712165.97249179</v>
      </c>
      <c r="I30" s="51" t="s">
        <v>670</v>
      </c>
    </row>
    <row r="31" customFormat="false" ht="15.75" hidden="false" customHeight="true" outlineLevel="0" collapsed="false">
      <c r="A31" s="158" t="s">
        <v>671</v>
      </c>
      <c r="B31" s="247" t="n">
        <f aca="false">0</f>
        <v>0</v>
      </c>
      <c r="C31" s="247" t="n">
        <f aca="false">B40</f>
        <v>0</v>
      </c>
      <c r="D31" s="247" t="n">
        <f aca="false">C40</f>
        <v>0</v>
      </c>
      <c r="E31" s="247" t="n">
        <f aca="false">D40</f>
        <v>0</v>
      </c>
      <c r="F31" s="247" t="n">
        <f aca="false">E40</f>
        <v>0</v>
      </c>
      <c r="I31" s="51" t="s">
        <v>672</v>
      </c>
    </row>
    <row r="32" customFormat="false" ht="15.75" hidden="false" customHeight="true" outlineLevel="0" collapsed="false">
      <c r="A32" s="49" t="s">
        <v>673</v>
      </c>
      <c r="B32" s="165" t="n">
        <f aca="false">MAX(0,B30-B31)</f>
        <v>0</v>
      </c>
      <c r="C32" s="165" t="n">
        <f aca="false">MAX(0,C30-C31)</f>
        <v>0</v>
      </c>
      <c r="D32" s="165" t="n">
        <f aca="false">MAX(0,D30-D31)</f>
        <v>1109702.23541896</v>
      </c>
      <c r="E32" s="165" t="n">
        <f aca="false">MAX(0,E30-E31)</f>
        <v>3217073.59343075</v>
      </c>
      <c r="F32" s="165" t="n">
        <f aca="false">MAX(0,F30-F31)</f>
        <v>7712165.97249179</v>
      </c>
    </row>
    <row r="33" customFormat="false" ht="15.75" hidden="false" customHeight="true" outlineLevel="0" collapsed="false">
      <c r="A33" s="152" t="s">
        <v>674</v>
      </c>
      <c r="B33" s="205" t="n">
        <f aca="false">'Análise Fluxo'!M39</f>
        <v>44236.48325</v>
      </c>
      <c r="C33" s="205" t="n">
        <f aca="false">'Análise Fluxo'!Y39</f>
        <v>164162.850270126</v>
      </c>
      <c r="D33" s="205" t="n">
        <f aca="false">'Análise Fluxo'!AK39</f>
        <v>1381709.0647523</v>
      </c>
      <c r="E33" s="205" t="n">
        <f aca="false">'Análise Fluxo'!AW39</f>
        <v>3480405.98676409</v>
      </c>
      <c r="F33" s="205" t="n">
        <f aca="false">'Análise Fluxo'!BI39</f>
        <v>7967323.92982513</v>
      </c>
    </row>
    <row r="34" customFormat="false" ht="15.75" hidden="false" customHeight="true" outlineLevel="0" collapsed="false">
      <c r="A34" s="158" t="s">
        <v>675</v>
      </c>
      <c r="B34" s="247" t="n">
        <f aca="false">-B31</f>
        <v>-0</v>
      </c>
      <c r="C34" s="247" t="n">
        <f aca="false">-C31</f>
        <v>-0</v>
      </c>
      <c r="D34" s="247" t="n">
        <f aca="false">-D31</f>
        <v>-0</v>
      </c>
      <c r="E34" s="247" t="n">
        <f aca="false">-E31</f>
        <v>-0</v>
      </c>
      <c r="F34" s="247" t="n">
        <f aca="false">-F31</f>
        <v>-0</v>
      </c>
    </row>
    <row r="35" customFormat="false" ht="15.75" hidden="false" customHeight="true" outlineLevel="0" collapsed="false">
      <c r="A35" s="49" t="s">
        <v>676</v>
      </c>
      <c r="B35" s="165" t="n">
        <f aca="false">-$B$24*ABS(SUMIFS('Análise Fluxo'!$B$28:$BI$28,'Análise Fluxo'!$B$6:$BI$6,B$28))/12</f>
        <v>-21913.348375</v>
      </c>
      <c r="C35" s="165" t="n">
        <f aca="false">-$B$24*ABS(SUMIFS('Análise Fluxo'!$B$28:$BI$28,'Análise Fluxo'!$B$6:$BI$6,C$28))/12</f>
        <v>-2164222.10802491</v>
      </c>
      <c r="D35" s="165" t="n">
        <f aca="false">-$B$24*ABS(SUMIFS('Análise Fluxo'!$B$28:$BI$28,'Análise Fluxo'!$B$6:$BI$6,D$28))/12</f>
        <v>-5325248.13482658</v>
      </c>
      <c r="E35" s="165" t="n">
        <f aca="false">-$B$24*ABS(SUMIFS('Análise Fluxo'!$B$28:$BI$28,'Análise Fluxo'!$B$6:$BI$6,E$28))/12</f>
        <v>-9555660.88845048</v>
      </c>
      <c r="F35" s="165" t="n">
        <f aca="false">-$B$24*ABS(SUMIFS('Análise Fluxo'!$B$28:$BI$28,'Análise Fluxo'!$B$6:$BI$6,F$28))/12</f>
        <v>-15461490.1323452</v>
      </c>
      <c r="I35" s="51" t="s">
        <v>677</v>
      </c>
    </row>
    <row r="36" customFormat="false" ht="15.75" hidden="false" customHeight="true" outlineLevel="0" collapsed="false">
      <c r="A36" s="49" t="s">
        <v>678</v>
      </c>
      <c r="B36" s="165" t="n">
        <f aca="false">MAX(0,B33+B34+B35)</f>
        <v>22323.134875</v>
      </c>
      <c r="C36" s="165" t="n">
        <f aca="false">MAX(0,C33+C34+C35)</f>
        <v>0</v>
      </c>
      <c r="D36" s="165" t="n">
        <f aca="false">MAX(0,D33+D34+D35)</f>
        <v>0</v>
      </c>
      <c r="E36" s="165" t="n">
        <f aca="false">MAX(0,E33+E34+E35)</f>
        <v>0</v>
      </c>
      <c r="F36" s="165" t="n">
        <f aca="false">MAX(0,F33+F34+F35)</f>
        <v>0</v>
      </c>
    </row>
    <row r="37" customFormat="false" ht="15.75" hidden="false" customHeight="true" outlineLevel="0" collapsed="false">
      <c r="A37" s="53" t="s">
        <v>679</v>
      </c>
      <c r="B37" s="246" t="n">
        <f aca="false">MIN(B32,B36)</f>
        <v>0</v>
      </c>
      <c r="C37" s="246" t="n">
        <f aca="false">MIN(C32,C36)</f>
        <v>0</v>
      </c>
      <c r="D37" s="246" t="n">
        <f aca="false">MIN(D32,D36)</f>
        <v>0</v>
      </c>
      <c r="E37" s="246" t="n">
        <f aca="false">MIN(E32,E36)</f>
        <v>0</v>
      </c>
      <c r="F37" s="246" t="n">
        <f aca="false">MIN(F32,F36)</f>
        <v>0</v>
      </c>
      <c r="I37" s="51" t="s">
        <v>680</v>
      </c>
    </row>
    <row r="38" customFormat="false" ht="15.75" hidden="false" customHeight="true" outlineLevel="0" collapsed="false">
      <c r="A38" s="158" t="s">
        <v>681</v>
      </c>
      <c r="B38" s="166" t="n">
        <f aca="false">B25</f>
        <v>0</v>
      </c>
      <c r="C38" s="166" t="n">
        <f aca="false">C25</f>
        <v>0</v>
      </c>
      <c r="D38" s="166" t="n">
        <f aca="false">D25</f>
        <v>0.3</v>
      </c>
      <c r="E38" s="166" t="n">
        <f aca="false">E25</f>
        <v>0.4</v>
      </c>
      <c r="F38" s="166" t="n">
        <f aca="false">F25</f>
        <v>0.5</v>
      </c>
    </row>
    <row r="39" customFormat="false" ht="15.75" hidden="false" customHeight="true" outlineLevel="0" collapsed="false">
      <c r="A39" s="53" t="s">
        <v>682</v>
      </c>
      <c r="B39" s="246" t="n">
        <f aca="false">B37*B38</f>
        <v>0</v>
      </c>
      <c r="C39" s="246" t="n">
        <f aca="false">C37*C38</f>
        <v>0</v>
      </c>
      <c r="D39" s="246" t="n">
        <f aca="false">D37*D38</f>
        <v>0</v>
      </c>
      <c r="E39" s="246" t="n">
        <f aca="false">E37*E38</f>
        <v>0</v>
      </c>
      <c r="F39" s="246" t="n">
        <f aca="false">F37*F38</f>
        <v>0</v>
      </c>
      <c r="G39" s="246" t="n">
        <f aca="false">SUM(B39:F39)</f>
        <v>0</v>
      </c>
    </row>
    <row r="40" customFormat="false" ht="15.75" hidden="false" customHeight="true" outlineLevel="0" collapsed="false">
      <c r="A40" s="49" t="s">
        <v>683</v>
      </c>
      <c r="B40" s="165" t="n">
        <f aca="false">B39</f>
        <v>0</v>
      </c>
      <c r="C40" s="165" t="n">
        <f aca="false">B40+C39</f>
        <v>0</v>
      </c>
      <c r="D40" s="165" t="n">
        <f aca="false">C40+D39</f>
        <v>0</v>
      </c>
      <c r="E40" s="165" t="n">
        <f aca="false">D40+E39</f>
        <v>0</v>
      </c>
      <c r="F40" s="165" t="n">
        <f aca="false">E40+F39</f>
        <v>0</v>
      </c>
    </row>
    <row r="41" customFormat="false" ht="15.75" hidden="false" customHeight="true" outlineLevel="0" collapsed="false">
      <c r="A41" s="152" t="s">
        <v>684</v>
      </c>
      <c r="B41" s="205" t="n">
        <f aca="false">SUMIFS(Pessoas!$B$44:$BI$44,Pessoas!$B$38:$BI$38,B$28)</f>
        <v>0</v>
      </c>
      <c r="C41" s="205" t="n">
        <f aca="false">SUMIFS(Pessoas!$B$44:$BI$44,Pessoas!$B$38:$BI$38,C$28)</f>
        <v>180000</v>
      </c>
      <c r="D41" s="205" t="n">
        <f aca="false">SUMIFS(Pessoas!$B$44:$BI$44,Pessoas!$B$38:$BI$38,D$28)</f>
        <v>180000</v>
      </c>
      <c r="E41" s="205" t="n">
        <f aca="false">SUMIFS(Pessoas!$B$44:$BI$44,Pessoas!$B$38:$BI$38,E$28)</f>
        <v>384000</v>
      </c>
      <c r="F41" s="205" t="n">
        <f aca="false">SUMIFS(Pessoas!$B$44:$BI$44,Pessoas!$B$38:$BI$38,F$28)</f>
        <v>384000</v>
      </c>
      <c r="G41" s="246" t="n">
        <f aca="false">SUM(B41:F41)</f>
        <v>1128000</v>
      </c>
      <c r="I41" s="51" t="s">
        <v>685</v>
      </c>
    </row>
    <row r="42" customFormat="false" ht="15.75" hidden="false" customHeight="true" outlineLevel="0" collapsed="false">
      <c r="A42" s="158" t="s">
        <v>686</v>
      </c>
      <c r="B42" s="247" t="n">
        <f aca="false">B30-B40</f>
        <v>-38819.2180833333</v>
      </c>
      <c r="C42" s="247" t="n">
        <f aca="false">C30-C40</f>
        <v>-110518.415063207</v>
      </c>
      <c r="D42" s="247" t="n">
        <f aca="false">D30-D40</f>
        <v>1109702.23541896</v>
      </c>
      <c r="E42" s="247" t="n">
        <f aca="false">E30-E40</f>
        <v>3217073.59343075</v>
      </c>
      <c r="F42" s="247" t="n">
        <f aca="false">F30-F40</f>
        <v>7712165.97249179</v>
      </c>
      <c r="I42" s="51" t="s">
        <v>687</v>
      </c>
    </row>
    <row r="43" customFormat="false" ht="15.75" hidden="false" customHeight="true" outlineLevel="0" collapsed="false"/>
    <row r="44" customFormat="false" ht="18" hidden="false" customHeight="true" outlineLevel="0" collapsed="false">
      <c r="A44" s="47" t="s">
        <v>688</v>
      </c>
      <c r="B44" s="48"/>
      <c r="C44" s="48"/>
      <c r="D44" s="48"/>
      <c r="E44" s="48"/>
      <c r="F44" s="48"/>
      <c r="G44" s="48"/>
      <c r="H44" s="48"/>
      <c r="I44" s="48"/>
    </row>
    <row r="45" customFormat="false" ht="15.75" hidden="false" customHeight="true" outlineLevel="0" collapsed="false">
      <c r="A45" s="199" t="s">
        <v>689</v>
      </c>
      <c r="B45" s="107" t="n">
        <v>2026</v>
      </c>
      <c r="C45" s="107" t="n">
        <v>2027</v>
      </c>
      <c r="D45" s="107" t="n">
        <v>2028</v>
      </c>
      <c r="E45" s="107" t="n">
        <v>2029</v>
      </c>
      <c r="F45" s="107" t="n">
        <v>2030</v>
      </c>
      <c r="G45" s="162" t="s">
        <v>690</v>
      </c>
    </row>
    <row r="46" customFormat="false" ht="15.75" hidden="false" customHeight="true" outlineLevel="0" collapsed="false">
      <c r="A46" s="245" t="str">
        <f aca="false">IF($A7="","",$A7)</f>
        <v>Paulo Kapp</v>
      </c>
      <c r="B46" s="165" t="n">
        <f aca="false">$C7*B$39</f>
        <v>0</v>
      </c>
      <c r="C46" s="165" t="n">
        <f aca="false">$C7*C$39</f>
        <v>0</v>
      </c>
      <c r="D46" s="165" t="n">
        <f aca="false">$C7*D$39</f>
        <v>0</v>
      </c>
      <c r="E46" s="165" t="n">
        <f aca="false">$C7*E$39</f>
        <v>0</v>
      </c>
      <c r="F46" s="165" t="n">
        <f aca="false">$C7*F$39</f>
        <v>0</v>
      </c>
      <c r="G46" s="164" t="n">
        <f aca="false">SUM(B46:F46)</f>
        <v>0</v>
      </c>
    </row>
    <row r="47" customFormat="false" ht="15.75" hidden="false" customHeight="true" outlineLevel="0" collapsed="false">
      <c r="A47" s="245" t="str">
        <f aca="false">IF($A8="","",$A8)</f>
        <v>Lucas Medina</v>
      </c>
      <c r="B47" s="165" t="n">
        <f aca="false">$C8*B$39</f>
        <v>0</v>
      </c>
      <c r="C47" s="165" t="n">
        <f aca="false">$C8*C$39</f>
        <v>0</v>
      </c>
      <c r="D47" s="165" t="n">
        <f aca="false">$C8*D$39</f>
        <v>0</v>
      </c>
      <c r="E47" s="165" t="n">
        <f aca="false">$C8*E$39</f>
        <v>0</v>
      </c>
      <c r="F47" s="165" t="n">
        <f aca="false">$C8*F$39</f>
        <v>0</v>
      </c>
      <c r="G47" s="164" t="n">
        <f aca="false">SUM(B47:F47)</f>
        <v>0</v>
      </c>
    </row>
    <row r="48" customFormat="false" ht="15.75" hidden="false" customHeight="true" outlineLevel="0" collapsed="false">
      <c r="A48" s="245" t="str">
        <f aca="false">IF($A9="","",$A9)</f>
        <v>Felipe Toescher</v>
      </c>
      <c r="B48" s="165" t="n">
        <f aca="false">$C9*B$39</f>
        <v>0</v>
      </c>
      <c r="C48" s="165" t="n">
        <f aca="false">$C9*C$39</f>
        <v>0</v>
      </c>
      <c r="D48" s="165" t="n">
        <f aca="false">$C9*D$39</f>
        <v>0</v>
      </c>
      <c r="E48" s="165" t="n">
        <f aca="false">$C9*E$39</f>
        <v>0</v>
      </c>
      <c r="F48" s="165" t="n">
        <f aca="false">$C9*F$39</f>
        <v>0</v>
      </c>
      <c r="G48" s="164" t="n">
        <f aca="false">SUM(B48:F48)</f>
        <v>0</v>
      </c>
    </row>
    <row r="49" customFormat="false" ht="15.75" hidden="false" customHeight="true" outlineLevel="0" collapsed="false">
      <c r="A49" s="245" t="str">
        <f aca="false">IF($A10="","",$A10)</f>
        <v>Lucas Iung</v>
      </c>
      <c r="B49" s="165" t="n">
        <f aca="false">$C10*B$39</f>
        <v>0</v>
      </c>
      <c r="C49" s="165" t="n">
        <f aca="false">$C10*C$39</f>
        <v>0</v>
      </c>
      <c r="D49" s="165" t="n">
        <f aca="false">$C10*D$39</f>
        <v>0</v>
      </c>
      <c r="E49" s="165" t="n">
        <f aca="false">$C10*E$39</f>
        <v>0</v>
      </c>
      <c r="F49" s="165" t="n">
        <f aca="false">$C10*F$39</f>
        <v>0</v>
      </c>
      <c r="G49" s="164" t="n">
        <f aca="false">SUM(B49:F49)</f>
        <v>0</v>
      </c>
    </row>
    <row r="50" customFormat="false" ht="15.75" hidden="false" customHeight="true" outlineLevel="0" collapsed="false">
      <c r="A50" s="245" t="str">
        <f aca="false">IF($A11="","",$A11)</f>
        <v>Felipe Martinelli</v>
      </c>
      <c r="B50" s="165" t="n">
        <f aca="false">$C11*B$39</f>
        <v>0</v>
      </c>
      <c r="C50" s="165" t="n">
        <f aca="false">$C11*C$39</f>
        <v>0</v>
      </c>
      <c r="D50" s="165" t="n">
        <f aca="false">$C11*D$39</f>
        <v>0</v>
      </c>
      <c r="E50" s="165" t="n">
        <f aca="false">$C11*E$39</f>
        <v>0</v>
      </c>
      <c r="F50" s="165" t="n">
        <f aca="false">$C11*F$39</f>
        <v>0</v>
      </c>
      <c r="G50" s="164" t="n">
        <f aca="false">SUM(B50:F50)</f>
        <v>0</v>
      </c>
    </row>
    <row r="51" customFormat="false" ht="15.75" hidden="false" customHeight="true" outlineLevel="0" collapsed="false">
      <c r="A51" s="245" t="str">
        <f aca="false">IF($A12="","",$A12)</f>
        <v>CioT</v>
      </c>
      <c r="B51" s="165" t="n">
        <f aca="false">$C12*B$39</f>
        <v>0</v>
      </c>
      <c r="C51" s="165" t="n">
        <f aca="false">$C12*C$39</f>
        <v>0</v>
      </c>
      <c r="D51" s="165" t="n">
        <f aca="false">$C12*D$39</f>
        <v>0</v>
      </c>
      <c r="E51" s="165" t="n">
        <f aca="false">$C12*E$39</f>
        <v>0</v>
      </c>
      <c r="F51" s="165" t="n">
        <f aca="false">$C12*F$39</f>
        <v>0</v>
      </c>
      <c r="G51" s="164" t="n">
        <f aca="false">SUM(B51:F51)</f>
        <v>0</v>
      </c>
    </row>
    <row r="52" customFormat="false" ht="15.75" hidden="false" customHeight="true" outlineLevel="0" collapsed="false">
      <c r="A52" s="245" t="str">
        <f aca="false">IF($A13="","",$A13)</f>
        <v>Tesouraria</v>
      </c>
      <c r="B52" s="165" t="n">
        <f aca="false">$C13*B$39</f>
        <v>0</v>
      </c>
      <c r="C52" s="165" t="n">
        <f aca="false">$C13*C$39</f>
        <v>0</v>
      </c>
      <c r="D52" s="165" t="n">
        <f aca="false">$C13*D$39</f>
        <v>0</v>
      </c>
      <c r="E52" s="165" t="n">
        <f aca="false">$C13*E$39</f>
        <v>0</v>
      </c>
      <c r="F52" s="165" t="n">
        <f aca="false">$C13*F$39</f>
        <v>0</v>
      </c>
      <c r="G52" s="164" t="n">
        <f aca="false">SUM(B52:F52)</f>
        <v>0</v>
      </c>
    </row>
    <row r="53" customFormat="false" ht="15.75" hidden="false" customHeight="true" outlineLevel="0" collapsed="false">
      <c r="A53" s="245" t="str">
        <f aca="false">IF($A14="","",$A14)</f>
        <v/>
      </c>
      <c r="B53" s="165" t="n">
        <f aca="false">$C14*B$39</f>
        <v>0</v>
      </c>
      <c r="C53" s="165" t="n">
        <f aca="false">$C14*C$39</f>
        <v>0</v>
      </c>
      <c r="D53" s="165" t="n">
        <f aca="false">$C14*D$39</f>
        <v>0</v>
      </c>
      <c r="E53" s="165" t="n">
        <f aca="false">$C14*E$39</f>
        <v>0</v>
      </c>
      <c r="F53" s="165" t="n">
        <f aca="false">$C14*F$39</f>
        <v>0</v>
      </c>
      <c r="G53" s="164" t="n">
        <f aca="false">SUM(B53:F53)</f>
        <v>0</v>
      </c>
    </row>
    <row r="54" customFormat="false" ht="15.75" hidden="false" customHeight="true" outlineLevel="0" collapsed="false">
      <c r="A54" s="245" t="str">
        <f aca="false">IF($A15="","",$A15)</f>
        <v/>
      </c>
      <c r="B54" s="165" t="n">
        <f aca="false">$C15*B$39</f>
        <v>0</v>
      </c>
      <c r="C54" s="165" t="n">
        <f aca="false">$C15*C$39</f>
        <v>0</v>
      </c>
      <c r="D54" s="165" t="n">
        <f aca="false">$C15*D$39</f>
        <v>0</v>
      </c>
      <c r="E54" s="165" t="n">
        <f aca="false">$C15*E$39</f>
        <v>0</v>
      </c>
      <c r="F54" s="165" t="n">
        <f aca="false">$C15*F$39</f>
        <v>0</v>
      </c>
      <c r="G54" s="164" t="n">
        <f aca="false">SUM(B54:F54)</f>
        <v>0</v>
      </c>
    </row>
    <row r="55" customFormat="false" ht="15.75" hidden="false" customHeight="true" outlineLevel="0" collapsed="false">
      <c r="A55" s="245" t="str">
        <f aca="false">IF($A16="","",$A16)</f>
        <v/>
      </c>
      <c r="B55" s="165" t="n">
        <f aca="false">$C16*B$39</f>
        <v>0</v>
      </c>
      <c r="C55" s="165" t="n">
        <f aca="false">$C16*C$39</f>
        <v>0</v>
      </c>
      <c r="D55" s="165" t="n">
        <f aca="false">$C16*D$39</f>
        <v>0</v>
      </c>
      <c r="E55" s="165" t="n">
        <f aca="false">$C16*E$39</f>
        <v>0</v>
      </c>
      <c r="F55" s="165" t="n">
        <f aca="false">$C16*F$39</f>
        <v>0</v>
      </c>
      <c r="G55" s="164" t="n">
        <f aca="false">SUM(B55:F55)</f>
        <v>0</v>
      </c>
    </row>
    <row r="56" customFormat="false" ht="15.75" hidden="false" customHeight="true" outlineLevel="0" collapsed="false">
      <c r="A56" s="245" t="str">
        <f aca="false">IF($A17="","",$A17)</f>
        <v/>
      </c>
      <c r="B56" s="165" t="n">
        <f aca="false">$C17*B$39</f>
        <v>0</v>
      </c>
      <c r="C56" s="165" t="n">
        <f aca="false">$C17*C$39</f>
        <v>0</v>
      </c>
      <c r="D56" s="165" t="n">
        <f aca="false">$C17*D$39</f>
        <v>0</v>
      </c>
      <c r="E56" s="165" t="n">
        <f aca="false">$C17*E$39</f>
        <v>0</v>
      </c>
      <c r="F56" s="165" t="n">
        <f aca="false">$C17*F$39</f>
        <v>0</v>
      </c>
      <c r="G56" s="164" t="n">
        <f aca="false">SUM(B56:F56)</f>
        <v>0</v>
      </c>
    </row>
    <row r="57" customFormat="false" ht="15.75" hidden="false" customHeight="true" outlineLevel="0" collapsed="false">
      <c r="A57" s="245" t="str">
        <f aca="false">IF($A18="","",$A18)</f>
        <v/>
      </c>
      <c r="B57" s="165" t="n">
        <f aca="false">$C18*B$39</f>
        <v>0</v>
      </c>
      <c r="C57" s="165" t="n">
        <f aca="false">$C18*C$39</f>
        <v>0</v>
      </c>
      <c r="D57" s="165" t="n">
        <f aca="false">$C18*D$39</f>
        <v>0</v>
      </c>
      <c r="E57" s="165" t="n">
        <f aca="false">$C18*E$39</f>
        <v>0</v>
      </c>
      <c r="F57" s="165" t="n">
        <f aca="false">$C18*F$39</f>
        <v>0</v>
      </c>
      <c r="G57" s="164" t="n">
        <f aca="false">SUM(B57:F57)</f>
        <v>0</v>
      </c>
    </row>
    <row r="58" customFormat="false" ht="15.75" hidden="false" customHeight="true" outlineLevel="0" collapsed="false">
      <c r="A58" s="245" t="str">
        <f aca="false">IF($A19="","",$A19)</f>
        <v/>
      </c>
      <c r="B58" s="165" t="n">
        <f aca="false">$C19*B$39</f>
        <v>0</v>
      </c>
      <c r="C58" s="165" t="n">
        <f aca="false">$C19*C$39</f>
        <v>0</v>
      </c>
      <c r="D58" s="165" t="n">
        <f aca="false">$C19*D$39</f>
        <v>0</v>
      </c>
      <c r="E58" s="165" t="n">
        <f aca="false">$C19*E$39</f>
        <v>0</v>
      </c>
      <c r="F58" s="165" t="n">
        <f aca="false">$C19*F$39</f>
        <v>0</v>
      </c>
      <c r="G58" s="164" t="n">
        <f aca="false">SUM(B58:F58)</f>
        <v>0</v>
      </c>
    </row>
    <row r="59" customFormat="false" ht="15.75" hidden="false" customHeight="true" outlineLevel="0" collapsed="false">
      <c r="A59" s="199" t="s">
        <v>691</v>
      </c>
      <c r="B59" s="246" t="n">
        <f aca="false">SUM(B46:B58)</f>
        <v>0</v>
      </c>
      <c r="C59" s="246" t="n">
        <f aca="false">SUM(C46:C58)</f>
        <v>0</v>
      </c>
      <c r="D59" s="246" t="n">
        <f aca="false">SUM(D46:D58)</f>
        <v>0</v>
      </c>
      <c r="E59" s="246" t="n">
        <f aca="false">SUM(E46:E58)</f>
        <v>0</v>
      </c>
      <c r="F59" s="246" t="n">
        <f aca="false">SUM(F46:F58)</f>
        <v>0</v>
      </c>
      <c r="G59" s="246" t="n">
        <f aca="false">SUM(G46:G58)</f>
        <v>0</v>
      </c>
    </row>
    <row r="60" customFormat="false" ht="15.75" hidden="false" customHeight="true" outlineLevel="0" collapsed="false"/>
    <row r="61" customFormat="false" ht="27.75" hidden="false" customHeight="true" outlineLevel="0" collapsed="false">
      <c r="A61" s="199" t="s">
        <v>692</v>
      </c>
      <c r="B61" s="229" t="s">
        <v>693</v>
      </c>
      <c r="C61" s="229" t="s">
        <v>694</v>
      </c>
      <c r="D61" s="229" t="s">
        <v>695</v>
      </c>
      <c r="E61" s="229" t="s">
        <v>696</v>
      </c>
    </row>
    <row r="62" customFormat="false" ht="15.75" hidden="false" customHeight="true" outlineLevel="0" collapsed="false">
      <c r="A62" s="217" t="str">
        <f aca="false">IF($A7="","",$A7)</f>
        <v>Paulo Kapp</v>
      </c>
      <c r="B62" s="218" t="n">
        <f aca="false">$G46</f>
        <v>0</v>
      </c>
      <c r="C62" s="218" t="n">
        <f aca="false">$D7*$G$41</f>
        <v>282000</v>
      </c>
      <c r="D62" s="248" t="n">
        <f aca="false">$B62+$C62</f>
        <v>282000</v>
      </c>
      <c r="E62" s="218" t="n">
        <f aca="false">IFERROR($B62/$C7/100,0)</f>
        <v>0</v>
      </c>
    </row>
    <row r="63" customFormat="false" ht="15.75" hidden="false" customHeight="true" outlineLevel="0" collapsed="false">
      <c r="A63" s="217" t="str">
        <f aca="false">IF($A8="","",$A8)</f>
        <v>Lucas Medina</v>
      </c>
      <c r="B63" s="218" t="n">
        <f aca="false">$G47</f>
        <v>0</v>
      </c>
      <c r="C63" s="218" t="n">
        <f aca="false">$D8*$G$41</f>
        <v>282000</v>
      </c>
      <c r="D63" s="248" t="n">
        <f aca="false">$B63+$C63</f>
        <v>282000</v>
      </c>
      <c r="E63" s="218" t="n">
        <f aca="false">IFERROR($B63/$C8/100,0)</f>
        <v>0</v>
      </c>
    </row>
    <row r="64" customFormat="false" ht="15.75" hidden="false" customHeight="true" outlineLevel="0" collapsed="false">
      <c r="A64" s="217" t="str">
        <f aca="false">IF($A9="","",$A9)</f>
        <v>Felipe Toescher</v>
      </c>
      <c r="B64" s="218" t="n">
        <f aca="false">$G48</f>
        <v>0</v>
      </c>
      <c r="C64" s="218" t="n">
        <f aca="false">$D9*$G$41</f>
        <v>282000</v>
      </c>
      <c r="D64" s="248" t="n">
        <f aca="false">$B64+$C64</f>
        <v>282000</v>
      </c>
      <c r="E64" s="218" t="n">
        <f aca="false">IFERROR($B64/$C9/100,0)</f>
        <v>0</v>
      </c>
    </row>
    <row r="65" customFormat="false" ht="15.75" hidden="false" customHeight="true" outlineLevel="0" collapsed="false">
      <c r="A65" s="217" t="str">
        <f aca="false">IF($A10="","",$A10)</f>
        <v>Lucas Iung</v>
      </c>
      <c r="B65" s="218" t="n">
        <f aca="false">$G49</f>
        <v>0</v>
      </c>
      <c r="C65" s="218" t="n">
        <f aca="false">$D10*$G$41</f>
        <v>282000</v>
      </c>
      <c r="D65" s="248" t="n">
        <f aca="false">$B65+$C65</f>
        <v>282000</v>
      </c>
      <c r="E65" s="218" t="n">
        <f aca="false">IFERROR($B65/$C10/100,0)</f>
        <v>0</v>
      </c>
    </row>
    <row r="66" customFormat="false" ht="15.75" hidden="false" customHeight="true" outlineLevel="0" collapsed="false">
      <c r="A66" s="217" t="str">
        <f aca="false">IF($A11="","",$A11)</f>
        <v>Felipe Martinelli</v>
      </c>
      <c r="B66" s="218" t="n">
        <f aca="false">$G50</f>
        <v>0</v>
      </c>
      <c r="C66" s="218" t="n">
        <f aca="false">$D11*$G$41</f>
        <v>0</v>
      </c>
      <c r="D66" s="248" t="n">
        <f aca="false">$B66+$C66</f>
        <v>0</v>
      </c>
      <c r="E66" s="218" t="n">
        <f aca="false">IFERROR($B66/$C11/100,0)</f>
        <v>0</v>
      </c>
    </row>
    <row r="67" customFormat="false" ht="15.75" hidden="false" customHeight="true" outlineLevel="0" collapsed="false">
      <c r="A67" s="217" t="str">
        <f aca="false">IF($A12="","",$A12)</f>
        <v>CioT</v>
      </c>
      <c r="B67" s="218" t="n">
        <f aca="false">$G51</f>
        <v>0</v>
      </c>
      <c r="C67" s="218" t="n">
        <f aca="false">$D12*$G$41</f>
        <v>0</v>
      </c>
      <c r="D67" s="248" t="n">
        <f aca="false">$B67+$C67</f>
        <v>0</v>
      </c>
      <c r="E67" s="218" t="n">
        <f aca="false">IFERROR($B67/$C12/100,0)</f>
        <v>0</v>
      </c>
    </row>
    <row r="68" customFormat="false" ht="15.75" hidden="false" customHeight="true" outlineLevel="0" collapsed="false">
      <c r="A68" s="217" t="str">
        <f aca="false">IF($A13="","",$A13)</f>
        <v>Tesouraria</v>
      </c>
      <c r="B68" s="218" t="n">
        <f aca="false">$G52</f>
        <v>0</v>
      </c>
      <c r="C68" s="218" t="n">
        <f aca="false">$D13*$G$41</f>
        <v>0</v>
      </c>
      <c r="D68" s="248" t="n">
        <f aca="false">$B68+$C68</f>
        <v>0</v>
      </c>
      <c r="E68" s="218" t="n">
        <f aca="false">IFERROR($B68/$C13/100,0)</f>
        <v>0</v>
      </c>
    </row>
    <row r="69" customFormat="false" ht="15.75" hidden="false" customHeight="true" outlineLevel="0" collapsed="false">
      <c r="A69" s="217" t="str">
        <f aca="false">IF($A14="","",$A14)</f>
        <v/>
      </c>
      <c r="B69" s="218" t="n">
        <f aca="false">$G53</f>
        <v>0</v>
      </c>
      <c r="C69" s="218" t="n">
        <f aca="false">$D14*$G$41</f>
        <v>0</v>
      </c>
      <c r="D69" s="248" t="n">
        <f aca="false">$B69+$C69</f>
        <v>0</v>
      </c>
      <c r="E69" s="218" t="n">
        <f aca="false">IFERROR($B69/$C14/100,0)</f>
        <v>0</v>
      </c>
    </row>
    <row r="70" customFormat="false" ht="15.75" hidden="false" customHeight="true" outlineLevel="0" collapsed="false">
      <c r="A70" s="217" t="str">
        <f aca="false">IF($A15="","",$A15)</f>
        <v/>
      </c>
      <c r="B70" s="218" t="n">
        <f aca="false">$G54</f>
        <v>0</v>
      </c>
      <c r="C70" s="218" t="n">
        <f aca="false">$D15*$G$41</f>
        <v>0</v>
      </c>
      <c r="D70" s="248" t="n">
        <f aca="false">$B70+$C70</f>
        <v>0</v>
      </c>
      <c r="E70" s="218" t="n">
        <f aca="false">IFERROR($B70/$C15/100,0)</f>
        <v>0</v>
      </c>
    </row>
    <row r="71" customFormat="false" ht="15.75" hidden="false" customHeight="true" outlineLevel="0" collapsed="false">
      <c r="A71" s="217" t="str">
        <f aca="false">IF($A16="","",$A16)</f>
        <v/>
      </c>
      <c r="B71" s="218" t="n">
        <f aca="false">$G55</f>
        <v>0</v>
      </c>
      <c r="C71" s="218" t="n">
        <f aca="false">$D16*$G$41</f>
        <v>0</v>
      </c>
      <c r="D71" s="248" t="n">
        <f aca="false">$B71+$C71</f>
        <v>0</v>
      </c>
      <c r="E71" s="218" t="n">
        <f aca="false">IFERROR($B71/$C16/100,0)</f>
        <v>0</v>
      </c>
    </row>
    <row r="72" customFormat="false" ht="15.75" hidden="false" customHeight="true" outlineLevel="0" collapsed="false">
      <c r="A72" s="217" t="str">
        <f aca="false">IF($A17="","",$A17)</f>
        <v/>
      </c>
      <c r="B72" s="218" t="n">
        <f aca="false">$G56</f>
        <v>0</v>
      </c>
      <c r="C72" s="218" t="n">
        <f aca="false">$D17*$G$41</f>
        <v>0</v>
      </c>
      <c r="D72" s="248" t="n">
        <f aca="false">$B72+$C72</f>
        <v>0</v>
      </c>
      <c r="E72" s="218" t="n">
        <f aca="false">IFERROR($B72/$C17/100,0)</f>
        <v>0</v>
      </c>
    </row>
    <row r="73" customFormat="false" ht="15.75" hidden="false" customHeight="true" outlineLevel="0" collapsed="false">
      <c r="A73" s="217" t="str">
        <f aca="false">IF($A18="","",$A18)</f>
        <v/>
      </c>
      <c r="B73" s="218" t="n">
        <f aca="false">$G57</f>
        <v>0</v>
      </c>
      <c r="C73" s="218" t="n">
        <f aca="false">$D18*$G$41</f>
        <v>0</v>
      </c>
      <c r="D73" s="248" t="n">
        <f aca="false">$B73+$C73</f>
        <v>0</v>
      </c>
      <c r="E73" s="218" t="n">
        <f aca="false">IFERROR($B73/$C18/100,0)</f>
        <v>0</v>
      </c>
    </row>
    <row r="74" customFormat="false" ht="15.75" hidden="false" customHeight="true" outlineLevel="0" collapsed="false">
      <c r="A74" s="217" t="str">
        <f aca="false">IF($A19="","",$A19)</f>
        <v/>
      </c>
      <c r="B74" s="218" t="n">
        <f aca="false">$G58</f>
        <v>0</v>
      </c>
      <c r="C74" s="218" t="n">
        <f aca="false">$D19*$G$41</f>
        <v>0</v>
      </c>
      <c r="D74" s="248" t="n">
        <f aca="false">$B74+$C74</f>
        <v>0</v>
      </c>
      <c r="E74" s="218" t="n">
        <f aca="false">IFERROR($B74/$C19/100,0)</f>
        <v>0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3:J3"/>
    <mergeCell ref="A5:G5"/>
  </mergeCells>
  <dataValidations count="1">
    <dataValidation allowBlank="true" errorStyle="stop" operator="between" showDropDown="false" showErrorMessage="false" showInputMessage="false" sqref="B7:B19" type="list">
      <formula1>"Fundador,Investidor"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46"/>
    <col collapsed="false" customWidth="true" hidden="false" outlineLevel="0" max="6" min="2" style="37" width="11"/>
    <col collapsed="false" customWidth="true" hidden="false" outlineLevel="0" max="7" min="7" style="37" width="12.15"/>
    <col collapsed="false" customWidth="true" hidden="false" outlineLevel="0" max="61" min="8" style="37" width="11"/>
    <col collapsed="false" customWidth="true" hidden="false" outlineLevel="0" max="62" min="62" style="37" width="15"/>
    <col collapsed="false" customWidth="true" hidden="false" outlineLevel="0" max="63" min="63" style="37" width="34"/>
  </cols>
  <sheetData>
    <row r="1" customFormat="false" ht="25.5" hidden="false" customHeight="true" outlineLevel="0" collapsed="false">
      <c r="A1" s="38" t="s">
        <v>697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customFormat="false" ht="15.75" hidden="false" customHeight="true" outlineLevel="0" collapsed="false">
      <c r="A2" s="143" t="str">
        <f aca="false">" Cenário ativo: "&amp;Premissas!B7</f>
        <v> Cenário ativo: PROVÁVEL</v>
      </c>
    </row>
    <row r="4" customFormat="false" ht="15" hidden="false" customHeight="true" outlineLevel="0" collapsed="false">
      <c r="A4" s="144" t="s">
        <v>384</v>
      </c>
      <c r="B4" s="145" t="n">
        <v>46023</v>
      </c>
      <c r="C4" s="145" t="n">
        <v>46054</v>
      </c>
      <c r="D4" s="145" t="n">
        <v>46082</v>
      </c>
      <c r="E4" s="145" t="n">
        <v>46113</v>
      </c>
      <c r="F4" s="145" t="n">
        <v>46143</v>
      </c>
      <c r="G4" s="145" t="n">
        <v>46174</v>
      </c>
      <c r="H4" s="145" t="n">
        <v>46204</v>
      </c>
      <c r="I4" s="145" t="n">
        <v>46235</v>
      </c>
      <c r="J4" s="145" t="n">
        <v>46266</v>
      </c>
      <c r="K4" s="145" t="n">
        <v>46296</v>
      </c>
      <c r="L4" s="145" t="n">
        <v>46327</v>
      </c>
      <c r="M4" s="145" t="n">
        <v>46357</v>
      </c>
      <c r="N4" s="145" t="n">
        <v>46388</v>
      </c>
      <c r="O4" s="145" t="n">
        <v>46419</v>
      </c>
      <c r="P4" s="145" t="n">
        <v>46447</v>
      </c>
      <c r="Q4" s="145" t="n">
        <v>46478</v>
      </c>
      <c r="R4" s="145" t="n">
        <v>46508</v>
      </c>
      <c r="S4" s="145" t="n">
        <v>46539</v>
      </c>
      <c r="T4" s="145" t="n">
        <v>46569</v>
      </c>
      <c r="U4" s="145" t="n">
        <v>46600</v>
      </c>
      <c r="V4" s="145" t="n">
        <v>46631</v>
      </c>
      <c r="W4" s="145" t="n">
        <v>46661</v>
      </c>
      <c r="X4" s="145" t="n">
        <v>46692</v>
      </c>
      <c r="Y4" s="145" t="n">
        <v>46722</v>
      </c>
      <c r="Z4" s="145" t="n">
        <v>46753</v>
      </c>
      <c r="AA4" s="145" t="n">
        <v>46784</v>
      </c>
      <c r="AB4" s="145" t="n">
        <v>46813</v>
      </c>
      <c r="AC4" s="145" t="n">
        <v>46844</v>
      </c>
      <c r="AD4" s="145" t="n">
        <v>46874</v>
      </c>
      <c r="AE4" s="145" t="n">
        <v>46905</v>
      </c>
      <c r="AF4" s="145" t="n">
        <v>46935</v>
      </c>
      <c r="AG4" s="145" t="n">
        <v>46966</v>
      </c>
      <c r="AH4" s="145" t="n">
        <v>46997</v>
      </c>
      <c r="AI4" s="145" t="n">
        <v>47027</v>
      </c>
      <c r="AJ4" s="145" t="n">
        <v>47058</v>
      </c>
      <c r="AK4" s="145" t="n">
        <v>47088</v>
      </c>
      <c r="AL4" s="145" t="n">
        <v>47119</v>
      </c>
      <c r="AM4" s="145" t="n">
        <v>47150</v>
      </c>
      <c r="AN4" s="145" t="n">
        <v>47178</v>
      </c>
      <c r="AO4" s="145" t="n">
        <v>47209</v>
      </c>
      <c r="AP4" s="145" t="n">
        <v>47239</v>
      </c>
      <c r="AQ4" s="145" t="n">
        <v>47270</v>
      </c>
      <c r="AR4" s="145" t="n">
        <v>47300</v>
      </c>
      <c r="AS4" s="145" t="n">
        <v>47331</v>
      </c>
      <c r="AT4" s="145" t="n">
        <v>47362</v>
      </c>
      <c r="AU4" s="145" t="n">
        <v>47392</v>
      </c>
      <c r="AV4" s="145" t="n">
        <v>47423</v>
      </c>
      <c r="AW4" s="145" t="n">
        <v>47453</v>
      </c>
      <c r="AX4" s="145" t="n">
        <v>47484</v>
      </c>
      <c r="AY4" s="145" t="n">
        <v>47515</v>
      </c>
      <c r="AZ4" s="145" t="n">
        <v>47543</v>
      </c>
      <c r="BA4" s="145" t="n">
        <v>47574</v>
      </c>
      <c r="BB4" s="145" t="n">
        <v>47604</v>
      </c>
      <c r="BC4" s="145" t="n">
        <v>47635</v>
      </c>
      <c r="BD4" s="145" t="n">
        <v>47665</v>
      </c>
      <c r="BE4" s="145" t="n">
        <v>47696</v>
      </c>
      <c r="BF4" s="145" t="n">
        <v>47727</v>
      </c>
      <c r="BG4" s="145" t="n">
        <v>47757</v>
      </c>
      <c r="BH4" s="145" t="n">
        <v>47788</v>
      </c>
      <c r="BI4" s="145" t="n">
        <v>47818</v>
      </c>
      <c r="BJ4" s="146" t="s">
        <v>385</v>
      </c>
      <c r="BK4" s="146" t="s">
        <v>386</v>
      </c>
    </row>
    <row r="5" customFormat="false" ht="15" hidden="false" customHeight="true" outlineLevel="0" collapsed="false">
      <c r="A5" s="147" t="s">
        <v>387</v>
      </c>
      <c r="B5" s="148" t="n">
        <v>1</v>
      </c>
      <c r="C5" s="148" t="n">
        <v>2</v>
      </c>
      <c r="D5" s="148" t="n">
        <v>3</v>
      </c>
      <c r="E5" s="148" t="n">
        <v>4</v>
      </c>
      <c r="F5" s="148" t="n">
        <v>5</v>
      </c>
      <c r="G5" s="148" t="n">
        <v>6</v>
      </c>
      <c r="H5" s="148" t="n">
        <v>7</v>
      </c>
      <c r="I5" s="148" t="n">
        <v>8</v>
      </c>
      <c r="J5" s="148" t="n">
        <v>9</v>
      </c>
      <c r="K5" s="148" t="n">
        <v>10</v>
      </c>
      <c r="L5" s="148" t="n">
        <v>11</v>
      </c>
      <c r="M5" s="148" t="n">
        <v>12</v>
      </c>
      <c r="N5" s="148" t="n">
        <v>13</v>
      </c>
      <c r="O5" s="148" t="n">
        <v>14</v>
      </c>
      <c r="P5" s="148" t="n">
        <v>15</v>
      </c>
      <c r="Q5" s="148" t="n">
        <v>16</v>
      </c>
      <c r="R5" s="148" t="n">
        <v>17</v>
      </c>
      <c r="S5" s="148" t="n">
        <v>18</v>
      </c>
      <c r="T5" s="148" t="n">
        <v>19</v>
      </c>
      <c r="U5" s="148" t="n">
        <v>20</v>
      </c>
      <c r="V5" s="148" t="n">
        <v>21</v>
      </c>
      <c r="W5" s="148" t="n">
        <v>22</v>
      </c>
      <c r="X5" s="148" t="n">
        <v>23</v>
      </c>
      <c r="Y5" s="148" t="n">
        <v>24</v>
      </c>
      <c r="Z5" s="148" t="n">
        <v>25</v>
      </c>
      <c r="AA5" s="148" t="n">
        <v>26</v>
      </c>
      <c r="AB5" s="148" t="n">
        <v>27</v>
      </c>
      <c r="AC5" s="148" t="n">
        <v>28</v>
      </c>
      <c r="AD5" s="148" t="n">
        <v>29</v>
      </c>
      <c r="AE5" s="148" t="n">
        <v>30</v>
      </c>
      <c r="AF5" s="148" t="n">
        <v>31</v>
      </c>
      <c r="AG5" s="148" t="n">
        <v>32</v>
      </c>
      <c r="AH5" s="148" t="n">
        <v>33</v>
      </c>
      <c r="AI5" s="148" t="n">
        <v>34</v>
      </c>
      <c r="AJ5" s="148" t="n">
        <v>35</v>
      </c>
      <c r="AK5" s="148" t="n">
        <v>36</v>
      </c>
      <c r="AL5" s="148" t="n">
        <v>37</v>
      </c>
      <c r="AM5" s="148" t="n">
        <v>38</v>
      </c>
      <c r="AN5" s="148" t="n">
        <v>39</v>
      </c>
      <c r="AO5" s="148" t="n">
        <v>40</v>
      </c>
      <c r="AP5" s="148" t="n">
        <v>41</v>
      </c>
      <c r="AQ5" s="148" t="n">
        <v>42</v>
      </c>
      <c r="AR5" s="148" t="n">
        <v>43</v>
      </c>
      <c r="AS5" s="148" t="n">
        <v>44</v>
      </c>
      <c r="AT5" s="148" t="n">
        <v>45</v>
      </c>
      <c r="AU5" s="148" t="n">
        <v>46</v>
      </c>
      <c r="AV5" s="148" t="n">
        <v>47</v>
      </c>
      <c r="AW5" s="148" t="n">
        <v>48</v>
      </c>
      <c r="AX5" s="148" t="n">
        <v>49</v>
      </c>
      <c r="AY5" s="148" t="n">
        <v>50</v>
      </c>
      <c r="AZ5" s="148" t="n">
        <v>51</v>
      </c>
      <c r="BA5" s="148" t="n">
        <v>52</v>
      </c>
      <c r="BB5" s="148" t="n">
        <v>53</v>
      </c>
      <c r="BC5" s="148" t="n">
        <v>54</v>
      </c>
      <c r="BD5" s="148" t="n">
        <v>55</v>
      </c>
      <c r="BE5" s="148" t="n">
        <v>56</v>
      </c>
      <c r="BF5" s="148" t="n">
        <v>57</v>
      </c>
      <c r="BG5" s="148" t="n">
        <v>58</v>
      </c>
      <c r="BH5" s="148" t="n">
        <v>59</v>
      </c>
      <c r="BI5" s="148" t="n">
        <v>60</v>
      </c>
    </row>
    <row r="6" customFormat="false" ht="15" hidden="false" customHeight="true" outlineLevel="0" collapsed="false">
      <c r="A6" s="147" t="s">
        <v>388</v>
      </c>
      <c r="B6" s="149" t="n">
        <f aca="false">YEAR(B4)</f>
        <v>2026</v>
      </c>
      <c r="C6" s="149" t="n">
        <f aca="false">YEAR(C4)</f>
        <v>2026</v>
      </c>
      <c r="D6" s="149" t="n">
        <f aca="false">YEAR(D4)</f>
        <v>2026</v>
      </c>
      <c r="E6" s="149" t="n">
        <f aca="false">YEAR(E4)</f>
        <v>2026</v>
      </c>
      <c r="F6" s="149" t="n">
        <f aca="false">YEAR(F4)</f>
        <v>2026</v>
      </c>
      <c r="G6" s="149" t="n">
        <f aca="false">YEAR(G4)</f>
        <v>2026</v>
      </c>
      <c r="H6" s="149" t="n">
        <f aca="false">YEAR(H4)</f>
        <v>2026</v>
      </c>
      <c r="I6" s="149" t="n">
        <f aca="false">YEAR(I4)</f>
        <v>2026</v>
      </c>
      <c r="J6" s="149" t="n">
        <f aca="false">YEAR(J4)</f>
        <v>2026</v>
      </c>
      <c r="K6" s="149" t="n">
        <f aca="false">YEAR(K4)</f>
        <v>2026</v>
      </c>
      <c r="L6" s="149" t="n">
        <f aca="false">YEAR(L4)</f>
        <v>2026</v>
      </c>
      <c r="M6" s="149" t="n">
        <f aca="false">YEAR(M4)</f>
        <v>2026</v>
      </c>
      <c r="N6" s="149" t="n">
        <f aca="false">YEAR(N4)</f>
        <v>2027</v>
      </c>
      <c r="O6" s="149" t="n">
        <f aca="false">YEAR(O4)</f>
        <v>2027</v>
      </c>
      <c r="P6" s="149" t="n">
        <f aca="false">YEAR(P4)</f>
        <v>2027</v>
      </c>
      <c r="Q6" s="149" t="n">
        <f aca="false">YEAR(Q4)</f>
        <v>2027</v>
      </c>
      <c r="R6" s="149" t="n">
        <f aca="false">YEAR(R4)</f>
        <v>2027</v>
      </c>
      <c r="S6" s="149" t="n">
        <f aca="false">YEAR(S4)</f>
        <v>2027</v>
      </c>
      <c r="T6" s="149" t="n">
        <f aca="false">YEAR(T4)</f>
        <v>2027</v>
      </c>
      <c r="U6" s="149" t="n">
        <f aca="false">YEAR(U4)</f>
        <v>2027</v>
      </c>
      <c r="V6" s="149" t="n">
        <f aca="false">YEAR(V4)</f>
        <v>2027</v>
      </c>
      <c r="W6" s="149" t="n">
        <f aca="false">YEAR(W4)</f>
        <v>2027</v>
      </c>
      <c r="X6" s="149" t="n">
        <f aca="false">YEAR(X4)</f>
        <v>2027</v>
      </c>
      <c r="Y6" s="149" t="n">
        <f aca="false">YEAR(Y4)</f>
        <v>2027</v>
      </c>
      <c r="Z6" s="149" t="n">
        <f aca="false">YEAR(Z4)</f>
        <v>2028</v>
      </c>
      <c r="AA6" s="149" t="n">
        <f aca="false">YEAR(AA4)</f>
        <v>2028</v>
      </c>
      <c r="AB6" s="149" t="n">
        <f aca="false">YEAR(AB4)</f>
        <v>2028</v>
      </c>
      <c r="AC6" s="149" t="n">
        <f aca="false">YEAR(AC4)</f>
        <v>2028</v>
      </c>
      <c r="AD6" s="149" t="n">
        <f aca="false">YEAR(AD4)</f>
        <v>2028</v>
      </c>
      <c r="AE6" s="149" t="n">
        <f aca="false">YEAR(AE4)</f>
        <v>2028</v>
      </c>
      <c r="AF6" s="149" t="n">
        <f aca="false">YEAR(AF4)</f>
        <v>2028</v>
      </c>
      <c r="AG6" s="149" t="n">
        <f aca="false">YEAR(AG4)</f>
        <v>2028</v>
      </c>
      <c r="AH6" s="149" t="n">
        <f aca="false">YEAR(AH4)</f>
        <v>2028</v>
      </c>
      <c r="AI6" s="149" t="n">
        <f aca="false">YEAR(AI4)</f>
        <v>2028</v>
      </c>
      <c r="AJ6" s="149" t="n">
        <f aca="false">YEAR(AJ4)</f>
        <v>2028</v>
      </c>
      <c r="AK6" s="149" t="n">
        <f aca="false">YEAR(AK4)</f>
        <v>2028</v>
      </c>
      <c r="AL6" s="149" t="n">
        <f aca="false">YEAR(AL4)</f>
        <v>2029</v>
      </c>
      <c r="AM6" s="149" t="n">
        <f aca="false">YEAR(AM4)</f>
        <v>2029</v>
      </c>
      <c r="AN6" s="149" t="n">
        <f aca="false">YEAR(AN4)</f>
        <v>2029</v>
      </c>
      <c r="AO6" s="149" t="n">
        <f aca="false">YEAR(AO4)</f>
        <v>2029</v>
      </c>
      <c r="AP6" s="149" t="n">
        <f aca="false">YEAR(AP4)</f>
        <v>2029</v>
      </c>
      <c r="AQ6" s="149" t="n">
        <f aca="false">YEAR(AQ4)</f>
        <v>2029</v>
      </c>
      <c r="AR6" s="149" t="n">
        <f aca="false">YEAR(AR4)</f>
        <v>2029</v>
      </c>
      <c r="AS6" s="149" t="n">
        <f aca="false">YEAR(AS4)</f>
        <v>2029</v>
      </c>
      <c r="AT6" s="149" t="n">
        <f aca="false">YEAR(AT4)</f>
        <v>2029</v>
      </c>
      <c r="AU6" s="149" t="n">
        <f aca="false">YEAR(AU4)</f>
        <v>2029</v>
      </c>
      <c r="AV6" s="149" t="n">
        <f aca="false">YEAR(AV4)</f>
        <v>2029</v>
      </c>
      <c r="AW6" s="149" t="n">
        <f aca="false">YEAR(AW4)</f>
        <v>2029</v>
      </c>
      <c r="AX6" s="149" t="n">
        <f aca="false">YEAR(AX4)</f>
        <v>2030</v>
      </c>
      <c r="AY6" s="149" t="n">
        <f aca="false">YEAR(AY4)</f>
        <v>2030</v>
      </c>
      <c r="AZ6" s="149" t="n">
        <f aca="false">YEAR(AZ4)</f>
        <v>2030</v>
      </c>
      <c r="BA6" s="149" t="n">
        <f aca="false">YEAR(BA4)</f>
        <v>2030</v>
      </c>
      <c r="BB6" s="149" t="n">
        <f aca="false">YEAR(BB4)</f>
        <v>2030</v>
      </c>
      <c r="BC6" s="149" t="n">
        <f aca="false">YEAR(BC4)</f>
        <v>2030</v>
      </c>
      <c r="BD6" s="149" t="n">
        <f aca="false">YEAR(BD4)</f>
        <v>2030</v>
      </c>
      <c r="BE6" s="149" t="n">
        <f aca="false">YEAR(BE4)</f>
        <v>2030</v>
      </c>
      <c r="BF6" s="149" t="n">
        <f aca="false">YEAR(BF4)</f>
        <v>2030</v>
      </c>
      <c r="BG6" s="149" t="n">
        <f aca="false">YEAR(BG4)</f>
        <v>2030</v>
      </c>
      <c r="BH6" s="149" t="n">
        <f aca="false">YEAR(BH4)</f>
        <v>2030</v>
      </c>
      <c r="BI6" s="149" t="n">
        <f aca="false">YEAR(BI4)</f>
        <v>2030</v>
      </c>
    </row>
    <row r="7" customFormat="false" ht="15" hidden="false" customHeight="true" outlineLevel="0" collapsed="false">
      <c r="A7" s="150" t="s">
        <v>389</v>
      </c>
      <c r="B7" s="151" t="n">
        <f aca="false">MATCH(B6,Premissas!$C$5:$G$5,0)</f>
        <v>1</v>
      </c>
      <c r="C7" s="151" t="n">
        <f aca="false">MATCH(C6,Premissas!$C$5:$G$5,0)</f>
        <v>1</v>
      </c>
      <c r="D7" s="151" t="n">
        <f aca="false">MATCH(D6,Premissas!$C$5:$G$5,0)</f>
        <v>1</v>
      </c>
      <c r="E7" s="151" t="n">
        <f aca="false">MATCH(E6,Premissas!$C$5:$G$5,0)</f>
        <v>1</v>
      </c>
      <c r="F7" s="151" t="n">
        <f aca="false">MATCH(F6,Premissas!$C$5:$G$5,0)</f>
        <v>1</v>
      </c>
      <c r="G7" s="151" t="n">
        <f aca="false">MATCH(G6,Premissas!$C$5:$G$5,0)</f>
        <v>1</v>
      </c>
      <c r="H7" s="151" t="n">
        <f aca="false">MATCH(H6,Premissas!$C$5:$G$5,0)</f>
        <v>1</v>
      </c>
      <c r="I7" s="151" t="n">
        <f aca="false">MATCH(I6,Premissas!$C$5:$G$5,0)</f>
        <v>1</v>
      </c>
      <c r="J7" s="151" t="n">
        <f aca="false">MATCH(J6,Premissas!$C$5:$G$5,0)</f>
        <v>1</v>
      </c>
      <c r="K7" s="151" t="n">
        <f aca="false">MATCH(K6,Premissas!$C$5:$G$5,0)</f>
        <v>1</v>
      </c>
      <c r="L7" s="151" t="n">
        <f aca="false">MATCH(L6,Premissas!$C$5:$G$5,0)</f>
        <v>1</v>
      </c>
      <c r="M7" s="151" t="n">
        <f aca="false">MATCH(M6,Premissas!$C$5:$G$5,0)</f>
        <v>1</v>
      </c>
      <c r="N7" s="151" t="n">
        <f aca="false">MATCH(N6,Premissas!$C$5:$G$5,0)</f>
        <v>2</v>
      </c>
      <c r="O7" s="151" t="n">
        <f aca="false">MATCH(O6,Premissas!$C$5:$G$5,0)</f>
        <v>2</v>
      </c>
      <c r="P7" s="151" t="n">
        <f aca="false">MATCH(P6,Premissas!$C$5:$G$5,0)</f>
        <v>2</v>
      </c>
      <c r="Q7" s="151" t="n">
        <f aca="false">MATCH(Q6,Premissas!$C$5:$G$5,0)</f>
        <v>2</v>
      </c>
      <c r="R7" s="151" t="n">
        <f aca="false">MATCH(R6,Premissas!$C$5:$G$5,0)</f>
        <v>2</v>
      </c>
      <c r="S7" s="151" t="n">
        <f aca="false">MATCH(S6,Premissas!$C$5:$G$5,0)</f>
        <v>2</v>
      </c>
      <c r="T7" s="151" t="n">
        <f aca="false">MATCH(T6,Premissas!$C$5:$G$5,0)</f>
        <v>2</v>
      </c>
      <c r="U7" s="151" t="n">
        <f aca="false">MATCH(U6,Premissas!$C$5:$G$5,0)</f>
        <v>2</v>
      </c>
      <c r="V7" s="151" t="n">
        <f aca="false">MATCH(V6,Premissas!$C$5:$G$5,0)</f>
        <v>2</v>
      </c>
      <c r="W7" s="151" t="n">
        <f aca="false">MATCH(W6,Premissas!$C$5:$G$5,0)</f>
        <v>2</v>
      </c>
      <c r="X7" s="151" t="n">
        <f aca="false">MATCH(X6,Premissas!$C$5:$G$5,0)</f>
        <v>2</v>
      </c>
      <c r="Y7" s="151" t="n">
        <f aca="false">MATCH(Y6,Premissas!$C$5:$G$5,0)</f>
        <v>2</v>
      </c>
      <c r="Z7" s="151" t="n">
        <f aca="false">MATCH(Z6,Premissas!$C$5:$G$5,0)</f>
        <v>3</v>
      </c>
      <c r="AA7" s="151" t="n">
        <f aca="false">MATCH(AA6,Premissas!$C$5:$G$5,0)</f>
        <v>3</v>
      </c>
      <c r="AB7" s="151" t="n">
        <f aca="false">MATCH(AB6,Premissas!$C$5:$G$5,0)</f>
        <v>3</v>
      </c>
      <c r="AC7" s="151" t="n">
        <f aca="false">MATCH(AC6,Premissas!$C$5:$G$5,0)</f>
        <v>3</v>
      </c>
      <c r="AD7" s="151" t="n">
        <f aca="false">MATCH(AD6,Premissas!$C$5:$G$5,0)</f>
        <v>3</v>
      </c>
      <c r="AE7" s="151" t="n">
        <f aca="false">MATCH(AE6,Premissas!$C$5:$G$5,0)</f>
        <v>3</v>
      </c>
      <c r="AF7" s="151" t="n">
        <f aca="false">MATCH(AF6,Premissas!$C$5:$G$5,0)</f>
        <v>3</v>
      </c>
      <c r="AG7" s="151" t="n">
        <f aca="false">MATCH(AG6,Premissas!$C$5:$G$5,0)</f>
        <v>3</v>
      </c>
      <c r="AH7" s="151" t="n">
        <f aca="false">MATCH(AH6,Premissas!$C$5:$G$5,0)</f>
        <v>3</v>
      </c>
      <c r="AI7" s="151" t="n">
        <f aca="false">MATCH(AI6,Premissas!$C$5:$G$5,0)</f>
        <v>3</v>
      </c>
      <c r="AJ7" s="151" t="n">
        <f aca="false">MATCH(AJ6,Premissas!$C$5:$G$5,0)</f>
        <v>3</v>
      </c>
      <c r="AK7" s="151" t="n">
        <f aca="false">MATCH(AK6,Premissas!$C$5:$G$5,0)</f>
        <v>3</v>
      </c>
      <c r="AL7" s="151" t="n">
        <f aca="false">MATCH(AL6,Premissas!$C$5:$G$5,0)</f>
        <v>4</v>
      </c>
      <c r="AM7" s="151" t="n">
        <f aca="false">MATCH(AM6,Premissas!$C$5:$G$5,0)</f>
        <v>4</v>
      </c>
      <c r="AN7" s="151" t="n">
        <f aca="false">MATCH(AN6,Premissas!$C$5:$G$5,0)</f>
        <v>4</v>
      </c>
      <c r="AO7" s="151" t="n">
        <f aca="false">MATCH(AO6,Premissas!$C$5:$G$5,0)</f>
        <v>4</v>
      </c>
      <c r="AP7" s="151" t="n">
        <f aca="false">MATCH(AP6,Premissas!$C$5:$G$5,0)</f>
        <v>4</v>
      </c>
      <c r="AQ7" s="151" t="n">
        <f aca="false">MATCH(AQ6,Premissas!$C$5:$G$5,0)</f>
        <v>4</v>
      </c>
      <c r="AR7" s="151" t="n">
        <f aca="false">MATCH(AR6,Premissas!$C$5:$G$5,0)</f>
        <v>4</v>
      </c>
      <c r="AS7" s="151" t="n">
        <f aca="false">MATCH(AS6,Premissas!$C$5:$G$5,0)</f>
        <v>4</v>
      </c>
      <c r="AT7" s="151" t="n">
        <f aca="false">MATCH(AT6,Premissas!$C$5:$G$5,0)</f>
        <v>4</v>
      </c>
      <c r="AU7" s="151" t="n">
        <f aca="false">MATCH(AU6,Premissas!$C$5:$G$5,0)</f>
        <v>4</v>
      </c>
      <c r="AV7" s="151" t="n">
        <f aca="false">MATCH(AV6,Premissas!$C$5:$G$5,0)</f>
        <v>4</v>
      </c>
      <c r="AW7" s="151" t="n">
        <f aca="false">MATCH(AW6,Premissas!$C$5:$G$5,0)</f>
        <v>4</v>
      </c>
      <c r="AX7" s="151" t="n">
        <f aca="false">MATCH(AX6,Premissas!$C$5:$G$5,0)</f>
        <v>5</v>
      </c>
      <c r="AY7" s="151" t="n">
        <f aca="false">MATCH(AY6,Premissas!$C$5:$G$5,0)</f>
        <v>5</v>
      </c>
      <c r="AZ7" s="151" t="n">
        <f aca="false">MATCH(AZ6,Premissas!$C$5:$G$5,0)</f>
        <v>5</v>
      </c>
      <c r="BA7" s="151" t="n">
        <f aca="false">MATCH(BA6,Premissas!$C$5:$G$5,0)</f>
        <v>5</v>
      </c>
      <c r="BB7" s="151" t="n">
        <f aca="false">MATCH(BB6,Premissas!$C$5:$G$5,0)</f>
        <v>5</v>
      </c>
      <c r="BC7" s="151" t="n">
        <f aca="false">MATCH(BC6,Premissas!$C$5:$G$5,0)</f>
        <v>5</v>
      </c>
      <c r="BD7" s="151" t="n">
        <f aca="false">MATCH(BD6,Premissas!$C$5:$G$5,0)</f>
        <v>5</v>
      </c>
      <c r="BE7" s="151" t="n">
        <f aca="false">MATCH(BE6,Premissas!$C$5:$G$5,0)</f>
        <v>5</v>
      </c>
      <c r="BF7" s="151" t="n">
        <f aca="false">MATCH(BF6,Premissas!$C$5:$G$5,0)</f>
        <v>5</v>
      </c>
      <c r="BG7" s="151" t="n">
        <f aca="false">MATCH(BG6,Premissas!$C$5:$G$5,0)</f>
        <v>5</v>
      </c>
      <c r="BH7" s="151" t="n">
        <f aca="false">MATCH(BH6,Premissas!$C$5:$G$5,0)</f>
        <v>5</v>
      </c>
      <c r="BI7" s="151" t="n">
        <f aca="false">MATCH(BI6,Premissas!$C$5:$G$5,0)</f>
        <v>5</v>
      </c>
    </row>
    <row r="8" customFormat="false" ht="18" hidden="false" customHeight="true" outlineLevel="0" collapsed="false">
      <c r="A8" s="47" t="s">
        <v>433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</row>
    <row r="9" customFormat="false" ht="15" hidden="false" customHeight="true" outlineLevel="0" collapsed="false">
      <c r="A9" s="49" t="s">
        <v>391</v>
      </c>
      <c r="B9" s="153" t="n">
        <f aca="false">CHOOSE(Premissas!$B$6,Cenários!B20,Cenários!B66,Cenários!B112)</f>
        <v>0</v>
      </c>
      <c r="C9" s="153" t="n">
        <f aca="false">CHOOSE(Premissas!$B$6,Cenários!C20,Cenários!C66,Cenários!C112)</f>
        <v>0</v>
      </c>
      <c r="D9" s="153" t="n">
        <f aca="false">CHOOSE(Premissas!$B$6,Cenários!D20,Cenários!D66,Cenários!D112)</f>
        <v>0</v>
      </c>
      <c r="E9" s="153" t="n">
        <f aca="false">CHOOSE(Premissas!$B$6,Cenários!E20,Cenários!E66,Cenários!E112)</f>
        <v>0</v>
      </c>
      <c r="F9" s="153" t="n">
        <f aca="false">CHOOSE(Premissas!$B$6,Cenários!F20,Cenários!F66,Cenários!F112)</f>
        <v>0</v>
      </c>
      <c r="G9" s="153" t="n">
        <f aca="false">CHOOSE(Premissas!$B$6,Cenários!G20,Cenários!G66,Cenários!G112)</f>
        <v>0</v>
      </c>
      <c r="H9" s="153" t="n">
        <f aca="false">CHOOSE(Premissas!$B$6,Cenários!H20,Cenários!H66,Cenários!H112)</f>
        <v>0</v>
      </c>
      <c r="I9" s="153" t="n">
        <f aca="false">CHOOSE(Premissas!$B$6,Cenários!I20,Cenários!I66,Cenários!I112)</f>
        <v>0</v>
      </c>
      <c r="J9" s="153" t="n">
        <f aca="false">CHOOSE(Premissas!$B$6,Cenários!J20,Cenários!J66,Cenários!J112)</f>
        <v>0</v>
      </c>
      <c r="K9" s="153" t="n">
        <f aca="false">CHOOSE(Premissas!$B$6,Cenários!K20,Cenários!K66,Cenários!K112)</f>
        <v>0</v>
      </c>
      <c r="L9" s="153" t="n">
        <f aca="false">CHOOSE(Premissas!$B$6,Cenários!L20,Cenários!L66,Cenários!L112)</f>
        <v>0</v>
      </c>
      <c r="M9" s="153" t="n">
        <f aca="false">CHOOSE(Premissas!$B$6,Cenários!M20,Cenários!M66,Cenários!M112)</f>
        <v>7191</v>
      </c>
      <c r="N9" s="153" t="n">
        <f aca="false">CHOOSE(Premissas!$B$6,Cenários!N20,Cenários!N66,Cenários!N112)</f>
        <v>36114.8</v>
      </c>
      <c r="O9" s="153" t="n">
        <f aca="false">CHOOSE(Premissas!$B$6,Cenários!O20,Cenários!O66,Cenários!O112)</f>
        <v>83655.3</v>
      </c>
      <c r="P9" s="153" t="n">
        <f aca="false">CHOOSE(Premissas!$B$6,Cenários!P20,Cenários!P66,Cenários!P112)</f>
        <v>147815</v>
      </c>
      <c r="Q9" s="153" t="n">
        <f aca="false">CHOOSE(Premissas!$B$6,Cenários!Q20,Cenários!Q66,Cenários!Q112)</f>
        <v>226676.3</v>
      </c>
      <c r="R9" s="153" t="n">
        <f aca="false">CHOOSE(Premissas!$B$6,Cenários!R20,Cenários!R66,Cenários!R112)</f>
        <v>318641.2</v>
      </c>
      <c r="S9" s="153" t="n">
        <f aca="false">CHOOSE(Premissas!$B$6,Cenários!S20,Cenários!S66,Cenários!S112)</f>
        <v>361707.3</v>
      </c>
      <c r="T9" s="153" t="n">
        <f aca="false">CHOOSE(Premissas!$B$6,Cenários!T20,Cenários!T66,Cenários!T112)</f>
        <v>401497.5</v>
      </c>
      <c r="U9" s="153" t="n">
        <f aca="false">CHOOSE(Premissas!$B$6,Cenários!U20,Cenários!U66,Cenários!U112)</f>
        <v>438331.4</v>
      </c>
      <c r="V9" s="153" t="n">
        <f aca="false">CHOOSE(Premissas!$B$6,Cenários!V20,Cenários!V66,Cenários!V112)</f>
        <v>472448.7</v>
      </c>
      <c r="W9" s="153" t="n">
        <f aca="false">CHOOSE(Premissas!$B$6,Cenários!W20,Cenários!W66,Cenários!W112)</f>
        <v>503929.3</v>
      </c>
      <c r="X9" s="153" t="n">
        <f aca="false">CHOOSE(Premissas!$B$6,Cenários!X20,Cenários!X66,Cenários!X112)</f>
        <v>533092.8</v>
      </c>
      <c r="Y9" s="153" t="n">
        <f aca="false">CHOOSE(Premissas!$B$6,Cenários!Y20,Cenários!Y66,Cenários!Y112)</f>
        <v>560019.1</v>
      </c>
      <c r="Z9" s="153" t="n">
        <f aca="false">CHOOSE(Premissas!$B$6,Cenários!Z20,Cenários!Z66,Cenários!Z112)</f>
        <v>434895.7</v>
      </c>
      <c r="AA9" s="153" t="n">
        <f aca="false">CHOOSE(Premissas!$B$6,Cenários!AA20,Cenários!AA66,Cenários!AA112)</f>
        <v>474606</v>
      </c>
      <c r="AB9" s="153" t="n">
        <f aca="false">CHOOSE(Premissas!$B$6,Cenários!AB20,Cenários!AB66,Cenários!AB112)</f>
        <v>511519.8</v>
      </c>
      <c r="AC9" s="153" t="n">
        <f aca="false">CHOOSE(Premissas!$B$6,Cenários!AC20,Cenários!AC66,Cenários!AC112)</f>
        <v>545796.9</v>
      </c>
      <c r="AD9" s="153" t="n">
        <f aca="false">CHOOSE(Premissas!$B$6,Cenários!AD20,Cenários!AD66,Cenários!AD112)</f>
        <v>577597.1</v>
      </c>
      <c r="AE9" s="153" t="n">
        <f aca="false">CHOOSE(Premissas!$B$6,Cenários!AE20,Cenários!AE66,Cenários!AE112)</f>
        <v>607240</v>
      </c>
      <c r="AF9" s="153" t="n">
        <f aca="false">CHOOSE(Premissas!$B$6,Cenários!AF20,Cenários!AF66,Cenários!AF112)</f>
        <v>634725.6</v>
      </c>
      <c r="AG9" s="153" t="n">
        <f aca="false">CHOOSE(Premissas!$B$6,Cenários!AG20,Cenários!AG66,Cenários!AG112)</f>
        <v>660213.7</v>
      </c>
      <c r="AH9" s="153" t="n">
        <f aca="false">CHOOSE(Premissas!$B$6,Cenários!AH20,Cenários!AH66,Cenários!AH112)</f>
        <v>684023.9</v>
      </c>
      <c r="AI9" s="153" t="n">
        <f aca="false">CHOOSE(Premissas!$B$6,Cenários!AI20,Cenários!AI66,Cenários!AI112)</f>
        <v>706076.3</v>
      </c>
      <c r="AJ9" s="153" t="n">
        <f aca="false">CHOOSE(Premissas!$B$6,Cenários!AJ20,Cenários!AJ66,Cenários!AJ112)</f>
        <v>726610.6</v>
      </c>
      <c r="AK9" s="153" t="n">
        <f aca="false">CHOOSE(Premissas!$B$6,Cenários!AK20,Cenários!AK66,Cenários!AK112)</f>
        <v>745626.8</v>
      </c>
      <c r="AL9" s="153" t="n">
        <f aca="false">CHOOSE(Premissas!$B$6,Cenários!AL20,Cenários!AL66,Cenários!AL112)</f>
        <v>777187.3</v>
      </c>
      <c r="AM9" s="153" t="n">
        <f aca="false">CHOOSE(Premissas!$B$6,Cenários!AM20,Cenários!AM66,Cenários!AM112)</f>
        <v>828003.7</v>
      </c>
      <c r="AN9" s="153" t="n">
        <f aca="false">CHOOSE(Premissas!$B$6,Cenários!AN20,Cenários!AN66,Cenários!AN112)</f>
        <v>875384.4</v>
      </c>
      <c r="AO9" s="153" t="n">
        <f aca="false">CHOOSE(Premissas!$B$6,Cenários!AO20,Cenários!AO66,Cenários!AO112)</f>
        <v>919569.1</v>
      </c>
      <c r="AP9" s="153" t="n">
        <f aca="false">CHOOSE(Premissas!$B$6,Cenários!AP20,Cenários!AP66,Cenários!AP112)</f>
        <v>960877.4</v>
      </c>
      <c r="AQ9" s="153" t="n">
        <f aca="false">CHOOSE(Premissas!$B$6,Cenários!AQ20,Cenários!AQ66,Cenários!AQ112)</f>
        <v>999469.1</v>
      </c>
      <c r="AR9" s="153" t="n">
        <f aca="false">CHOOSE(Premissas!$B$6,Cenários!AR20,Cenários!AR66,Cenários!AR112)</f>
        <v>1035424.1</v>
      </c>
      <c r="AS9" s="153" t="n">
        <f aca="false">CHOOSE(Premissas!$B$6,Cenários!AS20,Cenários!AS66,Cenários!AS112)</f>
        <v>1069062</v>
      </c>
      <c r="AT9" s="153" t="n">
        <f aca="false">CHOOSE(Premissas!$B$6,Cenários!AT20,Cenários!AT66,Cenários!AT112)</f>
        <v>1100382.8</v>
      </c>
      <c r="AU9" s="153" t="n">
        <f aca="false">CHOOSE(Premissas!$B$6,Cenários!AU20,Cenários!AU66,Cenários!AU112)</f>
        <v>1129706.1</v>
      </c>
      <c r="AV9" s="153" t="n">
        <f aca="false">CHOOSE(Premissas!$B$6,Cenários!AV20,Cenários!AV66,Cenários!AV112)</f>
        <v>1157031.9</v>
      </c>
      <c r="AW9" s="153" t="n">
        <f aca="false">CHOOSE(Premissas!$B$6,Cenários!AW20,Cenários!AW66,Cenários!AW112)</f>
        <v>1182599.9</v>
      </c>
      <c r="AX9" s="153" t="n">
        <f aca="false">CHOOSE(Premissas!$B$6,Cenários!AX20,Cenários!AX66,Cenários!AX112)</f>
        <v>1218954.4</v>
      </c>
      <c r="AY9" s="153" t="n">
        <f aca="false">CHOOSE(Premissas!$B$6,Cenários!AY20,Cenários!AY66,Cenários!AY112)</f>
        <v>1291104.1</v>
      </c>
      <c r="AZ9" s="153" t="n">
        <f aca="false">CHOOSE(Premissas!$B$6,Cenários!AZ20,Cenários!AZ66,Cenários!AZ112)</f>
        <v>1358779.4</v>
      </c>
      <c r="BA9" s="153" t="n">
        <f aca="false">CHOOSE(Premissas!$B$6,Cenários!BA20,Cenários!BA66,Cenários!BA112)</f>
        <v>1422220</v>
      </c>
      <c r="BB9" s="153" t="n">
        <f aca="false">CHOOSE(Premissas!$B$6,Cenários!BB20,Cenários!BB66,Cenários!BB112)</f>
        <v>1481745.5</v>
      </c>
      <c r="BC9" s="153" t="n">
        <f aca="false">CHOOSE(Premissas!$B$6,Cenários!BC20,Cenários!BC66,Cenários!BC112)</f>
        <v>1537515.7</v>
      </c>
      <c r="BD9" s="153" t="n">
        <f aca="false">CHOOSE(Premissas!$B$6,Cenários!BD20,Cenários!BD66,Cenários!BD112)</f>
        <v>1589770.3</v>
      </c>
      <c r="BE9" s="153" t="n">
        <f aca="false">CHOOSE(Premissas!$B$6,Cenários!BE20,Cenários!BE66,Cenários!BE112)</f>
        <v>1638828.9</v>
      </c>
      <c r="BF9" s="153" t="n">
        <f aca="false">CHOOSE(Premissas!$B$6,Cenários!BF20,Cenários!BF66,Cenários!BF112)</f>
        <v>1684771.4</v>
      </c>
      <c r="BG9" s="153" t="n">
        <f aca="false">CHOOSE(Premissas!$B$6,Cenários!BG20,Cenários!BG66,Cenários!BG112)</f>
        <v>1727837.5</v>
      </c>
      <c r="BH9" s="153" t="n">
        <f aca="false">CHOOSE(Premissas!$B$6,Cenários!BH20,Cenários!BH66,Cenários!BH112)</f>
        <v>1768266.9</v>
      </c>
      <c r="BI9" s="153" t="n">
        <f aca="false">CHOOSE(Premissas!$B$6,Cenários!BI20,Cenários!BI66,Cenários!BI112)</f>
        <v>1806139.5</v>
      </c>
      <c r="BJ9" s="154" t="n">
        <f aca="false">SUM(B9:BI9)</f>
        <v>41960683.5</v>
      </c>
      <c r="BK9" s="155" t="n">
        <f aca="false">IFERROR(BJ9/BJ$16,0)</f>
        <v>0.576133560564453</v>
      </c>
    </row>
    <row r="10" customFormat="false" ht="15" hidden="false" customHeight="true" outlineLevel="0" collapsed="false">
      <c r="A10" s="49" t="s">
        <v>392</v>
      </c>
      <c r="B10" s="153" t="n">
        <f aca="false">CHOOSE(Premissas!$B$6,Cenários!B21,Cenários!B67,Cenários!B113)</f>
        <v>0</v>
      </c>
      <c r="C10" s="153" t="n">
        <f aca="false">CHOOSE(Premissas!$B$6,Cenários!C21,Cenários!C67,Cenários!C113)</f>
        <v>0</v>
      </c>
      <c r="D10" s="153" t="n">
        <f aca="false">CHOOSE(Premissas!$B$6,Cenários!D21,Cenários!D67,Cenários!D113)</f>
        <v>0</v>
      </c>
      <c r="E10" s="153" t="n">
        <f aca="false">CHOOSE(Premissas!$B$6,Cenários!E21,Cenários!E67,Cenários!E113)</f>
        <v>0</v>
      </c>
      <c r="F10" s="153" t="n">
        <f aca="false">CHOOSE(Premissas!$B$6,Cenários!F21,Cenários!F67,Cenários!F113)</f>
        <v>0</v>
      </c>
      <c r="G10" s="153" t="n">
        <f aca="false">CHOOSE(Premissas!$B$6,Cenários!G21,Cenários!G67,Cenários!G113)</f>
        <v>0</v>
      </c>
      <c r="H10" s="153" t="n">
        <f aca="false">CHOOSE(Premissas!$B$6,Cenários!H21,Cenários!H67,Cenários!H113)</f>
        <v>0</v>
      </c>
      <c r="I10" s="153" t="n">
        <f aca="false">CHOOSE(Premissas!$B$6,Cenários!I21,Cenários!I67,Cenários!I113)</f>
        <v>0</v>
      </c>
      <c r="J10" s="153" t="n">
        <f aca="false">CHOOSE(Premissas!$B$6,Cenários!J21,Cenários!J67,Cenários!J113)</f>
        <v>0</v>
      </c>
      <c r="K10" s="153" t="n">
        <f aca="false">CHOOSE(Premissas!$B$6,Cenários!K21,Cenários!K67,Cenários!K113)</f>
        <v>0</v>
      </c>
      <c r="L10" s="153" t="n">
        <f aca="false">CHOOSE(Premissas!$B$6,Cenários!L21,Cenários!L67,Cenários!L113)</f>
        <v>0</v>
      </c>
      <c r="M10" s="153" t="n">
        <f aca="false">CHOOSE(Premissas!$B$6,Cenários!M21,Cenários!M67,Cenários!M113)</f>
        <v>0</v>
      </c>
      <c r="N10" s="153" t="n">
        <f aca="false">CHOOSE(Premissas!$B$6,Cenários!N21,Cenários!N67,Cenários!N113)</f>
        <v>0</v>
      </c>
      <c r="O10" s="153" t="n">
        <f aca="false">CHOOSE(Premissas!$B$6,Cenários!O21,Cenários!O67,Cenários!O113)</f>
        <v>0</v>
      </c>
      <c r="P10" s="153" t="n">
        <f aca="false">CHOOSE(Premissas!$B$6,Cenários!P21,Cenários!P67,Cenários!P113)</f>
        <v>0</v>
      </c>
      <c r="Q10" s="153" t="n">
        <f aca="false">CHOOSE(Premissas!$B$6,Cenários!Q21,Cenários!Q67,Cenários!Q113)</f>
        <v>0</v>
      </c>
      <c r="R10" s="153" t="n">
        <f aca="false">CHOOSE(Premissas!$B$6,Cenários!R21,Cenários!R67,Cenários!R113)</f>
        <v>0</v>
      </c>
      <c r="S10" s="153" t="n">
        <f aca="false">CHOOSE(Premissas!$B$6,Cenários!S21,Cenários!S67,Cenários!S113)</f>
        <v>0</v>
      </c>
      <c r="T10" s="153" t="n">
        <f aca="false">CHOOSE(Premissas!$B$6,Cenários!T21,Cenários!T67,Cenários!T113)</f>
        <v>0</v>
      </c>
      <c r="U10" s="153" t="n">
        <f aca="false">CHOOSE(Premissas!$B$6,Cenários!U21,Cenários!U67,Cenários!U113)</f>
        <v>0</v>
      </c>
      <c r="V10" s="153" t="n">
        <f aca="false">CHOOSE(Premissas!$B$6,Cenários!V21,Cenários!V67,Cenários!V113)</f>
        <v>0</v>
      </c>
      <c r="W10" s="153" t="n">
        <f aca="false">CHOOSE(Premissas!$B$6,Cenários!W21,Cenários!W67,Cenários!W113)</f>
        <v>0</v>
      </c>
      <c r="X10" s="153" t="n">
        <f aca="false">CHOOSE(Premissas!$B$6,Cenários!X21,Cenários!X67,Cenários!X113)</f>
        <v>0</v>
      </c>
      <c r="Y10" s="153" t="n">
        <f aca="false">CHOOSE(Premissas!$B$6,Cenários!Y21,Cenários!Y67,Cenários!Y113)</f>
        <v>0</v>
      </c>
      <c r="Z10" s="153" t="n">
        <f aca="false">CHOOSE(Premissas!$B$6,Cenários!Z21,Cenários!Z67,Cenários!Z113)</f>
        <v>172697.9</v>
      </c>
      <c r="AA10" s="153" t="n">
        <f aca="false">CHOOSE(Premissas!$B$6,Cenários!AA21,Cenários!AA67,Cenários!AA113)</f>
        <v>188430.4</v>
      </c>
      <c r="AB10" s="153" t="n">
        <f aca="false">CHOOSE(Premissas!$B$6,Cenários!AB21,Cenários!AB67,Cenários!AB113)</f>
        <v>203084.1</v>
      </c>
      <c r="AC10" s="153" t="n">
        <f aca="false">CHOOSE(Premissas!$B$6,Cenários!AC21,Cenários!AC67,Cenários!AC113)</f>
        <v>216748.9</v>
      </c>
      <c r="AD10" s="153" t="n">
        <f aca="false">CHOOSE(Premissas!$B$6,Cenários!AD21,Cenários!AD67,Cenários!AD113)</f>
        <v>229334.9</v>
      </c>
      <c r="AE10" s="153" t="n">
        <f aca="false">CHOOSE(Premissas!$B$6,Cenários!AE21,Cenários!AE67,Cenários!AE113)</f>
        <v>241111.8</v>
      </c>
      <c r="AF10" s="153" t="n">
        <f aca="false">CHOOSE(Premissas!$B$6,Cenários!AF21,Cenários!AF67,Cenários!AF113)</f>
        <v>252079.6</v>
      </c>
      <c r="AG10" s="153" t="n">
        <f aca="false">CHOOSE(Premissas!$B$6,Cenários!AG21,Cenários!AG67,Cenários!AG113)</f>
        <v>262148.4</v>
      </c>
      <c r="AH10" s="153" t="n">
        <f aca="false">CHOOSE(Premissas!$B$6,Cenários!AH21,Cenários!AH67,Cenários!AH113)</f>
        <v>271587.9</v>
      </c>
      <c r="AI10" s="153" t="n">
        <f aca="false">CHOOSE(Premissas!$B$6,Cenários!AI21,Cenários!AI67,Cenários!AI113)</f>
        <v>280398.1</v>
      </c>
      <c r="AJ10" s="153" t="n">
        <f aca="false">CHOOSE(Premissas!$B$6,Cenários!AJ21,Cenários!AJ67,Cenários!AJ113)</f>
        <v>288579</v>
      </c>
      <c r="AK10" s="153" t="n">
        <f aca="false">CHOOSE(Premissas!$B$6,Cenários!AK21,Cenários!AK67,Cenários!AK113)</f>
        <v>296130.6</v>
      </c>
      <c r="AL10" s="153" t="n">
        <f aca="false">CHOOSE(Premissas!$B$6,Cenários!AL21,Cenários!AL67,Cenários!AL113)</f>
        <v>355284.8</v>
      </c>
      <c r="AM10" s="153" t="n">
        <f aca="false">CHOOSE(Premissas!$B$6,Cenários!AM21,Cenários!AM67,Cenários!AM113)</f>
        <v>378479</v>
      </c>
      <c r="AN10" s="153" t="n">
        <f aca="false">CHOOSE(Premissas!$B$6,Cenários!AN21,Cenários!AN67,Cenários!AN113)</f>
        <v>400144.9</v>
      </c>
      <c r="AO10" s="153" t="n">
        <f aca="false">CHOOSE(Premissas!$B$6,Cenários!AO21,Cenários!AO67,Cenários!AO113)</f>
        <v>420372.4</v>
      </c>
      <c r="AP10" s="153" t="n">
        <f aca="false">CHOOSE(Premissas!$B$6,Cenários!AP21,Cenários!AP67,Cenários!AP113)</f>
        <v>439251.4</v>
      </c>
      <c r="AQ10" s="153" t="n">
        <f aca="false">CHOOSE(Premissas!$B$6,Cenários!AQ21,Cenários!AQ67,Cenários!AQ113)</f>
        <v>456871.8</v>
      </c>
      <c r="AR10" s="153" t="n">
        <f aca="false">CHOOSE(Premissas!$B$6,Cenários!AR21,Cenários!AR67,Cenários!AR113)</f>
        <v>473323.5</v>
      </c>
      <c r="AS10" s="153" t="n">
        <f aca="false">CHOOSE(Premissas!$B$6,Cenários!AS21,Cenários!AS67,Cenários!AS113)</f>
        <v>488696.4</v>
      </c>
      <c r="AT10" s="153" t="n">
        <f aca="false">CHOOSE(Premissas!$B$6,Cenários!AT21,Cenários!AT67,Cenários!AT113)</f>
        <v>502990.5</v>
      </c>
      <c r="AU10" s="153" t="n">
        <f aca="false">CHOOSE(Premissas!$B$6,Cenários!AU21,Cenários!AU67,Cenários!AU113)</f>
        <v>516385.6</v>
      </c>
      <c r="AV10" s="153" t="n">
        <f aca="false">CHOOSE(Premissas!$B$6,Cenários!AV21,Cenários!AV67,Cenários!AV113)</f>
        <v>528881.7</v>
      </c>
      <c r="AW10" s="153" t="n">
        <f aca="false">CHOOSE(Premissas!$B$6,Cenários!AW21,Cenários!AW67,Cenários!AW113)</f>
        <v>540568.7</v>
      </c>
      <c r="AX10" s="153" t="n">
        <f aca="false">CHOOSE(Premissas!$B$6,Cenários!AX21,Cenários!AX67,Cenários!AX113)</f>
        <v>639998.1</v>
      </c>
      <c r="AY10" s="153" t="n">
        <f aca="false">CHOOSE(Premissas!$B$6,Cenários!AY21,Cenários!AY67,Cenários!AY113)</f>
        <v>677935.9</v>
      </c>
      <c r="AZ10" s="153" t="n">
        <f aca="false">CHOOSE(Premissas!$B$6,Cenários!AZ21,Cenários!AZ67,Cenários!AZ113)</f>
        <v>713446.4</v>
      </c>
      <c r="BA10" s="153" t="n">
        <f aca="false">CHOOSE(Premissas!$B$6,Cenários!BA21,Cenários!BA67,Cenários!BA113)</f>
        <v>746799.3</v>
      </c>
      <c r="BB10" s="153" t="n">
        <f aca="false">CHOOSE(Premissas!$B$6,Cenários!BB21,Cenários!BB67,Cenários!BB113)</f>
        <v>777994.6</v>
      </c>
      <c r="BC10" s="153" t="n">
        <f aca="false">CHOOSE(Premissas!$B$6,Cenários!BC21,Cenários!BC67,Cenários!BC113)</f>
        <v>807302</v>
      </c>
      <c r="BD10" s="153" t="n">
        <f aca="false">CHOOSE(Premissas!$B$6,Cenários!BD21,Cenários!BD67,Cenários!BD113)</f>
        <v>834721.5</v>
      </c>
      <c r="BE10" s="153" t="n">
        <f aca="false">CHOOSE(Premissas!$B$6,Cenários!BE21,Cenários!BE67,Cenários!BE113)</f>
        <v>860522.8</v>
      </c>
      <c r="BF10" s="153" t="n">
        <f aca="false">CHOOSE(Premissas!$B$6,Cenários!BF21,Cenários!BF67,Cenários!BF113)</f>
        <v>884616</v>
      </c>
      <c r="BG10" s="153" t="n">
        <f aca="false">CHOOSE(Premissas!$B$6,Cenários!BG21,Cenários!BG67,Cenários!BG113)</f>
        <v>907270.8</v>
      </c>
      <c r="BH10" s="153" t="n">
        <f aca="false">CHOOSE(Premissas!$B$6,Cenários!BH21,Cenários!BH67,Cenários!BH113)</f>
        <v>928487.2</v>
      </c>
      <c r="BI10" s="153" t="n">
        <f aca="false">CHOOSE(Premissas!$B$6,Cenários!BI21,Cenários!BI67,Cenários!BI113)</f>
        <v>948355.1</v>
      </c>
      <c r="BJ10" s="154" t="n">
        <f aca="false">SUM(B10:BI10)</f>
        <v>18131032</v>
      </c>
      <c r="BK10" s="155" t="n">
        <f aca="false">IFERROR(BJ10/BJ$16,0)</f>
        <v>0.248944849119725</v>
      </c>
    </row>
    <row r="11" customFormat="false" ht="15" hidden="false" customHeight="true" outlineLevel="0" collapsed="false">
      <c r="A11" s="49" t="s">
        <v>393</v>
      </c>
      <c r="B11" s="153" t="n">
        <f aca="false">CHOOSE(Premissas!$B$6,Cenários!B22,Cenários!B68,Cenários!B114)</f>
        <v>0</v>
      </c>
      <c r="C11" s="153" t="n">
        <f aca="false">CHOOSE(Premissas!$B$6,Cenários!C22,Cenários!C68,Cenários!C114)</f>
        <v>0</v>
      </c>
      <c r="D11" s="153" t="n">
        <f aca="false">CHOOSE(Premissas!$B$6,Cenários!D22,Cenários!D68,Cenários!D114)</f>
        <v>0</v>
      </c>
      <c r="E11" s="153" t="n">
        <f aca="false">CHOOSE(Premissas!$B$6,Cenários!E22,Cenários!E68,Cenários!E114)</f>
        <v>0</v>
      </c>
      <c r="F11" s="153" t="n">
        <f aca="false">CHOOSE(Premissas!$B$6,Cenários!F22,Cenários!F68,Cenários!F114)</f>
        <v>0</v>
      </c>
      <c r="G11" s="153" t="n">
        <f aca="false">CHOOSE(Premissas!$B$6,Cenários!G22,Cenários!G68,Cenários!G114)</f>
        <v>0</v>
      </c>
      <c r="H11" s="153" t="n">
        <f aca="false">CHOOSE(Premissas!$B$6,Cenários!H22,Cenários!H68,Cenários!H114)</f>
        <v>0</v>
      </c>
      <c r="I11" s="153" t="n">
        <f aca="false">CHOOSE(Premissas!$B$6,Cenários!I22,Cenários!I68,Cenários!I114)</f>
        <v>0</v>
      </c>
      <c r="J11" s="153" t="n">
        <f aca="false">CHOOSE(Premissas!$B$6,Cenários!J22,Cenários!J68,Cenários!J114)</f>
        <v>0</v>
      </c>
      <c r="K11" s="153" t="n">
        <f aca="false">CHOOSE(Premissas!$B$6,Cenários!K22,Cenários!K68,Cenários!K114)</f>
        <v>0</v>
      </c>
      <c r="L11" s="153" t="n">
        <f aca="false">CHOOSE(Premissas!$B$6,Cenários!L22,Cenários!L68,Cenários!L114)</f>
        <v>0</v>
      </c>
      <c r="M11" s="153" t="n">
        <f aca="false">CHOOSE(Premissas!$B$6,Cenários!M22,Cenários!M68,Cenários!M114)</f>
        <v>0</v>
      </c>
      <c r="N11" s="153" t="n">
        <f aca="false">CHOOSE(Premissas!$B$6,Cenários!N22,Cenários!N68,Cenários!N114)</f>
        <v>0</v>
      </c>
      <c r="O11" s="153" t="n">
        <f aca="false">CHOOSE(Premissas!$B$6,Cenários!O22,Cenários!O68,Cenários!O114)</f>
        <v>0</v>
      </c>
      <c r="P11" s="153" t="n">
        <f aca="false">CHOOSE(Premissas!$B$6,Cenários!P22,Cenários!P68,Cenários!P114)</f>
        <v>0</v>
      </c>
      <c r="Q11" s="153" t="n">
        <f aca="false">CHOOSE(Premissas!$B$6,Cenários!Q22,Cenários!Q68,Cenários!Q114)</f>
        <v>0</v>
      </c>
      <c r="R11" s="153" t="n">
        <f aca="false">CHOOSE(Premissas!$B$6,Cenários!R22,Cenários!R68,Cenários!R114)</f>
        <v>0</v>
      </c>
      <c r="S11" s="153" t="n">
        <f aca="false">CHOOSE(Premissas!$B$6,Cenários!S22,Cenários!S68,Cenários!S114)</f>
        <v>0</v>
      </c>
      <c r="T11" s="153" t="n">
        <f aca="false">CHOOSE(Premissas!$B$6,Cenários!T22,Cenários!T68,Cenários!T114)</f>
        <v>0</v>
      </c>
      <c r="U11" s="153" t="n">
        <f aca="false">CHOOSE(Premissas!$B$6,Cenários!U22,Cenários!U68,Cenários!U114)</f>
        <v>0</v>
      </c>
      <c r="V11" s="153" t="n">
        <f aca="false">CHOOSE(Premissas!$B$6,Cenários!V22,Cenários!V68,Cenários!V114)</f>
        <v>0</v>
      </c>
      <c r="W11" s="153" t="n">
        <f aca="false">CHOOSE(Premissas!$B$6,Cenários!W22,Cenários!W68,Cenários!W114)</f>
        <v>0</v>
      </c>
      <c r="X11" s="153" t="n">
        <f aca="false">CHOOSE(Premissas!$B$6,Cenários!X22,Cenários!X68,Cenários!X114)</f>
        <v>0</v>
      </c>
      <c r="Y11" s="153" t="n">
        <f aca="false">CHOOSE(Premissas!$B$6,Cenários!Y22,Cenários!Y68,Cenários!Y114)</f>
        <v>0</v>
      </c>
      <c r="Z11" s="153" t="n">
        <f aca="false">CHOOSE(Premissas!$B$6,Cenários!Z22,Cenários!Z68,Cenários!Z114)</f>
        <v>69869</v>
      </c>
      <c r="AA11" s="153" t="n">
        <f aca="false">CHOOSE(Premissas!$B$6,Cenários!AA22,Cenários!AA68,Cenários!AA114)</f>
        <v>76191</v>
      </c>
      <c r="AB11" s="153" t="n">
        <f aca="false">CHOOSE(Premissas!$B$6,Cenários!AB22,Cenários!AB68,Cenários!AB114)</f>
        <v>82077</v>
      </c>
      <c r="AC11" s="153" t="n">
        <f aca="false">CHOOSE(Premissas!$B$6,Cenários!AC22,Cenários!AC68,Cenários!AC114)</f>
        <v>87527</v>
      </c>
      <c r="AD11" s="153" t="n">
        <f aca="false">CHOOSE(Premissas!$B$6,Cenários!AD22,Cenários!AD68,Cenários!AD114)</f>
        <v>92759</v>
      </c>
      <c r="AE11" s="153" t="n">
        <f aca="false">CHOOSE(Premissas!$B$6,Cenários!AE22,Cenários!AE68,Cenários!AE114)</f>
        <v>97446</v>
      </c>
      <c r="AF11" s="153" t="n">
        <f aca="false">CHOOSE(Premissas!$B$6,Cenários!AF22,Cenários!AF68,Cenários!AF114)</f>
        <v>101806</v>
      </c>
      <c r="AG11" s="153" t="n">
        <f aca="false">CHOOSE(Premissas!$B$6,Cenários!AG22,Cenários!AG68,Cenários!AG114)</f>
        <v>106057</v>
      </c>
      <c r="AH11" s="153" t="n">
        <f aca="false">CHOOSE(Premissas!$B$6,Cenários!AH22,Cenários!AH68,Cenários!AH114)</f>
        <v>109763</v>
      </c>
      <c r="AI11" s="153" t="n">
        <f aca="false">CHOOSE(Premissas!$B$6,Cenários!AI22,Cenários!AI68,Cenários!AI114)</f>
        <v>113251</v>
      </c>
      <c r="AJ11" s="153" t="n">
        <f aca="false">CHOOSE(Premissas!$B$6,Cenários!AJ22,Cenários!AJ68,Cenários!AJ114)</f>
        <v>116521</v>
      </c>
      <c r="AK11" s="153" t="n">
        <f aca="false">CHOOSE(Premissas!$B$6,Cenários!AK22,Cenários!AK68,Cenários!AK114)</f>
        <v>119682</v>
      </c>
      <c r="AL11" s="153" t="n">
        <f aca="false">CHOOSE(Premissas!$B$6,Cenários!AL22,Cenários!AL68,Cenários!AL114)</f>
        <v>165680</v>
      </c>
      <c r="AM11" s="153" t="n">
        <f aca="false">CHOOSE(Premissas!$B$6,Cenários!AM22,Cenários!AM68,Cenários!AM114)</f>
        <v>176471</v>
      </c>
      <c r="AN11" s="153" t="n">
        <f aca="false">CHOOSE(Premissas!$B$6,Cenários!AN22,Cenários!AN68,Cenários!AN114)</f>
        <v>186499</v>
      </c>
      <c r="AO11" s="153" t="n">
        <f aca="false">CHOOSE(Premissas!$B$6,Cenários!AO22,Cenários!AO68,Cenários!AO114)</f>
        <v>195982</v>
      </c>
      <c r="AP11" s="153" t="n">
        <f aca="false">CHOOSE(Premissas!$B$6,Cenários!AP22,Cenários!AP68,Cenários!AP114)</f>
        <v>204811</v>
      </c>
      <c r="AQ11" s="153" t="n">
        <f aca="false">CHOOSE(Premissas!$B$6,Cenários!AQ22,Cenários!AQ68,Cenários!AQ114)</f>
        <v>212986</v>
      </c>
      <c r="AR11" s="153" t="n">
        <f aca="false">CHOOSE(Premissas!$B$6,Cenários!AR22,Cenários!AR68,Cenários!AR114)</f>
        <v>220725</v>
      </c>
      <c r="AS11" s="153" t="n">
        <f aca="false">CHOOSE(Premissas!$B$6,Cenários!AS22,Cenários!AS68,Cenários!AS114)</f>
        <v>227810</v>
      </c>
      <c r="AT11" s="153" t="n">
        <f aca="false">CHOOSE(Premissas!$B$6,Cenários!AT22,Cenários!AT68,Cenários!AT114)</f>
        <v>234568</v>
      </c>
      <c r="AU11" s="153" t="n">
        <f aca="false">CHOOSE(Premissas!$B$6,Cenários!AU22,Cenários!AU68,Cenários!AU114)</f>
        <v>240781</v>
      </c>
      <c r="AV11" s="153" t="n">
        <f aca="false">CHOOSE(Premissas!$B$6,Cenários!AV22,Cenários!AV68,Cenários!AV114)</f>
        <v>246667</v>
      </c>
      <c r="AW11" s="153" t="n">
        <f aca="false">CHOOSE(Premissas!$B$6,Cenários!AW22,Cenários!AW68,Cenários!AW114)</f>
        <v>252008</v>
      </c>
      <c r="AX11" s="153" t="n">
        <f aca="false">CHOOSE(Premissas!$B$6,Cenários!AX22,Cenários!AX68,Cenários!AX114)</f>
        <v>332559</v>
      </c>
      <c r="AY11" s="153" t="n">
        <f aca="false">CHOOSE(Premissas!$B$6,Cenários!AY22,Cenários!AY68,Cenários!AY114)</f>
        <v>352288</v>
      </c>
      <c r="AZ11" s="153" t="n">
        <f aca="false">CHOOSE(Premissas!$B$6,Cenários!AZ22,Cenários!AZ68,Cenários!AZ114)</f>
        <v>370709</v>
      </c>
      <c r="BA11" s="153" t="n">
        <f aca="false">CHOOSE(Premissas!$B$6,Cenários!BA22,Cenários!BA68,Cenários!BA114)</f>
        <v>388040</v>
      </c>
      <c r="BB11" s="153" t="n">
        <f aca="false">CHOOSE(Premissas!$B$6,Cenários!BB22,Cenários!BB68,Cenários!BB114)</f>
        <v>404281</v>
      </c>
      <c r="BC11" s="153" t="n">
        <f aca="false">CHOOSE(Premissas!$B$6,Cenários!BC22,Cenários!BC68,Cenários!BC114)</f>
        <v>419432</v>
      </c>
      <c r="BD11" s="153" t="n">
        <f aca="false">CHOOSE(Premissas!$B$6,Cenários!BD22,Cenários!BD68,Cenários!BD114)</f>
        <v>433820</v>
      </c>
      <c r="BE11" s="153" t="n">
        <f aca="false">CHOOSE(Premissas!$B$6,Cenários!BE22,Cenários!BE68,Cenários!BE114)</f>
        <v>447118</v>
      </c>
      <c r="BF11" s="153" t="n">
        <f aca="false">CHOOSE(Premissas!$B$6,Cenários!BF22,Cenários!BF68,Cenários!BF114)</f>
        <v>459762</v>
      </c>
      <c r="BG11" s="153" t="n">
        <f aca="false">CHOOSE(Premissas!$B$6,Cenários!BG22,Cenários!BG68,Cenários!BG114)</f>
        <v>471425</v>
      </c>
      <c r="BH11" s="153" t="n">
        <f aca="false">CHOOSE(Premissas!$B$6,Cenários!BH22,Cenários!BH68,Cenários!BH114)</f>
        <v>482434</v>
      </c>
      <c r="BI11" s="153" t="n">
        <f aca="false">CHOOSE(Premissas!$B$6,Cenários!BI22,Cenários!BI68,Cenários!BI114)</f>
        <v>492789</v>
      </c>
      <c r="BJ11" s="154" t="n">
        <f aca="false">SUM(B11:BI11)</f>
        <v>8792594</v>
      </c>
      <c r="BK11" s="155" t="n">
        <f aca="false">IFERROR(BJ11/BJ$16,0)</f>
        <v>0.12072511849855</v>
      </c>
    </row>
    <row r="12" customFormat="false" ht="15" hidden="false" customHeight="true" outlineLevel="0" collapsed="false">
      <c r="A12" s="49" t="s">
        <v>698</v>
      </c>
      <c r="B12" s="153" t="n">
        <f aca="false">CHOOSE(Premissas!$B$6,Cenários!B24,Cenários!B70,Cenários!B116)</f>
        <v>0</v>
      </c>
      <c r="C12" s="153" t="n">
        <f aca="false">CHOOSE(Premissas!$B$6,Cenários!C24,Cenários!C70,Cenários!C116)</f>
        <v>0</v>
      </c>
      <c r="D12" s="153" t="n">
        <f aca="false">CHOOSE(Premissas!$B$6,Cenários!D24,Cenários!D70,Cenários!D116)</f>
        <v>0</v>
      </c>
      <c r="E12" s="153" t="n">
        <f aca="false">CHOOSE(Premissas!$B$6,Cenários!E24,Cenários!E70,Cenários!E116)</f>
        <v>0</v>
      </c>
      <c r="F12" s="153" t="n">
        <f aca="false">CHOOSE(Premissas!$B$6,Cenários!F24,Cenários!F70,Cenários!F116)</f>
        <v>0</v>
      </c>
      <c r="G12" s="153" t="n">
        <f aca="false">CHOOSE(Premissas!$B$6,Cenários!G24,Cenários!G70,Cenários!G116)</f>
        <v>0</v>
      </c>
      <c r="H12" s="153" t="n">
        <f aca="false">CHOOSE(Premissas!$B$6,Cenários!H24,Cenários!H70,Cenários!H116)</f>
        <v>0</v>
      </c>
      <c r="I12" s="153" t="n">
        <f aca="false">CHOOSE(Premissas!$B$6,Cenários!I24,Cenários!I70,Cenários!I116)</f>
        <v>0</v>
      </c>
      <c r="J12" s="153" t="n">
        <f aca="false">CHOOSE(Premissas!$B$6,Cenários!J24,Cenários!J70,Cenários!J116)</f>
        <v>0</v>
      </c>
      <c r="K12" s="153" t="n">
        <f aca="false">CHOOSE(Premissas!$B$6,Cenários!K24,Cenários!K70,Cenários!K116)</f>
        <v>0</v>
      </c>
      <c r="L12" s="153" t="n">
        <f aca="false">CHOOSE(Premissas!$B$6,Cenários!L24,Cenários!L70,Cenários!L116)</f>
        <v>0</v>
      </c>
      <c r="M12" s="153" t="n">
        <f aca="false">CHOOSE(Premissas!$B$6,Cenários!M24,Cenários!M70,Cenários!M116)</f>
        <v>0</v>
      </c>
      <c r="N12" s="153" t="n">
        <f aca="false">CHOOSE(Premissas!$B$6,Cenários!N24,Cenários!N70,Cenários!N116)</f>
        <v>2304.1662</v>
      </c>
      <c r="O12" s="153" t="n">
        <f aca="false">CHOOSE(Premissas!$B$6,Cenários!O24,Cenários!O70,Cenários!O116)</f>
        <v>3556.26790176</v>
      </c>
      <c r="P12" s="153" t="n">
        <f aca="false">CHOOSE(Premissas!$B$6,Cenários!P24,Cenários!P70,Cenários!P116)</f>
        <v>4714.21155554765</v>
      </c>
      <c r="Q12" s="153" t="n">
        <f aca="false">CHOOSE(Premissas!$B$6,Cenários!Q24,Cenários!Q70,Cenários!Q116)</f>
        <v>5785.07784657047</v>
      </c>
      <c r="R12" s="153" t="n">
        <f aca="false">CHOOSE(Premissas!$B$6,Cenários!R24,Cenários!R70,Cenários!R116)</f>
        <v>6775.41499250837</v>
      </c>
      <c r="S12" s="153" t="n">
        <f aca="false">CHOOSE(Premissas!$B$6,Cenários!S24,Cenários!S70,Cenários!S116)</f>
        <v>7691.27878507174</v>
      </c>
      <c r="T12" s="153" t="n">
        <f aca="false">CHOOSE(Premissas!$B$6,Cenários!T24,Cenários!T70,Cenários!T116)</f>
        <v>8538.26962043434</v>
      </c>
      <c r="U12" s="153" t="n">
        <f aca="false">CHOOSE(Premissas!$B$6,Cenários!U24,Cenários!U70,Cenários!U116)</f>
        <v>9321.56674497768</v>
      </c>
      <c r="V12" s="153" t="n">
        <f aca="false">CHOOSE(Premissas!$B$6,Cenários!V24,Cenários!V70,Cenários!V116)</f>
        <v>10045.9599257554</v>
      </c>
      <c r="W12" s="153" t="n">
        <f aca="false">CHOOSE(Premissas!$B$6,Cenários!W24,Cenários!W70,Cenários!W116)</f>
        <v>10715.8787393386</v>
      </c>
      <c r="X12" s="153" t="n">
        <f aca="false">CHOOSE(Premissas!$B$6,Cenários!X24,Cenários!X70,Cenários!X116)</f>
        <v>11335.4196581403</v>
      </c>
      <c r="Y12" s="153" t="n">
        <f aca="false">CHOOSE(Premissas!$B$6,Cenários!Y24,Cenários!Y70,Cenários!Y116)</f>
        <v>11908.3710998481</v>
      </c>
      <c r="Z12" s="153" t="n">
        <f aca="false">CHOOSE(Premissas!$B$6,Cenários!Z24,Cenários!Z70,Cenários!Z116)</f>
        <v>22007.7577725701</v>
      </c>
      <c r="AA12" s="153" t="n">
        <f aca="false">CHOOSE(Premissas!$B$6,Cenários!AA24,Cenários!AA70,Cenários!AA116)</f>
        <v>24015.5108911427</v>
      </c>
      <c r="AB12" s="153" t="n">
        <f aca="false">CHOOSE(Premissas!$B$6,Cenários!AB24,Cenários!AB70,Cenários!AB116)</f>
        <v>25881.3399572696</v>
      </c>
      <c r="AC12" s="153" t="n">
        <f aca="false">CHOOSE(Premissas!$B$6,Cenários!AC24,Cenários!AC70,Cenários!AC116)</f>
        <v>27615.2772983701</v>
      </c>
      <c r="AD12" s="153" t="n">
        <f aca="false">CHOOSE(Premissas!$B$6,Cenários!AD24,Cenários!AD70,Cenários!AD116)</f>
        <v>29226.6460767029</v>
      </c>
      <c r="AE12" s="153" t="n">
        <f aca="false">CHOOSE(Premissas!$B$6,Cenários!AE24,Cenários!AE70,Cenários!AE116)</f>
        <v>30724.110418833</v>
      </c>
      <c r="AF12" s="153" t="n">
        <f aca="false">CHOOSE(Premissas!$B$6,Cenários!AF24,Cenários!AF70,Cenários!AF116)</f>
        <v>32115.7220015465</v>
      </c>
      <c r="AG12" s="153" t="n">
        <f aca="false">CHOOSE(Premissas!$B$6,Cenários!AG24,Cenários!AG70,Cenários!AG116)</f>
        <v>33408.9633447012</v>
      </c>
      <c r="AH12" s="153" t="n">
        <f aca="false">CHOOSE(Premissas!$B$6,Cenários!AH24,Cenários!AH70,Cenários!AH116)</f>
        <v>34610.788043791</v>
      </c>
      <c r="AI12" s="153" t="n">
        <f aca="false">CHOOSE(Premissas!$B$6,Cenários!AI24,Cenários!AI70,Cenários!AI116)</f>
        <v>35727.6581585515</v>
      </c>
      <c r="AJ12" s="153" t="n">
        <f aca="false">CHOOSE(Premissas!$B$6,Cenários!AJ24,Cenários!AJ70,Cenários!AJ116)</f>
        <v>36765.5789586398</v>
      </c>
      <c r="AK12" s="153" t="n">
        <f aca="false">CHOOSE(Premissas!$B$6,Cenários!AK24,Cenários!AK70,Cenários!AK116)</f>
        <v>37730.1312132114</v>
      </c>
      <c r="AL12" s="153" t="n">
        <f aca="false">CHOOSE(Premissas!$B$6,Cenários!AL24,Cenários!AL70,Cenários!AL116)</f>
        <v>64909.1903982783</v>
      </c>
      <c r="AM12" s="153" t="n">
        <f aca="false">CHOOSE(Premissas!$B$6,Cenários!AM24,Cenários!AM70,Cenários!AM116)</f>
        <v>69148.4375984572</v>
      </c>
      <c r="AN12" s="153" t="n">
        <f aca="false">CHOOSE(Premissas!$B$6,Cenários!AN24,Cenários!AN70,Cenários!AN116)</f>
        <v>73106.000726915</v>
      </c>
      <c r="AO12" s="153" t="n">
        <f aca="false">CHOOSE(Premissas!$B$6,Cenários!AO24,Cenários!AO70,Cenários!AO116)</f>
        <v>76800.5967662939</v>
      </c>
      <c r="AP12" s="153" t="n">
        <f aca="false">CHOOSE(Premissas!$B$6,Cenários!AP24,Cenários!AP70,Cenários!AP116)</f>
        <v>80249.6990171311</v>
      </c>
      <c r="AQ12" s="153" t="n">
        <f aca="false">CHOOSE(Premissas!$B$6,Cenários!AQ24,Cenários!AQ70,Cenários!AQ116)</f>
        <v>83469.6197364555</v>
      </c>
      <c r="AR12" s="153" t="n">
        <f aca="false">CHOOSE(Premissas!$B$6,Cenários!AR24,Cenários!AR70,Cenários!AR116)</f>
        <v>86475.5872853208</v>
      </c>
      <c r="AS12" s="153" t="n">
        <f aca="false">CHOOSE(Premissas!$B$6,Cenários!AS24,Cenários!AS70,Cenários!AS116)</f>
        <v>89281.8181501375</v>
      </c>
      <c r="AT12" s="153" t="n">
        <f aca="false">CHOOSE(Premissas!$B$6,Cenários!AT24,Cenários!AT70,Cenários!AT116)</f>
        <v>91901.5841784244</v>
      </c>
      <c r="AU12" s="153" t="n">
        <f aca="false">CHOOSE(Premissas!$B$6,Cenários!AU24,Cenários!AU70,Cenários!AU116)</f>
        <v>94347.2753469642</v>
      </c>
      <c r="AV12" s="153" t="n">
        <f aca="false">CHOOSE(Premissas!$B$6,Cenários!AV24,Cenários!AV70,Cenários!AV116)</f>
        <v>96630.4583592216</v>
      </c>
      <c r="AW12" s="153" t="n">
        <f aca="false">CHOOSE(Premissas!$B$6,Cenários!AW24,Cenários!AW70,Cenários!AW116)</f>
        <v>98761.9313491547</v>
      </c>
      <c r="AX12" s="153" t="n">
        <f aca="false">CHOOSE(Premissas!$B$6,Cenários!AX24,Cenários!AX70,Cenários!AX116)</f>
        <v>131777.055417599</v>
      </c>
      <c r="AY12" s="153" t="n">
        <f aca="false">CHOOSE(Premissas!$B$6,Cenários!AY24,Cenários!AY70,Cenários!AY116)</f>
        <v>139581.740250067</v>
      </c>
      <c r="AZ12" s="153" t="n">
        <f aca="false">CHOOSE(Premissas!$B$6,Cenários!AZ24,Cenários!AZ70,Cenários!AZ116)</f>
        <v>146898.945117248</v>
      </c>
      <c r="BA12" s="153" t="n">
        <f aca="false">CHOOSE(Premissas!$B$6,Cenários!BA24,Cenários!BA70,Cenários!BA116)</f>
        <v>153759.117977217</v>
      </c>
      <c r="BB12" s="153" t="n">
        <f aca="false">CHOOSE(Premissas!$B$6,Cenários!BB24,Cenários!BB70,Cenários!BB116)</f>
        <v>160190.805011119</v>
      </c>
      <c r="BC12" s="153" t="n">
        <f aca="false">CHOOSE(Premissas!$B$6,Cenários!BC24,Cenários!BC70,Cenários!BC116)</f>
        <v>166220.769407999</v>
      </c>
      <c r="BD12" s="153" t="n">
        <f aca="false">CHOOSE(Premissas!$B$6,Cenários!BD24,Cenários!BD70,Cenários!BD116)</f>
        <v>171874.102730344</v>
      </c>
      <c r="BE12" s="153" t="n">
        <f aca="false">CHOOSE(Premissas!$B$6,Cenários!BE24,Cenários!BE70,Cenários!BE116)</f>
        <v>177174.329323732</v>
      </c>
      <c r="BF12" s="153" t="n">
        <f aca="false">CHOOSE(Premissas!$B$6,Cenários!BF24,Cenários!BF70,Cenários!BF116)</f>
        <v>182143.504205076</v>
      </c>
      <c r="BG12" s="153" t="n">
        <f aca="false">CHOOSE(Premissas!$B$6,Cenários!BG24,Cenários!BG70,Cenários!BG116)</f>
        <v>186802.304836766</v>
      </c>
      <c r="BH12" s="153" t="n">
        <f aca="false">CHOOSE(Premissas!$B$6,Cenários!BH24,Cenários!BH70,Cenários!BH116)</f>
        <v>191170.117168614</v>
      </c>
      <c r="BI12" s="153" t="n">
        <f aca="false">CHOOSE(Premissas!$B$6,Cenários!BI24,Cenários!BI70,Cenários!BI116)</f>
        <v>195265.116305616</v>
      </c>
      <c r="BJ12" s="154" t="n">
        <f aca="false">SUM(B12:BI12)</f>
        <v>3470461.47386943</v>
      </c>
      <c r="BK12" s="155" t="n">
        <f aca="false">IFERROR(BJ12/BJ$16,0)</f>
        <v>0.0476505423402399</v>
      </c>
    </row>
    <row r="13" customFormat="false" ht="15" hidden="false" customHeight="true" outlineLevel="0" collapsed="false">
      <c r="A13" s="49" t="s">
        <v>395</v>
      </c>
      <c r="B13" s="153" t="n">
        <f aca="false">CHOOSE(Premissas!$B$6,Cenários!B25,Cenários!B71,Cenários!B117)</f>
        <v>0</v>
      </c>
      <c r="C13" s="153" t="n">
        <f aca="false">CHOOSE(Premissas!$B$6,Cenários!C25,Cenários!C71,Cenários!C117)</f>
        <v>0</v>
      </c>
      <c r="D13" s="153" t="n">
        <f aca="false">CHOOSE(Premissas!$B$6,Cenários!D25,Cenários!D71,Cenários!D117)</f>
        <v>0</v>
      </c>
      <c r="E13" s="153" t="n">
        <f aca="false">CHOOSE(Premissas!$B$6,Cenários!E25,Cenários!E71,Cenários!E117)</f>
        <v>0</v>
      </c>
      <c r="F13" s="153" t="n">
        <f aca="false">CHOOSE(Premissas!$B$6,Cenários!F25,Cenários!F71,Cenários!F117)</f>
        <v>0</v>
      </c>
      <c r="G13" s="153" t="n">
        <f aca="false">CHOOSE(Premissas!$B$6,Cenários!G25,Cenários!G71,Cenários!G117)</f>
        <v>0</v>
      </c>
      <c r="H13" s="153" t="n">
        <f aca="false">CHOOSE(Premissas!$B$6,Cenários!H25,Cenários!H71,Cenários!H117)</f>
        <v>0</v>
      </c>
      <c r="I13" s="153" t="n">
        <f aca="false">CHOOSE(Premissas!$B$6,Cenários!I25,Cenários!I71,Cenários!I117)</f>
        <v>0</v>
      </c>
      <c r="J13" s="153" t="n">
        <f aca="false">CHOOSE(Premissas!$B$6,Cenários!J25,Cenários!J71,Cenários!J117)</f>
        <v>0</v>
      </c>
      <c r="K13" s="153" t="n">
        <f aca="false">CHOOSE(Premissas!$B$6,Cenários!K25,Cenários!K71,Cenários!K117)</f>
        <v>0</v>
      </c>
      <c r="L13" s="153" t="n">
        <f aca="false">CHOOSE(Premissas!$B$6,Cenários!L25,Cenários!L71,Cenários!L117)</f>
        <v>0</v>
      </c>
      <c r="M13" s="153" t="n">
        <f aca="false">CHOOSE(Premissas!$B$6,Cenários!M25,Cenários!M71,Cenários!M117)</f>
        <v>0</v>
      </c>
      <c r="N13" s="153" t="n">
        <f aca="false">CHOOSE(Premissas!$B$6,Cenários!N25,Cenários!N71,Cenários!N117)</f>
        <v>0</v>
      </c>
      <c r="O13" s="153" t="n">
        <f aca="false">CHOOSE(Premissas!$B$6,Cenários!O25,Cenários!O71,Cenários!O117)</f>
        <v>0</v>
      </c>
      <c r="P13" s="153" t="n">
        <f aca="false">CHOOSE(Premissas!$B$6,Cenários!P25,Cenários!P71,Cenários!P117)</f>
        <v>5000</v>
      </c>
      <c r="Q13" s="153" t="n">
        <f aca="false">CHOOSE(Premissas!$B$6,Cenários!Q25,Cenários!Q71,Cenários!Q117)</f>
        <v>5000</v>
      </c>
      <c r="R13" s="153" t="n">
        <f aca="false">CHOOSE(Premissas!$B$6,Cenários!R25,Cenários!R71,Cenários!R117)</f>
        <v>5000</v>
      </c>
      <c r="S13" s="153" t="n">
        <f aca="false">CHOOSE(Premissas!$B$6,Cenários!S25,Cenários!S71,Cenários!S117)</f>
        <v>5000</v>
      </c>
      <c r="T13" s="153" t="n">
        <f aca="false">CHOOSE(Premissas!$B$6,Cenários!T25,Cenários!T71,Cenários!T117)</f>
        <v>5000</v>
      </c>
      <c r="U13" s="153" t="n">
        <f aca="false">CHOOSE(Premissas!$B$6,Cenários!U25,Cenários!U71,Cenários!U117)</f>
        <v>5000</v>
      </c>
      <c r="V13" s="153" t="n">
        <f aca="false">CHOOSE(Premissas!$B$6,Cenários!V25,Cenários!V71,Cenários!V117)</f>
        <v>5000</v>
      </c>
      <c r="W13" s="153" t="n">
        <f aca="false">CHOOSE(Premissas!$B$6,Cenários!W25,Cenários!W71,Cenários!W117)</f>
        <v>5000</v>
      </c>
      <c r="X13" s="153" t="n">
        <f aca="false">CHOOSE(Premissas!$B$6,Cenários!X25,Cenários!X71,Cenários!X117)</f>
        <v>5000</v>
      </c>
      <c r="Y13" s="153" t="n">
        <f aca="false">CHOOSE(Premissas!$B$6,Cenários!Y25,Cenários!Y71,Cenários!Y117)</f>
        <v>5000</v>
      </c>
      <c r="Z13" s="153" t="n">
        <f aca="false">CHOOSE(Premissas!$B$6,Cenários!Z25,Cenários!Z71,Cenários!Z117)</f>
        <v>5000</v>
      </c>
      <c r="AA13" s="153" t="n">
        <f aca="false">CHOOSE(Premissas!$B$6,Cenários!AA25,Cenários!AA71,Cenários!AA117)</f>
        <v>5000</v>
      </c>
      <c r="AB13" s="153" t="n">
        <f aca="false">CHOOSE(Premissas!$B$6,Cenários!AB25,Cenários!AB71,Cenários!AB117)</f>
        <v>5000</v>
      </c>
      <c r="AC13" s="153" t="n">
        <f aca="false">CHOOSE(Premissas!$B$6,Cenários!AC25,Cenários!AC71,Cenários!AC117)</f>
        <v>5000</v>
      </c>
      <c r="AD13" s="153" t="n">
        <f aca="false">CHOOSE(Premissas!$B$6,Cenários!AD25,Cenários!AD71,Cenários!AD117)</f>
        <v>5000</v>
      </c>
      <c r="AE13" s="153" t="n">
        <f aca="false">CHOOSE(Premissas!$B$6,Cenários!AE25,Cenários!AE71,Cenários!AE117)</f>
        <v>5000</v>
      </c>
      <c r="AF13" s="153" t="n">
        <f aca="false">CHOOSE(Premissas!$B$6,Cenários!AF25,Cenários!AF71,Cenários!AF117)</f>
        <v>5000</v>
      </c>
      <c r="AG13" s="153" t="n">
        <f aca="false">CHOOSE(Premissas!$B$6,Cenários!AG25,Cenários!AG71,Cenários!AG117)</f>
        <v>5000</v>
      </c>
      <c r="AH13" s="153" t="n">
        <f aca="false">CHOOSE(Premissas!$B$6,Cenários!AH25,Cenários!AH71,Cenários!AH117)</f>
        <v>5000</v>
      </c>
      <c r="AI13" s="153" t="n">
        <f aca="false">CHOOSE(Premissas!$B$6,Cenários!AI25,Cenários!AI71,Cenários!AI117)</f>
        <v>5000</v>
      </c>
      <c r="AJ13" s="153" t="n">
        <f aca="false">CHOOSE(Premissas!$B$6,Cenários!AJ25,Cenários!AJ71,Cenários!AJ117)</f>
        <v>5000</v>
      </c>
      <c r="AK13" s="153" t="n">
        <f aca="false">CHOOSE(Premissas!$B$6,Cenários!AK25,Cenários!AK71,Cenários!AK117)</f>
        <v>5000</v>
      </c>
      <c r="AL13" s="153" t="n">
        <f aca="false">CHOOSE(Premissas!$B$6,Cenários!AL25,Cenários!AL71,Cenários!AL117)</f>
        <v>5000</v>
      </c>
      <c r="AM13" s="153" t="n">
        <f aca="false">CHOOSE(Premissas!$B$6,Cenários!AM25,Cenários!AM71,Cenários!AM117)</f>
        <v>5000</v>
      </c>
      <c r="AN13" s="153" t="n">
        <f aca="false">CHOOSE(Premissas!$B$6,Cenários!AN25,Cenários!AN71,Cenários!AN117)</f>
        <v>5000</v>
      </c>
      <c r="AO13" s="153" t="n">
        <f aca="false">CHOOSE(Premissas!$B$6,Cenários!AO25,Cenários!AO71,Cenários!AO117)</f>
        <v>5000</v>
      </c>
      <c r="AP13" s="153" t="n">
        <f aca="false">CHOOSE(Premissas!$B$6,Cenários!AP25,Cenários!AP71,Cenários!AP117)</f>
        <v>5000</v>
      </c>
      <c r="AQ13" s="153" t="n">
        <f aca="false">CHOOSE(Premissas!$B$6,Cenários!AQ25,Cenários!AQ71,Cenários!AQ117)</f>
        <v>5000</v>
      </c>
      <c r="AR13" s="153" t="n">
        <f aca="false">CHOOSE(Premissas!$B$6,Cenários!AR25,Cenários!AR71,Cenários!AR117)</f>
        <v>5000</v>
      </c>
      <c r="AS13" s="153" t="n">
        <f aca="false">CHOOSE(Premissas!$B$6,Cenários!AS25,Cenários!AS71,Cenários!AS117)</f>
        <v>5000</v>
      </c>
      <c r="AT13" s="153" t="n">
        <f aca="false">CHOOSE(Premissas!$B$6,Cenários!AT25,Cenários!AT71,Cenários!AT117)</f>
        <v>5000</v>
      </c>
      <c r="AU13" s="153" t="n">
        <f aca="false">CHOOSE(Premissas!$B$6,Cenários!AU25,Cenários!AU71,Cenários!AU117)</f>
        <v>5000</v>
      </c>
      <c r="AV13" s="153" t="n">
        <f aca="false">CHOOSE(Premissas!$B$6,Cenários!AV25,Cenários!AV71,Cenários!AV117)</f>
        <v>5000</v>
      </c>
      <c r="AW13" s="153" t="n">
        <f aca="false">CHOOSE(Premissas!$B$6,Cenários!AW25,Cenários!AW71,Cenários!AW117)</f>
        <v>5000</v>
      </c>
      <c r="AX13" s="153" t="n">
        <f aca="false">CHOOSE(Premissas!$B$6,Cenários!AX25,Cenários!AX71,Cenários!AX117)</f>
        <v>5000</v>
      </c>
      <c r="AY13" s="153" t="n">
        <f aca="false">CHOOSE(Premissas!$B$6,Cenários!AY25,Cenários!AY71,Cenários!AY117)</f>
        <v>5000</v>
      </c>
      <c r="AZ13" s="153" t="n">
        <f aca="false">CHOOSE(Premissas!$B$6,Cenários!AZ25,Cenários!AZ71,Cenários!AZ117)</f>
        <v>5000</v>
      </c>
      <c r="BA13" s="153" t="n">
        <f aca="false">CHOOSE(Premissas!$B$6,Cenários!BA25,Cenários!BA71,Cenários!BA117)</f>
        <v>5000</v>
      </c>
      <c r="BB13" s="153" t="n">
        <f aca="false">CHOOSE(Premissas!$B$6,Cenários!BB25,Cenários!BB71,Cenários!BB117)</f>
        <v>5000</v>
      </c>
      <c r="BC13" s="153" t="n">
        <f aca="false">CHOOSE(Premissas!$B$6,Cenários!BC25,Cenários!BC71,Cenários!BC117)</f>
        <v>5000</v>
      </c>
      <c r="BD13" s="153" t="n">
        <f aca="false">CHOOSE(Premissas!$B$6,Cenários!BD25,Cenários!BD71,Cenários!BD117)</f>
        <v>5000</v>
      </c>
      <c r="BE13" s="153" t="n">
        <f aca="false">CHOOSE(Premissas!$B$6,Cenários!BE25,Cenários!BE71,Cenários!BE117)</f>
        <v>5000</v>
      </c>
      <c r="BF13" s="153" t="n">
        <f aca="false">CHOOSE(Premissas!$B$6,Cenários!BF25,Cenários!BF71,Cenários!BF117)</f>
        <v>5000</v>
      </c>
      <c r="BG13" s="153" t="n">
        <f aca="false">CHOOSE(Premissas!$B$6,Cenários!BG25,Cenários!BG71,Cenários!BG117)</f>
        <v>5000</v>
      </c>
      <c r="BH13" s="153" t="n">
        <f aca="false">CHOOSE(Premissas!$B$6,Cenários!BH25,Cenários!BH71,Cenários!BH117)</f>
        <v>5000</v>
      </c>
      <c r="BI13" s="153" t="n">
        <f aca="false">CHOOSE(Premissas!$B$6,Cenários!BI25,Cenários!BI71,Cenários!BI117)</f>
        <v>5000</v>
      </c>
      <c r="BJ13" s="154" t="n">
        <f aca="false">SUM(B13:BI13)</f>
        <v>230000</v>
      </c>
      <c r="BK13" s="155" t="n">
        <f aca="false">IFERROR(BJ13/BJ$16,0)</f>
        <v>0.00315797331875741</v>
      </c>
    </row>
    <row r="14" customFormat="false" ht="15" hidden="false" customHeight="true" outlineLevel="0" collapsed="false">
      <c r="A14" s="49" t="s">
        <v>396</v>
      </c>
      <c r="B14" s="153" t="n">
        <f aca="false">CHOOSE(Premissas!$B$6,Cenários!B26,Cenários!B72,Cenários!B118)</f>
        <v>0</v>
      </c>
      <c r="C14" s="153" t="n">
        <f aca="false">CHOOSE(Premissas!$B$6,Cenários!C26,Cenários!C72,Cenários!C118)</f>
        <v>0</v>
      </c>
      <c r="D14" s="153" t="n">
        <f aca="false">CHOOSE(Premissas!$B$6,Cenários!D26,Cenários!D72,Cenários!D118)</f>
        <v>0</v>
      </c>
      <c r="E14" s="153" t="n">
        <f aca="false">CHOOSE(Premissas!$B$6,Cenários!E26,Cenários!E72,Cenários!E118)</f>
        <v>0</v>
      </c>
      <c r="F14" s="153" t="n">
        <f aca="false">CHOOSE(Premissas!$B$6,Cenários!F26,Cenários!F72,Cenários!F118)</f>
        <v>0</v>
      </c>
      <c r="G14" s="153" t="n">
        <f aca="false">CHOOSE(Premissas!$B$6,Cenários!G26,Cenários!G72,Cenários!G118)</f>
        <v>0</v>
      </c>
      <c r="H14" s="153" t="n">
        <f aca="false">CHOOSE(Premissas!$B$6,Cenários!H26,Cenários!H72,Cenários!H118)</f>
        <v>0</v>
      </c>
      <c r="I14" s="153" t="n">
        <f aca="false">CHOOSE(Premissas!$B$6,Cenários!I26,Cenários!I72,Cenários!I118)</f>
        <v>0</v>
      </c>
      <c r="J14" s="153" t="n">
        <f aca="false">CHOOSE(Premissas!$B$6,Cenários!J26,Cenários!J72,Cenários!J118)</f>
        <v>0</v>
      </c>
      <c r="K14" s="153" t="n">
        <f aca="false">CHOOSE(Premissas!$B$6,Cenários!K26,Cenários!K72,Cenários!K118)</f>
        <v>0</v>
      </c>
      <c r="L14" s="153" t="n">
        <f aca="false">CHOOSE(Premissas!$B$6,Cenários!L26,Cenários!L72,Cenários!L118)</f>
        <v>0</v>
      </c>
      <c r="M14" s="153" t="n">
        <f aca="false">CHOOSE(Premissas!$B$6,Cenários!M26,Cenários!M72,Cenários!M118)</f>
        <v>0</v>
      </c>
      <c r="N14" s="153" t="n">
        <f aca="false">CHOOSE(Premissas!$B$6,Cenários!N26,Cenários!N72,Cenários!N118)</f>
        <v>0</v>
      </c>
      <c r="O14" s="153" t="n">
        <f aca="false">CHOOSE(Premissas!$B$6,Cenários!O26,Cenários!O72,Cenários!O118)</f>
        <v>0</v>
      </c>
      <c r="P14" s="153" t="n">
        <f aca="false">CHOOSE(Premissas!$B$6,Cenários!P26,Cenários!P72,Cenários!P118)</f>
        <v>0</v>
      </c>
      <c r="Q14" s="153" t="n">
        <f aca="false">CHOOSE(Premissas!$B$6,Cenários!Q26,Cenários!Q72,Cenários!Q118)</f>
        <v>3750</v>
      </c>
      <c r="R14" s="153" t="n">
        <f aca="false">CHOOSE(Premissas!$B$6,Cenários!R26,Cenários!R72,Cenários!R118)</f>
        <v>3750</v>
      </c>
      <c r="S14" s="153" t="n">
        <f aca="false">CHOOSE(Premissas!$B$6,Cenários!S26,Cenários!S72,Cenários!S118)</f>
        <v>3750</v>
      </c>
      <c r="T14" s="153" t="n">
        <f aca="false">CHOOSE(Premissas!$B$6,Cenários!T26,Cenários!T72,Cenários!T118)</f>
        <v>3750</v>
      </c>
      <c r="U14" s="153" t="n">
        <f aca="false">CHOOSE(Premissas!$B$6,Cenários!U26,Cenários!U72,Cenários!U118)</f>
        <v>3750</v>
      </c>
      <c r="V14" s="153" t="n">
        <f aca="false">CHOOSE(Premissas!$B$6,Cenários!V26,Cenários!V72,Cenários!V118)</f>
        <v>3750</v>
      </c>
      <c r="W14" s="153" t="n">
        <f aca="false">CHOOSE(Premissas!$B$6,Cenários!W26,Cenários!W72,Cenários!W118)</f>
        <v>5750</v>
      </c>
      <c r="X14" s="153" t="n">
        <f aca="false">CHOOSE(Premissas!$B$6,Cenários!X26,Cenários!X72,Cenários!X118)</f>
        <v>5750</v>
      </c>
      <c r="Y14" s="153" t="n">
        <f aca="false">CHOOSE(Premissas!$B$6,Cenários!Y26,Cenários!Y72,Cenários!Y118)</f>
        <v>5750</v>
      </c>
      <c r="Z14" s="153" t="n">
        <f aca="false">CHOOSE(Premissas!$B$6,Cenários!Z26,Cenários!Z72,Cenários!Z118)</f>
        <v>5750</v>
      </c>
      <c r="AA14" s="153" t="n">
        <f aca="false">CHOOSE(Premissas!$B$6,Cenários!AA26,Cenários!AA72,Cenários!AA118)</f>
        <v>5750</v>
      </c>
      <c r="AB14" s="153" t="n">
        <f aca="false">CHOOSE(Premissas!$B$6,Cenários!AB26,Cenários!AB72,Cenários!AB118)</f>
        <v>5750</v>
      </c>
      <c r="AC14" s="153" t="n">
        <f aca="false">CHOOSE(Premissas!$B$6,Cenários!AC26,Cenários!AC72,Cenários!AC118)</f>
        <v>5750</v>
      </c>
      <c r="AD14" s="153" t="n">
        <f aca="false">CHOOSE(Premissas!$B$6,Cenários!AD26,Cenários!AD72,Cenários!AD118)</f>
        <v>5750</v>
      </c>
      <c r="AE14" s="153" t="n">
        <f aca="false">CHOOSE(Premissas!$B$6,Cenários!AE26,Cenários!AE72,Cenários!AE118)</f>
        <v>5750</v>
      </c>
      <c r="AF14" s="153" t="n">
        <f aca="false">CHOOSE(Premissas!$B$6,Cenários!AF26,Cenários!AF72,Cenários!AF118)</f>
        <v>5750</v>
      </c>
      <c r="AG14" s="153" t="n">
        <f aca="false">CHOOSE(Premissas!$B$6,Cenários!AG26,Cenários!AG72,Cenários!AG118)</f>
        <v>5750</v>
      </c>
      <c r="AH14" s="153" t="n">
        <f aca="false">CHOOSE(Premissas!$B$6,Cenários!AH26,Cenários!AH72,Cenários!AH118)</f>
        <v>5750</v>
      </c>
      <c r="AI14" s="153" t="n">
        <f aca="false">CHOOSE(Premissas!$B$6,Cenários!AI26,Cenários!AI72,Cenários!AI118)</f>
        <v>5750</v>
      </c>
      <c r="AJ14" s="153" t="n">
        <f aca="false">CHOOSE(Premissas!$B$6,Cenários!AJ26,Cenários!AJ72,Cenários!AJ118)</f>
        <v>5750</v>
      </c>
      <c r="AK14" s="153" t="n">
        <f aca="false">CHOOSE(Premissas!$B$6,Cenários!AK26,Cenários!AK72,Cenários!AK118)</f>
        <v>5750</v>
      </c>
      <c r="AL14" s="153" t="n">
        <f aca="false">CHOOSE(Premissas!$B$6,Cenários!AL26,Cenários!AL72,Cenários!AL118)</f>
        <v>5750</v>
      </c>
      <c r="AM14" s="153" t="n">
        <f aca="false">CHOOSE(Premissas!$B$6,Cenários!AM26,Cenários!AM72,Cenários!AM118)</f>
        <v>5750</v>
      </c>
      <c r="AN14" s="153" t="n">
        <f aca="false">CHOOSE(Premissas!$B$6,Cenários!AN26,Cenários!AN72,Cenários!AN118)</f>
        <v>5750</v>
      </c>
      <c r="AO14" s="153" t="n">
        <f aca="false">CHOOSE(Premissas!$B$6,Cenários!AO26,Cenários!AO72,Cenários!AO118)</f>
        <v>5750</v>
      </c>
      <c r="AP14" s="153" t="n">
        <f aca="false">CHOOSE(Premissas!$B$6,Cenários!AP26,Cenários!AP72,Cenários!AP118)</f>
        <v>5750</v>
      </c>
      <c r="AQ14" s="153" t="n">
        <f aca="false">CHOOSE(Premissas!$B$6,Cenários!AQ26,Cenários!AQ72,Cenários!AQ118)</f>
        <v>5750</v>
      </c>
      <c r="AR14" s="153" t="n">
        <f aca="false">CHOOSE(Premissas!$B$6,Cenários!AR26,Cenários!AR72,Cenários!AR118)</f>
        <v>5750</v>
      </c>
      <c r="AS14" s="153" t="n">
        <f aca="false">CHOOSE(Premissas!$B$6,Cenários!AS26,Cenários!AS72,Cenários!AS118)</f>
        <v>5750</v>
      </c>
      <c r="AT14" s="153" t="n">
        <f aca="false">CHOOSE(Premissas!$B$6,Cenários!AT26,Cenários!AT72,Cenários!AT118)</f>
        <v>5750</v>
      </c>
      <c r="AU14" s="153" t="n">
        <f aca="false">CHOOSE(Premissas!$B$6,Cenários!AU26,Cenários!AU72,Cenários!AU118)</f>
        <v>5750</v>
      </c>
      <c r="AV14" s="153" t="n">
        <f aca="false">CHOOSE(Premissas!$B$6,Cenários!AV26,Cenários!AV72,Cenários!AV118)</f>
        <v>5750</v>
      </c>
      <c r="AW14" s="153" t="n">
        <f aca="false">CHOOSE(Premissas!$B$6,Cenários!AW26,Cenários!AW72,Cenários!AW118)</f>
        <v>5750</v>
      </c>
      <c r="AX14" s="153" t="n">
        <f aca="false">CHOOSE(Premissas!$B$6,Cenários!AX26,Cenários!AX72,Cenários!AX118)</f>
        <v>5750</v>
      </c>
      <c r="AY14" s="153" t="n">
        <f aca="false">CHOOSE(Premissas!$B$6,Cenários!AY26,Cenários!AY72,Cenários!AY118)</f>
        <v>5750</v>
      </c>
      <c r="AZ14" s="153" t="n">
        <f aca="false">CHOOSE(Premissas!$B$6,Cenários!AZ26,Cenários!AZ72,Cenários!AZ118)</f>
        <v>5750</v>
      </c>
      <c r="BA14" s="153" t="n">
        <f aca="false">CHOOSE(Premissas!$B$6,Cenários!BA26,Cenários!BA72,Cenários!BA118)</f>
        <v>5750</v>
      </c>
      <c r="BB14" s="153" t="n">
        <f aca="false">CHOOSE(Premissas!$B$6,Cenários!BB26,Cenários!BB72,Cenários!BB118)</f>
        <v>5750</v>
      </c>
      <c r="BC14" s="153" t="n">
        <f aca="false">CHOOSE(Premissas!$B$6,Cenários!BC26,Cenários!BC72,Cenários!BC118)</f>
        <v>5750</v>
      </c>
      <c r="BD14" s="153" t="n">
        <f aca="false">CHOOSE(Premissas!$B$6,Cenários!BD26,Cenários!BD72,Cenários!BD118)</f>
        <v>5750</v>
      </c>
      <c r="BE14" s="153" t="n">
        <f aca="false">CHOOSE(Premissas!$B$6,Cenários!BE26,Cenários!BE72,Cenários!BE118)</f>
        <v>5750</v>
      </c>
      <c r="BF14" s="153" t="n">
        <f aca="false">CHOOSE(Premissas!$B$6,Cenários!BF26,Cenários!BF72,Cenários!BF118)</f>
        <v>5750</v>
      </c>
      <c r="BG14" s="153" t="n">
        <f aca="false">CHOOSE(Premissas!$B$6,Cenários!BG26,Cenários!BG72,Cenários!BG118)</f>
        <v>5750</v>
      </c>
      <c r="BH14" s="153" t="n">
        <f aca="false">CHOOSE(Premissas!$B$6,Cenários!BH26,Cenários!BH72,Cenários!BH118)</f>
        <v>5750</v>
      </c>
      <c r="BI14" s="153" t="n">
        <f aca="false">CHOOSE(Premissas!$B$6,Cenários!BI26,Cenários!BI72,Cenários!BI118)</f>
        <v>5750</v>
      </c>
      <c r="BJ14" s="154" t="n">
        <f aca="false">SUM(B14:BI14)</f>
        <v>246750</v>
      </c>
      <c r="BK14" s="155" t="n">
        <f aca="false">IFERROR(BJ14/BJ$16,0)</f>
        <v>0.00338795615827561</v>
      </c>
    </row>
    <row r="15" customFormat="false" ht="15" hidden="false" customHeight="true" outlineLevel="0" collapsed="false">
      <c r="A15" s="49" t="s">
        <v>398</v>
      </c>
      <c r="B15" s="153" t="n">
        <f aca="false">CHOOSE(Premissas!$B$6,Cenários!B27,Cenários!B73,Cenários!B119)</f>
        <v>0</v>
      </c>
      <c r="C15" s="153" t="n">
        <f aca="false">CHOOSE(Premissas!$B$6,Cenários!C27,Cenários!C73,Cenários!C119)</f>
        <v>0</v>
      </c>
      <c r="D15" s="153" t="n">
        <f aca="false">CHOOSE(Premissas!$B$6,Cenários!D27,Cenários!D73,Cenários!D119)</f>
        <v>0</v>
      </c>
      <c r="E15" s="153" t="n">
        <f aca="false">CHOOSE(Premissas!$B$6,Cenários!E27,Cenários!E73,Cenários!E119)</f>
        <v>0</v>
      </c>
      <c r="F15" s="153" t="n">
        <f aca="false">CHOOSE(Premissas!$B$6,Cenários!F27,Cenários!F73,Cenários!F119)</f>
        <v>0</v>
      </c>
      <c r="G15" s="153" t="n">
        <f aca="false">CHOOSE(Premissas!$B$6,Cenários!G27,Cenários!G73,Cenários!G119)</f>
        <v>0</v>
      </c>
      <c r="H15" s="153" t="n">
        <f aca="false">CHOOSE(Premissas!$B$6,Cenários!H27,Cenários!H73,Cenários!H119)</f>
        <v>0</v>
      </c>
      <c r="I15" s="153" t="n">
        <f aca="false">CHOOSE(Premissas!$B$6,Cenários!I27,Cenários!I73,Cenários!I119)</f>
        <v>0</v>
      </c>
      <c r="J15" s="153" t="n">
        <f aca="false">CHOOSE(Premissas!$B$6,Cenários!J27,Cenários!J73,Cenários!J119)</f>
        <v>0</v>
      </c>
      <c r="K15" s="153" t="n">
        <f aca="false">CHOOSE(Premissas!$B$6,Cenários!K27,Cenários!K73,Cenários!K119)</f>
        <v>0</v>
      </c>
      <c r="L15" s="153" t="n">
        <f aca="false">CHOOSE(Premissas!$B$6,Cenários!L27,Cenários!L73,Cenários!L119)</f>
        <v>0</v>
      </c>
      <c r="M15" s="153" t="n">
        <f aca="false">CHOOSE(Premissas!$B$6,Cenários!M27,Cenários!M73,Cenários!M119)</f>
        <v>0</v>
      </c>
      <c r="N15" s="153" t="n">
        <f aca="false">CHOOSE(Premissas!$B$6,Cenários!N27,Cenários!N73,Cenários!N119)</f>
        <v>0</v>
      </c>
      <c r="O15" s="153" t="n">
        <f aca="false">CHOOSE(Premissas!$B$6,Cenários!O27,Cenários!O73,Cenários!O119)</f>
        <v>0</v>
      </c>
      <c r="P15" s="153" t="n">
        <f aca="false">CHOOSE(Premissas!$B$6,Cenários!P27,Cenários!P73,Cenários!P119)</f>
        <v>0</v>
      </c>
      <c r="Q15" s="153" t="n">
        <f aca="false">CHOOSE(Premissas!$B$6,Cenários!Q27,Cenários!Q73,Cenários!Q119)</f>
        <v>0</v>
      </c>
      <c r="R15" s="153" t="n">
        <f aca="false">CHOOSE(Premissas!$B$6,Cenários!R27,Cenários!R73,Cenários!R119)</f>
        <v>0</v>
      </c>
      <c r="S15" s="153" t="n">
        <f aca="false">CHOOSE(Premissas!$B$6,Cenários!S27,Cenários!S73,Cenários!S119)</f>
        <v>0</v>
      </c>
      <c r="T15" s="153" t="n">
        <f aca="false">CHOOSE(Premissas!$B$6,Cenários!T27,Cenários!T73,Cenários!T119)</f>
        <v>0</v>
      </c>
      <c r="U15" s="153" t="n">
        <f aca="false">CHOOSE(Premissas!$B$6,Cenários!U27,Cenários!U73,Cenários!U119)</f>
        <v>0</v>
      </c>
      <c r="V15" s="153" t="n">
        <f aca="false">CHOOSE(Premissas!$B$6,Cenários!V27,Cenários!V73,Cenários!V119)</f>
        <v>0</v>
      </c>
      <c r="W15" s="153" t="n">
        <f aca="false">CHOOSE(Premissas!$B$6,Cenários!W27,Cenários!W73,Cenários!W119)</f>
        <v>0</v>
      </c>
      <c r="X15" s="153" t="n">
        <f aca="false">CHOOSE(Premissas!$B$6,Cenários!X27,Cenários!X73,Cenários!X119)</f>
        <v>0</v>
      </c>
      <c r="Y15" s="153" t="n">
        <f aca="false">CHOOSE(Premissas!$B$6,Cenários!Y27,Cenários!Y73,Cenários!Y119)</f>
        <v>0</v>
      </c>
      <c r="Z15" s="153" t="n">
        <f aca="false">CHOOSE(Premissas!$B$6,Cenários!Z27,Cenários!Z73,Cenários!Z119)</f>
        <v>0</v>
      </c>
      <c r="AA15" s="153" t="n">
        <f aca="false">CHOOSE(Premissas!$B$6,Cenários!AA27,Cenários!AA73,Cenários!AA119)</f>
        <v>0</v>
      </c>
      <c r="AB15" s="153" t="n">
        <f aca="false">CHOOSE(Premissas!$B$6,Cenários!AB27,Cenários!AB73,Cenários!AB119)</f>
        <v>0</v>
      </c>
      <c r="AC15" s="153" t="n">
        <f aca="false">CHOOSE(Premissas!$B$6,Cenários!AC27,Cenários!AC73,Cenários!AC119)</f>
        <v>0</v>
      </c>
      <c r="AD15" s="153" t="n">
        <f aca="false">CHOOSE(Premissas!$B$6,Cenários!AD27,Cenários!AD73,Cenários!AD119)</f>
        <v>0</v>
      </c>
      <c r="AE15" s="153" t="n">
        <f aca="false">CHOOSE(Premissas!$B$6,Cenários!AE27,Cenários!AE73,Cenários!AE119)</f>
        <v>0</v>
      </c>
      <c r="AF15" s="153" t="n">
        <f aca="false">CHOOSE(Premissas!$B$6,Cenários!AF27,Cenários!AF73,Cenários!AF119)</f>
        <v>0</v>
      </c>
      <c r="AG15" s="153" t="n">
        <f aca="false">CHOOSE(Premissas!$B$6,Cenários!AG27,Cenários!AG73,Cenários!AG119)</f>
        <v>0</v>
      </c>
      <c r="AH15" s="153" t="n">
        <f aca="false">CHOOSE(Premissas!$B$6,Cenários!AH27,Cenários!AH73,Cenários!AH119)</f>
        <v>0</v>
      </c>
      <c r="AI15" s="153" t="n">
        <f aca="false">CHOOSE(Premissas!$B$6,Cenários!AI27,Cenários!AI73,Cenários!AI119)</f>
        <v>0</v>
      </c>
      <c r="AJ15" s="153" t="n">
        <f aca="false">CHOOSE(Premissas!$B$6,Cenários!AJ27,Cenários!AJ73,Cenários!AJ119)</f>
        <v>0</v>
      </c>
      <c r="AK15" s="153" t="n">
        <f aca="false">CHOOSE(Premissas!$B$6,Cenários!AK27,Cenários!AK73,Cenários!AK119)</f>
        <v>0</v>
      </c>
      <c r="AL15" s="153" t="n">
        <f aca="false">CHOOSE(Premissas!$B$6,Cenários!AL27,Cenários!AL73,Cenários!AL119)</f>
        <v>0</v>
      </c>
      <c r="AM15" s="153" t="n">
        <f aca="false">CHOOSE(Premissas!$B$6,Cenários!AM27,Cenários!AM73,Cenários!AM119)</f>
        <v>0</v>
      </c>
      <c r="AN15" s="153" t="n">
        <f aca="false">CHOOSE(Premissas!$B$6,Cenários!AN27,Cenários!AN73,Cenários!AN119)</f>
        <v>0</v>
      </c>
      <c r="AO15" s="153" t="n">
        <f aca="false">CHOOSE(Premissas!$B$6,Cenários!AO27,Cenários!AO73,Cenários!AO119)</f>
        <v>0</v>
      </c>
      <c r="AP15" s="153" t="n">
        <f aca="false">CHOOSE(Premissas!$B$6,Cenários!AP27,Cenários!AP73,Cenários!AP119)</f>
        <v>0</v>
      </c>
      <c r="AQ15" s="153" t="n">
        <f aca="false">CHOOSE(Premissas!$B$6,Cenários!AQ27,Cenários!AQ73,Cenários!AQ119)</f>
        <v>0</v>
      </c>
      <c r="AR15" s="153" t="n">
        <f aca="false">CHOOSE(Premissas!$B$6,Cenários!AR27,Cenários!AR73,Cenários!AR119)</f>
        <v>0</v>
      </c>
      <c r="AS15" s="153" t="n">
        <f aca="false">CHOOSE(Premissas!$B$6,Cenários!AS27,Cenários!AS73,Cenários!AS119)</f>
        <v>0</v>
      </c>
      <c r="AT15" s="153" t="n">
        <f aca="false">CHOOSE(Premissas!$B$6,Cenários!AT27,Cenários!AT73,Cenários!AT119)</f>
        <v>0</v>
      </c>
      <c r="AU15" s="153" t="n">
        <f aca="false">CHOOSE(Premissas!$B$6,Cenários!AU27,Cenários!AU73,Cenários!AU119)</f>
        <v>0</v>
      </c>
      <c r="AV15" s="153" t="n">
        <f aca="false">CHOOSE(Premissas!$B$6,Cenários!AV27,Cenários!AV73,Cenários!AV119)</f>
        <v>0</v>
      </c>
      <c r="AW15" s="153" t="n">
        <f aca="false">CHOOSE(Premissas!$B$6,Cenários!AW27,Cenários!AW73,Cenários!AW119)</f>
        <v>0</v>
      </c>
      <c r="AX15" s="153" t="n">
        <f aca="false">CHOOSE(Premissas!$B$6,Cenários!AX27,Cenários!AX73,Cenários!AX119)</f>
        <v>0</v>
      </c>
      <c r="AY15" s="153" t="n">
        <f aca="false">CHOOSE(Premissas!$B$6,Cenários!AY27,Cenários!AY73,Cenários!AY119)</f>
        <v>0</v>
      </c>
      <c r="AZ15" s="153" t="n">
        <f aca="false">CHOOSE(Premissas!$B$6,Cenários!AZ27,Cenários!AZ73,Cenários!AZ119)</f>
        <v>0</v>
      </c>
      <c r="BA15" s="153" t="n">
        <f aca="false">CHOOSE(Premissas!$B$6,Cenários!BA27,Cenários!BA73,Cenários!BA119)</f>
        <v>0</v>
      </c>
      <c r="BB15" s="153" t="n">
        <f aca="false">CHOOSE(Premissas!$B$6,Cenários!BB27,Cenários!BB73,Cenários!BB119)</f>
        <v>0</v>
      </c>
      <c r="BC15" s="153" t="n">
        <f aca="false">CHOOSE(Premissas!$B$6,Cenários!BC27,Cenários!BC73,Cenários!BC119)</f>
        <v>0</v>
      </c>
      <c r="BD15" s="153" t="n">
        <f aca="false">CHOOSE(Premissas!$B$6,Cenários!BD27,Cenários!BD73,Cenários!BD119)</f>
        <v>0</v>
      </c>
      <c r="BE15" s="153" t="n">
        <f aca="false">CHOOSE(Premissas!$B$6,Cenários!BE27,Cenários!BE73,Cenários!BE119)</f>
        <v>0</v>
      </c>
      <c r="BF15" s="153" t="n">
        <f aca="false">CHOOSE(Premissas!$B$6,Cenários!BF27,Cenários!BF73,Cenários!BF119)</f>
        <v>0</v>
      </c>
      <c r="BG15" s="153" t="n">
        <f aca="false">CHOOSE(Premissas!$B$6,Cenários!BG27,Cenários!BG73,Cenários!BG119)</f>
        <v>0</v>
      </c>
      <c r="BH15" s="153" t="n">
        <f aca="false">CHOOSE(Premissas!$B$6,Cenários!BH27,Cenários!BH73,Cenários!BH119)</f>
        <v>0</v>
      </c>
      <c r="BI15" s="153" t="n">
        <f aca="false">CHOOSE(Premissas!$B$6,Cenários!BI27,Cenários!BI73,Cenários!BI119)</f>
        <v>0</v>
      </c>
      <c r="BJ15" s="154" t="n">
        <f aca="false">SUM(B15:BI15)</f>
        <v>0</v>
      </c>
      <c r="BK15" s="155" t="n">
        <f aca="false">IFERROR(BJ15/BJ$16,0)</f>
        <v>0</v>
      </c>
    </row>
    <row r="16" customFormat="false" ht="15" hidden="false" customHeight="true" outlineLevel="0" collapsed="false">
      <c r="A16" s="53" t="s">
        <v>699</v>
      </c>
      <c r="B16" s="154" t="n">
        <f aca="false">SUM(B9:B15)</f>
        <v>0</v>
      </c>
      <c r="C16" s="154" t="n">
        <f aca="false">SUM(C9:C15)</f>
        <v>0</v>
      </c>
      <c r="D16" s="154" t="n">
        <f aca="false">SUM(D9:D15)</f>
        <v>0</v>
      </c>
      <c r="E16" s="154" t="n">
        <f aca="false">SUM(E9:E15)</f>
        <v>0</v>
      </c>
      <c r="F16" s="154" t="n">
        <f aca="false">SUM(F9:F15)</f>
        <v>0</v>
      </c>
      <c r="G16" s="154" t="n">
        <f aca="false">SUM(G9:G15)</f>
        <v>0</v>
      </c>
      <c r="H16" s="154" t="n">
        <f aca="false">SUM(H9:H15)</f>
        <v>0</v>
      </c>
      <c r="I16" s="154" t="n">
        <f aca="false">SUM(I9:I15)</f>
        <v>0</v>
      </c>
      <c r="J16" s="154" t="n">
        <f aca="false">SUM(J9:J15)</f>
        <v>0</v>
      </c>
      <c r="K16" s="154" t="n">
        <f aca="false">SUM(K9:K15)</f>
        <v>0</v>
      </c>
      <c r="L16" s="154" t="n">
        <f aca="false">SUM(L9:L15)</f>
        <v>0</v>
      </c>
      <c r="M16" s="154" t="n">
        <f aca="false">SUM(M9:M15)</f>
        <v>7191</v>
      </c>
      <c r="N16" s="154" t="n">
        <f aca="false">SUM(N9:N15)</f>
        <v>38418.9662</v>
      </c>
      <c r="O16" s="154" t="n">
        <f aca="false">SUM(O9:O15)</f>
        <v>87211.56790176</v>
      </c>
      <c r="P16" s="154" t="n">
        <f aca="false">SUM(P9:P15)</f>
        <v>157529.211555548</v>
      </c>
      <c r="Q16" s="154" t="n">
        <f aca="false">SUM(Q9:Q15)</f>
        <v>241211.37784657</v>
      </c>
      <c r="R16" s="154" t="n">
        <f aca="false">SUM(R9:R15)</f>
        <v>334166.614992508</v>
      </c>
      <c r="S16" s="154" t="n">
        <f aca="false">SUM(S9:S15)</f>
        <v>378148.578785072</v>
      </c>
      <c r="T16" s="154" t="n">
        <f aca="false">SUM(T9:T15)</f>
        <v>418785.769620434</v>
      </c>
      <c r="U16" s="154" t="n">
        <f aca="false">SUM(U9:U15)</f>
        <v>456402.966744978</v>
      </c>
      <c r="V16" s="154" t="n">
        <f aca="false">SUM(V9:V15)</f>
        <v>491244.659925755</v>
      </c>
      <c r="W16" s="154" t="n">
        <f aca="false">SUM(W9:W15)</f>
        <v>525395.178739339</v>
      </c>
      <c r="X16" s="154" t="n">
        <f aca="false">SUM(X9:X15)</f>
        <v>555178.21965814</v>
      </c>
      <c r="Y16" s="154" t="n">
        <f aca="false">SUM(Y9:Y15)</f>
        <v>582677.471099848</v>
      </c>
      <c r="Z16" s="154" t="n">
        <f aca="false">SUM(Z9:Z15)</f>
        <v>710220.35777257</v>
      </c>
      <c r="AA16" s="154" t="n">
        <f aca="false">SUM(AA9:AA15)</f>
        <v>773992.910891143</v>
      </c>
      <c r="AB16" s="154" t="n">
        <f aca="false">SUM(AB9:AB15)</f>
        <v>833312.23995727</v>
      </c>
      <c r="AC16" s="154" t="n">
        <f aca="false">SUM(AC9:AC15)</f>
        <v>888438.07729837</v>
      </c>
      <c r="AD16" s="154" t="n">
        <f aca="false">SUM(AD9:AD15)</f>
        <v>939667.646076703</v>
      </c>
      <c r="AE16" s="154" t="n">
        <f aca="false">SUM(AE9:AE15)</f>
        <v>987271.910418833</v>
      </c>
      <c r="AF16" s="154" t="n">
        <f aca="false">SUM(AF9:AF15)</f>
        <v>1031476.92200155</v>
      </c>
      <c r="AG16" s="154" t="n">
        <f aca="false">SUM(AG9:AG15)</f>
        <v>1072578.0633447</v>
      </c>
      <c r="AH16" s="154" t="n">
        <f aca="false">SUM(AH9:AH15)</f>
        <v>1110735.58804379</v>
      </c>
      <c r="AI16" s="154" t="n">
        <f aca="false">SUM(AI9:AI15)</f>
        <v>1146203.05815855</v>
      </c>
      <c r="AJ16" s="154" t="n">
        <f aca="false">SUM(AJ9:AJ15)</f>
        <v>1179226.17895864</v>
      </c>
      <c r="AK16" s="154" t="n">
        <f aca="false">SUM(AK9:AK15)</f>
        <v>1209919.53121321</v>
      </c>
      <c r="AL16" s="154" t="n">
        <f aca="false">SUM(AL9:AL15)</f>
        <v>1373811.29039828</v>
      </c>
      <c r="AM16" s="154" t="n">
        <f aca="false">SUM(AM9:AM15)</f>
        <v>1462852.13759846</v>
      </c>
      <c r="AN16" s="154" t="n">
        <f aca="false">SUM(AN9:AN15)</f>
        <v>1545884.30072692</v>
      </c>
      <c r="AO16" s="154" t="n">
        <f aca="false">SUM(AO9:AO15)</f>
        <v>1623474.09676629</v>
      </c>
      <c r="AP16" s="154" t="n">
        <f aca="false">SUM(AP9:AP15)</f>
        <v>1695939.49901713</v>
      </c>
      <c r="AQ16" s="154" t="n">
        <f aca="false">SUM(AQ9:AQ15)</f>
        <v>1763546.51973646</v>
      </c>
      <c r="AR16" s="154" t="n">
        <f aca="false">SUM(AR9:AR15)</f>
        <v>1826698.18728532</v>
      </c>
      <c r="AS16" s="154" t="n">
        <f aca="false">SUM(AS9:AS15)</f>
        <v>1885600.21815014</v>
      </c>
      <c r="AT16" s="154" t="n">
        <f aca="false">SUM(AT9:AT15)</f>
        <v>1940592.88417842</v>
      </c>
      <c r="AU16" s="154" t="n">
        <f aca="false">SUM(AU9:AU15)</f>
        <v>1991969.97534696</v>
      </c>
      <c r="AV16" s="154" t="n">
        <f aca="false">SUM(AV9:AV15)</f>
        <v>2039961.05835922</v>
      </c>
      <c r="AW16" s="154" t="n">
        <f aca="false">SUM(AW9:AW15)</f>
        <v>2084688.53134916</v>
      </c>
      <c r="AX16" s="154" t="n">
        <f aca="false">SUM(AX9:AX15)</f>
        <v>2334038.5554176</v>
      </c>
      <c r="AY16" s="154" t="n">
        <f aca="false">SUM(AY9:AY15)</f>
        <v>2471659.74025007</v>
      </c>
      <c r="AZ16" s="154" t="n">
        <f aca="false">SUM(AZ9:AZ15)</f>
        <v>2600583.74511725</v>
      </c>
      <c r="BA16" s="154" t="n">
        <f aca="false">SUM(BA9:BA15)</f>
        <v>2721568.41797722</v>
      </c>
      <c r="BB16" s="154" t="n">
        <f aca="false">SUM(BB9:BB15)</f>
        <v>2834961.90501112</v>
      </c>
      <c r="BC16" s="154" t="n">
        <f aca="false">SUM(BC9:BC15)</f>
        <v>2941220.469408</v>
      </c>
      <c r="BD16" s="154" t="n">
        <f aca="false">SUM(BD9:BD15)</f>
        <v>3040935.90273034</v>
      </c>
      <c r="BE16" s="154" t="n">
        <f aca="false">SUM(BE9:BE15)</f>
        <v>3134394.02932373</v>
      </c>
      <c r="BF16" s="154" t="n">
        <f aca="false">SUM(BF9:BF15)</f>
        <v>3222042.90420508</v>
      </c>
      <c r="BG16" s="154" t="n">
        <f aca="false">SUM(BG9:BG15)</f>
        <v>3304085.60483677</v>
      </c>
      <c r="BH16" s="154" t="n">
        <f aca="false">SUM(BH9:BH15)</f>
        <v>3381108.21716861</v>
      </c>
      <c r="BI16" s="154" t="n">
        <f aca="false">SUM(BI9:BI15)</f>
        <v>3453298.71630562</v>
      </c>
      <c r="BJ16" s="154" t="n">
        <f aca="false">SUM(B16:BI16)</f>
        <v>72831520.9738694</v>
      </c>
    </row>
    <row r="18" customFormat="false" ht="18" hidden="false" customHeight="true" outlineLevel="0" collapsed="false">
      <c r="A18" s="47" t="s">
        <v>700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</row>
    <row r="19" customFormat="false" ht="15" hidden="false" customHeight="true" outlineLevel="0" collapsed="false">
      <c r="A19" s="49" t="s">
        <v>434</v>
      </c>
      <c r="B19" s="153" t="n">
        <f aca="false">CHOOSE(Premissas!$B$6,Cenários!B31,Cenários!B77,Cenários!B123)</f>
        <v>-0</v>
      </c>
      <c r="C19" s="153" t="n">
        <f aca="false">CHOOSE(Premissas!$B$6,Cenários!C31,Cenários!C77,Cenários!C123)</f>
        <v>-0</v>
      </c>
      <c r="D19" s="153" t="n">
        <f aca="false">CHOOSE(Premissas!$B$6,Cenários!D31,Cenários!D77,Cenários!D123)</f>
        <v>-0</v>
      </c>
      <c r="E19" s="153" t="n">
        <f aca="false">CHOOSE(Premissas!$B$6,Cenários!E31,Cenários!E77,Cenários!E123)</f>
        <v>-0</v>
      </c>
      <c r="F19" s="153" t="n">
        <f aca="false">CHOOSE(Premissas!$B$6,Cenários!F31,Cenários!F77,Cenários!F123)</f>
        <v>-0</v>
      </c>
      <c r="G19" s="153" t="n">
        <f aca="false">CHOOSE(Premissas!$B$6,Cenários!G31,Cenários!G77,Cenários!G123)</f>
        <v>-0</v>
      </c>
      <c r="H19" s="153" t="n">
        <f aca="false">CHOOSE(Premissas!$B$6,Cenários!H31,Cenários!H77,Cenários!H123)</f>
        <v>-0</v>
      </c>
      <c r="I19" s="153" t="n">
        <f aca="false">CHOOSE(Premissas!$B$6,Cenários!I31,Cenários!I77,Cenários!I123)</f>
        <v>-0</v>
      </c>
      <c r="J19" s="153" t="n">
        <f aca="false">CHOOSE(Premissas!$B$6,Cenários!J31,Cenários!J77,Cenários!J123)</f>
        <v>-0</v>
      </c>
      <c r="K19" s="153" t="n">
        <f aca="false">CHOOSE(Premissas!$B$6,Cenários!K31,Cenários!K77,Cenários!K123)</f>
        <v>-0</v>
      </c>
      <c r="L19" s="153" t="n">
        <f aca="false">CHOOSE(Premissas!$B$6,Cenários!L31,Cenários!L77,Cenários!L123)</f>
        <v>-0</v>
      </c>
      <c r="M19" s="153" t="n">
        <f aca="false">CHOOSE(Premissas!$B$6,Cenários!M31,Cenários!M77,Cenários!M123)</f>
        <v>-1114.605</v>
      </c>
      <c r="N19" s="153" t="n">
        <f aca="false">CHOOSE(Premissas!$B$6,Cenários!N31,Cenários!N77,Cenários!N123)</f>
        <v>-5954.939761</v>
      </c>
      <c r="O19" s="153" t="n">
        <f aca="false">CHOOSE(Premissas!$B$6,Cenários!O31,Cenários!O77,Cenários!O123)</f>
        <v>-13517.7930247728</v>
      </c>
      <c r="P19" s="153" t="n">
        <f aca="false">CHOOSE(Premissas!$B$6,Cenários!P31,Cenários!P77,Cenários!P123)</f>
        <v>-24417.0277911099</v>
      </c>
      <c r="Q19" s="153" t="n">
        <f aca="false">CHOOSE(Premissas!$B$6,Cenários!Q31,Cenários!Q77,Cenários!Q123)</f>
        <v>-39679.6343298131</v>
      </c>
      <c r="R19" s="153" t="n">
        <f aca="false">CHOOSE(Premissas!$B$6,Cenários!R31,Cenários!R77,Cenários!R123)</f>
        <v>-58938.8533208802</v>
      </c>
      <c r="S19" s="153" t="n">
        <f aca="false">CHOOSE(Premissas!$B$6,Cenários!S31,Cenários!S77,Cenários!S123)</f>
        <v>-70051.2129049159</v>
      </c>
      <c r="T19" s="153" t="n">
        <f aca="false">CHOOSE(Premissas!$B$6,Cenários!T31,Cenários!T77,Cenários!T123)</f>
        <v>-80093.8938910857</v>
      </c>
      <c r="U19" s="153" t="n">
        <f aca="false">CHOOSE(Premissas!$B$6,Cenários!U31,Cenários!U77,Cenários!U123)</f>
        <v>-88868.6381338144</v>
      </c>
      <c r="V19" s="153" t="n">
        <f aca="false">CHOOSE(Premissas!$B$6,Cenários!V31,Cenários!V77,Cenários!V123)</f>
        <v>-98590.1686841606</v>
      </c>
      <c r="W19" s="153" t="n">
        <f aca="false">CHOOSE(Premissas!$B$6,Cenários!W31,Cenários!W77,Cenários!W123)</f>
        <v>-108341.597278833</v>
      </c>
      <c r="X19" s="153" t="n">
        <f aca="false">CHOOSE(Premissas!$B$6,Cenários!X31,Cenários!X77,Cenários!X123)</f>
        <v>-116696.155984977</v>
      </c>
      <c r="Y19" s="153" t="n">
        <f aca="false">CHOOSE(Premissas!$B$6,Cenários!Y31,Cenários!Y77,Cenários!Y123)</f>
        <v>-92467.1803558589</v>
      </c>
      <c r="Z19" s="153" t="n">
        <f aca="false">CHOOSE(Premissas!$B$6,Cenários!Z31,Cenários!Z77,Cenários!Z123)</f>
        <v>-126723.70696705</v>
      </c>
      <c r="AA19" s="153" t="n">
        <f aca="false">CHOOSE(Premissas!$B$6,Cenários!AA31,Cenários!AA77,Cenários!AA123)</f>
        <v>-126393.042348524</v>
      </c>
      <c r="AB19" s="153" t="n">
        <f aca="false">CHOOSE(Premissas!$B$6,Cenários!AB31,Cenários!AB77,Cenários!AB123)</f>
        <v>-136079.888785022</v>
      </c>
      <c r="AC19" s="153" t="n">
        <f aca="false">CHOOSE(Premissas!$B$6,Cenários!AC31,Cenários!AC77,Cenários!AC123)</f>
        <v>-145081.938022824</v>
      </c>
      <c r="AD19" s="153" t="n">
        <f aca="false">CHOOSE(Premissas!$B$6,Cenários!AD31,Cenários!AD77,Cenários!AD123)</f>
        <v>-153447.726604326</v>
      </c>
      <c r="AE19" s="153" t="n">
        <f aca="false">CHOOSE(Premissas!$B$6,Cenários!AE31,Cenários!AE77,Cenários!AE123)</f>
        <v>-161221.502971395</v>
      </c>
      <c r="AF19" s="153" t="n">
        <f aca="false">CHOOSE(Premissas!$B$6,Cenários!AF31,Cenários!AF77,Cenários!AF123)</f>
        <v>-168440.181362853</v>
      </c>
      <c r="AG19" s="153" t="n">
        <f aca="false">CHOOSE(Premissas!$B$6,Cenários!AG31,Cenários!AG77,Cenários!AG123)</f>
        <v>-175151.99774419</v>
      </c>
      <c r="AH19" s="153" t="n">
        <f aca="false">CHOOSE(Premissas!$B$6,Cenários!AH31,Cenários!AH77,Cenários!AH123)</f>
        <v>-181383.121527551</v>
      </c>
      <c r="AI19" s="153" t="n">
        <f aca="false">CHOOSE(Premissas!$B$6,Cenários!AI31,Cenários!AI77,Cenários!AI123)</f>
        <v>-187174.959397291</v>
      </c>
      <c r="AJ19" s="153" t="n">
        <f aca="false">CHOOSE(Premissas!$B$6,Cenários!AJ31,Cenários!AJ77,Cenários!AJ123)</f>
        <v>-192567.635023946</v>
      </c>
      <c r="AK19" s="153" t="n">
        <f aca="false">CHOOSE(Premissas!$B$6,Cenários!AK31,Cenários!AK77,Cenários!AK123)</f>
        <v>-197579.859447117</v>
      </c>
      <c r="AL19" s="153" t="n">
        <f aca="false">CHOOSE(Premissas!$B$6,Cenários!AL31,Cenários!AL77,Cenários!AL123)</f>
        <v>-224343.383722039</v>
      </c>
      <c r="AM19" s="153" t="n">
        <f aca="false">CHOOSE(Premissas!$B$6,Cenários!AM31,Cenários!AM77,Cenários!AM123)</f>
        <v>-238883.754069828</v>
      </c>
      <c r="AN19" s="153" t="n">
        <f aca="false">CHOOSE(Premissas!$B$6,Cenários!AN31,Cenários!AN77,Cenários!AN123)</f>
        <v>-252442.906308705</v>
      </c>
      <c r="AO19" s="153" t="n">
        <f aca="false">CHOOSE(Premissas!$B$6,Cenários!AO31,Cenários!AO77,Cenários!AO123)</f>
        <v>-265113.320001936</v>
      </c>
      <c r="AP19" s="153" t="n">
        <f aca="false">CHOOSE(Premissas!$B$6,Cenários!AP31,Cenários!AP77,Cenários!AP123)</f>
        <v>-276946.920189498</v>
      </c>
      <c r="AQ19" s="153" t="n">
        <f aca="false">CHOOSE(Premissas!$B$6,Cenários!AQ31,Cenários!AQ77,Cenários!AQ123)</f>
        <v>-287987.146672963</v>
      </c>
      <c r="AR19" s="153" t="n">
        <f aca="false">CHOOSE(Premissas!$B$6,Cenários!AR31,Cenários!AR77,Cenários!AR123)</f>
        <v>-298299.813983693</v>
      </c>
      <c r="AS19" s="153" t="n">
        <f aca="false">CHOOSE(Premissas!$B$6,Cenários!AS31,Cenários!AS77,Cenários!AS123)</f>
        <v>-307918.515623917</v>
      </c>
      <c r="AT19" s="153" t="n">
        <f aca="false">CHOOSE(Premissas!$B$6,Cenários!AT31,Cenários!AT77,Cenários!AT123)</f>
        <v>-316898.817986337</v>
      </c>
      <c r="AU19" s="153" t="n">
        <f aca="false">CHOOSE(Premissas!$B$6,Cenários!AU31,Cenários!AU77,Cenários!AU123)</f>
        <v>-325288.696974159</v>
      </c>
      <c r="AV19" s="153" t="n">
        <f aca="false">CHOOSE(Premissas!$B$6,Cenários!AV31,Cenários!AV77,Cenários!AV123)</f>
        <v>-333125.640830061</v>
      </c>
      <c r="AW19" s="153" t="n">
        <f aca="false">CHOOSE(Premissas!$B$6,Cenários!AW31,Cenários!AW77,Cenários!AW123)</f>
        <v>-340429.637169317</v>
      </c>
      <c r="AX19" s="153" t="n">
        <f aca="false">CHOOSE(Premissas!$B$6,Cenários!AX31,Cenários!AX77,Cenários!AX123)</f>
        <v>-381148.496099694</v>
      </c>
      <c r="AY19" s="153" t="n">
        <f aca="false">CHOOSE(Premissas!$B$6,Cenários!AY31,Cenários!AY77,Cenários!AY123)</f>
        <v>-403622.035582836</v>
      </c>
      <c r="AZ19" s="153" t="n">
        <f aca="false">CHOOSE(Premissas!$B$6,Cenários!AZ31,Cenários!AZ77,Cenários!AZ123)</f>
        <v>-424675.325577647</v>
      </c>
      <c r="BA19" s="153" t="n">
        <f aca="false">CHOOSE(Premissas!$B$6,Cenários!BA31,Cenários!BA77,Cenários!BA123)</f>
        <v>-444432.12265568</v>
      </c>
      <c r="BB19" s="153" t="n">
        <f aca="false">CHOOSE(Premissas!$B$6,Cenários!BB31,Cenários!BB77,Cenários!BB123)</f>
        <v>-462949.279088316</v>
      </c>
      <c r="BC19" s="153" t="n">
        <f aca="false">CHOOSE(Premissas!$B$6,Cenários!BC31,Cenários!BC77,Cenários!BC123)</f>
        <v>-480301.302654326</v>
      </c>
      <c r="BD19" s="153" t="n">
        <f aca="false">CHOOSE(Premissas!$B$6,Cenários!BD31,Cenários!BD77,Cenários!BD123)</f>
        <v>-496584.832915865</v>
      </c>
      <c r="BE19" s="153" t="n">
        <f aca="false">CHOOSE(Premissas!$B$6,Cenários!BE31,Cenários!BE77,Cenários!BE123)</f>
        <v>-511846.544988565</v>
      </c>
      <c r="BF19" s="153" t="n">
        <f aca="false">CHOOSE(Premissas!$B$6,Cenários!BF31,Cenários!BF77,Cenários!BF123)</f>
        <v>-526159.606256689</v>
      </c>
      <c r="BG19" s="153" t="n">
        <f aca="false">CHOOSE(Premissas!$B$6,Cenários!BG31,Cenários!BG77,Cenários!BG123)</f>
        <v>-539557.179269844</v>
      </c>
      <c r="BH19" s="153" t="n">
        <f aca="false">CHOOSE(Premissas!$B$6,Cenários!BH31,Cenários!BH77,Cenários!BH123)</f>
        <v>-552134.971863635</v>
      </c>
      <c r="BI19" s="153" t="n">
        <f aca="false">CHOOSE(Premissas!$B$6,Cenários!BI31,Cenários!BI77,Cenários!BI123)</f>
        <v>-563923.680372707</v>
      </c>
      <c r="BJ19" s="154" t="n">
        <f aca="false">SUM(B19:BI19)</f>
        <v>-12004991.1915216</v>
      </c>
      <c r="BK19" s="155" t="n">
        <f aca="false">IFERROR(BJ19/BJ$16,0)</f>
        <v>-0.164832355977143</v>
      </c>
    </row>
    <row r="20" customFormat="false" ht="15" hidden="false" customHeight="true" outlineLevel="0" collapsed="false">
      <c r="A20" s="49" t="s">
        <v>402</v>
      </c>
      <c r="B20" s="153" t="n">
        <f aca="false">CHOOSE(Premissas!$B$6,Cenários!B32,Cenários!B78,Cenários!B124)</f>
        <v>-0</v>
      </c>
      <c r="C20" s="153" t="n">
        <f aca="false">CHOOSE(Premissas!$B$6,Cenários!C32,Cenários!C78,Cenários!C124)</f>
        <v>-0</v>
      </c>
      <c r="D20" s="153" t="n">
        <f aca="false">CHOOSE(Premissas!$B$6,Cenários!D32,Cenários!D78,Cenários!D124)</f>
        <v>-0</v>
      </c>
      <c r="E20" s="153" t="n">
        <f aca="false">CHOOSE(Premissas!$B$6,Cenários!E32,Cenários!E78,Cenários!E124)</f>
        <v>-0</v>
      </c>
      <c r="F20" s="153" t="n">
        <f aca="false">CHOOSE(Premissas!$B$6,Cenários!F32,Cenários!F78,Cenários!F124)</f>
        <v>-0</v>
      </c>
      <c r="G20" s="153" t="n">
        <f aca="false">CHOOSE(Premissas!$B$6,Cenários!G32,Cenários!G78,Cenários!G124)</f>
        <v>-0</v>
      </c>
      <c r="H20" s="153" t="n">
        <f aca="false">CHOOSE(Premissas!$B$6,Cenários!H32,Cenários!H78,Cenários!H124)</f>
        <v>-0</v>
      </c>
      <c r="I20" s="153" t="n">
        <f aca="false">CHOOSE(Premissas!$B$6,Cenários!I32,Cenários!I78,Cenários!I124)</f>
        <v>-0</v>
      </c>
      <c r="J20" s="153" t="n">
        <f aca="false">CHOOSE(Premissas!$B$6,Cenários!J32,Cenários!J78,Cenários!J124)</f>
        <v>-0</v>
      </c>
      <c r="K20" s="153" t="n">
        <f aca="false">CHOOSE(Premissas!$B$6,Cenários!K32,Cenários!K78,Cenários!K124)</f>
        <v>-0</v>
      </c>
      <c r="L20" s="153" t="n">
        <f aca="false">CHOOSE(Premissas!$B$6,Cenários!L32,Cenários!L78,Cenários!L124)</f>
        <v>-0</v>
      </c>
      <c r="M20" s="153" t="n">
        <f aca="false">CHOOSE(Premissas!$B$6,Cenários!M32,Cenários!M78,Cenários!M124)</f>
        <v>-916.8525</v>
      </c>
      <c r="N20" s="153" t="n">
        <f aca="false">CHOOSE(Premissas!$B$6,Cenários!N32,Cenários!N78,Cenários!N124)</f>
        <v>-4333.776</v>
      </c>
      <c r="O20" s="153" t="n">
        <f aca="false">CHOOSE(Premissas!$B$6,Cenários!O32,Cenários!O78,Cenários!O124)</f>
        <v>-10038.636</v>
      </c>
      <c r="P20" s="153" t="n">
        <f aca="false">CHOOSE(Premissas!$B$6,Cenários!P32,Cenários!P78,Cenários!P124)</f>
        <v>-17737.8</v>
      </c>
      <c r="Q20" s="153" t="n">
        <f aca="false">CHOOSE(Premissas!$B$6,Cenários!Q32,Cenários!Q78,Cenários!Q124)</f>
        <v>-27201.156</v>
      </c>
      <c r="R20" s="153" t="n">
        <f aca="false">CHOOSE(Premissas!$B$6,Cenários!R32,Cenários!R78,Cenários!R124)</f>
        <v>-38236.944</v>
      </c>
      <c r="S20" s="153" t="n">
        <f aca="false">CHOOSE(Premissas!$B$6,Cenários!S32,Cenários!S78,Cenários!S124)</f>
        <v>-43404.876</v>
      </c>
      <c r="T20" s="153" t="n">
        <f aca="false">CHOOSE(Premissas!$B$6,Cenários!T32,Cenários!T78,Cenários!T124)</f>
        <v>-48179.7</v>
      </c>
      <c r="U20" s="153" t="n">
        <f aca="false">CHOOSE(Premissas!$B$6,Cenários!U32,Cenários!U78,Cenários!U124)</f>
        <v>-52599.768</v>
      </c>
      <c r="V20" s="153" t="n">
        <f aca="false">CHOOSE(Premissas!$B$6,Cenários!V32,Cenários!V78,Cenários!V124)</f>
        <v>-56693.844</v>
      </c>
      <c r="W20" s="153" t="n">
        <f aca="false">CHOOSE(Premissas!$B$6,Cenários!W32,Cenários!W78,Cenários!W124)</f>
        <v>-60471.516</v>
      </c>
      <c r="X20" s="153" t="n">
        <f aca="false">CHOOSE(Premissas!$B$6,Cenários!X32,Cenários!X78,Cenários!X124)</f>
        <v>-63971.136</v>
      </c>
      <c r="Y20" s="153" t="n">
        <f aca="false">CHOOSE(Premissas!$B$6,Cenários!Y32,Cenários!Y78,Cenários!Y124)</f>
        <v>-67202.292</v>
      </c>
      <c r="Z20" s="153" t="n">
        <f aca="false">CHOOSE(Premissas!$B$6,Cenários!Z32,Cenários!Z78,Cenários!Z124)</f>
        <v>-76214.5425</v>
      </c>
      <c r="AA20" s="153" t="n">
        <f aca="false">CHOOSE(Premissas!$B$6,Cenários!AA32,Cenários!AA78,Cenários!AA124)</f>
        <v>-83163.0825</v>
      </c>
      <c r="AB20" s="153" t="n">
        <f aca="false">CHOOSE(Premissas!$B$6,Cenários!AB32,Cenários!AB78,Cenários!AB124)</f>
        <v>-89626.60125</v>
      </c>
      <c r="AC20" s="153" t="n">
        <f aca="false">CHOOSE(Premissas!$B$6,Cenários!AC32,Cenários!AC78,Cenários!AC124)</f>
        <v>-95633.19</v>
      </c>
      <c r="AD20" s="153" t="n">
        <f aca="false">CHOOSE(Premissas!$B$6,Cenários!AD32,Cenários!AD78,Cenários!AD124)</f>
        <v>-101215.2375</v>
      </c>
      <c r="AE20" s="153" t="n">
        <f aca="false">CHOOSE(Premissas!$B$6,Cenários!AE32,Cenários!AE78,Cenários!AE124)</f>
        <v>-106402.2525</v>
      </c>
      <c r="AF20" s="153" t="n">
        <f aca="false">CHOOSE(Premissas!$B$6,Cenários!AF32,Cenários!AF78,Cenários!AF124)</f>
        <v>-111218.76</v>
      </c>
      <c r="AG20" s="153" t="n">
        <f aca="false">CHOOSE(Premissas!$B$6,Cenários!AG32,Cenários!AG78,Cenários!AG124)</f>
        <v>-115697.14875</v>
      </c>
      <c r="AH20" s="153" t="n">
        <f aca="false">CHOOSE(Premissas!$B$6,Cenários!AH32,Cenários!AH78,Cenários!AH124)</f>
        <v>-119854.665</v>
      </c>
      <c r="AI20" s="153" t="n">
        <f aca="false">CHOOSE(Premissas!$B$6,Cenários!AI32,Cenários!AI78,Cenários!AI124)</f>
        <v>-123719.1075</v>
      </c>
      <c r="AJ20" s="153" t="n">
        <f aca="false">CHOOSE(Premissas!$B$6,Cenários!AJ32,Cenários!AJ78,Cenários!AJ124)</f>
        <v>-127317.4425</v>
      </c>
      <c r="AK20" s="153" t="n">
        <f aca="false">CHOOSE(Premissas!$B$6,Cenários!AK32,Cenários!AK78,Cenários!AK124)</f>
        <v>-130661.9325</v>
      </c>
      <c r="AL20" s="153" t="n">
        <f aca="false">CHOOSE(Premissas!$B$6,Cenários!AL32,Cenários!AL78,Cenários!AL124)</f>
        <v>-140200.4268</v>
      </c>
      <c r="AM20" s="153" t="n">
        <f aca="false">CHOOSE(Premissas!$B$6,Cenários!AM32,Cenários!AM78,Cenários!AM124)</f>
        <v>-149358.9996</v>
      </c>
      <c r="AN20" s="153" t="n">
        <f aca="false">CHOOSE(Premissas!$B$6,Cenários!AN32,Cenários!AN78,Cenários!AN124)</f>
        <v>-157899.0564</v>
      </c>
      <c r="AO20" s="153" t="n">
        <f aca="false">CHOOSE(Premissas!$B$6,Cenários!AO32,Cenários!AO78,Cenários!AO124)</f>
        <v>-165879.738</v>
      </c>
      <c r="AP20" s="153" t="n">
        <f aca="false">CHOOSE(Premissas!$B$6,Cenários!AP32,Cenários!AP78,Cenários!AP124)</f>
        <v>-173333.4984</v>
      </c>
      <c r="AQ20" s="153" t="n">
        <f aca="false">CHOOSE(Premissas!$B$6,Cenários!AQ32,Cenários!AQ78,Cenários!AQ124)</f>
        <v>-180287.3052</v>
      </c>
      <c r="AR20" s="153" t="n">
        <f aca="false">CHOOSE(Premissas!$B$6,Cenários!AR32,Cenários!AR78,Cenários!AR124)</f>
        <v>-186783.0408</v>
      </c>
      <c r="AS20" s="153" t="n">
        <f aca="false">CHOOSE(Premissas!$B$6,Cenários!AS32,Cenários!AS78,Cenários!AS124)</f>
        <v>-192841.3872</v>
      </c>
      <c r="AT20" s="153" t="n">
        <f aca="false">CHOOSE(Premissas!$B$6,Cenários!AT32,Cenários!AT78,Cenários!AT124)</f>
        <v>-198497.6604</v>
      </c>
      <c r="AU20" s="153" t="n">
        <f aca="false">CHOOSE(Premissas!$B$6,Cenários!AU32,Cenários!AU78,Cenários!AU124)</f>
        <v>-203782.2516</v>
      </c>
      <c r="AV20" s="153" t="n">
        <f aca="false">CHOOSE(Premissas!$B$6,Cenários!AV32,Cenários!AV78,Cenários!AV124)</f>
        <v>-208718.7048</v>
      </c>
      <c r="AW20" s="153" t="n">
        <f aca="false">CHOOSE(Premissas!$B$6,Cenários!AW32,Cenários!AW78,Cenários!AW124)</f>
        <v>-213319.0728</v>
      </c>
      <c r="AX20" s="153" t="n">
        <f aca="false">CHOOSE(Premissas!$B$6,Cenários!AX32,Cenários!AX78,Cenários!AX124)</f>
        <v>-230108.7075</v>
      </c>
      <c r="AY20" s="153" t="n">
        <f aca="false">CHOOSE(Premissas!$B$6,Cenários!AY32,Cenários!AY78,Cenários!AY124)</f>
        <v>-243739.44</v>
      </c>
      <c r="AZ20" s="153" t="n">
        <f aca="false">CHOOSE(Premissas!$B$6,Cenários!AZ32,Cenários!AZ78,Cenários!AZ124)</f>
        <v>-256508.154</v>
      </c>
      <c r="BA20" s="153" t="n">
        <f aca="false">CHOOSE(Premissas!$B$6,Cenários!BA32,Cenários!BA78,Cenários!BA124)</f>
        <v>-268491.2265</v>
      </c>
      <c r="BB20" s="153" t="n">
        <f aca="false">CHOOSE(Premissas!$B$6,Cenários!BB32,Cenários!BB78,Cenários!BB124)</f>
        <v>-279722.2155</v>
      </c>
      <c r="BC20" s="153" t="n">
        <f aca="false">CHOOSE(Premissas!$B$6,Cenários!BC32,Cenários!BC78,Cenários!BC124)</f>
        <v>-290246.2185</v>
      </c>
      <c r="BD20" s="153" t="n">
        <f aca="false">CHOOSE(Premissas!$B$6,Cenários!BD32,Cenários!BD78,Cenários!BD124)</f>
        <v>-300122.739</v>
      </c>
      <c r="BE20" s="153" t="n">
        <f aca="false">CHOOSE(Premissas!$B$6,Cenários!BE32,Cenários!BE78,Cenários!BE124)</f>
        <v>-309379.3185</v>
      </c>
      <c r="BF20" s="153" t="n">
        <f aca="false">CHOOSE(Premissas!$B$6,Cenários!BF32,Cenários!BF78,Cenários!BF124)</f>
        <v>-318060.687</v>
      </c>
      <c r="BG20" s="153" t="n">
        <f aca="false">CHOOSE(Premissas!$B$6,Cenários!BG32,Cenários!BG78,Cenários!BG124)</f>
        <v>-326185.9965</v>
      </c>
      <c r="BH20" s="153" t="n">
        <f aca="false">CHOOSE(Premissas!$B$6,Cenários!BH32,Cenários!BH78,Cenários!BH124)</f>
        <v>-333814.7505</v>
      </c>
      <c r="BI20" s="153" t="n">
        <f aca="false">CHOOSE(Premissas!$B$6,Cenários!BI32,Cenários!BI78,Cenários!BI124)</f>
        <v>-340964.778</v>
      </c>
      <c r="BJ20" s="154" t="n">
        <f aca="false">SUM(B20:BI20)</f>
        <v>-7439957.6325</v>
      </c>
      <c r="BK20" s="155" t="n">
        <f aca="false">IFERROR(BJ20/BJ$16,0)</f>
        <v>-0.102152989983133</v>
      </c>
    </row>
    <row r="21" customFormat="false" ht="15.75" hidden="false" customHeight="true" outlineLevel="0" collapsed="false">
      <c r="A21" s="49" t="s">
        <v>404</v>
      </c>
      <c r="B21" s="153" t="n">
        <f aca="false">CHOOSE(Premissas!$B$6,Cenários!B33,Cenários!B79,Cenários!B125)</f>
        <v>-0</v>
      </c>
      <c r="C21" s="153" t="n">
        <f aca="false">CHOOSE(Premissas!$B$6,Cenários!C33,Cenários!C79,Cenários!C125)</f>
        <v>-0</v>
      </c>
      <c r="D21" s="153" t="n">
        <f aca="false">CHOOSE(Premissas!$B$6,Cenários!D33,Cenários!D79,Cenários!D125)</f>
        <v>-0</v>
      </c>
      <c r="E21" s="153" t="n">
        <f aca="false">CHOOSE(Premissas!$B$6,Cenários!E33,Cenários!E79,Cenários!E125)</f>
        <v>-0</v>
      </c>
      <c r="F21" s="153" t="n">
        <f aca="false">CHOOSE(Premissas!$B$6,Cenários!F33,Cenários!F79,Cenários!F125)</f>
        <v>-0</v>
      </c>
      <c r="G21" s="153" t="n">
        <f aca="false">CHOOSE(Premissas!$B$6,Cenários!G33,Cenários!G79,Cenários!G125)</f>
        <v>-0</v>
      </c>
      <c r="H21" s="153" t="n">
        <f aca="false">CHOOSE(Premissas!$B$6,Cenários!H33,Cenários!H79,Cenários!H125)</f>
        <v>-0</v>
      </c>
      <c r="I21" s="153" t="n">
        <f aca="false">CHOOSE(Premissas!$B$6,Cenários!I33,Cenários!I79,Cenários!I125)</f>
        <v>-0</v>
      </c>
      <c r="J21" s="153" t="n">
        <f aca="false">CHOOSE(Premissas!$B$6,Cenários!J33,Cenários!J79,Cenários!J125)</f>
        <v>-0</v>
      </c>
      <c r="K21" s="153" t="n">
        <f aca="false">CHOOSE(Premissas!$B$6,Cenários!K33,Cenários!K79,Cenários!K125)</f>
        <v>-0</v>
      </c>
      <c r="L21" s="153" t="n">
        <f aca="false">CHOOSE(Premissas!$B$6,Cenários!L33,Cenários!L79,Cenários!L125)</f>
        <v>-0</v>
      </c>
      <c r="M21" s="153" t="n">
        <f aca="false">CHOOSE(Premissas!$B$6,Cenários!M33,Cenários!M79,Cenários!M125)</f>
        <v>-48.53925</v>
      </c>
      <c r="N21" s="153" t="n">
        <f aca="false">CHOOSE(Premissas!$B$6,Cenários!N33,Cenários!N79,Cenários!N125)</f>
        <v>-428.720679</v>
      </c>
      <c r="O21" s="153" t="n">
        <f aca="false">CHOOSE(Premissas!$B$6,Cenários!O33,Cenários!O79,Cenários!O125)</f>
        <v>-912.9297555792</v>
      </c>
      <c r="P21" s="153" t="n">
        <f aca="false">CHOOSE(Premissas!$B$6,Cenários!P33,Cenários!P79,Cenários!P125)</f>
        <v>-1542.47451999964</v>
      </c>
      <c r="Q21" s="153" t="n">
        <f aca="false">CHOOSE(Premissas!$B$6,Cenários!Q33,Cenários!Q79,Cenários!Q125)</f>
        <v>-2300.41520309567</v>
      </c>
      <c r="R21" s="153" t="n">
        <f aca="false">CHOOSE(Premissas!$B$6,Cenários!R33,Cenários!R79,Cenários!R125)</f>
        <v>-3172.66447466288</v>
      </c>
      <c r="S21" s="153" t="n">
        <f aca="false">CHOOSE(Premissas!$B$6,Cenários!S33,Cenários!S79,Cenários!S125)</f>
        <v>-3601.47324532823</v>
      </c>
      <c r="T21" s="153" t="n">
        <f aca="false">CHOOSE(Premissas!$B$6,Cenários!T33,Cenários!T79,Cenários!T125)</f>
        <v>-3997.69963291954</v>
      </c>
      <c r="U21" s="153" t="n">
        <f aca="false">CHOOSE(Premissas!$B$6,Cenários!U33,Cenários!U79,Cenários!U125)</f>
        <v>-4364.453103524</v>
      </c>
      <c r="V21" s="153" t="n">
        <f aca="false">CHOOSE(Premissas!$B$6,Cenários!V33,Cenários!V79,Cenários!V125)</f>
        <v>-4704.10649665899</v>
      </c>
      <c r="W21" s="153" t="n">
        <f aca="false">CHOOSE(Premissas!$B$6,Cenários!W33,Cenários!W79,Cenários!W125)</f>
        <v>-5017.57824327023</v>
      </c>
      <c r="X21" s="153" t="n">
        <f aca="false">CHOOSE(Premissas!$B$6,Cenários!X33,Cenários!X79,Cenários!X125)</f>
        <v>-5307.92908461631</v>
      </c>
      <c r="Y21" s="153" t="n">
        <f aca="false">CHOOSE(Premissas!$B$6,Cenários!Y33,Cenários!Y79,Cenários!Y125)</f>
        <v>-5576.04859949317</v>
      </c>
      <c r="Z21" s="153" t="n">
        <f aca="false">CHOOSE(Premissas!$B$6,Cenários!Z33,Cenários!Z79,Cenários!Z125)</f>
        <v>-8611.80334976566</v>
      </c>
      <c r="AA21" s="153" t="n">
        <f aca="false">CHOOSE(Premissas!$B$6,Cenários!AA33,Cenários!AA79,Cenários!AA125)</f>
        <v>-9397.00624010142</v>
      </c>
      <c r="AB21" s="153" t="n">
        <f aca="false">CHOOSE(Premissas!$B$6,Cenários!AB33,Cenários!AB79,Cenários!AB125)</f>
        <v>-10127.3204230771</v>
      </c>
      <c r="AC21" s="153" t="n">
        <f aca="false">CHOOSE(Premissas!$B$6,Cenários!AC33,Cenários!AC79,Cenários!AC125)</f>
        <v>-10806.0064784267</v>
      </c>
      <c r="AD21" s="153" t="n">
        <f aca="false">CHOOSE(Premissas!$B$6,Cenários!AD33,Cenários!AD79,Cenários!AD125)</f>
        <v>-11436.7228234516</v>
      </c>
      <c r="AE21" s="153" t="n">
        <f aca="false">CHOOSE(Premissas!$B$6,Cenários!AE33,Cenários!AE79,Cenários!AE125)</f>
        <v>-12022.8102188475</v>
      </c>
      <c r="AF21" s="153" t="n">
        <f aca="false">CHOOSE(Premissas!$B$6,Cenários!AF33,Cenários!AF79,Cenários!AF125)</f>
        <v>-12567.0834900696</v>
      </c>
      <c r="AG21" s="153" t="n">
        <f aca="false">CHOOSE(Premissas!$B$6,Cenários!AG33,Cenários!AG79,Cenários!AG125)</f>
        <v>-13073.1182255116</v>
      </c>
      <c r="AH21" s="153" t="n">
        <f aca="false">CHOOSE(Premissas!$B$6,Cenários!AH33,Cenários!AH79,Cenários!AH125)</f>
        <v>-13542.9519619706</v>
      </c>
      <c r="AI21" s="153" t="n">
        <f aca="false">CHOOSE(Premissas!$B$6,Cenários!AI33,Cenários!AI79,Cenários!AI125)</f>
        <v>-13979.6553671348</v>
      </c>
      <c r="AJ21" s="153" t="n">
        <f aca="false">CHOOSE(Premissas!$B$6,Cenários!AJ33,Cenários!AJ79,Cenários!AJ125)</f>
        <v>-14386.1953031388</v>
      </c>
      <c r="AK21" s="153" t="n">
        <f aca="false">CHOOSE(Premissas!$B$6,Cenários!AK33,Cenários!AK79,Cenários!AK125)</f>
        <v>-14764.0491545945</v>
      </c>
      <c r="AL21" s="153" t="n">
        <f aca="false">CHOOSE(Premissas!$B$6,Cenários!AL33,Cenários!AL79,Cenários!AL125)</f>
        <v>-19277.6300279225</v>
      </c>
      <c r="AM21" s="153" t="n">
        <f aca="false">CHOOSE(Premissas!$B$6,Cenários!AM33,Cenários!AM79,Cenários!AM125)</f>
        <v>-20536.8963119306</v>
      </c>
      <c r="AN21" s="153" t="n">
        <f aca="false">CHOOSE(Premissas!$B$6,Cenários!AN33,Cenários!AN79,Cenários!AN125)</f>
        <v>-21711.3266127112</v>
      </c>
      <c r="AO21" s="153" t="n">
        <f aca="false">CHOOSE(Premissas!$B$6,Cenários!AO33,Cenários!AO79,Cenários!AO125)</f>
        <v>-22808.6629544832</v>
      </c>
      <c r="AP21" s="153" t="n">
        <f aca="false">CHOOSE(Premissas!$B$6,Cenários!AP33,Cenários!AP79,Cenários!AP125)</f>
        <v>-23833.4779357709</v>
      </c>
      <c r="AQ21" s="153" t="n">
        <f aca="false">CHOOSE(Premissas!$B$6,Cenários!AQ33,Cenários!AQ79,Cenários!AQ125)</f>
        <v>-24789.6518281405</v>
      </c>
      <c r="AR21" s="153" t="n">
        <f aca="false">CHOOSE(Premissas!$B$6,Cenários!AR33,Cenários!AR79,Cenários!AR125)</f>
        <v>-25682.7561878394</v>
      </c>
      <c r="AS21" s="153" t="n">
        <f aca="false">CHOOSE(Premissas!$B$6,Cenários!AS33,Cenários!AS79,Cenários!AS125)</f>
        <v>-26515.8436567562</v>
      </c>
      <c r="AT21" s="153" t="n">
        <f aca="false">CHOOSE(Premissas!$B$6,Cenários!AT33,Cenários!AT79,Cenários!AT125)</f>
        <v>-27293.6316680291</v>
      </c>
      <c r="AU21" s="153" t="n">
        <f aca="false">CHOOSE(Premissas!$B$6,Cenários!AU33,Cenários!AU79,Cenários!AU125)</f>
        <v>-28020.2234106134</v>
      </c>
      <c r="AV21" s="153" t="n">
        <f aca="false">CHOOSE(Premissas!$B$6,Cenários!AV33,Cenários!AV79,Cenários!AV125)</f>
        <v>-28698.886186165</v>
      </c>
      <c r="AW21" s="153" t="n">
        <f aca="false">CHOOSE(Premissas!$B$6,Cenários!AW33,Cenários!AW79,Cenários!AW125)</f>
        <v>-29331.512070712</v>
      </c>
      <c r="AX21" s="153" t="n">
        <f aca="false">CHOOSE(Premissas!$B$6,Cenários!AX33,Cenários!AX79,Cenários!AX125)</f>
        <v>-35515.372743792</v>
      </c>
      <c r="AY21" s="153" t="n">
        <f aca="false">CHOOSE(Premissas!$B$6,Cenários!AY33,Cenários!AY79,Cenários!AY125)</f>
        <v>-37619.106311253</v>
      </c>
      <c r="AZ21" s="153" t="n">
        <f aca="false">CHOOSE(Premissas!$B$6,Cenários!AZ33,Cenários!AZ79,Cenários!AZ125)</f>
        <v>-39590.0723302762</v>
      </c>
      <c r="BA21" s="153" t="n">
        <f aca="false">CHOOSE(Premissas!$B$6,Cenários!BA33,Cenários!BA79,Cenários!BA125)</f>
        <v>-41439.4608589748</v>
      </c>
      <c r="BB21" s="153" t="n">
        <f aca="false">CHOOSE(Premissas!$B$6,Cenários!BB33,Cenários!BB79,Cenários!BB125)</f>
        <v>-43172.8710755004</v>
      </c>
      <c r="BC21" s="153" t="n">
        <f aca="false">CHOOSE(Premissas!$B$6,Cenários!BC33,Cenários!BC79,Cenários!BC125)</f>
        <v>-44797.30557336</v>
      </c>
      <c r="BD21" s="153" t="n">
        <f aca="false">CHOOSE(Premissas!$B$6,Cenários!BD33,Cenários!BD79,Cenários!BD125)</f>
        <v>-46321.5439228655</v>
      </c>
      <c r="BE21" s="153" t="n">
        <f aca="false">CHOOSE(Premissas!$B$6,Cenários!BE33,Cenários!BE79,Cenários!BE125)</f>
        <v>-47750.1857695679</v>
      </c>
      <c r="BF21" s="153" t="n">
        <f aca="false">CHOOSE(Premissas!$B$6,Cenários!BF33,Cenários!BF79,Cenários!BF125)</f>
        <v>-49089.9745892284</v>
      </c>
      <c r="BG21" s="153" t="n">
        <f aca="false">CHOOSE(Premissas!$B$6,Cenários!BG33,Cenários!BG79,Cenários!BG125)</f>
        <v>-50344.3032676545</v>
      </c>
      <c r="BH21" s="153" t="n">
        <f aca="false">CHOOSE(Premissas!$B$6,Cenários!BH33,Cenários!BH79,Cenários!BH125)</f>
        <v>-51521.6946225876</v>
      </c>
      <c r="BI21" s="153" t="n">
        <f aca="false">CHOOSE(Premissas!$B$6,Cenários!BI33,Cenários!BI79,Cenários!BI125)</f>
        <v>-52625.2588337527</v>
      </c>
      <c r="BJ21" s="154" t="n">
        <f aca="false">SUM(B21:BI21)</f>
        <v>-1023977.40407412</v>
      </c>
      <c r="BK21" s="155" t="n">
        <f aca="false">IFERROR(BJ21/BJ$16,0)</f>
        <v>-0.0140595361785937</v>
      </c>
    </row>
    <row r="22" customFormat="false" ht="15.75" hidden="false" customHeight="true" outlineLevel="0" collapsed="false">
      <c r="A22" s="53" t="s">
        <v>701</v>
      </c>
      <c r="B22" s="154" t="n">
        <f aca="false">B16+SUM(B19:B21)</f>
        <v>0</v>
      </c>
      <c r="C22" s="154" t="n">
        <f aca="false">C16+SUM(C19:C21)</f>
        <v>0</v>
      </c>
      <c r="D22" s="154" t="n">
        <f aca="false">D16+SUM(D19:D21)</f>
        <v>0</v>
      </c>
      <c r="E22" s="154" t="n">
        <f aca="false">E16+SUM(E19:E21)</f>
        <v>0</v>
      </c>
      <c r="F22" s="154" t="n">
        <f aca="false">F16+SUM(F19:F21)</f>
        <v>0</v>
      </c>
      <c r="G22" s="154" t="n">
        <f aca="false">G16+SUM(G19:G21)</f>
        <v>0</v>
      </c>
      <c r="H22" s="154" t="n">
        <f aca="false">H16+SUM(H19:H21)</f>
        <v>0</v>
      </c>
      <c r="I22" s="154" t="n">
        <f aca="false">I16+SUM(I19:I21)</f>
        <v>0</v>
      </c>
      <c r="J22" s="154" t="n">
        <f aca="false">J16+SUM(J19:J21)</f>
        <v>0</v>
      </c>
      <c r="K22" s="154" t="n">
        <f aca="false">K16+SUM(K19:K21)</f>
        <v>0</v>
      </c>
      <c r="L22" s="154" t="n">
        <f aca="false">L16+SUM(L19:L21)</f>
        <v>0</v>
      </c>
      <c r="M22" s="154" t="n">
        <f aca="false">M16+SUM(M19:M21)</f>
        <v>5111.00325</v>
      </c>
      <c r="N22" s="154" t="n">
        <f aca="false">N16+SUM(N19:N21)</f>
        <v>27701.52976</v>
      </c>
      <c r="O22" s="154" t="n">
        <f aca="false">O16+SUM(O19:O21)</f>
        <v>62742.209121408</v>
      </c>
      <c r="P22" s="154" t="n">
        <f aca="false">P16+SUM(P19:P21)</f>
        <v>113831.909244438</v>
      </c>
      <c r="Q22" s="154" t="n">
        <f aca="false">Q16+SUM(Q19:Q21)</f>
        <v>172030.172313662</v>
      </c>
      <c r="R22" s="154" t="n">
        <f aca="false">R16+SUM(R19:R21)</f>
        <v>233818.153196965</v>
      </c>
      <c r="S22" s="154" t="n">
        <f aca="false">S16+SUM(S19:S21)</f>
        <v>261091.016634828</v>
      </c>
      <c r="T22" s="154" t="n">
        <f aca="false">T16+SUM(T19:T21)</f>
        <v>286514.476096429</v>
      </c>
      <c r="U22" s="154" t="n">
        <f aca="false">U16+SUM(U19:U21)</f>
        <v>310570.107507639</v>
      </c>
      <c r="V22" s="154" t="n">
        <f aca="false">V16+SUM(V19:V21)</f>
        <v>331256.540744936</v>
      </c>
      <c r="W22" s="154" t="n">
        <f aca="false">W16+SUM(W19:W21)</f>
        <v>351564.487217236</v>
      </c>
      <c r="X22" s="154" t="n">
        <f aca="false">X16+SUM(X19:X21)</f>
        <v>369202.998588547</v>
      </c>
      <c r="Y22" s="154" t="n">
        <f aca="false">Y16+SUM(Y19:Y21)</f>
        <v>417431.950144496</v>
      </c>
      <c r="Z22" s="154" t="n">
        <f aca="false">Z16+SUM(Z19:Z21)</f>
        <v>498670.304955755</v>
      </c>
      <c r="AA22" s="154" t="n">
        <f aca="false">AA16+SUM(AA19:AA21)</f>
        <v>555039.779802518</v>
      </c>
      <c r="AB22" s="154" t="n">
        <f aca="false">AB16+SUM(AB19:AB21)</f>
        <v>597478.42949917</v>
      </c>
      <c r="AC22" s="154" t="n">
        <f aca="false">AC16+SUM(AC19:AC21)</f>
        <v>636916.94279712</v>
      </c>
      <c r="AD22" s="154" t="n">
        <f aca="false">AD16+SUM(AD19:AD21)</f>
        <v>673567.959148926</v>
      </c>
      <c r="AE22" s="154" t="n">
        <f aca="false">AE16+SUM(AE19:AE21)</f>
        <v>707625.34472859</v>
      </c>
      <c r="AF22" s="154" t="n">
        <f aca="false">AF16+SUM(AF19:AF21)</f>
        <v>739250.897148624</v>
      </c>
      <c r="AG22" s="154" t="n">
        <f aca="false">AG16+SUM(AG19:AG21)</f>
        <v>768655.798625</v>
      </c>
      <c r="AH22" s="154" t="n">
        <f aca="false">AH16+SUM(AH19:AH21)</f>
        <v>795954.849554269</v>
      </c>
      <c r="AI22" s="154" t="n">
        <f aca="false">AI16+SUM(AI19:AI21)</f>
        <v>821329.335894125</v>
      </c>
      <c r="AJ22" s="154" t="n">
        <f aca="false">AJ16+SUM(AJ19:AJ21)</f>
        <v>844954.906131555</v>
      </c>
      <c r="AK22" s="154" t="n">
        <f aca="false">AK16+SUM(AK19:AK21)</f>
        <v>866913.6901115</v>
      </c>
      <c r="AL22" s="154" t="n">
        <f aca="false">AL16+SUM(AL19:AL21)</f>
        <v>989989.849848317</v>
      </c>
      <c r="AM22" s="154" t="n">
        <f aca="false">AM16+SUM(AM19:AM21)</f>
        <v>1054072.4876167</v>
      </c>
      <c r="AN22" s="154" t="n">
        <f aca="false">AN16+SUM(AN19:AN21)</f>
        <v>1113831.0114055</v>
      </c>
      <c r="AO22" s="154" t="n">
        <f aca="false">AO16+SUM(AO19:AO21)</f>
        <v>1169672.37580987</v>
      </c>
      <c r="AP22" s="154" t="n">
        <f aca="false">AP16+SUM(AP19:AP21)</f>
        <v>1221825.60249186</v>
      </c>
      <c r="AQ22" s="154" t="n">
        <f aca="false">AQ16+SUM(AQ19:AQ21)</f>
        <v>1270482.41603535</v>
      </c>
      <c r="AR22" s="154" t="n">
        <f aca="false">AR16+SUM(AR19:AR21)</f>
        <v>1315932.57631379</v>
      </c>
      <c r="AS22" s="154" t="n">
        <f aca="false">AS16+SUM(AS19:AS21)</f>
        <v>1358324.47166946</v>
      </c>
      <c r="AT22" s="154" t="n">
        <f aca="false">AT16+SUM(AT19:AT21)</f>
        <v>1397902.77412406</v>
      </c>
      <c r="AU22" s="154" t="n">
        <f aca="false">AU16+SUM(AU19:AU21)</f>
        <v>1434878.80336219</v>
      </c>
      <c r="AV22" s="154" t="n">
        <f aca="false">AV16+SUM(AV19:AV21)</f>
        <v>1469417.826543</v>
      </c>
      <c r="AW22" s="154" t="n">
        <f aca="false">AW16+SUM(AW19:AW21)</f>
        <v>1501608.30930913</v>
      </c>
      <c r="AX22" s="154" t="n">
        <f aca="false">AX16+SUM(AX19:AX21)</f>
        <v>1687265.97907411</v>
      </c>
      <c r="AY22" s="154" t="n">
        <f aca="false">AY16+SUM(AY19:AY21)</f>
        <v>1786679.15835598</v>
      </c>
      <c r="AZ22" s="154" t="n">
        <f aca="false">AZ16+SUM(AZ19:AZ21)</f>
        <v>1879810.19320933</v>
      </c>
      <c r="BA22" s="154" t="n">
        <f aca="false">BA16+SUM(BA19:BA21)</f>
        <v>1967205.60796256</v>
      </c>
      <c r="BB22" s="154" t="n">
        <f aca="false">BB16+SUM(BB19:BB21)</f>
        <v>2049117.5393473</v>
      </c>
      <c r="BC22" s="154" t="n">
        <f aca="false">BC16+SUM(BC19:BC21)</f>
        <v>2125875.64268031</v>
      </c>
      <c r="BD22" s="154" t="n">
        <f aca="false">BD16+SUM(BD19:BD21)</f>
        <v>2197906.78689161</v>
      </c>
      <c r="BE22" s="154" t="n">
        <f aca="false">BE16+SUM(BE19:BE21)</f>
        <v>2265417.9800656</v>
      </c>
      <c r="BF22" s="154" t="n">
        <f aca="false">BF16+SUM(BF19:BF21)</f>
        <v>2328732.63635916</v>
      </c>
      <c r="BG22" s="154" t="n">
        <f aca="false">BG16+SUM(BG19:BG21)</f>
        <v>2387998.12579927</v>
      </c>
      <c r="BH22" s="154" t="n">
        <f aca="false">BH16+SUM(BH19:BH21)</f>
        <v>2443636.80018239</v>
      </c>
      <c r="BI22" s="154" t="n">
        <f aca="false">BI16+SUM(BI19:BI21)</f>
        <v>2495784.99909916</v>
      </c>
      <c r="BJ22" s="154" t="n">
        <f aca="false">SUM(B22:BI22)</f>
        <v>52362594.7457738</v>
      </c>
      <c r="BK22" s="155" t="n">
        <f aca="false">IFERROR(BJ22/BJ$16,0)</f>
        <v>0.718955117861131</v>
      </c>
    </row>
    <row r="23" customFormat="false" ht="15.75" hidden="false" customHeight="true" outlineLevel="0" collapsed="false">
      <c r="A23" s="111" t="s">
        <v>702</v>
      </c>
      <c r="B23" s="249" t="n">
        <f aca="false">CHOOSE(Premissas!$B$6,Cenários!B30,Cenários!B76,Cenários!B122)</f>
        <v>0.155</v>
      </c>
      <c r="C23" s="249" t="n">
        <f aca="false">CHOOSE(Premissas!$B$6,Cenários!C30,Cenários!C76,Cenários!C122)</f>
        <v>0.155</v>
      </c>
      <c r="D23" s="249" t="n">
        <f aca="false">CHOOSE(Premissas!$B$6,Cenários!D30,Cenários!D76,Cenários!D122)</f>
        <v>0.155</v>
      </c>
      <c r="E23" s="249" t="n">
        <f aca="false">CHOOSE(Premissas!$B$6,Cenários!E30,Cenários!E76,Cenários!E122)</f>
        <v>0.155</v>
      </c>
      <c r="F23" s="249" t="n">
        <f aca="false">CHOOSE(Premissas!$B$6,Cenários!F30,Cenários!F76,Cenários!F122)</f>
        <v>0.155</v>
      </c>
      <c r="G23" s="249" t="n">
        <f aca="false">CHOOSE(Premissas!$B$6,Cenários!G30,Cenários!G76,Cenários!G122)</f>
        <v>0.155</v>
      </c>
      <c r="H23" s="249" t="n">
        <f aca="false">CHOOSE(Premissas!$B$6,Cenários!H30,Cenários!H76,Cenários!H122)</f>
        <v>0.155</v>
      </c>
      <c r="I23" s="249" t="n">
        <f aca="false">CHOOSE(Premissas!$B$6,Cenários!I30,Cenários!I76,Cenários!I122)</f>
        <v>0.155</v>
      </c>
      <c r="J23" s="249" t="n">
        <f aca="false">CHOOSE(Premissas!$B$6,Cenários!J30,Cenários!J76,Cenários!J122)</f>
        <v>0.155</v>
      </c>
      <c r="K23" s="249" t="n">
        <f aca="false">CHOOSE(Premissas!$B$6,Cenários!K30,Cenários!K76,Cenários!K122)</f>
        <v>0.155</v>
      </c>
      <c r="L23" s="249" t="n">
        <f aca="false">CHOOSE(Premissas!$B$6,Cenários!L30,Cenários!L76,Cenários!L122)</f>
        <v>0.155</v>
      </c>
      <c r="M23" s="249" t="n">
        <f aca="false">CHOOSE(Premissas!$B$6,Cenários!M30,Cenários!M76,Cenários!M122)</f>
        <v>0.155</v>
      </c>
      <c r="N23" s="249" t="n">
        <f aca="false">CHOOSE(Premissas!$B$6,Cenários!N30,Cenários!N76,Cenários!N122)</f>
        <v>0.155</v>
      </c>
      <c r="O23" s="249" t="n">
        <f aca="false">CHOOSE(Premissas!$B$6,Cenários!O30,Cenários!O76,Cenários!O122)</f>
        <v>0.155</v>
      </c>
      <c r="P23" s="249" t="n">
        <f aca="false">CHOOSE(Premissas!$B$6,Cenários!P30,Cenários!P76,Cenários!P122)</f>
        <v>0.155</v>
      </c>
      <c r="Q23" s="249" t="n">
        <f aca="false">CHOOSE(Premissas!$B$6,Cenários!Q30,Cenários!Q76,Cenários!Q122)</f>
        <v>0.16450150355284</v>
      </c>
      <c r="R23" s="249" t="n">
        <f aca="false">CHOOSE(Premissas!$B$6,Cenários!R30,Cenários!R76,Cenários!R122)</f>
        <v>0.176375648184369</v>
      </c>
      <c r="S23" s="249" t="n">
        <f aca="false">CHOOSE(Premissas!$B$6,Cenários!S30,Cenários!S76,Cenários!S122)</f>
        <v>0.185247854507291</v>
      </c>
      <c r="T23" s="249" t="n">
        <f aca="false">CHOOSE(Premissas!$B$6,Cenários!T30,Cenários!T76,Cenários!T122)</f>
        <v>0.191252663536487</v>
      </c>
      <c r="U23" s="249" t="n">
        <f aca="false">CHOOSE(Premissas!$B$6,Cenários!U30,Cenários!U76,Cenários!U122)</f>
        <v>0.194715294616985</v>
      </c>
      <c r="V23" s="249" t="n">
        <f aca="false">CHOOSE(Premissas!$B$6,Cenários!V30,Cenários!V76,Cenários!V122)</f>
        <v>0.20069463696371</v>
      </c>
      <c r="W23" s="249" t="n">
        <f aca="false">CHOOSE(Premissas!$B$6,Cenários!W30,Cenários!W76,Cenários!W122)</f>
        <v>0.206209728720377</v>
      </c>
      <c r="X23" s="249" t="n">
        <f aca="false">CHOOSE(Premissas!$B$6,Cenários!X30,Cenários!X76,Cenários!X122)</f>
        <v>0.210195846762206</v>
      </c>
      <c r="Y23" s="249" t="n">
        <f aca="false">CHOOSE(Premissas!$B$6,Cenários!Y30,Cenários!Y76,Cenários!Y122)</f>
        <v>0.158693591123954</v>
      </c>
      <c r="Z23" s="249" t="n">
        <f aca="false">CHOOSE(Premissas!$B$6,Cenários!Z30,Cenários!Z76,Cenários!Z122)</f>
        <v>0.178428716637308</v>
      </c>
      <c r="AA23" s="249" t="n">
        <f aca="false">CHOOSE(Premissas!$B$6,Cenários!AA30,Cenários!AA76,Cenários!AA122)</f>
        <v>0.1633</v>
      </c>
      <c r="AB23" s="249" t="n">
        <f aca="false">CHOOSE(Premissas!$B$6,Cenários!AB30,Cenários!AB76,Cenários!AB122)</f>
        <v>0.1633</v>
      </c>
      <c r="AC23" s="249" t="n">
        <f aca="false">CHOOSE(Premissas!$B$6,Cenários!AC30,Cenários!AC76,Cenários!AC122)</f>
        <v>0.1633</v>
      </c>
      <c r="AD23" s="249" t="n">
        <f aca="false">CHOOSE(Premissas!$B$6,Cenários!AD30,Cenários!AD76,Cenários!AD122)</f>
        <v>0.1633</v>
      </c>
      <c r="AE23" s="249" t="n">
        <f aca="false">CHOOSE(Premissas!$B$6,Cenários!AE30,Cenários!AE76,Cenários!AE122)</f>
        <v>0.1633</v>
      </c>
      <c r="AF23" s="249" t="n">
        <f aca="false">CHOOSE(Premissas!$B$6,Cenários!AF30,Cenários!AF76,Cenários!AF122)</f>
        <v>0.1633</v>
      </c>
      <c r="AG23" s="249" t="n">
        <f aca="false">CHOOSE(Premissas!$B$6,Cenários!AG30,Cenários!AG76,Cenários!AG122)</f>
        <v>0.1633</v>
      </c>
      <c r="AH23" s="249" t="n">
        <f aca="false">CHOOSE(Premissas!$B$6,Cenários!AH30,Cenários!AH76,Cenários!AH122)</f>
        <v>0.1633</v>
      </c>
      <c r="AI23" s="249" t="n">
        <f aca="false">CHOOSE(Premissas!$B$6,Cenários!AI30,Cenários!AI76,Cenários!AI122)</f>
        <v>0.1633</v>
      </c>
      <c r="AJ23" s="249" t="n">
        <f aca="false">CHOOSE(Premissas!$B$6,Cenários!AJ30,Cenários!AJ76,Cenários!AJ122)</f>
        <v>0.1633</v>
      </c>
      <c r="AK23" s="249" t="n">
        <f aca="false">CHOOSE(Premissas!$B$6,Cenários!AK30,Cenários!AK76,Cenários!AK122)</f>
        <v>0.1633</v>
      </c>
      <c r="AL23" s="249" t="n">
        <f aca="false">CHOOSE(Premissas!$B$6,Cenários!AL30,Cenários!AL76,Cenários!AL122)</f>
        <v>0.1633</v>
      </c>
      <c r="AM23" s="249" t="n">
        <f aca="false">CHOOSE(Premissas!$B$6,Cenários!AM30,Cenários!AM76,Cenários!AM122)</f>
        <v>0.1633</v>
      </c>
      <c r="AN23" s="249" t="n">
        <f aca="false">CHOOSE(Premissas!$B$6,Cenários!AN30,Cenários!AN76,Cenários!AN122)</f>
        <v>0.1633</v>
      </c>
      <c r="AO23" s="249" t="n">
        <f aca="false">CHOOSE(Premissas!$B$6,Cenários!AO30,Cenários!AO76,Cenários!AO122)</f>
        <v>0.1633</v>
      </c>
      <c r="AP23" s="249" t="n">
        <f aca="false">CHOOSE(Premissas!$B$6,Cenários!AP30,Cenários!AP76,Cenários!AP122)</f>
        <v>0.1633</v>
      </c>
      <c r="AQ23" s="249" t="n">
        <f aca="false">CHOOSE(Premissas!$B$6,Cenários!AQ30,Cenários!AQ76,Cenários!AQ122)</f>
        <v>0.1633</v>
      </c>
      <c r="AR23" s="249" t="n">
        <f aca="false">CHOOSE(Premissas!$B$6,Cenários!AR30,Cenários!AR76,Cenários!AR122)</f>
        <v>0.1633</v>
      </c>
      <c r="AS23" s="249" t="n">
        <f aca="false">CHOOSE(Premissas!$B$6,Cenários!AS30,Cenários!AS76,Cenários!AS122)</f>
        <v>0.1633</v>
      </c>
      <c r="AT23" s="249" t="n">
        <f aca="false">CHOOSE(Premissas!$B$6,Cenários!AT30,Cenários!AT76,Cenários!AT122)</f>
        <v>0.1633</v>
      </c>
      <c r="AU23" s="249" t="n">
        <f aca="false">CHOOSE(Premissas!$B$6,Cenários!AU30,Cenários!AU76,Cenários!AU122)</f>
        <v>0.1633</v>
      </c>
      <c r="AV23" s="249" t="n">
        <f aca="false">CHOOSE(Premissas!$B$6,Cenários!AV30,Cenários!AV76,Cenários!AV122)</f>
        <v>0.1633</v>
      </c>
      <c r="AW23" s="249" t="n">
        <f aca="false">CHOOSE(Premissas!$B$6,Cenários!AW30,Cenários!AW76,Cenários!AW122)</f>
        <v>0.1633</v>
      </c>
      <c r="AX23" s="249" t="n">
        <f aca="false">CHOOSE(Premissas!$B$6,Cenários!AX30,Cenários!AX76,Cenários!AX122)</f>
        <v>0.1633</v>
      </c>
      <c r="AY23" s="249" t="n">
        <f aca="false">CHOOSE(Premissas!$B$6,Cenários!AY30,Cenários!AY76,Cenários!AY122)</f>
        <v>0.1633</v>
      </c>
      <c r="AZ23" s="249" t="n">
        <f aca="false">CHOOSE(Premissas!$B$6,Cenários!AZ30,Cenários!AZ76,Cenários!AZ122)</f>
        <v>0.1633</v>
      </c>
      <c r="BA23" s="249" t="n">
        <f aca="false">CHOOSE(Premissas!$B$6,Cenários!BA30,Cenários!BA76,Cenários!BA122)</f>
        <v>0.1633</v>
      </c>
      <c r="BB23" s="249" t="n">
        <f aca="false">CHOOSE(Premissas!$B$6,Cenários!BB30,Cenários!BB76,Cenários!BB122)</f>
        <v>0.1633</v>
      </c>
      <c r="BC23" s="249" t="n">
        <f aca="false">CHOOSE(Premissas!$B$6,Cenários!BC30,Cenários!BC76,Cenários!BC122)</f>
        <v>0.1633</v>
      </c>
      <c r="BD23" s="249" t="n">
        <f aca="false">CHOOSE(Premissas!$B$6,Cenários!BD30,Cenários!BD76,Cenários!BD122)</f>
        <v>0.1633</v>
      </c>
      <c r="BE23" s="249" t="n">
        <f aca="false">CHOOSE(Premissas!$B$6,Cenários!BE30,Cenários!BE76,Cenários!BE122)</f>
        <v>0.1633</v>
      </c>
      <c r="BF23" s="249" t="n">
        <f aca="false">CHOOSE(Premissas!$B$6,Cenários!BF30,Cenários!BF76,Cenários!BF122)</f>
        <v>0.1633</v>
      </c>
      <c r="BG23" s="249" t="n">
        <f aca="false">CHOOSE(Premissas!$B$6,Cenários!BG30,Cenários!BG76,Cenários!BG122)</f>
        <v>0.1633</v>
      </c>
      <c r="BH23" s="249" t="n">
        <f aca="false">CHOOSE(Premissas!$B$6,Cenários!BH30,Cenários!BH76,Cenários!BH122)</f>
        <v>0.1633</v>
      </c>
      <c r="BI23" s="249" t="n">
        <f aca="false">CHOOSE(Premissas!$B$6,Cenários!BI30,Cenários!BI76,Cenários!BI122)</f>
        <v>0.1633</v>
      </c>
      <c r="BK23" s="51" t="s">
        <v>703</v>
      </c>
    </row>
    <row r="24" customFormat="false" ht="15.75" hidden="false" customHeight="true" outlineLevel="0" collapsed="false"/>
    <row r="25" customFormat="false" ht="18" hidden="false" customHeight="true" outlineLevel="0" collapsed="false">
      <c r="A25" s="47" t="s">
        <v>704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</row>
    <row r="26" customFormat="false" ht="15.75" hidden="false" customHeight="true" outlineLevel="0" collapsed="false">
      <c r="A26" s="250" t="s">
        <v>388</v>
      </c>
      <c r="B26" s="107" t="n">
        <v>2026</v>
      </c>
      <c r="C26" s="107" t="n">
        <v>2027</v>
      </c>
      <c r="D26" s="107" t="n">
        <v>2028</v>
      </c>
      <c r="E26" s="107" t="n">
        <v>2029</v>
      </c>
      <c r="F26" s="107" t="n">
        <v>2030</v>
      </c>
      <c r="G26" s="162" t="s">
        <v>385</v>
      </c>
    </row>
    <row r="27" customFormat="false" ht="15.75" hidden="false" customHeight="true" outlineLevel="0" collapsed="false">
      <c r="A27" s="53" t="s">
        <v>705</v>
      </c>
      <c r="B27" s="160" t="n">
        <f aca="false">SUMIFS($B$16:$BI$16,$B$6:$BI$6,B$26)</f>
        <v>7191</v>
      </c>
      <c r="C27" s="160" t="n">
        <f aca="false">SUMIFS($B$16:$BI$16,$B$6:$BI$6,C$26)</f>
        <v>4266370.58306995</v>
      </c>
      <c r="D27" s="160" t="n">
        <f aca="false">SUMIFS($B$16:$BI$16,$B$6:$BI$6,D$26)</f>
        <v>11883042.4841353</v>
      </c>
      <c r="E27" s="160" t="n">
        <f aca="false">SUMIFS($B$16:$BI$16,$B$6:$BI$6,E$26)</f>
        <v>21235018.6989128</v>
      </c>
      <c r="F27" s="160" t="n">
        <f aca="false">SUMIFS($B$16:$BI$16,$B$6:$BI$6,F$26)</f>
        <v>35439898.2077514</v>
      </c>
      <c r="G27" s="154" t="n">
        <f aca="false">SUM(B27:F27)</f>
        <v>72831520.9738694</v>
      </c>
    </row>
    <row r="28" customFormat="false" ht="15.75" hidden="false" customHeight="true" outlineLevel="0" collapsed="false">
      <c r="A28" s="49" t="s">
        <v>706</v>
      </c>
      <c r="B28" s="168" t="n">
        <f aca="false">SUMIFS($B$22:$BI$22,$B$6:$BI$6,B$26)</f>
        <v>5111.00325</v>
      </c>
      <c r="C28" s="168" t="n">
        <f aca="false">SUMIFS($B$22:$BI$22,$B$6:$BI$6,C$26)</f>
        <v>2937755.55057058</v>
      </c>
      <c r="D28" s="168" t="n">
        <f aca="false">SUMIFS($B$22:$BI$22,$B$6:$BI$6,D$26)</f>
        <v>8506358.23839715</v>
      </c>
      <c r="E28" s="168" t="n">
        <f aca="false">SUMIFS($B$22:$BI$22,$B$6:$BI$6,E$26)</f>
        <v>15297938.5045292</v>
      </c>
      <c r="F28" s="168" t="n">
        <f aca="false">SUMIFS($B$22:$BI$22,$B$6:$BI$6,F$26)</f>
        <v>25615431.4490268</v>
      </c>
      <c r="G28" s="154" t="n">
        <f aca="false">SUM(B28:F28)</f>
        <v>52362594.7457738</v>
      </c>
    </row>
    <row r="29" customFormat="false" ht="15.75" hidden="false" customHeight="true" outlineLevel="0" collapsed="false">
      <c r="A29" s="49" t="s">
        <v>707</v>
      </c>
      <c r="B29" s="168" t="n">
        <f aca="false">SUMIFS($B$19:$BI$19,$B$6:$BI$6,B$26)</f>
        <v>-1114.605</v>
      </c>
      <c r="C29" s="168" t="n">
        <f aca="false">SUMIFS($B$19:$BI$19,$B$6:$BI$6,C$26)</f>
        <v>-797617.095461221</v>
      </c>
      <c r="D29" s="168" t="n">
        <f aca="false">SUMIFS($B$19:$BI$19,$B$6:$BI$6,D$26)</f>
        <v>-1951245.56020209</v>
      </c>
      <c r="E29" s="168" t="n">
        <f aca="false">SUMIFS($B$19:$BI$19,$B$6:$BI$6,E$26)</f>
        <v>-3467678.55353245</v>
      </c>
      <c r="F29" s="168" t="n">
        <f aca="false">SUMIFS($B$19:$BI$19,$B$6:$BI$6,F$26)</f>
        <v>-5787335.3773258</v>
      </c>
      <c r="G29" s="154" t="n">
        <f aca="false">SUM(B29:F29)</f>
        <v>-12004991.1915216</v>
      </c>
    </row>
    <row r="30" customFormat="false" ht="15.75" hidden="false" customHeight="true" outlineLevel="0" collapsed="false">
      <c r="A30" s="49" t="s">
        <v>708</v>
      </c>
      <c r="B30" s="168" t="n">
        <f aca="false">SUMIFS($B$20:$BI$20,$B$6:$BI$6,B$26)</f>
        <v>-916.8525</v>
      </c>
      <c r="C30" s="168" t="n">
        <f aca="false">SUMIFS($B$20:$BI$20,$B$6:$BI$6,C$26)</f>
        <v>-490071.444</v>
      </c>
      <c r="D30" s="168" t="n">
        <f aca="false">SUMIFS($B$20:$BI$20,$B$6:$BI$6,D$26)</f>
        <v>-1280723.9625</v>
      </c>
      <c r="E30" s="168" t="n">
        <f aca="false">SUMIFS($B$20:$BI$20,$B$6:$BI$6,E$26)</f>
        <v>-2170901.142</v>
      </c>
      <c r="F30" s="168" t="n">
        <f aca="false">SUMIFS($B$20:$BI$20,$B$6:$BI$6,F$26)</f>
        <v>-3497344.2315</v>
      </c>
      <c r="G30" s="154" t="n">
        <f aca="false">SUM(B30:F30)</f>
        <v>-7439957.6325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46"/>
    <col collapsed="false" customWidth="true" hidden="false" outlineLevel="0" max="61" min="2" style="37" width="11"/>
    <col collapsed="false" customWidth="true" hidden="false" outlineLevel="0" max="62" min="62" style="37" width="15"/>
    <col collapsed="false" customWidth="true" hidden="false" outlineLevel="0" max="63" min="63" style="37" width="34"/>
  </cols>
  <sheetData>
    <row r="1" customFormat="false" ht="25.5" hidden="false" customHeight="true" outlineLevel="0" collapsed="false">
      <c r="A1" s="38" t="s">
        <v>709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customFormat="false" ht="15.75" hidden="false" customHeight="true" outlineLevel="0" collapsed="false">
      <c r="A2" s="143" t="str">
        <f aca="false">" Cenário ativo: "&amp;Premissas!B7&amp;"  ·  todas as linhas recalculam ao trocar o cenário."</f>
        <v> Cenário ativo: PROVÁVEL  ·  todas as linhas recalculam ao trocar o cenário.</v>
      </c>
    </row>
    <row r="4" customFormat="false" ht="15" hidden="false" customHeight="true" outlineLevel="0" collapsed="false">
      <c r="A4" s="144" t="s">
        <v>384</v>
      </c>
      <c r="B4" s="145" t="n">
        <v>46023</v>
      </c>
      <c r="C4" s="145" t="n">
        <v>46054</v>
      </c>
      <c r="D4" s="145" t="n">
        <v>46082</v>
      </c>
      <c r="E4" s="145" t="n">
        <v>46113</v>
      </c>
      <c r="F4" s="145" t="n">
        <v>46143</v>
      </c>
      <c r="G4" s="145" t="n">
        <v>46174</v>
      </c>
      <c r="H4" s="145" t="n">
        <v>46204</v>
      </c>
      <c r="I4" s="145" t="n">
        <v>46235</v>
      </c>
      <c r="J4" s="145" t="n">
        <v>46266</v>
      </c>
      <c r="K4" s="145" t="n">
        <v>46296</v>
      </c>
      <c r="L4" s="145" t="n">
        <v>46327</v>
      </c>
      <c r="M4" s="145" t="n">
        <v>46357</v>
      </c>
      <c r="N4" s="145" t="n">
        <v>46388</v>
      </c>
      <c r="O4" s="145" t="n">
        <v>46419</v>
      </c>
      <c r="P4" s="145" t="n">
        <v>46447</v>
      </c>
      <c r="Q4" s="145" t="n">
        <v>46478</v>
      </c>
      <c r="R4" s="145" t="n">
        <v>46508</v>
      </c>
      <c r="S4" s="145" t="n">
        <v>46539</v>
      </c>
      <c r="T4" s="145" t="n">
        <v>46569</v>
      </c>
      <c r="U4" s="145" t="n">
        <v>46600</v>
      </c>
      <c r="V4" s="145" t="n">
        <v>46631</v>
      </c>
      <c r="W4" s="145" t="n">
        <v>46661</v>
      </c>
      <c r="X4" s="145" t="n">
        <v>46692</v>
      </c>
      <c r="Y4" s="145" t="n">
        <v>46722</v>
      </c>
      <c r="Z4" s="145" t="n">
        <v>46753</v>
      </c>
      <c r="AA4" s="145" t="n">
        <v>46784</v>
      </c>
      <c r="AB4" s="145" t="n">
        <v>46813</v>
      </c>
      <c r="AC4" s="145" t="n">
        <v>46844</v>
      </c>
      <c r="AD4" s="145" t="n">
        <v>46874</v>
      </c>
      <c r="AE4" s="145" t="n">
        <v>46905</v>
      </c>
      <c r="AF4" s="145" t="n">
        <v>46935</v>
      </c>
      <c r="AG4" s="145" t="n">
        <v>46966</v>
      </c>
      <c r="AH4" s="145" t="n">
        <v>46997</v>
      </c>
      <c r="AI4" s="145" t="n">
        <v>47027</v>
      </c>
      <c r="AJ4" s="145" t="n">
        <v>47058</v>
      </c>
      <c r="AK4" s="145" t="n">
        <v>47088</v>
      </c>
      <c r="AL4" s="145" t="n">
        <v>47119</v>
      </c>
      <c r="AM4" s="145" t="n">
        <v>47150</v>
      </c>
      <c r="AN4" s="145" t="n">
        <v>47178</v>
      </c>
      <c r="AO4" s="145" t="n">
        <v>47209</v>
      </c>
      <c r="AP4" s="145" t="n">
        <v>47239</v>
      </c>
      <c r="AQ4" s="145" t="n">
        <v>47270</v>
      </c>
      <c r="AR4" s="145" t="n">
        <v>47300</v>
      </c>
      <c r="AS4" s="145" t="n">
        <v>47331</v>
      </c>
      <c r="AT4" s="145" t="n">
        <v>47362</v>
      </c>
      <c r="AU4" s="145" t="n">
        <v>47392</v>
      </c>
      <c r="AV4" s="145" t="n">
        <v>47423</v>
      </c>
      <c r="AW4" s="145" t="n">
        <v>47453</v>
      </c>
      <c r="AX4" s="145" t="n">
        <v>47484</v>
      </c>
      <c r="AY4" s="145" t="n">
        <v>47515</v>
      </c>
      <c r="AZ4" s="145" t="n">
        <v>47543</v>
      </c>
      <c r="BA4" s="145" t="n">
        <v>47574</v>
      </c>
      <c r="BB4" s="145" t="n">
        <v>47604</v>
      </c>
      <c r="BC4" s="145" t="n">
        <v>47635</v>
      </c>
      <c r="BD4" s="145" t="n">
        <v>47665</v>
      </c>
      <c r="BE4" s="145" t="n">
        <v>47696</v>
      </c>
      <c r="BF4" s="145" t="n">
        <v>47727</v>
      </c>
      <c r="BG4" s="145" t="n">
        <v>47757</v>
      </c>
      <c r="BH4" s="145" t="n">
        <v>47788</v>
      </c>
      <c r="BI4" s="145" t="n">
        <v>47818</v>
      </c>
      <c r="BJ4" s="146" t="s">
        <v>385</v>
      </c>
      <c r="BK4" s="146" t="s">
        <v>386</v>
      </c>
    </row>
    <row r="5" customFormat="false" ht="15" hidden="false" customHeight="true" outlineLevel="0" collapsed="false">
      <c r="A5" s="147" t="s">
        <v>387</v>
      </c>
      <c r="B5" s="148" t="n">
        <v>1</v>
      </c>
      <c r="C5" s="148" t="n">
        <v>2</v>
      </c>
      <c r="D5" s="148" t="n">
        <v>3</v>
      </c>
      <c r="E5" s="148" t="n">
        <v>4</v>
      </c>
      <c r="F5" s="148" t="n">
        <v>5</v>
      </c>
      <c r="G5" s="148" t="n">
        <v>6</v>
      </c>
      <c r="H5" s="148" t="n">
        <v>7</v>
      </c>
      <c r="I5" s="148" t="n">
        <v>8</v>
      </c>
      <c r="J5" s="148" t="n">
        <v>9</v>
      </c>
      <c r="K5" s="148" t="n">
        <v>10</v>
      </c>
      <c r="L5" s="148" t="n">
        <v>11</v>
      </c>
      <c r="M5" s="148" t="n">
        <v>12</v>
      </c>
      <c r="N5" s="148" t="n">
        <v>13</v>
      </c>
      <c r="O5" s="148" t="n">
        <v>14</v>
      </c>
      <c r="P5" s="148" t="n">
        <v>15</v>
      </c>
      <c r="Q5" s="148" t="n">
        <v>16</v>
      </c>
      <c r="R5" s="148" t="n">
        <v>17</v>
      </c>
      <c r="S5" s="148" t="n">
        <v>18</v>
      </c>
      <c r="T5" s="148" t="n">
        <v>19</v>
      </c>
      <c r="U5" s="148" t="n">
        <v>20</v>
      </c>
      <c r="V5" s="148" t="n">
        <v>21</v>
      </c>
      <c r="W5" s="148" t="n">
        <v>22</v>
      </c>
      <c r="X5" s="148" t="n">
        <v>23</v>
      </c>
      <c r="Y5" s="148" t="n">
        <v>24</v>
      </c>
      <c r="Z5" s="148" t="n">
        <v>25</v>
      </c>
      <c r="AA5" s="148" t="n">
        <v>26</v>
      </c>
      <c r="AB5" s="148" t="n">
        <v>27</v>
      </c>
      <c r="AC5" s="148" t="n">
        <v>28</v>
      </c>
      <c r="AD5" s="148" t="n">
        <v>29</v>
      </c>
      <c r="AE5" s="148" t="n">
        <v>30</v>
      </c>
      <c r="AF5" s="148" t="n">
        <v>31</v>
      </c>
      <c r="AG5" s="148" t="n">
        <v>32</v>
      </c>
      <c r="AH5" s="148" t="n">
        <v>33</v>
      </c>
      <c r="AI5" s="148" t="n">
        <v>34</v>
      </c>
      <c r="AJ5" s="148" t="n">
        <v>35</v>
      </c>
      <c r="AK5" s="148" t="n">
        <v>36</v>
      </c>
      <c r="AL5" s="148" t="n">
        <v>37</v>
      </c>
      <c r="AM5" s="148" t="n">
        <v>38</v>
      </c>
      <c r="AN5" s="148" t="n">
        <v>39</v>
      </c>
      <c r="AO5" s="148" t="n">
        <v>40</v>
      </c>
      <c r="AP5" s="148" t="n">
        <v>41</v>
      </c>
      <c r="AQ5" s="148" t="n">
        <v>42</v>
      </c>
      <c r="AR5" s="148" t="n">
        <v>43</v>
      </c>
      <c r="AS5" s="148" t="n">
        <v>44</v>
      </c>
      <c r="AT5" s="148" t="n">
        <v>45</v>
      </c>
      <c r="AU5" s="148" t="n">
        <v>46</v>
      </c>
      <c r="AV5" s="148" t="n">
        <v>47</v>
      </c>
      <c r="AW5" s="148" t="n">
        <v>48</v>
      </c>
      <c r="AX5" s="148" t="n">
        <v>49</v>
      </c>
      <c r="AY5" s="148" t="n">
        <v>50</v>
      </c>
      <c r="AZ5" s="148" t="n">
        <v>51</v>
      </c>
      <c r="BA5" s="148" t="n">
        <v>52</v>
      </c>
      <c r="BB5" s="148" t="n">
        <v>53</v>
      </c>
      <c r="BC5" s="148" t="n">
        <v>54</v>
      </c>
      <c r="BD5" s="148" t="n">
        <v>55</v>
      </c>
      <c r="BE5" s="148" t="n">
        <v>56</v>
      </c>
      <c r="BF5" s="148" t="n">
        <v>57</v>
      </c>
      <c r="BG5" s="148" t="n">
        <v>58</v>
      </c>
      <c r="BH5" s="148" t="n">
        <v>59</v>
      </c>
      <c r="BI5" s="148" t="n">
        <v>60</v>
      </c>
    </row>
    <row r="6" customFormat="false" ht="15" hidden="false" customHeight="true" outlineLevel="0" collapsed="false">
      <c r="A6" s="147" t="s">
        <v>388</v>
      </c>
      <c r="B6" s="149" t="n">
        <f aca="false">YEAR(B4)</f>
        <v>2026</v>
      </c>
      <c r="C6" s="149" t="n">
        <f aca="false">YEAR(C4)</f>
        <v>2026</v>
      </c>
      <c r="D6" s="149" t="n">
        <f aca="false">YEAR(D4)</f>
        <v>2026</v>
      </c>
      <c r="E6" s="149" t="n">
        <f aca="false">YEAR(E4)</f>
        <v>2026</v>
      </c>
      <c r="F6" s="149" t="n">
        <f aca="false">YEAR(F4)</f>
        <v>2026</v>
      </c>
      <c r="G6" s="149" t="n">
        <f aca="false">YEAR(G4)</f>
        <v>2026</v>
      </c>
      <c r="H6" s="149" t="n">
        <f aca="false">YEAR(H4)</f>
        <v>2026</v>
      </c>
      <c r="I6" s="149" t="n">
        <f aca="false">YEAR(I4)</f>
        <v>2026</v>
      </c>
      <c r="J6" s="149" t="n">
        <f aca="false">YEAR(J4)</f>
        <v>2026</v>
      </c>
      <c r="K6" s="149" t="n">
        <f aca="false">YEAR(K4)</f>
        <v>2026</v>
      </c>
      <c r="L6" s="149" t="n">
        <f aca="false">YEAR(L4)</f>
        <v>2026</v>
      </c>
      <c r="M6" s="149" t="n">
        <f aca="false">YEAR(M4)</f>
        <v>2026</v>
      </c>
      <c r="N6" s="149" t="n">
        <f aca="false">YEAR(N4)</f>
        <v>2027</v>
      </c>
      <c r="O6" s="149" t="n">
        <f aca="false">YEAR(O4)</f>
        <v>2027</v>
      </c>
      <c r="P6" s="149" t="n">
        <f aca="false">YEAR(P4)</f>
        <v>2027</v>
      </c>
      <c r="Q6" s="149" t="n">
        <f aca="false">YEAR(Q4)</f>
        <v>2027</v>
      </c>
      <c r="R6" s="149" t="n">
        <f aca="false">YEAR(R4)</f>
        <v>2027</v>
      </c>
      <c r="S6" s="149" t="n">
        <f aca="false">YEAR(S4)</f>
        <v>2027</v>
      </c>
      <c r="T6" s="149" t="n">
        <f aca="false">YEAR(T4)</f>
        <v>2027</v>
      </c>
      <c r="U6" s="149" t="n">
        <f aca="false">YEAR(U4)</f>
        <v>2027</v>
      </c>
      <c r="V6" s="149" t="n">
        <f aca="false">YEAR(V4)</f>
        <v>2027</v>
      </c>
      <c r="W6" s="149" t="n">
        <f aca="false">YEAR(W4)</f>
        <v>2027</v>
      </c>
      <c r="X6" s="149" t="n">
        <f aca="false">YEAR(X4)</f>
        <v>2027</v>
      </c>
      <c r="Y6" s="149" t="n">
        <f aca="false">YEAR(Y4)</f>
        <v>2027</v>
      </c>
      <c r="Z6" s="149" t="n">
        <f aca="false">YEAR(Z4)</f>
        <v>2028</v>
      </c>
      <c r="AA6" s="149" t="n">
        <f aca="false">YEAR(AA4)</f>
        <v>2028</v>
      </c>
      <c r="AB6" s="149" t="n">
        <f aca="false">YEAR(AB4)</f>
        <v>2028</v>
      </c>
      <c r="AC6" s="149" t="n">
        <f aca="false">YEAR(AC4)</f>
        <v>2028</v>
      </c>
      <c r="AD6" s="149" t="n">
        <f aca="false">YEAR(AD4)</f>
        <v>2028</v>
      </c>
      <c r="AE6" s="149" t="n">
        <f aca="false">YEAR(AE4)</f>
        <v>2028</v>
      </c>
      <c r="AF6" s="149" t="n">
        <f aca="false">YEAR(AF4)</f>
        <v>2028</v>
      </c>
      <c r="AG6" s="149" t="n">
        <f aca="false">YEAR(AG4)</f>
        <v>2028</v>
      </c>
      <c r="AH6" s="149" t="n">
        <f aca="false">YEAR(AH4)</f>
        <v>2028</v>
      </c>
      <c r="AI6" s="149" t="n">
        <f aca="false">YEAR(AI4)</f>
        <v>2028</v>
      </c>
      <c r="AJ6" s="149" t="n">
        <f aca="false">YEAR(AJ4)</f>
        <v>2028</v>
      </c>
      <c r="AK6" s="149" t="n">
        <f aca="false">YEAR(AK4)</f>
        <v>2028</v>
      </c>
      <c r="AL6" s="149" t="n">
        <f aca="false">YEAR(AL4)</f>
        <v>2029</v>
      </c>
      <c r="AM6" s="149" t="n">
        <f aca="false">YEAR(AM4)</f>
        <v>2029</v>
      </c>
      <c r="AN6" s="149" t="n">
        <f aca="false">YEAR(AN4)</f>
        <v>2029</v>
      </c>
      <c r="AO6" s="149" t="n">
        <f aca="false">YEAR(AO4)</f>
        <v>2029</v>
      </c>
      <c r="AP6" s="149" t="n">
        <f aca="false">YEAR(AP4)</f>
        <v>2029</v>
      </c>
      <c r="AQ6" s="149" t="n">
        <f aca="false">YEAR(AQ4)</f>
        <v>2029</v>
      </c>
      <c r="AR6" s="149" t="n">
        <f aca="false">YEAR(AR4)</f>
        <v>2029</v>
      </c>
      <c r="AS6" s="149" t="n">
        <f aca="false">YEAR(AS4)</f>
        <v>2029</v>
      </c>
      <c r="AT6" s="149" t="n">
        <f aca="false">YEAR(AT4)</f>
        <v>2029</v>
      </c>
      <c r="AU6" s="149" t="n">
        <f aca="false">YEAR(AU4)</f>
        <v>2029</v>
      </c>
      <c r="AV6" s="149" t="n">
        <f aca="false">YEAR(AV4)</f>
        <v>2029</v>
      </c>
      <c r="AW6" s="149" t="n">
        <f aca="false">YEAR(AW4)</f>
        <v>2029</v>
      </c>
      <c r="AX6" s="149" t="n">
        <f aca="false">YEAR(AX4)</f>
        <v>2030</v>
      </c>
      <c r="AY6" s="149" t="n">
        <f aca="false">YEAR(AY4)</f>
        <v>2030</v>
      </c>
      <c r="AZ6" s="149" t="n">
        <f aca="false">YEAR(AZ4)</f>
        <v>2030</v>
      </c>
      <c r="BA6" s="149" t="n">
        <f aca="false">YEAR(BA4)</f>
        <v>2030</v>
      </c>
      <c r="BB6" s="149" t="n">
        <f aca="false">YEAR(BB4)</f>
        <v>2030</v>
      </c>
      <c r="BC6" s="149" t="n">
        <f aca="false">YEAR(BC4)</f>
        <v>2030</v>
      </c>
      <c r="BD6" s="149" t="n">
        <f aca="false">YEAR(BD4)</f>
        <v>2030</v>
      </c>
      <c r="BE6" s="149" t="n">
        <f aca="false">YEAR(BE4)</f>
        <v>2030</v>
      </c>
      <c r="BF6" s="149" t="n">
        <f aca="false">YEAR(BF4)</f>
        <v>2030</v>
      </c>
      <c r="BG6" s="149" t="n">
        <f aca="false">YEAR(BG4)</f>
        <v>2030</v>
      </c>
      <c r="BH6" s="149" t="n">
        <f aca="false">YEAR(BH4)</f>
        <v>2030</v>
      </c>
      <c r="BI6" s="149" t="n">
        <f aca="false">YEAR(BI4)</f>
        <v>2030</v>
      </c>
    </row>
    <row r="7" customFormat="false" ht="15" hidden="false" customHeight="true" outlineLevel="0" collapsed="false">
      <c r="A7" s="150" t="s">
        <v>389</v>
      </c>
      <c r="B7" s="151" t="n">
        <f aca="false">MATCH(B6,Premissas!$C$5:$G$5,0)</f>
        <v>1</v>
      </c>
      <c r="C7" s="151" t="n">
        <f aca="false">MATCH(C6,Premissas!$C$5:$G$5,0)</f>
        <v>1</v>
      </c>
      <c r="D7" s="151" t="n">
        <f aca="false">MATCH(D6,Premissas!$C$5:$G$5,0)</f>
        <v>1</v>
      </c>
      <c r="E7" s="151" t="n">
        <f aca="false">MATCH(E6,Premissas!$C$5:$G$5,0)</f>
        <v>1</v>
      </c>
      <c r="F7" s="151" t="n">
        <f aca="false">MATCH(F6,Premissas!$C$5:$G$5,0)</f>
        <v>1</v>
      </c>
      <c r="G7" s="151" t="n">
        <f aca="false">MATCH(G6,Premissas!$C$5:$G$5,0)</f>
        <v>1</v>
      </c>
      <c r="H7" s="151" t="n">
        <f aca="false">MATCH(H6,Premissas!$C$5:$G$5,0)</f>
        <v>1</v>
      </c>
      <c r="I7" s="151" t="n">
        <f aca="false">MATCH(I6,Premissas!$C$5:$G$5,0)</f>
        <v>1</v>
      </c>
      <c r="J7" s="151" t="n">
        <f aca="false">MATCH(J6,Premissas!$C$5:$G$5,0)</f>
        <v>1</v>
      </c>
      <c r="K7" s="151" t="n">
        <f aca="false">MATCH(K6,Premissas!$C$5:$G$5,0)</f>
        <v>1</v>
      </c>
      <c r="L7" s="151" t="n">
        <f aca="false">MATCH(L6,Premissas!$C$5:$G$5,0)</f>
        <v>1</v>
      </c>
      <c r="M7" s="151" t="n">
        <f aca="false">MATCH(M6,Premissas!$C$5:$G$5,0)</f>
        <v>1</v>
      </c>
      <c r="N7" s="151" t="n">
        <f aca="false">MATCH(N6,Premissas!$C$5:$G$5,0)</f>
        <v>2</v>
      </c>
      <c r="O7" s="151" t="n">
        <f aca="false">MATCH(O6,Premissas!$C$5:$G$5,0)</f>
        <v>2</v>
      </c>
      <c r="P7" s="151" t="n">
        <f aca="false">MATCH(P6,Premissas!$C$5:$G$5,0)</f>
        <v>2</v>
      </c>
      <c r="Q7" s="151" t="n">
        <f aca="false">MATCH(Q6,Premissas!$C$5:$G$5,0)</f>
        <v>2</v>
      </c>
      <c r="R7" s="151" t="n">
        <f aca="false">MATCH(R6,Premissas!$C$5:$G$5,0)</f>
        <v>2</v>
      </c>
      <c r="S7" s="151" t="n">
        <f aca="false">MATCH(S6,Premissas!$C$5:$G$5,0)</f>
        <v>2</v>
      </c>
      <c r="T7" s="151" t="n">
        <f aca="false">MATCH(T6,Premissas!$C$5:$G$5,0)</f>
        <v>2</v>
      </c>
      <c r="U7" s="151" t="n">
        <f aca="false">MATCH(U6,Premissas!$C$5:$G$5,0)</f>
        <v>2</v>
      </c>
      <c r="V7" s="151" t="n">
        <f aca="false">MATCH(V6,Premissas!$C$5:$G$5,0)</f>
        <v>2</v>
      </c>
      <c r="W7" s="151" t="n">
        <f aca="false">MATCH(W6,Premissas!$C$5:$G$5,0)</f>
        <v>2</v>
      </c>
      <c r="X7" s="151" t="n">
        <f aca="false">MATCH(X6,Premissas!$C$5:$G$5,0)</f>
        <v>2</v>
      </c>
      <c r="Y7" s="151" t="n">
        <f aca="false">MATCH(Y6,Premissas!$C$5:$G$5,0)</f>
        <v>2</v>
      </c>
      <c r="Z7" s="151" t="n">
        <f aca="false">MATCH(Z6,Premissas!$C$5:$G$5,0)</f>
        <v>3</v>
      </c>
      <c r="AA7" s="151" t="n">
        <f aca="false">MATCH(AA6,Premissas!$C$5:$G$5,0)</f>
        <v>3</v>
      </c>
      <c r="AB7" s="151" t="n">
        <f aca="false">MATCH(AB6,Premissas!$C$5:$G$5,0)</f>
        <v>3</v>
      </c>
      <c r="AC7" s="151" t="n">
        <f aca="false">MATCH(AC6,Premissas!$C$5:$G$5,0)</f>
        <v>3</v>
      </c>
      <c r="AD7" s="151" t="n">
        <f aca="false">MATCH(AD6,Premissas!$C$5:$G$5,0)</f>
        <v>3</v>
      </c>
      <c r="AE7" s="151" t="n">
        <f aca="false">MATCH(AE6,Premissas!$C$5:$G$5,0)</f>
        <v>3</v>
      </c>
      <c r="AF7" s="151" t="n">
        <f aca="false">MATCH(AF6,Premissas!$C$5:$G$5,0)</f>
        <v>3</v>
      </c>
      <c r="AG7" s="151" t="n">
        <f aca="false">MATCH(AG6,Premissas!$C$5:$G$5,0)</f>
        <v>3</v>
      </c>
      <c r="AH7" s="151" t="n">
        <f aca="false">MATCH(AH6,Premissas!$C$5:$G$5,0)</f>
        <v>3</v>
      </c>
      <c r="AI7" s="151" t="n">
        <f aca="false">MATCH(AI6,Premissas!$C$5:$G$5,0)</f>
        <v>3</v>
      </c>
      <c r="AJ7" s="151" t="n">
        <f aca="false">MATCH(AJ6,Premissas!$C$5:$G$5,0)</f>
        <v>3</v>
      </c>
      <c r="AK7" s="151" t="n">
        <f aca="false">MATCH(AK6,Premissas!$C$5:$G$5,0)</f>
        <v>3</v>
      </c>
      <c r="AL7" s="151" t="n">
        <f aca="false">MATCH(AL6,Premissas!$C$5:$G$5,0)</f>
        <v>4</v>
      </c>
      <c r="AM7" s="151" t="n">
        <f aca="false">MATCH(AM6,Premissas!$C$5:$G$5,0)</f>
        <v>4</v>
      </c>
      <c r="AN7" s="151" t="n">
        <f aca="false">MATCH(AN6,Premissas!$C$5:$G$5,0)</f>
        <v>4</v>
      </c>
      <c r="AO7" s="151" t="n">
        <f aca="false">MATCH(AO6,Premissas!$C$5:$G$5,0)</f>
        <v>4</v>
      </c>
      <c r="AP7" s="151" t="n">
        <f aca="false">MATCH(AP6,Premissas!$C$5:$G$5,0)</f>
        <v>4</v>
      </c>
      <c r="AQ7" s="151" t="n">
        <f aca="false">MATCH(AQ6,Premissas!$C$5:$G$5,0)</f>
        <v>4</v>
      </c>
      <c r="AR7" s="151" t="n">
        <f aca="false">MATCH(AR6,Premissas!$C$5:$G$5,0)</f>
        <v>4</v>
      </c>
      <c r="AS7" s="151" t="n">
        <f aca="false">MATCH(AS6,Premissas!$C$5:$G$5,0)</f>
        <v>4</v>
      </c>
      <c r="AT7" s="151" t="n">
        <f aca="false">MATCH(AT6,Premissas!$C$5:$G$5,0)</f>
        <v>4</v>
      </c>
      <c r="AU7" s="151" t="n">
        <f aca="false">MATCH(AU6,Premissas!$C$5:$G$5,0)</f>
        <v>4</v>
      </c>
      <c r="AV7" s="151" t="n">
        <f aca="false">MATCH(AV6,Premissas!$C$5:$G$5,0)</f>
        <v>4</v>
      </c>
      <c r="AW7" s="151" t="n">
        <f aca="false">MATCH(AW6,Premissas!$C$5:$G$5,0)</f>
        <v>4</v>
      </c>
      <c r="AX7" s="151" t="n">
        <f aca="false">MATCH(AX6,Premissas!$C$5:$G$5,0)</f>
        <v>5</v>
      </c>
      <c r="AY7" s="151" t="n">
        <f aca="false">MATCH(AY6,Premissas!$C$5:$G$5,0)</f>
        <v>5</v>
      </c>
      <c r="AZ7" s="151" t="n">
        <f aca="false">MATCH(AZ6,Premissas!$C$5:$G$5,0)</f>
        <v>5</v>
      </c>
      <c r="BA7" s="151" t="n">
        <f aca="false">MATCH(BA6,Premissas!$C$5:$G$5,0)</f>
        <v>5</v>
      </c>
      <c r="BB7" s="151" t="n">
        <f aca="false">MATCH(BB6,Premissas!$C$5:$G$5,0)</f>
        <v>5</v>
      </c>
      <c r="BC7" s="151" t="n">
        <f aca="false">MATCH(BC6,Premissas!$C$5:$G$5,0)</f>
        <v>5</v>
      </c>
      <c r="BD7" s="151" t="n">
        <f aca="false">MATCH(BD6,Premissas!$C$5:$G$5,0)</f>
        <v>5</v>
      </c>
      <c r="BE7" s="151" t="n">
        <f aca="false">MATCH(BE6,Premissas!$C$5:$G$5,0)</f>
        <v>5</v>
      </c>
      <c r="BF7" s="151" t="n">
        <f aca="false">MATCH(BF6,Premissas!$C$5:$G$5,0)</f>
        <v>5</v>
      </c>
      <c r="BG7" s="151" t="n">
        <f aca="false">MATCH(BG6,Premissas!$C$5:$G$5,0)</f>
        <v>5</v>
      </c>
      <c r="BH7" s="151" t="n">
        <f aca="false">MATCH(BH6,Premissas!$C$5:$G$5,0)</f>
        <v>5</v>
      </c>
      <c r="BI7" s="151" t="n">
        <f aca="false">MATCH(BI6,Premissas!$C$5:$G$5,0)</f>
        <v>5</v>
      </c>
    </row>
    <row r="8" customFormat="false" ht="18" hidden="false" customHeight="true" outlineLevel="0" collapsed="false">
      <c r="A8" s="47" t="s">
        <v>710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</row>
    <row r="9" customFormat="false" ht="15" hidden="false" customHeight="true" outlineLevel="0" collapsed="false">
      <c r="A9" s="49" t="s">
        <v>711</v>
      </c>
      <c r="B9" s="251" t="n">
        <f aca="false">CHOOSE(Premissas!$B$6,Cenários!B10,Cenários!B56,Cenários!B102)</f>
        <v>0</v>
      </c>
      <c r="C9" s="251" t="n">
        <f aca="false">CHOOSE(Premissas!$B$6,Cenários!C10,Cenários!C56,Cenários!C102)</f>
        <v>0</v>
      </c>
      <c r="D9" s="251" t="n">
        <f aca="false">CHOOSE(Premissas!$B$6,Cenários!D10,Cenários!D56,Cenários!D102)</f>
        <v>0</v>
      </c>
      <c r="E9" s="251" t="n">
        <f aca="false">CHOOSE(Premissas!$B$6,Cenários!E10,Cenários!E56,Cenários!E102)</f>
        <v>0</v>
      </c>
      <c r="F9" s="251" t="n">
        <f aca="false">CHOOSE(Premissas!$B$6,Cenários!F10,Cenários!F56,Cenários!F102)</f>
        <v>0</v>
      </c>
      <c r="G9" s="251" t="n">
        <f aca="false">CHOOSE(Premissas!$B$6,Cenários!G10,Cenários!G56,Cenários!G102)</f>
        <v>0</v>
      </c>
      <c r="H9" s="251" t="n">
        <f aca="false">CHOOSE(Premissas!$B$6,Cenários!H10,Cenários!H56,Cenários!H102)</f>
        <v>0</v>
      </c>
      <c r="I9" s="251" t="n">
        <f aca="false">CHOOSE(Premissas!$B$6,Cenários!I10,Cenários!I56,Cenários!I102)</f>
        <v>0</v>
      </c>
      <c r="J9" s="251" t="n">
        <f aca="false">CHOOSE(Premissas!$B$6,Cenários!J10,Cenários!J56,Cenários!J102)</f>
        <v>0</v>
      </c>
      <c r="K9" s="251" t="n">
        <f aca="false">CHOOSE(Premissas!$B$6,Cenários!K10,Cenários!K56,Cenários!K102)</f>
        <v>0</v>
      </c>
      <c r="L9" s="251" t="n">
        <f aca="false">CHOOSE(Premissas!$B$6,Cenários!L10,Cenários!L56,Cenários!L102)</f>
        <v>0</v>
      </c>
      <c r="M9" s="251" t="n">
        <f aca="false">CHOOSE(Premissas!$B$6,Cenários!M10,Cenários!M56,Cenários!M102)</f>
        <v>18100</v>
      </c>
      <c r="N9" s="251" t="n">
        <f aca="false">CHOOSE(Premissas!$B$6,Cenários!N10,Cenários!N56,Cenários!N102)</f>
        <v>27150</v>
      </c>
      <c r="O9" s="251" t="n">
        <f aca="false">CHOOSE(Premissas!$B$6,Cenários!O10,Cenários!O56,Cenários!O102)</f>
        <v>27150</v>
      </c>
      <c r="P9" s="251" t="n">
        <f aca="false">CHOOSE(Premissas!$B$6,Cenários!P10,Cenários!P56,Cenários!P102)</f>
        <v>27150</v>
      </c>
      <c r="Q9" s="251" t="n">
        <f aca="false">CHOOSE(Premissas!$B$6,Cenários!Q10,Cenários!Q56,Cenários!Q102)</f>
        <v>27150</v>
      </c>
      <c r="R9" s="251" t="n">
        <f aca="false">CHOOSE(Premissas!$B$6,Cenários!R10,Cenários!R56,Cenários!R102)</f>
        <v>27150</v>
      </c>
      <c r="S9" s="251" t="n">
        <f aca="false">CHOOSE(Premissas!$B$6,Cenários!S10,Cenários!S56,Cenários!S102)</f>
        <v>27150</v>
      </c>
      <c r="T9" s="251" t="n">
        <f aca="false">CHOOSE(Premissas!$B$6,Cenários!T10,Cenários!T56,Cenários!T102)</f>
        <v>27150</v>
      </c>
      <c r="U9" s="251" t="n">
        <f aca="false">CHOOSE(Premissas!$B$6,Cenários!U10,Cenários!U56,Cenários!U102)</f>
        <v>27150</v>
      </c>
      <c r="V9" s="251" t="n">
        <f aca="false">CHOOSE(Premissas!$B$6,Cenários!V10,Cenários!V56,Cenários!V102)</f>
        <v>27150</v>
      </c>
      <c r="W9" s="251" t="n">
        <f aca="false">CHOOSE(Premissas!$B$6,Cenários!W10,Cenários!W56,Cenários!W102)</f>
        <v>27150</v>
      </c>
      <c r="X9" s="251" t="n">
        <f aca="false">CHOOSE(Premissas!$B$6,Cenários!X10,Cenários!X56,Cenários!X102)</f>
        <v>27150</v>
      </c>
      <c r="Y9" s="251" t="n">
        <f aca="false">CHOOSE(Premissas!$B$6,Cenários!Y10,Cenários!Y56,Cenários!Y102)</f>
        <v>27150</v>
      </c>
      <c r="Z9" s="251" t="n">
        <f aca="false">CHOOSE(Premissas!$B$6,Cenários!Z10,Cenários!Z56,Cenários!Z102)</f>
        <v>40725</v>
      </c>
      <c r="AA9" s="251" t="n">
        <f aca="false">CHOOSE(Premissas!$B$6,Cenários!AA10,Cenários!AA56,Cenários!AA102)</f>
        <v>40725</v>
      </c>
      <c r="AB9" s="251" t="n">
        <f aca="false">CHOOSE(Premissas!$B$6,Cenários!AB10,Cenários!AB56,Cenários!AB102)</f>
        <v>40725</v>
      </c>
      <c r="AC9" s="251" t="n">
        <f aca="false">CHOOSE(Premissas!$B$6,Cenários!AC10,Cenários!AC56,Cenários!AC102)</f>
        <v>40725</v>
      </c>
      <c r="AD9" s="251" t="n">
        <f aca="false">CHOOSE(Premissas!$B$6,Cenários!AD10,Cenários!AD56,Cenários!AD102)</f>
        <v>40725</v>
      </c>
      <c r="AE9" s="251" t="n">
        <f aca="false">CHOOSE(Premissas!$B$6,Cenários!AE10,Cenários!AE56,Cenários!AE102)</f>
        <v>40725</v>
      </c>
      <c r="AF9" s="251" t="n">
        <f aca="false">CHOOSE(Premissas!$B$6,Cenários!AF10,Cenários!AF56,Cenários!AF102)</f>
        <v>40725</v>
      </c>
      <c r="AG9" s="251" t="n">
        <f aca="false">CHOOSE(Premissas!$B$6,Cenários!AG10,Cenários!AG56,Cenários!AG102)</f>
        <v>40725</v>
      </c>
      <c r="AH9" s="251" t="n">
        <f aca="false">CHOOSE(Premissas!$B$6,Cenários!AH10,Cenários!AH56,Cenários!AH102)</f>
        <v>40725</v>
      </c>
      <c r="AI9" s="251" t="n">
        <f aca="false">CHOOSE(Premissas!$B$6,Cenários!AI10,Cenários!AI56,Cenários!AI102)</f>
        <v>40725</v>
      </c>
      <c r="AJ9" s="251" t="n">
        <f aca="false">CHOOSE(Premissas!$B$6,Cenários!AJ10,Cenários!AJ56,Cenários!AJ102)</f>
        <v>40725</v>
      </c>
      <c r="AK9" s="251" t="n">
        <f aca="false">CHOOSE(Premissas!$B$6,Cenários!AK10,Cenários!AK56,Cenários!AK102)</f>
        <v>40725</v>
      </c>
      <c r="AL9" s="251" t="n">
        <f aca="false">CHOOSE(Premissas!$B$6,Cenários!AL10,Cenários!AL56,Cenários!AL102)</f>
        <v>61087.5</v>
      </c>
      <c r="AM9" s="251" t="n">
        <f aca="false">CHOOSE(Premissas!$B$6,Cenários!AM10,Cenários!AM56,Cenários!AM102)</f>
        <v>61087.5</v>
      </c>
      <c r="AN9" s="251" t="n">
        <f aca="false">CHOOSE(Premissas!$B$6,Cenários!AN10,Cenários!AN56,Cenários!AN102)</f>
        <v>61087.5</v>
      </c>
      <c r="AO9" s="251" t="n">
        <f aca="false">CHOOSE(Premissas!$B$6,Cenários!AO10,Cenários!AO56,Cenários!AO102)</f>
        <v>61087.5</v>
      </c>
      <c r="AP9" s="251" t="n">
        <f aca="false">CHOOSE(Premissas!$B$6,Cenários!AP10,Cenários!AP56,Cenários!AP102)</f>
        <v>61087.5</v>
      </c>
      <c r="AQ9" s="251" t="n">
        <f aca="false">CHOOSE(Premissas!$B$6,Cenários!AQ10,Cenários!AQ56,Cenários!AQ102)</f>
        <v>61087.5</v>
      </c>
      <c r="AR9" s="251" t="n">
        <f aca="false">CHOOSE(Premissas!$B$6,Cenários!AR10,Cenários!AR56,Cenários!AR102)</f>
        <v>61087.5</v>
      </c>
      <c r="AS9" s="251" t="n">
        <f aca="false">CHOOSE(Premissas!$B$6,Cenários!AS10,Cenários!AS56,Cenários!AS102)</f>
        <v>61087.5</v>
      </c>
      <c r="AT9" s="251" t="n">
        <f aca="false">CHOOSE(Premissas!$B$6,Cenários!AT10,Cenários!AT56,Cenários!AT102)</f>
        <v>61087.5</v>
      </c>
      <c r="AU9" s="251" t="n">
        <f aca="false">CHOOSE(Premissas!$B$6,Cenários!AU10,Cenários!AU56,Cenários!AU102)</f>
        <v>61087.5</v>
      </c>
      <c r="AV9" s="251" t="n">
        <f aca="false">CHOOSE(Premissas!$B$6,Cenários!AV10,Cenários!AV56,Cenários!AV102)</f>
        <v>61087.5</v>
      </c>
      <c r="AW9" s="251" t="n">
        <f aca="false">CHOOSE(Premissas!$B$6,Cenários!AW10,Cenários!AW56,Cenários!AW102)</f>
        <v>61087.5</v>
      </c>
      <c r="AX9" s="251" t="n">
        <f aca="false">CHOOSE(Premissas!$B$6,Cenários!AX10,Cenários!AX56,Cenários!AX102)</f>
        <v>91631.25</v>
      </c>
      <c r="AY9" s="251" t="n">
        <f aca="false">CHOOSE(Premissas!$B$6,Cenários!AY10,Cenários!AY56,Cenários!AY102)</f>
        <v>91631.25</v>
      </c>
      <c r="AZ9" s="251" t="n">
        <f aca="false">CHOOSE(Premissas!$B$6,Cenários!AZ10,Cenários!AZ56,Cenários!AZ102)</f>
        <v>91631.25</v>
      </c>
      <c r="BA9" s="251" t="n">
        <f aca="false">CHOOSE(Premissas!$B$6,Cenários!BA10,Cenários!BA56,Cenários!BA102)</f>
        <v>91631.25</v>
      </c>
      <c r="BB9" s="251" t="n">
        <f aca="false">CHOOSE(Premissas!$B$6,Cenários!BB10,Cenários!BB56,Cenários!BB102)</f>
        <v>91631.25</v>
      </c>
      <c r="BC9" s="251" t="n">
        <f aca="false">CHOOSE(Premissas!$B$6,Cenários!BC10,Cenários!BC56,Cenários!BC102)</f>
        <v>91631.25</v>
      </c>
      <c r="BD9" s="251" t="n">
        <f aca="false">CHOOSE(Premissas!$B$6,Cenários!BD10,Cenários!BD56,Cenários!BD102)</f>
        <v>91631.25</v>
      </c>
      <c r="BE9" s="251" t="n">
        <f aca="false">CHOOSE(Premissas!$B$6,Cenários!BE10,Cenários!BE56,Cenários!BE102)</f>
        <v>91631.25</v>
      </c>
      <c r="BF9" s="251" t="n">
        <f aca="false">CHOOSE(Premissas!$B$6,Cenários!BF10,Cenários!BF56,Cenários!BF102)</f>
        <v>91631.25</v>
      </c>
      <c r="BG9" s="251" t="n">
        <f aca="false">CHOOSE(Premissas!$B$6,Cenários!BG10,Cenários!BG56,Cenários!BG102)</f>
        <v>91631.25</v>
      </c>
      <c r="BH9" s="251" t="n">
        <f aca="false">CHOOSE(Premissas!$B$6,Cenários!BH10,Cenários!BH56,Cenários!BH102)</f>
        <v>91631.25</v>
      </c>
      <c r="BI9" s="251" t="n">
        <f aca="false">CHOOSE(Premissas!$B$6,Cenários!BI10,Cenários!BI56,Cenários!BI102)</f>
        <v>91631.25</v>
      </c>
      <c r="BJ9" s="202" t="n">
        <f aca="false">SUM(B9:BI9)</f>
        <v>2665225</v>
      </c>
    </row>
    <row r="10" customFormat="false" ht="15" hidden="false" customHeight="true" outlineLevel="0" collapsed="false">
      <c r="A10" s="49" t="s">
        <v>712</v>
      </c>
      <c r="B10" s="251" t="n">
        <f aca="false">CHOOSE(Premissas!$B$6,Cenários!B11,Cenários!B57,Cenários!B103)</f>
        <v>0</v>
      </c>
      <c r="C10" s="251" t="n">
        <f aca="false">CHOOSE(Premissas!$B$6,Cenários!C11,Cenários!C57,Cenários!C103)</f>
        <v>0</v>
      </c>
      <c r="D10" s="251" t="n">
        <f aca="false">CHOOSE(Premissas!$B$6,Cenários!D11,Cenários!D57,Cenários!D103)</f>
        <v>0</v>
      </c>
      <c r="E10" s="251" t="n">
        <f aca="false">CHOOSE(Premissas!$B$6,Cenários!E11,Cenários!E57,Cenários!E103)</f>
        <v>0</v>
      </c>
      <c r="F10" s="251" t="n">
        <f aca="false">CHOOSE(Premissas!$B$6,Cenários!F11,Cenários!F57,Cenários!F103)</f>
        <v>0</v>
      </c>
      <c r="G10" s="251" t="n">
        <f aca="false">CHOOSE(Premissas!$B$6,Cenários!G11,Cenários!G57,Cenários!G103)</f>
        <v>0</v>
      </c>
      <c r="H10" s="251" t="n">
        <f aca="false">CHOOSE(Premissas!$B$6,Cenários!H11,Cenários!H57,Cenários!H103)</f>
        <v>0</v>
      </c>
      <c r="I10" s="251" t="n">
        <f aca="false">CHOOSE(Premissas!$B$6,Cenários!I11,Cenários!I57,Cenários!I103)</f>
        <v>0</v>
      </c>
      <c r="J10" s="251" t="n">
        <f aca="false">CHOOSE(Premissas!$B$6,Cenários!J11,Cenários!J57,Cenários!J103)</f>
        <v>0</v>
      </c>
      <c r="K10" s="251" t="n">
        <f aca="false">CHOOSE(Premissas!$B$6,Cenários!K11,Cenários!K57,Cenários!K103)</f>
        <v>0</v>
      </c>
      <c r="L10" s="251" t="n">
        <f aca="false">CHOOSE(Premissas!$B$6,Cenários!L11,Cenários!L57,Cenários!L103)</f>
        <v>0</v>
      </c>
      <c r="M10" s="251" t="n">
        <f aca="false">CHOOSE(Premissas!$B$6,Cenários!M11,Cenários!M57,Cenários!M103)</f>
        <v>0</v>
      </c>
      <c r="N10" s="251" t="n">
        <f aca="false">CHOOSE(Premissas!$B$6,Cenários!N11,Cenários!N57,Cenários!N103)</f>
        <v>18100</v>
      </c>
      <c r="O10" s="251" t="n">
        <f aca="false">CHOOSE(Premissas!$B$6,Cenários!O11,Cenários!O57,Cenários!O103)</f>
        <v>43888.88</v>
      </c>
      <c r="P10" s="251" t="n">
        <f aca="false">CHOOSE(Premissas!$B$6,Cenários!P11,Cenários!P57,Cenários!P103)</f>
        <v>67738.436224</v>
      </c>
      <c r="Q10" s="251" t="n">
        <f aca="false">CHOOSE(Premissas!$B$6,Cenários!Q11,Cenários!Q57,Cenários!Q103)</f>
        <v>89794.5058199552</v>
      </c>
      <c r="R10" s="251" t="n">
        <f aca="false">CHOOSE(Premissas!$B$6,Cenários!R11,Cenários!R57,Cenários!R103)</f>
        <v>110191.958982295</v>
      </c>
      <c r="S10" s="251" t="n">
        <f aca="false">CHOOSE(Premissas!$B$6,Cenários!S11,Cenários!S57,Cenários!S103)</f>
        <v>129055.523666826</v>
      </c>
      <c r="T10" s="251" t="n">
        <f aca="false">CHOOSE(Premissas!$B$6,Cenários!T11,Cenários!T57,Cenários!T103)</f>
        <v>146500.548287081</v>
      </c>
      <c r="U10" s="251" t="n">
        <f aca="false">CHOOSE(Premissas!$B$6,Cenários!U11,Cenários!U57,Cenários!U103)</f>
        <v>162633.707055892</v>
      </c>
      <c r="V10" s="251" t="n">
        <f aca="false">CHOOSE(Premissas!$B$6,Cenários!V11,Cenários!V57,Cenários!V103)</f>
        <v>177553.652285289</v>
      </c>
      <c r="W10" s="251" t="n">
        <f aca="false">CHOOSE(Premissas!$B$6,Cenários!W11,Cenários!W57,Cenários!W103)</f>
        <v>191351.617633435</v>
      </c>
      <c r="X10" s="251" t="n">
        <f aca="false">CHOOSE(Premissas!$B$6,Cenários!X11,Cenários!X57,Cenários!X103)</f>
        <v>204111.975987401</v>
      </c>
      <c r="Y10" s="251" t="n">
        <f aca="false">CHOOSE(Premissas!$B$6,Cenários!Y11,Cenários!Y57,Cenários!Y103)</f>
        <v>215912.755393149</v>
      </c>
      <c r="Z10" s="251" t="n">
        <f aca="false">CHOOSE(Premissas!$B$6,Cenários!Z11,Cenários!Z57,Cenários!Z103)</f>
        <v>226826.116187584</v>
      </c>
      <c r="AA10" s="251" t="n">
        <f aca="false">CHOOSE(Premissas!$B$6,Cenários!AA11,Cenários!AA57,Cenários!AA103)</f>
        <v>251517.231686516</v>
      </c>
      <c r="AB10" s="251" t="n">
        <f aca="false">CHOOSE(Premissas!$B$6,Cenários!AB11,Cenários!AB57,Cenários!AB103)</f>
        <v>274462.981613059</v>
      </c>
      <c r="AC10" s="251" t="n">
        <f aca="false">CHOOSE(Premissas!$B$6,Cenários!AC11,Cenários!AC57,Cenários!AC103)</f>
        <v>295786.742368795</v>
      </c>
      <c r="AD10" s="251" t="n">
        <f aca="false">CHOOSE(Premissas!$B$6,Cenários!AD11,Cenários!AD57,Cenários!AD103)</f>
        <v>315603.16912423</v>
      </c>
      <c r="AE10" s="251" t="n">
        <f aca="false">CHOOSE(Premissas!$B$6,Cenários!AE11,Cenários!AE57,Cenários!AE103)</f>
        <v>334018.812305176</v>
      </c>
      <c r="AF10" s="251" t="n">
        <f aca="false">CHOOSE(Premissas!$B$6,Cenários!AF11,Cenários!AF57,Cenários!AF103)</f>
        <v>351132.690500948</v>
      </c>
      <c r="AG10" s="251" t="n">
        <f aca="false">CHOOSE(Premissas!$B$6,Cenários!AG11,Cenários!AG57,Cenários!AG103)</f>
        <v>367036.822874817</v>
      </c>
      <c r="AH10" s="251" t="n">
        <f aca="false">CHOOSE(Premissas!$B$6,Cenários!AH11,Cenários!AH57,Cenários!AH103)</f>
        <v>381816.723939442</v>
      </c>
      <c r="AI10" s="251" t="n">
        <f aca="false">CHOOSE(Premissas!$B$6,Cenários!AI11,Cenários!AI57,Cenários!AI103)</f>
        <v>395551.863357611</v>
      </c>
      <c r="AJ10" s="251" t="n">
        <f aca="false">CHOOSE(Premissas!$B$6,Cenários!AJ11,Cenários!AJ57,Cenários!AJ103)</f>
        <v>408316.093240588</v>
      </c>
      <c r="AK10" s="251" t="n">
        <f aca="false">CHOOSE(Premissas!$B$6,Cenários!AK11,Cenários!AK57,Cenários!AK103)</f>
        <v>420178.045241597</v>
      </c>
      <c r="AL10" s="251" t="n">
        <f aca="false">CHOOSE(Premissas!$B$6,Cenários!AL11,Cenários!AL57,Cenários!AL103)</f>
        <v>431201.499579559</v>
      </c>
      <c r="AM10" s="251" t="n">
        <f aca="false">CHOOSE(Premissas!$B$6,Cenários!AM11,Cenários!AM57,Cenários!AM103)</f>
        <v>463637.074273416</v>
      </c>
      <c r="AN10" s="251" t="n">
        <f aca="false">CHOOSE(Premissas!$B$6,Cenários!AN11,Cenários!AN57,Cenários!AN103)</f>
        <v>493917.411417551</v>
      </c>
      <c r="AO10" s="251" t="n">
        <f aca="false">CHOOSE(Premissas!$B$6,Cenários!AO11,Cenários!AO57,Cenários!AO103)</f>
        <v>522185.719477964</v>
      </c>
      <c r="AP10" s="251" t="n">
        <f aca="false">CHOOSE(Premissas!$B$6,Cenários!AP11,Cenários!AP57,Cenários!AP103)</f>
        <v>548575.691187814</v>
      </c>
      <c r="AQ10" s="251" t="n">
        <f aca="false">CHOOSE(Premissas!$B$6,Cenários!AQ11,Cenários!AQ57,Cenários!AQ103)</f>
        <v>573212.135836651</v>
      </c>
      <c r="AR10" s="251" t="n">
        <f aca="false">CHOOSE(Premissas!$B$6,Cenários!AR11,Cenários!AR57,Cenários!AR103)</f>
        <v>596211.569546111</v>
      </c>
      <c r="AS10" s="251" t="n">
        <f aca="false">CHOOSE(Premissas!$B$6,Cenários!AS11,Cenários!AS57,Cenários!AS103)</f>
        <v>617682.76632372</v>
      </c>
      <c r="AT10" s="251" t="n">
        <f aca="false">CHOOSE(Premissas!$B$6,Cenários!AT11,Cenários!AT57,Cenários!AT103)</f>
        <v>637727.272500982</v>
      </c>
      <c r="AU10" s="251" t="n">
        <f aca="false">CHOOSE(Premissas!$B$6,Cenários!AU11,Cenários!AU57,Cenários!AU103)</f>
        <v>656439.886988746</v>
      </c>
      <c r="AV10" s="251" t="n">
        <f aca="false">CHOOSE(Premissas!$B$6,Cenários!AV11,Cenários!AV57,Cenários!AV103)</f>
        <v>673909.109621173</v>
      </c>
      <c r="AW10" s="251" t="n">
        <f aca="false">CHOOSE(Premissas!$B$6,Cenários!AW11,Cenários!AW57,Cenários!AW103)</f>
        <v>690217.559708725</v>
      </c>
      <c r="AX10" s="251" t="n">
        <f aca="false">CHOOSE(Premissas!$B$6,Cenários!AX11,Cenários!AX57,Cenários!AX103)</f>
        <v>705442.366779677</v>
      </c>
      <c r="AY10" s="251" t="n">
        <f aca="false">CHOOSE(Premissas!$B$6,Cenários!AY11,Cenários!AY57,Cenários!AY103)</f>
        <v>753011.745243423</v>
      </c>
      <c r="AZ10" s="251" t="n">
        <f aca="false">CHOOSE(Premissas!$B$6,Cenários!AZ11,Cenários!AZ57,Cenários!AZ103)</f>
        <v>797609.944286096</v>
      </c>
      <c r="BA10" s="251" t="n">
        <f aca="false">CHOOSE(Premissas!$B$6,Cenários!BA11,Cenários!BA57,Cenários!BA103)</f>
        <v>839422.543527134</v>
      </c>
      <c r="BB10" s="251" t="n">
        <f aca="false">CHOOSE(Premissas!$B$6,Cenários!BB11,Cenários!BB57,Cenários!BB103)</f>
        <v>878623.531298385</v>
      </c>
      <c r="BC10" s="251" t="n">
        <f aca="false">CHOOSE(Premissas!$B$6,Cenários!BC11,Cenários!BC57,Cenários!BC103)</f>
        <v>915376.028634965</v>
      </c>
      <c r="BD10" s="251" t="n">
        <f aca="false">CHOOSE(Premissas!$B$6,Cenários!BD11,Cenários!BD57,Cenários!BD103)</f>
        <v>949832.968045711</v>
      </c>
      <c r="BE10" s="251" t="n">
        <f aca="false">CHOOSE(Premissas!$B$6,Cenários!BE11,Cenários!BE57,Cenários!BE103)</f>
        <v>982137.729887679</v>
      </c>
      <c r="BF10" s="251" t="n">
        <f aca="false">CHOOSE(Premissas!$B$6,Cenários!BF11,Cenários!BF57,Cenários!BF103)</f>
        <v>1012424.73899275</v>
      </c>
      <c r="BG10" s="251" t="n">
        <f aca="false">CHOOSE(Premissas!$B$6,Cenários!BG11,Cenários!BG57,Cenários!BG103)</f>
        <v>1040820.024029</v>
      </c>
      <c r="BH10" s="251" t="n">
        <f aca="false">CHOOSE(Premissas!$B$6,Cenários!BH11,Cenários!BH57,Cenários!BH103)</f>
        <v>1067441.74192438</v>
      </c>
      <c r="BI10" s="251" t="n">
        <f aca="false">CHOOSE(Premissas!$B$6,Cenários!BI11,Cenários!BI57,Cenários!BI103)</f>
        <v>1092400.66953493</v>
      </c>
      <c r="BJ10" s="202" t="n">
        <f aca="false">BI10</f>
        <v>1092400.66953493</v>
      </c>
      <c r="BK10" s="51" t="s">
        <v>713</v>
      </c>
    </row>
    <row r="11" customFormat="false" ht="15" hidden="false" customHeight="true" outlineLevel="0" collapsed="false">
      <c r="A11" s="49" t="s">
        <v>714</v>
      </c>
      <c r="B11" s="251" t="n">
        <f aca="false">CHOOSE(Premissas!$B$6,Cenários!B12,Cenários!B58,Cenários!B104)</f>
        <v>-0</v>
      </c>
      <c r="C11" s="251" t="n">
        <f aca="false">CHOOSE(Premissas!$B$6,Cenários!C12,Cenários!C58,Cenários!C104)</f>
        <v>-0</v>
      </c>
      <c r="D11" s="251" t="n">
        <f aca="false">CHOOSE(Premissas!$B$6,Cenários!D12,Cenários!D58,Cenários!D104)</f>
        <v>-0</v>
      </c>
      <c r="E11" s="251" t="n">
        <f aca="false">CHOOSE(Premissas!$B$6,Cenários!E12,Cenários!E58,Cenários!E104)</f>
        <v>-0</v>
      </c>
      <c r="F11" s="251" t="n">
        <f aca="false">CHOOSE(Premissas!$B$6,Cenários!F12,Cenários!F58,Cenários!F104)</f>
        <v>-0</v>
      </c>
      <c r="G11" s="251" t="n">
        <f aca="false">CHOOSE(Premissas!$B$6,Cenários!G12,Cenários!G58,Cenários!G104)</f>
        <v>-0</v>
      </c>
      <c r="H11" s="251" t="n">
        <f aca="false">CHOOSE(Premissas!$B$6,Cenários!H12,Cenários!H58,Cenários!H104)</f>
        <v>-0</v>
      </c>
      <c r="I11" s="251" t="n">
        <f aca="false">CHOOSE(Premissas!$B$6,Cenários!I12,Cenários!I58,Cenários!I104)</f>
        <v>-0</v>
      </c>
      <c r="J11" s="251" t="n">
        <f aca="false">CHOOSE(Premissas!$B$6,Cenários!J12,Cenários!J58,Cenários!J104)</f>
        <v>-0</v>
      </c>
      <c r="K11" s="251" t="n">
        <f aca="false">CHOOSE(Premissas!$B$6,Cenários!K12,Cenários!K58,Cenários!K104)</f>
        <v>-0</v>
      </c>
      <c r="L11" s="251" t="n">
        <f aca="false">CHOOSE(Premissas!$B$6,Cenários!L12,Cenários!L58,Cenários!L104)</f>
        <v>-0</v>
      </c>
      <c r="M11" s="251" t="n">
        <f aca="false">CHOOSE(Premissas!$B$6,Cenários!M12,Cenários!M58,Cenários!M104)</f>
        <v>-0</v>
      </c>
      <c r="N11" s="251" t="n">
        <f aca="false">CHOOSE(Premissas!$B$6,Cenários!N12,Cenários!N58,Cenários!N104)</f>
        <v>-1361.12</v>
      </c>
      <c r="O11" s="251" t="n">
        <f aca="false">CHOOSE(Premissas!$B$6,Cenários!O12,Cenários!O58,Cenários!O104)</f>
        <v>-3300.443776</v>
      </c>
      <c r="P11" s="251" t="n">
        <f aca="false">CHOOSE(Premissas!$B$6,Cenários!P12,Cenários!P58,Cenários!P104)</f>
        <v>-5093.9304040448</v>
      </c>
      <c r="Q11" s="251" t="n">
        <f aca="false">CHOOSE(Premissas!$B$6,Cenários!Q12,Cenários!Q58,Cenários!Q104)</f>
        <v>-6752.54683766063</v>
      </c>
      <c r="R11" s="251" t="n">
        <f aca="false">CHOOSE(Premissas!$B$6,Cenários!R12,Cenários!R58,Cenários!R104)</f>
        <v>-8286.43531546855</v>
      </c>
      <c r="S11" s="251" t="n">
        <f aca="false">CHOOSE(Premissas!$B$6,Cenários!S12,Cenários!S58,Cenários!S104)</f>
        <v>-9704.97537974532</v>
      </c>
      <c r="T11" s="251" t="n">
        <f aca="false">CHOOSE(Premissas!$B$6,Cenários!T12,Cenários!T58,Cenários!T104)</f>
        <v>-11016.8412311885</v>
      </c>
      <c r="U11" s="251" t="n">
        <f aca="false">CHOOSE(Premissas!$B$6,Cenários!U12,Cenários!U58,Cenários!U104)</f>
        <v>-12230.0547706031</v>
      </c>
      <c r="V11" s="251" t="n">
        <f aca="false">CHOOSE(Premissas!$B$6,Cenários!V12,Cenários!V58,Cenários!V104)</f>
        <v>-13352.0346518537</v>
      </c>
      <c r="W11" s="251" t="n">
        <f aca="false">CHOOSE(Premissas!$B$6,Cenários!W12,Cenários!W58,Cenários!W104)</f>
        <v>-14389.6416460343</v>
      </c>
      <c r="X11" s="251" t="n">
        <f aca="false">CHOOSE(Premissas!$B$6,Cenários!X12,Cenários!X58,Cenários!X104)</f>
        <v>-15349.2205942526</v>
      </c>
      <c r="Y11" s="251" t="n">
        <f aca="false">CHOOSE(Premissas!$B$6,Cenários!Y12,Cenários!Y58,Cenários!Y104)</f>
        <v>-16236.6392055648</v>
      </c>
      <c r="Z11" s="251" t="n">
        <f aca="false">CHOOSE(Premissas!$B$6,Cenários!Z12,Cenários!Z58,Cenários!Z104)</f>
        <v>-16033.8845010679</v>
      </c>
      <c r="AA11" s="251" t="n">
        <f aca="false">CHOOSE(Premissas!$B$6,Cenários!AA12,Cenários!AA58,Cenários!AA104)</f>
        <v>-17779.2500734564</v>
      </c>
      <c r="AB11" s="251" t="n">
        <f aca="false">CHOOSE(Premissas!$B$6,Cenários!AB12,Cenários!AB58,Cenários!AB104)</f>
        <v>-19401.2392442639</v>
      </c>
      <c r="AC11" s="251" t="n">
        <f aca="false">CHOOSE(Premissas!$B$6,Cenários!AC12,Cenários!AC58,Cenários!AC104)</f>
        <v>-20908.5732445654</v>
      </c>
      <c r="AD11" s="251" t="n">
        <f aca="false">CHOOSE(Premissas!$B$6,Cenários!AD12,Cenários!AD58,Cenários!AD104)</f>
        <v>-22309.3568190536</v>
      </c>
      <c r="AE11" s="251" t="n">
        <f aca="false">CHOOSE(Premissas!$B$6,Cenários!AE12,Cenários!AE58,Cenários!AE104)</f>
        <v>-23611.1218042283</v>
      </c>
      <c r="AF11" s="251" t="n">
        <f aca="false">CHOOSE(Premissas!$B$6,Cenários!AF12,Cenários!AF58,Cenários!AF104)</f>
        <v>-24820.867626131</v>
      </c>
      <c r="AG11" s="251" t="n">
        <f aca="false">CHOOSE(Premissas!$B$6,Cenários!AG12,Cenários!AG58,Cenários!AG104)</f>
        <v>-25945.0989353751</v>
      </c>
      <c r="AH11" s="251" t="n">
        <f aca="false">CHOOSE(Premissas!$B$6,Cenários!AH12,Cenários!AH58,Cenários!AH104)</f>
        <v>-26989.8605818313</v>
      </c>
      <c r="AI11" s="251" t="n">
        <f aca="false">CHOOSE(Premissas!$B$6,Cenários!AI12,Cenários!AI58,Cenários!AI104)</f>
        <v>-27960.7701170228</v>
      </c>
      <c r="AJ11" s="251" t="n">
        <f aca="false">CHOOSE(Premissas!$B$6,Cenários!AJ12,Cenários!AJ58,Cenários!AJ104)</f>
        <v>-28863.0479989907</v>
      </c>
      <c r="AK11" s="251" t="n">
        <f aca="false">CHOOSE(Premissas!$B$6,Cenários!AK12,Cenários!AK58,Cenários!AK104)</f>
        <v>-29701.545662038</v>
      </c>
      <c r="AL11" s="251" t="n">
        <f aca="false">CHOOSE(Premissas!$B$6,Cenários!AL12,Cenários!AL58,Cenários!AL104)</f>
        <v>-28651.9253061431</v>
      </c>
      <c r="AM11" s="251" t="n">
        <f aca="false">CHOOSE(Premissas!$B$6,Cenários!AM12,Cenários!AM58,Cenários!AM104)</f>
        <v>-30807.1628558649</v>
      </c>
      <c r="AN11" s="251" t="n">
        <f aca="false">CHOOSE(Premissas!$B$6,Cenários!AN12,Cenários!AN58,Cenários!AN104)</f>
        <v>-32819.1919395868</v>
      </c>
      <c r="AO11" s="251" t="n">
        <f aca="false">CHOOSE(Premissas!$B$6,Cenários!AO12,Cenários!AO58,Cenários!AO104)</f>
        <v>-34697.5282901509</v>
      </c>
      <c r="AP11" s="251" t="n">
        <f aca="false">CHOOSE(Premissas!$B$6,Cenários!AP12,Cenários!AP58,Cenários!AP104)</f>
        <v>-36451.0553511631</v>
      </c>
      <c r="AQ11" s="251" t="n">
        <f aca="false">CHOOSE(Premissas!$B$6,Cenários!AQ12,Cenários!AQ58,Cenários!AQ104)</f>
        <v>-38088.0662905399</v>
      </c>
      <c r="AR11" s="251" t="n">
        <f aca="false">CHOOSE(Premissas!$B$6,Cenários!AR12,Cenários!AR58,Cenários!AR104)</f>
        <v>-39616.3032223909</v>
      </c>
      <c r="AS11" s="251" t="n">
        <f aca="false">CHOOSE(Premissas!$B$6,Cenários!AS12,Cenários!AS58,Cenários!AS104)</f>
        <v>-41042.9938227376</v>
      </c>
      <c r="AT11" s="251" t="n">
        <f aca="false">CHOOSE(Premissas!$B$6,Cenários!AT12,Cenários!AT58,Cenários!AT104)</f>
        <v>-42374.8855122365</v>
      </c>
      <c r="AU11" s="251" t="n">
        <f aca="false">CHOOSE(Premissas!$B$6,Cenários!AU12,Cenários!AU58,Cenários!AU104)</f>
        <v>-43618.2773675728</v>
      </c>
      <c r="AV11" s="251" t="n">
        <f aca="false">CHOOSE(Premissas!$B$6,Cenários!AV12,Cenários!AV58,Cenários!AV104)</f>
        <v>-44779.0499124474</v>
      </c>
      <c r="AW11" s="251" t="n">
        <f aca="false">CHOOSE(Premissas!$B$6,Cenários!AW12,Cenários!AW58,Cenários!AW104)</f>
        <v>-45862.692929049</v>
      </c>
      <c r="AX11" s="251" t="n">
        <f aca="false">CHOOSE(Premissas!$B$6,Cenários!AX12,Cenários!AX58,Cenários!AX104)</f>
        <v>-44061.8715362537</v>
      </c>
      <c r="AY11" s="251" t="n">
        <f aca="false">CHOOSE(Premissas!$B$6,Cenários!AY12,Cenários!AY58,Cenários!AY104)</f>
        <v>-47033.050957327</v>
      </c>
      <c r="AZ11" s="251" t="n">
        <f aca="false">CHOOSE(Premissas!$B$6,Cenários!AZ12,Cenários!AZ58,Cenários!AZ104)</f>
        <v>-49818.6507589622</v>
      </c>
      <c r="BA11" s="251" t="n">
        <f aca="false">CHOOSE(Premissas!$B$6,Cenários!BA12,Cenários!BA58,Cenários!BA104)</f>
        <v>-52430.2622287491</v>
      </c>
      <c r="BB11" s="251" t="n">
        <f aca="false">CHOOSE(Premissas!$B$6,Cenários!BB12,Cenários!BB58,Cenários!BB104)</f>
        <v>-54878.7526634193</v>
      </c>
      <c r="BC11" s="251" t="n">
        <f aca="false">CHOOSE(Premissas!$B$6,Cenários!BC12,Cenários!BC58,Cenários!BC104)</f>
        <v>-57174.3105892543</v>
      </c>
      <c r="BD11" s="251" t="n">
        <f aca="false">CHOOSE(Premissas!$B$6,Cenários!BD12,Cenários!BD58,Cenários!BD104)</f>
        <v>-59326.4881580322</v>
      </c>
      <c r="BE11" s="251" t="n">
        <f aca="false">CHOOSE(Premissas!$B$6,Cenários!BE12,Cenários!BE58,Cenários!BE104)</f>
        <v>-61344.2408949253</v>
      </c>
      <c r="BF11" s="251" t="n">
        <f aca="false">CHOOSE(Premissas!$B$6,Cenários!BF12,Cenários!BF58,Cenários!BF104)</f>
        <v>-63235.9649637491</v>
      </c>
      <c r="BG11" s="251" t="n">
        <f aca="false">CHOOSE(Premissas!$B$6,Cenários!BG12,Cenários!BG58,Cenários!BG104)</f>
        <v>-65009.5321046256</v>
      </c>
      <c r="BH11" s="251" t="n">
        <f aca="false">CHOOSE(Premissas!$B$6,Cenários!BH12,Cenários!BH58,Cenários!BH104)</f>
        <v>-66672.3223894438</v>
      </c>
      <c r="BI11" s="251" t="n">
        <f aca="false">CHOOSE(Premissas!$B$6,Cenários!BI12,Cenários!BI58,Cenários!BI104)</f>
        <v>-68231.2549314163</v>
      </c>
      <c r="BJ11" s="202" t="n">
        <f aca="false">SUM(B11:BI11)</f>
        <v>-1549424.33539648</v>
      </c>
    </row>
    <row r="12" customFormat="false" ht="15" hidden="false" customHeight="true" outlineLevel="0" collapsed="false">
      <c r="A12" s="53" t="s">
        <v>715</v>
      </c>
      <c r="B12" s="252" t="n">
        <f aca="false">CHOOSE(Premissas!$B$6,Cenários!B13,Cenários!B59,Cenários!B105)</f>
        <v>0</v>
      </c>
      <c r="C12" s="252" t="n">
        <f aca="false">CHOOSE(Premissas!$B$6,Cenários!C13,Cenários!C59,Cenários!C105)</f>
        <v>0</v>
      </c>
      <c r="D12" s="252" t="n">
        <f aca="false">CHOOSE(Premissas!$B$6,Cenários!D13,Cenários!D59,Cenários!D105)</f>
        <v>0</v>
      </c>
      <c r="E12" s="252" t="n">
        <f aca="false">CHOOSE(Premissas!$B$6,Cenários!E13,Cenários!E59,Cenários!E105)</f>
        <v>0</v>
      </c>
      <c r="F12" s="252" t="n">
        <f aca="false">CHOOSE(Premissas!$B$6,Cenários!F13,Cenários!F59,Cenários!F105)</f>
        <v>0</v>
      </c>
      <c r="G12" s="252" t="n">
        <f aca="false">CHOOSE(Premissas!$B$6,Cenários!G13,Cenários!G59,Cenários!G105)</f>
        <v>0</v>
      </c>
      <c r="H12" s="252" t="n">
        <f aca="false">CHOOSE(Premissas!$B$6,Cenários!H13,Cenários!H59,Cenários!H105)</f>
        <v>0</v>
      </c>
      <c r="I12" s="252" t="n">
        <f aca="false">CHOOSE(Premissas!$B$6,Cenários!I13,Cenários!I59,Cenários!I105)</f>
        <v>0</v>
      </c>
      <c r="J12" s="252" t="n">
        <f aca="false">CHOOSE(Premissas!$B$6,Cenários!J13,Cenários!J59,Cenários!J105)</f>
        <v>0</v>
      </c>
      <c r="K12" s="252" t="n">
        <f aca="false">CHOOSE(Premissas!$B$6,Cenários!K13,Cenários!K59,Cenários!K105)</f>
        <v>0</v>
      </c>
      <c r="L12" s="252" t="n">
        <f aca="false">CHOOSE(Premissas!$B$6,Cenários!L13,Cenários!L59,Cenários!L105)</f>
        <v>0</v>
      </c>
      <c r="M12" s="252" t="n">
        <f aca="false">CHOOSE(Premissas!$B$6,Cenários!M13,Cenários!M59,Cenários!M105)</f>
        <v>18100</v>
      </c>
      <c r="N12" s="252" t="n">
        <f aca="false">CHOOSE(Premissas!$B$6,Cenários!N13,Cenários!N59,Cenários!N105)</f>
        <v>43888.88</v>
      </c>
      <c r="O12" s="252" t="n">
        <f aca="false">CHOOSE(Premissas!$B$6,Cenários!O13,Cenários!O59,Cenários!O105)</f>
        <v>67738.436224</v>
      </c>
      <c r="P12" s="252" t="n">
        <f aca="false">CHOOSE(Premissas!$B$6,Cenários!P13,Cenários!P59,Cenários!P105)</f>
        <v>89794.5058199552</v>
      </c>
      <c r="Q12" s="252" t="n">
        <f aca="false">CHOOSE(Premissas!$B$6,Cenários!Q13,Cenários!Q59,Cenários!Q105)</f>
        <v>110191.958982295</v>
      </c>
      <c r="R12" s="252" t="n">
        <f aca="false">CHOOSE(Premissas!$B$6,Cenários!R13,Cenários!R59,Cenários!R105)</f>
        <v>129055.523666826</v>
      </c>
      <c r="S12" s="252" t="n">
        <f aca="false">CHOOSE(Premissas!$B$6,Cenários!S13,Cenários!S59,Cenários!S105)</f>
        <v>146500.548287081</v>
      </c>
      <c r="T12" s="252" t="n">
        <f aca="false">CHOOSE(Premissas!$B$6,Cenários!T13,Cenários!T59,Cenários!T105)</f>
        <v>162633.707055892</v>
      </c>
      <c r="U12" s="252" t="n">
        <f aca="false">CHOOSE(Premissas!$B$6,Cenários!U13,Cenários!U59,Cenários!U105)</f>
        <v>177553.652285289</v>
      </c>
      <c r="V12" s="252" t="n">
        <f aca="false">CHOOSE(Premissas!$B$6,Cenários!V13,Cenários!V59,Cenários!V105)</f>
        <v>191351.617633435</v>
      </c>
      <c r="W12" s="252" t="n">
        <f aca="false">CHOOSE(Premissas!$B$6,Cenários!W13,Cenários!W59,Cenários!W105)</f>
        <v>204111.975987401</v>
      </c>
      <c r="X12" s="252" t="n">
        <f aca="false">CHOOSE(Premissas!$B$6,Cenários!X13,Cenários!X59,Cenários!X105)</f>
        <v>215912.755393149</v>
      </c>
      <c r="Y12" s="252" t="n">
        <f aca="false">CHOOSE(Premissas!$B$6,Cenários!Y13,Cenários!Y59,Cenários!Y105)</f>
        <v>226826.116187584</v>
      </c>
      <c r="Z12" s="252" t="n">
        <f aca="false">CHOOSE(Premissas!$B$6,Cenários!Z13,Cenários!Z59,Cenários!Z105)</f>
        <v>251517.231686516</v>
      </c>
      <c r="AA12" s="252" t="n">
        <f aca="false">CHOOSE(Premissas!$B$6,Cenários!AA13,Cenários!AA59,Cenários!AA105)</f>
        <v>274462.981613059</v>
      </c>
      <c r="AB12" s="252" t="n">
        <f aca="false">CHOOSE(Premissas!$B$6,Cenários!AB13,Cenários!AB59,Cenários!AB105)</f>
        <v>295786.742368795</v>
      </c>
      <c r="AC12" s="252" t="n">
        <f aca="false">CHOOSE(Premissas!$B$6,Cenários!AC13,Cenários!AC59,Cenários!AC105)</f>
        <v>315603.16912423</v>
      </c>
      <c r="AD12" s="252" t="n">
        <f aca="false">CHOOSE(Premissas!$B$6,Cenários!AD13,Cenários!AD59,Cenários!AD105)</f>
        <v>334018.812305176</v>
      </c>
      <c r="AE12" s="252" t="n">
        <f aca="false">CHOOSE(Premissas!$B$6,Cenários!AE13,Cenários!AE59,Cenários!AE105)</f>
        <v>351132.690500948</v>
      </c>
      <c r="AF12" s="252" t="n">
        <f aca="false">CHOOSE(Premissas!$B$6,Cenários!AF13,Cenários!AF59,Cenários!AF105)</f>
        <v>367036.822874817</v>
      </c>
      <c r="AG12" s="252" t="n">
        <f aca="false">CHOOSE(Premissas!$B$6,Cenários!AG13,Cenários!AG59,Cenários!AG105)</f>
        <v>381816.723939442</v>
      </c>
      <c r="AH12" s="252" t="n">
        <f aca="false">CHOOSE(Premissas!$B$6,Cenários!AH13,Cenários!AH59,Cenários!AH105)</f>
        <v>395551.863357611</v>
      </c>
      <c r="AI12" s="252" t="n">
        <f aca="false">CHOOSE(Premissas!$B$6,Cenários!AI13,Cenários!AI59,Cenários!AI105)</f>
        <v>408316.093240588</v>
      </c>
      <c r="AJ12" s="252" t="n">
        <f aca="false">CHOOSE(Premissas!$B$6,Cenários!AJ13,Cenários!AJ59,Cenários!AJ105)</f>
        <v>420178.045241597</v>
      </c>
      <c r="AK12" s="252" t="n">
        <f aca="false">CHOOSE(Premissas!$B$6,Cenários!AK13,Cenários!AK59,Cenários!AK105)</f>
        <v>431201.499579559</v>
      </c>
      <c r="AL12" s="252" t="n">
        <f aca="false">CHOOSE(Premissas!$B$6,Cenários!AL13,Cenários!AL59,Cenários!AL105)</f>
        <v>463637.074273416</v>
      </c>
      <c r="AM12" s="252" t="n">
        <f aca="false">CHOOSE(Premissas!$B$6,Cenários!AM13,Cenários!AM59,Cenários!AM105)</f>
        <v>493917.411417551</v>
      </c>
      <c r="AN12" s="252" t="n">
        <f aca="false">CHOOSE(Premissas!$B$6,Cenários!AN13,Cenários!AN59,Cenários!AN105)</f>
        <v>522185.719477964</v>
      </c>
      <c r="AO12" s="252" t="n">
        <f aca="false">CHOOSE(Premissas!$B$6,Cenários!AO13,Cenários!AO59,Cenários!AO105)</f>
        <v>548575.691187814</v>
      </c>
      <c r="AP12" s="252" t="n">
        <f aca="false">CHOOSE(Premissas!$B$6,Cenários!AP13,Cenários!AP59,Cenários!AP105)</f>
        <v>573212.135836651</v>
      </c>
      <c r="AQ12" s="252" t="n">
        <f aca="false">CHOOSE(Premissas!$B$6,Cenários!AQ13,Cenários!AQ59,Cenários!AQ105)</f>
        <v>596211.569546111</v>
      </c>
      <c r="AR12" s="252" t="n">
        <f aca="false">CHOOSE(Premissas!$B$6,Cenários!AR13,Cenários!AR59,Cenários!AR105)</f>
        <v>617682.76632372</v>
      </c>
      <c r="AS12" s="252" t="n">
        <f aca="false">CHOOSE(Premissas!$B$6,Cenários!AS13,Cenários!AS59,Cenários!AS105)</f>
        <v>637727.272500982</v>
      </c>
      <c r="AT12" s="252" t="n">
        <f aca="false">CHOOSE(Premissas!$B$6,Cenários!AT13,Cenários!AT59,Cenários!AT105)</f>
        <v>656439.886988746</v>
      </c>
      <c r="AU12" s="252" t="n">
        <f aca="false">CHOOSE(Premissas!$B$6,Cenários!AU13,Cenários!AU59,Cenários!AU105)</f>
        <v>673909.109621173</v>
      </c>
      <c r="AV12" s="252" t="n">
        <f aca="false">CHOOSE(Premissas!$B$6,Cenários!AV13,Cenários!AV59,Cenários!AV105)</f>
        <v>690217.559708725</v>
      </c>
      <c r="AW12" s="252" t="n">
        <f aca="false">CHOOSE(Premissas!$B$6,Cenários!AW13,Cenários!AW59,Cenários!AW105)</f>
        <v>705442.366779677</v>
      </c>
      <c r="AX12" s="252" t="n">
        <f aca="false">CHOOSE(Premissas!$B$6,Cenários!AX13,Cenários!AX59,Cenários!AX105)</f>
        <v>753011.745243423</v>
      </c>
      <c r="AY12" s="252" t="n">
        <f aca="false">CHOOSE(Premissas!$B$6,Cenários!AY13,Cenários!AY59,Cenários!AY105)</f>
        <v>797609.944286096</v>
      </c>
      <c r="AZ12" s="252" t="n">
        <f aca="false">CHOOSE(Premissas!$B$6,Cenários!AZ13,Cenários!AZ59,Cenários!AZ105)</f>
        <v>839422.543527134</v>
      </c>
      <c r="BA12" s="252" t="n">
        <f aca="false">CHOOSE(Premissas!$B$6,Cenários!BA13,Cenários!BA59,Cenários!BA105)</f>
        <v>878623.531298385</v>
      </c>
      <c r="BB12" s="252" t="n">
        <f aca="false">CHOOSE(Premissas!$B$6,Cenários!BB13,Cenários!BB59,Cenários!BB105)</f>
        <v>915376.028634965</v>
      </c>
      <c r="BC12" s="252" t="n">
        <f aca="false">CHOOSE(Premissas!$B$6,Cenários!BC13,Cenários!BC59,Cenários!BC105)</f>
        <v>949832.968045711</v>
      </c>
      <c r="BD12" s="252" t="n">
        <f aca="false">CHOOSE(Premissas!$B$6,Cenários!BD13,Cenários!BD59,Cenários!BD105)</f>
        <v>982137.729887679</v>
      </c>
      <c r="BE12" s="252" t="n">
        <f aca="false">CHOOSE(Premissas!$B$6,Cenários!BE13,Cenários!BE59,Cenários!BE105)</f>
        <v>1012424.73899275</v>
      </c>
      <c r="BF12" s="252" t="n">
        <f aca="false">CHOOSE(Premissas!$B$6,Cenários!BF13,Cenários!BF59,Cenários!BF105)</f>
        <v>1040820.024029</v>
      </c>
      <c r="BG12" s="252" t="n">
        <f aca="false">CHOOSE(Premissas!$B$6,Cenários!BG13,Cenários!BG59,Cenários!BG105)</f>
        <v>1067441.74192438</v>
      </c>
      <c r="BH12" s="252" t="n">
        <f aca="false">CHOOSE(Premissas!$B$6,Cenários!BH13,Cenários!BH59,Cenários!BH105)</f>
        <v>1092400.66953493</v>
      </c>
      <c r="BI12" s="252" t="n">
        <f aca="false">CHOOSE(Premissas!$B$6,Cenários!BI13,Cenários!BI59,Cenários!BI105)</f>
        <v>1115800.66460352</v>
      </c>
      <c r="BJ12" s="202" t="n">
        <f aca="false">BI12</f>
        <v>1115800.66460352</v>
      </c>
      <c r="BK12" s="51" t="s">
        <v>713</v>
      </c>
    </row>
    <row r="13" customFormat="false" ht="15" hidden="false" customHeight="true" outlineLevel="0" collapsed="false">
      <c r="A13" s="49" t="s">
        <v>716</v>
      </c>
      <c r="B13" s="253" t="n">
        <f aca="false">CHOOSE(Premissas!$B$6,Cenários!B14,Cenários!B60,Cenários!B106)</f>
        <v>0</v>
      </c>
      <c r="C13" s="253" t="n">
        <f aca="false">CHOOSE(Premissas!$B$6,Cenários!C14,Cenários!C60,Cenários!C106)</f>
        <v>0</v>
      </c>
      <c r="D13" s="253" t="n">
        <f aca="false">CHOOSE(Premissas!$B$6,Cenários!D14,Cenários!D60,Cenários!D106)</f>
        <v>0</v>
      </c>
      <c r="E13" s="253" t="n">
        <f aca="false">CHOOSE(Premissas!$B$6,Cenários!E14,Cenários!E60,Cenários!E106)</f>
        <v>0</v>
      </c>
      <c r="F13" s="253" t="n">
        <f aca="false">CHOOSE(Premissas!$B$6,Cenários!F14,Cenários!F60,Cenários!F106)</f>
        <v>0</v>
      </c>
      <c r="G13" s="253" t="n">
        <f aca="false">CHOOSE(Premissas!$B$6,Cenários!G14,Cenários!G60,Cenários!G106)</f>
        <v>0</v>
      </c>
      <c r="H13" s="253" t="n">
        <f aca="false">CHOOSE(Premissas!$B$6,Cenários!H14,Cenários!H60,Cenários!H106)</f>
        <v>0</v>
      </c>
      <c r="I13" s="253" t="n">
        <f aca="false">CHOOSE(Premissas!$B$6,Cenários!I14,Cenários!I60,Cenários!I106)</f>
        <v>0</v>
      </c>
      <c r="J13" s="253" t="n">
        <f aca="false">CHOOSE(Premissas!$B$6,Cenários!J14,Cenários!J60,Cenários!J106)</f>
        <v>0</v>
      </c>
      <c r="K13" s="253" t="n">
        <f aca="false">CHOOSE(Premissas!$B$6,Cenários!K14,Cenários!K60,Cenários!K106)</f>
        <v>0</v>
      </c>
      <c r="L13" s="253" t="n">
        <f aca="false">CHOOSE(Premissas!$B$6,Cenários!L14,Cenários!L60,Cenários!L106)</f>
        <v>0</v>
      </c>
      <c r="M13" s="253" t="n">
        <f aca="false">CHOOSE(Premissas!$B$6,Cenários!M14,Cenários!M60,Cenários!M106)</f>
        <v>0.005</v>
      </c>
      <c r="N13" s="253" t="n">
        <f aca="false">CHOOSE(Premissas!$B$6,Cenários!N14,Cenários!N60,Cenários!N106)</f>
        <v>0.0103</v>
      </c>
      <c r="O13" s="253" t="n">
        <f aca="false">CHOOSE(Premissas!$B$6,Cenários!O14,Cenários!O60,Cenários!O106)</f>
        <v>0.01545</v>
      </c>
      <c r="P13" s="253" t="n">
        <f aca="false">CHOOSE(Premissas!$B$6,Cenários!P14,Cenários!P60,Cenários!P106)</f>
        <v>0.0206</v>
      </c>
      <c r="Q13" s="253" t="n">
        <f aca="false">CHOOSE(Premissas!$B$6,Cenários!Q14,Cenários!Q60,Cenários!Q106)</f>
        <v>0.02575</v>
      </c>
      <c r="R13" s="253" t="n">
        <f aca="false">CHOOSE(Premissas!$B$6,Cenários!R14,Cenários!R60,Cenários!R106)</f>
        <v>0.0309</v>
      </c>
      <c r="S13" s="253" t="n">
        <f aca="false">CHOOSE(Premissas!$B$6,Cenários!S14,Cenários!S60,Cenários!S106)</f>
        <v>0.0309</v>
      </c>
      <c r="T13" s="253" t="n">
        <f aca="false">CHOOSE(Premissas!$B$6,Cenários!T14,Cenários!T60,Cenários!T106)</f>
        <v>0.0309</v>
      </c>
      <c r="U13" s="253" t="n">
        <f aca="false">CHOOSE(Premissas!$B$6,Cenários!U14,Cenários!U60,Cenários!U106)</f>
        <v>0.0309</v>
      </c>
      <c r="V13" s="253" t="n">
        <f aca="false">CHOOSE(Premissas!$B$6,Cenários!V14,Cenários!V60,Cenários!V106)</f>
        <v>0.0309</v>
      </c>
      <c r="W13" s="253" t="n">
        <f aca="false">CHOOSE(Premissas!$B$6,Cenários!W14,Cenários!W60,Cenários!W106)</f>
        <v>0.0309</v>
      </c>
      <c r="X13" s="253" t="n">
        <f aca="false">CHOOSE(Premissas!$B$6,Cenários!X14,Cenários!X60,Cenários!X106)</f>
        <v>0.0309</v>
      </c>
      <c r="Y13" s="253" t="n">
        <f aca="false">CHOOSE(Premissas!$B$6,Cenários!Y14,Cenários!Y60,Cenários!Y106)</f>
        <v>0.0309</v>
      </c>
      <c r="Z13" s="253" t="n">
        <f aca="false">CHOOSE(Premissas!$B$6,Cenários!Z14,Cenários!Z60,Cenários!Z106)</f>
        <v>0.031827</v>
      </c>
      <c r="AA13" s="253" t="n">
        <f aca="false">CHOOSE(Premissas!$B$6,Cenários!AA14,Cenários!AA60,Cenários!AA106)</f>
        <v>0.031827</v>
      </c>
      <c r="AB13" s="253" t="n">
        <f aca="false">CHOOSE(Premissas!$B$6,Cenários!AB14,Cenários!AB60,Cenários!AB106)</f>
        <v>0.031827</v>
      </c>
      <c r="AC13" s="253" t="n">
        <f aca="false">CHOOSE(Premissas!$B$6,Cenários!AC14,Cenários!AC60,Cenários!AC106)</f>
        <v>0.031827</v>
      </c>
      <c r="AD13" s="253" t="n">
        <f aca="false">CHOOSE(Premissas!$B$6,Cenários!AD14,Cenários!AD60,Cenários!AD106)</f>
        <v>0.031827</v>
      </c>
      <c r="AE13" s="253" t="n">
        <f aca="false">CHOOSE(Premissas!$B$6,Cenários!AE14,Cenários!AE60,Cenários!AE106)</f>
        <v>0.031827</v>
      </c>
      <c r="AF13" s="253" t="n">
        <f aca="false">CHOOSE(Premissas!$B$6,Cenários!AF14,Cenários!AF60,Cenários!AF106)</f>
        <v>0.031827</v>
      </c>
      <c r="AG13" s="253" t="n">
        <f aca="false">CHOOSE(Premissas!$B$6,Cenários!AG14,Cenários!AG60,Cenários!AG106)</f>
        <v>0.031827</v>
      </c>
      <c r="AH13" s="253" t="n">
        <f aca="false">CHOOSE(Premissas!$B$6,Cenários!AH14,Cenários!AH60,Cenários!AH106)</f>
        <v>0.031827</v>
      </c>
      <c r="AI13" s="253" t="n">
        <f aca="false">CHOOSE(Premissas!$B$6,Cenários!AI14,Cenários!AI60,Cenários!AI106)</f>
        <v>0.031827</v>
      </c>
      <c r="AJ13" s="253" t="n">
        <f aca="false">CHOOSE(Premissas!$B$6,Cenários!AJ14,Cenários!AJ60,Cenários!AJ106)</f>
        <v>0.031827</v>
      </c>
      <c r="AK13" s="253" t="n">
        <f aca="false">CHOOSE(Premissas!$B$6,Cenários!AK14,Cenários!AK60,Cenários!AK106)</f>
        <v>0.031827</v>
      </c>
      <c r="AL13" s="253" t="n">
        <f aca="false">CHOOSE(Premissas!$B$6,Cenários!AL14,Cenários!AL60,Cenários!AL106)</f>
        <v>0.03278181</v>
      </c>
      <c r="AM13" s="253" t="n">
        <f aca="false">CHOOSE(Premissas!$B$6,Cenários!AM14,Cenários!AM60,Cenários!AM106)</f>
        <v>0.03278181</v>
      </c>
      <c r="AN13" s="253" t="n">
        <f aca="false">CHOOSE(Premissas!$B$6,Cenários!AN14,Cenários!AN60,Cenários!AN106)</f>
        <v>0.03278181</v>
      </c>
      <c r="AO13" s="253" t="n">
        <f aca="false">CHOOSE(Premissas!$B$6,Cenários!AO14,Cenários!AO60,Cenários!AO106)</f>
        <v>0.03278181</v>
      </c>
      <c r="AP13" s="253" t="n">
        <f aca="false">CHOOSE(Premissas!$B$6,Cenários!AP14,Cenários!AP60,Cenários!AP106)</f>
        <v>0.03278181</v>
      </c>
      <c r="AQ13" s="253" t="n">
        <f aca="false">CHOOSE(Premissas!$B$6,Cenários!AQ14,Cenários!AQ60,Cenários!AQ106)</f>
        <v>0.03278181</v>
      </c>
      <c r="AR13" s="253" t="n">
        <f aca="false">CHOOSE(Premissas!$B$6,Cenários!AR14,Cenários!AR60,Cenários!AR106)</f>
        <v>0.03278181</v>
      </c>
      <c r="AS13" s="253" t="n">
        <f aca="false">CHOOSE(Premissas!$B$6,Cenários!AS14,Cenários!AS60,Cenários!AS106)</f>
        <v>0.03278181</v>
      </c>
      <c r="AT13" s="253" t="n">
        <f aca="false">CHOOSE(Premissas!$B$6,Cenários!AT14,Cenários!AT60,Cenários!AT106)</f>
        <v>0.03278181</v>
      </c>
      <c r="AU13" s="253" t="n">
        <f aca="false">CHOOSE(Premissas!$B$6,Cenários!AU14,Cenários!AU60,Cenários!AU106)</f>
        <v>0.03278181</v>
      </c>
      <c r="AV13" s="253" t="n">
        <f aca="false">CHOOSE(Premissas!$B$6,Cenários!AV14,Cenários!AV60,Cenários!AV106)</f>
        <v>0.03278181</v>
      </c>
      <c r="AW13" s="253" t="n">
        <f aca="false">CHOOSE(Premissas!$B$6,Cenários!AW14,Cenários!AW60,Cenários!AW106)</f>
        <v>0.03278181</v>
      </c>
      <c r="AX13" s="253" t="n">
        <f aca="false">CHOOSE(Premissas!$B$6,Cenários!AX14,Cenários!AX60,Cenários!AX106)</f>
        <v>0.0337652643</v>
      </c>
      <c r="AY13" s="253" t="n">
        <f aca="false">CHOOSE(Premissas!$B$6,Cenários!AY14,Cenários!AY60,Cenários!AY106)</f>
        <v>0.0337652643</v>
      </c>
      <c r="AZ13" s="253" t="n">
        <f aca="false">CHOOSE(Premissas!$B$6,Cenários!AZ14,Cenários!AZ60,Cenários!AZ106)</f>
        <v>0.0337652643</v>
      </c>
      <c r="BA13" s="253" t="n">
        <f aca="false">CHOOSE(Premissas!$B$6,Cenários!BA14,Cenários!BA60,Cenários!BA106)</f>
        <v>0.0337652643</v>
      </c>
      <c r="BB13" s="253" t="n">
        <f aca="false">CHOOSE(Premissas!$B$6,Cenários!BB14,Cenários!BB60,Cenários!BB106)</f>
        <v>0.0337652643</v>
      </c>
      <c r="BC13" s="253" t="n">
        <f aca="false">CHOOSE(Premissas!$B$6,Cenários!BC14,Cenários!BC60,Cenários!BC106)</f>
        <v>0.0337652643</v>
      </c>
      <c r="BD13" s="253" t="n">
        <f aca="false">CHOOSE(Premissas!$B$6,Cenários!BD14,Cenários!BD60,Cenários!BD106)</f>
        <v>0.0337652643</v>
      </c>
      <c r="BE13" s="253" t="n">
        <f aca="false">CHOOSE(Premissas!$B$6,Cenários!BE14,Cenários!BE60,Cenários!BE106)</f>
        <v>0.0337652643</v>
      </c>
      <c r="BF13" s="253" t="n">
        <f aca="false">CHOOSE(Premissas!$B$6,Cenários!BF14,Cenários!BF60,Cenários!BF106)</f>
        <v>0.0337652643</v>
      </c>
      <c r="BG13" s="253" t="n">
        <f aca="false">CHOOSE(Premissas!$B$6,Cenários!BG14,Cenários!BG60,Cenários!BG106)</f>
        <v>0.0337652643</v>
      </c>
      <c r="BH13" s="253" t="n">
        <f aca="false">CHOOSE(Premissas!$B$6,Cenários!BH14,Cenários!BH60,Cenários!BH106)</f>
        <v>0.0337652643</v>
      </c>
      <c r="BI13" s="253" t="n">
        <f aca="false">CHOOSE(Premissas!$B$6,Cenários!BI14,Cenários!BI60,Cenários!BI106)</f>
        <v>0.0337652643</v>
      </c>
      <c r="BJ13" s="157" t="n">
        <f aca="false">BI13</f>
        <v>0.0337652643</v>
      </c>
      <c r="BK13" s="51" t="s">
        <v>713</v>
      </c>
    </row>
    <row r="14" customFormat="false" ht="13.5" hidden="false" customHeight="true" outlineLevel="0" collapsed="false">
      <c r="A14" s="53" t="s">
        <v>717</v>
      </c>
      <c r="B14" s="252" t="n">
        <f aca="false">CHOOSE(Premissas!$B$6,Cenários!B15,Cenários!B61,Cenários!B107)</f>
        <v>0</v>
      </c>
      <c r="C14" s="252" t="n">
        <f aca="false">CHOOSE(Premissas!$B$6,Cenários!C15,Cenários!C61,Cenários!C107)</f>
        <v>0</v>
      </c>
      <c r="D14" s="252" t="n">
        <f aca="false">CHOOSE(Premissas!$B$6,Cenários!D15,Cenários!D61,Cenários!D107)</f>
        <v>0</v>
      </c>
      <c r="E14" s="252" t="n">
        <f aca="false">CHOOSE(Premissas!$B$6,Cenários!E15,Cenários!E61,Cenários!E107)</f>
        <v>0</v>
      </c>
      <c r="F14" s="252" t="n">
        <f aca="false">CHOOSE(Premissas!$B$6,Cenários!F15,Cenários!F61,Cenários!F107)</f>
        <v>0</v>
      </c>
      <c r="G14" s="252" t="n">
        <f aca="false">CHOOSE(Premissas!$B$6,Cenários!G15,Cenários!G61,Cenários!G107)</f>
        <v>0</v>
      </c>
      <c r="H14" s="252" t="n">
        <f aca="false">CHOOSE(Premissas!$B$6,Cenários!H15,Cenários!H61,Cenários!H107)</f>
        <v>0</v>
      </c>
      <c r="I14" s="252" t="n">
        <f aca="false">CHOOSE(Premissas!$B$6,Cenários!I15,Cenários!I61,Cenários!I107)</f>
        <v>0</v>
      </c>
      <c r="J14" s="252" t="n">
        <f aca="false">CHOOSE(Premissas!$B$6,Cenários!J15,Cenários!J61,Cenários!J107)</f>
        <v>0</v>
      </c>
      <c r="K14" s="252" t="n">
        <f aca="false">CHOOSE(Premissas!$B$6,Cenários!K15,Cenários!K61,Cenários!K107)</f>
        <v>0</v>
      </c>
      <c r="L14" s="252" t="n">
        <f aca="false">CHOOSE(Premissas!$B$6,Cenários!L15,Cenários!L61,Cenários!L107)</f>
        <v>0</v>
      </c>
      <c r="M14" s="252" t="n">
        <f aca="false">CHOOSE(Premissas!$B$6,Cenários!M15,Cenários!M61,Cenários!M107)</f>
        <v>90</v>
      </c>
      <c r="N14" s="252" t="n">
        <f aca="false">CHOOSE(Premissas!$B$6,Cenários!N15,Cenários!N61,Cenários!N107)</f>
        <v>452</v>
      </c>
      <c r="O14" s="252" t="n">
        <f aca="false">CHOOSE(Premissas!$B$6,Cenários!O15,Cenários!O61,Cenários!O107)</f>
        <v>1047</v>
      </c>
      <c r="P14" s="252" t="n">
        <f aca="false">CHOOSE(Premissas!$B$6,Cenários!P15,Cenários!P61,Cenários!P107)</f>
        <v>1850</v>
      </c>
      <c r="Q14" s="252" t="n">
        <f aca="false">CHOOSE(Premissas!$B$6,Cenários!Q15,Cenários!Q61,Cenários!Q107)</f>
        <v>2837</v>
      </c>
      <c r="R14" s="252" t="n">
        <f aca="false">CHOOSE(Premissas!$B$6,Cenários!R15,Cenários!R61,Cenários!R107)</f>
        <v>3988</v>
      </c>
      <c r="S14" s="252" t="n">
        <f aca="false">CHOOSE(Premissas!$B$6,Cenários!S15,Cenários!S61,Cenários!S107)</f>
        <v>4527</v>
      </c>
      <c r="T14" s="252" t="n">
        <f aca="false">CHOOSE(Premissas!$B$6,Cenários!T15,Cenários!T61,Cenários!T107)</f>
        <v>5025</v>
      </c>
      <c r="U14" s="252" t="n">
        <f aca="false">CHOOSE(Premissas!$B$6,Cenários!U15,Cenários!U61,Cenários!U107)</f>
        <v>5486</v>
      </c>
      <c r="V14" s="252" t="n">
        <f aca="false">CHOOSE(Premissas!$B$6,Cenários!V15,Cenários!V61,Cenários!V107)</f>
        <v>5913</v>
      </c>
      <c r="W14" s="252" t="n">
        <f aca="false">CHOOSE(Premissas!$B$6,Cenários!W15,Cenários!W61,Cenários!W107)</f>
        <v>6307</v>
      </c>
      <c r="X14" s="252" t="n">
        <f aca="false">CHOOSE(Premissas!$B$6,Cenários!X15,Cenários!X61,Cenários!X107)</f>
        <v>6672</v>
      </c>
      <c r="Y14" s="252" t="n">
        <f aca="false">CHOOSE(Premissas!$B$6,Cenários!Y15,Cenários!Y61,Cenários!Y107)</f>
        <v>7009</v>
      </c>
      <c r="Z14" s="252" t="n">
        <f aca="false">CHOOSE(Premissas!$B$6,Cenários!Z15,Cenários!Z61,Cenários!Z107)</f>
        <v>8005</v>
      </c>
      <c r="AA14" s="252" t="n">
        <f aca="false">CHOOSE(Premissas!$B$6,Cenários!AA15,Cenários!AA61,Cenários!AA107)</f>
        <v>8735</v>
      </c>
      <c r="AB14" s="252" t="n">
        <f aca="false">CHOOSE(Premissas!$B$6,Cenários!AB15,Cenários!AB61,Cenários!AB107)</f>
        <v>9414</v>
      </c>
      <c r="AC14" s="252" t="n">
        <f aca="false">CHOOSE(Premissas!$B$6,Cenários!AC15,Cenários!AC61,Cenários!AC107)</f>
        <v>10045</v>
      </c>
      <c r="AD14" s="252" t="n">
        <f aca="false">CHOOSE(Premissas!$B$6,Cenários!AD15,Cenários!AD61,Cenários!AD107)</f>
        <v>10631</v>
      </c>
      <c r="AE14" s="252" t="n">
        <f aca="false">CHOOSE(Premissas!$B$6,Cenários!AE15,Cenários!AE61,Cenários!AE107)</f>
        <v>11176</v>
      </c>
      <c r="AF14" s="252" t="n">
        <f aca="false">CHOOSE(Premissas!$B$6,Cenários!AF15,Cenários!AF61,Cenários!AF107)</f>
        <v>11682</v>
      </c>
      <c r="AG14" s="252" t="n">
        <f aca="false">CHOOSE(Premissas!$B$6,Cenários!AG15,Cenários!AG61,Cenários!AG107)</f>
        <v>12152</v>
      </c>
      <c r="AH14" s="252" t="n">
        <f aca="false">CHOOSE(Premissas!$B$6,Cenários!AH15,Cenários!AH61,Cenários!AH107)</f>
        <v>12589</v>
      </c>
      <c r="AI14" s="252" t="n">
        <f aca="false">CHOOSE(Premissas!$B$6,Cenários!AI15,Cenários!AI61,Cenários!AI107)</f>
        <v>12995</v>
      </c>
      <c r="AJ14" s="252" t="n">
        <f aca="false">CHOOSE(Premissas!$B$6,Cenários!AJ15,Cenários!AJ61,Cenários!AJ107)</f>
        <v>13373</v>
      </c>
      <c r="AK14" s="252" t="n">
        <f aca="false">CHOOSE(Premissas!$B$6,Cenários!AK15,Cenários!AK61,Cenários!AK107)</f>
        <v>13724</v>
      </c>
      <c r="AL14" s="252" t="n">
        <f aca="false">CHOOSE(Premissas!$B$6,Cenários!AL15,Cenários!AL61,Cenários!AL107)</f>
        <v>15199</v>
      </c>
      <c r="AM14" s="252" t="n">
        <f aca="false">CHOOSE(Premissas!$B$6,Cenários!AM15,Cenários!AM61,Cenários!AM107)</f>
        <v>16192</v>
      </c>
      <c r="AN14" s="252" t="n">
        <f aca="false">CHOOSE(Premissas!$B$6,Cenários!AN15,Cenários!AN61,Cenários!AN107)</f>
        <v>17118</v>
      </c>
      <c r="AO14" s="252" t="n">
        <f aca="false">CHOOSE(Premissas!$B$6,Cenários!AO15,Cenários!AO61,Cenários!AO107)</f>
        <v>17983</v>
      </c>
      <c r="AP14" s="252" t="n">
        <f aca="false">CHOOSE(Premissas!$B$6,Cenários!AP15,Cenários!AP61,Cenários!AP107)</f>
        <v>18791</v>
      </c>
      <c r="AQ14" s="252" t="n">
        <f aca="false">CHOOSE(Premissas!$B$6,Cenários!AQ15,Cenários!AQ61,Cenários!AQ107)</f>
        <v>19545</v>
      </c>
      <c r="AR14" s="252" t="n">
        <f aca="false">CHOOSE(Premissas!$B$6,Cenários!AR15,Cenários!AR61,Cenários!AR107)</f>
        <v>20249</v>
      </c>
      <c r="AS14" s="252" t="n">
        <f aca="false">CHOOSE(Premissas!$B$6,Cenários!AS15,Cenários!AS61,Cenários!AS107)</f>
        <v>20906</v>
      </c>
      <c r="AT14" s="252" t="n">
        <f aca="false">CHOOSE(Premissas!$B$6,Cenários!AT15,Cenários!AT61,Cenários!AT107)</f>
        <v>21519</v>
      </c>
      <c r="AU14" s="252" t="n">
        <f aca="false">CHOOSE(Premissas!$B$6,Cenários!AU15,Cenários!AU61,Cenários!AU107)</f>
        <v>22092</v>
      </c>
      <c r="AV14" s="252" t="n">
        <f aca="false">CHOOSE(Premissas!$B$6,Cenários!AV15,Cenários!AV61,Cenários!AV107)</f>
        <v>22627</v>
      </c>
      <c r="AW14" s="252" t="n">
        <f aca="false">CHOOSE(Premissas!$B$6,Cenários!AW15,Cenários!AW61,Cenários!AW107)</f>
        <v>23126</v>
      </c>
      <c r="AX14" s="252" t="n">
        <f aca="false">CHOOSE(Premissas!$B$6,Cenários!AX15,Cenários!AX61,Cenários!AX107)</f>
        <v>25426</v>
      </c>
      <c r="AY14" s="252" t="n">
        <f aca="false">CHOOSE(Premissas!$B$6,Cenários!AY15,Cenários!AY61,Cenários!AY107)</f>
        <v>26932</v>
      </c>
      <c r="AZ14" s="252" t="n">
        <f aca="false">CHOOSE(Premissas!$B$6,Cenários!AZ15,Cenários!AZ61,Cenários!AZ107)</f>
        <v>28343</v>
      </c>
      <c r="BA14" s="252" t="n">
        <f aca="false">CHOOSE(Premissas!$B$6,Cenários!BA15,Cenários!BA61,Cenários!BA107)</f>
        <v>29667</v>
      </c>
      <c r="BB14" s="252" t="n">
        <f aca="false">CHOOSE(Premissas!$B$6,Cenários!BB15,Cenários!BB61,Cenários!BB107)</f>
        <v>30908</v>
      </c>
      <c r="BC14" s="252" t="n">
        <f aca="false">CHOOSE(Premissas!$B$6,Cenários!BC15,Cenários!BC61,Cenários!BC107)</f>
        <v>32071</v>
      </c>
      <c r="BD14" s="252" t="n">
        <f aca="false">CHOOSE(Premissas!$B$6,Cenários!BD15,Cenários!BD61,Cenários!BD107)</f>
        <v>33162</v>
      </c>
      <c r="BE14" s="252" t="n">
        <f aca="false">CHOOSE(Premissas!$B$6,Cenários!BE15,Cenários!BE61,Cenários!BE107)</f>
        <v>34185</v>
      </c>
      <c r="BF14" s="252" t="n">
        <f aca="false">CHOOSE(Premissas!$B$6,Cenários!BF15,Cenários!BF61,Cenários!BF107)</f>
        <v>35144</v>
      </c>
      <c r="BG14" s="252" t="n">
        <f aca="false">CHOOSE(Premissas!$B$6,Cenários!BG15,Cenários!BG61,Cenários!BG107)</f>
        <v>36042</v>
      </c>
      <c r="BH14" s="252" t="n">
        <f aca="false">CHOOSE(Premissas!$B$6,Cenários!BH15,Cenários!BH61,Cenários!BH107)</f>
        <v>36885</v>
      </c>
      <c r="BI14" s="252" t="n">
        <f aca="false">CHOOSE(Premissas!$B$6,Cenários!BI15,Cenários!BI61,Cenários!BI107)</f>
        <v>37675</v>
      </c>
      <c r="BJ14" s="202" t="n">
        <f aca="false">BI14</f>
        <v>37675</v>
      </c>
      <c r="BK14" s="51" t="s">
        <v>713</v>
      </c>
    </row>
    <row r="15" customFormat="false" ht="15" hidden="false" customHeight="true" outlineLevel="0" collapsed="false">
      <c r="A15" s="49" t="s">
        <v>718</v>
      </c>
      <c r="B15" s="251" t="n">
        <f aca="false">CHOOSE(Premissas!$B$6,Cenários!B16,Cenários!B62,Cenários!B108)</f>
        <v>0</v>
      </c>
      <c r="C15" s="251" t="n">
        <f aca="false">CHOOSE(Premissas!$B$6,Cenários!C16,Cenários!C62,Cenários!C108)</f>
        <v>0</v>
      </c>
      <c r="D15" s="251" t="n">
        <f aca="false">CHOOSE(Premissas!$B$6,Cenários!D16,Cenários!D62,Cenários!D108)</f>
        <v>0</v>
      </c>
      <c r="E15" s="251" t="n">
        <f aca="false">CHOOSE(Premissas!$B$6,Cenários!E16,Cenários!E62,Cenários!E108)</f>
        <v>0</v>
      </c>
      <c r="F15" s="251" t="n">
        <f aca="false">CHOOSE(Premissas!$B$6,Cenários!F16,Cenários!F62,Cenários!F108)</f>
        <v>0</v>
      </c>
      <c r="G15" s="251" t="n">
        <f aca="false">CHOOSE(Premissas!$B$6,Cenários!G16,Cenários!G62,Cenários!G108)</f>
        <v>0</v>
      </c>
      <c r="H15" s="251" t="n">
        <f aca="false">CHOOSE(Premissas!$B$6,Cenários!H16,Cenários!H62,Cenários!H108)</f>
        <v>0</v>
      </c>
      <c r="I15" s="251" t="n">
        <f aca="false">CHOOSE(Premissas!$B$6,Cenários!I16,Cenários!I62,Cenários!I108)</f>
        <v>0</v>
      </c>
      <c r="J15" s="251" t="n">
        <f aca="false">CHOOSE(Premissas!$B$6,Cenários!J16,Cenários!J62,Cenários!J108)</f>
        <v>0</v>
      </c>
      <c r="K15" s="251" t="n">
        <f aca="false">CHOOSE(Premissas!$B$6,Cenários!K16,Cenários!K62,Cenários!K108)</f>
        <v>0</v>
      </c>
      <c r="L15" s="251" t="n">
        <f aca="false">CHOOSE(Premissas!$B$6,Cenários!L16,Cenários!L62,Cenários!L108)</f>
        <v>0</v>
      </c>
      <c r="M15" s="251" t="n">
        <f aca="false">CHOOSE(Premissas!$B$6,Cenários!M16,Cenários!M62,Cenários!M108)</f>
        <v>90</v>
      </c>
      <c r="N15" s="251" t="n">
        <f aca="false">CHOOSE(Premissas!$B$6,Cenários!N16,Cenários!N62,Cenários!N108)</f>
        <v>452</v>
      </c>
      <c r="O15" s="251" t="n">
        <f aca="false">CHOOSE(Premissas!$B$6,Cenários!O16,Cenários!O62,Cenários!O108)</f>
        <v>1047</v>
      </c>
      <c r="P15" s="251" t="n">
        <f aca="false">CHOOSE(Premissas!$B$6,Cenários!P16,Cenários!P62,Cenários!P108)</f>
        <v>1850</v>
      </c>
      <c r="Q15" s="251" t="n">
        <f aca="false">CHOOSE(Premissas!$B$6,Cenários!Q16,Cenários!Q62,Cenários!Q108)</f>
        <v>2837</v>
      </c>
      <c r="R15" s="251" t="n">
        <f aca="false">CHOOSE(Premissas!$B$6,Cenários!R16,Cenários!R62,Cenários!R108)</f>
        <v>3988</v>
      </c>
      <c r="S15" s="251" t="n">
        <f aca="false">CHOOSE(Premissas!$B$6,Cenários!S16,Cenários!S62,Cenários!S108)</f>
        <v>4527</v>
      </c>
      <c r="T15" s="251" t="n">
        <f aca="false">CHOOSE(Premissas!$B$6,Cenários!T16,Cenários!T62,Cenários!T108)</f>
        <v>5025</v>
      </c>
      <c r="U15" s="251" t="n">
        <f aca="false">CHOOSE(Premissas!$B$6,Cenários!U16,Cenários!U62,Cenários!U108)</f>
        <v>5486</v>
      </c>
      <c r="V15" s="251" t="n">
        <f aca="false">CHOOSE(Premissas!$B$6,Cenários!V16,Cenários!V62,Cenários!V108)</f>
        <v>5913</v>
      </c>
      <c r="W15" s="251" t="n">
        <f aca="false">CHOOSE(Premissas!$B$6,Cenários!W16,Cenários!W62,Cenários!W108)</f>
        <v>6307</v>
      </c>
      <c r="X15" s="251" t="n">
        <f aca="false">CHOOSE(Premissas!$B$6,Cenários!X16,Cenários!X62,Cenários!X108)</f>
        <v>6672</v>
      </c>
      <c r="Y15" s="251" t="n">
        <f aca="false">CHOOSE(Premissas!$B$6,Cenários!Y16,Cenários!Y62,Cenários!Y108)</f>
        <v>7009</v>
      </c>
      <c r="Z15" s="251" t="n">
        <f aca="false">CHOOSE(Premissas!$B$6,Cenários!Z16,Cenários!Z62,Cenários!Z108)</f>
        <v>5443</v>
      </c>
      <c r="AA15" s="251" t="n">
        <f aca="false">CHOOSE(Premissas!$B$6,Cenários!AA16,Cenários!AA62,Cenários!AA108)</f>
        <v>5940</v>
      </c>
      <c r="AB15" s="251" t="n">
        <f aca="false">CHOOSE(Premissas!$B$6,Cenários!AB16,Cenários!AB62,Cenários!AB108)</f>
        <v>6402</v>
      </c>
      <c r="AC15" s="251" t="n">
        <f aca="false">CHOOSE(Premissas!$B$6,Cenários!AC16,Cenários!AC62,Cenários!AC108)</f>
        <v>6831</v>
      </c>
      <c r="AD15" s="251" t="n">
        <f aca="false">CHOOSE(Premissas!$B$6,Cenários!AD16,Cenários!AD62,Cenários!AD108)</f>
        <v>7229</v>
      </c>
      <c r="AE15" s="251" t="n">
        <f aca="false">CHOOSE(Premissas!$B$6,Cenários!AE16,Cenários!AE62,Cenários!AE108)</f>
        <v>7600</v>
      </c>
      <c r="AF15" s="251" t="n">
        <f aca="false">CHOOSE(Premissas!$B$6,Cenários!AF16,Cenários!AF62,Cenários!AF108)</f>
        <v>7944</v>
      </c>
      <c r="AG15" s="251" t="n">
        <f aca="false">CHOOSE(Premissas!$B$6,Cenários!AG16,Cenários!AG62,Cenários!AG108)</f>
        <v>8263</v>
      </c>
      <c r="AH15" s="251" t="n">
        <f aca="false">CHOOSE(Premissas!$B$6,Cenários!AH16,Cenários!AH62,Cenários!AH108)</f>
        <v>8561</v>
      </c>
      <c r="AI15" s="251" t="n">
        <f aca="false">CHOOSE(Premissas!$B$6,Cenários!AI16,Cenários!AI62,Cenários!AI108)</f>
        <v>8837</v>
      </c>
      <c r="AJ15" s="251" t="n">
        <f aca="false">CHOOSE(Premissas!$B$6,Cenários!AJ16,Cenários!AJ62,Cenários!AJ108)</f>
        <v>9094</v>
      </c>
      <c r="AK15" s="251" t="n">
        <f aca="false">CHOOSE(Premissas!$B$6,Cenários!AK16,Cenários!AK62,Cenários!AK108)</f>
        <v>9332</v>
      </c>
      <c r="AL15" s="251" t="n">
        <f aca="false">CHOOSE(Premissas!$B$6,Cenários!AL16,Cenários!AL62,Cenários!AL108)</f>
        <v>9727</v>
      </c>
      <c r="AM15" s="251" t="n">
        <f aca="false">CHOOSE(Premissas!$B$6,Cenários!AM16,Cenários!AM62,Cenários!AM108)</f>
        <v>10363</v>
      </c>
      <c r="AN15" s="251" t="n">
        <f aca="false">CHOOSE(Premissas!$B$6,Cenários!AN16,Cenários!AN62,Cenários!AN108)</f>
        <v>10956</v>
      </c>
      <c r="AO15" s="251" t="n">
        <f aca="false">CHOOSE(Premissas!$B$6,Cenários!AO16,Cenários!AO62,Cenários!AO108)</f>
        <v>11509</v>
      </c>
      <c r="AP15" s="251" t="n">
        <f aca="false">CHOOSE(Premissas!$B$6,Cenários!AP16,Cenários!AP62,Cenários!AP108)</f>
        <v>12026</v>
      </c>
      <c r="AQ15" s="251" t="n">
        <f aca="false">CHOOSE(Premissas!$B$6,Cenários!AQ16,Cenários!AQ62,Cenários!AQ108)</f>
        <v>12509</v>
      </c>
      <c r="AR15" s="251" t="n">
        <f aca="false">CHOOSE(Premissas!$B$6,Cenários!AR16,Cenários!AR62,Cenários!AR108)</f>
        <v>12959</v>
      </c>
      <c r="AS15" s="251" t="n">
        <f aca="false">CHOOSE(Premissas!$B$6,Cenários!AS16,Cenários!AS62,Cenários!AS108)</f>
        <v>13380</v>
      </c>
      <c r="AT15" s="251" t="n">
        <f aca="false">CHOOSE(Premissas!$B$6,Cenários!AT16,Cenários!AT62,Cenários!AT108)</f>
        <v>13772</v>
      </c>
      <c r="AU15" s="251" t="n">
        <f aca="false">CHOOSE(Premissas!$B$6,Cenários!AU16,Cenários!AU62,Cenários!AU108)</f>
        <v>14139</v>
      </c>
      <c r="AV15" s="251" t="n">
        <f aca="false">CHOOSE(Premissas!$B$6,Cenários!AV16,Cenários!AV62,Cenários!AV108)</f>
        <v>14481</v>
      </c>
      <c r="AW15" s="251" t="n">
        <f aca="false">CHOOSE(Premissas!$B$6,Cenários!AW16,Cenários!AW62,Cenários!AW108)</f>
        <v>14801</v>
      </c>
      <c r="AX15" s="251" t="n">
        <f aca="false">CHOOSE(Premissas!$B$6,Cenários!AX16,Cenários!AX62,Cenários!AX108)</f>
        <v>15256</v>
      </c>
      <c r="AY15" s="251" t="n">
        <f aca="false">CHOOSE(Premissas!$B$6,Cenários!AY16,Cenários!AY62,Cenários!AY108)</f>
        <v>16159</v>
      </c>
      <c r="AZ15" s="251" t="n">
        <f aca="false">CHOOSE(Premissas!$B$6,Cenários!AZ16,Cenários!AZ62,Cenários!AZ108)</f>
        <v>17006</v>
      </c>
      <c r="BA15" s="251" t="n">
        <f aca="false">CHOOSE(Premissas!$B$6,Cenários!BA16,Cenários!BA62,Cenários!BA108)</f>
        <v>17800</v>
      </c>
      <c r="BB15" s="251" t="n">
        <f aca="false">CHOOSE(Premissas!$B$6,Cenários!BB16,Cenários!BB62,Cenários!BB108)</f>
        <v>18545</v>
      </c>
      <c r="BC15" s="251" t="n">
        <f aca="false">CHOOSE(Premissas!$B$6,Cenários!BC16,Cenários!BC62,Cenários!BC108)</f>
        <v>19243</v>
      </c>
      <c r="BD15" s="251" t="n">
        <f aca="false">CHOOSE(Premissas!$B$6,Cenários!BD16,Cenários!BD62,Cenários!BD108)</f>
        <v>19897</v>
      </c>
      <c r="BE15" s="251" t="n">
        <f aca="false">CHOOSE(Premissas!$B$6,Cenários!BE16,Cenários!BE62,Cenários!BE108)</f>
        <v>20511</v>
      </c>
      <c r="BF15" s="251" t="n">
        <f aca="false">CHOOSE(Premissas!$B$6,Cenários!BF16,Cenários!BF62,Cenários!BF108)</f>
        <v>21086</v>
      </c>
      <c r="BG15" s="251" t="n">
        <f aca="false">CHOOSE(Premissas!$B$6,Cenários!BG16,Cenários!BG62,Cenários!BG108)</f>
        <v>21625</v>
      </c>
      <c r="BH15" s="251" t="n">
        <f aca="false">CHOOSE(Premissas!$B$6,Cenários!BH16,Cenários!BH62,Cenários!BH108)</f>
        <v>22131</v>
      </c>
      <c r="BI15" s="251" t="n">
        <f aca="false">CHOOSE(Premissas!$B$6,Cenários!BI16,Cenários!BI62,Cenários!BI108)</f>
        <v>22605</v>
      </c>
      <c r="BJ15" s="202" t="n">
        <f aca="false">BI15</f>
        <v>22605</v>
      </c>
      <c r="BK15" s="51" t="s">
        <v>713</v>
      </c>
    </row>
    <row r="16" customFormat="false" ht="15" hidden="false" customHeight="true" outlineLevel="0" collapsed="false">
      <c r="A16" s="49" t="s">
        <v>719</v>
      </c>
      <c r="B16" s="251" t="n">
        <f aca="false">CHOOSE(Premissas!$B$6,Cenários!B17,Cenários!B63,Cenários!B109)</f>
        <v>0</v>
      </c>
      <c r="C16" s="251" t="n">
        <f aca="false">CHOOSE(Premissas!$B$6,Cenários!C17,Cenários!C63,Cenários!C109)</f>
        <v>0</v>
      </c>
      <c r="D16" s="251" t="n">
        <f aca="false">CHOOSE(Premissas!$B$6,Cenários!D17,Cenários!D63,Cenários!D109)</f>
        <v>0</v>
      </c>
      <c r="E16" s="251" t="n">
        <f aca="false">CHOOSE(Premissas!$B$6,Cenários!E17,Cenários!E63,Cenários!E109)</f>
        <v>0</v>
      </c>
      <c r="F16" s="251" t="n">
        <f aca="false">CHOOSE(Premissas!$B$6,Cenários!F17,Cenários!F63,Cenários!F109)</f>
        <v>0</v>
      </c>
      <c r="G16" s="251" t="n">
        <f aca="false">CHOOSE(Premissas!$B$6,Cenários!G17,Cenários!G63,Cenários!G109)</f>
        <v>0</v>
      </c>
      <c r="H16" s="251" t="n">
        <f aca="false">CHOOSE(Premissas!$B$6,Cenários!H17,Cenários!H63,Cenários!H109)</f>
        <v>0</v>
      </c>
      <c r="I16" s="251" t="n">
        <f aca="false">CHOOSE(Premissas!$B$6,Cenários!I17,Cenários!I63,Cenários!I109)</f>
        <v>0</v>
      </c>
      <c r="J16" s="251" t="n">
        <f aca="false">CHOOSE(Premissas!$B$6,Cenários!J17,Cenários!J63,Cenários!J109)</f>
        <v>0</v>
      </c>
      <c r="K16" s="251" t="n">
        <f aca="false">CHOOSE(Premissas!$B$6,Cenários!K17,Cenários!K63,Cenários!K109)</f>
        <v>0</v>
      </c>
      <c r="L16" s="251" t="n">
        <f aca="false">CHOOSE(Premissas!$B$6,Cenários!L17,Cenários!L63,Cenários!L109)</f>
        <v>0</v>
      </c>
      <c r="M16" s="251" t="n">
        <f aca="false">CHOOSE(Premissas!$B$6,Cenários!M17,Cenários!M63,Cenários!M109)</f>
        <v>0</v>
      </c>
      <c r="N16" s="251" t="n">
        <f aca="false">CHOOSE(Premissas!$B$6,Cenários!N17,Cenários!N63,Cenários!N109)</f>
        <v>0</v>
      </c>
      <c r="O16" s="251" t="n">
        <f aca="false">CHOOSE(Premissas!$B$6,Cenários!O17,Cenários!O63,Cenários!O109)</f>
        <v>0</v>
      </c>
      <c r="P16" s="251" t="n">
        <f aca="false">CHOOSE(Premissas!$B$6,Cenários!P17,Cenários!P63,Cenários!P109)</f>
        <v>0</v>
      </c>
      <c r="Q16" s="251" t="n">
        <f aca="false">CHOOSE(Premissas!$B$6,Cenários!Q17,Cenários!Q63,Cenários!Q109)</f>
        <v>0</v>
      </c>
      <c r="R16" s="251" t="n">
        <f aca="false">CHOOSE(Premissas!$B$6,Cenários!R17,Cenários!R63,Cenários!R109)</f>
        <v>0</v>
      </c>
      <c r="S16" s="251" t="n">
        <f aca="false">CHOOSE(Premissas!$B$6,Cenários!S17,Cenários!S63,Cenários!S109)</f>
        <v>0</v>
      </c>
      <c r="T16" s="251" t="n">
        <f aca="false">CHOOSE(Premissas!$B$6,Cenários!T17,Cenários!T63,Cenários!T109)</f>
        <v>0</v>
      </c>
      <c r="U16" s="251" t="n">
        <f aca="false">CHOOSE(Premissas!$B$6,Cenários!U17,Cenários!U63,Cenários!U109)</f>
        <v>0</v>
      </c>
      <c r="V16" s="251" t="n">
        <f aca="false">CHOOSE(Premissas!$B$6,Cenários!V17,Cenários!V63,Cenários!V109)</f>
        <v>0</v>
      </c>
      <c r="W16" s="251" t="n">
        <f aca="false">CHOOSE(Premissas!$B$6,Cenários!W17,Cenários!W63,Cenários!W109)</f>
        <v>0</v>
      </c>
      <c r="X16" s="251" t="n">
        <f aca="false">CHOOSE(Premissas!$B$6,Cenários!X17,Cenários!X63,Cenários!X109)</f>
        <v>0</v>
      </c>
      <c r="Y16" s="251" t="n">
        <f aca="false">CHOOSE(Premissas!$B$6,Cenários!Y17,Cenários!Y63,Cenários!Y109)</f>
        <v>0</v>
      </c>
      <c r="Z16" s="251" t="n">
        <f aca="false">CHOOSE(Premissas!$B$6,Cenários!Z17,Cenários!Z63,Cenários!Z109)</f>
        <v>1921</v>
      </c>
      <c r="AA16" s="251" t="n">
        <f aca="false">CHOOSE(Premissas!$B$6,Cenários!AA17,Cenários!AA63,Cenários!AA109)</f>
        <v>2096</v>
      </c>
      <c r="AB16" s="251" t="n">
        <f aca="false">CHOOSE(Premissas!$B$6,Cenários!AB17,Cenários!AB63,Cenários!AB109)</f>
        <v>2259</v>
      </c>
      <c r="AC16" s="251" t="n">
        <f aca="false">CHOOSE(Premissas!$B$6,Cenários!AC17,Cenários!AC63,Cenários!AC109)</f>
        <v>2411</v>
      </c>
      <c r="AD16" s="251" t="n">
        <f aca="false">CHOOSE(Premissas!$B$6,Cenários!AD17,Cenários!AD63,Cenários!AD109)</f>
        <v>2551</v>
      </c>
      <c r="AE16" s="251" t="n">
        <f aca="false">CHOOSE(Premissas!$B$6,Cenários!AE17,Cenários!AE63,Cenários!AE109)</f>
        <v>2682</v>
      </c>
      <c r="AF16" s="251" t="n">
        <f aca="false">CHOOSE(Premissas!$B$6,Cenários!AF17,Cenários!AF63,Cenários!AF109)</f>
        <v>2804</v>
      </c>
      <c r="AG16" s="251" t="n">
        <f aca="false">CHOOSE(Premissas!$B$6,Cenários!AG17,Cenários!AG63,Cenários!AG109)</f>
        <v>2916</v>
      </c>
      <c r="AH16" s="251" t="n">
        <f aca="false">CHOOSE(Premissas!$B$6,Cenários!AH17,Cenários!AH63,Cenários!AH109)</f>
        <v>3021</v>
      </c>
      <c r="AI16" s="251" t="n">
        <f aca="false">CHOOSE(Premissas!$B$6,Cenários!AI17,Cenários!AI63,Cenários!AI109)</f>
        <v>3119</v>
      </c>
      <c r="AJ16" s="251" t="n">
        <f aca="false">CHOOSE(Premissas!$B$6,Cenários!AJ17,Cenários!AJ63,Cenários!AJ109)</f>
        <v>3210</v>
      </c>
      <c r="AK16" s="251" t="n">
        <f aca="false">CHOOSE(Premissas!$B$6,Cenários!AK17,Cenários!AK63,Cenários!AK109)</f>
        <v>3294</v>
      </c>
      <c r="AL16" s="251" t="n">
        <f aca="false">CHOOSE(Premissas!$B$6,Cenários!AL17,Cenários!AL63,Cenários!AL109)</f>
        <v>3952</v>
      </c>
      <c r="AM16" s="251" t="n">
        <f aca="false">CHOOSE(Premissas!$B$6,Cenários!AM17,Cenários!AM63,Cenários!AM109)</f>
        <v>4210</v>
      </c>
      <c r="AN16" s="251" t="n">
        <f aca="false">CHOOSE(Premissas!$B$6,Cenários!AN17,Cenários!AN63,Cenários!AN109)</f>
        <v>4451</v>
      </c>
      <c r="AO16" s="251" t="n">
        <f aca="false">CHOOSE(Premissas!$B$6,Cenários!AO17,Cenários!AO63,Cenários!AO109)</f>
        <v>4676</v>
      </c>
      <c r="AP16" s="251" t="n">
        <f aca="false">CHOOSE(Premissas!$B$6,Cenários!AP17,Cenários!AP63,Cenários!AP109)</f>
        <v>4886</v>
      </c>
      <c r="AQ16" s="251" t="n">
        <f aca="false">CHOOSE(Premissas!$B$6,Cenários!AQ17,Cenários!AQ63,Cenários!AQ109)</f>
        <v>5082</v>
      </c>
      <c r="AR16" s="251" t="n">
        <f aca="false">CHOOSE(Premissas!$B$6,Cenários!AR17,Cenários!AR63,Cenários!AR109)</f>
        <v>5265</v>
      </c>
      <c r="AS16" s="251" t="n">
        <f aca="false">CHOOSE(Premissas!$B$6,Cenários!AS17,Cenários!AS63,Cenários!AS109)</f>
        <v>5436</v>
      </c>
      <c r="AT16" s="251" t="n">
        <f aca="false">CHOOSE(Premissas!$B$6,Cenários!AT17,Cenários!AT63,Cenários!AT109)</f>
        <v>5595</v>
      </c>
      <c r="AU16" s="251" t="n">
        <f aca="false">CHOOSE(Premissas!$B$6,Cenários!AU17,Cenários!AU63,Cenários!AU109)</f>
        <v>5744</v>
      </c>
      <c r="AV16" s="251" t="n">
        <f aca="false">CHOOSE(Premissas!$B$6,Cenários!AV17,Cenários!AV63,Cenários!AV109)</f>
        <v>5883</v>
      </c>
      <c r="AW16" s="251" t="n">
        <f aca="false">CHOOSE(Premissas!$B$6,Cenários!AW17,Cenários!AW63,Cenários!AW109)</f>
        <v>6013</v>
      </c>
      <c r="AX16" s="251" t="n">
        <f aca="false">CHOOSE(Premissas!$B$6,Cenários!AX17,Cenários!AX63,Cenários!AX109)</f>
        <v>7119</v>
      </c>
      <c r="AY16" s="251" t="n">
        <f aca="false">CHOOSE(Premissas!$B$6,Cenários!AY17,Cenários!AY63,Cenários!AY109)</f>
        <v>7541</v>
      </c>
      <c r="AZ16" s="251" t="n">
        <f aca="false">CHOOSE(Premissas!$B$6,Cenários!AZ17,Cenários!AZ63,Cenários!AZ109)</f>
        <v>7936</v>
      </c>
      <c r="BA16" s="251" t="n">
        <f aca="false">CHOOSE(Premissas!$B$6,Cenários!BA17,Cenários!BA63,Cenários!BA109)</f>
        <v>8307</v>
      </c>
      <c r="BB16" s="251" t="n">
        <f aca="false">CHOOSE(Premissas!$B$6,Cenários!BB17,Cenários!BB63,Cenários!BB109)</f>
        <v>8654</v>
      </c>
      <c r="BC16" s="251" t="n">
        <f aca="false">CHOOSE(Premissas!$B$6,Cenários!BC17,Cenários!BC63,Cenários!BC109)</f>
        <v>8980</v>
      </c>
      <c r="BD16" s="251" t="n">
        <f aca="false">CHOOSE(Premissas!$B$6,Cenários!BD17,Cenários!BD63,Cenários!BD109)</f>
        <v>9285</v>
      </c>
      <c r="BE16" s="251" t="n">
        <f aca="false">CHOOSE(Premissas!$B$6,Cenários!BE17,Cenários!BE63,Cenários!BE109)</f>
        <v>9572</v>
      </c>
      <c r="BF16" s="251" t="n">
        <f aca="false">CHOOSE(Premissas!$B$6,Cenários!BF17,Cenários!BF63,Cenários!BF109)</f>
        <v>9840</v>
      </c>
      <c r="BG16" s="251" t="n">
        <f aca="false">CHOOSE(Premissas!$B$6,Cenários!BG17,Cenários!BG63,Cenários!BG109)</f>
        <v>10092</v>
      </c>
      <c r="BH16" s="251" t="n">
        <f aca="false">CHOOSE(Premissas!$B$6,Cenários!BH17,Cenários!BH63,Cenários!BH109)</f>
        <v>10328</v>
      </c>
      <c r="BI16" s="251" t="n">
        <f aca="false">CHOOSE(Premissas!$B$6,Cenários!BI17,Cenários!BI63,Cenários!BI109)</f>
        <v>10549</v>
      </c>
      <c r="BJ16" s="202" t="n">
        <f aca="false">BI16</f>
        <v>10549</v>
      </c>
      <c r="BK16" s="51" t="s">
        <v>713</v>
      </c>
    </row>
    <row r="17" customFormat="false" ht="15" hidden="false" customHeight="true" outlineLevel="0" collapsed="false">
      <c r="A17" s="49" t="s">
        <v>720</v>
      </c>
      <c r="B17" s="251" t="n">
        <f aca="false">CHOOSE(Premissas!$B$6,Cenários!B18,Cenários!B64,Cenários!B110)</f>
        <v>0</v>
      </c>
      <c r="C17" s="251" t="n">
        <f aca="false">CHOOSE(Premissas!$B$6,Cenários!C18,Cenários!C64,Cenários!C110)</f>
        <v>0</v>
      </c>
      <c r="D17" s="251" t="n">
        <f aca="false">CHOOSE(Premissas!$B$6,Cenários!D18,Cenários!D64,Cenários!D110)</f>
        <v>0</v>
      </c>
      <c r="E17" s="251" t="n">
        <f aca="false">CHOOSE(Premissas!$B$6,Cenários!E18,Cenários!E64,Cenários!E110)</f>
        <v>0</v>
      </c>
      <c r="F17" s="251" t="n">
        <f aca="false">CHOOSE(Premissas!$B$6,Cenários!F18,Cenários!F64,Cenários!F110)</f>
        <v>0</v>
      </c>
      <c r="G17" s="251" t="n">
        <f aca="false">CHOOSE(Premissas!$B$6,Cenários!G18,Cenários!G64,Cenários!G110)</f>
        <v>0</v>
      </c>
      <c r="H17" s="251" t="n">
        <f aca="false">CHOOSE(Premissas!$B$6,Cenários!H18,Cenários!H64,Cenários!H110)</f>
        <v>0</v>
      </c>
      <c r="I17" s="251" t="n">
        <f aca="false">CHOOSE(Premissas!$B$6,Cenários!I18,Cenários!I64,Cenários!I110)</f>
        <v>0</v>
      </c>
      <c r="J17" s="251" t="n">
        <f aca="false">CHOOSE(Premissas!$B$6,Cenários!J18,Cenários!J64,Cenários!J110)</f>
        <v>0</v>
      </c>
      <c r="K17" s="251" t="n">
        <f aca="false">CHOOSE(Premissas!$B$6,Cenários!K18,Cenários!K64,Cenários!K110)</f>
        <v>0</v>
      </c>
      <c r="L17" s="251" t="n">
        <f aca="false">CHOOSE(Premissas!$B$6,Cenários!L18,Cenários!L64,Cenários!L110)</f>
        <v>0</v>
      </c>
      <c r="M17" s="251" t="n">
        <f aca="false">CHOOSE(Premissas!$B$6,Cenários!M18,Cenários!M64,Cenários!M110)</f>
        <v>0</v>
      </c>
      <c r="N17" s="251" t="n">
        <f aca="false">CHOOSE(Premissas!$B$6,Cenários!N18,Cenários!N64,Cenários!N110)</f>
        <v>0</v>
      </c>
      <c r="O17" s="251" t="n">
        <f aca="false">CHOOSE(Premissas!$B$6,Cenários!O18,Cenários!O64,Cenários!O110)</f>
        <v>0</v>
      </c>
      <c r="P17" s="251" t="n">
        <f aca="false">CHOOSE(Premissas!$B$6,Cenários!P18,Cenários!P64,Cenários!P110)</f>
        <v>0</v>
      </c>
      <c r="Q17" s="251" t="n">
        <f aca="false">CHOOSE(Premissas!$B$6,Cenários!Q18,Cenários!Q64,Cenários!Q110)</f>
        <v>0</v>
      </c>
      <c r="R17" s="251" t="n">
        <f aca="false">CHOOSE(Premissas!$B$6,Cenários!R18,Cenários!R64,Cenários!R110)</f>
        <v>0</v>
      </c>
      <c r="S17" s="251" t="n">
        <f aca="false">CHOOSE(Premissas!$B$6,Cenários!S18,Cenários!S64,Cenários!S110)</f>
        <v>0</v>
      </c>
      <c r="T17" s="251" t="n">
        <f aca="false">CHOOSE(Premissas!$B$6,Cenários!T18,Cenários!T64,Cenários!T110)</f>
        <v>0</v>
      </c>
      <c r="U17" s="251" t="n">
        <f aca="false">CHOOSE(Premissas!$B$6,Cenários!U18,Cenários!U64,Cenários!U110)</f>
        <v>0</v>
      </c>
      <c r="V17" s="251" t="n">
        <f aca="false">CHOOSE(Premissas!$B$6,Cenários!V18,Cenários!V64,Cenários!V110)</f>
        <v>0</v>
      </c>
      <c r="W17" s="251" t="n">
        <f aca="false">CHOOSE(Premissas!$B$6,Cenários!W18,Cenários!W64,Cenários!W110)</f>
        <v>0</v>
      </c>
      <c r="X17" s="251" t="n">
        <f aca="false">CHOOSE(Premissas!$B$6,Cenários!X18,Cenários!X64,Cenários!X110)</f>
        <v>0</v>
      </c>
      <c r="Y17" s="251" t="n">
        <f aca="false">CHOOSE(Premissas!$B$6,Cenários!Y18,Cenários!Y64,Cenários!Y110)</f>
        <v>0</v>
      </c>
      <c r="Z17" s="251" t="n">
        <f aca="false">CHOOSE(Premissas!$B$6,Cenários!Z18,Cenários!Z64,Cenários!Z110)</f>
        <v>641</v>
      </c>
      <c r="AA17" s="251" t="n">
        <f aca="false">CHOOSE(Premissas!$B$6,Cenários!AA18,Cenários!AA64,Cenários!AA110)</f>
        <v>699</v>
      </c>
      <c r="AB17" s="251" t="n">
        <f aca="false">CHOOSE(Premissas!$B$6,Cenários!AB18,Cenários!AB64,Cenários!AB110)</f>
        <v>753</v>
      </c>
      <c r="AC17" s="251" t="n">
        <f aca="false">CHOOSE(Premissas!$B$6,Cenários!AC18,Cenários!AC64,Cenários!AC110)</f>
        <v>803</v>
      </c>
      <c r="AD17" s="251" t="n">
        <f aca="false">CHOOSE(Premissas!$B$6,Cenários!AD18,Cenários!AD64,Cenários!AD110)</f>
        <v>851</v>
      </c>
      <c r="AE17" s="251" t="n">
        <f aca="false">CHOOSE(Premissas!$B$6,Cenários!AE18,Cenários!AE64,Cenários!AE110)</f>
        <v>894</v>
      </c>
      <c r="AF17" s="251" t="n">
        <f aca="false">CHOOSE(Premissas!$B$6,Cenários!AF18,Cenários!AF64,Cenários!AF110)</f>
        <v>934</v>
      </c>
      <c r="AG17" s="251" t="n">
        <f aca="false">CHOOSE(Premissas!$B$6,Cenários!AG18,Cenários!AG64,Cenários!AG110)</f>
        <v>973</v>
      </c>
      <c r="AH17" s="251" t="n">
        <f aca="false">CHOOSE(Premissas!$B$6,Cenários!AH18,Cenários!AH64,Cenários!AH110)</f>
        <v>1007</v>
      </c>
      <c r="AI17" s="251" t="n">
        <f aca="false">CHOOSE(Premissas!$B$6,Cenários!AI18,Cenários!AI64,Cenários!AI110)</f>
        <v>1039</v>
      </c>
      <c r="AJ17" s="251" t="n">
        <f aca="false">CHOOSE(Premissas!$B$6,Cenários!AJ18,Cenários!AJ64,Cenários!AJ110)</f>
        <v>1069</v>
      </c>
      <c r="AK17" s="251" t="n">
        <f aca="false">CHOOSE(Premissas!$B$6,Cenários!AK18,Cenários!AK64,Cenários!AK110)</f>
        <v>1098</v>
      </c>
      <c r="AL17" s="251" t="n">
        <f aca="false">CHOOSE(Premissas!$B$6,Cenários!AL18,Cenários!AL64,Cenários!AL110)</f>
        <v>1520</v>
      </c>
      <c r="AM17" s="251" t="n">
        <f aca="false">CHOOSE(Premissas!$B$6,Cenários!AM18,Cenários!AM64,Cenários!AM110)</f>
        <v>1619</v>
      </c>
      <c r="AN17" s="251" t="n">
        <f aca="false">CHOOSE(Premissas!$B$6,Cenários!AN18,Cenários!AN64,Cenários!AN110)</f>
        <v>1711</v>
      </c>
      <c r="AO17" s="251" t="n">
        <f aca="false">CHOOSE(Premissas!$B$6,Cenários!AO18,Cenários!AO64,Cenários!AO110)</f>
        <v>1798</v>
      </c>
      <c r="AP17" s="251" t="n">
        <f aca="false">CHOOSE(Premissas!$B$6,Cenários!AP18,Cenários!AP64,Cenários!AP110)</f>
        <v>1879</v>
      </c>
      <c r="AQ17" s="251" t="n">
        <f aca="false">CHOOSE(Premissas!$B$6,Cenários!AQ18,Cenários!AQ64,Cenários!AQ110)</f>
        <v>1954</v>
      </c>
      <c r="AR17" s="251" t="n">
        <f aca="false">CHOOSE(Premissas!$B$6,Cenários!AR18,Cenários!AR64,Cenários!AR110)</f>
        <v>2025</v>
      </c>
      <c r="AS17" s="251" t="n">
        <f aca="false">CHOOSE(Premissas!$B$6,Cenários!AS18,Cenários!AS64,Cenários!AS110)</f>
        <v>2090</v>
      </c>
      <c r="AT17" s="251" t="n">
        <f aca="false">CHOOSE(Premissas!$B$6,Cenários!AT18,Cenários!AT64,Cenários!AT110)</f>
        <v>2152</v>
      </c>
      <c r="AU17" s="251" t="n">
        <f aca="false">CHOOSE(Premissas!$B$6,Cenários!AU18,Cenários!AU64,Cenários!AU110)</f>
        <v>2209</v>
      </c>
      <c r="AV17" s="251" t="n">
        <f aca="false">CHOOSE(Premissas!$B$6,Cenários!AV18,Cenários!AV64,Cenários!AV110)</f>
        <v>2263</v>
      </c>
      <c r="AW17" s="251" t="n">
        <f aca="false">CHOOSE(Premissas!$B$6,Cenários!AW18,Cenários!AW64,Cenários!AW110)</f>
        <v>2312</v>
      </c>
      <c r="AX17" s="251" t="n">
        <f aca="false">CHOOSE(Premissas!$B$6,Cenários!AX18,Cenários!AX64,Cenários!AX110)</f>
        <v>3051</v>
      </c>
      <c r="AY17" s="251" t="n">
        <f aca="false">CHOOSE(Premissas!$B$6,Cenários!AY18,Cenários!AY64,Cenários!AY110)</f>
        <v>3232</v>
      </c>
      <c r="AZ17" s="251" t="n">
        <f aca="false">CHOOSE(Premissas!$B$6,Cenários!AZ18,Cenários!AZ64,Cenários!AZ110)</f>
        <v>3401</v>
      </c>
      <c r="BA17" s="251" t="n">
        <f aca="false">CHOOSE(Premissas!$B$6,Cenários!BA18,Cenários!BA64,Cenários!BA110)</f>
        <v>3560</v>
      </c>
      <c r="BB17" s="251" t="n">
        <f aca="false">CHOOSE(Premissas!$B$6,Cenários!BB18,Cenários!BB64,Cenários!BB110)</f>
        <v>3709</v>
      </c>
      <c r="BC17" s="251" t="n">
        <f aca="false">CHOOSE(Premissas!$B$6,Cenários!BC18,Cenários!BC64,Cenários!BC110)</f>
        <v>3848</v>
      </c>
      <c r="BD17" s="251" t="n">
        <f aca="false">CHOOSE(Premissas!$B$6,Cenários!BD18,Cenários!BD64,Cenários!BD110)</f>
        <v>3980</v>
      </c>
      <c r="BE17" s="251" t="n">
        <f aca="false">CHOOSE(Premissas!$B$6,Cenários!BE18,Cenários!BE64,Cenários!BE110)</f>
        <v>4102</v>
      </c>
      <c r="BF17" s="251" t="n">
        <f aca="false">CHOOSE(Premissas!$B$6,Cenários!BF18,Cenários!BF64,Cenários!BF110)</f>
        <v>4218</v>
      </c>
      <c r="BG17" s="251" t="n">
        <f aca="false">CHOOSE(Premissas!$B$6,Cenários!BG18,Cenários!BG64,Cenários!BG110)</f>
        <v>4325</v>
      </c>
      <c r="BH17" s="251" t="n">
        <f aca="false">CHOOSE(Premissas!$B$6,Cenários!BH18,Cenários!BH64,Cenários!BH110)</f>
        <v>4426</v>
      </c>
      <c r="BI17" s="251" t="n">
        <f aca="false">CHOOSE(Premissas!$B$6,Cenários!BI18,Cenários!BI64,Cenários!BI110)</f>
        <v>4521</v>
      </c>
      <c r="BJ17" s="202" t="n">
        <f aca="false">BI17</f>
        <v>4521</v>
      </c>
      <c r="BK17" s="51" t="s">
        <v>713</v>
      </c>
    </row>
    <row r="18" customFormat="false" ht="15" hidden="false" customHeight="true" outlineLevel="0" collapsed="false">
      <c r="A18" s="49" t="s">
        <v>721</v>
      </c>
      <c r="B18" s="251" t="n">
        <f aca="false">CHOOSE(Premissas!$B$6,Cenários!B19,Cenários!B65,Cenários!B111)</f>
        <v>0</v>
      </c>
      <c r="C18" s="251" t="n">
        <f aca="false">CHOOSE(Premissas!$B$6,Cenários!C19,Cenários!C65,Cenários!C111)</f>
        <v>0</v>
      </c>
      <c r="D18" s="251" t="n">
        <f aca="false">CHOOSE(Premissas!$B$6,Cenários!D19,Cenários!D65,Cenários!D111)</f>
        <v>0</v>
      </c>
      <c r="E18" s="251" t="n">
        <f aca="false">CHOOSE(Premissas!$B$6,Cenários!E19,Cenários!E65,Cenários!E111)</f>
        <v>0</v>
      </c>
      <c r="F18" s="251" t="n">
        <f aca="false">CHOOSE(Premissas!$B$6,Cenários!F19,Cenários!F65,Cenários!F111)</f>
        <v>0</v>
      </c>
      <c r="G18" s="251" t="n">
        <f aca="false">CHOOSE(Premissas!$B$6,Cenários!G19,Cenários!G65,Cenários!G111)</f>
        <v>0</v>
      </c>
      <c r="H18" s="251" t="n">
        <f aca="false">CHOOSE(Premissas!$B$6,Cenários!H19,Cenários!H65,Cenários!H111)</f>
        <v>0</v>
      </c>
      <c r="I18" s="251" t="n">
        <f aca="false">CHOOSE(Premissas!$B$6,Cenários!I19,Cenários!I65,Cenários!I111)</f>
        <v>0</v>
      </c>
      <c r="J18" s="251" t="n">
        <f aca="false">CHOOSE(Premissas!$B$6,Cenários!J19,Cenários!J65,Cenários!J111)</f>
        <v>0</v>
      </c>
      <c r="K18" s="251" t="n">
        <f aca="false">CHOOSE(Premissas!$B$6,Cenários!K19,Cenários!K65,Cenários!K111)</f>
        <v>0</v>
      </c>
      <c r="L18" s="251" t="n">
        <f aca="false">CHOOSE(Premissas!$B$6,Cenários!L19,Cenários!L65,Cenários!L111)</f>
        <v>0</v>
      </c>
      <c r="M18" s="251" t="n">
        <f aca="false">CHOOSE(Premissas!$B$6,Cenários!M19,Cenários!M65,Cenários!M111)</f>
        <v>0</v>
      </c>
      <c r="N18" s="251" t="n">
        <f aca="false">CHOOSE(Premissas!$B$6,Cenários!N19,Cenários!N65,Cenários!N111)</f>
        <v>0</v>
      </c>
      <c r="O18" s="251" t="n">
        <f aca="false">CHOOSE(Premissas!$B$6,Cenários!O19,Cenários!O65,Cenários!O111)</f>
        <v>0</v>
      </c>
      <c r="P18" s="251" t="n">
        <f aca="false">CHOOSE(Premissas!$B$6,Cenários!P19,Cenários!P65,Cenários!P111)</f>
        <v>0</v>
      </c>
      <c r="Q18" s="251" t="n">
        <f aca="false">CHOOSE(Premissas!$B$6,Cenários!Q19,Cenários!Q65,Cenários!Q111)</f>
        <v>110192</v>
      </c>
      <c r="R18" s="251" t="n">
        <f aca="false">CHOOSE(Premissas!$B$6,Cenários!R19,Cenários!R65,Cenários!R111)</f>
        <v>129056</v>
      </c>
      <c r="S18" s="251" t="n">
        <f aca="false">CHOOSE(Premissas!$B$6,Cenários!S19,Cenários!S65,Cenários!S111)</f>
        <v>146501</v>
      </c>
      <c r="T18" s="251" t="n">
        <f aca="false">CHOOSE(Premissas!$B$6,Cenários!T19,Cenários!T65,Cenários!T111)</f>
        <v>162634</v>
      </c>
      <c r="U18" s="251" t="n">
        <f aca="false">CHOOSE(Premissas!$B$6,Cenários!U19,Cenários!U65,Cenários!U111)</f>
        <v>177554</v>
      </c>
      <c r="V18" s="251" t="n">
        <f aca="false">CHOOSE(Premissas!$B$6,Cenários!V19,Cenários!V65,Cenários!V111)</f>
        <v>191352</v>
      </c>
      <c r="W18" s="251" t="n">
        <f aca="false">CHOOSE(Premissas!$B$6,Cenários!W19,Cenários!W65,Cenários!W111)</f>
        <v>204112</v>
      </c>
      <c r="X18" s="251" t="n">
        <f aca="false">CHOOSE(Premissas!$B$6,Cenários!X19,Cenários!X65,Cenários!X111)</f>
        <v>215913</v>
      </c>
      <c r="Y18" s="251" t="n">
        <f aca="false">CHOOSE(Premissas!$B$6,Cenários!Y19,Cenários!Y65,Cenários!Y111)</f>
        <v>226826</v>
      </c>
      <c r="Z18" s="251" t="n">
        <f aca="false">CHOOSE(Premissas!$B$6,Cenários!Z19,Cenários!Z65,Cenários!Z111)</f>
        <v>251517</v>
      </c>
      <c r="AA18" s="251" t="n">
        <f aca="false">CHOOSE(Premissas!$B$6,Cenários!AA19,Cenários!AA65,Cenários!AA111)</f>
        <v>274463</v>
      </c>
      <c r="AB18" s="251" t="n">
        <f aca="false">CHOOSE(Premissas!$B$6,Cenários!AB19,Cenários!AB65,Cenários!AB111)</f>
        <v>295787</v>
      </c>
      <c r="AC18" s="251" t="n">
        <f aca="false">CHOOSE(Premissas!$B$6,Cenários!AC19,Cenários!AC65,Cenários!AC111)</f>
        <v>315603</v>
      </c>
      <c r="AD18" s="251" t="n">
        <f aca="false">CHOOSE(Premissas!$B$6,Cenários!AD19,Cenários!AD65,Cenários!AD111)</f>
        <v>334019</v>
      </c>
      <c r="AE18" s="251" t="n">
        <f aca="false">CHOOSE(Premissas!$B$6,Cenários!AE19,Cenários!AE65,Cenários!AE111)</f>
        <v>351133</v>
      </c>
      <c r="AF18" s="251" t="n">
        <f aca="false">CHOOSE(Premissas!$B$6,Cenários!AF19,Cenários!AF65,Cenários!AF111)</f>
        <v>367037</v>
      </c>
      <c r="AG18" s="251" t="n">
        <f aca="false">CHOOSE(Premissas!$B$6,Cenários!AG19,Cenários!AG65,Cenários!AG111)</f>
        <v>381817</v>
      </c>
      <c r="AH18" s="251" t="n">
        <f aca="false">CHOOSE(Premissas!$B$6,Cenários!AH19,Cenários!AH65,Cenários!AH111)</f>
        <v>395552</v>
      </c>
      <c r="AI18" s="251" t="n">
        <f aca="false">CHOOSE(Premissas!$B$6,Cenários!AI19,Cenários!AI65,Cenários!AI111)</f>
        <v>408316</v>
      </c>
      <c r="AJ18" s="251" t="n">
        <f aca="false">CHOOSE(Premissas!$B$6,Cenários!AJ19,Cenários!AJ65,Cenários!AJ111)</f>
        <v>420178</v>
      </c>
      <c r="AK18" s="251" t="n">
        <f aca="false">CHOOSE(Premissas!$B$6,Cenários!AK19,Cenários!AK65,Cenários!AK111)</f>
        <v>431201</v>
      </c>
      <c r="AL18" s="251" t="n">
        <f aca="false">CHOOSE(Premissas!$B$6,Cenários!AL19,Cenários!AL65,Cenários!AL111)</f>
        <v>463637</v>
      </c>
      <c r="AM18" s="251" t="n">
        <f aca="false">CHOOSE(Premissas!$B$6,Cenários!AM19,Cenários!AM65,Cenários!AM111)</f>
        <v>493917</v>
      </c>
      <c r="AN18" s="251" t="n">
        <f aca="false">CHOOSE(Premissas!$B$6,Cenários!AN19,Cenários!AN65,Cenários!AN111)</f>
        <v>522186</v>
      </c>
      <c r="AO18" s="251" t="n">
        <f aca="false">CHOOSE(Premissas!$B$6,Cenários!AO19,Cenários!AO65,Cenários!AO111)</f>
        <v>548576</v>
      </c>
      <c r="AP18" s="251" t="n">
        <f aca="false">CHOOSE(Premissas!$B$6,Cenários!AP19,Cenários!AP65,Cenários!AP111)</f>
        <v>573212</v>
      </c>
      <c r="AQ18" s="251" t="n">
        <f aca="false">CHOOSE(Premissas!$B$6,Cenários!AQ19,Cenários!AQ65,Cenários!AQ111)</f>
        <v>596212</v>
      </c>
      <c r="AR18" s="251" t="n">
        <f aca="false">CHOOSE(Premissas!$B$6,Cenários!AR19,Cenários!AR65,Cenários!AR111)</f>
        <v>617683</v>
      </c>
      <c r="AS18" s="251" t="n">
        <f aca="false">CHOOSE(Premissas!$B$6,Cenários!AS19,Cenários!AS65,Cenários!AS111)</f>
        <v>637727</v>
      </c>
      <c r="AT18" s="251" t="n">
        <f aca="false">CHOOSE(Premissas!$B$6,Cenários!AT19,Cenários!AT65,Cenários!AT111)</f>
        <v>656440</v>
      </c>
      <c r="AU18" s="251" t="n">
        <f aca="false">CHOOSE(Premissas!$B$6,Cenários!AU19,Cenários!AU65,Cenários!AU111)</f>
        <v>673909</v>
      </c>
      <c r="AV18" s="251" t="n">
        <f aca="false">CHOOSE(Premissas!$B$6,Cenários!AV19,Cenários!AV65,Cenários!AV111)</f>
        <v>690218</v>
      </c>
      <c r="AW18" s="251" t="n">
        <f aca="false">CHOOSE(Premissas!$B$6,Cenários!AW19,Cenários!AW65,Cenários!AW111)</f>
        <v>705442</v>
      </c>
      <c r="AX18" s="251" t="n">
        <f aca="false">CHOOSE(Premissas!$B$6,Cenários!AX19,Cenários!AX65,Cenários!AX111)</f>
        <v>753012</v>
      </c>
      <c r="AY18" s="251" t="n">
        <f aca="false">CHOOSE(Premissas!$B$6,Cenários!AY19,Cenários!AY65,Cenários!AY111)</f>
        <v>797610</v>
      </c>
      <c r="AZ18" s="251" t="n">
        <f aca="false">CHOOSE(Premissas!$B$6,Cenários!AZ19,Cenários!AZ65,Cenários!AZ111)</f>
        <v>839423</v>
      </c>
      <c r="BA18" s="251" t="n">
        <f aca="false">CHOOSE(Premissas!$B$6,Cenários!BA19,Cenários!BA65,Cenários!BA111)</f>
        <v>878624</v>
      </c>
      <c r="BB18" s="251" t="n">
        <f aca="false">CHOOSE(Premissas!$B$6,Cenários!BB19,Cenários!BB65,Cenários!BB111)</f>
        <v>915376</v>
      </c>
      <c r="BC18" s="251" t="n">
        <f aca="false">CHOOSE(Premissas!$B$6,Cenários!BC19,Cenários!BC65,Cenários!BC111)</f>
        <v>949833</v>
      </c>
      <c r="BD18" s="251" t="n">
        <f aca="false">CHOOSE(Premissas!$B$6,Cenários!BD19,Cenários!BD65,Cenários!BD111)</f>
        <v>982138</v>
      </c>
      <c r="BE18" s="251" t="n">
        <f aca="false">CHOOSE(Premissas!$B$6,Cenários!BE19,Cenários!BE65,Cenários!BE111)</f>
        <v>1012425</v>
      </c>
      <c r="BF18" s="251" t="n">
        <f aca="false">CHOOSE(Premissas!$B$6,Cenários!BF19,Cenários!BF65,Cenários!BF111)</f>
        <v>1040820</v>
      </c>
      <c r="BG18" s="251" t="n">
        <f aca="false">CHOOSE(Premissas!$B$6,Cenários!BG19,Cenários!BG65,Cenários!BG111)</f>
        <v>1067442</v>
      </c>
      <c r="BH18" s="251" t="n">
        <f aca="false">CHOOSE(Premissas!$B$6,Cenários!BH19,Cenários!BH65,Cenários!BH111)</f>
        <v>1092401</v>
      </c>
      <c r="BI18" s="251" t="n">
        <f aca="false">CHOOSE(Premissas!$B$6,Cenários!BI19,Cenários!BI65,Cenários!BI111)</f>
        <v>1115801</v>
      </c>
      <c r="BK18" s="51" t="s">
        <v>722</v>
      </c>
    </row>
    <row r="19" customFormat="false" ht="15" hidden="false" customHeight="true" outlineLevel="0" collapsed="false">
      <c r="A19" s="49" t="s">
        <v>723</v>
      </c>
      <c r="B19" s="251" t="n">
        <f aca="false">Pessoas!B41</f>
        <v>0</v>
      </c>
      <c r="C19" s="251" t="n">
        <f aca="false">Pessoas!C41</f>
        <v>0</v>
      </c>
      <c r="D19" s="251" t="n">
        <f aca="false">Pessoas!D41</f>
        <v>0</v>
      </c>
      <c r="E19" s="251" t="n">
        <f aca="false">Pessoas!E41</f>
        <v>0</v>
      </c>
      <c r="F19" s="251" t="n">
        <f aca="false">Pessoas!F41</f>
        <v>0</v>
      </c>
      <c r="G19" s="251" t="n">
        <f aca="false">Pessoas!G41</f>
        <v>0</v>
      </c>
      <c r="H19" s="251" t="n">
        <f aca="false">Pessoas!H41</f>
        <v>0</v>
      </c>
      <c r="I19" s="251" t="n">
        <f aca="false">Pessoas!I41</f>
        <v>0</v>
      </c>
      <c r="J19" s="251" t="n">
        <f aca="false">Pessoas!J41</f>
        <v>1</v>
      </c>
      <c r="K19" s="251" t="n">
        <f aca="false">Pessoas!K41</f>
        <v>1</v>
      </c>
      <c r="L19" s="251" t="n">
        <f aca="false">Pessoas!L41</f>
        <v>0</v>
      </c>
      <c r="M19" s="251" t="n">
        <f aca="false">Pessoas!M41</f>
        <v>0</v>
      </c>
      <c r="N19" s="251" t="n">
        <f aca="false">Pessoas!N41</f>
        <v>7</v>
      </c>
      <c r="O19" s="251" t="n">
        <f aca="false">Pessoas!O41</f>
        <v>7</v>
      </c>
      <c r="P19" s="251" t="n">
        <f aca="false">Pessoas!P41</f>
        <v>7</v>
      </c>
      <c r="Q19" s="251" t="n">
        <f aca="false">Pessoas!Q41</f>
        <v>7</v>
      </c>
      <c r="R19" s="251" t="n">
        <f aca="false">Pessoas!R41</f>
        <v>7</v>
      </c>
      <c r="S19" s="251" t="n">
        <f aca="false">Pessoas!S41</f>
        <v>7</v>
      </c>
      <c r="T19" s="251" t="n">
        <f aca="false">Pessoas!T41</f>
        <v>7</v>
      </c>
      <c r="U19" s="251" t="n">
        <f aca="false">Pessoas!U41</f>
        <v>7</v>
      </c>
      <c r="V19" s="251" t="n">
        <f aca="false">Pessoas!V41</f>
        <v>7</v>
      </c>
      <c r="W19" s="251" t="n">
        <f aca="false">Pessoas!W41</f>
        <v>7</v>
      </c>
      <c r="X19" s="251" t="n">
        <f aca="false">Pessoas!X41</f>
        <v>7</v>
      </c>
      <c r="Y19" s="251" t="n">
        <f aca="false">Pessoas!Y41</f>
        <v>7</v>
      </c>
      <c r="Z19" s="251" t="n">
        <f aca="false">Pessoas!Z41</f>
        <v>17</v>
      </c>
      <c r="AA19" s="251" t="n">
        <f aca="false">Pessoas!AA41</f>
        <v>17</v>
      </c>
      <c r="AB19" s="251" t="n">
        <f aca="false">Pessoas!AB41</f>
        <v>17</v>
      </c>
      <c r="AC19" s="251" t="n">
        <f aca="false">Pessoas!AC41</f>
        <v>17</v>
      </c>
      <c r="AD19" s="251" t="n">
        <f aca="false">Pessoas!AD41</f>
        <v>17</v>
      </c>
      <c r="AE19" s="251" t="n">
        <f aca="false">Pessoas!AE41</f>
        <v>17</v>
      </c>
      <c r="AF19" s="251" t="n">
        <f aca="false">Pessoas!AF41</f>
        <v>17</v>
      </c>
      <c r="AG19" s="251" t="n">
        <f aca="false">Pessoas!AG41</f>
        <v>17</v>
      </c>
      <c r="AH19" s="251" t="n">
        <f aca="false">Pessoas!AH41</f>
        <v>17</v>
      </c>
      <c r="AI19" s="251" t="n">
        <f aca="false">Pessoas!AI41</f>
        <v>17</v>
      </c>
      <c r="AJ19" s="251" t="n">
        <f aca="false">Pessoas!AJ41</f>
        <v>17</v>
      </c>
      <c r="AK19" s="251" t="n">
        <f aca="false">Pessoas!AK41</f>
        <v>17</v>
      </c>
      <c r="AL19" s="251" t="n">
        <f aca="false">Pessoas!AL41</f>
        <v>34</v>
      </c>
      <c r="AM19" s="251" t="n">
        <f aca="false">Pessoas!AM41</f>
        <v>34</v>
      </c>
      <c r="AN19" s="251" t="n">
        <f aca="false">Pessoas!AN41</f>
        <v>34</v>
      </c>
      <c r="AO19" s="251" t="n">
        <f aca="false">Pessoas!AO41</f>
        <v>34</v>
      </c>
      <c r="AP19" s="251" t="n">
        <f aca="false">Pessoas!AP41</f>
        <v>34</v>
      </c>
      <c r="AQ19" s="251" t="n">
        <f aca="false">Pessoas!AQ41</f>
        <v>34</v>
      </c>
      <c r="AR19" s="251" t="n">
        <f aca="false">Pessoas!AR41</f>
        <v>34</v>
      </c>
      <c r="AS19" s="251" t="n">
        <f aca="false">Pessoas!AS41</f>
        <v>34</v>
      </c>
      <c r="AT19" s="251" t="n">
        <f aca="false">Pessoas!AT41</f>
        <v>34</v>
      </c>
      <c r="AU19" s="251" t="n">
        <f aca="false">Pessoas!AU41</f>
        <v>34</v>
      </c>
      <c r="AV19" s="251" t="n">
        <f aca="false">Pessoas!AV41</f>
        <v>34</v>
      </c>
      <c r="AW19" s="251" t="n">
        <f aca="false">Pessoas!AW41</f>
        <v>34</v>
      </c>
      <c r="AX19" s="251" t="n">
        <f aca="false">Pessoas!AX41</f>
        <v>50</v>
      </c>
      <c r="AY19" s="251" t="n">
        <f aca="false">Pessoas!AY41</f>
        <v>50</v>
      </c>
      <c r="AZ19" s="251" t="n">
        <f aca="false">Pessoas!AZ41</f>
        <v>50</v>
      </c>
      <c r="BA19" s="251" t="n">
        <f aca="false">Pessoas!BA41</f>
        <v>50</v>
      </c>
      <c r="BB19" s="251" t="n">
        <f aca="false">Pessoas!BB41</f>
        <v>50</v>
      </c>
      <c r="BC19" s="251" t="n">
        <f aca="false">Pessoas!BC41</f>
        <v>50</v>
      </c>
      <c r="BD19" s="251" t="n">
        <f aca="false">Pessoas!BD41</f>
        <v>50</v>
      </c>
      <c r="BE19" s="251" t="n">
        <f aca="false">Pessoas!BE41</f>
        <v>50</v>
      </c>
      <c r="BF19" s="251" t="n">
        <f aca="false">Pessoas!BF41</f>
        <v>50</v>
      </c>
      <c r="BG19" s="251" t="n">
        <f aca="false">Pessoas!BG41</f>
        <v>50</v>
      </c>
      <c r="BH19" s="251" t="n">
        <f aca="false">Pessoas!BH41</f>
        <v>50</v>
      </c>
      <c r="BI19" s="251" t="n">
        <f aca="false">Pessoas!BI41</f>
        <v>50</v>
      </c>
    </row>
    <row r="20" customFormat="false" ht="15" hidden="false" customHeight="true" outlineLevel="0" collapsed="false">
      <c r="A20" s="49" t="s">
        <v>724</v>
      </c>
      <c r="B20" s="201" t="n">
        <f aca="false">B12-B14</f>
        <v>0</v>
      </c>
      <c r="C20" s="201" t="n">
        <f aca="false">C12-C14</f>
        <v>0</v>
      </c>
      <c r="D20" s="201" t="n">
        <f aca="false">D12-D14</f>
        <v>0</v>
      </c>
      <c r="E20" s="201" t="n">
        <f aca="false">E12-E14</f>
        <v>0</v>
      </c>
      <c r="F20" s="201" t="n">
        <f aca="false">F12-F14</f>
        <v>0</v>
      </c>
      <c r="G20" s="201" t="n">
        <f aca="false">G12-G14</f>
        <v>0</v>
      </c>
      <c r="H20" s="201" t="n">
        <f aca="false">H12-H14</f>
        <v>0</v>
      </c>
      <c r="I20" s="201" t="n">
        <f aca="false">I12-I14</f>
        <v>0</v>
      </c>
      <c r="J20" s="201" t="n">
        <f aca="false">J12-J14</f>
        <v>0</v>
      </c>
      <c r="K20" s="201" t="n">
        <f aca="false">K12-K14</f>
        <v>0</v>
      </c>
      <c r="L20" s="201" t="n">
        <f aca="false">L12-L14</f>
        <v>0</v>
      </c>
      <c r="M20" s="201" t="n">
        <f aca="false">M12-M14</f>
        <v>18010</v>
      </c>
      <c r="N20" s="201" t="n">
        <f aca="false">N12-N14</f>
        <v>43436.88</v>
      </c>
      <c r="O20" s="201" t="n">
        <f aca="false">O12-O14</f>
        <v>66691.436224</v>
      </c>
      <c r="P20" s="201" t="n">
        <f aca="false">P12-P14</f>
        <v>87944.5058199552</v>
      </c>
      <c r="Q20" s="201" t="n">
        <f aca="false">Q12-Q14</f>
        <v>107354.958982295</v>
      </c>
      <c r="R20" s="201" t="n">
        <f aca="false">R12-R14</f>
        <v>125067.523666826</v>
      </c>
      <c r="S20" s="201" t="n">
        <f aca="false">S12-S14</f>
        <v>141973.548287081</v>
      </c>
      <c r="T20" s="201" t="n">
        <f aca="false">T12-T14</f>
        <v>157608.707055892</v>
      </c>
      <c r="U20" s="201" t="n">
        <f aca="false">U12-U14</f>
        <v>172067.652285289</v>
      </c>
      <c r="V20" s="201" t="n">
        <f aca="false">V12-V14</f>
        <v>185438.617633435</v>
      </c>
      <c r="W20" s="201" t="n">
        <f aca="false">W12-W14</f>
        <v>197804.975987401</v>
      </c>
      <c r="X20" s="201" t="n">
        <f aca="false">X12-X14</f>
        <v>209240.755393149</v>
      </c>
      <c r="Y20" s="201" t="n">
        <f aca="false">Y12-Y14</f>
        <v>219817.116187584</v>
      </c>
      <c r="Z20" s="201" t="n">
        <f aca="false">Z12-Z14</f>
        <v>243512.231686516</v>
      </c>
      <c r="AA20" s="201" t="n">
        <f aca="false">AA12-AA14</f>
        <v>265727.981613059</v>
      </c>
      <c r="AB20" s="201" t="n">
        <f aca="false">AB12-AB14</f>
        <v>286372.742368795</v>
      </c>
      <c r="AC20" s="201" t="n">
        <f aca="false">AC12-AC14</f>
        <v>305558.16912423</v>
      </c>
      <c r="AD20" s="201" t="n">
        <f aca="false">AD12-AD14</f>
        <v>323387.812305176</v>
      </c>
      <c r="AE20" s="201" t="n">
        <f aca="false">AE12-AE14</f>
        <v>339956.690500948</v>
      </c>
      <c r="AF20" s="201" t="n">
        <f aca="false">AF12-AF14</f>
        <v>355354.822874817</v>
      </c>
      <c r="AG20" s="201" t="n">
        <f aca="false">AG12-AG14</f>
        <v>369664.723939442</v>
      </c>
      <c r="AH20" s="201" t="n">
        <f aca="false">AH12-AH14</f>
        <v>382962.863357611</v>
      </c>
      <c r="AI20" s="201" t="n">
        <f aca="false">AI12-AI14</f>
        <v>395321.093240588</v>
      </c>
      <c r="AJ20" s="201" t="n">
        <f aca="false">AJ12-AJ14</f>
        <v>406805.045241597</v>
      </c>
      <c r="AK20" s="201" t="n">
        <f aca="false">AK12-AK14</f>
        <v>417477.499579559</v>
      </c>
      <c r="AL20" s="201" t="n">
        <f aca="false">AL12-AL14</f>
        <v>448438.074273416</v>
      </c>
      <c r="AM20" s="201" t="n">
        <f aca="false">AM12-AM14</f>
        <v>477725.411417551</v>
      </c>
      <c r="AN20" s="201" t="n">
        <f aca="false">AN12-AN14</f>
        <v>505067.719477964</v>
      </c>
      <c r="AO20" s="201" t="n">
        <f aca="false">AO12-AO14</f>
        <v>530592.691187814</v>
      </c>
      <c r="AP20" s="201" t="n">
        <f aca="false">AP12-AP14</f>
        <v>554421.135836651</v>
      </c>
      <c r="AQ20" s="201" t="n">
        <f aca="false">AQ12-AQ14</f>
        <v>576666.569546111</v>
      </c>
      <c r="AR20" s="201" t="n">
        <f aca="false">AR12-AR14</f>
        <v>597433.76632372</v>
      </c>
      <c r="AS20" s="201" t="n">
        <f aca="false">AS12-AS14</f>
        <v>616821.272500982</v>
      </c>
      <c r="AT20" s="201" t="n">
        <f aca="false">AT12-AT14</f>
        <v>634920.886988746</v>
      </c>
      <c r="AU20" s="201" t="n">
        <f aca="false">AU12-AU14</f>
        <v>651817.109621173</v>
      </c>
      <c r="AV20" s="201" t="n">
        <f aca="false">AV12-AV14</f>
        <v>667590.559708725</v>
      </c>
      <c r="AW20" s="201" t="n">
        <f aca="false">AW12-AW14</f>
        <v>682316.366779677</v>
      </c>
      <c r="AX20" s="201" t="n">
        <f aca="false">AX12-AX14</f>
        <v>727585.745243423</v>
      </c>
      <c r="AY20" s="201" t="n">
        <f aca="false">AY12-AY14</f>
        <v>770677.944286096</v>
      </c>
      <c r="AZ20" s="201" t="n">
        <f aca="false">AZ12-AZ14</f>
        <v>811079.543527134</v>
      </c>
      <c r="BA20" s="201" t="n">
        <f aca="false">BA12-BA14</f>
        <v>848956.531298385</v>
      </c>
      <c r="BB20" s="201" t="n">
        <f aca="false">BB12-BB14</f>
        <v>884468.028634965</v>
      </c>
      <c r="BC20" s="201" t="n">
        <f aca="false">BC12-BC14</f>
        <v>917761.968045711</v>
      </c>
      <c r="BD20" s="201" t="n">
        <f aca="false">BD12-BD14</f>
        <v>948975.729887679</v>
      </c>
      <c r="BE20" s="201" t="n">
        <f aca="false">BE12-BE14</f>
        <v>978239.738992753</v>
      </c>
      <c r="BF20" s="201" t="n">
        <f aca="false">BF12-BF14</f>
        <v>1005676.024029</v>
      </c>
      <c r="BG20" s="201" t="n">
        <f aca="false">BG12-BG14</f>
        <v>1031399.74192438</v>
      </c>
      <c r="BH20" s="201" t="n">
        <f aca="false">BH12-BH14</f>
        <v>1055515.66953493</v>
      </c>
      <c r="BI20" s="201" t="n">
        <f aca="false">BI12-BI14</f>
        <v>1078125.66460352</v>
      </c>
      <c r="BJ20" s="202" t="n">
        <f aca="false">BI20</f>
        <v>1078125.66460352</v>
      </c>
    </row>
    <row r="21" customFormat="false" ht="15.75" hidden="false" customHeight="true" outlineLevel="0" collapsed="false"/>
    <row r="22" customFormat="false" ht="18" hidden="false" customHeight="true" outlineLevel="0" collapsed="false">
      <c r="A22" s="47" t="s">
        <v>725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</row>
    <row r="23" customFormat="false" ht="15.75" hidden="false" customHeight="true" outlineLevel="0" collapsed="false">
      <c r="A23" s="49" t="s">
        <v>726</v>
      </c>
      <c r="B23" s="168" t="n">
        <f aca="false" t="array" ref="B23:B23">B9*(1-INDEX(Premissas!$C$59:$G$59,B$7))*CHOOSE(Premissas!$B$6,INDEX(Premissas!$C$56:$G$56,B$7),INDEX(Premissas!$C$57:$G$57,B$7),INDEX(Premissas!$C$58:$G$58,B$7))</f>
        <v>0</v>
      </c>
      <c r="C23" s="168" t="n">
        <f aca="false" t="array" ref="C23:C23">C9*(1-INDEX(Premissas!$C$59:$G$59,C$7))*CHOOSE(Premissas!$B$6,INDEX(Premissas!$C$56:$G$56,C$7),INDEX(Premissas!$C$57:$G$57,C$7),INDEX(Premissas!$C$58:$G$58,C$7))</f>
        <v>0</v>
      </c>
      <c r="D23" s="168" t="n">
        <f aca="false" t="array" ref="D23:D23">D9*(1-INDEX(Premissas!$C$59:$G$59,D$7))*CHOOSE(Premissas!$B$6,INDEX(Premissas!$C$56:$G$56,D$7),INDEX(Premissas!$C$57:$G$57,D$7),INDEX(Premissas!$C$58:$G$58,D$7))</f>
        <v>0</v>
      </c>
      <c r="E23" s="168" t="n">
        <f aca="false" t="array" ref="E23:E23">E9*(1-INDEX(Premissas!$C$59:$G$59,E$7))*CHOOSE(Premissas!$B$6,INDEX(Premissas!$C$56:$G$56,E$7),INDEX(Premissas!$C$57:$G$57,E$7),INDEX(Premissas!$C$58:$G$58,E$7))</f>
        <v>0</v>
      </c>
      <c r="F23" s="168" t="n">
        <f aca="false" t="array" ref="F23:F23">F9*(1-INDEX(Premissas!$C$59:$G$59,F$7))*CHOOSE(Premissas!$B$6,INDEX(Premissas!$C$56:$G$56,F$7),INDEX(Premissas!$C$57:$G$57,F$7),INDEX(Premissas!$C$58:$G$58,F$7))</f>
        <v>0</v>
      </c>
      <c r="G23" s="168" t="n">
        <f aca="false" t="array" ref="G23:G23">G9*(1-INDEX(Premissas!$C$59:$G$59,G$7))*CHOOSE(Premissas!$B$6,INDEX(Premissas!$C$56:$G$56,G$7),INDEX(Premissas!$C$57:$G$57,G$7),INDEX(Premissas!$C$58:$G$58,G$7))</f>
        <v>0</v>
      </c>
      <c r="H23" s="168" t="n">
        <f aca="false" t="array" ref="H23:H23">H9*(1-INDEX(Premissas!$C$59:$G$59,H$7))*CHOOSE(Premissas!$B$6,INDEX(Premissas!$C$56:$G$56,H$7),INDEX(Premissas!$C$57:$G$57,H$7),INDEX(Premissas!$C$58:$G$58,H$7))</f>
        <v>0</v>
      </c>
      <c r="I23" s="168" t="n">
        <f aca="false" t="array" ref="I23:I23">I9*(1-INDEX(Premissas!$C$59:$G$59,I$7))*CHOOSE(Premissas!$B$6,INDEX(Premissas!$C$56:$G$56,I$7),INDEX(Premissas!$C$57:$G$57,I$7),INDEX(Premissas!$C$58:$G$58,I$7))</f>
        <v>0</v>
      </c>
      <c r="J23" s="168" t="n">
        <f aca="false" t="array" ref="J23:J23">J9*(1-INDEX(Premissas!$C$59:$G$59,J$7))*CHOOSE(Premissas!$B$6,INDEX(Premissas!$C$56:$G$56,J$7),INDEX(Premissas!$C$57:$G$57,J$7),INDEX(Premissas!$C$58:$G$58,J$7))</f>
        <v>0</v>
      </c>
      <c r="K23" s="168" t="n">
        <f aca="false" t="array" ref="K23:K23">K9*(1-INDEX(Premissas!$C$59:$G$59,K$7))*CHOOSE(Premissas!$B$6,INDEX(Premissas!$C$56:$G$56,K$7),INDEX(Premissas!$C$57:$G$57,K$7),INDEX(Premissas!$C$58:$G$58,K$7))</f>
        <v>0</v>
      </c>
      <c r="L23" s="168" t="n">
        <f aca="false" t="array" ref="L23:L23">L9*(1-INDEX(Premissas!$C$59:$G$59,L$7))*CHOOSE(Premissas!$B$6,INDEX(Premissas!$C$56:$G$56,L$7),INDEX(Premissas!$C$57:$G$57,L$7),INDEX(Premissas!$C$58:$G$58,L$7))</f>
        <v>0</v>
      </c>
      <c r="M23" s="168" t="n">
        <f aca="false" t="array" ref="M23:M23">M9*(1-INDEX(Premissas!$C$59:$G$59,M$7))*CHOOSE(Premissas!$B$6,INDEX(Premissas!$C$56:$G$56,M$7),INDEX(Premissas!$C$57:$G$57,M$7),INDEX(Premissas!$C$58:$G$58,M$7))</f>
        <v>31675</v>
      </c>
      <c r="N23" s="168" t="n">
        <f aca="false" t="array" ref="N23:N23">N9*(1-INDEX(Premissas!$C$59:$G$59,N$7))*CHOOSE(Premissas!$B$6,INDEX(Premissas!$C$56:$G$56,N$7),INDEX(Premissas!$C$57:$G$57,N$7),INDEX(Premissas!$C$58:$G$58,N$7))</f>
        <v>53078.25</v>
      </c>
      <c r="O23" s="168" t="n">
        <f aca="false" t="array" ref="O23:O23">O9*(1-INDEX(Premissas!$C$59:$G$59,O$7))*CHOOSE(Premissas!$B$6,INDEX(Premissas!$C$56:$G$56,O$7),INDEX(Premissas!$C$57:$G$57,O$7),INDEX(Premissas!$C$58:$G$58,O$7))</f>
        <v>53078.25</v>
      </c>
      <c r="P23" s="168" t="n">
        <f aca="false" t="array" ref="P23:P23">P9*(1-INDEX(Premissas!$C$59:$G$59,P$7))*CHOOSE(Premissas!$B$6,INDEX(Premissas!$C$56:$G$56,P$7),INDEX(Premissas!$C$57:$G$57,P$7),INDEX(Premissas!$C$58:$G$58,P$7))</f>
        <v>53078.25</v>
      </c>
      <c r="Q23" s="168" t="n">
        <f aca="false" t="array" ref="Q23:Q23">Q9*(1-INDEX(Premissas!$C$59:$G$59,Q$7))*CHOOSE(Premissas!$B$6,INDEX(Premissas!$C$56:$G$56,Q$7),INDEX(Premissas!$C$57:$G$57,Q$7),INDEX(Premissas!$C$58:$G$58,Q$7))</f>
        <v>53078.25</v>
      </c>
      <c r="R23" s="168" t="n">
        <f aca="false" t="array" ref="R23:R23">R9*(1-INDEX(Premissas!$C$59:$G$59,R$7))*CHOOSE(Premissas!$B$6,INDEX(Premissas!$C$56:$G$56,R$7),INDEX(Premissas!$C$57:$G$57,R$7),INDEX(Premissas!$C$58:$G$58,R$7))</f>
        <v>53078.25</v>
      </c>
      <c r="S23" s="168" t="n">
        <f aca="false" t="array" ref="S23:S23">S9*(1-INDEX(Premissas!$C$59:$G$59,S$7))*CHOOSE(Premissas!$B$6,INDEX(Premissas!$C$56:$G$56,S$7),INDEX(Premissas!$C$57:$G$57,S$7),INDEX(Premissas!$C$58:$G$58,S$7))</f>
        <v>53078.25</v>
      </c>
      <c r="T23" s="168" t="n">
        <f aca="false" t="array" ref="T23:T23">T9*(1-INDEX(Premissas!$C$59:$G$59,T$7))*CHOOSE(Premissas!$B$6,INDEX(Premissas!$C$56:$G$56,T$7),INDEX(Premissas!$C$57:$G$57,T$7),INDEX(Premissas!$C$58:$G$58,T$7))</f>
        <v>53078.25</v>
      </c>
      <c r="U23" s="168" t="n">
        <f aca="false" t="array" ref="U23:U23">U9*(1-INDEX(Premissas!$C$59:$G$59,U$7))*CHOOSE(Premissas!$B$6,INDEX(Premissas!$C$56:$G$56,U$7),INDEX(Premissas!$C$57:$G$57,U$7),INDEX(Premissas!$C$58:$G$58,U$7))</f>
        <v>53078.25</v>
      </c>
      <c r="V23" s="168" t="n">
        <f aca="false" t="array" ref="V23:V23">V9*(1-INDEX(Premissas!$C$59:$G$59,V$7))*CHOOSE(Premissas!$B$6,INDEX(Premissas!$C$56:$G$56,V$7),INDEX(Premissas!$C$57:$G$57,V$7),INDEX(Premissas!$C$58:$G$58,V$7))</f>
        <v>53078.25</v>
      </c>
      <c r="W23" s="168" t="n">
        <f aca="false" t="array" ref="W23:W23">W9*(1-INDEX(Premissas!$C$59:$G$59,W$7))*CHOOSE(Premissas!$B$6,INDEX(Premissas!$C$56:$G$56,W$7),INDEX(Premissas!$C$57:$G$57,W$7),INDEX(Premissas!$C$58:$G$58,W$7))</f>
        <v>53078.25</v>
      </c>
      <c r="X23" s="168" t="n">
        <f aca="false" t="array" ref="X23:X23">X9*(1-INDEX(Premissas!$C$59:$G$59,X$7))*CHOOSE(Premissas!$B$6,INDEX(Premissas!$C$56:$G$56,X$7),INDEX(Premissas!$C$57:$G$57,X$7),INDEX(Premissas!$C$58:$G$58,X$7))</f>
        <v>53078.25</v>
      </c>
      <c r="Y23" s="168" t="n">
        <f aca="false" t="array" ref="Y23:Y23">Y9*(1-INDEX(Premissas!$C$59:$G$59,Y$7))*CHOOSE(Premissas!$B$6,INDEX(Premissas!$C$56:$G$56,Y$7),INDEX(Premissas!$C$57:$G$57,Y$7),INDEX(Premissas!$C$58:$G$58,Y$7))</f>
        <v>53078.25</v>
      </c>
      <c r="Z23" s="168" t="n">
        <f aca="false" t="array" ref="Z23:Z23">Z9*(1-INDEX(Premissas!$C$59:$G$59,Z$7))*CHOOSE(Premissas!$B$6,INDEX(Premissas!$C$56:$G$56,Z$7),INDEX(Premissas!$C$57:$G$57,Z$7),INDEX(Premissas!$C$58:$G$58,Z$7))</f>
        <v>87520.5703125</v>
      </c>
      <c r="AA23" s="168" t="n">
        <f aca="false" t="array" ref="AA23:AA23">AA9*(1-INDEX(Premissas!$C$59:$G$59,AA$7))*CHOOSE(Premissas!$B$6,INDEX(Premissas!$C$56:$G$56,AA$7),INDEX(Premissas!$C$57:$G$57,AA$7),INDEX(Premissas!$C$58:$G$58,AA$7))</f>
        <v>87520.5703125</v>
      </c>
      <c r="AB23" s="168" t="n">
        <f aca="false" t="array" ref="AB23:AB23">AB9*(1-INDEX(Premissas!$C$59:$G$59,AB$7))*CHOOSE(Premissas!$B$6,INDEX(Premissas!$C$56:$G$56,AB$7),INDEX(Premissas!$C$57:$G$57,AB$7),INDEX(Premissas!$C$58:$G$58,AB$7))</f>
        <v>87520.5703125</v>
      </c>
      <c r="AC23" s="168" t="n">
        <f aca="false" t="array" ref="AC23:AC23">AC9*(1-INDEX(Premissas!$C$59:$G$59,AC$7))*CHOOSE(Premissas!$B$6,INDEX(Premissas!$C$56:$G$56,AC$7),INDEX(Premissas!$C$57:$G$57,AC$7),INDEX(Premissas!$C$58:$G$58,AC$7))</f>
        <v>87520.5703125</v>
      </c>
      <c r="AD23" s="168" t="n">
        <f aca="false" t="array" ref="AD23:AD23">AD9*(1-INDEX(Premissas!$C$59:$G$59,AD$7))*CHOOSE(Premissas!$B$6,INDEX(Premissas!$C$56:$G$56,AD$7),INDEX(Premissas!$C$57:$G$57,AD$7),INDEX(Premissas!$C$58:$G$58,AD$7))</f>
        <v>87520.5703125</v>
      </c>
      <c r="AE23" s="168" t="n">
        <f aca="false" t="array" ref="AE23:AE23">AE9*(1-INDEX(Premissas!$C$59:$G$59,AE$7))*CHOOSE(Premissas!$B$6,INDEX(Premissas!$C$56:$G$56,AE$7),INDEX(Premissas!$C$57:$G$57,AE$7),INDEX(Premissas!$C$58:$G$58,AE$7))</f>
        <v>87520.5703125</v>
      </c>
      <c r="AF23" s="168" t="n">
        <f aca="false" t="array" ref="AF23:AF23">AF9*(1-INDEX(Premissas!$C$59:$G$59,AF$7))*CHOOSE(Premissas!$B$6,INDEX(Premissas!$C$56:$G$56,AF$7),INDEX(Premissas!$C$57:$G$57,AF$7),INDEX(Premissas!$C$58:$G$58,AF$7))</f>
        <v>87520.5703125</v>
      </c>
      <c r="AG23" s="168" t="n">
        <f aca="false" t="array" ref="AG23:AG23">AG9*(1-INDEX(Premissas!$C$59:$G$59,AG$7))*CHOOSE(Premissas!$B$6,INDEX(Premissas!$C$56:$G$56,AG$7),INDEX(Premissas!$C$57:$G$57,AG$7),INDEX(Premissas!$C$58:$G$58,AG$7))</f>
        <v>87520.5703125</v>
      </c>
      <c r="AH23" s="168" t="n">
        <f aca="false" t="array" ref="AH23:AH23">AH9*(1-INDEX(Premissas!$C$59:$G$59,AH$7))*CHOOSE(Premissas!$B$6,INDEX(Premissas!$C$56:$G$56,AH$7),INDEX(Premissas!$C$57:$G$57,AH$7),INDEX(Premissas!$C$58:$G$58,AH$7))</f>
        <v>87520.5703125</v>
      </c>
      <c r="AI23" s="168" t="n">
        <f aca="false" t="array" ref="AI23:AI23">AI9*(1-INDEX(Premissas!$C$59:$G$59,AI$7))*CHOOSE(Premissas!$B$6,INDEX(Premissas!$C$56:$G$56,AI$7),INDEX(Premissas!$C$57:$G$57,AI$7),INDEX(Premissas!$C$58:$G$58,AI$7))</f>
        <v>87520.5703125</v>
      </c>
      <c r="AJ23" s="168" t="n">
        <f aca="false" t="array" ref="AJ23:AJ23">AJ9*(1-INDEX(Premissas!$C$59:$G$59,AJ$7))*CHOOSE(Premissas!$B$6,INDEX(Premissas!$C$56:$G$56,AJ$7),INDEX(Premissas!$C$57:$G$57,AJ$7),INDEX(Premissas!$C$58:$G$58,AJ$7))</f>
        <v>87520.5703125</v>
      </c>
      <c r="AK23" s="168" t="n">
        <f aca="false" t="array" ref="AK23:AK23">AK9*(1-INDEX(Premissas!$C$59:$G$59,AK$7))*CHOOSE(Premissas!$B$6,INDEX(Premissas!$C$56:$G$56,AK$7),INDEX(Premissas!$C$57:$G$57,AK$7),INDEX(Premissas!$C$58:$G$58,AK$7))</f>
        <v>87520.5703125</v>
      </c>
      <c r="AL23" s="168" t="n">
        <f aca="false" t="array" ref="AL23:AL23">AL9*(1-INDEX(Premissas!$C$59:$G$59,AL$7))*CHOOSE(Premissas!$B$6,INDEX(Premissas!$C$56:$G$56,AL$7),INDEX(Premissas!$C$57:$G$57,AL$7),INDEX(Premissas!$C$58:$G$58,AL$7))</f>
        <v>144004.999921875</v>
      </c>
      <c r="AM23" s="168" t="n">
        <f aca="false" t="array" ref="AM23:AM23">AM9*(1-INDEX(Premissas!$C$59:$G$59,AM$7))*CHOOSE(Premissas!$B$6,INDEX(Premissas!$C$56:$G$56,AM$7),INDEX(Premissas!$C$57:$G$57,AM$7),INDEX(Premissas!$C$58:$G$58,AM$7))</f>
        <v>144004.999921875</v>
      </c>
      <c r="AN23" s="168" t="n">
        <f aca="false" t="array" ref="AN23:AN23">AN9*(1-INDEX(Premissas!$C$59:$G$59,AN$7))*CHOOSE(Premissas!$B$6,INDEX(Premissas!$C$56:$G$56,AN$7),INDEX(Premissas!$C$57:$G$57,AN$7),INDEX(Premissas!$C$58:$G$58,AN$7))</f>
        <v>144004.999921875</v>
      </c>
      <c r="AO23" s="168" t="n">
        <f aca="false" t="array" ref="AO23:AO23">AO9*(1-INDEX(Premissas!$C$59:$G$59,AO$7))*CHOOSE(Premissas!$B$6,INDEX(Premissas!$C$56:$G$56,AO$7),INDEX(Premissas!$C$57:$G$57,AO$7),INDEX(Premissas!$C$58:$G$58,AO$7))</f>
        <v>144004.999921875</v>
      </c>
      <c r="AP23" s="168" t="n">
        <f aca="false" t="array" ref="AP23:AP23">AP9*(1-INDEX(Premissas!$C$59:$G$59,AP$7))*CHOOSE(Premissas!$B$6,INDEX(Premissas!$C$56:$G$56,AP$7),INDEX(Premissas!$C$57:$G$57,AP$7),INDEX(Premissas!$C$58:$G$58,AP$7))</f>
        <v>144004.999921875</v>
      </c>
      <c r="AQ23" s="168" t="n">
        <f aca="false" t="array" ref="AQ23:AQ23">AQ9*(1-INDEX(Premissas!$C$59:$G$59,AQ$7))*CHOOSE(Premissas!$B$6,INDEX(Premissas!$C$56:$G$56,AQ$7),INDEX(Premissas!$C$57:$G$57,AQ$7),INDEX(Premissas!$C$58:$G$58,AQ$7))</f>
        <v>144004.999921875</v>
      </c>
      <c r="AR23" s="168" t="n">
        <f aca="false" t="array" ref="AR23:AR23">AR9*(1-INDEX(Premissas!$C$59:$G$59,AR$7))*CHOOSE(Premissas!$B$6,INDEX(Premissas!$C$56:$G$56,AR$7),INDEX(Premissas!$C$57:$G$57,AR$7),INDEX(Premissas!$C$58:$G$58,AR$7))</f>
        <v>144004.999921875</v>
      </c>
      <c r="AS23" s="168" t="n">
        <f aca="false" t="array" ref="AS23:AS23">AS9*(1-INDEX(Premissas!$C$59:$G$59,AS$7))*CHOOSE(Premissas!$B$6,INDEX(Premissas!$C$56:$G$56,AS$7),INDEX(Premissas!$C$57:$G$57,AS$7),INDEX(Premissas!$C$58:$G$58,AS$7))</f>
        <v>144004.999921875</v>
      </c>
      <c r="AT23" s="168" t="n">
        <f aca="false" t="array" ref="AT23:AT23">AT9*(1-INDEX(Premissas!$C$59:$G$59,AT$7))*CHOOSE(Premissas!$B$6,INDEX(Premissas!$C$56:$G$56,AT$7),INDEX(Premissas!$C$57:$G$57,AT$7),INDEX(Premissas!$C$58:$G$58,AT$7))</f>
        <v>144004.999921875</v>
      </c>
      <c r="AU23" s="168" t="n">
        <f aca="false" t="array" ref="AU23:AU23">AU9*(1-INDEX(Premissas!$C$59:$G$59,AU$7))*CHOOSE(Premissas!$B$6,INDEX(Premissas!$C$56:$G$56,AU$7),INDEX(Premissas!$C$57:$G$57,AU$7),INDEX(Premissas!$C$58:$G$58,AU$7))</f>
        <v>144004.999921875</v>
      </c>
      <c r="AV23" s="168" t="n">
        <f aca="false" t="array" ref="AV23:AV23">AV9*(1-INDEX(Premissas!$C$59:$G$59,AV$7))*CHOOSE(Premissas!$B$6,INDEX(Premissas!$C$56:$G$56,AV$7),INDEX(Premissas!$C$57:$G$57,AV$7),INDEX(Premissas!$C$58:$G$58,AV$7))</f>
        <v>144004.999921875</v>
      </c>
      <c r="AW23" s="168" t="n">
        <f aca="false" t="array" ref="AW23:AW23">AW9*(1-INDEX(Premissas!$C$59:$G$59,AW$7))*CHOOSE(Premissas!$B$6,INDEX(Premissas!$C$56:$G$56,AW$7),INDEX(Premissas!$C$57:$G$57,AW$7),INDEX(Premissas!$C$58:$G$58,AW$7))</f>
        <v>144004.999921875</v>
      </c>
      <c r="AX23" s="168" t="n">
        <f aca="false" t="array" ref="AX23:AX23">AX9*(1-INDEX(Premissas!$C$59:$G$59,AX$7))*CHOOSE(Premissas!$B$6,INDEX(Premissas!$C$56:$G$56,AX$7),INDEX(Premissas!$C$57:$G$57,AX$7),INDEX(Premissas!$C$58:$G$58,AX$7))</f>
        <v>240395.443417969</v>
      </c>
      <c r="AY23" s="168" t="n">
        <f aca="false" t="array" ref="AY23:AY23">AY9*(1-INDEX(Premissas!$C$59:$G$59,AY$7))*CHOOSE(Premissas!$B$6,INDEX(Premissas!$C$56:$G$56,AY$7),INDEX(Premissas!$C$57:$G$57,AY$7),INDEX(Premissas!$C$58:$G$58,AY$7))</f>
        <v>240395.443417969</v>
      </c>
      <c r="AZ23" s="168" t="n">
        <f aca="false" t="array" ref="AZ23:AZ23">AZ9*(1-INDEX(Premissas!$C$59:$G$59,AZ$7))*CHOOSE(Premissas!$B$6,INDEX(Premissas!$C$56:$G$56,AZ$7),INDEX(Premissas!$C$57:$G$57,AZ$7),INDEX(Premissas!$C$58:$G$58,AZ$7))</f>
        <v>240395.443417969</v>
      </c>
      <c r="BA23" s="168" t="n">
        <f aca="false" t="array" ref="BA23:BA23">BA9*(1-INDEX(Premissas!$C$59:$G$59,BA$7))*CHOOSE(Premissas!$B$6,INDEX(Premissas!$C$56:$G$56,BA$7),INDEX(Premissas!$C$57:$G$57,BA$7),INDEX(Premissas!$C$58:$G$58,BA$7))</f>
        <v>240395.443417969</v>
      </c>
      <c r="BB23" s="168" t="n">
        <f aca="false" t="array" ref="BB23:BB23">BB9*(1-INDEX(Premissas!$C$59:$G$59,BB$7))*CHOOSE(Premissas!$B$6,INDEX(Premissas!$C$56:$G$56,BB$7),INDEX(Premissas!$C$57:$G$57,BB$7),INDEX(Premissas!$C$58:$G$58,BB$7))</f>
        <v>240395.443417969</v>
      </c>
      <c r="BC23" s="168" t="n">
        <f aca="false" t="array" ref="BC23:BC23">BC9*(1-INDEX(Premissas!$C$59:$G$59,BC$7))*CHOOSE(Premissas!$B$6,INDEX(Premissas!$C$56:$G$56,BC$7),INDEX(Premissas!$C$57:$G$57,BC$7),INDEX(Premissas!$C$58:$G$58,BC$7))</f>
        <v>240395.443417969</v>
      </c>
      <c r="BD23" s="168" t="n">
        <f aca="false" t="array" ref="BD23:BD23">BD9*(1-INDEX(Premissas!$C$59:$G$59,BD$7))*CHOOSE(Premissas!$B$6,INDEX(Premissas!$C$56:$G$56,BD$7),INDEX(Premissas!$C$57:$G$57,BD$7),INDEX(Premissas!$C$58:$G$58,BD$7))</f>
        <v>240395.443417969</v>
      </c>
      <c r="BE23" s="168" t="n">
        <f aca="false" t="array" ref="BE23:BE23">BE9*(1-INDEX(Premissas!$C$59:$G$59,BE$7))*CHOOSE(Premissas!$B$6,INDEX(Premissas!$C$56:$G$56,BE$7),INDEX(Premissas!$C$57:$G$57,BE$7),INDEX(Premissas!$C$58:$G$58,BE$7))</f>
        <v>240395.443417969</v>
      </c>
      <c r="BF23" s="168" t="n">
        <f aca="false" t="array" ref="BF23:BF23">BF9*(1-INDEX(Premissas!$C$59:$G$59,BF$7))*CHOOSE(Premissas!$B$6,INDEX(Premissas!$C$56:$G$56,BF$7),INDEX(Premissas!$C$57:$G$57,BF$7),INDEX(Premissas!$C$58:$G$58,BF$7))</f>
        <v>240395.443417969</v>
      </c>
      <c r="BG23" s="168" t="n">
        <f aca="false" t="array" ref="BG23:BG23">BG9*(1-INDEX(Premissas!$C$59:$G$59,BG$7))*CHOOSE(Premissas!$B$6,INDEX(Premissas!$C$56:$G$56,BG$7),INDEX(Premissas!$C$57:$G$57,BG$7),INDEX(Premissas!$C$58:$G$58,BG$7))</f>
        <v>240395.443417969</v>
      </c>
      <c r="BH23" s="168" t="n">
        <f aca="false" t="array" ref="BH23:BH23">BH9*(1-INDEX(Premissas!$C$59:$G$59,BH$7))*CHOOSE(Premissas!$B$6,INDEX(Premissas!$C$56:$G$56,BH$7),INDEX(Premissas!$C$57:$G$57,BH$7),INDEX(Premissas!$C$58:$G$58,BH$7))</f>
        <v>240395.443417969</v>
      </c>
      <c r="BI23" s="168" t="n">
        <f aca="false" t="array" ref="BI23:BI23">BI9*(1-INDEX(Premissas!$C$59:$G$59,BI$7))*CHOOSE(Premissas!$B$6,INDEX(Premissas!$C$56:$G$56,BI$7),INDEX(Premissas!$C$57:$G$57,BI$7),INDEX(Premissas!$C$58:$G$58,BI$7))</f>
        <v>240395.443417969</v>
      </c>
      <c r="BJ23" s="154" t="n">
        <f aca="false">SUM(B23:BI23)</f>
        <v>6331666.16382812</v>
      </c>
    </row>
    <row r="24" customFormat="false" ht="15.75" hidden="false" customHeight="true" outlineLevel="0" collapsed="false">
      <c r="A24" s="49" t="s">
        <v>727</v>
      </c>
      <c r="B24" s="254" t="n">
        <f aca="false">IFERROR(B23/B9,0)</f>
        <v>0</v>
      </c>
      <c r="C24" s="254" t="n">
        <f aca="false">IFERROR(C23/C9,0)</f>
        <v>0</v>
      </c>
      <c r="D24" s="254" t="n">
        <f aca="false">IFERROR(D23/D9,0)</f>
        <v>0</v>
      </c>
      <c r="E24" s="254" t="n">
        <f aca="false">IFERROR(E23/E9,0)</f>
        <v>0</v>
      </c>
      <c r="F24" s="254" t="n">
        <f aca="false">IFERROR(F23/F9,0)</f>
        <v>0</v>
      </c>
      <c r="G24" s="254" t="n">
        <f aca="false">IFERROR(G23/G9,0)</f>
        <v>0</v>
      </c>
      <c r="H24" s="254" t="n">
        <f aca="false">IFERROR(H23/H9,0)</f>
        <v>0</v>
      </c>
      <c r="I24" s="254" t="n">
        <f aca="false">IFERROR(I23/I9,0)</f>
        <v>0</v>
      </c>
      <c r="J24" s="254" t="n">
        <f aca="false">IFERROR(J23/J9,0)</f>
        <v>0</v>
      </c>
      <c r="K24" s="254" t="n">
        <f aca="false">IFERROR(K23/K9,0)</f>
        <v>0</v>
      </c>
      <c r="L24" s="254" t="n">
        <f aca="false">IFERROR(L23/L9,0)</f>
        <v>0</v>
      </c>
      <c r="M24" s="254" t="n">
        <f aca="false">IFERROR(M23/M9,0)</f>
        <v>1.75</v>
      </c>
      <c r="N24" s="254" t="n">
        <f aca="false">IFERROR(N23/N9,0)</f>
        <v>1.955</v>
      </c>
      <c r="O24" s="254" t="n">
        <f aca="false">IFERROR(O23/O9,0)</f>
        <v>1.955</v>
      </c>
      <c r="P24" s="254" t="n">
        <f aca="false">IFERROR(P23/P9,0)</f>
        <v>1.955</v>
      </c>
      <c r="Q24" s="254" t="n">
        <f aca="false">IFERROR(Q23/Q9,0)</f>
        <v>1.955</v>
      </c>
      <c r="R24" s="254" t="n">
        <f aca="false">IFERROR(R23/R9,0)</f>
        <v>1.955</v>
      </c>
      <c r="S24" s="254" t="n">
        <f aca="false">IFERROR(S23/S9,0)</f>
        <v>1.955</v>
      </c>
      <c r="T24" s="254" t="n">
        <f aca="false">IFERROR(T23/T9,0)</f>
        <v>1.955</v>
      </c>
      <c r="U24" s="254" t="n">
        <f aca="false">IFERROR(U23/U9,0)</f>
        <v>1.955</v>
      </c>
      <c r="V24" s="254" t="n">
        <f aca="false">IFERROR(V23/V9,0)</f>
        <v>1.955</v>
      </c>
      <c r="W24" s="254" t="n">
        <f aca="false">IFERROR(W23/W9,0)</f>
        <v>1.955</v>
      </c>
      <c r="X24" s="254" t="n">
        <f aca="false">IFERROR(X23/X9,0)</f>
        <v>1.955</v>
      </c>
      <c r="Y24" s="254" t="n">
        <f aca="false">IFERROR(Y23/Y9,0)</f>
        <v>1.955</v>
      </c>
      <c r="Z24" s="254" t="n">
        <f aca="false">IFERROR(Z23/Z9,0)</f>
        <v>2.1490625</v>
      </c>
      <c r="AA24" s="254" t="n">
        <f aca="false">IFERROR(AA23/AA9,0)</f>
        <v>2.1490625</v>
      </c>
      <c r="AB24" s="254" t="n">
        <f aca="false">IFERROR(AB23/AB9,0)</f>
        <v>2.1490625</v>
      </c>
      <c r="AC24" s="254" t="n">
        <f aca="false">IFERROR(AC23/AC9,0)</f>
        <v>2.1490625</v>
      </c>
      <c r="AD24" s="254" t="n">
        <f aca="false">IFERROR(AD23/AD9,0)</f>
        <v>2.1490625</v>
      </c>
      <c r="AE24" s="254" t="n">
        <f aca="false">IFERROR(AE23/AE9,0)</f>
        <v>2.1490625</v>
      </c>
      <c r="AF24" s="254" t="n">
        <f aca="false">IFERROR(AF23/AF9,0)</f>
        <v>2.1490625</v>
      </c>
      <c r="AG24" s="254" t="n">
        <f aca="false">IFERROR(AG23/AG9,0)</f>
        <v>2.1490625</v>
      </c>
      <c r="AH24" s="254" t="n">
        <f aca="false">IFERROR(AH23/AH9,0)</f>
        <v>2.1490625</v>
      </c>
      <c r="AI24" s="254" t="n">
        <f aca="false">IFERROR(AI23/AI9,0)</f>
        <v>2.1490625</v>
      </c>
      <c r="AJ24" s="254" t="n">
        <f aca="false">IFERROR(AJ23/AJ9,0)</f>
        <v>2.1490625</v>
      </c>
      <c r="AK24" s="254" t="n">
        <f aca="false">IFERROR(AK23/AK9,0)</f>
        <v>2.1490625</v>
      </c>
      <c r="AL24" s="254" t="n">
        <f aca="false">IFERROR(AL23/AL9,0)</f>
        <v>2.35735625</v>
      </c>
      <c r="AM24" s="254" t="n">
        <f aca="false">IFERROR(AM23/AM9,0)</f>
        <v>2.35735625</v>
      </c>
      <c r="AN24" s="254" t="n">
        <f aca="false">IFERROR(AN23/AN9,0)</f>
        <v>2.35735625</v>
      </c>
      <c r="AO24" s="254" t="n">
        <f aca="false">IFERROR(AO23/AO9,0)</f>
        <v>2.35735625</v>
      </c>
      <c r="AP24" s="254" t="n">
        <f aca="false">IFERROR(AP23/AP9,0)</f>
        <v>2.35735625</v>
      </c>
      <c r="AQ24" s="254" t="n">
        <f aca="false">IFERROR(AQ23/AQ9,0)</f>
        <v>2.35735625</v>
      </c>
      <c r="AR24" s="254" t="n">
        <f aca="false">IFERROR(AR23/AR9,0)</f>
        <v>2.35735625</v>
      </c>
      <c r="AS24" s="254" t="n">
        <f aca="false">IFERROR(AS23/AS9,0)</f>
        <v>2.35735625</v>
      </c>
      <c r="AT24" s="254" t="n">
        <f aca="false">IFERROR(AT23/AT9,0)</f>
        <v>2.35735625</v>
      </c>
      <c r="AU24" s="254" t="n">
        <f aca="false">IFERROR(AU23/AU9,0)</f>
        <v>2.35735625</v>
      </c>
      <c r="AV24" s="254" t="n">
        <f aca="false">IFERROR(AV23/AV9,0)</f>
        <v>2.35735625</v>
      </c>
      <c r="AW24" s="254" t="n">
        <f aca="false">IFERROR(AW23/AW9,0)</f>
        <v>2.35735625</v>
      </c>
      <c r="AX24" s="254" t="n">
        <f aca="false">IFERROR(AX23/AX9,0)</f>
        <v>2.623509375</v>
      </c>
      <c r="AY24" s="254" t="n">
        <f aca="false">IFERROR(AY23/AY9,0)</f>
        <v>2.623509375</v>
      </c>
      <c r="AZ24" s="254" t="n">
        <f aca="false">IFERROR(AZ23/AZ9,0)</f>
        <v>2.623509375</v>
      </c>
      <c r="BA24" s="254" t="n">
        <f aca="false">IFERROR(BA23/BA9,0)</f>
        <v>2.623509375</v>
      </c>
      <c r="BB24" s="254" t="n">
        <f aca="false">IFERROR(BB23/BB9,0)</f>
        <v>2.623509375</v>
      </c>
      <c r="BC24" s="254" t="n">
        <f aca="false">IFERROR(BC23/BC9,0)</f>
        <v>2.623509375</v>
      </c>
      <c r="BD24" s="254" t="n">
        <f aca="false">IFERROR(BD23/BD9,0)</f>
        <v>2.623509375</v>
      </c>
      <c r="BE24" s="254" t="n">
        <f aca="false">IFERROR(BE23/BE9,0)</f>
        <v>2.623509375</v>
      </c>
      <c r="BF24" s="254" t="n">
        <f aca="false">IFERROR(BF23/BF9,0)</f>
        <v>2.623509375</v>
      </c>
      <c r="BG24" s="254" t="n">
        <f aca="false">IFERROR(BG23/BG9,0)</f>
        <v>2.623509375</v>
      </c>
      <c r="BH24" s="254" t="n">
        <f aca="false">IFERROR(BH23/BH9,0)</f>
        <v>2.623509375</v>
      </c>
      <c r="BI24" s="254" t="n">
        <f aca="false">IFERROR(BI23/BI9,0)</f>
        <v>2.623509375</v>
      </c>
      <c r="BJ24" s="255" t="n">
        <f aca="false">IFERROR(BJ23/BJ9,0)</f>
        <v>2.37565915216469</v>
      </c>
      <c r="BK24" s="51" t="s">
        <v>728</v>
      </c>
    </row>
    <row r="25" customFormat="false" ht="15.75" hidden="false" customHeight="true" outlineLevel="0" collapsed="false">
      <c r="A25" s="53" t="s">
        <v>729</v>
      </c>
      <c r="B25" s="256" t="n">
        <f aca="false">IFERROR(B23/(B9*B13),0)</f>
        <v>0</v>
      </c>
      <c r="C25" s="256" t="n">
        <f aca="false">IFERROR(C23/(C9*C13),0)</f>
        <v>0</v>
      </c>
      <c r="D25" s="256" t="n">
        <f aca="false">IFERROR(D23/(D9*D13),0)</f>
        <v>0</v>
      </c>
      <c r="E25" s="256" t="n">
        <f aca="false">IFERROR(E23/(E9*E13),0)</f>
        <v>0</v>
      </c>
      <c r="F25" s="256" t="n">
        <f aca="false">IFERROR(F23/(F9*F13),0)</f>
        <v>0</v>
      </c>
      <c r="G25" s="256" t="n">
        <f aca="false">IFERROR(G23/(G9*G13),0)</f>
        <v>0</v>
      </c>
      <c r="H25" s="256" t="n">
        <f aca="false">IFERROR(H23/(H9*H13),0)</f>
        <v>0</v>
      </c>
      <c r="I25" s="256" t="n">
        <f aca="false">IFERROR(I23/(I9*I13),0)</f>
        <v>0</v>
      </c>
      <c r="J25" s="256" t="n">
        <f aca="false">IFERROR(J23/(J9*J13),0)</f>
        <v>0</v>
      </c>
      <c r="K25" s="256" t="n">
        <f aca="false">IFERROR(K23/(K9*K13),0)</f>
        <v>0</v>
      </c>
      <c r="L25" s="256" t="n">
        <f aca="false">IFERROR(L23/(L9*L13),0)</f>
        <v>0</v>
      </c>
      <c r="M25" s="256" t="n">
        <f aca="false">IFERROR(M23/(M9*M13),0)</f>
        <v>350</v>
      </c>
      <c r="N25" s="256" t="n">
        <f aca="false">IFERROR(N23/(N9*N13),0)</f>
        <v>189.805825242718</v>
      </c>
      <c r="O25" s="256" t="n">
        <f aca="false">IFERROR(O23/(O9*O13),0)</f>
        <v>126.537216828479</v>
      </c>
      <c r="P25" s="256" t="n">
        <f aca="false">IFERROR(P23/(P9*P13),0)</f>
        <v>94.9029126213592</v>
      </c>
      <c r="Q25" s="256" t="n">
        <f aca="false">IFERROR(Q23/(Q9*Q13),0)</f>
        <v>75.9223300970874</v>
      </c>
      <c r="R25" s="256" t="n">
        <f aca="false">IFERROR(R23/(R9*R13),0)</f>
        <v>63.2686084142395</v>
      </c>
      <c r="S25" s="256" t="n">
        <f aca="false">IFERROR(S23/(S9*S13),0)</f>
        <v>63.2686084142395</v>
      </c>
      <c r="T25" s="256" t="n">
        <f aca="false">IFERROR(T23/(T9*T13),0)</f>
        <v>63.2686084142395</v>
      </c>
      <c r="U25" s="256" t="n">
        <f aca="false">IFERROR(U23/(U9*U13),0)</f>
        <v>63.2686084142395</v>
      </c>
      <c r="V25" s="256" t="n">
        <f aca="false">IFERROR(V23/(V9*V13),0)</f>
        <v>63.2686084142395</v>
      </c>
      <c r="W25" s="256" t="n">
        <f aca="false">IFERROR(W23/(W9*W13),0)</f>
        <v>63.2686084142395</v>
      </c>
      <c r="X25" s="256" t="n">
        <f aca="false">IFERROR(X23/(X9*X13),0)</f>
        <v>63.2686084142395</v>
      </c>
      <c r="Y25" s="256" t="n">
        <f aca="false">IFERROR(Y23/(Y9*Y13),0)</f>
        <v>63.2686084142395</v>
      </c>
      <c r="Z25" s="256" t="n">
        <f aca="false">IFERROR(Z23/(Z9*Z13),0)</f>
        <v>67.523250699092</v>
      </c>
      <c r="AA25" s="256" t="n">
        <f aca="false">IFERROR(AA23/(AA9*AA13),0)</f>
        <v>67.523250699092</v>
      </c>
      <c r="AB25" s="256" t="n">
        <f aca="false">IFERROR(AB23/(AB9*AB13),0)</f>
        <v>67.523250699092</v>
      </c>
      <c r="AC25" s="256" t="n">
        <f aca="false">IFERROR(AC23/(AC9*AC13),0)</f>
        <v>67.523250699092</v>
      </c>
      <c r="AD25" s="256" t="n">
        <f aca="false">IFERROR(AD23/(AD9*AD13),0)</f>
        <v>67.523250699092</v>
      </c>
      <c r="AE25" s="256" t="n">
        <f aca="false">IFERROR(AE23/(AE9*AE13),0)</f>
        <v>67.523250699092</v>
      </c>
      <c r="AF25" s="256" t="n">
        <f aca="false">IFERROR(AF23/(AF9*AF13),0)</f>
        <v>67.523250699092</v>
      </c>
      <c r="AG25" s="256" t="n">
        <f aca="false">IFERROR(AG23/(AG9*AG13),0)</f>
        <v>67.523250699092</v>
      </c>
      <c r="AH25" s="256" t="n">
        <f aca="false">IFERROR(AH23/(AH9*AH13),0)</f>
        <v>67.523250699092</v>
      </c>
      <c r="AI25" s="256" t="n">
        <f aca="false">IFERROR(AI23/(AI9*AI13),0)</f>
        <v>67.523250699092</v>
      </c>
      <c r="AJ25" s="256" t="n">
        <f aca="false">IFERROR(AJ23/(AJ9*AJ13),0)</f>
        <v>67.523250699092</v>
      </c>
      <c r="AK25" s="256" t="n">
        <f aca="false">IFERROR(AK23/(AK9*AK13),0)</f>
        <v>67.523250699092</v>
      </c>
      <c r="AL25" s="256" t="n">
        <f aca="false">IFERROR(AL23/(AL9*AL13),0)</f>
        <v>71.9104970103847</v>
      </c>
      <c r="AM25" s="256" t="n">
        <f aca="false">IFERROR(AM23/(AM9*AM13),0)</f>
        <v>71.9104970103847</v>
      </c>
      <c r="AN25" s="256" t="n">
        <f aca="false">IFERROR(AN23/(AN9*AN13),0)</f>
        <v>71.9104970103847</v>
      </c>
      <c r="AO25" s="256" t="n">
        <f aca="false">IFERROR(AO23/(AO9*AO13),0)</f>
        <v>71.9104970103847</v>
      </c>
      <c r="AP25" s="256" t="n">
        <f aca="false">IFERROR(AP23/(AP9*AP13),0)</f>
        <v>71.9104970103847</v>
      </c>
      <c r="AQ25" s="256" t="n">
        <f aca="false">IFERROR(AQ23/(AQ9*AQ13),0)</f>
        <v>71.9104970103847</v>
      </c>
      <c r="AR25" s="256" t="n">
        <f aca="false">IFERROR(AR23/(AR9*AR13),0)</f>
        <v>71.9104970103847</v>
      </c>
      <c r="AS25" s="256" t="n">
        <f aca="false">IFERROR(AS23/(AS9*AS13),0)</f>
        <v>71.9104970103847</v>
      </c>
      <c r="AT25" s="256" t="n">
        <f aca="false">IFERROR(AT23/(AT9*AT13),0)</f>
        <v>71.9104970103847</v>
      </c>
      <c r="AU25" s="256" t="n">
        <f aca="false">IFERROR(AU23/(AU9*AU13),0)</f>
        <v>71.9104970103847</v>
      </c>
      <c r="AV25" s="256" t="n">
        <f aca="false">IFERROR(AV23/(AV9*AV13),0)</f>
        <v>71.9104970103847</v>
      </c>
      <c r="AW25" s="256" t="n">
        <f aca="false">IFERROR(AW23/(AW9*AW13),0)</f>
        <v>71.9104970103847</v>
      </c>
      <c r="AX25" s="256" t="n">
        <f aca="false">IFERROR(AX23/(AX9*AX13),0)</f>
        <v>77.6984699924295</v>
      </c>
      <c r="AY25" s="256" t="n">
        <f aca="false">IFERROR(AY23/(AY9*AY13),0)</f>
        <v>77.6984699924295</v>
      </c>
      <c r="AZ25" s="256" t="n">
        <f aca="false">IFERROR(AZ23/(AZ9*AZ13),0)</f>
        <v>77.6984699924295</v>
      </c>
      <c r="BA25" s="256" t="n">
        <f aca="false">IFERROR(BA23/(BA9*BA13),0)</f>
        <v>77.6984699924295</v>
      </c>
      <c r="BB25" s="256" t="n">
        <f aca="false">IFERROR(BB23/(BB9*BB13),0)</f>
        <v>77.6984699924295</v>
      </c>
      <c r="BC25" s="256" t="n">
        <f aca="false">IFERROR(BC23/(BC9*BC13),0)</f>
        <v>77.6984699924295</v>
      </c>
      <c r="BD25" s="256" t="n">
        <f aca="false">IFERROR(BD23/(BD9*BD13),0)</f>
        <v>77.6984699924295</v>
      </c>
      <c r="BE25" s="256" t="n">
        <f aca="false">IFERROR(BE23/(BE9*BE13),0)</f>
        <v>77.6984699924295</v>
      </c>
      <c r="BF25" s="256" t="n">
        <f aca="false">IFERROR(BF23/(BF9*BF13),0)</f>
        <v>77.6984699924295</v>
      </c>
      <c r="BG25" s="256" t="n">
        <f aca="false">IFERROR(BG23/(BG9*BG13),0)</f>
        <v>77.6984699924295</v>
      </c>
      <c r="BH25" s="256" t="n">
        <f aca="false">IFERROR(BH23/(BH9*BH13),0)</f>
        <v>77.6984699924295</v>
      </c>
      <c r="BI25" s="256" t="n">
        <f aca="false">IFERROR(BI23/(BI9*BI13),0)</f>
        <v>77.6984699924295</v>
      </c>
      <c r="BK25" s="51" t="s">
        <v>730</v>
      </c>
    </row>
    <row r="26" customFormat="false" ht="15.75" hidden="false" customHeight="true" outlineLevel="0" collapsed="false">
      <c r="A26" s="49" t="s">
        <v>731</v>
      </c>
      <c r="B26" s="254" t="n">
        <f aca="false">IFERROR(CHOOSE(Premissas!$B$6,Cenários!B23,Cenários!B69,Cenários!B115)/B14,0)</f>
        <v>0</v>
      </c>
      <c r="C26" s="254" t="n">
        <f aca="false">IFERROR(CHOOSE(Premissas!$B$6,Cenários!C23,Cenários!C69,Cenários!C115)/C14,0)</f>
        <v>0</v>
      </c>
      <c r="D26" s="254" t="n">
        <f aca="false">IFERROR(CHOOSE(Premissas!$B$6,Cenários!D23,Cenários!D69,Cenários!D115)/D14,0)</f>
        <v>0</v>
      </c>
      <c r="E26" s="254" t="n">
        <f aca="false">IFERROR(CHOOSE(Premissas!$B$6,Cenários!E23,Cenários!E69,Cenários!E115)/E14,0)</f>
        <v>0</v>
      </c>
      <c r="F26" s="254" t="n">
        <f aca="false">IFERROR(CHOOSE(Premissas!$B$6,Cenários!F23,Cenários!F69,Cenários!F115)/F14,0)</f>
        <v>0</v>
      </c>
      <c r="G26" s="254" t="n">
        <f aca="false">IFERROR(CHOOSE(Premissas!$B$6,Cenários!G23,Cenários!G69,Cenários!G115)/G14,0)</f>
        <v>0</v>
      </c>
      <c r="H26" s="254" t="n">
        <f aca="false">IFERROR(CHOOSE(Premissas!$B$6,Cenários!H23,Cenários!H69,Cenários!H115)/H14,0)</f>
        <v>0</v>
      </c>
      <c r="I26" s="254" t="n">
        <f aca="false">IFERROR(CHOOSE(Premissas!$B$6,Cenários!I23,Cenários!I69,Cenários!I115)/I14,0)</f>
        <v>0</v>
      </c>
      <c r="J26" s="254" t="n">
        <f aca="false">IFERROR(CHOOSE(Premissas!$B$6,Cenários!J23,Cenários!J69,Cenários!J115)/J14,0)</f>
        <v>0</v>
      </c>
      <c r="K26" s="254" t="n">
        <f aca="false">IFERROR(CHOOSE(Premissas!$B$6,Cenários!K23,Cenários!K69,Cenários!K115)/K14,0)</f>
        <v>0</v>
      </c>
      <c r="L26" s="254" t="n">
        <f aca="false">IFERROR(CHOOSE(Premissas!$B$6,Cenários!L23,Cenários!L69,Cenários!L115)/L14,0)</f>
        <v>0</v>
      </c>
      <c r="M26" s="254" t="n">
        <f aca="false">IFERROR(CHOOSE(Premissas!$B$6,Cenários!M23,Cenários!M69,Cenários!M115)/M14,0)</f>
        <v>79.9</v>
      </c>
      <c r="N26" s="254" t="n">
        <f aca="false">IFERROR(CHOOSE(Premissas!$B$6,Cenários!N23,Cenários!N69,Cenários!N115)/N14,0)</f>
        <v>79.9</v>
      </c>
      <c r="O26" s="254" t="n">
        <f aca="false">IFERROR(CHOOSE(Premissas!$B$6,Cenários!O23,Cenários!O69,Cenários!O115)/O14,0)</f>
        <v>79.9</v>
      </c>
      <c r="P26" s="254" t="n">
        <f aca="false">IFERROR(CHOOSE(Premissas!$B$6,Cenários!P23,Cenários!P69,Cenários!P115)/P14,0)</f>
        <v>79.9</v>
      </c>
      <c r="Q26" s="254" t="n">
        <f aca="false">IFERROR(CHOOSE(Premissas!$B$6,Cenários!Q23,Cenários!Q69,Cenários!Q115)/Q14,0)</f>
        <v>79.9</v>
      </c>
      <c r="R26" s="254" t="n">
        <f aca="false">IFERROR(CHOOSE(Premissas!$B$6,Cenários!R23,Cenários!R69,Cenários!R115)/R14,0)</f>
        <v>79.9</v>
      </c>
      <c r="S26" s="254" t="n">
        <f aca="false">IFERROR(CHOOSE(Premissas!$B$6,Cenários!S23,Cenários!S69,Cenários!S115)/S14,0)</f>
        <v>79.9</v>
      </c>
      <c r="T26" s="254" t="n">
        <f aca="false">IFERROR(CHOOSE(Premissas!$B$6,Cenários!T23,Cenários!T69,Cenários!T115)/T14,0)</f>
        <v>79.9</v>
      </c>
      <c r="U26" s="254" t="n">
        <f aca="false">IFERROR(CHOOSE(Premissas!$B$6,Cenários!U23,Cenários!U69,Cenários!U115)/U14,0)</f>
        <v>79.9</v>
      </c>
      <c r="V26" s="254" t="n">
        <f aca="false">IFERROR(CHOOSE(Premissas!$B$6,Cenários!V23,Cenários!V69,Cenários!V115)/V14,0)</f>
        <v>79.9</v>
      </c>
      <c r="W26" s="254" t="n">
        <f aca="false">IFERROR(CHOOSE(Premissas!$B$6,Cenários!W23,Cenários!W69,Cenários!W115)/W14,0)</f>
        <v>79.9</v>
      </c>
      <c r="X26" s="254" t="n">
        <f aca="false">IFERROR(CHOOSE(Premissas!$B$6,Cenários!X23,Cenários!X69,Cenários!X115)/X14,0)</f>
        <v>79.9</v>
      </c>
      <c r="Y26" s="254" t="n">
        <f aca="false">IFERROR(CHOOSE(Premissas!$B$6,Cenários!Y23,Cenários!Y69,Cenários!Y115)/Y14,0)</f>
        <v>79.9</v>
      </c>
      <c r="Z26" s="254" t="n">
        <f aca="false">IFERROR(CHOOSE(Premissas!$B$6,Cenários!Z23,Cenários!Z69,Cenários!Z115)/Z14,0)</f>
        <v>84.6299312929419</v>
      </c>
      <c r="AA26" s="254" t="n">
        <f aca="false">IFERROR(CHOOSE(Premissas!$B$6,Cenários!AA23,Cenários!AA69,Cenários!AA115)/AA14,0)</f>
        <v>84.6282083571838</v>
      </c>
      <c r="AB26" s="254" t="n">
        <f aca="false">IFERROR(CHOOSE(Premissas!$B$6,Cenários!AB23,Cenários!AB69,Cenários!AB115)/AB14,0)</f>
        <v>84.6272466539197</v>
      </c>
      <c r="AC26" s="254" t="n">
        <f aca="false">IFERROR(CHOOSE(Premissas!$B$6,Cenários!AC23,Cenários!AC69,Cenários!AC115)/AC14,0)</f>
        <v>84.6264609258338</v>
      </c>
      <c r="AD26" s="254" t="n">
        <f aca="false">IFERROR(CHOOSE(Premissas!$B$6,Cenários!AD23,Cenários!AD69,Cenários!AD115)/AD14,0)</f>
        <v>84.6290095005174</v>
      </c>
      <c r="AE26" s="254" t="n">
        <f aca="false">IFERROR(CHOOSE(Premissas!$B$6,Cenários!AE23,Cenários!AE69,Cenários!AE115)/AE14,0)</f>
        <v>84.6275769506085</v>
      </c>
      <c r="AF26" s="254" t="n">
        <f aca="false">IFERROR(CHOOSE(Premissas!$B$6,Cenários!AF23,Cenários!AF69,Cenários!AF115)/AF14,0)</f>
        <v>84.6268789590824</v>
      </c>
      <c r="AG26" s="254" t="n">
        <f aca="false">IFERROR(CHOOSE(Premissas!$B$6,Cenários!AG23,Cenários!AG69,Cenários!AG115)/AG14,0)</f>
        <v>84.629616524029</v>
      </c>
      <c r="AH26" s="254" t="n">
        <f aca="false">IFERROR(CHOOSE(Premissas!$B$6,Cenários!AH23,Cenários!AH69,Cenários!AH115)/AH14,0)</f>
        <v>84.6274366510446</v>
      </c>
      <c r="AI26" s="254" t="n">
        <f aca="false">IFERROR(CHOOSE(Premissas!$B$6,Cenários!AI23,Cenários!AI69,Cenários!AI115)/AI14,0)</f>
        <v>84.6268103116584</v>
      </c>
      <c r="AJ26" s="254" t="n">
        <f aca="false">IFERROR(CHOOSE(Premissas!$B$6,Cenários!AJ23,Cenários!AJ69,Cenários!AJ115)/AJ14,0)</f>
        <v>84.6265310700666</v>
      </c>
      <c r="AK26" s="254" t="n">
        <f aca="false">IFERROR(CHOOSE(Premissas!$B$6,Cenários!AK23,Cenários!AK69,Cenários!AK115)/AK14,0)</f>
        <v>84.628344505975</v>
      </c>
      <c r="AL26" s="254" t="n">
        <f aca="false">IFERROR(CHOOSE(Premissas!$B$6,Cenários!AL23,Cenários!AL69,Cenários!AL115)/AL14,0)</f>
        <v>85.4103625238503</v>
      </c>
      <c r="AM26" s="254" t="n">
        <f aca="false">IFERROR(CHOOSE(Premissas!$B$6,Cenários!AM23,Cenários!AM69,Cenários!AM115)/AM14,0)</f>
        <v>85.4096899703557</v>
      </c>
      <c r="AN26" s="254" t="n">
        <f aca="false">IFERROR(CHOOSE(Premissas!$B$6,Cenários!AN23,Cenários!AN69,Cenários!AN115)/AN14,0)</f>
        <v>85.408826965767</v>
      </c>
      <c r="AO26" s="254" t="n">
        <f aca="false">IFERROR(CHOOSE(Premissas!$B$6,Cenários!AO23,Cenários!AO69,Cenários!AO115)/AO14,0)</f>
        <v>85.4097480954235</v>
      </c>
      <c r="AP26" s="254" t="n">
        <f aca="false">IFERROR(CHOOSE(Premissas!$B$6,Cenários!AP23,Cenários!AP69,Cenários!AP115)/AP14,0)</f>
        <v>85.4100260763131</v>
      </c>
      <c r="AQ26" s="254" t="n">
        <f aca="false">IFERROR(CHOOSE(Premissas!$B$6,Cenários!AQ23,Cenários!AQ69,Cenários!AQ115)/AQ14,0)</f>
        <v>85.4094090560246</v>
      </c>
      <c r="AR26" s="254" t="n">
        <f aca="false">IFERROR(CHOOSE(Premissas!$B$6,Cenários!AR23,Cenários!AR69,Cenários!AR115)/AR14,0)</f>
        <v>85.4102721122031</v>
      </c>
      <c r="AS26" s="254" t="n">
        <f aca="false">IFERROR(CHOOSE(Premissas!$B$6,Cenários!AS23,Cenários!AS69,Cenários!AS115)/AS14,0)</f>
        <v>85.4093752989572</v>
      </c>
      <c r="AT26" s="254" t="n">
        <f aca="false">IFERROR(CHOOSE(Premissas!$B$6,Cenários!AT23,Cenários!AT69,Cenários!AT115)/AT14,0)</f>
        <v>85.4101631116688</v>
      </c>
      <c r="AU26" s="254" t="n">
        <f aca="false">IFERROR(CHOOSE(Premissas!$B$6,Cenários!AU23,Cenários!AU69,Cenários!AU115)/AU14,0)</f>
        <v>85.409772768423</v>
      </c>
      <c r="AV26" s="254" t="n">
        <f aca="false">IFERROR(CHOOSE(Premissas!$B$6,Cenários!AV23,Cenários!AV69,Cenários!AV115)/AV14,0)</f>
        <v>85.4103769832501</v>
      </c>
      <c r="AW26" s="254" t="n">
        <f aca="false">IFERROR(CHOOSE(Premissas!$B$6,Cenários!AW23,Cenários!AW69,Cenários!AW115)/AW14,0)</f>
        <v>85.4093487849174</v>
      </c>
      <c r="AX26" s="254" t="n">
        <f aca="false">IFERROR(CHOOSE(Premissas!$B$6,Cenários!AX23,Cenários!AX69,Cenários!AX115)/AX14,0)</f>
        <v>86.1917525367734</v>
      </c>
      <c r="AY26" s="254" t="n">
        <f aca="false">IFERROR(CHOOSE(Premissas!$B$6,Cenários!AY23,Cenários!AY69,Cenários!AY115)/AY14,0)</f>
        <v>86.192187732066</v>
      </c>
      <c r="AZ26" s="254" t="n">
        <f aca="false">IFERROR(CHOOSE(Premissas!$B$6,Cenários!AZ23,Cenários!AZ69,Cenários!AZ115)/AZ14,0)</f>
        <v>86.1918216138024</v>
      </c>
      <c r="BA26" s="254" t="n">
        <f aca="false">IFERROR(CHOOSE(Premissas!$B$6,Cenários!BA23,Cenários!BA69,Cenários!BA115)/BA14,0)</f>
        <v>86.1920416624532</v>
      </c>
      <c r="BB26" s="254" t="n">
        <f aca="false">IFERROR(CHOOSE(Premissas!$B$6,Cenários!BB23,Cenários!BB69,Cenários!BB115)/BB14,0)</f>
        <v>86.1919600103533</v>
      </c>
      <c r="BC26" s="254" t="n">
        <f aca="false">IFERROR(CHOOSE(Premissas!$B$6,Cenários!BC23,Cenários!BC69,Cenários!BC115)/BC14,0)</f>
        <v>86.1915655888497</v>
      </c>
      <c r="BD26" s="254" t="n">
        <f aca="false">IFERROR(CHOOSE(Premissas!$B$6,Cenários!BD23,Cenários!BD69,Cenários!BD115)/BD14,0)</f>
        <v>86.1923828478379</v>
      </c>
      <c r="BE26" s="254" t="n">
        <f aca="false">IFERROR(CHOOSE(Premissas!$B$6,Cenários!BE23,Cenários!BE69,Cenários!BE115)/BE14,0)</f>
        <v>86.1918882550827</v>
      </c>
      <c r="BF26" s="254" t="n">
        <f aca="false">IFERROR(CHOOSE(Premissas!$B$6,Cenários!BF23,Cenários!BF69,Cenários!BF115)/BF14,0)</f>
        <v>86.1925051217847</v>
      </c>
      <c r="BG26" s="254" t="n">
        <f aca="false">IFERROR(CHOOSE(Premissas!$B$6,Cenários!BG23,Cenários!BG69,Cenários!BG115)/BG14,0)</f>
        <v>86.1920342933245</v>
      </c>
      <c r="BH26" s="254" t="n">
        <f aca="false">IFERROR(CHOOSE(Premissas!$B$6,Cenários!BH23,Cenários!BH69,Cenários!BH115)/BH14,0)</f>
        <v>86.1918964348651</v>
      </c>
      <c r="BI26" s="254" t="n">
        <f aca="false">IFERROR(CHOOSE(Premissas!$B$6,Cenários!BI23,Cenários!BI69,Cenários!BI115)/BI14,0)</f>
        <v>86.192</v>
      </c>
    </row>
    <row r="27" customFormat="false" ht="15.75" hidden="false" customHeight="true" outlineLevel="0" collapsed="false">
      <c r="A27" s="49" t="s">
        <v>732</v>
      </c>
      <c r="B27" s="254" t="n">
        <f aca="false">IFERROR(CHOOSE(Premissas!$B$6,Cenários!B28,Cenários!B74,Cenários!B120)/B12,0)</f>
        <v>0</v>
      </c>
      <c r="C27" s="254" t="n">
        <f aca="false">IFERROR(CHOOSE(Premissas!$B$6,Cenários!C28,Cenários!C74,Cenários!C120)/C12,0)</f>
        <v>0</v>
      </c>
      <c r="D27" s="254" t="n">
        <f aca="false">IFERROR(CHOOSE(Premissas!$B$6,Cenários!D28,Cenários!D74,Cenários!D120)/D12,0)</f>
        <v>0</v>
      </c>
      <c r="E27" s="254" t="n">
        <f aca="false">IFERROR(CHOOSE(Premissas!$B$6,Cenários!E28,Cenários!E74,Cenários!E120)/E12,0)</f>
        <v>0</v>
      </c>
      <c r="F27" s="254" t="n">
        <f aca="false">IFERROR(CHOOSE(Premissas!$B$6,Cenários!F28,Cenários!F74,Cenários!F120)/F12,0)</f>
        <v>0</v>
      </c>
      <c r="G27" s="254" t="n">
        <f aca="false">IFERROR(CHOOSE(Premissas!$B$6,Cenários!G28,Cenários!G74,Cenários!G120)/G12,0)</f>
        <v>0</v>
      </c>
      <c r="H27" s="254" t="n">
        <f aca="false">IFERROR(CHOOSE(Premissas!$B$6,Cenários!H28,Cenários!H74,Cenários!H120)/H12,0)</f>
        <v>0</v>
      </c>
      <c r="I27" s="254" t="n">
        <f aca="false">IFERROR(CHOOSE(Premissas!$B$6,Cenários!I28,Cenários!I74,Cenários!I120)/I12,0)</f>
        <v>0</v>
      </c>
      <c r="J27" s="254" t="n">
        <f aca="false">IFERROR(CHOOSE(Premissas!$B$6,Cenários!J28,Cenários!J74,Cenários!J120)/J12,0)</f>
        <v>0</v>
      </c>
      <c r="K27" s="254" t="n">
        <f aca="false">IFERROR(CHOOSE(Premissas!$B$6,Cenários!K28,Cenários!K74,Cenários!K120)/K12,0)</f>
        <v>0</v>
      </c>
      <c r="L27" s="254" t="n">
        <f aca="false">IFERROR(CHOOSE(Premissas!$B$6,Cenários!L28,Cenários!L74,Cenários!L120)/L12,0)</f>
        <v>0</v>
      </c>
      <c r="M27" s="254" t="n">
        <f aca="false">IFERROR(CHOOSE(Premissas!$B$6,Cenários!M28,Cenários!M74,Cenários!M120)/M12,0)</f>
        <v>0.397292817679558</v>
      </c>
      <c r="N27" s="254" t="n">
        <f aca="false">IFERROR(CHOOSE(Premissas!$B$6,Cenários!N28,Cenários!N74,Cenários!N120)/N12,0)</f>
        <v>0.875369027416512</v>
      </c>
      <c r="O27" s="254" t="n">
        <f aca="false">IFERROR(CHOOSE(Premissas!$B$6,Cenários!O28,Cenários!O74,Cenários!O120)/O12,0)</f>
        <v>1.28747536499611</v>
      </c>
      <c r="P27" s="254" t="n">
        <f aca="false">IFERROR(CHOOSE(Premissas!$B$6,Cenários!P28,Cenários!P74,Cenários!P120)/P12,0)</f>
        <v>1.75433017997121</v>
      </c>
      <c r="Q27" s="254" t="n">
        <f aca="false">IFERROR(CHOOSE(Premissas!$B$6,Cenários!Q28,Cenários!Q74,Cenários!Q120)/Q12,0)</f>
        <v>2.18901070526687</v>
      </c>
      <c r="R27" s="254" t="n">
        <f aca="false">IFERROR(CHOOSE(Premissas!$B$6,Cenários!R28,Cenários!R74,Cenários!R120)/R12,0)</f>
        <v>2.58932438920789</v>
      </c>
      <c r="S27" s="254" t="n">
        <f aca="false">IFERROR(CHOOSE(Premissas!$B$6,Cenários!S28,Cenários!S74,Cenários!S120)/S12,0)</f>
        <v>2.58120930744953</v>
      </c>
      <c r="T27" s="254" t="n">
        <f aca="false">IFERROR(CHOOSE(Premissas!$B$6,Cenários!T28,Cenários!T74,Cenários!T120)/T12,0)</f>
        <v>2.57502443498082</v>
      </c>
      <c r="U27" s="254" t="n">
        <f aca="false">IFERROR(CHOOSE(Premissas!$B$6,Cenários!U28,Cenários!U74,Cenários!U120)/U12,0)</f>
        <v>2.57050734169996</v>
      </c>
      <c r="V27" s="254" t="n">
        <f aca="false">IFERROR(CHOOSE(Premissas!$B$6,Cenários!V28,Cenários!V74,Cenários!V120)/V12,0)</f>
        <v>2.56723546945296</v>
      </c>
      <c r="W27" s="254" t="n">
        <f aca="false">IFERROR(CHOOSE(Premissas!$B$6,Cenários!W28,Cenários!W74,Cenários!W120)/W12,0)</f>
        <v>2.57405365950584</v>
      </c>
      <c r="X27" s="254" t="n">
        <f aca="false">IFERROR(CHOOSE(Premissas!$B$6,Cenários!X28,Cenários!X74,Cenários!X120)/X12,0)</f>
        <v>2.57130811307203</v>
      </c>
      <c r="Y27" s="254" t="n">
        <f aca="false">IFERROR(CHOOSE(Premissas!$B$6,Cenários!Y28,Cenários!Y74,Cenários!Y120)/Y12,0)</f>
        <v>2.56882884957558</v>
      </c>
      <c r="Z27" s="254" t="n">
        <f aca="false">IFERROR(CHOOSE(Premissas!$B$6,Cenários!Z28,Cenários!Z74,Cenários!Z120)/Z12,0)</f>
        <v>2.82374433358017</v>
      </c>
      <c r="AA27" s="254" t="n">
        <f aca="false">IFERROR(CHOOSE(Premissas!$B$6,Cenários!AA28,Cenários!AA74,Cenários!AA120)/AA12,0)</f>
        <v>2.82002660738535</v>
      </c>
      <c r="AB27" s="254" t="n">
        <f aca="false">IFERROR(CHOOSE(Premissas!$B$6,Cenários!AB28,Cenários!AB74,Cenários!AB120)/AB12,0)</f>
        <v>2.81727380099502</v>
      </c>
      <c r="AC27" s="254" t="n">
        <f aca="false">IFERROR(CHOOSE(Premissas!$B$6,Cenários!AC28,Cenários!AC74,Cenários!AC120)/AC12,0)</f>
        <v>2.81504802300847</v>
      </c>
      <c r="AD27" s="254" t="n">
        <f aca="false">IFERROR(CHOOSE(Premissas!$B$6,Cenários!AD28,Cenários!AD74,Cenários!AD120)/AD12,0)</f>
        <v>2.81321773343166</v>
      </c>
      <c r="AE27" s="254" t="n">
        <f aca="false">IFERROR(CHOOSE(Premissas!$B$6,Cenários!AE28,Cenários!AE74,Cenários!AE120)/AE12,0)</f>
        <v>2.81167757126324</v>
      </c>
      <c r="AF27" s="254" t="n">
        <f aca="false">IFERROR(CHOOSE(Premissas!$B$6,Cenários!AF28,Cenários!AF74,Cenários!AF120)/AF12,0)</f>
        <v>2.8102818510756</v>
      </c>
      <c r="AG27" s="254" t="n">
        <f aca="false">IFERROR(CHOOSE(Premissas!$B$6,Cenários!AG28,Cenários!AG74,Cenários!AG120)/AG12,0)</f>
        <v>2.80914374906956</v>
      </c>
      <c r="AH27" s="254" t="n">
        <f aca="false">IFERROR(CHOOSE(Premissas!$B$6,Cenários!AH28,Cenários!AH74,Cenários!AH120)/AH12,0)</f>
        <v>2.80806561904525</v>
      </c>
      <c r="AI27" s="254" t="n">
        <f aca="false">IFERROR(CHOOSE(Premissas!$B$6,Cenários!AI28,Cenários!AI74,Cenários!AI120)/AI12,0)</f>
        <v>2.80714641703624</v>
      </c>
      <c r="AJ27" s="254" t="n">
        <f aca="false">IFERROR(CHOOSE(Premissas!$B$6,Cenários!AJ28,Cenários!AJ74,Cenários!AJ120)/AJ12,0)</f>
        <v>2.80649165826977</v>
      </c>
      <c r="AK27" s="254" t="n">
        <f aca="false">IFERROR(CHOOSE(Premissas!$B$6,Cenários!AK28,Cenários!AK74,Cenários!AK120)/AK12,0)</f>
        <v>2.80592607491611</v>
      </c>
      <c r="AL27" s="254" t="n">
        <f aca="false">IFERROR(CHOOSE(Premissas!$B$6,Cenários!AL28,Cenários!AL74,Cenários!AL120)/AL12,0)</f>
        <v>2.96311784934635</v>
      </c>
      <c r="AM27" s="254" t="n">
        <f aca="false">IFERROR(CHOOSE(Premissas!$B$6,Cenários!AM28,Cenários!AM74,Cenários!AM120)/AM12,0)</f>
        <v>2.9617342976431</v>
      </c>
      <c r="AN27" s="254" t="n">
        <f aca="false">IFERROR(CHOOSE(Premissas!$B$6,Cenários!AN28,Cenários!AN74,Cenários!AN120)/AN12,0)</f>
        <v>2.96041090949855</v>
      </c>
      <c r="AO27" s="254" t="n">
        <f aca="false">IFERROR(CHOOSE(Premissas!$B$6,Cenários!AO28,Cenários!AO74,Cenários!AO120)/AO12,0)</f>
        <v>2.95943499291964</v>
      </c>
      <c r="AP27" s="254" t="n">
        <f aca="false">IFERROR(CHOOSE(Premissas!$B$6,Cenários!AP28,Cenários!AP74,Cenários!AP120)/AP12,0)</f>
        <v>2.95865944384057</v>
      </c>
      <c r="AQ27" s="254" t="n">
        <f aca="false">IFERROR(CHOOSE(Premissas!$B$6,Cenários!AQ28,Cenários!AQ74,Cenários!AQ120)/AQ12,0)</f>
        <v>2.95792066074636</v>
      </c>
      <c r="AR27" s="254" t="n">
        <f aca="false">IFERROR(CHOOSE(Premissas!$B$6,Cenários!AR28,Cenários!AR74,Cenários!AR120)/AR12,0)</f>
        <v>2.95734038065743</v>
      </c>
      <c r="AS27" s="254" t="n">
        <f aca="false">IFERROR(CHOOSE(Premissas!$B$6,Cenários!AS28,Cenários!AS74,Cenários!AS120)/AS12,0)</f>
        <v>2.95675016493392</v>
      </c>
      <c r="AT27" s="254" t="n">
        <f aca="false">IFERROR(CHOOSE(Premissas!$B$6,Cenários!AT28,Cenários!AT74,Cenários!AT120)/AT12,0)</f>
        <v>2.95623852639487</v>
      </c>
      <c r="AU27" s="254" t="n">
        <f aca="false">IFERROR(CHOOSE(Premissas!$B$6,Cenários!AU28,Cenários!AU74,Cenários!AU120)/AU12,0)</f>
        <v>2.9558436692846</v>
      </c>
      <c r="AV27" s="254" t="n">
        <f aca="false">IFERROR(CHOOSE(Premissas!$B$6,Cenários!AV28,Cenários!AV74,Cenários!AV120)/AV12,0)</f>
        <v>2.95553341068299</v>
      </c>
      <c r="AW27" s="254" t="n">
        <f aca="false">IFERROR(CHOOSE(Premissas!$B$6,Cenários!AW28,Cenários!AW74,Cenários!AW120)/AW12,0)</f>
        <v>2.95515073877076</v>
      </c>
      <c r="AX27" s="254" t="n">
        <f aca="false">IFERROR(CHOOSE(Premissas!$B$6,Cenários!AX28,Cenários!AX74,Cenários!AX120)/AX12,0)</f>
        <v>3.09960444861731</v>
      </c>
      <c r="AY27" s="254" t="n">
        <f aca="false">IFERROR(CHOOSE(Premissas!$B$6,Cenários!AY28,Cenários!AY74,Cenários!AY120)/AY12,0)</f>
        <v>3.09883265367552</v>
      </c>
      <c r="AZ27" s="254" t="n">
        <f aca="false">IFERROR(CHOOSE(Premissas!$B$6,Cenários!AZ28,Cenários!AZ74,Cenários!AZ120)/AZ12,0)</f>
        <v>3.09806278753245</v>
      </c>
      <c r="BA27" s="254" t="n">
        <f aca="false">IFERROR(CHOOSE(Premissas!$B$6,Cenários!BA28,Cenários!BA74,Cenários!BA120)/BA12,0)</f>
        <v>3.0975364544988</v>
      </c>
      <c r="BB27" s="254" t="n">
        <f aca="false">IFERROR(CHOOSE(Premissas!$B$6,Cenários!BB28,Cenários!BB74,Cenários!BB120)/BB12,0)</f>
        <v>3.0970462589442</v>
      </c>
      <c r="BC27" s="254" t="n">
        <f aca="false">IFERROR(CHOOSE(Premissas!$B$6,Cenários!BC28,Cenários!BC74,Cenários!BC120)/BC12,0)</f>
        <v>3.09656599460807</v>
      </c>
      <c r="BD27" s="254" t="n">
        <f aca="false">IFERROR(CHOOSE(Premissas!$B$6,Cenários!BD28,Cenários!BD74,Cenários!BD120)/BD12,0)</f>
        <v>3.0962418102786</v>
      </c>
      <c r="BE27" s="254" t="n">
        <f aca="false">IFERROR(CHOOSE(Premissas!$B$6,Cenários!BE28,Cenários!BE74,Cenários!BE120)/BE12,0)</f>
        <v>3.09592793281809</v>
      </c>
      <c r="BF27" s="254" t="n">
        <f aca="false">IFERROR(CHOOSE(Premissas!$B$6,Cenários!BF28,Cenários!BF74,Cenários!BF120)/BF12,0)</f>
        <v>3.09567728312199</v>
      </c>
      <c r="BG27" s="254" t="n">
        <f aca="false">IFERROR(CHOOSE(Premissas!$B$6,Cenários!BG28,Cenários!BG74,Cenários!BG120)/BG12,0)</f>
        <v>3.09533108465496</v>
      </c>
      <c r="BH27" s="254" t="n">
        <f aca="false">IFERROR(CHOOSE(Premissas!$B$6,Cenários!BH28,Cenários!BH74,Cenários!BH120)/BH12,0)</f>
        <v>3.09511730582154</v>
      </c>
      <c r="BI27" s="254" t="n">
        <f aca="false">IFERROR(CHOOSE(Premissas!$B$6,Cenários!BI28,Cenários!BI74,Cenários!BI120)/BI12,0)</f>
        <v>3.09490648809811</v>
      </c>
    </row>
    <row r="28" customFormat="false" ht="15.75" hidden="false" customHeight="true" outlineLevel="0" collapsed="false">
      <c r="A28" s="49" t="s">
        <v>733</v>
      </c>
      <c r="B28" s="254" t="n">
        <f aca="false">IFERROR((CHOOSE(Premissas!$B$6,Cenários!B34,Cenários!B80,Cenários!B126)+CHOOSE(Premissas!$B$6,Cenários!B35,Cenários!B81,Cenários!B127)+CHOOSE(Premissas!$B$6,Cenários!B36,Cenários!B82,Cenários!B128))/B14,0)</f>
        <v>0</v>
      </c>
      <c r="C28" s="254" t="n">
        <f aca="false">IFERROR((CHOOSE(Premissas!$B$6,Cenários!C34,Cenários!C80,Cenários!C126)+CHOOSE(Premissas!$B$6,Cenários!C35,Cenários!C81,Cenários!C127)+CHOOSE(Premissas!$B$6,Cenários!C36,Cenários!C82,Cenários!C128))/C14,0)</f>
        <v>0</v>
      </c>
      <c r="D28" s="254" t="n">
        <f aca="false">IFERROR((CHOOSE(Premissas!$B$6,Cenários!D34,Cenários!D80,Cenários!D126)+CHOOSE(Premissas!$B$6,Cenários!D35,Cenários!D81,Cenários!D127)+CHOOSE(Premissas!$B$6,Cenários!D36,Cenários!D82,Cenários!D128))/D14,0)</f>
        <v>0</v>
      </c>
      <c r="E28" s="254" t="n">
        <f aca="false">IFERROR((CHOOSE(Premissas!$B$6,Cenários!E34,Cenários!E80,Cenários!E126)+CHOOSE(Premissas!$B$6,Cenários!E35,Cenários!E81,Cenários!E127)+CHOOSE(Premissas!$B$6,Cenários!E36,Cenários!E82,Cenários!E128))/E14,0)</f>
        <v>0</v>
      </c>
      <c r="F28" s="254" t="n">
        <f aca="false">IFERROR((CHOOSE(Premissas!$B$6,Cenários!F34,Cenários!F80,Cenários!F126)+CHOOSE(Premissas!$B$6,Cenários!F35,Cenários!F81,Cenários!F127)+CHOOSE(Premissas!$B$6,Cenários!F36,Cenários!F82,Cenários!F128))/F14,0)</f>
        <v>0</v>
      </c>
      <c r="G28" s="254" t="n">
        <f aca="false">IFERROR((CHOOSE(Premissas!$B$6,Cenários!G34,Cenários!G80,Cenários!G126)+CHOOSE(Premissas!$B$6,Cenários!G35,Cenários!G81,Cenários!G127)+CHOOSE(Premissas!$B$6,Cenários!G36,Cenários!G82,Cenários!G128))/G14,0)</f>
        <v>0</v>
      </c>
      <c r="H28" s="254" t="n">
        <f aca="false">IFERROR((CHOOSE(Premissas!$B$6,Cenários!H34,Cenários!H80,Cenários!H126)+CHOOSE(Premissas!$B$6,Cenários!H35,Cenários!H81,Cenários!H127)+CHOOSE(Premissas!$B$6,Cenários!H36,Cenários!H82,Cenários!H128))/H14,0)</f>
        <v>0</v>
      </c>
      <c r="I28" s="254" t="n">
        <f aca="false">IFERROR((CHOOSE(Premissas!$B$6,Cenários!I34,Cenários!I80,Cenários!I126)+CHOOSE(Premissas!$B$6,Cenários!I35,Cenários!I81,Cenários!I127)+CHOOSE(Premissas!$B$6,Cenários!I36,Cenários!I82,Cenários!I128))/I14,0)</f>
        <v>0</v>
      </c>
      <c r="J28" s="254" t="n">
        <f aca="false">IFERROR((CHOOSE(Premissas!$B$6,Cenários!J34,Cenários!J80,Cenários!J126)+CHOOSE(Premissas!$B$6,Cenários!J35,Cenários!J81,Cenários!J127)+CHOOSE(Premissas!$B$6,Cenários!J36,Cenários!J82,Cenários!J128))/J14,0)</f>
        <v>0</v>
      </c>
      <c r="K28" s="254" t="n">
        <f aca="false">IFERROR((CHOOSE(Premissas!$B$6,Cenários!K34,Cenários!K80,Cenários!K126)+CHOOSE(Premissas!$B$6,Cenários!K35,Cenários!K81,Cenários!K127)+CHOOSE(Premissas!$B$6,Cenários!K36,Cenários!K82,Cenários!K128))/K14,0)</f>
        <v>0</v>
      </c>
      <c r="L28" s="254" t="n">
        <f aca="false">IFERROR((CHOOSE(Premissas!$B$6,Cenários!L34,Cenários!L80,Cenários!L126)+CHOOSE(Premissas!$B$6,Cenários!L35,Cenários!L81,Cenários!L127)+CHOOSE(Premissas!$B$6,Cenários!L36,Cenários!L82,Cenários!L128))/L14,0)</f>
        <v>0</v>
      </c>
      <c r="M28" s="254" t="n">
        <f aca="false">IFERROR((CHOOSE(Premissas!$B$6,Cenários!M34,Cenários!M80,Cenários!M126)+CHOOSE(Premissas!$B$6,Cenários!M35,Cenários!M81,Cenários!M127)+CHOOSE(Premissas!$B$6,Cenários!M36,Cenários!M82,Cenários!M128))/M14,0)</f>
        <v>13.7700361111111</v>
      </c>
      <c r="N28" s="254" t="n">
        <f aca="false">IFERROR((CHOOSE(Premissas!$B$6,Cenários!N34,Cenários!N80,Cenários!N126)+CHOOSE(Premissas!$B$6,Cenários!N35,Cenários!N81,Cenários!N127)+CHOOSE(Premissas!$B$6,Cenários!N36,Cenários!N82,Cenários!N128))/N14,0)</f>
        <v>21.5836109734513</v>
      </c>
      <c r="O28" s="254" t="n">
        <f aca="false">IFERROR((CHOOSE(Premissas!$B$6,Cenários!O34,Cenários!O80,Cenários!O126)+CHOOSE(Premissas!$B$6,Cenários!O35,Cenários!O81,Cenários!O127)+CHOOSE(Premissas!$B$6,Cenários!O36,Cenários!O82,Cenários!O128))/O14,0)</f>
        <v>24.0139736360344</v>
      </c>
      <c r="P28" s="254" t="n">
        <f aca="false">IFERROR((CHOOSE(Premissas!$B$6,Cenários!P34,Cenários!P80,Cenários!P126)+CHOOSE(Premissas!$B$6,Cenários!P35,Cenários!P81,Cenários!P127)+CHOOSE(Premissas!$B$6,Cenários!P36,Cenários!P82,Cenários!P128))/P14,0)</f>
        <v>26.9786589881292</v>
      </c>
      <c r="Q28" s="254" t="n">
        <f aca="false">IFERROR((CHOOSE(Premissas!$B$6,Cenários!Q34,Cenários!Q80,Cenários!Q126)+CHOOSE(Premissas!$B$6,Cenários!Q35,Cenários!Q81,Cenários!Q127)+CHOOSE(Premissas!$B$6,Cenários!Q36,Cenários!Q82,Cenários!Q128))/Q14,0)</f>
        <v>24.8079743158322</v>
      </c>
      <c r="R28" s="254" t="n">
        <f aca="false">IFERROR((CHOOSE(Premissas!$B$6,Cenários!R34,Cenários!R80,Cenários!R126)+CHOOSE(Premissas!$B$6,Cenários!R35,Cenários!R81,Cenários!R127)+CHOOSE(Premissas!$B$6,Cenários!R36,Cenários!R82,Cenários!R128))/R14,0)</f>
        <v>23.5082755074295</v>
      </c>
      <c r="S28" s="254" t="n">
        <f aca="false">IFERROR((CHOOSE(Premissas!$B$6,Cenários!S34,Cenários!S80,Cenários!S126)+CHOOSE(Premissas!$B$6,Cenários!S35,Cenários!S81,Cenários!S127)+CHOOSE(Premissas!$B$6,Cenários!S36,Cenários!S82,Cenários!S128))/S14,0)</f>
        <v>22.6266281575185</v>
      </c>
      <c r="T28" s="254" t="n">
        <f aca="false">IFERROR((CHOOSE(Premissas!$B$6,Cenários!T34,Cenários!T80,Cenários!T126)+CHOOSE(Premissas!$B$6,Cenários!T35,Cenários!T81,Cenários!T127)+CHOOSE(Premissas!$B$6,Cenários!T36,Cenários!T82,Cenários!T128))/T14,0)</f>
        <v>22.0247466577734</v>
      </c>
      <c r="U28" s="254" t="n">
        <f aca="false">IFERROR((CHOOSE(Premissas!$B$6,Cenários!U34,Cenários!U80,Cenários!U126)+CHOOSE(Premissas!$B$6,Cenários!U35,Cenários!U81,Cenários!U127)+CHOOSE(Premissas!$B$6,Cenários!U36,Cenários!U82,Cenários!U128))/U14,0)</f>
        <v>21.6601448162475</v>
      </c>
      <c r="V28" s="254" t="n">
        <f aca="false">IFERROR((CHOOSE(Premissas!$B$6,Cenários!V34,Cenários!V80,Cenários!V126)+CHOOSE(Premissas!$B$6,Cenários!V35,Cenários!V81,Cenários!V127)+CHOOSE(Premissas!$B$6,Cenários!V36,Cenários!V82,Cenários!V128))/V14,0)</f>
        <v>21.1036560785163</v>
      </c>
      <c r="W28" s="254" t="n">
        <f aca="false">IFERROR((CHOOSE(Premissas!$B$6,Cenários!W34,Cenários!W80,Cenários!W126)+CHOOSE(Premissas!$B$6,Cenários!W35,Cenários!W81,Cenários!W127)+CHOOSE(Premissas!$B$6,Cenários!W36,Cenários!W82,Cenários!W128))/W14,0)</f>
        <v>20.850172458774</v>
      </c>
      <c r="X28" s="254" t="n">
        <f aca="false">IFERROR((CHOOSE(Premissas!$B$6,Cenários!X34,Cenários!X80,Cenários!X126)+CHOOSE(Premissas!$B$6,Cenários!X35,Cenários!X81,Cenários!X127)+CHOOSE(Premissas!$B$6,Cenários!X36,Cenários!X82,Cenários!X128))/X14,0)</f>
        <v>20.4662070564575</v>
      </c>
      <c r="Y28" s="254" t="n">
        <f aca="false">IFERROR((CHOOSE(Premissas!$B$6,Cenários!Y34,Cenários!Y80,Cenários!Y126)+CHOOSE(Premissas!$B$6,Cenários!Y35,Cenários!Y81,Cenários!Y127)+CHOOSE(Premissas!$B$6,Cenários!Y36,Cenários!Y82,Cenários!Y128))/Y14,0)</f>
        <v>24.7045310059559</v>
      </c>
      <c r="Z28" s="254" t="n">
        <f aca="false">IFERROR((CHOOSE(Premissas!$B$6,Cenários!Z34,Cenários!Z80,Cenários!Z126)+CHOOSE(Premissas!$B$6,Cenários!Z35,Cenários!Z81,Cenários!Z127)+CHOOSE(Premissas!$B$6,Cenários!Z36,Cenários!Z82,Cenários!Z128))/Z14,0)</f>
        <v>26.976918773941</v>
      </c>
      <c r="AA28" s="254" t="n">
        <f aca="false">IFERROR((CHOOSE(Premissas!$B$6,Cenários!AA34,Cenários!AA80,Cenários!AA126)+CHOOSE(Premissas!$B$6,Cenários!AA35,Cenários!AA81,Cenários!AA127)+CHOOSE(Premissas!$B$6,Cenários!AA36,Cenários!AA82,Cenários!AA128))/AA14,0)</f>
        <v>28.3075588017725</v>
      </c>
      <c r="AB28" s="254" t="n">
        <f aca="false">IFERROR((CHOOSE(Premissas!$B$6,Cenários!AB34,Cenários!AB80,Cenários!AB126)+CHOOSE(Premissas!$B$6,Cenários!AB35,Cenários!AB81,Cenários!AB127)+CHOOSE(Premissas!$B$6,Cenários!AB36,Cenários!AB82,Cenários!AB128))/AB14,0)</f>
        <v>28.2986583956376</v>
      </c>
      <c r="AC28" s="254" t="n">
        <f aca="false">IFERROR((CHOOSE(Premissas!$B$6,Cenários!AC34,Cenários!AC80,Cenários!AC126)+CHOOSE(Premissas!$B$6,Cenários!AC35,Cenários!AC81,Cenários!AC127)+CHOOSE(Premissas!$B$6,Cenários!AC36,Cenários!AC82,Cenários!AC128))/AC14,0)</f>
        <v>28.2914629918251</v>
      </c>
      <c r="AD28" s="254" t="n">
        <f aca="false">IFERROR((CHOOSE(Premissas!$B$6,Cenários!AD34,Cenários!AD80,Cenários!AD126)+CHOOSE(Premissas!$B$6,Cenários!AD35,Cenários!AD81,Cenários!AD127)+CHOOSE(Premissas!$B$6,Cenários!AD36,Cenários!AD82,Cenários!AD128))/AD14,0)</f>
        <v>28.287821327009</v>
      </c>
      <c r="AE28" s="254" t="n">
        <f aca="false">IFERROR((CHOOSE(Premissas!$B$6,Cenários!AE34,Cenários!AE80,Cenários!AE126)+CHOOSE(Premissas!$B$6,Cenários!AE35,Cenários!AE81,Cenários!AE127)+CHOOSE(Premissas!$B$6,Cenários!AE36,Cenários!AE82,Cenários!AE128))/AE14,0)</f>
        <v>28.2822364262324</v>
      </c>
      <c r="AF28" s="254" t="n">
        <f aca="false">IFERROR((CHOOSE(Premissas!$B$6,Cenários!AF34,Cenários!AF80,Cenários!AF126)+CHOOSE(Premissas!$B$6,Cenários!AF35,Cenários!AF81,Cenários!AF127)+CHOOSE(Premissas!$B$6,Cenários!AF36,Cenários!AF82,Cenários!AF128))/AF14,0)</f>
        <v>28.2778856648586</v>
      </c>
      <c r="AG28" s="254" t="n">
        <f aca="false">IFERROR((CHOOSE(Premissas!$B$6,Cenários!AG34,Cenários!AG80,Cenários!AG126)+CHOOSE(Premissas!$B$6,Cenários!AG35,Cenários!AG81,Cenários!AG127)+CHOOSE(Premissas!$B$6,Cenários!AG36,Cenários!AG82,Cenários!AG128))/AG14,0)</f>
        <v>28.2765457203826</v>
      </c>
      <c r="AH28" s="254" t="n">
        <f aca="false">IFERROR((CHOOSE(Premissas!$B$6,Cenários!AH34,Cenários!AH80,Cenários!AH126)+CHOOSE(Premissas!$B$6,Cenários!AH35,Cenários!AH81,Cenários!AH127)+CHOOSE(Premissas!$B$6,Cenários!AH36,Cenários!AH82,Cenários!AH128))/AH14,0)</f>
        <v>28.2721517208541</v>
      </c>
      <c r="AI28" s="254" t="n">
        <f aca="false">IFERROR((CHOOSE(Premissas!$B$6,Cenários!AI34,Cenários!AI80,Cenários!AI126)+CHOOSE(Premissas!$B$6,Cenários!AI35,Cenários!AI81,Cenários!AI127)+CHOOSE(Premissas!$B$6,Cenários!AI36,Cenários!AI82,Cenários!AI128))/AI14,0)</f>
        <v>28.2692386468484</v>
      </c>
      <c r="AJ28" s="254" t="n">
        <f aca="false">IFERROR((CHOOSE(Premissas!$B$6,Cenários!AJ34,Cenários!AJ80,Cenários!AJ126)+CHOOSE(Premissas!$B$6,Cenários!AJ35,Cenários!AJ81,Cenários!AJ127)+CHOOSE(Premissas!$B$6,Cenários!AJ36,Cenários!AJ82,Cenários!AJ128))/AJ14,0)</f>
        <v>28.2668746965682</v>
      </c>
      <c r="AK28" s="254" t="n">
        <f aca="false">IFERROR((CHOOSE(Premissas!$B$6,Cenários!AK34,Cenários!AK80,Cenários!AK126)+CHOOSE(Premissas!$B$6,Cenários!AK35,Cenários!AK81,Cenários!AK127)+CHOOSE(Premissas!$B$6,Cenários!AK36,Cenários!AK82,Cenários!AK128))/AK14,0)</f>
        <v>28.2662667676383</v>
      </c>
      <c r="AL28" s="254" t="n">
        <f aca="false">IFERROR((CHOOSE(Premissas!$B$6,Cenários!AL34,Cenários!AL80,Cenários!AL126)+CHOOSE(Premissas!$B$6,Cenários!AL35,Cenários!AL81,Cenários!AL127)+CHOOSE(Premissas!$B$6,Cenários!AL36,Cenários!AL82,Cenários!AL128))/AL14,0)</f>
        <v>29.8031192008827</v>
      </c>
      <c r="AM28" s="254" t="n">
        <f aca="false">IFERROR((CHOOSE(Premissas!$B$6,Cenários!AM34,Cenários!AM80,Cenários!AM126)+CHOOSE(Premissas!$B$6,Cenários!AM35,Cenários!AM81,Cenários!AM127)+CHOOSE(Premissas!$B$6,Cenários!AM36,Cenários!AM82,Cenários!AM128))/AM14,0)</f>
        <v>29.8389449385768</v>
      </c>
      <c r="AN28" s="254" t="n">
        <f aca="false">IFERROR((CHOOSE(Premissas!$B$6,Cenários!AN34,Cenários!AN80,Cenários!AN126)+CHOOSE(Premissas!$B$6,Cenários!AN35,Cenários!AN81,Cenários!AN127)+CHOOSE(Premissas!$B$6,Cenários!AN36,Cenários!AN82,Cenários!AN128))/AN14,0)</f>
        <v>29.8684691911046</v>
      </c>
      <c r="AO28" s="254" t="n">
        <f aca="false">IFERROR((CHOOSE(Premissas!$B$6,Cenários!AO34,Cenários!AO80,Cenários!AO126)+CHOOSE(Premissas!$B$6,Cenários!AO35,Cenários!AO81,Cenários!AO127)+CHOOSE(Premissas!$B$6,Cenários!AO36,Cenários!AO82,Cenários!AO128))/AO14,0)</f>
        <v>29.8944417195161</v>
      </c>
      <c r="AP28" s="254" t="n">
        <f aca="false">IFERROR((CHOOSE(Premissas!$B$6,Cenários!AP34,Cenários!AP80,Cenários!AP126)+CHOOSE(Premissas!$B$6,Cenários!AP35,Cenários!AP81,Cenários!AP127)+CHOOSE(Premissas!$B$6,Cenários!AP36,Cenários!AP82,Cenários!AP128))/AP14,0)</f>
        <v>29.9161463176155</v>
      </c>
      <c r="AQ28" s="254" t="n">
        <f aca="false">IFERROR((CHOOSE(Premissas!$B$6,Cenários!AQ34,Cenários!AQ80,Cenários!AQ126)+CHOOSE(Premissas!$B$6,Cenários!AQ35,Cenários!AQ81,Cenários!AQ127)+CHOOSE(Premissas!$B$6,Cenários!AQ36,Cenários!AQ82,Cenários!AQ128))/AQ14,0)</f>
        <v>29.9341886667772</v>
      </c>
      <c r="AR28" s="254" t="n">
        <f aca="false">IFERROR((CHOOSE(Premissas!$B$6,Cenários!AR34,Cenários!AR80,Cenários!AR126)+CHOOSE(Premissas!$B$6,Cenários!AR35,Cenários!AR81,Cenários!AR127)+CHOOSE(Premissas!$B$6,Cenários!AR36,Cenários!AR82,Cenários!AR128))/AR14,0)</f>
        <v>29.9508173153703</v>
      </c>
      <c r="AS28" s="254" t="n">
        <f aca="false">IFERROR((CHOOSE(Premissas!$B$6,Cenários!AS34,Cenários!AS80,Cenários!AS126)+CHOOSE(Premissas!$B$6,Cenários!AS35,Cenários!AS81,Cenários!AS127)+CHOOSE(Premissas!$B$6,Cenários!AS36,Cenários!AS82,Cenários!AS128))/AS14,0)</f>
        <v>29.9641596949177</v>
      </c>
      <c r="AT28" s="254" t="n">
        <f aca="false">IFERROR((CHOOSE(Premissas!$B$6,Cenários!AT34,Cenários!AT80,Cenários!AT126)+CHOOSE(Premissas!$B$6,Cenários!AT35,Cenários!AT81,Cenários!AT127)+CHOOSE(Premissas!$B$6,Cenários!AT36,Cenários!AT82,Cenários!AT128))/AT14,0)</f>
        <v>29.9770222045275</v>
      </c>
      <c r="AU28" s="254" t="n">
        <f aca="false">IFERROR((CHOOSE(Premissas!$B$6,Cenários!AU34,Cenários!AU80,Cenários!AU126)+CHOOSE(Premissas!$B$6,Cenários!AU35,Cenários!AU81,Cenários!AU127)+CHOOSE(Premissas!$B$6,Cenários!AU36,Cenários!AU82,Cenários!AU128))/AU14,0)</f>
        <v>29.9875763497137</v>
      </c>
      <c r="AV28" s="254" t="n">
        <f aca="false">IFERROR((CHOOSE(Premissas!$B$6,Cenários!AV34,Cenários!AV80,Cenários!AV126)+CHOOSE(Premissas!$B$6,Cenários!AV35,Cenários!AV81,Cenários!AV127)+CHOOSE(Premissas!$B$6,Cenários!AV36,Cenários!AV82,Cenários!AV128))/AV14,0)</f>
        <v>29.9976226697028</v>
      </c>
      <c r="AW28" s="254" t="n">
        <f aca="false">IFERROR((CHOOSE(Premissas!$B$6,Cenários!AW34,Cenários!AW80,Cenários!AW126)+CHOOSE(Premissas!$B$6,Cenários!AW35,Cenários!AW81,Cenários!AW127)+CHOOSE(Premissas!$B$6,Cenários!AW36,Cenários!AW82,Cenários!AW128))/AW14,0)</f>
        <v>30.0054823059513</v>
      </c>
      <c r="AX28" s="254" t="n">
        <f aca="false">IFERROR((CHOOSE(Premissas!$B$6,Cenários!AX34,Cenários!AX80,Cenários!AX126)+CHOOSE(Premissas!$B$6,Cenários!AX35,Cenários!AX81,Cenários!AX127)+CHOOSE(Premissas!$B$6,Cenários!AX36,Cenários!AX82,Cenários!AX128))/AX14,0)</f>
        <v>31.1199438722356</v>
      </c>
      <c r="AY28" s="254" t="n">
        <f aca="false">IFERROR((CHOOSE(Premissas!$B$6,Cenários!AY34,Cenários!AY80,Cenários!AY126)+CHOOSE(Premissas!$B$6,Cenários!AY35,Cenários!AY81,Cenários!AY127)+CHOOSE(Premissas!$B$6,Cenários!AY36,Cenários!AY82,Cenários!AY128))/AY14,0)</f>
        <v>31.166444719727</v>
      </c>
      <c r="AZ28" s="254" t="n">
        <f aca="false">IFERROR((CHOOSE(Premissas!$B$6,Cenários!AZ34,Cenários!AZ80,Cenários!AZ126)+CHOOSE(Premissas!$B$6,Cenários!AZ35,Cenários!AZ81,Cenários!AZ127)+CHOOSE(Premissas!$B$6,Cenários!AZ36,Cenários!AZ82,Cenários!AZ128))/AZ14,0)</f>
        <v>31.2050735651279</v>
      </c>
      <c r="BA28" s="254" t="n">
        <f aca="false">IFERROR((CHOOSE(Premissas!$B$6,Cenários!BA34,Cenários!BA80,Cenários!BA126)+CHOOSE(Premissas!$B$6,Cenários!BA35,Cenários!BA81,Cenários!BA127)+CHOOSE(Premissas!$B$6,Cenários!BA36,Cenários!BA82,Cenários!BA128))/BA14,0)</f>
        <v>31.2382785584349</v>
      </c>
      <c r="BB28" s="254" t="n">
        <f aca="false">IFERROR((CHOOSE(Premissas!$B$6,Cenários!BB34,Cenários!BB80,Cenários!BB126)+CHOOSE(Premissas!$B$6,Cenários!BB35,Cenários!BB81,Cenários!BB127)+CHOOSE(Premissas!$B$6,Cenários!BB36,Cenários!BB82,Cenários!BB128))/BB14,0)</f>
        <v>31.2666467878147</v>
      </c>
      <c r="BC28" s="254" t="n">
        <f aca="false">IFERROR((CHOOSE(Premissas!$B$6,Cenários!BC34,Cenários!BC80,Cenários!BC126)+CHOOSE(Premissas!$B$6,Cenários!BC35,Cenários!BC81,Cenários!BC127)+CHOOSE(Premissas!$B$6,Cenários!BC36,Cenários!BC82,Cenários!BC128))/BC14,0)</f>
        <v>31.2910390433609</v>
      </c>
      <c r="BD28" s="254" t="n">
        <f aca="false">IFERROR((CHOOSE(Premissas!$B$6,Cenários!BD34,Cenários!BD80,Cenários!BD126)+CHOOSE(Premissas!$B$6,Cenários!BD35,Cenários!BD81,Cenários!BD127)+CHOOSE(Premissas!$B$6,Cenários!BD36,Cenários!BD82,Cenários!BD128))/BD14,0)</f>
        <v>31.3131581612478</v>
      </c>
      <c r="BE28" s="254" t="n">
        <f aca="false">IFERROR((CHOOSE(Premissas!$B$6,Cenários!BE34,Cenários!BE80,Cenários!BE126)+CHOOSE(Premissas!$B$6,Cenários!BE35,Cenários!BE81,Cenários!BE127)+CHOOSE(Premissas!$B$6,Cenários!BE36,Cenários!BE82,Cenários!BE128))/BE14,0)</f>
        <v>31.3317356729767</v>
      </c>
      <c r="BF28" s="254" t="n">
        <f aca="false">IFERROR((CHOOSE(Premissas!$B$6,Cenários!BF34,Cenários!BF80,Cenários!BF126)+CHOOSE(Premissas!$B$6,Cenários!BF35,Cenários!BF81,Cenários!BF127)+CHOOSE(Premissas!$B$6,Cenários!BF36,Cenários!BF82,Cenários!BF128))/BF14,0)</f>
        <v>31.348932847676</v>
      </c>
      <c r="BG28" s="254" t="n">
        <f aca="false">IFERROR((CHOOSE(Premissas!$B$6,Cenários!BG34,Cenários!BG80,Cenários!BG126)+CHOOSE(Premissas!$B$6,Cenários!BG35,Cenários!BG81,Cenários!BG127)+CHOOSE(Premissas!$B$6,Cenários!BG36,Cenários!BG82,Cenários!BG128))/BG14,0)</f>
        <v>31.3635405823873</v>
      </c>
      <c r="BH28" s="254" t="n">
        <f aca="false">IFERROR((CHOOSE(Premissas!$B$6,Cenários!BH34,Cenários!BH80,Cenários!BH126)+CHOOSE(Premissas!$B$6,Cenários!BH35,Cenários!BH81,Cenários!BH127)+CHOOSE(Premissas!$B$6,Cenários!BH36,Cenários!BH82,Cenários!BH128))/BH14,0)</f>
        <v>31.3767456998608</v>
      </c>
      <c r="BI28" s="254" t="n">
        <f aca="false">IFERROR((CHOOSE(Premissas!$B$6,Cenários!BI34,Cenários!BI80,Cenários!BI126)+CHOOSE(Premissas!$B$6,Cenários!BI35,Cenários!BI81,Cenários!BI127)+CHOOSE(Premissas!$B$6,Cenários!BI36,Cenários!BI82,Cenários!BI128))/BI14,0)</f>
        <v>31.3887674619802</v>
      </c>
      <c r="BK28" s="51" t="s">
        <v>734</v>
      </c>
    </row>
    <row r="29" customFormat="false" ht="15.75" hidden="false" customHeight="true" outlineLevel="0" collapsed="false">
      <c r="A29" s="53" t="s">
        <v>735</v>
      </c>
      <c r="B29" s="256" t="n">
        <f aca="false" t="array" ref="B29:B29">IFERROR(B28/CHOOSE(Premissas!$B$6,INDEX(Premissas!$C$48:$G$48,B$7),INDEX(Premissas!$C$49:$G$49,B$7),INDEX(Premissas!$C$50:$G$50,B$7)),0)</f>
        <v>0</v>
      </c>
      <c r="C29" s="256" t="n">
        <f aca="false" t="array" ref="C29:C29">IFERROR(C28/CHOOSE(Premissas!$B$6,INDEX(Premissas!$C$48:$G$48,C$7),INDEX(Premissas!$C$49:$G$49,C$7),INDEX(Premissas!$C$50:$G$50,C$7)),0)</f>
        <v>0</v>
      </c>
      <c r="D29" s="256" t="n">
        <f aca="false" t="array" ref="D29:D29">IFERROR(D28/CHOOSE(Premissas!$B$6,INDEX(Premissas!$C$48:$G$48,D$7),INDEX(Premissas!$C$49:$G$49,D$7),INDEX(Premissas!$C$50:$G$50,D$7)),0)</f>
        <v>0</v>
      </c>
      <c r="E29" s="256" t="n">
        <f aca="false" t="array" ref="E29:E29">IFERROR(E28/CHOOSE(Premissas!$B$6,INDEX(Premissas!$C$48:$G$48,E$7),INDEX(Premissas!$C$49:$G$49,E$7),INDEX(Premissas!$C$50:$G$50,E$7)),0)</f>
        <v>0</v>
      </c>
      <c r="F29" s="256" t="n">
        <f aca="false" t="array" ref="F29:F29">IFERROR(F28/CHOOSE(Premissas!$B$6,INDEX(Premissas!$C$48:$G$48,F$7),INDEX(Premissas!$C$49:$G$49,F$7),INDEX(Premissas!$C$50:$G$50,F$7)),0)</f>
        <v>0</v>
      </c>
      <c r="G29" s="256" t="n">
        <f aca="false" t="array" ref="G29:G29">IFERROR(G28/CHOOSE(Premissas!$B$6,INDEX(Premissas!$C$48:$G$48,G$7),INDEX(Premissas!$C$49:$G$49,G$7),INDEX(Premissas!$C$50:$G$50,G$7)),0)</f>
        <v>0</v>
      </c>
      <c r="H29" s="256" t="n">
        <f aca="false" t="array" ref="H29:H29">IFERROR(H28/CHOOSE(Premissas!$B$6,INDEX(Premissas!$C$48:$G$48,H$7),INDEX(Premissas!$C$49:$G$49,H$7),INDEX(Premissas!$C$50:$G$50,H$7)),0)</f>
        <v>0</v>
      </c>
      <c r="I29" s="256" t="n">
        <f aca="false" t="array" ref="I29:I29">IFERROR(I28/CHOOSE(Premissas!$B$6,INDEX(Premissas!$C$48:$G$48,I$7),INDEX(Premissas!$C$49:$G$49,I$7),INDEX(Premissas!$C$50:$G$50,I$7)),0)</f>
        <v>0</v>
      </c>
      <c r="J29" s="256" t="n">
        <f aca="false" t="array" ref="J29:J29">IFERROR(J28/CHOOSE(Premissas!$B$6,INDEX(Premissas!$C$48:$G$48,J$7),INDEX(Premissas!$C$49:$G$49,J$7),INDEX(Premissas!$C$50:$G$50,J$7)),0)</f>
        <v>0</v>
      </c>
      <c r="K29" s="256" t="n">
        <f aca="false" t="array" ref="K29:K29">IFERROR(K28/CHOOSE(Premissas!$B$6,INDEX(Premissas!$C$48:$G$48,K$7),INDEX(Premissas!$C$49:$G$49,K$7),INDEX(Premissas!$C$50:$G$50,K$7)),0)</f>
        <v>0</v>
      </c>
      <c r="L29" s="256" t="n">
        <f aca="false" t="array" ref="L29:L29">IFERROR(L28/CHOOSE(Premissas!$B$6,INDEX(Premissas!$C$48:$G$48,L$7),INDEX(Premissas!$C$49:$G$49,L$7),INDEX(Premissas!$C$50:$G$50,L$7)),0)</f>
        <v>0</v>
      </c>
      <c r="M29" s="256" t="n">
        <f aca="false" t="array" ref="M29:M29">IFERROR(M28/CHOOSE(Premissas!$B$6,INDEX(Premissas!$C$48:$G$48,M$7),INDEX(Premissas!$C$49:$G$49,M$7),INDEX(Premissas!$C$50:$G$50,M$7)),0)</f>
        <v>172.125451388889</v>
      </c>
      <c r="N29" s="256" t="n">
        <f aca="false" t="array" ref="N29:N29">IFERROR(N28/CHOOSE(Premissas!$B$6,INDEX(Premissas!$C$48:$G$48,N$7),INDEX(Premissas!$C$49:$G$49,N$7),INDEX(Premissas!$C$50:$G$50,N$7)),0)</f>
        <v>287.016103370363</v>
      </c>
      <c r="O29" s="256" t="n">
        <f aca="false" t="array" ref="O29:O29">IFERROR(O28/CHOOSE(Premissas!$B$6,INDEX(Premissas!$C$48:$G$48,O$7),INDEX(Premissas!$C$49:$G$49,O$7),INDEX(Premissas!$C$50:$G$50,O$7)),0)</f>
        <v>319.33475579833</v>
      </c>
      <c r="P29" s="256" t="n">
        <f aca="false" t="array" ref="P29:P29">IFERROR(P28/CHOOSE(Premissas!$B$6,INDEX(Premissas!$C$48:$G$48,P$7),INDEX(Premissas!$C$49:$G$49,P$7),INDEX(Premissas!$C$50:$G$50,P$7)),0)</f>
        <v>358.758763140016</v>
      </c>
      <c r="Q29" s="256" t="n">
        <f aca="false" t="array" ref="Q29:Q29">IFERROR(Q28/CHOOSE(Premissas!$B$6,INDEX(Premissas!$C$48:$G$48,Q$7),INDEX(Premissas!$C$49:$G$49,Q$7),INDEX(Premissas!$C$50:$G$50,Q$7)),0)</f>
        <v>329.893275476491</v>
      </c>
      <c r="R29" s="256" t="n">
        <f aca="false" t="array" ref="R29:R29">IFERROR(R28/CHOOSE(Premissas!$B$6,INDEX(Premissas!$C$48:$G$48,R$7),INDEX(Premissas!$C$49:$G$49,R$7),INDEX(Premissas!$C$50:$G$50,R$7)),0)</f>
        <v>312.610046641349</v>
      </c>
      <c r="S29" s="256" t="n">
        <f aca="false" t="array" ref="S29:S29">IFERROR(S28/CHOOSE(Premissas!$B$6,INDEX(Premissas!$C$48:$G$48,S$7),INDEX(Premissas!$C$49:$G$49,S$7),INDEX(Premissas!$C$50:$G$50,S$7)),0)</f>
        <v>300.886012732958</v>
      </c>
      <c r="T29" s="256" t="n">
        <f aca="false" t="array" ref="T29:T29">IFERROR(T28/CHOOSE(Premissas!$B$6,INDEX(Premissas!$C$48:$G$48,T$7),INDEX(Premissas!$C$49:$G$49,T$7),INDEX(Premissas!$C$50:$G$50,T$7)),0)</f>
        <v>292.882269385284</v>
      </c>
      <c r="U29" s="256" t="n">
        <f aca="false" t="array" ref="U29:U29">IFERROR(U28/CHOOSE(Premissas!$B$6,INDEX(Premissas!$C$48:$G$48,U$7),INDEX(Premissas!$C$49:$G$49,U$7),INDEX(Premissas!$C$50:$G$50,U$7)),0)</f>
        <v>288.033840641588</v>
      </c>
      <c r="V29" s="256" t="n">
        <f aca="false" t="array" ref="V29:V29">IFERROR(V28/CHOOSE(Premissas!$B$6,INDEX(Premissas!$C$48:$G$48,V$7),INDEX(Premissas!$C$49:$G$49,V$7),INDEX(Premissas!$C$50:$G$50,V$7)),0)</f>
        <v>280.633724448355</v>
      </c>
      <c r="W29" s="256" t="n">
        <f aca="false" t="array" ref="W29:W29">IFERROR(W28/CHOOSE(Premissas!$B$6,INDEX(Premissas!$C$48:$G$48,W$7),INDEX(Premissas!$C$49:$G$49,W$7),INDEX(Premissas!$C$50:$G$50,W$7)),0)</f>
        <v>277.262931632633</v>
      </c>
      <c r="X29" s="256" t="n">
        <f aca="false" t="array" ref="X29:X29">IFERROR(X28/CHOOSE(Premissas!$B$6,INDEX(Premissas!$C$48:$G$48,X$7),INDEX(Premissas!$C$49:$G$49,X$7),INDEX(Premissas!$C$50:$G$50,X$7)),0)</f>
        <v>272.157008729488</v>
      </c>
      <c r="Y29" s="256" t="n">
        <f aca="false" t="array" ref="Y29:Y29">IFERROR(Y28/CHOOSE(Premissas!$B$6,INDEX(Premissas!$C$48:$G$48,Y$7),INDEX(Premissas!$C$49:$G$49,Y$7),INDEX(Premissas!$C$50:$G$50,Y$7)),0)</f>
        <v>328.517699547285</v>
      </c>
      <c r="Z29" s="256" t="n">
        <f aca="false" t="array" ref="Z29:Z29">IFERROR(Z28/CHOOSE(Premissas!$B$6,INDEX(Premissas!$C$48:$G$48,Z$7),INDEX(Premissas!$C$49:$G$49,Z$7),INDEX(Premissas!$C$50:$G$50,Z$7)),0)</f>
        <v>381.633640419039</v>
      </c>
      <c r="AA29" s="256" t="n">
        <f aca="false" t="array" ref="AA29:AA29">IFERROR(AA28/CHOOSE(Premissas!$B$6,INDEX(Premissas!$C$48:$G$48,AA$7),INDEX(Premissas!$C$49:$G$49,AA$7),INDEX(Premissas!$C$50:$G$50,AA$7)),0)</f>
        <v>400.457769377723</v>
      </c>
      <c r="AB29" s="256" t="n">
        <f aca="false" t="array" ref="AB29:AB29">IFERROR(AB28/CHOOSE(Premissas!$B$6,INDEX(Premissas!$C$48:$G$48,AB$7),INDEX(Premissas!$C$49:$G$49,AB$7),INDEX(Premissas!$C$50:$G$50,AB$7)),0)</f>
        <v>400.331858245212</v>
      </c>
      <c r="AC29" s="256" t="n">
        <f aca="false" t="array" ref="AC29:AC29">IFERROR(AC28/CHOOSE(Premissas!$B$6,INDEX(Premissas!$C$48:$G$48,AC$7),INDEX(Premissas!$C$49:$G$49,AC$7),INDEX(Premissas!$C$50:$G$50,AC$7)),0)</f>
        <v>400.230067222515</v>
      </c>
      <c r="AD29" s="256" t="n">
        <f aca="false" t="array" ref="AD29:AD29">IFERROR(AD28/CHOOSE(Premissas!$B$6,INDEX(Premissas!$C$48:$G$48,AD$7),INDEX(Premissas!$C$49:$G$49,AD$7),INDEX(Premissas!$C$50:$G$50,AD$7)),0)</f>
        <v>400.178549782269</v>
      </c>
      <c r="AE29" s="256" t="n">
        <f aca="false" t="array" ref="AE29:AE29">IFERROR(AE28/CHOOSE(Premissas!$B$6,INDEX(Premissas!$C$48:$G$48,AE$7),INDEX(Premissas!$C$49:$G$49,AE$7),INDEX(Premissas!$C$50:$G$50,AE$7)),0)</f>
        <v>400.099542018905</v>
      </c>
      <c r="AF29" s="256" t="n">
        <f aca="false" t="array" ref="AF29:AF29">IFERROR(AF28/CHOOSE(Premissas!$B$6,INDEX(Premissas!$C$48:$G$48,AF$7),INDEX(Premissas!$C$49:$G$49,AF$7),INDEX(Premissas!$C$50:$G$50,AF$7)),0)</f>
        <v>400.037993221743</v>
      </c>
      <c r="AG29" s="256" t="n">
        <f aca="false" t="array" ref="AG29:AG29">IFERROR(AG28/CHOOSE(Premissas!$B$6,INDEX(Premissas!$C$48:$G$48,AG$7),INDEX(Premissas!$C$49:$G$49,AG$7),INDEX(Premissas!$C$50:$G$50,AG$7)),0)</f>
        <v>400.019037465802</v>
      </c>
      <c r="AH29" s="256" t="n">
        <f aca="false" t="array" ref="AH29:AH29">IFERROR(AH28/CHOOSE(Premissas!$B$6,INDEX(Premissas!$C$48:$G$48,AH$7),INDEX(Premissas!$C$49:$G$49,AH$7),INDEX(Premissas!$C$50:$G$50,AH$7)),0)</f>
        <v>399.956876992617</v>
      </c>
      <c r="AI29" s="256" t="n">
        <f aca="false" t="array" ref="AI29:AI29">IFERROR(AI28/CHOOSE(Premissas!$B$6,INDEX(Premissas!$C$48:$G$48,AI$7),INDEX(Premissas!$C$49:$G$49,AI$7),INDEX(Premissas!$C$50:$G$50,AI$7)),0)</f>
        <v>399.9156666881</v>
      </c>
      <c r="AJ29" s="256" t="n">
        <f aca="false" t="array" ref="AJ29:AJ29">IFERROR(AJ28/CHOOSE(Premissas!$B$6,INDEX(Premissas!$C$48:$G$48,AJ$7),INDEX(Premissas!$C$49:$G$49,AJ$7),INDEX(Premissas!$C$50:$G$50,AJ$7)),0)</f>
        <v>399.882224657201</v>
      </c>
      <c r="AK29" s="256" t="n">
        <f aca="false" t="array" ref="AK29:AK29">IFERROR(AK28/CHOOSE(Premissas!$B$6,INDEX(Premissas!$C$48:$G$48,AK$7),INDEX(Premissas!$C$49:$G$49,AK$7),INDEX(Premissas!$C$50:$G$50,AK$7)),0)</f>
        <v>399.873624485603</v>
      </c>
      <c r="AL29" s="256" t="n">
        <f aca="false" t="array" ref="AL29:AL29">IFERROR(AL28/CHOOSE(Premissas!$B$6,INDEX(Premissas!$C$48:$G$48,AL$7),INDEX(Premissas!$C$49:$G$49,AL$7),INDEX(Premissas!$C$50:$G$50,AL$7)),0)</f>
        <v>448.526566862633</v>
      </c>
      <c r="AM29" s="256" t="n">
        <f aca="false" t="array" ref="AM29:AM29">IFERROR(AM28/CHOOSE(Premissas!$B$6,INDEX(Premissas!$C$48:$G$48,AM$7),INDEX(Premissas!$C$49:$G$49,AM$7),INDEX(Premissas!$C$50:$G$50,AM$7)),0)</f>
        <v>449.065731740811</v>
      </c>
      <c r="AN29" s="256" t="n">
        <f aca="false" t="array" ref="AN29:AN29">IFERROR(AN28/CHOOSE(Premissas!$B$6,INDEX(Premissas!$C$48:$G$48,AN$7),INDEX(Premissas!$C$49:$G$49,AN$7),INDEX(Premissas!$C$50:$G$50,AN$7)),0)</f>
        <v>449.510061461343</v>
      </c>
      <c r="AO29" s="256" t="n">
        <f aca="false" t="array" ref="AO29:AO29">IFERROR(AO28/CHOOSE(Premissas!$B$6,INDEX(Premissas!$C$48:$G$48,AO$7),INDEX(Premissas!$C$49:$G$49,AO$7),INDEX(Premissas!$C$50:$G$50,AO$7)),0)</f>
        <v>449.900938970593</v>
      </c>
      <c r="AP29" s="256" t="n">
        <f aca="false" t="array" ref="AP29:AP29">IFERROR(AP28/CHOOSE(Premissas!$B$6,INDEX(Premissas!$C$48:$G$48,AP$7),INDEX(Premissas!$C$49:$G$49,AP$7),INDEX(Premissas!$C$50:$G$50,AP$7)),0)</f>
        <v>450.227585614693</v>
      </c>
      <c r="AQ29" s="256" t="n">
        <f aca="false" t="array" ref="AQ29:AQ29">IFERROR(AQ28/CHOOSE(Premissas!$B$6,INDEX(Premissas!$C$48:$G$48,AQ$7),INDEX(Premissas!$C$49:$G$49,AQ$7),INDEX(Premissas!$C$50:$G$50,AQ$7)),0)</f>
        <v>450.499116687433</v>
      </c>
      <c r="AR29" s="256" t="n">
        <f aca="false" t="array" ref="AR29:AR29">IFERROR(AR28/CHOOSE(Premissas!$B$6,INDEX(Premissas!$C$48:$G$48,AR$7),INDEX(Premissas!$C$49:$G$49,AR$7),INDEX(Premissas!$C$50:$G$50,AR$7)),0)</f>
        <v>450.749372058851</v>
      </c>
      <c r="AS29" s="256" t="n">
        <f aca="false" t="array" ref="AS29:AS29">IFERROR(AS28/CHOOSE(Premissas!$B$6,INDEX(Premissas!$C$48:$G$48,AS$7),INDEX(Premissas!$C$49:$G$49,AS$7),INDEX(Premissas!$C$50:$G$50,AS$7)),0)</f>
        <v>450.950170225373</v>
      </c>
      <c r="AT29" s="256" t="n">
        <f aca="false" t="array" ref="AT29:AT29">IFERROR(AT28/CHOOSE(Premissas!$B$6,INDEX(Premissas!$C$48:$G$48,AT$7),INDEX(Premissas!$C$49:$G$49,AT$7),INDEX(Premissas!$C$50:$G$50,AT$7)),0)</f>
        <v>451.14374651642</v>
      </c>
      <c r="AU29" s="256" t="n">
        <f aca="false" t="array" ref="AU29:AU29">IFERROR(AU28/CHOOSE(Premissas!$B$6,INDEX(Premissas!$C$48:$G$48,AU$7),INDEX(Premissas!$C$49:$G$49,AU$7),INDEX(Premissas!$C$50:$G$50,AU$7)),0)</f>
        <v>451.302582726637</v>
      </c>
      <c r="AV29" s="256" t="n">
        <f aca="false" t="array" ref="AV29:AV29">IFERROR(AV28/CHOOSE(Premissas!$B$6,INDEX(Premissas!$C$48:$G$48,AV$7),INDEX(Premissas!$C$49:$G$49,AV$7),INDEX(Premissas!$C$50:$G$50,AV$7)),0)</f>
        <v>451.453776344458</v>
      </c>
      <c r="AW29" s="256" t="n">
        <f aca="false" t="array" ref="AW29:AW29">IFERROR(AW28/CHOOSE(Premissas!$B$6,INDEX(Premissas!$C$48:$G$48,AW$7),INDEX(Premissas!$C$49:$G$49,AW$7),INDEX(Premissas!$C$50:$G$50,AW$7)),0)</f>
        <v>451.572061133361</v>
      </c>
      <c r="AX29" s="256" t="n">
        <f aca="false" t="array" ref="AX29:AX29">IFERROR(AX28/CHOOSE(Premissas!$B$6,INDEX(Premissas!$C$48:$G$48,AX$7),INDEX(Premissas!$C$49:$G$49,AX$7),INDEX(Premissas!$C$50:$G$50,AX$7)),0)</f>
        <v>498.238637939325</v>
      </c>
      <c r="AY29" s="256" t="n">
        <f aca="false" t="array" ref="AY29:AY29">IFERROR(AY28/CHOOSE(Premissas!$B$6,INDEX(Premissas!$C$48:$G$48,AY$7),INDEX(Premissas!$C$49:$G$49,AY$7),INDEX(Premissas!$C$50:$G$50,AY$7)),0)</f>
        <v>498.98312896451</v>
      </c>
      <c r="AZ29" s="256" t="n">
        <f aca="false" t="array" ref="AZ29:AZ29">IFERROR(AZ28/CHOOSE(Premissas!$B$6,INDEX(Premissas!$C$48:$G$48,AZ$7),INDEX(Premissas!$C$49:$G$49,AZ$7),INDEX(Premissas!$C$50:$G$50,AZ$7)),0)</f>
        <v>499.60158712744</v>
      </c>
      <c r="BA29" s="256" t="n">
        <f aca="false" t="array" ref="BA29:BA29">IFERROR(BA28/CHOOSE(Premissas!$B$6,INDEX(Premissas!$C$48:$G$48,BA$7),INDEX(Premissas!$C$49:$G$49,BA$7),INDEX(Premissas!$C$50:$G$50,BA$7)),0)</f>
        <v>500.133207965382</v>
      </c>
      <c r="BB29" s="256" t="n">
        <f aca="false" t="array" ref="BB29:BB29">IFERROR(BB28/CHOOSE(Premissas!$B$6,INDEX(Premissas!$C$48:$G$48,BB$7),INDEX(Premissas!$C$49:$G$49,BB$7),INDEX(Premissas!$C$50:$G$50,BB$7)),0)</f>
        <v>500.587390917158</v>
      </c>
      <c r="BC29" s="256" t="n">
        <f aca="false" t="array" ref="BC29:BC29">IFERROR(BC28/CHOOSE(Premissas!$B$6,INDEX(Premissas!$C$48:$G$48,BC$7),INDEX(Premissas!$C$49:$G$49,BC$7),INDEX(Premissas!$C$50:$G$50,BC$7)),0)</f>
        <v>500.977917462754</v>
      </c>
      <c r="BD29" s="256" t="n">
        <f aca="false" t="array" ref="BD29:BD29">IFERROR(BD28/CHOOSE(Premissas!$B$6,INDEX(Premissas!$C$48:$G$48,BD$7),INDEX(Premissas!$C$49:$G$49,BD$7),INDEX(Premissas!$C$50:$G$50,BD$7)),0)</f>
        <v>501.332050465488</v>
      </c>
      <c r="BE29" s="256" t="n">
        <f aca="false" t="array" ref="BE29:BE29">IFERROR(BE28/CHOOSE(Premissas!$B$6,INDEX(Premissas!$C$48:$G$48,BE$7),INDEX(Premissas!$C$49:$G$49,BE$7),INDEX(Premissas!$C$50:$G$50,BE$7)),0)</f>
        <v>501.629481404891</v>
      </c>
      <c r="BF29" s="256" t="n">
        <f aca="false" t="array" ref="BF29:BF29">IFERROR(BF28/CHOOSE(Premissas!$B$6,INDEX(Premissas!$C$48:$G$48,BF$7),INDEX(Premissas!$C$49:$G$49,BF$7),INDEX(Premissas!$C$50:$G$50,BF$7)),0)</f>
        <v>501.904812778681</v>
      </c>
      <c r="BG29" s="256" t="n">
        <f aca="false" t="array" ref="BG29:BG29">IFERROR(BG28/CHOOSE(Premissas!$B$6,INDEX(Premissas!$C$48:$G$48,BG$7),INDEX(Premissas!$C$49:$G$49,BG$7),INDEX(Premissas!$C$50:$G$50,BG$7)),0)</f>
        <v>502.138686524592</v>
      </c>
      <c r="BH29" s="256" t="n">
        <f aca="false" t="array" ref="BH29:BH29">IFERROR(BH28/CHOOSE(Premissas!$B$6,INDEX(Premissas!$C$48:$G$48,BH$7),INDEX(Premissas!$C$49:$G$49,BH$7),INDEX(Premissas!$C$50:$G$50,BH$7)),0)</f>
        <v>502.350103992787</v>
      </c>
      <c r="BI29" s="256" t="n">
        <f aca="false" t="array" ref="BI29:BI29">IFERROR(BI28/CHOOSE(Premissas!$B$6,INDEX(Premissas!$C$48:$G$48,BI$7),INDEX(Premissas!$C$49:$G$49,BI$7),INDEX(Premissas!$C$50:$G$50,BI$7)),0)</f>
        <v>502.54257562476</v>
      </c>
      <c r="BK29" s="51" t="s">
        <v>736</v>
      </c>
    </row>
    <row r="30" customFormat="false" ht="15.75" hidden="false" customHeight="true" outlineLevel="0" collapsed="false">
      <c r="A30" s="53" t="s">
        <v>737</v>
      </c>
      <c r="B30" s="257" t="n">
        <f aca="false">IFERROR(B29/B25,0)</f>
        <v>0</v>
      </c>
      <c r="C30" s="257" t="n">
        <f aca="false">IFERROR(C29/C25,0)</f>
        <v>0</v>
      </c>
      <c r="D30" s="257" t="n">
        <f aca="false">IFERROR(D29/D25,0)</f>
        <v>0</v>
      </c>
      <c r="E30" s="257" t="n">
        <f aca="false">IFERROR(E29/E25,0)</f>
        <v>0</v>
      </c>
      <c r="F30" s="257" t="n">
        <f aca="false">IFERROR(F29/F25,0)</f>
        <v>0</v>
      </c>
      <c r="G30" s="257" t="n">
        <f aca="false">IFERROR(G29/G25,0)</f>
        <v>0</v>
      </c>
      <c r="H30" s="257" t="n">
        <f aca="false">IFERROR(H29/H25,0)</f>
        <v>0</v>
      </c>
      <c r="I30" s="257" t="n">
        <f aca="false">IFERROR(I29/I25,0)</f>
        <v>0</v>
      </c>
      <c r="J30" s="257" t="n">
        <f aca="false">IFERROR(J29/J25,0)</f>
        <v>0</v>
      </c>
      <c r="K30" s="257" t="n">
        <f aca="false">IFERROR(K29/K25,0)</f>
        <v>0</v>
      </c>
      <c r="L30" s="257" t="n">
        <f aca="false">IFERROR(L29/L25,0)</f>
        <v>0</v>
      </c>
      <c r="M30" s="257" t="n">
        <f aca="false">IFERROR(M29/M25,0)</f>
        <v>0.491787003968254</v>
      </c>
      <c r="N30" s="257" t="n">
        <f aca="false">IFERROR(N29/N25,0)</f>
        <v>1.51215645253951</v>
      </c>
      <c r="O30" s="257" t="n">
        <f aca="false">IFERROR(O29/O25,0)</f>
        <v>2.52364295503028</v>
      </c>
      <c r="P30" s="257" t="n">
        <f aca="false">IFERROR(P29/P25,0)</f>
        <v>3.78027136607894</v>
      </c>
      <c r="Q30" s="257" t="n">
        <f aca="false">IFERROR(Q29/Q25,0)</f>
        <v>4.34514160793844</v>
      </c>
      <c r="R30" s="257" t="n">
        <f aca="false">IFERROR(R29/R25,0)</f>
        <v>4.94099766814204</v>
      </c>
      <c r="S30" s="257" t="n">
        <f aca="false">IFERROR(S29/S25,0)</f>
        <v>4.75569196595827</v>
      </c>
      <c r="T30" s="257" t="n">
        <f aca="false">IFERROR(T29/T25,0)</f>
        <v>4.62918778721498</v>
      </c>
      <c r="U30" s="257" t="n">
        <f aca="false">IFERROR(U29/U25,0)</f>
        <v>4.55255533290286</v>
      </c>
      <c r="V30" s="257" t="n">
        <f aca="false">IFERROR(V29/V25,0)</f>
        <v>4.43559185956736</v>
      </c>
      <c r="W30" s="257" t="n">
        <f aca="false">IFERROR(W29/W25,0)</f>
        <v>4.38231436698126</v>
      </c>
      <c r="X30" s="257" t="n">
        <f aca="false">IFERROR(X29/X25,0)</f>
        <v>4.30161205613359</v>
      </c>
      <c r="Y30" s="257" t="n">
        <f aca="false">IFERROR(Y29/Y25,0)</f>
        <v>5.19242809003126</v>
      </c>
      <c r="Z30" s="257" t="n">
        <f aca="false">IFERROR(Z29/Z25,0)</f>
        <v>5.65188489102422</v>
      </c>
      <c r="AA30" s="257" t="n">
        <f aca="false">IFERROR(AA29/AA25,0)</f>
        <v>5.93066484850245</v>
      </c>
      <c r="AB30" s="257" t="n">
        <f aca="false">IFERROR(AB29/AB25,0)</f>
        <v>5.92880014069874</v>
      </c>
      <c r="AC30" s="257" t="n">
        <f aca="false">IFERROR(AC29/AC25,0)</f>
        <v>5.92729264481186</v>
      </c>
      <c r="AD30" s="257" t="n">
        <f aca="false">IFERROR(AD29/AD25,0)</f>
        <v>5.92652968627961</v>
      </c>
      <c r="AE30" s="257" t="n">
        <f aca="false">IFERROR(AE29/AE25,0)</f>
        <v>5.92535960393693</v>
      </c>
      <c r="AF30" s="257" t="n">
        <f aca="false">IFERROR(AF29/AF25,0)</f>
        <v>5.92444808388235</v>
      </c>
      <c r="AG30" s="257" t="n">
        <f aca="false">IFERROR(AG29/AG25,0)</f>
        <v>5.92416735456698</v>
      </c>
      <c r="AH30" s="257" t="n">
        <f aca="false">IFERROR(AH29/AH25,0)</f>
        <v>5.92324677576572</v>
      </c>
      <c r="AI30" s="257" t="n">
        <f aca="false">IFERROR(AI29/AI25,0)</f>
        <v>5.92263646296101</v>
      </c>
      <c r="AJ30" s="257" t="n">
        <f aca="false">IFERROR(AJ29/AJ25,0)</f>
        <v>5.92214119606327</v>
      </c>
      <c r="AK30" s="257" t="n">
        <f aca="false">IFERROR(AK29/AK25,0)</f>
        <v>5.92201382998553</v>
      </c>
      <c r="AL30" s="257" t="n">
        <f aca="false">IFERROR(AL29/AL25,0)</f>
        <v>6.23728920685753</v>
      </c>
      <c r="AM30" s="257" t="n">
        <f aca="false">IFERROR(AM29/AM25,0)</f>
        <v>6.244786928339</v>
      </c>
      <c r="AN30" s="257" t="n">
        <f aca="false">IFERROR(AN29/AN25,0)</f>
        <v>6.25096585546375</v>
      </c>
      <c r="AO30" s="257" t="n">
        <f aca="false">IFERROR(AO29/AO25,0)</f>
        <v>6.2564014667514</v>
      </c>
      <c r="AP30" s="257" t="n">
        <f aca="false">IFERROR(AP29/AP25,0)</f>
        <v>6.26094387234835</v>
      </c>
      <c r="AQ30" s="257" t="n">
        <f aca="false">IFERROR(AQ29/AQ25,0)</f>
        <v>6.26471983113085</v>
      </c>
      <c r="AR30" s="257" t="n">
        <f aca="false">IFERROR(AR29/AR25,0)</f>
        <v>6.26819992627443</v>
      </c>
      <c r="AS30" s="257" t="n">
        <f aca="false">IFERROR(AS29/AS25,0)</f>
        <v>6.27099226084128</v>
      </c>
      <c r="AT30" s="257" t="n">
        <f aca="false">IFERROR(AT29/AT25,0)</f>
        <v>6.27368416673951</v>
      </c>
      <c r="AU30" s="257" t="n">
        <f aca="false">IFERROR(AU29/AU25,0)</f>
        <v>6.27589297097284</v>
      </c>
      <c r="AV30" s="257" t="n">
        <f aca="false">IFERROR(AV29/AV25,0)</f>
        <v>6.27799549597415</v>
      </c>
      <c r="AW30" s="257" t="n">
        <f aca="false">IFERROR(AW29/AW25,0)</f>
        <v>6.27964038502124</v>
      </c>
      <c r="AX30" s="257" t="n">
        <f aca="false">IFERROR(AX29/AX25,0)</f>
        <v>6.41246395183678</v>
      </c>
      <c r="AY30" s="257" t="n">
        <f aca="false">IFERROR(AY29/AY25,0)</f>
        <v>6.42204574958977</v>
      </c>
      <c r="AZ30" s="257" t="n">
        <f aca="false">IFERROR(AZ29/AZ25,0)</f>
        <v>6.43000547084285</v>
      </c>
      <c r="BA30" s="257" t="n">
        <f aca="false">IFERROR(BA29/BA25,0)</f>
        <v>6.43684757259844</v>
      </c>
      <c r="BB30" s="257" t="n">
        <f aca="false">IFERROR(BB29/BB25,0)</f>
        <v>6.44269302813726</v>
      </c>
      <c r="BC30" s="257" t="n">
        <f aca="false">IFERROR(BC29/BC25,0)</f>
        <v>6.44771920877679</v>
      </c>
      <c r="BD30" s="257" t="n">
        <f aca="false">IFERROR(BD29/BD25,0)</f>
        <v>6.45227699482802</v>
      </c>
      <c r="BE30" s="257" t="n">
        <f aca="false">IFERROR(BE29/BE25,0)</f>
        <v>6.45610501022437</v>
      </c>
      <c r="BF30" s="257" t="n">
        <f aca="false">IFERROR(BF29/BF25,0)</f>
        <v>6.45964859832611</v>
      </c>
      <c r="BG30" s="257" t="n">
        <f aca="false">IFERROR(BG29/BG25,0)</f>
        <v>6.46265861571686</v>
      </c>
      <c r="BH30" s="257" t="n">
        <f aca="false">IFERROR(BH29/BH25,0)</f>
        <v>6.46537961483326</v>
      </c>
      <c r="BI30" s="257" t="n">
        <f aca="false">IFERROR(BI29/BI25,0)</f>
        <v>6.46785677599218</v>
      </c>
      <c r="BK30" s="51" t="s">
        <v>738</v>
      </c>
    </row>
    <row r="31" customFormat="false" ht="15.75" hidden="false" customHeight="true" outlineLevel="0" collapsed="false">
      <c r="A31" s="49" t="s">
        <v>125</v>
      </c>
      <c r="B31" s="258" t="n">
        <f aca="false">IFERROR(B25/B28,0)</f>
        <v>0</v>
      </c>
      <c r="C31" s="258" t="n">
        <f aca="false">IFERROR(C25/C28,0)</f>
        <v>0</v>
      </c>
      <c r="D31" s="258" t="n">
        <f aca="false">IFERROR(D25/D28,0)</f>
        <v>0</v>
      </c>
      <c r="E31" s="258" t="n">
        <f aca="false">IFERROR(E25/E28,0)</f>
        <v>0</v>
      </c>
      <c r="F31" s="258" t="n">
        <f aca="false">IFERROR(F25/F28,0)</f>
        <v>0</v>
      </c>
      <c r="G31" s="258" t="n">
        <f aca="false">IFERROR(G25/G28,0)</f>
        <v>0</v>
      </c>
      <c r="H31" s="258" t="n">
        <f aca="false">IFERROR(H25/H28,0)</f>
        <v>0</v>
      </c>
      <c r="I31" s="258" t="n">
        <f aca="false">IFERROR(I25/I28,0)</f>
        <v>0</v>
      </c>
      <c r="J31" s="258" t="n">
        <f aca="false">IFERROR(J25/J28,0)</f>
        <v>0</v>
      </c>
      <c r="K31" s="258" t="n">
        <f aca="false">IFERROR(K25/K28,0)</f>
        <v>0</v>
      </c>
      <c r="L31" s="258" t="n">
        <f aca="false">IFERROR(L25/L28,0)</f>
        <v>0</v>
      </c>
      <c r="M31" s="258" t="n">
        <f aca="false">IFERROR(M25/M28,0)</f>
        <v>25.4175077810859</v>
      </c>
      <c r="N31" s="258" t="n">
        <f aca="false">IFERROR(N25/N28,0)</f>
        <v>8.79397916670139</v>
      </c>
      <c r="O31" s="258" t="n">
        <f aca="false">IFERROR(O25/O28,0)</f>
        <v>5.26931605515725</v>
      </c>
      <c r="P31" s="258" t="n">
        <f aca="false">IFERROR(P25/P28,0)</f>
        <v>3.51770310982162</v>
      </c>
      <c r="Q31" s="258" t="n">
        <f aca="false">IFERROR(Q25/Q28,0)</f>
        <v>3.06040022173978</v>
      </c>
      <c r="R31" s="258" t="n">
        <f aca="false">IFERROR(R25/R28,0)</f>
        <v>2.69133345805158</v>
      </c>
      <c r="S31" s="258" t="n">
        <f aca="false">IFERROR(S25/S28,0)</f>
        <v>2.79620135946842</v>
      </c>
      <c r="T31" s="258" t="n">
        <f aca="false">IFERROR(T25/T28,0)</f>
        <v>2.87261458201198</v>
      </c>
      <c r="U31" s="258" t="n">
        <f aca="false">IFERROR(U25/U28,0)</f>
        <v>2.92096885551666</v>
      </c>
      <c r="V31" s="258" t="n">
        <f aca="false">IFERROR(V25/V28,0)</f>
        <v>2.99799277333028</v>
      </c>
      <c r="W31" s="258" t="n">
        <f aca="false">IFERROR(W25/W28,0)</f>
        <v>3.03444053229475</v>
      </c>
      <c r="X31" s="258" t="n">
        <f aca="false">IFERROR(X25/X28,0)</f>
        <v>3.09136950680253</v>
      </c>
      <c r="Y31" s="258" t="n">
        <f aca="false">IFERROR(Y25/Y28,0)</f>
        <v>2.56101232599746</v>
      </c>
      <c r="Z31" s="258" t="n">
        <f aca="false">IFERROR(Z25/Z28,0)</f>
        <v>2.50300085287419</v>
      </c>
      <c r="AA31" s="258" t="n">
        <f aca="false">IFERROR(AA25/AA28,0)</f>
        <v>2.38534347563959</v>
      </c>
      <c r="AB31" s="258" t="n">
        <f aca="false">IFERROR(AB25/AB28,0)</f>
        <v>2.38609370645999</v>
      </c>
      <c r="AC31" s="258" t="n">
        <f aca="false">IFERROR(AC25/AC28,0)</f>
        <v>2.38670056471109</v>
      </c>
      <c r="AD31" s="258" t="n">
        <f aca="false">IFERROR(AD25/AD28,0)</f>
        <v>2.3870078193198</v>
      </c>
      <c r="AE31" s="258" t="n">
        <f aca="false">IFERROR(AE25/AE28,0)</f>
        <v>2.38747918239106</v>
      </c>
      <c r="AF31" s="258" t="n">
        <f aca="false">IFERROR(AF25/AF28,0)</f>
        <v>2.38784651368063</v>
      </c>
      <c r="AG31" s="258" t="n">
        <f aca="false">IFERROR(AG25/AG28,0)</f>
        <v>2.3879596668846</v>
      </c>
      <c r="AH31" s="258" t="n">
        <f aca="false">IFERROR(AH25/AH28,0)</f>
        <v>2.38833079865249</v>
      </c>
      <c r="AI31" s="258" t="n">
        <f aca="false">IFERROR(AI25/AI28,0)</f>
        <v>2.38857691013974</v>
      </c>
      <c r="AJ31" s="258" t="n">
        <f aca="false">IFERROR(AJ25/AJ28,0)</f>
        <v>2.38877666611264</v>
      </c>
      <c r="AK31" s="258" t="n">
        <f aca="false">IFERROR(AK25/AK28,0)</f>
        <v>2.38882804206739</v>
      </c>
      <c r="AL31" s="258" t="n">
        <f aca="false">IFERROR(AL25/AL28,0)</f>
        <v>2.41285137054564</v>
      </c>
      <c r="AM31" s="258" t="n">
        <f aca="false">IFERROR(AM25/AM28,0)</f>
        <v>2.40995441220901</v>
      </c>
      <c r="AN31" s="258" t="n">
        <f aca="false">IFERROR(AN25/AN28,0)</f>
        <v>2.4075722311139</v>
      </c>
      <c r="AO31" s="258" t="n">
        <f aca="false">IFERROR(AO25/AO28,0)</f>
        <v>2.40548051323665</v>
      </c>
      <c r="AP31" s="258" t="n">
        <f aca="false">IFERROR(AP25/AP28,0)</f>
        <v>2.40373530223182</v>
      </c>
      <c r="AQ31" s="258" t="n">
        <f aca="false">IFERROR(AQ25/AQ28,0)</f>
        <v>2.40228648956821</v>
      </c>
      <c r="AR31" s="258" t="n">
        <f aca="false">IFERROR(AR25/AR28,0)</f>
        <v>2.40095274373302</v>
      </c>
      <c r="AS31" s="258" t="n">
        <f aca="false">IFERROR(AS25/AS28,0)</f>
        <v>2.39988365242165</v>
      </c>
      <c r="AT31" s="258" t="n">
        <f aca="false">IFERROR(AT25/AT28,0)</f>
        <v>2.39885391283207</v>
      </c>
      <c r="AU31" s="258" t="n">
        <f aca="false">IFERROR(AU25/AU28,0)</f>
        <v>2.39800963478235</v>
      </c>
      <c r="AV31" s="258" t="n">
        <f aca="false">IFERROR(AV25/AV28,0)</f>
        <v>2.39720653207007</v>
      </c>
      <c r="AW31" s="258" t="n">
        <f aca="false">IFERROR(AW25/AW28,0)</f>
        <v>2.39657860777402</v>
      </c>
      <c r="AX31" s="258" t="n">
        <f aca="false">IFERROR(AX25/AX28,0)</f>
        <v>2.4967419707254</v>
      </c>
      <c r="AY31" s="258" t="n">
        <f aca="false">IFERROR(AY25/AY28,0)</f>
        <v>2.49301679069123</v>
      </c>
      <c r="AZ31" s="258" t="n">
        <f aca="false">IFERROR(AZ25/AZ28,0)</f>
        <v>2.48993067842848</v>
      </c>
      <c r="BA31" s="258" t="n">
        <f aca="false">IFERROR(BA25/BA28,0)</f>
        <v>2.48728398548228</v>
      </c>
      <c r="BB31" s="258" t="n">
        <f aca="false">IFERROR(BB25/BB28,0)</f>
        <v>2.48502727266264</v>
      </c>
      <c r="BC31" s="258" t="n">
        <f aca="false">IFERROR(BC25/BC28,0)</f>
        <v>2.48309012317426</v>
      </c>
      <c r="BD31" s="258" t="n">
        <f aca="false">IFERROR(BD25/BD28,0)</f>
        <v>2.48133610772569</v>
      </c>
      <c r="BE31" s="258" t="n">
        <f aca="false">IFERROR(BE25/BE28,0)</f>
        <v>2.47986485024013</v>
      </c>
      <c r="BF31" s="258" t="n">
        <f aca="false">IFERROR(BF25/BF28,0)</f>
        <v>2.47850446361174</v>
      </c>
      <c r="BG31" s="258" t="n">
        <f aca="false">IFERROR(BG25/BG28,0)</f>
        <v>2.47735008706454</v>
      </c>
      <c r="BH31" s="258" t="n">
        <f aca="false">IFERROR(BH25/BH28,0)</f>
        <v>2.47630747738042</v>
      </c>
      <c r="BI31" s="258" t="n">
        <f aca="false">IFERROR(BI25/BI28,0)</f>
        <v>2.47535906233152</v>
      </c>
      <c r="BK31" s="51" t="s">
        <v>739</v>
      </c>
    </row>
    <row r="32" customFormat="false" ht="15.75" hidden="false" customHeight="true" outlineLevel="0" collapsed="false"/>
    <row r="33" customFormat="false" ht="18" hidden="false" customHeight="true" outlineLevel="0" collapsed="false">
      <c r="A33" s="47" t="s">
        <v>740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</row>
    <row r="34" customFormat="false" ht="15.75" hidden="false" customHeight="true" outlineLevel="0" collapsed="false">
      <c r="A34" s="53" t="s">
        <v>741</v>
      </c>
      <c r="B34" s="160" t="n">
        <f aca="false">CHOOSE(Premissas!$B$6,Cenários!B49,Cenários!B95,Cenários!B141)</f>
        <v>0</v>
      </c>
      <c r="C34" s="160" t="n">
        <f aca="false">CHOOSE(Premissas!$B$6,Cenários!C49,Cenários!C95,Cenários!C141)</f>
        <v>0</v>
      </c>
      <c r="D34" s="160" t="n">
        <f aca="false">CHOOSE(Premissas!$B$6,Cenários!D49,Cenários!D95,Cenários!D141)</f>
        <v>0</v>
      </c>
      <c r="E34" s="160" t="n">
        <f aca="false">CHOOSE(Premissas!$B$6,Cenários!E49,Cenários!E95,Cenários!E141)</f>
        <v>10000</v>
      </c>
      <c r="F34" s="160" t="n">
        <f aca="false">CHOOSE(Premissas!$B$6,Cenários!F49,Cenários!F95,Cenários!F141)</f>
        <v>3400</v>
      </c>
      <c r="G34" s="160" t="n">
        <f aca="false">CHOOSE(Premissas!$B$6,Cenários!G49,Cenários!G95,Cenários!G141)</f>
        <v>2800</v>
      </c>
      <c r="H34" s="160" t="n">
        <f aca="false">CHOOSE(Premissas!$B$6,Cenários!H49,Cenários!H95,Cenários!H141)</f>
        <v>7200</v>
      </c>
      <c r="I34" s="160" t="n">
        <f aca="false">CHOOSE(Premissas!$B$6,Cenários!I49,Cenários!I95,Cenários!I141)</f>
        <v>15472.18</v>
      </c>
      <c r="J34" s="160" t="n">
        <f aca="false">CHOOSE(Premissas!$B$6,Cenários!J49,Cenários!J95,Cenários!J141)</f>
        <v>8372.18</v>
      </c>
      <c r="K34" s="160" t="n">
        <f aca="false">CHOOSE(Premissas!$B$6,Cenários!K49,Cenários!K95,Cenários!K141)</f>
        <v>77272.18</v>
      </c>
      <c r="L34" s="160" t="n">
        <f aca="false">CHOOSE(Premissas!$B$6,Cenários!L49,Cenários!L95,Cenários!L141)</f>
        <v>75172.18</v>
      </c>
      <c r="M34" s="160" t="n">
        <f aca="false">CHOOSE(Premissas!$B$6,Cenários!M49,Cenários!M95,Cenários!M141)</f>
        <v>44236.48325</v>
      </c>
      <c r="N34" s="160" t="n">
        <f aca="false">CHOOSE(Premissas!$B$6,Cenários!N49,Cenários!N95,Cenários!N141)</f>
        <v>-46752.6412566667</v>
      </c>
      <c r="O34" s="160" t="n">
        <f aca="false">CHOOSE(Premissas!$B$6,Cenários!O49,Cenários!O95,Cenários!O141)</f>
        <v>77645.0724735947</v>
      </c>
      <c r="P34" s="160" t="n">
        <f aca="false">CHOOSE(Premissas!$B$6,Cenários!P49,Cenários!P95,Cenários!P141)</f>
        <v>14810.674934967</v>
      </c>
      <c r="Q34" s="160" t="n">
        <f aca="false">CHOOSE(Premissas!$B$6,Cenários!Q49,Cenários!Q95,Cenários!Q141)</f>
        <v>-15554.0185976838</v>
      </c>
      <c r="R34" s="160" t="n">
        <f aca="false">CHOOSE(Premissas!$B$6,Cenários!R49,Cenários!R95,Cenários!R141)</f>
        <v>-22547.9325407217</v>
      </c>
      <c r="S34" s="160" t="n">
        <f aca="false">CHOOSE(Premissas!$B$6,Cenários!S49,Cenários!S95,Cenários!S141)</f>
        <v>-26862.1035383023</v>
      </c>
      <c r="T34" s="160" t="n">
        <f aca="false">CHOOSE(Premissas!$B$6,Cenários!T49,Cenários!T95,Cenários!T141)</f>
        <v>-16932.6682496578</v>
      </c>
      <c r="U34" s="160" t="n">
        <f aca="false">CHOOSE(Premissas!$B$6,Cenários!U49,Cenários!U95,Cenários!U141)</f>
        <v>1149.9695456091</v>
      </c>
      <c r="V34" s="160" t="n">
        <f aca="false">CHOOSE(Premissas!$B$6,Cenários!V49,Cenários!V95,Cenários!V141)</f>
        <v>25190.9712712095</v>
      </c>
      <c r="W34" s="160" t="n">
        <f aca="false">CHOOSE(Premissas!$B$6,Cenários!W49,Cenários!W95,Cenários!W141)</f>
        <v>55948.0923020304</v>
      </c>
      <c r="X34" s="160" t="n">
        <f aca="false">CHOOSE(Premissas!$B$6,Cenários!X49,Cenários!X95,Cenários!X141)</f>
        <v>91753.709116048</v>
      </c>
      <c r="Y34" s="160" t="n">
        <f aca="false">CHOOSE(Premissas!$B$6,Cenários!Y49,Cenários!Y95,Cenários!Y141)</f>
        <v>164162.850270126</v>
      </c>
      <c r="Z34" s="160" t="n">
        <f aca="false">CHOOSE(Premissas!$B$6,Cenários!Z49,Cenários!Z95,Cenários!Z141)</f>
        <v>166675.848076357</v>
      </c>
      <c r="AA34" s="160" t="n">
        <f aca="false">CHOOSE(Premissas!$B$6,Cenários!AA49,Cenários!AA95,Cenários!AA141)</f>
        <v>200505.137230673</v>
      </c>
      <c r="AB34" s="160" t="n">
        <f aca="false">CHOOSE(Premissas!$B$6,Cenários!AB49,Cenários!AB95,Cenários!AB141)</f>
        <v>253471.470388039</v>
      </c>
      <c r="AC34" s="160" t="n">
        <f aca="false">CHOOSE(Premissas!$B$6,Cenários!AC49,Cenários!AC95,Cenários!AC141)</f>
        <v>324221.979161756</v>
      </c>
      <c r="AD34" s="160" t="n">
        <f aca="false">CHOOSE(Premissas!$B$6,Cenários!AD49,Cenários!AD95,Cenários!AD141)</f>
        <v>411512.570710022</v>
      </c>
      <c r="AE34" s="160" t="n">
        <f aca="false">CHOOSE(Premissas!$B$6,Cenários!AE49,Cenários!AE95,Cenários!AE141)</f>
        <v>499157.608030428</v>
      </c>
      <c r="AF34" s="160" t="n">
        <f aca="false">CHOOSE(Premissas!$B$6,Cenários!AF49,Cenários!AF95,Cenários!AF141)</f>
        <v>616062.631388139</v>
      </c>
      <c r="AG34" s="160" t="n">
        <f aca="false">CHOOSE(Premissas!$B$6,Cenários!AG49,Cenários!AG95,Cenários!AG141)</f>
        <v>746241.978003062</v>
      </c>
      <c r="AH34" s="160" t="n">
        <f aca="false">CHOOSE(Premissas!$B$6,Cenários!AH49,Cenários!AH95,Cenários!AH141)</f>
        <v>888722.859037728</v>
      </c>
      <c r="AI34" s="160" t="n">
        <f aca="false">CHOOSE(Premissas!$B$6,Cenários!AI49,Cenários!AI95,Cenários!AI141)</f>
        <v>1042644.37827436</v>
      </c>
      <c r="AJ34" s="160" t="n">
        <f aca="false">CHOOSE(Premissas!$B$6,Cenários!AJ49,Cenários!AJ95,Cenários!AJ141)</f>
        <v>1207220.0566124</v>
      </c>
      <c r="AK34" s="160" t="n">
        <f aca="false">CHOOSE(Premissas!$B$6,Cenários!AK49,Cenários!AK95,Cenários!AK141)</f>
        <v>1381709.0647523</v>
      </c>
      <c r="AL34" s="160" t="n">
        <f aca="false">CHOOSE(Premissas!$B$6,Cenários!AL49,Cenários!AL95,Cenários!AL141)</f>
        <v>1424548.3402313</v>
      </c>
      <c r="AM34" s="160" t="n">
        <f aca="false">CHOOSE(Premissas!$B$6,Cenários!AM49,Cenários!AM95,Cenários!AM141)</f>
        <v>1497562.20342153</v>
      </c>
      <c r="AN34" s="160" t="n">
        <f aca="false">CHOOSE(Premissas!$B$6,Cenários!AN49,Cenários!AN95,Cenários!AN141)</f>
        <v>1598712.32577965</v>
      </c>
      <c r="AO34" s="160" t="n">
        <f aca="false">CHOOSE(Premissas!$B$6,Cenários!AO49,Cenários!AO95,Cenários!AO141)</f>
        <v>1726165.7379665</v>
      </c>
      <c r="AP34" s="160" t="n">
        <f aca="false">CHOOSE(Premissas!$B$6,Cenários!AP49,Cenários!AP95,Cenários!AP141)</f>
        <v>1878181.71016561</v>
      </c>
      <c r="AQ34" s="160" t="n">
        <f aca="false">CHOOSE(Premissas!$B$6,Cenários!AQ49,Cenários!AQ95,Cenários!AQ141)</f>
        <v>2028107.09440256</v>
      </c>
      <c r="AR34" s="160" t="n">
        <f aca="false">CHOOSE(Premissas!$B$6,Cenários!AR49,Cenários!AR95,Cenários!AR141)</f>
        <v>2224442.86096628</v>
      </c>
      <c r="AS34" s="160" t="n">
        <f aca="false">CHOOSE(Premissas!$B$6,Cenários!AS49,Cenários!AS95,Cenários!AS141)</f>
        <v>2440735.25029302</v>
      </c>
      <c r="AT34" s="160" t="n">
        <f aca="false">CHOOSE(Premissas!$B$6,Cenários!AT49,Cenários!AT95,Cenários!AT141)</f>
        <v>2675672.45785704</v>
      </c>
      <c r="AU34" s="160" t="n">
        <f aca="false">CHOOSE(Premissas!$B$6,Cenários!AU49,Cenários!AU95,Cenários!AU141)</f>
        <v>2928019.66131971</v>
      </c>
      <c r="AV34" s="160" t="n">
        <f aca="false">CHOOSE(Premissas!$B$6,Cenários!AV49,Cenários!AV95,Cenários!AV141)</f>
        <v>3196637.53621187</v>
      </c>
      <c r="AW34" s="160" t="n">
        <f aca="false">CHOOSE(Premissas!$B$6,Cenários!AW49,Cenários!AW95,Cenários!AW141)</f>
        <v>3480405.98676409</v>
      </c>
      <c r="AX34" s="160" t="n">
        <f aca="false">CHOOSE(Premissas!$B$6,Cenários!AX49,Cenários!AX95,Cenários!AX141)</f>
        <v>3640299.56957491</v>
      </c>
      <c r="AY34" s="160" t="n">
        <f aca="false">CHOOSE(Premissas!$B$6,Cenários!AY49,Cenários!AY95,Cenários!AY141)</f>
        <v>3848312.14868197</v>
      </c>
      <c r="AZ34" s="160" t="n">
        <f aca="false">CHOOSE(Premissas!$B$6,Cenários!AZ49,Cenários!AZ95,Cenários!AZ141)</f>
        <v>4101395.43865375</v>
      </c>
      <c r="BA34" s="160" t="n">
        <f aca="false">CHOOSE(Premissas!$B$6,Cenários!BA49,Cenários!BA95,Cenários!BA141)</f>
        <v>4396779.3385622</v>
      </c>
      <c r="BB34" s="160" t="n">
        <f aca="false">CHOOSE(Premissas!$B$6,Cenários!BB49,Cenários!BB95,Cenários!BB141)</f>
        <v>4731806.74739534</v>
      </c>
      <c r="BC34" s="160" t="n">
        <f aca="false">CHOOSE(Premissas!$B$6,Cenários!BC49,Cenários!BC95,Cenários!BC141)</f>
        <v>5073979.55047034</v>
      </c>
      <c r="BD34" s="160" t="n">
        <f aca="false">CHOOSE(Premissas!$B$6,Cenários!BD49,Cenários!BD95,Cenários!BD141)</f>
        <v>5481024.391329</v>
      </c>
      <c r="BE34" s="160" t="n">
        <f aca="false">CHOOSE(Premissas!$B$6,Cenários!BE49,Cenários!BE95,Cenários!BE141)</f>
        <v>5920737.66522507</v>
      </c>
      <c r="BF34" s="160" t="n">
        <f aca="false">CHOOSE(Premissas!$B$6,Cenários!BF49,Cenários!BF95,Cenários!BF141)</f>
        <v>6391102.45113916</v>
      </c>
      <c r="BG34" s="160" t="n">
        <f aca="false">CHOOSE(Premissas!$B$6,Cenários!BG49,Cenários!BG95,Cenários!BG141)</f>
        <v>6890145.07072493</v>
      </c>
      <c r="BH34" s="160" t="n">
        <f aca="false">CHOOSE(Premissas!$B$6,Cenários!BH49,Cenários!BH95,Cenários!BH141)</f>
        <v>7416114.22577966</v>
      </c>
      <c r="BI34" s="160" t="n">
        <f aca="false">CHOOSE(Premissas!$B$6,Cenários!BI49,Cenários!BI95,Cenários!BI141)</f>
        <v>7967323.92982513</v>
      </c>
    </row>
    <row r="35" customFormat="false" ht="15.75" hidden="false" customHeight="true" outlineLevel="0" collapsed="false">
      <c r="A35" s="49" t="s">
        <v>742</v>
      </c>
      <c r="B35" s="168" t="n">
        <f aca="false">MAX(0,-CHOOSE(Premissas!$B$6,Cenários!B42,Cenários!B88,Cenários!B134))</f>
        <v>-0</v>
      </c>
      <c r="C35" s="168" t="n">
        <f aca="false">MAX(0,-CHOOSE(Premissas!$B$6,Cenários!C42,Cenários!C88,Cenários!C134))</f>
        <v>-0</v>
      </c>
      <c r="D35" s="168" t="n">
        <f aca="false">MAX(0,-CHOOSE(Premissas!$B$6,Cenários!D42,Cenários!D88,Cenários!D134))</f>
        <v>-0</v>
      </c>
      <c r="E35" s="168" t="n">
        <f aca="false">MAX(0,-CHOOSE(Premissas!$B$6,Cenários!E42,Cenários!E88,Cenários!E134))</f>
        <v>-0</v>
      </c>
      <c r="F35" s="168" t="n">
        <f aca="false">MAX(0,-CHOOSE(Premissas!$B$6,Cenários!F42,Cenários!F88,Cenários!F134))</f>
        <v>6600</v>
      </c>
      <c r="G35" s="168" t="n">
        <f aca="false">MAX(0,-CHOOSE(Premissas!$B$6,Cenários!G42,Cenários!G88,Cenários!G134))</f>
        <v>600</v>
      </c>
      <c r="H35" s="168" t="n">
        <f aca="false">MAX(0,-CHOOSE(Premissas!$B$6,Cenários!H42,Cenários!H88,Cenários!H134))</f>
        <v>600</v>
      </c>
      <c r="I35" s="168" t="n">
        <f aca="false">MAX(0,-CHOOSE(Premissas!$B$6,Cenários!I42,Cenários!I88,Cenários!I134))</f>
        <v>9727.82</v>
      </c>
      <c r="J35" s="168" t="n">
        <f aca="false">MAX(0,-CHOOSE(Premissas!$B$6,Cenários!J42,Cenários!J88,Cenários!J134))</f>
        <v>11100</v>
      </c>
      <c r="K35" s="168" t="n">
        <f aca="false">MAX(0,-CHOOSE(Premissas!$B$6,Cenários!K42,Cenários!K88,Cenários!K134))</f>
        <v>11100</v>
      </c>
      <c r="L35" s="168" t="n">
        <f aca="false">MAX(0,-CHOOSE(Premissas!$B$6,Cenários!L42,Cenários!L88,Cenários!L134))</f>
        <v>2100</v>
      </c>
      <c r="M35" s="168" t="n">
        <f aca="false">MAX(0,-CHOOSE(Premissas!$B$6,Cenários!M42,Cenários!M88,Cenários!M134))</f>
        <v>30935.69675</v>
      </c>
      <c r="N35" s="168" t="n">
        <f aca="false">MAX(0,-CHOOSE(Premissas!$B$6,Cenários!N42,Cenários!N88,Cenários!N134))</f>
        <v>90989.1245066667</v>
      </c>
      <c r="O35" s="168" t="n">
        <f aca="false">MAX(0,-CHOOSE(Premissas!$B$6,Cenários!O42,Cenários!O88,Cenários!O134))</f>
        <v>75602.2862697387</v>
      </c>
      <c r="P35" s="168" t="n">
        <f aca="false">MAX(0,-CHOOSE(Premissas!$B$6,Cenários!P42,Cenários!P88,Cenários!P134))</f>
        <v>62834.3975386276</v>
      </c>
      <c r="Q35" s="168" t="n">
        <f aca="false">MAX(0,-CHOOSE(Premissas!$B$6,Cenários!Q42,Cenários!Q88,Cenários!Q134))</f>
        <v>30364.6935326509</v>
      </c>
      <c r="R35" s="168" t="n">
        <f aca="false">MAX(0,-CHOOSE(Premissas!$B$6,Cenários!R42,Cenários!R88,Cenários!R134))</f>
        <v>6993.91394303791</v>
      </c>
      <c r="S35" s="168" t="n">
        <f aca="false">MAX(0,-CHOOSE(Premissas!$B$6,Cenários!S42,Cenários!S88,Cenários!S134))</f>
        <v>4314.17099758057</v>
      </c>
      <c r="T35" s="168" t="n">
        <f aca="false">MAX(0,-CHOOSE(Premissas!$B$6,Cenários!T42,Cenários!T88,Cenários!T134))</f>
        <v>0</v>
      </c>
      <c r="U35" s="168" t="n">
        <f aca="false">MAX(0,-CHOOSE(Premissas!$B$6,Cenários!U42,Cenários!U88,Cenários!U134))</f>
        <v>0</v>
      </c>
      <c r="V35" s="168" t="n">
        <f aca="false">MAX(0,-CHOOSE(Premissas!$B$6,Cenários!V42,Cenários!V88,Cenários!V134))</f>
        <v>0</v>
      </c>
      <c r="W35" s="168" t="n">
        <f aca="false">MAX(0,-CHOOSE(Premissas!$B$6,Cenários!W42,Cenários!W88,Cenários!W134))</f>
        <v>0</v>
      </c>
      <c r="X35" s="168" t="n">
        <f aca="false">MAX(0,-CHOOSE(Premissas!$B$6,Cenários!X42,Cenários!X88,Cenários!X134))</f>
        <v>0</v>
      </c>
      <c r="Y35" s="168" t="n">
        <f aca="false">MAX(0,-CHOOSE(Premissas!$B$6,Cenários!Y42,Cenários!Y88,Cenários!Y134))</f>
        <v>0</v>
      </c>
      <c r="Z35" s="168" t="n">
        <f aca="false">MAX(0,-CHOOSE(Premissas!$B$6,Cenários!Z42,Cenários!Z88,Cenários!Z134))</f>
        <v>0</v>
      </c>
      <c r="AA35" s="168" t="n">
        <f aca="false">MAX(0,-CHOOSE(Premissas!$B$6,Cenários!AA42,Cenários!AA88,Cenários!AA134))</f>
        <v>0</v>
      </c>
      <c r="AB35" s="168" t="n">
        <f aca="false">MAX(0,-CHOOSE(Premissas!$B$6,Cenários!AB42,Cenários!AB88,Cenários!AB134))</f>
        <v>0</v>
      </c>
      <c r="AC35" s="168" t="n">
        <f aca="false">MAX(0,-CHOOSE(Premissas!$B$6,Cenários!AC42,Cenários!AC88,Cenários!AC134))</f>
        <v>0</v>
      </c>
      <c r="AD35" s="168" t="n">
        <f aca="false">MAX(0,-CHOOSE(Premissas!$B$6,Cenários!AD42,Cenários!AD88,Cenários!AD134))</f>
        <v>0</v>
      </c>
      <c r="AE35" s="168" t="n">
        <f aca="false">MAX(0,-CHOOSE(Premissas!$B$6,Cenários!AE42,Cenários!AE88,Cenários!AE134))</f>
        <v>0</v>
      </c>
      <c r="AF35" s="168" t="n">
        <f aca="false">MAX(0,-CHOOSE(Premissas!$B$6,Cenários!AF42,Cenários!AF88,Cenários!AF134))</f>
        <v>0</v>
      </c>
      <c r="AG35" s="168" t="n">
        <f aca="false">MAX(0,-CHOOSE(Premissas!$B$6,Cenários!AG42,Cenários!AG88,Cenários!AG134))</f>
        <v>0</v>
      </c>
      <c r="AH35" s="168" t="n">
        <f aca="false">MAX(0,-CHOOSE(Premissas!$B$6,Cenários!AH42,Cenários!AH88,Cenários!AH134))</f>
        <v>0</v>
      </c>
      <c r="AI35" s="168" t="n">
        <f aca="false">MAX(0,-CHOOSE(Premissas!$B$6,Cenários!AI42,Cenários!AI88,Cenários!AI134))</f>
        <v>0</v>
      </c>
      <c r="AJ35" s="168" t="n">
        <f aca="false">MAX(0,-CHOOSE(Premissas!$B$6,Cenários!AJ42,Cenários!AJ88,Cenários!AJ134))</f>
        <v>0</v>
      </c>
      <c r="AK35" s="168" t="n">
        <f aca="false">MAX(0,-CHOOSE(Premissas!$B$6,Cenários!AK42,Cenários!AK88,Cenários!AK134))</f>
        <v>0</v>
      </c>
      <c r="AL35" s="168" t="n">
        <f aca="false">MAX(0,-CHOOSE(Premissas!$B$6,Cenários!AL42,Cenários!AL88,Cenários!AL134))</f>
        <v>0</v>
      </c>
      <c r="AM35" s="168" t="n">
        <f aca="false">MAX(0,-CHOOSE(Premissas!$B$6,Cenários!AM42,Cenários!AM88,Cenários!AM134))</f>
        <v>0</v>
      </c>
      <c r="AN35" s="168" t="n">
        <f aca="false">MAX(0,-CHOOSE(Premissas!$B$6,Cenários!AN42,Cenários!AN88,Cenários!AN134))</f>
        <v>0</v>
      </c>
      <c r="AO35" s="168" t="n">
        <f aca="false">MAX(0,-CHOOSE(Premissas!$B$6,Cenários!AO42,Cenários!AO88,Cenários!AO134))</f>
        <v>0</v>
      </c>
      <c r="AP35" s="168" t="n">
        <f aca="false">MAX(0,-CHOOSE(Premissas!$B$6,Cenários!AP42,Cenários!AP88,Cenários!AP134))</f>
        <v>0</v>
      </c>
      <c r="AQ35" s="168" t="n">
        <f aca="false">MAX(0,-CHOOSE(Premissas!$B$6,Cenários!AQ42,Cenários!AQ88,Cenários!AQ134))</f>
        <v>0</v>
      </c>
      <c r="AR35" s="168" t="n">
        <f aca="false">MAX(0,-CHOOSE(Premissas!$B$6,Cenários!AR42,Cenários!AR88,Cenários!AR134))</f>
        <v>0</v>
      </c>
      <c r="AS35" s="168" t="n">
        <f aca="false">MAX(0,-CHOOSE(Premissas!$B$6,Cenários!AS42,Cenários!AS88,Cenários!AS134))</f>
        <v>0</v>
      </c>
      <c r="AT35" s="168" t="n">
        <f aca="false">MAX(0,-CHOOSE(Premissas!$B$6,Cenários!AT42,Cenários!AT88,Cenários!AT134))</f>
        <v>0</v>
      </c>
      <c r="AU35" s="168" t="n">
        <f aca="false">MAX(0,-CHOOSE(Premissas!$B$6,Cenários!AU42,Cenários!AU88,Cenários!AU134))</f>
        <v>0</v>
      </c>
      <c r="AV35" s="168" t="n">
        <f aca="false">MAX(0,-CHOOSE(Premissas!$B$6,Cenários!AV42,Cenários!AV88,Cenários!AV134))</f>
        <v>0</v>
      </c>
      <c r="AW35" s="168" t="n">
        <f aca="false">MAX(0,-CHOOSE(Premissas!$B$6,Cenários!AW42,Cenários!AW88,Cenários!AW134))</f>
        <v>0</v>
      </c>
      <c r="AX35" s="168" t="n">
        <f aca="false">MAX(0,-CHOOSE(Premissas!$B$6,Cenários!AX42,Cenários!AX88,Cenários!AX134))</f>
        <v>0</v>
      </c>
      <c r="AY35" s="168" t="n">
        <f aca="false">MAX(0,-CHOOSE(Premissas!$B$6,Cenários!AY42,Cenários!AY88,Cenários!AY134))</f>
        <v>0</v>
      </c>
      <c r="AZ35" s="168" t="n">
        <f aca="false">MAX(0,-CHOOSE(Premissas!$B$6,Cenários!AZ42,Cenários!AZ88,Cenários!AZ134))</f>
        <v>0</v>
      </c>
      <c r="BA35" s="168" t="n">
        <f aca="false">MAX(0,-CHOOSE(Premissas!$B$6,Cenários!BA42,Cenários!BA88,Cenários!BA134))</f>
        <v>0</v>
      </c>
      <c r="BB35" s="168" t="n">
        <f aca="false">MAX(0,-CHOOSE(Premissas!$B$6,Cenários!BB42,Cenários!BB88,Cenários!BB134))</f>
        <v>0</v>
      </c>
      <c r="BC35" s="168" t="n">
        <f aca="false">MAX(0,-CHOOSE(Premissas!$B$6,Cenários!BC42,Cenários!BC88,Cenários!BC134))</f>
        <v>0</v>
      </c>
      <c r="BD35" s="168" t="n">
        <f aca="false">MAX(0,-CHOOSE(Premissas!$B$6,Cenários!BD42,Cenários!BD88,Cenários!BD134))</f>
        <v>0</v>
      </c>
      <c r="BE35" s="168" t="n">
        <f aca="false">MAX(0,-CHOOSE(Premissas!$B$6,Cenários!BE42,Cenários!BE88,Cenários!BE134))</f>
        <v>0</v>
      </c>
      <c r="BF35" s="168" t="n">
        <f aca="false">MAX(0,-CHOOSE(Premissas!$B$6,Cenários!BF42,Cenários!BF88,Cenários!BF134))</f>
        <v>0</v>
      </c>
      <c r="BG35" s="168" t="n">
        <f aca="false">MAX(0,-CHOOSE(Premissas!$B$6,Cenários!BG42,Cenários!BG88,Cenários!BG134))</f>
        <v>0</v>
      </c>
      <c r="BH35" s="168" t="n">
        <f aca="false">MAX(0,-CHOOSE(Premissas!$B$6,Cenários!BH42,Cenários!BH88,Cenários!BH134))</f>
        <v>0</v>
      </c>
      <c r="BI35" s="168" t="n">
        <f aca="false">MAX(0,-CHOOSE(Premissas!$B$6,Cenários!BI42,Cenários!BI88,Cenários!BI134))</f>
        <v>0</v>
      </c>
    </row>
    <row r="36" customFormat="false" ht="15.75" hidden="false" customHeight="true" outlineLevel="0" collapsed="false">
      <c r="A36" s="53" t="s">
        <v>743</v>
      </c>
      <c r="B36" s="259" t="n">
        <f aca="false">IF(B34&lt;=0,0,IF(AVERAGE(B35)&lt;=0,999,B34/AVERAGE(B35)))</f>
        <v>0</v>
      </c>
      <c r="C36" s="259" t="n">
        <f aca="false">IF(C34&lt;=0,0,IF(AVERAGE(B35:C35)&lt;=0,999,C34/AVERAGE(B35:C35)))</f>
        <v>0</v>
      </c>
      <c r="D36" s="259" t="n">
        <f aca="false">IF(D34&lt;=0,0,IF(AVERAGE(B35:D35)&lt;=0,999,D34/AVERAGE(B35:D35)))</f>
        <v>0</v>
      </c>
      <c r="E36" s="259" t="n">
        <f aca="false">IF(E34&lt;=0,0,IF(AVERAGE(C35:E35)&lt;=0,999,E34/AVERAGE(C35:E35)))</f>
        <v>999</v>
      </c>
      <c r="F36" s="259" t="n">
        <f aca="false">IF(F34&lt;=0,0,IF(AVERAGE(D35:F35)&lt;=0,999,F34/AVERAGE(D35:F35)))</f>
        <v>1.54545454545455</v>
      </c>
      <c r="G36" s="259" t="n">
        <f aca="false">IF(G34&lt;=0,0,IF(AVERAGE(E35:G35)&lt;=0,999,G34/AVERAGE(E35:G35)))</f>
        <v>1.16666666666667</v>
      </c>
      <c r="H36" s="259" t="n">
        <f aca="false">IF(H34&lt;=0,0,IF(AVERAGE(F35:H35)&lt;=0,999,H34/AVERAGE(F35:H35)))</f>
        <v>2.76923076923077</v>
      </c>
      <c r="I36" s="259" t="n">
        <f aca="false">IF(I34&lt;=0,0,IF(AVERAGE(G35:I35)&lt;=0,999,I34/AVERAGE(G35:I35)))</f>
        <v>4.2475571522957</v>
      </c>
      <c r="J36" s="259" t="n">
        <f aca="false">IF(J34&lt;=0,0,IF(AVERAGE(H35:J35)&lt;=0,999,J34/AVERAGE(H35:J35)))</f>
        <v>1.1721463032637</v>
      </c>
      <c r="K36" s="259" t="n">
        <f aca="false">IF(K34&lt;=0,0,IF(AVERAGE(I35:K35)&lt;=0,999,K34/AVERAGE(I35:K35)))</f>
        <v>7.2606441654958</v>
      </c>
      <c r="L36" s="259" t="n">
        <f aca="false">IF(L34&lt;=0,0,IF(AVERAGE(J35:L35)&lt;=0,999,L34/AVERAGE(J35:L35)))</f>
        <v>9.28051604938272</v>
      </c>
      <c r="M36" s="259" t="n">
        <f aca="false">IF(M34&lt;=0,0,IF(AVERAGE(K35:M35)&lt;=0,999,M34/AVERAGE(K35:M35)))</f>
        <v>3.00685067920673</v>
      </c>
      <c r="N36" s="259" t="n">
        <f aca="false">IF(N34&lt;=0,0,IF(AVERAGE(L35:N35)&lt;=0,999,N34/AVERAGE(L35:N35)))</f>
        <v>0</v>
      </c>
      <c r="O36" s="259" t="n">
        <f aca="false">IF(O34&lt;=0,0,IF(AVERAGE(M35:O35)&lt;=0,999,O34/AVERAGE(M35:O35)))</f>
        <v>1.17925696547571</v>
      </c>
      <c r="P36" s="259" t="n">
        <f aca="false">IF(P34&lt;=0,0,IF(AVERAGE(N35:P35)&lt;=0,999,P34/AVERAGE(N35:P35)))</f>
        <v>0.193666201423555</v>
      </c>
      <c r="Q36" s="259" t="n">
        <f aca="false">IF(Q34&lt;=0,0,IF(AVERAGE(O35:Q35)&lt;=0,999,Q34/AVERAGE(O35:Q35)))</f>
        <v>0</v>
      </c>
      <c r="R36" s="259" t="n">
        <f aca="false">IF(R34&lt;=0,0,IF(AVERAGE(P35:R35)&lt;=0,999,R34/AVERAGE(P35:R35)))</f>
        <v>0</v>
      </c>
      <c r="S36" s="259" t="n">
        <f aca="false">IF(S34&lt;=0,0,IF(AVERAGE(Q35:S35)&lt;=0,999,S34/AVERAGE(Q35:S35)))</f>
        <v>0</v>
      </c>
      <c r="T36" s="259" t="n">
        <f aca="false">IF(T34&lt;=0,0,IF(AVERAGE(R35:T35)&lt;=0,999,T34/AVERAGE(R35:T35)))</f>
        <v>0</v>
      </c>
      <c r="U36" s="259" t="n">
        <f aca="false">IF(U34&lt;=0,0,IF(AVERAGE(S35:U35)&lt;=0,999,U34/AVERAGE(S35:U35)))</f>
        <v>0.799668960447333</v>
      </c>
      <c r="V36" s="259" t="n">
        <f aca="false">IF(V34&lt;=0,0,IF(AVERAGE(T35:V35)&lt;=0,999,V34/AVERAGE(T35:V35)))</f>
        <v>999</v>
      </c>
      <c r="W36" s="259" t="n">
        <f aca="false">IF(W34&lt;=0,0,IF(AVERAGE(U35:W35)&lt;=0,999,W34/AVERAGE(U35:W35)))</f>
        <v>999</v>
      </c>
      <c r="X36" s="259" t="n">
        <f aca="false">IF(X34&lt;=0,0,IF(AVERAGE(V35:X35)&lt;=0,999,X34/AVERAGE(V35:X35)))</f>
        <v>999</v>
      </c>
      <c r="Y36" s="259" t="n">
        <f aca="false">IF(Y34&lt;=0,0,IF(AVERAGE(W35:Y35)&lt;=0,999,Y34/AVERAGE(W35:Y35)))</f>
        <v>999</v>
      </c>
      <c r="Z36" s="259" t="n">
        <f aca="false">IF(Z34&lt;=0,0,IF(AVERAGE(X35:Z35)&lt;=0,999,Z34/AVERAGE(X35:Z35)))</f>
        <v>999</v>
      </c>
      <c r="AA36" s="259" t="n">
        <f aca="false">IF(AA34&lt;=0,0,IF(AVERAGE(Y35:AA35)&lt;=0,999,AA34/AVERAGE(Y35:AA35)))</f>
        <v>999</v>
      </c>
      <c r="AB36" s="259" t="n">
        <f aca="false">IF(AB34&lt;=0,0,IF(AVERAGE(Z35:AB35)&lt;=0,999,AB34/AVERAGE(Z35:AB35)))</f>
        <v>999</v>
      </c>
      <c r="AC36" s="259" t="n">
        <f aca="false">IF(AC34&lt;=0,0,IF(AVERAGE(AA35:AC35)&lt;=0,999,AC34/AVERAGE(AA35:AC35)))</f>
        <v>999</v>
      </c>
      <c r="AD36" s="259" t="n">
        <f aca="false">IF(AD34&lt;=0,0,IF(AVERAGE(AB35:AD35)&lt;=0,999,AD34/AVERAGE(AB35:AD35)))</f>
        <v>999</v>
      </c>
      <c r="AE36" s="259" t="n">
        <f aca="false">IF(AE34&lt;=0,0,IF(AVERAGE(AC35:AE35)&lt;=0,999,AE34/AVERAGE(AC35:AE35)))</f>
        <v>999</v>
      </c>
      <c r="AF36" s="259" t="n">
        <f aca="false">IF(AF34&lt;=0,0,IF(AVERAGE(AD35:AF35)&lt;=0,999,AF34/AVERAGE(AD35:AF35)))</f>
        <v>999</v>
      </c>
      <c r="AG36" s="259" t="n">
        <f aca="false">IF(AG34&lt;=0,0,IF(AVERAGE(AE35:AG35)&lt;=0,999,AG34/AVERAGE(AE35:AG35)))</f>
        <v>999</v>
      </c>
      <c r="AH36" s="259" t="n">
        <f aca="false">IF(AH34&lt;=0,0,IF(AVERAGE(AF35:AH35)&lt;=0,999,AH34/AVERAGE(AF35:AH35)))</f>
        <v>999</v>
      </c>
      <c r="AI36" s="259" t="n">
        <f aca="false">IF(AI34&lt;=0,0,IF(AVERAGE(AG35:AI35)&lt;=0,999,AI34/AVERAGE(AG35:AI35)))</f>
        <v>999</v>
      </c>
      <c r="AJ36" s="259" t="n">
        <f aca="false">IF(AJ34&lt;=0,0,IF(AVERAGE(AH35:AJ35)&lt;=0,999,AJ34/AVERAGE(AH35:AJ35)))</f>
        <v>999</v>
      </c>
      <c r="AK36" s="259" t="n">
        <f aca="false">IF(AK34&lt;=0,0,IF(AVERAGE(AI35:AK35)&lt;=0,999,AK34/AVERAGE(AI35:AK35)))</f>
        <v>999</v>
      </c>
      <c r="AL36" s="259" t="n">
        <f aca="false">IF(AL34&lt;=0,0,IF(AVERAGE(AJ35:AL35)&lt;=0,999,AL34/AVERAGE(AJ35:AL35)))</f>
        <v>999</v>
      </c>
      <c r="AM36" s="259" t="n">
        <f aca="false">IF(AM34&lt;=0,0,IF(AVERAGE(AK35:AM35)&lt;=0,999,AM34/AVERAGE(AK35:AM35)))</f>
        <v>999</v>
      </c>
      <c r="AN36" s="259" t="n">
        <f aca="false">IF(AN34&lt;=0,0,IF(AVERAGE(AL35:AN35)&lt;=0,999,AN34/AVERAGE(AL35:AN35)))</f>
        <v>999</v>
      </c>
      <c r="AO36" s="259" t="n">
        <f aca="false">IF(AO34&lt;=0,0,IF(AVERAGE(AM35:AO35)&lt;=0,999,AO34/AVERAGE(AM35:AO35)))</f>
        <v>999</v>
      </c>
      <c r="AP36" s="259" t="n">
        <f aca="false">IF(AP34&lt;=0,0,IF(AVERAGE(AN35:AP35)&lt;=0,999,AP34/AVERAGE(AN35:AP35)))</f>
        <v>999</v>
      </c>
      <c r="AQ36" s="259" t="n">
        <f aca="false">IF(AQ34&lt;=0,0,IF(AVERAGE(AO35:AQ35)&lt;=0,999,AQ34/AVERAGE(AO35:AQ35)))</f>
        <v>999</v>
      </c>
      <c r="AR36" s="259" t="n">
        <f aca="false">IF(AR34&lt;=0,0,IF(AVERAGE(AP35:AR35)&lt;=0,999,AR34/AVERAGE(AP35:AR35)))</f>
        <v>999</v>
      </c>
      <c r="AS36" s="259" t="n">
        <f aca="false">IF(AS34&lt;=0,0,IF(AVERAGE(AQ35:AS35)&lt;=0,999,AS34/AVERAGE(AQ35:AS35)))</f>
        <v>999</v>
      </c>
      <c r="AT36" s="259" t="n">
        <f aca="false">IF(AT34&lt;=0,0,IF(AVERAGE(AR35:AT35)&lt;=0,999,AT34/AVERAGE(AR35:AT35)))</f>
        <v>999</v>
      </c>
      <c r="AU36" s="259" t="n">
        <f aca="false">IF(AU34&lt;=0,0,IF(AVERAGE(AS35:AU35)&lt;=0,999,AU34/AVERAGE(AS35:AU35)))</f>
        <v>999</v>
      </c>
      <c r="AV36" s="259" t="n">
        <f aca="false">IF(AV34&lt;=0,0,IF(AVERAGE(AT35:AV35)&lt;=0,999,AV34/AVERAGE(AT35:AV35)))</f>
        <v>999</v>
      </c>
      <c r="AW36" s="259" t="n">
        <f aca="false">IF(AW34&lt;=0,0,IF(AVERAGE(AU35:AW35)&lt;=0,999,AW34/AVERAGE(AU35:AW35)))</f>
        <v>999</v>
      </c>
      <c r="AX36" s="259" t="n">
        <f aca="false">IF(AX34&lt;=0,0,IF(AVERAGE(AV35:AX35)&lt;=0,999,AX34/AVERAGE(AV35:AX35)))</f>
        <v>999</v>
      </c>
      <c r="AY36" s="259" t="n">
        <f aca="false">IF(AY34&lt;=0,0,IF(AVERAGE(AW35:AY35)&lt;=0,999,AY34/AVERAGE(AW35:AY35)))</f>
        <v>999</v>
      </c>
      <c r="AZ36" s="259" t="n">
        <f aca="false">IF(AZ34&lt;=0,0,IF(AVERAGE(AX35:AZ35)&lt;=0,999,AZ34/AVERAGE(AX35:AZ35)))</f>
        <v>999</v>
      </c>
      <c r="BA36" s="259" t="n">
        <f aca="false">IF(BA34&lt;=0,0,IF(AVERAGE(AY35:BA35)&lt;=0,999,BA34/AVERAGE(AY35:BA35)))</f>
        <v>999</v>
      </c>
      <c r="BB36" s="259" t="n">
        <f aca="false">IF(BB34&lt;=0,0,IF(AVERAGE(AZ35:BB35)&lt;=0,999,BB34/AVERAGE(AZ35:BB35)))</f>
        <v>999</v>
      </c>
      <c r="BC36" s="259" t="n">
        <f aca="false">IF(BC34&lt;=0,0,IF(AVERAGE(BA35:BC35)&lt;=0,999,BC34/AVERAGE(BA35:BC35)))</f>
        <v>999</v>
      </c>
      <c r="BD36" s="259" t="n">
        <f aca="false">IF(BD34&lt;=0,0,IF(AVERAGE(BB35:BD35)&lt;=0,999,BD34/AVERAGE(BB35:BD35)))</f>
        <v>999</v>
      </c>
      <c r="BE36" s="259" t="n">
        <f aca="false">IF(BE34&lt;=0,0,IF(AVERAGE(BC35:BE35)&lt;=0,999,BE34/AVERAGE(BC35:BE35)))</f>
        <v>999</v>
      </c>
      <c r="BF36" s="259" t="n">
        <f aca="false">IF(BF34&lt;=0,0,IF(AVERAGE(BD35:BF35)&lt;=0,999,BF34/AVERAGE(BD35:BF35)))</f>
        <v>999</v>
      </c>
      <c r="BG36" s="259" t="n">
        <f aca="false">IF(BG34&lt;=0,0,IF(AVERAGE(BE35:BG35)&lt;=0,999,BG34/AVERAGE(BE35:BG35)))</f>
        <v>999</v>
      </c>
      <c r="BH36" s="259" t="n">
        <f aca="false">IF(BH34&lt;=0,0,IF(AVERAGE(BF35:BH35)&lt;=0,999,BH34/AVERAGE(BF35:BH35)))</f>
        <v>999</v>
      </c>
      <c r="BI36" s="259" t="n">
        <f aca="false">IF(BI34&lt;=0,0,IF(AVERAGE(BG35:BI35)&lt;=0,999,BI34/AVERAGE(BG35:BI35)))</f>
        <v>999</v>
      </c>
      <c r="BK36" s="51" t="s">
        <v>744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42"/>
    <col collapsed="false" customWidth="true" hidden="false" outlineLevel="0" max="61" min="2" style="37" width="11"/>
    <col collapsed="false" customWidth="true" hidden="false" outlineLevel="0" max="62" min="62" style="37" width="15"/>
    <col collapsed="false" customWidth="true" hidden="false" outlineLevel="0" max="63" min="63" style="37" width="34"/>
  </cols>
  <sheetData>
    <row r="1" customFormat="false" ht="25.5" hidden="false" customHeight="true" outlineLevel="0" collapsed="false">
      <c r="A1" s="38" t="s">
        <v>745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customFormat="false" ht="15.75" hidden="false" customHeight="true" outlineLevel="0" collapsed="false">
      <c r="A2" s="40" t="s">
        <v>746</v>
      </c>
    </row>
    <row r="4" customFormat="false" ht="15" hidden="false" customHeight="true" outlineLevel="0" collapsed="false">
      <c r="A4" s="144" t="s">
        <v>384</v>
      </c>
      <c r="B4" s="145" t="n">
        <v>46023</v>
      </c>
      <c r="C4" s="145" t="n">
        <v>46054</v>
      </c>
      <c r="D4" s="145" t="n">
        <v>46082</v>
      </c>
      <c r="E4" s="145" t="n">
        <v>46113</v>
      </c>
      <c r="F4" s="145" t="n">
        <v>46143</v>
      </c>
      <c r="G4" s="145" t="n">
        <v>46174</v>
      </c>
      <c r="H4" s="145" t="n">
        <v>46204</v>
      </c>
      <c r="I4" s="145" t="n">
        <v>46235</v>
      </c>
      <c r="J4" s="145" t="n">
        <v>46266</v>
      </c>
      <c r="K4" s="145" t="n">
        <v>46296</v>
      </c>
      <c r="L4" s="145" t="n">
        <v>46327</v>
      </c>
      <c r="M4" s="145" t="n">
        <v>46357</v>
      </c>
      <c r="N4" s="145" t="n">
        <v>46388</v>
      </c>
      <c r="O4" s="145" t="n">
        <v>46419</v>
      </c>
      <c r="P4" s="145" t="n">
        <v>46447</v>
      </c>
      <c r="Q4" s="145" t="n">
        <v>46478</v>
      </c>
      <c r="R4" s="145" t="n">
        <v>46508</v>
      </c>
      <c r="S4" s="145" t="n">
        <v>46539</v>
      </c>
      <c r="T4" s="145" t="n">
        <v>46569</v>
      </c>
      <c r="U4" s="145" t="n">
        <v>46600</v>
      </c>
      <c r="V4" s="145" t="n">
        <v>46631</v>
      </c>
      <c r="W4" s="145" t="n">
        <v>46661</v>
      </c>
      <c r="X4" s="145" t="n">
        <v>46692</v>
      </c>
      <c r="Y4" s="145" t="n">
        <v>46722</v>
      </c>
      <c r="Z4" s="145" t="n">
        <v>46753</v>
      </c>
      <c r="AA4" s="145" t="n">
        <v>46784</v>
      </c>
      <c r="AB4" s="145" t="n">
        <v>46813</v>
      </c>
      <c r="AC4" s="145" t="n">
        <v>46844</v>
      </c>
      <c r="AD4" s="145" t="n">
        <v>46874</v>
      </c>
      <c r="AE4" s="145" t="n">
        <v>46905</v>
      </c>
      <c r="AF4" s="145" t="n">
        <v>46935</v>
      </c>
      <c r="AG4" s="145" t="n">
        <v>46966</v>
      </c>
      <c r="AH4" s="145" t="n">
        <v>46997</v>
      </c>
      <c r="AI4" s="145" t="n">
        <v>47027</v>
      </c>
      <c r="AJ4" s="145" t="n">
        <v>47058</v>
      </c>
      <c r="AK4" s="145" t="n">
        <v>47088</v>
      </c>
      <c r="AL4" s="145" t="n">
        <v>47119</v>
      </c>
      <c r="AM4" s="145" t="n">
        <v>47150</v>
      </c>
      <c r="AN4" s="145" t="n">
        <v>47178</v>
      </c>
      <c r="AO4" s="145" t="n">
        <v>47209</v>
      </c>
      <c r="AP4" s="145" t="n">
        <v>47239</v>
      </c>
      <c r="AQ4" s="145" t="n">
        <v>47270</v>
      </c>
      <c r="AR4" s="145" t="n">
        <v>47300</v>
      </c>
      <c r="AS4" s="145" t="n">
        <v>47331</v>
      </c>
      <c r="AT4" s="145" t="n">
        <v>47362</v>
      </c>
      <c r="AU4" s="145" t="n">
        <v>47392</v>
      </c>
      <c r="AV4" s="145" t="n">
        <v>47423</v>
      </c>
      <c r="AW4" s="145" t="n">
        <v>47453</v>
      </c>
      <c r="AX4" s="145" t="n">
        <v>47484</v>
      </c>
      <c r="AY4" s="145" t="n">
        <v>47515</v>
      </c>
      <c r="AZ4" s="145" t="n">
        <v>47543</v>
      </c>
      <c r="BA4" s="145" t="n">
        <v>47574</v>
      </c>
      <c r="BB4" s="145" t="n">
        <v>47604</v>
      </c>
      <c r="BC4" s="145" t="n">
        <v>47635</v>
      </c>
      <c r="BD4" s="145" t="n">
        <v>47665</v>
      </c>
      <c r="BE4" s="145" t="n">
        <v>47696</v>
      </c>
      <c r="BF4" s="145" t="n">
        <v>47727</v>
      </c>
      <c r="BG4" s="145" t="n">
        <v>47757</v>
      </c>
      <c r="BH4" s="145" t="n">
        <v>47788</v>
      </c>
      <c r="BI4" s="145" t="n">
        <v>47818</v>
      </c>
      <c r="BJ4" s="146" t="s">
        <v>385</v>
      </c>
      <c r="BK4" s="146" t="s">
        <v>386</v>
      </c>
    </row>
    <row r="5" customFormat="false" ht="15" hidden="false" customHeight="true" outlineLevel="0" collapsed="false">
      <c r="A5" s="147" t="s">
        <v>387</v>
      </c>
      <c r="B5" s="148" t="n">
        <v>1</v>
      </c>
      <c r="C5" s="148" t="n">
        <v>2</v>
      </c>
      <c r="D5" s="148" t="n">
        <v>3</v>
      </c>
      <c r="E5" s="148" t="n">
        <v>4</v>
      </c>
      <c r="F5" s="148" t="n">
        <v>5</v>
      </c>
      <c r="G5" s="148" t="n">
        <v>6</v>
      </c>
      <c r="H5" s="148" t="n">
        <v>7</v>
      </c>
      <c r="I5" s="148" t="n">
        <v>8</v>
      </c>
      <c r="J5" s="148" t="n">
        <v>9</v>
      </c>
      <c r="K5" s="148" t="n">
        <v>10</v>
      </c>
      <c r="L5" s="148" t="n">
        <v>11</v>
      </c>
      <c r="M5" s="148" t="n">
        <v>12</v>
      </c>
      <c r="N5" s="148" t="n">
        <v>13</v>
      </c>
      <c r="O5" s="148" t="n">
        <v>14</v>
      </c>
      <c r="P5" s="148" t="n">
        <v>15</v>
      </c>
      <c r="Q5" s="148" t="n">
        <v>16</v>
      </c>
      <c r="R5" s="148" t="n">
        <v>17</v>
      </c>
      <c r="S5" s="148" t="n">
        <v>18</v>
      </c>
      <c r="T5" s="148" t="n">
        <v>19</v>
      </c>
      <c r="U5" s="148" t="n">
        <v>20</v>
      </c>
      <c r="V5" s="148" t="n">
        <v>21</v>
      </c>
      <c r="W5" s="148" t="n">
        <v>22</v>
      </c>
      <c r="X5" s="148" t="n">
        <v>23</v>
      </c>
      <c r="Y5" s="148" t="n">
        <v>24</v>
      </c>
      <c r="Z5" s="148" t="n">
        <v>25</v>
      </c>
      <c r="AA5" s="148" t="n">
        <v>26</v>
      </c>
      <c r="AB5" s="148" t="n">
        <v>27</v>
      </c>
      <c r="AC5" s="148" t="n">
        <v>28</v>
      </c>
      <c r="AD5" s="148" t="n">
        <v>29</v>
      </c>
      <c r="AE5" s="148" t="n">
        <v>30</v>
      </c>
      <c r="AF5" s="148" t="n">
        <v>31</v>
      </c>
      <c r="AG5" s="148" t="n">
        <v>32</v>
      </c>
      <c r="AH5" s="148" t="n">
        <v>33</v>
      </c>
      <c r="AI5" s="148" t="n">
        <v>34</v>
      </c>
      <c r="AJ5" s="148" t="n">
        <v>35</v>
      </c>
      <c r="AK5" s="148" t="n">
        <v>36</v>
      </c>
      <c r="AL5" s="148" t="n">
        <v>37</v>
      </c>
      <c r="AM5" s="148" t="n">
        <v>38</v>
      </c>
      <c r="AN5" s="148" t="n">
        <v>39</v>
      </c>
      <c r="AO5" s="148" t="n">
        <v>40</v>
      </c>
      <c r="AP5" s="148" t="n">
        <v>41</v>
      </c>
      <c r="AQ5" s="148" t="n">
        <v>42</v>
      </c>
      <c r="AR5" s="148" t="n">
        <v>43</v>
      </c>
      <c r="AS5" s="148" t="n">
        <v>44</v>
      </c>
      <c r="AT5" s="148" t="n">
        <v>45</v>
      </c>
      <c r="AU5" s="148" t="n">
        <v>46</v>
      </c>
      <c r="AV5" s="148" t="n">
        <v>47</v>
      </c>
      <c r="AW5" s="148" t="n">
        <v>48</v>
      </c>
      <c r="AX5" s="148" t="n">
        <v>49</v>
      </c>
      <c r="AY5" s="148" t="n">
        <v>50</v>
      </c>
      <c r="AZ5" s="148" t="n">
        <v>51</v>
      </c>
      <c r="BA5" s="148" t="n">
        <v>52</v>
      </c>
      <c r="BB5" s="148" t="n">
        <v>53</v>
      </c>
      <c r="BC5" s="148" t="n">
        <v>54</v>
      </c>
      <c r="BD5" s="148" t="n">
        <v>55</v>
      </c>
      <c r="BE5" s="148" t="n">
        <v>56</v>
      </c>
      <c r="BF5" s="148" t="n">
        <v>57</v>
      </c>
      <c r="BG5" s="148" t="n">
        <v>58</v>
      </c>
      <c r="BH5" s="148" t="n">
        <v>59</v>
      </c>
      <c r="BI5" s="148" t="n">
        <v>60</v>
      </c>
    </row>
    <row r="6" customFormat="false" ht="15" hidden="false" customHeight="true" outlineLevel="0" collapsed="false">
      <c r="A6" s="147" t="s">
        <v>388</v>
      </c>
      <c r="B6" s="149" t="n">
        <f aca="false">YEAR(B4)</f>
        <v>2026</v>
      </c>
      <c r="C6" s="149" t="n">
        <f aca="false">YEAR(C4)</f>
        <v>2026</v>
      </c>
      <c r="D6" s="149" t="n">
        <f aca="false">YEAR(D4)</f>
        <v>2026</v>
      </c>
      <c r="E6" s="149" t="n">
        <f aca="false">YEAR(E4)</f>
        <v>2026</v>
      </c>
      <c r="F6" s="149" t="n">
        <f aca="false">YEAR(F4)</f>
        <v>2026</v>
      </c>
      <c r="G6" s="149" t="n">
        <f aca="false">YEAR(G4)</f>
        <v>2026</v>
      </c>
      <c r="H6" s="149" t="n">
        <f aca="false">YEAR(H4)</f>
        <v>2026</v>
      </c>
      <c r="I6" s="149" t="n">
        <f aca="false">YEAR(I4)</f>
        <v>2026</v>
      </c>
      <c r="J6" s="149" t="n">
        <f aca="false">YEAR(J4)</f>
        <v>2026</v>
      </c>
      <c r="K6" s="149" t="n">
        <f aca="false">YEAR(K4)</f>
        <v>2026</v>
      </c>
      <c r="L6" s="149" t="n">
        <f aca="false">YEAR(L4)</f>
        <v>2026</v>
      </c>
      <c r="M6" s="149" t="n">
        <f aca="false">YEAR(M4)</f>
        <v>2026</v>
      </c>
      <c r="N6" s="149" t="n">
        <f aca="false">YEAR(N4)</f>
        <v>2027</v>
      </c>
      <c r="O6" s="149" t="n">
        <f aca="false">YEAR(O4)</f>
        <v>2027</v>
      </c>
      <c r="P6" s="149" t="n">
        <f aca="false">YEAR(P4)</f>
        <v>2027</v>
      </c>
      <c r="Q6" s="149" t="n">
        <f aca="false">YEAR(Q4)</f>
        <v>2027</v>
      </c>
      <c r="R6" s="149" t="n">
        <f aca="false">YEAR(R4)</f>
        <v>2027</v>
      </c>
      <c r="S6" s="149" t="n">
        <f aca="false">YEAR(S4)</f>
        <v>2027</v>
      </c>
      <c r="T6" s="149" t="n">
        <f aca="false">YEAR(T4)</f>
        <v>2027</v>
      </c>
      <c r="U6" s="149" t="n">
        <f aca="false">YEAR(U4)</f>
        <v>2027</v>
      </c>
      <c r="V6" s="149" t="n">
        <f aca="false">YEAR(V4)</f>
        <v>2027</v>
      </c>
      <c r="W6" s="149" t="n">
        <f aca="false">YEAR(W4)</f>
        <v>2027</v>
      </c>
      <c r="X6" s="149" t="n">
        <f aca="false">YEAR(X4)</f>
        <v>2027</v>
      </c>
      <c r="Y6" s="149" t="n">
        <f aca="false">YEAR(Y4)</f>
        <v>2027</v>
      </c>
      <c r="Z6" s="149" t="n">
        <f aca="false">YEAR(Z4)</f>
        <v>2028</v>
      </c>
      <c r="AA6" s="149" t="n">
        <f aca="false">YEAR(AA4)</f>
        <v>2028</v>
      </c>
      <c r="AB6" s="149" t="n">
        <f aca="false">YEAR(AB4)</f>
        <v>2028</v>
      </c>
      <c r="AC6" s="149" t="n">
        <f aca="false">YEAR(AC4)</f>
        <v>2028</v>
      </c>
      <c r="AD6" s="149" t="n">
        <f aca="false">YEAR(AD4)</f>
        <v>2028</v>
      </c>
      <c r="AE6" s="149" t="n">
        <f aca="false">YEAR(AE4)</f>
        <v>2028</v>
      </c>
      <c r="AF6" s="149" t="n">
        <f aca="false">YEAR(AF4)</f>
        <v>2028</v>
      </c>
      <c r="AG6" s="149" t="n">
        <f aca="false">YEAR(AG4)</f>
        <v>2028</v>
      </c>
      <c r="AH6" s="149" t="n">
        <f aca="false">YEAR(AH4)</f>
        <v>2028</v>
      </c>
      <c r="AI6" s="149" t="n">
        <f aca="false">YEAR(AI4)</f>
        <v>2028</v>
      </c>
      <c r="AJ6" s="149" t="n">
        <f aca="false">YEAR(AJ4)</f>
        <v>2028</v>
      </c>
      <c r="AK6" s="149" t="n">
        <f aca="false">YEAR(AK4)</f>
        <v>2028</v>
      </c>
      <c r="AL6" s="149" t="n">
        <f aca="false">YEAR(AL4)</f>
        <v>2029</v>
      </c>
      <c r="AM6" s="149" t="n">
        <f aca="false">YEAR(AM4)</f>
        <v>2029</v>
      </c>
      <c r="AN6" s="149" t="n">
        <f aca="false">YEAR(AN4)</f>
        <v>2029</v>
      </c>
      <c r="AO6" s="149" t="n">
        <f aca="false">YEAR(AO4)</f>
        <v>2029</v>
      </c>
      <c r="AP6" s="149" t="n">
        <f aca="false">YEAR(AP4)</f>
        <v>2029</v>
      </c>
      <c r="AQ6" s="149" t="n">
        <f aca="false">YEAR(AQ4)</f>
        <v>2029</v>
      </c>
      <c r="AR6" s="149" t="n">
        <f aca="false">YEAR(AR4)</f>
        <v>2029</v>
      </c>
      <c r="AS6" s="149" t="n">
        <f aca="false">YEAR(AS4)</f>
        <v>2029</v>
      </c>
      <c r="AT6" s="149" t="n">
        <f aca="false">YEAR(AT4)</f>
        <v>2029</v>
      </c>
      <c r="AU6" s="149" t="n">
        <f aca="false">YEAR(AU4)</f>
        <v>2029</v>
      </c>
      <c r="AV6" s="149" t="n">
        <f aca="false">YEAR(AV4)</f>
        <v>2029</v>
      </c>
      <c r="AW6" s="149" t="n">
        <f aca="false">YEAR(AW4)</f>
        <v>2029</v>
      </c>
      <c r="AX6" s="149" t="n">
        <f aca="false">YEAR(AX4)</f>
        <v>2030</v>
      </c>
      <c r="AY6" s="149" t="n">
        <f aca="false">YEAR(AY4)</f>
        <v>2030</v>
      </c>
      <c r="AZ6" s="149" t="n">
        <f aca="false">YEAR(AZ4)</f>
        <v>2030</v>
      </c>
      <c r="BA6" s="149" t="n">
        <f aca="false">YEAR(BA4)</f>
        <v>2030</v>
      </c>
      <c r="BB6" s="149" t="n">
        <f aca="false">YEAR(BB4)</f>
        <v>2030</v>
      </c>
      <c r="BC6" s="149" t="n">
        <f aca="false">YEAR(BC4)</f>
        <v>2030</v>
      </c>
      <c r="BD6" s="149" t="n">
        <f aca="false">YEAR(BD4)</f>
        <v>2030</v>
      </c>
      <c r="BE6" s="149" t="n">
        <f aca="false">YEAR(BE4)</f>
        <v>2030</v>
      </c>
      <c r="BF6" s="149" t="n">
        <f aca="false">YEAR(BF4)</f>
        <v>2030</v>
      </c>
      <c r="BG6" s="149" t="n">
        <f aca="false">YEAR(BG4)</f>
        <v>2030</v>
      </c>
      <c r="BH6" s="149" t="n">
        <f aca="false">YEAR(BH4)</f>
        <v>2030</v>
      </c>
      <c r="BI6" s="149" t="n">
        <f aca="false">YEAR(BI4)</f>
        <v>2030</v>
      </c>
    </row>
    <row r="7" customFormat="false" ht="15" hidden="false" customHeight="true" outlineLevel="0" collapsed="false">
      <c r="A7" s="150" t="s">
        <v>389</v>
      </c>
      <c r="B7" s="151" t="n">
        <f aca="false">MATCH(B6,Premissas!$C$5:$G$5,0)</f>
        <v>1</v>
      </c>
      <c r="C7" s="151" t="n">
        <f aca="false">MATCH(C6,Premissas!$C$5:$G$5,0)</f>
        <v>1</v>
      </c>
      <c r="D7" s="151" t="n">
        <f aca="false">MATCH(D6,Premissas!$C$5:$G$5,0)</f>
        <v>1</v>
      </c>
      <c r="E7" s="151" t="n">
        <f aca="false">MATCH(E6,Premissas!$C$5:$G$5,0)</f>
        <v>1</v>
      </c>
      <c r="F7" s="151" t="n">
        <f aca="false">MATCH(F6,Premissas!$C$5:$G$5,0)</f>
        <v>1</v>
      </c>
      <c r="G7" s="151" t="n">
        <f aca="false">MATCH(G6,Premissas!$C$5:$G$5,0)</f>
        <v>1</v>
      </c>
      <c r="H7" s="151" t="n">
        <f aca="false">MATCH(H6,Premissas!$C$5:$G$5,0)</f>
        <v>1</v>
      </c>
      <c r="I7" s="151" t="n">
        <f aca="false">MATCH(I6,Premissas!$C$5:$G$5,0)</f>
        <v>1</v>
      </c>
      <c r="J7" s="151" t="n">
        <f aca="false">MATCH(J6,Premissas!$C$5:$G$5,0)</f>
        <v>1</v>
      </c>
      <c r="K7" s="151" t="n">
        <f aca="false">MATCH(K6,Premissas!$C$5:$G$5,0)</f>
        <v>1</v>
      </c>
      <c r="L7" s="151" t="n">
        <f aca="false">MATCH(L6,Premissas!$C$5:$G$5,0)</f>
        <v>1</v>
      </c>
      <c r="M7" s="151" t="n">
        <f aca="false">MATCH(M6,Premissas!$C$5:$G$5,0)</f>
        <v>1</v>
      </c>
      <c r="N7" s="151" t="n">
        <f aca="false">MATCH(N6,Premissas!$C$5:$G$5,0)</f>
        <v>2</v>
      </c>
      <c r="O7" s="151" t="n">
        <f aca="false">MATCH(O6,Premissas!$C$5:$G$5,0)</f>
        <v>2</v>
      </c>
      <c r="P7" s="151" t="n">
        <f aca="false">MATCH(P6,Premissas!$C$5:$G$5,0)</f>
        <v>2</v>
      </c>
      <c r="Q7" s="151" t="n">
        <f aca="false">MATCH(Q6,Premissas!$C$5:$G$5,0)</f>
        <v>2</v>
      </c>
      <c r="R7" s="151" t="n">
        <f aca="false">MATCH(R6,Premissas!$C$5:$G$5,0)</f>
        <v>2</v>
      </c>
      <c r="S7" s="151" t="n">
        <f aca="false">MATCH(S6,Premissas!$C$5:$G$5,0)</f>
        <v>2</v>
      </c>
      <c r="T7" s="151" t="n">
        <f aca="false">MATCH(T6,Premissas!$C$5:$G$5,0)</f>
        <v>2</v>
      </c>
      <c r="U7" s="151" t="n">
        <f aca="false">MATCH(U6,Premissas!$C$5:$G$5,0)</f>
        <v>2</v>
      </c>
      <c r="V7" s="151" t="n">
        <f aca="false">MATCH(V6,Premissas!$C$5:$G$5,0)</f>
        <v>2</v>
      </c>
      <c r="W7" s="151" t="n">
        <f aca="false">MATCH(W6,Premissas!$C$5:$G$5,0)</f>
        <v>2</v>
      </c>
      <c r="X7" s="151" t="n">
        <f aca="false">MATCH(X6,Premissas!$C$5:$G$5,0)</f>
        <v>2</v>
      </c>
      <c r="Y7" s="151" t="n">
        <f aca="false">MATCH(Y6,Premissas!$C$5:$G$5,0)</f>
        <v>2</v>
      </c>
      <c r="Z7" s="151" t="n">
        <f aca="false">MATCH(Z6,Premissas!$C$5:$G$5,0)</f>
        <v>3</v>
      </c>
      <c r="AA7" s="151" t="n">
        <f aca="false">MATCH(AA6,Premissas!$C$5:$G$5,0)</f>
        <v>3</v>
      </c>
      <c r="AB7" s="151" t="n">
        <f aca="false">MATCH(AB6,Premissas!$C$5:$G$5,0)</f>
        <v>3</v>
      </c>
      <c r="AC7" s="151" t="n">
        <f aca="false">MATCH(AC6,Premissas!$C$5:$G$5,0)</f>
        <v>3</v>
      </c>
      <c r="AD7" s="151" t="n">
        <f aca="false">MATCH(AD6,Premissas!$C$5:$G$5,0)</f>
        <v>3</v>
      </c>
      <c r="AE7" s="151" t="n">
        <f aca="false">MATCH(AE6,Premissas!$C$5:$G$5,0)</f>
        <v>3</v>
      </c>
      <c r="AF7" s="151" t="n">
        <f aca="false">MATCH(AF6,Premissas!$C$5:$G$5,0)</f>
        <v>3</v>
      </c>
      <c r="AG7" s="151" t="n">
        <f aca="false">MATCH(AG6,Premissas!$C$5:$G$5,0)</f>
        <v>3</v>
      </c>
      <c r="AH7" s="151" t="n">
        <f aca="false">MATCH(AH6,Premissas!$C$5:$G$5,0)</f>
        <v>3</v>
      </c>
      <c r="AI7" s="151" t="n">
        <f aca="false">MATCH(AI6,Premissas!$C$5:$G$5,0)</f>
        <v>3</v>
      </c>
      <c r="AJ7" s="151" t="n">
        <f aca="false">MATCH(AJ6,Premissas!$C$5:$G$5,0)</f>
        <v>3</v>
      </c>
      <c r="AK7" s="151" t="n">
        <f aca="false">MATCH(AK6,Premissas!$C$5:$G$5,0)</f>
        <v>3</v>
      </c>
      <c r="AL7" s="151" t="n">
        <f aca="false">MATCH(AL6,Premissas!$C$5:$G$5,0)</f>
        <v>4</v>
      </c>
      <c r="AM7" s="151" t="n">
        <f aca="false">MATCH(AM6,Premissas!$C$5:$G$5,0)</f>
        <v>4</v>
      </c>
      <c r="AN7" s="151" t="n">
        <f aca="false">MATCH(AN6,Premissas!$C$5:$G$5,0)</f>
        <v>4</v>
      </c>
      <c r="AO7" s="151" t="n">
        <f aca="false">MATCH(AO6,Premissas!$C$5:$G$5,0)</f>
        <v>4</v>
      </c>
      <c r="AP7" s="151" t="n">
        <f aca="false">MATCH(AP6,Premissas!$C$5:$G$5,0)</f>
        <v>4</v>
      </c>
      <c r="AQ7" s="151" t="n">
        <f aca="false">MATCH(AQ6,Premissas!$C$5:$G$5,0)</f>
        <v>4</v>
      </c>
      <c r="AR7" s="151" t="n">
        <f aca="false">MATCH(AR6,Premissas!$C$5:$G$5,0)</f>
        <v>4</v>
      </c>
      <c r="AS7" s="151" t="n">
        <f aca="false">MATCH(AS6,Premissas!$C$5:$G$5,0)</f>
        <v>4</v>
      </c>
      <c r="AT7" s="151" t="n">
        <f aca="false">MATCH(AT6,Premissas!$C$5:$G$5,0)</f>
        <v>4</v>
      </c>
      <c r="AU7" s="151" t="n">
        <f aca="false">MATCH(AU6,Premissas!$C$5:$G$5,0)</f>
        <v>4</v>
      </c>
      <c r="AV7" s="151" t="n">
        <f aca="false">MATCH(AV6,Premissas!$C$5:$G$5,0)</f>
        <v>4</v>
      </c>
      <c r="AW7" s="151" t="n">
        <f aca="false">MATCH(AW6,Premissas!$C$5:$G$5,0)</f>
        <v>4</v>
      </c>
      <c r="AX7" s="151" t="n">
        <f aca="false">MATCH(AX6,Premissas!$C$5:$G$5,0)</f>
        <v>5</v>
      </c>
      <c r="AY7" s="151" t="n">
        <f aca="false">MATCH(AY6,Premissas!$C$5:$G$5,0)</f>
        <v>5</v>
      </c>
      <c r="AZ7" s="151" t="n">
        <f aca="false">MATCH(AZ6,Premissas!$C$5:$G$5,0)</f>
        <v>5</v>
      </c>
      <c r="BA7" s="151" t="n">
        <f aca="false">MATCH(BA6,Premissas!$C$5:$G$5,0)</f>
        <v>5</v>
      </c>
      <c r="BB7" s="151" t="n">
        <f aca="false">MATCH(BB6,Premissas!$C$5:$G$5,0)</f>
        <v>5</v>
      </c>
      <c r="BC7" s="151" t="n">
        <f aca="false">MATCH(BC6,Premissas!$C$5:$G$5,0)</f>
        <v>5</v>
      </c>
      <c r="BD7" s="151" t="n">
        <f aca="false">MATCH(BD6,Premissas!$C$5:$G$5,0)</f>
        <v>5</v>
      </c>
      <c r="BE7" s="151" t="n">
        <f aca="false">MATCH(BE6,Premissas!$C$5:$G$5,0)</f>
        <v>5</v>
      </c>
      <c r="BF7" s="151" t="n">
        <f aca="false">MATCH(BF6,Premissas!$C$5:$G$5,0)</f>
        <v>5</v>
      </c>
      <c r="BG7" s="151" t="n">
        <f aca="false">MATCH(BG6,Premissas!$C$5:$G$5,0)</f>
        <v>5</v>
      </c>
      <c r="BH7" s="151" t="n">
        <f aca="false">MATCH(BH6,Premissas!$C$5:$G$5,0)</f>
        <v>5</v>
      </c>
      <c r="BI7" s="151" t="n">
        <f aca="false">MATCH(BI6,Premissas!$C$5:$G$5,0)</f>
        <v>5</v>
      </c>
    </row>
    <row r="9" customFormat="false" ht="19.5" hidden="false" customHeight="true" outlineLevel="0" collapsed="false">
      <c r="A9" s="260" t="s">
        <v>747</v>
      </c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1"/>
      <c r="BJ9" s="261"/>
      <c r="BK9" s="261"/>
    </row>
    <row r="10" customFormat="false" ht="15" hidden="false" customHeight="true" outlineLevel="0" collapsed="false">
      <c r="A10" s="49" t="s">
        <v>711</v>
      </c>
      <c r="B10" s="201" t="n">
        <f aca="false" t="array" ref="B10:B10">IF(B$4&lt;Premissas!$B$13,0,INDEX(Premissas!$C$44:$G$44,B$7))</f>
        <v>0</v>
      </c>
      <c r="C10" s="201" t="n">
        <f aca="false" t="array" ref="C10:C10">IF(C$4&lt;Premissas!$B$13,0,INDEX(Premissas!$C$44:$G$44,C$7))</f>
        <v>0</v>
      </c>
      <c r="D10" s="201" t="n">
        <f aca="false" t="array" ref="D10:D10">IF(D$4&lt;Premissas!$B$13,0,INDEX(Premissas!$C$44:$G$44,D$7))</f>
        <v>0</v>
      </c>
      <c r="E10" s="201" t="n">
        <f aca="false" t="array" ref="E10:E10">IF(E$4&lt;Premissas!$B$13,0,INDEX(Premissas!$C$44:$G$44,E$7))</f>
        <v>0</v>
      </c>
      <c r="F10" s="201" t="n">
        <f aca="false" t="array" ref="F10:F10">IF(F$4&lt;Premissas!$B$13,0,INDEX(Premissas!$C$44:$G$44,F$7))</f>
        <v>0</v>
      </c>
      <c r="G10" s="201" t="n">
        <f aca="false" t="array" ref="G10:G10">IF(G$4&lt;Premissas!$B$13,0,INDEX(Premissas!$C$44:$G$44,G$7))</f>
        <v>0</v>
      </c>
      <c r="H10" s="201" t="n">
        <f aca="false" t="array" ref="H10:H10">IF(H$4&lt;Premissas!$B$13,0,INDEX(Premissas!$C$44:$G$44,H$7))</f>
        <v>0</v>
      </c>
      <c r="I10" s="201" t="n">
        <f aca="false" t="array" ref="I10:I10">IF(I$4&lt;Premissas!$B$13,0,INDEX(Premissas!$C$44:$G$44,I$7))</f>
        <v>0</v>
      </c>
      <c r="J10" s="201" t="n">
        <f aca="false" t="array" ref="J10:J10">IF(J$4&lt;Premissas!$B$13,0,INDEX(Premissas!$C$44:$G$44,J$7))</f>
        <v>0</v>
      </c>
      <c r="K10" s="201" t="n">
        <f aca="false" t="array" ref="K10:K10">IF(K$4&lt;Premissas!$B$13,0,INDEX(Premissas!$C$44:$G$44,K$7))</f>
        <v>0</v>
      </c>
      <c r="L10" s="201" t="n">
        <f aca="false" t="array" ref="L10:L10">IF(L$4&lt;Premissas!$B$13,0,INDEX(Premissas!$C$44:$G$44,L$7))</f>
        <v>0</v>
      </c>
      <c r="M10" s="201" t="n">
        <f aca="false" t="array" ref="M10:M10">IF(M$4&lt;Premissas!$B$13,0,INDEX(Premissas!$C$44:$G$44,M$7))</f>
        <v>10860</v>
      </c>
      <c r="N10" s="201" t="n">
        <f aca="false" t="array" ref="N10:N10">IF(N$4&lt;Premissas!$B$13,0,INDEX(Premissas!$C$44:$G$44,N$7))</f>
        <v>15204</v>
      </c>
      <c r="O10" s="201" t="n">
        <f aca="false" t="array" ref="O10:O10">IF(O$4&lt;Premissas!$B$13,0,INDEX(Premissas!$C$44:$G$44,O$7))</f>
        <v>15204</v>
      </c>
      <c r="P10" s="201" t="n">
        <f aca="false" t="array" ref="P10:P10">IF(P$4&lt;Premissas!$B$13,0,INDEX(Premissas!$C$44:$G$44,P$7))</f>
        <v>15204</v>
      </c>
      <c r="Q10" s="201" t="n">
        <f aca="false" t="array" ref="Q10:Q10">IF(Q$4&lt;Premissas!$B$13,0,INDEX(Premissas!$C$44:$G$44,Q$7))</f>
        <v>15204</v>
      </c>
      <c r="R10" s="201" t="n">
        <f aca="false" t="array" ref="R10:R10">IF(R$4&lt;Premissas!$B$13,0,INDEX(Premissas!$C$44:$G$44,R$7))</f>
        <v>15204</v>
      </c>
      <c r="S10" s="201" t="n">
        <f aca="false" t="array" ref="S10:S10">IF(S$4&lt;Premissas!$B$13,0,INDEX(Premissas!$C$44:$G$44,S$7))</f>
        <v>15204</v>
      </c>
      <c r="T10" s="201" t="n">
        <f aca="false" t="array" ref="T10:T10">IF(T$4&lt;Premissas!$B$13,0,INDEX(Premissas!$C$44:$G$44,T$7))</f>
        <v>15204</v>
      </c>
      <c r="U10" s="201" t="n">
        <f aca="false" t="array" ref="U10:U10">IF(U$4&lt;Premissas!$B$13,0,INDEX(Premissas!$C$44:$G$44,U$7))</f>
        <v>15204</v>
      </c>
      <c r="V10" s="201" t="n">
        <f aca="false" t="array" ref="V10:V10">IF(V$4&lt;Premissas!$B$13,0,INDEX(Premissas!$C$44:$G$44,V$7))</f>
        <v>15204</v>
      </c>
      <c r="W10" s="201" t="n">
        <f aca="false" t="array" ref="W10:W10">IF(W$4&lt;Premissas!$B$13,0,INDEX(Premissas!$C$44:$G$44,W$7))</f>
        <v>15204</v>
      </c>
      <c r="X10" s="201" t="n">
        <f aca="false" t="array" ref="X10:X10">IF(X$4&lt;Premissas!$B$13,0,INDEX(Premissas!$C$44:$G$44,X$7))</f>
        <v>15204</v>
      </c>
      <c r="Y10" s="201" t="n">
        <f aca="false" t="array" ref="Y10:Y10">IF(Y$4&lt;Premissas!$B$13,0,INDEX(Premissas!$C$44:$G$44,Y$7))</f>
        <v>15204</v>
      </c>
      <c r="Z10" s="201" t="n">
        <f aca="false" t="array" ref="Z10:Z10">IF(Z$4&lt;Premissas!$B$13,0,INDEX(Premissas!$C$44:$G$44,Z$7))</f>
        <v>21285.6</v>
      </c>
      <c r="AA10" s="201" t="n">
        <f aca="false" t="array" ref="AA10:AA10">IF(AA$4&lt;Premissas!$B$13,0,INDEX(Premissas!$C$44:$G$44,AA$7))</f>
        <v>21285.6</v>
      </c>
      <c r="AB10" s="201" t="n">
        <f aca="false" t="array" ref="AB10:AB10">IF(AB$4&lt;Premissas!$B$13,0,INDEX(Premissas!$C$44:$G$44,AB$7))</f>
        <v>21285.6</v>
      </c>
      <c r="AC10" s="201" t="n">
        <f aca="false" t="array" ref="AC10:AC10">IF(AC$4&lt;Premissas!$B$13,0,INDEX(Premissas!$C$44:$G$44,AC$7))</f>
        <v>21285.6</v>
      </c>
      <c r="AD10" s="201" t="n">
        <f aca="false" t="array" ref="AD10:AD10">IF(AD$4&lt;Premissas!$B$13,0,INDEX(Premissas!$C$44:$G$44,AD$7))</f>
        <v>21285.6</v>
      </c>
      <c r="AE10" s="201" t="n">
        <f aca="false" t="array" ref="AE10:AE10">IF(AE$4&lt;Premissas!$B$13,0,INDEX(Premissas!$C$44:$G$44,AE$7))</f>
        <v>21285.6</v>
      </c>
      <c r="AF10" s="201" t="n">
        <f aca="false" t="array" ref="AF10:AF10">IF(AF$4&lt;Premissas!$B$13,0,INDEX(Premissas!$C$44:$G$44,AF$7))</f>
        <v>21285.6</v>
      </c>
      <c r="AG10" s="201" t="n">
        <f aca="false" t="array" ref="AG10:AG10">IF(AG$4&lt;Premissas!$B$13,0,INDEX(Premissas!$C$44:$G$44,AG$7))</f>
        <v>21285.6</v>
      </c>
      <c r="AH10" s="201" t="n">
        <f aca="false" t="array" ref="AH10:AH10">IF(AH$4&lt;Premissas!$B$13,0,INDEX(Premissas!$C$44:$G$44,AH$7))</f>
        <v>21285.6</v>
      </c>
      <c r="AI10" s="201" t="n">
        <f aca="false" t="array" ref="AI10:AI10">IF(AI$4&lt;Premissas!$B$13,0,INDEX(Premissas!$C$44:$G$44,AI$7))</f>
        <v>21285.6</v>
      </c>
      <c r="AJ10" s="201" t="n">
        <f aca="false" t="array" ref="AJ10:AJ10">IF(AJ$4&lt;Premissas!$B$13,0,INDEX(Premissas!$C$44:$G$44,AJ$7))</f>
        <v>21285.6</v>
      </c>
      <c r="AK10" s="201" t="n">
        <f aca="false" t="array" ref="AK10:AK10">IF(AK$4&lt;Premissas!$B$13,0,INDEX(Premissas!$C$44:$G$44,AK$7))</f>
        <v>21285.6</v>
      </c>
      <c r="AL10" s="201" t="n">
        <f aca="false" t="array" ref="AL10:AL10">IF(AL$4&lt;Premissas!$B$13,0,INDEX(Premissas!$C$44:$G$44,AL$7))</f>
        <v>29799.84</v>
      </c>
      <c r="AM10" s="201" t="n">
        <f aca="false" t="array" ref="AM10:AM10">IF(AM$4&lt;Premissas!$B$13,0,INDEX(Premissas!$C$44:$G$44,AM$7))</f>
        <v>29799.84</v>
      </c>
      <c r="AN10" s="201" t="n">
        <f aca="false" t="array" ref="AN10:AN10">IF(AN$4&lt;Premissas!$B$13,0,INDEX(Premissas!$C$44:$G$44,AN$7))</f>
        <v>29799.84</v>
      </c>
      <c r="AO10" s="201" t="n">
        <f aca="false" t="array" ref="AO10:AO10">IF(AO$4&lt;Premissas!$B$13,0,INDEX(Premissas!$C$44:$G$44,AO$7))</f>
        <v>29799.84</v>
      </c>
      <c r="AP10" s="201" t="n">
        <f aca="false" t="array" ref="AP10:AP10">IF(AP$4&lt;Premissas!$B$13,0,INDEX(Premissas!$C$44:$G$44,AP$7))</f>
        <v>29799.84</v>
      </c>
      <c r="AQ10" s="201" t="n">
        <f aca="false" t="array" ref="AQ10:AQ10">IF(AQ$4&lt;Premissas!$B$13,0,INDEX(Premissas!$C$44:$G$44,AQ$7))</f>
        <v>29799.84</v>
      </c>
      <c r="AR10" s="201" t="n">
        <f aca="false" t="array" ref="AR10:AR10">IF(AR$4&lt;Premissas!$B$13,0,INDEX(Premissas!$C$44:$G$44,AR$7))</f>
        <v>29799.84</v>
      </c>
      <c r="AS10" s="201" t="n">
        <f aca="false" t="array" ref="AS10:AS10">IF(AS$4&lt;Premissas!$B$13,0,INDEX(Premissas!$C$44:$G$44,AS$7))</f>
        <v>29799.84</v>
      </c>
      <c r="AT10" s="201" t="n">
        <f aca="false" t="array" ref="AT10:AT10">IF(AT$4&lt;Premissas!$B$13,0,INDEX(Premissas!$C$44:$G$44,AT$7))</f>
        <v>29799.84</v>
      </c>
      <c r="AU10" s="201" t="n">
        <f aca="false" t="array" ref="AU10:AU10">IF(AU$4&lt;Premissas!$B$13,0,INDEX(Premissas!$C$44:$G$44,AU$7))</f>
        <v>29799.84</v>
      </c>
      <c r="AV10" s="201" t="n">
        <f aca="false" t="array" ref="AV10:AV10">IF(AV$4&lt;Premissas!$B$13,0,INDEX(Premissas!$C$44:$G$44,AV$7))</f>
        <v>29799.84</v>
      </c>
      <c r="AW10" s="201" t="n">
        <f aca="false" t="array" ref="AW10:AW10">IF(AW$4&lt;Premissas!$B$13,0,INDEX(Premissas!$C$44:$G$44,AW$7))</f>
        <v>29799.84</v>
      </c>
      <c r="AX10" s="201" t="n">
        <f aca="false" t="array" ref="AX10:AX10">IF(AX$4&lt;Premissas!$B$13,0,INDEX(Premissas!$C$44:$G$44,AX$7))</f>
        <v>41719.776</v>
      </c>
      <c r="AY10" s="201" t="n">
        <f aca="false" t="array" ref="AY10:AY10">IF(AY$4&lt;Premissas!$B$13,0,INDEX(Premissas!$C$44:$G$44,AY$7))</f>
        <v>41719.776</v>
      </c>
      <c r="AZ10" s="201" t="n">
        <f aca="false" t="array" ref="AZ10:AZ10">IF(AZ$4&lt;Premissas!$B$13,0,INDEX(Premissas!$C$44:$G$44,AZ$7))</f>
        <v>41719.776</v>
      </c>
      <c r="BA10" s="201" t="n">
        <f aca="false" t="array" ref="BA10:BA10">IF(BA$4&lt;Premissas!$B$13,0,INDEX(Premissas!$C$44:$G$44,BA$7))</f>
        <v>41719.776</v>
      </c>
      <c r="BB10" s="201" t="n">
        <f aca="false" t="array" ref="BB10:BB10">IF(BB$4&lt;Premissas!$B$13,0,INDEX(Premissas!$C$44:$G$44,BB$7))</f>
        <v>41719.776</v>
      </c>
      <c r="BC10" s="201" t="n">
        <f aca="false" t="array" ref="BC10:BC10">IF(BC$4&lt;Premissas!$B$13,0,INDEX(Premissas!$C$44:$G$44,BC$7))</f>
        <v>41719.776</v>
      </c>
      <c r="BD10" s="201" t="n">
        <f aca="false" t="array" ref="BD10:BD10">IF(BD$4&lt;Premissas!$B$13,0,INDEX(Premissas!$C$44:$G$44,BD$7))</f>
        <v>41719.776</v>
      </c>
      <c r="BE10" s="201" t="n">
        <f aca="false" t="array" ref="BE10:BE10">IF(BE$4&lt;Premissas!$B$13,0,INDEX(Premissas!$C$44:$G$44,BE$7))</f>
        <v>41719.776</v>
      </c>
      <c r="BF10" s="201" t="n">
        <f aca="false" t="array" ref="BF10:BF10">IF(BF$4&lt;Premissas!$B$13,0,INDEX(Premissas!$C$44:$G$44,BF$7))</f>
        <v>41719.776</v>
      </c>
      <c r="BG10" s="201" t="n">
        <f aca="false" t="array" ref="BG10:BG10">IF(BG$4&lt;Premissas!$B$13,0,INDEX(Premissas!$C$44:$G$44,BG$7))</f>
        <v>41719.776</v>
      </c>
      <c r="BH10" s="201" t="n">
        <f aca="false" t="array" ref="BH10:BH10">IF(BH$4&lt;Premissas!$B$13,0,INDEX(Premissas!$C$44:$G$44,BH$7))</f>
        <v>41719.776</v>
      </c>
      <c r="BI10" s="201" t="n">
        <f aca="false" t="array" ref="BI10:BI10">IF(BI$4&lt;Premissas!$B$13,0,INDEX(Premissas!$C$44:$G$44,BI$7))</f>
        <v>41719.776</v>
      </c>
      <c r="BJ10" s="202" t="n">
        <f aca="false">SUM(B10:BI10)</f>
        <v>1306970.592</v>
      </c>
    </row>
    <row r="11" customFormat="false" ht="15" hidden="false" customHeight="true" outlineLevel="0" collapsed="false">
      <c r="A11" s="49" t="s">
        <v>712</v>
      </c>
      <c r="B11" s="201" t="n">
        <f aca="false">0</f>
        <v>0</v>
      </c>
      <c r="C11" s="201" t="n">
        <f aca="false">B13</f>
        <v>0</v>
      </c>
      <c r="D11" s="201" t="n">
        <f aca="false">C13</f>
        <v>0</v>
      </c>
      <c r="E11" s="201" t="n">
        <f aca="false">D13</f>
        <v>0</v>
      </c>
      <c r="F11" s="201" t="n">
        <f aca="false">E13</f>
        <v>0</v>
      </c>
      <c r="G11" s="201" t="n">
        <f aca="false">F13</f>
        <v>0</v>
      </c>
      <c r="H11" s="201" t="n">
        <f aca="false">G13</f>
        <v>0</v>
      </c>
      <c r="I11" s="201" t="n">
        <f aca="false">H13</f>
        <v>0</v>
      </c>
      <c r="J11" s="201" t="n">
        <f aca="false">I13</f>
        <v>0</v>
      </c>
      <c r="K11" s="201" t="n">
        <f aca="false">J13</f>
        <v>0</v>
      </c>
      <c r="L11" s="201" t="n">
        <f aca="false">K13</f>
        <v>0</v>
      </c>
      <c r="M11" s="201" t="n">
        <f aca="false">L13</f>
        <v>0</v>
      </c>
      <c r="N11" s="201" t="n">
        <f aca="false">M13</f>
        <v>10860</v>
      </c>
      <c r="O11" s="201" t="n">
        <f aca="false">N13</f>
        <v>25021.44</v>
      </c>
      <c r="P11" s="201" t="n">
        <f aca="false">O13</f>
        <v>37823.38176</v>
      </c>
      <c r="Q11" s="201" t="n">
        <f aca="false">P13</f>
        <v>49396.33711104</v>
      </c>
      <c r="R11" s="201" t="n">
        <f aca="false">Q13</f>
        <v>59858.2887483802</v>
      </c>
      <c r="S11" s="201" t="n">
        <f aca="false">R13</f>
        <v>69315.8930285357</v>
      </c>
      <c r="T11" s="201" t="n">
        <f aca="false">S13</f>
        <v>77865.5672977962</v>
      </c>
      <c r="U11" s="201" t="n">
        <f aca="false">T13</f>
        <v>85594.4728372078</v>
      </c>
      <c r="V11" s="201" t="n">
        <f aca="false">U13</f>
        <v>92581.4034448358</v>
      </c>
      <c r="W11" s="201" t="n">
        <f aca="false">V13</f>
        <v>98897.5887141316</v>
      </c>
      <c r="X11" s="201" t="n">
        <f aca="false">W13</f>
        <v>104607.420197575</v>
      </c>
      <c r="Y11" s="201" t="n">
        <f aca="false">X13</f>
        <v>109769.107858608</v>
      </c>
      <c r="Z11" s="201" t="n">
        <f aca="false">Y13</f>
        <v>114435.273504181</v>
      </c>
      <c r="AA11" s="201" t="n">
        <f aca="false">Z13</f>
        <v>125174.518698036</v>
      </c>
      <c r="AB11" s="201" t="n">
        <f aca="false">AA13</f>
        <v>134924.035054825</v>
      </c>
      <c r="AC11" s="201" t="n">
        <f aca="false">AB13</f>
        <v>143775.035984172</v>
      </c>
      <c r="AD11" s="201" t="n">
        <f aca="false">AC13</f>
        <v>151810.328667871</v>
      </c>
      <c r="AE11" s="201" t="n">
        <f aca="false">AD13</f>
        <v>159105.08877784</v>
      </c>
      <c r="AF11" s="201" t="n">
        <f aca="false">AE13</f>
        <v>165727.563796074</v>
      </c>
      <c r="AG11" s="201" t="n">
        <f aca="false">AF13</f>
        <v>171739.711516628</v>
      </c>
      <c r="AH11" s="201" t="n">
        <f aca="false">AG13</f>
        <v>177197.779703256</v>
      </c>
      <c r="AI11" s="201" t="n">
        <f aca="false">AH13</f>
        <v>182152.832325804</v>
      </c>
      <c r="AJ11" s="201" t="n">
        <f aca="false">AI13</f>
        <v>186651.227298658</v>
      </c>
      <c r="AK11" s="201" t="n">
        <f aca="false">AJ13</f>
        <v>190735.050190813</v>
      </c>
      <c r="AL11" s="201" t="n">
        <f aca="false">AK13</f>
        <v>194442.507965228</v>
      </c>
      <c r="AM11" s="201" t="n">
        <f aca="false">AL13</f>
        <v>207039.319292516</v>
      </c>
      <c r="AN11" s="201" t="n">
        <f aca="false">AM13</f>
        <v>218521.645373157</v>
      </c>
      <c r="AO11" s="201" t="n">
        <f aca="false">AN13</f>
        <v>228988.088729071</v>
      </c>
      <c r="AP11" s="201" t="n">
        <f aca="false">AO13</f>
        <v>238528.52816209</v>
      </c>
      <c r="AQ11" s="201" t="n">
        <f aca="false">AP13</f>
        <v>247224.890572889</v>
      </c>
      <c r="AR11" s="201" t="n">
        <f aca="false">AQ13</f>
        <v>255151.854494299</v>
      </c>
      <c r="AS11" s="201" t="n">
        <f aca="false">AR13</f>
        <v>262377.491380513</v>
      </c>
      <c r="AT11" s="201" t="n">
        <f aca="false">AS13</f>
        <v>268963.85015911</v>
      </c>
      <c r="AU11" s="201" t="n">
        <f aca="false">AT13</f>
        <v>274967.490065673</v>
      </c>
      <c r="AV11" s="201" t="n">
        <f aca="false">AU13</f>
        <v>280439.966336598</v>
      </c>
      <c r="AW11" s="201" t="n">
        <f aca="false">AV13</f>
        <v>285428.272930921</v>
      </c>
      <c r="AX11" s="201" t="n">
        <f aca="false">AW13</f>
        <v>289975.24608294</v>
      </c>
      <c r="AY11" s="201" t="n">
        <f aca="false">AX13</f>
        <v>307066.07430837</v>
      </c>
      <c r="AZ11" s="201" t="n">
        <f aca="false">AY13</f>
        <v>322705.298917718</v>
      </c>
      <c r="BA11" s="201" t="n">
        <f aca="false">AZ13</f>
        <v>337016.211364764</v>
      </c>
      <c r="BB11" s="201" t="n">
        <f aca="false">BA13</f>
        <v>350111.631386075</v>
      </c>
      <c r="BC11" s="201" t="n">
        <f aca="false">BB13</f>
        <v>362094.7964127</v>
      </c>
      <c r="BD11" s="201" t="n">
        <f aca="false">BC13</f>
        <v>373060.175439997</v>
      </c>
      <c r="BE11" s="201" t="n">
        <f aca="false">BD13</f>
        <v>383094.213771701</v>
      </c>
      <c r="BF11" s="201" t="n">
        <f aca="false">BE13</f>
        <v>392276.014509411</v>
      </c>
      <c r="BG11" s="201" t="n">
        <f aca="false">BF13</f>
        <v>400677.962160003</v>
      </c>
      <c r="BH11" s="201" t="n">
        <f aca="false">BG13</f>
        <v>408366.293277163</v>
      </c>
      <c r="BI11" s="201" t="n">
        <f aca="false">BH13</f>
        <v>415401.618635672</v>
      </c>
      <c r="BJ11" s="202" t="n">
        <f aca="false">BI11</f>
        <v>415401.618635672</v>
      </c>
      <c r="BK11" s="51" t="s">
        <v>748</v>
      </c>
    </row>
    <row r="12" customFormat="false" ht="15" hidden="false" customHeight="true" outlineLevel="0" collapsed="false">
      <c r="A12" s="49" t="s">
        <v>714</v>
      </c>
      <c r="B12" s="201" t="n">
        <f aca="false" t="array" ref="B12:B12">-B11*INDEX(Premissas!$C$48:$G$48,B$7)</f>
        <v>-0</v>
      </c>
      <c r="C12" s="201" t="n">
        <f aca="false" t="array" ref="C12:C12">-C11*INDEX(Premissas!$C$48:$G$48,C$7)</f>
        <v>-0</v>
      </c>
      <c r="D12" s="201" t="n">
        <f aca="false" t="array" ref="D12:D12">-D11*INDEX(Premissas!$C$48:$G$48,D$7)</f>
        <v>-0</v>
      </c>
      <c r="E12" s="201" t="n">
        <f aca="false" t="array" ref="E12:E12">-E11*INDEX(Premissas!$C$48:$G$48,E$7)</f>
        <v>-0</v>
      </c>
      <c r="F12" s="201" t="n">
        <f aca="false" t="array" ref="F12:F12">-F11*INDEX(Premissas!$C$48:$G$48,F$7)</f>
        <v>-0</v>
      </c>
      <c r="G12" s="201" t="n">
        <f aca="false" t="array" ref="G12:G12">-G11*INDEX(Premissas!$C$48:$G$48,G$7)</f>
        <v>-0</v>
      </c>
      <c r="H12" s="201" t="n">
        <f aca="false" t="array" ref="H12:H12">-H11*INDEX(Premissas!$C$48:$G$48,H$7)</f>
        <v>-0</v>
      </c>
      <c r="I12" s="201" t="n">
        <f aca="false" t="array" ref="I12:I12">-I11*INDEX(Premissas!$C$48:$G$48,I$7)</f>
        <v>-0</v>
      </c>
      <c r="J12" s="201" t="n">
        <f aca="false" t="array" ref="J12:J12">-J11*INDEX(Premissas!$C$48:$G$48,J$7)</f>
        <v>-0</v>
      </c>
      <c r="K12" s="201" t="n">
        <f aca="false" t="array" ref="K12:K12">-K11*INDEX(Premissas!$C$48:$G$48,K$7)</f>
        <v>-0</v>
      </c>
      <c r="L12" s="201" t="n">
        <f aca="false" t="array" ref="L12:L12">-L11*INDEX(Premissas!$C$48:$G$48,L$7)</f>
        <v>-0</v>
      </c>
      <c r="M12" s="201" t="n">
        <f aca="false" t="array" ref="M12:M12">-M11*INDEX(Premissas!$C$48:$G$48,M$7)</f>
        <v>-0</v>
      </c>
      <c r="N12" s="201" t="n">
        <f aca="false" t="array" ref="N12:N12">-N11*INDEX(Premissas!$C$48:$G$48,N$7)</f>
        <v>-1042.56</v>
      </c>
      <c r="O12" s="201" t="n">
        <f aca="false" t="array" ref="O12:O12">-O11*INDEX(Premissas!$C$48:$G$48,O$7)</f>
        <v>-2402.05824</v>
      </c>
      <c r="P12" s="201" t="n">
        <f aca="false" t="array" ref="P12:P12">-P11*INDEX(Premissas!$C$48:$G$48,P$7)</f>
        <v>-3631.04464896</v>
      </c>
      <c r="Q12" s="201" t="n">
        <f aca="false" t="array" ref="Q12:Q12">-Q11*INDEX(Premissas!$C$48:$G$48,Q$7)</f>
        <v>-4742.04836265984</v>
      </c>
      <c r="R12" s="201" t="n">
        <f aca="false" t="array" ref="R12:R12">-R11*INDEX(Premissas!$C$48:$G$48,R$7)</f>
        <v>-5746.3957198445</v>
      </c>
      <c r="S12" s="201" t="n">
        <f aca="false" t="array" ref="S12:S12">-S11*INDEX(Premissas!$C$48:$G$48,S$7)</f>
        <v>-6654.32573073942</v>
      </c>
      <c r="T12" s="201" t="n">
        <f aca="false" t="array" ref="T12:T12">-T11*INDEX(Premissas!$C$48:$G$48,T$7)</f>
        <v>-7475.09446058844</v>
      </c>
      <c r="U12" s="201" t="n">
        <f aca="false" t="array" ref="U12:U12">-U11*INDEX(Premissas!$C$48:$G$48,U$7)</f>
        <v>-8217.06939237195</v>
      </c>
      <c r="V12" s="201" t="n">
        <f aca="false" t="array" ref="V12:V12">-V11*INDEX(Premissas!$C$48:$G$48,V$7)</f>
        <v>-8887.81473070424</v>
      </c>
      <c r="W12" s="201" t="n">
        <f aca="false" t="array" ref="W12:W12">-W11*INDEX(Premissas!$C$48:$G$48,W$7)</f>
        <v>-9494.16851655663</v>
      </c>
      <c r="X12" s="201" t="n">
        <f aca="false" t="array" ref="X12:X12">-X11*INDEX(Premissas!$C$48:$G$48,X$7)</f>
        <v>-10042.3123389672</v>
      </c>
      <c r="Y12" s="201" t="n">
        <f aca="false" t="array" ref="Y12:Y12">-Y11*INDEX(Premissas!$C$48:$G$48,Y$7)</f>
        <v>-10537.8343544263</v>
      </c>
      <c r="Z12" s="201" t="n">
        <f aca="false" t="array" ref="Z12:Z12">-Z11*INDEX(Premissas!$C$48:$G$48,Z$7)</f>
        <v>-10546.3548061454</v>
      </c>
      <c r="AA12" s="201" t="n">
        <f aca="false" t="array" ref="AA12:AA12">-AA11*INDEX(Premissas!$C$48:$G$48,AA$7)</f>
        <v>-11536.083643211</v>
      </c>
      <c r="AB12" s="201" t="n">
        <f aca="false" t="array" ref="AB12:AB12">-AB11*INDEX(Premissas!$C$48:$G$48,AB$7)</f>
        <v>-12434.5990706527</v>
      </c>
      <c r="AC12" s="201" t="n">
        <f aca="false" t="array" ref="AC12:AC12">-AC11*INDEX(Premissas!$C$48:$G$48,AC$7)</f>
        <v>-13250.3073163013</v>
      </c>
      <c r="AD12" s="201" t="n">
        <f aca="false" t="array" ref="AD12:AD12">-AD11*INDEX(Premissas!$C$48:$G$48,AD$7)</f>
        <v>-13990.839890031</v>
      </c>
      <c r="AE12" s="201" t="n">
        <f aca="false" t="array" ref="AE12:AE12">-AE11*INDEX(Premissas!$C$48:$G$48,AE$7)</f>
        <v>-14663.1249817657</v>
      </c>
      <c r="AF12" s="201" t="n">
        <f aca="false" t="array" ref="AF12:AF12">-AF11*INDEX(Premissas!$C$48:$G$48,AF$7)</f>
        <v>-15273.4522794462</v>
      </c>
      <c r="AG12" s="201" t="n">
        <f aca="false" t="array" ref="AG12:AG12">-AG11*INDEX(Premissas!$C$48:$G$48,AG$7)</f>
        <v>-15827.5318133724</v>
      </c>
      <c r="AH12" s="201" t="n">
        <f aca="false" t="array" ref="AH12:AH12">-AH11*INDEX(Premissas!$C$48:$G$48,AH$7)</f>
        <v>-16330.547377452</v>
      </c>
      <c r="AI12" s="201" t="n">
        <f aca="false" t="array" ref="AI12:AI12">-AI11*INDEX(Premissas!$C$48:$G$48,AI$7)</f>
        <v>-16787.2050271461</v>
      </c>
      <c r="AJ12" s="201" t="n">
        <f aca="false" t="array" ref="AJ12:AJ12">-AJ11*INDEX(Premissas!$C$48:$G$48,AJ$7)</f>
        <v>-17201.7771078443</v>
      </c>
      <c r="AK12" s="201" t="n">
        <f aca="false" t="array" ref="AK12:AK12">-AK11*INDEX(Premissas!$C$48:$G$48,AK$7)</f>
        <v>-17578.1422255854</v>
      </c>
      <c r="AL12" s="201" t="n">
        <f aca="false" t="array" ref="AL12:AL12">-AL11*INDEX(Premissas!$C$48:$G$48,AL$7)</f>
        <v>-17203.0286727124</v>
      </c>
      <c r="AM12" s="201" t="n">
        <f aca="false" t="array" ref="AM12:AM12">-AM11*INDEX(Premissas!$C$48:$G$48,AM$7)</f>
        <v>-18317.5139193583</v>
      </c>
      <c r="AN12" s="201" t="n">
        <f aca="false" t="array" ref="AN12:AN12">-AN11*INDEX(Premissas!$C$48:$G$48,AN$7)</f>
        <v>-19333.3966440866</v>
      </c>
      <c r="AO12" s="201" t="n">
        <f aca="false" t="array" ref="AO12:AO12">-AO11*INDEX(Premissas!$C$48:$G$48,AO$7)</f>
        <v>-20259.4005669803</v>
      </c>
      <c r="AP12" s="201" t="n">
        <f aca="false" t="array" ref="AP12:AP12">-AP11*INDEX(Premissas!$C$48:$G$48,AP$7)</f>
        <v>-21103.4775892015</v>
      </c>
      <c r="AQ12" s="201" t="n">
        <f aca="false" t="array" ref="AQ12:AQ12">-AQ11*INDEX(Premissas!$C$48:$G$48,AQ$7)</f>
        <v>-21872.8760785895</v>
      </c>
      <c r="AR12" s="201" t="n">
        <f aca="false" t="array" ref="AR12:AR12">-AR11*INDEX(Premissas!$C$48:$G$48,AR$7)</f>
        <v>-22574.2031137868</v>
      </c>
      <c r="AS12" s="201" t="n">
        <f aca="false" t="array" ref="AS12:AS12">-AS11*INDEX(Premissas!$C$48:$G$48,AS$7)</f>
        <v>-23213.4812214029</v>
      </c>
      <c r="AT12" s="201" t="n">
        <f aca="false" t="array" ref="AT12:AT12">-AT11*INDEX(Premissas!$C$48:$G$48,AT$7)</f>
        <v>-23796.200093437</v>
      </c>
      <c r="AU12" s="201" t="n">
        <f aca="false" t="array" ref="AU12:AU12">-AU11*INDEX(Premissas!$C$48:$G$48,AU$7)</f>
        <v>-24327.3637290743</v>
      </c>
      <c r="AV12" s="201" t="n">
        <f aca="false" t="array" ref="AV12:AV12">-AV11*INDEX(Premissas!$C$48:$G$48,AV$7)</f>
        <v>-24811.5334056777</v>
      </c>
      <c r="AW12" s="201" t="n">
        <f aca="false" t="array" ref="AW12:AW12">-AW11*INDEX(Premissas!$C$48:$G$48,AW$7)</f>
        <v>-25252.8668479811</v>
      </c>
      <c r="AX12" s="201" t="n">
        <f aca="false" t="array" ref="AX12:AX12">-AX11*INDEX(Premissas!$C$48:$G$48,AX$7)</f>
        <v>-24628.9477745698</v>
      </c>
      <c r="AY12" s="201" t="n">
        <f aca="false" t="array" ref="AY12:AY12">-AY11*INDEX(Premissas!$C$48:$G$48,AY$7)</f>
        <v>-26080.5513906518</v>
      </c>
      <c r="AZ12" s="201" t="n">
        <f aca="false" t="array" ref="AZ12:AZ12">-AZ11*INDEX(Premissas!$C$48:$G$48,AZ$7)</f>
        <v>-27408.8635529535</v>
      </c>
      <c r="BA12" s="201" t="n">
        <f aca="false" t="array" ref="BA12:BA12">-BA11*INDEX(Premissas!$C$48:$G$48,BA$7)</f>
        <v>-28624.3559786895</v>
      </c>
      <c r="BB12" s="201" t="n">
        <f aca="false" t="array" ref="BB12:BB12">-BB11*INDEX(Premissas!$C$48:$G$48,BB$7)</f>
        <v>-29736.6109733751</v>
      </c>
      <c r="BC12" s="201" t="n">
        <f aca="false" t="array" ref="BC12:BC12">-BC11*INDEX(Premissas!$C$48:$G$48,BC$7)</f>
        <v>-30754.3969727027</v>
      </c>
      <c r="BD12" s="201" t="n">
        <f aca="false" t="array" ref="BD12:BD12">-BD11*INDEX(Premissas!$C$48:$G$48,BD$7)</f>
        <v>-31685.7376682958</v>
      </c>
      <c r="BE12" s="201" t="n">
        <f aca="false" t="array" ref="BE12:BE12">-BE11*INDEX(Premissas!$C$48:$G$48,BE$7)</f>
        <v>-32537.9752622899</v>
      </c>
      <c r="BF12" s="201" t="n">
        <f aca="false" t="array" ref="BF12:BF12">-BF11*INDEX(Premissas!$C$48:$G$48,BF$7)</f>
        <v>-33317.8283494079</v>
      </c>
      <c r="BG12" s="201" t="n">
        <f aca="false" t="array" ref="BG12:BG12">-BG11*INDEX(Premissas!$C$48:$G$48,BG$7)</f>
        <v>-34031.4448828409</v>
      </c>
      <c r="BH12" s="201" t="n">
        <f aca="false" t="array" ref="BH12:BH12">-BH11*INDEX(Premissas!$C$48:$G$48,BH$7)</f>
        <v>-34684.4506414909</v>
      </c>
      <c r="BI12" s="201" t="n">
        <f aca="false" t="array" ref="BI12:BI12">-BI11*INDEX(Premissas!$C$48:$G$48,BI$7)</f>
        <v>-35281.993580664</v>
      </c>
      <c r="BJ12" s="202" t="n">
        <f aca="false">SUM(B12:BI12)</f>
        <v>-885131.190944992</v>
      </c>
    </row>
    <row r="13" customFormat="false" ht="15" hidden="false" customHeight="true" outlineLevel="0" collapsed="false">
      <c r="A13" s="53" t="s">
        <v>715</v>
      </c>
      <c r="B13" s="252" t="n">
        <f aca="false">B11+B12+B10</f>
        <v>0</v>
      </c>
      <c r="C13" s="252" t="n">
        <f aca="false">C11+C12+C10</f>
        <v>0</v>
      </c>
      <c r="D13" s="252" t="n">
        <f aca="false">D11+D12+D10</f>
        <v>0</v>
      </c>
      <c r="E13" s="252" t="n">
        <f aca="false">E11+E12+E10</f>
        <v>0</v>
      </c>
      <c r="F13" s="252" t="n">
        <f aca="false">F11+F12+F10</f>
        <v>0</v>
      </c>
      <c r="G13" s="252" t="n">
        <f aca="false">G11+G12+G10</f>
        <v>0</v>
      </c>
      <c r="H13" s="252" t="n">
        <f aca="false">H11+H12+H10</f>
        <v>0</v>
      </c>
      <c r="I13" s="252" t="n">
        <f aca="false">I11+I12+I10</f>
        <v>0</v>
      </c>
      <c r="J13" s="252" t="n">
        <f aca="false">J11+J12+J10</f>
        <v>0</v>
      </c>
      <c r="K13" s="252" t="n">
        <f aca="false">K11+K12+K10</f>
        <v>0</v>
      </c>
      <c r="L13" s="252" t="n">
        <f aca="false">L11+L12+L10</f>
        <v>0</v>
      </c>
      <c r="M13" s="252" t="n">
        <f aca="false">M11+M12+M10</f>
        <v>10860</v>
      </c>
      <c r="N13" s="252" t="n">
        <f aca="false">N11+N12+N10</f>
        <v>25021.44</v>
      </c>
      <c r="O13" s="252" t="n">
        <f aca="false">O11+O12+O10</f>
        <v>37823.38176</v>
      </c>
      <c r="P13" s="252" t="n">
        <f aca="false">P11+P12+P10</f>
        <v>49396.33711104</v>
      </c>
      <c r="Q13" s="252" t="n">
        <f aca="false">Q11+Q12+Q10</f>
        <v>59858.2887483802</v>
      </c>
      <c r="R13" s="252" t="n">
        <f aca="false">R11+R12+R10</f>
        <v>69315.8930285357</v>
      </c>
      <c r="S13" s="252" t="n">
        <f aca="false">S11+S12+S10</f>
        <v>77865.5672977962</v>
      </c>
      <c r="T13" s="252" t="n">
        <f aca="false">T11+T12+T10</f>
        <v>85594.4728372078</v>
      </c>
      <c r="U13" s="252" t="n">
        <f aca="false">U11+U12+U10</f>
        <v>92581.4034448358</v>
      </c>
      <c r="V13" s="252" t="n">
        <f aca="false">V11+V12+V10</f>
        <v>98897.5887141316</v>
      </c>
      <c r="W13" s="252" t="n">
        <f aca="false">W11+W12+W10</f>
        <v>104607.420197575</v>
      </c>
      <c r="X13" s="252" t="n">
        <f aca="false">X11+X12+X10</f>
        <v>109769.107858608</v>
      </c>
      <c r="Y13" s="252" t="n">
        <f aca="false">Y11+Y12+Y10</f>
        <v>114435.273504181</v>
      </c>
      <c r="Z13" s="252" t="n">
        <f aca="false">Z11+Z12+Z10</f>
        <v>125174.518698036</v>
      </c>
      <c r="AA13" s="252" t="n">
        <f aca="false">AA11+AA12+AA10</f>
        <v>134924.035054825</v>
      </c>
      <c r="AB13" s="252" t="n">
        <f aca="false">AB11+AB12+AB10</f>
        <v>143775.035984172</v>
      </c>
      <c r="AC13" s="252" t="n">
        <f aca="false">AC11+AC12+AC10</f>
        <v>151810.328667871</v>
      </c>
      <c r="AD13" s="252" t="n">
        <f aca="false">AD11+AD12+AD10</f>
        <v>159105.08877784</v>
      </c>
      <c r="AE13" s="252" t="n">
        <f aca="false">AE11+AE12+AE10</f>
        <v>165727.563796074</v>
      </c>
      <c r="AF13" s="252" t="n">
        <f aca="false">AF11+AF12+AF10</f>
        <v>171739.711516628</v>
      </c>
      <c r="AG13" s="252" t="n">
        <f aca="false">AG11+AG12+AG10</f>
        <v>177197.779703256</v>
      </c>
      <c r="AH13" s="252" t="n">
        <f aca="false">AH11+AH12+AH10</f>
        <v>182152.832325804</v>
      </c>
      <c r="AI13" s="252" t="n">
        <f aca="false">AI11+AI12+AI10</f>
        <v>186651.227298658</v>
      </c>
      <c r="AJ13" s="252" t="n">
        <f aca="false">AJ11+AJ12+AJ10</f>
        <v>190735.050190813</v>
      </c>
      <c r="AK13" s="252" t="n">
        <f aca="false">AK11+AK12+AK10</f>
        <v>194442.507965228</v>
      </c>
      <c r="AL13" s="252" t="n">
        <f aca="false">AL11+AL12+AL10</f>
        <v>207039.319292516</v>
      </c>
      <c r="AM13" s="252" t="n">
        <f aca="false">AM11+AM12+AM10</f>
        <v>218521.645373157</v>
      </c>
      <c r="AN13" s="252" t="n">
        <f aca="false">AN11+AN12+AN10</f>
        <v>228988.088729071</v>
      </c>
      <c r="AO13" s="252" t="n">
        <f aca="false">AO11+AO12+AO10</f>
        <v>238528.52816209</v>
      </c>
      <c r="AP13" s="252" t="n">
        <f aca="false">AP11+AP12+AP10</f>
        <v>247224.890572889</v>
      </c>
      <c r="AQ13" s="252" t="n">
        <f aca="false">AQ11+AQ12+AQ10</f>
        <v>255151.854494299</v>
      </c>
      <c r="AR13" s="252" t="n">
        <f aca="false">AR11+AR12+AR10</f>
        <v>262377.491380513</v>
      </c>
      <c r="AS13" s="252" t="n">
        <f aca="false">AS11+AS12+AS10</f>
        <v>268963.85015911</v>
      </c>
      <c r="AT13" s="252" t="n">
        <f aca="false">AT11+AT12+AT10</f>
        <v>274967.490065673</v>
      </c>
      <c r="AU13" s="252" t="n">
        <f aca="false">AU11+AU12+AU10</f>
        <v>280439.966336598</v>
      </c>
      <c r="AV13" s="252" t="n">
        <f aca="false">AV11+AV12+AV10</f>
        <v>285428.272930921</v>
      </c>
      <c r="AW13" s="252" t="n">
        <f aca="false">AW11+AW12+AW10</f>
        <v>289975.24608294</v>
      </c>
      <c r="AX13" s="252" t="n">
        <f aca="false">AX11+AX12+AX10</f>
        <v>307066.07430837</v>
      </c>
      <c r="AY13" s="252" t="n">
        <f aca="false">AY11+AY12+AY10</f>
        <v>322705.298917718</v>
      </c>
      <c r="AZ13" s="252" t="n">
        <f aca="false">AZ11+AZ12+AZ10</f>
        <v>337016.211364764</v>
      </c>
      <c r="BA13" s="252" t="n">
        <f aca="false">BA11+BA12+BA10</f>
        <v>350111.631386075</v>
      </c>
      <c r="BB13" s="252" t="n">
        <f aca="false">BB11+BB12+BB10</f>
        <v>362094.7964127</v>
      </c>
      <c r="BC13" s="252" t="n">
        <f aca="false">BC11+BC12+BC10</f>
        <v>373060.175439997</v>
      </c>
      <c r="BD13" s="252" t="n">
        <f aca="false">BD11+BD12+BD10</f>
        <v>383094.213771701</v>
      </c>
      <c r="BE13" s="252" t="n">
        <f aca="false">BE11+BE12+BE10</f>
        <v>392276.014509411</v>
      </c>
      <c r="BF13" s="252" t="n">
        <f aca="false">BF11+BF12+BF10</f>
        <v>400677.962160003</v>
      </c>
      <c r="BG13" s="252" t="n">
        <f aca="false">BG11+BG12+BG10</f>
        <v>408366.293277163</v>
      </c>
      <c r="BH13" s="252" t="n">
        <f aca="false">BH11+BH12+BH10</f>
        <v>415401.618635672</v>
      </c>
      <c r="BI13" s="252" t="n">
        <f aca="false">BI11+BI12+BI10</f>
        <v>421839.401055008</v>
      </c>
      <c r="BJ13" s="202" t="n">
        <f aca="false">BI13</f>
        <v>421839.401055008</v>
      </c>
      <c r="BK13" s="51" t="s">
        <v>748</v>
      </c>
    </row>
    <row r="14" customFormat="false" ht="15" hidden="false" customHeight="true" outlineLevel="0" collapsed="false">
      <c r="A14" s="49" t="s">
        <v>749</v>
      </c>
      <c r="B14" s="262" t="n">
        <f aca="false" t="array" ref="B14:B14">IF(B$4&lt;Premissas!$B$13,0,INDEX(Premissas!$C$52:$G$52,B$7)*MIN(1,MAX(0,(B$5-Premissas!$B$14+1)/Premissas!$B$15)))</f>
        <v>0</v>
      </c>
      <c r="C14" s="262" t="n">
        <f aca="false" t="array" ref="C14:C14">IF(C$4&lt;Premissas!$B$13,0,INDEX(Premissas!$C$52:$G$52,C$7)*MIN(1,MAX(0,(C$5-Premissas!$B$14+1)/Premissas!$B$15)))</f>
        <v>0</v>
      </c>
      <c r="D14" s="262" t="n">
        <f aca="false" t="array" ref="D14:D14">IF(D$4&lt;Premissas!$B$13,0,INDEX(Premissas!$C$52:$G$52,D$7)*MIN(1,MAX(0,(D$5-Premissas!$B$14+1)/Premissas!$B$15)))</f>
        <v>0</v>
      </c>
      <c r="E14" s="262" t="n">
        <f aca="false" t="array" ref="E14:E14">IF(E$4&lt;Premissas!$B$13,0,INDEX(Premissas!$C$52:$G$52,E$7)*MIN(1,MAX(0,(E$5-Premissas!$B$14+1)/Premissas!$B$15)))</f>
        <v>0</v>
      </c>
      <c r="F14" s="262" t="n">
        <f aca="false" t="array" ref="F14:F14">IF(F$4&lt;Premissas!$B$13,0,INDEX(Premissas!$C$52:$G$52,F$7)*MIN(1,MAX(0,(F$5-Premissas!$B$14+1)/Premissas!$B$15)))</f>
        <v>0</v>
      </c>
      <c r="G14" s="262" t="n">
        <f aca="false" t="array" ref="G14:G14">IF(G$4&lt;Premissas!$B$13,0,INDEX(Premissas!$C$52:$G$52,G$7)*MIN(1,MAX(0,(G$5-Premissas!$B$14+1)/Premissas!$B$15)))</f>
        <v>0</v>
      </c>
      <c r="H14" s="262" t="n">
        <f aca="false" t="array" ref="H14:H14">IF(H$4&lt;Premissas!$B$13,0,INDEX(Premissas!$C$52:$G$52,H$7)*MIN(1,MAX(0,(H$5-Premissas!$B$14+1)/Premissas!$B$15)))</f>
        <v>0</v>
      </c>
      <c r="I14" s="262" t="n">
        <f aca="false" t="array" ref="I14:I14">IF(I$4&lt;Premissas!$B$13,0,INDEX(Premissas!$C$52:$G$52,I$7)*MIN(1,MAX(0,(I$5-Premissas!$B$14+1)/Premissas!$B$15)))</f>
        <v>0</v>
      </c>
      <c r="J14" s="262" t="n">
        <f aca="false" t="array" ref="J14:J14">IF(J$4&lt;Premissas!$B$13,0,INDEX(Premissas!$C$52:$G$52,J$7)*MIN(1,MAX(0,(J$5-Premissas!$B$14+1)/Premissas!$B$15)))</f>
        <v>0</v>
      </c>
      <c r="K14" s="262" t="n">
        <f aca="false" t="array" ref="K14:K14">IF(K$4&lt;Premissas!$B$13,0,INDEX(Premissas!$C$52:$G$52,K$7)*MIN(1,MAX(0,(K$5-Premissas!$B$14+1)/Premissas!$B$15)))</f>
        <v>0</v>
      </c>
      <c r="L14" s="262" t="n">
        <f aca="false" t="array" ref="L14:L14">IF(L$4&lt;Premissas!$B$13,0,INDEX(Premissas!$C$52:$G$52,L$7)*MIN(1,MAX(0,(L$5-Premissas!$B$14+1)/Premissas!$B$15)))</f>
        <v>0</v>
      </c>
      <c r="M14" s="262" t="n">
        <f aca="false" t="array" ref="M14:M14">IF(M$4&lt;Premissas!$B$13,0,INDEX(Premissas!$C$52:$G$52,M$7)*MIN(1,MAX(0,(M$5-Premissas!$B$14+1)/Premissas!$B$15)))</f>
        <v>0.00166666666666667</v>
      </c>
      <c r="N14" s="262" t="n">
        <f aca="false" t="array" ref="N14:N14">IF(N$4&lt;Premissas!$B$13,0,INDEX(Premissas!$C$52:$G$52,N$7)*MIN(1,MAX(0,(N$5-Premissas!$B$14+1)/Premissas!$B$15)))</f>
        <v>0.00336666666666667</v>
      </c>
      <c r="O14" s="262" t="n">
        <f aca="false" t="array" ref="O14:O14">IF(O$4&lt;Premissas!$B$13,0,INDEX(Premissas!$C$52:$G$52,O$7)*MIN(1,MAX(0,(O$5-Premissas!$B$14+1)/Premissas!$B$15)))</f>
        <v>0.00505</v>
      </c>
      <c r="P14" s="262" t="n">
        <f aca="false" t="array" ref="P14:P14">IF(P$4&lt;Premissas!$B$13,0,INDEX(Premissas!$C$52:$G$52,P$7)*MIN(1,MAX(0,(P$5-Premissas!$B$14+1)/Premissas!$B$15)))</f>
        <v>0.00673333333333333</v>
      </c>
      <c r="Q14" s="262" t="n">
        <f aca="false" t="array" ref="Q14:Q14">IF(Q$4&lt;Premissas!$B$13,0,INDEX(Premissas!$C$52:$G$52,Q$7)*MIN(1,MAX(0,(Q$5-Premissas!$B$14+1)/Premissas!$B$15)))</f>
        <v>0.00841666666666667</v>
      </c>
      <c r="R14" s="262" t="n">
        <f aca="false" t="array" ref="R14:R14">IF(R$4&lt;Premissas!$B$13,0,INDEX(Premissas!$C$52:$G$52,R$7)*MIN(1,MAX(0,(R$5-Premissas!$B$14+1)/Premissas!$B$15)))</f>
        <v>0.0101</v>
      </c>
      <c r="S14" s="262" t="n">
        <f aca="false" t="array" ref="S14:S14">IF(S$4&lt;Premissas!$B$13,0,INDEX(Premissas!$C$52:$G$52,S$7)*MIN(1,MAX(0,(S$5-Premissas!$B$14+1)/Premissas!$B$15)))</f>
        <v>0.0101</v>
      </c>
      <c r="T14" s="262" t="n">
        <f aca="false" t="array" ref="T14:T14">IF(T$4&lt;Premissas!$B$13,0,INDEX(Premissas!$C$52:$G$52,T$7)*MIN(1,MAX(0,(T$5-Premissas!$B$14+1)/Premissas!$B$15)))</f>
        <v>0.0101</v>
      </c>
      <c r="U14" s="262" t="n">
        <f aca="false" t="array" ref="U14:U14">IF(U$4&lt;Premissas!$B$13,0,INDEX(Premissas!$C$52:$G$52,U$7)*MIN(1,MAX(0,(U$5-Premissas!$B$14+1)/Premissas!$B$15)))</f>
        <v>0.0101</v>
      </c>
      <c r="V14" s="262" t="n">
        <f aca="false" t="array" ref="V14:V14">IF(V$4&lt;Premissas!$B$13,0,INDEX(Premissas!$C$52:$G$52,V$7)*MIN(1,MAX(0,(V$5-Premissas!$B$14+1)/Premissas!$B$15)))</f>
        <v>0.0101</v>
      </c>
      <c r="W14" s="262" t="n">
        <f aca="false" t="array" ref="W14:W14">IF(W$4&lt;Premissas!$B$13,0,INDEX(Premissas!$C$52:$G$52,W$7)*MIN(1,MAX(0,(W$5-Premissas!$B$14+1)/Premissas!$B$15)))</f>
        <v>0.0101</v>
      </c>
      <c r="X14" s="262" t="n">
        <f aca="false" t="array" ref="X14:X14">IF(X$4&lt;Premissas!$B$13,0,INDEX(Premissas!$C$52:$G$52,X$7)*MIN(1,MAX(0,(X$5-Premissas!$B$14+1)/Premissas!$B$15)))</f>
        <v>0.0101</v>
      </c>
      <c r="Y14" s="262" t="n">
        <f aca="false" t="array" ref="Y14:Y14">IF(Y$4&lt;Premissas!$B$13,0,INDEX(Premissas!$C$52:$G$52,Y$7)*MIN(1,MAX(0,(Y$5-Premissas!$B$14+1)/Premissas!$B$15)))</f>
        <v>0.0101</v>
      </c>
      <c r="Z14" s="262" t="n">
        <f aca="false" t="array" ref="Z14:Z14">IF(Z$4&lt;Premissas!$B$13,0,INDEX(Premissas!$C$52:$G$52,Z$7)*MIN(1,MAX(0,(Z$5-Premissas!$B$14+1)/Premissas!$B$15)))</f>
        <v>0.010201</v>
      </c>
      <c r="AA14" s="262" t="n">
        <f aca="false" t="array" ref="AA14:AA14">IF(AA$4&lt;Premissas!$B$13,0,INDEX(Premissas!$C$52:$G$52,AA$7)*MIN(1,MAX(0,(AA$5-Premissas!$B$14+1)/Premissas!$B$15)))</f>
        <v>0.010201</v>
      </c>
      <c r="AB14" s="262" t="n">
        <f aca="false" t="array" ref="AB14:AB14">IF(AB$4&lt;Premissas!$B$13,0,INDEX(Premissas!$C$52:$G$52,AB$7)*MIN(1,MAX(0,(AB$5-Premissas!$B$14+1)/Premissas!$B$15)))</f>
        <v>0.010201</v>
      </c>
      <c r="AC14" s="262" t="n">
        <f aca="false" t="array" ref="AC14:AC14">IF(AC$4&lt;Premissas!$B$13,0,INDEX(Premissas!$C$52:$G$52,AC$7)*MIN(1,MAX(0,(AC$5-Premissas!$B$14+1)/Premissas!$B$15)))</f>
        <v>0.010201</v>
      </c>
      <c r="AD14" s="262" t="n">
        <f aca="false" t="array" ref="AD14:AD14">IF(AD$4&lt;Premissas!$B$13,0,INDEX(Premissas!$C$52:$G$52,AD$7)*MIN(1,MAX(0,(AD$5-Premissas!$B$14+1)/Premissas!$B$15)))</f>
        <v>0.010201</v>
      </c>
      <c r="AE14" s="262" t="n">
        <f aca="false" t="array" ref="AE14:AE14">IF(AE$4&lt;Premissas!$B$13,0,INDEX(Premissas!$C$52:$G$52,AE$7)*MIN(1,MAX(0,(AE$5-Premissas!$B$14+1)/Premissas!$B$15)))</f>
        <v>0.010201</v>
      </c>
      <c r="AF14" s="262" t="n">
        <f aca="false" t="array" ref="AF14:AF14">IF(AF$4&lt;Premissas!$B$13,0,INDEX(Premissas!$C$52:$G$52,AF$7)*MIN(1,MAX(0,(AF$5-Premissas!$B$14+1)/Premissas!$B$15)))</f>
        <v>0.010201</v>
      </c>
      <c r="AG14" s="262" t="n">
        <f aca="false" t="array" ref="AG14:AG14">IF(AG$4&lt;Premissas!$B$13,0,INDEX(Premissas!$C$52:$G$52,AG$7)*MIN(1,MAX(0,(AG$5-Premissas!$B$14+1)/Premissas!$B$15)))</f>
        <v>0.010201</v>
      </c>
      <c r="AH14" s="262" t="n">
        <f aca="false" t="array" ref="AH14:AH14">IF(AH$4&lt;Premissas!$B$13,0,INDEX(Premissas!$C$52:$G$52,AH$7)*MIN(1,MAX(0,(AH$5-Premissas!$B$14+1)/Premissas!$B$15)))</f>
        <v>0.010201</v>
      </c>
      <c r="AI14" s="262" t="n">
        <f aca="false" t="array" ref="AI14:AI14">IF(AI$4&lt;Premissas!$B$13,0,INDEX(Premissas!$C$52:$G$52,AI$7)*MIN(1,MAX(0,(AI$5-Premissas!$B$14+1)/Premissas!$B$15)))</f>
        <v>0.010201</v>
      </c>
      <c r="AJ14" s="262" t="n">
        <f aca="false" t="array" ref="AJ14:AJ14">IF(AJ$4&lt;Premissas!$B$13,0,INDEX(Premissas!$C$52:$G$52,AJ$7)*MIN(1,MAX(0,(AJ$5-Premissas!$B$14+1)/Premissas!$B$15)))</f>
        <v>0.010201</v>
      </c>
      <c r="AK14" s="262" t="n">
        <f aca="false" t="array" ref="AK14:AK14">IF(AK$4&lt;Premissas!$B$13,0,INDEX(Premissas!$C$52:$G$52,AK$7)*MIN(1,MAX(0,(AK$5-Premissas!$B$14+1)/Premissas!$B$15)))</f>
        <v>0.010201</v>
      </c>
      <c r="AL14" s="262" t="n">
        <f aca="false" t="array" ref="AL14:AL14">IF(AL$4&lt;Premissas!$B$13,0,INDEX(Premissas!$C$52:$G$52,AL$7)*MIN(1,MAX(0,(AL$5-Premissas!$B$14+1)/Premissas!$B$15)))</f>
        <v>0.01030301</v>
      </c>
      <c r="AM14" s="262" t="n">
        <f aca="false" t="array" ref="AM14:AM14">IF(AM$4&lt;Premissas!$B$13,0,INDEX(Premissas!$C$52:$G$52,AM$7)*MIN(1,MAX(0,(AM$5-Premissas!$B$14+1)/Premissas!$B$15)))</f>
        <v>0.01030301</v>
      </c>
      <c r="AN14" s="262" t="n">
        <f aca="false" t="array" ref="AN14:AN14">IF(AN$4&lt;Premissas!$B$13,0,INDEX(Premissas!$C$52:$G$52,AN$7)*MIN(1,MAX(0,(AN$5-Premissas!$B$14+1)/Premissas!$B$15)))</f>
        <v>0.01030301</v>
      </c>
      <c r="AO14" s="262" t="n">
        <f aca="false" t="array" ref="AO14:AO14">IF(AO$4&lt;Premissas!$B$13,0,INDEX(Premissas!$C$52:$G$52,AO$7)*MIN(1,MAX(0,(AO$5-Premissas!$B$14+1)/Premissas!$B$15)))</f>
        <v>0.01030301</v>
      </c>
      <c r="AP14" s="262" t="n">
        <f aca="false" t="array" ref="AP14:AP14">IF(AP$4&lt;Premissas!$B$13,0,INDEX(Premissas!$C$52:$G$52,AP$7)*MIN(1,MAX(0,(AP$5-Premissas!$B$14+1)/Premissas!$B$15)))</f>
        <v>0.01030301</v>
      </c>
      <c r="AQ14" s="262" t="n">
        <f aca="false" t="array" ref="AQ14:AQ14">IF(AQ$4&lt;Premissas!$B$13,0,INDEX(Premissas!$C$52:$G$52,AQ$7)*MIN(1,MAX(0,(AQ$5-Premissas!$B$14+1)/Premissas!$B$15)))</f>
        <v>0.01030301</v>
      </c>
      <c r="AR14" s="262" t="n">
        <f aca="false" t="array" ref="AR14:AR14">IF(AR$4&lt;Premissas!$B$13,0,INDEX(Premissas!$C$52:$G$52,AR$7)*MIN(1,MAX(0,(AR$5-Premissas!$B$14+1)/Premissas!$B$15)))</f>
        <v>0.01030301</v>
      </c>
      <c r="AS14" s="262" t="n">
        <f aca="false" t="array" ref="AS14:AS14">IF(AS$4&lt;Premissas!$B$13,0,INDEX(Premissas!$C$52:$G$52,AS$7)*MIN(1,MAX(0,(AS$5-Premissas!$B$14+1)/Premissas!$B$15)))</f>
        <v>0.01030301</v>
      </c>
      <c r="AT14" s="262" t="n">
        <f aca="false" t="array" ref="AT14:AT14">IF(AT$4&lt;Premissas!$B$13,0,INDEX(Premissas!$C$52:$G$52,AT$7)*MIN(1,MAX(0,(AT$5-Premissas!$B$14+1)/Premissas!$B$15)))</f>
        <v>0.01030301</v>
      </c>
      <c r="AU14" s="262" t="n">
        <f aca="false" t="array" ref="AU14:AU14">IF(AU$4&lt;Premissas!$B$13,0,INDEX(Premissas!$C$52:$G$52,AU$7)*MIN(1,MAX(0,(AU$5-Premissas!$B$14+1)/Premissas!$B$15)))</f>
        <v>0.01030301</v>
      </c>
      <c r="AV14" s="262" t="n">
        <f aca="false" t="array" ref="AV14:AV14">IF(AV$4&lt;Premissas!$B$13,0,INDEX(Premissas!$C$52:$G$52,AV$7)*MIN(1,MAX(0,(AV$5-Premissas!$B$14+1)/Premissas!$B$15)))</f>
        <v>0.01030301</v>
      </c>
      <c r="AW14" s="262" t="n">
        <f aca="false" t="array" ref="AW14:AW14">IF(AW$4&lt;Premissas!$B$13,0,INDEX(Premissas!$C$52:$G$52,AW$7)*MIN(1,MAX(0,(AW$5-Premissas!$B$14+1)/Premissas!$B$15)))</f>
        <v>0.01030301</v>
      </c>
      <c r="AX14" s="262" t="n">
        <f aca="false" t="array" ref="AX14:AX14">IF(AX$4&lt;Premissas!$B$13,0,INDEX(Premissas!$C$52:$G$52,AX$7)*MIN(1,MAX(0,(AX$5-Premissas!$B$14+1)/Premissas!$B$15)))</f>
        <v>0.0104060401</v>
      </c>
      <c r="AY14" s="262" t="n">
        <f aca="false" t="array" ref="AY14:AY14">IF(AY$4&lt;Premissas!$B$13,0,INDEX(Premissas!$C$52:$G$52,AY$7)*MIN(1,MAX(0,(AY$5-Premissas!$B$14+1)/Premissas!$B$15)))</f>
        <v>0.0104060401</v>
      </c>
      <c r="AZ14" s="262" t="n">
        <f aca="false" t="array" ref="AZ14:AZ14">IF(AZ$4&lt;Premissas!$B$13,0,INDEX(Premissas!$C$52:$G$52,AZ$7)*MIN(1,MAX(0,(AZ$5-Premissas!$B$14+1)/Premissas!$B$15)))</f>
        <v>0.0104060401</v>
      </c>
      <c r="BA14" s="262" t="n">
        <f aca="false" t="array" ref="BA14:BA14">IF(BA$4&lt;Premissas!$B$13,0,INDEX(Premissas!$C$52:$G$52,BA$7)*MIN(1,MAX(0,(BA$5-Premissas!$B$14+1)/Premissas!$B$15)))</f>
        <v>0.0104060401</v>
      </c>
      <c r="BB14" s="262" t="n">
        <f aca="false" t="array" ref="BB14:BB14">IF(BB$4&lt;Premissas!$B$13,0,INDEX(Premissas!$C$52:$G$52,BB$7)*MIN(1,MAX(0,(BB$5-Premissas!$B$14+1)/Premissas!$B$15)))</f>
        <v>0.0104060401</v>
      </c>
      <c r="BC14" s="262" t="n">
        <f aca="false" t="array" ref="BC14:BC14">IF(BC$4&lt;Premissas!$B$13,0,INDEX(Premissas!$C$52:$G$52,BC$7)*MIN(1,MAX(0,(BC$5-Premissas!$B$14+1)/Premissas!$B$15)))</f>
        <v>0.0104060401</v>
      </c>
      <c r="BD14" s="262" t="n">
        <f aca="false" t="array" ref="BD14:BD14">IF(BD$4&lt;Premissas!$B$13,0,INDEX(Premissas!$C$52:$G$52,BD$7)*MIN(1,MAX(0,(BD$5-Premissas!$B$14+1)/Premissas!$B$15)))</f>
        <v>0.0104060401</v>
      </c>
      <c r="BE14" s="262" t="n">
        <f aca="false" t="array" ref="BE14:BE14">IF(BE$4&lt;Premissas!$B$13,0,INDEX(Premissas!$C$52:$G$52,BE$7)*MIN(1,MAX(0,(BE$5-Premissas!$B$14+1)/Premissas!$B$15)))</f>
        <v>0.0104060401</v>
      </c>
      <c r="BF14" s="262" t="n">
        <f aca="false" t="array" ref="BF14:BF14">IF(BF$4&lt;Premissas!$B$13,0,INDEX(Premissas!$C$52:$G$52,BF$7)*MIN(1,MAX(0,(BF$5-Premissas!$B$14+1)/Premissas!$B$15)))</f>
        <v>0.0104060401</v>
      </c>
      <c r="BG14" s="262" t="n">
        <f aca="false" t="array" ref="BG14:BG14">IF(BG$4&lt;Premissas!$B$13,0,INDEX(Premissas!$C$52:$G$52,BG$7)*MIN(1,MAX(0,(BG$5-Premissas!$B$14+1)/Premissas!$B$15)))</f>
        <v>0.0104060401</v>
      </c>
      <c r="BH14" s="262" t="n">
        <f aca="false" t="array" ref="BH14:BH14">IF(BH$4&lt;Premissas!$B$13,0,INDEX(Premissas!$C$52:$G$52,BH$7)*MIN(1,MAX(0,(BH$5-Premissas!$B$14+1)/Premissas!$B$15)))</f>
        <v>0.0104060401</v>
      </c>
      <c r="BI14" s="262" t="n">
        <f aca="false" t="array" ref="BI14:BI14">IF(BI$4&lt;Premissas!$B$13,0,INDEX(Premissas!$C$52:$G$52,BI$7)*MIN(1,MAX(0,(BI$5-Premissas!$B$14+1)/Premissas!$B$15)))</f>
        <v>0.0104060401</v>
      </c>
      <c r="BJ14" s="157" t="n">
        <f aca="false">BI14</f>
        <v>0.0104060401</v>
      </c>
    </row>
    <row r="15" customFormat="false" ht="15" hidden="false" customHeight="true" outlineLevel="0" collapsed="false">
      <c r="A15" s="53" t="s">
        <v>717</v>
      </c>
      <c r="B15" s="252" t="n">
        <f aca="false">ROUND(B13*B14,0)</f>
        <v>0</v>
      </c>
      <c r="C15" s="252" t="n">
        <f aca="false">ROUND(C13*C14,0)</f>
        <v>0</v>
      </c>
      <c r="D15" s="252" t="n">
        <f aca="false">ROUND(D13*D14,0)</f>
        <v>0</v>
      </c>
      <c r="E15" s="252" t="n">
        <f aca="false">ROUND(E13*E14,0)</f>
        <v>0</v>
      </c>
      <c r="F15" s="252" t="n">
        <f aca="false">ROUND(F13*F14,0)</f>
        <v>0</v>
      </c>
      <c r="G15" s="252" t="n">
        <f aca="false">ROUND(G13*G14,0)</f>
        <v>0</v>
      </c>
      <c r="H15" s="252" t="n">
        <f aca="false">ROUND(H13*H14,0)</f>
        <v>0</v>
      </c>
      <c r="I15" s="252" t="n">
        <f aca="false">ROUND(I13*I14,0)</f>
        <v>0</v>
      </c>
      <c r="J15" s="252" t="n">
        <f aca="false">ROUND(J13*J14,0)</f>
        <v>0</v>
      </c>
      <c r="K15" s="252" t="n">
        <f aca="false">ROUND(K13*K14,0)</f>
        <v>0</v>
      </c>
      <c r="L15" s="252" t="n">
        <f aca="false">ROUND(L13*L14,0)</f>
        <v>0</v>
      </c>
      <c r="M15" s="252" t="n">
        <f aca="false">ROUND(M13*M14,0)</f>
        <v>18</v>
      </c>
      <c r="N15" s="252" t="n">
        <f aca="false">ROUND(N13*N14,0)</f>
        <v>84</v>
      </c>
      <c r="O15" s="252" t="n">
        <f aca="false">ROUND(O13*O14,0)</f>
        <v>191</v>
      </c>
      <c r="P15" s="252" t="n">
        <f aca="false">ROUND(P13*P14,0)</f>
        <v>333</v>
      </c>
      <c r="Q15" s="252" t="n">
        <f aca="false">ROUND(Q13*Q14,0)</f>
        <v>504</v>
      </c>
      <c r="R15" s="252" t="n">
        <f aca="false">ROUND(R13*R14,0)</f>
        <v>700</v>
      </c>
      <c r="S15" s="252" t="n">
        <f aca="false">ROUND(S13*S14,0)</f>
        <v>786</v>
      </c>
      <c r="T15" s="252" t="n">
        <f aca="false">ROUND(T13*T14,0)</f>
        <v>865</v>
      </c>
      <c r="U15" s="252" t="n">
        <f aca="false">ROUND(U13*U14,0)</f>
        <v>935</v>
      </c>
      <c r="V15" s="252" t="n">
        <f aca="false">ROUND(V13*V14,0)</f>
        <v>999</v>
      </c>
      <c r="W15" s="252" t="n">
        <f aca="false">ROUND(W13*W14,0)</f>
        <v>1057</v>
      </c>
      <c r="X15" s="252" t="n">
        <f aca="false">ROUND(X13*X14,0)</f>
        <v>1109</v>
      </c>
      <c r="Y15" s="252" t="n">
        <f aca="false">ROUND(Y13*Y14,0)</f>
        <v>1156</v>
      </c>
      <c r="Z15" s="252" t="n">
        <f aca="false">ROUND(Z13*Z14,0)</f>
        <v>1277</v>
      </c>
      <c r="AA15" s="252" t="n">
        <f aca="false">ROUND(AA13*AA14,0)</f>
        <v>1376</v>
      </c>
      <c r="AB15" s="252" t="n">
        <f aca="false">ROUND(AB13*AB14,0)</f>
        <v>1467</v>
      </c>
      <c r="AC15" s="252" t="n">
        <f aca="false">ROUND(AC13*AC14,0)</f>
        <v>1549</v>
      </c>
      <c r="AD15" s="252" t="n">
        <f aca="false">ROUND(AD13*AD14,0)</f>
        <v>1623</v>
      </c>
      <c r="AE15" s="252" t="n">
        <f aca="false">ROUND(AE13*AE14,0)</f>
        <v>1691</v>
      </c>
      <c r="AF15" s="252" t="n">
        <f aca="false">ROUND(AF13*AF14,0)</f>
        <v>1752</v>
      </c>
      <c r="AG15" s="252" t="n">
        <f aca="false">ROUND(AG13*AG14,0)</f>
        <v>1808</v>
      </c>
      <c r="AH15" s="252" t="n">
        <f aca="false">ROUND(AH13*AH14,0)</f>
        <v>1858</v>
      </c>
      <c r="AI15" s="252" t="n">
        <f aca="false">ROUND(AI13*AI14,0)</f>
        <v>1904</v>
      </c>
      <c r="AJ15" s="252" t="n">
        <f aca="false">ROUND(AJ13*AJ14,0)</f>
        <v>1946</v>
      </c>
      <c r="AK15" s="252" t="n">
        <f aca="false">ROUND(AK13*AK14,0)</f>
        <v>1984</v>
      </c>
      <c r="AL15" s="252" t="n">
        <f aca="false">ROUND(AL13*AL14,0)</f>
        <v>2133</v>
      </c>
      <c r="AM15" s="252" t="n">
        <f aca="false">ROUND(AM13*AM14,0)</f>
        <v>2251</v>
      </c>
      <c r="AN15" s="252" t="n">
        <f aca="false">ROUND(AN13*AN14,0)</f>
        <v>2359</v>
      </c>
      <c r="AO15" s="252" t="n">
        <f aca="false">ROUND(AO13*AO14,0)</f>
        <v>2458</v>
      </c>
      <c r="AP15" s="252" t="n">
        <f aca="false">ROUND(AP13*AP14,0)</f>
        <v>2547</v>
      </c>
      <c r="AQ15" s="252" t="n">
        <f aca="false">ROUND(AQ13*AQ14,0)</f>
        <v>2629</v>
      </c>
      <c r="AR15" s="252" t="n">
        <f aca="false">ROUND(AR13*AR14,0)</f>
        <v>2703</v>
      </c>
      <c r="AS15" s="252" t="n">
        <f aca="false">ROUND(AS13*AS14,0)</f>
        <v>2771</v>
      </c>
      <c r="AT15" s="252" t="n">
        <f aca="false">ROUND(AT13*AT14,0)</f>
        <v>2833</v>
      </c>
      <c r="AU15" s="252" t="n">
        <f aca="false">ROUND(AU13*AU14,0)</f>
        <v>2889</v>
      </c>
      <c r="AV15" s="252" t="n">
        <f aca="false">ROUND(AV13*AV14,0)</f>
        <v>2941</v>
      </c>
      <c r="AW15" s="252" t="n">
        <f aca="false">ROUND(AW13*AW14,0)</f>
        <v>2988</v>
      </c>
      <c r="AX15" s="252" t="n">
        <f aca="false">ROUND(AX13*AX14,0)</f>
        <v>3195</v>
      </c>
      <c r="AY15" s="252" t="n">
        <f aca="false">ROUND(AY13*AY14,0)</f>
        <v>3358</v>
      </c>
      <c r="AZ15" s="252" t="n">
        <f aca="false">ROUND(AZ13*AZ14,0)</f>
        <v>3507</v>
      </c>
      <c r="BA15" s="252" t="n">
        <f aca="false">ROUND(BA13*BA14,0)</f>
        <v>3643</v>
      </c>
      <c r="BB15" s="252" t="n">
        <f aca="false">ROUND(BB13*BB14,0)</f>
        <v>3768</v>
      </c>
      <c r="BC15" s="252" t="n">
        <f aca="false">ROUND(BC13*BC14,0)</f>
        <v>3882</v>
      </c>
      <c r="BD15" s="252" t="n">
        <f aca="false">ROUND(BD13*BD14,0)</f>
        <v>3986</v>
      </c>
      <c r="BE15" s="252" t="n">
        <f aca="false">ROUND(BE13*BE14,0)</f>
        <v>4082</v>
      </c>
      <c r="BF15" s="252" t="n">
        <f aca="false">ROUND(BF13*BF14,0)</f>
        <v>4169</v>
      </c>
      <c r="BG15" s="252" t="n">
        <f aca="false">ROUND(BG13*BG14,0)</f>
        <v>4249</v>
      </c>
      <c r="BH15" s="252" t="n">
        <f aca="false">ROUND(BH13*BH14,0)</f>
        <v>4323</v>
      </c>
      <c r="BI15" s="252" t="n">
        <f aca="false">ROUND(BI13*BI14,0)</f>
        <v>4390</v>
      </c>
      <c r="BJ15" s="202" t="n">
        <f aca="false">BI15</f>
        <v>4390</v>
      </c>
      <c r="BK15" s="51" t="s">
        <v>748</v>
      </c>
    </row>
    <row r="16" customFormat="false" ht="15" hidden="false" customHeight="true" outlineLevel="0" collapsed="false">
      <c r="A16" s="49" t="s">
        <v>718</v>
      </c>
      <c r="B16" s="201" t="n">
        <f aca="false" t="array" ref="B16:B16">ROUND(B15*INDEX(Premissas!$C$34:$G$34,B$7),0)</f>
        <v>0</v>
      </c>
      <c r="C16" s="201" t="n">
        <f aca="false" t="array" ref="C16:C16">ROUND(C15*INDEX(Premissas!$C$34:$G$34,C$7),0)</f>
        <v>0</v>
      </c>
      <c r="D16" s="201" t="n">
        <f aca="false" t="array" ref="D16:D16">ROUND(D15*INDEX(Premissas!$C$34:$G$34,D$7),0)</f>
        <v>0</v>
      </c>
      <c r="E16" s="201" t="n">
        <f aca="false" t="array" ref="E16:E16">ROUND(E15*INDEX(Premissas!$C$34:$G$34,E$7),0)</f>
        <v>0</v>
      </c>
      <c r="F16" s="201" t="n">
        <f aca="false" t="array" ref="F16:F16">ROUND(F15*INDEX(Premissas!$C$34:$G$34,F$7),0)</f>
        <v>0</v>
      </c>
      <c r="G16" s="201" t="n">
        <f aca="false" t="array" ref="G16:G16">ROUND(G15*INDEX(Premissas!$C$34:$G$34,G$7),0)</f>
        <v>0</v>
      </c>
      <c r="H16" s="201" t="n">
        <f aca="false" t="array" ref="H16:H16">ROUND(H15*INDEX(Premissas!$C$34:$G$34,H$7),0)</f>
        <v>0</v>
      </c>
      <c r="I16" s="201" t="n">
        <f aca="false" t="array" ref="I16:I16">ROUND(I15*INDEX(Premissas!$C$34:$G$34,I$7),0)</f>
        <v>0</v>
      </c>
      <c r="J16" s="201" t="n">
        <f aca="false" t="array" ref="J16:J16">ROUND(J15*INDEX(Premissas!$C$34:$G$34,J$7),0)</f>
        <v>0</v>
      </c>
      <c r="K16" s="201" t="n">
        <f aca="false" t="array" ref="K16:K16">ROUND(K15*INDEX(Premissas!$C$34:$G$34,K$7),0)</f>
        <v>0</v>
      </c>
      <c r="L16" s="201" t="n">
        <f aca="false" t="array" ref="L16:L16">ROUND(L15*INDEX(Premissas!$C$34:$G$34,L$7),0)</f>
        <v>0</v>
      </c>
      <c r="M16" s="201" t="n">
        <f aca="false" t="array" ref="M16:M16">ROUND(M15*INDEX(Premissas!$C$34:$G$34,M$7),0)</f>
        <v>18</v>
      </c>
      <c r="N16" s="201" t="n">
        <f aca="false" t="array" ref="N16:N16">ROUND(N15*INDEX(Premissas!$C$34:$G$34,N$7),0)</f>
        <v>84</v>
      </c>
      <c r="O16" s="201" t="n">
        <f aca="false" t="array" ref="O16:O16">ROUND(O15*INDEX(Premissas!$C$34:$G$34,O$7),0)</f>
        <v>191</v>
      </c>
      <c r="P16" s="201" t="n">
        <f aca="false" t="array" ref="P16:P16">ROUND(P15*INDEX(Premissas!$C$34:$G$34,P$7),0)</f>
        <v>333</v>
      </c>
      <c r="Q16" s="201" t="n">
        <f aca="false" t="array" ref="Q16:Q16">ROUND(Q15*INDEX(Premissas!$C$34:$G$34,Q$7),0)</f>
        <v>504</v>
      </c>
      <c r="R16" s="201" t="n">
        <f aca="false" t="array" ref="R16:R16">ROUND(R15*INDEX(Premissas!$C$34:$G$34,R$7),0)</f>
        <v>700</v>
      </c>
      <c r="S16" s="201" t="n">
        <f aca="false" t="array" ref="S16:S16">ROUND(S15*INDEX(Premissas!$C$34:$G$34,S$7),0)</f>
        <v>786</v>
      </c>
      <c r="T16" s="201" t="n">
        <f aca="false" t="array" ref="T16:T16">ROUND(T15*INDEX(Premissas!$C$34:$G$34,T$7),0)</f>
        <v>865</v>
      </c>
      <c r="U16" s="201" t="n">
        <f aca="false" t="array" ref="U16:U16">ROUND(U15*INDEX(Premissas!$C$34:$G$34,U$7),0)</f>
        <v>935</v>
      </c>
      <c r="V16" s="201" t="n">
        <f aca="false" t="array" ref="V16:V16">ROUND(V15*INDEX(Premissas!$C$34:$G$34,V$7),0)</f>
        <v>999</v>
      </c>
      <c r="W16" s="201" t="n">
        <f aca="false" t="array" ref="W16:W16">ROUND(W15*INDEX(Premissas!$C$34:$G$34,W$7),0)</f>
        <v>1057</v>
      </c>
      <c r="X16" s="201" t="n">
        <f aca="false" t="array" ref="X16:X16">ROUND(X15*INDEX(Premissas!$C$34:$G$34,X$7),0)</f>
        <v>1109</v>
      </c>
      <c r="Y16" s="201" t="n">
        <f aca="false" t="array" ref="Y16:Y16">ROUND(Y15*INDEX(Premissas!$C$34:$G$34,Y$7),0)</f>
        <v>1156</v>
      </c>
      <c r="Z16" s="201" t="n">
        <f aca="false" t="array" ref="Z16:Z16">ROUND(Z15*INDEX(Premissas!$C$34:$G$34,Z$7),0)</f>
        <v>868</v>
      </c>
      <c r="AA16" s="201" t="n">
        <f aca="false" t="array" ref="AA16:AA16">ROUND(AA15*INDEX(Premissas!$C$34:$G$34,AA$7),0)</f>
        <v>936</v>
      </c>
      <c r="AB16" s="201" t="n">
        <f aca="false" t="array" ref="AB16:AB16">ROUND(AB15*INDEX(Premissas!$C$34:$G$34,AB$7),0)</f>
        <v>998</v>
      </c>
      <c r="AC16" s="201" t="n">
        <f aca="false" t="array" ref="AC16:AC16">ROUND(AC15*INDEX(Premissas!$C$34:$G$34,AC$7),0)</f>
        <v>1053</v>
      </c>
      <c r="AD16" s="201" t="n">
        <f aca="false" t="array" ref="AD16:AD16">ROUND(AD15*INDEX(Premissas!$C$34:$G$34,AD$7),0)</f>
        <v>1104</v>
      </c>
      <c r="AE16" s="201" t="n">
        <f aca="false" t="array" ref="AE16:AE16">ROUND(AE15*INDEX(Premissas!$C$34:$G$34,AE$7),0)</f>
        <v>1150</v>
      </c>
      <c r="AF16" s="201" t="n">
        <f aca="false" t="array" ref="AF16:AF16">ROUND(AF15*INDEX(Premissas!$C$34:$G$34,AF$7),0)</f>
        <v>1191</v>
      </c>
      <c r="AG16" s="201" t="n">
        <f aca="false" t="array" ref="AG16:AG16">ROUND(AG15*INDEX(Premissas!$C$34:$G$34,AG$7),0)</f>
        <v>1229</v>
      </c>
      <c r="AH16" s="201" t="n">
        <f aca="false" t="array" ref="AH16:AH16">ROUND(AH15*INDEX(Premissas!$C$34:$G$34,AH$7),0)</f>
        <v>1263</v>
      </c>
      <c r="AI16" s="201" t="n">
        <f aca="false" t="array" ref="AI16:AI16">ROUND(AI15*INDEX(Premissas!$C$34:$G$34,AI$7),0)</f>
        <v>1295</v>
      </c>
      <c r="AJ16" s="201" t="n">
        <f aca="false" t="array" ref="AJ16:AJ16">ROUND(AJ15*INDEX(Premissas!$C$34:$G$34,AJ$7),0)</f>
        <v>1323</v>
      </c>
      <c r="AK16" s="201" t="n">
        <f aca="false" t="array" ref="AK16:AK16">ROUND(AK15*INDEX(Premissas!$C$34:$G$34,AK$7),0)</f>
        <v>1349</v>
      </c>
      <c r="AL16" s="201" t="n">
        <f aca="false" t="array" ref="AL16:AL16">ROUND(AL15*INDEX(Premissas!$C$34:$G$34,AL$7),0)</f>
        <v>1365</v>
      </c>
      <c r="AM16" s="201" t="n">
        <f aca="false" t="array" ref="AM16:AM16">ROUND(AM15*INDEX(Premissas!$C$34:$G$34,AM$7),0)</f>
        <v>1441</v>
      </c>
      <c r="AN16" s="201" t="n">
        <f aca="false" t="array" ref="AN16:AN16">ROUND(AN15*INDEX(Premissas!$C$34:$G$34,AN$7),0)</f>
        <v>1510</v>
      </c>
      <c r="AO16" s="201" t="n">
        <f aca="false" t="array" ref="AO16:AO16">ROUND(AO15*INDEX(Premissas!$C$34:$G$34,AO$7),0)</f>
        <v>1573</v>
      </c>
      <c r="AP16" s="201" t="n">
        <f aca="false" t="array" ref="AP16:AP16">ROUND(AP15*INDEX(Premissas!$C$34:$G$34,AP$7),0)</f>
        <v>1630</v>
      </c>
      <c r="AQ16" s="201" t="n">
        <f aca="false" t="array" ref="AQ16:AQ16">ROUND(AQ15*INDEX(Premissas!$C$34:$G$34,AQ$7),0)</f>
        <v>1683</v>
      </c>
      <c r="AR16" s="201" t="n">
        <f aca="false" t="array" ref="AR16:AR16">ROUND(AR15*INDEX(Premissas!$C$34:$G$34,AR$7),0)</f>
        <v>1730</v>
      </c>
      <c r="AS16" s="201" t="n">
        <f aca="false" t="array" ref="AS16:AS16">ROUND(AS15*INDEX(Premissas!$C$34:$G$34,AS$7),0)</f>
        <v>1773</v>
      </c>
      <c r="AT16" s="201" t="n">
        <f aca="false" t="array" ref="AT16:AT16">ROUND(AT15*INDEX(Premissas!$C$34:$G$34,AT$7),0)</f>
        <v>1813</v>
      </c>
      <c r="AU16" s="201" t="n">
        <f aca="false" t="array" ref="AU16:AU16">ROUND(AU15*INDEX(Premissas!$C$34:$G$34,AU$7),0)</f>
        <v>1849</v>
      </c>
      <c r="AV16" s="201" t="n">
        <f aca="false" t="array" ref="AV16:AV16">ROUND(AV15*INDEX(Premissas!$C$34:$G$34,AV$7),0)</f>
        <v>1882</v>
      </c>
      <c r="AW16" s="201" t="n">
        <f aca="false" t="array" ref="AW16:AW16">ROUND(AW15*INDEX(Premissas!$C$34:$G$34,AW$7),0)</f>
        <v>1912</v>
      </c>
      <c r="AX16" s="201" t="n">
        <f aca="false" t="array" ref="AX16:AX16">ROUND(AX15*INDEX(Premissas!$C$34:$G$34,AX$7),0)</f>
        <v>1917</v>
      </c>
      <c r="AY16" s="201" t="n">
        <f aca="false" t="array" ref="AY16:AY16">ROUND(AY15*INDEX(Premissas!$C$34:$G$34,AY$7),0)</f>
        <v>2015</v>
      </c>
      <c r="AZ16" s="201" t="n">
        <f aca="false" t="array" ref="AZ16:AZ16">ROUND(AZ15*INDEX(Premissas!$C$34:$G$34,AZ$7),0)</f>
        <v>2104</v>
      </c>
      <c r="BA16" s="201" t="n">
        <f aca="false" t="array" ref="BA16:BA16">ROUND(BA15*INDEX(Premissas!$C$34:$G$34,BA$7),0)</f>
        <v>2186</v>
      </c>
      <c r="BB16" s="201" t="n">
        <f aca="false" t="array" ref="BB16:BB16">ROUND(BB15*INDEX(Premissas!$C$34:$G$34,BB$7),0)</f>
        <v>2261</v>
      </c>
      <c r="BC16" s="201" t="n">
        <f aca="false" t="array" ref="BC16:BC16">ROUND(BC15*INDEX(Premissas!$C$34:$G$34,BC$7),0)</f>
        <v>2329</v>
      </c>
      <c r="BD16" s="201" t="n">
        <f aca="false" t="array" ref="BD16:BD16">ROUND(BD15*INDEX(Premissas!$C$34:$G$34,BD$7),0)</f>
        <v>2392</v>
      </c>
      <c r="BE16" s="201" t="n">
        <f aca="false" t="array" ref="BE16:BE16">ROUND(BE15*INDEX(Premissas!$C$34:$G$34,BE$7),0)</f>
        <v>2449</v>
      </c>
      <c r="BF16" s="201" t="n">
        <f aca="false" t="array" ref="BF16:BF16">ROUND(BF15*INDEX(Premissas!$C$34:$G$34,BF$7),0)</f>
        <v>2501</v>
      </c>
      <c r="BG16" s="201" t="n">
        <f aca="false" t="array" ref="BG16:BG16">ROUND(BG15*INDEX(Premissas!$C$34:$G$34,BG$7),0)</f>
        <v>2549</v>
      </c>
      <c r="BH16" s="201" t="n">
        <f aca="false" t="array" ref="BH16:BH16">ROUND(BH15*INDEX(Premissas!$C$34:$G$34,BH$7),0)</f>
        <v>2594</v>
      </c>
      <c r="BI16" s="201" t="n">
        <f aca="false" t="array" ref="BI16:BI16">ROUND(BI15*INDEX(Premissas!$C$34:$G$34,BI$7),0)</f>
        <v>2634</v>
      </c>
      <c r="BJ16" s="202" t="n">
        <f aca="false">BI16</f>
        <v>2634</v>
      </c>
      <c r="BK16" s="51" t="s">
        <v>748</v>
      </c>
    </row>
    <row r="17" customFormat="false" ht="15" hidden="false" customHeight="true" outlineLevel="0" collapsed="false">
      <c r="A17" s="49" t="s">
        <v>719</v>
      </c>
      <c r="B17" s="201" t="n">
        <f aca="false" t="array" ref="B17:B17">ROUND(B15*INDEX(Premissas!$C$35:$G$35,B$7),0)</f>
        <v>0</v>
      </c>
      <c r="C17" s="201" t="n">
        <f aca="false" t="array" ref="C17:C17">ROUND(C15*INDEX(Premissas!$C$35:$G$35,C$7),0)</f>
        <v>0</v>
      </c>
      <c r="D17" s="201" t="n">
        <f aca="false" t="array" ref="D17:D17">ROUND(D15*INDEX(Premissas!$C$35:$G$35,D$7),0)</f>
        <v>0</v>
      </c>
      <c r="E17" s="201" t="n">
        <f aca="false" t="array" ref="E17:E17">ROUND(E15*INDEX(Premissas!$C$35:$G$35,E$7),0)</f>
        <v>0</v>
      </c>
      <c r="F17" s="201" t="n">
        <f aca="false" t="array" ref="F17:F17">ROUND(F15*INDEX(Premissas!$C$35:$G$35,F$7),0)</f>
        <v>0</v>
      </c>
      <c r="G17" s="201" t="n">
        <f aca="false" t="array" ref="G17:G17">ROUND(G15*INDEX(Premissas!$C$35:$G$35,G$7),0)</f>
        <v>0</v>
      </c>
      <c r="H17" s="201" t="n">
        <f aca="false" t="array" ref="H17:H17">ROUND(H15*INDEX(Premissas!$C$35:$G$35,H$7),0)</f>
        <v>0</v>
      </c>
      <c r="I17" s="201" t="n">
        <f aca="false" t="array" ref="I17:I17">ROUND(I15*INDEX(Premissas!$C$35:$G$35,I$7),0)</f>
        <v>0</v>
      </c>
      <c r="J17" s="201" t="n">
        <f aca="false" t="array" ref="J17:J17">ROUND(J15*INDEX(Premissas!$C$35:$G$35,J$7),0)</f>
        <v>0</v>
      </c>
      <c r="K17" s="201" t="n">
        <f aca="false" t="array" ref="K17:K17">ROUND(K15*INDEX(Premissas!$C$35:$G$35,K$7),0)</f>
        <v>0</v>
      </c>
      <c r="L17" s="201" t="n">
        <f aca="false" t="array" ref="L17:L17">ROUND(L15*INDEX(Premissas!$C$35:$G$35,L$7),0)</f>
        <v>0</v>
      </c>
      <c r="M17" s="201" t="n">
        <f aca="false" t="array" ref="M17:M17">ROUND(M15*INDEX(Premissas!$C$35:$G$35,M$7),0)</f>
        <v>0</v>
      </c>
      <c r="N17" s="201" t="n">
        <f aca="false" t="array" ref="N17:N17">ROUND(N15*INDEX(Premissas!$C$35:$G$35,N$7),0)</f>
        <v>0</v>
      </c>
      <c r="O17" s="201" t="n">
        <f aca="false" t="array" ref="O17:O17">ROUND(O15*INDEX(Premissas!$C$35:$G$35,O$7),0)</f>
        <v>0</v>
      </c>
      <c r="P17" s="201" t="n">
        <f aca="false" t="array" ref="P17:P17">ROUND(P15*INDEX(Premissas!$C$35:$G$35,P$7),0)</f>
        <v>0</v>
      </c>
      <c r="Q17" s="201" t="n">
        <f aca="false" t="array" ref="Q17:Q17">ROUND(Q15*INDEX(Premissas!$C$35:$G$35,Q$7),0)</f>
        <v>0</v>
      </c>
      <c r="R17" s="201" t="n">
        <f aca="false" t="array" ref="R17:R17">ROUND(R15*INDEX(Premissas!$C$35:$G$35,R$7),0)</f>
        <v>0</v>
      </c>
      <c r="S17" s="201" t="n">
        <f aca="false" t="array" ref="S17:S17">ROUND(S15*INDEX(Premissas!$C$35:$G$35,S$7),0)</f>
        <v>0</v>
      </c>
      <c r="T17" s="201" t="n">
        <f aca="false" t="array" ref="T17:T17">ROUND(T15*INDEX(Premissas!$C$35:$G$35,T$7),0)</f>
        <v>0</v>
      </c>
      <c r="U17" s="201" t="n">
        <f aca="false" t="array" ref="U17:U17">ROUND(U15*INDEX(Premissas!$C$35:$G$35,U$7),0)</f>
        <v>0</v>
      </c>
      <c r="V17" s="201" t="n">
        <f aca="false" t="array" ref="V17:V17">ROUND(V15*INDEX(Premissas!$C$35:$G$35,V$7),0)</f>
        <v>0</v>
      </c>
      <c r="W17" s="201" t="n">
        <f aca="false" t="array" ref="W17:W17">ROUND(W15*INDEX(Premissas!$C$35:$G$35,W$7),0)</f>
        <v>0</v>
      </c>
      <c r="X17" s="201" t="n">
        <f aca="false" t="array" ref="X17:X17">ROUND(X15*INDEX(Premissas!$C$35:$G$35,X$7),0)</f>
        <v>0</v>
      </c>
      <c r="Y17" s="201" t="n">
        <f aca="false" t="array" ref="Y17:Y17">ROUND(Y15*INDEX(Premissas!$C$35:$G$35,Y$7),0)</f>
        <v>0</v>
      </c>
      <c r="Z17" s="201" t="n">
        <f aca="false" t="array" ref="Z17:Z17">ROUND(Z15*INDEX(Premissas!$C$35:$G$35,Z$7),0)</f>
        <v>306</v>
      </c>
      <c r="AA17" s="201" t="n">
        <f aca="false" t="array" ref="AA17:AA17">ROUND(AA15*INDEX(Premissas!$C$35:$G$35,AA$7),0)</f>
        <v>330</v>
      </c>
      <c r="AB17" s="201" t="n">
        <f aca="false" t="array" ref="AB17:AB17">ROUND(AB15*INDEX(Premissas!$C$35:$G$35,AB$7),0)</f>
        <v>352</v>
      </c>
      <c r="AC17" s="201" t="n">
        <f aca="false" t="array" ref="AC17:AC17">ROUND(AC15*INDEX(Premissas!$C$35:$G$35,AC$7),0)</f>
        <v>372</v>
      </c>
      <c r="AD17" s="201" t="n">
        <f aca="false" t="array" ref="AD17:AD17">ROUND(AD15*INDEX(Premissas!$C$35:$G$35,AD$7),0)</f>
        <v>390</v>
      </c>
      <c r="AE17" s="201" t="n">
        <f aca="false" t="array" ref="AE17:AE17">ROUND(AE15*INDEX(Premissas!$C$35:$G$35,AE$7),0)</f>
        <v>406</v>
      </c>
      <c r="AF17" s="201" t="n">
        <f aca="false" t="array" ref="AF17:AF17">ROUND(AF15*INDEX(Premissas!$C$35:$G$35,AF$7),0)</f>
        <v>420</v>
      </c>
      <c r="AG17" s="201" t="n">
        <f aca="false" t="array" ref="AG17:AG17">ROUND(AG15*INDEX(Premissas!$C$35:$G$35,AG$7),0)</f>
        <v>434</v>
      </c>
      <c r="AH17" s="201" t="n">
        <f aca="false" t="array" ref="AH17:AH17">ROUND(AH15*INDEX(Premissas!$C$35:$G$35,AH$7),0)</f>
        <v>446</v>
      </c>
      <c r="AI17" s="201" t="n">
        <f aca="false" t="array" ref="AI17:AI17">ROUND(AI15*INDEX(Premissas!$C$35:$G$35,AI$7),0)</f>
        <v>457</v>
      </c>
      <c r="AJ17" s="201" t="n">
        <f aca="false" t="array" ref="AJ17:AJ17">ROUND(AJ15*INDEX(Premissas!$C$35:$G$35,AJ$7),0)</f>
        <v>467</v>
      </c>
      <c r="AK17" s="201" t="n">
        <f aca="false" t="array" ref="AK17:AK17">ROUND(AK15*INDEX(Premissas!$C$35:$G$35,AK$7),0)</f>
        <v>476</v>
      </c>
      <c r="AL17" s="201" t="n">
        <f aca="false" t="array" ref="AL17:AL17">ROUND(AL15*INDEX(Premissas!$C$35:$G$35,AL$7),0)</f>
        <v>555</v>
      </c>
      <c r="AM17" s="201" t="n">
        <f aca="false" t="array" ref="AM17:AM17">ROUND(AM15*INDEX(Premissas!$C$35:$G$35,AM$7),0)</f>
        <v>585</v>
      </c>
      <c r="AN17" s="201" t="n">
        <f aca="false" t="array" ref="AN17:AN17">ROUND(AN15*INDEX(Premissas!$C$35:$G$35,AN$7),0)</f>
        <v>613</v>
      </c>
      <c r="AO17" s="201" t="n">
        <f aca="false" t="array" ref="AO17:AO17">ROUND(AO15*INDEX(Premissas!$C$35:$G$35,AO$7),0)</f>
        <v>639</v>
      </c>
      <c r="AP17" s="201" t="n">
        <f aca="false" t="array" ref="AP17:AP17">ROUND(AP15*INDEX(Premissas!$C$35:$G$35,AP$7),0)</f>
        <v>662</v>
      </c>
      <c r="AQ17" s="201" t="n">
        <f aca="false" t="array" ref="AQ17:AQ17">ROUND(AQ15*INDEX(Premissas!$C$35:$G$35,AQ$7),0)</f>
        <v>684</v>
      </c>
      <c r="AR17" s="201" t="n">
        <f aca="false" t="array" ref="AR17:AR17">ROUND(AR15*INDEX(Premissas!$C$35:$G$35,AR$7),0)</f>
        <v>703</v>
      </c>
      <c r="AS17" s="201" t="n">
        <f aca="false" t="array" ref="AS17:AS17">ROUND(AS15*INDEX(Premissas!$C$35:$G$35,AS$7),0)</f>
        <v>720</v>
      </c>
      <c r="AT17" s="201" t="n">
        <f aca="false" t="array" ref="AT17:AT17">ROUND(AT15*INDEX(Premissas!$C$35:$G$35,AT$7),0)</f>
        <v>737</v>
      </c>
      <c r="AU17" s="201" t="n">
        <f aca="false" t="array" ref="AU17:AU17">ROUND(AU15*INDEX(Premissas!$C$35:$G$35,AU$7),0)</f>
        <v>751</v>
      </c>
      <c r="AV17" s="201" t="n">
        <f aca="false" t="array" ref="AV17:AV17">ROUND(AV15*INDEX(Premissas!$C$35:$G$35,AV$7),0)</f>
        <v>765</v>
      </c>
      <c r="AW17" s="201" t="n">
        <f aca="false" t="array" ref="AW17:AW17">ROUND(AW15*INDEX(Premissas!$C$35:$G$35,AW$7),0)</f>
        <v>777</v>
      </c>
      <c r="AX17" s="201" t="n">
        <f aca="false" t="array" ref="AX17:AX17">ROUND(AX15*INDEX(Premissas!$C$35:$G$35,AX$7),0)</f>
        <v>895</v>
      </c>
      <c r="AY17" s="201" t="n">
        <f aca="false" t="array" ref="AY17:AY17">ROUND(AY15*INDEX(Premissas!$C$35:$G$35,AY$7),0)</f>
        <v>940</v>
      </c>
      <c r="AZ17" s="201" t="n">
        <f aca="false" t="array" ref="AZ17:AZ17">ROUND(AZ15*INDEX(Premissas!$C$35:$G$35,AZ$7),0)</f>
        <v>982</v>
      </c>
      <c r="BA17" s="201" t="n">
        <f aca="false" t="array" ref="BA17:BA17">ROUND(BA15*INDEX(Premissas!$C$35:$G$35,BA$7),0)</f>
        <v>1020</v>
      </c>
      <c r="BB17" s="201" t="n">
        <f aca="false" t="array" ref="BB17:BB17">ROUND(BB15*INDEX(Premissas!$C$35:$G$35,BB$7),0)</f>
        <v>1055</v>
      </c>
      <c r="BC17" s="201" t="n">
        <f aca="false" t="array" ref="BC17:BC17">ROUND(BC15*INDEX(Premissas!$C$35:$G$35,BC$7),0)</f>
        <v>1087</v>
      </c>
      <c r="BD17" s="201" t="n">
        <f aca="false" t="array" ref="BD17:BD17">ROUND(BD15*INDEX(Premissas!$C$35:$G$35,BD$7),0)</f>
        <v>1116</v>
      </c>
      <c r="BE17" s="201" t="n">
        <f aca="false" t="array" ref="BE17:BE17">ROUND(BE15*INDEX(Premissas!$C$35:$G$35,BE$7),0)</f>
        <v>1143</v>
      </c>
      <c r="BF17" s="201" t="n">
        <f aca="false" t="array" ref="BF17:BF17">ROUND(BF15*INDEX(Premissas!$C$35:$G$35,BF$7),0)</f>
        <v>1167</v>
      </c>
      <c r="BG17" s="201" t="n">
        <f aca="false" t="array" ref="BG17:BG17">ROUND(BG15*INDEX(Premissas!$C$35:$G$35,BG$7),0)</f>
        <v>1190</v>
      </c>
      <c r="BH17" s="201" t="n">
        <f aca="false" t="array" ref="BH17:BH17">ROUND(BH15*INDEX(Premissas!$C$35:$G$35,BH$7),0)</f>
        <v>1210</v>
      </c>
      <c r="BI17" s="201" t="n">
        <f aca="false" t="array" ref="BI17:BI17">ROUND(BI15*INDEX(Premissas!$C$35:$G$35,BI$7),0)</f>
        <v>1229</v>
      </c>
      <c r="BJ17" s="202" t="n">
        <f aca="false">BI17</f>
        <v>1229</v>
      </c>
      <c r="BK17" s="51" t="s">
        <v>748</v>
      </c>
    </row>
    <row r="18" customFormat="false" ht="15" hidden="false" customHeight="true" outlineLevel="0" collapsed="false">
      <c r="A18" s="49" t="s">
        <v>720</v>
      </c>
      <c r="B18" s="201" t="n">
        <f aca="false">B15-B16-B17</f>
        <v>0</v>
      </c>
      <c r="C18" s="201" t="n">
        <f aca="false">C15-C16-C17</f>
        <v>0</v>
      </c>
      <c r="D18" s="201" t="n">
        <f aca="false">D15-D16-D17</f>
        <v>0</v>
      </c>
      <c r="E18" s="201" t="n">
        <f aca="false">E15-E16-E17</f>
        <v>0</v>
      </c>
      <c r="F18" s="201" t="n">
        <f aca="false">F15-F16-F17</f>
        <v>0</v>
      </c>
      <c r="G18" s="201" t="n">
        <f aca="false">G15-G16-G17</f>
        <v>0</v>
      </c>
      <c r="H18" s="201" t="n">
        <f aca="false">H15-H16-H17</f>
        <v>0</v>
      </c>
      <c r="I18" s="201" t="n">
        <f aca="false">I15-I16-I17</f>
        <v>0</v>
      </c>
      <c r="J18" s="201" t="n">
        <f aca="false">J15-J16-J17</f>
        <v>0</v>
      </c>
      <c r="K18" s="201" t="n">
        <f aca="false">K15-K16-K17</f>
        <v>0</v>
      </c>
      <c r="L18" s="201" t="n">
        <f aca="false">L15-L16-L17</f>
        <v>0</v>
      </c>
      <c r="M18" s="201" t="n">
        <f aca="false">M15-M16-M17</f>
        <v>0</v>
      </c>
      <c r="N18" s="201" t="n">
        <f aca="false">N15-N16-N17</f>
        <v>0</v>
      </c>
      <c r="O18" s="201" t="n">
        <f aca="false">O15-O16-O17</f>
        <v>0</v>
      </c>
      <c r="P18" s="201" t="n">
        <f aca="false">P15-P16-P17</f>
        <v>0</v>
      </c>
      <c r="Q18" s="201" t="n">
        <f aca="false">Q15-Q16-Q17</f>
        <v>0</v>
      </c>
      <c r="R18" s="201" t="n">
        <f aca="false">R15-R16-R17</f>
        <v>0</v>
      </c>
      <c r="S18" s="201" t="n">
        <f aca="false">S15-S16-S17</f>
        <v>0</v>
      </c>
      <c r="T18" s="201" t="n">
        <f aca="false">T15-T16-T17</f>
        <v>0</v>
      </c>
      <c r="U18" s="201" t="n">
        <f aca="false">U15-U16-U17</f>
        <v>0</v>
      </c>
      <c r="V18" s="201" t="n">
        <f aca="false">V15-V16-V17</f>
        <v>0</v>
      </c>
      <c r="W18" s="201" t="n">
        <f aca="false">W15-W16-W17</f>
        <v>0</v>
      </c>
      <c r="X18" s="201" t="n">
        <f aca="false">X15-X16-X17</f>
        <v>0</v>
      </c>
      <c r="Y18" s="201" t="n">
        <f aca="false">Y15-Y16-Y17</f>
        <v>0</v>
      </c>
      <c r="Z18" s="201" t="n">
        <f aca="false">Z15-Z16-Z17</f>
        <v>103</v>
      </c>
      <c r="AA18" s="201" t="n">
        <f aca="false">AA15-AA16-AA17</f>
        <v>110</v>
      </c>
      <c r="AB18" s="201" t="n">
        <f aca="false">AB15-AB16-AB17</f>
        <v>117</v>
      </c>
      <c r="AC18" s="201" t="n">
        <f aca="false">AC15-AC16-AC17</f>
        <v>124</v>
      </c>
      <c r="AD18" s="201" t="n">
        <f aca="false">AD15-AD16-AD17</f>
        <v>129</v>
      </c>
      <c r="AE18" s="201" t="n">
        <f aca="false">AE15-AE16-AE17</f>
        <v>135</v>
      </c>
      <c r="AF18" s="201" t="n">
        <f aca="false">AF15-AF16-AF17</f>
        <v>141</v>
      </c>
      <c r="AG18" s="201" t="n">
        <f aca="false">AG15-AG16-AG17</f>
        <v>145</v>
      </c>
      <c r="AH18" s="201" t="n">
        <f aca="false">AH15-AH16-AH17</f>
        <v>149</v>
      </c>
      <c r="AI18" s="201" t="n">
        <f aca="false">AI15-AI16-AI17</f>
        <v>152</v>
      </c>
      <c r="AJ18" s="201" t="n">
        <f aca="false">AJ15-AJ16-AJ17</f>
        <v>156</v>
      </c>
      <c r="AK18" s="201" t="n">
        <f aca="false">AK15-AK16-AK17</f>
        <v>159</v>
      </c>
      <c r="AL18" s="201" t="n">
        <f aca="false">AL15-AL16-AL17</f>
        <v>213</v>
      </c>
      <c r="AM18" s="201" t="n">
        <f aca="false">AM15-AM16-AM17</f>
        <v>225</v>
      </c>
      <c r="AN18" s="201" t="n">
        <f aca="false">AN15-AN16-AN17</f>
        <v>236</v>
      </c>
      <c r="AO18" s="201" t="n">
        <f aca="false">AO15-AO16-AO17</f>
        <v>246</v>
      </c>
      <c r="AP18" s="201" t="n">
        <f aca="false">AP15-AP16-AP17</f>
        <v>255</v>
      </c>
      <c r="AQ18" s="201" t="n">
        <f aca="false">AQ15-AQ16-AQ17</f>
        <v>262</v>
      </c>
      <c r="AR18" s="201" t="n">
        <f aca="false">AR15-AR16-AR17</f>
        <v>270</v>
      </c>
      <c r="AS18" s="201" t="n">
        <f aca="false">AS15-AS16-AS17</f>
        <v>278</v>
      </c>
      <c r="AT18" s="201" t="n">
        <f aca="false">AT15-AT16-AT17</f>
        <v>283</v>
      </c>
      <c r="AU18" s="201" t="n">
        <f aca="false">AU15-AU16-AU17</f>
        <v>289</v>
      </c>
      <c r="AV18" s="201" t="n">
        <f aca="false">AV15-AV16-AV17</f>
        <v>294</v>
      </c>
      <c r="AW18" s="201" t="n">
        <f aca="false">AW15-AW16-AW17</f>
        <v>299</v>
      </c>
      <c r="AX18" s="201" t="n">
        <f aca="false">AX15-AX16-AX17</f>
        <v>383</v>
      </c>
      <c r="AY18" s="201" t="n">
        <f aca="false">AY15-AY16-AY17</f>
        <v>403</v>
      </c>
      <c r="AZ18" s="201" t="n">
        <f aca="false">AZ15-AZ16-AZ17</f>
        <v>421</v>
      </c>
      <c r="BA18" s="201" t="n">
        <f aca="false">BA15-BA16-BA17</f>
        <v>437</v>
      </c>
      <c r="BB18" s="201" t="n">
        <f aca="false">BB15-BB16-BB17</f>
        <v>452</v>
      </c>
      <c r="BC18" s="201" t="n">
        <f aca="false">BC15-BC16-BC17</f>
        <v>466</v>
      </c>
      <c r="BD18" s="201" t="n">
        <f aca="false">BD15-BD16-BD17</f>
        <v>478</v>
      </c>
      <c r="BE18" s="201" t="n">
        <f aca="false">BE15-BE16-BE17</f>
        <v>490</v>
      </c>
      <c r="BF18" s="201" t="n">
        <f aca="false">BF15-BF16-BF17</f>
        <v>501</v>
      </c>
      <c r="BG18" s="201" t="n">
        <f aca="false">BG15-BG16-BG17</f>
        <v>510</v>
      </c>
      <c r="BH18" s="201" t="n">
        <f aca="false">BH15-BH16-BH17</f>
        <v>519</v>
      </c>
      <c r="BI18" s="201" t="n">
        <f aca="false">BI15-BI16-BI17</f>
        <v>527</v>
      </c>
      <c r="BJ18" s="202" t="n">
        <f aca="false">BI18</f>
        <v>527</v>
      </c>
      <c r="BK18" s="51" t="s">
        <v>748</v>
      </c>
    </row>
    <row r="19" customFormat="false" ht="15" hidden="false" customHeight="true" outlineLevel="0" collapsed="false">
      <c r="A19" s="49" t="s">
        <v>721</v>
      </c>
      <c r="B19" s="201" t="n">
        <f aca="false" t="array" ref="B19:B19">IF(ROUND(B13*INDEX(Premissas!$C$67:$G$67,B$7),0)&gt;=Premissas!$B$68,ROUND(B13*INDEX(Premissas!$C$67:$G$67,B$7),0),0)</f>
        <v>0</v>
      </c>
      <c r="C19" s="201" t="n">
        <f aca="false" t="array" ref="C19:C19">IF(ROUND(C13*INDEX(Premissas!$C$67:$G$67,C$7),0)&gt;=Premissas!$B$68,ROUND(C13*INDEX(Premissas!$C$67:$G$67,C$7),0),0)</f>
        <v>0</v>
      </c>
      <c r="D19" s="201" t="n">
        <f aca="false" t="array" ref="D19:D19">IF(ROUND(D13*INDEX(Premissas!$C$67:$G$67,D$7),0)&gt;=Premissas!$B$68,ROUND(D13*INDEX(Premissas!$C$67:$G$67,D$7),0),0)</f>
        <v>0</v>
      </c>
      <c r="E19" s="201" t="n">
        <f aca="false" t="array" ref="E19:E19">IF(ROUND(E13*INDEX(Premissas!$C$67:$G$67,E$7),0)&gt;=Premissas!$B$68,ROUND(E13*INDEX(Premissas!$C$67:$G$67,E$7),0),0)</f>
        <v>0</v>
      </c>
      <c r="F19" s="201" t="n">
        <f aca="false" t="array" ref="F19:F19">IF(ROUND(F13*INDEX(Premissas!$C$67:$G$67,F$7),0)&gt;=Premissas!$B$68,ROUND(F13*INDEX(Premissas!$C$67:$G$67,F$7),0),0)</f>
        <v>0</v>
      </c>
      <c r="G19" s="201" t="n">
        <f aca="false" t="array" ref="G19:G19">IF(ROUND(G13*INDEX(Premissas!$C$67:$G$67,G$7),0)&gt;=Premissas!$B$68,ROUND(G13*INDEX(Premissas!$C$67:$G$67,G$7),0),0)</f>
        <v>0</v>
      </c>
      <c r="H19" s="201" t="n">
        <f aca="false" t="array" ref="H19:H19">IF(ROUND(H13*INDEX(Premissas!$C$67:$G$67,H$7),0)&gt;=Premissas!$B$68,ROUND(H13*INDEX(Premissas!$C$67:$G$67,H$7),0),0)</f>
        <v>0</v>
      </c>
      <c r="I19" s="201" t="n">
        <f aca="false" t="array" ref="I19:I19">IF(ROUND(I13*INDEX(Premissas!$C$67:$G$67,I$7),0)&gt;=Premissas!$B$68,ROUND(I13*INDEX(Premissas!$C$67:$G$67,I$7),0),0)</f>
        <v>0</v>
      </c>
      <c r="J19" s="201" t="n">
        <f aca="false" t="array" ref="J19:J19">IF(ROUND(J13*INDEX(Premissas!$C$67:$G$67,J$7),0)&gt;=Premissas!$B$68,ROUND(J13*INDEX(Premissas!$C$67:$G$67,J$7),0),0)</f>
        <v>0</v>
      </c>
      <c r="K19" s="201" t="n">
        <f aca="false" t="array" ref="K19:K19">IF(ROUND(K13*INDEX(Premissas!$C$67:$G$67,K$7),0)&gt;=Premissas!$B$68,ROUND(K13*INDEX(Premissas!$C$67:$G$67,K$7),0),0)</f>
        <v>0</v>
      </c>
      <c r="L19" s="201" t="n">
        <f aca="false" t="array" ref="L19:L19">IF(ROUND(L13*INDEX(Premissas!$C$67:$G$67,L$7),0)&gt;=Premissas!$B$68,ROUND(L13*INDEX(Premissas!$C$67:$G$67,L$7),0),0)</f>
        <v>0</v>
      </c>
      <c r="M19" s="201" t="n">
        <f aca="false" t="array" ref="M19:M19">IF(ROUND(M13*INDEX(Premissas!$C$67:$G$67,M$7),0)&gt;=Premissas!$B$68,ROUND(M13*INDEX(Premissas!$C$67:$G$67,M$7),0),0)</f>
        <v>0</v>
      </c>
      <c r="N19" s="201" t="n">
        <f aca="false" t="array" ref="N19:N19">IF(ROUND(N13*INDEX(Premissas!$C$67:$G$67,N$7),0)&gt;=Premissas!$B$68,ROUND(N13*INDEX(Premissas!$C$67:$G$67,N$7),0),0)</f>
        <v>0</v>
      </c>
      <c r="O19" s="201" t="n">
        <f aca="false" t="array" ref="O19:O19">IF(ROUND(O13*INDEX(Premissas!$C$67:$G$67,O$7),0)&gt;=Premissas!$B$68,ROUND(O13*INDEX(Premissas!$C$67:$G$67,O$7),0),0)</f>
        <v>0</v>
      </c>
      <c r="P19" s="201" t="n">
        <f aca="false" t="array" ref="P19:P19">IF(ROUND(P13*INDEX(Premissas!$C$67:$G$67,P$7),0)&gt;=Premissas!$B$68,ROUND(P13*INDEX(Premissas!$C$67:$G$67,P$7),0),0)</f>
        <v>0</v>
      </c>
      <c r="Q19" s="201" t="n">
        <f aca="false" t="array" ref="Q19:Q19">IF(ROUND(Q13*INDEX(Premissas!$C$67:$G$67,Q$7),0)&gt;=Premissas!$B$68,ROUND(Q13*INDEX(Premissas!$C$67:$G$67,Q$7),0),0)</f>
        <v>0</v>
      </c>
      <c r="R19" s="201" t="n">
        <f aca="false" t="array" ref="R19:R19">IF(ROUND(R13*INDEX(Premissas!$C$67:$G$67,R$7),0)&gt;=Premissas!$B$68,ROUND(R13*INDEX(Premissas!$C$67:$G$67,R$7),0),0)</f>
        <v>0</v>
      </c>
      <c r="S19" s="201" t="n">
        <f aca="false" t="array" ref="S19:S19">IF(ROUND(S13*INDEX(Premissas!$C$67:$G$67,S$7),0)&gt;=Premissas!$B$68,ROUND(S13*INDEX(Premissas!$C$67:$G$67,S$7),0),0)</f>
        <v>0</v>
      </c>
      <c r="T19" s="201" t="n">
        <f aca="false" t="array" ref="T19:T19">IF(ROUND(T13*INDEX(Premissas!$C$67:$G$67,T$7),0)&gt;=Premissas!$B$68,ROUND(T13*INDEX(Premissas!$C$67:$G$67,T$7),0),0)</f>
        <v>0</v>
      </c>
      <c r="U19" s="201" t="n">
        <f aca="false" t="array" ref="U19:U19">IF(ROUND(U13*INDEX(Premissas!$C$67:$G$67,U$7),0)&gt;=Premissas!$B$68,ROUND(U13*INDEX(Premissas!$C$67:$G$67,U$7),0),0)</f>
        <v>0</v>
      </c>
      <c r="V19" s="201" t="n">
        <f aca="false" t="array" ref="V19:V19">IF(ROUND(V13*INDEX(Premissas!$C$67:$G$67,V$7),0)&gt;=Premissas!$B$68,ROUND(V13*INDEX(Premissas!$C$67:$G$67,V$7),0),0)</f>
        <v>0</v>
      </c>
      <c r="W19" s="201" t="n">
        <f aca="false" t="array" ref="W19:W19">IF(ROUND(W13*INDEX(Premissas!$C$67:$G$67,W$7),0)&gt;=Premissas!$B$68,ROUND(W13*INDEX(Premissas!$C$67:$G$67,W$7),0),0)</f>
        <v>104607</v>
      </c>
      <c r="X19" s="201" t="n">
        <f aca="false" t="array" ref="X19:X19">IF(ROUND(X13*INDEX(Premissas!$C$67:$G$67,X$7),0)&gt;=Premissas!$B$68,ROUND(X13*INDEX(Premissas!$C$67:$G$67,X$7),0),0)</f>
        <v>109769</v>
      </c>
      <c r="Y19" s="201" t="n">
        <f aca="false" t="array" ref="Y19:Y19">IF(ROUND(Y13*INDEX(Premissas!$C$67:$G$67,Y$7),0)&gt;=Premissas!$B$68,ROUND(Y13*INDEX(Premissas!$C$67:$G$67,Y$7),0),0)</f>
        <v>114435</v>
      </c>
      <c r="Z19" s="201" t="n">
        <f aca="false" t="array" ref="Z19:Z19">IF(ROUND(Z13*INDEX(Premissas!$C$67:$G$67,Z$7),0)&gt;=Premissas!$B$68,ROUND(Z13*INDEX(Premissas!$C$67:$G$67,Z$7),0),0)</f>
        <v>125175</v>
      </c>
      <c r="AA19" s="201" t="n">
        <f aca="false" t="array" ref="AA19:AA19">IF(ROUND(AA13*INDEX(Premissas!$C$67:$G$67,AA$7),0)&gt;=Premissas!$B$68,ROUND(AA13*INDEX(Premissas!$C$67:$G$67,AA$7),0),0)</f>
        <v>134924</v>
      </c>
      <c r="AB19" s="201" t="n">
        <f aca="false" t="array" ref="AB19:AB19">IF(ROUND(AB13*INDEX(Premissas!$C$67:$G$67,AB$7),0)&gt;=Premissas!$B$68,ROUND(AB13*INDEX(Premissas!$C$67:$G$67,AB$7),0),0)</f>
        <v>143775</v>
      </c>
      <c r="AC19" s="201" t="n">
        <f aca="false" t="array" ref="AC19:AC19">IF(ROUND(AC13*INDEX(Premissas!$C$67:$G$67,AC$7),0)&gt;=Premissas!$B$68,ROUND(AC13*INDEX(Premissas!$C$67:$G$67,AC$7),0),0)</f>
        <v>151810</v>
      </c>
      <c r="AD19" s="201" t="n">
        <f aca="false" t="array" ref="AD19:AD19">IF(ROUND(AD13*INDEX(Premissas!$C$67:$G$67,AD$7),0)&gt;=Premissas!$B$68,ROUND(AD13*INDEX(Premissas!$C$67:$G$67,AD$7),0),0)</f>
        <v>159105</v>
      </c>
      <c r="AE19" s="201" t="n">
        <f aca="false" t="array" ref="AE19:AE19">IF(ROUND(AE13*INDEX(Premissas!$C$67:$G$67,AE$7),0)&gt;=Premissas!$B$68,ROUND(AE13*INDEX(Premissas!$C$67:$G$67,AE$7),0),0)</f>
        <v>165728</v>
      </c>
      <c r="AF19" s="201" t="n">
        <f aca="false" t="array" ref="AF19:AF19">IF(ROUND(AF13*INDEX(Premissas!$C$67:$G$67,AF$7),0)&gt;=Premissas!$B$68,ROUND(AF13*INDEX(Premissas!$C$67:$G$67,AF$7),0),0)</f>
        <v>171740</v>
      </c>
      <c r="AG19" s="201" t="n">
        <f aca="false" t="array" ref="AG19:AG19">IF(ROUND(AG13*INDEX(Premissas!$C$67:$G$67,AG$7),0)&gt;=Premissas!$B$68,ROUND(AG13*INDEX(Premissas!$C$67:$G$67,AG$7),0),0)</f>
        <v>177198</v>
      </c>
      <c r="AH19" s="201" t="n">
        <f aca="false" t="array" ref="AH19:AH19">IF(ROUND(AH13*INDEX(Premissas!$C$67:$G$67,AH$7),0)&gt;=Premissas!$B$68,ROUND(AH13*INDEX(Premissas!$C$67:$G$67,AH$7),0),0)</f>
        <v>182153</v>
      </c>
      <c r="AI19" s="201" t="n">
        <f aca="false" t="array" ref="AI19:AI19">IF(ROUND(AI13*INDEX(Premissas!$C$67:$G$67,AI$7),0)&gt;=Premissas!$B$68,ROUND(AI13*INDEX(Premissas!$C$67:$G$67,AI$7),0),0)</f>
        <v>186651</v>
      </c>
      <c r="AJ19" s="201" t="n">
        <f aca="false" t="array" ref="AJ19:AJ19">IF(ROUND(AJ13*INDEX(Premissas!$C$67:$G$67,AJ$7),0)&gt;=Premissas!$B$68,ROUND(AJ13*INDEX(Premissas!$C$67:$G$67,AJ$7),0),0)</f>
        <v>190735</v>
      </c>
      <c r="AK19" s="201" t="n">
        <f aca="false" t="array" ref="AK19:AK19">IF(ROUND(AK13*INDEX(Premissas!$C$67:$G$67,AK$7),0)&gt;=Premissas!$B$68,ROUND(AK13*INDEX(Premissas!$C$67:$G$67,AK$7),0),0)</f>
        <v>194443</v>
      </c>
      <c r="AL19" s="201" t="n">
        <f aca="false" t="array" ref="AL19:AL19">IF(ROUND(AL13*INDEX(Premissas!$C$67:$G$67,AL$7),0)&gt;=Premissas!$B$68,ROUND(AL13*INDEX(Premissas!$C$67:$G$67,AL$7),0),0)</f>
        <v>207039</v>
      </c>
      <c r="AM19" s="201" t="n">
        <f aca="false" t="array" ref="AM19:AM19">IF(ROUND(AM13*INDEX(Premissas!$C$67:$G$67,AM$7),0)&gt;=Premissas!$B$68,ROUND(AM13*INDEX(Premissas!$C$67:$G$67,AM$7),0),0)</f>
        <v>218522</v>
      </c>
      <c r="AN19" s="201" t="n">
        <f aca="false" t="array" ref="AN19:AN19">IF(ROUND(AN13*INDEX(Premissas!$C$67:$G$67,AN$7),0)&gt;=Premissas!$B$68,ROUND(AN13*INDEX(Premissas!$C$67:$G$67,AN$7),0),0)</f>
        <v>228988</v>
      </c>
      <c r="AO19" s="201" t="n">
        <f aca="false" t="array" ref="AO19:AO19">IF(ROUND(AO13*INDEX(Premissas!$C$67:$G$67,AO$7),0)&gt;=Premissas!$B$68,ROUND(AO13*INDEX(Premissas!$C$67:$G$67,AO$7),0),0)</f>
        <v>238529</v>
      </c>
      <c r="AP19" s="201" t="n">
        <f aca="false" t="array" ref="AP19:AP19">IF(ROUND(AP13*INDEX(Premissas!$C$67:$G$67,AP$7),0)&gt;=Premissas!$B$68,ROUND(AP13*INDEX(Premissas!$C$67:$G$67,AP$7),0),0)</f>
        <v>247225</v>
      </c>
      <c r="AQ19" s="201" t="n">
        <f aca="false" t="array" ref="AQ19:AQ19">IF(ROUND(AQ13*INDEX(Premissas!$C$67:$G$67,AQ$7),0)&gt;=Premissas!$B$68,ROUND(AQ13*INDEX(Premissas!$C$67:$G$67,AQ$7),0),0)</f>
        <v>255152</v>
      </c>
      <c r="AR19" s="201" t="n">
        <f aca="false" t="array" ref="AR19:AR19">IF(ROUND(AR13*INDEX(Premissas!$C$67:$G$67,AR$7),0)&gt;=Premissas!$B$68,ROUND(AR13*INDEX(Premissas!$C$67:$G$67,AR$7),0),0)</f>
        <v>262377</v>
      </c>
      <c r="AS19" s="201" t="n">
        <f aca="false" t="array" ref="AS19:AS19">IF(ROUND(AS13*INDEX(Premissas!$C$67:$G$67,AS$7),0)&gt;=Premissas!$B$68,ROUND(AS13*INDEX(Premissas!$C$67:$G$67,AS$7),0),0)</f>
        <v>268964</v>
      </c>
      <c r="AT19" s="201" t="n">
        <f aca="false" t="array" ref="AT19:AT19">IF(ROUND(AT13*INDEX(Premissas!$C$67:$G$67,AT$7),0)&gt;=Premissas!$B$68,ROUND(AT13*INDEX(Premissas!$C$67:$G$67,AT$7),0),0)</f>
        <v>274967</v>
      </c>
      <c r="AU19" s="201" t="n">
        <f aca="false" t="array" ref="AU19:AU19">IF(ROUND(AU13*INDEX(Premissas!$C$67:$G$67,AU$7),0)&gt;=Premissas!$B$68,ROUND(AU13*INDEX(Premissas!$C$67:$G$67,AU$7),0),0)</f>
        <v>280440</v>
      </c>
      <c r="AV19" s="201" t="n">
        <f aca="false" t="array" ref="AV19:AV19">IF(ROUND(AV13*INDEX(Premissas!$C$67:$G$67,AV$7),0)&gt;=Premissas!$B$68,ROUND(AV13*INDEX(Premissas!$C$67:$G$67,AV$7),0),0)</f>
        <v>285428</v>
      </c>
      <c r="AW19" s="201" t="n">
        <f aca="false" t="array" ref="AW19:AW19">IF(ROUND(AW13*INDEX(Premissas!$C$67:$G$67,AW$7),0)&gt;=Premissas!$B$68,ROUND(AW13*INDEX(Premissas!$C$67:$G$67,AW$7),0),0)</f>
        <v>289975</v>
      </c>
      <c r="AX19" s="201" t="n">
        <f aca="false" t="array" ref="AX19:AX19">IF(ROUND(AX13*INDEX(Premissas!$C$67:$G$67,AX$7),0)&gt;=Premissas!$B$68,ROUND(AX13*INDEX(Premissas!$C$67:$G$67,AX$7),0),0)</f>
        <v>307066</v>
      </c>
      <c r="AY19" s="201" t="n">
        <f aca="false" t="array" ref="AY19:AY19">IF(ROUND(AY13*INDEX(Premissas!$C$67:$G$67,AY$7),0)&gt;=Premissas!$B$68,ROUND(AY13*INDEX(Premissas!$C$67:$G$67,AY$7),0),0)</f>
        <v>322705</v>
      </c>
      <c r="AZ19" s="201" t="n">
        <f aca="false" t="array" ref="AZ19:AZ19">IF(ROUND(AZ13*INDEX(Premissas!$C$67:$G$67,AZ$7),0)&gt;=Premissas!$B$68,ROUND(AZ13*INDEX(Premissas!$C$67:$G$67,AZ$7),0),0)</f>
        <v>337016</v>
      </c>
      <c r="BA19" s="201" t="n">
        <f aca="false" t="array" ref="BA19:BA19">IF(ROUND(BA13*INDEX(Premissas!$C$67:$G$67,BA$7),0)&gt;=Premissas!$B$68,ROUND(BA13*INDEX(Premissas!$C$67:$G$67,BA$7),0),0)</f>
        <v>350112</v>
      </c>
      <c r="BB19" s="201" t="n">
        <f aca="false" t="array" ref="BB19:BB19">IF(ROUND(BB13*INDEX(Premissas!$C$67:$G$67,BB$7),0)&gt;=Premissas!$B$68,ROUND(BB13*INDEX(Premissas!$C$67:$G$67,BB$7),0),0)</f>
        <v>362095</v>
      </c>
      <c r="BC19" s="201" t="n">
        <f aca="false" t="array" ref="BC19:BC19">IF(ROUND(BC13*INDEX(Premissas!$C$67:$G$67,BC$7),0)&gt;=Premissas!$B$68,ROUND(BC13*INDEX(Premissas!$C$67:$G$67,BC$7),0),0)</f>
        <v>373060</v>
      </c>
      <c r="BD19" s="201" t="n">
        <f aca="false" t="array" ref="BD19:BD19">IF(ROUND(BD13*INDEX(Premissas!$C$67:$G$67,BD$7),0)&gt;=Premissas!$B$68,ROUND(BD13*INDEX(Premissas!$C$67:$G$67,BD$7),0),0)</f>
        <v>383094</v>
      </c>
      <c r="BE19" s="201" t="n">
        <f aca="false" t="array" ref="BE19:BE19">IF(ROUND(BE13*INDEX(Premissas!$C$67:$G$67,BE$7),0)&gt;=Premissas!$B$68,ROUND(BE13*INDEX(Premissas!$C$67:$G$67,BE$7),0),0)</f>
        <v>392276</v>
      </c>
      <c r="BF19" s="201" t="n">
        <f aca="false" t="array" ref="BF19:BF19">IF(ROUND(BF13*INDEX(Premissas!$C$67:$G$67,BF$7),0)&gt;=Premissas!$B$68,ROUND(BF13*INDEX(Premissas!$C$67:$G$67,BF$7),0),0)</f>
        <v>400678</v>
      </c>
      <c r="BG19" s="201" t="n">
        <f aca="false" t="array" ref="BG19:BG19">IF(ROUND(BG13*INDEX(Premissas!$C$67:$G$67,BG$7),0)&gt;=Premissas!$B$68,ROUND(BG13*INDEX(Premissas!$C$67:$G$67,BG$7),0),0)</f>
        <v>408366</v>
      </c>
      <c r="BH19" s="201" t="n">
        <f aca="false" t="array" ref="BH19:BH19">IF(ROUND(BH13*INDEX(Premissas!$C$67:$G$67,BH$7),0)&gt;=Premissas!$B$68,ROUND(BH13*INDEX(Premissas!$C$67:$G$67,BH$7),0),0)</f>
        <v>415402</v>
      </c>
      <c r="BI19" s="201" t="n">
        <f aca="false" t="array" ref="BI19:BI19">IF(ROUND(BI13*INDEX(Premissas!$C$67:$G$67,BI$7),0)&gt;=Premissas!$B$68,ROUND(BI13*INDEX(Premissas!$C$67:$G$67,BI$7),0),0)</f>
        <v>421839</v>
      </c>
      <c r="BJ19" s="202" t="n">
        <f aca="false">BI19</f>
        <v>421839</v>
      </c>
    </row>
    <row r="20" customFormat="false" ht="15" hidden="false" customHeight="true" outlineLevel="0" collapsed="false">
      <c r="A20" s="49" t="s">
        <v>750</v>
      </c>
      <c r="B20" s="168" t="n">
        <f aca="false">B16*Premissas!$B$29*(1+Premissas!$B$32)^(B$6-2026)</f>
        <v>0</v>
      </c>
      <c r="C20" s="168" t="n">
        <f aca="false">C16*Premissas!$B$29*(1+Premissas!$B$32)^(C$6-2026)</f>
        <v>0</v>
      </c>
      <c r="D20" s="168" t="n">
        <f aca="false">D16*Premissas!$B$29*(1+Premissas!$B$32)^(D$6-2026)</f>
        <v>0</v>
      </c>
      <c r="E20" s="168" t="n">
        <f aca="false">E16*Premissas!$B$29*(1+Premissas!$B$32)^(E$6-2026)</f>
        <v>0</v>
      </c>
      <c r="F20" s="168" t="n">
        <f aca="false">F16*Premissas!$B$29*(1+Premissas!$B$32)^(F$6-2026)</f>
        <v>0</v>
      </c>
      <c r="G20" s="168" t="n">
        <f aca="false">G16*Premissas!$B$29*(1+Premissas!$B$32)^(G$6-2026)</f>
        <v>0</v>
      </c>
      <c r="H20" s="168" t="n">
        <f aca="false">H16*Premissas!$B$29*(1+Premissas!$B$32)^(H$6-2026)</f>
        <v>0</v>
      </c>
      <c r="I20" s="168" t="n">
        <f aca="false">I16*Premissas!$B$29*(1+Premissas!$B$32)^(I$6-2026)</f>
        <v>0</v>
      </c>
      <c r="J20" s="168" t="n">
        <f aca="false">J16*Premissas!$B$29*(1+Premissas!$B$32)^(J$6-2026)</f>
        <v>0</v>
      </c>
      <c r="K20" s="168" t="n">
        <f aca="false">K16*Premissas!$B$29*(1+Premissas!$B$32)^(K$6-2026)</f>
        <v>0</v>
      </c>
      <c r="L20" s="168" t="n">
        <f aca="false">L16*Premissas!$B$29*(1+Premissas!$B$32)^(L$6-2026)</f>
        <v>0</v>
      </c>
      <c r="M20" s="168" t="n">
        <f aca="false">M16*Premissas!$B$29*(1+Premissas!$B$32)^(M$6-2026)</f>
        <v>1438.2</v>
      </c>
      <c r="N20" s="168" t="n">
        <f aca="false">N16*Premissas!$B$29*(1+Premissas!$B$32)^(N$6-2026)</f>
        <v>6711.6</v>
      </c>
      <c r="O20" s="168" t="n">
        <f aca="false">O16*Premissas!$B$29*(1+Premissas!$B$32)^(O$6-2026)</f>
        <v>15260.9</v>
      </c>
      <c r="P20" s="168" t="n">
        <f aca="false">P16*Premissas!$B$29*(1+Premissas!$B$32)^(P$6-2026)</f>
        <v>26606.7</v>
      </c>
      <c r="Q20" s="168" t="n">
        <f aca="false">Q16*Premissas!$B$29*(1+Premissas!$B$32)^(Q$6-2026)</f>
        <v>40269.6</v>
      </c>
      <c r="R20" s="168" t="n">
        <f aca="false">R16*Premissas!$B$29*(1+Premissas!$B$32)^(R$6-2026)</f>
        <v>55930</v>
      </c>
      <c r="S20" s="168" t="n">
        <f aca="false">S16*Premissas!$B$29*(1+Premissas!$B$32)^(S$6-2026)</f>
        <v>62801.4</v>
      </c>
      <c r="T20" s="168" t="n">
        <f aca="false">T16*Premissas!$B$29*(1+Premissas!$B$32)^(T$6-2026)</f>
        <v>69113.5</v>
      </c>
      <c r="U20" s="168" t="n">
        <f aca="false">U16*Premissas!$B$29*(1+Premissas!$B$32)^(U$6-2026)</f>
        <v>74706.5</v>
      </c>
      <c r="V20" s="168" t="n">
        <f aca="false">V16*Premissas!$B$29*(1+Premissas!$B$32)^(V$6-2026)</f>
        <v>79820.1</v>
      </c>
      <c r="W20" s="168" t="n">
        <f aca="false">W16*Premissas!$B$29*(1+Premissas!$B$32)^(W$6-2026)</f>
        <v>84454.3</v>
      </c>
      <c r="X20" s="168" t="n">
        <f aca="false">X16*Premissas!$B$29*(1+Premissas!$B$32)^(X$6-2026)</f>
        <v>88609.1</v>
      </c>
      <c r="Y20" s="168" t="n">
        <f aca="false">Y16*Premissas!$B$29*(1+Premissas!$B$32)^(Y$6-2026)</f>
        <v>92364.4</v>
      </c>
      <c r="Z20" s="168" t="n">
        <f aca="false">Z16*Premissas!$B$29*(1+Premissas!$B$32)^(Z$6-2026)</f>
        <v>69353.2</v>
      </c>
      <c r="AA20" s="168" t="n">
        <f aca="false">AA16*Premissas!$B$29*(1+Premissas!$B$32)^(AA$6-2026)</f>
        <v>74786.4</v>
      </c>
      <c r="AB20" s="168" t="n">
        <f aca="false">AB16*Premissas!$B$29*(1+Premissas!$B$32)^(AB$6-2026)</f>
        <v>79740.2</v>
      </c>
      <c r="AC20" s="168" t="n">
        <f aca="false">AC16*Premissas!$B$29*(1+Premissas!$B$32)^(AC$6-2026)</f>
        <v>84134.7</v>
      </c>
      <c r="AD20" s="168" t="n">
        <f aca="false">AD16*Premissas!$B$29*(1+Premissas!$B$32)^(AD$6-2026)</f>
        <v>88209.6</v>
      </c>
      <c r="AE20" s="168" t="n">
        <f aca="false">AE16*Premissas!$B$29*(1+Premissas!$B$32)^(AE$6-2026)</f>
        <v>91885</v>
      </c>
      <c r="AF20" s="168" t="n">
        <f aca="false">AF16*Premissas!$B$29*(1+Premissas!$B$32)^(AF$6-2026)</f>
        <v>95160.9</v>
      </c>
      <c r="AG20" s="168" t="n">
        <f aca="false">AG16*Premissas!$B$29*(1+Premissas!$B$32)^(AG$6-2026)</f>
        <v>98197.1</v>
      </c>
      <c r="AH20" s="168" t="n">
        <f aca="false">AH16*Premissas!$B$29*(1+Premissas!$B$32)^(AH$6-2026)</f>
        <v>100913.7</v>
      </c>
      <c r="AI20" s="168" t="n">
        <f aca="false">AI16*Premissas!$B$29*(1+Premissas!$B$32)^(AI$6-2026)</f>
        <v>103470.5</v>
      </c>
      <c r="AJ20" s="168" t="n">
        <f aca="false">AJ16*Premissas!$B$29*(1+Premissas!$B$32)^(AJ$6-2026)</f>
        <v>105707.7</v>
      </c>
      <c r="AK20" s="168" t="n">
        <f aca="false">AK16*Premissas!$B$29*(1+Premissas!$B$32)^(AK$6-2026)</f>
        <v>107785.1</v>
      </c>
      <c r="AL20" s="168" t="n">
        <f aca="false">AL16*Premissas!$B$29*(1+Premissas!$B$32)^(AL$6-2026)</f>
        <v>109063.5</v>
      </c>
      <c r="AM20" s="168" t="n">
        <f aca="false">AM16*Premissas!$B$29*(1+Premissas!$B$32)^(AM$6-2026)</f>
        <v>115135.9</v>
      </c>
      <c r="AN20" s="168" t="n">
        <f aca="false">AN16*Premissas!$B$29*(1+Premissas!$B$32)^(AN$6-2026)</f>
        <v>120649</v>
      </c>
      <c r="AO20" s="168" t="n">
        <f aca="false">AO16*Premissas!$B$29*(1+Premissas!$B$32)^(AO$6-2026)</f>
        <v>125682.7</v>
      </c>
      <c r="AP20" s="168" t="n">
        <f aca="false">AP16*Premissas!$B$29*(1+Premissas!$B$32)^(AP$6-2026)</f>
        <v>130237</v>
      </c>
      <c r="AQ20" s="168" t="n">
        <f aca="false">AQ16*Premissas!$B$29*(1+Premissas!$B$32)^(AQ$6-2026)</f>
        <v>134471.7</v>
      </c>
      <c r="AR20" s="168" t="n">
        <f aca="false">AR16*Premissas!$B$29*(1+Premissas!$B$32)^(AR$6-2026)</f>
        <v>138227</v>
      </c>
      <c r="AS20" s="168" t="n">
        <f aca="false">AS16*Premissas!$B$29*(1+Premissas!$B$32)^(AS$6-2026)</f>
        <v>141662.7</v>
      </c>
      <c r="AT20" s="168" t="n">
        <f aca="false">AT16*Premissas!$B$29*(1+Premissas!$B$32)^(AT$6-2026)</f>
        <v>144858.7</v>
      </c>
      <c r="AU20" s="168" t="n">
        <f aca="false">AU16*Premissas!$B$29*(1+Premissas!$B$32)^(AU$6-2026)</f>
        <v>147735.1</v>
      </c>
      <c r="AV20" s="168" t="n">
        <f aca="false">AV16*Premissas!$B$29*(1+Premissas!$B$32)^(AV$6-2026)</f>
        <v>150371.8</v>
      </c>
      <c r="AW20" s="168" t="n">
        <f aca="false">AW16*Premissas!$B$29*(1+Premissas!$B$32)^(AW$6-2026)</f>
        <v>152768.8</v>
      </c>
      <c r="AX20" s="168" t="n">
        <f aca="false">AX16*Premissas!$B$29*(1+Premissas!$B$32)^(AX$6-2026)</f>
        <v>153168.3</v>
      </c>
      <c r="AY20" s="168" t="n">
        <f aca="false">AY16*Premissas!$B$29*(1+Premissas!$B$32)^(AY$6-2026)</f>
        <v>160998.5</v>
      </c>
      <c r="AZ20" s="168" t="n">
        <f aca="false">AZ16*Premissas!$B$29*(1+Premissas!$B$32)^(AZ$6-2026)</f>
        <v>168109.6</v>
      </c>
      <c r="BA20" s="168" t="n">
        <f aca="false">BA16*Premissas!$B$29*(1+Premissas!$B$32)^(BA$6-2026)</f>
        <v>174661.4</v>
      </c>
      <c r="BB20" s="168" t="n">
        <f aca="false">BB16*Premissas!$B$29*(1+Premissas!$B$32)^(BB$6-2026)</f>
        <v>180653.9</v>
      </c>
      <c r="BC20" s="168" t="n">
        <f aca="false">BC16*Premissas!$B$29*(1+Premissas!$B$32)^(BC$6-2026)</f>
        <v>186087.1</v>
      </c>
      <c r="BD20" s="168" t="n">
        <f aca="false">BD16*Premissas!$B$29*(1+Premissas!$B$32)^(BD$6-2026)</f>
        <v>191120.8</v>
      </c>
      <c r="BE20" s="168" t="n">
        <f aca="false">BE16*Premissas!$B$29*(1+Premissas!$B$32)^(BE$6-2026)</f>
        <v>195675.1</v>
      </c>
      <c r="BF20" s="168" t="n">
        <f aca="false">BF16*Premissas!$B$29*(1+Premissas!$B$32)^(BF$6-2026)</f>
        <v>199829.9</v>
      </c>
      <c r="BG20" s="168" t="n">
        <f aca="false">BG16*Premissas!$B$29*(1+Premissas!$B$32)^(BG$6-2026)</f>
        <v>203665.1</v>
      </c>
      <c r="BH20" s="168" t="n">
        <f aca="false">BH16*Premissas!$B$29*(1+Premissas!$B$32)^(BH$6-2026)</f>
        <v>207260.6</v>
      </c>
      <c r="BI20" s="168" t="n">
        <f aca="false">BI16*Premissas!$B$29*(1+Premissas!$B$32)^(BI$6-2026)</f>
        <v>210456.6</v>
      </c>
      <c r="BJ20" s="154" t="n">
        <f aca="false">SUM(B20:BI20)</f>
        <v>5639981.2</v>
      </c>
    </row>
    <row r="21" customFormat="false" ht="15.75" hidden="false" customHeight="true" outlineLevel="0" collapsed="false">
      <c r="A21" s="49" t="s">
        <v>751</v>
      </c>
      <c r="B21" s="168" t="n">
        <f aca="false">B17*Premissas!$B$30*(1+Premissas!$B$32)^(B$6-2026)</f>
        <v>0</v>
      </c>
      <c r="C21" s="168" t="n">
        <f aca="false">C17*Premissas!$B$30*(1+Premissas!$B$32)^(C$6-2026)</f>
        <v>0</v>
      </c>
      <c r="D21" s="168" t="n">
        <f aca="false">D17*Premissas!$B$30*(1+Premissas!$B$32)^(D$6-2026)</f>
        <v>0</v>
      </c>
      <c r="E21" s="168" t="n">
        <f aca="false">E17*Premissas!$B$30*(1+Premissas!$B$32)^(E$6-2026)</f>
        <v>0</v>
      </c>
      <c r="F21" s="168" t="n">
        <f aca="false">F17*Premissas!$B$30*(1+Premissas!$B$32)^(F$6-2026)</f>
        <v>0</v>
      </c>
      <c r="G21" s="168" t="n">
        <f aca="false">G17*Premissas!$B$30*(1+Premissas!$B$32)^(G$6-2026)</f>
        <v>0</v>
      </c>
      <c r="H21" s="168" t="n">
        <f aca="false">H17*Premissas!$B$30*(1+Premissas!$B$32)^(H$6-2026)</f>
        <v>0</v>
      </c>
      <c r="I21" s="168" t="n">
        <f aca="false">I17*Premissas!$B$30*(1+Premissas!$B$32)^(I$6-2026)</f>
        <v>0</v>
      </c>
      <c r="J21" s="168" t="n">
        <f aca="false">J17*Premissas!$B$30*(1+Premissas!$B$32)^(J$6-2026)</f>
        <v>0</v>
      </c>
      <c r="K21" s="168" t="n">
        <f aca="false">K17*Premissas!$B$30*(1+Premissas!$B$32)^(K$6-2026)</f>
        <v>0</v>
      </c>
      <c r="L21" s="168" t="n">
        <f aca="false">L17*Premissas!$B$30*(1+Premissas!$B$32)^(L$6-2026)</f>
        <v>0</v>
      </c>
      <c r="M21" s="168" t="n">
        <f aca="false">M17*Premissas!$B$30*(1+Premissas!$B$32)^(M$6-2026)</f>
        <v>0</v>
      </c>
      <c r="N21" s="168" t="n">
        <f aca="false">N17*Premissas!$B$30*(1+Premissas!$B$32)^(N$6-2026)</f>
        <v>0</v>
      </c>
      <c r="O21" s="168" t="n">
        <f aca="false">O17*Premissas!$B$30*(1+Premissas!$B$32)^(O$6-2026)</f>
        <v>0</v>
      </c>
      <c r="P21" s="168" t="n">
        <f aca="false">P17*Premissas!$B$30*(1+Premissas!$B$32)^(P$6-2026)</f>
        <v>0</v>
      </c>
      <c r="Q21" s="168" t="n">
        <f aca="false">Q17*Premissas!$B$30*(1+Premissas!$B$32)^(Q$6-2026)</f>
        <v>0</v>
      </c>
      <c r="R21" s="168" t="n">
        <f aca="false">R17*Premissas!$B$30*(1+Premissas!$B$32)^(R$6-2026)</f>
        <v>0</v>
      </c>
      <c r="S21" s="168" t="n">
        <f aca="false">S17*Premissas!$B$30*(1+Premissas!$B$32)^(S$6-2026)</f>
        <v>0</v>
      </c>
      <c r="T21" s="168" t="n">
        <f aca="false">T17*Premissas!$B$30*(1+Premissas!$B$32)^(T$6-2026)</f>
        <v>0</v>
      </c>
      <c r="U21" s="168" t="n">
        <f aca="false">U17*Premissas!$B$30*(1+Premissas!$B$32)^(U$6-2026)</f>
        <v>0</v>
      </c>
      <c r="V21" s="168" t="n">
        <f aca="false">V17*Premissas!$B$30*(1+Premissas!$B$32)^(V$6-2026)</f>
        <v>0</v>
      </c>
      <c r="W21" s="168" t="n">
        <f aca="false">W17*Premissas!$B$30*(1+Premissas!$B$32)^(W$6-2026)</f>
        <v>0</v>
      </c>
      <c r="X21" s="168" t="n">
        <f aca="false">X17*Premissas!$B$30*(1+Premissas!$B$32)^(X$6-2026)</f>
        <v>0</v>
      </c>
      <c r="Y21" s="168" t="n">
        <f aca="false">Y17*Premissas!$B$30*(1+Premissas!$B$32)^(Y$6-2026)</f>
        <v>0</v>
      </c>
      <c r="Z21" s="168" t="n">
        <f aca="false">Z17*Premissas!$B$30*(1+Premissas!$B$32)^(Z$6-2026)</f>
        <v>27509.4</v>
      </c>
      <c r="AA21" s="168" t="n">
        <f aca="false">AA17*Premissas!$B$30*(1+Premissas!$B$32)^(AA$6-2026)</f>
        <v>29667</v>
      </c>
      <c r="AB21" s="168" t="n">
        <f aca="false">AB17*Premissas!$B$30*(1+Premissas!$B$32)^(AB$6-2026)</f>
        <v>31644.8</v>
      </c>
      <c r="AC21" s="168" t="n">
        <f aca="false">AC17*Premissas!$B$30*(1+Premissas!$B$32)^(AC$6-2026)</f>
        <v>33442.8</v>
      </c>
      <c r="AD21" s="168" t="n">
        <f aca="false">AD17*Premissas!$B$30*(1+Premissas!$B$32)^(AD$6-2026)</f>
        <v>35061</v>
      </c>
      <c r="AE21" s="168" t="n">
        <f aca="false">AE17*Premissas!$B$30*(1+Premissas!$B$32)^(AE$6-2026)</f>
        <v>36499.4</v>
      </c>
      <c r="AF21" s="168" t="n">
        <f aca="false">AF17*Premissas!$B$30*(1+Premissas!$B$32)^(AF$6-2026)</f>
        <v>37758</v>
      </c>
      <c r="AG21" s="168" t="n">
        <f aca="false">AG17*Premissas!$B$30*(1+Premissas!$B$32)^(AG$6-2026)</f>
        <v>39016.6</v>
      </c>
      <c r="AH21" s="168" t="n">
        <f aca="false">AH17*Premissas!$B$30*(1+Premissas!$B$32)^(AH$6-2026)</f>
        <v>40095.4</v>
      </c>
      <c r="AI21" s="168" t="n">
        <f aca="false">AI17*Premissas!$B$30*(1+Premissas!$B$32)^(AI$6-2026)</f>
        <v>41084.3</v>
      </c>
      <c r="AJ21" s="168" t="n">
        <f aca="false">AJ17*Premissas!$B$30*(1+Premissas!$B$32)^(AJ$6-2026)</f>
        <v>41983.3</v>
      </c>
      <c r="AK21" s="168" t="n">
        <f aca="false">AK17*Premissas!$B$30*(1+Premissas!$B$32)^(AK$6-2026)</f>
        <v>42792.4</v>
      </c>
      <c r="AL21" s="168" t="n">
        <f aca="false">AL17*Premissas!$B$30*(1+Premissas!$B$32)^(AL$6-2026)</f>
        <v>49894.5</v>
      </c>
      <c r="AM21" s="168" t="n">
        <f aca="false">AM17*Premissas!$B$30*(1+Premissas!$B$32)^(AM$6-2026)</f>
        <v>52591.5</v>
      </c>
      <c r="AN21" s="168" t="n">
        <f aca="false">AN17*Premissas!$B$30*(1+Premissas!$B$32)^(AN$6-2026)</f>
        <v>55108.7</v>
      </c>
      <c r="AO21" s="168" t="n">
        <f aca="false">AO17*Premissas!$B$30*(1+Premissas!$B$32)^(AO$6-2026)</f>
        <v>57446.1</v>
      </c>
      <c r="AP21" s="168" t="n">
        <f aca="false">AP17*Premissas!$B$30*(1+Premissas!$B$32)^(AP$6-2026)</f>
        <v>59513.8</v>
      </c>
      <c r="AQ21" s="168" t="n">
        <f aca="false">AQ17*Premissas!$B$30*(1+Premissas!$B$32)^(AQ$6-2026)</f>
        <v>61491.6</v>
      </c>
      <c r="AR21" s="168" t="n">
        <f aca="false">AR17*Premissas!$B$30*(1+Premissas!$B$32)^(AR$6-2026)</f>
        <v>63199.7</v>
      </c>
      <c r="AS21" s="168" t="n">
        <f aca="false">AS17*Premissas!$B$30*(1+Premissas!$B$32)^(AS$6-2026)</f>
        <v>64728</v>
      </c>
      <c r="AT21" s="168" t="n">
        <f aca="false">AT17*Premissas!$B$30*(1+Premissas!$B$32)^(AT$6-2026)</f>
        <v>66256.3</v>
      </c>
      <c r="AU21" s="168" t="n">
        <f aca="false">AU17*Premissas!$B$30*(1+Premissas!$B$32)^(AU$6-2026)</f>
        <v>67514.9</v>
      </c>
      <c r="AV21" s="168" t="n">
        <f aca="false">AV17*Premissas!$B$30*(1+Premissas!$B$32)^(AV$6-2026)</f>
        <v>68773.5</v>
      </c>
      <c r="AW21" s="168" t="n">
        <f aca="false">AW17*Premissas!$B$30*(1+Premissas!$B$32)^(AW$6-2026)</f>
        <v>69852.3</v>
      </c>
      <c r="AX21" s="168" t="n">
        <f aca="false">AX17*Premissas!$B$30*(1+Premissas!$B$32)^(AX$6-2026)</f>
        <v>80460.5</v>
      </c>
      <c r="AY21" s="168" t="n">
        <f aca="false">AY17*Premissas!$B$30*(1+Premissas!$B$32)^(AY$6-2026)</f>
        <v>84506</v>
      </c>
      <c r="AZ21" s="168" t="n">
        <f aca="false">AZ17*Premissas!$B$30*(1+Premissas!$B$32)^(AZ$6-2026)</f>
        <v>88281.8</v>
      </c>
      <c r="BA21" s="168" t="n">
        <f aca="false">BA17*Premissas!$B$30*(1+Premissas!$B$32)^(BA$6-2026)</f>
        <v>91698</v>
      </c>
      <c r="BB21" s="168" t="n">
        <f aca="false">BB17*Premissas!$B$30*(1+Premissas!$B$32)^(BB$6-2026)</f>
        <v>94844.5</v>
      </c>
      <c r="BC21" s="168" t="n">
        <f aca="false">BC17*Premissas!$B$30*(1+Premissas!$B$32)^(BC$6-2026)</f>
        <v>97721.3</v>
      </c>
      <c r="BD21" s="168" t="n">
        <f aca="false">BD17*Premissas!$B$30*(1+Premissas!$B$32)^(BD$6-2026)</f>
        <v>100328.4</v>
      </c>
      <c r="BE21" s="168" t="n">
        <f aca="false">BE17*Premissas!$B$30*(1+Premissas!$B$32)^(BE$6-2026)</f>
        <v>102755.7</v>
      </c>
      <c r="BF21" s="168" t="n">
        <f aca="false">BF17*Premissas!$B$30*(1+Premissas!$B$32)^(BF$6-2026)</f>
        <v>104913.3</v>
      </c>
      <c r="BG21" s="168" t="n">
        <f aca="false">BG17*Premissas!$B$30*(1+Premissas!$B$32)^(BG$6-2026)</f>
        <v>106981</v>
      </c>
      <c r="BH21" s="168" t="n">
        <f aca="false">BH17*Premissas!$B$30*(1+Premissas!$B$32)^(BH$6-2026)</f>
        <v>108779</v>
      </c>
      <c r="BI21" s="168" t="n">
        <f aca="false">BI17*Premissas!$B$30*(1+Premissas!$B$32)^(BI$6-2026)</f>
        <v>110487.1</v>
      </c>
      <c r="BJ21" s="154" t="n">
        <f aca="false">SUM(B21:BI21)</f>
        <v>2344681.9</v>
      </c>
    </row>
    <row r="22" customFormat="false" ht="15.75" hidden="false" customHeight="true" outlineLevel="0" collapsed="false">
      <c r="A22" s="49" t="s">
        <v>752</v>
      </c>
      <c r="B22" s="168" t="n">
        <f aca="false">B18*Premissas!$B$31*(1+Premissas!$B$32)^(B$6-2026)</f>
        <v>0</v>
      </c>
      <c r="C22" s="168" t="n">
        <f aca="false">C18*Premissas!$B$31*(1+Premissas!$B$32)^(C$6-2026)</f>
        <v>0</v>
      </c>
      <c r="D22" s="168" t="n">
        <f aca="false">D18*Premissas!$B$31*(1+Premissas!$B$32)^(D$6-2026)</f>
        <v>0</v>
      </c>
      <c r="E22" s="168" t="n">
        <f aca="false">E18*Premissas!$B$31*(1+Premissas!$B$32)^(E$6-2026)</f>
        <v>0</v>
      </c>
      <c r="F22" s="168" t="n">
        <f aca="false">F18*Premissas!$B$31*(1+Premissas!$B$32)^(F$6-2026)</f>
        <v>0</v>
      </c>
      <c r="G22" s="168" t="n">
        <f aca="false">G18*Premissas!$B$31*(1+Premissas!$B$32)^(G$6-2026)</f>
        <v>0</v>
      </c>
      <c r="H22" s="168" t="n">
        <f aca="false">H18*Premissas!$B$31*(1+Premissas!$B$32)^(H$6-2026)</f>
        <v>0</v>
      </c>
      <c r="I22" s="168" t="n">
        <f aca="false">I18*Premissas!$B$31*(1+Premissas!$B$32)^(I$6-2026)</f>
        <v>0</v>
      </c>
      <c r="J22" s="168" t="n">
        <f aca="false">J18*Premissas!$B$31*(1+Premissas!$B$32)^(J$6-2026)</f>
        <v>0</v>
      </c>
      <c r="K22" s="168" t="n">
        <f aca="false">K18*Premissas!$B$31*(1+Premissas!$B$32)^(K$6-2026)</f>
        <v>0</v>
      </c>
      <c r="L22" s="168" t="n">
        <f aca="false">L18*Premissas!$B$31*(1+Premissas!$B$32)^(L$6-2026)</f>
        <v>0</v>
      </c>
      <c r="M22" s="168" t="n">
        <f aca="false">M18*Premissas!$B$31*(1+Premissas!$B$32)^(M$6-2026)</f>
        <v>0</v>
      </c>
      <c r="N22" s="168" t="n">
        <f aca="false">N18*Premissas!$B$31*(1+Premissas!$B$32)^(N$6-2026)</f>
        <v>0</v>
      </c>
      <c r="O22" s="168" t="n">
        <f aca="false">O18*Premissas!$B$31*(1+Premissas!$B$32)^(O$6-2026)</f>
        <v>0</v>
      </c>
      <c r="P22" s="168" t="n">
        <f aca="false">P18*Premissas!$B$31*(1+Premissas!$B$32)^(P$6-2026)</f>
        <v>0</v>
      </c>
      <c r="Q22" s="168" t="n">
        <f aca="false">Q18*Premissas!$B$31*(1+Premissas!$B$32)^(Q$6-2026)</f>
        <v>0</v>
      </c>
      <c r="R22" s="168" t="n">
        <f aca="false">R18*Premissas!$B$31*(1+Premissas!$B$32)^(R$6-2026)</f>
        <v>0</v>
      </c>
      <c r="S22" s="168" t="n">
        <f aca="false">S18*Premissas!$B$31*(1+Premissas!$B$32)^(S$6-2026)</f>
        <v>0</v>
      </c>
      <c r="T22" s="168" t="n">
        <f aca="false">T18*Premissas!$B$31*(1+Premissas!$B$32)^(T$6-2026)</f>
        <v>0</v>
      </c>
      <c r="U22" s="168" t="n">
        <f aca="false">U18*Premissas!$B$31*(1+Premissas!$B$32)^(U$6-2026)</f>
        <v>0</v>
      </c>
      <c r="V22" s="168" t="n">
        <f aca="false">V18*Premissas!$B$31*(1+Premissas!$B$32)^(V$6-2026)</f>
        <v>0</v>
      </c>
      <c r="W22" s="168" t="n">
        <f aca="false">W18*Premissas!$B$31*(1+Premissas!$B$32)^(W$6-2026)</f>
        <v>0</v>
      </c>
      <c r="X22" s="168" t="n">
        <f aca="false">X18*Premissas!$B$31*(1+Premissas!$B$32)^(X$6-2026)</f>
        <v>0</v>
      </c>
      <c r="Y22" s="168" t="n">
        <f aca="false">Y18*Premissas!$B$31*(1+Premissas!$B$32)^(Y$6-2026)</f>
        <v>0</v>
      </c>
      <c r="Z22" s="168" t="n">
        <f aca="false">Z18*Premissas!$B$31*(1+Premissas!$B$32)^(Z$6-2026)</f>
        <v>11227</v>
      </c>
      <c r="AA22" s="168" t="n">
        <f aca="false">AA18*Premissas!$B$31*(1+Premissas!$B$32)^(AA$6-2026)</f>
        <v>11990</v>
      </c>
      <c r="AB22" s="168" t="n">
        <f aca="false">AB18*Premissas!$B$31*(1+Premissas!$B$32)^(AB$6-2026)</f>
        <v>12753</v>
      </c>
      <c r="AC22" s="168" t="n">
        <f aca="false">AC18*Premissas!$B$31*(1+Premissas!$B$32)^(AC$6-2026)</f>
        <v>13516</v>
      </c>
      <c r="AD22" s="168" t="n">
        <f aca="false">AD18*Premissas!$B$31*(1+Premissas!$B$32)^(AD$6-2026)</f>
        <v>14061</v>
      </c>
      <c r="AE22" s="168" t="n">
        <f aca="false">AE18*Premissas!$B$31*(1+Premissas!$B$32)^(AE$6-2026)</f>
        <v>14715</v>
      </c>
      <c r="AF22" s="168" t="n">
        <f aca="false">AF18*Premissas!$B$31*(1+Premissas!$B$32)^(AF$6-2026)</f>
        <v>15369</v>
      </c>
      <c r="AG22" s="168" t="n">
        <f aca="false">AG18*Premissas!$B$31*(1+Premissas!$B$32)^(AG$6-2026)</f>
        <v>15805</v>
      </c>
      <c r="AH22" s="168" t="n">
        <f aca="false">AH18*Premissas!$B$31*(1+Premissas!$B$32)^(AH$6-2026)</f>
        <v>16241</v>
      </c>
      <c r="AI22" s="168" t="n">
        <f aca="false">AI18*Premissas!$B$31*(1+Premissas!$B$32)^(AI$6-2026)</f>
        <v>16568</v>
      </c>
      <c r="AJ22" s="168" t="n">
        <f aca="false">AJ18*Premissas!$B$31*(1+Premissas!$B$32)^(AJ$6-2026)</f>
        <v>17004</v>
      </c>
      <c r="AK22" s="168" t="n">
        <f aca="false">AK18*Premissas!$B$31*(1+Premissas!$B$32)^(AK$6-2026)</f>
        <v>17331</v>
      </c>
      <c r="AL22" s="168" t="n">
        <f aca="false">AL18*Premissas!$B$31*(1+Premissas!$B$32)^(AL$6-2026)</f>
        <v>23217</v>
      </c>
      <c r="AM22" s="168" t="n">
        <f aca="false">AM18*Premissas!$B$31*(1+Premissas!$B$32)^(AM$6-2026)</f>
        <v>24525</v>
      </c>
      <c r="AN22" s="168" t="n">
        <f aca="false">AN18*Premissas!$B$31*(1+Premissas!$B$32)^(AN$6-2026)</f>
        <v>25724</v>
      </c>
      <c r="AO22" s="168" t="n">
        <f aca="false">AO18*Premissas!$B$31*(1+Premissas!$B$32)^(AO$6-2026)</f>
        <v>26814</v>
      </c>
      <c r="AP22" s="168" t="n">
        <f aca="false">AP18*Premissas!$B$31*(1+Premissas!$B$32)^(AP$6-2026)</f>
        <v>27795</v>
      </c>
      <c r="AQ22" s="168" t="n">
        <f aca="false">AQ18*Premissas!$B$31*(1+Premissas!$B$32)^(AQ$6-2026)</f>
        <v>28558</v>
      </c>
      <c r="AR22" s="168" t="n">
        <f aca="false">AR18*Premissas!$B$31*(1+Premissas!$B$32)^(AR$6-2026)</f>
        <v>29430</v>
      </c>
      <c r="AS22" s="168" t="n">
        <f aca="false">AS18*Premissas!$B$31*(1+Premissas!$B$32)^(AS$6-2026)</f>
        <v>30302</v>
      </c>
      <c r="AT22" s="168" t="n">
        <f aca="false">AT18*Premissas!$B$31*(1+Premissas!$B$32)^(AT$6-2026)</f>
        <v>30847</v>
      </c>
      <c r="AU22" s="168" t="n">
        <f aca="false">AU18*Premissas!$B$31*(1+Premissas!$B$32)^(AU$6-2026)</f>
        <v>31501</v>
      </c>
      <c r="AV22" s="168" t="n">
        <f aca="false">AV18*Premissas!$B$31*(1+Premissas!$B$32)^(AV$6-2026)</f>
        <v>32046</v>
      </c>
      <c r="AW22" s="168" t="n">
        <f aca="false">AW18*Premissas!$B$31*(1+Premissas!$B$32)^(AW$6-2026)</f>
        <v>32591</v>
      </c>
      <c r="AX22" s="168" t="n">
        <f aca="false">AX18*Premissas!$B$31*(1+Premissas!$B$32)^(AX$6-2026)</f>
        <v>41747</v>
      </c>
      <c r="AY22" s="168" t="n">
        <f aca="false">AY18*Premissas!$B$31*(1+Premissas!$B$32)^(AY$6-2026)</f>
        <v>43927</v>
      </c>
      <c r="AZ22" s="168" t="n">
        <f aca="false">AZ18*Premissas!$B$31*(1+Premissas!$B$32)^(AZ$6-2026)</f>
        <v>45889</v>
      </c>
      <c r="BA22" s="168" t="n">
        <f aca="false">BA18*Premissas!$B$31*(1+Premissas!$B$32)^(BA$6-2026)</f>
        <v>47633</v>
      </c>
      <c r="BB22" s="168" t="n">
        <f aca="false">BB18*Premissas!$B$31*(1+Premissas!$B$32)^(BB$6-2026)</f>
        <v>49268</v>
      </c>
      <c r="BC22" s="168" t="n">
        <f aca="false">BC18*Premissas!$B$31*(1+Premissas!$B$32)^(BC$6-2026)</f>
        <v>50794</v>
      </c>
      <c r="BD22" s="168" t="n">
        <f aca="false">BD18*Premissas!$B$31*(1+Premissas!$B$32)^(BD$6-2026)</f>
        <v>52102</v>
      </c>
      <c r="BE22" s="168" t="n">
        <f aca="false">BE18*Premissas!$B$31*(1+Premissas!$B$32)^(BE$6-2026)</f>
        <v>53410</v>
      </c>
      <c r="BF22" s="168" t="n">
        <f aca="false">BF18*Premissas!$B$31*(1+Premissas!$B$32)^(BF$6-2026)</f>
        <v>54609</v>
      </c>
      <c r="BG22" s="168" t="n">
        <f aca="false">BG18*Premissas!$B$31*(1+Premissas!$B$32)^(BG$6-2026)</f>
        <v>55590</v>
      </c>
      <c r="BH22" s="168" t="n">
        <f aca="false">BH18*Premissas!$B$31*(1+Premissas!$B$32)^(BH$6-2026)</f>
        <v>56571</v>
      </c>
      <c r="BI22" s="168" t="n">
        <f aca="false">BI18*Premissas!$B$31*(1+Premissas!$B$32)^(BI$6-2026)</f>
        <v>57443</v>
      </c>
      <c r="BJ22" s="154" t="n">
        <f aca="false">SUM(B22:BI22)</f>
        <v>1128913</v>
      </c>
    </row>
    <row r="23" customFormat="false" ht="15.75" hidden="false" customHeight="true" outlineLevel="0" collapsed="false">
      <c r="A23" s="53" t="s">
        <v>753</v>
      </c>
      <c r="B23" s="160" t="n">
        <f aca="false">SUM(B20:B22)</f>
        <v>0</v>
      </c>
      <c r="C23" s="160" t="n">
        <f aca="false">SUM(C20:C22)</f>
        <v>0</v>
      </c>
      <c r="D23" s="160" t="n">
        <f aca="false">SUM(D20:D22)</f>
        <v>0</v>
      </c>
      <c r="E23" s="160" t="n">
        <f aca="false">SUM(E20:E22)</f>
        <v>0</v>
      </c>
      <c r="F23" s="160" t="n">
        <f aca="false">SUM(F20:F22)</f>
        <v>0</v>
      </c>
      <c r="G23" s="160" t="n">
        <f aca="false">SUM(G20:G22)</f>
        <v>0</v>
      </c>
      <c r="H23" s="160" t="n">
        <f aca="false">SUM(H20:H22)</f>
        <v>0</v>
      </c>
      <c r="I23" s="160" t="n">
        <f aca="false">SUM(I20:I22)</f>
        <v>0</v>
      </c>
      <c r="J23" s="160" t="n">
        <f aca="false">SUM(J20:J22)</f>
        <v>0</v>
      </c>
      <c r="K23" s="160" t="n">
        <f aca="false">SUM(K20:K22)</f>
        <v>0</v>
      </c>
      <c r="L23" s="160" t="n">
        <f aca="false">SUM(L20:L22)</f>
        <v>0</v>
      </c>
      <c r="M23" s="160" t="n">
        <f aca="false">SUM(M20:M22)</f>
        <v>1438.2</v>
      </c>
      <c r="N23" s="160" t="n">
        <f aca="false">SUM(N20:N22)</f>
        <v>6711.6</v>
      </c>
      <c r="O23" s="160" t="n">
        <f aca="false">SUM(O20:O22)</f>
        <v>15260.9</v>
      </c>
      <c r="P23" s="160" t="n">
        <f aca="false">SUM(P20:P22)</f>
        <v>26606.7</v>
      </c>
      <c r="Q23" s="160" t="n">
        <f aca="false">SUM(Q20:Q22)</f>
        <v>40269.6</v>
      </c>
      <c r="R23" s="160" t="n">
        <f aca="false">SUM(R20:R22)</f>
        <v>55930</v>
      </c>
      <c r="S23" s="160" t="n">
        <f aca="false">SUM(S20:S22)</f>
        <v>62801.4</v>
      </c>
      <c r="T23" s="160" t="n">
        <f aca="false">SUM(T20:T22)</f>
        <v>69113.5</v>
      </c>
      <c r="U23" s="160" t="n">
        <f aca="false">SUM(U20:U22)</f>
        <v>74706.5</v>
      </c>
      <c r="V23" s="160" t="n">
        <f aca="false">SUM(V20:V22)</f>
        <v>79820.1</v>
      </c>
      <c r="W23" s="160" t="n">
        <f aca="false">SUM(W20:W22)</f>
        <v>84454.3</v>
      </c>
      <c r="X23" s="160" t="n">
        <f aca="false">SUM(X20:X22)</f>
        <v>88609.1</v>
      </c>
      <c r="Y23" s="160" t="n">
        <f aca="false">SUM(Y20:Y22)</f>
        <v>92364.4</v>
      </c>
      <c r="Z23" s="160" t="n">
        <f aca="false">SUM(Z20:Z22)</f>
        <v>108089.6</v>
      </c>
      <c r="AA23" s="160" t="n">
        <f aca="false">SUM(AA20:AA22)</f>
        <v>116443.4</v>
      </c>
      <c r="AB23" s="160" t="n">
        <f aca="false">SUM(AB20:AB22)</f>
        <v>124138</v>
      </c>
      <c r="AC23" s="160" t="n">
        <f aca="false">SUM(AC20:AC22)</f>
        <v>131093.5</v>
      </c>
      <c r="AD23" s="160" t="n">
        <f aca="false">SUM(AD20:AD22)</f>
        <v>137331.6</v>
      </c>
      <c r="AE23" s="160" t="n">
        <f aca="false">SUM(AE20:AE22)</f>
        <v>143099.4</v>
      </c>
      <c r="AF23" s="160" t="n">
        <f aca="false">SUM(AF20:AF22)</f>
        <v>148287.9</v>
      </c>
      <c r="AG23" s="160" t="n">
        <f aca="false">SUM(AG20:AG22)</f>
        <v>153018.7</v>
      </c>
      <c r="AH23" s="160" t="n">
        <f aca="false">SUM(AH20:AH22)</f>
        <v>157250.1</v>
      </c>
      <c r="AI23" s="160" t="n">
        <f aca="false">SUM(AI20:AI22)</f>
        <v>161122.8</v>
      </c>
      <c r="AJ23" s="160" t="n">
        <f aca="false">SUM(AJ20:AJ22)</f>
        <v>164695</v>
      </c>
      <c r="AK23" s="160" t="n">
        <f aca="false">SUM(AK20:AK22)</f>
        <v>167908.5</v>
      </c>
      <c r="AL23" s="160" t="n">
        <f aca="false">SUM(AL20:AL22)</f>
        <v>182175</v>
      </c>
      <c r="AM23" s="160" t="n">
        <f aca="false">SUM(AM20:AM22)</f>
        <v>192252.4</v>
      </c>
      <c r="AN23" s="160" t="n">
        <f aca="false">SUM(AN20:AN22)</f>
        <v>201481.7</v>
      </c>
      <c r="AO23" s="160" t="n">
        <f aca="false">SUM(AO20:AO22)</f>
        <v>209942.8</v>
      </c>
      <c r="AP23" s="160" t="n">
        <f aca="false">SUM(AP20:AP22)</f>
        <v>217545.8</v>
      </c>
      <c r="AQ23" s="160" t="n">
        <f aca="false">SUM(AQ20:AQ22)</f>
        <v>224521.3</v>
      </c>
      <c r="AR23" s="160" t="n">
        <f aca="false">SUM(AR20:AR22)</f>
        <v>230856.7</v>
      </c>
      <c r="AS23" s="160" t="n">
        <f aca="false">SUM(AS20:AS22)</f>
        <v>236692.7</v>
      </c>
      <c r="AT23" s="160" t="n">
        <f aca="false">SUM(AT20:AT22)</f>
        <v>241962</v>
      </c>
      <c r="AU23" s="160" t="n">
        <f aca="false">SUM(AU20:AU22)</f>
        <v>246751</v>
      </c>
      <c r="AV23" s="160" t="n">
        <f aca="false">SUM(AV20:AV22)</f>
        <v>251191.3</v>
      </c>
      <c r="AW23" s="160" t="n">
        <f aca="false">SUM(AW20:AW22)</f>
        <v>255212.1</v>
      </c>
      <c r="AX23" s="160" t="n">
        <f aca="false">SUM(AX20:AX22)</f>
        <v>275375.8</v>
      </c>
      <c r="AY23" s="160" t="n">
        <f aca="false">SUM(AY20:AY22)</f>
        <v>289431.5</v>
      </c>
      <c r="AZ23" s="160" t="n">
        <f aca="false">SUM(AZ20:AZ22)</f>
        <v>302280.4</v>
      </c>
      <c r="BA23" s="160" t="n">
        <f aca="false">SUM(BA20:BA22)</f>
        <v>313992.4</v>
      </c>
      <c r="BB23" s="160" t="n">
        <f aca="false">SUM(BB20:BB22)</f>
        <v>324766.4</v>
      </c>
      <c r="BC23" s="160" t="n">
        <f aca="false">SUM(BC20:BC22)</f>
        <v>334602.4</v>
      </c>
      <c r="BD23" s="160" t="n">
        <f aca="false">SUM(BD20:BD22)</f>
        <v>343551.2</v>
      </c>
      <c r="BE23" s="160" t="n">
        <f aca="false">SUM(BE20:BE22)</f>
        <v>351840.8</v>
      </c>
      <c r="BF23" s="160" t="n">
        <f aca="false">SUM(BF20:BF22)</f>
        <v>359352.2</v>
      </c>
      <c r="BG23" s="160" t="n">
        <f aca="false">SUM(BG20:BG22)</f>
        <v>366236.1</v>
      </c>
      <c r="BH23" s="160" t="n">
        <f aca="false">SUM(BH20:BH22)</f>
        <v>372610.6</v>
      </c>
      <c r="BI23" s="160" t="n">
        <f aca="false">SUM(BI20:BI22)</f>
        <v>378386.7</v>
      </c>
      <c r="BJ23" s="154" t="n">
        <f aca="false">SUM(B23:BI23)</f>
        <v>9113576.1</v>
      </c>
    </row>
    <row r="24" customFormat="false" ht="15.75" hidden="false" customHeight="true" outlineLevel="0" collapsed="false">
      <c r="A24" s="49" t="s">
        <v>754</v>
      </c>
      <c r="B24" s="168" t="n">
        <f aca="false" t="array" ref="B24:B24">B13*INDEX(Premissas!$C$88:$G$88,B$7)*Premissas!$B$87*Premissas!$B$86</f>
        <v>0</v>
      </c>
      <c r="C24" s="168" t="n">
        <f aca="false" t="array" ref="C24:C24">C13*INDEX(Premissas!$C$88:$G$88,C$7)*Premissas!$B$87*Premissas!$B$86</f>
        <v>0</v>
      </c>
      <c r="D24" s="168" t="n">
        <f aca="false" t="array" ref="D24:D24">D13*INDEX(Premissas!$C$88:$G$88,D$7)*Premissas!$B$87*Premissas!$B$86</f>
        <v>0</v>
      </c>
      <c r="E24" s="168" t="n">
        <f aca="false" t="array" ref="E24:E24">E13*INDEX(Premissas!$C$88:$G$88,E$7)*Premissas!$B$87*Premissas!$B$86</f>
        <v>0</v>
      </c>
      <c r="F24" s="168" t="n">
        <f aca="false" t="array" ref="F24:F24">F13*INDEX(Premissas!$C$88:$G$88,F$7)*Premissas!$B$87*Premissas!$B$86</f>
        <v>0</v>
      </c>
      <c r="G24" s="168" t="n">
        <f aca="false" t="array" ref="G24:G24">G13*INDEX(Premissas!$C$88:$G$88,G$7)*Premissas!$B$87*Premissas!$B$86</f>
        <v>0</v>
      </c>
      <c r="H24" s="168" t="n">
        <f aca="false" t="array" ref="H24:H24">H13*INDEX(Premissas!$C$88:$G$88,H$7)*Premissas!$B$87*Premissas!$B$86</f>
        <v>0</v>
      </c>
      <c r="I24" s="168" t="n">
        <f aca="false" t="array" ref="I24:I24">I13*INDEX(Premissas!$C$88:$G$88,I$7)*Premissas!$B$87*Premissas!$B$86</f>
        <v>0</v>
      </c>
      <c r="J24" s="168" t="n">
        <f aca="false" t="array" ref="J24:J24">J13*INDEX(Premissas!$C$88:$G$88,J$7)*Premissas!$B$87*Premissas!$B$86</f>
        <v>0</v>
      </c>
      <c r="K24" s="168" t="n">
        <f aca="false" t="array" ref="K24:K24">K13*INDEX(Premissas!$C$88:$G$88,K$7)*Premissas!$B$87*Premissas!$B$86</f>
        <v>0</v>
      </c>
      <c r="L24" s="168" t="n">
        <f aca="false" t="array" ref="L24:L24">L13*INDEX(Premissas!$C$88:$G$88,L$7)*Premissas!$B$87*Premissas!$B$86</f>
        <v>0</v>
      </c>
      <c r="M24" s="168" t="n">
        <f aca="false" t="array" ref="M24:M24">M13*INDEX(Premissas!$C$88:$G$88,M$7)*Premissas!$B$87*Premissas!$B$86</f>
        <v>0</v>
      </c>
      <c r="N24" s="168" t="n">
        <f aca="false" t="array" ref="N24:N24">N13*INDEX(Premissas!$C$88:$G$88,N$7)*Premissas!$B$87*Premissas!$B$86</f>
        <v>1313.6256</v>
      </c>
      <c r="O24" s="168" t="n">
        <f aca="false" t="array" ref="O24:O24">O13*INDEX(Premissas!$C$88:$G$88,O$7)*Premissas!$B$87*Premissas!$B$86</f>
        <v>1985.7275424</v>
      </c>
      <c r="P24" s="168" t="n">
        <f aca="false" t="array" ref="P24:P24">P13*INDEX(Premissas!$C$88:$G$88,P$7)*Premissas!$B$87*Premissas!$B$86</f>
        <v>2593.3076983296</v>
      </c>
      <c r="Q24" s="168" t="n">
        <f aca="false" t="array" ref="Q24:Q24">Q13*INDEX(Premissas!$C$88:$G$88,Q$7)*Premissas!$B$87*Premissas!$B$86</f>
        <v>3142.56015928996</v>
      </c>
      <c r="R24" s="168" t="n">
        <f aca="false" t="array" ref="R24:R24">R13*INDEX(Premissas!$C$88:$G$88,R$7)*Premissas!$B$87*Premissas!$B$86</f>
        <v>3639.08438399812</v>
      </c>
      <c r="S24" s="168" t="n">
        <f aca="false" t="array" ref="S24:S24">S13*INDEX(Premissas!$C$88:$G$88,S$7)*Premissas!$B$87*Premissas!$B$86</f>
        <v>4087.9422831343</v>
      </c>
      <c r="T24" s="168" t="n">
        <f aca="false" t="array" ref="T24:T24">T13*INDEX(Premissas!$C$88:$G$88,T$7)*Premissas!$B$87*Premissas!$B$86</f>
        <v>4493.70982395341</v>
      </c>
      <c r="U24" s="168" t="n">
        <f aca="false" t="array" ref="U24:U24">U13*INDEX(Premissas!$C$88:$G$88,U$7)*Premissas!$B$87*Premissas!$B$86</f>
        <v>4860.52368085388</v>
      </c>
      <c r="V24" s="168" t="n">
        <f aca="false" t="array" ref="V24:V24">V13*INDEX(Premissas!$C$88:$G$88,V$7)*Premissas!$B$87*Premissas!$B$86</f>
        <v>5192.12340749191</v>
      </c>
      <c r="W24" s="168" t="n">
        <f aca="false" t="array" ref="W24:W24">W13*INDEX(Premissas!$C$88:$G$88,W$7)*Premissas!$B$87*Premissas!$B$86</f>
        <v>5491.88956037269</v>
      </c>
      <c r="X24" s="168" t="n">
        <f aca="false" t="array" ref="X24:X24">X13*INDEX(Premissas!$C$88:$G$88,X$7)*Premissas!$B$87*Premissas!$B$86</f>
        <v>5762.87816257691</v>
      </c>
      <c r="Y24" s="168" t="n">
        <f aca="false" t="array" ref="Y24:Y24">Y13*INDEX(Premissas!$C$88:$G$88,Y$7)*Premissas!$B$87*Premissas!$B$86</f>
        <v>6007.85185896953</v>
      </c>
      <c r="Z24" s="168" t="n">
        <f aca="false" t="array" ref="Z24:Z24">Z13*INDEX(Premissas!$C$88:$G$88,Z$7)*Premissas!$B$87*Premissas!$B$86</f>
        <v>10952.7703860782</v>
      </c>
      <c r="AA24" s="168" t="n">
        <f aca="false" t="array" ref="AA24:AA24">AA13*INDEX(Premissas!$C$88:$G$88,AA$7)*Premissas!$B$87*Premissas!$B$86</f>
        <v>11805.8530672972</v>
      </c>
      <c r="AB24" s="168" t="n">
        <f aca="false" t="array" ref="AB24:AB24">AB13*INDEX(Premissas!$C$88:$G$88,AB$7)*Premissas!$B$87*Premissas!$B$86</f>
        <v>12580.3156486151</v>
      </c>
      <c r="AC24" s="168" t="n">
        <f aca="false" t="array" ref="AC24:AC24">AC13*INDEX(Premissas!$C$88:$G$88,AC$7)*Premissas!$B$87*Premissas!$B$86</f>
        <v>13283.4037584387</v>
      </c>
      <c r="AD24" s="168" t="n">
        <f aca="false" t="array" ref="AD24:AD24">AD13*INDEX(Premissas!$C$88:$G$88,AD$7)*Premissas!$B$87*Premissas!$B$86</f>
        <v>13921.695268061</v>
      </c>
      <c r="AE24" s="168" t="n">
        <f aca="false" t="array" ref="AE24:AE24">AE13*INDEX(Premissas!$C$88:$G$88,AE$7)*Premissas!$B$87*Premissas!$B$86</f>
        <v>14501.1618321565</v>
      </c>
      <c r="AF24" s="168" t="n">
        <f aca="false" t="array" ref="AF24:AF24">AF13*INDEX(Premissas!$C$88:$G$88,AF$7)*Premissas!$B$87*Premissas!$B$86</f>
        <v>15027.224757705</v>
      </c>
      <c r="AG24" s="168" t="n">
        <f aca="false" t="array" ref="AG24:AG24">AG13*INDEX(Premissas!$C$88:$G$88,AG$7)*Premissas!$B$87*Premissas!$B$86</f>
        <v>15504.8057240349</v>
      </c>
      <c r="AH24" s="168" t="n">
        <f aca="false" t="array" ref="AH24:AH24">AH13*INDEX(Premissas!$C$88:$G$88,AH$7)*Premissas!$B$87*Premissas!$B$86</f>
        <v>15938.3728285078</v>
      </c>
      <c r="AI24" s="168" t="n">
        <f aca="false" t="array" ref="AI24:AI24">AI13*INDEX(Premissas!$C$88:$G$88,AI$7)*Premissas!$B$87*Premissas!$B$86</f>
        <v>16331.9823886325</v>
      </c>
      <c r="AJ24" s="168" t="n">
        <f aca="false" t="array" ref="AJ24:AJ24">AJ13*INDEX(Premissas!$C$88:$G$88,AJ$7)*Premissas!$B$87*Premissas!$B$86</f>
        <v>16689.3168916962</v>
      </c>
      <c r="AK24" s="168" t="n">
        <f aca="false" t="array" ref="AK24:AK24">AK13*INDEX(Premissas!$C$88:$G$88,AK$7)*Premissas!$B$87*Premissas!$B$86</f>
        <v>17013.7194469574</v>
      </c>
      <c r="AL24" s="168" t="n">
        <f aca="false" t="array" ref="AL24:AL24">AL13*INDEX(Premissas!$C$88:$G$88,AL$7)*Premissas!$B$87*Premissas!$B$86</f>
        <v>28985.5047009522</v>
      </c>
      <c r="AM24" s="168" t="n">
        <f aca="false" t="array" ref="AM24:AM24">AM13*INDEX(Premissas!$C$88:$G$88,AM$7)*Premissas!$B$87*Premissas!$B$86</f>
        <v>30593.030352242</v>
      </c>
      <c r="AN24" s="168" t="n">
        <f aca="false" t="array" ref="AN24:AN24">AN13*INDEX(Premissas!$C$88:$G$88,AN$7)*Premissas!$B$87*Premissas!$B$86</f>
        <v>32058.3324220699</v>
      </c>
      <c r="AO24" s="168" t="n">
        <f aca="false" t="array" ref="AO24:AO24">AO13*INDEX(Premissas!$C$88:$G$88,AO$7)*Premissas!$B$87*Premissas!$B$86</f>
        <v>33393.9939426927</v>
      </c>
      <c r="AP24" s="168" t="n">
        <f aca="false" t="array" ref="AP24:AP24">AP13*INDEX(Premissas!$C$88:$G$88,AP$7)*Premissas!$B$87*Premissas!$B$86</f>
        <v>34611.4846802044</v>
      </c>
      <c r="AQ24" s="168" t="n">
        <f aca="false" t="array" ref="AQ24:AQ24">AQ13*INDEX(Premissas!$C$88:$G$88,AQ$7)*Premissas!$B$87*Premissas!$B$86</f>
        <v>35721.2596292019</v>
      </c>
      <c r="AR24" s="168" t="n">
        <f aca="false" t="array" ref="AR24:AR24">AR13*INDEX(Premissas!$C$88:$G$88,AR$7)*Premissas!$B$87*Premissas!$B$86</f>
        <v>36732.8487932718</v>
      </c>
      <c r="AS24" s="168" t="n">
        <f aca="false" t="array" ref="AS24:AS24">AS13*INDEX(Premissas!$C$88:$G$88,AS$7)*Premissas!$B$87*Premissas!$B$86</f>
        <v>37654.9390222754</v>
      </c>
      <c r="AT24" s="168" t="n">
        <f aca="false" t="array" ref="AT24:AT24">AT13*INDEX(Premissas!$C$88:$G$88,AT$7)*Premissas!$B$87*Premissas!$B$86</f>
        <v>38495.4486091942</v>
      </c>
      <c r="AU24" s="168" t="n">
        <f aca="false" t="array" ref="AU24:AU24">AU13*INDEX(Premissas!$C$88:$G$88,AU$7)*Premissas!$B$87*Premissas!$B$86</f>
        <v>39261.5952871238</v>
      </c>
      <c r="AV24" s="168" t="n">
        <f aca="false" t="array" ref="AV24:AV24">AV13*INDEX(Premissas!$C$88:$G$88,AV$7)*Premissas!$B$87*Premissas!$B$86</f>
        <v>39959.9582103289</v>
      </c>
      <c r="AW24" s="168" t="n">
        <f aca="false" t="array" ref="AW24:AW24">AW13*INDEX(Premissas!$C$88:$G$88,AW$7)*Premissas!$B$87*Premissas!$B$86</f>
        <v>40596.5344516115</v>
      </c>
      <c r="AX24" s="168" t="n">
        <f aca="false" t="array" ref="AX24:AX24">AX13*INDEX(Premissas!$C$88:$G$88,AX$7)*Premissas!$B$87*Premissas!$B$86</f>
        <v>53736.5630039647</v>
      </c>
      <c r="AY24" s="168" t="n">
        <f aca="false" t="array" ref="AY24:AY24">AY13*INDEX(Premissas!$C$88:$G$88,AY$7)*Premissas!$B$87*Premissas!$B$86</f>
        <v>56473.4273106006</v>
      </c>
      <c r="AZ24" s="168" t="n">
        <f aca="false" t="array" ref="AZ24:AZ24">AZ13*INDEX(Premissas!$C$88:$G$88,AZ$7)*Premissas!$B$87*Premissas!$B$86</f>
        <v>58977.8369888338</v>
      </c>
      <c r="BA24" s="168" t="n">
        <f aca="false" t="array" ref="BA24:BA24">BA13*INDEX(Premissas!$C$88:$G$88,BA$7)*Premissas!$B$87*Premissas!$B$86</f>
        <v>61269.5354925631</v>
      </c>
      <c r="BB24" s="168" t="n">
        <f aca="false" t="array" ref="BB24:BB24">BB13*INDEX(Premissas!$C$88:$G$88,BB$7)*Premissas!$B$87*Premissas!$B$86</f>
        <v>63366.5893722225</v>
      </c>
      <c r="BC24" s="168" t="n">
        <f aca="false" t="array" ref="BC24:BC24">BC13*INDEX(Premissas!$C$88:$G$88,BC$7)*Premissas!$B$87*Premissas!$B$86</f>
        <v>65285.5307019995</v>
      </c>
      <c r="BD24" s="168" t="n">
        <f aca="false" t="array" ref="BD24:BD24">BD13*INDEX(Premissas!$C$88:$G$88,BD$7)*Premissas!$B$87*Premissas!$B$86</f>
        <v>67041.4874100477</v>
      </c>
      <c r="BE24" s="168" t="n">
        <f aca="false" t="array" ref="BE24:BE24">BE13*INDEX(Premissas!$C$88:$G$88,BE$7)*Premissas!$B$87*Premissas!$B$86</f>
        <v>68648.302539147</v>
      </c>
      <c r="BF24" s="168" t="n">
        <f aca="false" t="array" ref="BF24:BF24">BF13*INDEX(Premissas!$C$88:$G$88,BF$7)*Premissas!$B$87*Premissas!$B$86</f>
        <v>70118.6433780006</v>
      </c>
      <c r="BG24" s="168" t="n">
        <f aca="false" t="array" ref="BG24:BG24">BG13*INDEX(Premissas!$C$88:$G$88,BG$7)*Premissas!$B$87*Premissas!$B$86</f>
        <v>71464.1013235035</v>
      </c>
      <c r="BH24" s="168" t="n">
        <f aca="false" t="array" ref="BH24:BH24">BH13*INDEX(Premissas!$C$88:$G$88,BH$7)*Premissas!$B$87*Premissas!$B$86</f>
        <v>72695.2832612425</v>
      </c>
      <c r="BI24" s="168" t="n">
        <f aca="false" t="array" ref="BI24:BI24">BI13*INDEX(Premissas!$C$88:$G$88,BI$7)*Premissas!$B$87*Premissas!$B$86</f>
        <v>73821.8951846263</v>
      </c>
      <c r="BJ24" s="154" t="n">
        <f aca="false">SUM(B24:BI24)</f>
        <v>1433085.97222747</v>
      </c>
    </row>
    <row r="25" customFormat="false" ht="15.75" hidden="false" customHeight="true" outlineLevel="0" collapsed="false">
      <c r="A25" s="49" t="s">
        <v>755</v>
      </c>
      <c r="B25" s="168" t="n">
        <f aca="false">Aportes!B98</f>
        <v>0</v>
      </c>
      <c r="C25" s="168" t="n">
        <f aca="false">Aportes!C98</f>
        <v>0</v>
      </c>
      <c r="D25" s="168" t="n">
        <f aca="false">Aportes!D98</f>
        <v>0</v>
      </c>
      <c r="E25" s="168" t="n">
        <f aca="false">Aportes!E98</f>
        <v>0</v>
      </c>
      <c r="F25" s="168" t="n">
        <f aca="false">Aportes!F98</f>
        <v>0</v>
      </c>
      <c r="G25" s="168" t="n">
        <f aca="false">Aportes!G98</f>
        <v>0</v>
      </c>
      <c r="H25" s="168" t="n">
        <f aca="false">Aportes!H98</f>
        <v>0</v>
      </c>
      <c r="I25" s="168" t="n">
        <f aca="false">Aportes!I98</f>
        <v>0</v>
      </c>
      <c r="J25" s="168" t="n">
        <f aca="false">Aportes!J98</f>
        <v>0</v>
      </c>
      <c r="K25" s="168" t="n">
        <f aca="false">Aportes!K98</f>
        <v>0</v>
      </c>
      <c r="L25" s="168" t="n">
        <f aca="false">Aportes!L98</f>
        <v>0</v>
      </c>
      <c r="M25" s="168" t="n">
        <f aca="false">Aportes!M98</f>
        <v>0</v>
      </c>
      <c r="N25" s="168" t="n">
        <f aca="false">Aportes!N98</f>
        <v>0</v>
      </c>
      <c r="O25" s="168" t="n">
        <f aca="false">Aportes!O98</f>
        <v>0</v>
      </c>
      <c r="P25" s="168" t="n">
        <f aca="false">Aportes!P98</f>
        <v>5000</v>
      </c>
      <c r="Q25" s="168" t="n">
        <f aca="false">Aportes!Q98</f>
        <v>5000</v>
      </c>
      <c r="R25" s="168" t="n">
        <f aca="false">Aportes!R98</f>
        <v>5000</v>
      </c>
      <c r="S25" s="168" t="n">
        <f aca="false">Aportes!S98</f>
        <v>5000</v>
      </c>
      <c r="T25" s="168" t="n">
        <f aca="false">Aportes!T98</f>
        <v>5000</v>
      </c>
      <c r="U25" s="168" t="n">
        <f aca="false">Aportes!U98</f>
        <v>5000</v>
      </c>
      <c r="V25" s="168" t="n">
        <f aca="false">Aportes!V98</f>
        <v>5000</v>
      </c>
      <c r="W25" s="168" t="n">
        <f aca="false">Aportes!W98</f>
        <v>5000</v>
      </c>
      <c r="X25" s="168" t="n">
        <f aca="false">Aportes!X98</f>
        <v>5000</v>
      </c>
      <c r="Y25" s="168" t="n">
        <f aca="false">Aportes!Y98</f>
        <v>5000</v>
      </c>
      <c r="Z25" s="168" t="n">
        <f aca="false">Aportes!Z98</f>
        <v>5000</v>
      </c>
      <c r="AA25" s="168" t="n">
        <f aca="false">Aportes!AA98</f>
        <v>5000</v>
      </c>
      <c r="AB25" s="168" t="n">
        <f aca="false">Aportes!AB98</f>
        <v>5000</v>
      </c>
      <c r="AC25" s="168" t="n">
        <f aca="false">Aportes!AC98</f>
        <v>5000</v>
      </c>
      <c r="AD25" s="168" t="n">
        <f aca="false">Aportes!AD98</f>
        <v>5000</v>
      </c>
      <c r="AE25" s="168" t="n">
        <f aca="false">Aportes!AE98</f>
        <v>5000</v>
      </c>
      <c r="AF25" s="168" t="n">
        <f aca="false">Aportes!AF98</f>
        <v>5000</v>
      </c>
      <c r="AG25" s="168" t="n">
        <f aca="false">Aportes!AG98</f>
        <v>5000</v>
      </c>
      <c r="AH25" s="168" t="n">
        <f aca="false">Aportes!AH98</f>
        <v>5000</v>
      </c>
      <c r="AI25" s="168" t="n">
        <f aca="false">Aportes!AI98</f>
        <v>5000</v>
      </c>
      <c r="AJ25" s="168" t="n">
        <f aca="false">Aportes!AJ98</f>
        <v>5000</v>
      </c>
      <c r="AK25" s="168" t="n">
        <f aca="false">Aportes!AK98</f>
        <v>5000</v>
      </c>
      <c r="AL25" s="168" t="n">
        <f aca="false">Aportes!AL98</f>
        <v>5000</v>
      </c>
      <c r="AM25" s="168" t="n">
        <f aca="false">Aportes!AM98</f>
        <v>5000</v>
      </c>
      <c r="AN25" s="168" t="n">
        <f aca="false">Aportes!AN98</f>
        <v>5000</v>
      </c>
      <c r="AO25" s="168" t="n">
        <f aca="false">Aportes!AO98</f>
        <v>5000</v>
      </c>
      <c r="AP25" s="168" t="n">
        <f aca="false">Aportes!AP98</f>
        <v>5000</v>
      </c>
      <c r="AQ25" s="168" t="n">
        <f aca="false">Aportes!AQ98</f>
        <v>5000</v>
      </c>
      <c r="AR25" s="168" t="n">
        <f aca="false">Aportes!AR98</f>
        <v>5000</v>
      </c>
      <c r="AS25" s="168" t="n">
        <f aca="false">Aportes!AS98</f>
        <v>5000</v>
      </c>
      <c r="AT25" s="168" t="n">
        <f aca="false">Aportes!AT98</f>
        <v>5000</v>
      </c>
      <c r="AU25" s="168" t="n">
        <f aca="false">Aportes!AU98</f>
        <v>5000</v>
      </c>
      <c r="AV25" s="168" t="n">
        <f aca="false">Aportes!AV98</f>
        <v>5000</v>
      </c>
      <c r="AW25" s="168" t="n">
        <f aca="false">Aportes!AW98</f>
        <v>5000</v>
      </c>
      <c r="AX25" s="168" t="n">
        <f aca="false">Aportes!AX98</f>
        <v>5000</v>
      </c>
      <c r="AY25" s="168" t="n">
        <f aca="false">Aportes!AY98</f>
        <v>5000</v>
      </c>
      <c r="AZ25" s="168" t="n">
        <f aca="false">Aportes!AZ98</f>
        <v>5000</v>
      </c>
      <c r="BA25" s="168" t="n">
        <f aca="false">Aportes!BA98</f>
        <v>5000</v>
      </c>
      <c r="BB25" s="168" t="n">
        <f aca="false">Aportes!BB98</f>
        <v>5000</v>
      </c>
      <c r="BC25" s="168" t="n">
        <f aca="false">Aportes!BC98</f>
        <v>5000</v>
      </c>
      <c r="BD25" s="168" t="n">
        <f aca="false">Aportes!BD98</f>
        <v>5000</v>
      </c>
      <c r="BE25" s="168" t="n">
        <f aca="false">Aportes!BE98</f>
        <v>5000</v>
      </c>
      <c r="BF25" s="168" t="n">
        <f aca="false">Aportes!BF98</f>
        <v>5000</v>
      </c>
      <c r="BG25" s="168" t="n">
        <f aca="false">Aportes!BG98</f>
        <v>5000</v>
      </c>
      <c r="BH25" s="168" t="n">
        <f aca="false">Aportes!BH98</f>
        <v>5000</v>
      </c>
      <c r="BI25" s="168" t="n">
        <f aca="false">Aportes!BI98</f>
        <v>5000</v>
      </c>
      <c r="BJ25" s="154" t="n">
        <f aca="false">SUM(B25:BI25)</f>
        <v>230000</v>
      </c>
    </row>
    <row r="26" customFormat="false" ht="15.75" hidden="false" customHeight="true" outlineLevel="0" collapsed="false">
      <c r="A26" s="49" t="s">
        <v>756</v>
      </c>
      <c r="B26" s="168" t="n">
        <f aca="false">IF(B19=0,0,SUMPRODUCT((Premissas!$B$74:$B$82="Dados")*((Premissas!$C$74:$C$82="Planejado")+(Premissas!$C$74:$C$82="Em estudo")*Premissas!$B$70)*(Premissas!$F$74:$F$82&lt;=B$4)*(Premissas!$G$74:$G$82&gt;=B$4)*(Premissas!$D$74:$D$82="Fixo mensal")*Premissas!$E$74:$E$82)+SUMPRODUCT((Premissas!$B$74:$B$82="Dados")*((Premissas!$C$74:$C$82="Planejado")+(Premissas!$C$74:$C$82="Em estudo")*Premissas!$B$70)*(Premissas!$F$74:$F$82&lt;=B$4)*(Premissas!$G$74:$G$82&gt;=B$4)*(Premissas!$D$74:$D$82="Por usuário")*Premissas!$E$74:$E$82)*B19)</f>
        <v>0</v>
      </c>
      <c r="C26" s="168" t="n">
        <f aca="false">IF(C19=0,0,SUMPRODUCT((Premissas!$B$74:$B$82="Dados")*((Premissas!$C$74:$C$82="Planejado")+(Premissas!$C$74:$C$82="Em estudo")*Premissas!$B$70)*(Premissas!$F$74:$F$82&lt;=C$4)*(Premissas!$G$74:$G$82&gt;=C$4)*(Premissas!$D$74:$D$82="Fixo mensal")*Premissas!$E$74:$E$82)+SUMPRODUCT((Premissas!$B$74:$B$82="Dados")*((Premissas!$C$74:$C$82="Planejado")+(Premissas!$C$74:$C$82="Em estudo")*Premissas!$B$70)*(Premissas!$F$74:$F$82&lt;=C$4)*(Premissas!$G$74:$G$82&gt;=C$4)*(Premissas!$D$74:$D$82="Por usuário")*Premissas!$E$74:$E$82)*C19)</f>
        <v>0</v>
      </c>
      <c r="D26" s="168" t="n">
        <f aca="false">IF(D19=0,0,SUMPRODUCT((Premissas!$B$74:$B$82="Dados")*((Premissas!$C$74:$C$82="Planejado")+(Premissas!$C$74:$C$82="Em estudo")*Premissas!$B$70)*(Premissas!$F$74:$F$82&lt;=D$4)*(Premissas!$G$74:$G$82&gt;=D$4)*(Premissas!$D$74:$D$82="Fixo mensal")*Premissas!$E$74:$E$82)+SUMPRODUCT((Premissas!$B$74:$B$82="Dados")*((Premissas!$C$74:$C$82="Planejado")+(Premissas!$C$74:$C$82="Em estudo")*Premissas!$B$70)*(Premissas!$F$74:$F$82&lt;=D$4)*(Premissas!$G$74:$G$82&gt;=D$4)*(Premissas!$D$74:$D$82="Por usuário")*Premissas!$E$74:$E$82)*D19)</f>
        <v>0</v>
      </c>
      <c r="E26" s="168" t="n">
        <f aca="false">IF(E19=0,0,SUMPRODUCT((Premissas!$B$74:$B$82="Dados")*((Premissas!$C$74:$C$82="Planejado")+(Premissas!$C$74:$C$82="Em estudo")*Premissas!$B$70)*(Premissas!$F$74:$F$82&lt;=E$4)*(Premissas!$G$74:$G$82&gt;=E$4)*(Premissas!$D$74:$D$82="Fixo mensal")*Premissas!$E$74:$E$82)+SUMPRODUCT((Premissas!$B$74:$B$82="Dados")*((Premissas!$C$74:$C$82="Planejado")+(Premissas!$C$74:$C$82="Em estudo")*Premissas!$B$70)*(Premissas!$F$74:$F$82&lt;=E$4)*(Premissas!$G$74:$G$82&gt;=E$4)*(Premissas!$D$74:$D$82="Por usuário")*Premissas!$E$74:$E$82)*E19)</f>
        <v>0</v>
      </c>
      <c r="F26" s="168" t="n">
        <f aca="false">IF(F19=0,0,SUMPRODUCT((Premissas!$B$74:$B$82="Dados")*((Premissas!$C$74:$C$82="Planejado")+(Premissas!$C$74:$C$82="Em estudo")*Premissas!$B$70)*(Premissas!$F$74:$F$82&lt;=F$4)*(Premissas!$G$74:$G$82&gt;=F$4)*(Premissas!$D$74:$D$82="Fixo mensal")*Premissas!$E$74:$E$82)+SUMPRODUCT((Premissas!$B$74:$B$82="Dados")*((Premissas!$C$74:$C$82="Planejado")+(Premissas!$C$74:$C$82="Em estudo")*Premissas!$B$70)*(Premissas!$F$74:$F$82&lt;=F$4)*(Premissas!$G$74:$G$82&gt;=F$4)*(Premissas!$D$74:$D$82="Por usuário")*Premissas!$E$74:$E$82)*F19)</f>
        <v>0</v>
      </c>
      <c r="G26" s="168" t="n">
        <f aca="false">IF(G19=0,0,SUMPRODUCT((Premissas!$B$74:$B$82="Dados")*((Premissas!$C$74:$C$82="Planejado")+(Premissas!$C$74:$C$82="Em estudo")*Premissas!$B$70)*(Premissas!$F$74:$F$82&lt;=G$4)*(Premissas!$G$74:$G$82&gt;=G$4)*(Premissas!$D$74:$D$82="Fixo mensal")*Premissas!$E$74:$E$82)+SUMPRODUCT((Premissas!$B$74:$B$82="Dados")*((Premissas!$C$74:$C$82="Planejado")+(Premissas!$C$74:$C$82="Em estudo")*Premissas!$B$70)*(Premissas!$F$74:$F$82&lt;=G$4)*(Premissas!$G$74:$G$82&gt;=G$4)*(Premissas!$D$74:$D$82="Por usuário")*Premissas!$E$74:$E$82)*G19)</f>
        <v>0</v>
      </c>
      <c r="H26" s="168" t="n">
        <f aca="false">IF(H19=0,0,SUMPRODUCT((Premissas!$B$74:$B$82="Dados")*((Premissas!$C$74:$C$82="Planejado")+(Premissas!$C$74:$C$82="Em estudo")*Premissas!$B$70)*(Premissas!$F$74:$F$82&lt;=H$4)*(Premissas!$G$74:$G$82&gt;=H$4)*(Premissas!$D$74:$D$82="Fixo mensal")*Premissas!$E$74:$E$82)+SUMPRODUCT((Premissas!$B$74:$B$82="Dados")*((Premissas!$C$74:$C$82="Planejado")+(Premissas!$C$74:$C$82="Em estudo")*Premissas!$B$70)*(Premissas!$F$74:$F$82&lt;=H$4)*(Premissas!$G$74:$G$82&gt;=H$4)*(Premissas!$D$74:$D$82="Por usuário")*Premissas!$E$74:$E$82)*H19)</f>
        <v>0</v>
      </c>
      <c r="I26" s="168" t="n">
        <f aca="false">IF(I19=0,0,SUMPRODUCT((Premissas!$B$74:$B$82="Dados")*((Premissas!$C$74:$C$82="Planejado")+(Premissas!$C$74:$C$82="Em estudo")*Premissas!$B$70)*(Premissas!$F$74:$F$82&lt;=I$4)*(Premissas!$G$74:$G$82&gt;=I$4)*(Premissas!$D$74:$D$82="Fixo mensal")*Premissas!$E$74:$E$82)+SUMPRODUCT((Premissas!$B$74:$B$82="Dados")*((Premissas!$C$74:$C$82="Planejado")+(Premissas!$C$74:$C$82="Em estudo")*Premissas!$B$70)*(Premissas!$F$74:$F$82&lt;=I$4)*(Premissas!$G$74:$G$82&gt;=I$4)*(Premissas!$D$74:$D$82="Por usuário")*Premissas!$E$74:$E$82)*I19)</f>
        <v>0</v>
      </c>
      <c r="J26" s="168" t="n">
        <f aca="false">IF(J19=0,0,SUMPRODUCT((Premissas!$B$74:$B$82="Dados")*((Premissas!$C$74:$C$82="Planejado")+(Premissas!$C$74:$C$82="Em estudo")*Premissas!$B$70)*(Premissas!$F$74:$F$82&lt;=J$4)*(Premissas!$G$74:$G$82&gt;=J$4)*(Premissas!$D$74:$D$82="Fixo mensal")*Premissas!$E$74:$E$82)+SUMPRODUCT((Premissas!$B$74:$B$82="Dados")*((Premissas!$C$74:$C$82="Planejado")+(Premissas!$C$74:$C$82="Em estudo")*Premissas!$B$70)*(Premissas!$F$74:$F$82&lt;=J$4)*(Premissas!$G$74:$G$82&gt;=J$4)*(Premissas!$D$74:$D$82="Por usuário")*Premissas!$E$74:$E$82)*J19)</f>
        <v>0</v>
      </c>
      <c r="K26" s="168" t="n">
        <f aca="false">IF(K19=0,0,SUMPRODUCT((Premissas!$B$74:$B$82="Dados")*((Premissas!$C$74:$C$82="Planejado")+(Premissas!$C$74:$C$82="Em estudo")*Premissas!$B$70)*(Premissas!$F$74:$F$82&lt;=K$4)*(Premissas!$G$74:$G$82&gt;=K$4)*(Premissas!$D$74:$D$82="Fixo mensal")*Premissas!$E$74:$E$82)+SUMPRODUCT((Premissas!$B$74:$B$82="Dados")*((Premissas!$C$74:$C$82="Planejado")+(Premissas!$C$74:$C$82="Em estudo")*Premissas!$B$70)*(Premissas!$F$74:$F$82&lt;=K$4)*(Premissas!$G$74:$G$82&gt;=K$4)*(Premissas!$D$74:$D$82="Por usuário")*Premissas!$E$74:$E$82)*K19)</f>
        <v>0</v>
      </c>
      <c r="L26" s="168" t="n">
        <f aca="false">IF(L19=0,0,SUMPRODUCT((Premissas!$B$74:$B$82="Dados")*((Premissas!$C$74:$C$82="Planejado")+(Premissas!$C$74:$C$82="Em estudo")*Premissas!$B$70)*(Premissas!$F$74:$F$82&lt;=L$4)*(Premissas!$G$74:$G$82&gt;=L$4)*(Premissas!$D$74:$D$82="Fixo mensal")*Premissas!$E$74:$E$82)+SUMPRODUCT((Premissas!$B$74:$B$82="Dados")*((Premissas!$C$74:$C$82="Planejado")+(Premissas!$C$74:$C$82="Em estudo")*Premissas!$B$70)*(Premissas!$F$74:$F$82&lt;=L$4)*(Premissas!$G$74:$G$82&gt;=L$4)*(Premissas!$D$74:$D$82="Por usuário")*Premissas!$E$74:$E$82)*L19)</f>
        <v>0</v>
      </c>
      <c r="M26" s="168" t="n">
        <f aca="false">IF(M19=0,0,SUMPRODUCT((Premissas!$B$74:$B$82="Dados")*((Premissas!$C$74:$C$82="Planejado")+(Premissas!$C$74:$C$82="Em estudo")*Premissas!$B$70)*(Premissas!$F$74:$F$82&lt;=M$4)*(Premissas!$G$74:$G$82&gt;=M$4)*(Premissas!$D$74:$D$82="Fixo mensal")*Premissas!$E$74:$E$82)+SUMPRODUCT((Premissas!$B$74:$B$82="Dados")*((Premissas!$C$74:$C$82="Planejado")+(Premissas!$C$74:$C$82="Em estudo")*Premissas!$B$70)*(Premissas!$F$74:$F$82&lt;=M$4)*(Premissas!$G$74:$G$82&gt;=M$4)*(Premissas!$D$74:$D$82="Por usuário")*Premissas!$E$74:$E$82)*M19)</f>
        <v>0</v>
      </c>
      <c r="N26" s="168" t="n">
        <f aca="false">IF(N19=0,0,SUMPRODUCT((Premissas!$B$74:$B$82="Dados")*((Premissas!$C$74:$C$82="Planejado")+(Premissas!$C$74:$C$82="Em estudo")*Premissas!$B$70)*(Premissas!$F$74:$F$82&lt;=N$4)*(Premissas!$G$74:$G$82&gt;=N$4)*(Premissas!$D$74:$D$82="Fixo mensal")*Premissas!$E$74:$E$82)+SUMPRODUCT((Premissas!$B$74:$B$82="Dados")*((Premissas!$C$74:$C$82="Planejado")+(Premissas!$C$74:$C$82="Em estudo")*Premissas!$B$70)*(Premissas!$F$74:$F$82&lt;=N$4)*(Premissas!$G$74:$G$82&gt;=N$4)*(Premissas!$D$74:$D$82="Por usuário")*Premissas!$E$74:$E$82)*N19)</f>
        <v>0</v>
      </c>
      <c r="O26" s="168" t="n">
        <f aca="false">IF(O19=0,0,SUMPRODUCT((Premissas!$B$74:$B$82="Dados")*((Premissas!$C$74:$C$82="Planejado")+(Premissas!$C$74:$C$82="Em estudo")*Premissas!$B$70)*(Premissas!$F$74:$F$82&lt;=O$4)*(Premissas!$G$74:$G$82&gt;=O$4)*(Premissas!$D$74:$D$82="Fixo mensal")*Premissas!$E$74:$E$82)+SUMPRODUCT((Premissas!$B$74:$B$82="Dados")*((Premissas!$C$74:$C$82="Planejado")+(Premissas!$C$74:$C$82="Em estudo")*Premissas!$B$70)*(Premissas!$F$74:$F$82&lt;=O$4)*(Premissas!$G$74:$G$82&gt;=O$4)*(Premissas!$D$74:$D$82="Por usuário")*Premissas!$E$74:$E$82)*O19)</f>
        <v>0</v>
      </c>
      <c r="P26" s="168" t="n">
        <f aca="false">IF(P19=0,0,SUMPRODUCT((Premissas!$B$74:$B$82="Dados")*((Premissas!$C$74:$C$82="Planejado")+(Premissas!$C$74:$C$82="Em estudo")*Premissas!$B$70)*(Premissas!$F$74:$F$82&lt;=P$4)*(Premissas!$G$74:$G$82&gt;=P$4)*(Premissas!$D$74:$D$82="Fixo mensal")*Premissas!$E$74:$E$82)+SUMPRODUCT((Premissas!$B$74:$B$82="Dados")*((Premissas!$C$74:$C$82="Planejado")+(Premissas!$C$74:$C$82="Em estudo")*Premissas!$B$70)*(Premissas!$F$74:$F$82&lt;=P$4)*(Premissas!$G$74:$G$82&gt;=P$4)*(Premissas!$D$74:$D$82="Por usuário")*Premissas!$E$74:$E$82)*P19)</f>
        <v>0</v>
      </c>
      <c r="Q26" s="168" t="n">
        <f aca="false">IF(Q19=0,0,SUMPRODUCT((Premissas!$B$74:$B$82="Dados")*((Premissas!$C$74:$C$82="Planejado")+(Premissas!$C$74:$C$82="Em estudo")*Premissas!$B$70)*(Premissas!$F$74:$F$82&lt;=Q$4)*(Premissas!$G$74:$G$82&gt;=Q$4)*(Premissas!$D$74:$D$82="Fixo mensal")*Premissas!$E$74:$E$82)+SUMPRODUCT((Premissas!$B$74:$B$82="Dados")*((Premissas!$C$74:$C$82="Planejado")+(Premissas!$C$74:$C$82="Em estudo")*Premissas!$B$70)*(Premissas!$F$74:$F$82&lt;=Q$4)*(Premissas!$G$74:$G$82&gt;=Q$4)*(Premissas!$D$74:$D$82="Por usuário")*Premissas!$E$74:$E$82)*Q19)</f>
        <v>0</v>
      </c>
      <c r="R26" s="168" t="n">
        <f aca="false">IF(R19=0,0,SUMPRODUCT((Premissas!$B$74:$B$82="Dados")*((Premissas!$C$74:$C$82="Planejado")+(Premissas!$C$74:$C$82="Em estudo")*Premissas!$B$70)*(Premissas!$F$74:$F$82&lt;=R$4)*(Premissas!$G$74:$G$82&gt;=R$4)*(Premissas!$D$74:$D$82="Fixo mensal")*Premissas!$E$74:$E$82)+SUMPRODUCT((Premissas!$B$74:$B$82="Dados")*((Premissas!$C$74:$C$82="Planejado")+(Premissas!$C$74:$C$82="Em estudo")*Premissas!$B$70)*(Premissas!$F$74:$F$82&lt;=R$4)*(Premissas!$G$74:$G$82&gt;=R$4)*(Premissas!$D$74:$D$82="Por usuário")*Premissas!$E$74:$E$82)*R19)</f>
        <v>0</v>
      </c>
      <c r="S26" s="168" t="n">
        <f aca="false">IF(S19=0,0,SUMPRODUCT((Premissas!$B$74:$B$82="Dados")*((Premissas!$C$74:$C$82="Planejado")+(Premissas!$C$74:$C$82="Em estudo")*Premissas!$B$70)*(Premissas!$F$74:$F$82&lt;=S$4)*(Premissas!$G$74:$G$82&gt;=S$4)*(Premissas!$D$74:$D$82="Fixo mensal")*Premissas!$E$74:$E$82)+SUMPRODUCT((Premissas!$B$74:$B$82="Dados")*((Premissas!$C$74:$C$82="Planejado")+(Premissas!$C$74:$C$82="Em estudo")*Premissas!$B$70)*(Premissas!$F$74:$F$82&lt;=S$4)*(Premissas!$G$74:$G$82&gt;=S$4)*(Premissas!$D$74:$D$82="Por usuário")*Premissas!$E$74:$E$82)*S19)</f>
        <v>0</v>
      </c>
      <c r="T26" s="168" t="n">
        <f aca="false">IF(T19=0,0,SUMPRODUCT((Premissas!$B$74:$B$82="Dados")*((Premissas!$C$74:$C$82="Planejado")+(Premissas!$C$74:$C$82="Em estudo")*Premissas!$B$70)*(Premissas!$F$74:$F$82&lt;=T$4)*(Premissas!$G$74:$G$82&gt;=T$4)*(Premissas!$D$74:$D$82="Fixo mensal")*Premissas!$E$74:$E$82)+SUMPRODUCT((Premissas!$B$74:$B$82="Dados")*((Premissas!$C$74:$C$82="Planejado")+(Premissas!$C$74:$C$82="Em estudo")*Premissas!$B$70)*(Premissas!$F$74:$F$82&lt;=T$4)*(Premissas!$G$74:$G$82&gt;=T$4)*(Premissas!$D$74:$D$82="Por usuário")*Premissas!$E$74:$E$82)*T19)</f>
        <v>0</v>
      </c>
      <c r="U26" s="168" t="n">
        <f aca="false">IF(U19=0,0,SUMPRODUCT((Premissas!$B$74:$B$82="Dados")*((Premissas!$C$74:$C$82="Planejado")+(Premissas!$C$74:$C$82="Em estudo")*Premissas!$B$70)*(Premissas!$F$74:$F$82&lt;=U$4)*(Premissas!$G$74:$G$82&gt;=U$4)*(Premissas!$D$74:$D$82="Fixo mensal")*Premissas!$E$74:$E$82)+SUMPRODUCT((Premissas!$B$74:$B$82="Dados")*((Premissas!$C$74:$C$82="Planejado")+(Premissas!$C$74:$C$82="Em estudo")*Premissas!$B$70)*(Premissas!$F$74:$F$82&lt;=U$4)*(Premissas!$G$74:$G$82&gt;=U$4)*(Premissas!$D$74:$D$82="Por usuário")*Premissas!$E$74:$E$82)*U19)</f>
        <v>0</v>
      </c>
      <c r="V26" s="168" t="n">
        <f aca="false">IF(V19=0,0,SUMPRODUCT((Premissas!$B$74:$B$82="Dados")*((Premissas!$C$74:$C$82="Planejado")+(Premissas!$C$74:$C$82="Em estudo")*Premissas!$B$70)*(Premissas!$F$74:$F$82&lt;=V$4)*(Premissas!$G$74:$G$82&gt;=V$4)*(Premissas!$D$74:$D$82="Fixo mensal")*Premissas!$E$74:$E$82)+SUMPRODUCT((Premissas!$B$74:$B$82="Dados")*((Premissas!$C$74:$C$82="Planejado")+(Premissas!$C$74:$C$82="Em estudo")*Premissas!$B$70)*(Premissas!$F$74:$F$82&lt;=V$4)*(Premissas!$G$74:$G$82&gt;=V$4)*(Premissas!$D$74:$D$82="Por usuário")*Premissas!$E$74:$E$82)*V19)</f>
        <v>0</v>
      </c>
      <c r="W26" s="168" t="n">
        <f aca="false">IF(W19=0,0,SUMPRODUCT((Premissas!$B$74:$B$82="Dados")*((Premissas!$C$74:$C$82="Planejado")+(Premissas!$C$74:$C$82="Em estudo")*Premissas!$B$70)*(Premissas!$F$74:$F$82&lt;=W$4)*(Premissas!$G$74:$G$82&gt;=W$4)*(Premissas!$D$74:$D$82="Fixo mensal")*Premissas!$E$74:$E$82)+SUMPRODUCT((Premissas!$B$74:$B$82="Dados")*((Premissas!$C$74:$C$82="Planejado")+(Premissas!$C$74:$C$82="Em estudo")*Premissas!$B$70)*(Premissas!$F$74:$F$82&lt;=W$4)*(Premissas!$G$74:$G$82&gt;=W$4)*(Premissas!$D$74:$D$82="Por usuário")*Premissas!$E$74:$E$82)*W19)</f>
        <v>5750</v>
      </c>
      <c r="X26" s="168" t="n">
        <f aca="false">IF(X19=0,0,SUMPRODUCT((Premissas!$B$74:$B$82="Dados")*((Premissas!$C$74:$C$82="Planejado")+(Premissas!$C$74:$C$82="Em estudo")*Premissas!$B$70)*(Premissas!$F$74:$F$82&lt;=X$4)*(Premissas!$G$74:$G$82&gt;=X$4)*(Premissas!$D$74:$D$82="Fixo mensal")*Premissas!$E$74:$E$82)+SUMPRODUCT((Premissas!$B$74:$B$82="Dados")*((Premissas!$C$74:$C$82="Planejado")+(Premissas!$C$74:$C$82="Em estudo")*Premissas!$B$70)*(Premissas!$F$74:$F$82&lt;=X$4)*(Premissas!$G$74:$G$82&gt;=X$4)*(Premissas!$D$74:$D$82="Por usuário")*Premissas!$E$74:$E$82)*X19)</f>
        <v>5750</v>
      </c>
      <c r="Y26" s="168" t="n">
        <f aca="false">IF(Y19=0,0,SUMPRODUCT((Premissas!$B$74:$B$82="Dados")*((Premissas!$C$74:$C$82="Planejado")+(Premissas!$C$74:$C$82="Em estudo")*Premissas!$B$70)*(Premissas!$F$74:$F$82&lt;=Y$4)*(Premissas!$G$74:$G$82&gt;=Y$4)*(Premissas!$D$74:$D$82="Fixo mensal")*Premissas!$E$74:$E$82)+SUMPRODUCT((Premissas!$B$74:$B$82="Dados")*((Premissas!$C$74:$C$82="Planejado")+(Premissas!$C$74:$C$82="Em estudo")*Premissas!$B$70)*(Premissas!$F$74:$F$82&lt;=Y$4)*(Premissas!$G$74:$G$82&gt;=Y$4)*(Premissas!$D$74:$D$82="Por usuário")*Premissas!$E$74:$E$82)*Y19)</f>
        <v>5750</v>
      </c>
      <c r="Z26" s="168" t="n">
        <f aca="false">IF(Z19=0,0,SUMPRODUCT((Premissas!$B$74:$B$82="Dados")*((Premissas!$C$74:$C$82="Planejado")+(Premissas!$C$74:$C$82="Em estudo")*Premissas!$B$70)*(Premissas!$F$74:$F$82&lt;=Z$4)*(Premissas!$G$74:$G$82&gt;=Z$4)*(Premissas!$D$74:$D$82="Fixo mensal")*Premissas!$E$74:$E$82)+SUMPRODUCT((Premissas!$B$74:$B$82="Dados")*((Premissas!$C$74:$C$82="Planejado")+(Premissas!$C$74:$C$82="Em estudo")*Premissas!$B$70)*(Premissas!$F$74:$F$82&lt;=Z$4)*(Premissas!$G$74:$G$82&gt;=Z$4)*(Premissas!$D$74:$D$82="Por usuário")*Premissas!$E$74:$E$82)*Z19)</f>
        <v>5750</v>
      </c>
      <c r="AA26" s="168" t="n">
        <f aca="false">IF(AA19=0,0,SUMPRODUCT((Premissas!$B$74:$B$82="Dados")*((Premissas!$C$74:$C$82="Planejado")+(Premissas!$C$74:$C$82="Em estudo")*Premissas!$B$70)*(Premissas!$F$74:$F$82&lt;=AA$4)*(Premissas!$G$74:$G$82&gt;=AA$4)*(Premissas!$D$74:$D$82="Fixo mensal")*Premissas!$E$74:$E$82)+SUMPRODUCT((Premissas!$B$74:$B$82="Dados")*((Premissas!$C$74:$C$82="Planejado")+(Premissas!$C$74:$C$82="Em estudo")*Premissas!$B$70)*(Premissas!$F$74:$F$82&lt;=AA$4)*(Premissas!$G$74:$G$82&gt;=AA$4)*(Premissas!$D$74:$D$82="Por usuário")*Premissas!$E$74:$E$82)*AA19)</f>
        <v>5750</v>
      </c>
      <c r="AB26" s="168" t="n">
        <f aca="false">IF(AB19=0,0,SUMPRODUCT((Premissas!$B$74:$B$82="Dados")*((Premissas!$C$74:$C$82="Planejado")+(Premissas!$C$74:$C$82="Em estudo")*Premissas!$B$70)*(Premissas!$F$74:$F$82&lt;=AB$4)*(Premissas!$G$74:$G$82&gt;=AB$4)*(Premissas!$D$74:$D$82="Fixo mensal")*Premissas!$E$74:$E$82)+SUMPRODUCT((Premissas!$B$74:$B$82="Dados")*((Premissas!$C$74:$C$82="Planejado")+(Premissas!$C$74:$C$82="Em estudo")*Premissas!$B$70)*(Premissas!$F$74:$F$82&lt;=AB$4)*(Premissas!$G$74:$G$82&gt;=AB$4)*(Premissas!$D$74:$D$82="Por usuário")*Premissas!$E$74:$E$82)*AB19)</f>
        <v>5750</v>
      </c>
      <c r="AC26" s="168" t="n">
        <f aca="false">IF(AC19=0,0,SUMPRODUCT((Premissas!$B$74:$B$82="Dados")*((Premissas!$C$74:$C$82="Planejado")+(Premissas!$C$74:$C$82="Em estudo")*Premissas!$B$70)*(Premissas!$F$74:$F$82&lt;=AC$4)*(Premissas!$G$74:$G$82&gt;=AC$4)*(Premissas!$D$74:$D$82="Fixo mensal")*Premissas!$E$74:$E$82)+SUMPRODUCT((Premissas!$B$74:$B$82="Dados")*((Premissas!$C$74:$C$82="Planejado")+(Premissas!$C$74:$C$82="Em estudo")*Premissas!$B$70)*(Premissas!$F$74:$F$82&lt;=AC$4)*(Premissas!$G$74:$G$82&gt;=AC$4)*(Premissas!$D$74:$D$82="Por usuário")*Premissas!$E$74:$E$82)*AC19)</f>
        <v>5750</v>
      </c>
      <c r="AD26" s="168" t="n">
        <f aca="false">IF(AD19=0,0,SUMPRODUCT((Premissas!$B$74:$B$82="Dados")*((Premissas!$C$74:$C$82="Planejado")+(Premissas!$C$74:$C$82="Em estudo")*Premissas!$B$70)*(Premissas!$F$74:$F$82&lt;=AD$4)*(Premissas!$G$74:$G$82&gt;=AD$4)*(Premissas!$D$74:$D$82="Fixo mensal")*Premissas!$E$74:$E$82)+SUMPRODUCT((Premissas!$B$74:$B$82="Dados")*((Premissas!$C$74:$C$82="Planejado")+(Premissas!$C$74:$C$82="Em estudo")*Premissas!$B$70)*(Premissas!$F$74:$F$82&lt;=AD$4)*(Premissas!$G$74:$G$82&gt;=AD$4)*(Premissas!$D$74:$D$82="Por usuário")*Premissas!$E$74:$E$82)*AD19)</f>
        <v>5750</v>
      </c>
      <c r="AE26" s="168" t="n">
        <f aca="false">IF(AE19=0,0,SUMPRODUCT((Premissas!$B$74:$B$82="Dados")*((Premissas!$C$74:$C$82="Planejado")+(Premissas!$C$74:$C$82="Em estudo")*Premissas!$B$70)*(Premissas!$F$74:$F$82&lt;=AE$4)*(Premissas!$G$74:$G$82&gt;=AE$4)*(Premissas!$D$74:$D$82="Fixo mensal")*Premissas!$E$74:$E$82)+SUMPRODUCT((Premissas!$B$74:$B$82="Dados")*((Premissas!$C$74:$C$82="Planejado")+(Premissas!$C$74:$C$82="Em estudo")*Premissas!$B$70)*(Premissas!$F$74:$F$82&lt;=AE$4)*(Premissas!$G$74:$G$82&gt;=AE$4)*(Premissas!$D$74:$D$82="Por usuário")*Premissas!$E$74:$E$82)*AE19)</f>
        <v>5750</v>
      </c>
      <c r="AF26" s="168" t="n">
        <f aca="false">IF(AF19=0,0,SUMPRODUCT((Premissas!$B$74:$B$82="Dados")*((Premissas!$C$74:$C$82="Planejado")+(Premissas!$C$74:$C$82="Em estudo")*Premissas!$B$70)*(Premissas!$F$74:$F$82&lt;=AF$4)*(Premissas!$G$74:$G$82&gt;=AF$4)*(Premissas!$D$74:$D$82="Fixo mensal")*Premissas!$E$74:$E$82)+SUMPRODUCT((Premissas!$B$74:$B$82="Dados")*((Premissas!$C$74:$C$82="Planejado")+(Premissas!$C$74:$C$82="Em estudo")*Premissas!$B$70)*(Premissas!$F$74:$F$82&lt;=AF$4)*(Premissas!$G$74:$G$82&gt;=AF$4)*(Premissas!$D$74:$D$82="Por usuário")*Premissas!$E$74:$E$82)*AF19)</f>
        <v>5750</v>
      </c>
      <c r="AG26" s="168" t="n">
        <f aca="false">IF(AG19=0,0,SUMPRODUCT((Premissas!$B$74:$B$82="Dados")*((Premissas!$C$74:$C$82="Planejado")+(Premissas!$C$74:$C$82="Em estudo")*Premissas!$B$70)*(Premissas!$F$74:$F$82&lt;=AG$4)*(Premissas!$G$74:$G$82&gt;=AG$4)*(Premissas!$D$74:$D$82="Fixo mensal")*Premissas!$E$74:$E$82)+SUMPRODUCT((Premissas!$B$74:$B$82="Dados")*((Premissas!$C$74:$C$82="Planejado")+(Premissas!$C$74:$C$82="Em estudo")*Premissas!$B$70)*(Premissas!$F$74:$F$82&lt;=AG$4)*(Premissas!$G$74:$G$82&gt;=AG$4)*(Premissas!$D$74:$D$82="Por usuário")*Premissas!$E$74:$E$82)*AG19)</f>
        <v>5750</v>
      </c>
      <c r="AH26" s="168" t="n">
        <f aca="false">IF(AH19=0,0,SUMPRODUCT((Premissas!$B$74:$B$82="Dados")*((Premissas!$C$74:$C$82="Planejado")+(Premissas!$C$74:$C$82="Em estudo")*Premissas!$B$70)*(Premissas!$F$74:$F$82&lt;=AH$4)*(Premissas!$G$74:$G$82&gt;=AH$4)*(Premissas!$D$74:$D$82="Fixo mensal")*Premissas!$E$74:$E$82)+SUMPRODUCT((Premissas!$B$74:$B$82="Dados")*((Premissas!$C$74:$C$82="Planejado")+(Premissas!$C$74:$C$82="Em estudo")*Premissas!$B$70)*(Premissas!$F$74:$F$82&lt;=AH$4)*(Premissas!$G$74:$G$82&gt;=AH$4)*(Premissas!$D$74:$D$82="Por usuário")*Premissas!$E$74:$E$82)*AH19)</f>
        <v>5750</v>
      </c>
      <c r="AI26" s="168" t="n">
        <f aca="false">IF(AI19=0,0,SUMPRODUCT((Premissas!$B$74:$B$82="Dados")*((Premissas!$C$74:$C$82="Planejado")+(Premissas!$C$74:$C$82="Em estudo")*Premissas!$B$70)*(Premissas!$F$74:$F$82&lt;=AI$4)*(Premissas!$G$74:$G$82&gt;=AI$4)*(Premissas!$D$74:$D$82="Fixo mensal")*Premissas!$E$74:$E$82)+SUMPRODUCT((Premissas!$B$74:$B$82="Dados")*((Premissas!$C$74:$C$82="Planejado")+(Premissas!$C$74:$C$82="Em estudo")*Premissas!$B$70)*(Premissas!$F$74:$F$82&lt;=AI$4)*(Premissas!$G$74:$G$82&gt;=AI$4)*(Premissas!$D$74:$D$82="Por usuário")*Premissas!$E$74:$E$82)*AI19)</f>
        <v>5750</v>
      </c>
      <c r="AJ26" s="168" t="n">
        <f aca="false">IF(AJ19=0,0,SUMPRODUCT((Premissas!$B$74:$B$82="Dados")*((Premissas!$C$74:$C$82="Planejado")+(Premissas!$C$74:$C$82="Em estudo")*Premissas!$B$70)*(Premissas!$F$74:$F$82&lt;=AJ$4)*(Premissas!$G$74:$G$82&gt;=AJ$4)*(Premissas!$D$74:$D$82="Fixo mensal")*Premissas!$E$74:$E$82)+SUMPRODUCT((Premissas!$B$74:$B$82="Dados")*((Premissas!$C$74:$C$82="Planejado")+(Premissas!$C$74:$C$82="Em estudo")*Premissas!$B$70)*(Premissas!$F$74:$F$82&lt;=AJ$4)*(Premissas!$G$74:$G$82&gt;=AJ$4)*(Premissas!$D$74:$D$82="Por usuário")*Premissas!$E$74:$E$82)*AJ19)</f>
        <v>5750</v>
      </c>
      <c r="AK26" s="168" t="n">
        <f aca="false">IF(AK19=0,0,SUMPRODUCT((Premissas!$B$74:$B$82="Dados")*((Premissas!$C$74:$C$82="Planejado")+(Premissas!$C$74:$C$82="Em estudo")*Premissas!$B$70)*(Premissas!$F$74:$F$82&lt;=AK$4)*(Premissas!$G$74:$G$82&gt;=AK$4)*(Premissas!$D$74:$D$82="Fixo mensal")*Premissas!$E$74:$E$82)+SUMPRODUCT((Premissas!$B$74:$B$82="Dados")*((Premissas!$C$74:$C$82="Planejado")+(Premissas!$C$74:$C$82="Em estudo")*Premissas!$B$70)*(Premissas!$F$74:$F$82&lt;=AK$4)*(Premissas!$G$74:$G$82&gt;=AK$4)*(Premissas!$D$74:$D$82="Por usuário")*Premissas!$E$74:$E$82)*AK19)</f>
        <v>5750</v>
      </c>
      <c r="AL26" s="168" t="n">
        <f aca="false">IF(AL19=0,0,SUMPRODUCT((Premissas!$B$74:$B$82="Dados")*((Premissas!$C$74:$C$82="Planejado")+(Premissas!$C$74:$C$82="Em estudo")*Premissas!$B$70)*(Premissas!$F$74:$F$82&lt;=AL$4)*(Premissas!$G$74:$G$82&gt;=AL$4)*(Premissas!$D$74:$D$82="Fixo mensal")*Premissas!$E$74:$E$82)+SUMPRODUCT((Premissas!$B$74:$B$82="Dados")*((Premissas!$C$74:$C$82="Planejado")+(Premissas!$C$74:$C$82="Em estudo")*Premissas!$B$70)*(Premissas!$F$74:$F$82&lt;=AL$4)*(Premissas!$G$74:$G$82&gt;=AL$4)*(Premissas!$D$74:$D$82="Por usuário")*Premissas!$E$74:$E$82)*AL19)</f>
        <v>5750</v>
      </c>
      <c r="AM26" s="168" t="n">
        <f aca="false">IF(AM19=0,0,SUMPRODUCT((Premissas!$B$74:$B$82="Dados")*((Premissas!$C$74:$C$82="Planejado")+(Premissas!$C$74:$C$82="Em estudo")*Premissas!$B$70)*(Premissas!$F$74:$F$82&lt;=AM$4)*(Premissas!$G$74:$G$82&gt;=AM$4)*(Premissas!$D$74:$D$82="Fixo mensal")*Premissas!$E$74:$E$82)+SUMPRODUCT((Premissas!$B$74:$B$82="Dados")*((Premissas!$C$74:$C$82="Planejado")+(Premissas!$C$74:$C$82="Em estudo")*Premissas!$B$70)*(Premissas!$F$74:$F$82&lt;=AM$4)*(Premissas!$G$74:$G$82&gt;=AM$4)*(Premissas!$D$74:$D$82="Por usuário")*Premissas!$E$74:$E$82)*AM19)</f>
        <v>5750</v>
      </c>
      <c r="AN26" s="168" t="n">
        <f aca="false">IF(AN19=0,0,SUMPRODUCT((Premissas!$B$74:$B$82="Dados")*((Premissas!$C$74:$C$82="Planejado")+(Premissas!$C$74:$C$82="Em estudo")*Premissas!$B$70)*(Premissas!$F$74:$F$82&lt;=AN$4)*(Premissas!$G$74:$G$82&gt;=AN$4)*(Premissas!$D$74:$D$82="Fixo mensal")*Premissas!$E$74:$E$82)+SUMPRODUCT((Premissas!$B$74:$B$82="Dados")*((Premissas!$C$74:$C$82="Planejado")+(Premissas!$C$74:$C$82="Em estudo")*Premissas!$B$70)*(Premissas!$F$74:$F$82&lt;=AN$4)*(Premissas!$G$74:$G$82&gt;=AN$4)*(Premissas!$D$74:$D$82="Por usuário")*Premissas!$E$74:$E$82)*AN19)</f>
        <v>5750</v>
      </c>
      <c r="AO26" s="168" t="n">
        <f aca="false">IF(AO19=0,0,SUMPRODUCT((Premissas!$B$74:$B$82="Dados")*((Premissas!$C$74:$C$82="Planejado")+(Premissas!$C$74:$C$82="Em estudo")*Premissas!$B$70)*(Premissas!$F$74:$F$82&lt;=AO$4)*(Premissas!$G$74:$G$82&gt;=AO$4)*(Premissas!$D$74:$D$82="Fixo mensal")*Premissas!$E$74:$E$82)+SUMPRODUCT((Premissas!$B$74:$B$82="Dados")*((Premissas!$C$74:$C$82="Planejado")+(Premissas!$C$74:$C$82="Em estudo")*Premissas!$B$70)*(Premissas!$F$74:$F$82&lt;=AO$4)*(Premissas!$G$74:$G$82&gt;=AO$4)*(Premissas!$D$74:$D$82="Por usuário")*Premissas!$E$74:$E$82)*AO19)</f>
        <v>5750</v>
      </c>
      <c r="AP26" s="168" t="n">
        <f aca="false">IF(AP19=0,0,SUMPRODUCT((Premissas!$B$74:$B$82="Dados")*((Premissas!$C$74:$C$82="Planejado")+(Premissas!$C$74:$C$82="Em estudo")*Premissas!$B$70)*(Premissas!$F$74:$F$82&lt;=AP$4)*(Premissas!$G$74:$G$82&gt;=AP$4)*(Premissas!$D$74:$D$82="Fixo mensal")*Premissas!$E$74:$E$82)+SUMPRODUCT((Premissas!$B$74:$B$82="Dados")*((Premissas!$C$74:$C$82="Planejado")+(Premissas!$C$74:$C$82="Em estudo")*Premissas!$B$70)*(Premissas!$F$74:$F$82&lt;=AP$4)*(Premissas!$G$74:$G$82&gt;=AP$4)*(Premissas!$D$74:$D$82="Por usuário")*Premissas!$E$74:$E$82)*AP19)</f>
        <v>5750</v>
      </c>
      <c r="AQ26" s="168" t="n">
        <f aca="false">IF(AQ19=0,0,SUMPRODUCT((Premissas!$B$74:$B$82="Dados")*((Premissas!$C$74:$C$82="Planejado")+(Premissas!$C$74:$C$82="Em estudo")*Premissas!$B$70)*(Premissas!$F$74:$F$82&lt;=AQ$4)*(Premissas!$G$74:$G$82&gt;=AQ$4)*(Premissas!$D$74:$D$82="Fixo mensal")*Premissas!$E$74:$E$82)+SUMPRODUCT((Premissas!$B$74:$B$82="Dados")*((Premissas!$C$74:$C$82="Planejado")+(Premissas!$C$74:$C$82="Em estudo")*Premissas!$B$70)*(Premissas!$F$74:$F$82&lt;=AQ$4)*(Premissas!$G$74:$G$82&gt;=AQ$4)*(Premissas!$D$74:$D$82="Por usuário")*Premissas!$E$74:$E$82)*AQ19)</f>
        <v>5750</v>
      </c>
      <c r="AR26" s="168" t="n">
        <f aca="false">IF(AR19=0,0,SUMPRODUCT((Premissas!$B$74:$B$82="Dados")*((Premissas!$C$74:$C$82="Planejado")+(Premissas!$C$74:$C$82="Em estudo")*Premissas!$B$70)*(Premissas!$F$74:$F$82&lt;=AR$4)*(Premissas!$G$74:$G$82&gt;=AR$4)*(Premissas!$D$74:$D$82="Fixo mensal")*Premissas!$E$74:$E$82)+SUMPRODUCT((Premissas!$B$74:$B$82="Dados")*((Premissas!$C$74:$C$82="Planejado")+(Premissas!$C$74:$C$82="Em estudo")*Premissas!$B$70)*(Premissas!$F$74:$F$82&lt;=AR$4)*(Premissas!$G$74:$G$82&gt;=AR$4)*(Premissas!$D$74:$D$82="Por usuário")*Premissas!$E$74:$E$82)*AR19)</f>
        <v>5750</v>
      </c>
      <c r="AS26" s="168" t="n">
        <f aca="false">IF(AS19=0,0,SUMPRODUCT((Premissas!$B$74:$B$82="Dados")*((Premissas!$C$74:$C$82="Planejado")+(Premissas!$C$74:$C$82="Em estudo")*Premissas!$B$70)*(Premissas!$F$74:$F$82&lt;=AS$4)*(Premissas!$G$74:$G$82&gt;=AS$4)*(Premissas!$D$74:$D$82="Fixo mensal")*Premissas!$E$74:$E$82)+SUMPRODUCT((Premissas!$B$74:$B$82="Dados")*((Premissas!$C$74:$C$82="Planejado")+(Premissas!$C$74:$C$82="Em estudo")*Premissas!$B$70)*(Premissas!$F$74:$F$82&lt;=AS$4)*(Premissas!$G$74:$G$82&gt;=AS$4)*(Premissas!$D$74:$D$82="Por usuário")*Premissas!$E$74:$E$82)*AS19)</f>
        <v>5750</v>
      </c>
      <c r="AT26" s="168" t="n">
        <f aca="false">IF(AT19=0,0,SUMPRODUCT((Premissas!$B$74:$B$82="Dados")*((Premissas!$C$74:$C$82="Planejado")+(Premissas!$C$74:$C$82="Em estudo")*Premissas!$B$70)*(Premissas!$F$74:$F$82&lt;=AT$4)*(Premissas!$G$74:$G$82&gt;=AT$4)*(Premissas!$D$74:$D$82="Fixo mensal")*Premissas!$E$74:$E$82)+SUMPRODUCT((Premissas!$B$74:$B$82="Dados")*((Premissas!$C$74:$C$82="Planejado")+(Premissas!$C$74:$C$82="Em estudo")*Premissas!$B$70)*(Premissas!$F$74:$F$82&lt;=AT$4)*(Premissas!$G$74:$G$82&gt;=AT$4)*(Premissas!$D$74:$D$82="Por usuário")*Premissas!$E$74:$E$82)*AT19)</f>
        <v>5750</v>
      </c>
      <c r="AU26" s="168" t="n">
        <f aca="false">IF(AU19=0,0,SUMPRODUCT((Premissas!$B$74:$B$82="Dados")*((Premissas!$C$74:$C$82="Planejado")+(Premissas!$C$74:$C$82="Em estudo")*Premissas!$B$70)*(Premissas!$F$74:$F$82&lt;=AU$4)*(Premissas!$G$74:$G$82&gt;=AU$4)*(Premissas!$D$74:$D$82="Fixo mensal")*Premissas!$E$74:$E$82)+SUMPRODUCT((Premissas!$B$74:$B$82="Dados")*((Premissas!$C$74:$C$82="Planejado")+(Premissas!$C$74:$C$82="Em estudo")*Premissas!$B$70)*(Premissas!$F$74:$F$82&lt;=AU$4)*(Premissas!$G$74:$G$82&gt;=AU$4)*(Premissas!$D$74:$D$82="Por usuário")*Premissas!$E$74:$E$82)*AU19)</f>
        <v>5750</v>
      </c>
      <c r="AV26" s="168" t="n">
        <f aca="false">IF(AV19=0,0,SUMPRODUCT((Premissas!$B$74:$B$82="Dados")*((Premissas!$C$74:$C$82="Planejado")+(Premissas!$C$74:$C$82="Em estudo")*Premissas!$B$70)*(Premissas!$F$74:$F$82&lt;=AV$4)*(Premissas!$G$74:$G$82&gt;=AV$4)*(Premissas!$D$74:$D$82="Fixo mensal")*Premissas!$E$74:$E$82)+SUMPRODUCT((Premissas!$B$74:$B$82="Dados")*((Premissas!$C$74:$C$82="Planejado")+(Premissas!$C$74:$C$82="Em estudo")*Premissas!$B$70)*(Premissas!$F$74:$F$82&lt;=AV$4)*(Premissas!$G$74:$G$82&gt;=AV$4)*(Premissas!$D$74:$D$82="Por usuário")*Premissas!$E$74:$E$82)*AV19)</f>
        <v>5750</v>
      </c>
      <c r="AW26" s="168" t="n">
        <f aca="false">IF(AW19=0,0,SUMPRODUCT((Premissas!$B$74:$B$82="Dados")*((Premissas!$C$74:$C$82="Planejado")+(Premissas!$C$74:$C$82="Em estudo")*Premissas!$B$70)*(Premissas!$F$74:$F$82&lt;=AW$4)*(Premissas!$G$74:$G$82&gt;=AW$4)*(Premissas!$D$74:$D$82="Fixo mensal")*Premissas!$E$74:$E$82)+SUMPRODUCT((Premissas!$B$74:$B$82="Dados")*((Premissas!$C$74:$C$82="Planejado")+(Premissas!$C$74:$C$82="Em estudo")*Premissas!$B$70)*(Premissas!$F$74:$F$82&lt;=AW$4)*(Premissas!$G$74:$G$82&gt;=AW$4)*(Premissas!$D$74:$D$82="Por usuário")*Premissas!$E$74:$E$82)*AW19)</f>
        <v>5750</v>
      </c>
      <c r="AX26" s="168" t="n">
        <f aca="false">IF(AX19=0,0,SUMPRODUCT((Premissas!$B$74:$B$82="Dados")*((Premissas!$C$74:$C$82="Planejado")+(Premissas!$C$74:$C$82="Em estudo")*Premissas!$B$70)*(Premissas!$F$74:$F$82&lt;=AX$4)*(Premissas!$G$74:$G$82&gt;=AX$4)*(Premissas!$D$74:$D$82="Fixo mensal")*Premissas!$E$74:$E$82)+SUMPRODUCT((Premissas!$B$74:$B$82="Dados")*((Premissas!$C$74:$C$82="Planejado")+(Premissas!$C$74:$C$82="Em estudo")*Premissas!$B$70)*(Premissas!$F$74:$F$82&lt;=AX$4)*(Premissas!$G$74:$G$82&gt;=AX$4)*(Premissas!$D$74:$D$82="Por usuário")*Premissas!$E$74:$E$82)*AX19)</f>
        <v>5750</v>
      </c>
      <c r="AY26" s="168" t="n">
        <f aca="false">IF(AY19=0,0,SUMPRODUCT((Premissas!$B$74:$B$82="Dados")*((Premissas!$C$74:$C$82="Planejado")+(Premissas!$C$74:$C$82="Em estudo")*Premissas!$B$70)*(Premissas!$F$74:$F$82&lt;=AY$4)*(Premissas!$G$74:$G$82&gt;=AY$4)*(Premissas!$D$74:$D$82="Fixo mensal")*Premissas!$E$74:$E$82)+SUMPRODUCT((Premissas!$B$74:$B$82="Dados")*((Premissas!$C$74:$C$82="Planejado")+(Premissas!$C$74:$C$82="Em estudo")*Premissas!$B$70)*(Premissas!$F$74:$F$82&lt;=AY$4)*(Premissas!$G$74:$G$82&gt;=AY$4)*(Premissas!$D$74:$D$82="Por usuário")*Premissas!$E$74:$E$82)*AY19)</f>
        <v>5750</v>
      </c>
      <c r="AZ26" s="168" t="n">
        <f aca="false">IF(AZ19=0,0,SUMPRODUCT((Premissas!$B$74:$B$82="Dados")*((Premissas!$C$74:$C$82="Planejado")+(Premissas!$C$74:$C$82="Em estudo")*Premissas!$B$70)*(Premissas!$F$74:$F$82&lt;=AZ$4)*(Premissas!$G$74:$G$82&gt;=AZ$4)*(Premissas!$D$74:$D$82="Fixo mensal")*Premissas!$E$74:$E$82)+SUMPRODUCT((Premissas!$B$74:$B$82="Dados")*((Premissas!$C$74:$C$82="Planejado")+(Premissas!$C$74:$C$82="Em estudo")*Premissas!$B$70)*(Premissas!$F$74:$F$82&lt;=AZ$4)*(Premissas!$G$74:$G$82&gt;=AZ$4)*(Premissas!$D$74:$D$82="Por usuário")*Premissas!$E$74:$E$82)*AZ19)</f>
        <v>5750</v>
      </c>
      <c r="BA26" s="168" t="n">
        <f aca="false">IF(BA19=0,0,SUMPRODUCT((Premissas!$B$74:$B$82="Dados")*((Premissas!$C$74:$C$82="Planejado")+(Premissas!$C$74:$C$82="Em estudo")*Premissas!$B$70)*(Premissas!$F$74:$F$82&lt;=BA$4)*(Premissas!$G$74:$G$82&gt;=BA$4)*(Premissas!$D$74:$D$82="Fixo mensal")*Premissas!$E$74:$E$82)+SUMPRODUCT((Premissas!$B$74:$B$82="Dados")*((Premissas!$C$74:$C$82="Planejado")+(Premissas!$C$74:$C$82="Em estudo")*Premissas!$B$70)*(Premissas!$F$74:$F$82&lt;=BA$4)*(Premissas!$G$74:$G$82&gt;=BA$4)*(Premissas!$D$74:$D$82="Por usuário")*Premissas!$E$74:$E$82)*BA19)</f>
        <v>5750</v>
      </c>
      <c r="BB26" s="168" t="n">
        <f aca="false">IF(BB19=0,0,SUMPRODUCT((Premissas!$B$74:$B$82="Dados")*((Premissas!$C$74:$C$82="Planejado")+(Premissas!$C$74:$C$82="Em estudo")*Premissas!$B$70)*(Premissas!$F$74:$F$82&lt;=BB$4)*(Premissas!$G$74:$G$82&gt;=BB$4)*(Premissas!$D$74:$D$82="Fixo mensal")*Premissas!$E$74:$E$82)+SUMPRODUCT((Premissas!$B$74:$B$82="Dados")*((Premissas!$C$74:$C$82="Planejado")+(Premissas!$C$74:$C$82="Em estudo")*Premissas!$B$70)*(Premissas!$F$74:$F$82&lt;=BB$4)*(Premissas!$G$74:$G$82&gt;=BB$4)*(Premissas!$D$74:$D$82="Por usuário")*Premissas!$E$74:$E$82)*BB19)</f>
        <v>5750</v>
      </c>
      <c r="BC26" s="168" t="n">
        <f aca="false">IF(BC19=0,0,SUMPRODUCT((Premissas!$B$74:$B$82="Dados")*((Premissas!$C$74:$C$82="Planejado")+(Premissas!$C$74:$C$82="Em estudo")*Premissas!$B$70)*(Premissas!$F$74:$F$82&lt;=BC$4)*(Premissas!$G$74:$G$82&gt;=BC$4)*(Premissas!$D$74:$D$82="Fixo mensal")*Premissas!$E$74:$E$82)+SUMPRODUCT((Premissas!$B$74:$B$82="Dados")*((Premissas!$C$74:$C$82="Planejado")+(Premissas!$C$74:$C$82="Em estudo")*Premissas!$B$70)*(Premissas!$F$74:$F$82&lt;=BC$4)*(Premissas!$G$74:$G$82&gt;=BC$4)*(Premissas!$D$74:$D$82="Por usuário")*Premissas!$E$74:$E$82)*BC19)</f>
        <v>5750</v>
      </c>
      <c r="BD26" s="168" t="n">
        <f aca="false">IF(BD19=0,0,SUMPRODUCT((Premissas!$B$74:$B$82="Dados")*((Premissas!$C$74:$C$82="Planejado")+(Premissas!$C$74:$C$82="Em estudo")*Premissas!$B$70)*(Premissas!$F$74:$F$82&lt;=BD$4)*(Premissas!$G$74:$G$82&gt;=BD$4)*(Premissas!$D$74:$D$82="Fixo mensal")*Premissas!$E$74:$E$82)+SUMPRODUCT((Premissas!$B$74:$B$82="Dados")*((Premissas!$C$74:$C$82="Planejado")+(Premissas!$C$74:$C$82="Em estudo")*Premissas!$B$70)*(Premissas!$F$74:$F$82&lt;=BD$4)*(Premissas!$G$74:$G$82&gt;=BD$4)*(Premissas!$D$74:$D$82="Por usuário")*Premissas!$E$74:$E$82)*BD19)</f>
        <v>5750</v>
      </c>
      <c r="BE26" s="168" t="n">
        <f aca="false">IF(BE19=0,0,SUMPRODUCT((Premissas!$B$74:$B$82="Dados")*((Premissas!$C$74:$C$82="Planejado")+(Premissas!$C$74:$C$82="Em estudo")*Premissas!$B$70)*(Premissas!$F$74:$F$82&lt;=BE$4)*(Premissas!$G$74:$G$82&gt;=BE$4)*(Premissas!$D$74:$D$82="Fixo mensal")*Premissas!$E$74:$E$82)+SUMPRODUCT((Premissas!$B$74:$B$82="Dados")*((Premissas!$C$74:$C$82="Planejado")+(Premissas!$C$74:$C$82="Em estudo")*Premissas!$B$70)*(Premissas!$F$74:$F$82&lt;=BE$4)*(Premissas!$G$74:$G$82&gt;=BE$4)*(Premissas!$D$74:$D$82="Por usuário")*Premissas!$E$74:$E$82)*BE19)</f>
        <v>5750</v>
      </c>
      <c r="BF26" s="168" t="n">
        <f aca="false">IF(BF19=0,0,SUMPRODUCT((Premissas!$B$74:$B$82="Dados")*((Premissas!$C$74:$C$82="Planejado")+(Premissas!$C$74:$C$82="Em estudo")*Premissas!$B$70)*(Premissas!$F$74:$F$82&lt;=BF$4)*(Premissas!$G$74:$G$82&gt;=BF$4)*(Premissas!$D$74:$D$82="Fixo mensal")*Premissas!$E$74:$E$82)+SUMPRODUCT((Premissas!$B$74:$B$82="Dados")*((Premissas!$C$74:$C$82="Planejado")+(Premissas!$C$74:$C$82="Em estudo")*Premissas!$B$70)*(Premissas!$F$74:$F$82&lt;=BF$4)*(Premissas!$G$74:$G$82&gt;=BF$4)*(Premissas!$D$74:$D$82="Por usuário")*Premissas!$E$74:$E$82)*BF19)</f>
        <v>5750</v>
      </c>
      <c r="BG26" s="168" t="n">
        <f aca="false">IF(BG19=0,0,SUMPRODUCT((Premissas!$B$74:$B$82="Dados")*((Premissas!$C$74:$C$82="Planejado")+(Premissas!$C$74:$C$82="Em estudo")*Premissas!$B$70)*(Premissas!$F$74:$F$82&lt;=BG$4)*(Premissas!$G$74:$G$82&gt;=BG$4)*(Premissas!$D$74:$D$82="Fixo mensal")*Premissas!$E$74:$E$82)+SUMPRODUCT((Premissas!$B$74:$B$82="Dados")*((Premissas!$C$74:$C$82="Planejado")+(Premissas!$C$74:$C$82="Em estudo")*Premissas!$B$70)*(Premissas!$F$74:$F$82&lt;=BG$4)*(Premissas!$G$74:$G$82&gt;=BG$4)*(Premissas!$D$74:$D$82="Por usuário")*Premissas!$E$74:$E$82)*BG19)</f>
        <v>5750</v>
      </c>
      <c r="BH26" s="168" t="n">
        <f aca="false">IF(BH19=0,0,SUMPRODUCT((Premissas!$B$74:$B$82="Dados")*((Premissas!$C$74:$C$82="Planejado")+(Premissas!$C$74:$C$82="Em estudo")*Premissas!$B$70)*(Premissas!$F$74:$F$82&lt;=BH$4)*(Premissas!$G$74:$G$82&gt;=BH$4)*(Premissas!$D$74:$D$82="Fixo mensal")*Premissas!$E$74:$E$82)+SUMPRODUCT((Premissas!$B$74:$B$82="Dados")*((Premissas!$C$74:$C$82="Planejado")+(Premissas!$C$74:$C$82="Em estudo")*Premissas!$B$70)*(Premissas!$F$74:$F$82&lt;=BH$4)*(Premissas!$G$74:$G$82&gt;=BH$4)*(Premissas!$D$74:$D$82="Por usuário")*Premissas!$E$74:$E$82)*BH19)</f>
        <v>5750</v>
      </c>
      <c r="BI26" s="168" t="n">
        <f aca="false">IF(BI19=0,0,SUMPRODUCT((Premissas!$B$74:$B$82="Dados")*((Premissas!$C$74:$C$82="Planejado")+(Premissas!$C$74:$C$82="Em estudo")*Premissas!$B$70)*(Premissas!$F$74:$F$82&lt;=BI$4)*(Premissas!$G$74:$G$82&gt;=BI$4)*(Premissas!$D$74:$D$82="Fixo mensal")*Premissas!$E$74:$E$82)+SUMPRODUCT((Premissas!$B$74:$B$82="Dados")*((Premissas!$C$74:$C$82="Planejado")+(Premissas!$C$74:$C$82="Em estudo")*Premissas!$B$70)*(Premissas!$F$74:$F$82&lt;=BI$4)*(Premissas!$G$74:$G$82&gt;=BI$4)*(Premissas!$D$74:$D$82="Por usuário")*Premissas!$E$74:$E$82)*BI19)</f>
        <v>5750</v>
      </c>
      <c r="BJ26" s="154" t="n">
        <f aca="false">SUM(B26:BI26)</f>
        <v>224250</v>
      </c>
      <c r="BK26" s="51" t="s">
        <v>748</v>
      </c>
    </row>
    <row r="27" customFormat="false" ht="15.75" hidden="false" customHeight="true" outlineLevel="0" collapsed="false">
      <c r="A27" s="49" t="s">
        <v>757</v>
      </c>
      <c r="B27" s="168" t="n">
        <f aca="false">SUMPRODUCT((Premissas!$B$74:$B$82="Outras")*((Premissas!$C$74:$C$82="Planejado")+(Premissas!$C$74:$C$82="Em estudo")*Premissas!$B$70)*(Premissas!$F$74:$F$82&lt;=B$4)*(Premissas!$G$74:$G$82&gt;=B$4)*(Premissas!$D$74:$D$82="Fixo mensal")*Premissas!$E$74:$E$82)+SUMPRODUCT((Premissas!$B$74:$B$82="Outras")*((Premissas!$C$74:$C$82="Planejado")+(Premissas!$C$74:$C$82="Em estudo")*Premissas!$B$70)*(Premissas!$F$74:$F$82&lt;=B$4)*(Premissas!$G$74:$G$82&gt;=B$4)*(Premissas!$D$74:$D$82="Por usuário")*Premissas!$E$74:$E$82)*B19</f>
        <v>0</v>
      </c>
      <c r="C27" s="168" t="n">
        <f aca="false">SUMPRODUCT((Premissas!$B$74:$B$82="Outras")*((Premissas!$C$74:$C$82="Planejado")+(Premissas!$C$74:$C$82="Em estudo")*Premissas!$B$70)*(Premissas!$F$74:$F$82&lt;=C$4)*(Premissas!$G$74:$G$82&gt;=C$4)*(Premissas!$D$74:$D$82="Fixo mensal")*Premissas!$E$74:$E$82)+SUMPRODUCT((Premissas!$B$74:$B$82="Outras")*((Premissas!$C$74:$C$82="Planejado")+(Premissas!$C$74:$C$82="Em estudo")*Premissas!$B$70)*(Premissas!$F$74:$F$82&lt;=C$4)*(Premissas!$G$74:$G$82&gt;=C$4)*(Premissas!$D$74:$D$82="Por usuário")*Premissas!$E$74:$E$82)*C19</f>
        <v>0</v>
      </c>
      <c r="D27" s="168" t="n">
        <f aca="false">SUMPRODUCT((Premissas!$B$74:$B$82="Outras")*((Premissas!$C$74:$C$82="Planejado")+(Premissas!$C$74:$C$82="Em estudo")*Premissas!$B$70)*(Premissas!$F$74:$F$82&lt;=D$4)*(Premissas!$G$74:$G$82&gt;=D$4)*(Premissas!$D$74:$D$82="Fixo mensal")*Premissas!$E$74:$E$82)+SUMPRODUCT((Premissas!$B$74:$B$82="Outras")*((Premissas!$C$74:$C$82="Planejado")+(Premissas!$C$74:$C$82="Em estudo")*Premissas!$B$70)*(Premissas!$F$74:$F$82&lt;=D$4)*(Premissas!$G$74:$G$82&gt;=D$4)*(Premissas!$D$74:$D$82="Por usuário")*Premissas!$E$74:$E$82)*D19</f>
        <v>0</v>
      </c>
      <c r="E27" s="168" t="n">
        <f aca="false">SUMPRODUCT((Premissas!$B$74:$B$82="Outras")*((Premissas!$C$74:$C$82="Planejado")+(Premissas!$C$74:$C$82="Em estudo")*Premissas!$B$70)*(Premissas!$F$74:$F$82&lt;=E$4)*(Premissas!$G$74:$G$82&gt;=E$4)*(Premissas!$D$74:$D$82="Fixo mensal")*Premissas!$E$74:$E$82)+SUMPRODUCT((Premissas!$B$74:$B$82="Outras")*((Premissas!$C$74:$C$82="Planejado")+(Premissas!$C$74:$C$82="Em estudo")*Premissas!$B$70)*(Premissas!$F$74:$F$82&lt;=E$4)*(Premissas!$G$74:$G$82&gt;=E$4)*(Premissas!$D$74:$D$82="Por usuário")*Premissas!$E$74:$E$82)*E19</f>
        <v>0</v>
      </c>
      <c r="F27" s="168" t="n">
        <f aca="false">SUMPRODUCT((Premissas!$B$74:$B$82="Outras")*((Premissas!$C$74:$C$82="Planejado")+(Premissas!$C$74:$C$82="Em estudo")*Premissas!$B$70)*(Premissas!$F$74:$F$82&lt;=F$4)*(Premissas!$G$74:$G$82&gt;=F$4)*(Premissas!$D$74:$D$82="Fixo mensal")*Premissas!$E$74:$E$82)+SUMPRODUCT((Premissas!$B$74:$B$82="Outras")*((Premissas!$C$74:$C$82="Planejado")+(Premissas!$C$74:$C$82="Em estudo")*Premissas!$B$70)*(Premissas!$F$74:$F$82&lt;=F$4)*(Premissas!$G$74:$G$82&gt;=F$4)*(Premissas!$D$74:$D$82="Por usuário")*Premissas!$E$74:$E$82)*F19</f>
        <v>0</v>
      </c>
      <c r="G27" s="168" t="n">
        <f aca="false">SUMPRODUCT((Premissas!$B$74:$B$82="Outras")*((Premissas!$C$74:$C$82="Planejado")+(Premissas!$C$74:$C$82="Em estudo")*Premissas!$B$70)*(Premissas!$F$74:$F$82&lt;=G$4)*(Premissas!$G$74:$G$82&gt;=G$4)*(Premissas!$D$74:$D$82="Fixo mensal")*Premissas!$E$74:$E$82)+SUMPRODUCT((Premissas!$B$74:$B$82="Outras")*((Premissas!$C$74:$C$82="Planejado")+(Premissas!$C$74:$C$82="Em estudo")*Premissas!$B$70)*(Premissas!$F$74:$F$82&lt;=G$4)*(Premissas!$G$74:$G$82&gt;=G$4)*(Premissas!$D$74:$D$82="Por usuário")*Premissas!$E$74:$E$82)*G19</f>
        <v>0</v>
      </c>
      <c r="H27" s="168" t="n">
        <f aca="false">SUMPRODUCT((Premissas!$B$74:$B$82="Outras")*((Premissas!$C$74:$C$82="Planejado")+(Premissas!$C$74:$C$82="Em estudo")*Premissas!$B$70)*(Premissas!$F$74:$F$82&lt;=H$4)*(Premissas!$G$74:$G$82&gt;=H$4)*(Premissas!$D$74:$D$82="Fixo mensal")*Premissas!$E$74:$E$82)+SUMPRODUCT((Premissas!$B$74:$B$82="Outras")*((Premissas!$C$74:$C$82="Planejado")+(Premissas!$C$74:$C$82="Em estudo")*Premissas!$B$70)*(Premissas!$F$74:$F$82&lt;=H$4)*(Premissas!$G$74:$G$82&gt;=H$4)*(Premissas!$D$74:$D$82="Por usuário")*Premissas!$E$74:$E$82)*H19</f>
        <v>0</v>
      </c>
      <c r="I27" s="168" t="n">
        <f aca="false">SUMPRODUCT((Premissas!$B$74:$B$82="Outras")*((Premissas!$C$74:$C$82="Planejado")+(Premissas!$C$74:$C$82="Em estudo")*Premissas!$B$70)*(Premissas!$F$74:$F$82&lt;=I$4)*(Premissas!$G$74:$G$82&gt;=I$4)*(Premissas!$D$74:$D$82="Fixo mensal")*Premissas!$E$74:$E$82)+SUMPRODUCT((Premissas!$B$74:$B$82="Outras")*((Premissas!$C$74:$C$82="Planejado")+(Premissas!$C$74:$C$82="Em estudo")*Premissas!$B$70)*(Premissas!$F$74:$F$82&lt;=I$4)*(Premissas!$G$74:$G$82&gt;=I$4)*(Premissas!$D$74:$D$82="Por usuário")*Premissas!$E$74:$E$82)*I19</f>
        <v>0</v>
      </c>
      <c r="J27" s="168" t="n">
        <f aca="false">SUMPRODUCT((Premissas!$B$74:$B$82="Outras")*((Premissas!$C$74:$C$82="Planejado")+(Premissas!$C$74:$C$82="Em estudo")*Premissas!$B$70)*(Premissas!$F$74:$F$82&lt;=J$4)*(Premissas!$G$74:$G$82&gt;=J$4)*(Premissas!$D$74:$D$82="Fixo mensal")*Premissas!$E$74:$E$82)+SUMPRODUCT((Premissas!$B$74:$B$82="Outras")*((Premissas!$C$74:$C$82="Planejado")+(Premissas!$C$74:$C$82="Em estudo")*Premissas!$B$70)*(Premissas!$F$74:$F$82&lt;=J$4)*(Premissas!$G$74:$G$82&gt;=J$4)*(Premissas!$D$74:$D$82="Por usuário")*Premissas!$E$74:$E$82)*J19</f>
        <v>0</v>
      </c>
      <c r="K27" s="168" t="n">
        <f aca="false">SUMPRODUCT((Premissas!$B$74:$B$82="Outras")*((Premissas!$C$74:$C$82="Planejado")+(Premissas!$C$74:$C$82="Em estudo")*Premissas!$B$70)*(Premissas!$F$74:$F$82&lt;=K$4)*(Premissas!$G$74:$G$82&gt;=K$4)*(Premissas!$D$74:$D$82="Fixo mensal")*Premissas!$E$74:$E$82)+SUMPRODUCT((Premissas!$B$74:$B$82="Outras")*((Premissas!$C$74:$C$82="Planejado")+(Premissas!$C$74:$C$82="Em estudo")*Premissas!$B$70)*(Premissas!$F$74:$F$82&lt;=K$4)*(Premissas!$G$74:$G$82&gt;=K$4)*(Premissas!$D$74:$D$82="Por usuário")*Premissas!$E$74:$E$82)*K19</f>
        <v>0</v>
      </c>
      <c r="L27" s="168" t="n">
        <f aca="false">SUMPRODUCT((Premissas!$B$74:$B$82="Outras")*((Premissas!$C$74:$C$82="Planejado")+(Premissas!$C$74:$C$82="Em estudo")*Premissas!$B$70)*(Premissas!$F$74:$F$82&lt;=L$4)*(Premissas!$G$74:$G$82&gt;=L$4)*(Premissas!$D$74:$D$82="Fixo mensal")*Premissas!$E$74:$E$82)+SUMPRODUCT((Premissas!$B$74:$B$82="Outras")*((Premissas!$C$74:$C$82="Planejado")+(Premissas!$C$74:$C$82="Em estudo")*Premissas!$B$70)*(Premissas!$F$74:$F$82&lt;=L$4)*(Premissas!$G$74:$G$82&gt;=L$4)*(Premissas!$D$74:$D$82="Por usuário")*Premissas!$E$74:$E$82)*L19</f>
        <v>0</v>
      </c>
      <c r="M27" s="168" t="n">
        <f aca="false">SUMPRODUCT((Premissas!$B$74:$B$82="Outras")*((Premissas!$C$74:$C$82="Planejado")+(Premissas!$C$74:$C$82="Em estudo")*Premissas!$B$70)*(Premissas!$F$74:$F$82&lt;=M$4)*(Premissas!$G$74:$G$82&gt;=M$4)*(Premissas!$D$74:$D$82="Fixo mensal")*Premissas!$E$74:$E$82)+SUMPRODUCT((Premissas!$B$74:$B$82="Outras")*((Premissas!$C$74:$C$82="Planejado")+(Premissas!$C$74:$C$82="Em estudo")*Premissas!$B$70)*(Premissas!$F$74:$F$82&lt;=M$4)*(Premissas!$G$74:$G$82&gt;=M$4)*(Premissas!$D$74:$D$82="Por usuário")*Premissas!$E$74:$E$82)*M19</f>
        <v>0</v>
      </c>
      <c r="N27" s="168" t="n">
        <f aca="false">SUMPRODUCT((Premissas!$B$74:$B$82="Outras")*((Premissas!$C$74:$C$82="Planejado")+(Premissas!$C$74:$C$82="Em estudo")*Premissas!$B$70)*(Premissas!$F$74:$F$82&lt;=N$4)*(Premissas!$G$74:$G$82&gt;=N$4)*(Premissas!$D$74:$D$82="Fixo mensal")*Premissas!$E$74:$E$82)+SUMPRODUCT((Premissas!$B$74:$B$82="Outras")*((Premissas!$C$74:$C$82="Planejado")+(Premissas!$C$74:$C$82="Em estudo")*Premissas!$B$70)*(Premissas!$F$74:$F$82&lt;=N$4)*(Premissas!$G$74:$G$82&gt;=N$4)*(Premissas!$D$74:$D$82="Por usuário")*Premissas!$E$74:$E$82)*N19</f>
        <v>0</v>
      </c>
      <c r="O27" s="168" t="n">
        <f aca="false">SUMPRODUCT((Premissas!$B$74:$B$82="Outras")*((Premissas!$C$74:$C$82="Planejado")+(Premissas!$C$74:$C$82="Em estudo")*Premissas!$B$70)*(Premissas!$F$74:$F$82&lt;=O$4)*(Premissas!$G$74:$G$82&gt;=O$4)*(Premissas!$D$74:$D$82="Fixo mensal")*Premissas!$E$74:$E$82)+SUMPRODUCT((Premissas!$B$74:$B$82="Outras")*((Premissas!$C$74:$C$82="Planejado")+(Premissas!$C$74:$C$82="Em estudo")*Premissas!$B$70)*(Premissas!$F$74:$F$82&lt;=O$4)*(Premissas!$G$74:$G$82&gt;=O$4)*(Premissas!$D$74:$D$82="Por usuário")*Premissas!$E$74:$E$82)*O19</f>
        <v>0</v>
      </c>
      <c r="P27" s="168" t="n">
        <f aca="false">SUMPRODUCT((Premissas!$B$74:$B$82="Outras")*((Premissas!$C$74:$C$82="Planejado")+(Premissas!$C$74:$C$82="Em estudo")*Premissas!$B$70)*(Premissas!$F$74:$F$82&lt;=P$4)*(Premissas!$G$74:$G$82&gt;=P$4)*(Premissas!$D$74:$D$82="Fixo mensal")*Premissas!$E$74:$E$82)+SUMPRODUCT((Premissas!$B$74:$B$82="Outras")*((Premissas!$C$74:$C$82="Planejado")+(Premissas!$C$74:$C$82="Em estudo")*Premissas!$B$70)*(Premissas!$F$74:$F$82&lt;=P$4)*(Premissas!$G$74:$G$82&gt;=P$4)*(Premissas!$D$74:$D$82="Por usuário")*Premissas!$E$74:$E$82)*P19</f>
        <v>0</v>
      </c>
      <c r="Q27" s="168" t="n">
        <f aca="false">SUMPRODUCT((Premissas!$B$74:$B$82="Outras")*((Premissas!$C$74:$C$82="Planejado")+(Premissas!$C$74:$C$82="Em estudo")*Premissas!$B$70)*(Premissas!$F$74:$F$82&lt;=Q$4)*(Premissas!$G$74:$G$82&gt;=Q$4)*(Premissas!$D$74:$D$82="Fixo mensal")*Premissas!$E$74:$E$82)+SUMPRODUCT((Premissas!$B$74:$B$82="Outras")*((Premissas!$C$74:$C$82="Planejado")+(Premissas!$C$74:$C$82="Em estudo")*Premissas!$B$70)*(Premissas!$F$74:$F$82&lt;=Q$4)*(Premissas!$G$74:$G$82&gt;=Q$4)*(Premissas!$D$74:$D$82="Por usuário")*Premissas!$E$74:$E$82)*Q19</f>
        <v>0</v>
      </c>
      <c r="R27" s="168" t="n">
        <f aca="false">SUMPRODUCT((Premissas!$B$74:$B$82="Outras")*((Premissas!$C$74:$C$82="Planejado")+(Premissas!$C$74:$C$82="Em estudo")*Premissas!$B$70)*(Premissas!$F$74:$F$82&lt;=R$4)*(Premissas!$G$74:$G$82&gt;=R$4)*(Premissas!$D$74:$D$82="Fixo mensal")*Premissas!$E$74:$E$82)+SUMPRODUCT((Premissas!$B$74:$B$82="Outras")*((Premissas!$C$74:$C$82="Planejado")+(Premissas!$C$74:$C$82="Em estudo")*Premissas!$B$70)*(Premissas!$F$74:$F$82&lt;=R$4)*(Premissas!$G$74:$G$82&gt;=R$4)*(Premissas!$D$74:$D$82="Por usuário")*Premissas!$E$74:$E$82)*R19</f>
        <v>0</v>
      </c>
      <c r="S27" s="168" t="n">
        <f aca="false">SUMPRODUCT((Premissas!$B$74:$B$82="Outras")*((Premissas!$C$74:$C$82="Planejado")+(Premissas!$C$74:$C$82="Em estudo")*Premissas!$B$70)*(Premissas!$F$74:$F$82&lt;=S$4)*(Premissas!$G$74:$G$82&gt;=S$4)*(Premissas!$D$74:$D$82="Fixo mensal")*Premissas!$E$74:$E$82)+SUMPRODUCT((Premissas!$B$74:$B$82="Outras")*((Premissas!$C$74:$C$82="Planejado")+(Premissas!$C$74:$C$82="Em estudo")*Premissas!$B$70)*(Premissas!$F$74:$F$82&lt;=S$4)*(Premissas!$G$74:$G$82&gt;=S$4)*(Premissas!$D$74:$D$82="Por usuário")*Premissas!$E$74:$E$82)*S19</f>
        <v>0</v>
      </c>
      <c r="T27" s="168" t="n">
        <f aca="false">SUMPRODUCT((Premissas!$B$74:$B$82="Outras")*((Premissas!$C$74:$C$82="Planejado")+(Premissas!$C$74:$C$82="Em estudo")*Premissas!$B$70)*(Premissas!$F$74:$F$82&lt;=T$4)*(Premissas!$G$74:$G$82&gt;=T$4)*(Premissas!$D$74:$D$82="Fixo mensal")*Premissas!$E$74:$E$82)+SUMPRODUCT((Premissas!$B$74:$B$82="Outras")*((Premissas!$C$74:$C$82="Planejado")+(Premissas!$C$74:$C$82="Em estudo")*Premissas!$B$70)*(Premissas!$F$74:$F$82&lt;=T$4)*(Premissas!$G$74:$G$82&gt;=T$4)*(Premissas!$D$74:$D$82="Por usuário")*Premissas!$E$74:$E$82)*T19</f>
        <v>0</v>
      </c>
      <c r="U27" s="168" t="n">
        <f aca="false">SUMPRODUCT((Premissas!$B$74:$B$82="Outras")*((Premissas!$C$74:$C$82="Planejado")+(Premissas!$C$74:$C$82="Em estudo")*Premissas!$B$70)*(Premissas!$F$74:$F$82&lt;=U$4)*(Premissas!$G$74:$G$82&gt;=U$4)*(Premissas!$D$74:$D$82="Fixo mensal")*Premissas!$E$74:$E$82)+SUMPRODUCT((Premissas!$B$74:$B$82="Outras")*((Premissas!$C$74:$C$82="Planejado")+(Premissas!$C$74:$C$82="Em estudo")*Premissas!$B$70)*(Premissas!$F$74:$F$82&lt;=U$4)*(Premissas!$G$74:$G$82&gt;=U$4)*(Premissas!$D$74:$D$82="Por usuário")*Premissas!$E$74:$E$82)*U19</f>
        <v>0</v>
      </c>
      <c r="V27" s="168" t="n">
        <f aca="false">SUMPRODUCT((Premissas!$B$74:$B$82="Outras")*((Premissas!$C$74:$C$82="Planejado")+(Premissas!$C$74:$C$82="Em estudo")*Premissas!$B$70)*(Premissas!$F$74:$F$82&lt;=V$4)*(Premissas!$G$74:$G$82&gt;=V$4)*(Premissas!$D$74:$D$82="Fixo mensal")*Premissas!$E$74:$E$82)+SUMPRODUCT((Premissas!$B$74:$B$82="Outras")*((Premissas!$C$74:$C$82="Planejado")+(Premissas!$C$74:$C$82="Em estudo")*Premissas!$B$70)*(Premissas!$F$74:$F$82&lt;=V$4)*(Premissas!$G$74:$G$82&gt;=V$4)*(Premissas!$D$74:$D$82="Por usuário")*Premissas!$E$74:$E$82)*V19</f>
        <v>0</v>
      </c>
      <c r="W27" s="168" t="n">
        <f aca="false">SUMPRODUCT((Premissas!$B$74:$B$82="Outras")*((Premissas!$C$74:$C$82="Planejado")+(Premissas!$C$74:$C$82="Em estudo")*Premissas!$B$70)*(Premissas!$F$74:$F$82&lt;=W$4)*(Premissas!$G$74:$G$82&gt;=W$4)*(Premissas!$D$74:$D$82="Fixo mensal")*Premissas!$E$74:$E$82)+SUMPRODUCT((Premissas!$B$74:$B$82="Outras")*((Premissas!$C$74:$C$82="Planejado")+(Premissas!$C$74:$C$82="Em estudo")*Premissas!$B$70)*(Premissas!$F$74:$F$82&lt;=W$4)*(Premissas!$G$74:$G$82&gt;=W$4)*(Premissas!$D$74:$D$82="Por usuário")*Premissas!$E$74:$E$82)*W19</f>
        <v>0</v>
      </c>
      <c r="X27" s="168" t="n">
        <f aca="false">SUMPRODUCT((Premissas!$B$74:$B$82="Outras")*((Premissas!$C$74:$C$82="Planejado")+(Premissas!$C$74:$C$82="Em estudo")*Premissas!$B$70)*(Premissas!$F$74:$F$82&lt;=X$4)*(Premissas!$G$74:$G$82&gt;=X$4)*(Premissas!$D$74:$D$82="Fixo mensal")*Premissas!$E$74:$E$82)+SUMPRODUCT((Premissas!$B$74:$B$82="Outras")*((Premissas!$C$74:$C$82="Planejado")+(Premissas!$C$74:$C$82="Em estudo")*Premissas!$B$70)*(Premissas!$F$74:$F$82&lt;=X$4)*(Premissas!$G$74:$G$82&gt;=X$4)*(Premissas!$D$74:$D$82="Por usuário")*Premissas!$E$74:$E$82)*X19</f>
        <v>0</v>
      </c>
      <c r="Y27" s="168" t="n">
        <f aca="false">SUMPRODUCT((Premissas!$B$74:$B$82="Outras")*((Premissas!$C$74:$C$82="Planejado")+(Premissas!$C$74:$C$82="Em estudo")*Premissas!$B$70)*(Premissas!$F$74:$F$82&lt;=Y$4)*(Premissas!$G$74:$G$82&gt;=Y$4)*(Premissas!$D$74:$D$82="Fixo mensal")*Premissas!$E$74:$E$82)+SUMPRODUCT((Premissas!$B$74:$B$82="Outras")*((Premissas!$C$74:$C$82="Planejado")+(Premissas!$C$74:$C$82="Em estudo")*Premissas!$B$70)*(Premissas!$F$74:$F$82&lt;=Y$4)*(Premissas!$G$74:$G$82&gt;=Y$4)*(Premissas!$D$74:$D$82="Por usuário")*Premissas!$E$74:$E$82)*Y19</f>
        <v>0</v>
      </c>
      <c r="Z27" s="168" t="n">
        <f aca="false">SUMPRODUCT((Premissas!$B$74:$B$82="Outras")*((Premissas!$C$74:$C$82="Planejado")+(Premissas!$C$74:$C$82="Em estudo")*Premissas!$B$70)*(Premissas!$F$74:$F$82&lt;=Z$4)*(Premissas!$G$74:$G$82&gt;=Z$4)*(Premissas!$D$74:$D$82="Fixo mensal")*Premissas!$E$74:$E$82)+SUMPRODUCT((Premissas!$B$74:$B$82="Outras")*((Premissas!$C$74:$C$82="Planejado")+(Premissas!$C$74:$C$82="Em estudo")*Premissas!$B$70)*(Premissas!$F$74:$F$82&lt;=Z$4)*(Premissas!$G$74:$G$82&gt;=Z$4)*(Premissas!$D$74:$D$82="Por usuário")*Premissas!$E$74:$E$82)*Z19</f>
        <v>0</v>
      </c>
      <c r="AA27" s="168" t="n">
        <f aca="false">SUMPRODUCT((Premissas!$B$74:$B$82="Outras")*((Premissas!$C$74:$C$82="Planejado")+(Premissas!$C$74:$C$82="Em estudo")*Premissas!$B$70)*(Premissas!$F$74:$F$82&lt;=AA$4)*(Premissas!$G$74:$G$82&gt;=AA$4)*(Premissas!$D$74:$D$82="Fixo mensal")*Premissas!$E$74:$E$82)+SUMPRODUCT((Premissas!$B$74:$B$82="Outras")*((Premissas!$C$74:$C$82="Planejado")+(Premissas!$C$74:$C$82="Em estudo")*Premissas!$B$70)*(Premissas!$F$74:$F$82&lt;=AA$4)*(Premissas!$G$74:$G$82&gt;=AA$4)*(Premissas!$D$74:$D$82="Por usuário")*Premissas!$E$74:$E$82)*AA19</f>
        <v>0</v>
      </c>
      <c r="AB27" s="168" t="n">
        <f aca="false">SUMPRODUCT((Premissas!$B$74:$B$82="Outras")*((Premissas!$C$74:$C$82="Planejado")+(Premissas!$C$74:$C$82="Em estudo")*Premissas!$B$70)*(Premissas!$F$74:$F$82&lt;=AB$4)*(Premissas!$G$74:$G$82&gt;=AB$4)*(Premissas!$D$74:$D$82="Fixo mensal")*Premissas!$E$74:$E$82)+SUMPRODUCT((Premissas!$B$74:$B$82="Outras")*((Premissas!$C$74:$C$82="Planejado")+(Premissas!$C$74:$C$82="Em estudo")*Premissas!$B$70)*(Premissas!$F$74:$F$82&lt;=AB$4)*(Premissas!$G$74:$G$82&gt;=AB$4)*(Premissas!$D$74:$D$82="Por usuário")*Premissas!$E$74:$E$82)*AB19</f>
        <v>0</v>
      </c>
      <c r="AC27" s="168" t="n">
        <f aca="false">SUMPRODUCT((Premissas!$B$74:$B$82="Outras")*((Premissas!$C$74:$C$82="Planejado")+(Premissas!$C$74:$C$82="Em estudo")*Premissas!$B$70)*(Premissas!$F$74:$F$82&lt;=AC$4)*(Premissas!$G$74:$G$82&gt;=AC$4)*(Premissas!$D$74:$D$82="Fixo mensal")*Premissas!$E$74:$E$82)+SUMPRODUCT((Premissas!$B$74:$B$82="Outras")*((Premissas!$C$74:$C$82="Planejado")+(Premissas!$C$74:$C$82="Em estudo")*Premissas!$B$70)*(Premissas!$F$74:$F$82&lt;=AC$4)*(Premissas!$G$74:$G$82&gt;=AC$4)*(Premissas!$D$74:$D$82="Por usuário")*Premissas!$E$74:$E$82)*AC19</f>
        <v>0</v>
      </c>
      <c r="AD27" s="168" t="n">
        <f aca="false">SUMPRODUCT((Premissas!$B$74:$B$82="Outras")*((Premissas!$C$74:$C$82="Planejado")+(Premissas!$C$74:$C$82="Em estudo")*Premissas!$B$70)*(Premissas!$F$74:$F$82&lt;=AD$4)*(Premissas!$G$74:$G$82&gt;=AD$4)*(Premissas!$D$74:$D$82="Fixo mensal")*Premissas!$E$74:$E$82)+SUMPRODUCT((Premissas!$B$74:$B$82="Outras")*((Premissas!$C$74:$C$82="Planejado")+(Premissas!$C$74:$C$82="Em estudo")*Premissas!$B$70)*(Premissas!$F$74:$F$82&lt;=AD$4)*(Premissas!$G$74:$G$82&gt;=AD$4)*(Premissas!$D$74:$D$82="Por usuário")*Premissas!$E$74:$E$82)*AD19</f>
        <v>0</v>
      </c>
      <c r="AE27" s="168" t="n">
        <f aca="false">SUMPRODUCT((Premissas!$B$74:$B$82="Outras")*((Premissas!$C$74:$C$82="Planejado")+(Premissas!$C$74:$C$82="Em estudo")*Premissas!$B$70)*(Premissas!$F$74:$F$82&lt;=AE$4)*(Premissas!$G$74:$G$82&gt;=AE$4)*(Premissas!$D$74:$D$82="Fixo mensal")*Premissas!$E$74:$E$82)+SUMPRODUCT((Premissas!$B$74:$B$82="Outras")*((Premissas!$C$74:$C$82="Planejado")+(Premissas!$C$74:$C$82="Em estudo")*Premissas!$B$70)*(Premissas!$F$74:$F$82&lt;=AE$4)*(Premissas!$G$74:$G$82&gt;=AE$4)*(Premissas!$D$74:$D$82="Por usuário")*Premissas!$E$74:$E$82)*AE19</f>
        <v>0</v>
      </c>
      <c r="AF27" s="168" t="n">
        <f aca="false">SUMPRODUCT((Premissas!$B$74:$B$82="Outras")*((Premissas!$C$74:$C$82="Planejado")+(Premissas!$C$74:$C$82="Em estudo")*Premissas!$B$70)*(Premissas!$F$74:$F$82&lt;=AF$4)*(Premissas!$G$74:$G$82&gt;=AF$4)*(Premissas!$D$74:$D$82="Fixo mensal")*Premissas!$E$74:$E$82)+SUMPRODUCT((Premissas!$B$74:$B$82="Outras")*((Premissas!$C$74:$C$82="Planejado")+(Premissas!$C$74:$C$82="Em estudo")*Premissas!$B$70)*(Premissas!$F$74:$F$82&lt;=AF$4)*(Premissas!$G$74:$G$82&gt;=AF$4)*(Premissas!$D$74:$D$82="Por usuário")*Premissas!$E$74:$E$82)*AF19</f>
        <v>0</v>
      </c>
      <c r="AG27" s="168" t="n">
        <f aca="false">SUMPRODUCT((Premissas!$B$74:$B$82="Outras")*((Premissas!$C$74:$C$82="Planejado")+(Premissas!$C$74:$C$82="Em estudo")*Premissas!$B$70)*(Premissas!$F$74:$F$82&lt;=AG$4)*(Premissas!$G$74:$G$82&gt;=AG$4)*(Premissas!$D$74:$D$82="Fixo mensal")*Premissas!$E$74:$E$82)+SUMPRODUCT((Premissas!$B$74:$B$82="Outras")*((Premissas!$C$74:$C$82="Planejado")+(Premissas!$C$74:$C$82="Em estudo")*Premissas!$B$70)*(Premissas!$F$74:$F$82&lt;=AG$4)*(Premissas!$G$74:$G$82&gt;=AG$4)*(Premissas!$D$74:$D$82="Por usuário")*Premissas!$E$74:$E$82)*AG19</f>
        <v>0</v>
      </c>
      <c r="AH27" s="168" t="n">
        <f aca="false">SUMPRODUCT((Premissas!$B$74:$B$82="Outras")*((Premissas!$C$74:$C$82="Planejado")+(Premissas!$C$74:$C$82="Em estudo")*Premissas!$B$70)*(Premissas!$F$74:$F$82&lt;=AH$4)*(Premissas!$G$74:$G$82&gt;=AH$4)*(Premissas!$D$74:$D$82="Fixo mensal")*Premissas!$E$74:$E$82)+SUMPRODUCT((Premissas!$B$74:$B$82="Outras")*((Premissas!$C$74:$C$82="Planejado")+(Premissas!$C$74:$C$82="Em estudo")*Premissas!$B$70)*(Premissas!$F$74:$F$82&lt;=AH$4)*(Premissas!$G$74:$G$82&gt;=AH$4)*(Premissas!$D$74:$D$82="Por usuário")*Premissas!$E$74:$E$82)*AH19</f>
        <v>0</v>
      </c>
      <c r="AI27" s="168" t="n">
        <f aca="false">SUMPRODUCT((Premissas!$B$74:$B$82="Outras")*((Premissas!$C$74:$C$82="Planejado")+(Premissas!$C$74:$C$82="Em estudo")*Premissas!$B$70)*(Premissas!$F$74:$F$82&lt;=AI$4)*(Premissas!$G$74:$G$82&gt;=AI$4)*(Premissas!$D$74:$D$82="Fixo mensal")*Premissas!$E$74:$E$82)+SUMPRODUCT((Premissas!$B$74:$B$82="Outras")*((Premissas!$C$74:$C$82="Planejado")+(Premissas!$C$74:$C$82="Em estudo")*Premissas!$B$70)*(Premissas!$F$74:$F$82&lt;=AI$4)*(Premissas!$G$74:$G$82&gt;=AI$4)*(Premissas!$D$74:$D$82="Por usuário")*Premissas!$E$74:$E$82)*AI19</f>
        <v>0</v>
      </c>
      <c r="AJ27" s="168" t="n">
        <f aca="false">SUMPRODUCT((Premissas!$B$74:$B$82="Outras")*((Premissas!$C$74:$C$82="Planejado")+(Premissas!$C$74:$C$82="Em estudo")*Premissas!$B$70)*(Premissas!$F$74:$F$82&lt;=AJ$4)*(Premissas!$G$74:$G$82&gt;=AJ$4)*(Premissas!$D$74:$D$82="Fixo mensal")*Premissas!$E$74:$E$82)+SUMPRODUCT((Premissas!$B$74:$B$82="Outras")*((Premissas!$C$74:$C$82="Planejado")+(Premissas!$C$74:$C$82="Em estudo")*Premissas!$B$70)*(Premissas!$F$74:$F$82&lt;=AJ$4)*(Premissas!$G$74:$G$82&gt;=AJ$4)*(Premissas!$D$74:$D$82="Por usuário")*Premissas!$E$74:$E$82)*AJ19</f>
        <v>0</v>
      </c>
      <c r="AK27" s="168" t="n">
        <f aca="false">SUMPRODUCT((Premissas!$B$74:$B$82="Outras")*((Premissas!$C$74:$C$82="Planejado")+(Premissas!$C$74:$C$82="Em estudo")*Premissas!$B$70)*(Premissas!$F$74:$F$82&lt;=AK$4)*(Premissas!$G$74:$G$82&gt;=AK$4)*(Premissas!$D$74:$D$82="Fixo mensal")*Premissas!$E$74:$E$82)+SUMPRODUCT((Premissas!$B$74:$B$82="Outras")*((Premissas!$C$74:$C$82="Planejado")+(Premissas!$C$74:$C$82="Em estudo")*Premissas!$B$70)*(Premissas!$F$74:$F$82&lt;=AK$4)*(Premissas!$G$74:$G$82&gt;=AK$4)*(Premissas!$D$74:$D$82="Por usuário")*Premissas!$E$74:$E$82)*AK19</f>
        <v>0</v>
      </c>
      <c r="AL27" s="168" t="n">
        <f aca="false">SUMPRODUCT((Premissas!$B$74:$B$82="Outras")*((Premissas!$C$74:$C$82="Planejado")+(Premissas!$C$74:$C$82="Em estudo")*Premissas!$B$70)*(Premissas!$F$74:$F$82&lt;=AL$4)*(Premissas!$G$74:$G$82&gt;=AL$4)*(Premissas!$D$74:$D$82="Fixo mensal")*Premissas!$E$74:$E$82)+SUMPRODUCT((Premissas!$B$74:$B$82="Outras")*((Premissas!$C$74:$C$82="Planejado")+(Premissas!$C$74:$C$82="Em estudo")*Premissas!$B$70)*(Premissas!$F$74:$F$82&lt;=AL$4)*(Premissas!$G$74:$G$82&gt;=AL$4)*(Premissas!$D$74:$D$82="Por usuário")*Premissas!$E$74:$E$82)*AL19</f>
        <v>0</v>
      </c>
      <c r="AM27" s="168" t="n">
        <f aca="false">SUMPRODUCT((Premissas!$B$74:$B$82="Outras")*((Premissas!$C$74:$C$82="Planejado")+(Premissas!$C$74:$C$82="Em estudo")*Premissas!$B$70)*(Premissas!$F$74:$F$82&lt;=AM$4)*(Premissas!$G$74:$G$82&gt;=AM$4)*(Premissas!$D$74:$D$82="Fixo mensal")*Premissas!$E$74:$E$82)+SUMPRODUCT((Premissas!$B$74:$B$82="Outras")*((Premissas!$C$74:$C$82="Planejado")+(Premissas!$C$74:$C$82="Em estudo")*Premissas!$B$70)*(Premissas!$F$74:$F$82&lt;=AM$4)*(Premissas!$G$74:$G$82&gt;=AM$4)*(Premissas!$D$74:$D$82="Por usuário")*Premissas!$E$74:$E$82)*AM19</f>
        <v>0</v>
      </c>
      <c r="AN27" s="168" t="n">
        <f aca="false">SUMPRODUCT((Premissas!$B$74:$B$82="Outras")*((Premissas!$C$74:$C$82="Planejado")+(Premissas!$C$74:$C$82="Em estudo")*Premissas!$B$70)*(Premissas!$F$74:$F$82&lt;=AN$4)*(Premissas!$G$74:$G$82&gt;=AN$4)*(Premissas!$D$74:$D$82="Fixo mensal")*Premissas!$E$74:$E$82)+SUMPRODUCT((Premissas!$B$74:$B$82="Outras")*((Premissas!$C$74:$C$82="Planejado")+(Premissas!$C$74:$C$82="Em estudo")*Premissas!$B$70)*(Premissas!$F$74:$F$82&lt;=AN$4)*(Premissas!$G$74:$G$82&gt;=AN$4)*(Premissas!$D$74:$D$82="Por usuário")*Premissas!$E$74:$E$82)*AN19</f>
        <v>0</v>
      </c>
      <c r="AO27" s="168" t="n">
        <f aca="false">SUMPRODUCT((Premissas!$B$74:$B$82="Outras")*((Premissas!$C$74:$C$82="Planejado")+(Premissas!$C$74:$C$82="Em estudo")*Premissas!$B$70)*(Premissas!$F$74:$F$82&lt;=AO$4)*(Premissas!$G$74:$G$82&gt;=AO$4)*(Premissas!$D$74:$D$82="Fixo mensal")*Premissas!$E$74:$E$82)+SUMPRODUCT((Premissas!$B$74:$B$82="Outras")*((Premissas!$C$74:$C$82="Planejado")+(Premissas!$C$74:$C$82="Em estudo")*Premissas!$B$70)*(Premissas!$F$74:$F$82&lt;=AO$4)*(Premissas!$G$74:$G$82&gt;=AO$4)*(Premissas!$D$74:$D$82="Por usuário")*Premissas!$E$74:$E$82)*AO19</f>
        <v>0</v>
      </c>
      <c r="AP27" s="168" t="n">
        <f aca="false">SUMPRODUCT((Premissas!$B$74:$B$82="Outras")*((Premissas!$C$74:$C$82="Planejado")+(Premissas!$C$74:$C$82="Em estudo")*Premissas!$B$70)*(Premissas!$F$74:$F$82&lt;=AP$4)*(Premissas!$G$74:$G$82&gt;=AP$4)*(Premissas!$D$74:$D$82="Fixo mensal")*Premissas!$E$74:$E$82)+SUMPRODUCT((Premissas!$B$74:$B$82="Outras")*((Premissas!$C$74:$C$82="Planejado")+(Premissas!$C$74:$C$82="Em estudo")*Premissas!$B$70)*(Premissas!$F$74:$F$82&lt;=AP$4)*(Premissas!$G$74:$G$82&gt;=AP$4)*(Premissas!$D$74:$D$82="Por usuário")*Premissas!$E$74:$E$82)*AP19</f>
        <v>0</v>
      </c>
      <c r="AQ27" s="168" t="n">
        <f aca="false">SUMPRODUCT((Premissas!$B$74:$B$82="Outras")*((Premissas!$C$74:$C$82="Planejado")+(Premissas!$C$74:$C$82="Em estudo")*Premissas!$B$70)*(Premissas!$F$74:$F$82&lt;=AQ$4)*(Premissas!$G$74:$G$82&gt;=AQ$4)*(Premissas!$D$74:$D$82="Fixo mensal")*Premissas!$E$74:$E$82)+SUMPRODUCT((Premissas!$B$74:$B$82="Outras")*((Premissas!$C$74:$C$82="Planejado")+(Premissas!$C$74:$C$82="Em estudo")*Premissas!$B$70)*(Premissas!$F$74:$F$82&lt;=AQ$4)*(Premissas!$G$74:$G$82&gt;=AQ$4)*(Premissas!$D$74:$D$82="Por usuário")*Premissas!$E$74:$E$82)*AQ19</f>
        <v>0</v>
      </c>
      <c r="AR27" s="168" t="n">
        <f aca="false">SUMPRODUCT((Premissas!$B$74:$B$82="Outras")*((Premissas!$C$74:$C$82="Planejado")+(Premissas!$C$74:$C$82="Em estudo")*Premissas!$B$70)*(Premissas!$F$74:$F$82&lt;=AR$4)*(Premissas!$G$74:$G$82&gt;=AR$4)*(Premissas!$D$74:$D$82="Fixo mensal")*Premissas!$E$74:$E$82)+SUMPRODUCT((Premissas!$B$74:$B$82="Outras")*((Premissas!$C$74:$C$82="Planejado")+(Premissas!$C$74:$C$82="Em estudo")*Premissas!$B$70)*(Premissas!$F$74:$F$82&lt;=AR$4)*(Premissas!$G$74:$G$82&gt;=AR$4)*(Premissas!$D$74:$D$82="Por usuário")*Premissas!$E$74:$E$82)*AR19</f>
        <v>0</v>
      </c>
      <c r="AS27" s="168" t="n">
        <f aca="false">SUMPRODUCT((Premissas!$B$74:$B$82="Outras")*((Premissas!$C$74:$C$82="Planejado")+(Premissas!$C$74:$C$82="Em estudo")*Premissas!$B$70)*(Premissas!$F$74:$F$82&lt;=AS$4)*(Premissas!$G$74:$G$82&gt;=AS$4)*(Premissas!$D$74:$D$82="Fixo mensal")*Premissas!$E$74:$E$82)+SUMPRODUCT((Premissas!$B$74:$B$82="Outras")*((Premissas!$C$74:$C$82="Planejado")+(Premissas!$C$74:$C$82="Em estudo")*Premissas!$B$70)*(Premissas!$F$74:$F$82&lt;=AS$4)*(Premissas!$G$74:$G$82&gt;=AS$4)*(Premissas!$D$74:$D$82="Por usuário")*Premissas!$E$74:$E$82)*AS19</f>
        <v>0</v>
      </c>
      <c r="AT27" s="168" t="n">
        <f aca="false">SUMPRODUCT((Premissas!$B$74:$B$82="Outras")*((Premissas!$C$74:$C$82="Planejado")+(Premissas!$C$74:$C$82="Em estudo")*Premissas!$B$70)*(Premissas!$F$74:$F$82&lt;=AT$4)*(Premissas!$G$74:$G$82&gt;=AT$4)*(Premissas!$D$74:$D$82="Fixo mensal")*Premissas!$E$74:$E$82)+SUMPRODUCT((Premissas!$B$74:$B$82="Outras")*((Premissas!$C$74:$C$82="Planejado")+(Premissas!$C$74:$C$82="Em estudo")*Premissas!$B$70)*(Premissas!$F$74:$F$82&lt;=AT$4)*(Premissas!$G$74:$G$82&gt;=AT$4)*(Premissas!$D$74:$D$82="Por usuário")*Premissas!$E$74:$E$82)*AT19</f>
        <v>0</v>
      </c>
      <c r="AU27" s="168" t="n">
        <f aca="false">SUMPRODUCT((Premissas!$B$74:$B$82="Outras")*((Premissas!$C$74:$C$82="Planejado")+(Premissas!$C$74:$C$82="Em estudo")*Premissas!$B$70)*(Premissas!$F$74:$F$82&lt;=AU$4)*(Premissas!$G$74:$G$82&gt;=AU$4)*(Premissas!$D$74:$D$82="Fixo mensal")*Premissas!$E$74:$E$82)+SUMPRODUCT((Premissas!$B$74:$B$82="Outras")*((Premissas!$C$74:$C$82="Planejado")+(Premissas!$C$74:$C$82="Em estudo")*Premissas!$B$70)*(Premissas!$F$74:$F$82&lt;=AU$4)*(Premissas!$G$74:$G$82&gt;=AU$4)*(Premissas!$D$74:$D$82="Por usuário")*Premissas!$E$74:$E$82)*AU19</f>
        <v>0</v>
      </c>
      <c r="AV27" s="168" t="n">
        <f aca="false">SUMPRODUCT((Premissas!$B$74:$B$82="Outras")*((Premissas!$C$74:$C$82="Planejado")+(Premissas!$C$74:$C$82="Em estudo")*Premissas!$B$70)*(Premissas!$F$74:$F$82&lt;=AV$4)*(Premissas!$G$74:$G$82&gt;=AV$4)*(Premissas!$D$74:$D$82="Fixo mensal")*Premissas!$E$74:$E$82)+SUMPRODUCT((Premissas!$B$74:$B$82="Outras")*((Premissas!$C$74:$C$82="Planejado")+(Premissas!$C$74:$C$82="Em estudo")*Premissas!$B$70)*(Premissas!$F$74:$F$82&lt;=AV$4)*(Premissas!$G$74:$G$82&gt;=AV$4)*(Premissas!$D$74:$D$82="Por usuário")*Premissas!$E$74:$E$82)*AV19</f>
        <v>0</v>
      </c>
      <c r="AW27" s="168" t="n">
        <f aca="false">SUMPRODUCT((Premissas!$B$74:$B$82="Outras")*((Premissas!$C$74:$C$82="Planejado")+(Premissas!$C$74:$C$82="Em estudo")*Premissas!$B$70)*(Premissas!$F$74:$F$82&lt;=AW$4)*(Premissas!$G$74:$G$82&gt;=AW$4)*(Premissas!$D$74:$D$82="Fixo mensal")*Premissas!$E$74:$E$82)+SUMPRODUCT((Premissas!$B$74:$B$82="Outras")*((Premissas!$C$74:$C$82="Planejado")+(Premissas!$C$74:$C$82="Em estudo")*Premissas!$B$70)*(Premissas!$F$74:$F$82&lt;=AW$4)*(Premissas!$G$74:$G$82&gt;=AW$4)*(Premissas!$D$74:$D$82="Por usuário")*Premissas!$E$74:$E$82)*AW19</f>
        <v>0</v>
      </c>
      <c r="AX27" s="168" t="n">
        <f aca="false">SUMPRODUCT((Premissas!$B$74:$B$82="Outras")*((Premissas!$C$74:$C$82="Planejado")+(Premissas!$C$74:$C$82="Em estudo")*Premissas!$B$70)*(Premissas!$F$74:$F$82&lt;=AX$4)*(Premissas!$G$74:$G$82&gt;=AX$4)*(Premissas!$D$74:$D$82="Fixo mensal")*Premissas!$E$74:$E$82)+SUMPRODUCT((Premissas!$B$74:$B$82="Outras")*((Premissas!$C$74:$C$82="Planejado")+(Premissas!$C$74:$C$82="Em estudo")*Premissas!$B$70)*(Premissas!$F$74:$F$82&lt;=AX$4)*(Premissas!$G$74:$G$82&gt;=AX$4)*(Premissas!$D$74:$D$82="Por usuário")*Premissas!$E$74:$E$82)*AX19</f>
        <v>0</v>
      </c>
      <c r="AY27" s="168" t="n">
        <f aca="false">SUMPRODUCT((Premissas!$B$74:$B$82="Outras")*((Premissas!$C$74:$C$82="Planejado")+(Premissas!$C$74:$C$82="Em estudo")*Premissas!$B$70)*(Premissas!$F$74:$F$82&lt;=AY$4)*(Premissas!$G$74:$G$82&gt;=AY$4)*(Premissas!$D$74:$D$82="Fixo mensal")*Premissas!$E$74:$E$82)+SUMPRODUCT((Premissas!$B$74:$B$82="Outras")*((Premissas!$C$74:$C$82="Planejado")+(Premissas!$C$74:$C$82="Em estudo")*Premissas!$B$70)*(Premissas!$F$74:$F$82&lt;=AY$4)*(Premissas!$G$74:$G$82&gt;=AY$4)*(Premissas!$D$74:$D$82="Por usuário")*Premissas!$E$74:$E$82)*AY19</f>
        <v>0</v>
      </c>
      <c r="AZ27" s="168" t="n">
        <f aca="false">SUMPRODUCT((Premissas!$B$74:$B$82="Outras")*((Premissas!$C$74:$C$82="Planejado")+(Premissas!$C$74:$C$82="Em estudo")*Premissas!$B$70)*(Premissas!$F$74:$F$82&lt;=AZ$4)*(Premissas!$G$74:$G$82&gt;=AZ$4)*(Premissas!$D$74:$D$82="Fixo mensal")*Premissas!$E$74:$E$82)+SUMPRODUCT((Premissas!$B$74:$B$82="Outras")*((Premissas!$C$74:$C$82="Planejado")+(Premissas!$C$74:$C$82="Em estudo")*Premissas!$B$70)*(Premissas!$F$74:$F$82&lt;=AZ$4)*(Premissas!$G$74:$G$82&gt;=AZ$4)*(Premissas!$D$74:$D$82="Por usuário")*Premissas!$E$74:$E$82)*AZ19</f>
        <v>0</v>
      </c>
      <c r="BA27" s="168" t="n">
        <f aca="false">SUMPRODUCT((Premissas!$B$74:$B$82="Outras")*((Premissas!$C$74:$C$82="Planejado")+(Premissas!$C$74:$C$82="Em estudo")*Premissas!$B$70)*(Premissas!$F$74:$F$82&lt;=BA$4)*(Premissas!$G$74:$G$82&gt;=BA$4)*(Premissas!$D$74:$D$82="Fixo mensal")*Premissas!$E$74:$E$82)+SUMPRODUCT((Premissas!$B$74:$B$82="Outras")*((Premissas!$C$74:$C$82="Planejado")+(Premissas!$C$74:$C$82="Em estudo")*Premissas!$B$70)*(Premissas!$F$74:$F$82&lt;=BA$4)*(Premissas!$G$74:$G$82&gt;=BA$4)*(Premissas!$D$74:$D$82="Por usuário")*Premissas!$E$74:$E$82)*BA19</f>
        <v>0</v>
      </c>
      <c r="BB27" s="168" t="n">
        <f aca="false">SUMPRODUCT((Premissas!$B$74:$B$82="Outras")*((Premissas!$C$74:$C$82="Planejado")+(Premissas!$C$74:$C$82="Em estudo")*Premissas!$B$70)*(Premissas!$F$74:$F$82&lt;=BB$4)*(Premissas!$G$74:$G$82&gt;=BB$4)*(Premissas!$D$74:$D$82="Fixo mensal")*Premissas!$E$74:$E$82)+SUMPRODUCT((Premissas!$B$74:$B$82="Outras")*((Premissas!$C$74:$C$82="Planejado")+(Premissas!$C$74:$C$82="Em estudo")*Premissas!$B$70)*(Premissas!$F$74:$F$82&lt;=BB$4)*(Premissas!$G$74:$G$82&gt;=BB$4)*(Premissas!$D$74:$D$82="Por usuário")*Premissas!$E$74:$E$82)*BB19</f>
        <v>0</v>
      </c>
      <c r="BC27" s="168" t="n">
        <f aca="false">SUMPRODUCT((Premissas!$B$74:$B$82="Outras")*((Premissas!$C$74:$C$82="Planejado")+(Premissas!$C$74:$C$82="Em estudo")*Premissas!$B$70)*(Premissas!$F$74:$F$82&lt;=BC$4)*(Premissas!$G$74:$G$82&gt;=BC$4)*(Premissas!$D$74:$D$82="Fixo mensal")*Premissas!$E$74:$E$82)+SUMPRODUCT((Premissas!$B$74:$B$82="Outras")*((Premissas!$C$74:$C$82="Planejado")+(Premissas!$C$74:$C$82="Em estudo")*Premissas!$B$70)*(Premissas!$F$74:$F$82&lt;=BC$4)*(Premissas!$G$74:$G$82&gt;=BC$4)*(Premissas!$D$74:$D$82="Por usuário")*Premissas!$E$74:$E$82)*BC19</f>
        <v>0</v>
      </c>
      <c r="BD27" s="168" t="n">
        <f aca="false">SUMPRODUCT((Premissas!$B$74:$B$82="Outras")*((Premissas!$C$74:$C$82="Planejado")+(Premissas!$C$74:$C$82="Em estudo")*Premissas!$B$70)*(Premissas!$F$74:$F$82&lt;=BD$4)*(Premissas!$G$74:$G$82&gt;=BD$4)*(Premissas!$D$74:$D$82="Fixo mensal")*Premissas!$E$74:$E$82)+SUMPRODUCT((Premissas!$B$74:$B$82="Outras")*((Premissas!$C$74:$C$82="Planejado")+(Premissas!$C$74:$C$82="Em estudo")*Premissas!$B$70)*(Premissas!$F$74:$F$82&lt;=BD$4)*(Premissas!$G$74:$G$82&gt;=BD$4)*(Premissas!$D$74:$D$82="Por usuário")*Premissas!$E$74:$E$82)*BD19</f>
        <v>0</v>
      </c>
      <c r="BE27" s="168" t="n">
        <f aca="false">SUMPRODUCT((Premissas!$B$74:$B$82="Outras")*((Premissas!$C$74:$C$82="Planejado")+(Premissas!$C$74:$C$82="Em estudo")*Premissas!$B$70)*(Premissas!$F$74:$F$82&lt;=BE$4)*(Premissas!$G$74:$G$82&gt;=BE$4)*(Premissas!$D$74:$D$82="Fixo mensal")*Premissas!$E$74:$E$82)+SUMPRODUCT((Premissas!$B$74:$B$82="Outras")*((Premissas!$C$74:$C$82="Planejado")+(Premissas!$C$74:$C$82="Em estudo")*Premissas!$B$70)*(Premissas!$F$74:$F$82&lt;=BE$4)*(Premissas!$G$74:$G$82&gt;=BE$4)*(Premissas!$D$74:$D$82="Por usuário")*Premissas!$E$74:$E$82)*BE19</f>
        <v>0</v>
      </c>
      <c r="BF27" s="168" t="n">
        <f aca="false">SUMPRODUCT((Premissas!$B$74:$B$82="Outras")*((Premissas!$C$74:$C$82="Planejado")+(Premissas!$C$74:$C$82="Em estudo")*Premissas!$B$70)*(Premissas!$F$74:$F$82&lt;=BF$4)*(Premissas!$G$74:$G$82&gt;=BF$4)*(Premissas!$D$74:$D$82="Fixo mensal")*Premissas!$E$74:$E$82)+SUMPRODUCT((Premissas!$B$74:$B$82="Outras")*((Premissas!$C$74:$C$82="Planejado")+(Premissas!$C$74:$C$82="Em estudo")*Premissas!$B$70)*(Premissas!$F$74:$F$82&lt;=BF$4)*(Premissas!$G$74:$G$82&gt;=BF$4)*(Premissas!$D$74:$D$82="Por usuário")*Premissas!$E$74:$E$82)*BF19</f>
        <v>0</v>
      </c>
      <c r="BG27" s="168" t="n">
        <f aca="false">SUMPRODUCT((Premissas!$B$74:$B$82="Outras")*((Premissas!$C$74:$C$82="Planejado")+(Premissas!$C$74:$C$82="Em estudo")*Premissas!$B$70)*(Premissas!$F$74:$F$82&lt;=BG$4)*(Premissas!$G$74:$G$82&gt;=BG$4)*(Premissas!$D$74:$D$82="Fixo mensal")*Premissas!$E$74:$E$82)+SUMPRODUCT((Premissas!$B$74:$B$82="Outras")*((Premissas!$C$74:$C$82="Planejado")+(Premissas!$C$74:$C$82="Em estudo")*Premissas!$B$70)*(Premissas!$F$74:$F$82&lt;=BG$4)*(Premissas!$G$74:$G$82&gt;=BG$4)*(Premissas!$D$74:$D$82="Por usuário")*Premissas!$E$74:$E$82)*BG19</f>
        <v>0</v>
      </c>
      <c r="BH27" s="168" t="n">
        <f aca="false">SUMPRODUCT((Premissas!$B$74:$B$82="Outras")*((Premissas!$C$74:$C$82="Planejado")+(Premissas!$C$74:$C$82="Em estudo")*Premissas!$B$70)*(Premissas!$F$74:$F$82&lt;=BH$4)*(Premissas!$G$74:$G$82&gt;=BH$4)*(Premissas!$D$74:$D$82="Fixo mensal")*Premissas!$E$74:$E$82)+SUMPRODUCT((Premissas!$B$74:$B$82="Outras")*((Premissas!$C$74:$C$82="Planejado")+(Premissas!$C$74:$C$82="Em estudo")*Premissas!$B$70)*(Premissas!$F$74:$F$82&lt;=BH$4)*(Premissas!$G$74:$G$82&gt;=BH$4)*(Premissas!$D$74:$D$82="Por usuário")*Premissas!$E$74:$E$82)*BH19</f>
        <v>0</v>
      </c>
      <c r="BI27" s="168" t="n">
        <f aca="false">SUMPRODUCT((Premissas!$B$74:$B$82="Outras")*((Premissas!$C$74:$C$82="Planejado")+(Premissas!$C$74:$C$82="Em estudo")*Premissas!$B$70)*(Premissas!$F$74:$F$82&lt;=BI$4)*(Premissas!$G$74:$G$82&gt;=BI$4)*(Premissas!$D$74:$D$82="Fixo mensal")*Premissas!$E$74:$E$82)+SUMPRODUCT((Premissas!$B$74:$B$82="Outras")*((Premissas!$C$74:$C$82="Planejado")+(Premissas!$C$74:$C$82="Em estudo")*Premissas!$B$70)*(Premissas!$F$74:$F$82&lt;=BI$4)*(Premissas!$G$74:$G$82&gt;=BI$4)*(Premissas!$D$74:$D$82="Por usuário")*Premissas!$E$74:$E$82)*BI19</f>
        <v>0</v>
      </c>
      <c r="BJ27" s="154" t="n">
        <f aca="false">SUM(B27:BI27)</f>
        <v>0</v>
      </c>
      <c r="BK27" s="51" t="s">
        <v>758</v>
      </c>
    </row>
    <row r="28" customFormat="false" ht="15.75" hidden="false" customHeight="true" outlineLevel="0" collapsed="false">
      <c r="A28" s="53" t="s">
        <v>699</v>
      </c>
      <c r="B28" s="154" t="n">
        <f aca="false">SUM(B23:B27)</f>
        <v>0</v>
      </c>
      <c r="C28" s="154" t="n">
        <f aca="false">SUM(C23:C27)</f>
        <v>0</v>
      </c>
      <c r="D28" s="154" t="n">
        <f aca="false">SUM(D23:D27)</f>
        <v>0</v>
      </c>
      <c r="E28" s="154" t="n">
        <f aca="false">SUM(E23:E27)</f>
        <v>0</v>
      </c>
      <c r="F28" s="154" t="n">
        <f aca="false">SUM(F23:F27)</f>
        <v>0</v>
      </c>
      <c r="G28" s="154" t="n">
        <f aca="false">SUM(G23:G27)</f>
        <v>0</v>
      </c>
      <c r="H28" s="154" t="n">
        <f aca="false">SUM(H23:H27)</f>
        <v>0</v>
      </c>
      <c r="I28" s="154" t="n">
        <f aca="false">SUM(I23:I27)</f>
        <v>0</v>
      </c>
      <c r="J28" s="154" t="n">
        <f aca="false">SUM(J23:J27)</f>
        <v>0</v>
      </c>
      <c r="K28" s="154" t="n">
        <f aca="false">SUM(K23:K27)</f>
        <v>0</v>
      </c>
      <c r="L28" s="154" t="n">
        <f aca="false">SUM(L23:L27)</f>
        <v>0</v>
      </c>
      <c r="M28" s="154" t="n">
        <f aca="false">SUM(M23:M27)</f>
        <v>1438.2</v>
      </c>
      <c r="N28" s="154" t="n">
        <f aca="false">SUM(N23:N27)</f>
        <v>8025.2256</v>
      </c>
      <c r="O28" s="154" t="n">
        <f aca="false">SUM(O23:O27)</f>
        <v>17246.6275424</v>
      </c>
      <c r="P28" s="154" t="n">
        <f aca="false">SUM(P23:P27)</f>
        <v>34200.0076983296</v>
      </c>
      <c r="Q28" s="154" t="n">
        <f aca="false">SUM(Q23:Q27)</f>
        <v>48412.16015929</v>
      </c>
      <c r="R28" s="154" t="n">
        <f aca="false">SUM(R23:R27)</f>
        <v>64569.0843839981</v>
      </c>
      <c r="S28" s="154" t="n">
        <f aca="false">SUM(S23:S27)</f>
        <v>71889.3422831343</v>
      </c>
      <c r="T28" s="154" t="n">
        <f aca="false">SUM(T23:T27)</f>
        <v>78607.2098239534</v>
      </c>
      <c r="U28" s="154" t="n">
        <f aca="false">SUM(U23:U27)</f>
        <v>84567.0236808539</v>
      </c>
      <c r="V28" s="154" t="n">
        <f aca="false">SUM(V23:V27)</f>
        <v>90012.2234074919</v>
      </c>
      <c r="W28" s="154" t="n">
        <f aca="false">SUM(W23:W27)</f>
        <v>100696.189560373</v>
      </c>
      <c r="X28" s="154" t="n">
        <f aca="false">SUM(X23:X27)</f>
        <v>105121.978162577</v>
      </c>
      <c r="Y28" s="154" t="n">
        <f aca="false">SUM(Y23:Y27)</f>
        <v>109122.25185897</v>
      </c>
      <c r="Z28" s="154" t="n">
        <f aca="false">SUM(Z23:Z27)</f>
        <v>129792.370386078</v>
      </c>
      <c r="AA28" s="154" t="n">
        <f aca="false">SUM(AA23:AA27)</f>
        <v>138999.253067297</v>
      </c>
      <c r="AB28" s="154" t="n">
        <f aca="false">SUM(AB23:AB27)</f>
        <v>147468.315648615</v>
      </c>
      <c r="AC28" s="154" t="n">
        <f aca="false">SUM(AC23:AC27)</f>
        <v>155126.903758439</v>
      </c>
      <c r="AD28" s="154" t="n">
        <f aca="false">SUM(AD23:AD27)</f>
        <v>162003.295268061</v>
      </c>
      <c r="AE28" s="154" t="n">
        <f aca="false">SUM(AE23:AE27)</f>
        <v>168350.561832157</v>
      </c>
      <c r="AF28" s="154" t="n">
        <f aca="false">SUM(AF23:AF27)</f>
        <v>174065.124757705</v>
      </c>
      <c r="AG28" s="154" t="n">
        <f aca="false">SUM(AG23:AG27)</f>
        <v>179273.505724035</v>
      </c>
      <c r="AH28" s="154" t="n">
        <f aca="false">SUM(AH23:AH27)</f>
        <v>183938.472828508</v>
      </c>
      <c r="AI28" s="154" t="n">
        <f aca="false">SUM(AI23:AI27)</f>
        <v>188204.782388633</v>
      </c>
      <c r="AJ28" s="154" t="n">
        <f aca="false">SUM(AJ23:AJ27)</f>
        <v>192134.316891696</v>
      </c>
      <c r="AK28" s="154" t="n">
        <f aca="false">SUM(AK23:AK27)</f>
        <v>195672.219446957</v>
      </c>
      <c r="AL28" s="154" t="n">
        <f aca="false">SUM(AL23:AL27)</f>
        <v>221910.504700952</v>
      </c>
      <c r="AM28" s="154" t="n">
        <f aca="false">SUM(AM23:AM27)</f>
        <v>233595.430352242</v>
      </c>
      <c r="AN28" s="154" t="n">
        <f aca="false">SUM(AN23:AN27)</f>
        <v>244290.03242207</v>
      </c>
      <c r="AO28" s="154" t="n">
        <f aca="false">SUM(AO23:AO27)</f>
        <v>254086.793942693</v>
      </c>
      <c r="AP28" s="154" t="n">
        <f aca="false">SUM(AP23:AP27)</f>
        <v>262907.284680204</v>
      </c>
      <c r="AQ28" s="154" t="n">
        <f aca="false">SUM(AQ23:AQ27)</f>
        <v>270992.559629202</v>
      </c>
      <c r="AR28" s="154" t="n">
        <f aca="false">SUM(AR23:AR27)</f>
        <v>278339.548793272</v>
      </c>
      <c r="AS28" s="154" t="n">
        <f aca="false">SUM(AS23:AS27)</f>
        <v>285097.639022275</v>
      </c>
      <c r="AT28" s="154" t="n">
        <f aca="false">SUM(AT23:AT27)</f>
        <v>291207.448609194</v>
      </c>
      <c r="AU28" s="154" t="n">
        <f aca="false">SUM(AU23:AU27)</f>
        <v>296762.595287124</v>
      </c>
      <c r="AV28" s="154" t="n">
        <f aca="false">SUM(AV23:AV27)</f>
        <v>301901.258210329</v>
      </c>
      <c r="AW28" s="154" t="n">
        <f aca="false">SUM(AW23:AW27)</f>
        <v>306558.634451612</v>
      </c>
      <c r="AX28" s="154" t="n">
        <f aca="false">SUM(AX23:AX27)</f>
        <v>339862.363003965</v>
      </c>
      <c r="AY28" s="154" t="n">
        <f aca="false">SUM(AY23:AY27)</f>
        <v>356654.927310601</v>
      </c>
      <c r="AZ28" s="154" t="n">
        <f aca="false">SUM(AZ23:AZ27)</f>
        <v>372008.236988834</v>
      </c>
      <c r="BA28" s="154" t="n">
        <f aca="false">SUM(BA23:BA27)</f>
        <v>386011.935492563</v>
      </c>
      <c r="BB28" s="154" t="n">
        <f aca="false">SUM(BB23:BB27)</f>
        <v>398882.989372222</v>
      </c>
      <c r="BC28" s="154" t="n">
        <f aca="false">SUM(BC23:BC27)</f>
        <v>410637.930702</v>
      </c>
      <c r="BD28" s="154" t="n">
        <f aca="false">SUM(BD23:BD27)</f>
        <v>421342.687410048</v>
      </c>
      <c r="BE28" s="154" t="n">
        <f aca="false">SUM(BE23:BE27)</f>
        <v>431239.102539147</v>
      </c>
      <c r="BF28" s="154" t="n">
        <f aca="false">SUM(BF23:BF27)</f>
        <v>440220.843378001</v>
      </c>
      <c r="BG28" s="154" t="n">
        <f aca="false">SUM(BG23:BG27)</f>
        <v>448450.201323503</v>
      </c>
      <c r="BH28" s="154" t="n">
        <f aca="false">SUM(BH23:BH27)</f>
        <v>456055.883261243</v>
      </c>
      <c r="BI28" s="154" t="n">
        <f aca="false">SUM(BI23:BI27)</f>
        <v>462958.595184626</v>
      </c>
      <c r="BJ28" s="154" t="n">
        <f aca="false">SUM(B28:BI28)</f>
        <v>11000912.0722275</v>
      </c>
    </row>
    <row r="29" customFormat="false" ht="15.75" hidden="false" customHeight="true" outlineLevel="0" collapsed="false">
      <c r="A29" s="49" t="s">
        <v>759</v>
      </c>
      <c r="B29" s="168" t="n">
        <f aca="false">B28*12</f>
        <v>0</v>
      </c>
      <c r="C29" s="168" t="n">
        <f aca="false">SUM($B28:B28)/1*12</f>
        <v>0</v>
      </c>
      <c r="D29" s="168" t="n">
        <f aca="false">SUM($B28:C28)/2*12</f>
        <v>0</v>
      </c>
      <c r="E29" s="168" t="n">
        <f aca="false">SUM($B28:D28)/3*12</f>
        <v>0</v>
      </c>
      <c r="F29" s="168" t="n">
        <f aca="false">SUM($B28:E28)/4*12</f>
        <v>0</v>
      </c>
      <c r="G29" s="168" t="n">
        <f aca="false">SUM($B28:F28)/5*12</f>
        <v>0</v>
      </c>
      <c r="H29" s="168" t="n">
        <f aca="false">SUM($B28:G28)/6*12</f>
        <v>0</v>
      </c>
      <c r="I29" s="168" t="n">
        <f aca="false">SUM($B28:H28)/7*12</f>
        <v>0</v>
      </c>
      <c r="J29" s="168" t="n">
        <f aca="false">SUM($B28:I28)/8*12</f>
        <v>0</v>
      </c>
      <c r="K29" s="168" t="n">
        <f aca="false">SUM($B28:J28)/9*12</f>
        <v>0</v>
      </c>
      <c r="L29" s="168" t="n">
        <f aca="false">SUM($B28:K28)/10*12</f>
        <v>0</v>
      </c>
      <c r="M29" s="168" t="n">
        <f aca="false">SUM($B28:L28)/11*12</f>
        <v>0</v>
      </c>
      <c r="N29" s="168" t="n">
        <f aca="false">SUM(B28:M28)</f>
        <v>1438.2</v>
      </c>
      <c r="O29" s="168" t="n">
        <f aca="false">SUM(C28:N28)</f>
        <v>9463.4256</v>
      </c>
      <c r="P29" s="168" t="n">
        <f aca="false">SUM(D28:O28)</f>
        <v>26710.0531424</v>
      </c>
      <c r="Q29" s="168" t="n">
        <f aca="false">SUM(E28:P28)</f>
        <v>60910.0608407296</v>
      </c>
      <c r="R29" s="168" t="n">
        <f aca="false">SUM(F28:Q28)</f>
        <v>109322.22100002</v>
      </c>
      <c r="S29" s="168" t="n">
        <f aca="false">SUM(G28:R28)</f>
        <v>173891.305384018</v>
      </c>
      <c r="T29" s="168" t="n">
        <f aca="false">SUM(H28:S28)</f>
        <v>245780.647667152</v>
      </c>
      <c r="U29" s="168" t="n">
        <f aca="false">SUM(I28:T28)</f>
        <v>324387.857491105</v>
      </c>
      <c r="V29" s="168" t="n">
        <f aca="false">SUM(J28:U28)</f>
        <v>408954.881171959</v>
      </c>
      <c r="W29" s="168" t="n">
        <f aca="false">SUM(K28:V28)</f>
        <v>498967.104579451</v>
      </c>
      <c r="X29" s="168" t="n">
        <f aca="false">SUM(L28:W28)</f>
        <v>599663.294139824</v>
      </c>
      <c r="Y29" s="168" t="n">
        <f aca="false">SUM(M28:X28)</f>
        <v>704785.272302401</v>
      </c>
      <c r="Z29" s="168" t="n">
        <f aca="false">SUM(N28:Y28)</f>
        <v>812469.32416137</v>
      </c>
      <c r="AA29" s="168" t="n">
        <f aca="false">SUM(O28:Z28)</f>
        <v>934236.468947449</v>
      </c>
      <c r="AB29" s="168" t="n">
        <f aca="false">SUM(P28:AA28)</f>
        <v>1055989.09447235</v>
      </c>
      <c r="AC29" s="168" t="n">
        <f aca="false">SUM(Q28:AB28)</f>
        <v>1169257.40242263</v>
      </c>
      <c r="AD29" s="168" t="n">
        <f aca="false">SUM(R28:AC28)</f>
        <v>1275972.14602178</v>
      </c>
      <c r="AE29" s="168" t="n">
        <f aca="false">SUM(S28:AD28)</f>
        <v>1373406.35690584</v>
      </c>
      <c r="AF29" s="168" t="n">
        <f aca="false">SUM(T28:AE28)</f>
        <v>1469867.57645487</v>
      </c>
      <c r="AG29" s="168" t="n">
        <f aca="false">SUM(U28:AF28)</f>
        <v>1565325.49138862</v>
      </c>
      <c r="AH29" s="168" t="n">
        <f aca="false">SUM(V28:AG28)</f>
        <v>1660031.9734318</v>
      </c>
      <c r="AI29" s="168" t="n">
        <f aca="false">SUM(W28:AH28)</f>
        <v>1753958.22285281</v>
      </c>
      <c r="AJ29" s="168" t="n">
        <f aca="false">SUM(X28:AI28)</f>
        <v>1841466.81568107</v>
      </c>
      <c r="AK29" s="168" t="n">
        <f aca="false">SUM(Y28:AJ28)</f>
        <v>1928479.15441019</v>
      </c>
      <c r="AL29" s="168" t="n">
        <f aca="false">SUM(Z28:AK28)</f>
        <v>2015029.12199818</v>
      </c>
      <c r="AM29" s="168" t="n">
        <f aca="false">SUM(AA28:AL28)</f>
        <v>2107147.25631305</v>
      </c>
      <c r="AN29" s="168" t="n">
        <f aca="false">SUM(AB28:AM28)</f>
        <v>2201743.433598</v>
      </c>
      <c r="AO29" s="168" t="n">
        <f aca="false">SUM(AC28:AN28)</f>
        <v>2298565.15037145</v>
      </c>
      <c r="AP29" s="168" t="n">
        <f aca="false">SUM(AD28:AO28)</f>
        <v>2397525.04055571</v>
      </c>
      <c r="AQ29" s="168" t="n">
        <f aca="false">SUM(AE28:AP28)</f>
        <v>2498429.02996785</v>
      </c>
      <c r="AR29" s="168" t="n">
        <f aca="false">SUM(AF28:AQ28)</f>
        <v>2601071.0277649</v>
      </c>
      <c r="AS29" s="168" t="n">
        <f aca="false">SUM(AG28:AR28)</f>
        <v>2705345.45180046</v>
      </c>
      <c r="AT29" s="168" t="n">
        <f aca="false">SUM(AH28:AS28)</f>
        <v>2811169.5850987</v>
      </c>
      <c r="AU29" s="168" t="n">
        <f aca="false">SUM(AI28:AT28)</f>
        <v>2918438.56087939</v>
      </c>
      <c r="AV29" s="168" t="n">
        <f aca="false">SUM(AJ28:AU28)</f>
        <v>3026996.37377788</v>
      </c>
      <c r="AW29" s="168" t="n">
        <f aca="false">SUM(AK28:AV28)</f>
        <v>3136763.31509651</v>
      </c>
      <c r="AX29" s="168" t="n">
        <f aca="false">SUM(AL28:AW28)</f>
        <v>3247649.73010117</v>
      </c>
      <c r="AY29" s="168" t="n">
        <f aca="false">SUM(AM28:AX28)</f>
        <v>3365601.58840418</v>
      </c>
      <c r="AZ29" s="168" t="n">
        <f aca="false">SUM(AN28:AY28)</f>
        <v>3488661.08536254</v>
      </c>
      <c r="BA29" s="168" t="n">
        <f aca="false">SUM(AO28:AZ28)</f>
        <v>3616379.2899293</v>
      </c>
      <c r="BB29" s="168" t="n">
        <f aca="false">SUM(AP28:BA28)</f>
        <v>3748304.43147917</v>
      </c>
      <c r="BC29" s="168" t="n">
        <f aca="false">SUM(AQ28:BB28)</f>
        <v>3884280.13617119</v>
      </c>
      <c r="BD29" s="168" t="n">
        <f aca="false">SUM(AR28:BC28)</f>
        <v>4023925.50724399</v>
      </c>
      <c r="BE29" s="168" t="n">
        <f aca="false">SUM(AS28:BD28)</f>
        <v>4166928.64586077</v>
      </c>
      <c r="BF29" s="168" t="n">
        <f aca="false">SUM(AT28:BE28)</f>
        <v>4313070.10937764</v>
      </c>
      <c r="BG29" s="168" t="n">
        <f aca="false">SUM(AU28:BF28)</f>
        <v>4462083.50414644</v>
      </c>
      <c r="BH29" s="168" t="n">
        <f aca="false">SUM(AV28:BG28)</f>
        <v>4613771.11018282</v>
      </c>
      <c r="BI29" s="168" t="n">
        <f aca="false">SUM(AW28:BH28)</f>
        <v>4767925.73523374</v>
      </c>
      <c r="BJ29" s="154" t="n">
        <f aca="false">BI29</f>
        <v>4767925.73523374</v>
      </c>
    </row>
    <row r="30" customFormat="false" ht="15.75" hidden="false" customHeight="true" outlineLevel="0" collapsed="false">
      <c r="A30" s="49" t="s">
        <v>702</v>
      </c>
      <c r="B30" s="263" t="n">
        <f aca="false" t="array" ref="B30:B30">IF(Premissas!$B$23=3,Premissas!$B$24,IF(B29&gt;Premissas!$B$25,Premissas!$B$24,IFERROR(MAX(Tributos!$C$24,(INDEX(Tributos!$C$24:$C$29,MATCH(B29,Tributos!$B$24:$B$29,1))*B29-INDEX(Tributos!$D$24:$D$29,MATCH(B29,Tributos!$B$24:$B$29,1)))/B29),Tributos!$C$24)))</f>
        <v>0.155</v>
      </c>
      <c r="C30" s="263" t="n">
        <f aca="false" t="array" ref="C30:C30">IF(Premissas!$B$23=3,Premissas!$B$24,IF(C29&gt;Premissas!$B$25,Premissas!$B$24,IFERROR(MAX(Tributos!$C$24,(INDEX(Tributos!$C$24:$C$29,MATCH(C29,Tributos!$B$24:$B$29,1))*C29-INDEX(Tributos!$D$24:$D$29,MATCH(C29,Tributos!$B$24:$B$29,1)))/C29),Tributos!$C$24)))</f>
        <v>0.155</v>
      </c>
      <c r="D30" s="263" t="n">
        <f aca="false" t="array" ref="D30:D30">IF(Premissas!$B$23=3,Premissas!$B$24,IF(D29&gt;Premissas!$B$25,Premissas!$B$24,IFERROR(MAX(Tributos!$C$24,(INDEX(Tributos!$C$24:$C$29,MATCH(D29,Tributos!$B$24:$B$29,1))*D29-INDEX(Tributos!$D$24:$D$29,MATCH(D29,Tributos!$B$24:$B$29,1)))/D29),Tributos!$C$24)))</f>
        <v>0.155</v>
      </c>
      <c r="E30" s="263" t="n">
        <f aca="false" t="array" ref="E30:E30">IF(Premissas!$B$23=3,Premissas!$B$24,IF(E29&gt;Premissas!$B$25,Premissas!$B$24,IFERROR(MAX(Tributos!$C$24,(INDEX(Tributos!$C$24:$C$29,MATCH(E29,Tributos!$B$24:$B$29,1))*E29-INDEX(Tributos!$D$24:$D$29,MATCH(E29,Tributos!$B$24:$B$29,1)))/E29),Tributos!$C$24)))</f>
        <v>0.155</v>
      </c>
      <c r="F30" s="263" t="n">
        <f aca="false" t="array" ref="F30:F30">IF(Premissas!$B$23=3,Premissas!$B$24,IF(F29&gt;Premissas!$B$25,Premissas!$B$24,IFERROR(MAX(Tributos!$C$24,(INDEX(Tributos!$C$24:$C$29,MATCH(F29,Tributos!$B$24:$B$29,1))*F29-INDEX(Tributos!$D$24:$D$29,MATCH(F29,Tributos!$B$24:$B$29,1)))/F29),Tributos!$C$24)))</f>
        <v>0.155</v>
      </c>
      <c r="G30" s="263" t="n">
        <f aca="false" t="array" ref="G30:G30">IF(Premissas!$B$23=3,Premissas!$B$24,IF(G29&gt;Premissas!$B$25,Premissas!$B$24,IFERROR(MAX(Tributos!$C$24,(INDEX(Tributos!$C$24:$C$29,MATCH(G29,Tributos!$B$24:$B$29,1))*G29-INDEX(Tributos!$D$24:$D$29,MATCH(G29,Tributos!$B$24:$B$29,1)))/G29),Tributos!$C$24)))</f>
        <v>0.155</v>
      </c>
      <c r="H30" s="263" t="n">
        <f aca="false" t="array" ref="H30:H30">IF(Premissas!$B$23=3,Premissas!$B$24,IF(H29&gt;Premissas!$B$25,Premissas!$B$24,IFERROR(MAX(Tributos!$C$24,(INDEX(Tributos!$C$24:$C$29,MATCH(H29,Tributos!$B$24:$B$29,1))*H29-INDEX(Tributos!$D$24:$D$29,MATCH(H29,Tributos!$B$24:$B$29,1)))/H29),Tributos!$C$24)))</f>
        <v>0.155</v>
      </c>
      <c r="I30" s="263" t="n">
        <f aca="false" t="array" ref="I30:I30">IF(Premissas!$B$23=3,Premissas!$B$24,IF(I29&gt;Premissas!$B$25,Premissas!$B$24,IFERROR(MAX(Tributos!$C$24,(INDEX(Tributos!$C$24:$C$29,MATCH(I29,Tributos!$B$24:$B$29,1))*I29-INDEX(Tributos!$D$24:$D$29,MATCH(I29,Tributos!$B$24:$B$29,1)))/I29),Tributos!$C$24)))</f>
        <v>0.155</v>
      </c>
      <c r="J30" s="263" t="n">
        <f aca="false" t="array" ref="J30:J30">IF(Premissas!$B$23=3,Premissas!$B$24,IF(J29&gt;Premissas!$B$25,Premissas!$B$24,IFERROR(MAX(Tributos!$C$24,(INDEX(Tributos!$C$24:$C$29,MATCH(J29,Tributos!$B$24:$B$29,1))*J29-INDEX(Tributos!$D$24:$D$29,MATCH(J29,Tributos!$B$24:$B$29,1)))/J29),Tributos!$C$24)))</f>
        <v>0.155</v>
      </c>
      <c r="K30" s="263" t="n">
        <f aca="false" t="array" ref="K30:K30">IF(Premissas!$B$23=3,Premissas!$B$24,IF(K29&gt;Premissas!$B$25,Premissas!$B$24,IFERROR(MAX(Tributos!$C$24,(INDEX(Tributos!$C$24:$C$29,MATCH(K29,Tributos!$B$24:$B$29,1))*K29-INDEX(Tributos!$D$24:$D$29,MATCH(K29,Tributos!$B$24:$B$29,1)))/K29),Tributos!$C$24)))</f>
        <v>0.155</v>
      </c>
      <c r="L30" s="263" t="n">
        <f aca="false" t="array" ref="L30:L30">IF(Premissas!$B$23=3,Premissas!$B$24,IF(L29&gt;Premissas!$B$25,Premissas!$B$24,IFERROR(MAX(Tributos!$C$24,(INDEX(Tributos!$C$24:$C$29,MATCH(L29,Tributos!$B$24:$B$29,1))*L29-INDEX(Tributos!$D$24:$D$29,MATCH(L29,Tributos!$B$24:$B$29,1)))/L29),Tributos!$C$24)))</f>
        <v>0.155</v>
      </c>
      <c r="M30" s="263" t="n">
        <f aca="false" t="array" ref="M30:M30">IF(Premissas!$B$23=3,Premissas!$B$24,IF(M29&gt;Premissas!$B$25,Premissas!$B$24,IFERROR(MAX(Tributos!$C$24,(INDEX(Tributos!$C$24:$C$29,MATCH(M29,Tributos!$B$24:$B$29,1))*M29-INDEX(Tributos!$D$24:$D$29,MATCH(M29,Tributos!$B$24:$B$29,1)))/M29),Tributos!$C$24)))</f>
        <v>0.155</v>
      </c>
      <c r="N30" s="263" t="n">
        <f aca="false" t="array" ref="N30:N30">IF(Premissas!$B$23=3,Premissas!$B$24,IF(N29&gt;Premissas!$B$25,Premissas!$B$24,IFERROR(MAX(Tributos!$C$24,(INDEX(Tributos!$C$24:$C$29,MATCH(N29,Tributos!$B$24:$B$29,1))*N29-INDEX(Tributos!$D$24:$D$29,MATCH(N29,Tributos!$B$24:$B$29,1)))/N29),Tributos!$C$24)))</f>
        <v>0.155</v>
      </c>
      <c r="O30" s="263" t="n">
        <f aca="false" t="array" ref="O30:O30">IF(Premissas!$B$23=3,Premissas!$B$24,IF(O29&gt;Premissas!$B$25,Premissas!$B$24,IFERROR(MAX(Tributos!$C$24,(INDEX(Tributos!$C$24:$C$29,MATCH(O29,Tributos!$B$24:$B$29,1))*O29-INDEX(Tributos!$D$24:$D$29,MATCH(O29,Tributos!$B$24:$B$29,1)))/O29),Tributos!$C$24)))</f>
        <v>0.155</v>
      </c>
      <c r="P30" s="263" t="n">
        <f aca="false" t="array" ref="P30:P30">IF(Premissas!$B$23=3,Premissas!$B$24,IF(P29&gt;Premissas!$B$25,Premissas!$B$24,IFERROR(MAX(Tributos!$C$24,(INDEX(Tributos!$C$24:$C$29,MATCH(P29,Tributos!$B$24:$B$29,1))*P29-INDEX(Tributos!$D$24:$D$29,MATCH(P29,Tributos!$B$24:$B$29,1)))/P29),Tributos!$C$24)))</f>
        <v>0.155</v>
      </c>
      <c r="Q30" s="263" t="n">
        <f aca="false" t="array" ref="Q30:Q30">IF(Premissas!$B$23=3,Premissas!$B$24,IF(Q29&gt;Premissas!$B$25,Premissas!$B$24,IFERROR(MAX(Tributos!$C$24,(INDEX(Tributos!$C$24:$C$29,MATCH(Q29,Tributos!$B$24:$B$29,1))*Q29-INDEX(Tributos!$D$24:$D$29,MATCH(Q29,Tributos!$B$24:$B$29,1)))/Q29),Tributos!$C$24)))</f>
        <v>0.155</v>
      </c>
      <c r="R30" s="263" t="n">
        <f aca="false" t="array" ref="R30:R30">IF(Premissas!$B$23=3,Premissas!$B$24,IF(R29&gt;Premissas!$B$25,Premissas!$B$24,IFERROR(MAX(Tributos!$C$24,(INDEX(Tributos!$C$24:$C$29,MATCH(R29,Tributos!$B$24:$B$29,1))*R29-INDEX(Tributos!$D$24:$D$29,MATCH(R29,Tributos!$B$24:$B$29,1)))/R29),Tributos!$C$24)))</f>
        <v>0.155</v>
      </c>
      <c r="S30" s="263" t="n">
        <f aca="false" t="array" ref="S30:S30">IF(Premissas!$B$23=3,Premissas!$B$24,IF(S29&gt;Premissas!$B$25,Premissas!$B$24,IFERROR(MAX(Tributos!$C$24,(INDEX(Tributos!$C$24:$C$29,MATCH(S29,Tributos!$B$24:$B$29,1))*S29-INDEX(Tributos!$D$24:$D$29,MATCH(S29,Tributos!$B$24:$B$29,1)))/S29),Tributos!$C$24)))</f>
        <v>0.155</v>
      </c>
      <c r="T30" s="263" t="n">
        <f aca="false" t="array" ref="T30:T30">IF(Premissas!$B$23=3,Premissas!$B$24,IF(T29&gt;Premissas!$B$25,Premissas!$B$24,IFERROR(MAX(Tributos!$C$24,(INDEX(Tributos!$C$24:$C$29,MATCH(T29,Tributos!$B$24:$B$29,1))*T29-INDEX(Tributos!$D$24:$D$29,MATCH(T29,Tributos!$B$24:$B$29,1)))/T29),Tributos!$C$24)))</f>
        <v>0.161690991366846</v>
      </c>
      <c r="U30" s="263" t="n">
        <f aca="false" t="array" ref="U30:U30">IF(Premissas!$B$23=3,Premissas!$B$24,IF(U29&gt;Premissas!$B$25,Premissas!$B$24,IFERROR(MAX(Tributos!$C$24,(INDEX(Tributos!$C$24:$C$29,MATCH(U29,Tributos!$B$24:$B$29,1))*U29-INDEX(Tributos!$D$24:$D$29,MATCH(U29,Tributos!$B$24:$B$29,1)))/U29),Tributos!$C$24)))</f>
        <v>0.16612771749595</v>
      </c>
      <c r="V30" s="263" t="n">
        <f aca="false" t="array" ref="V30:V30">IF(Premissas!$B$23=3,Premissas!$B$24,IF(V29&gt;Premissas!$B$25,Premissas!$B$24,IFERROR(MAX(Tributos!$C$24,(INDEX(Tributos!$C$24:$C$29,MATCH(V29,Tributos!$B$24:$B$29,1))*V29-INDEX(Tributos!$D$24:$D$29,MATCH(V29,Tributos!$B$24:$B$29,1)))/V29),Tributos!$C$24)))</f>
        <v>0.170791950516328</v>
      </c>
      <c r="W30" s="263" t="n">
        <f aca="false" t="array" ref="W30:W30">IF(Premissas!$B$23=3,Premissas!$B$24,IF(W29&gt;Premissas!$B$25,Premissas!$B$24,IFERROR(MAX(Tributos!$C$24,(INDEX(Tributos!$C$24:$C$29,MATCH(W29,Tributos!$B$24:$B$29,1))*W29-INDEX(Tributos!$D$24:$D$29,MATCH(W29,Tributos!$B$24:$B$29,1)))/W29),Tributos!$C$24)))</f>
        <v>0.175159012670096</v>
      </c>
      <c r="X30" s="263" t="n">
        <f aca="false" t="array" ref="X30:X30">IF(Premissas!$B$23=3,Premissas!$B$24,IF(X29&gt;Premissas!$B$25,Premissas!$B$24,IFERROR(MAX(Tributos!$C$24,(INDEX(Tributos!$C$24:$C$29,MATCH(X29,Tributos!$B$24:$B$29,1))*X29-INDEX(Tributos!$D$24:$D$29,MATCH(X29,Tributos!$B$24:$B$29,1)))/X29),Tributos!$C$24)))</f>
        <v>0.178490735389764</v>
      </c>
      <c r="Y30" s="263" t="n">
        <f aca="false" t="array" ref="Y30:Y30">IF(Premissas!$B$23=3,Premissas!$B$24,IF(Y29&gt;Premissas!$B$25,Premissas!$B$24,IFERROR(MAX(Tributos!$C$24,(INDEX(Tributos!$C$24:$C$29,MATCH(Y29,Tributos!$B$24:$B$29,1))*Y29-INDEX(Tributos!$D$24:$D$29,MATCH(Y29,Tributos!$B$24:$B$29,1)))/Y29),Tributos!$C$24)))</f>
        <v>0.180953168448514</v>
      </c>
      <c r="Z30" s="263" t="n">
        <f aca="false" t="array" ref="Z30:Z30">IF(Premissas!$B$23=3,Premissas!$B$24,IF(Z29&gt;Premissas!$B$25,Premissas!$B$24,IFERROR(MAX(Tributos!$C$24,(INDEX(Tributos!$C$24:$C$29,MATCH(Z29,Tributos!$B$24:$B$29,1))*Z29-INDEX(Tributos!$D$24:$D$29,MATCH(Z29,Tributos!$B$24:$B$29,1)))/Z29),Tributos!$C$24)))</f>
        <v>0.183953051528868</v>
      </c>
      <c r="AA30" s="263" t="n">
        <f aca="false" t="array" ref="AA30:AA30">IF(Premissas!$B$23=3,Premissas!$B$24,IF(AA29&gt;Premissas!$B$25,Premissas!$B$24,IFERROR(MAX(Tributos!$C$24,(INDEX(Tributos!$C$24:$C$29,MATCH(AA29,Tributos!$B$24:$B$29,1))*AA29-INDEX(Tributos!$D$24:$D$29,MATCH(AA29,Tributos!$B$24:$B$29,1)))/AA29),Tributos!$C$24)))</f>
        <v>0.186696282934378</v>
      </c>
      <c r="AB30" s="263" t="n">
        <f aca="false" t="array" ref="AB30:AB30">IF(Premissas!$B$23=3,Premissas!$B$24,IF(AB29&gt;Premissas!$B$25,Premissas!$B$24,IFERROR(MAX(Tributos!$C$24,(INDEX(Tributos!$C$24:$C$29,MATCH(AB29,Tributos!$B$24:$B$29,1))*AB29-INDEX(Tributos!$D$24:$D$29,MATCH(AB29,Tributos!$B$24:$B$29,1)))/AB29),Tributos!$C$24)))</f>
        <v>0.188806650949796</v>
      </c>
      <c r="AC30" s="263" t="n">
        <f aca="false" t="array" ref="AC30:AC30">IF(Premissas!$B$23=3,Premissas!$B$24,IF(AC29&gt;Premissas!$B$25,Premissas!$B$24,IFERROR(MAX(Tributos!$C$24,(INDEX(Tributos!$C$24:$C$29,MATCH(AC29,Tributos!$B$24:$B$29,1))*AC29-INDEX(Tributos!$D$24:$D$29,MATCH(AC29,Tributos!$B$24:$B$29,1)))/AC29),Tributos!$C$24)))</f>
        <v>0.190375333126333</v>
      </c>
      <c r="AD30" s="263" t="n">
        <f aca="false" t="array" ref="AD30:AD30">IF(Premissas!$B$23=3,Premissas!$B$24,IF(AD29&gt;Premissas!$B$25,Premissas!$B$24,IFERROR(MAX(Tributos!$C$24,(INDEX(Tributos!$C$24:$C$29,MATCH(AD29,Tributos!$B$24:$B$29,1))*AD29-INDEX(Tributos!$D$24:$D$29,MATCH(AD29,Tributos!$B$24:$B$29,1)))/AD29),Tributos!$C$24)))</f>
        <v>0.191598453537317</v>
      </c>
      <c r="AE30" s="263" t="n">
        <f aca="false" t="array" ref="AE30:AE30">IF(Premissas!$B$23=3,Premissas!$B$24,IF(AE29&gt;Premissas!$B$25,Premissas!$B$24,IFERROR(MAX(Tributos!$C$24,(INDEX(Tributos!$C$24:$C$29,MATCH(AE29,Tributos!$B$24:$B$29,1))*AE29-INDEX(Tributos!$D$24:$D$29,MATCH(AE29,Tributos!$B$24:$B$29,1)))/AE29),Tributos!$C$24)))</f>
        <v>0.192549205729232</v>
      </c>
      <c r="AF30" s="263" t="n">
        <f aca="false" t="array" ref="AF30:AF30">IF(Premissas!$B$23=3,Premissas!$B$24,IF(AF29&gt;Premissas!$B$25,Premissas!$B$24,IFERROR(MAX(Tributos!$C$24,(INDEX(Tributos!$C$24:$C$29,MATCH(AF29,Tributos!$B$24:$B$29,1))*AF29-INDEX(Tributos!$D$24:$D$29,MATCH(AF29,Tributos!$B$24:$B$29,1)))/AF29),Tributos!$C$24)))</f>
        <v>0.193366298927933</v>
      </c>
      <c r="AG30" s="263" t="n">
        <f aca="false" t="array" ref="AG30:AG30">IF(Premissas!$B$23=3,Premissas!$B$24,IF(AG29&gt;Premissas!$B$25,Premissas!$B$24,IFERROR(MAX(Tributos!$C$24,(INDEX(Tributos!$C$24:$C$29,MATCH(AG29,Tributos!$B$24:$B$29,1))*AG29-INDEX(Tributos!$D$24:$D$29,MATCH(AG29,Tributos!$B$24:$B$29,1)))/AG29),Tributos!$C$24)))</f>
        <v>0.194075754471468</v>
      </c>
      <c r="AH30" s="263" t="n">
        <f aca="false" t="array" ref="AH30:AH30">IF(Premissas!$B$23=3,Premissas!$B$24,IF(AH29&gt;Premissas!$B$25,Premissas!$B$24,IFERROR(MAX(Tributos!$C$24,(INDEX(Tributos!$C$24:$C$29,MATCH(AH29,Tributos!$B$24:$B$29,1))*AH29-INDEX(Tributos!$D$24:$D$29,MATCH(AH29,Tributos!$B$24:$B$29,1)))/AH29),Tributos!$C$24)))</f>
        <v>0.194698993589473</v>
      </c>
      <c r="AI30" s="263" t="n">
        <f aca="false" t="array" ref="AI30:AI30">IF(Premissas!$B$23=3,Premissas!$B$24,IF(AI29&gt;Premissas!$B$25,Premissas!$B$24,IFERROR(MAX(Tributos!$C$24,(INDEX(Tributos!$C$24:$C$29,MATCH(AI29,Tributos!$B$24:$B$29,1))*AI29-INDEX(Tributos!$D$24:$D$29,MATCH(AI29,Tributos!$B$24:$B$29,1)))/AI29),Tributos!$C$24)))</f>
        <v>0.195250622975394</v>
      </c>
      <c r="AJ30" s="263" t="n">
        <f aca="false" t="array" ref="AJ30:AJ30">IF(Premissas!$B$23=3,Premissas!$B$24,IF(AJ29&gt;Premissas!$B$25,Premissas!$B$24,IFERROR(MAX(Tributos!$C$24,(INDEX(Tributos!$C$24:$C$29,MATCH(AJ29,Tributos!$B$24:$B$29,1))*AJ29-INDEX(Tributos!$D$24:$D$29,MATCH(AJ29,Tributos!$B$24:$B$29,1)))/AJ29),Tributos!$C$24)))</f>
        <v>0.196276883476159</v>
      </c>
      <c r="AK30" s="263" t="n">
        <f aca="false" t="array" ref="AK30:AK30">IF(Premissas!$B$23=3,Premissas!$B$24,IF(AK29&gt;Premissas!$B$25,Premissas!$B$24,IFERROR(MAX(Tributos!$C$24,(INDEX(Tributos!$C$24:$C$29,MATCH(AK29,Tributos!$B$24:$B$29,1))*AK29-INDEX(Tributos!$D$24:$D$29,MATCH(AK29,Tributos!$B$24:$B$29,1)))/AK29),Tributos!$C$24)))</f>
        <v>0.197798459289547</v>
      </c>
      <c r="AL30" s="263" t="n">
        <f aca="false" t="array" ref="AL30:AL30">IF(Premissas!$B$23=3,Premissas!$B$24,IF(AL29&gt;Premissas!$B$25,Premissas!$B$24,IFERROR(MAX(Tributos!$C$24,(INDEX(Tributos!$C$24:$C$29,MATCH(AL29,Tributos!$B$24:$B$29,1))*AL29-INDEX(Tributos!$D$24:$D$29,MATCH(AL29,Tributos!$B$24:$B$29,1)))/AL29),Tributos!$C$24)))</f>
        <v>0.199181586845544</v>
      </c>
      <c r="AM30" s="263" t="n">
        <f aca="false" t="array" ref="AM30:AM30">IF(Premissas!$B$23=3,Premissas!$B$24,IF(AM29&gt;Premissas!$B$25,Premissas!$B$24,IFERROR(MAX(Tributos!$C$24,(INDEX(Tributos!$C$24:$C$29,MATCH(AM29,Tributos!$B$24:$B$29,1))*AM29-INDEX(Tributos!$D$24:$D$29,MATCH(AM29,Tributos!$B$24:$B$29,1)))/AM29),Tributos!$C$24)))</f>
        <v>0.200528875087421</v>
      </c>
      <c r="AN30" s="263" t="n">
        <f aca="false" t="array" ref="AN30:AN30">IF(Premissas!$B$23=3,Premissas!$B$24,IF(AN29&gt;Premissas!$B$25,Premissas!$B$24,IFERROR(MAX(Tributos!$C$24,(INDEX(Tributos!$C$24:$C$29,MATCH(AN29,Tributos!$B$24:$B$29,1))*AN29-INDEX(Tributos!$D$24:$D$29,MATCH(AN29,Tributos!$B$24:$B$29,1)))/AN29),Tributos!$C$24)))</f>
        <v>0.20179507882146</v>
      </c>
      <c r="AO30" s="263" t="n">
        <f aca="false" t="array" ref="AO30:AO30">IF(Premissas!$B$23=3,Premissas!$B$24,IF(AO29&gt;Premissas!$B$25,Premissas!$B$24,IFERROR(MAX(Tributos!$C$24,(INDEX(Tributos!$C$24:$C$29,MATCH(AO29,Tributos!$B$24:$B$29,1))*AO29-INDEX(Tributos!$D$24:$D$29,MATCH(AO29,Tributos!$B$24:$B$29,1)))/AO29),Tributos!$C$24)))</f>
        <v>0.202983145598477</v>
      </c>
      <c r="AP30" s="263" t="n">
        <f aca="false" t="array" ref="AP30:AP30">IF(Premissas!$B$23=3,Premissas!$B$24,IF(AP29&gt;Premissas!$B$25,Premissas!$B$24,IFERROR(MAX(Tributos!$C$24,(INDEX(Tributos!$C$24:$C$29,MATCH(AP29,Tributos!$B$24:$B$29,1))*AP29-INDEX(Tributos!$D$24:$D$29,MATCH(AP29,Tributos!$B$24:$B$29,1)))/AP29),Tributos!$C$24)))</f>
        <v>0.204098289298532</v>
      </c>
      <c r="AQ30" s="263" t="n">
        <f aca="false" t="array" ref="AQ30:AQ30">IF(Premissas!$B$23=3,Premissas!$B$24,IF(AQ29&gt;Premissas!$B$25,Premissas!$B$24,IFERROR(MAX(Tributos!$C$24,(INDEX(Tributos!$C$24:$C$29,MATCH(AQ29,Tributos!$B$24:$B$29,1))*AQ29-INDEX(Tributos!$D$24:$D$29,MATCH(AQ29,Tributos!$B$24:$B$29,1)))/AQ29),Tributos!$C$24)))</f>
        <v>0.205144381026985</v>
      </c>
      <c r="AR30" s="263" t="n">
        <f aca="false" t="array" ref="AR30:AR30">IF(Premissas!$B$23=3,Premissas!$B$24,IF(AR29&gt;Premissas!$B$25,Premissas!$B$24,IFERROR(MAX(Tributos!$C$24,(INDEX(Tributos!$C$24:$C$29,MATCH(AR29,Tributos!$B$24:$B$29,1))*AR29-INDEX(Tributos!$D$24:$D$29,MATCH(AR29,Tributos!$B$24:$B$29,1)))/AR29),Tributos!$C$24)))</f>
        <v>0.206125219443407</v>
      </c>
      <c r="AS30" s="263" t="n">
        <f aca="false" t="array" ref="AS30:AS30">IF(Premissas!$B$23=3,Premissas!$B$24,IF(AS29&gt;Premissas!$B$25,Premissas!$B$24,IFERROR(MAX(Tributos!$C$24,(INDEX(Tributos!$C$24:$C$29,MATCH(AS29,Tributos!$B$24:$B$29,1))*AS29-INDEX(Tributos!$D$24:$D$29,MATCH(AS29,Tributos!$B$24:$B$29,1)))/AS29),Tributos!$C$24)))</f>
        <v>0.207045445357571</v>
      </c>
      <c r="AT30" s="263" t="n">
        <f aca="false" t="array" ref="AT30:AT30">IF(Premissas!$B$23=3,Premissas!$B$24,IF(AT29&gt;Premissas!$B$25,Premissas!$B$24,IFERROR(MAX(Tributos!$C$24,(INDEX(Tributos!$C$24:$C$29,MATCH(AT29,Tributos!$B$24:$B$29,1))*AT29-INDEX(Tributos!$D$24:$D$29,MATCH(AT29,Tributos!$B$24:$B$29,1)))/AT29),Tributos!$C$24)))</f>
        <v>0.207909550413046</v>
      </c>
      <c r="AU30" s="263" t="n">
        <f aca="false" t="array" ref="AU30:AU30">IF(Premissas!$B$23=3,Premissas!$B$24,IF(AU29&gt;Premissas!$B$25,Premissas!$B$24,IFERROR(MAX(Tributos!$C$24,(INDEX(Tributos!$C$24:$C$29,MATCH(AU29,Tributos!$B$24:$B$29,1))*AU29-INDEX(Tributos!$D$24:$D$29,MATCH(AU29,Tributos!$B$24:$B$29,1)))/AU29),Tributos!$C$24)))</f>
        <v>0.208721498258546</v>
      </c>
      <c r="AV30" s="263" t="n">
        <f aca="false" t="array" ref="AV30:AV30">IF(Premissas!$B$23=3,Premissas!$B$24,IF(AV29&gt;Premissas!$B$25,Premissas!$B$24,IFERROR(MAX(Tributos!$C$24,(INDEX(Tributos!$C$24:$C$29,MATCH(AV29,Tributos!$B$24:$B$29,1))*AV29-INDEX(Tributos!$D$24:$D$29,MATCH(AV29,Tributos!$B$24:$B$29,1)))/AV29),Tributos!$C$24)))</f>
        <v>0.209484613679105</v>
      </c>
      <c r="AW30" s="263" t="n">
        <f aca="false" t="array" ref="AW30:AW30">IF(Premissas!$B$23=3,Premissas!$B$24,IF(AW29&gt;Premissas!$B$25,Premissas!$B$24,IFERROR(MAX(Tributos!$C$24,(INDEX(Tributos!$C$24:$C$29,MATCH(AW29,Tributos!$B$24:$B$29,1))*AW29-INDEX(Tributos!$D$24:$D$29,MATCH(AW29,Tributos!$B$24:$B$29,1)))/AW29),Tributos!$C$24)))</f>
        <v>0.210202522867719</v>
      </c>
      <c r="AX30" s="263" t="n">
        <f aca="false" t="array" ref="AX30:AX30">IF(Premissas!$B$23=3,Premissas!$B$24,IF(AX29&gt;Premissas!$B$25,Premissas!$B$24,IFERROR(MAX(Tributos!$C$24,(INDEX(Tributos!$C$24:$C$29,MATCH(AX29,Tributos!$B$24:$B$29,1))*AX29-INDEX(Tributos!$D$24:$D$29,MATCH(AX29,Tributos!$B$24:$B$29,1)))/AX29),Tributos!$C$24)))</f>
        <v>0.210878479774337</v>
      </c>
      <c r="AY30" s="263" t="n">
        <f aca="false" t="array" ref="AY30:AY30">IF(Premissas!$B$23=3,Premissas!$B$24,IF(AY29&gt;Premissas!$B$25,Premissas!$B$24,IFERROR(MAX(Tributos!$C$24,(INDEX(Tributos!$C$24:$C$29,MATCH(AY29,Tributos!$B$24:$B$29,1))*AY29-INDEX(Tributos!$D$24:$D$29,MATCH(AY29,Tributos!$B$24:$B$29,1)))/AY29),Tributos!$C$24)))</f>
        <v>0.211548618168604</v>
      </c>
      <c r="AZ30" s="263" t="n">
        <f aca="false" t="array" ref="AZ30:AZ30">IF(Premissas!$B$23=3,Premissas!$B$24,IF(AZ29&gt;Premissas!$B$25,Premissas!$B$24,IFERROR(MAX(Tributos!$C$24,(INDEX(Tributos!$C$24:$C$29,MATCH(AZ29,Tributos!$B$24:$B$29,1))*AZ29-INDEX(Tributos!$D$24:$D$29,MATCH(AZ29,Tributos!$B$24:$B$29,1)))/AZ29),Tributos!$C$24)))</f>
        <v>0.212199474675097</v>
      </c>
      <c r="BA30" s="263" t="n">
        <f aca="false" t="array" ref="BA30:BA30">IF(Premissas!$B$23=3,Premissas!$B$24,IF(BA29&gt;Premissas!$B$25,Premissas!$B$24,IFERROR(MAX(Tributos!$C$24,(INDEX(Tributos!$C$24:$C$29,MATCH(BA29,Tributos!$B$24:$B$29,1))*BA29-INDEX(Tributos!$D$24:$D$29,MATCH(BA29,Tributos!$B$24:$B$29,1)))/BA29),Tributos!$C$24)))</f>
        <v>0.155679379371582</v>
      </c>
      <c r="BB30" s="263" t="n">
        <f aca="false" t="array" ref="BB30:BB30">IF(Premissas!$B$23=3,Premissas!$B$24,IF(BB29&gt;Premissas!$B$25,Premissas!$B$24,IFERROR(MAX(Tributos!$C$24,(INDEX(Tributos!$C$24:$C$29,MATCH(BB29,Tributos!$B$24:$B$29,1))*BB29-INDEX(Tributos!$D$24:$D$29,MATCH(BB29,Tributos!$B$24:$B$29,1)))/BB29),Tributos!$C$24)))</f>
        <v>0.160934860715968</v>
      </c>
      <c r="BC30" s="263" t="n">
        <f aca="false" t="array" ref="BC30:BC30">IF(Premissas!$B$23=3,Premissas!$B$24,IF(BC29&gt;Premissas!$B$25,Premissas!$B$24,IFERROR(MAX(Tributos!$C$24,(INDEX(Tributos!$C$24:$C$29,MATCH(BC29,Tributos!$B$24:$B$29,1))*BC29-INDEX(Tributos!$D$24:$D$29,MATCH(BC29,Tributos!$B$24:$B$29,1)))/BC29),Tributos!$C$24)))</f>
        <v>0.165978101200423</v>
      </c>
      <c r="BD30" s="263" t="n">
        <f aca="false" t="array" ref="BD30:BD30">IF(Premissas!$B$23=3,Premissas!$B$24,IF(BD29&gt;Premissas!$B$25,Premissas!$B$24,IFERROR(MAX(Tributos!$C$24,(INDEX(Tributos!$C$24:$C$29,MATCH(BD29,Tributos!$B$24:$B$29,1))*BD29-INDEX(Tributos!$D$24:$D$29,MATCH(BD29,Tributos!$B$24:$B$29,1)))/BD29),Tributos!$C$24)))</f>
        <v>0.170802684709775</v>
      </c>
      <c r="BE30" s="263" t="n">
        <f aca="false" t="array" ref="BE30:BE30">IF(Premissas!$B$23=3,Premissas!$B$24,IF(BE29&gt;Premissas!$B$25,Premissas!$B$24,IFERROR(MAX(Tributos!$C$24,(INDEX(Tributos!$C$24:$C$29,MATCH(BE29,Tributos!$B$24:$B$29,1))*BE29-INDEX(Tributos!$D$24:$D$29,MATCH(BE29,Tributos!$B$24:$B$29,1)))/BE29),Tributos!$C$24)))</f>
        <v>0.175408148088542</v>
      </c>
      <c r="BF30" s="263" t="n">
        <f aca="false" t="array" ref="BF30:BF30">IF(Premissas!$B$23=3,Premissas!$B$24,IF(BF29&gt;Premissas!$B$25,Premissas!$B$24,IFERROR(MAX(Tributos!$C$24,(INDEX(Tributos!$C$24:$C$29,MATCH(BF29,Tributos!$B$24:$B$29,1))*BF29-INDEX(Tributos!$D$24:$D$29,MATCH(BF29,Tributos!$B$24:$B$29,1)))/BF29),Tributos!$C$24)))</f>
        <v>0.179799160156031</v>
      </c>
      <c r="BG30" s="263" t="n">
        <f aca="false" t="array" ref="BG30:BG30">IF(Premissas!$B$23=3,Premissas!$B$24,IF(BG29&gt;Premissas!$B$25,Premissas!$B$24,IFERROR(MAX(Tributos!$C$24,(INDEX(Tributos!$C$24:$C$29,MATCH(BG29,Tributos!$B$24:$B$29,1))*BG29-INDEX(Tributos!$D$24:$D$29,MATCH(BG29,Tributos!$B$24:$B$29,1)))/BG29),Tributos!$C$24)))</f>
        <v>0.183980301579251</v>
      </c>
      <c r="BH30" s="263" t="n">
        <f aca="false" t="array" ref="BH30:BH30">IF(Premissas!$B$23=3,Premissas!$B$24,IF(BH29&gt;Premissas!$B$25,Premissas!$B$24,IFERROR(MAX(Tributos!$C$24,(INDEX(Tributos!$C$24:$C$29,MATCH(BH29,Tributos!$B$24:$B$29,1))*BH29-INDEX(Tributos!$D$24:$D$29,MATCH(BH29,Tributos!$B$24:$B$29,1)))/BH29),Tributos!$C$24)))</f>
        <v>0.187959083338965</v>
      </c>
      <c r="BI30" s="263" t="n">
        <f aca="false" t="array" ref="BI30:BI30">IF(Premissas!$B$23=3,Premissas!$B$24,IF(BI29&gt;Premissas!$B$25,Premissas!$B$24,IFERROR(MAX(Tributos!$C$24,(INDEX(Tributos!$C$24:$C$29,MATCH(BI29,Tributos!$B$24:$B$29,1))*BI29-INDEX(Tributos!$D$24:$D$29,MATCH(BI29,Tributos!$B$24:$B$29,1)))/BI29),Tributos!$C$24)))</f>
        <v>0.19174320239312</v>
      </c>
      <c r="BJ30" s="264" t="n">
        <f aca="false">IFERROR(-BJ28/BJ25,0)</f>
        <v>-47.8300524879455</v>
      </c>
    </row>
    <row r="31" customFormat="false" ht="15.75" hidden="false" customHeight="true" outlineLevel="0" collapsed="false">
      <c r="A31" s="49" t="s">
        <v>434</v>
      </c>
      <c r="B31" s="168" t="n">
        <f aca="false">-B28*B30</f>
        <v>-0</v>
      </c>
      <c r="C31" s="168" t="n">
        <f aca="false">-C28*C30</f>
        <v>-0</v>
      </c>
      <c r="D31" s="168" t="n">
        <f aca="false">-D28*D30</f>
        <v>-0</v>
      </c>
      <c r="E31" s="168" t="n">
        <f aca="false">-E28*E30</f>
        <v>-0</v>
      </c>
      <c r="F31" s="168" t="n">
        <f aca="false">-F28*F30</f>
        <v>-0</v>
      </c>
      <c r="G31" s="168" t="n">
        <f aca="false">-G28*G30</f>
        <v>-0</v>
      </c>
      <c r="H31" s="168" t="n">
        <f aca="false">-H28*H30</f>
        <v>-0</v>
      </c>
      <c r="I31" s="168" t="n">
        <f aca="false">-I28*I30</f>
        <v>-0</v>
      </c>
      <c r="J31" s="168" t="n">
        <f aca="false">-J28*J30</f>
        <v>-0</v>
      </c>
      <c r="K31" s="168" t="n">
        <f aca="false">-K28*K30</f>
        <v>-0</v>
      </c>
      <c r="L31" s="168" t="n">
        <f aca="false">-L28*L30</f>
        <v>-0</v>
      </c>
      <c r="M31" s="168" t="n">
        <f aca="false">-M28*M30</f>
        <v>-222.921</v>
      </c>
      <c r="N31" s="168" t="n">
        <f aca="false">-N28*N30</f>
        <v>-1243.909968</v>
      </c>
      <c r="O31" s="168" t="n">
        <f aca="false">-O28*O30</f>
        <v>-2673.227269072</v>
      </c>
      <c r="P31" s="168" t="n">
        <f aca="false">-P28*P30</f>
        <v>-5301.00119324109</v>
      </c>
      <c r="Q31" s="168" t="n">
        <f aca="false">-Q28*Q30</f>
        <v>-7503.88482468995</v>
      </c>
      <c r="R31" s="168" t="n">
        <f aca="false">-R28*R30</f>
        <v>-10008.2080795197</v>
      </c>
      <c r="S31" s="168" t="n">
        <f aca="false">-S28*S30</f>
        <v>-11142.8480538858</v>
      </c>
      <c r="T31" s="168" t="n">
        <f aca="false">-T28*T30</f>
        <v>-12710.0776850167</v>
      </c>
      <c r="U31" s="168" t="n">
        <f aca="false">-U28*U30</f>
        <v>-14048.9266195262</v>
      </c>
      <c r="V31" s="168" t="n">
        <f aca="false">-V28*V30</f>
        <v>-15373.363206077</v>
      </c>
      <c r="W31" s="168" t="n">
        <f aca="false">-W28*W30</f>
        <v>-17637.8451430357</v>
      </c>
      <c r="X31" s="168" t="n">
        <f aca="false">-X28*X30</f>
        <v>-18763.2991878651</v>
      </c>
      <c r="Y31" s="168" t="n">
        <f aca="false">-Y28*Y30</f>
        <v>-19746.0172221173</v>
      </c>
      <c r="Z31" s="168" t="n">
        <f aca="false">-Z28*Z30</f>
        <v>-23875.7025976841</v>
      </c>
      <c r="AA31" s="168" t="n">
        <f aca="false">-AA28*AA30</f>
        <v>-25950.6438783193</v>
      </c>
      <c r="AB31" s="168" t="n">
        <f aca="false">-AB28*AB30</f>
        <v>-27842.9987988223</v>
      </c>
      <c r="AC31" s="168" t="n">
        <f aca="false">-AC28*AC30</f>
        <v>-29532.3359798694</v>
      </c>
      <c r="AD31" s="168" t="n">
        <f aca="false">-AD28*AD30</f>
        <v>-31039.5808413099</v>
      </c>
      <c r="AE31" s="168" t="n">
        <f aca="false">-AE28*AE30</f>
        <v>-32415.7669648516</v>
      </c>
      <c r="AF31" s="168" t="n">
        <f aca="false">-AF28*AF30</f>
        <v>-33658.3289468263</v>
      </c>
      <c r="AG31" s="168" t="n">
        <f aca="false">-AG28*AG30</f>
        <v>-34792.640880137</v>
      </c>
      <c r="AH31" s="168" t="n">
        <f aca="false">-AH28*AH30</f>
        <v>-35812.6355420952</v>
      </c>
      <c r="AI31" s="168" t="n">
        <f aca="false">-AI28*AI30</f>
        <v>-36747.101008329</v>
      </c>
      <c r="AJ31" s="168" t="n">
        <f aca="false">-AJ28*AJ30</f>
        <v>-37711.5249283228</v>
      </c>
      <c r="AK31" s="168" t="n">
        <f aca="false">-AK28*AK30</f>
        <v>-38703.6635323743</v>
      </c>
      <c r="AL31" s="168" t="n">
        <f aca="false">-AL28*AL30</f>
        <v>-44200.4864640313</v>
      </c>
      <c r="AM31" s="168" t="n">
        <f aca="false">-AM28*AM30</f>
        <v>-46842.6288740971</v>
      </c>
      <c r="AN31" s="168" t="n">
        <f aca="false">-AN28*AN30</f>
        <v>-49296.5263479086</v>
      </c>
      <c r="AO31" s="168" t="n">
        <f aca="false">-AO28*AO30</f>
        <v>-51575.3366895199</v>
      </c>
      <c r="AP31" s="168" t="n">
        <f aca="false">-AP28*AP30</f>
        <v>-53658.9270473518</v>
      </c>
      <c r="AQ31" s="168" t="n">
        <f aca="false">-AQ28*AQ30</f>
        <v>-55592.600908051</v>
      </c>
      <c r="AR31" s="168" t="n">
        <f aca="false">-AR28*AR30</f>
        <v>-57372.8005747919</v>
      </c>
      <c r="AS31" s="168" t="n">
        <f aca="false">-AS28*AS30</f>
        <v>-59028.1676417591</v>
      </c>
      <c r="AT31" s="168" t="n">
        <f aca="false">-AT28*AT30</f>
        <v>-60544.8097172679</v>
      </c>
      <c r="AU31" s="168" t="n">
        <f aca="false">-AU28*AU30</f>
        <v>-61940.7335154229</v>
      </c>
      <c r="AV31" s="168" t="n">
        <f aca="false">-AV28*AV30</f>
        <v>-63243.6684454266</v>
      </c>
      <c r="AW31" s="168" t="n">
        <f aca="false">-AW28*AW30</f>
        <v>-64439.3983686117</v>
      </c>
      <c r="AX31" s="168" t="n">
        <f aca="false">-AX28*AX30</f>
        <v>-71669.6584427898</v>
      </c>
      <c r="AY31" s="168" t="n">
        <f aca="false">-AY28*AY30</f>
        <v>-75449.8570355813</v>
      </c>
      <c r="AZ31" s="168" t="n">
        <f aca="false">-AZ28*AZ30</f>
        <v>-78939.9524638395</v>
      </c>
      <c r="BA31" s="168" t="n">
        <f aca="false">-BA28*BA30</f>
        <v>-60094.0985475055</v>
      </c>
      <c r="BB31" s="168" t="n">
        <f aca="false">-BB28*BB30</f>
        <v>-64194.1783365877</v>
      </c>
      <c r="BC31" s="168" t="n">
        <f aca="false">-BC28*BC30</f>
        <v>-68156.9040187886</v>
      </c>
      <c r="BD31" s="168" t="n">
        <f aca="false">-BD28*BD30</f>
        <v>-71966.4621924677</v>
      </c>
      <c r="BE31" s="168" t="n">
        <f aca="false">-BE28*BE30</f>
        <v>-75642.8523597567</v>
      </c>
      <c r="BF31" s="168" t="n">
        <f aca="false">-BF28*BF30</f>
        <v>-79151.3379225441</v>
      </c>
      <c r="BG31" s="168" t="n">
        <f aca="false">-BG28*BG30</f>
        <v>-82506.0032827741</v>
      </c>
      <c r="BH31" s="168" t="n">
        <f aca="false">-BH28*BH30</f>
        <v>-85719.8457691251</v>
      </c>
      <c r="BI31" s="168" t="n">
        <f aca="false">-BI28*BI30</f>
        <v>-88769.1636161205</v>
      </c>
      <c r="BJ31" s="154" t="n">
        <f aca="false">SUM(B31:BI31)</f>
        <v>-2094454.85193311</v>
      </c>
    </row>
    <row r="32" customFormat="false" ht="15.75" hidden="false" customHeight="true" outlineLevel="0" collapsed="false">
      <c r="A32" s="49" t="s">
        <v>402</v>
      </c>
      <c r="B32" s="168" t="n">
        <f aca="false" t="array" ref="B32:B32">-B23*Premissas!$B$62*INDEX(Premissas!$C$63:$G$63,B$7)</f>
        <v>-0</v>
      </c>
      <c r="C32" s="168" t="n">
        <f aca="false" t="array" ref="C32:C32">-C23*Premissas!$B$62*INDEX(Premissas!$C$63:$G$63,C$7)</f>
        <v>-0</v>
      </c>
      <c r="D32" s="168" t="n">
        <f aca="false" t="array" ref="D32:D32">-D23*Premissas!$B$62*INDEX(Premissas!$C$63:$G$63,D$7)</f>
        <v>-0</v>
      </c>
      <c r="E32" s="168" t="n">
        <f aca="false" t="array" ref="E32:E32">-E23*Premissas!$B$62*INDEX(Premissas!$C$63:$G$63,E$7)</f>
        <v>-0</v>
      </c>
      <c r="F32" s="168" t="n">
        <f aca="false" t="array" ref="F32:F32">-F23*Premissas!$B$62*INDEX(Premissas!$C$63:$G$63,F$7)</f>
        <v>-0</v>
      </c>
      <c r="G32" s="168" t="n">
        <f aca="false" t="array" ref="G32:G32">-G23*Premissas!$B$62*INDEX(Premissas!$C$63:$G$63,G$7)</f>
        <v>-0</v>
      </c>
      <c r="H32" s="168" t="n">
        <f aca="false" t="array" ref="H32:H32">-H23*Premissas!$B$62*INDEX(Premissas!$C$63:$G$63,H$7)</f>
        <v>-0</v>
      </c>
      <c r="I32" s="168" t="n">
        <f aca="false" t="array" ref="I32:I32">-I23*Premissas!$B$62*INDEX(Premissas!$C$63:$G$63,I$7)</f>
        <v>-0</v>
      </c>
      <c r="J32" s="168" t="n">
        <f aca="false" t="array" ref="J32:J32">-J23*Premissas!$B$62*INDEX(Premissas!$C$63:$G$63,J$7)</f>
        <v>-0</v>
      </c>
      <c r="K32" s="168" t="n">
        <f aca="false" t="array" ref="K32:K32">-K23*Premissas!$B$62*INDEX(Premissas!$C$63:$G$63,K$7)</f>
        <v>-0</v>
      </c>
      <c r="L32" s="168" t="n">
        <f aca="false" t="array" ref="L32:L32">-L23*Premissas!$B$62*INDEX(Premissas!$C$63:$G$63,L$7)</f>
        <v>-0</v>
      </c>
      <c r="M32" s="168" t="n">
        <f aca="false" t="array" ref="M32:M32">-M23*Premissas!$B$62*INDEX(Premissas!$C$63:$G$63,M$7)</f>
        <v>-183.3705</v>
      </c>
      <c r="N32" s="168" t="n">
        <f aca="false" t="array" ref="N32:N32">-N23*Premissas!$B$62*INDEX(Premissas!$C$63:$G$63,N$7)</f>
        <v>-805.392</v>
      </c>
      <c r="O32" s="168" t="n">
        <f aca="false" t="array" ref="O32:O32">-O23*Premissas!$B$62*INDEX(Premissas!$C$63:$G$63,O$7)</f>
        <v>-1831.308</v>
      </c>
      <c r="P32" s="168" t="n">
        <f aca="false" t="array" ref="P32:P32">-P23*Premissas!$B$62*INDEX(Premissas!$C$63:$G$63,P$7)</f>
        <v>-3192.804</v>
      </c>
      <c r="Q32" s="168" t="n">
        <f aca="false" t="array" ref="Q32:Q32">-Q23*Premissas!$B$62*INDEX(Premissas!$C$63:$G$63,Q$7)</f>
        <v>-4832.352</v>
      </c>
      <c r="R32" s="168" t="n">
        <f aca="false" t="array" ref="R32:R32">-R23*Premissas!$B$62*INDEX(Premissas!$C$63:$G$63,R$7)</f>
        <v>-6711.6</v>
      </c>
      <c r="S32" s="168" t="n">
        <f aca="false" t="array" ref="S32:S32">-S23*Premissas!$B$62*INDEX(Premissas!$C$63:$G$63,S$7)</f>
        <v>-7536.168</v>
      </c>
      <c r="T32" s="168" t="n">
        <f aca="false" t="array" ref="T32:T32">-T23*Premissas!$B$62*INDEX(Premissas!$C$63:$G$63,T$7)</f>
        <v>-8293.62</v>
      </c>
      <c r="U32" s="168" t="n">
        <f aca="false" t="array" ref="U32:U32">-U23*Premissas!$B$62*INDEX(Premissas!$C$63:$G$63,U$7)</f>
        <v>-8964.78</v>
      </c>
      <c r="V32" s="168" t="n">
        <f aca="false" t="array" ref="V32:V32">-V23*Premissas!$B$62*INDEX(Premissas!$C$63:$G$63,V$7)</f>
        <v>-9578.412</v>
      </c>
      <c r="W32" s="168" t="n">
        <f aca="false" t="array" ref="W32:W32">-W23*Premissas!$B$62*INDEX(Premissas!$C$63:$G$63,W$7)</f>
        <v>-10134.516</v>
      </c>
      <c r="X32" s="168" t="n">
        <f aca="false" t="array" ref="X32:X32">-X23*Premissas!$B$62*INDEX(Premissas!$C$63:$G$63,X$7)</f>
        <v>-10633.092</v>
      </c>
      <c r="Y32" s="168" t="n">
        <f aca="false" t="array" ref="Y32:Y32">-Y23*Premissas!$B$62*INDEX(Premissas!$C$63:$G$63,Y$7)</f>
        <v>-11083.728</v>
      </c>
      <c r="Z32" s="168" t="n">
        <f aca="false" t="array" ref="Z32:Z32">-Z23*Premissas!$B$62*INDEX(Premissas!$C$63:$G$63,Z$7)</f>
        <v>-12160.08</v>
      </c>
      <c r="AA32" s="168" t="n">
        <f aca="false" t="array" ref="AA32:AA32">-AA23*Premissas!$B$62*INDEX(Premissas!$C$63:$G$63,AA$7)</f>
        <v>-13099.8825</v>
      </c>
      <c r="AB32" s="168" t="n">
        <f aca="false" t="array" ref="AB32:AB32">-AB23*Premissas!$B$62*INDEX(Premissas!$C$63:$G$63,AB$7)</f>
        <v>-13965.525</v>
      </c>
      <c r="AC32" s="168" t="n">
        <f aca="false" t="array" ref="AC32:AC32">-AC23*Premissas!$B$62*INDEX(Premissas!$C$63:$G$63,AC$7)</f>
        <v>-14748.01875</v>
      </c>
      <c r="AD32" s="168" t="n">
        <f aca="false" t="array" ref="AD32:AD32">-AD23*Premissas!$B$62*INDEX(Premissas!$C$63:$G$63,AD$7)</f>
        <v>-15449.805</v>
      </c>
      <c r="AE32" s="168" t="n">
        <f aca="false" t="array" ref="AE32:AE32">-AE23*Premissas!$B$62*INDEX(Premissas!$C$63:$G$63,AE$7)</f>
        <v>-16098.6825</v>
      </c>
      <c r="AF32" s="168" t="n">
        <f aca="false" t="array" ref="AF32:AF32">-AF23*Premissas!$B$62*INDEX(Premissas!$C$63:$G$63,AF$7)</f>
        <v>-16682.38875</v>
      </c>
      <c r="AG32" s="168" t="n">
        <f aca="false" t="array" ref="AG32:AG32">-AG23*Premissas!$B$62*INDEX(Premissas!$C$63:$G$63,AG$7)</f>
        <v>-17214.60375</v>
      </c>
      <c r="AH32" s="168" t="n">
        <f aca="false" t="array" ref="AH32:AH32">-AH23*Premissas!$B$62*INDEX(Premissas!$C$63:$G$63,AH$7)</f>
        <v>-17690.63625</v>
      </c>
      <c r="AI32" s="168" t="n">
        <f aca="false" t="array" ref="AI32:AI32">-AI23*Premissas!$B$62*INDEX(Premissas!$C$63:$G$63,AI$7)</f>
        <v>-18126.315</v>
      </c>
      <c r="AJ32" s="168" t="n">
        <f aca="false" t="array" ref="AJ32:AJ32">-AJ23*Premissas!$B$62*INDEX(Premissas!$C$63:$G$63,AJ$7)</f>
        <v>-18528.1875</v>
      </c>
      <c r="AK32" s="168" t="n">
        <f aca="false" t="array" ref="AK32:AK32">-AK23*Premissas!$B$62*INDEX(Premissas!$C$63:$G$63,AK$7)</f>
        <v>-18889.70625</v>
      </c>
      <c r="AL32" s="168" t="n">
        <f aca="false" t="array" ref="AL32:AL32">-AL23*Premissas!$B$62*INDEX(Premissas!$C$63:$G$63,AL$7)</f>
        <v>-19674.9</v>
      </c>
      <c r="AM32" s="168" t="n">
        <f aca="false" t="array" ref="AM32:AM32">-AM23*Premissas!$B$62*INDEX(Premissas!$C$63:$G$63,AM$7)</f>
        <v>-20763.2592</v>
      </c>
      <c r="AN32" s="168" t="n">
        <f aca="false" t="array" ref="AN32:AN32">-AN23*Premissas!$B$62*INDEX(Premissas!$C$63:$G$63,AN$7)</f>
        <v>-21760.0236</v>
      </c>
      <c r="AO32" s="168" t="n">
        <f aca="false" t="array" ref="AO32:AO32">-AO23*Premissas!$B$62*INDEX(Premissas!$C$63:$G$63,AO$7)</f>
        <v>-22673.8224</v>
      </c>
      <c r="AP32" s="168" t="n">
        <f aca="false" t="array" ref="AP32:AP32">-AP23*Premissas!$B$62*INDEX(Premissas!$C$63:$G$63,AP$7)</f>
        <v>-23494.9464</v>
      </c>
      <c r="AQ32" s="168" t="n">
        <f aca="false" t="array" ref="AQ32:AQ32">-AQ23*Premissas!$B$62*INDEX(Premissas!$C$63:$G$63,AQ$7)</f>
        <v>-24248.3004</v>
      </c>
      <c r="AR32" s="168" t="n">
        <f aca="false" t="array" ref="AR32:AR32">-AR23*Premissas!$B$62*INDEX(Premissas!$C$63:$G$63,AR$7)</f>
        <v>-24932.5236</v>
      </c>
      <c r="AS32" s="168" t="n">
        <f aca="false" t="array" ref="AS32:AS32">-AS23*Premissas!$B$62*INDEX(Premissas!$C$63:$G$63,AS$7)</f>
        <v>-25562.8116</v>
      </c>
      <c r="AT32" s="168" t="n">
        <f aca="false" t="array" ref="AT32:AT32">-AT23*Premissas!$B$62*INDEX(Premissas!$C$63:$G$63,AT$7)</f>
        <v>-26131.896</v>
      </c>
      <c r="AU32" s="168" t="n">
        <f aca="false" t="array" ref="AU32:AU32">-AU23*Premissas!$B$62*INDEX(Premissas!$C$63:$G$63,AU$7)</f>
        <v>-26649.108</v>
      </c>
      <c r="AV32" s="168" t="n">
        <f aca="false" t="array" ref="AV32:AV32">-AV23*Premissas!$B$62*INDEX(Premissas!$C$63:$G$63,AV$7)</f>
        <v>-27128.6604</v>
      </c>
      <c r="AW32" s="168" t="n">
        <f aca="false" t="array" ref="AW32:AW32">-AW23*Premissas!$B$62*INDEX(Premissas!$C$63:$G$63,AW$7)</f>
        <v>-27562.9068</v>
      </c>
      <c r="AX32" s="168" t="n">
        <f aca="false" t="array" ref="AX32:AX32">-AX23*Premissas!$B$62*INDEX(Premissas!$C$63:$G$63,AX$7)</f>
        <v>-28914.459</v>
      </c>
      <c r="AY32" s="168" t="n">
        <f aca="false" t="array" ref="AY32:AY32">-AY23*Premissas!$B$62*INDEX(Premissas!$C$63:$G$63,AY$7)</f>
        <v>-30390.3075</v>
      </c>
      <c r="AZ32" s="168" t="n">
        <f aca="false" t="array" ref="AZ32:AZ32">-AZ23*Premissas!$B$62*INDEX(Premissas!$C$63:$G$63,AZ$7)</f>
        <v>-31739.442</v>
      </c>
      <c r="BA32" s="168" t="n">
        <f aca="false" t="array" ref="BA32:BA32">-BA23*Premissas!$B$62*INDEX(Premissas!$C$63:$G$63,BA$7)</f>
        <v>-32969.202</v>
      </c>
      <c r="BB32" s="168" t="n">
        <f aca="false" t="array" ref="BB32:BB32">-BB23*Premissas!$B$62*INDEX(Premissas!$C$63:$G$63,BB$7)</f>
        <v>-34100.472</v>
      </c>
      <c r="BC32" s="168" t="n">
        <f aca="false" t="array" ref="BC32:BC32">-BC23*Premissas!$B$62*INDEX(Premissas!$C$63:$G$63,BC$7)</f>
        <v>-35133.252</v>
      </c>
      <c r="BD32" s="168" t="n">
        <f aca="false" t="array" ref="BD32:BD32">-BD23*Premissas!$B$62*INDEX(Premissas!$C$63:$G$63,BD$7)</f>
        <v>-36072.876</v>
      </c>
      <c r="BE32" s="168" t="n">
        <f aca="false" t="array" ref="BE32:BE32">-BE23*Premissas!$B$62*INDEX(Premissas!$C$63:$G$63,BE$7)</f>
        <v>-36943.284</v>
      </c>
      <c r="BF32" s="168" t="n">
        <f aca="false" t="array" ref="BF32:BF32">-BF23*Premissas!$B$62*INDEX(Premissas!$C$63:$G$63,BF$7)</f>
        <v>-37731.981</v>
      </c>
      <c r="BG32" s="168" t="n">
        <f aca="false" t="array" ref="BG32:BG32">-BG23*Premissas!$B$62*INDEX(Premissas!$C$63:$G$63,BG$7)</f>
        <v>-38454.7905</v>
      </c>
      <c r="BH32" s="168" t="n">
        <f aca="false" t="array" ref="BH32:BH32">-BH23*Premissas!$B$62*INDEX(Premissas!$C$63:$G$63,BH$7)</f>
        <v>-39124.113</v>
      </c>
      <c r="BI32" s="168" t="n">
        <f aca="false" t="array" ref="BI32:BI32">-BI23*Premissas!$B$62*INDEX(Premissas!$C$63:$G$63,BI$7)</f>
        <v>-39730.6035</v>
      </c>
      <c r="BJ32" s="154" t="n">
        <f aca="false">SUM(B32:BI32)</f>
        <v>-988322.91465</v>
      </c>
    </row>
    <row r="33" customFormat="false" ht="15.75" hidden="false" customHeight="true" outlineLevel="0" collapsed="false">
      <c r="A33" s="49" t="s">
        <v>404</v>
      </c>
      <c r="B33" s="168" t="n">
        <f aca="false" t="array" ref="B33:B33">-(B23*(1-INDEX(Premissas!$C$63:$G$63,B$7))+B24)*Premissas!$B$64</f>
        <v>-0</v>
      </c>
      <c r="C33" s="168" t="n">
        <f aca="false" t="array" ref="C33:C33">-(C23*(1-INDEX(Premissas!$C$63:$G$63,C$7))+C24)*Premissas!$B$64</f>
        <v>-0</v>
      </c>
      <c r="D33" s="168" t="n">
        <f aca="false" t="array" ref="D33:D33">-(D23*(1-INDEX(Premissas!$C$63:$G$63,D$7))+D24)*Premissas!$B$64</f>
        <v>-0</v>
      </c>
      <c r="E33" s="168" t="n">
        <f aca="false" t="array" ref="E33:E33">-(E23*(1-INDEX(Premissas!$C$63:$G$63,E$7))+E24)*Premissas!$B$64</f>
        <v>-0</v>
      </c>
      <c r="F33" s="168" t="n">
        <f aca="false" t="array" ref="F33:F33">-(F23*(1-INDEX(Premissas!$C$63:$G$63,F$7))+F24)*Premissas!$B$64</f>
        <v>-0</v>
      </c>
      <c r="G33" s="168" t="n">
        <f aca="false" t="array" ref="G33:G33">-(G23*(1-INDEX(Premissas!$C$63:$G$63,G$7))+G24)*Premissas!$B$64</f>
        <v>-0</v>
      </c>
      <c r="H33" s="168" t="n">
        <f aca="false" t="array" ref="H33:H33">-(H23*(1-INDEX(Premissas!$C$63:$G$63,H$7))+H24)*Premissas!$B$64</f>
        <v>-0</v>
      </c>
      <c r="I33" s="168" t="n">
        <f aca="false" t="array" ref="I33:I33">-(I23*(1-INDEX(Premissas!$C$63:$G$63,I$7))+I24)*Premissas!$B$64</f>
        <v>-0</v>
      </c>
      <c r="J33" s="168" t="n">
        <f aca="false" t="array" ref="J33:J33">-(J23*(1-INDEX(Premissas!$C$63:$G$63,J$7))+J24)*Premissas!$B$64</f>
        <v>-0</v>
      </c>
      <c r="K33" s="168" t="n">
        <f aca="false" t="array" ref="K33:K33">-(K23*(1-INDEX(Premissas!$C$63:$G$63,K$7))+K24)*Premissas!$B$64</f>
        <v>-0</v>
      </c>
      <c r="L33" s="168" t="n">
        <f aca="false" t="array" ref="L33:L33">-(L23*(1-INDEX(Premissas!$C$63:$G$63,L$7))+L24)*Premissas!$B$64</f>
        <v>-0</v>
      </c>
      <c r="M33" s="168" t="n">
        <f aca="false" t="array" ref="M33:M33">-(M23*(1-INDEX(Premissas!$C$63:$G$63,M$7))+M24)*Premissas!$B$64</f>
        <v>-9.70785</v>
      </c>
      <c r="N33" s="168" t="n">
        <f aca="false" t="array" ref="N33:N33">-(N23*(1-INDEX(Premissas!$C$63:$G$63,N$7))+N24)*Premissas!$B$64</f>
        <v>-119.517552</v>
      </c>
      <c r="O33" s="168" t="n">
        <f aca="false" t="array" ref="O33:O33">-(O23*(1-INDEX(Premissas!$C$63:$G$63,O$7))+O24)*Premissas!$B$64</f>
        <v>-226.705839408</v>
      </c>
      <c r="P33" s="168" t="n">
        <f aca="false" t="array" ref="P33:P33">-(P23*(1-INDEX(Premissas!$C$63:$G$63,P$7))+P24)*Premissas!$B$64</f>
        <v>-356.159146424832</v>
      </c>
      <c r="Q33" s="168" t="n">
        <f aca="false" t="array" ref="Q33:Q33">-(Q23*(1-INDEX(Premissas!$C$63:$G$63,Q$7))+Q24)*Premissas!$B$64</f>
        <v>-503.841607168048</v>
      </c>
      <c r="R33" s="168" t="n">
        <f aca="false" t="array" ref="R33:R33">-(R23*(1-INDEX(Premissas!$C$63:$G$63,R$7))+R24)*Premissas!$B$64</f>
        <v>-667.128797279915</v>
      </c>
      <c r="S33" s="168" t="n">
        <f aca="false" t="array" ref="S33:S33">-(S23*(1-INDEX(Premissas!$C$63:$G$63,S$7))+S24)*Premissas!$B$64</f>
        <v>-749.170002741043</v>
      </c>
      <c r="T33" s="168" t="n">
        <f aca="false" t="array" ref="T33:T33">-(T23*(1-INDEX(Premissas!$C$63:$G$63,T$7))+T24)*Premissas!$B$64</f>
        <v>-824.238442077903</v>
      </c>
      <c r="U33" s="168" t="n">
        <f aca="false" t="array" ref="U33:U33">-(U23*(1-INDEX(Premissas!$C$63:$G$63,U$7))+U24)*Premissas!$B$64</f>
        <v>-891.082065638425</v>
      </c>
      <c r="V33" s="168" t="n">
        <f aca="false" t="array" ref="V33:V33">-(V23*(1-INDEX(Premissas!$C$63:$G$63,V$7))+V24)*Premissas!$B$64</f>
        <v>-952.026453337136</v>
      </c>
      <c r="W33" s="168" t="n">
        <f aca="false" t="array" ref="W33:W33">-(W23*(1-INDEX(Premissas!$C$63:$G$63,W$7))+W24)*Premissas!$B$64</f>
        <v>-1007.22373021677</v>
      </c>
      <c r="X33" s="168" t="n">
        <f aca="false" t="array" ref="X33:X33">-(X23*(1-INDEX(Premissas!$C$63:$G$63,X$7))+X24)*Premissas!$B$64</f>
        <v>-1056.81141731596</v>
      </c>
      <c r="Y33" s="168" t="n">
        <f aca="false" t="array" ref="Y33:Y33">-(Y23*(1-INDEX(Premissas!$C$63:$G$63,Y$7))+Y24)*Premissas!$B$64</f>
        <v>-1101.63293365363</v>
      </c>
      <c r="Z33" s="168" t="n">
        <f aca="false" t="array" ref="Z33:Z33">-(Z23*(1-INDEX(Premissas!$C$63:$G$63,Z$7))+Z24)*Premissas!$B$64</f>
        <v>-1708.88266737352</v>
      </c>
      <c r="AA33" s="168" t="n">
        <f aca="false" t="array" ref="AA33:AA33">-(AA23*(1-INDEX(Premissas!$C$63:$G$63,AA$7))+AA24)*Premissas!$B$64</f>
        <v>-1841.25163802837</v>
      </c>
      <c r="AB33" s="168" t="n">
        <f aca="false" t="array" ref="AB33:AB33">-(AB23*(1-INDEX(Premissas!$C$63:$G$63,AB$7))+AB24)*Premissas!$B$64</f>
        <v>-1962.66670418768</v>
      </c>
      <c r="AC33" s="168" t="n">
        <f aca="false" t="array" ref="AC33:AC33">-(AC23*(1-INDEX(Premissas!$C$63:$G$63,AC$7))+AC24)*Premissas!$B$64</f>
        <v>-2072.55504412974</v>
      </c>
      <c r="AD33" s="168" t="n">
        <f aca="false" t="array" ref="AD33:AD33">-(AD23*(1-INDEX(Premissas!$C$63:$G$63,AD$7))+AD24)*Premissas!$B$64</f>
        <v>-2171.45678706275</v>
      </c>
      <c r="AE33" s="168" t="n">
        <f aca="false" t="array" ref="AE33:AE33">-(AE23*(1-INDEX(Premissas!$C$63:$G$63,AE$7))+AE24)*Premissas!$B$64</f>
        <v>-2262.42053244704</v>
      </c>
      <c r="AF33" s="168" t="n">
        <f aca="false" t="array" ref="AF33:AF33">-(AF23*(1-INDEX(Premissas!$C$63:$G$63,AF$7))+AF24)*Premissas!$B$64</f>
        <v>-2344.46398909672</v>
      </c>
      <c r="AG33" s="168" t="n">
        <f aca="false" t="array" ref="AG33:AG33">-(AG23*(1-INDEX(Premissas!$C$63:$G$63,AG$7))+AG24)*Premissas!$B$64</f>
        <v>-2419.17663258157</v>
      </c>
      <c r="AH33" s="168" t="n">
        <f aca="false" t="array" ref="AH33:AH33">-(AH23*(1-INDEX(Premissas!$C$63:$G$63,AH$7))+AH24)*Premissas!$B$64</f>
        <v>-2486.29040228285</v>
      </c>
      <c r="AI33" s="168" t="n">
        <f aca="false" t="array" ref="AI33:AI33">-(AI23*(1-INDEX(Premissas!$C$63:$G$63,AI$7))+AI24)*Premissas!$B$64</f>
        <v>-2547.57070748846</v>
      </c>
      <c r="AJ33" s="168" t="n">
        <f aca="false" t="array" ref="AJ33:AJ33">-(AJ23*(1-INDEX(Premissas!$C$63:$G$63,AJ$7))+AJ24)*Premissas!$B$64</f>
        <v>-2603.83801012633</v>
      </c>
      <c r="AK33" s="168" t="n">
        <f aca="false" t="array" ref="AK33:AK33">-(AK23*(1-INDEX(Premissas!$C$63:$G$63,AK$7))+AK24)*Premissas!$B$64</f>
        <v>-2654.58800011309</v>
      </c>
      <c r="AL33" s="168" t="n">
        <f aca="false" t="array" ref="AL33:AL33">-(AL23*(1-INDEX(Premissas!$C$63:$G$63,AL$7))+AL24)*Premissas!$B$64</f>
        <v>-3599.75271154285</v>
      </c>
      <c r="AM33" s="168" t="n">
        <f aca="false" t="array" ref="AM33:AM33">-(AM23*(1-INDEX(Premissas!$C$63:$G$63,AM$7))+AM24)*Premissas!$B$64</f>
        <v>-3799.06660585089</v>
      </c>
      <c r="AN33" s="168" t="n">
        <f aca="false" t="array" ref="AN33:AN33">-(AN23*(1-INDEX(Premissas!$C$63:$G$63,AN$7))+AN24)*Premissas!$B$64</f>
        <v>-3981.29437899315</v>
      </c>
      <c r="AO33" s="168" t="n">
        <f aca="false" t="array" ref="AO33:AO33">-(AO23*(1-INDEX(Premissas!$C$63:$G$63,AO$7))+AO24)*Premissas!$B$64</f>
        <v>-4148.00900742117</v>
      </c>
      <c r="AP33" s="168" t="n">
        <f aca="false" t="array" ref="AP33:AP33">-(AP23*(1-INDEX(Premissas!$C$63:$G$63,AP$7))+AP24)*Premissas!$B$64</f>
        <v>-4298.5938906092</v>
      </c>
      <c r="AQ33" s="168" t="n">
        <f aca="false" t="array" ref="AQ33:AQ33">-(AQ23*(1-INDEX(Premissas!$C$63:$G$63,AQ$7))+AQ24)*Premissas!$B$64</f>
        <v>-4436.42506331409</v>
      </c>
      <c r="AR33" s="168" t="n">
        <f aca="false" t="array" ref="AR33:AR33">-(AR23*(1-INDEX(Premissas!$C$63:$G$63,AR$7))+AR24)*Premissas!$B$64</f>
        <v>-4561.77261569723</v>
      </c>
      <c r="AS33" s="168" t="n">
        <f aca="false" t="array" ref="AS33:AS33">-(AS23*(1-INDEX(Premissas!$C$63:$G$63,AS$7))+AS24)*Premissas!$B$64</f>
        <v>-4676.80027600239</v>
      </c>
      <c r="AT33" s="168" t="n">
        <f aca="false" t="array" ref="AT33:AT33">-(AT23*(1-INDEX(Premissas!$C$63:$G$63,AT$7))+AT24)*Premissas!$B$64</f>
        <v>-4781.01638741374</v>
      </c>
      <c r="AU33" s="168" t="n">
        <f aca="false" t="array" ref="AU33:AU33">-(AU23*(1-INDEX(Premissas!$C$63:$G$63,AU$7))+AU24)*Premissas!$B$64</f>
        <v>-4875.83438792057</v>
      </c>
      <c r="AV33" s="168" t="n">
        <f aca="false" t="array" ref="AV33:AV33">-(AV23*(1-INDEX(Premissas!$C$63:$G$63,AV$7))+AV24)*Premissas!$B$64</f>
        <v>-4963.2084994648</v>
      </c>
      <c r="AW33" s="168" t="n">
        <f aca="false" t="array" ref="AW33:AW33">-(AW23*(1-INDEX(Premissas!$C$63:$G$63,AW$7))+AW24)*Premissas!$B$64</f>
        <v>-5042.51651032252</v>
      </c>
      <c r="AX33" s="168" t="n">
        <f aca="false" t="array" ref="AX33:AX33">-(AX23*(1-INDEX(Premissas!$C$63:$G$63,AX$7))+AX24)*Premissas!$B$64</f>
        <v>-6135.71863517841</v>
      </c>
      <c r="AY33" s="168" t="n">
        <f aca="false" t="array" ref="AY33:AY33">-(AY23*(1-INDEX(Premissas!$C$63:$G$63,AY$7))+AY24)*Premissas!$B$64</f>
        <v>-6448.62947897703</v>
      </c>
      <c r="AZ33" s="168" t="n">
        <f aca="false" t="array" ref="AZ33:AZ33">-(AZ23*(1-INDEX(Premissas!$C$63:$G$63,AZ$7))+AZ24)*Premissas!$B$64</f>
        <v>-6734.78806449752</v>
      </c>
      <c r="BA33" s="168" t="n">
        <f aca="false" t="array" ref="BA33:BA33">-(BA23*(1-INDEX(Premissas!$C$63:$G$63,BA$7))+BA24)*Premissas!$B$64</f>
        <v>-6996.02649716534</v>
      </c>
      <c r="BB33" s="168" t="n">
        <f aca="false" t="array" ref="BB33:BB33">-(BB23*(1-INDEX(Premissas!$C$63:$G$63,BB$7))+BB24)*Premissas!$B$64</f>
        <v>-7235.84292175001</v>
      </c>
      <c r="BC33" s="168" t="n">
        <f aca="false" t="array" ref="BC33:BC33">-(BC23*(1-INDEX(Premissas!$C$63:$G$63,BC$7))+BC24)*Premissas!$B$64</f>
        <v>-7454.98128158998</v>
      </c>
      <c r="BD33" s="168" t="n">
        <f aca="false" t="array" ref="BD33:BD33">-(BD23*(1-INDEX(Premissas!$C$63:$G$63,BD$7))+BD24)*Premissas!$B$64</f>
        <v>-7654.80813345215</v>
      </c>
      <c r="BE33" s="168" t="n">
        <f aca="false" t="array" ref="BE33:BE33">-(BE23*(1-INDEX(Premissas!$C$63:$G$63,BE$7))+BE24)*Premissas!$B$64</f>
        <v>-7839.02441426162</v>
      </c>
      <c r="BF33" s="168" t="n">
        <f aca="false" t="array" ref="BF33:BF33">-(BF23*(1-INDEX(Premissas!$C$63:$G$63,BF$7))+BF24)*Premissas!$B$64</f>
        <v>-8006.59365201003</v>
      </c>
      <c r="BG33" s="168" t="n">
        <f aca="false" t="array" ref="BG33:BG33">-(BG23*(1-INDEX(Premissas!$C$63:$G$63,BG$7))+BG24)*Premissas!$B$64</f>
        <v>-8160.07190955766</v>
      </c>
      <c r="BH33" s="168" t="n">
        <f aca="false" t="array" ref="BH33:BH33">-(BH23*(1-INDEX(Premissas!$C$63:$G$63,BH$7))+BH24)*Premissas!$B$64</f>
        <v>-8301.53084675592</v>
      </c>
      <c r="BI33" s="168" t="n">
        <f aca="false" t="array" ref="BI33:BI33">-(BI23*(1-INDEX(Premissas!$C$63:$G$63,BI$7))+BI24)*Premissas!$B$64</f>
        <v>-8430.20573330819</v>
      </c>
      <c r="BJ33" s="154" t="n">
        <f aca="false">SUM(B33:BI33)</f>
        <v>-178102.918855236</v>
      </c>
    </row>
    <row r="34" customFormat="false" ht="15.75" hidden="false" customHeight="true" outlineLevel="0" collapsed="false">
      <c r="A34" s="53" t="s">
        <v>701</v>
      </c>
      <c r="B34" s="154" t="n">
        <f aca="false">B28+SUM(B31:B33)</f>
        <v>0</v>
      </c>
      <c r="C34" s="154" t="n">
        <f aca="false">C28+SUM(C31:C33)</f>
        <v>0</v>
      </c>
      <c r="D34" s="154" t="n">
        <f aca="false">D28+SUM(D31:D33)</f>
        <v>0</v>
      </c>
      <c r="E34" s="154" t="n">
        <f aca="false">E28+SUM(E31:E33)</f>
        <v>0</v>
      </c>
      <c r="F34" s="154" t="n">
        <f aca="false">F28+SUM(F31:F33)</f>
        <v>0</v>
      </c>
      <c r="G34" s="154" t="n">
        <f aca="false">G28+SUM(G31:G33)</f>
        <v>0</v>
      </c>
      <c r="H34" s="154" t="n">
        <f aca="false">H28+SUM(H31:H33)</f>
        <v>0</v>
      </c>
      <c r="I34" s="154" t="n">
        <f aca="false">I28+SUM(I31:I33)</f>
        <v>0</v>
      </c>
      <c r="J34" s="154" t="n">
        <f aca="false">J28+SUM(J31:J33)</f>
        <v>0</v>
      </c>
      <c r="K34" s="154" t="n">
        <f aca="false">K28+SUM(K31:K33)</f>
        <v>0</v>
      </c>
      <c r="L34" s="154" t="n">
        <f aca="false">L28+SUM(L31:L33)</f>
        <v>0</v>
      </c>
      <c r="M34" s="154" t="n">
        <f aca="false">M28+SUM(M31:M33)</f>
        <v>1022.20065</v>
      </c>
      <c r="N34" s="154" t="n">
        <f aca="false">N28+SUM(N31:N33)</f>
        <v>5856.40608</v>
      </c>
      <c r="O34" s="154" t="n">
        <f aca="false">O28+SUM(O31:O33)</f>
        <v>12515.38643392</v>
      </c>
      <c r="P34" s="154" t="n">
        <f aca="false">P28+SUM(P31:P33)</f>
        <v>25350.0433586637</v>
      </c>
      <c r="Q34" s="154" t="n">
        <f aca="false">Q28+SUM(Q31:Q33)</f>
        <v>35572.081727432</v>
      </c>
      <c r="R34" s="154" t="n">
        <f aca="false">R28+SUM(R31:R33)</f>
        <v>47182.1475071985</v>
      </c>
      <c r="S34" s="154" t="n">
        <f aca="false">S28+SUM(S31:S33)</f>
        <v>52461.1562265074</v>
      </c>
      <c r="T34" s="154" t="n">
        <f aca="false">T28+SUM(T31:T33)</f>
        <v>56779.2736968588</v>
      </c>
      <c r="U34" s="154" t="n">
        <f aca="false">U28+SUM(U31:U33)</f>
        <v>60662.2349956892</v>
      </c>
      <c r="V34" s="154" t="n">
        <f aca="false">V28+SUM(V31:V33)</f>
        <v>64108.4217480778</v>
      </c>
      <c r="W34" s="154" t="n">
        <f aca="false">W28+SUM(W31:W33)</f>
        <v>71916.6046871202</v>
      </c>
      <c r="X34" s="154" t="n">
        <f aca="false">X28+SUM(X31:X33)</f>
        <v>74668.7755573959</v>
      </c>
      <c r="Y34" s="154" t="n">
        <f aca="false">Y28+SUM(Y31:Y33)</f>
        <v>77190.8737031986</v>
      </c>
      <c r="Z34" s="154" t="n">
        <f aca="false">Z28+SUM(Z31:Z33)</f>
        <v>92047.7051210205</v>
      </c>
      <c r="AA34" s="154" t="n">
        <f aca="false">AA28+SUM(AA31:AA33)</f>
        <v>98107.4750509495</v>
      </c>
      <c r="AB34" s="154" t="n">
        <f aca="false">AB28+SUM(AB31:AB33)</f>
        <v>103697.125145605</v>
      </c>
      <c r="AC34" s="154" t="n">
        <f aca="false">AC28+SUM(AC31:AC33)</f>
        <v>108773.99398444</v>
      </c>
      <c r="AD34" s="154" t="n">
        <f aca="false">AD28+SUM(AD31:AD33)</f>
        <v>113342.452639688</v>
      </c>
      <c r="AE34" s="154" t="n">
        <f aca="false">AE28+SUM(AE31:AE33)</f>
        <v>117573.691834858</v>
      </c>
      <c r="AF34" s="154" t="n">
        <f aca="false">AF28+SUM(AF31:AF33)</f>
        <v>121379.943071782</v>
      </c>
      <c r="AG34" s="154" t="n">
        <f aca="false">AG28+SUM(AG31:AG33)</f>
        <v>124847.084461316</v>
      </c>
      <c r="AH34" s="154" t="n">
        <f aca="false">AH28+SUM(AH31:AH33)</f>
        <v>127948.91063413</v>
      </c>
      <c r="AI34" s="154" t="n">
        <f aca="false">AI28+SUM(AI31:AI33)</f>
        <v>130783.795672815</v>
      </c>
      <c r="AJ34" s="154" t="n">
        <f aca="false">AJ28+SUM(AJ31:AJ33)</f>
        <v>133290.766453247</v>
      </c>
      <c r="AK34" s="154" t="n">
        <f aca="false">AK28+SUM(AK31:AK33)</f>
        <v>135424.26166447</v>
      </c>
      <c r="AL34" s="154" t="n">
        <f aca="false">AL28+SUM(AL31:AL33)</f>
        <v>154435.365525378</v>
      </c>
      <c r="AM34" s="154" t="n">
        <f aca="false">AM28+SUM(AM31:AM33)</f>
        <v>162190.475672294</v>
      </c>
      <c r="AN34" s="154" t="n">
        <f aca="false">AN28+SUM(AN31:AN33)</f>
        <v>169252.188095168</v>
      </c>
      <c r="AO34" s="154" t="n">
        <f aca="false">AO28+SUM(AO31:AO33)</f>
        <v>175689.625845752</v>
      </c>
      <c r="AP34" s="154" t="n">
        <f aca="false">AP28+SUM(AP31:AP33)</f>
        <v>181454.817342243</v>
      </c>
      <c r="AQ34" s="154" t="n">
        <f aca="false">AQ28+SUM(AQ31:AQ33)</f>
        <v>186715.233257837</v>
      </c>
      <c r="AR34" s="154" t="n">
        <f aca="false">AR28+SUM(AR31:AR33)</f>
        <v>191472.452002783</v>
      </c>
      <c r="AS34" s="154" t="n">
        <f aca="false">AS28+SUM(AS31:AS33)</f>
        <v>195829.859504514</v>
      </c>
      <c r="AT34" s="154" t="n">
        <f aca="false">AT28+SUM(AT31:AT33)</f>
        <v>199749.726504513</v>
      </c>
      <c r="AU34" s="154" t="n">
        <f aca="false">AU28+SUM(AU31:AU33)</f>
        <v>203296.91938378</v>
      </c>
      <c r="AV34" s="154" t="n">
        <f aca="false">AV28+SUM(AV31:AV33)</f>
        <v>206565.720865437</v>
      </c>
      <c r="AW34" s="154" t="n">
        <f aca="false">AW28+SUM(AW31:AW33)</f>
        <v>209513.812772677</v>
      </c>
      <c r="AX34" s="154" t="n">
        <f aca="false">AX28+SUM(AX31:AX33)</f>
        <v>233142.526925997</v>
      </c>
      <c r="AY34" s="154" t="n">
        <f aca="false">AY28+SUM(AY31:AY33)</f>
        <v>244366.133296042</v>
      </c>
      <c r="AZ34" s="154" t="n">
        <f aca="false">AZ28+SUM(AZ31:AZ33)</f>
        <v>254594.054460497</v>
      </c>
      <c r="BA34" s="154" t="n">
        <f aca="false">BA28+SUM(BA31:BA33)</f>
        <v>285952.608447892</v>
      </c>
      <c r="BB34" s="154" t="n">
        <f aca="false">BB28+SUM(BB31:BB33)</f>
        <v>293352.496113885</v>
      </c>
      <c r="BC34" s="154" t="n">
        <f aca="false">BC28+SUM(BC31:BC33)</f>
        <v>299892.793401621</v>
      </c>
      <c r="BD34" s="154" t="n">
        <f aca="false">BD28+SUM(BD31:BD33)</f>
        <v>305648.541084128</v>
      </c>
      <c r="BE34" s="154" t="n">
        <f aca="false">BE28+SUM(BE31:BE33)</f>
        <v>310813.941765129</v>
      </c>
      <c r="BF34" s="154" t="n">
        <f aca="false">BF28+SUM(BF31:BF33)</f>
        <v>315330.930803446</v>
      </c>
      <c r="BG34" s="154" t="n">
        <f aca="false">BG28+SUM(BG31:BG33)</f>
        <v>319329.335631172</v>
      </c>
      <c r="BH34" s="154" t="n">
        <f aca="false">BH28+SUM(BH31:BH33)</f>
        <v>322910.393645362</v>
      </c>
      <c r="BI34" s="154" t="n">
        <f aca="false">BI28+SUM(BI31:BI33)</f>
        <v>326028.622335198</v>
      </c>
      <c r="BJ34" s="154" t="n">
        <f aca="false">SUM(B34:BI34)</f>
        <v>7740031.38678913</v>
      </c>
    </row>
    <row r="35" customFormat="false" ht="15.75" hidden="false" customHeight="true" outlineLevel="0" collapsed="false">
      <c r="A35" s="49" t="s">
        <v>407</v>
      </c>
      <c r="B35" s="168" t="n">
        <f aca="false" t="array" ref="B35:B35">-(B15*INDEX(Premissas!$C$93:$G$93,B$7)+(B13-B15)*INDEX(Premissas!$C$94:$G$94,B$7)+B19*Premissas!$B$69+IF(B$4&gt;=Premissas!$B$91,INDEX(Premissas!$C$92:$G$92,B$7),0))</f>
        <v>-0</v>
      </c>
      <c r="C35" s="168" t="n">
        <f aca="false" t="array" ref="C35:C35">-(C15*INDEX(Premissas!$C$93:$G$93,C$7)+(C13-C15)*INDEX(Premissas!$C$94:$G$94,C$7)+C19*Premissas!$B$69+IF(C$4&gt;=Premissas!$B$91,INDEX(Premissas!$C$92:$G$92,C$7),0))</f>
        <v>-0</v>
      </c>
      <c r="D35" s="168" t="n">
        <f aca="false" t="array" ref="D35:D35">-(D15*INDEX(Premissas!$C$93:$G$93,D$7)+(D13-D15)*INDEX(Premissas!$C$94:$G$94,D$7)+D19*Premissas!$B$69+IF(D$4&gt;=Premissas!$B$91,INDEX(Premissas!$C$92:$G$92,D$7),0))</f>
        <v>-0</v>
      </c>
      <c r="E35" s="168" t="n">
        <f aca="false" t="array" ref="E35:E35">-(E15*INDEX(Premissas!$C$93:$G$93,E$7)+(E13-E15)*INDEX(Premissas!$C$94:$G$94,E$7)+E19*Premissas!$B$69+IF(E$4&gt;=Premissas!$B$91,INDEX(Premissas!$C$92:$G$92,E$7),0))</f>
        <v>-0</v>
      </c>
      <c r="F35" s="168" t="n">
        <f aca="false" t="array" ref="F35:F35">-(F15*INDEX(Premissas!$C$93:$G$93,F$7)+(F13-F15)*INDEX(Premissas!$C$94:$G$94,F$7)+F19*Premissas!$B$69+IF(F$4&gt;=Premissas!$B$91,INDEX(Premissas!$C$92:$G$92,F$7),0))</f>
        <v>-600</v>
      </c>
      <c r="G35" s="168" t="n">
        <f aca="false" t="array" ref="G35:G35">-(G15*INDEX(Premissas!$C$93:$G$93,G$7)+(G13-G15)*INDEX(Premissas!$C$94:$G$94,G$7)+G19*Premissas!$B$69+IF(G$4&gt;=Premissas!$B$91,INDEX(Premissas!$C$92:$G$92,G$7),0))</f>
        <v>-600</v>
      </c>
      <c r="H35" s="168" t="n">
        <f aca="false" t="array" ref="H35:H35">-(H15*INDEX(Premissas!$C$93:$G$93,H$7)+(H13-H15)*INDEX(Premissas!$C$94:$G$94,H$7)+H19*Premissas!$B$69+IF(H$4&gt;=Premissas!$B$91,INDEX(Premissas!$C$92:$G$92,H$7),0))</f>
        <v>-600</v>
      </c>
      <c r="I35" s="168" t="n">
        <f aca="false" t="array" ref="I35:I35">-(I15*INDEX(Premissas!$C$93:$G$93,I$7)+(I13-I15)*INDEX(Premissas!$C$94:$G$94,I$7)+I19*Premissas!$B$69+IF(I$4&gt;=Premissas!$B$91,INDEX(Premissas!$C$92:$G$92,I$7),0))</f>
        <v>-600</v>
      </c>
      <c r="J35" s="168" t="n">
        <f aca="false" t="array" ref="J35:J35">-(J15*INDEX(Premissas!$C$93:$G$93,J$7)+(J13-J15)*INDEX(Premissas!$C$94:$G$94,J$7)+J19*Premissas!$B$69+IF(J$4&gt;=Premissas!$B$91,INDEX(Premissas!$C$92:$G$92,J$7),0))</f>
        <v>-600</v>
      </c>
      <c r="K35" s="168" t="n">
        <f aca="false" t="array" ref="K35:K35">-(K15*INDEX(Premissas!$C$93:$G$93,K$7)+(K13-K15)*INDEX(Premissas!$C$94:$G$94,K$7)+K19*Premissas!$B$69+IF(K$4&gt;=Premissas!$B$91,INDEX(Premissas!$C$92:$G$92,K$7),0))</f>
        <v>-600</v>
      </c>
      <c r="L35" s="168" t="n">
        <f aca="false" t="array" ref="L35:L35">-(L15*INDEX(Premissas!$C$93:$G$93,L$7)+(L13-L15)*INDEX(Premissas!$C$94:$G$94,L$7)+L19*Premissas!$B$69+IF(L$4&gt;=Premissas!$B$91,INDEX(Premissas!$C$92:$G$92,L$7),0))</f>
        <v>-600</v>
      </c>
      <c r="M35" s="168" t="n">
        <f aca="false" t="array" ref="M35:M35">-(M15*INDEX(Premissas!$C$93:$G$93,M$7)+(M13-M15)*INDEX(Premissas!$C$94:$G$94,M$7)+M19*Premissas!$B$69+IF(M$4&gt;=Premissas!$B$91,INDEX(Premissas!$C$92:$G$92,M$7),0))</f>
        <v>-1392.84</v>
      </c>
      <c r="N35" s="168" t="n">
        <f aca="false" t="array" ref="N35:N35">-(N15*INDEX(Premissas!$C$93:$G$93,N$7)+(N13-N15)*INDEX(Premissas!$C$94:$G$94,N$7)+N19*Premissas!$B$69+IF(N$4&gt;=Premissas!$B$91,INDEX(Premissas!$C$92:$G$92,N$7),0))</f>
        <v>-5678.3488</v>
      </c>
      <c r="O35" s="168" t="n">
        <f aca="false" t="array" ref="O35:O35">-(O15*INDEX(Premissas!$C$93:$G$93,O$7)+(O13-O15)*INDEX(Premissas!$C$94:$G$94,O$7)+O19*Premissas!$B$69+IF(O$4&gt;=Premissas!$B$91,INDEX(Premissas!$C$92:$G$92,O$7),0))</f>
        <v>-9345.5476352</v>
      </c>
      <c r="P35" s="168" t="n">
        <f aca="false" t="array" ref="P35:P35">-(P15*INDEX(Premissas!$C$93:$G$93,P$7)+(P13-P15)*INDEX(Premissas!$C$94:$G$94,P$7)+P19*Premissas!$B$69+IF(P$4&gt;=Premissas!$B$91,INDEX(Premissas!$C$92:$G$92,P$7),0))</f>
        <v>-14103.9667422208</v>
      </c>
      <c r="Q35" s="168" t="n">
        <f aca="false" t="array" ref="Q35:Q35">-(Q15*INDEX(Premissas!$C$93:$G$93,Q$7)+(Q13-Q15)*INDEX(Premissas!$C$94:$G$94,Q$7)+Q19*Premissas!$B$69+IF(Q$4&gt;=Premissas!$B$91,INDEX(Premissas!$C$92:$G$92,Q$7),0))</f>
        <v>-19764.6857749676</v>
      </c>
      <c r="R35" s="168" t="n">
        <f aca="false" t="array" ref="R35:R35">-(R15*INDEX(Premissas!$C$93:$G$93,R$7)+(R13-R15)*INDEX(Premissas!$C$94:$G$94,R$7)+R19*Premissas!$B$69+IF(R$4&gt;=Premissas!$B$91,INDEX(Premissas!$C$92:$G$92,R$7),0))</f>
        <v>-26202.3178605707</v>
      </c>
      <c r="S35" s="168" t="n">
        <f aca="false" t="array" ref="S35:S35">-(S15*INDEX(Premissas!$C$93:$G$93,S$7)+(S13-S15)*INDEX(Premissas!$C$94:$G$94,S$7)+S19*Premissas!$B$69+IF(S$4&gt;=Premissas!$B$91,INDEX(Premissas!$C$92:$G$92,S$7),0))</f>
        <v>-29114.9913459559</v>
      </c>
      <c r="T35" s="168" t="n">
        <f aca="false" t="array" ref="T35:T35">-(T15*INDEX(Premissas!$C$93:$G$93,T$7)+(T13-T15)*INDEX(Premissas!$C$94:$G$94,T$7)+T19*Premissas!$B$69+IF(T$4&gt;=Premissas!$B$91,INDEX(Premissas!$C$92:$G$92,T$7),0))</f>
        <v>-31788.0894567442</v>
      </c>
      <c r="U35" s="168" t="n">
        <f aca="false" t="array" ref="U35:U35">-(U15*INDEX(Premissas!$C$93:$G$93,U$7)+(U13-U15)*INDEX(Premissas!$C$94:$G$94,U$7)+U19*Premissas!$B$69+IF(U$4&gt;=Premissas!$B$91,INDEX(Premissas!$C$92:$G$92,U$7),0))</f>
        <v>-34159.4280688967</v>
      </c>
      <c r="V35" s="168" t="n">
        <f aca="false" t="array" ref="V35:V35">-(V15*INDEX(Premissas!$C$93:$G$93,V$7)+(V13-V15)*INDEX(Premissas!$C$94:$G$94,V$7)+V19*Premissas!$B$69+IF(V$4&gt;=Premissas!$B$91,INDEX(Premissas!$C$92:$G$92,V$7),0))</f>
        <v>-36326.0717742826</v>
      </c>
      <c r="W35" s="168" t="n">
        <f aca="false" t="array" ref="W35:W35">-(W15*INDEX(Premissas!$C$93:$G$93,W$7)+(W13-W15)*INDEX(Premissas!$C$94:$G$94,W$7)+W19*Premissas!$B$69+IF(W$4&gt;=Premissas!$B$91,INDEX(Premissas!$C$92:$G$92,W$7),0))</f>
        <v>-43519.6584039515</v>
      </c>
      <c r="X35" s="168" t="n">
        <f aca="false" t="array" ref="X35:X35">-(X15*INDEX(Premissas!$C$93:$G$93,X$7)+(X13-X15)*INDEX(Premissas!$C$94:$G$94,X$7)+X19*Premissas!$B$69+IF(X$4&gt;=Premissas!$B$91,INDEX(Premissas!$C$92:$G$92,X$7),0))</f>
        <v>-45538.7521571722</v>
      </c>
      <c r="Y35" s="168" t="n">
        <f aca="false" t="array" ref="Y35:Y35">-(Y15*INDEX(Premissas!$C$93:$G$93,Y$7)+(Y13-Y15)*INDEX(Premissas!$C$94:$G$94,Y$7)+Y19*Premissas!$B$69+IF(Y$4&gt;=Premissas!$B$91,INDEX(Premissas!$C$92:$G$92,Y$7),0))</f>
        <v>-47363.7354700836</v>
      </c>
      <c r="Z35" s="168" t="n">
        <f aca="false" t="array" ref="Z35:Z35">-(Z15*INDEX(Premissas!$C$93:$G$93,Z$7)+(Z13-Z15)*INDEX(Premissas!$C$94:$G$94,Z$7)+Z19*Premissas!$B$69+IF(Z$4&gt;=Premissas!$B$91,INDEX(Premissas!$C$92:$G$92,Z$7),0))</f>
        <v>-57225.2053365646</v>
      </c>
      <c r="AA35" s="168" t="n">
        <f aca="false" t="array" ref="AA35:AA35">-(AA15*INDEX(Premissas!$C$93:$G$93,AA$7)+(AA13-AA15)*INDEX(Premissas!$C$94:$G$94,AA$7)+AA19*Premissas!$B$69+IF(AA$4&gt;=Premissas!$B$91,INDEX(Premissas!$C$92:$G$92,AA$7),0))</f>
        <v>-61044.4646309869</v>
      </c>
      <c r="AB35" s="168" t="n">
        <f aca="false" t="array" ref="AB35:AB35">-(AB15*INDEX(Premissas!$C$93:$G$93,AB$7)+(AB13-AB15)*INDEX(Premissas!$C$94:$G$94,AB$7)+AB19*Premissas!$B$69+IF(AB$4&gt;=Premissas!$B$91,INDEX(Premissas!$C$92:$G$92,AB$7),0))</f>
        <v>-64547.5946477151</v>
      </c>
      <c r="AC35" s="168" t="n">
        <f aca="false" t="array" ref="AC35:AC35">-(AC15*INDEX(Premissas!$C$93:$G$93,AC$7)+(AC13-AC15)*INDEX(Premissas!$C$94:$G$94,AC$7)+AC19*Premissas!$B$69+IF(AC$4&gt;=Premissas!$B$91,INDEX(Premissas!$C$92:$G$92,AC$7),0))</f>
        <v>-67708.3039160217</v>
      </c>
      <c r="AD35" s="168" t="n">
        <f aca="false" t="array" ref="AD35:AD35">-(AD15*INDEX(Premissas!$C$93:$G$93,AD$7)+(AD13-AD15)*INDEX(Premissas!$C$94:$G$94,AD$7)+AD19*Premissas!$B$69+IF(AD$4&gt;=Premissas!$B$91,INDEX(Premissas!$C$92:$G$92,AD$7),0))</f>
        <v>-70563.6275980011</v>
      </c>
      <c r="AE35" s="168" t="n">
        <f aca="false" t="array" ref="AE35:AE35">-(AE15*INDEX(Premissas!$C$93:$G$93,AE$7)+(AE13-AE15)*INDEX(Premissas!$C$94:$G$94,AE$7)+AE19*Premissas!$B$69+IF(AE$4&gt;=Premissas!$B$91,INDEX(Premissas!$C$92:$G$92,AE$7),0))</f>
        <v>-73181.9581483293</v>
      </c>
      <c r="AF35" s="168" t="n">
        <f aca="false" t="array" ref="AF35:AF35">-(AF15*INDEX(Premissas!$C$93:$G$93,AF$7)+(AF13-AF15)*INDEX(Premissas!$C$94:$G$94,AF$7)+AF19*Premissas!$B$69+IF(AF$4&gt;=Premissas!$B$91,INDEX(Premissas!$C$92:$G$92,AF$7),0))</f>
        <v>-75535.5788072993</v>
      </c>
      <c r="AG35" s="168" t="n">
        <f aca="false" t="array" ref="AG35:AG35">-(AG15*INDEX(Premissas!$C$93:$G$93,AG$7)+(AG13-AG15)*INDEX(Premissas!$C$94:$G$94,AG$7)+AG19*Premissas!$B$69+IF(AG$4&gt;=Premissas!$B$91,INDEX(Premissas!$C$92:$G$92,AG$7),0))</f>
        <v>-77692.1160346586</v>
      </c>
      <c r="AH35" s="168" t="n">
        <f aca="false" t="array" ref="AH35:AH35">-(AH15*INDEX(Premissas!$C$93:$G$93,AH$7)+(AH13-AH15)*INDEX(Premissas!$C$94:$G$94,AH$7)+AH19*Premissas!$B$69+IF(AH$4&gt;=Premissas!$B$91,INDEX(Premissas!$C$92:$G$92,AH$7),0))</f>
        <v>-79623.1569818645</v>
      </c>
      <c r="AI35" s="168" t="n">
        <f aca="false" t="array" ref="AI35:AI35">-(AI15*INDEX(Premissas!$C$93:$G$93,AI$7)+(AI13-AI15)*INDEX(Premissas!$C$94:$G$94,AI$7)+AI19*Premissas!$B$69+IF(AI$4&gt;=Premissas!$B$91,INDEX(Premissas!$C$92:$G$92,AI$7),0))</f>
        <v>-81395.6000913758</v>
      </c>
      <c r="AJ35" s="168" t="n">
        <f aca="false" t="array" ref="AJ35:AJ35">-(AJ15*INDEX(Premissas!$C$93:$G$93,AJ$7)+(AJ13-AJ15)*INDEX(Premissas!$C$94:$G$94,AJ$7)+AJ19*Premissas!$B$69+IF(AJ$4&gt;=Premissas!$B$91,INDEX(Premissas!$C$92:$G$92,AJ$7),0))</f>
        <v>-83012.3529034346</v>
      </c>
      <c r="AK35" s="168" t="n">
        <f aca="false" t="array" ref="AK35:AK35">-(AK15*INDEX(Premissas!$C$93:$G$93,AK$7)+(AK13-AK15)*INDEX(Premissas!$C$94:$G$94,AK$7)+AK19*Premissas!$B$69+IF(AK$4&gt;=Premissas!$B$91,INDEX(Premissas!$C$92:$G$92,AK$7),0))</f>
        <v>-84476.0031433741</v>
      </c>
      <c r="AL35" s="168" t="n">
        <f aca="false" t="array" ref="AL35:AL35">-(AL15*INDEX(Premissas!$C$93:$G$93,AL$7)+(AL13-AL15)*INDEX(Premissas!$C$94:$G$94,AL$7)+AL19*Premissas!$B$69+IF(AL$4&gt;=Premissas!$B$91,INDEX(Premissas!$C$92:$G$92,AL$7),0))</f>
        <v>-99468.2447893877</v>
      </c>
      <c r="AM35" s="168" t="n">
        <f aca="false" t="array" ref="AM35:AM35">-(AM15*INDEX(Premissas!$C$93:$G$93,AM$7)+(AM13-AM15)*INDEX(Premissas!$C$94:$G$94,AM$7)+AM19*Premissas!$B$69+IF(AM$4&gt;=Premissas!$B$91,INDEX(Premissas!$C$92:$G$92,AM$7),0))</f>
        <v>-103977.059680597</v>
      </c>
      <c r="AN35" s="168" t="n">
        <f aca="false" t="array" ref="AN35:AN35">-(AN15*INDEX(Premissas!$C$93:$G$93,AN$7)+(AN13-AN15)*INDEX(Premissas!$C$94:$G$94,AN$7)+AN19*Premissas!$B$69+IF(AN$4&gt;=Premissas!$B$91,INDEX(Premissas!$C$92:$G$92,AN$7),0))</f>
        <v>-108100.936330936</v>
      </c>
      <c r="AO35" s="168" t="n">
        <f aca="false" t="array" ref="AO35:AO35">-(AO15*INDEX(Premissas!$C$93:$G$93,AO$7)+(AO13-AO15)*INDEX(Premissas!$C$94:$G$94,AO$7)+AO19*Premissas!$B$69+IF(AO$4&gt;=Premissas!$B$91,INDEX(Premissas!$C$92:$G$92,AO$7),0))</f>
        <v>-111877.707922431</v>
      </c>
      <c r="AP35" s="168" t="n">
        <f aca="false" t="array" ref="AP35:AP35">-(AP15*INDEX(Premissas!$C$93:$G$93,AP$7)+(AP13-AP15)*INDEX(Premissas!$C$94:$G$94,AP$7)+AP19*Premissas!$B$69+IF(AP$4&gt;=Premissas!$B$91,INDEX(Premissas!$C$92:$G$92,AP$7),0))</f>
        <v>-115280.718358593</v>
      </c>
      <c r="AQ35" s="168" t="n">
        <f aca="false" t="array" ref="AQ35:AQ35">-(AQ15*INDEX(Premissas!$C$93:$G$93,AQ$7)+(AQ13-AQ15)*INDEX(Premissas!$C$94:$G$94,AQ$7)+AQ19*Premissas!$B$69+IF(AQ$4&gt;=Premissas!$B$91,INDEX(Premissas!$C$92:$G$92,AQ$7),0))</f>
        <v>-118410.542817414</v>
      </c>
      <c r="AR35" s="168" t="n">
        <f aca="false" t="array" ref="AR35:AR35">-(AR15*INDEX(Premissas!$C$93:$G$93,AR$7)+(AR13-AR15)*INDEX(Premissas!$C$94:$G$94,AR$7)+AR19*Premissas!$B$69+IF(AR$4&gt;=Premissas!$B$91,INDEX(Premissas!$C$92:$G$92,AR$7),0))</f>
        <v>-121239.667370708</v>
      </c>
      <c r="AS35" s="168" t="n">
        <f aca="false" t="array" ref="AS35:AS35">-(AS15*INDEX(Premissas!$C$93:$G$93,AS$7)+(AS13-AS15)*INDEX(Premissas!$C$94:$G$94,AS$7)+AS19*Premissas!$B$69+IF(AS$4&gt;=Premissas!$B$91,INDEX(Premissas!$C$92:$G$92,AS$7),0))</f>
        <v>-123835.992752387</v>
      </c>
      <c r="AT35" s="168" t="n">
        <f aca="false" t="array" ref="AT35:AT35">-(AT15*INDEX(Premissas!$C$93:$G$93,AT$7)+(AT13-AT15)*INDEX(Premissas!$C$94:$G$94,AT$7)+AT19*Premissas!$B$69+IF(AT$4&gt;=Premissas!$B$91,INDEX(Premissas!$C$92:$G$92,AT$7),0))</f>
        <v>-126203.067350985</v>
      </c>
      <c r="AU35" s="168" t="n">
        <f aca="false" t="array" ref="AU35:AU35">-(AU15*INDEX(Premissas!$C$93:$G$93,AU$7)+(AU13-AU15)*INDEX(Premissas!$C$94:$G$94,AU$7)+AU19*Premissas!$B$69+IF(AU$4&gt;=Premissas!$B$91,INDEX(Premissas!$C$92:$G$92,AU$7),0))</f>
        <v>-128344.364495049</v>
      </c>
      <c r="AV35" s="168" t="n">
        <f aca="false" t="array" ref="AV35:AV35">-(AV15*INDEX(Premissas!$C$93:$G$93,AV$7)+(AV13-AV15)*INDEX(Premissas!$C$94:$G$94,AV$7)+AV19*Premissas!$B$69+IF(AV$4&gt;=Premissas!$B$91,INDEX(Premissas!$C$92:$G$92,AV$7),0))</f>
        <v>-130326.609093964</v>
      </c>
      <c r="AW35" s="168" t="n">
        <f aca="false" t="array" ref="AW35:AW35">-(AW15*INDEX(Premissas!$C$93:$G$93,AW$7)+(AW13-AW15)*INDEX(Premissas!$C$94:$G$94,AW$7)+AW19*Premissas!$B$69+IF(AW$4&gt;=Premissas!$B$91,INDEX(Premissas!$C$92:$G$92,AW$7),0))</f>
        <v>-132120.758691244</v>
      </c>
      <c r="AX35" s="168" t="n">
        <f aca="false" t="array" ref="AX35:AX35">-(AX15*INDEX(Premissas!$C$93:$G$93,AX$7)+(AX13-AX15)*INDEX(Premissas!$C$94:$G$94,AX$7)+AX19*Premissas!$B$69+IF(AX$4&gt;=Premissas!$B$91,INDEX(Premissas!$C$92:$G$92,AX$7),0))</f>
        <v>-151831.866114626</v>
      </c>
      <c r="AY35" s="168" t="n">
        <f aca="false" t="array" ref="AY35:AY35">-(AY15*INDEX(Premissas!$C$93:$G$93,AY$7)+(AY13-AY15)*INDEX(Premissas!$C$94:$G$94,AY$7)+AY19*Premissas!$B$69+IF(AY$4&gt;=Premissas!$B$91,INDEX(Premissas!$C$92:$G$92,AY$7),0))</f>
        <v>-158045.659483766</v>
      </c>
      <c r="AZ35" s="168" t="n">
        <f aca="false" t="array" ref="AZ35:AZ35">-(AZ15*INDEX(Premissas!$C$93:$G$93,AZ$7)+(AZ13-AZ15)*INDEX(Premissas!$C$94:$G$94,AZ$7)+AZ19*Premissas!$B$69+IF(AZ$4&gt;=Premissas!$B$91,INDEX(Premissas!$C$92:$G$92,AZ$7),0))</f>
        <v>-163726.738170471</v>
      </c>
      <c r="BA35" s="168" t="n">
        <f aca="false" t="array" ref="BA35:BA35">-(BA15*INDEX(Premissas!$C$93:$G$93,BA$7)+(BA13-BA15)*INDEX(Premissas!$C$94:$G$94,BA$7)+BA19*Premissas!$B$69+IF(BA$4&gt;=Premissas!$B$91,INDEX(Premissas!$C$92:$G$92,BA$7),0))</f>
        <v>-168914.329470791</v>
      </c>
      <c r="BB35" s="168" t="n">
        <f aca="false" t="array" ref="BB35:BB35">-(BB15*INDEX(Premissas!$C$93:$G$93,BB$7)+(BB13-BB15)*INDEX(Premissas!$C$94:$G$94,BB$7)+BB19*Premissas!$B$69+IF(BB$4&gt;=Premissas!$B$91,INDEX(Premissas!$C$92:$G$92,BB$7),0))</f>
        <v>-173678.851946191</v>
      </c>
      <c r="BC35" s="168" t="n">
        <f aca="false" t="array" ref="BC35:BC35">-(BC15*INDEX(Premissas!$C$93:$G$93,BC$7)+(BC13-BC15)*INDEX(Premissas!$C$94:$G$94,BC$7)+BC19*Premissas!$B$69+IF(BC$4&gt;=Premissas!$B$91,INDEX(Premissas!$C$92:$G$92,BC$7),0))</f>
        <v>-178026.4726316</v>
      </c>
      <c r="BD35" s="168" t="n">
        <f aca="false" t="array" ref="BD35:BD35">-(BD15*INDEX(Premissas!$C$93:$G$93,BD$7)+(BD13-BD15)*INDEX(Premissas!$C$94:$G$94,BD$7)+BD19*Premissas!$B$69+IF(BD$4&gt;=Premissas!$B$91,INDEX(Premissas!$C$92:$G$92,BD$7),0))</f>
        <v>-181994.723206576</v>
      </c>
      <c r="BE35" s="168" t="n">
        <f aca="false" t="array" ref="BE35:BE35">-(BE15*INDEX(Premissas!$C$93:$G$93,BE$7)+(BE13-BE15)*INDEX(Premissas!$C$94:$G$94,BE$7)+BE19*Premissas!$B$69+IF(BE$4&gt;=Premissas!$B$91,INDEX(Premissas!$C$92:$G$92,BE$7),0))</f>
        <v>-185652.510217641</v>
      </c>
      <c r="BF35" s="168" t="n">
        <f aca="false" t="array" ref="BF35:BF35">-(BF15*INDEX(Premissas!$C$93:$G$93,BF$7)+(BF13-BF15)*INDEX(Premissas!$C$94:$G$94,BF$7)+BF19*Premissas!$B$69+IF(BF$4&gt;=Premissas!$B$91,INDEX(Premissas!$C$92:$G$92,BF$7),0))</f>
        <v>-188972.6344324</v>
      </c>
      <c r="BG35" s="168" t="n">
        <f aca="false" t="array" ref="BG35:BG35">-(BG15*INDEX(Premissas!$C$93:$G$93,BG$7)+(BG13-BG15)*INDEX(Premissas!$C$94:$G$94,BG$7)+BG19*Premissas!$B$69+IF(BG$4&gt;=Premissas!$B$91,INDEX(Premissas!$C$92:$G$92,BG$7),0))</f>
        <v>-192023.159399157</v>
      </c>
      <c r="BH35" s="168" t="n">
        <f aca="false" t="array" ref="BH35:BH35">-(BH15*INDEX(Premissas!$C$93:$G$93,BH$7)+(BH13-BH15)*INDEX(Premissas!$C$94:$G$94,BH$7)+BH19*Premissas!$B$69+IF(BH$4&gt;=Premissas!$B$91,INDEX(Premissas!$C$92:$G$92,BH$7),0))</f>
        <v>-194839.979279535</v>
      </c>
      <c r="BI35" s="168" t="n">
        <f aca="false" t="array" ref="BI35:BI35">-(BI15*INDEX(Premissas!$C$93:$G$93,BI$7)+(BI13-BI15)*INDEX(Premissas!$C$94:$G$94,BI$7)+BI19*Premissas!$B$69+IF(BI$4&gt;=Premissas!$B$91,INDEX(Premissas!$C$92:$G$92,BI$7),0))</f>
        <v>-197394.691015825</v>
      </c>
      <c r="BJ35" s="154" t="n">
        <f aca="false">SUM(B35:BI35)</f>
        <v>-4778791.68075195</v>
      </c>
    </row>
    <row r="36" customFormat="false" ht="15.75" hidden="false" customHeight="true" outlineLevel="0" collapsed="false">
      <c r="A36" s="49" t="s">
        <v>408</v>
      </c>
      <c r="B36" s="168" t="n">
        <f aca="false" t="array" ref="B36:B36">-B15*INDEX(Premissas!$C$95:$G$95,B$7)</f>
        <v>-0</v>
      </c>
      <c r="C36" s="168" t="n">
        <f aca="false" t="array" ref="C36:C36">-C15*INDEX(Premissas!$C$95:$G$95,C$7)</f>
        <v>-0</v>
      </c>
      <c r="D36" s="168" t="n">
        <f aca="false" t="array" ref="D36:D36">-D15*INDEX(Premissas!$C$95:$G$95,D$7)</f>
        <v>-0</v>
      </c>
      <c r="E36" s="168" t="n">
        <f aca="false" t="array" ref="E36:E36">-E15*INDEX(Premissas!$C$95:$G$95,E$7)</f>
        <v>-0</v>
      </c>
      <c r="F36" s="168" t="n">
        <f aca="false" t="array" ref="F36:F36">-F15*INDEX(Premissas!$C$95:$G$95,F$7)</f>
        <v>-0</v>
      </c>
      <c r="G36" s="168" t="n">
        <f aca="false" t="array" ref="G36:G36">-G15*INDEX(Premissas!$C$95:$G$95,G$7)</f>
        <v>-0</v>
      </c>
      <c r="H36" s="168" t="n">
        <f aca="false" t="array" ref="H36:H36">-H15*INDEX(Premissas!$C$95:$G$95,H$7)</f>
        <v>-0</v>
      </c>
      <c r="I36" s="168" t="n">
        <f aca="false" t="array" ref="I36:I36">-I15*INDEX(Premissas!$C$95:$G$95,I$7)</f>
        <v>-0</v>
      </c>
      <c r="J36" s="168" t="n">
        <f aca="false" t="array" ref="J36:J36">-J15*INDEX(Premissas!$C$95:$G$95,J$7)</f>
        <v>-0</v>
      </c>
      <c r="K36" s="168" t="n">
        <f aca="false" t="array" ref="K36:K36">-K15*INDEX(Premissas!$C$95:$G$95,K$7)</f>
        <v>-0</v>
      </c>
      <c r="L36" s="168" t="n">
        <f aca="false" t="array" ref="L36:L36">-L15*INDEX(Premissas!$C$95:$G$95,L$7)</f>
        <v>-0</v>
      </c>
      <c r="M36" s="168" t="n">
        <f aca="false" t="array" ref="M36:M36">-M15*INDEX(Premissas!$C$95:$G$95,M$7)</f>
        <v>-6.3</v>
      </c>
      <c r="N36" s="168" t="n">
        <f aca="false" t="array" ref="N36:N36">-N15*INDEX(Premissas!$C$95:$G$95,N$7)</f>
        <v>-29.4</v>
      </c>
      <c r="O36" s="168" t="n">
        <f aca="false" t="array" ref="O36:O36">-O15*INDEX(Premissas!$C$95:$G$95,O$7)</f>
        <v>-66.85</v>
      </c>
      <c r="P36" s="168" t="n">
        <f aca="false" t="array" ref="P36:P36">-P15*INDEX(Premissas!$C$95:$G$95,P$7)</f>
        <v>-116.55</v>
      </c>
      <c r="Q36" s="168" t="n">
        <f aca="false" t="array" ref="Q36:Q36">-Q15*INDEX(Premissas!$C$95:$G$95,Q$7)</f>
        <v>-176.4</v>
      </c>
      <c r="R36" s="168" t="n">
        <f aca="false" t="array" ref="R36:R36">-R15*INDEX(Premissas!$C$95:$G$95,R$7)</f>
        <v>-245</v>
      </c>
      <c r="S36" s="168" t="n">
        <f aca="false" t="array" ref="S36:S36">-S15*INDEX(Premissas!$C$95:$G$95,S$7)</f>
        <v>-275.1</v>
      </c>
      <c r="T36" s="168" t="n">
        <f aca="false" t="array" ref="T36:T36">-T15*INDEX(Premissas!$C$95:$G$95,T$7)</f>
        <v>-302.75</v>
      </c>
      <c r="U36" s="168" t="n">
        <f aca="false" t="array" ref="U36:U36">-U15*INDEX(Premissas!$C$95:$G$95,U$7)</f>
        <v>-327.25</v>
      </c>
      <c r="V36" s="168" t="n">
        <f aca="false" t="array" ref="V36:V36">-V15*INDEX(Premissas!$C$95:$G$95,V$7)</f>
        <v>-349.65</v>
      </c>
      <c r="W36" s="168" t="n">
        <f aca="false" t="array" ref="W36:W36">-W15*INDEX(Premissas!$C$95:$G$95,W$7)</f>
        <v>-369.95</v>
      </c>
      <c r="X36" s="168" t="n">
        <f aca="false" t="array" ref="X36:X36">-X15*INDEX(Premissas!$C$95:$G$95,X$7)</f>
        <v>-388.15</v>
      </c>
      <c r="Y36" s="168" t="n">
        <f aca="false" t="array" ref="Y36:Y36">-Y15*INDEX(Premissas!$C$95:$G$95,Y$7)</f>
        <v>-404.6</v>
      </c>
      <c r="Z36" s="168" t="n">
        <f aca="false" t="array" ref="Z36:Z36">-Z15*INDEX(Premissas!$C$95:$G$95,Z$7)</f>
        <v>-383.1</v>
      </c>
      <c r="AA36" s="168" t="n">
        <f aca="false" t="array" ref="AA36:AA36">-AA15*INDEX(Premissas!$C$95:$G$95,AA$7)</f>
        <v>-412.8</v>
      </c>
      <c r="AB36" s="168" t="n">
        <f aca="false" t="array" ref="AB36:AB36">-AB15*INDEX(Premissas!$C$95:$G$95,AB$7)</f>
        <v>-440.1</v>
      </c>
      <c r="AC36" s="168" t="n">
        <f aca="false" t="array" ref="AC36:AC36">-AC15*INDEX(Premissas!$C$95:$G$95,AC$7)</f>
        <v>-464.7</v>
      </c>
      <c r="AD36" s="168" t="n">
        <f aca="false" t="array" ref="AD36:AD36">-AD15*INDEX(Premissas!$C$95:$G$95,AD$7)</f>
        <v>-486.9</v>
      </c>
      <c r="AE36" s="168" t="n">
        <f aca="false" t="array" ref="AE36:AE36">-AE15*INDEX(Premissas!$C$95:$G$95,AE$7)</f>
        <v>-507.3</v>
      </c>
      <c r="AF36" s="168" t="n">
        <f aca="false" t="array" ref="AF36:AF36">-AF15*INDEX(Premissas!$C$95:$G$95,AF$7)</f>
        <v>-525.6</v>
      </c>
      <c r="AG36" s="168" t="n">
        <f aca="false" t="array" ref="AG36:AG36">-AG15*INDEX(Premissas!$C$95:$G$95,AG$7)</f>
        <v>-542.4</v>
      </c>
      <c r="AH36" s="168" t="n">
        <f aca="false" t="array" ref="AH36:AH36">-AH15*INDEX(Premissas!$C$95:$G$95,AH$7)</f>
        <v>-557.4</v>
      </c>
      <c r="AI36" s="168" t="n">
        <f aca="false" t="array" ref="AI36:AI36">-AI15*INDEX(Premissas!$C$95:$G$95,AI$7)</f>
        <v>-571.2</v>
      </c>
      <c r="AJ36" s="168" t="n">
        <f aca="false" t="array" ref="AJ36:AJ36">-AJ15*INDEX(Premissas!$C$95:$G$95,AJ$7)</f>
        <v>-583.8</v>
      </c>
      <c r="AK36" s="168" t="n">
        <f aca="false" t="array" ref="AK36:AK36">-AK15*INDEX(Premissas!$C$95:$G$95,AK$7)</f>
        <v>-595.2</v>
      </c>
      <c r="AL36" s="168" t="n">
        <f aca="false" t="array" ref="AL36:AL36">-AL15*INDEX(Premissas!$C$95:$G$95,AL$7)</f>
        <v>-597.24</v>
      </c>
      <c r="AM36" s="168" t="n">
        <f aca="false" t="array" ref="AM36:AM36">-AM15*INDEX(Premissas!$C$95:$G$95,AM$7)</f>
        <v>-630.28</v>
      </c>
      <c r="AN36" s="168" t="n">
        <f aca="false" t="array" ref="AN36:AN36">-AN15*INDEX(Premissas!$C$95:$G$95,AN$7)</f>
        <v>-660.52</v>
      </c>
      <c r="AO36" s="168" t="n">
        <f aca="false" t="array" ref="AO36:AO36">-AO15*INDEX(Premissas!$C$95:$G$95,AO$7)</f>
        <v>-688.24</v>
      </c>
      <c r="AP36" s="168" t="n">
        <f aca="false" t="array" ref="AP36:AP36">-AP15*INDEX(Premissas!$C$95:$G$95,AP$7)</f>
        <v>-713.16</v>
      </c>
      <c r="AQ36" s="168" t="n">
        <f aca="false" t="array" ref="AQ36:AQ36">-AQ15*INDEX(Premissas!$C$95:$G$95,AQ$7)</f>
        <v>-736.12</v>
      </c>
      <c r="AR36" s="168" t="n">
        <f aca="false" t="array" ref="AR36:AR36">-AR15*INDEX(Premissas!$C$95:$G$95,AR$7)</f>
        <v>-756.84</v>
      </c>
      <c r="AS36" s="168" t="n">
        <f aca="false" t="array" ref="AS36:AS36">-AS15*INDEX(Premissas!$C$95:$G$95,AS$7)</f>
        <v>-775.88</v>
      </c>
      <c r="AT36" s="168" t="n">
        <f aca="false" t="array" ref="AT36:AT36">-AT15*INDEX(Premissas!$C$95:$G$95,AT$7)</f>
        <v>-793.24</v>
      </c>
      <c r="AU36" s="168" t="n">
        <f aca="false" t="array" ref="AU36:AU36">-AU15*INDEX(Premissas!$C$95:$G$95,AU$7)</f>
        <v>-808.92</v>
      </c>
      <c r="AV36" s="168" t="n">
        <f aca="false" t="array" ref="AV36:AV36">-AV15*INDEX(Premissas!$C$95:$G$95,AV$7)</f>
        <v>-823.48</v>
      </c>
      <c r="AW36" s="168" t="n">
        <f aca="false" t="array" ref="AW36:AW36">-AW15*INDEX(Premissas!$C$95:$G$95,AW$7)</f>
        <v>-836.64</v>
      </c>
      <c r="AX36" s="168" t="n">
        <f aca="false" t="array" ref="AX36:AX36">-AX15*INDEX(Premissas!$C$95:$G$95,AX$7)</f>
        <v>-798.75</v>
      </c>
      <c r="AY36" s="168" t="n">
        <f aca="false" t="array" ref="AY36:AY36">-AY15*INDEX(Premissas!$C$95:$G$95,AY$7)</f>
        <v>-839.5</v>
      </c>
      <c r="AZ36" s="168" t="n">
        <f aca="false" t="array" ref="AZ36:AZ36">-AZ15*INDEX(Premissas!$C$95:$G$95,AZ$7)</f>
        <v>-876.75</v>
      </c>
      <c r="BA36" s="168" t="n">
        <f aca="false" t="array" ref="BA36:BA36">-BA15*INDEX(Premissas!$C$95:$G$95,BA$7)</f>
        <v>-910.75</v>
      </c>
      <c r="BB36" s="168" t="n">
        <f aca="false" t="array" ref="BB36:BB36">-BB15*INDEX(Premissas!$C$95:$G$95,BB$7)</f>
        <v>-942</v>
      </c>
      <c r="BC36" s="168" t="n">
        <f aca="false" t="array" ref="BC36:BC36">-BC15*INDEX(Premissas!$C$95:$G$95,BC$7)</f>
        <v>-970.5</v>
      </c>
      <c r="BD36" s="168" t="n">
        <f aca="false" t="array" ref="BD36:BD36">-BD15*INDEX(Premissas!$C$95:$G$95,BD$7)</f>
        <v>-996.5</v>
      </c>
      <c r="BE36" s="168" t="n">
        <f aca="false" t="array" ref="BE36:BE36">-BE15*INDEX(Premissas!$C$95:$G$95,BE$7)</f>
        <v>-1020.5</v>
      </c>
      <c r="BF36" s="168" t="n">
        <f aca="false" t="array" ref="BF36:BF36">-BF15*INDEX(Premissas!$C$95:$G$95,BF$7)</f>
        <v>-1042.25</v>
      </c>
      <c r="BG36" s="168" t="n">
        <f aca="false" t="array" ref="BG36:BG36">-BG15*INDEX(Premissas!$C$95:$G$95,BG$7)</f>
        <v>-1062.25</v>
      </c>
      <c r="BH36" s="168" t="n">
        <f aca="false" t="array" ref="BH36:BH36">-BH15*INDEX(Premissas!$C$95:$G$95,BH$7)</f>
        <v>-1080.75</v>
      </c>
      <c r="BI36" s="168" t="n">
        <f aca="false" t="array" ref="BI36:BI36">-BI15*INDEX(Premissas!$C$95:$G$95,BI$7)</f>
        <v>-1097.5</v>
      </c>
      <c r="BJ36" s="154" t="n">
        <f aca="false">SUM(B36:BI36)</f>
        <v>-29587.01</v>
      </c>
    </row>
    <row r="37" customFormat="false" ht="15.75" hidden="false" customHeight="true" outlineLevel="0" collapsed="false">
      <c r="A37" s="49" t="s">
        <v>760</v>
      </c>
      <c r="B37" s="168" t="n">
        <f aca="false">-Pessoas!B45</f>
        <v>-0</v>
      </c>
      <c r="C37" s="168" t="n">
        <f aca="false">-Pessoas!C45</f>
        <v>-0</v>
      </c>
      <c r="D37" s="168" t="n">
        <f aca="false">-Pessoas!D45</f>
        <v>-0</v>
      </c>
      <c r="E37" s="168" t="n">
        <f aca="false">-Pessoas!E45</f>
        <v>-0</v>
      </c>
      <c r="F37" s="168" t="n">
        <f aca="false">-Pessoas!F45</f>
        <v>-0</v>
      </c>
      <c r="G37" s="168" t="n">
        <f aca="false">-Pessoas!G45</f>
        <v>-0</v>
      </c>
      <c r="H37" s="168" t="n">
        <f aca="false">-Pessoas!H45</f>
        <v>-0</v>
      </c>
      <c r="I37" s="168" t="n">
        <f aca="false">-Pessoas!I45</f>
        <v>-0</v>
      </c>
      <c r="J37" s="168" t="n">
        <f aca="false">-Pessoas!J45</f>
        <v>-0</v>
      </c>
      <c r="K37" s="168" t="n">
        <f aca="false">-Pessoas!K45</f>
        <v>-0</v>
      </c>
      <c r="L37" s="168" t="n">
        <f aca="false">-Pessoas!L45</f>
        <v>-0</v>
      </c>
      <c r="M37" s="168" t="n">
        <f aca="false">-Pessoas!M45</f>
        <v>-0</v>
      </c>
      <c r="N37" s="168" t="n">
        <f aca="false">-Pessoas!N45</f>
        <v>-42500</v>
      </c>
      <c r="O37" s="168" t="n">
        <f aca="false">-Pessoas!O45</f>
        <v>-42500</v>
      </c>
      <c r="P37" s="168" t="n">
        <f aca="false">-Pessoas!P45</f>
        <v>-42500</v>
      </c>
      <c r="Q37" s="168" t="n">
        <f aca="false">-Pessoas!Q45</f>
        <v>-42500</v>
      </c>
      <c r="R37" s="168" t="n">
        <f aca="false">-Pessoas!R45</f>
        <v>-42500</v>
      </c>
      <c r="S37" s="168" t="n">
        <f aca="false">-Pessoas!S45</f>
        <v>-42500</v>
      </c>
      <c r="T37" s="168" t="n">
        <f aca="false">-Pessoas!T45</f>
        <v>-42500</v>
      </c>
      <c r="U37" s="168" t="n">
        <f aca="false">-Pessoas!U45</f>
        <v>-42500</v>
      </c>
      <c r="V37" s="168" t="n">
        <f aca="false">-Pessoas!V45</f>
        <v>-42500</v>
      </c>
      <c r="W37" s="168" t="n">
        <f aca="false">-Pessoas!W45</f>
        <v>-42500</v>
      </c>
      <c r="X37" s="168" t="n">
        <f aca="false">-Pessoas!X45</f>
        <v>-42500</v>
      </c>
      <c r="Y37" s="168" t="n">
        <f aca="false">-Pessoas!Y45</f>
        <v>-42500</v>
      </c>
      <c r="Z37" s="168" t="n">
        <f aca="false">-Pessoas!Z45</f>
        <v>-117500</v>
      </c>
      <c r="AA37" s="168" t="n">
        <f aca="false">-Pessoas!AA45</f>
        <v>-117500</v>
      </c>
      <c r="AB37" s="168" t="n">
        <f aca="false">-Pessoas!AB45</f>
        <v>-117500</v>
      </c>
      <c r="AC37" s="168" t="n">
        <f aca="false">-Pessoas!AC45</f>
        <v>-117500</v>
      </c>
      <c r="AD37" s="168" t="n">
        <f aca="false">-Pessoas!AD45</f>
        <v>-117500</v>
      </c>
      <c r="AE37" s="168" t="n">
        <f aca="false">-Pessoas!AE45</f>
        <v>-117500</v>
      </c>
      <c r="AF37" s="168" t="n">
        <f aca="false">-Pessoas!AF45</f>
        <v>-117500</v>
      </c>
      <c r="AG37" s="168" t="n">
        <f aca="false">-Pessoas!AG45</f>
        <v>-117500</v>
      </c>
      <c r="AH37" s="168" t="n">
        <f aca="false">-Pessoas!AH45</f>
        <v>-117500</v>
      </c>
      <c r="AI37" s="168" t="n">
        <f aca="false">-Pessoas!AI45</f>
        <v>-117500</v>
      </c>
      <c r="AJ37" s="168" t="n">
        <f aca="false">-Pessoas!AJ45</f>
        <v>-117500</v>
      </c>
      <c r="AK37" s="168" t="n">
        <f aca="false">-Pessoas!AK45</f>
        <v>-117500</v>
      </c>
      <c r="AL37" s="168" t="n">
        <f aca="false">-Pessoas!AL45</f>
        <v>-253300</v>
      </c>
      <c r="AM37" s="168" t="n">
        <f aca="false">-Pessoas!AM45</f>
        <v>-253300</v>
      </c>
      <c r="AN37" s="168" t="n">
        <f aca="false">-Pessoas!AN45</f>
        <v>-253300</v>
      </c>
      <c r="AO37" s="168" t="n">
        <f aca="false">-Pessoas!AO45</f>
        <v>-253300</v>
      </c>
      <c r="AP37" s="168" t="n">
        <f aca="false">-Pessoas!AP45</f>
        <v>-253300</v>
      </c>
      <c r="AQ37" s="168" t="n">
        <f aca="false">-Pessoas!AQ45</f>
        <v>-253300</v>
      </c>
      <c r="AR37" s="168" t="n">
        <f aca="false">-Pessoas!AR45</f>
        <v>-253300</v>
      </c>
      <c r="AS37" s="168" t="n">
        <f aca="false">-Pessoas!AS45</f>
        <v>-253300</v>
      </c>
      <c r="AT37" s="168" t="n">
        <f aca="false">-Pessoas!AT45</f>
        <v>-253300</v>
      </c>
      <c r="AU37" s="168" t="n">
        <f aca="false">-Pessoas!AU45</f>
        <v>-253300</v>
      </c>
      <c r="AV37" s="168" t="n">
        <f aca="false">-Pessoas!AV45</f>
        <v>-253300</v>
      </c>
      <c r="AW37" s="168" t="n">
        <f aca="false">-Pessoas!AW45</f>
        <v>-253300</v>
      </c>
      <c r="AX37" s="168" t="n">
        <f aca="false">-Pessoas!AX45</f>
        <v>-374300</v>
      </c>
      <c r="AY37" s="168" t="n">
        <f aca="false">-Pessoas!AY45</f>
        <v>-374300</v>
      </c>
      <c r="AZ37" s="168" t="n">
        <f aca="false">-Pessoas!AZ45</f>
        <v>-374300</v>
      </c>
      <c r="BA37" s="168" t="n">
        <f aca="false">-Pessoas!BA45</f>
        <v>-374300</v>
      </c>
      <c r="BB37" s="168" t="n">
        <f aca="false">-Pessoas!BB45</f>
        <v>-374300</v>
      </c>
      <c r="BC37" s="168" t="n">
        <f aca="false">-Pessoas!BC45</f>
        <v>-374300</v>
      </c>
      <c r="BD37" s="168" t="n">
        <f aca="false">-Pessoas!BD45</f>
        <v>-374300</v>
      </c>
      <c r="BE37" s="168" t="n">
        <f aca="false">-Pessoas!BE45</f>
        <v>-374300</v>
      </c>
      <c r="BF37" s="168" t="n">
        <f aca="false">-Pessoas!BF45</f>
        <v>-374300</v>
      </c>
      <c r="BG37" s="168" t="n">
        <f aca="false">-Pessoas!BG45</f>
        <v>-374300</v>
      </c>
      <c r="BH37" s="168" t="n">
        <f aca="false">-Pessoas!BH45</f>
        <v>-374300</v>
      </c>
      <c r="BI37" s="168" t="n">
        <f aca="false">-Pessoas!BI45</f>
        <v>-374300</v>
      </c>
      <c r="BJ37" s="154" t="n">
        <f aca="false">SUM(B37:BI37)</f>
        <v>-9451200</v>
      </c>
    </row>
    <row r="38" customFormat="false" ht="15.75" hidden="false" customHeight="true" outlineLevel="0" collapsed="false">
      <c r="A38" s="49" t="s">
        <v>413</v>
      </c>
      <c r="B38" s="168" t="n">
        <f aca="false" t="array" ref="B38:B38">-(B10*(1-INDEX(Premissas!$C$59:$G$59,B$7))*INDEX(Premissas!$C$56:$G$56,B$7)+IF(B$4&gt;=Premissas!$B$99,INDEX(Premissas!$C$98:$G$98,B$7),0)+IF(B$4=DATE(YEAR(Premissas!$B$101),MONTH(Premissas!$B$101),1),Premissas!$B$100,0))</f>
        <v>-0</v>
      </c>
      <c r="C38" s="168" t="n">
        <f aca="false" t="array" ref="C38:C38">-(C10*(1-INDEX(Premissas!$C$59:$G$59,C$7))*INDEX(Premissas!$C$56:$G$56,C$7)+IF(C$4&gt;=Premissas!$B$99,INDEX(Premissas!$C$98:$G$98,C$7),0)+IF(C$4=DATE(YEAR(Premissas!$B$101),MONTH(Premissas!$B$101),1),Premissas!$B$100,0))</f>
        <v>-0</v>
      </c>
      <c r="D38" s="168" t="n">
        <f aca="false" t="array" ref="D38:D38">-(D10*(1-INDEX(Premissas!$C$59:$G$59,D$7))*INDEX(Premissas!$C$56:$G$56,D$7)+IF(D$4&gt;=Premissas!$B$99,INDEX(Premissas!$C$98:$G$98,D$7),0)+IF(D$4=DATE(YEAR(Premissas!$B$101),MONTH(Premissas!$B$101),1),Premissas!$B$100,0))</f>
        <v>-0</v>
      </c>
      <c r="E38" s="168" t="n">
        <f aca="false" t="array" ref="E38:E38">-(E10*(1-INDEX(Premissas!$C$59:$G$59,E$7))*INDEX(Premissas!$C$56:$G$56,E$7)+IF(E$4&gt;=Premissas!$B$99,INDEX(Premissas!$C$98:$G$98,E$7),0)+IF(E$4=DATE(YEAR(Premissas!$B$101),MONTH(Premissas!$B$101),1),Premissas!$B$100,0))</f>
        <v>-0</v>
      </c>
      <c r="F38" s="168" t="n">
        <f aca="false" t="array" ref="F38:F38">-(F10*(1-INDEX(Premissas!$C$59:$G$59,F$7))*INDEX(Premissas!$C$56:$G$56,F$7)+IF(F$4&gt;=Premissas!$B$99,INDEX(Premissas!$C$98:$G$98,F$7),0)+IF(F$4=DATE(YEAR(Premissas!$B$101),MONTH(Premissas!$B$101),1),Premissas!$B$100,0))</f>
        <v>-0</v>
      </c>
      <c r="G38" s="168" t="n">
        <f aca="false" t="array" ref="G38:G38">-(G10*(1-INDEX(Premissas!$C$59:$G$59,G$7))*INDEX(Premissas!$C$56:$G$56,G$7)+IF(G$4&gt;=Premissas!$B$99,INDEX(Premissas!$C$98:$G$98,G$7),0)+IF(G$4=DATE(YEAR(Premissas!$B$101),MONTH(Premissas!$B$101),1),Premissas!$B$100,0))</f>
        <v>-0</v>
      </c>
      <c r="H38" s="168" t="n">
        <f aca="false" t="array" ref="H38:H38">-(H10*(1-INDEX(Premissas!$C$59:$G$59,H$7))*INDEX(Premissas!$C$56:$G$56,H$7)+IF(H$4&gt;=Premissas!$B$99,INDEX(Premissas!$C$98:$G$98,H$7),0)+IF(H$4=DATE(YEAR(Premissas!$B$101),MONTH(Premissas!$B$101),1),Premissas!$B$100,0))</f>
        <v>-0</v>
      </c>
      <c r="I38" s="168" t="n">
        <f aca="false" t="array" ref="I38:I38">-(I10*(1-INDEX(Premissas!$C$59:$G$59,I$7))*INDEX(Premissas!$C$56:$G$56,I$7)+IF(I$4&gt;=Premissas!$B$99,INDEX(Premissas!$C$98:$G$98,I$7),0)+IF(I$4=DATE(YEAR(Premissas!$B$101),MONTH(Premissas!$B$101),1),Premissas!$B$100,0))</f>
        <v>-0</v>
      </c>
      <c r="J38" s="168" t="n">
        <f aca="false" t="array" ref="J38:J38">-(J10*(1-INDEX(Premissas!$C$59:$G$59,J$7))*INDEX(Premissas!$C$56:$G$56,J$7)+IF(J$4&gt;=Premissas!$B$99,INDEX(Premissas!$C$98:$G$98,J$7),0)+IF(J$4=DATE(YEAR(Premissas!$B$101),MONTH(Premissas!$B$101),1),Premissas!$B$100,0))</f>
        <v>-0</v>
      </c>
      <c r="K38" s="168" t="n">
        <f aca="false" t="array" ref="K38:K38">-(K10*(1-INDEX(Premissas!$C$59:$G$59,K$7))*INDEX(Premissas!$C$56:$G$56,K$7)+IF(K$4&gt;=Premissas!$B$99,INDEX(Premissas!$C$98:$G$98,K$7),0)+IF(K$4=DATE(YEAR(Premissas!$B$101),MONTH(Premissas!$B$101),1),Premissas!$B$100,0))</f>
        <v>-0</v>
      </c>
      <c r="L38" s="168" t="n">
        <f aca="false" t="array" ref="L38:L38">-(L10*(1-INDEX(Premissas!$C$59:$G$59,L$7))*INDEX(Premissas!$C$56:$G$56,L$7)+IF(L$4&gt;=Premissas!$B$99,INDEX(Premissas!$C$98:$G$98,L$7),0)+IF(L$4=DATE(YEAR(Premissas!$B$101),MONTH(Premissas!$B$101),1),Premissas!$B$100,0))</f>
        <v>-1500</v>
      </c>
      <c r="M38" s="168" t="n">
        <f aca="false" t="array" ref="M38:M38">-(M10*(1-INDEX(Premissas!$C$59:$G$59,M$7))*INDEX(Premissas!$C$56:$G$56,M$7)+IF(M$4&gt;=Premissas!$B$99,INDEX(Premissas!$C$98:$G$98,M$7),0)+IF(M$4=DATE(YEAR(Premissas!$B$101),MONTH(Premissas!$B$101),1),Premissas!$B$100,0))</f>
        <v>-30908</v>
      </c>
      <c r="N38" s="168" t="n">
        <f aca="false" t="array" ref="N38:N38">-(N10*(1-INDEX(Premissas!$C$59:$G$59,N$7))*INDEX(Premissas!$C$56:$G$56,N$7)+IF(N$4&gt;=Premissas!$B$99,INDEX(Premissas!$C$98:$G$98,N$7),0)+IF(N$4=DATE(YEAR(Premissas!$B$101),MONTH(Premissas!$B$101),1),Premissas!$B$100,0))</f>
        <v>-53798.7584</v>
      </c>
      <c r="O38" s="168" t="n">
        <f aca="false" t="array" ref="O38:O38">-(O10*(1-INDEX(Premissas!$C$59:$G$59,O$7))*INDEX(Premissas!$C$56:$G$56,O$7)+IF(O$4&gt;=Premissas!$B$99,INDEX(Premissas!$C$98:$G$98,O$7),0)+IF(O$4=DATE(YEAR(Premissas!$B$101),MONTH(Premissas!$B$101),1),Premissas!$B$100,0))</f>
        <v>-53798.7584</v>
      </c>
      <c r="P38" s="168" t="n">
        <f aca="false" t="array" ref="P38:P38">-(P10*(1-INDEX(Premissas!$C$59:$G$59,P$7))*INDEX(Premissas!$C$56:$G$56,P$7)+IF(P$4&gt;=Premissas!$B$99,INDEX(Premissas!$C$98:$G$98,P$7),0)+IF(P$4=DATE(YEAR(Premissas!$B$101),MONTH(Premissas!$B$101),1),Premissas!$B$100,0))</f>
        <v>-53798.7584</v>
      </c>
      <c r="Q38" s="168" t="n">
        <f aca="false" t="array" ref="Q38:Q38">-(Q10*(1-INDEX(Premissas!$C$59:$G$59,Q$7))*INDEX(Premissas!$C$56:$G$56,Q$7)+IF(Q$4&gt;=Premissas!$B$99,INDEX(Premissas!$C$98:$G$98,Q$7),0)+IF(Q$4=DATE(YEAR(Premissas!$B$101),MONTH(Premissas!$B$101),1),Premissas!$B$100,0))</f>
        <v>-53798.7584</v>
      </c>
      <c r="R38" s="168" t="n">
        <f aca="false" t="array" ref="R38:R38">-(R10*(1-INDEX(Premissas!$C$59:$G$59,R$7))*INDEX(Premissas!$C$56:$G$56,R$7)+IF(R$4&gt;=Premissas!$B$99,INDEX(Premissas!$C$98:$G$98,R$7),0)+IF(R$4=DATE(YEAR(Premissas!$B$101),MONTH(Premissas!$B$101),1),Premissas!$B$100,0))</f>
        <v>-53798.7584</v>
      </c>
      <c r="S38" s="168" t="n">
        <f aca="false" t="array" ref="S38:S38">-(S10*(1-INDEX(Premissas!$C$59:$G$59,S$7))*INDEX(Premissas!$C$56:$G$56,S$7)+IF(S$4&gt;=Premissas!$B$99,INDEX(Premissas!$C$98:$G$98,S$7),0)+IF(S$4=DATE(YEAR(Premissas!$B$101),MONTH(Premissas!$B$101),1),Premissas!$B$100,0))</f>
        <v>-53798.7584</v>
      </c>
      <c r="T38" s="168" t="n">
        <f aca="false" t="array" ref="T38:T38">-(T10*(1-INDEX(Premissas!$C$59:$G$59,T$7))*INDEX(Premissas!$C$56:$G$56,T$7)+IF(T$4&gt;=Premissas!$B$99,INDEX(Premissas!$C$98:$G$98,T$7),0)+IF(T$4=DATE(YEAR(Premissas!$B$101),MONTH(Premissas!$B$101),1),Premissas!$B$100,0))</f>
        <v>-53798.7584</v>
      </c>
      <c r="U38" s="168" t="n">
        <f aca="false" t="array" ref="U38:U38">-(U10*(1-INDEX(Premissas!$C$59:$G$59,U$7))*INDEX(Premissas!$C$56:$G$56,U$7)+IF(U$4&gt;=Premissas!$B$99,INDEX(Premissas!$C$98:$G$98,U$7),0)+IF(U$4=DATE(YEAR(Premissas!$B$101),MONTH(Premissas!$B$101),1),Premissas!$B$100,0))</f>
        <v>-53798.7584</v>
      </c>
      <c r="V38" s="168" t="n">
        <f aca="false" t="array" ref="V38:V38">-(V10*(1-INDEX(Premissas!$C$59:$G$59,V$7))*INDEX(Premissas!$C$56:$G$56,V$7)+IF(V$4&gt;=Premissas!$B$99,INDEX(Premissas!$C$98:$G$98,V$7),0)+IF(V$4=DATE(YEAR(Premissas!$B$101),MONTH(Premissas!$B$101),1),Premissas!$B$100,0))</f>
        <v>-53798.7584</v>
      </c>
      <c r="W38" s="168" t="n">
        <f aca="false" t="array" ref="W38:W38">-(W10*(1-INDEX(Premissas!$C$59:$G$59,W$7))*INDEX(Premissas!$C$56:$G$56,W$7)+IF(W$4&gt;=Premissas!$B$99,INDEX(Premissas!$C$98:$G$98,W$7),0)+IF(W$4=DATE(YEAR(Premissas!$B$101),MONTH(Premissas!$B$101),1),Premissas!$B$100,0))</f>
        <v>-53798.7584</v>
      </c>
      <c r="X38" s="168" t="n">
        <f aca="false" t="array" ref="X38:X38">-(X10*(1-INDEX(Premissas!$C$59:$G$59,X$7))*INDEX(Premissas!$C$56:$G$56,X$7)+IF(X$4&gt;=Premissas!$B$99,INDEX(Premissas!$C$98:$G$98,X$7),0)+IF(X$4=DATE(YEAR(Premissas!$B$101),MONTH(Premissas!$B$101),1),Premissas!$B$100,0))</f>
        <v>-53798.7584</v>
      </c>
      <c r="Y38" s="168" t="n">
        <f aca="false" t="array" ref="Y38:Y38">-(Y10*(1-INDEX(Premissas!$C$59:$G$59,Y$7))*INDEX(Premissas!$C$56:$G$56,Y$7)+IF(Y$4&gt;=Premissas!$B$99,INDEX(Premissas!$C$98:$G$98,Y$7),0)+IF(Y$4=DATE(YEAR(Premissas!$B$101),MONTH(Premissas!$B$101),1),Premissas!$B$100,0))</f>
        <v>-53798.7584</v>
      </c>
      <c r="Z38" s="168" t="n">
        <f aca="false" t="array" ref="Z38:Z38">-(Z10*(1-INDEX(Premissas!$C$59:$G$59,Z$7))*INDEX(Premissas!$C$56:$G$56,Z$7)+IF(Z$4&gt;=Premissas!$B$99,INDEX(Premissas!$C$98:$G$98,Z$7),0)+IF(Z$4=DATE(YEAR(Premissas!$B$101),MONTH(Premissas!$B$101),1),Premissas!$B$100,0))</f>
        <v>-85058.980544</v>
      </c>
      <c r="AA38" s="168" t="n">
        <f aca="false" t="array" ref="AA38:AA38">-(AA10*(1-INDEX(Premissas!$C$59:$G$59,AA$7))*INDEX(Premissas!$C$56:$G$56,AA$7)+IF(AA$4&gt;=Premissas!$B$99,INDEX(Premissas!$C$98:$G$98,AA$7),0)+IF(AA$4=DATE(YEAR(Premissas!$B$101),MONTH(Premissas!$B$101),1),Premissas!$B$100,0))</f>
        <v>-85058.980544</v>
      </c>
      <c r="AB38" s="168" t="n">
        <f aca="false" t="array" ref="AB38:AB38">-(AB10*(1-INDEX(Premissas!$C$59:$G$59,AB$7))*INDEX(Premissas!$C$56:$G$56,AB$7)+IF(AB$4&gt;=Premissas!$B$99,INDEX(Premissas!$C$98:$G$98,AB$7),0)+IF(AB$4=DATE(YEAR(Premissas!$B$101),MONTH(Premissas!$B$101),1),Premissas!$B$100,0))</f>
        <v>-85058.980544</v>
      </c>
      <c r="AC38" s="168" t="n">
        <f aca="false" t="array" ref="AC38:AC38">-(AC10*(1-INDEX(Premissas!$C$59:$G$59,AC$7))*INDEX(Premissas!$C$56:$G$56,AC$7)+IF(AC$4&gt;=Premissas!$B$99,INDEX(Premissas!$C$98:$G$98,AC$7),0)+IF(AC$4=DATE(YEAR(Premissas!$B$101),MONTH(Premissas!$B$101),1),Premissas!$B$100,0))</f>
        <v>-85058.980544</v>
      </c>
      <c r="AD38" s="168" t="n">
        <f aca="false" t="array" ref="AD38:AD38">-(AD10*(1-INDEX(Premissas!$C$59:$G$59,AD$7))*INDEX(Premissas!$C$56:$G$56,AD$7)+IF(AD$4&gt;=Premissas!$B$99,INDEX(Premissas!$C$98:$G$98,AD$7),0)+IF(AD$4=DATE(YEAR(Premissas!$B$101),MONTH(Premissas!$B$101),1),Premissas!$B$100,0))</f>
        <v>-85058.980544</v>
      </c>
      <c r="AE38" s="168" t="n">
        <f aca="false" t="array" ref="AE38:AE38">-(AE10*(1-INDEX(Premissas!$C$59:$G$59,AE$7))*INDEX(Premissas!$C$56:$G$56,AE$7)+IF(AE$4&gt;=Premissas!$B$99,INDEX(Premissas!$C$98:$G$98,AE$7),0)+IF(AE$4=DATE(YEAR(Premissas!$B$101),MONTH(Premissas!$B$101),1),Premissas!$B$100,0))</f>
        <v>-85058.980544</v>
      </c>
      <c r="AF38" s="168" t="n">
        <f aca="false" t="array" ref="AF38:AF38">-(AF10*(1-INDEX(Premissas!$C$59:$G$59,AF$7))*INDEX(Premissas!$C$56:$G$56,AF$7)+IF(AF$4&gt;=Premissas!$B$99,INDEX(Premissas!$C$98:$G$98,AF$7),0)+IF(AF$4=DATE(YEAR(Premissas!$B$101),MONTH(Premissas!$B$101),1),Premissas!$B$100,0))</f>
        <v>-85058.980544</v>
      </c>
      <c r="AG38" s="168" t="n">
        <f aca="false" t="array" ref="AG38:AG38">-(AG10*(1-INDEX(Premissas!$C$59:$G$59,AG$7))*INDEX(Premissas!$C$56:$G$56,AG$7)+IF(AG$4&gt;=Premissas!$B$99,INDEX(Premissas!$C$98:$G$98,AG$7),0)+IF(AG$4=DATE(YEAR(Premissas!$B$101),MONTH(Premissas!$B$101),1),Premissas!$B$100,0))</f>
        <v>-85058.980544</v>
      </c>
      <c r="AH38" s="168" t="n">
        <f aca="false" t="array" ref="AH38:AH38">-(AH10*(1-INDEX(Premissas!$C$59:$G$59,AH$7))*INDEX(Premissas!$C$56:$G$56,AH$7)+IF(AH$4&gt;=Premissas!$B$99,INDEX(Premissas!$C$98:$G$98,AH$7),0)+IF(AH$4=DATE(YEAR(Premissas!$B$101),MONTH(Premissas!$B$101),1),Premissas!$B$100,0))</f>
        <v>-85058.980544</v>
      </c>
      <c r="AI38" s="168" t="n">
        <f aca="false" t="array" ref="AI38:AI38">-(AI10*(1-INDEX(Premissas!$C$59:$G$59,AI$7))*INDEX(Premissas!$C$56:$G$56,AI$7)+IF(AI$4&gt;=Premissas!$B$99,INDEX(Premissas!$C$98:$G$98,AI$7),0)+IF(AI$4=DATE(YEAR(Premissas!$B$101),MONTH(Premissas!$B$101),1),Premissas!$B$100,0))</f>
        <v>-85058.980544</v>
      </c>
      <c r="AJ38" s="168" t="n">
        <f aca="false" t="array" ref="AJ38:AJ38">-(AJ10*(1-INDEX(Premissas!$C$59:$G$59,AJ$7))*INDEX(Premissas!$C$56:$G$56,AJ$7)+IF(AJ$4&gt;=Premissas!$B$99,INDEX(Premissas!$C$98:$G$98,AJ$7),0)+IF(AJ$4=DATE(YEAR(Premissas!$B$101),MONTH(Premissas!$B$101),1),Premissas!$B$100,0))</f>
        <v>-85058.980544</v>
      </c>
      <c r="AK38" s="168" t="n">
        <f aca="false" t="array" ref="AK38:AK38">-(AK10*(1-INDEX(Premissas!$C$59:$G$59,AK$7))*INDEX(Premissas!$C$56:$G$56,AK$7)+IF(AK$4&gt;=Premissas!$B$99,INDEX(Premissas!$C$98:$G$98,AK$7),0)+IF(AK$4=DATE(YEAR(Premissas!$B$101),MONTH(Premissas!$B$101),1),Premissas!$B$100,0))</f>
        <v>-85058.980544</v>
      </c>
      <c r="AL38" s="168" t="n">
        <f aca="false" t="array" ref="AL38:AL38">-(AL10*(1-INDEX(Premissas!$C$59:$G$59,AL$7))*INDEX(Premissas!$C$56:$G$56,AL$7)+IF(AL$4&gt;=Premissas!$B$99,INDEX(Premissas!$C$98:$G$98,AL$7),0)+IF(AL$4=DATE(YEAR(Premissas!$B$101),MONTH(Premissas!$B$101),1),Premissas!$B$100,0))</f>
        <v>-133425.984972902</v>
      </c>
      <c r="AM38" s="168" t="n">
        <f aca="false" t="array" ref="AM38:AM38">-(AM10*(1-INDEX(Premissas!$C$59:$G$59,AM$7))*INDEX(Premissas!$C$56:$G$56,AM$7)+IF(AM$4&gt;=Premissas!$B$99,INDEX(Premissas!$C$98:$G$98,AM$7),0)+IF(AM$4=DATE(YEAR(Premissas!$B$101),MONTH(Premissas!$B$101),1),Premissas!$B$100,0))</f>
        <v>-133425.984972902</v>
      </c>
      <c r="AN38" s="168" t="n">
        <f aca="false" t="array" ref="AN38:AN38">-(AN10*(1-INDEX(Premissas!$C$59:$G$59,AN$7))*INDEX(Premissas!$C$56:$G$56,AN$7)+IF(AN$4&gt;=Premissas!$B$99,INDEX(Premissas!$C$98:$G$98,AN$7),0)+IF(AN$4=DATE(YEAR(Premissas!$B$101),MONTH(Premissas!$B$101),1),Premissas!$B$100,0))</f>
        <v>-133425.984972902</v>
      </c>
      <c r="AO38" s="168" t="n">
        <f aca="false" t="array" ref="AO38:AO38">-(AO10*(1-INDEX(Premissas!$C$59:$G$59,AO$7))*INDEX(Premissas!$C$56:$G$56,AO$7)+IF(AO$4&gt;=Premissas!$B$99,INDEX(Premissas!$C$98:$G$98,AO$7),0)+IF(AO$4=DATE(YEAR(Premissas!$B$101),MONTH(Premissas!$B$101),1),Premissas!$B$100,0))</f>
        <v>-133425.984972902</v>
      </c>
      <c r="AP38" s="168" t="n">
        <f aca="false" t="array" ref="AP38:AP38">-(AP10*(1-INDEX(Premissas!$C$59:$G$59,AP$7))*INDEX(Premissas!$C$56:$G$56,AP$7)+IF(AP$4&gt;=Premissas!$B$99,INDEX(Premissas!$C$98:$G$98,AP$7),0)+IF(AP$4=DATE(YEAR(Premissas!$B$101),MONTH(Premissas!$B$101),1),Premissas!$B$100,0))</f>
        <v>-133425.984972902</v>
      </c>
      <c r="AQ38" s="168" t="n">
        <f aca="false" t="array" ref="AQ38:AQ38">-(AQ10*(1-INDEX(Premissas!$C$59:$G$59,AQ$7))*INDEX(Premissas!$C$56:$G$56,AQ$7)+IF(AQ$4&gt;=Premissas!$B$99,INDEX(Premissas!$C$98:$G$98,AQ$7),0)+IF(AQ$4=DATE(YEAR(Premissas!$B$101),MONTH(Premissas!$B$101),1),Premissas!$B$100,0))</f>
        <v>-133425.984972902</v>
      </c>
      <c r="AR38" s="168" t="n">
        <f aca="false" t="array" ref="AR38:AR38">-(AR10*(1-INDEX(Premissas!$C$59:$G$59,AR$7))*INDEX(Premissas!$C$56:$G$56,AR$7)+IF(AR$4&gt;=Premissas!$B$99,INDEX(Premissas!$C$98:$G$98,AR$7),0)+IF(AR$4=DATE(YEAR(Premissas!$B$101),MONTH(Premissas!$B$101),1),Premissas!$B$100,0))</f>
        <v>-133425.984972902</v>
      </c>
      <c r="AS38" s="168" t="n">
        <f aca="false" t="array" ref="AS38:AS38">-(AS10*(1-INDEX(Premissas!$C$59:$G$59,AS$7))*INDEX(Premissas!$C$56:$G$56,AS$7)+IF(AS$4&gt;=Premissas!$B$99,INDEX(Premissas!$C$98:$G$98,AS$7),0)+IF(AS$4=DATE(YEAR(Premissas!$B$101),MONTH(Premissas!$B$101),1),Premissas!$B$100,0))</f>
        <v>-133425.984972902</v>
      </c>
      <c r="AT38" s="168" t="n">
        <f aca="false" t="array" ref="AT38:AT38">-(AT10*(1-INDEX(Premissas!$C$59:$G$59,AT$7))*INDEX(Premissas!$C$56:$G$56,AT$7)+IF(AT$4&gt;=Premissas!$B$99,INDEX(Premissas!$C$98:$G$98,AT$7),0)+IF(AT$4=DATE(YEAR(Premissas!$B$101),MONTH(Premissas!$B$101),1),Premissas!$B$100,0))</f>
        <v>-133425.984972902</v>
      </c>
      <c r="AU38" s="168" t="n">
        <f aca="false" t="array" ref="AU38:AU38">-(AU10*(1-INDEX(Premissas!$C$59:$G$59,AU$7))*INDEX(Premissas!$C$56:$G$56,AU$7)+IF(AU$4&gt;=Premissas!$B$99,INDEX(Premissas!$C$98:$G$98,AU$7),0)+IF(AU$4=DATE(YEAR(Premissas!$B$101),MONTH(Premissas!$B$101),1),Premissas!$B$100,0))</f>
        <v>-133425.984972902</v>
      </c>
      <c r="AV38" s="168" t="n">
        <f aca="false" t="array" ref="AV38:AV38">-(AV10*(1-INDEX(Premissas!$C$59:$G$59,AV$7))*INDEX(Premissas!$C$56:$G$56,AV$7)+IF(AV$4&gt;=Premissas!$B$99,INDEX(Premissas!$C$98:$G$98,AV$7),0)+IF(AV$4=DATE(YEAR(Premissas!$B$101),MONTH(Premissas!$B$101),1),Premissas!$B$100,0))</f>
        <v>-133425.984972902</v>
      </c>
      <c r="AW38" s="168" t="n">
        <f aca="false" t="array" ref="AW38:AW38">-(AW10*(1-INDEX(Premissas!$C$59:$G$59,AW$7))*INDEX(Premissas!$C$56:$G$56,AW$7)+IF(AW$4&gt;=Premissas!$B$99,INDEX(Premissas!$C$98:$G$98,AW$7),0)+IF(AW$4=DATE(YEAR(Premissas!$B$101),MONTH(Premissas!$B$101),1),Premissas!$B$100,0))</f>
        <v>-133425.984972902</v>
      </c>
      <c r="AX38" s="168" t="n">
        <f aca="false" t="array" ref="AX38:AX38">-(AX10*(1-INDEX(Premissas!$C$59:$G$59,AX$7))*INDEX(Premissas!$C$56:$G$56,AX$7)+IF(AX$4&gt;=Premissas!$B$99,INDEX(Premissas!$C$98:$G$98,AX$7),0)+IF(AX$4=DATE(YEAR(Premissas!$B$101),MONTH(Premissas!$B$101),1),Premissas!$B$100,0))</f>
        <v>-209124.897266356</v>
      </c>
      <c r="AY38" s="168" t="n">
        <f aca="false" t="array" ref="AY38:AY38">-(AY10*(1-INDEX(Premissas!$C$59:$G$59,AY$7))*INDEX(Premissas!$C$56:$G$56,AY$7)+IF(AY$4&gt;=Premissas!$B$99,INDEX(Premissas!$C$98:$G$98,AY$7),0)+IF(AY$4=DATE(YEAR(Premissas!$B$101),MONTH(Premissas!$B$101),1),Premissas!$B$100,0))</f>
        <v>-209124.897266356</v>
      </c>
      <c r="AZ38" s="168" t="n">
        <f aca="false" t="array" ref="AZ38:AZ38">-(AZ10*(1-INDEX(Premissas!$C$59:$G$59,AZ$7))*INDEX(Premissas!$C$56:$G$56,AZ$7)+IF(AZ$4&gt;=Premissas!$B$99,INDEX(Premissas!$C$98:$G$98,AZ$7),0)+IF(AZ$4=DATE(YEAR(Premissas!$B$101),MONTH(Premissas!$B$101),1),Premissas!$B$100,0))</f>
        <v>-209124.897266356</v>
      </c>
      <c r="BA38" s="168" t="n">
        <f aca="false" t="array" ref="BA38:BA38">-(BA10*(1-INDEX(Premissas!$C$59:$G$59,BA$7))*INDEX(Premissas!$C$56:$G$56,BA$7)+IF(BA$4&gt;=Premissas!$B$99,INDEX(Premissas!$C$98:$G$98,BA$7),0)+IF(BA$4=DATE(YEAR(Premissas!$B$101),MONTH(Premissas!$B$101),1),Premissas!$B$100,0))</f>
        <v>-209124.897266356</v>
      </c>
      <c r="BB38" s="168" t="n">
        <f aca="false" t="array" ref="BB38:BB38">-(BB10*(1-INDEX(Premissas!$C$59:$G$59,BB$7))*INDEX(Premissas!$C$56:$G$56,BB$7)+IF(BB$4&gt;=Premissas!$B$99,INDEX(Premissas!$C$98:$G$98,BB$7),0)+IF(BB$4=DATE(YEAR(Premissas!$B$101),MONTH(Premissas!$B$101),1),Premissas!$B$100,0))</f>
        <v>-209124.897266356</v>
      </c>
      <c r="BC38" s="168" t="n">
        <f aca="false" t="array" ref="BC38:BC38">-(BC10*(1-INDEX(Premissas!$C$59:$G$59,BC$7))*INDEX(Premissas!$C$56:$G$56,BC$7)+IF(BC$4&gt;=Premissas!$B$99,INDEX(Premissas!$C$98:$G$98,BC$7),0)+IF(BC$4=DATE(YEAR(Premissas!$B$101),MONTH(Premissas!$B$101),1),Premissas!$B$100,0))</f>
        <v>-209124.897266356</v>
      </c>
      <c r="BD38" s="168" t="n">
        <f aca="false" t="array" ref="BD38:BD38">-(BD10*(1-INDEX(Premissas!$C$59:$G$59,BD$7))*INDEX(Premissas!$C$56:$G$56,BD$7)+IF(BD$4&gt;=Premissas!$B$99,INDEX(Premissas!$C$98:$G$98,BD$7),0)+IF(BD$4=DATE(YEAR(Premissas!$B$101),MONTH(Premissas!$B$101),1),Premissas!$B$100,0))</f>
        <v>-209124.897266356</v>
      </c>
      <c r="BE38" s="168" t="n">
        <f aca="false" t="array" ref="BE38:BE38">-(BE10*(1-INDEX(Premissas!$C$59:$G$59,BE$7))*INDEX(Premissas!$C$56:$G$56,BE$7)+IF(BE$4&gt;=Premissas!$B$99,INDEX(Premissas!$C$98:$G$98,BE$7),0)+IF(BE$4=DATE(YEAR(Premissas!$B$101),MONTH(Premissas!$B$101),1),Premissas!$B$100,0))</f>
        <v>-209124.897266356</v>
      </c>
      <c r="BF38" s="168" t="n">
        <f aca="false" t="array" ref="BF38:BF38">-(BF10*(1-INDEX(Premissas!$C$59:$G$59,BF$7))*INDEX(Premissas!$C$56:$G$56,BF$7)+IF(BF$4&gt;=Premissas!$B$99,INDEX(Premissas!$C$98:$G$98,BF$7),0)+IF(BF$4=DATE(YEAR(Premissas!$B$101),MONTH(Premissas!$B$101),1),Premissas!$B$100,0))</f>
        <v>-209124.897266356</v>
      </c>
      <c r="BG38" s="168" t="n">
        <f aca="false" t="array" ref="BG38:BG38">-(BG10*(1-INDEX(Premissas!$C$59:$G$59,BG$7))*INDEX(Premissas!$C$56:$G$56,BG$7)+IF(BG$4&gt;=Premissas!$B$99,INDEX(Premissas!$C$98:$G$98,BG$7),0)+IF(BG$4=DATE(YEAR(Premissas!$B$101),MONTH(Premissas!$B$101),1),Premissas!$B$100,0))</f>
        <v>-209124.897266356</v>
      </c>
      <c r="BH38" s="168" t="n">
        <f aca="false" t="array" ref="BH38:BH38">-(BH10*(1-INDEX(Premissas!$C$59:$G$59,BH$7))*INDEX(Premissas!$C$56:$G$56,BH$7)+IF(BH$4&gt;=Premissas!$B$99,INDEX(Premissas!$C$98:$G$98,BH$7),0)+IF(BH$4=DATE(YEAR(Premissas!$B$101),MONTH(Premissas!$B$101),1),Premissas!$B$100,0))</f>
        <v>-209124.897266356</v>
      </c>
      <c r="BI38" s="168" t="n">
        <f aca="false" t="array" ref="BI38:BI38">-(BI10*(1-INDEX(Premissas!$C$59:$G$59,BI$7))*INDEX(Premissas!$C$56:$G$56,BI$7)+IF(BI$4&gt;=Premissas!$B$99,INDEX(Premissas!$C$98:$G$98,BI$7),0)+IF(BI$4=DATE(YEAR(Premissas!$B$101),MONTH(Premissas!$B$101),1),Premissas!$B$100,0))</f>
        <v>-209124.897266356</v>
      </c>
      <c r="BJ38" s="154" t="n">
        <f aca="false">SUM(B38:BI38)</f>
        <v>-5809311.4541991</v>
      </c>
    </row>
    <row r="39" customFormat="false" ht="15.75" hidden="false" customHeight="true" outlineLevel="0" collapsed="false">
      <c r="A39" s="49" t="s">
        <v>415</v>
      </c>
      <c r="B39" s="168" t="n">
        <f aca="false" t="array" ref="B39:B39">-IF(B$4&gt;=Premissas!$B$96,INDEX(Premissas!$C$97:$G$97,B$7),0)</f>
        <v>-0</v>
      </c>
      <c r="C39" s="168" t="n">
        <f aca="false" t="array" ref="C39:C39">-IF(C$4&gt;=Premissas!$B$96,INDEX(Premissas!$C$97:$G$97,C$7),0)</f>
        <v>-0</v>
      </c>
      <c r="D39" s="168" t="n">
        <f aca="false" t="array" ref="D39:D39">-IF(D$4&gt;=Premissas!$B$96,INDEX(Premissas!$C$97:$G$97,D$7),0)</f>
        <v>-0</v>
      </c>
      <c r="E39" s="168" t="n">
        <f aca="false" t="array" ref="E39:E39">-IF(E$4&gt;=Premissas!$B$96,INDEX(Premissas!$C$97:$G$97,E$7),0)</f>
        <v>-0</v>
      </c>
      <c r="F39" s="168" t="n">
        <f aca="false" t="array" ref="F39:F39">-IF(F$4&gt;=Premissas!$B$96,INDEX(Premissas!$C$97:$G$97,F$7),0)</f>
        <v>-0</v>
      </c>
      <c r="G39" s="168" t="n">
        <f aca="false" t="array" ref="G39:G39">-IF(G$4&gt;=Premissas!$B$96,INDEX(Premissas!$C$97:$G$97,G$7),0)</f>
        <v>-0</v>
      </c>
      <c r="H39" s="168" t="n">
        <f aca="false" t="array" ref="H39:H39">-IF(H$4&gt;=Premissas!$B$96,INDEX(Premissas!$C$97:$G$97,H$7),0)</f>
        <v>-0</v>
      </c>
      <c r="I39" s="168" t="n">
        <f aca="false" t="array" ref="I39:I39">-IF(I$4&gt;=Premissas!$B$96,INDEX(Premissas!$C$97:$G$97,I$7),0)</f>
        <v>-0</v>
      </c>
      <c r="J39" s="168" t="n">
        <f aca="false" t="array" ref="J39:J39">-IF(J$4&gt;=Premissas!$B$96,INDEX(Premissas!$C$97:$G$97,J$7),0)</f>
        <v>-0</v>
      </c>
      <c r="K39" s="168" t="n">
        <f aca="false" t="array" ref="K39:K39">-IF(K$4&gt;=Premissas!$B$96,INDEX(Premissas!$C$97:$G$97,K$7),0)</f>
        <v>-0</v>
      </c>
      <c r="L39" s="168" t="n">
        <f aca="false" t="array" ref="L39:L39">-IF(L$4&gt;=Premissas!$B$96,INDEX(Premissas!$C$97:$G$97,L$7),0)</f>
        <v>-0</v>
      </c>
      <c r="M39" s="168" t="n">
        <f aca="false" t="array" ref="M39:M39">-IF(M$4&gt;=Premissas!$B$96,INDEX(Premissas!$C$97:$G$97,M$7),0)</f>
        <v>-0</v>
      </c>
      <c r="N39" s="168" t="n">
        <f aca="false" t="array" ref="N39:N39">-IF(N$4&gt;=Premissas!$B$96,INDEX(Premissas!$C$97:$G$97,N$7),0)</f>
        <v>-166.666666666667</v>
      </c>
      <c r="O39" s="168" t="n">
        <f aca="false" t="array" ref="O39:O39">-IF(O$4&gt;=Premissas!$B$96,INDEX(Premissas!$C$97:$G$97,O$7),0)</f>
        <v>-166.666666666667</v>
      </c>
      <c r="P39" s="168" t="n">
        <f aca="false" t="array" ref="P39:P39">-IF(P$4&gt;=Premissas!$B$96,INDEX(Premissas!$C$97:$G$97,P$7),0)</f>
        <v>-166.666666666667</v>
      </c>
      <c r="Q39" s="168" t="n">
        <f aca="false" t="array" ref="Q39:Q39">-IF(Q$4&gt;=Premissas!$B$96,INDEX(Premissas!$C$97:$G$97,Q$7),0)</f>
        <v>-166.666666666667</v>
      </c>
      <c r="R39" s="168" t="n">
        <f aca="false" t="array" ref="R39:R39">-IF(R$4&gt;=Premissas!$B$96,INDEX(Premissas!$C$97:$G$97,R$7),0)</f>
        <v>-166.666666666667</v>
      </c>
      <c r="S39" s="168" t="n">
        <f aca="false" t="array" ref="S39:S39">-IF(S$4&gt;=Premissas!$B$96,INDEX(Premissas!$C$97:$G$97,S$7),0)</f>
        <v>-166.666666666667</v>
      </c>
      <c r="T39" s="168" t="n">
        <f aca="false" t="array" ref="T39:T39">-IF(T$4&gt;=Premissas!$B$96,INDEX(Premissas!$C$97:$G$97,T$7),0)</f>
        <v>-166.666666666667</v>
      </c>
      <c r="U39" s="168" t="n">
        <f aca="false" t="array" ref="U39:U39">-IF(U$4&gt;=Premissas!$B$96,INDEX(Premissas!$C$97:$G$97,U$7),0)</f>
        <v>-166.666666666667</v>
      </c>
      <c r="V39" s="168" t="n">
        <f aca="false" t="array" ref="V39:V39">-IF(V$4&gt;=Premissas!$B$96,INDEX(Premissas!$C$97:$G$97,V$7),0)</f>
        <v>-166.666666666667</v>
      </c>
      <c r="W39" s="168" t="n">
        <f aca="false" t="array" ref="W39:W39">-IF(W$4&gt;=Premissas!$B$96,INDEX(Premissas!$C$97:$G$97,W$7),0)</f>
        <v>-166.666666666667</v>
      </c>
      <c r="X39" s="168" t="n">
        <f aca="false" t="array" ref="X39:X39">-IF(X$4&gt;=Premissas!$B$96,INDEX(Premissas!$C$97:$G$97,X$7),0)</f>
        <v>-166.666666666667</v>
      </c>
      <c r="Y39" s="168" t="n">
        <f aca="false" t="array" ref="Y39:Y39">-IF(Y$4&gt;=Premissas!$B$96,INDEX(Premissas!$C$97:$G$97,Y$7),0)</f>
        <v>-166.666666666667</v>
      </c>
      <c r="Z39" s="168" t="n">
        <f aca="false" t="array" ref="Z39:Z39">-IF(Z$4&gt;=Premissas!$B$96,INDEX(Premissas!$C$97:$G$97,Z$7),0)</f>
        <v>-416.666666666667</v>
      </c>
      <c r="AA39" s="168" t="n">
        <f aca="false" t="array" ref="AA39:AA39">-IF(AA$4&gt;=Premissas!$B$96,INDEX(Premissas!$C$97:$G$97,AA$7),0)</f>
        <v>-416.666666666667</v>
      </c>
      <c r="AB39" s="168" t="n">
        <f aca="false" t="array" ref="AB39:AB39">-IF(AB$4&gt;=Premissas!$B$96,INDEX(Premissas!$C$97:$G$97,AB$7),0)</f>
        <v>-416.666666666667</v>
      </c>
      <c r="AC39" s="168" t="n">
        <f aca="false" t="array" ref="AC39:AC39">-IF(AC$4&gt;=Premissas!$B$96,INDEX(Premissas!$C$97:$G$97,AC$7),0)</f>
        <v>-416.666666666667</v>
      </c>
      <c r="AD39" s="168" t="n">
        <f aca="false" t="array" ref="AD39:AD39">-IF(AD$4&gt;=Premissas!$B$96,INDEX(Premissas!$C$97:$G$97,AD$7),0)</f>
        <v>-416.666666666667</v>
      </c>
      <c r="AE39" s="168" t="n">
        <f aca="false" t="array" ref="AE39:AE39">-IF(AE$4&gt;=Premissas!$B$96,INDEX(Premissas!$C$97:$G$97,AE$7),0)</f>
        <v>-416.666666666667</v>
      </c>
      <c r="AF39" s="168" t="n">
        <f aca="false" t="array" ref="AF39:AF39">-IF(AF$4&gt;=Premissas!$B$96,INDEX(Premissas!$C$97:$G$97,AF$7),0)</f>
        <v>-416.666666666667</v>
      </c>
      <c r="AG39" s="168" t="n">
        <f aca="false" t="array" ref="AG39:AG39">-IF(AG$4&gt;=Premissas!$B$96,INDEX(Premissas!$C$97:$G$97,AG$7),0)</f>
        <v>-416.666666666667</v>
      </c>
      <c r="AH39" s="168" t="n">
        <f aca="false" t="array" ref="AH39:AH39">-IF(AH$4&gt;=Premissas!$B$96,INDEX(Premissas!$C$97:$G$97,AH$7),0)</f>
        <v>-416.666666666667</v>
      </c>
      <c r="AI39" s="168" t="n">
        <f aca="false" t="array" ref="AI39:AI39">-IF(AI$4&gt;=Premissas!$B$96,INDEX(Premissas!$C$97:$G$97,AI$7),0)</f>
        <v>-416.666666666667</v>
      </c>
      <c r="AJ39" s="168" t="n">
        <f aca="false" t="array" ref="AJ39:AJ39">-IF(AJ$4&gt;=Premissas!$B$96,INDEX(Premissas!$C$97:$G$97,AJ$7),0)</f>
        <v>-416.666666666667</v>
      </c>
      <c r="AK39" s="168" t="n">
        <f aca="false" t="array" ref="AK39:AK39">-IF(AK$4&gt;=Premissas!$B$96,INDEX(Premissas!$C$97:$G$97,AK$7),0)</f>
        <v>-416.666666666667</v>
      </c>
      <c r="AL39" s="168" t="n">
        <f aca="false" t="array" ref="AL39:AL39">-IF(AL$4&gt;=Premissas!$B$96,INDEX(Premissas!$C$97:$G$97,AL$7),0)</f>
        <v>-833.333333333333</v>
      </c>
      <c r="AM39" s="168" t="n">
        <f aca="false" t="array" ref="AM39:AM39">-IF(AM$4&gt;=Premissas!$B$96,INDEX(Premissas!$C$97:$G$97,AM$7),0)</f>
        <v>-833.333333333333</v>
      </c>
      <c r="AN39" s="168" t="n">
        <f aca="false" t="array" ref="AN39:AN39">-IF(AN$4&gt;=Premissas!$B$96,INDEX(Premissas!$C$97:$G$97,AN$7),0)</f>
        <v>-833.333333333333</v>
      </c>
      <c r="AO39" s="168" t="n">
        <f aca="false" t="array" ref="AO39:AO39">-IF(AO$4&gt;=Premissas!$B$96,INDEX(Premissas!$C$97:$G$97,AO$7),0)</f>
        <v>-833.333333333333</v>
      </c>
      <c r="AP39" s="168" t="n">
        <f aca="false" t="array" ref="AP39:AP39">-IF(AP$4&gt;=Premissas!$B$96,INDEX(Premissas!$C$97:$G$97,AP$7),0)</f>
        <v>-833.333333333333</v>
      </c>
      <c r="AQ39" s="168" t="n">
        <f aca="false" t="array" ref="AQ39:AQ39">-IF(AQ$4&gt;=Premissas!$B$96,INDEX(Premissas!$C$97:$G$97,AQ$7),0)</f>
        <v>-833.333333333333</v>
      </c>
      <c r="AR39" s="168" t="n">
        <f aca="false" t="array" ref="AR39:AR39">-IF(AR$4&gt;=Premissas!$B$96,INDEX(Premissas!$C$97:$G$97,AR$7),0)</f>
        <v>-833.333333333333</v>
      </c>
      <c r="AS39" s="168" t="n">
        <f aca="false" t="array" ref="AS39:AS39">-IF(AS$4&gt;=Premissas!$B$96,INDEX(Premissas!$C$97:$G$97,AS$7),0)</f>
        <v>-833.333333333333</v>
      </c>
      <c r="AT39" s="168" t="n">
        <f aca="false" t="array" ref="AT39:AT39">-IF(AT$4&gt;=Premissas!$B$96,INDEX(Premissas!$C$97:$G$97,AT$7),0)</f>
        <v>-833.333333333333</v>
      </c>
      <c r="AU39" s="168" t="n">
        <f aca="false" t="array" ref="AU39:AU39">-IF(AU$4&gt;=Premissas!$B$96,INDEX(Premissas!$C$97:$G$97,AU$7),0)</f>
        <v>-833.333333333333</v>
      </c>
      <c r="AV39" s="168" t="n">
        <f aca="false" t="array" ref="AV39:AV39">-IF(AV$4&gt;=Premissas!$B$96,INDEX(Premissas!$C$97:$G$97,AV$7),0)</f>
        <v>-833.333333333333</v>
      </c>
      <c r="AW39" s="168" t="n">
        <f aca="false" t="array" ref="AW39:AW39">-IF(AW$4&gt;=Premissas!$B$96,INDEX(Premissas!$C$97:$G$97,AW$7),0)</f>
        <v>-833.333333333333</v>
      </c>
      <c r="AX39" s="168" t="n">
        <f aca="false" t="array" ref="AX39:AX39">-IF(AX$4&gt;=Premissas!$B$96,INDEX(Premissas!$C$97:$G$97,AX$7),0)</f>
        <v>-1666.66666666667</v>
      </c>
      <c r="AY39" s="168" t="n">
        <f aca="false" t="array" ref="AY39:AY39">-IF(AY$4&gt;=Premissas!$B$96,INDEX(Premissas!$C$97:$G$97,AY$7),0)</f>
        <v>-1666.66666666667</v>
      </c>
      <c r="AZ39" s="168" t="n">
        <f aca="false" t="array" ref="AZ39:AZ39">-IF(AZ$4&gt;=Premissas!$B$96,INDEX(Premissas!$C$97:$G$97,AZ$7),0)</f>
        <v>-1666.66666666667</v>
      </c>
      <c r="BA39" s="168" t="n">
        <f aca="false" t="array" ref="BA39:BA39">-IF(BA$4&gt;=Premissas!$B$96,INDEX(Premissas!$C$97:$G$97,BA$7),0)</f>
        <v>-1666.66666666667</v>
      </c>
      <c r="BB39" s="168" t="n">
        <f aca="false" t="array" ref="BB39:BB39">-IF(BB$4&gt;=Premissas!$B$96,INDEX(Premissas!$C$97:$G$97,BB$7),0)</f>
        <v>-1666.66666666667</v>
      </c>
      <c r="BC39" s="168" t="n">
        <f aca="false" t="array" ref="BC39:BC39">-IF(BC$4&gt;=Premissas!$B$96,INDEX(Premissas!$C$97:$G$97,BC$7),0)</f>
        <v>-1666.66666666667</v>
      </c>
      <c r="BD39" s="168" t="n">
        <f aca="false" t="array" ref="BD39:BD39">-IF(BD$4&gt;=Premissas!$B$96,INDEX(Premissas!$C$97:$G$97,BD$7),0)</f>
        <v>-1666.66666666667</v>
      </c>
      <c r="BE39" s="168" t="n">
        <f aca="false" t="array" ref="BE39:BE39">-IF(BE$4&gt;=Premissas!$B$96,INDEX(Premissas!$C$97:$G$97,BE$7),0)</f>
        <v>-1666.66666666667</v>
      </c>
      <c r="BF39" s="168" t="n">
        <f aca="false" t="array" ref="BF39:BF39">-IF(BF$4&gt;=Premissas!$B$96,INDEX(Premissas!$C$97:$G$97,BF$7),0)</f>
        <v>-1666.66666666667</v>
      </c>
      <c r="BG39" s="168" t="n">
        <f aca="false" t="array" ref="BG39:BG39">-IF(BG$4&gt;=Premissas!$B$96,INDEX(Premissas!$C$97:$G$97,BG$7),0)</f>
        <v>-1666.66666666667</v>
      </c>
      <c r="BH39" s="168" t="n">
        <f aca="false" t="array" ref="BH39:BH39">-IF(BH$4&gt;=Premissas!$B$96,INDEX(Premissas!$C$97:$G$97,BH$7),0)</f>
        <v>-1666.66666666667</v>
      </c>
      <c r="BI39" s="168" t="n">
        <f aca="false" t="array" ref="BI39:BI39">-IF(BI$4&gt;=Premissas!$B$96,INDEX(Premissas!$C$97:$G$97,BI$7),0)</f>
        <v>-1666.66666666667</v>
      </c>
      <c r="BJ39" s="154" t="n">
        <f aca="false">SUM(B39:BI39)</f>
        <v>-37000</v>
      </c>
    </row>
    <row r="40" customFormat="false" ht="15.75" hidden="false" customHeight="true" outlineLevel="0" collapsed="false">
      <c r="A40" s="53" t="s">
        <v>761</v>
      </c>
      <c r="B40" s="154" t="n">
        <f aca="false">SUM(B34:B39)</f>
        <v>0</v>
      </c>
      <c r="C40" s="154" t="n">
        <f aca="false">SUM(C34:C39)</f>
        <v>0</v>
      </c>
      <c r="D40" s="154" t="n">
        <f aca="false">SUM(D34:D39)</f>
        <v>0</v>
      </c>
      <c r="E40" s="154" t="n">
        <f aca="false">SUM(E34:E39)</f>
        <v>0</v>
      </c>
      <c r="F40" s="154" t="n">
        <f aca="false">SUM(F34:F39)</f>
        <v>-600</v>
      </c>
      <c r="G40" s="154" t="n">
        <f aca="false">SUM(G34:G39)</f>
        <v>-600</v>
      </c>
      <c r="H40" s="154" t="n">
        <f aca="false">SUM(H34:H39)</f>
        <v>-600</v>
      </c>
      <c r="I40" s="154" t="n">
        <f aca="false">SUM(I34:I39)</f>
        <v>-600</v>
      </c>
      <c r="J40" s="154" t="n">
        <f aca="false">SUM(J34:J39)</f>
        <v>-600</v>
      </c>
      <c r="K40" s="154" t="n">
        <f aca="false">SUM(K34:K39)</f>
        <v>-600</v>
      </c>
      <c r="L40" s="154" t="n">
        <f aca="false">SUM(L34:L39)</f>
        <v>-2100</v>
      </c>
      <c r="M40" s="154" t="n">
        <f aca="false">SUM(M34:M39)</f>
        <v>-31284.93935</v>
      </c>
      <c r="N40" s="154" t="n">
        <f aca="false">SUM(N34:N39)</f>
        <v>-96316.7677866667</v>
      </c>
      <c r="O40" s="154" t="n">
        <f aca="false">SUM(O34:O39)</f>
        <v>-93362.4362679467</v>
      </c>
      <c r="P40" s="154" t="n">
        <f aca="false">SUM(P34:P39)</f>
        <v>-85335.8984502238</v>
      </c>
      <c r="Q40" s="154" t="n">
        <f aca="false">SUM(Q34:Q39)</f>
        <v>-80834.4291142023</v>
      </c>
      <c r="R40" s="154" t="n">
        <f aca="false">SUM(R34:R39)</f>
        <v>-75730.5954200389</v>
      </c>
      <c r="S40" s="154" t="n">
        <f aca="false">SUM(S34:S39)</f>
        <v>-73394.3601861151</v>
      </c>
      <c r="T40" s="154" t="n">
        <f aca="false">SUM(T34:T39)</f>
        <v>-71776.990826552</v>
      </c>
      <c r="U40" s="154" t="n">
        <f aca="false">SUM(U34:U39)</f>
        <v>-70289.8681398742</v>
      </c>
      <c r="V40" s="154" t="n">
        <f aca="false">SUM(V34:V39)</f>
        <v>-69032.7250928715</v>
      </c>
      <c r="W40" s="154" t="n">
        <f aca="false">SUM(W34:W39)</f>
        <v>-68438.4287834979</v>
      </c>
      <c r="X40" s="154" t="n">
        <f aca="false">SUM(X34:X39)</f>
        <v>-67723.551666443</v>
      </c>
      <c r="Y40" s="154" t="n">
        <f aca="false">SUM(Y34:Y39)</f>
        <v>-67042.8868335517</v>
      </c>
      <c r="Z40" s="154" t="n">
        <f aca="false">SUM(Z34:Z39)</f>
        <v>-168536.247426211</v>
      </c>
      <c r="AA40" s="154" t="n">
        <f aca="false">SUM(AA34:AA39)</f>
        <v>-166325.436790704</v>
      </c>
      <c r="AB40" s="154" t="n">
        <f aca="false">SUM(AB34:AB39)</f>
        <v>-164266.216712777</v>
      </c>
      <c r="AC40" s="154" t="n">
        <f aca="false">SUM(AC34:AC39)</f>
        <v>-162374.657142249</v>
      </c>
      <c r="AD40" s="154" t="n">
        <f aca="false">SUM(AD34:AD39)</f>
        <v>-160683.722168979</v>
      </c>
      <c r="AE40" s="154" t="n">
        <f aca="false">SUM(AE34:AE39)</f>
        <v>-159091.213524138</v>
      </c>
      <c r="AF40" s="154" t="n">
        <f aca="false">SUM(AF34:AF39)</f>
        <v>-157656.882946184</v>
      </c>
      <c r="AG40" s="154" t="n">
        <f aca="false">SUM(AG34:AG39)</f>
        <v>-156363.078784009</v>
      </c>
      <c r="AH40" s="154" t="n">
        <f aca="false">SUM(AH34:AH39)</f>
        <v>-155207.293558401</v>
      </c>
      <c r="AI40" s="154" t="n">
        <f aca="false">SUM(AI34:AI39)</f>
        <v>-154158.651629227</v>
      </c>
      <c r="AJ40" s="154" t="n">
        <f aca="false">SUM(AJ34:AJ39)</f>
        <v>-153281.033660854</v>
      </c>
      <c r="AK40" s="154" t="n">
        <f aca="false">SUM(AK34:AK39)</f>
        <v>-152622.588689571</v>
      </c>
      <c r="AL40" s="154" t="n">
        <f aca="false">SUM(AL34:AL39)</f>
        <v>-333189.437570245</v>
      </c>
      <c r="AM40" s="154" t="n">
        <f aca="false">SUM(AM34:AM39)</f>
        <v>-329976.182314539</v>
      </c>
      <c r="AN40" s="154" t="n">
        <f aca="false">SUM(AN34:AN39)</f>
        <v>-327068.586542004</v>
      </c>
      <c r="AO40" s="154" t="n">
        <f aca="false">SUM(AO34:AO39)</f>
        <v>-324435.640382915</v>
      </c>
      <c r="AP40" s="154" t="n">
        <f aca="false">SUM(AP34:AP39)</f>
        <v>-322098.379322586</v>
      </c>
      <c r="AQ40" s="154" t="n">
        <f aca="false">SUM(AQ34:AQ39)</f>
        <v>-319990.747865813</v>
      </c>
      <c r="AR40" s="154" t="n">
        <f aca="false">SUM(AR34:AR39)</f>
        <v>-318083.373674161</v>
      </c>
      <c r="AS40" s="154" t="n">
        <f aca="false">SUM(AS34:AS39)</f>
        <v>-316341.331554108</v>
      </c>
      <c r="AT40" s="154" t="n">
        <f aca="false">SUM(AT34:AT39)</f>
        <v>-314805.899152708</v>
      </c>
      <c r="AU40" s="154" t="n">
        <f aca="false">SUM(AU34:AU39)</f>
        <v>-313415.683417504</v>
      </c>
      <c r="AV40" s="154" t="n">
        <f aca="false">SUM(AV34:AV39)</f>
        <v>-312143.686534762</v>
      </c>
      <c r="AW40" s="154" t="n">
        <f aca="false">SUM(AW34:AW39)</f>
        <v>-311002.904224802</v>
      </c>
      <c r="AX40" s="154" t="n">
        <f aca="false">SUM(AX34:AX39)</f>
        <v>-504579.653121652</v>
      </c>
      <c r="AY40" s="154" t="n">
        <f aca="false">SUM(AY34:AY39)</f>
        <v>-499610.590120746</v>
      </c>
      <c r="AZ40" s="154" t="n">
        <f aca="false">SUM(AZ34:AZ39)</f>
        <v>-495100.997642998</v>
      </c>
      <c r="BA40" s="154" t="n">
        <f aca="false">SUM(BA34:BA39)</f>
        <v>-468964.034955922</v>
      </c>
      <c r="BB40" s="154" t="n">
        <f aca="false">SUM(BB34:BB39)</f>
        <v>-466359.919765329</v>
      </c>
      <c r="BC40" s="154" t="n">
        <f aca="false">SUM(BC34:BC39)</f>
        <v>-464195.743163002</v>
      </c>
      <c r="BD40" s="154" t="n">
        <f aca="false">SUM(BD34:BD39)</f>
        <v>-462434.24605547</v>
      </c>
      <c r="BE40" s="154" t="n">
        <f aca="false">SUM(BE34:BE39)</f>
        <v>-460950.632385535</v>
      </c>
      <c r="BF40" s="154" t="n">
        <f aca="false">SUM(BF34:BF39)</f>
        <v>-459775.517561976</v>
      </c>
      <c r="BG40" s="154" t="n">
        <f aca="false">SUM(BG34:BG39)</f>
        <v>-458847.637701009</v>
      </c>
      <c r="BH40" s="154" t="n">
        <f aca="false">SUM(BH34:BH39)</f>
        <v>-458101.899567196</v>
      </c>
      <c r="BI40" s="154" t="n">
        <f aca="false">SUM(BI34:BI39)</f>
        <v>-457555.13261365</v>
      </c>
      <c r="BJ40" s="154" t="n">
        <f aca="false">SUM(B40:BI40)</f>
        <v>-12365858.7581619</v>
      </c>
    </row>
    <row r="41" customFormat="false" ht="15.75" hidden="false" customHeight="true" outlineLevel="0" collapsed="false">
      <c r="A41" s="49" t="s">
        <v>762</v>
      </c>
      <c r="B41" s="168" t="n">
        <f aca="false">-Investimentos!B25</f>
        <v>-0</v>
      </c>
      <c r="C41" s="168" t="n">
        <f aca="false">-Investimentos!C25</f>
        <v>-0</v>
      </c>
      <c r="D41" s="168" t="n">
        <f aca="false">-Investimentos!D25</f>
        <v>-0</v>
      </c>
      <c r="E41" s="168" t="n">
        <f aca="false">-Investimentos!E25</f>
        <v>-0</v>
      </c>
      <c r="F41" s="168" t="n">
        <f aca="false">-Investimentos!F25</f>
        <v>-6000</v>
      </c>
      <c r="G41" s="168" t="n">
        <f aca="false">-Investimentos!G25</f>
        <v>-0</v>
      </c>
      <c r="H41" s="168" t="n">
        <f aca="false">-Investimentos!H25</f>
        <v>-0</v>
      </c>
      <c r="I41" s="168" t="n">
        <f aca="false">-Investimentos!I25</f>
        <v>-9127.82</v>
      </c>
      <c r="J41" s="168" t="n">
        <f aca="false">-Investimentos!J25</f>
        <v>-10500</v>
      </c>
      <c r="K41" s="168" t="n">
        <f aca="false">-Investimentos!K25</f>
        <v>-10500</v>
      </c>
      <c r="L41" s="168" t="n">
        <f aca="false">-Investimentos!L25</f>
        <v>-0</v>
      </c>
      <c r="M41" s="168" t="n">
        <f aca="false">-Investimentos!M25</f>
        <v>-0</v>
      </c>
      <c r="N41" s="168" t="n">
        <f aca="false">-Investimentos!N25</f>
        <v>-0</v>
      </c>
      <c r="O41" s="168" t="n">
        <f aca="false">-Investimentos!O25</f>
        <v>-0</v>
      </c>
      <c r="P41" s="168" t="n">
        <f aca="false">-Investimentos!P25</f>
        <v>-12000</v>
      </c>
      <c r="Q41" s="168" t="n">
        <f aca="false">-Investimentos!Q25</f>
        <v>-0</v>
      </c>
      <c r="R41" s="168" t="n">
        <f aca="false">-Investimentos!R25</f>
        <v>-0</v>
      </c>
      <c r="S41" s="168" t="n">
        <f aca="false">-Investimentos!S25</f>
        <v>-6000</v>
      </c>
      <c r="T41" s="168" t="n">
        <f aca="false">-Investimentos!T25</f>
        <v>-0</v>
      </c>
      <c r="U41" s="168" t="n">
        <f aca="false">-Investimentos!U25</f>
        <v>-0</v>
      </c>
      <c r="V41" s="168" t="n">
        <f aca="false">-Investimentos!V25</f>
        <v>-0</v>
      </c>
      <c r="W41" s="168" t="n">
        <f aca="false">-Investimentos!W25</f>
        <v>-0</v>
      </c>
      <c r="X41" s="168" t="n">
        <f aca="false">-Investimentos!X25</f>
        <v>-0</v>
      </c>
      <c r="Y41" s="168" t="n">
        <f aca="false">-Investimentos!Y25</f>
        <v>-0</v>
      </c>
      <c r="Z41" s="168" t="n">
        <f aca="false">-Investimentos!Z25</f>
        <v>-0</v>
      </c>
      <c r="AA41" s="168" t="n">
        <f aca="false">-Investimentos!AA25</f>
        <v>-0</v>
      </c>
      <c r="AB41" s="168" t="n">
        <f aca="false">-Investimentos!AB25</f>
        <v>-0</v>
      </c>
      <c r="AC41" s="168" t="n">
        <f aca="false">-Investimentos!AC25</f>
        <v>-0</v>
      </c>
      <c r="AD41" s="168" t="n">
        <f aca="false">-Investimentos!AD25</f>
        <v>-0</v>
      </c>
      <c r="AE41" s="168" t="n">
        <f aca="false">-Investimentos!AE25</f>
        <v>-15000</v>
      </c>
      <c r="AF41" s="168" t="n">
        <f aca="false">-Investimentos!AF25</f>
        <v>-0</v>
      </c>
      <c r="AG41" s="168" t="n">
        <f aca="false">-Investimentos!AG25</f>
        <v>-0</v>
      </c>
      <c r="AH41" s="168" t="n">
        <f aca="false">-Investimentos!AH25</f>
        <v>-0</v>
      </c>
      <c r="AI41" s="168" t="n">
        <f aca="false">-Investimentos!AI25</f>
        <v>-0</v>
      </c>
      <c r="AJ41" s="168" t="n">
        <f aca="false">-Investimentos!AJ25</f>
        <v>-0</v>
      </c>
      <c r="AK41" s="168" t="n">
        <f aca="false">-Investimentos!AK25</f>
        <v>-0</v>
      </c>
      <c r="AL41" s="168" t="n">
        <f aca="false">-Investimentos!AL25</f>
        <v>-0</v>
      </c>
      <c r="AM41" s="168" t="n">
        <f aca="false">-Investimentos!AM25</f>
        <v>-0</v>
      </c>
      <c r="AN41" s="168" t="n">
        <f aca="false">-Investimentos!AN25</f>
        <v>-0</v>
      </c>
      <c r="AO41" s="168" t="n">
        <f aca="false">-Investimentos!AO25</f>
        <v>-0</v>
      </c>
      <c r="AP41" s="168" t="n">
        <f aca="false">-Investimentos!AP25</f>
        <v>-0</v>
      </c>
      <c r="AQ41" s="168" t="n">
        <f aca="false">-Investimentos!AQ25</f>
        <v>-25000</v>
      </c>
      <c r="AR41" s="168" t="n">
        <f aca="false">-Investimentos!AR25</f>
        <v>-0</v>
      </c>
      <c r="AS41" s="168" t="n">
        <f aca="false">-Investimentos!AS25</f>
        <v>-0</v>
      </c>
      <c r="AT41" s="168" t="n">
        <f aca="false">-Investimentos!AT25</f>
        <v>-0</v>
      </c>
      <c r="AU41" s="168" t="n">
        <f aca="false">-Investimentos!AU25</f>
        <v>-0</v>
      </c>
      <c r="AV41" s="168" t="n">
        <f aca="false">-Investimentos!AV25</f>
        <v>-0</v>
      </c>
      <c r="AW41" s="168" t="n">
        <f aca="false">-Investimentos!AW25</f>
        <v>-0</v>
      </c>
      <c r="AX41" s="168" t="n">
        <f aca="false">-Investimentos!AX25</f>
        <v>-0</v>
      </c>
      <c r="AY41" s="168" t="n">
        <f aca="false">-Investimentos!AY25</f>
        <v>-0</v>
      </c>
      <c r="AZ41" s="168" t="n">
        <f aca="false">-Investimentos!AZ25</f>
        <v>-0</v>
      </c>
      <c r="BA41" s="168" t="n">
        <f aca="false">-Investimentos!BA25</f>
        <v>-0</v>
      </c>
      <c r="BB41" s="168" t="n">
        <f aca="false">-Investimentos!BB25</f>
        <v>-0</v>
      </c>
      <c r="BC41" s="168" t="n">
        <f aca="false">-Investimentos!BC25</f>
        <v>-30000</v>
      </c>
      <c r="BD41" s="168" t="n">
        <f aca="false">-Investimentos!BD25</f>
        <v>-0</v>
      </c>
      <c r="BE41" s="168" t="n">
        <f aca="false">-Investimentos!BE25</f>
        <v>-0</v>
      </c>
      <c r="BF41" s="168" t="n">
        <f aca="false">-Investimentos!BF25</f>
        <v>-0</v>
      </c>
      <c r="BG41" s="168" t="n">
        <f aca="false">-Investimentos!BG25</f>
        <v>-0</v>
      </c>
      <c r="BH41" s="168" t="n">
        <f aca="false">-Investimentos!BH25</f>
        <v>-0</v>
      </c>
      <c r="BI41" s="168" t="n">
        <f aca="false">-Investimentos!BI25</f>
        <v>-0</v>
      </c>
      <c r="BJ41" s="154" t="n">
        <f aca="false">SUM(B41:BI41)</f>
        <v>-124127.82</v>
      </c>
      <c r="BK41" s="51" t="s">
        <v>748</v>
      </c>
    </row>
    <row r="42" customFormat="false" ht="15.75" hidden="false" customHeight="true" outlineLevel="0" collapsed="false">
      <c r="A42" s="53" t="s">
        <v>464</v>
      </c>
      <c r="B42" s="154" t="n">
        <f aca="false">B40+B41</f>
        <v>0</v>
      </c>
      <c r="C42" s="154" t="n">
        <f aca="false">C40+C41</f>
        <v>0</v>
      </c>
      <c r="D42" s="154" t="n">
        <f aca="false">D40+D41</f>
        <v>0</v>
      </c>
      <c r="E42" s="154" t="n">
        <f aca="false">E40+E41</f>
        <v>0</v>
      </c>
      <c r="F42" s="154" t="n">
        <f aca="false">F40+F41</f>
        <v>-6600</v>
      </c>
      <c r="G42" s="154" t="n">
        <f aca="false">G40+G41</f>
        <v>-600</v>
      </c>
      <c r="H42" s="154" t="n">
        <f aca="false">H40+H41</f>
        <v>-600</v>
      </c>
      <c r="I42" s="154" t="n">
        <f aca="false">I40+I41</f>
        <v>-9727.82</v>
      </c>
      <c r="J42" s="154" t="n">
        <f aca="false">J40+J41</f>
        <v>-11100</v>
      </c>
      <c r="K42" s="154" t="n">
        <f aca="false">K40+K41</f>
        <v>-11100</v>
      </c>
      <c r="L42" s="154" t="n">
        <f aca="false">L40+L41</f>
        <v>-2100</v>
      </c>
      <c r="M42" s="154" t="n">
        <f aca="false">M40+M41</f>
        <v>-31284.93935</v>
      </c>
      <c r="N42" s="154" t="n">
        <f aca="false">N40+N41</f>
        <v>-96316.7677866667</v>
      </c>
      <c r="O42" s="154" t="n">
        <f aca="false">O40+O41</f>
        <v>-93362.4362679467</v>
      </c>
      <c r="P42" s="154" t="n">
        <f aca="false">P40+P41</f>
        <v>-97335.8984502238</v>
      </c>
      <c r="Q42" s="154" t="n">
        <f aca="false">Q40+Q41</f>
        <v>-80834.4291142023</v>
      </c>
      <c r="R42" s="154" t="n">
        <f aca="false">R40+R41</f>
        <v>-75730.5954200389</v>
      </c>
      <c r="S42" s="154" t="n">
        <f aca="false">S40+S41</f>
        <v>-79394.3601861151</v>
      </c>
      <c r="T42" s="154" t="n">
        <f aca="false">T40+T41</f>
        <v>-71776.990826552</v>
      </c>
      <c r="U42" s="154" t="n">
        <f aca="false">U40+U41</f>
        <v>-70289.8681398742</v>
      </c>
      <c r="V42" s="154" t="n">
        <f aca="false">V40+V41</f>
        <v>-69032.7250928715</v>
      </c>
      <c r="W42" s="154" t="n">
        <f aca="false">W40+W41</f>
        <v>-68438.4287834979</v>
      </c>
      <c r="X42" s="154" t="n">
        <f aca="false">X40+X41</f>
        <v>-67723.551666443</v>
      </c>
      <c r="Y42" s="154" t="n">
        <f aca="false">Y40+Y41</f>
        <v>-67042.8868335517</v>
      </c>
      <c r="Z42" s="154" t="n">
        <f aca="false">Z40+Z41</f>
        <v>-168536.247426211</v>
      </c>
      <c r="AA42" s="154" t="n">
        <f aca="false">AA40+AA41</f>
        <v>-166325.436790704</v>
      </c>
      <c r="AB42" s="154" t="n">
        <f aca="false">AB40+AB41</f>
        <v>-164266.216712777</v>
      </c>
      <c r="AC42" s="154" t="n">
        <f aca="false">AC40+AC41</f>
        <v>-162374.657142249</v>
      </c>
      <c r="AD42" s="154" t="n">
        <f aca="false">AD40+AD41</f>
        <v>-160683.722168979</v>
      </c>
      <c r="AE42" s="154" t="n">
        <f aca="false">AE40+AE41</f>
        <v>-174091.213524138</v>
      </c>
      <c r="AF42" s="154" t="n">
        <f aca="false">AF40+AF41</f>
        <v>-157656.882946184</v>
      </c>
      <c r="AG42" s="154" t="n">
        <f aca="false">AG40+AG41</f>
        <v>-156363.078784009</v>
      </c>
      <c r="AH42" s="154" t="n">
        <f aca="false">AH40+AH41</f>
        <v>-155207.293558401</v>
      </c>
      <c r="AI42" s="154" t="n">
        <f aca="false">AI40+AI41</f>
        <v>-154158.651629227</v>
      </c>
      <c r="AJ42" s="154" t="n">
        <f aca="false">AJ40+AJ41</f>
        <v>-153281.033660854</v>
      </c>
      <c r="AK42" s="154" t="n">
        <f aca="false">AK40+AK41</f>
        <v>-152622.588689571</v>
      </c>
      <c r="AL42" s="154" t="n">
        <f aca="false">AL40+AL41</f>
        <v>-333189.437570245</v>
      </c>
      <c r="AM42" s="154" t="n">
        <f aca="false">AM40+AM41</f>
        <v>-329976.182314539</v>
      </c>
      <c r="AN42" s="154" t="n">
        <f aca="false">AN40+AN41</f>
        <v>-327068.586542004</v>
      </c>
      <c r="AO42" s="154" t="n">
        <f aca="false">AO40+AO41</f>
        <v>-324435.640382915</v>
      </c>
      <c r="AP42" s="154" t="n">
        <f aca="false">AP40+AP41</f>
        <v>-322098.379322586</v>
      </c>
      <c r="AQ42" s="154" t="n">
        <f aca="false">AQ40+AQ41</f>
        <v>-344990.747865813</v>
      </c>
      <c r="AR42" s="154" t="n">
        <f aca="false">AR40+AR41</f>
        <v>-318083.373674161</v>
      </c>
      <c r="AS42" s="154" t="n">
        <f aca="false">AS40+AS41</f>
        <v>-316341.331554108</v>
      </c>
      <c r="AT42" s="154" t="n">
        <f aca="false">AT40+AT41</f>
        <v>-314805.899152708</v>
      </c>
      <c r="AU42" s="154" t="n">
        <f aca="false">AU40+AU41</f>
        <v>-313415.683417504</v>
      </c>
      <c r="AV42" s="154" t="n">
        <f aca="false">AV40+AV41</f>
        <v>-312143.686534762</v>
      </c>
      <c r="AW42" s="154" t="n">
        <f aca="false">AW40+AW41</f>
        <v>-311002.904224802</v>
      </c>
      <c r="AX42" s="154" t="n">
        <f aca="false">AX40+AX41</f>
        <v>-504579.653121652</v>
      </c>
      <c r="AY42" s="154" t="n">
        <f aca="false">AY40+AY41</f>
        <v>-499610.590120746</v>
      </c>
      <c r="AZ42" s="154" t="n">
        <f aca="false">AZ40+AZ41</f>
        <v>-495100.997642998</v>
      </c>
      <c r="BA42" s="154" t="n">
        <f aca="false">BA40+BA41</f>
        <v>-468964.034955922</v>
      </c>
      <c r="BB42" s="154" t="n">
        <f aca="false">BB40+BB41</f>
        <v>-466359.919765329</v>
      </c>
      <c r="BC42" s="154" t="n">
        <f aca="false">BC40+BC41</f>
        <v>-494195.743163002</v>
      </c>
      <c r="BD42" s="154" t="n">
        <f aca="false">BD40+BD41</f>
        <v>-462434.24605547</v>
      </c>
      <c r="BE42" s="154" t="n">
        <f aca="false">BE40+BE41</f>
        <v>-460950.632385535</v>
      </c>
      <c r="BF42" s="154" t="n">
        <f aca="false">BF40+BF41</f>
        <v>-459775.517561976</v>
      </c>
      <c r="BG42" s="154" t="n">
        <f aca="false">BG40+BG41</f>
        <v>-458847.637701009</v>
      </c>
      <c r="BH42" s="154" t="n">
        <f aca="false">BH40+BH41</f>
        <v>-458101.899567196</v>
      </c>
      <c r="BI42" s="154" t="n">
        <f aca="false">BI40+BI41</f>
        <v>-457555.13261365</v>
      </c>
      <c r="BJ42" s="154" t="n">
        <f aca="false">SUM(B42:BI42)</f>
        <v>-12489986.5781619</v>
      </c>
      <c r="BK42" s="51" t="s">
        <v>748</v>
      </c>
    </row>
    <row r="43" customFormat="false" ht="15.75" hidden="false" customHeight="true" outlineLevel="0" collapsed="false">
      <c r="A43" s="158" t="s">
        <v>466</v>
      </c>
      <c r="B43" s="159" t="n">
        <f aca="false">B42/(1+Premissas!$B$19)^B$5</f>
        <v>0</v>
      </c>
      <c r="C43" s="159" t="n">
        <f aca="false">C42/(1+Premissas!$B$19)^C$5</f>
        <v>0</v>
      </c>
      <c r="D43" s="159" t="n">
        <f aca="false">D42/(1+Premissas!$B$19)^D$5</f>
        <v>0</v>
      </c>
      <c r="E43" s="159" t="n">
        <f aca="false">E42/(1+Premissas!$B$19)^E$5</f>
        <v>0</v>
      </c>
      <c r="F43" s="159" t="n">
        <f aca="false">F42/(1+Premissas!$B$19)^F$5</f>
        <v>-6014.01855172587</v>
      </c>
      <c r="G43" s="159" t="n">
        <f aca="false">G42/(1+Premissas!$B$19)^G$5</f>
        <v>-536.656314599949</v>
      </c>
      <c r="H43" s="159" t="n">
        <f aca="false">H42/(1+Premissas!$B$19)^H$5</f>
        <v>-526.769243019855</v>
      </c>
      <c r="I43" s="159" t="n">
        <f aca="false">I42/(1+Premissas!$B$19)^I$5</f>
        <v>-8383.18114655438</v>
      </c>
      <c r="J43" s="159" t="n">
        <f aca="false">J42/(1+Premissas!$B$19)^J$5</f>
        <v>-9389.4568193522</v>
      </c>
      <c r="K43" s="159" t="n">
        <f aca="false">K42/(1+Premissas!$B$19)^K$5</f>
        <v>-9216.47044213917</v>
      </c>
      <c r="L43" s="159" t="n">
        <f aca="false">L42/(1+Premissas!$B$19)^L$5</f>
        <v>-1711.53236540413</v>
      </c>
      <c r="M43" s="159" t="n">
        <f aca="false">M42/(1+Premissas!$B$19)^M$5</f>
        <v>-25027.95148</v>
      </c>
      <c r="N43" s="159" t="n">
        <f aca="false">N42/(1+Premissas!$B$19)^N$5</f>
        <v>-75633.8229541537</v>
      </c>
      <c r="O43" s="159" t="n">
        <f aca="false">O42/(1+Premissas!$B$19)^O$5</f>
        <v>-71963.2045056014</v>
      </c>
      <c r="P43" s="159" t="n">
        <f aca="false">P42/(1+Premissas!$B$19)^P$5</f>
        <v>-73643.6873712674</v>
      </c>
      <c r="Q43" s="159" t="n">
        <f aca="false">Q42/(1+Premissas!$B$19)^Q$5</f>
        <v>-60032.0293676711</v>
      </c>
      <c r="R43" s="159" t="n">
        <f aca="false">R42/(1+Premissas!$B$19)^R$5</f>
        <v>-55205.4794896193</v>
      </c>
      <c r="S43" s="159" t="n">
        <f aca="false">S42/(1+Premissas!$B$19)^S$5</f>
        <v>-56809.9796500019</v>
      </c>
      <c r="T43" s="159" t="n">
        <f aca="false">T42/(1+Premissas!$B$19)^T$5</f>
        <v>-50413.2148319278</v>
      </c>
      <c r="U43" s="159" t="n">
        <f aca="false">U42/(1+Premissas!$B$19)^U$5</f>
        <v>-48459.1776890597</v>
      </c>
      <c r="V43" s="159" t="n">
        <f aca="false">V42/(1+Premissas!$B$19)^V$5</f>
        <v>-46715.6606401245</v>
      </c>
      <c r="W43" s="159" t="n">
        <f aca="false">W42/(1+Premissas!$B$19)^W$5</f>
        <v>-45460.2346659138</v>
      </c>
      <c r="X43" s="159" t="n">
        <f aca="false">X42/(1+Premissas!$B$19)^X$5</f>
        <v>-44156.5906960898</v>
      </c>
      <c r="Y43" s="159" t="n">
        <f aca="false">Y42/(1+Premissas!$B$19)^Y$5</f>
        <v>-42907.447573473</v>
      </c>
      <c r="Z43" s="159" t="n">
        <f aca="false">Z42/(1+Premissas!$B$19)^Z$5</f>
        <v>-105875.983940201</v>
      </c>
      <c r="AA43" s="159" t="n">
        <f aca="false">AA42/(1+Premissas!$B$19)^AA$5</f>
        <v>-102562.117277244</v>
      </c>
      <c r="AB43" s="159" t="n">
        <f aca="false">AB42/(1+Premissas!$B$19)^AB$5</f>
        <v>-99426.1735032355</v>
      </c>
      <c r="AC43" s="159" t="n">
        <f aca="false">AC42/(1+Premissas!$B$19)^AC$5</f>
        <v>-96470.5786180049</v>
      </c>
      <c r="AD43" s="159" t="n">
        <f aca="false">AD42/(1+Premissas!$B$19)^AD$5</f>
        <v>-93707.1404688102</v>
      </c>
      <c r="AE43" s="159" t="n">
        <f aca="false">AE42/(1+Premissas!$B$19)^AE$5</f>
        <v>-99655.6256577031</v>
      </c>
      <c r="AF43" s="159" t="n">
        <f aca="false">AF42/(1+Premissas!$B$19)^AF$5</f>
        <v>-88585.3833455263</v>
      </c>
      <c r="AG43" s="159" t="n">
        <f aca="false">AG42/(1+Premissas!$B$19)^AG$5</f>
        <v>-86239.7545401488</v>
      </c>
      <c r="AH43" s="159" t="n">
        <f aca="false">AH42/(1+Premissas!$B$19)^AH$5</f>
        <v>-84025.2068275388</v>
      </c>
      <c r="AI43" s="159" t="n">
        <f aca="false">AI42/(1+Premissas!$B$19)^AI$5</f>
        <v>-81919.9225162263</v>
      </c>
      <c r="AJ43" s="159" t="n">
        <f aca="false">AJ42/(1+Premissas!$B$19)^AJ$5</f>
        <v>-79952.8990821032</v>
      </c>
      <c r="AK43" s="159" t="n">
        <f aca="false">AK42/(1+Premissas!$B$19)^AK$5</f>
        <v>-78142.7654090599</v>
      </c>
      <c r="AL43" s="159" t="n">
        <f aca="false">AL42/(1+Premissas!$B$19)^AL$5</f>
        <v>-167450.077143443</v>
      </c>
      <c r="AM43" s="159" t="n">
        <f aca="false">AM42/(1+Premissas!$B$19)^AM$5</f>
        <v>-162779.940638075</v>
      </c>
      <c r="AN43" s="159" t="n">
        <f aca="false">AN42/(1+Premissas!$B$19)^AN$5</f>
        <v>-158373.054100801</v>
      </c>
      <c r="AO43" s="159" t="n">
        <f aca="false">AO42/(1+Premissas!$B$19)^AO$5</f>
        <v>-154203.83699224</v>
      </c>
      <c r="AP43" s="159" t="n">
        <f aca="false">AP42/(1+Premissas!$B$19)^AP$5</f>
        <v>-150272.43665275</v>
      </c>
      <c r="AQ43" s="159" t="n">
        <f aca="false">AQ42/(1+Premissas!$B$19)^AQ$5</f>
        <v>-157987.382033704</v>
      </c>
      <c r="AR43" s="159" t="n">
        <f aca="false">AR42/(1+Premissas!$B$19)^AR$5</f>
        <v>-142981.579065633</v>
      </c>
      <c r="AS43" s="159" t="n">
        <f aca="false">AS42/(1+Premissas!$B$19)^AS$5</f>
        <v>-139578.724063446</v>
      </c>
      <c r="AT43" s="159" t="n">
        <f aca="false">AT42/(1+Premissas!$B$19)^AT$5</f>
        <v>-136342.204958982</v>
      </c>
      <c r="AU43" s="159" t="n">
        <f aca="false">AU42/(1+Premissas!$B$19)^AU$5</f>
        <v>-133239.299797115</v>
      </c>
      <c r="AV43" s="159" t="n">
        <f aca="false">AV42/(1+Premissas!$B$19)^AV$5</f>
        <v>-130253.78064111</v>
      </c>
      <c r="AW43" s="159" t="n">
        <f aca="false">AW42/(1+Premissas!$B$19)^AW$5</f>
        <v>-127386.789570479</v>
      </c>
      <c r="AX43" s="159" t="n">
        <f aca="false">AX42/(1+Premissas!$B$19)^AX$5</f>
        <v>-202868.140013998</v>
      </c>
      <c r="AY43" s="159" t="n">
        <f aca="false">AY42/(1+Premissas!$B$19)^AY$5</f>
        <v>-197169.581468729</v>
      </c>
      <c r="AZ43" s="159" t="n">
        <f aca="false">AZ42/(1+Premissas!$B$19)^AZ$5</f>
        <v>-191790.126747633</v>
      </c>
      <c r="BA43" s="159" t="n">
        <f aca="false">BA42/(1+Premissas!$B$19)^BA$5</f>
        <v>-178318.395639184</v>
      </c>
      <c r="BB43" s="159" t="n">
        <f aca="false">BB42/(1+Premissas!$B$19)^BB$5</f>
        <v>-174061.208622549</v>
      </c>
      <c r="BC43" s="159" t="n">
        <f aca="false">BC42/(1+Premissas!$B$19)^BC$5</f>
        <v>-181052.256404028</v>
      </c>
      <c r="BD43" s="159" t="n">
        <f aca="false">BD42/(1+Premissas!$B$19)^BD$5</f>
        <v>-166294.963364588</v>
      </c>
      <c r="BE43" s="159" t="n">
        <f aca="false">BE42/(1+Premissas!$B$19)^BE$5</f>
        <v>-162707.54329453</v>
      </c>
      <c r="BF43" s="159" t="n">
        <f aca="false">BF42/(1+Premissas!$B$19)^BF$5</f>
        <v>-159302.752633993</v>
      </c>
      <c r="BG43" s="159" t="n">
        <f aca="false">BG42/(1+Premissas!$B$19)^BG$5</f>
        <v>-156052.274842678</v>
      </c>
      <c r="BH43" s="159" t="n">
        <f aca="false">BH42/(1+Premissas!$B$19)^BH$5</f>
        <v>-152928.300424507</v>
      </c>
      <c r="BI43" s="159" t="n">
        <f aca="false">BI42/(1+Premissas!$B$19)^BI$5</f>
        <v>-149931.66585484</v>
      </c>
      <c r="BJ43" s="154" t="n">
        <f aca="false">SUM(B43:BI43)</f>
        <v>-5662096.43195254</v>
      </c>
    </row>
    <row r="44" customFormat="false" ht="15.75" hidden="false" customHeight="true" outlineLevel="0" collapsed="false">
      <c r="A44" s="49" t="s">
        <v>467</v>
      </c>
      <c r="B44" s="168" t="n">
        <f aca="false">B43</f>
        <v>0</v>
      </c>
      <c r="C44" s="168" t="n">
        <f aca="false">B44+C43</f>
        <v>0</v>
      </c>
      <c r="D44" s="168" t="n">
        <f aca="false">C44+D43</f>
        <v>0</v>
      </c>
      <c r="E44" s="168" t="n">
        <f aca="false">D44+E43</f>
        <v>0</v>
      </c>
      <c r="F44" s="168" t="n">
        <f aca="false">E44+F43</f>
        <v>-6014.01855172587</v>
      </c>
      <c r="G44" s="168" t="n">
        <f aca="false">F44+G43</f>
        <v>-6550.67486632582</v>
      </c>
      <c r="H44" s="168" t="n">
        <f aca="false">G44+H43</f>
        <v>-7077.44410934567</v>
      </c>
      <c r="I44" s="168" t="n">
        <f aca="false">H44+I43</f>
        <v>-15460.6252559</v>
      </c>
      <c r="J44" s="168" t="n">
        <f aca="false">I44+J43</f>
        <v>-24850.0820752523</v>
      </c>
      <c r="K44" s="168" t="n">
        <f aca="false">J44+K43</f>
        <v>-34066.5525173914</v>
      </c>
      <c r="L44" s="168" t="n">
        <f aca="false">K44+L43</f>
        <v>-35778.0848827955</v>
      </c>
      <c r="M44" s="168" t="n">
        <f aca="false">L44+M43</f>
        <v>-60806.0363627955</v>
      </c>
      <c r="N44" s="168" t="n">
        <f aca="false">M44+N43</f>
        <v>-136439.859316949</v>
      </c>
      <c r="O44" s="168" t="n">
        <f aca="false">N44+O43</f>
        <v>-208403.063822551</v>
      </c>
      <c r="P44" s="168" t="n">
        <f aca="false">O44+P43</f>
        <v>-282046.751193818</v>
      </c>
      <c r="Q44" s="168" t="n">
        <f aca="false">P44+Q43</f>
        <v>-342078.780561489</v>
      </c>
      <c r="R44" s="168" t="n">
        <f aca="false">Q44+R43</f>
        <v>-397284.260051108</v>
      </c>
      <c r="S44" s="168" t="n">
        <f aca="false">R44+S43</f>
        <v>-454094.23970111</v>
      </c>
      <c r="T44" s="168" t="n">
        <f aca="false">S44+T43</f>
        <v>-504507.454533038</v>
      </c>
      <c r="U44" s="168" t="n">
        <f aca="false">T44+U43</f>
        <v>-552966.632222098</v>
      </c>
      <c r="V44" s="168" t="n">
        <f aca="false">U44+V43</f>
        <v>-599682.292862222</v>
      </c>
      <c r="W44" s="168" t="n">
        <f aca="false">V44+W43</f>
        <v>-645142.527528136</v>
      </c>
      <c r="X44" s="168" t="n">
        <f aca="false">W44+X43</f>
        <v>-689299.118224226</v>
      </c>
      <c r="Y44" s="168" t="n">
        <f aca="false">X44+Y43</f>
        <v>-732206.565797699</v>
      </c>
      <c r="Z44" s="168" t="n">
        <f aca="false">Y44+Z43</f>
        <v>-838082.5497379</v>
      </c>
      <c r="AA44" s="168" t="n">
        <f aca="false">Z44+AA43</f>
        <v>-940644.667015143</v>
      </c>
      <c r="AB44" s="168" t="n">
        <f aca="false">AA44+AB43</f>
        <v>-1040070.84051838</v>
      </c>
      <c r="AC44" s="168" t="n">
        <f aca="false">AB44+AC43</f>
        <v>-1136541.41913638</v>
      </c>
      <c r="AD44" s="168" t="n">
        <f aca="false">AC44+AD43</f>
        <v>-1230248.55960519</v>
      </c>
      <c r="AE44" s="168" t="n">
        <f aca="false">AD44+AE43</f>
        <v>-1329904.1852629</v>
      </c>
      <c r="AF44" s="168" t="n">
        <f aca="false">AE44+AF43</f>
        <v>-1418489.56860842</v>
      </c>
      <c r="AG44" s="168" t="n">
        <f aca="false">AF44+AG43</f>
        <v>-1504729.32314857</v>
      </c>
      <c r="AH44" s="168" t="n">
        <f aca="false">AG44+AH43</f>
        <v>-1588754.52997611</v>
      </c>
      <c r="AI44" s="168" t="n">
        <f aca="false">AH44+AI43</f>
        <v>-1670674.45249234</v>
      </c>
      <c r="AJ44" s="168" t="n">
        <f aca="false">AI44+AJ43</f>
        <v>-1750627.35157444</v>
      </c>
      <c r="AK44" s="168" t="n">
        <f aca="false">AJ44+AK43</f>
        <v>-1828770.1169835</v>
      </c>
      <c r="AL44" s="168" t="n">
        <f aca="false">AK44+AL43</f>
        <v>-1996220.19412694</v>
      </c>
      <c r="AM44" s="168" t="n">
        <f aca="false">AL44+AM43</f>
        <v>-2159000.13476502</v>
      </c>
      <c r="AN44" s="168" t="n">
        <f aca="false">AM44+AN43</f>
        <v>-2317373.18886582</v>
      </c>
      <c r="AO44" s="168" t="n">
        <f aca="false">AN44+AO43</f>
        <v>-2471577.02585806</v>
      </c>
      <c r="AP44" s="168" t="n">
        <f aca="false">AO44+AP43</f>
        <v>-2621849.46251081</v>
      </c>
      <c r="AQ44" s="168" t="n">
        <f aca="false">AP44+AQ43</f>
        <v>-2779836.84454451</v>
      </c>
      <c r="AR44" s="168" t="n">
        <f aca="false">AQ44+AR43</f>
        <v>-2922818.42361015</v>
      </c>
      <c r="AS44" s="168" t="n">
        <f aca="false">AR44+AS43</f>
        <v>-3062397.14767359</v>
      </c>
      <c r="AT44" s="168" t="n">
        <f aca="false">AS44+AT43</f>
        <v>-3198739.35263258</v>
      </c>
      <c r="AU44" s="168" t="n">
        <f aca="false">AT44+AU43</f>
        <v>-3331978.65242969</v>
      </c>
      <c r="AV44" s="168" t="n">
        <f aca="false">AU44+AV43</f>
        <v>-3462232.4330708</v>
      </c>
      <c r="AW44" s="168" t="n">
        <f aca="false">AV44+AW43</f>
        <v>-3589619.22264128</v>
      </c>
      <c r="AX44" s="168" t="n">
        <f aca="false">AW44+AX43</f>
        <v>-3792487.36265528</v>
      </c>
      <c r="AY44" s="168" t="n">
        <f aca="false">AX44+AY43</f>
        <v>-3989656.94412401</v>
      </c>
      <c r="AZ44" s="168" t="n">
        <f aca="false">AY44+AZ43</f>
        <v>-4181447.07087164</v>
      </c>
      <c r="BA44" s="168" t="n">
        <f aca="false">AZ44+BA43</f>
        <v>-4359765.46651083</v>
      </c>
      <c r="BB44" s="168" t="n">
        <f aca="false">BA44+BB43</f>
        <v>-4533826.67513337</v>
      </c>
      <c r="BC44" s="168" t="n">
        <f aca="false">BB44+BC43</f>
        <v>-4714878.9315374</v>
      </c>
      <c r="BD44" s="168" t="n">
        <f aca="false">BC44+BD43</f>
        <v>-4881173.89490199</v>
      </c>
      <c r="BE44" s="168" t="n">
        <f aca="false">BD44+BE43</f>
        <v>-5043881.43819652</v>
      </c>
      <c r="BF44" s="168" t="n">
        <f aca="false">BE44+BF43</f>
        <v>-5203184.19083051</v>
      </c>
      <c r="BG44" s="168" t="n">
        <f aca="false">BF44+BG43</f>
        <v>-5359236.46567319</v>
      </c>
      <c r="BH44" s="168" t="n">
        <f aca="false">BG44+BH43</f>
        <v>-5512164.7660977</v>
      </c>
      <c r="BI44" s="168" t="n">
        <f aca="false">BH44+BI43</f>
        <v>-5662096.43195254</v>
      </c>
      <c r="BJ44" s="154" t="n">
        <f aca="false">BI44</f>
        <v>-5662096.43195254</v>
      </c>
    </row>
    <row r="45" customFormat="false" ht="15.75" hidden="false" customHeight="true" outlineLevel="0" collapsed="false">
      <c r="A45" s="49" t="s">
        <v>468</v>
      </c>
      <c r="B45" s="168" t="n">
        <f aca="false">B42</f>
        <v>0</v>
      </c>
      <c r="C45" s="168" t="n">
        <f aca="false">B45+C42</f>
        <v>0</v>
      </c>
      <c r="D45" s="168" t="n">
        <f aca="false">C45+D42</f>
        <v>0</v>
      </c>
      <c r="E45" s="168" t="n">
        <f aca="false">D45+E42</f>
        <v>0</v>
      </c>
      <c r="F45" s="168" t="n">
        <f aca="false">E45+F42</f>
        <v>-6600</v>
      </c>
      <c r="G45" s="168" t="n">
        <f aca="false">F45+G42</f>
        <v>-7200</v>
      </c>
      <c r="H45" s="168" t="n">
        <f aca="false">G45+H42</f>
        <v>-7800</v>
      </c>
      <c r="I45" s="168" t="n">
        <f aca="false">H45+I42</f>
        <v>-17527.82</v>
      </c>
      <c r="J45" s="168" t="n">
        <f aca="false">I45+J42</f>
        <v>-28627.82</v>
      </c>
      <c r="K45" s="168" t="n">
        <f aca="false">J45+K42</f>
        <v>-39727.82</v>
      </c>
      <c r="L45" s="168" t="n">
        <f aca="false">K45+L42</f>
        <v>-41827.82</v>
      </c>
      <c r="M45" s="168" t="n">
        <f aca="false">L45+M42</f>
        <v>-73112.75935</v>
      </c>
      <c r="N45" s="168" t="n">
        <f aca="false">M45+N42</f>
        <v>-169429.527136667</v>
      </c>
      <c r="O45" s="168" t="n">
        <f aca="false">N45+O42</f>
        <v>-262791.963404613</v>
      </c>
      <c r="P45" s="168" t="n">
        <f aca="false">O45+P42</f>
        <v>-360127.861854837</v>
      </c>
      <c r="Q45" s="168" t="n">
        <f aca="false">P45+Q42</f>
        <v>-440962.290969039</v>
      </c>
      <c r="R45" s="168" t="n">
        <f aca="false">Q45+R42</f>
        <v>-516692.886389078</v>
      </c>
      <c r="S45" s="168" t="n">
        <f aca="false">R45+S42</f>
        <v>-596087.246575193</v>
      </c>
      <c r="T45" s="168" t="n">
        <f aca="false">S45+T42</f>
        <v>-667864.237401745</v>
      </c>
      <c r="U45" s="168" t="n">
        <f aca="false">T45+U42</f>
        <v>-738154.10554162</v>
      </c>
      <c r="V45" s="168" t="n">
        <f aca="false">U45+V42</f>
        <v>-807186.830634491</v>
      </c>
      <c r="W45" s="168" t="n">
        <f aca="false">V45+W42</f>
        <v>-875625.259417989</v>
      </c>
      <c r="X45" s="168" t="n">
        <f aca="false">W45+X42</f>
        <v>-943348.811084432</v>
      </c>
      <c r="Y45" s="168" t="n">
        <f aca="false">X45+Y42</f>
        <v>-1010391.69791798</v>
      </c>
      <c r="Z45" s="168" t="n">
        <f aca="false">Y45+Z42</f>
        <v>-1178927.94534419</v>
      </c>
      <c r="AA45" s="168" t="n">
        <f aca="false">Z45+AA42</f>
        <v>-1345253.3821349</v>
      </c>
      <c r="AB45" s="168" t="n">
        <f aca="false">AA45+AB42</f>
        <v>-1509519.59884768</v>
      </c>
      <c r="AC45" s="168" t="n">
        <f aca="false">AB45+AC42</f>
        <v>-1671894.25598992</v>
      </c>
      <c r="AD45" s="168" t="n">
        <f aca="false">AC45+AD42</f>
        <v>-1832577.9781589</v>
      </c>
      <c r="AE45" s="168" t="n">
        <f aca="false">AD45+AE42</f>
        <v>-2006669.19168304</v>
      </c>
      <c r="AF45" s="168" t="n">
        <f aca="false">AE45+AF42</f>
        <v>-2164326.07462923</v>
      </c>
      <c r="AG45" s="168" t="n">
        <f aca="false">AF45+AG42</f>
        <v>-2320689.15341323</v>
      </c>
      <c r="AH45" s="168" t="n">
        <f aca="false">AG45+AH42</f>
        <v>-2475896.44697164</v>
      </c>
      <c r="AI45" s="168" t="n">
        <f aca="false">AH45+AI42</f>
        <v>-2630055.09860086</v>
      </c>
      <c r="AJ45" s="168" t="n">
        <f aca="false">AI45+AJ42</f>
        <v>-2783336.13226172</v>
      </c>
      <c r="AK45" s="168" t="n">
        <f aca="false">AJ45+AK42</f>
        <v>-2935958.72095129</v>
      </c>
      <c r="AL45" s="168" t="n">
        <f aca="false">AK45+AL42</f>
        <v>-3269148.15852153</v>
      </c>
      <c r="AM45" s="168" t="n">
        <f aca="false">AL45+AM42</f>
        <v>-3599124.34083607</v>
      </c>
      <c r="AN45" s="168" t="n">
        <f aca="false">AM45+AN42</f>
        <v>-3926192.92737808</v>
      </c>
      <c r="AO45" s="168" t="n">
        <f aca="false">AN45+AO42</f>
        <v>-4250628.56776099</v>
      </c>
      <c r="AP45" s="168" t="n">
        <f aca="false">AO45+AP42</f>
        <v>-4572726.94708358</v>
      </c>
      <c r="AQ45" s="168" t="n">
        <f aca="false">AP45+AQ42</f>
        <v>-4917717.69494939</v>
      </c>
      <c r="AR45" s="168" t="n">
        <f aca="false">AQ45+AR42</f>
        <v>-5235801.06862355</v>
      </c>
      <c r="AS45" s="168" t="n">
        <f aca="false">AR45+AS42</f>
        <v>-5552142.40017766</v>
      </c>
      <c r="AT45" s="168" t="n">
        <f aca="false">AS45+AT42</f>
        <v>-5866948.29933037</v>
      </c>
      <c r="AU45" s="168" t="n">
        <f aca="false">AT45+AU42</f>
        <v>-6180363.98274787</v>
      </c>
      <c r="AV45" s="168" t="n">
        <f aca="false">AU45+AV42</f>
        <v>-6492507.66928264</v>
      </c>
      <c r="AW45" s="168" t="n">
        <f aca="false">AV45+AW42</f>
        <v>-6803510.57350744</v>
      </c>
      <c r="AX45" s="168" t="n">
        <f aca="false">AW45+AX42</f>
        <v>-7308090.22662909</v>
      </c>
      <c r="AY45" s="168" t="n">
        <f aca="false">AX45+AY42</f>
        <v>-7807700.81674984</v>
      </c>
      <c r="AZ45" s="168" t="n">
        <f aca="false">AY45+AZ42</f>
        <v>-8302801.81439283</v>
      </c>
      <c r="BA45" s="168" t="n">
        <f aca="false">AZ45+BA42</f>
        <v>-8771765.84934876</v>
      </c>
      <c r="BB45" s="168" t="n">
        <f aca="false">BA45+BB42</f>
        <v>-9238125.76911409</v>
      </c>
      <c r="BC45" s="168" t="n">
        <f aca="false">BB45+BC42</f>
        <v>-9732321.51227709</v>
      </c>
      <c r="BD45" s="168" t="n">
        <f aca="false">BC45+BD42</f>
        <v>-10194755.7583326</v>
      </c>
      <c r="BE45" s="168" t="n">
        <f aca="false">BD45+BE42</f>
        <v>-10655706.3907181</v>
      </c>
      <c r="BF45" s="168" t="n">
        <f aca="false">BE45+BF42</f>
        <v>-11115481.9082801</v>
      </c>
      <c r="BG45" s="168" t="n">
        <f aca="false">BF45+BG42</f>
        <v>-11574329.5459811</v>
      </c>
      <c r="BH45" s="168" t="n">
        <f aca="false">BG45+BH42</f>
        <v>-12032431.4455483</v>
      </c>
      <c r="BI45" s="168" t="n">
        <f aca="false">BH45+BI42</f>
        <v>-12489986.5781619</v>
      </c>
      <c r="BJ45" s="154" t="n">
        <f aca="false">BI45</f>
        <v>-12489986.5781619</v>
      </c>
    </row>
    <row r="46" customFormat="false" ht="15.75" hidden="false" customHeight="true" outlineLevel="0" collapsed="false">
      <c r="A46" s="49" t="s">
        <v>763</v>
      </c>
      <c r="B46" s="201" t="n">
        <f aca="false">IF(B40&gt;0,1,0)</f>
        <v>0</v>
      </c>
      <c r="C46" s="201" t="n">
        <f aca="false">IF(B46=1,1,IF(C40&gt;0,1,0))</f>
        <v>0</v>
      </c>
      <c r="D46" s="201" t="n">
        <f aca="false">IF(C46=1,1,IF(D40&gt;0,1,0))</f>
        <v>0</v>
      </c>
      <c r="E46" s="201" t="n">
        <f aca="false">IF(D46=1,1,IF(E40&gt;0,1,0))</f>
        <v>0</v>
      </c>
      <c r="F46" s="201" t="n">
        <f aca="false">IF(E46=1,1,IF(F40&gt;0,1,0))</f>
        <v>0</v>
      </c>
      <c r="G46" s="201" t="n">
        <f aca="false">IF(F46=1,1,IF(G40&gt;0,1,0))</f>
        <v>0</v>
      </c>
      <c r="H46" s="201" t="n">
        <f aca="false">IF(G46=1,1,IF(H40&gt;0,1,0))</f>
        <v>0</v>
      </c>
      <c r="I46" s="201" t="n">
        <f aca="false">IF(H46=1,1,IF(I40&gt;0,1,0))</f>
        <v>0</v>
      </c>
      <c r="J46" s="201" t="n">
        <f aca="false">IF(I46=1,1,IF(J40&gt;0,1,0))</f>
        <v>0</v>
      </c>
      <c r="K46" s="201" t="n">
        <f aca="false">IF(J46=1,1,IF(K40&gt;0,1,0))</f>
        <v>0</v>
      </c>
      <c r="L46" s="201" t="n">
        <f aca="false">IF(K46=1,1,IF(L40&gt;0,1,0))</f>
        <v>0</v>
      </c>
      <c r="M46" s="201" t="n">
        <f aca="false">IF(L46=1,1,IF(M40&gt;0,1,0))</f>
        <v>0</v>
      </c>
      <c r="N46" s="201" t="n">
        <f aca="false">IF(M46=1,1,IF(N40&gt;0,1,0))</f>
        <v>0</v>
      </c>
      <c r="O46" s="201" t="n">
        <f aca="false">IF(N46=1,1,IF(O40&gt;0,1,0))</f>
        <v>0</v>
      </c>
      <c r="P46" s="201" t="n">
        <f aca="false">IF(O46=1,1,IF(P40&gt;0,1,0))</f>
        <v>0</v>
      </c>
      <c r="Q46" s="201" t="n">
        <f aca="false">IF(P46=1,1,IF(Q40&gt;0,1,0))</f>
        <v>0</v>
      </c>
      <c r="R46" s="201" t="n">
        <f aca="false">IF(Q46=1,1,IF(R40&gt;0,1,0))</f>
        <v>0</v>
      </c>
      <c r="S46" s="201" t="n">
        <f aca="false">IF(R46=1,1,IF(S40&gt;0,1,0))</f>
        <v>0</v>
      </c>
      <c r="T46" s="201" t="n">
        <f aca="false">IF(S46=1,1,IF(T40&gt;0,1,0))</f>
        <v>0</v>
      </c>
      <c r="U46" s="201" t="n">
        <f aca="false">IF(T46=1,1,IF(U40&gt;0,1,0))</f>
        <v>0</v>
      </c>
      <c r="V46" s="201" t="n">
        <f aca="false">IF(U46=1,1,IF(V40&gt;0,1,0))</f>
        <v>0</v>
      </c>
      <c r="W46" s="201" t="n">
        <f aca="false">IF(V46=1,1,IF(W40&gt;0,1,0))</f>
        <v>0</v>
      </c>
      <c r="X46" s="201" t="n">
        <f aca="false">IF(W46=1,1,IF(X40&gt;0,1,0))</f>
        <v>0</v>
      </c>
      <c r="Y46" s="201" t="n">
        <f aca="false">IF(X46=1,1,IF(Y40&gt;0,1,0))</f>
        <v>0</v>
      </c>
      <c r="Z46" s="201" t="n">
        <f aca="false">IF(Y46=1,1,IF(Z40&gt;0,1,0))</f>
        <v>0</v>
      </c>
      <c r="AA46" s="201" t="n">
        <f aca="false">IF(Z46=1,1,IF(AA40&gt;0,1,0))</f>
        <v>0</v>
      </c>
      <c r="AB46" s="201" t="n">
        <f aca="false">IF(AA46=1,1,IF(AB40&gt;0,1,0))</f>
        <v>0</v>
      </c>
      <c r="AC46" s="201" t="n">
        <f aca="false">IF(AB46=1,1,IF(AC40&gt;0,1,0))</f>
        <v>0</v>
      </c>
      <c r="AD46" s="201" t="n">
        <f aca="false">IF(AC46=1,1,IF(AD40&gt;0,1,0))</f>
        <v>0</v>
      </c>
      <c r="AE46" s="201" t="n">
        <f aca="false">IF(AD46=1,1,IF(AE40&gt;0,1,0))</f>
        <v>0</v>
      </c>
      <c r="AF46" s="201" t="n">
        <f aca="false">IF(AE46=1,1,IF(AF40&gt;0,1,0))</f>
        <v>0</v>
      </c>
      <c r="AG46" s="201" t="n">
        <f aca="false">IF(AF46=1,1,IF(AG40&gt;0,1,0))</f>
        <v>0</v>
      </c>
      <c r="AH46" s="201" t="n">
        <f aca="false">IF(AG46=1,1,IF(AH40&gt;0,1,0))</f>
        <v>0</v>
      </c>
      <c r="AI46" s="201" t="n">
        <f aca="false">IF(AH46=1,1,IF(AI40&gt;0,1,0))</f>
        <v>0</v>
      </c>
      <c r="AJ46" s="201" t="n">
        <f aca="false">IF(AI46=1,1,IF(AJ40&gt;0,1,0))</f>
        <v>0</v>
      </c>
      <c r="AK46" s="201" t="n">
        <f aca="false">IF(AJ46=1,1,IF(AK40&gt;0,1,0))</f>
        <v>0</v>
      </c>
      <c r="AL46" s="201" t="n">
        <f aca="false">IF(AK46=1,1,IF(AL40&gt;0,1,0))</f>
        <v>0</v>
      </c>
      <c r="AM46" s="201" t="n">
        <f aca="false">IF(AL46=1,1,IF(AM40&gt;0,1,0))</f>
        <v>0</v>
      </c>
      <c r="AN46" s="201" t="n">
        <f aca="false">IF(AM46=1,1,IF(AN40&gt;0,1,0))</f>
        <v>0</v>
      </c>
      <c r="AO46" s="201" t="n">
        <f aca="false">IF(AN46=1,1,IF(AO40&gt;0,1,0))</f>
        <v>0</v>
      </c>
      <c r="AP46" s="201" t="n">
        <f aca="false">IF(AO46=1,1,IF(AP40&gt;0,1,0))</f>
        <v>0</v>
      </c>
      <c r="AQ46" s="201" t="n">
        <f aca="false">IF(AP46=1,1,IF(AQ40&gt;0,1,0))</f>
        <v>0</v>
      </c>
      <c r="AR46" s="201" t="n">
        <f aca="false">IF(AQ46=1,1,IF(AR40&gt;0,1,0))</f>
        <v>0</v>
      </c>
      <c r="AS46" s="201" t="n">
        <f aca="false">IF(AR46=1,1,IF(AS40&gt;0,1,0))</f>
        <v>0</v>
      </c>
      <c r="AT46" s="201" t="n">
        <f aca="false">IF(AS46=1,1,IF(AT40&gt;0,1,0))</f>
        <v>0</v>
      </c>
      <c r="AU46" s="201" t="n">
        <f aca="false">IF(AT46=1,1,IF(AU40&gt;0,1,0))</f>
        <v>0</v>
      </c>
      <c r="AV46" s="201" t="n">
        <f aca="false">IF(AU46=1,1,IF(AV40&gt;0,1,0))</f>
        <v>0</v>
      </c>
      <c r="AW46" s="201" t="n">
        <f aca="false">IF(AV46=1,1,IF(AW40&gt;0,1,0))</f>
        <v>0</v>
      </c>
      <c r="AX46" s="201" t="n">
        <f aca="false">IF(AW46=1,1,IF(AX40&gt;0,1,0))</f>
        <v>0</v>
      </c>
      <c r="AY46" s="201" t="n">
        <f aca="false">IF(AX46=1,1,IF(AY40&gt;0,1,0))</f>
        <v>0</v>
      </c>
      <c r="AZ46" s="201" t="n">
        <f aca="false">IF(AY46=1,1,IF(AZ40&gt;0,1,0))</f>
        <v>0</v>
      </c>
      <c r="BA46" s="201" t="n">
        <f aca="false">IF(AZ46=1,1,IF(BA40&gt;0,1,0))</f>
        <v>0</v>
      </c>
      <c r="BB46" s="201" t="n">
        <f aca="false">IF(BA46=1,1,IF(BB40&gt;0,1,0))</f>
        <v>0</v>
      </c>
      <c r="BC46" s="201" t="n">
        <f aca="false">IF(BB46=1,1,IF(BC40&gt;0,1,0))</f>
        <v>0</v>
      </c>
      <c r="BD46" s="201" t="n">
        <f aca="false">IF(BC46=1,1,IF(BD40&gt;0,1,0))</f>
        <v>0</v>
      </c>
      <c r="BE46" s="201" t="n">
        <f aca="false">IF(BD46=1,1,IF(BE40&gt;0,1,0))</f>
        <v>0</v>
      </c>
      <c r="BF46" s="201" t="n">
        <f aca="false">IF(BE46=1,1,IF(BF40&gt;0,1,0))</f>
        <v>0</v>
      </c>
      <c r="BG46" s="201" t="n">
        <f aca="false">IF(BF46=1,1,IF(BG40&gt;0,1,0))</f>
        <v>0</v>
      </c>
      <c r="BH46" s="201" t="n">
        <f aca="false">IF(BG46=1,1,IF(BH40&gt;0,1,0))</f>
        <v>0</v>
      </c>
      <c r="BI46" s="201" t="n">
        <f aca="false">IF(BH46=1,1,IF(BI40&gt;0,1,0))</f>
        <v>0</v>
      </c>
      <c r="BJ46" s="202" t="n">
        <f aca="false">BI46</f>
        <v>0</v>
      </c>
      <c r="BK46" s="51" t="s">
        <v>748</v>
      </c>
    </row>
    <row r="47" customFormat="false" ht="15.75" hidden="false" customHeight="true" outlineLevel="0" collapsed="false">
      <c r="A47" s="49" t="s">
        <v>469</v>
      </c>
      <c r="B47" s="168" t="n">
        <f aca="false">Aportes!B96</f>
        <v>0</v>
      </c>
      <c r="C47" s="168" t="n">
        <f aca="false">Aportes!C96</f>
        <v>0</v>
      </c>
      <c r="D47" s="168" t="n">
        <f aca="false">Aportes!D96</f>
        <v>0</v>
      </c>
      <c r="E47" s="168" t="n">
        <f aca="false">Aportes!E96</f>
        <v>10000</v>
      </c>
      <c r="F47" s="168" t="n">
        <f aca="false">Aportes!F96</f>
        <v>0</v>
      </c>
      <c r="G47" s="168" t="n">
        <f aca="false">Aportes!G96</f>
        <v>0</v>
      </c>
      <c r="H47" s="168" t="n">
        <f aca="false">Aportes!H96</f>
        <v>5000</v>
      </c>
      <c r="I47" s="168" t="n">
        <f aca="false">Aportes!I96</f>
        <v>18000</v>
      </c>
      <c r="J47" s="168" t="n">
        <f aca="false">Aportes!J96</f>
        <v>4000</v>
      </c>
      <c r="K47" s="168" t="n">
        <f aca="false">Aportes!K96</f>
        <v>80000</v>
      </c>
      <c r="L47" s="168" t="n">
        <f aca="false">Aportes!L96</f>
        <v>0</v>
      </c>
      <c r="M47" s="168" t="n">
        <f aca="false">Aportes!M96</f>
        <v>0</v>
      </c>
      <c r="N47" s="168" t="n">
        <f aca="false">Aportes!N96</f>
        <v>0</v>
      </c>
      <c r="O47" s="168" t="n">
        <f aca="false">Aportes!O96</f>
        <v>200000</v>
      </c>
      <c r="P47" s="168" t="n">
        <f aca="false">Aportes!P96</f>
        <v>0</v>
      </c>
      <c r="Q47" s="168" t="n">
        <f aca="false">Aportes!Q96</f>
        <v>0</v>
      </c>
      <c r="R47" s="168" t="n">
        <f aca="false">Aportes!R96</f>
        <v>0</v>
      </c>
      <c r="S47" s="168" t="n">
        <f aca="false">Aportes!S96</f>
        <v>0</v>
      </c>
      <c r="T47" s="168" t="n">
        <f aca="false">Aportes!T96</f>
        <v>0</v>
      </c>
      <c r="U47" s="168" t="n">
        <f aca="false">Aportes!U96</f>
        <v>0</v>
      </c>
      <c r="V47" s="168" t="n">
        <f aca="false">Aportes!V96</f>
        <v>0</v>
      </c>
      <c r="W47" s="168" t="n">
        <f aca="false">Aportes!W96</f>
        <v>0</v>
      </c>
      <c r="X47" s="168" t="n">
        <f aca="false">Aportes!X96</f>
        <v>0</v>
      </c>
      <c r="Y47" s="168" t="n">
        <f aca="false">Aportes!Y96</f>
        <v>0</v>
      </c>
      <c r="Z47" s="168" t="n">
        <f aca="false">Aportes!Z96</f>
        <v>0</v>
      </c>
      <c r="AA47" s="168" t="n">
        <f aca="false">Aportes!AA96</f>
        <v>0</v>
      </c>
      <c r="AB47" s="168" t="n">
        <f aca="false">Aportes!AB96</f>
        <v>0</v>
      </c>
      <c r="AC47" s="168" t="n">
        <f aca="false">Aportes!AC96</f>
        <v>0</v>
      </c>
      <c r="AD47" s="168" t="n">
        <f aca="false">Aportes!AD96</f>
        <v>0</v>
      </c>
      <c r="AE47" s="168" t="n">
        <f aca="false">Aportes!AE96</f>
        <v>0</v>
      </c>
      <c r="AF47" s="168" t="n">
        <f aca="false">Aportes!AF96</f>
        <v>0</v>
      </c>
      <c r="AG47" s="168" t="n">
        <f aca="false">Aportes!AG96</f>
        <v>0</v>
      </c>
      <c r="AH47" s="168" t="n">
        <f aca="false">Aportes!AH96</f>
        <v>0</v>
      </c>
      <c r="AI47" s="168" t="n">
        <f aca="false">Aportes!AI96</f>
        <v>0</v>
      </c>
      <c r="AJ47" s="168" t="n">
        <f aca="false">Aportes!AJ96</f>
        <v>0</v>
      </c>
      <c r="AK47" s="168" t="n">
        <f aca="false">Aportes!AK96</f>
        <v>0</v>
      </c>
      <c r="AL47" s="168" t="n">
        <f aca="false">Aportes!AL96</f>
        <v>0</v>
      </c>
      <c r="AM47" s="168" t="n">
        <f aca="false">Aportes!AM96</f>
        <v>0</v>
      </c>
      <c r="AN47" s="168" t="n">
        <f aca="false">Aportes!AN96</f>
        <v>0</v>
      </c>
      <c r="AO47" s="168" t="n">
        <f aca="false">Aportes!AO96</f>
        <v>0</v>
      </c>
      <c r="AP47" s="168" t="n">
        <f aca="false">Aportes!AP96</f>
        <v>0</v>
      </c>
      <c r="AQ47" s="168" t="n">
        <f aca="false">Aportes!AQ96</f>
        <v>0</v>
      </c>
      <c r="AR47" s="168" t="n">
        <f aca="false">Aportes!AR96</f>
        <v>0</v>
      </c>
      <c r="AS47" s="168" t="n">
        <f aca="false">Aportes!AS96</f>
        <v>0</v>
      </c>
      <c r="AT47" s="168" t="n">
        <f aca="false">Aportes!AT96</f>
        <v>0</v>
      </c>
      <c r="AU47" s="168" t="n">
        <f aca="false">Aportes!AU96</f>
        <v>0</v>
      </c>
      <c r="AV47" s="168" t="n">
        <f aca="false">Aportes!AV96</f>
        <v>0</v>
      </c>
      <c r="AW47" s="168" t="n">
        <f aca="false">Aportes!AW96</f>
        <v>0</v>
      </c>
      <c r="AX47" s="168" t="n">
        <f aca="false">Aportes!AX96</f>
        <v>0</v>
      </c>
      <c r="AY47" s="168" t="n">
        <f aca="false">Aportes!AY96</f>
        <v>0</v>
      </c>
      <c r="AZ47" s="168" t="n">
        <f aca="false">Aportes!AZ96</f>
        <v>0</v>
      </c>
      <c r="BA47" s="168" t="n">
        <f aca="false">Aportes!BA96</f>
        <v>0</v>
      </c>
      <c r="BB47" s="168" t="n">
        <f aca="false">Aportes!BB96</f>
        <v>0</v>
      </c>
      <c r="BC47" s="168" t="n">
        <f aca="false">Aportes!BC96</f>
        <v>0</v>
      </c>
      <c r="BD47" s="168" t="n">
        <f aca="false">Aportes!BD96</f>
        <v>0</v>
      </c>
      <c r="BE47" s="168" t="n">
        <f aca="false">Aportes!BE96</f>
        <v>0</v>
      </c>
      <c r="BF47" s="168" t="n">
        <f aca="false">Aportes!BF96</f>
        <v>0</v>
      </c>
      <c r="BG47" s="168" t="n">
        <f aca="false">Aportes!BG96</f>
        <v>0</v>
      </c>
      <c r="BH47" s="168" t="n">
        <f aca="false">Aportes!BH96</f>
        <v>0</v>
      </c>
      <c r="BI47" s="168" t="n">
        <f aca="false">Aportes!BI96</f>
        <v>0</v>
      </c>
      <c r="BJ47" s="154" t="n">
        <f aca="false">SUM(B47:BI47)</f>
        <v>317000</v>
      </c>
      <c r="BK47" s="51" t="s">
        <v>764</v>
      </c>
    </row>
    <row r="48" customFormat="false" ht="15.75" hidden="false" customHeight="true" outlineLevel="0" collapsed="false">
      <c r="A48" s="49" t="s">
        <v>765</v>
      </c>
      <c r="B48" s="168" t="n">
        <f aca="false">B42+B47</f>
        <v>0</v>
      </c>
      <c r="C48" s="168" t="n">
        <f aca="false">C42+C47</f>
        <v>0</v>
      </c>
      <c r="D48" s="168" t="n">
        <f aca="false">D42+D47</f>
        <v>0</v>
      </c>
      <c r="E48" s="168" t="n">
        <f aca="false">E42+E47</f>
        <v>10000</v>
      </c>
      <c r="F48" s="168" t="n">
        <f aca="false">F42+F47</f>
        <v>-6600</v>
      </c>
      <c r="G48" s="168" t="n">
        <f aca="false">G42+G47</f>
        <v>-600</v>
      </c>
      <c r="H48" s="168" t="n">
        <f aca="false">H42+H47</f>
        <v>4400</v>
      </c>
      <c r="I48" s="168" t="n">
        <f aca="false">I42+I47</f>
        <v>8272.18</v>
      </c>
      <c r="J48" s="168" t="n">
        <f aca="false">J42+J47</f>
        <v>-7100</v>
      </c>
      <c r="K48" s="168" t="n">
        <f aca="false">K42+K47</f>
        <v>68900</v>
      </c>
      <c r="L48" s="168" t="n">
        <f aca="false">L42+L47</f>
        <v>-2100</v>
      </c>
      <c r="M48" s="168" t="n">
        <f aca="false">M42+M47</f>
        <v>-31284.93935</v>
      </c>
      <c r="N48" s="168" t="n">
        <f aca="false">N42+N47</f>
        <v>-96316.7677866667</v>
      </c>
      <c r="O48" s="168" t="n">
        <f aca="false">O42+O47</f>
        <v>106637.563732053</v>
      </c>
      <c r="P48" s="168" t="n">
        <f aca="false">P42+P47</f>
        <v>-97335.8984502238</v>
      </c>
      <c r="Q48" s="168" t="n">
        <f aca="false">Q42+Q47</f>
        <v>-80834.4291142023</v>
      </c>
      <c r="R48" s="168" t="n">
        <f aca="false">R42+R47</f>
        <v>-75730.5954200389</v>
      </c>
      <c r="S48" s="168" t="n">
        <f aca="false">S42+S47</f>
        <v>-79394.3601861151</v>
      </c>
      <c r="T48" s="168" t="n">
        <f aca="false">T42+T47</f>
        <v>-71776.990826552</v>
      </c>
      <c r="U48" s="168" t="n">
        <f aca="false">U42+U47</f>
        <v>-70289.8681398742</v>
      </c>
      <c r="V48" s="168" t="n">
        <f aca="false">V42+V47</f>
        <v>-69032.7250928715</v>
      </c>
      <c r="W48" s="168" t="n">
        <f aca="false">W42+W47</f>
        <v>-68438.4287834979</v>
      </c>
      <c r="X48" s="168" t="n">
        <f aca="false">X42+X47</f>
        <v>-67723.551666443</v>
      </c>
      <c r="Y48" s="168" t="n">
        <f aca="false">Y42+Y47</f>
        <v>-67042.8868335517</v>
      </c>
      <c r="Z48" s="168" t="n">
        <f aca="false">Z42+Z47</f>
        <v>-168536.247426211</v>
      </c>
      <c r="AA48" s="168" t="n">
        <f aca="false">AA42+AA47</f>
        <v>-166325.436790704</v>
      </c>
      <c r="AB48" s="168" t="n">
        <f aca="false">AB42+AB47</f>
        <v>-164266.216712777</v>
      </c>
      <c r="AC48" s="168" t="n">
        <f aca="false">AC42+AC47</f>
        <v>-162374.657142249</v>
      </c>
      <c r="AD48" s="168" t="n">
        <f aca="false">AD42+AD47</f>
        <v>-160683.722168979</v>
      </c>
      <c r="AE48" s="168" t="n">
        <f aca="false">AE42+AE47</f>
        <v>-174091.213524138</v>
      </c>
      <c r="AF48" s="168" t="n">
        <f aca="false">AF42+AF47</f>
        <v>-157656.882946184</v>
      </c>
      <c r="AG48" s="168" t="n">
        <f aca="false">AG42+AG47</f>
        <v>-156363.078784009</v>
      </c>
      <c r="AH48" s="168" t="n">
        <f aca="false">AH42+AH47</f>
        <v>-155207.293558401</v>
      </c>
      <c r="AI48" s="168" t="n">
        <f aca="false">AI42+AI47</f>
        <v>-154158.651629227</v>
      </c>
      <c r="AJ48" s="168" t="n">
        <f aca="false">AJ42+AJ47</f>
        <v>-153281.033660854</v>
      </c>
      <c r="AK48" s="168" t="n">
        <f aca="false">AK42+AK47</f>
        <v>-152622.588689571</v>
      </c>
      <c r="AL48" s="168" t="n">
        <f aca="false">AL42+AL47</f>
        <v>-333189.437570245</v>
      </c>
      <c r="AM48" s="168" t="n">
        <f aca="false">AM42+AM47</f>
        <v>-329976.182314539</v>
      </c>
      <c r="AN48" s="168" t="n">
        <f aca="false">AN42+AN47</f>
        <v>-327068.586542004</v>
      </c>
      <c r="AO48" s="168" t="n">
        <f aca="false">AO42+AO47</f>
        <v>-324435.640382915</v>
      </c>
      <c r="AP48" s="168" t="n">
        <f aca="false">AP42+AP47</f>
        <v>-322098.379322586</v>
      </c>
      <c r="AQ48" s="168" t="n">
        <f aca="false">AQ42+AQ47</f>
        <v>-344990.747865813</v>
      </c>
      <c r="AR48" s="168" t="n">
        <f aca="false">AR42+AR47</f>
        <v>-318083.373674161</v>
      </c>
      <c r="AS48" s="168" t="n">
        <f aca="false">AS42+AS47</f>
        <v>-316341.331554108</v>
      </c>
      <c r="AT48" s="168" t="n">
        <f aca="false">AT42+AT47</f>
        <v>-314805.899152708</v>
      </c>
      <c r="AU48" s="168" t="n">
        <f aca="false">AU42+AU47</f>
        <v>-313415.683417504</v>
      </c>
      <c r="AV48" s="168" t="n">
        <f aca="false">AV42+AV47</f>
        <v>-312143.686534762</v>
      </c>
      <c r="AW48" s="168" t="n">
        <f aca="false">AW42+AW47</f>
        <v>-311002.904224802</v>
      </c>
      <c r="AX48" s="168" t="n">
        <f aca="false">AX42+AX47</f>
        <v>-504579.653121652</v>
      </c>
      <c r="AY48" s="168" t="n">
        <f aca="false">AY42+AY47</f>
        <v>-499610.590120746</v>
      </c>
      <c r="AZ48" s="168" t="n">
        <f aca="false">AZ42+AZ47</f>
        <v>-495100.997642998</v>
      </c>
      <c r="BA48" s="168" t="n">
        <f aca="false">BA42+BA47</f>
        <v>-468964.034955922</v>
      </c>
      <c r="BB48" s="168" t="n">
        <f aca="false">BB42+BB47</f>
        <v>-466359.919765329</v>
      </c>
      <c r="BC48" s="168" t="n">
        <f aca="false">BC42+BC47</f>
        <v>-494195.743163002</v>
      </c>
      <c r="BD48" s="168" t="n">
        <f aca="false">BD42+BD47</f>
        <v>-462434.24605547</v>
      </c>
      <c r="BE48" s="168" t="n">
        <f aca="false">BE42+BE47</f>
        <v>-460950.632385535</v>
      </c>
      <c r="BF48" s="168" t="n">
        <f aca="false">BF42+BF47</f>
        <v>-459775.517561976</v>
      </c>
      <c r="BG48" s="168" t="n">
        <f aca="false">BG42+BG47</f>
        <v>-458847.637701009</v>
      </c>
      <c r="BH48" s="168" t="n">
        <f aca="false">BH42+BH47</f>
        <v>-458101.899567196</v>
      </c>
      <c r="BI48" s="168" t="n">
        <f aca="false">BI42+BI47</f>
        <v>-457555.13261365</v>
      </c>
      <c r="BJ48" s="154" t="n">
        <f aca="false">SUM(B48:BI48)</f>
        <v>-12172986.5781619</v>
      </c>
      <c r="BK48" s="51" t="s">
        <v>764</v>
      </c>
    </row>
    <row r="49" customFormat="false" ht="15.75" hidden="false" customHeight="true" outlineLevel="0" collapsed="false">
      <c r="A49" s="53" t="s">
        <v>471</v>
      </c>
      <c r="B49" s="154" t="n">
        <f aca="false">B48</f>
        <v>0</v>
      </c>
      <c r="C49" s="154" t="n">
        <f aca="false">B49+C48</f>
        <v>0</v>
      </c>
      <c r="D49" s="154" t="n">
        <f aca="false">C49+D48</f>
        <v>0</v>
      </c>
      <c r="E49" s="154" t="n">
        <f aca="false">D49+E48</f>
        <v>10000</v>
      </c>
      <c r="F49" s="154" t="n">
        <f aca="false">E49+F48</f>
        <v>3400</v>
      </c>
      <c r="G49" s="154" t="n">
        <f aca="false">F49+G48</f>
        <v>2800</v>
      </c>
      <c r="H49" s="154" t="n">
        <f aca="false">G49+H48</f>
        <v>7200</v>
      </c>
      <c r="I49" s="154" t="n">
        <f aca="false">H49+I48</f>
        <v>15472.18</v>
      </c>
      <c r="J49" s="154" t="n">
        <f aca="false">I49+J48</f>
        <v>8372.18</v>
      </c>
      <c r="K49" s="154" t="n">
        <f aca="false">J49+K48</f>
        <v>77272.18</v>
      </c>
      <c r="L49" s="154" t="n">
        <f aca="false">K49+L48</f>
        <v>75172.18</v>
      </c>
      <c r="M49" s="154" t="n">
        <f aca="false">L49+M48</f>
        <v>43887.24065</v>
      </c>
      <c r="N49" s="154" t="n">
        <f aca="false">M49+N48</f>
        <v>-52429.5271366667</v>
      </c>
      <c r="O49" s="154" t="n">
        <f aca="false">N49+O48</f>
        <v>54208.0365953867</v>
      </c>
      <c r="P49" s="154" t="n">
        <f aca="false">O49+P48</f>
        <v>-43127.8618548371</v>
      </c>
      <c r="Q49" s="154" t="n">
        <f aca="false">P49+Q48</f>
        <v>-123962.290969039</v>
      </c>
      <c r="R49" s="154" t="n">
        <f aca="false">Q49+R48</f>
        <v>-199692.886389078</v>
      </c>
      <c r="S49" s="154" t="n">
        <f aca="false">R49+S48</f>
        <v>-279087.246575193</v>
      </c>
      <c r="T49" s="154" t="n">
        <f aca="false">S49+T48</f>
        <v>-350864.237401745</v>
      </c>
      <c r="U49" s="154" t="n">
        <f aca="false">T49+U48</f>
        <v>-421154.10554162</v>
      </c>
      <c r="V49" s="154" t="n">
        <f aca="false">U49+V48</f>
        <v>-490186.830634491</v>
      </c>
      <c r="W49" s="154" t="n">
        <f aca="false">V49+W48</f>
        <v>-558625.259417989</v>
      </c>
      <c r="X49" s="154" t="n">
        <f aca="false">W49+X48</f>
        <v>-626348.811084432</v>
      </c>
      <c r="Y49" s="154" t="n">
        <f aca="false">X49+Y48</f>
        <v>-693391.697917984</v>
      </c>
      <c r="Z49" s="154" t="n">
        <f aca="false">Y49+Z48</f>
        <v>-861927.945344194</v>
      </c>
      <c r="AA49" s="154" t="n">
        <f aca="false">Z49+AA48</f>
        <v>-1028253.3821349</v>
      </c>
      <c r="AB49" s="154" t="n">
        <f aca="false">AA49+AB48</f>
        <v>-1192519.59884768</v>
      </c>
      <c r="AC49" s="154" t="n">
        <f aca="false">AB49+AC48</f>
        <v>-1354894.25598992</v>
      </c>
      <c r="AD49" s="154" t="n">
        <f aca="false">AC49+AD48</f>
        <v>-1515577.9781589</v>
      </c>
      <c r="AE49" s="154" t="n">
        <f aca="false">AD49+AE48</f>
        <v>-1689669.19168304</v>
      </c>
      <c r="AF49" s="154" t="n">
        <f aca="false">AE49+AF48</f>
        <v>-1847326.07462922</v>
      </c>
      <c r="AG49" s="154" t="n">
        <f aca="false">AF49+AG48</f>
        <v>-2003689.15341323</v>
      </c>
      <c r="AH49" s="154" t="n">
        <f aca="false">AG49+AH48</f>
        <v>-2158896.44697164</v>
      </c>
      <c r="AI49" s="154" t="n">
        <f aca="false">AH49+AI48</f>
        <v>-2313055.09860086</v>
      </c>
      <c r="AJ49" s="154" t="n">
        <f aca="false">AI49+AJ48</f>
        <v>-2466336.13226172</v>
      </c>
      <c r="AK49" s="154" t="n">
        <f aca="false">AJ49+AK48</f>
        <v>-2618958.72095129</v>
      </c>
      <c r="AL49" s="154" t="n">
        <f aca="false">AK49+AL48</f>
        <v>-2952148.15852153</v>
      </c>
      <c r="AM49" s="154" t="n">
        <f aca="false">AL49+AM48</f>
        <v>-3282124.34083607</v>
      </c>
      <c r="AN49" s="154" t="n">
        <f aca="false">AM49+AN48</f>
        <v>-3609192.92737808</v>
      </c>
      <c r="AO49" s="154" t="n">
        <f aca="false">AN49+AO48</f>
        <v>-3933628.56776099</v>
      </c>
      <c r="AP49" s="154" t="n">
        <f aca="false">AO49+AP48</f>
        <v>-4255726.94708358</v>
      </c>
      <c r="AQ49" s="154" t="n">
        <f aca="false">AP49+AQ48</f>
        <v>-4600717.69494939</v>
      </c>
      <c r="AR49" s="154" t="n">
        <f aca="false">AQ49+AR48</f>
        <v>-4918801.06862355</v>
      </c>
      <c r="AS49" s="154" t="n">
        <f aca="false">AR49+AS48</f>
        <v>-5235142.40017766</v>
      </c>
      <c r="AT49" s="154" t="n">
        <f aca="false">AS49+AT48</f>
        <v>-5549948.29933037</v>
      </c>
      <c r="AU49" s="154" t="n">
        <f aca="false">AT49+AU48</f>
        <v>-5863363.98274787</v>
      </c>
      <c r="AV49" s="154" t="n">
        <f aca="false">AU49+AV48</f>
        <v>-6175507.66928263</v>
      </c>
      <c r="AW49" s="154" t="n">
        <f aca="false">AV49+AW48</f>
        <v>-6486510.57350744</v>
      </c>
      <c r="AX49" s="154" t="n">
        <f aca="false">AW49+AX48</f>
        <v>-6991090.22662909</v>
      </c>
      <c r="AY49" s="154" t="n">
        <f aca="false">AX49+AY48</f>
        <v>-7490700.81674983</v>
      </c>
      <c r="AZ49" s="154" t="n">
        <f aca="false">AY49+AZ48</f>
        <v>-7985801.81439283</v>
      </c>
      <c r="BA49" s="154" t="n">
        <f aca="false">AZ49+BA48</f>
        <v>-8454765.84934875</v>
      </c>
      <c r="BB49" s="154" t="n">
        <f aca="false">BA49+BB48</f>
        <v>-8921125.76911408</v>
      </c>
      <c r="BC49" s="154" t="n">
        <f aca="false">BB49+BC48</f>
        <v>-9415321.51227709</v>
      </c>
      <c r="BD49" s="154" t="n">
        <f aca="false">BC49+BD48</f>
        <v>-9877755.75833256</v>
      </c>
      <c r="BE49" s="154" t="n">
        <f aca="false">BD49+BE48</f>
        <v>-10338706.3907181</v>
      </c>
      <c r="BF49" s="154" t="n">
        <f aca="false">BE49+BF48</f>
        <v>-10798481.9082801</v>
      </c>
      <c r="BG49" s="154" t="n">
        <f aca="false">BF49+BG48</f>
        <v>-11257329.5459811</v>
      </c>
      <c r="BH49" s="154" t="n">
        <f aca="false">BG49+BH48</f>
        <v>-11715431.4455483</v>
      </c>
      <c r="BI49" s="154" t="n">
        <f aca="false">BH49+BI48</f>
        <v>-12172986.5781619</v>
      </c>
      <c r="BJ49" s="154" t="n">
        <f aca="false">BI49</f>
        <v>-12172986.5781619</v>
      </c>
    </row>
    <row r="50" customFormat="false" ht="15.75" hidden="false" customHeight="true" outlineLevel="0" collapsed="false">
      <c r="A50" s="49" t="s">
        <v>766</v>
      </c>
      <c r="B50" s="201" t="n">
        <f aca="false">IF(B45&lt;0,B$5,0)</f>
        <v>0</v>
      </c>
      <c r="C50" s="201" t="n">
        <f aca="false">IF(C45&lt;0,C$5,0)</f>
        <v>0</v>
      </c>
      <c r="D50" s="201" t="n">
        <f aca="false">IF(D45&lt;0,D$5,0)</f>
        <v>0</v>
      </c>
      <c r="E50" s="201" t="n">
        <f aca="false">IF(E45&lt;0,E$5,0)</f>
        <v>0</v>
      </c>
      <c r="F50" s="201" t="n">
        <f aca="false">IF(F45&lt;0,F$5,0)</f>
        <v>5</v>
      </c>
      <c r="G50" s="201" t="n">
        <f aca="false">IF(G45&lt;0,G$5,0)</f>
        <v>6</v>
      </c>
      <c r="H50" s="201" t="n">
        <f aca="false">IF(H45&lt;0,H$5,0)</f>
        <v>7</v>
      </c>
      <c r="I50" s="201" t="n">
        <f aca="false">IF(I45&lt;0,I$5,0)</f>
        <v>8</v>
      </c>
      <c r="J50" s="201" t="n">
        <f aca="false">IF(J45&lt;0,J$5,0)</f>
        <v>9</v>
      </c>
      <c r="K50" s="201" t="n">
        <f aca="false">IF(K45&lt;0,K$5,0)</f>
        <v>10</v>
      </c>
      <c r="L50" s="201" t="n">
        <f aca="false">IF(L45&lt;0,L$5,0)</f>
        <v>11</v>
      </c>
      <c r="M50" s="201" t="n">
        <f aca="false">IF(M45&lt;0,M$5,0)</f>
        <v>12</v>
      </c>
      <c r="N50" s="201" t="n">
        <f aca="false">IF(N45&lt;0,N$5,0)</f>
        <v>13</v>
      </c>
      <c r="O50" s="201" t="n">
        <f aca="false">IF(O45&lt;0,O$5,0)</f>
        <v>14</v>
      </c>
      <c r="P50" s="201" t="n">
        <f aca="false">IF(P45&lt;0,P$5,0)</f>
        <v>15</v>
      </c>
      <c r="Q50" s="201" t="n">
        <f aca="false">IF(Q45&lt;0,Q$5,0)</f>
        <v>16</v>
      </c>
      <c r="R50" s="201" t="n">
        <f aca="false">IF(R45&lt;0,R$5,0)</f>
        <v>17</v>
      </c>
      <c r="S50" s="201" t="n">
        <f aca="false">IF(S45&lt;0,S$5,0)</f>
        <v>18</v>
      </c>
      <c r="T50" s="201" t="n">
        <f aca="false">IF(T45&lt;0,T$5,0)</f>
        <v>19</v>
      </c>
      <c r="U50" s="201" t="n">
        <f aca="false">IF(U45&lt;0,U$5,0)</f>
        <v>20</v>
      </c>
      <c r="V50" s="201" t="n">
        <f aca="false">IF(V45&lt;0,V$5,0)</f>
        <v>21</v>
      </c>
      <c r="W50" s="201" t="n">
        <f aca="false">IF(W45&lt;0,W$5,0)</f>
        <v>22</v>
      </c>
      <c r="X50" s="201" t="n">
        <f aca="false">IF(X45&lt;0,X$5,0)</f>
        <v>23</v>
      </c>
      <c r="Y50" s="201" t="n">
        <f aca="false">IF(Y45&lt;0,Y$5,0)</f>
        <v>24</v>
      </c>
      <c r="Z50" s="201" t="n">
        <f aca="false">IF(Z45&lt;0,Z$5,0)</f>
        <v>25</v>
      </c>
      <c r="AA50" s="201" t="n">
        <f aca="false">IF(AA45&lt;0,AA$5,0)</f>
        <v>26</v>
      </c>
      <c r="AB50" s="201" t="n">
        <f aca="false">IF(AB45&lt;0,AB$5,0)</f>
        <v>27</v>
      </c>
      <c r="AC50" s="201" t="n">
        <f aca="false">IF(AC45&lt;0,AC$5,0)</f>
        <v>28</v>
      </c>
      <c r="AD50" s="201" t="n">
        <f aca="false">IF(AD45&lt;0,AD$5,0)</f>
        <v>29</v>
      </c>
      <c r="AE50" s="201" t="n">
        <f aca="false">IF(AE45&lt;0,AE$5,0)</f>
        <v>30</v>
      </c>
      <c r="AF50" s="201" t="n">
        <f aca="false">IF(AF45&lt;0,AF$5,0)</f>
        <v>31</v>
      </c>
      <c r="AG50" s="201" t="n">
        <f aca="false">IF(AG45&lt;0,AG$5,0)</f>
        <v>32</v>
      </c>
      <c r="AH50" s="201" t="n">
        <f aca="false">IF(AH45&lt;0,AH$5,0)</f>
        <v>33</v>
      </c>
      <c r="AI50" s="201" t="n">
        <f aca="false">IF(AI45&lt;0,AI$5,0)</f>
        <v>34</v>
      </c>
      <c r="AJ50" s="201" t="n">
        <f aca="false">IF(AJ45&lt;0,AJ$5,0)</f>
        <v>35</v>
      </c>
      <c r="AK50" s="201" t="n">
        <f aca="false">IF(AK45&lt;0,AK$5,0)</f>
        <v>36</v>
      </c>
      <c r="AL50" s="201" t="n">
        <f aca="false">IF(AL45&lt;0,AL$5,0)</f>
        <v>37</v>
      </c>
      <c r="AM50" s="201" t="n">
        <f aca="false">IF(AM45&lt;0,AM$5,0)</f>
        <v>38</v>
      </c>
      <c r="AN50" s="201" t="n">
        <f aca="false">IF(AN45&lt;0,AN$5,0)</f>
        <v>39</v>
      </c>
      <c r="AO50" s="201" t="n">
        <f aca="false">IF(AO45&lt;0,AO$5,0)</f>
        <v>40</v>
      </c>
      <c r="AP50" s="201" t="n">
        <f aca="false">IF(AP45&lt;0,AP$5,0)</f>
        <v>41</v>
      </c>
      <c r="AQ50" s="201" t="n">
        <f aca="false">IF(AQ45&lt;0,AQ$5,0)</f>
        <v>42</v>
      </c>
      <c r="AR50" s="201" t="n">
        <f aca="false">IF(AR45&lt;0,AR$5,0)</f>
        <v>43</v>
      </c>
      <c r="AS50" s="201" t="n">
        <f aca="false">IF(AS45&lt;0,AS$5,0)</f>
        <v>44</v>
      </c>
      <c r="AT50" s="201" t="n">
        <f aca="false">IF(AT45&lt;0,AT$5,0)</f>
        <v>45</v>
      </c>
      <c r="AU50" s="201" t="n">
        <f aca="false">IF(AU45&lt;0,AU$5,0)</f>
        <v>46</v>
      </c>
      <c r="AV50" s="201" t="n">
        <f aca="false">IF(AV45&lt;0,AV$5,0)</f>
        <v>47</v>
      </c>
      <c r="AW50" s="201" t="n">
        <f aca="false">IF(AW45&lt;0,AW$5,0)</f>
        <v>48</v>
      </c>
      <c r="AX50" s="201" t="n">
        <f aca="false">IF(AX45&lt;0,AX$5,0)</f>
        <v>49</v>
      </c>
      <c r="AY50" s="201" t="n">
        <f aca="false">IF(AY45&lt;0,AY$5,0)</f>
        <v>50</v>
      </c>
      <c r="AZ50" s="201" t="n">
        <f aca="false">IF(AZ45&lt;0,AZ$5,0)</f>
        <v>51</v>
      </c>
      <c r="BA50" s="201" t="n">
        <f aca="false">IF(BA45&lt;0,BA$5,0)</f>
        <v>52</v>
      </c>
      <c r="BB50" s="201" t="n">
        <f aca="false">IF(BB45&lt;0,BB$5,0)</f>
        <v>53</v>
      </c>
      <c r="BC50" s="201" t="n">
        <f aca="false">IF(BC45&lt;0,BC$5,0)</f>
        <v>54</v>
      </c>
      <c r="BD50" s="201" t="n">
        <f aca="false">IF(BD45&lt;0,BD$5,0)</f>
        <v>55</v>
      </c>
      <c r="BE50" s="201" t="n">
        <f aca="false">IF(BE45&lt;0,BE$5,0)</f>
        <v>56</v>
      </c>
      <c r="BF50" s="201" t="n">
        <f aca="false">IF(BF45&lt;0,BF$5,0)</f>
        <v>57</v>
      </c>
      <c r="BG50" s="201" t="n">
        <f aca="false">IF(BG45&lt;0,BG$5,0)</f>
        <v>58</v>
      </c>
      <c r="BH50" s="201" t="n">
        <f aca="false">IF(BH45&lt;0,BH$5,0)</f>
        <v>59</v>
      </c>
      <c r="BI50" s="201" t="n">
        <f aca="false">IF(BI45&lt;0,BI$5,0)</f>
        <v>60</v>
      </c>
      <c r="BJ50" s="202" t="n">
        <f aca="false">BI50</f>
        <v>60</v>
      </c>
    </row>
    <row r="51" customFormat="false" ht="15.75" hidden="false" customHeight="true" outlineLevel="0" collapsed="false">
      <c r="A51" s="49" t="s">
        <v>767</v>
      </c>
      <c r="B51" s="201" t="n">
        <f aca="false">IF(B44&lt;0,B$5,0)</f>
        <v>0</v>
      </c>
      <c r="C51" s="201" t="n">
        <f aca="false">IF(C44&lt;0,C$5,0)</f>
        <v>0</v>
      </c>
      <c r="D51" s="201" t="n">
        <f aca="false">IF(D44&lt;0,D$5,0)</f>
        <v>0</v>
      </c>
      <c r="E51" s="201" t="n">
        <f aca="false">IF(E44&lt;0,E$5,0)</f>
        <v>0</v>
      </c>
      <c r="F51" s="201" t="n">
        <f aca="false">IF(F44&lt;0,F$5,0)</f>
        <v>5</v>
      </c>
      <c r="G51" s="201" t="n">
        <f aca="false">IF(G44&lt;0,G$5,0)</f>
        <v>6</v>
      </c>
      <c r="H51" s="201" t="n">
        <f aca="false">IF(H44&lt;0,H$5,0)</f>
        <v>7</v>
      </c>
      <c r="I51" s="201" t="n">
        <f aca="false">IF(I44&lt;0,I$5,0)</f>
        <v>8</v>
      </c>
      <c r="J51" s="201" t="n">
        <f aca="false">IF(J44&lt;0,J$5,0)</f>
        <v>9</v>
      </c>
      <c r="K51" s="201" t="n">
        <f aca="false">IF(K44&lt;0,K$5,0)</f>
        <v>10</v>
      </c>
      <c r="L51" s="201" t="n">
        <f aca="false">IF(L44&lt;0,L$5,0)</f>
        <v>11</v>
      </c>
      <c r="M51" s="201" t="n">
        <f aca="false">IF(M44&lt;0,M$5,0)</f>
        <v>12</v>
      </c>
      <c r="N51" s="201" t="n">
        <f aca="false">IF(N44&lt;0,N$5,0)</f>
        <v>13</v>
      </c>
      <c r="O51" s="201" t="n">
        <f aca="false">IF(O44&lt;0,O$5,0)</f>
        <v>14</v>
      </c>
      <c r="P51" s="201" t="n">
        <f aca="false">IF(P44&lt;0,P$5,0)</f>
        <v>15</v>
      </c>
      <c r="Q51" s="201" t="n">
        <f aca="false">IF(Q44&lt;0,Q$5,0)</f>
        <v>16</v>
      </c>
      <c r="R51" s="201" t="n">
        <f aca="false">IF(R44&lt;0,R$5,0)</f>
        <v>17</v>
      </c>
      <c r="S51" s="201" t="n">
        <f aca="false">IF(S44&lt;0,S$5,0)</f>
        <v>18</v>
      </c>
      <c r="T51" s="201" t="n">
        <f aca="false">IF(T44&lt;0,T$5,0)</f>
        <v>19</v>
      </c>
      <c r="U51" s="201" t="n">
        <f aca="false">IF(U44&lt;0,U$5,0)</f>
        <v>20</v>
      </c>
      <c r="V51" s="201" t="n">
        <f aca="false">IF(V44&lt;0,V$5,0)</f>
        <v>21</v>
      </c>
      <c r="W51" s="201" t="n">
        <f aca="false">IF(W44&lt;0,W$5,0)</f>
        <v>22</v>
      </c>
      <c r="X51" s="201" t="n">
        <f aca="false">IF(X44&lt;0,X$5,0)</f>
        <v>23</v>
      </c>
      <c r="Y51" s="201" t="n">
        <f aca="false">IF(Y44&lt;0,Y$5,0)</f>
        <v>24</v>
      </c>
      <c r="Z51" s="201" t="n">
        <f aca="false">IF(Z44&lt;0,Z$5,0)</f>
        <v>25</v>
      </c>
      <c r="AA51" s="201" t="n">
        <f aca="false">IF(AA44&lt;0,AA$5,0)</f>
        <v>26</v>
      </c>
      <c r="AB51" s="201" t="n">
        <f aca="false">IF(AB44&lt;0,AB$5,0)</f>
        <v>27</v>
      </c>
      <c r="AC51" s="201" t="n">
        <f aca="false">IF(AC44&lt;0,AC$5,0)</f>
        <v>28</v>
      </c>
      <c r="AD51" s="201" t="n">
        <f aca="false">IF(AD44&lt;0,AD$5,0)</f>
        <v>29</v>
      </c>
      <c r="AE51" s="201" t="n">
        <f aca="false">IF(AE44&lt;0,AE$5,0)</f>
        <v>30</v>
      </c>
      <c r="AF51" s="201" t="n">
        <f aca="false">IF(AF44&lt;0,AF$5,0)</f>
        <v>31</v>
      </c>
      <c r="AG51" s="201" t="n">
        <f aca="false">IF(AG44&lt;0,AG$5,0)</f>
        <v>32</v>
      </c>
      <c r="AH51" s="201" t="n">
        <f aca="false">IF(AH44&lt;0,AH$5,0)</f>
        <v>33</v>
      </c>
      <c r="AI51" s="201" t="n">
        <f aca="false">IF(AI44&lt;0,AI$5,0)</f>
        <v>34</v>
      </c>
      <c r="AJ51" s="201" t="n">
        <f aca="false">IF(AJ44&lt;0,AJ$5,0)</f>
        <v>35</v>
      </c>
      <c r="AK51" s="201" t="n">
        <f aca="false">IF(AK44&lt;0,AK$5,0)</f>
        <v>36</v>
      </c>
      <c r="AL51" s="201" t="n">
        <f aca="false">IF(AL44&lt;0,AL$5,0)</f>
        <v>37</v>
      </c>
      <c r="AM51" s="201" t="n">
        <f aca="false">IF(AM44&lt;0,AM$5,0)</f>
        <v>38</v>
      </c>
      <c r="AN51" s="201" t="n">
        <f aca="false">IF(AN44&lt;0,AN$5,0)</f>
        <v>39</v>
      </c>
      <c r="AO51" s="201" t="n">
        <f aca="false">IF(AO44&lt;0,AO$5,0)</f>
        <v>40</v>
      </c>
      <c r="AP51" s="201" t="n">
        <f aca="false">IF(AP44&lt;0,AP$5,0)</f>
        <v>41</v>
      </c>
      <c r="AQ51" s="201" t="n">
        <f aca="false">IF(AQ44&lt;0,AQ$5,0)</f>
        <v>42</v>
      </c>
      <c r="AR51" s="201" t="n">
        <f aca="false">IF(AR44&lt;0,AR$5,0)</f>
        <v>43</v>
      </c>
      <c r="AS51" s="201" t="n">
        <f aca="false">IF(AS44&lt;0,AS$5,0)</f>
        <v>44</v>
      </c>
      <c r="AT51" s="201" t="n">
        <f aca="false">IF(AT44&lt;0,AT$5,0)</f>
        <v>45</v>
      </c>
      <c r="AU51" s="201" t="n">
        <f aca="false">IF(AU44&lt;0,AU$5,0)</f>
        <v>46</v>
      </c>
      <c r="AV51" s="201" t="n">
        <f aca="false">IF(AV44&lt;0,AV$5,0)</f>
        <v>47</v>
      </c>
      <c r="AW51" s="201" t="n">
        <f aca="false">IF(AW44&lt;0,AW$5,0)</f>
        <v>48</v>
      </c>
      <c r="AX51" s="201" t="n">
        <f aca="false">IF(AX44&lt;0,AX$5,0)</f>
        <v>49</v>
      </c>
      <c r="AY51" s="201" t="n">
        <f aca="false">IF(AY44&lt;0,AY$5,0)</f>
        <v>50</v>
      </c>
      <c r="AZ51" s="201" t="n">
        <f aca="false">IF(AZ44&lt;0,AZ$5,0)</f>
        <v>51</v>
      </c>
      <c r="BA51" s="201" t="n">
        <f aca="false">IF(BA44&lt;0,BA$5,0)</f>
        <v>52</v>
      </c>
      <c r="BB51" s="201" t="n">
        <f aca="false">IF(BB44&lt;0,BB$5,0)</f>
        <v>53</v>
      </c>
      <c r="BC51" s="201" t="n">
        <f aca="false">IF(BC44&lt;0,BC$5,0)</f>
        <v>54</v>
      </c>
      <c r="BD51" s="201" t="n">
        <f aca="false">IF(BD44&lt;0,BD$5,0)</f>
        <v>55</v>
      </c>
      <c r="BE51" s="201" t="n">
        <f aca="false">IF(BE44&lt;0,BE$5,0)</f>
        <v>56</v>
      </c>
      <c r="BF51" s="201" t="n">
        <f aca="false">IF(BF44&lt;0,BF$5,0)</f>
        <v>57</v>
      </c>
      <c r="BG51" s="201" t="n">
        <f aca="false">IF(BG44&lt;0,BG$5,0)</f>
        <v>58</v>
      </c>
      <c r="BH51" s="201" t="n">
        <f aca="false">IF(BH44&lt;0,BH$5,0)</f>
        <v>59</v>
      </c>
      <c r="BI51" s="201" t="n">
        <f aca="false">IF(BI44&lt;0,BI$5,0)</f>
        <v>60</v>
      </c>
      <c r="BJ51" s="202" t="n">
        <f aca="false">BI51</f>
        <v>60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9.5" hidden="false" customHeight="true" outlineLevel="0" collapsed="false">
      <c r="A55" s="265" t="s">
        <v>768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</row>
    <row r="56" customFormat="false" ht="15.75" hidden="false" customHeight="true" outlineLevel="0" collapsed="false">
      <c r="A56" s="49" t="s">
        <v>711</v>
      </c>
      <c r="B56" s="201" t="n">
        <f aca="false" t="array" ref="B56:B56">IF(B$4&lt;Premissas!$B$13,0,INDEX(Premissas!$C$45:$G$45,B$7))</f>
        <v>0</v>
      </c>
      <c r="C56" s="201" t="n">
        <f aca="false" t="array" ref="C56:C56">IF(C$4&lt;Premissas!$B$13,0,INDEX(Premissas!$C$45:$G$45,C$7))</f>
        <v>0</v>
      </c>
      <c r="D56" s="201" t="n">
        <f aca="false" t="array" ref="D56:D56">IF(D$4&lt;Premissas!$B$13,0,INDEX(Premissas!$C$45:$G$45,D$7))</f>
        <v>0</v>
      </c>
      <c r="E56" s="201" t="n">
        <f aca="false" t="array" ref="E56:E56">IF(E$4&lt;Premissas!$B$13,0,INDEX(Premissas!$C$45:$G$45,E$7))</f>
        <v>0</v>
      </c>
      <c r="F56" s="201" t="n">
        <f aca="false" t="array" ref="F56:F56">IF(F$4&lt;Premissas!$B$13,0,INDEX(Premissas!$C$45:$G$45,F$7))</f>
        <v>0</v>
      </c>
      <c r="G56" s="201" t="n">
        <f aca="false" t="array" ref="G56:G56">IF(G$4&lt;Premissas!$B$13,0,INDEX(Premissas!$C$45:$G$45,G$7))</f>
        <v>0</v>
      </c>
      <c r="H56" s="201" t="n">
        <f aca="false" t="array" ref="H56:H56">IF(H$4&lt;Premissas!$B$13,0,INDEX(Premissas!$C$45:$G$45,H$7))</f>
        <v>0</v>
      </c>
      <c r="I56" s="201" t="n">
        <f aca="false" t="array" ref="I56:I56">IF(I$4&lt;Premissas!$B$13,0,INDEX(Premissas!$C$45:$G$45,I$7))</f>
        <v>0</v>
      </c>
      <c r="J56" s="201" t="n">
        <f aca="false" t="array" ref="J56:J56">IF(J$4&lt;Premissas!$B$13,0,INDEX(Premissas!$C$45:$G$45,J$7))</f>
        <v>0</v>
      </c>
      <c r="K56" s="201" t="n">
        <f aca="false" t="array" ref="K56:K56">IF(K$4&lt;Premissas!$B$13,0,INDEX(Premissas!$C$45:$G$45,K$7))</f>
        <v>0</v>
      </c>
      <c r="L56" s="201" t="n">
        <f aca="false" t="array" ref="L56:L56">IF(L$4&lt;Premissas!$B$13,0,INDEX(Premissas!$C$45:$G$45,L$7))</f>
        <v>0</v>
      </c>
      <c r="M56" s="201" t="n">
        <f aca="false" t="array" ref="M56:M56">IF(M$4&lt;Premissas!$B$13,0,INDEX(Premissas!$C$45:$G$45,M$7))</f>
        <v>18100</v>
      </c>
      <c r="N56" s="201" t="n">
        <f aca="false" t="array" ref="N56:N56">IF(N$4&lt;Premissas!$B$13,0,INDEX(Premissas!$C$45:$G$45,N$7))</f>
        <v>27150</v>
      </c>
      <c r="O56" s="201" t="n">
        <f aca="false" t="array" ref="O56:O56">IF(O$4&lt;Premissas!$B$13,0,INDEX(Premissas!$C$45:$G$45,O$7))</f>
        <v>27150</v>
      </c>
      <c r="P56" s="201" t="n">
        <f aca="false" t="array" ref="P56:P56">IF(P$4&lt;Premissas!$B$13,0,INDEX(Premissas!$C$45:$G$45,P$7))</f>
        <v>27150</v>
      </c>
      <c r="Q56" s="201" t="n">
        <f aca="false" t="array" ref="Q56:Q56">IF(Q$4&lt;Premissas!$B$13,0,INDEX(Premissas!$C$45:$G$45,Q$7))</f>
        <v>27150</v>
      </c>
      <c r="R56" s="201" t="n">
        <f aca="false" t="array" ref="R56:R56">IF(R$4&lt;Premissas!$B$13,0,INDEX(Premissas!$C$45:$G$45,R$7))</f>
        <v>27150</v>
      </c>
      <c r="S56" s="201" t="n">
        <f aca="false" t="array" ref="S56:S56">IF(S$4&lt;Premissas!$B$13,0,INDEX(Premissas!$C$45:$G$45,S$7))</f>
        <v>27150</v>
      </c>
      <c r="T56" s="201" t="n">
        <f aca="false" t="array" ref="T56:T56">IF(T$4&lt;Premissas!$B$13,0,INDEX(Premissas!$C$45:$G$45,T$7))</f>
        <v>27150</v>
      </c>
      <c r="U56" s="201" t="n">
        <f aca="false" t="array" ref="U56:U56">IF(U$4&lt;Premissas!$B$13,0,INDEX(Premissas!$C$45:$G$45,U$7))</f>
        <v>27150</v>
      </c>
      <c r="V56" s="201" t="n">
        <f aca="false" t="array" ref="V56:V56">IF(V$4&lt;Premissas!$B$13,0,INDEX(Premissas!$C$45:$G$45,V$7))</f>
        <v>27150</v>
      </c>
      <c r="W56" s="201" t="n">
        <f aca="false" t="array" ref="W56:W56">IF(W$4&lt;Premissas!$B$13,0,INDEX(Premissas!$C$45:$G$45,W$7))</f>
        <v>27150</v>
      </c>
      <c r="X56" s="201" t="n">
        <f aca="false" t="array" ref="X56:X56">IF(X$4&lt;Premissas!$B$13,0,INDEX(Premissas!$C$45:$G$45,X$7))</f>
        <v>27150</v>
      </c>
      <c r="Y56" s="201" t="n">
        <f aca="false" t="array" ref="Y56:Y56">IF(Y$4&lt;Premissas!$B$13,0,INDEX(Premissas!$C$45:$G$45,Y$7))</f>
        <v>27150</v>
      </c>
      <c r="Z56" s="201" t="n">
        <f aca="false" t="array" ref="Z56:Z56">IF(Z$4&lt;Premissas!$B$13,0,INDEX(Premissas!$C$45:$G$45,Z$7))</f>
        <v>40725</v>
      </c>
      <c r="AA56" s="201" t="n">
        <f aca="false" t="array" ref="AA56:AA56">IF(AA$4&lt;Premissas!$B$13,0,INDEX(Premissas!$C$45:$G$45,AA$7))</f>
        <v>40725</v>
      </c>
      <c r="AB56" s="201" t="n">
        <f aca="false" t="array" ref="AB56:AB56">IF(AB$4&lt;Premissas!$B$13,0,INDEX(Premissas!$C$45:$G$45,AB$7))</f>
        <v>40725</v>
      </c>
      <c r="AC56" s="201" t="n">
        <f aca="false" t="array" ref="AC56:AC56">IF(AC$4&lt;Premissas!$B$13,0,INDEX(Premissas!$C$45:$G$45,AC$7))</f>
        <v>40725</v>
      </c>
      <c r="AD56" s="201" t="n">
        <f aca="false" t="array" ref="AD56:AD56">IF(AD$4&lt;Premissas!$B$13,0,INDEX(Premissas!$C$45:$G$45,AD$7))</f>
        <v>40725</v>
      </c>
      <c r="AE56" s="201" t="n">
        <f aca="false" t="array" ref="AE56:AE56">IF(AE$4&lt;Premissas!$B$13,0,INDEX(Premissas!$C$45:$G$45,AE$7))</f>
        <v>40725</v>
      </c>
      <c r="AF56" s="201" t="n">
        <f aca="false" t="array" ref="AF56:AF56">IF(AF$4&lt;Premissas!$B$13,0,INDEX(Premissas!$C$45:$G$45,AF$7))</f>
        <v>40725</v>
      </c>
      <c r="AG56" s="201" t="n">
        <f aca="false" t="array" ref="AG56:AG56">IF(AG$4&lt;Premissas!$B$13,0,INDEX(Premissas!$C$45:$G$45,AG$7))</f>
        <v>40725</v>
      </c>
      <c r="AH56" s="201" t="n">
        <f aca="false" t="array" ref="AH56:AH56">IF(AH$4&lt;Premissas!$B$13,0,INDEX(Premissas!$C$45:$G$45,AH$7))</f>
        <v>40725</v>
      </c>
      <c r="AI56" s="201" t="n">
        <f aca="false" t="array" ref="AI56:AI56">IF(AI$4&lt;Premissas!$B$13,0,INDEX(Premissas!$C$45:$G$45,AI$7))</f>
        <v>40725</v>
      </c>
      <c r="AJ56" s="201" t="n">
        <f aca="false" t="array" ref="AJ56:AJ56">IF(AJ$4&lt;Premissas!$B$13,0,INDEX(Premissas!$C$45:$G$45,AJ$7))</f>
        <v>40725</v>
      </c>
      <c r="AK56" s="201" t="n">
        <f aca="false" t="array" ref="AK56:AK56">IF(AK$4&lt;Premissas!$B$13,0,INDEX(Premissas!$C$45:$G$45,AK$7))</f>
        <v>40725</v>
      </c>
      <c r="AL56" s="201" t="n">
        <f aca="false" t="array" ref="AL56:AL56">IF(AL$4&lt;Premissas!$B$13,0,INDEX(Premissas!$C$45:$G$45,AL$7))</f>
        <v>61087.5</v>
      </c>
      <c r="AM56" s="201" t="n">
        <f aca="false" t="array" ref="AM56:AM56">IF(AM$4&lt;Premissas!$B$13,0,INDEX(Premissas!$C$45:$G$45,AM$7))</f>
        <v>61087.5</v>
      </c>
      <c r="AN56" s="201" t="n">
        <f aca="false" t="array" ref="AN56:AN56">IF(AN$4&lt;Premissas!$B$13,0,INDEX(Premissas!$C$45:$G$45,AN$7))</f>
        <v>61087.5</v>
      </c>
      <c r="AO56" s="201" t="n">
        <f aca="false" t="array" ref="AO56:AO56">IF(AO$4&lt;Premissas!$B$13,0,INDEX(Premissas!$C$45:$G$45,AO$7))</f>
        <v>61087.5</v>
      </c>
      <c r="AP56" s="201" t="n">
        <f aca="false" t="array" ref="AP56:AP56">IF(AP$4&lt;Premissas!$B$13,0,INDEX(Premissas!$C$45:$G$45,AP$7))</f>
        <v>61087.5</v>
      </c>
      <c r="AQ56" s="201" t="n">
        <f aca="false" t="array" ref="AQ56:AQ56">IF(AQ$4&lt;Premissas!$B$13,0,INDEX(Premissas!$C$45:$G$45,AQ$7))</f>
        <v>61087.5</v>
      </c>
      <c r="AR56" s="201" t="n">
        <f aca="false" t="array" ref="AR56:AR56">IF(AR$4&lt;Premissas!$B$13,0,INDEX(Premissas!$C$45:$G$45,AR$7))</f>
        <v>61087.5</v>
      </c>
      <c r="AS56" s="201" t="n">
        <f aca="false" t="array" ref="AS56:AS56">IF(AS$4&lt;Premissas!$B$13,0,INDEX(Premissas!$C$45:$G$45,AS$7))</f>
        <v>61087.5</v>
      </c>
      <c r="AT56" s="201" t="n">
        <f aca="false" t="array" ref="AT56:AT56">IF(AT$4&lt;Premissas!$B$13,0,INDEX(Premissas!$C$45:$G$45,AT$7))</f>
        <v>61087.5</v>
      </c>
      <c r="AU56" s="201" t="n">
        <f aca="false" t="array" ref="AU56:AU56">IF(AU$4&lt;Premissas!$B$13,0,INDEX(Premissas!$C$45:$G$45,AU$7))</f>
        <v>61087.5</v>
      </c>
      <c r="AV56" s="201" t="n">
        <f aca="false" t="array" ref="AV56:AV56">IF(AV$4&lt;Premissas!$B$13,0,INDEX(Premissas!$C$45:$G$45,AV$7))</f>
        <v>61087.5</v>
      </c>
      <c r="AW56" s="201" t="n">
        <f aca="false" t="array" ref="AW56:AW56">IF(AW$4&lt;Premissas!$B$13,0,INDEX(Premissas!$C$45:$G$45,AW$7))</f>
        <v>61087.5</v>
      </c>
      <c r="AX56" s="201" t="n">
        <f aca="false" t="array" ref="AX56:AX56">IF(AX$4&lt;Premissas!$B$13,0,INDEX(Premissas!$C$45:$G$45,AX$7))</f>
        <v>91631.25</v>
      </c>
      <c r="AY56" s="201" t="n">
        <f aca="false" t="array" ref="AY56:AY56">IF(AY$4&lt;Premissas!$B$13,0,INDEX(Premissas!$C$45:$G$45,AY$7))</f>
        <v>91631.25</v>
      </c>
      <c r="AZ56" s="201" t="n">
        <f aca="false" t="array" ref="AZ56:AZ56">IF(AZ$4&lt;Premissas!$B$13,0,INDEX(Premissas!$C$45:$G$45,AZ$7))</f>
        <v>91631.25</v>
      </c>
      <c r="BA56" s="201" t="n">
        <f aca="false" t="array" ref="BA56:BA56">IF(BA$4&lt;Premissas!$B$13,0,INDEX(Premissas!$C$45:$G$45,BA$7))</f>
        <v>91631.25</v>
      </c>
      <c r="BB56" s="201" t="n">
        <f aca="false" t="array" ref="BB56:BB56">IF(BB$4&lt;Premissas!$B$13,0,INDEX(Premissas!$C$45:$G$45,BB$7))</f>
        <v>91631.25</v>
      </c>
      <c r="BC56" s="201" t="n">
        <f aca="false" t="array" ref="BC56:BC56">IF(BC$4&lt;Premissas!$B$13,0,INDEX(Premissas!$C$45:$G$45,BC$7))</f>
        <v>91631.25</v>
      </c>
      <c r="BD56" s="201" t="n">
        <f aca="false" t="array" ref="BD56:BD56">IF(BD$4&lt;Premissas!$B$13,0,INDEX(Premissas!$C$45:$G$45,BD$7))</f>
        <v>91631.25</v>
      </c>
      <c r="BE56" s="201" t="n">
        <f aca="false" t="array" ref="BE56:BE56">IF(BE$4&lt;Premissas!$B$13,0,INDEX(Premissas!$C$45:$G$45,BE$7))</f>
        <v>91631.25</v>
      </c>
      <c r="BF56" s="201" t="n">
        <f aca="false" t="array" ref="BF56:BF56">IF(BF$4&lt;Premissas!$B$13,0,INDEX(Premissas!$C$45:$G$45,BF$7))</f>
        <v>91631.25</v>
      </c>
      <c r="BG56" s="201" t="n">
        <f aca="false" t="array" ref="BG56:BG56">IF(BG$4&lt;Premissas!$B$13,0,INDEX(Premissas!$C$45:$G$45,BG$7))</f>
        <v>91631.25</v>
      </c>
      <c r="BH56" s="201" t="n">
        <f aca="false" t="array" ref="BH56:BH56">IF(BH$4&lt;Premissas!$B$13,0,INDEX(Premissas!$C$45:$G$45,BH$7))</f>
        <v>91631.25</v>
      </c>
      <c r="BI56" s="201" t="n">
        <f aca="false" t="array" ref="BI56:BI56">IF(BI$4&lt;Premissas!$B$13,0,INDEX(Premissas!$C$45:$G$45,BI$7))</f>
        <v>91631.25</v>
      </c>
      <c r="BJ56" s="202" t="n">
        <f aca="false">SUM(B56:BI56)</f>
        <v>2665225</v>
      </c>
    </row>
    <row r="57" customFormat="false" ht="15.75" hidden="false" customHeight="true" outlineLevel="0" collapsed="false">
      <c r="A57" s="49" t="s">
        <v>712</v>
      </c>
      <c r="B57" s="201" t="n">
        <f aca="false">0</f>
        <v>0</v>
      </c>
      <c r="C57" s="201" t="n">
        <f aca="false">B59</f>
        <v>0</v>
      </c>
      <c r="D57" s="201" t="n">
        <f aca="false">C59</f>
        <v>0</v>
      </c>
      <c r="E57" s="201" t="n">
        <f aca="false">D59</f>
        <v>0</v>
      </c>
      <c r="F57" s="201" t="n">
        <f aca="false">E59</f>
        <v>0</v>
      </c>
      <c r="G57" s="201" t="n">
        <f aca="false">F59</f>
        <v>0</v>
      </c>
      <c r="H57" s="201" t="n">
        <f aca="false">G59</f>
        <v>0</v>
      </c>
      <c r="I57" s="201" t="n">
        <f aca="false">H59</f>
        <v>0</v>
      </c>
      <c r="J57" s="201" t="n">
        <f aca="false">I59</f>
        <v>0</v>
      </c>
      <c r="K57" s="201" t="n">
        <f aca="false">J59</f>
        <v>0</v>
      </c>
      <c r="L57" s="201" t="n">
        <f aca="false">K59</f>
        <v>0</v>
      </c>
      <c r="M57" s="201" t="n">
        <f aca="false">L59</f>
        <v>0</v>
      </c>
      <c r="N57" s="201" t="n">
        <f aca="false">M59</f>
        <v>18100</v>
      </c>
      <c r="O57" s="201" t="n">
        <f aca="false">N59</f>
        <v>43888.88</v>
      </c>
      <c r="P57" s="201" t="n">
        <f aca="false">O59</f>
        <v>67738.436224</v>
      </c>
      <c r="Q57" s="201" t="n">
        <f aca="false">P59</f>
        <v>89794.5058199552</v>
      </c>
      <c r="R57" s="201" t="n">
        <f aca="false">Q59</f>
        <v>110191.958982295</v>
      </c>
      <c r="S57" s="201" t="n">
        <f aca="false">R59</f>
        <v>129055.523666826</v>
      </c>
      <c r="T57" s="201" t="n">
        <f aca="false">S59</f>
        <v>146500.548287081</v>
      </c>
      <c r="U57" s="201" t="n">
        <f aca="false">T59</f>
        <v>162633.707055892</v>
      </c>
      <c r="V57" s="201" t="n">
        <f aca="false">U59</f>
        <v>177553.652285289</v>
      </c>
      <c r="W57" s="201" t="n">
        <f aca="false">V59</f>
        <v>191351.617633435</v>
      </c>
      <c r="X57" s="201" t="n">
        <f aca="false">W59</f>
        <v>204111.975987401</v>
      </c>
      <c r="Y57" s="201" t="n">
        <f aca="false">X59</f>
        <v>215912.755393149</v>
      </c>
      <c r="Z57" s="201" t="n">
        <f aca="false">Y59</f>
        <v>226826.116187584</v>
      </c>
      <c r="AA57" s="201" t="n">
        <f aca="false">Z59</f>
        <v>251517.231686516</v>
      </c>
      <c r="AB57" s="201" t="n">
        <f aca="false">AA59</f>
        <v>274462.981613059</v>
      </c>
      <c r="AC57" s="201" t="n">
        <f aca="false">AB59</f>
        <v>295786.742368795</v>
      </c>
      <c r="AD57" s="201" t="n">
        <f aca="false">AC59</f>
        <v>315603.16912423</v>
      </c>
      <c r="AE57" s="201" t="n">
        <f aca="false">AD59</f>
        <v>334018.812305176</v>
      </c>
      <c r="AF57" s="201" t="n">
        <f aca="false">AE59</f>
        <v>351132.690500948</v>
      </c>
      <c r="AG57" s="201" t="n">
        <f aca="false">AF59</f>
        <v>367036.822874817</v>
      </c>
      <c r="AH57" s="201" t="n">
        <f aca="false">AG59</f>
        <v>381816.723939442</v>
      </c>
      <c r="AI57" s="201" t="n">
        <f aca="false">AH59</f>
        <v>395551.863357611</v>
      </c>
      <c r="AJ57" s="201" t="n">
        <f aca="false">AI59</f>
        <v>408316.093240588</v>
      </c>
      <c r="AK57" s="201" t="n">
        <f aca="false">AJ59</f>
        <v>420178.045241597</v>
      </c>
      <c r="AL57" s="201" t="n">
        <f aca="false">AK59</f>
        <v>431201.499579559</v>
      </c>
      <c r="AM57" s="201" t="n">
        <f aca="false">AL59</f>
        <v>463637.074273416</v>
      </c>
      <c r="AN57" s="201" t="n">
        <f aca="false">AM59</f>
        <v>493917.411417551</v>
      </c>
      <c r="AO57" s="201" t="n">
        <f aca="false">AN59</f>
        <v>522185.719477964</v>
      </c>
      <c r="AP57" s="201" t="n">
        <f aca="false">AO59</f>
        <v>548575.691187814</v>
      </c>
      <c r="AQ57" s="201" t="n">
        <f aca="false">AP59</f>
        <v>573212.135836651</v>
      </c>
      <c r="AR57" s="201" t="n">
        <f aca="false">AQ59</f>
        <v>596211.569546111</v>
      </c>
      <c r="AS57" s="201" t="n">
        <f aca="false">AR59</f>
        <v>617682.76632372</v>
      </c>
      <c r="AT57" s="201" t="n">
        <f aca="false">AS59</f>
        <v>637727.272500982</v>
      </c>
      <c r="AU57" s="201" t="n">
        <f aca="false">AT59</f>
        <v>656439.886988746</v>
      </c>
      <c r="AV57" s="201" t="n">
        <f aca="false">AU59</f>
        <v>673909.109621173</v>
      </c>
      <c r="AW57" s="201" t="n">
        <f aca="false">AV59</f>
        <v>690217.559708725</v>
      </c>
      <c r="AX57" s="201" t="n">
        <f aca="false">AW59</f>
        <v>705442.366779677</v>
      </c>
      <c r="AY57" s="201" t="n">
        <f aca="false">AX59</f>
        <v>753011.745243423</v>
      </c>
      <c r="AZ57" s="201" t="n">
        <f aca="false">AY59</f>
        <v>797609.944286096</v>
      </c>
      <c r="BA57" s="201" t="n">
        <f aca="false">AZ59</f>
        <v>839422.543527134</v>
      </c>
      <c r="BB57" s="201" t="n">
        <f aca="false">BA59</f>
        <v>878623.531298385</v>
      </c>
      <c r="BC57" s="201" t="n">
        <f aca="false">BB59</f>
        <v>915376.028634965</v>
      </c>
      <c r="BD57" s="201" t="n">
        <f aca="false">BC59</f>
        <v>949832.968045711</v>
      </c>
      <c r="BE57" s="201" t="n">
        <f aca="false">BD59</f>
        <v>982137.729887679</v>
      </c>
      <c r="BF57" s="201" t="n">
        <f aca="false">BE59</f>
        <v>1012424.73899275</v>
      </c>
      <c r="BG57" s="201" t="n">
        <f aca="false">BF59</f>
        <v>1040820.024029</v>
      </c>
      <c r="BH57" s="201" t="n">
        <f aca="false">BG59</f>
        <v>1067441.74192438</v>
      </c>
      <c r="BI57" s="201" t="n">
        <f aca="false">BH59</f>
        <v>1092400.66953493</v>
      </c>
      <c r="BJ57" s="202" t="n">
        <f aca="false">BI57</f>
        <v>1092400.66953493</v>
      </c>
      <c r="BK57" s="51" t="s">
        <v>748</v>
      </c>
    </row>
    <row r="58" customFormat="false" ht="15.75" hidden="false" customHeight="true" outlineLevel="0" collapsed="false">
      <c r="A58" s="49" t="s">
        <v>714</v>
      </c>
      <c r="B58" s="201" t="n">
        <f aca="false" t="array" ref="B58:B58">-B57*INDEX(Premissas!$C$49:$G$49,B$7)</f>
        <v>-0</v>
      </c>
      <c r="C58" s="201" t="n">
        <f aca="false" t="array" ref="C58:C58">-C57*INDEX(Premissas!$C$49:$G$49,C$7)</f>
        <v>-0</v>
      </c>
      <c r="D58" s="201" t="n">
        <f aca="false" t="array" ref="D58:D58">-D57*INDEX(Premissas!$C$49:$G$49,D$7)</f>
        <v>-0</v>
      </c>
      <c r="E58" s="201" t="n">
        <f aca="false" t="array" ref="E58:E58">-E57*INDEX(Premissas!$C$49:$G$49,E$7)</f>
        <v>-0</v>
      </c>
      <c r="F58" s="201" t="n">
        <f aca="false" t="array" ref="F58:F58">-F57*INDEX(Premissas!$C$49:$G$49,F$7)</f>
        <v>-0</v>
      </c>
      <c r="G58" s="201" t="n">
        <f aca="false" t="array" ref="G58:G58">-G57*INDEX(Premissas!$C$49:$G$49,G$7)</f>
        <v>-0</v>
      </c>
      <c r="H58" s="201" t="n">
        <f aca="false" t="array" ref="H58:H58">-H57*INDEX(Premissas!$C$49:$G$49,H$7)</f>
        <v>-0</v>
      </c>
      <c r="I58" s="201" t="n">
        <f aca="false" t="array" ref="I58:I58">-I57*INDEX(Premissas!$C$49:$G$49,I$7)</f>
        <v>-0</v>
      </c>
      <c r="J58" s="201" t="n">
        <f aca="false" t="array" ref="J58:J58">-J57*INDEX(Premissas!$C$49:$G$49,J$7)</f>
        <v>-0</v>
      </c>
      <c r="K58" s="201" t="n">
        <f aca="false" t="array" ref="K58:K58">-K57*INDEX(Premissas!$C$49:$G$49,K$7)</f>
        <v>-0</v>
      </c>
      <c r="L58" s="201" t="n">
        <f aca="false" t="array" ref="L58:L58">-L57*INDEX(Premissas!$C$49:$G$49,L$7)</f>
        <v>-0</v>
      </c>
      <c r="M58" s="201" t="n">
        <f aca="false" t="array" ref="M58:M58">-M57*INDEX(Premissas!$C$49:$G$49,M$7)</f>
        <v>-0</v>
      </c>
      <c r="N58" s="201" t="n">
        <f aca="false" t="array" ref="N58:N58">-N57*INDEX(Premissas!$C$49:$G$49,N$7)</f>
        <v>-1361.12</v>
      </c>
      <c r="O58" s="201" t="n">
        <f aca="false" t="array" ref="O58:O58">-O57*INDEX(Premissas!$C$49:$G$49,O$7)</f>
        <v>-3300.443776</v>
      </c>
      <c r="P58" s="201" t="n">
        <f aca="false" t="array" ref="P58:P58">-P57*INDEX(Premissas!$C$49:$G$49,P$7)</f>
        <v>-5093.9304040448</v>
      </c>
      <c r="Q58" s="201" t="n">
        <f aca="false" t="array" ref="Q58:Q58">-Q57*INDEX(Premissas!$C$49:$G$49,Q$7)</f>
        <v>-6752.54683766063</v>
      </c>
      <c r="R58" s="201" t="n">
        <f aca="false" t="array" ref="R58:R58">-R57*INDEX(Premissas!$C$49:$G$49,R$7)</f>
        <v>-8286.43531546855</v>
      </c>
      <c r="S58" s="201" t="n">
        <f aca="false" t="array" ref="S58:S58">-S57*INDEX(Premissas!$C$49:$G$49,S$7)</f>
        <v>-9704.97537974532</v>
      </c>
      <c r="T58" s="201" t="n">
        <f aca="false" t="array" ref="T58:T58">-T57*INDEX(Premissas!$C$49:$G$49,T$7)</f>
        <v>-11016.8412311885</v>
      </c>
      <c r="U58" s="201" t="n">
        <f aca="false" t="array" ref="U58:U58">-U57*INDEX(Premissas!$C$49:$G$49,U$7)</f>
        <v>-12230.0547706031</v>
      </c>
      <c r="V58" s="201" t="n">
        <f aca="false" t="array" ref="V58:V58">-V57*INDEX(Premissas!$C$49:$G$49,V$7)</f>
        <v>-13352.0346518537</v>
      </c>
      <c r="W58" s="201" t="n">
        <f aca="false" t="array" ref="W58:W58">-W57*INDEX(Premissas!$C$49:$G$49,W$7)</f>
        <v>-14389.6416460343</v>
      </c>
      <c r="X58" s="201" t="n">
        <f aca="false" t="array" ref="X58:X58">-X57*INDEX(Premissas!$C$49:$G$49,X$7)</f>
        <v>-15349.2205942526</v>
      </c>
      <c r="Y58" s="201" t="n">
        <f aca="false" t="array" ref="Y58:Y58">-Y57*INDEX(Premissas!$C$49:$G$49,Y$7)</f>
        <v>-16236.6392055648</v>
      </c>
      <c r="Z58" s="201" t="n">
        <f aca="false" t="array" ref="Z58:Z58">-Z57*INDEX(Premissas!$C$49:$G$49,Z$7)</f>
        <v>-16033.8845010679</v>
      </c>
      <c r="AA58" s="201" t="n">
        <f aca="false" t="array" ref="AA58:AA58">-AA57*INDEX(Premissas!$C$49:$G$49,AA$7)</f>
        <v>-17779.2500734564</v>
      </c>
      <c r="AB58" s="201" t="n">
        <f aca="false" t="array" ref="AB58:AB58">-AB57*INDEX(Premissas!$C$49:$G$49,AB$7)</f>
        <v>-19401.2392442639</v>
      </c>
      <c r="AC58" s="201" t="n">
        <f aca="false" t="array" ref="AC58:AC58">-AC57*INDEX(Premissas!$C$49:$G$49,AC$7)</f>
        <v>-20908.5732445654</v>
      </c>
      <c r="AD58" s="201" t="n">
        <f aca="false" t="array" ref="AD58:AD58">-AD57*INDEX(Premissas!$C$49:$G$49,AD$7)</f>
        <v>-22309.3568190536</v>
      </c>
      <c r="AE58" s="201" t="n">
        <f aca="false" t="array" ref="AE58:AE58">-AE57*INDEX(Premissas!$C$49:$G$49,AE$7)</f>
        <v>-23611.1218042283</v>
      </c>
      <c r="AF58" s="201" t="n">
        <f aca="false" t="array" ref="AF58:AF58">-AF57*INDEX(Premissas!$C$49:$G$49,AF$7)</f>
        <v>-24820.867626131</v>
      </c>
      <c r="AG58" s="201" t="n">
        <f aca="false" t="array" ref="AG58:AG58">-AG57*INDEX(Premissas!$C$49:$G$49,AG$7)</f>
        <v>-25945.0989353751</v>
      </c>
      <c r="AH58" s="201" t="n">
        <f aca="false" t="array" ref="AH58:AH58">-AH57*INDEX(Premissas!$C$49:$G$49,AH$7)</f>
        <v>-26989.8605818313</v>
      </c>
      <c r="AI58" s="201" t="n">
        <f aca="false" t="array" ref="AI58:AI58">-AI57*INDEX(Premissas!$C$49:$G$49,AI$7)</f>
        <v>-27960.7701170228</v>
      </c>
      <c r="AJ58" s="201" t="n">
        <f aca="false" t="array" ref="AJ58:AJ58">-AJ57*INDEX(Premissas!$C$49:$G$49,AJ$7)</f>
        <v>-28863.0479989907</v>
      </c>
      <c r="AK58" s="201" t="n">
        <f aca="false" t="array" ref="AK58:AK58">-AK57*INDEX(Premissas!$C$49:$G$49,AK$7)</f>
        <v>-29701.545662038</v>
      </c>
      <c r="AL58" s="201" t="n">
        <f aca="false" t="array" ref="AL58:AL58">-AL57*INDEX(Premissas!$C$49:$G$49,AL$7)</f>
        <v>-28651.9253061431</v>
      </c>
      <c r="AM58" s="201" t="n">
        <f aca="false" t="array" ref="AM58:AM58">-AM57*INDEX(Premissas!$C$49:$G$49,AM$7)</f>
        <v>-30807.1628558649</v>
      </c>
      <c r="AN58" s="201" t="n">
        <f aca="false" t="array" ref="AN58:AN58">-AN57*INDEX(Premissas!$C$49:$G$49,AN$7)</f>
        <v>-32819.1919395868</v>
      </c>
      <c r="AO58" s="201" t="n">
        <f aca="false" t="array" ref="AO58:AO58">-AO57*INDEX(Premissas!$C$49:$G$49,AO$7)</f>
        <v>-34697.5282901509</v>
      </c>
      <c r="AP58" s="201" t="n">
        <f aca="false" t="array" ref="AP58:AP58">-AP57*INDEX(Premissas!$C$49:$G$49,AP$7)</f>
        <v>-36451.0553511631</v>
      </c>
      <c r="AQ58" s="201" t="n">
        <f aca="false" t="array" ref="AQ58:AQ58">-AQ57*INDEX(Premissas!$C$49:$G$49,AQ$7)</f>
        <v>-38088.0662905399</v>
      </c>
      <c r="AR58" s="201" t="n">
        <f aca="false" t="array" ref="AR58:AR58">-AR57*INDEX(Premissas!$C$49:$G$49,AR$7)</f>
        <v>-39616.3032223909</v>
      </c>
      <c r="AS58" s="201" t="n">
        <f aca="false" t="array" ref="AS58:AS58">-AS57*INDEX(Premissas!$C$49:$G$49,AS$7)</f>
        <v>-41042.9938227376</v>
      </c>
      <c r="AT58" s="201" t="n">
        <f aca="false" t="array" ref="AT58:AT58">-AT57*INDEX(Premissas!$C$49:$G$49,AT$7)</f>
        <v>-42374.8855122365</v>
      </c>
      <c r="AU58" s="201" t="n">
        <f aca="false" t="array" ref="AU58:AU58">-AU57*INDEX(Premissas!$C$49:$G$49,AU$7)</f>
        <v>-43618.2773675728</v>
      </c>
      <c r="AV58" s="201" t="n">
        <f aca="false" t="array" ref="AV58:AV58">-AV57*INDEX(Premissas!$C$49:$G$49,AV$7)</f>
        <v>-44779.0499124474</v>
      </c>
      <c r="AW58" s="201" t="n">
        <f aca="false" t="array" ref="AW58:AW58">-AW57*INDEX(Premissas!$C$49:$G$49,AW$7)</f>
        <v>-45862.692929049</v>
      </c>
      <c r="AX58" s="201" t="n">
        <f aca="false" t="array" ref="AX58:AX58">-AX57*INDEX(Premissas!$C$49:$G$49,AX$7)</f>
        <v>-44061.8715362537</v>
      </c>
      <c r="AY58" s="201" t="n">
        <f aca="false" t="array" ref="AY58:AY58">-AY57*INDEX(Premissas!$C$49:$G$49,AY$7)</f>
        <v>-47033.050957327</v>
      </c>
      <c r="AZ58" s="201" t="n">
        <f aca="false" t="array" ref="AZ58:AZ58">-AZ57*INDEX(Premissas!$C$49:$G$49,AZ$7)</f>
        <v>-49818.6507589622</v>
      </c>
      <c r="BA58" s="201" t="n">
        <f aca="false" t="array" ref="BA58:BA58">-BA57*INDEX(Premissas!$C$49:$G$49,BA$7)</f>
        <v>-52430.2622287491</v>
      </c>
      <c r="BB58" s="201" t="n">
        <f aca="false" t="array" ref="BB58:BB58">-BB57*INDEX(Premissas!$C$49:$G$49,BB$7)</f>
        <v>-54878.7526634193</v>
      </c>
      <c r="BC58" s="201" t="n">
        <f aca="false" t="array" ref="BC58:BC58">-BC57*INDEX(Premissas!$C$49:$G$49,BC$7)</f>
        <v>-57174.3105892543</v>
      </c>
      <c r="BD58" s="201" t="n">
        <f aca="false" t="array" ref="BD58:BD58">-BD57*INDEX(Premissas!$C$49:$G$49,BD$7)</f>
        <v>-59326.4881580322</v>
      </c>
      <c r="BE58" s="201" t="n">
        <f aca="false" t="array" ref="BE58:BE58">-BE57*INDEX(Premissas!$C$49:$G$49,BE$7)</f>
        <v>-61344.2408949253</v>
      </c>
      <c r="BF58" s="201" t="n">
        <f aca="false" t="array" ref="BF58:BF58">-BF57*INDEX(Premissas!$C$49:$G$49,BF$7)</f>
        <v>-63235.9649637491</v>
      </c>
      <c r="BG58" s="201" t="n">
        <f aca="false" t="array" ref="BG58:BG58">-BG57*INDEX(Premissas!$C$49:$G$49,BG$7)</f>
        <v>-65009.5321046256</v>
      </c>
      <c r="BH58" s="201" t="n">
        <f aca="false" t="array" ref="BH58:BH58">-BH57*INDEX(Premissas!$C$49:$G$49,BH$7)</f>
        <v>-66672.3223894438</v>
      </c>
      <c r="BI58" s="201" t="n">
        <f aca="false" t="array" ref="BI58:BI58">-BI57*INDEX(Premissas!$C$49:$G$49,BI$7)</f>
        <v>-68231.2549314163</v>
      </c>
      <c r="BJ58" s="202" t="n">
        <f aca="false">SUM(B58:BI58)</f>
        <v>-1549424.33539648</v>
      </c>
    </row>
    <row r="59" customFormat="false" ht="15.75" hidden="false" customHeight="true" outlineLevel="0" collapsed="false">
      <c r="A59" s="53" t="s">
        <v>715</v>
      </c>
      <c r="B59" s="252" t="n">
        <f aca="false">B57+B58+B56</f>
        <v>0</v>
      </c>
      <c r="C59" s="252" t="n">
        <f aca="false">C57+C58+C56</f>
        <v>0</v>
      </c>
      <c r="D59" s="252" t="n">
        <f aca="false">D57+D58+D56</f>
        <v>0</v>
      </c>
      <c r="E59" s="252" t="n">
        <f aca="false">E57+E58+E56</f>
        <v>0</v>
      </c>
      <c r="F59" s="252" t="n">
        <f aca="false">F57+F58+F56</f>
        <v>0</v>
      </c>
      <c r="G59" s="252" t="n">
        <f aca="false">G57+G58+G56</f>
        <v>0</v>
      </c>
      <c r="H59" s="252" t="n">
        <f aca="false">H57+H58+H56</f>
        <v>0</v>
      </c>
      <c r="I59" s="252" t="n">
        <f aca="false">I57+I58+I56</f>
        <v>0</v>
      </c>
      <c r="J59" s="252" t="n">
        <f aca="false">J57+J58+J56</f>
        <v>0</v>
      </c>
      <c r="K59" s="252" t="n">
        <f aca="false">K57+K58+K56</f>
        <v>0</v>
      </c>
      <c r="L59" s="252" t="n">
        <f aca="false">L57+L58+L56</f>
        <v>0</v>
      </c>
      <c r="M59" s="252" t="n">
        <f aca="false">M57+M58+M56</f>
        <v>18100</v>
      </c>
      <c r="N59" s="252" t="n">
        <f aca="false">N57+N58+N56</f>
        <v>43888.88</v>
      </c>
      <c r="O59" s="252" t="n">
        <f aca="false">O57+O58+O56</f>
        <v>67738.436224</v>
      </c>
      <c r="P59" s="252" t="n">
        <f aca="false">P57+P58+P56</f>
        <v>89794.5058199552</v>
      </c>
      <c r="Q59" s="252" t="n">
        <f aca="false">Q57+Q58+Q56</f>
        <v>110191.958982295</v>
      </c>
      <c r="R59" s="252" t="n">
        <f aca="false">R57+R58+R56</f>
        <v>129055.523666826</v>
      </c>
      <c r="S59" s="252" t="n">
        <f aca="false">S57+S58+S56</f>
        <v>146500.548287081</v>
      </c>
      <c r="T59" s="252" t="n">
        <f aca="false">T57+T58+T56</f>
        <v>162633.707055892</v>
      </c>
      <c r="U59" s="252" t="n">
        <f aca="false">U57+U58+U56</f>
        <v>177553.652285289</v>
      </c>
      <c r="V59" s="252" t="n">
        <f aca="false">V57+V58+V56</f>
        <v>191351.617633435</v>
      </c>
      <c r="W59" s="252" t="n">
        <f aca="false">W57+W58+W56</f>
        <v>204111.975987401</v>
      </c>
      <c r="X59" s="252" t="n">
        <f aca="false">X57+X58+X56</f>
        <v>215912.755393149</v>
      </c>
      <c r="Y59" s="252" t="n">
        <f aca="false">Y57+Y58+Y56</f>
        <v>226826.116187584</v>
      </c>
      <c r="Z59" s="252" t="n">
        <f aca="false">Z57+Z58+Z56</f>
        <v>251517.231686516</v>
      </c>
      <c r="AA59" s="252" t="n">
        <f aca="false">AA57+AA58+AA56</f>
        <v>274462.981613059</v>
      </c>
      <c r="AB59" s="252" t="n">
        <f aca="false">AB57+AB58+AB56</f>
        <v>295786.742368795</v>
      </c>
      <c r="AC59" s="252" t="n">
        <f aca="false">AC57+AC58+AC56</f>
        <v>315603.16912423</v>
      </c>
      <c r="AD59" s="252" t="n">
        <f aca="false">AD57+AD58+AD56</f>
        <v>334018.812305176</v>
      </c>
      <c r="AE59" s="252" t="n">
        <f aca="false">AE57+AE58+AE56</f>
        <v>351132.690500948</v>
      </c>
      <c r="AF59" s="252" t="n">
        <f aca="false">AF57+AF58+AF56</f>
        <v>367036.822874817</v>
      </c>
      <c r="AG59" s="252" t="n">
        <f aca="false">AG57+AG58+AG56</f>
        <v>381816.723939442</v>
      </c>
      <c r="AH59" s="252" t="n">
        <f aca="false">AH57+AH58+AH56</f>
        <v>395551.863357611</v>
      </c>
      <c r="AI59" s="252" t="n">
        <f aca="false">AI57+AI58+AI56</f>
        <v>408316.093240588</v>
      </c>
      <c r="AJ59" s="252" t="n">
        <f aca="false">AJ57+AJ58+AJ56</f>
        <v>420178.045241597</v>
      </c>
      <c r="AK59" s="252" t="n">
        <f aca="false">AK57+AK58+AK56</f>
        <v>431201.499579559</v>
      </c>
      <c r="AL59" s="252" t="n">
        <f aca="false">AL57+AL58+AL56</f>
        <v>463637.074273416</v>
      </c>
      <c r="AM59" s="252" t="n">
        <f aca="false">AM57+AM58+AM56</f>
        <v>493917.411417551</v>
      </c>
      <c r="AN59" s="252" t="n">
        <f aca="false">AN57+AN58+AN56</f>
        <v>522185.719477964</v>
      </c>
      <c r="AO59" s="252" t="n">
        <f aca="false">AO57+AO58+AO56</f>
        <v>548575.691187814</v>
      </c>
      <c r="AP59" s="252" t="n">
        <f aca="false">AP57+AP58+AP56</f>
        <v>573212.135836651</v>
      </c>
      <c r="AQ59" s="252" t="n">
        <f aca="false">AQ57+AQ58+AQ56</f>
        <v>596211.569546111</v>
      </c>
      <c r="AR59" s="252" t="n">
        <f aca="false">AR57+AR58+AR56</f>
        <v>617682.76632372</v>
      </c>
      <c r="AS59" s="252" t="n">
        <f aca="false">AS57+AS58+AS56</f>
        <v>637727.272500982</v>
      </c>
      <c r="AT59" s="252" t="n">
        <f aca="false">AT57+AT58+AT56</f>
        <v>656439.886988746</v>
      </c>
      <c r="AU59" s="252" t="n">
        <f aca="false">AU57+AU58+AU56</f>
        <v>673909.109621173</v>
      </c>
      <c r="AV59" s="252" t="n">
        <f aca="false">AV57+AV58+AV56</f>
        <v>690217.559708725</v>
      </c>
      <c r="AW59" s="252" t="n">
        <f aca="false">AW57+AW58+AW56</f>
        <v>705442.366779677</v>
      </c>
      <c r="AX59" s="252" t="n">
        <f aca="false">AX57+AX58+AX56</f>
        <v>753011.745243423</v>
      </c>
      <c r="AY59" s="252" t="n">
        <f aca="false">AY57+AY58+AY56</f>
        <v>797609.944286096</v>
      </c>
      <c r="AZ59" s="252" t="n">
        <f aca="false">AZ57+AZ58+AZ56</f>
        <v>839422.543527134</v>
      </c>
      <c r="BA59" s="252" t="n">
        <f aca="false">BA57+BA58+BA56</f>
        <v>878623.531298385</v>
      </c>
      <c r="BB59" s="252" t="n">
        <f aca="false">BB57+BB58+BB56</f>
        <v>915376.028634965</v>
      </c>
      <c r="BC59" s="252" t="n">
        <f aca="false">BC57+BC58+BC56</f>
        <v>949832.968045711</v>
      </c>
      <c r="BD59" s="252" t="n">
        <f aca="false">BD57+BD58+BD56</f>
        <v>982137.729887679</v>
      </c>
      <c r="BE59" s="252" t="n">
        <f aca="false">BE57+BE58+BE56</f>
        <v>1012424.73899275</v>
      </c>
      <c r="BF59" s="252" t="n">
        <f aca="false">BF57+BF58+BF56</f>
        <v>1040820.024029</v>
      </c>
      <c r="BG59" s="252" t="n">
        <f aca="false">BG57+BG58+BG56</f>
        <v>1067441.74192438</v>
      </c>
      <c r="BH59" s="252" t="n">
        <f aca="false">BH57+BH58+BH56</f>
        <v>1092400.66953493</v>
      </c>
      <c r="BI59" s="252" t="n">
        <f aca="false">BI57+BI58+BI56</f>
        <v>1115800.66460352</v>
      </c>
      <c r="BJ59" s="202" t="n">
        <f aca="false">BI59</f>
        <v>1115800.66460352</v>
      </c>
      <c r="BK59" s="51" t="s">
        <v>748</v>
      </c>
    </row>
    <row r="60" customFormat="false" ht="15.75" hidden="false" customHeight="true" outlineLevel="0" collapsed="false">
      <c r="A60" s="49" t="s">
        <v>749</v>
      </c>
      <c r="B60" s="262" t="n">
        <f aca="false" t="array" ref="B60:B60">IF(B$4&lt;Premissas!$B$13,0,INDEX(Premissas!$C$53:$G$53,B$7)*MIN(1,MAX(0,(B$5-Premissas!$B$14+1)/Premissas!$B$15)))</f>
        <v>0</v>
      </c>
      <c r="C60" s="262" t="n">
        <f aca="false" t="array" ref="C60:C60">IF(C$4&lt;Premissas!$B$13,0,INDEX(Premissas!$C$53:$G$53,C$7)*MIN(1,MAX(0,(C$5-Premissas!$B$14+1)/Premissas!$B$15)))</f>
        <v>0</v>
      </c>
      <c r="D60" s="262" t="n">
        <f aca="false" t="array" ref="D60:D60">IF(D$4&lt;Premissas!$B$13,0,INDEX(Premissas!$C$53:$G$53,D$7)*MIN(1,MAX(0,(D$5-Premissas!$B$14+1)/Premissas!$B$15)))</f>
        <v>0</v>
      </c>
      <c r="E60" s="262" t="n">
        <f aca="false" t="array" ref="E60:E60">IF(E$4&lt;Premissas!$B$13,0,INDEX(Premissas!$C$53:$G$53,E$7)*MIN(1,MAX(0,(E$5-Premissas!$B$14+1)/Premissas!$B$15)))</f>
        <v>0</v>
      </c>
      <c r="F60" s="262" t="n">
        <f aca="false" t="array" ref="F60:F60">IF(F$4&lt;Premissas!$B$13,0,INDEX(Premissas!$C$53:$G$53,F$7)*MIN(1,MAX(0,(F$5-Premissas!$B$14+1)/Premissas!$B$15)))</f>
        <v>0</v>
      </c>
      <c r="G60" s="262" t="n">
        <f aca="false" t="array" ref="G60:G60">IF(G$4&lt;Premissas!$B$13,0,INDEX(Premissas!$C$53:$G$53,G$7)*MIN(1,MAX(0,(G$5-Premissas!$B$14+1)/Premissas!$B$15)))</f>
        <v>0</v>
      </c>
      <c r="H60" s="262" t="n">
        <f aca="false" t="array" ref="H60:H60">IF(H$4&lt;Premissas!$B$13,0,INDEX(Premissas!$C$53:$G$53,H$7)*MIN(1,MAX(0,(H$5-Premissas!$B$14+1)/Premissas!$B$15)))</f>
        <v>0</v>
      </c>
      <c r="I60" s="262" t="n">
        <f aca="false" t="array" ref="I60:I60">IF(I$4&lt;Premissas!$B$13,0,INDEX(Premissas!$C$53:$G$53,I$7)*MIN(1,MAX(0,(I$5-Premissas!$B$14+1)/Premissas!$B$15)))</f>
        <v>0</v>
      </c>
      <c r="J60" s="262" t="n">
        <f aca="false" t="array" ref="J60:J60">IF(J$4&lt;Premissas!$B$13,0,INDEX(Premissas!$C$53:$G$53,J$7)*MIN(1,MAX(0,(J$5-Premissas!$B$14+1)/Premissas!$B$15)))</f>
        <v>0</v>
      </c>
      <c r="K60" s="262" t="n">
        <f aca="false" t="array" ref="K60:K60">IF(K$4&lt;Premissas!$B$13,0,INDEX(Premissas!$C$53:$G$53,K$7)*MIN(1,MAX(0,(K$5-Premissas!$B$14+1)/Premissas!$B$15)))</f>
        <v>0</v>
      </c>
      <c r="L60" s="262" t="n">
        <f aca="false" t="array" ref="L60:L60">IF(L$4&lt;Premissas!$B$13,0,INDEX(Premissas!$C$53:$G$53,L$7)*MIN(1,MAX(0,(L$5-Premissas!$B$14+1)/Premissas!$B$15)))</f>
        <v>0</v>
      </c>
      <c r="M60" s="262" t="n">
        <f aca="false" t="array" ref="M60:M60">IF(M$4&lt;Premissas!$B$13,0,INDEX(Premissas!$C$53:$G$53,M$7)*MIN(1,MAX(0,(M$5-Premissas!$B$14+1)/Premissas!$B$15)))</f>
        <v>0.005</v>
      </c>
      <c r="N60" s="262" t="n">
        <f aca="false" t="array" ref="N60:N60">IF(N$4&lt;Premissas!$B$13,0,INDEX(Premissas!$C$53:$G$53,N$7)*MIN(1,MAX(0,(N$5-Premissas!$B$14+1)/Premissas!$B$15)))</f>
        <v>0.0103</v>
      </c>
      <c r="O60" s="262" t="n">
        <f aca="false" t="array" ref="O60:O60">IF(O$4&lt;Premissas!$B$13,0,INDEX(Premissas!$C$53:$G$53,O$7)*MIN(1,MAX(0,(O$5-Premissas!$B$14+1)/Premissas!$B$15)))</f>
        <v>0.01545</v>
      </c>
      <c r="P60" s="262" t="n">
        <f aca="false" t="array" ref="P60:P60">IF(P$4&lt;Premissas!$B$13,0,INDEX(Premissas!$C$53:$G$53,P$7)*MIN(1,MAX(0,(P$5-Premissas!$B$14+1)/Premissas!$B$15)))</f>
        <v>0.0206</v>
      </c>
      <c r="Q60" s="262" t="n">
        <f aca="false" t="array" ref="Q60:Q60">IF(Q$4&lt;Premissas!$B$13,0,INDEX(Premissas!$C$53:$G$53,Q$7)*MIN(1,MAX(0,(Q$5-Premissas!$B$14+1)/Premissas!$B$15)))</f>
        <v>0.02575</v>
      </c>
      <c r="R60" s="262" t="n">
        <f aca="false" t="array" ref="R60:R60">IF(R$4&lt;Premissas!$B$13,0,INDEX(Premissas!$C$53:$G$53,R$7)*MIN(1,MAX(0,(R$5-Premissas!$B$14+1)/Premissas!$B$15)))</f>
        <v>0.0309</v>
      </c>
      <c r="S60" s="262" t="n">
        <f aca="false" t="array" ref="S60:S60">IF(S$4&lt;Premissas!$B$13,0,INDEX(Premissas!$C$53:$G$53,S$7)*MIN(1,MAX(0,(S$5-Premissas!$B$14+1)/Premissas!$B$15)))</f>
        <v>0.0309</v>
      </c>
      <c r="T60" s="262" t="n">
        <f aca="false" t="array" ref="T60:T60">IF(T$4&lt;Premissas!$B$13,0,INDEX(Premissas!$C$53:$G$53,T$7)*MIN(1,MAX(0,(T$5-Premissas!$B$14+1)/Premissas!$B$15)))</f>
        <v>0.0309</v>
      </c>
      <c r="U60" s="262" t="n">
        <f aca="false" t="array" ref="U60:U60">IF(U$4&lt;Premissas!$B$13,0,INDEX(Premissas!$C$53:$G$53,U$7)*MIN(1,MAX(0,(U$5-Premissas!$B$14+1)/Premissas!$B$15)))</f>
        <v>0.0309</v>
      </c>
      <c r="V60" s="262" t="n">
        <f aca="false" t="array" ref="V60:V60">IF(V$4&lt;Premissas!$B$13,0,INDEX(Premissas!$C$53:$G$53,V$7)*MIN(1,MAX(0,(V$5-Premissas!$B$14+1)/Premissas!$B$15)))</f>
        <v>0.0309</v>
      </c>
      <c r="W60" s="262" t="n">
        <f aca="false" t="array" ref="W60:W60">IF(W$4&lt;Premissas!$B$13,0,INDEX(Premissas!$C$53:$G$53,W$7)*MIN(1,MAX(0,(W$5-Premissas!$B$14+1)/Premissas!$B$15)))</f>
        <v>0.0309</v>
      </c>
      <c r="X60" s="262" t="n">
        <f aca="false" t="array" ref="X60:X60">IF(X$4&lt;Premissas!$B$13,0,INDEX(Premissas!$C$53:$G$53,X$7)*MIN(1,MAX(0,(X$5-Premissas!$B$14+1)/Premissas!$B$15)))</f>
        <v>0.0309</v>
      </c>
      <c r="Y60" s="262" t="n">
        <f aca="false" t="array" ref="Y60:Y60">IF(Y$4&lt;Premissas!$B$13,0,INDEX(Premissas!$C$53:$G$53,Y$7)*MIN(1,MAX(0,(Y$5-Premissas!$B$14+1)/Premissas!$B$15)))</f>
        <v>0.0309</v>
      </c>
      <c r="Z60" s="262" t="n">
        <f aca="false" t="array" ref="Z60:Z60">IF(Z$4&lt;Premissas!$B$13,0,INDEX(Premissas!$C$53:$G$53,Z$7)*MIN(1,MAX(0,(Z$5-Premissas!$B$14+1)/Premissas!$B$15)))</f>
        <v>0.031827</v>
      </c>
      <c r="AA60" s="262" t="n">
        <f aca="false" t="array" ref="AA60:AA60">IF(AA$4&lt;Premissas!$B$13,0,INDEX(Premissas!$C$53:$G$53,AA$7)*MIN(1,MAX(0,(AA$5-Premissas!$B$14+1)/Premissas!$B$15)))</f>
        <v>0.031827</v>
      </c>
      <c r="AB60" s="262" t="n">
        <f aca="false" t="array" ref="AB60:AB60">IF(AB$4&lt;Premissas!$B$13,0,INDEX(Premissas!$C$53:$G$53,AB$7)*MIN(1,MAX(0,(AB$5-Premissas!$B$14+1)/Premissas!$B$15)))</f>
        <v>0.031827</v>
      </c>
      <c r="AC60" s="262" t="n">
        <f aca="false" t="array" ref="AC60:AC60">IF(AC$4&lt;Premissas!$B$13,0,INDEX(Premissas!$C$53:$G$53,AC$7)*MIN(1,MAX(0,(AC$5-Premissas!$B$14+1)/Premissas!$B$15)))</f>
        <v>0.031827</v>
      </c>
      <c r="AD60" s="262" t="n">
        <f aca="false" t="array" ref="AD60:AD60">IF(AD$4&lt;Premissas!$B$13,0,INDEX(Premissas!$C$53:$G$53,AD$7)*MIN(1,MAX(0,(AD$5-Premissas!$B$14+1)/Premissas!$B$15)))</f>
        <v>0.031827</v>
      </c>
      <c r="AE60" s="262" t="n">
        <f aca="false" t="array" ref="AE60:AE60">IF(AE$4&lt;Premissas!$B$13,0,INDEX(Premissas!$C$53:$G$53,AE$7)*MIN(1,MAX(0,(AE$5-Premissas!$B$14+1)/Premissas!$B$15)))</f>
        <v>0.031827</v>
      </c>
      <c r="AF60" s="262" t="n">
        <f aca="false" t="array" ref="AF60:AF60">IF(AF$4&lt;Premissas!$B$13,0,INDEX(Premissas!$C$53:$G$53,AF$7)*MIN(1,MAX(0,(AF$5-Premissas!$B$14+1)/Premissas!$B$15)))</f>
        <v>0.031827</v>
      </c>
      <c r="AG60" s="262" t="n">
        <f aca="false" t="array" ref="AG60:AG60">IF(AG$4&lt;Premissas!$B$13,0,INDEX(Premissas!$C$53:$G$53,AG$7)*MIN(1,MAX(0,(AG$5-Premissas!$B$14+1)/Premissas!$B$15)))</f>
        <v>0.031827</v>
      </c>
      <c r="AH60" s="262" t="n">
        <f aca="false" t="array" ref="AH60:AH60">IF(AH$4&lt;Premissas!$B$13,0,INDEX(Premissas!$C$53:$G$53,AH$7)*MIN(1,MAX(0,(AH$5-Premissas!$B$14+1)/Premissas!$B$15)))</f>
        <v>0.031827</v>
      </c>
      <c r="AI60" s="262" t="n">
        <f aca="false" t="array" ref="AI60:AI60">IF(AI$4&lt;Premissas!$B$13,0,INDEX(Premissas!$C$53:$G$53,AI$7)*MIN(1,MAX(0,(AI$5-Premissas!$B$14+1)/Premissas!$B$15)))</f>
        <v>0.031827</v>
      </c>
      <c r="AJ60" s="262" t="n">
        <f aca="false" t="array" ref="AJ60:AJ60">IF(AJ$4&lt;Premissas!$B$13,0,INDEX(Premissas!$C$53:$G$53,AJ$7)*MIN(1,MAX(0,(AJ$5-Premissas!$B$14+1)/Premissas!$B$15)))</f>
        <v>0.031827</v>
      </c>
      <c r="AK60" s="262" t="n">
        <f aca="false" t="array" ref="AK60:AK60">IF(AK$4&lt;Premissas!$B$13,0,INDEX(Premissas!$C$53:$G$53,AK$7)*MIN(1,MAX(0,(AK$5-Premissas!$B$14+1)/Premissas!$B$15)))</f>
        <v>0.031827</v>
      </c>
      <c r="AL60" s="262" t="n">
        <f aca="false" t="array" ref="AL60:AL60">IF(AL$4&lt;Premissas!$B$13,0,INDEX(Premissas!$C$53:$G$53,AL$7)*MIN(1,MAX(0,(AL$5-Premissas!$B$14+1)/Premissas!$B$15)))</f>
        <v>0.03278181</v>
      </c>
      <c r="AM60" s="262" t="n">
        <f aca="false" t="array" ref="AM60:AM60">IF(AM$4&lt;Premissas!$B$13,0,INDEX(Premissas!$C$53:$G$53,AM$7)*MIN(1,MAX(0,(AM$5-Premissas!$B$14+1)/Premissas!$B$15)))</f>
        <v>0.03278181</v>
      </c>
      <c r="AN60" s="262" t="n">
        <f aca="false" t="array" ref="AN60:AN60">IF(AN$4&lt;Premissas!$B$13,0,INDEX(Premissas!$C$53:$G$53,AN$7)*MIN(1,MAX(0,(AN$5-Premissas!$B$14+1)/Premissas!$B$15)))</f>
        <v>0.03278181</v>
      </c>
      <c r="AO60" s="262" t="n">
        <f aca="false" t="array" ref="AO60:AO60">IF(AO$4&lt;Premissas!$B$13,0,INDEX(Premissas!$C$53:$G$53,AO$7)*MIN(1,MAX(0,(AO$5-Premissas!$B$14+1)/Premissas!$B$15)))</f>
        <v>0.03278181</v>
      </c>
      <c r="AP60" s="262" t="n">
        <f aca="false" t="array" ref="AP60:AP60">IF(AP$4&lt;Premissas!$B$13,0,INDEX(Premissas!$C$53:$G$53,AP$7)*MIN(1,MAX(0,(AP$5-Premissas!$B$14+1)/Premissas!$B$15)))</f>
        <v>0.03278181</v>
      </c>
      <c r="AQ60" s="262" t="n">
        <f aca="false" t="array" ref="AQ60:AQ60">IF(AQ$4&lt;Premissas!$B$13,0,INDEX(Premissas!$C$53:$G$53,AQ$7)*MIN(1,MAX(0,(AQ$5-Premissas!$B$14+1)/Premissas!$B$15)))</f>
        <v>0.03278181</v>
      </c>
      <c r="AR60" s="262" t="n">
        <f aca="false" t="array" ref="AR60:AR60">IF(AR$4&lt;Premissas!$B$13,0,INDEX(Premissas!$C$53:$G$53,AR$7)*MIN(1,MAX(0,(AR$5-Premissas!$B$14+1)/Premissas!$B$15)))</f>
        <v>0.03278181</v>
      </c>
      <c r="AS60" s="262" t="n">
        <f aca="false" t="array" ref="AS60:AS60">IF(AS$4&lt;Premissas!$B$13,0,INDEX(Premissas!$C$53:$G$53,AS$7)*MIN(1,MAX(0,(AS$5-Premissas!$B$14+1)/Premissas!$B$15)))</f>
        <v>0.03278181</v>
      </c>
      <c r="AT60" s="262" t="n">
        <f aca="false" t="array" ref="AT60:AT60">IF(AT$4&lt;Premissas!$B$13,0,INDEX(Premissas!$C$53:$G$53,AT$7)*MIN(1,MAX(0,(AT$5-Premissas!$B$14+1)/Premissas!$B$15)))</f>
        <v>0.03278181</v>
      </c>
      <c r="AU60" s="262" t="n">
        <f aca="false" t="array" ref="AU60:AU60">IF(AU$4&lt;Premissas!$B$13,0,INDEX(Premissas!$C$53:$G$53,AU$7)*MIN(1,MAX(0,(AU$5-Premissas!$B$14+1)/Premissas!$B$15)))</f>
        <v>0.03278181</v>
      </c>
      <c r="AV60" s="262" t="n">
        <f aca="false" t="array" ref="AV60:AV60">IF(AV$4&lt;Premissas!$B$13,0,INDEX(Premissas!$C$53:$G$53,AV$7)*MIN(1,MAX(0,(AV$5-Premissas!$B$14+1)/Premissas!$B$15)))</f>
        <v>0.03278181</v>
      </c>
      <c r="AW60" s="262" t="n">
        <f aca="false" t="array" ref="AW60:AW60">IF(AW$4&lt;Premissas!$B$13,0,INDEX(Premissas!$C$53:$G$53,AW$7)*MIN(1,MAX(0,(AW$5-Premissas!$B$14+1)/Premissas!$B$15)))</f>
        <v>0.03278181</v>
      </c>
      <c r="AX60" s="262" t="n">
        <f aca="false" t="array" ref="AX60:AX60">IF(AX$4&lt;Premissas!$B$13,0,INDEX(Premissas!$C$53:$G$53,AX$7)*MIN(1,MAX(0,(AX$5-Premissas!$B$14+1)/Premissas!$B$15)))</f>
        <v>0.0337652643</v>
      </c>
      <c r="AY60" s="262" t="n">
        <f aca="false" t="array" ref="AY60:AY60">IF(AY$4&lt;Premissas!$B$13,0,INDEX(Premissas!$C$53:$G$53,AY$7)*MIN(1,MAX(0,(AY$5-Premissas!$B$14+1)/Premissas!$B$15)))</f>
        <v>0.0337652643</v>
      </c>
      <c r="AZ60" s="262" t="n">
        <f aca="false" t="array" ref="AZ60:AZ60">IF(AZ$4&lt;Premissas!$B$13,0,INDEX(Premissas!$C$53:$G$53,AZ$7)*MIN(1,MAX(0,(AZ$5-Premissas!$B$14+1)/Premissas!$B$15)))</f>
        <v>0.0337652643</v>
      </c>
      <c r="BA60" s="262" t="n">
        <f aca="false" t="array" ref="BA60:BA60">IF(BA$4&lt;Premissas!$B$13,0,INDEX(Premissas!$C$53:$G$53,BA$7)*MIN(1,MAX(0,(BA$5-Premissas!$B$14+1)/Premissas!$B$15)))</f>
        <v>0.0337652643</v>
      </c>
      <c r="BB60" s="262" t="n">
        <f aca="false" t="array" ref="BB60:BB60">IF(BB$4&lt;Premissas!$B$13,0,INDEX(Premissas!$C$53:$G$53,BB$7)*MIN(1,MAX(0,(BB$5-Premissas!$B$14+1)/Premissas!$B$15)))</f>
        <v>0.0337652643</v>
      </c>
      <c r="BC60" s="262" t="n">
        <f aca="false" t="array" ref="BC60:BC60">IF(BC$4&lt;Premissas!$B$13,0,INDEX(Premissas!$C$53:$G$53,BC$7)*MIN(1,MAX(0,(BC$5-Premissas!$B$14+1)/Premissas!$B$15)))</f>
        <v>0.0337652643</v>
      </c>
      <c r="BD60" s="262" t="n">
        <f aca="false" t="array" ref="BD60:BD60">IF(BD$4&lt;Premissas!$B$13,0,INDEX(Premissas!$C$53:$G$53,BD$7)*MIN(1,MAX(0,(BD$5-Premissas!$B$14+1)/Premissas!$B$15)))</f>
        <v>0.0337652643</v>
      </c>
      <c r="BE60" s="262" t="n">
        <f aca="false" t="array" ref="BE60:BE60">IF(BE$4&lt;Premissas!$B$13,0,INDEX(Premissas!$C$53:$G$53,BE$7)*MIN(1,MAX(0,(BE$5-Premissas!$B$14+1)/Premissas!$B$15)))</f>
        <v>0.0337652643</v>
      </c>
      <c r="BF60" s="262" t="n">
        <f aca="false" t="array" ref="BF60:BF60">IF(BF$4&lt;Premissas!$B$13,0,INDEX(Premissas!$C$53:$G$53,BF$7)*MIN(1,MAX(0,(BF$5-Premissas!$B$14+1)/Premissas!$B$15)))</f>
        <v>0.0337652643</v>
      </c>
      <c r="BG60" s="262" t="n">
        <f aca="false" t="array" ref="BG60:BG60">IF(BG$4&lt;Premissas!$B$13,0,INDEX(Premissas!$C$53:$G$53,BG$7)*MIN(1,MAX(0,(BG$5-Premissas!$B$14+1)/Premissas!$B$15)))</f>
        <v>0.0337652643</v>
      </c>
      <c r="BH60" s="262" t="n">
        <f aca="false" t="array" ref="BH60:BH60">IF(BH$4&lt;Premissas!$B$13,0,INDEX(Premissas!$C$53:$G$53,BH$7)*MIN(1,MAX(0,(BH$5-Premissas!$B$14+1)/Premissas!$B$15)))</f>
        <v>0.0337652643</v>
      </c>
      <c r="BI60" s="262" t="n">
        <f aca="false" t="array" ref="BI60:BI60">IF(BI$4&lt;Premissas!$B$13,0,INDEX(Premissas!$C$53:$G$53,BI$7)*MIN(1,MAX(0,(BI$5-Premissas!$B$14+1)/Premissas!$B$15)))</f>
        <v>0.0337652643</v>
      </c>
      <c r="BJ60" s="157" t="n">
        <f aca="false">BI60</f>
        <v>0.0337652643</v>
      </c>
    </row>
    <row r="61" customFormat="false" ht="15.75" hidden="false" customHeight="true" outlineLevel="0" collapsed="false">
      <c r="A61" s="53" t="s">
        <v>717</v>
      </c>
      <c r="B61" s="252" t="n">
        <f aca="false">ROUND(B59*B60,0)</f>
        <v>0</v>
      </c>
      <c r="C61" s="252" t="n">
        <f aca="false">ROUND(C59*C60,0)</f>
        <v>0</v>
      </c>
      <c r="D61" s="252" t="n">
        <f aca="false">ROUND(D59*D60,0)</f>
        <v>0</v>
      </c>
      <c r="E61" s="252" t="n">
        <f aca="false">ROUND(E59*E60,0)</f>
        <v>0</v>
      </c>
      <c r="F61" s="252" t="n">
        <f aca="false">ROUND(F59*F60,0)</f>
        <v>0</v>
      </c>
      <c r="G61" s="252" t="n">
        <f aca="false">ROUND(G59*G60,0)</f>
        <v>0</v>
      </c>
      <c r="H61" s="252" t="n">
        <f aca="false">ROUND(H59*H60,0)</f>
        <v>0</v>
      </c>
      <c r="I61" s="252" t="n">
        <f aca="false">ROUND(I59*I60,0)</f>
        <v>0</v>
      </c>
      <c r="J61" s="252" t="n">
        <f aca="false">ROUND(J59*J60,0)</f>
        <v>0</v>
      </c>
      <c r="K61" s="252" t="n">
        <f aca="false">ROUND(K59*K60,0)</f>
        <v>0</v>
      </c>
      <c r="L61" s="252" t="n">
        <f aca="false">ROUND(L59*L60,0)</f>
        <v>0</v>
      </c>
      <c r="M61" s="252" t="n">
        <f aca="false">ROUND(M59*M60,0)</f>
        <v>90</v>
      </c>
      <c r="N61" s="252" t="n">
        <f aca="false">ROUND(N59*N60,0)</f>
        <v>452</v>
      </c>
      <c r="O61" s="252" t="n">
        <f aca="false">ROUND(O59*O60,0)</f>
        <v>1047</v>
      </c>
      <c r="P61" s="252" t="n">
        <f aca="false">ROUND(P59*P60,0)</f>
        <v>1850</v>
      </c>
      <c r="Q61" s="252" t="n">
        <f aca="false">ROUND(Q59*Q60,0)</f>
        <v>2837</v>
      </c>
      <c r="R61" s="252" t="n">
        <f aca="false">ROUND(R59*R60,0)</f>
        <v>3988</v>
      </c>
      <c r="S61" s="252" t="n">
        <f aca="false">ROUND(S59*S60,0)</f>
        <v>4527</v>
      </c>
      <c r="T61" s="252" t="n">
        <f aca="false">ROUND(T59*T60,0)</f>
        <v>5025</v>
      </c>
      <c r="U61" s="252" t="n">
        <f aca="false">ROUND(U59*U60,0)</f>
        <v>5486</v>
      </c>
      <c r="V61" s="252" t="n">
        <f aca="false">ROUND(V59*V60,0)</f>
        <v>5913</v>
      </c>
      <c r="W61" s="252" t="n">
        <f aca="false">ROUND(W59*W60,0)</f>
        <v>6307</v>
      </c>
      <c r="X61" s="252" t="n">
        <f aca="false">ROUND(X59*X60,0)</f>
        <v>6672</v>
      </c>
      <c r="Y61" s="252" t="n">
        <f aca="false">ROUND(Y59*Y60,0)</f>
        <v>7009</v>
      </c>
      <c r="Z61" s="252" t="n">
        <f aca="false">ROUND(Z59*Z60,0)</f>
        <v>8005</v>
      </c>
      <c r="AA61" s="252" t="n">
        <f aca="false">ROUND(AA59*AA60,0)</f>
        <v>8735</v>
      </c>
      <c r="AB61" s="252" t="n">
        <f aca="false">ROUND(AB59*AB60,0)</f>
        <v>9414</v>
      </c>
      <c r="AC61" s="252" t="n">
        <f aca="false">ROUND(AC59*AC60,0)</f>
        <v>10045</v>
      </c>
      <c r="AD61" s="252" t="n">
        <f aca="false">ROUND(AD59*AD60,0)</f>
        <v>10631</v>
      </c>
      <c r="AE61" s="252" t="n">
        <f aca="false">ROUND(AE59*AE60,0)</f>
        <v>11176</v>
      </c>
      <c r="AF61" s="252" t="n">
        <f aca="false">ROUND(AF59*AF60,0)</f>
        <v>11682</v>
      </c>
      <c r="AG61" s="252" t="n">
        <f aca="false">ROUND(AG59*AG60,0)</f>
        <v>12152</v>
      </c>
      <c r="AH61" s="252" t="n">
        <f aca="false">ROUND(AH59*AH60,0)</f>
        <v>12589</v>
      </c>
      <c r="AI61" s="252" t="n">
        <f aca="false">ROUND(AI59*AI60,0)</f>
        <v>12995</v>
      </c>
      <c r="AJ61" s="252" t="n">
        <f aca="false">ROUND(AJ59*AJ60,0)</f>
        <v>13373</v>
      </c>
      <c r="AK61" s="252" t="n">
        <f aca="false">ROUND(AK59*AK60,0)</f>
        <v>13724</v>
      </c>
      <c r="AL61" s="252" t="n">
        <f aca="false">ROUND(AL59*AL60,0)</f>
        <v>15199</v>
      </c>
      <c r="AM61" s="252" t="n">
        <f aca="false">ROUND(AM59*AM60,0)</f>
        <v>16192</v>
      </c>
      <c r="AN61" s="252" t="n">
        <f aca="false">ROUND(AN59*AN60,0)</f>
        <v>17118</v>
      </c>
      <c r="AO61" s="252" t="n">
        <f aca="false">ROUND(AO59*AO60,0)</f>
        <v>17983</v>
      </c>
      <c r="AP61" s="252" t="n">
        <f aca="false">ROUND(AP59*AP60,0)</f>
        <v>18791</v>
      </c>
      <c r="AQ61" s="252" t="n">
        <f aca="false">ROUND(AQ59*AQ60,0)</f>
        <v>19545</v>
      </c>
      <c r="AR61" s="252" t="n">
        <f aca="false">ROUND(AR59*AR60,0)</f>
        <v>20249</v>
      </c>
      <c r="AS61" s="252" t="n">
        <f aca="false">ROUND(AS59*AS60,0)</f>
        <v>20906</v>
      </c>
      <c r="AT61" s="252" t="n">
        <f aca="false">ROUND(AT59*AT60,0)</f>
        <v>21519</v>
      </c>
      <c r="AU61" s="252" t="n">
        <f aca="false">ROUND(AU59*AU60,0)</f>
        <v>22092</v>
      </c>
      <c r="AV61" s="252" t="n">
        <f aca="false">ROUND(AV59*AV60,0)</f>
        <v>22627</v>
      </c>
      <c r="AW61" s="252" t="n">
        <f aca="false">ROUND(AW59*AW60,0)</f>
        <v>23126</v>
      </c>
      <c r="AX61" s="252" t="n">
        <f aca="false">ROUND(AX59*AX60,0)</f>
        <v>25426</v>
      </c>
      <c r="AY61" s="252" t="n">
        <f aca="false">ROUND(AY59*AY60,0)</f>
        <v>26932</v>
      </c>
      <c r="AZ61" s="252" t="n">
        <f aca="false">ROUND(AZ59*AZ60,0)</f>
        <v>28343</v>
      </c>
      <c r="BA61" s="252" t="n">
        <f aca="false">ROUND(BA59*BA60,0)</f>
        <v>29667</v>
      </c>
      <c r="BB61" s="252" t="n">
        <f aca="false">ROUND(BB59*BB60,0)</f>
        <v>30908</v>
      </c>
      <c r="BC61" s="252" t="n">
        <f aca="false">ROUND(BC59*BC60,0)</f>
        <v>32071</v>
      </c>
      <c r="BD61" s="252" t="n">
        <f aca="false">ROUND(BD59*BD60,0)</f>
        <v>33162</v>
      </c>
      <c r="BE61" s="252" t="n">
        <f aca="false">ROUND(BE59*BE60,0)</f>
        <v>34185</v>
      </c>
      <c r="BF61" s="252" t="n">
        <f aca="false">ROUND(BF59*BF60,0)</f>
        <v>35144</v>
      </c>
      <c r="BG61" s="252" t="n">
        <f aca="false">ROUND(BG59*BG60,0)</f>
        <v>36042</v>
      </c>
      <c r="BH61" s="252" t="n">
        <f aca="false">ROUND(BH59*BH60,0)</f>
        <v>36885</v>
      </c>
      <c r="BI61" s="252" t="n">
        <f aca="false">ROUND(BI59*BI60,0)</f>
        <v>37675</v>
      </c>
      <c r="BJ61" s="202" t="n">
        <f aca="false">BI61</f>
        <v>37675</v>
      </c>
      <c r="BK61" s="51" t="s">
        <v>748</v>
      </c>
    </row>
    <row r="62" customFormat="false" ht="15.75" hidden="false" customHeight="true" outlineLevel="0" collapsed="false">
      <c r="A62" s="49" t="s">
        <v>718</v>
      </c>
      <c r="B62" s="201" t="n">
        <f aca="false" t="array" ref="B62:B62">ROUND(B61*INDEX(Premissas!$C$34:$G$34,B$7),0)</f>
        <v>0</v>
      </c>
      <c r="C62" s="201" t="n">
        <f aca="false" t="array" ref="C62:C62">ROUND(C61*INDEX(Premissas!$C$34:$G$34,C$7),0)</f>
        <v>0</v>
      </c>
      <c r="D62" s="201" t="n">
        <f aca="false" t="array" ref="D62:D62">ROUND(D61*INDEX(Premissas!$C$34:$G$34,D$7),0)</f>
        <v>0</v>
      </c>
      <c r="E62" s="201" t="n">
        <f aca="false" t="array" ref="E62:E62">ROUND(E61*INDEX(Premissas!$C$34:$G$34,E$7),0)</f>
        <v>0</v>
      </c>
      <c r="F62" s="201" t="n">
        <f aca="false" t="array" ref="F62:F62">ROUND(F61*INDEX(Premissas!$C$34:$G$34,F$7),0)</f>
        <v>0</v>
      </c>
      <c r="G62" s="201" t="n">
        <f aca="false" t="array" ref="G62:G62">ROUND(G61*INDEX(Premissas!$C$34:$G$34,G$7),0)</f>
        <v>0</v>
      </c>
      <c r="H62" s="201" t="n">
        <f aca="false" t="array" ref="H62:H62">ROUND(H61*INDEX(Premissas!$C$34:$G$34,H$7),0)</f>
        <v>0</v>
      </c>
      <c r="I62" s="201" t="n">
        <f aca="false" t="array" ref="I62:I62">ROUND(I61*INDEX(Premissas!$C$34:$G$34,I$7),0)</f>
        <v>0</v>
      </c>
      <c r="J62" s="201" t="n">
        <f aca="false" t="array" ref="J62:J62">ROUND(J61*INDEX(Premissas!$C$34:$G$34,J$7),0)</f>
        <v>0</v>
      </c>
      <c r="K62" s="201" t="n">
        <f aca="false" t="array" ref="K62:K62">ROUND(K61*INDEX(Premissas!$C$34:$G$34,K$7),0)</f>
        <v>0</v>
      </c>
      <c r="L62" s="201" t="n">
        <f aca="false" t="array" ref="L62:L62">ROUND(L61*INDEX(Premissas!$C$34:$G$34,L$7),0)</f>
        <v>0</v>
      </c>
      <c r="M62" s="201" t="n">
        <f aca="false" t="array" ref="M62:M62">ROUND(M61*INDEX(Premissas!$C$34:$G$34,M$7),0)</f>
        <v>90</v>
      </c>
      <c r="N62" s="201" t="n">
        <f aca="false" t="array" ref="N62:N62">ROUND(N61*INDEX(Premissas!$C$34:$G$34,N$7),0)</f>
        <v>452</v>
      </c>
      <c r="O62" s="201" t="n">
        <f aca="false" t="array" ref="O62:O62">ROUND(O61*INDEX(Premissas!$C$34:$G$34,O$7),0)</f>
        <v>1047</v>
      </c>
      <c r="P62" s="201" t="n">
        <f aca="false" t="array" ref="P62:P62">ROUND(P61*INDEX(Premissas!$C$34:$G$34,P$7),0)</f>
        <v>1850</v>
      </c>
      <c r="Q62" s="201" t="n">
        <f aca="false" t="array" ref="Q62:Q62">ROUND(Q61*INDEX(Premissas!$C$34:$G$34,Q$7),0)</f>
        <v>2837</v>
      </c>
      <c r="R62" s="201" t="n">
        <f aca="false" t="array" ref="R62:R62">ROUND(R61*INDEX(Premissas!$C$34:$G$34,R$7),0)</f>
        <v>3988</v>
      </c>
      <c r="S62" s="201" t="n">
        <f aca="false" t="array" ref="S62:S62">ROUND(S61*INDEX(Premissas!$C$34:$G$34,S$7),0)</f>
        <v>4527</v>
      </c>
      <c r="T62" s="201" t="n">
        <f aca="false" t="array" ref="T62:T62">ROUND(T61*INDEX(Premissas!$C$34:$G$34,T$7),0)</f>
        <v>5025</v>
      </c>
      <c r="U62" s="201" t="n">
        <f aca="false" t="array" ref="U62:U62">ROUND(U61*INDEX(Premissas!$C$34:$G$34,U$7),0)</f>
        <v>5486</v>
      </c>
      <c r="V62" s="201" t="n">
        <f aca="false" t="array" ref="V62:V62">ROUND(V61*INDEX(Premissas!$C$34:$G$34,V$7),0)</f>
        <v>5913</v>
      </c>
      <c r="W62" s="201" t="n">
        <f aca="false" t="array" ref="W62:W62">ROUND(W61*INDEX(Premissas!$C$34:$G$34,W$7),0)</f>
        <v>6307</v>
      </c>
      <c r="X62" s="201" t="n">
        <f aca="false" t="array" ref="X62:X62">ROUND(X61*INDEX(Premissas!$C$34:$G$34,X$7),0)</f>
        <v>6672</v>
      </c>
      <c r="Y62" s="201" t="n">
        <f aca="false" t="array" ref="Y62:Y62">ROUND(Y61*INDEX(Premissas!$C$34:$G$34,Y$7),0)</f>
        <v>7009</v>
      </c>
      <c r="Z62" s="201" t="n">
        <f aca="false" t="array" ref="Z62:Z62">ROUND(Z61*INDEX(Premissas!$C$34:$G$34,Z$7),0)</f>
        <v>5443</v>
      </c>
      <c r="AA62" s="201" t="n">
        <f aca="false" t="array" ref="AA62:AA62">ROUND(AA61*INDEX(Premissas!$C$34:$G$34,AA$7),0)</f>
        <v>5940</v>
      </c>
      <c r="AB62" s="201" t="n">
        <f aca="false" t="array" ref="AB62:AB62">ROUND(AB61*INDEX(Premissas!$C$34:$G$34,AB$7),0)</f>
        <v>6402</v>
      </c>
      <c r="AC62" s="201" t="n">
        <f aca="false" t="array" ref="AC62:AC62">ROUND(AC61*INDEX(Premissas!$C$34:$G$34,AC$7),0)</f>
        <v>6831</v>
      </c>
      <c r="AD62" s="201" t="n">
        <f aca="false" t="array" ref="AD62:AD62">ROUND(AD61*INDEX(Premissas!$C$34:$G$34,AD$7),0)</f>
        <v>7229</v>
      </c>
      <c r="AE62" s="201" t="n">
        <f aca="false" t="array" ref="AE62:AE62">ROUND(AE61*INDEX(Premissas!$C$34:$G$34,AE$7),0)</f>
        <v>7600</v>
      </c>
      <c r="AF62" s="201" t="n">
        <f aca="false" t="array" ref="AF62:AF62">ROUND(AF61*INDEX(Premissas!$C$34:$G$34,AF$7),0)</f>
        <v>7944</v>
      </c>
      <c r="AG62" s="201" t="n">
        <f aca="false" t="array" ref="AG62:AG62">ROUND(AG61*INDEX(Premissas!$C$34:$G$34,AG$7),0)</f>
        <v>8263</v>
      </c>
      <c r="AH62" s="201" t="n">
        <f aca="false" t="array" ref="AH62:AH62">ROUND(AH61*INDEX(Premissas!$C$34:$G$34,AH$7),0)</f>
        <v>8561</v>
      </c>
      <c r="AI62" s="201" t="n">
        <f aca="false" t="array" ref="AI62:AI62">ROUND(AI61*INDEX(Premissas!$C$34:$G$34,AI$7),0)</f>
        <v>8837</v>
      </c>
      <c r="AJ62" s="201" t="n">
        <f aca="false" t="array" ref="AJ62:AJ62">ROUND(AJ61*INDEX(Premissas!$C$34:$G$34,AJ$7),0)</f>
        <v>9094</v>
      </c>
      <c r="AK62" s="201" t="n">
        <f aca="false" t="array" ref="AK62:AK62">ROUND(AK61*INDEX(Premissas!$C$34:$G$34,AK$7),0)</f>
        <v>9332</v>
      </c>
      <c r="AL62" s="201" t="n">
        <f aca="false" t="array" ref="AL62:AL62">ROUND(AL61*INDEX(Premissas!$C$34:$G$34,AL$7),0)</f>
        <v>9727</v>
      </c>
      <c r="AM62" s="201" t="n">
        <f aca="false" t="array" ref="AM62:AM62">ROUND(AM61*INDEX(Premissas!$C$34:$G$34,AM$7),0)</f>
        <v>10363</v>
      </c>
      <c r="AN62" s="201" t="n">
        <f aca="false" t="array" ref="AN62:AN62">ROUND(AN61*INDEX(Premissas!$C$34:$G$34,AN$7),0)</f>
        <v>10956</v>
      </c>
      <c r="AO62" s="201" t="n">
        <f aca="false" t="array" ref="AO62:AO62">ROUND(AO61*INDEX(Premissas!$C$34:$G$34,AO$7),0)</f>
        <v>11509</v>
      </c>
      <c r="AP62" s="201" t="n">
        <f aca="false" t="array" ref="AP62:AP62">ROUND(AP61*INDEX(Premissas!$C$34:$G$34,AP$7),0)</f>
        <v>12026</v>
      </c>
      <c r="AQ62" s="201" t="n">
        <f aca="false" t="array" ref="AQ62:AQ62">ROUND(AQ61*INDEX(Premissas!$C$34:$G$34,AQ$7),0)</f>
        <v>12509</v>
      </c>
      <c r="AR62" s="201" t="n">
        <f aca="false" t="array" ref="AR62:AR62">ROUND(AR61*INDEX(Premissas!$C$34:$G$34,AR$7),0)</f>
        <v>12959</v>
      </c>
      <c r="AS62" s="201" t="n">
        <f aca="false" t="array" ref="AS62:AS62">ROUND(AS61*INDEX(Premissas!$C$34:$G$34,AS$7),0)</f>
        <v>13380</v>
      </c>
      <c r="AT62" s="201" t="n">
        <f aca="false" t="array" ref="AT62:AT62">ROUND(AT61*INDEX(Premissas!$C$34:$G$34,AT$7),0)</f>
        <v>13772</v>
      </c>
      <c r="AU62" s="201" t="n">
        <f aca="false" t="array" ref="AU62:AU62">ROUND(AU61*INDEX(Premissas!$C$34:$G$34,AU$7),0)</f>
        <v>14139</v>
      </c>
      <c r="AV62" s="201" t="n">
        <f aca="false" t="array" ref="AV62:AV62">ROUND(AV61*INDEX(Premissas!$C$34:$G$34,AV$7),0)</f>
        <v>14481</v>
      </c>
      <c r="AW62" s="201" t="n">
        <f aca="false" t="array" ref="AW62:AW62">ROUND(AW61*INDEX(Premissas!$C$34:$G$34,AW$7),0)</f>
        <v>14801</v>
      </c>
      <c r="AX62" s="201" t="n">
        <f aca="false" t="array" ref="AX62:AX62">ROUND(AX61*INDEX(Premissas!$C$34:$G$34,AX$7),0)</f>
        <v>15256</v>
      </c>
      <c r="AY62" s="201" t="n">
        <f aca="false" t="array" ref="AY62:AY62">ROUND(AY61*INDEX(Premissas!$C$34:$G$34,AY$7),0)</f>
        <v>16159</v>
      </c>
      <c r="AZ62" s="201" t="n">
        <f aca="false" t="array" ref="AZ62:AZ62">ROUND(AZ61*INDEX(Premissas!$C$34:$G$34,AZ$7),0)</f>
        <v>17006</v>
      </c>
      <c r="BA62" s="201" t="n">
        <f aca="false" t="array" ref="BA62:BA62">ROUND(BA61*INDEX(Premissas!$C$34:$G$34,BA$7),0)</f>
        <v>17800</v>
      </c>
      <c r="BB62" s="201" t="n">
        <f aca="false" t="array" ref="BB62:BB62">ROUND(BB61*INDEX(Premissas!$C$34:$G$34,BB$7),0)</f>
        <v>18545</v>
      </c>
      <c r="BC62" s="201" t="n">
        <f aca="false" t="array" ref="BC62:BC62">ROUND(BC61*INDEX(Premissas!$C$34:$G$34,BC$7),0)</f>
        <v>19243</v>
      </c>
      <c r="BD62" s="201" t="n">
        <f aca="false" t="array" ref="BD62:BD62">ROUND(BD61*INDEX(Premissas!$C$34:$G$34,BD$7),0)</f>
        <v>19897</v>
      </c>
      <c r="BE62" s="201" t="n">
        <f aca="false" t="array" ref="BE62:BE62">ROUND(BE61*INDEX(Premissas!$C$34:$G$34,BE$7),0)</f>
        <v>20511</v>
      </c>
      <c r="BF62" s="201" t="n">
        <f aca="false" t="array" ref="BF62:BF62">ROUND(BF61*INDEX(Premissas!$C$34:$G$34,BF$7),0)</f>
        <v>21086</v>
      </c>
      <c r="BG62" s="201" t="n">
        <f aca="false" t="array" ref="BG62:BG62">ROUND(BG61*INDEX(Premissas!$C$34:$G$34,BG$7),0)</f>
        <v>21625</v>
      </c>
      <c r="BH62" s="201" t="n">
        <f aca="false" t="array" ref="BH62:BH62">ROUND(BH61*INDEX(Premissas!$C$34:$G$34,BH$7),0)</f>
        <v>22131</v>
      </c>
      <c r="BI62" s="201" t="n">
        <f aca="false" t="array" ref="BI62:BI62">ROUND(BI61*INDEX(Premissas!$C$34:$G$34,BI$7),0)</f>
        <v>22605</v>
      </c>
      <c r="BJ62" s="202" t="n">
        <f aca="false">BI62</f>
        <v>22605</v>
      </c>
      <c r="BK62" s="51" t="s">
        <v>748</v>
      </c>
    </row>
    <row r="63" customFormat="false" ht="15.75" hidden="false" customHeight="true" outlineLevel="0" collapsed="false">
      <c r="A63" s="49" t="s">
        <v>719</v>
      </c>
      <c r="B63" s="201" t="n">
        <f aca="false" t="array" ref="B63:B63">ROUND(B61*INDEX(Premissas!$C$35:$G$35,B$7),0)</f>
        <v>0</v>
      </c>
      <c r="C63" s="201" t="n">
        <f aca="false" t="array" ref="C63:C63">ROUND(C61*INDEX(Premissas!$C$35:$G$35,C$7),0)</f>
        <v>0</v>
      </c>
      <c r="D63" s="201" t="n">
        <f aca="false" t="array" ref="D63:D63">ROUND(D61*INDEX(Premissas!$C$35:$G$35,D$7),0)</f>
        <v>0</v>
      </c>
      <c r="E63" s="201" t="n">
        <f aca="false" t="array" ref="E63:E63">ROUND(E61*INDEX(Premissas!$C$35:$G$35,E$7),0)</f>
        <v>0</v>
      </c>
      <c r="F63" s="201" t="n">
        <f aca="false" t="array" ref="F63:F63">ROUND(F61*INDEX(Premissas!$C$35:$G$35,F$7),0)</f>
        <v>0</v>
      </c>
      <c r="G63" s="201" t="n">
        <f aca="false" t="array" ref="G63:G63">ROUND(G61*INDEX(Premissas!$C$35:$G$35,G$7),0)</f>
        <v>0</v>
      </c>
      <c r="H63" s="201" t="n">
        <f aca="false" t="array" ref="H63:H63">ROUND(H61*INDEX(Premissas!$C$35:$G$35,H$7),0)</f>
        <v>0</v>
      </c>
      <c r="I63" s="201" t="n">
        <f aca="false" t="array" ref="I63:I63">ROUND(I61*INDEX(Premissas!$C$35:$G$35,I$7),0)</f>
        <v>0</v>
      </c>
      <c r="J63" s="201" t="n">
        <f aca="false" t="array" ref="J63:J63">ROUND(J61*INDEX(Premissas!$C$35:$G$35,J$7),0)</f>
        <v>0</v>
      </c>
      <c r="K63" s="201" t="n">
        <f aca="false" t="array" ref="K63:K63">ROUND(K61*INDEX(Premissas!$C$35:$G$35,K$7),0)</f>
        <v>0</v>
      </c>
      <c r="L63" s="201" t="n">
        <f aca="false" t="array" ref="L63:L63">ROUND(L61*INDEX(Premissas!$C$35:$G$35,L$7),0)</f>
        <v>0</v>
      </c>
      <c r="M63" s="201" t="n">
        <f aca="false" t="array" ref="M63:M63">ROUND(M61*INDEX(Premissas!$C$35:$G$35,M$7),0)</f>
        <v>0</v>
      </c>
      <c r="N63" s="201" t="n">
        <f aca="false" t="array" ref="N63:N63">ROUND(N61*INDEX(Premissas!$C$35:$G$35,N$7),0)</f>
        <v>0</v>
      </c>
      <c r="O63" s="201" t="n">
        <f aca="false" t="array" ref="O63:O63">ROUND(O61*INDEX(Premissas!$C$35:$G$35,O$7),0)</f>
        <v>0</v>
      </c>
      <c r="P63" s="201" t="n">
        <f aca="false" t="array" ref="P63:P63">ROUND(P61*INDEX(Premissas!$C$35:$G$35,P$7),0)</f>
        <v>0</v>
      </c>
      <c r="Q63" s="201" t="n">
        <f aca="false" t="array" ref="Q63:Q63">ROUND(Q61*INDEX(Premissas!$C$35:$G$35,Q$7),0)</f>
        <v>0</v>
      </c>
      <c r="R63" s="201" t="n">
        <f aca="false" t="array" ref="R63:R63">ROUND(R61*INDEX(Premissas!$C$35:$G$35,R$7),0)</f>
        <v>0</v>
      </c>
      <c r="S63" s="201" t="n">
        <f aca="false" t="array" ref="S63:S63">ROUND(S61*INDEX(Premissas!$C$35:$G$35,S$7),0)</f>
        <v>0</v>
      </c>
      <c r="T63" s="201" t="n">
        <f aca="false" t="array" ref="T63:T63">ROUND(T61*INDEX(Premissas!$C$35:$G$35,T$7),0)</f>
        <v>0</v>
      </c>
      <c r="U63" s="201" t="n">
        <f aca="false" t="array" ref="U63:U63">ROUND(U61*INDEX(Premissas!$C$35:$G$35,U$7),0)</f>
        <v>0</v>
      </c>
      <c r="V63" s="201" t="n">
        <f aca="false" t="array" ref="V63:V63">ROUND(V61*INDEX(Premissas!$C$35:$G$35,V$7),0)</f>
        <v>0</v>
      </c>
      <c r="W63" s="201" t="n">
        <f aca="false" t="array" ref="W63:W63">ROUND(W61*INDEX(Premissas!$C$35:$G$35,W$7),0)</f>
        <v>0</v>
      </c>
      <c r="X63" s="201" t="n">
        <f aca="false" t="array" ref="X63:X63">ROUND(X61*INDEX(Premissas!$C$35:$G$35,X$7),0)</f>
        <v>0</v>
      </c>
      <c r="Y63" s="201" t="n">
        <f aca="false" t="array" ref="Y63:Y63">ROUND(Y61*INDEX(Premissas!$C$35:$G$35,Y$7),0)</f>
        <v>0</v>
      </c>
      <c r="Z63" s="201" t="n">
        <f aca="false" t="array" ref="Z63:Z63">ROUND(Z61*INDEX(Premissas!$C$35:$G$35,Z$7),0)</f>
        <v>1921</v>
      </c>
      <c r="AA63" s="201" t="n">
        <f aca="false" t="array" ref="AA63:AA63">ROUND(AA61*INDEX(Premissas!$C$35:$G$35,AA$7),0)</f>
        <v>2096</v>
      </c>
      <c r="AB63" s="201" t="n">
        <f aca="false" t="array" ref="AB63:AB63">ROUND(AB61*INDEX(Premissas!$C$35:$G$35,AB$7),0)</f>
        <v>2259</v>
      </c>
      <c r="AC63" s="201" t="n">
        <f aca="false" t="array" ref="AC63:AC63">ROUND(AC61*INDEX(Premissas!$C$35:$G$35,AC$7),0)</f>
        <v>2411</v>
      </c>
      <c r="AD63" s="201" t="n">
        <f aca="false" t="array" ref="AD63:AD63">ROUND(AD61*INDEX(Premissas!$C$35:$G$35,AD$7),0)</f>
        <v>2551</v>
      </c>
      <c r="AE63" s="201" t="n">
        <f aca="false" t="array" ref="AE63:AE63">ROUND(AE61*INDEX(Premissas!$C$35:$G$35,AE$7),0)</f>
        <v>2682</v>
      </c>
      <c r="AF63" s="201" t="n">
        <f aca="false" t="array" ref="AF63:AF63">ROUND(AF61*INDEX(Premissas!$C$35:$G$35,AF$7),0)</f>
        <v>2804</v>
      </c>
      <c r="AG63" s="201" t="n">
        <f aca="false" t="array" ref="AG63:AG63">ROUND(AG61*INDEX(Premissas!$C$35:$G$35,AG$7),0)</f>
        <v>2916</v>
      </c>
      <c r="AH63" s="201" t="n">
        <f aca="false" t="array" ref="AH63:AH63">ROUND(AH61*INDEX(Premissas!$C$35:$G$35,AH$7),0)</f>
        <v>3021</v>
      </c>
      <c r="AI63" s="201" t="n">
        <f aca="false" t="array" ref="AI63:AI63">ROUND(AI61*INDEX(Premissas!$C$35:$G$35,AI$7),0)</f>
        <v>3119</v>
      </c>
      <c r="AJ63" s="201" t="n">
        <f aca="false" t="array" ref="AJ63:AJ63">ROUND(AJ61*INDEX(Premissas!$C$35:$G$35,AJ$7),0)</f>
        <v>3210</v>
      </c>
      <c r="AK63" s="201" t="n">
        <f aca="false" t="array" ref="AK63:AK63">ROUND(AK61*INDEX(Premissas!$C$35:$G$35,AK$7),0)</f>
        <v>3294</v>
      </c>
      <c r="AL63" s="201" t="n">
        <f aca="false" t="array" ref="AL63:AL63">ROUND(AL61*INDEX(Premissas!$C$35:$G$35,AL$7),0)</f>
        <v>3952</v>
      </c>
      <c r="AM63" s="201" t="n">
        <f aca="false" t="array" ref="AM63:AM63">ROUND(AM61*INDEX(Premissas!$C$35:$G$35,AM$7),0)</f>
        <v>4210</v>
      </c>
      <c r="AN63" s="201" t="n">
        <f aca="false" t="array" ref="AN63:AN63">ROUND(AN61*INDEX(Premissas!$C$35:$G$35,AN$7),0)</f>
        <v>4451</v>
      </c>
      <c r="AO63" s="201" t="n">
        <f aca="false" t="array" ref="AO63:AO63">ROUND(AO61*INDEX(Premissas!$C$35:$G$35,AO$7),0)</f>
        <v>4676</v>
      </c>
      <c r="AP63" s="201" t="n">
        <f aca="false" t="array" ref="AP63:AP63">ROUND(AP61*INDEX(Premissas!$C$35:$G$35,AP$7),0)</f>
        <v>4886</v>
      </c>
      <c r="AQ63" s="201" t="n">
        <f aca="false" t="array" ref="AQ63:AQ63">ROUND(AQ61*INDEX(Premissas!$C$35:$G$35,AQ$7),0)</f>
        <v>5082</v>
      </c>
      <c r="AR63" s="201" t="n">
        <f aca="false" t="array" ref="AR63:AR63">ROUND(AR61*INDEX(Premissas!$C$35:$G$35,AR$7),0)</f>
        <v>5265</v>
      </c>
      <c r="AS63" s="201" t="n">
        <f aca="false" t="array" ref="AS63:AS63">ROUND(AS61*INDEX(Premissas!$C$35:$G$35,AS$7),0)</f>
        <v>5436</v>
      </c>
      <c r="AT63" s="201" t="n">
        <f aca="false" t="array" ref="AT63:AT63">ROUND(AT61*INDEX(Premissas!$C$35:$G$35,AT$7),0)</f>
        <v>5595</v>
      </c>
      <c r="AU63" s="201" t="n">
        <f aca="false" t="array" ref="AU63:AU63">ROUND(AU61*INDEX(Premissas!$C$35:$G$35,AU$7),0)</f>
        <v>5744</v>
      </c>
      <c r="AV63" s="201" t="n">
        <f aca="false" t="array" ref="AV63:AV63">ROUND(AV61*INDEX(Premissas!$C$35:$G$35,AV$7),0)</f>
        <v>5883</v>
      </c>
      <c r="AW63" s="201" t="n">
        <f aca="false" t="array" ref="AW63:AW63">ROUND(AW61*INDEX(Premissas!$C$35:$G$35,AW$7),0)</f>
        <v>6013</v>
      </c>
      <c r="AX63" s="201" t="n">
        <f aca="false" t="array" ref="AX63:AX63">ROUND(AX61*INDEX(Premissas!$C$35:$G$35,AX$7),0)</f>
        <v>7119</v>
      </c>
      <c r="AY63" s="201" t="n">
        <f aca="false" t="array" ref="AY63:AY63">ROUND(AY61*INDEX(Premissas!$C$35:$G$35,AY$7),0)</f>
        <v>7541</v>
      </c>
      <c r="AZ63" s="201" t="n">
        <f aca="false" t="array" ref="AZ63:AZ63">ROUND(AZ61*INDEX(Premissas!$C$35:$G$35,AZ$7),0)</f>
        <v>7936</v>
      </c>
      <c r="BA63" s="201" t="n">
        <f aca="false" t="array" ref="BA63:BA63">ROUND(BA61*INDEX(Premissas!$C$35:$G$35,BA$7),0)</f>
        <v>8307</v>
      </c>
      <c r="BB63" s="201" t="n">
        <f aca="false" t="array" ref="BB63:BB63">ROUND(BB61*INDEX(Premissas!$C$35:$G$35,BB$7),0)</f>
        <v>8654</v>
      </c>
      <c r="BC63" s="201" t="n">
        <f aca="false" t="array" ref="BC63:BC63">ROUND(BC61*INDEX(Premissas!$C$35:$G$35,BC$7),0)</f>
        <v>8980</v>
      </c>
      <c r="BD63" s="201" t="n">
        <f aca="false" t="array" ref="BD63:BD63">ROUND(BD61*INDEX(Premissas!$C$35:$G$35,BD$7),0)</f>
        <v>9285</v>
      </c>
      <c r="BE63" s="201" t="n">
        <f aca="false" t="array" ref="BE63:BE63">ROUND(BE61*INDEX(Premissas!$C$35:$G$35,BE$7),0)</f>
        <v>9572</v>
      </c>
      <c r="BF63" s="201" t="n">
        <f aca="false" t="array" ref="BF63:BF63">ROUND(BF61*INDEX(Premissas!$C$35:$G$35,BF$7),0)</f>
        <v>9840</v>
      </c>
      <c r="BG63" s="201" t="n">
        <f aca="false" t="array" ref="BG63:BG63">ROUND(BG61*INDEX(Premissas!$C$35:$G$35,BG$7),0)</f>
        <v>10092</v>
      </c>
      <c r="BH63" s="201" t="n">
        <f aca="false" t="array" ref="BH63:BH63">ROUND(BH61*INDEX(Premissas!$C$35:$G$35,BH$7),0)</f>
        <v>10328</v>
      </c>
      <c r="BI63" s="201" t="n">
        <f aca="false" t="array" ref="BI63:BI63">ROUND(BI61*INDEX(Premissas!$C$35:$G$35,BI$7),0)</f>
        <v>10549</v>
      </c>
      <c r="BJ63" s="202" t="n">
        <f aca="false">BI63</f>
        <v>10549</v>
      </c>
      <c r="BK63" s="51" t="s">
        <v>748</v>
      </c>
    </row>
    <row r="64" customFormat="false" ht="15.75" hidden="false" customHeight="true" outlineLevel="0" collapsed="false">
      <c r="A64" s="49" t="s">
        <v>720</v>
      </c>
      <c r="B64" s="201" t="n">
        <f aca="false">B61-B62-B63</f>
        <v>0</v>
      </c>
      <c r="C64" s="201" t="n">
        <f aca="false">C61-C62-C63</f>
        <v>0</v>
      </c>
      <c r="D64" s="201" t="n">
        <f aca="false">D61-D62-D63</f>
        <v>0</v>
      </c>
      <c r="E64" s="201" t="n">
        <f aca="false">E61-E62-E63</f>
        <v>0</v>
      </c>
      <c r="F64" s="201" t="n">
        <f aca="false">F61-F62-F63</f>
        <v>0</v>
      </c>
      <c r="G64" s="201" t="n">
        <f aca="false">G61-G62-G63</f>
        <v>0</v>
      </c>
      <c r="H64" s="201" t="n">
        <f aca="false">H61-H62-H63</f>
        <v>0</v>
      </c>
      <c r="I64" s="201" t="n">
        <f aca="false">I61-I62-I63</f>
        <v>0</v>
      </c>
      <c r="J64" s="201" t="n">
        <f aca="false">J61-J62-J63</f>
        <v>0</v>
      </c>
      <c r="K64" s="201" t="n">
        <f aca="false">K61-K62-K63</f>
        <v>0</v>
      </c>
      <c r="L64" s="201" t="n">
        <f aca="false">L61-L62-L63</f>
        <v>0</v>
      </c>
      <c r="M64" s="201" t="n">
        <f aca="false">M61-M62-M63</f>
        <v>0</v>
      </c>
      <c r="N64" s="201" t="n">
        <f aca="false">N61-N62-N63</f>
        <v>0</v>
      </c>
      <c r="O64" s="201" t="n">
        <f aca="false">O61-O62-O63</f>
        <v>0</v>
      </c>
      <c r="P64" s="201" t="n">
        <f aca="false">P61-P62-P63</f>
        <v>0</v>
      </c>
      <c r="Q64" s="201" t="n">
        <f aca="false">Q61-Q62-Q63</f>
        <v>0</v>
      </c>
      <c r="R64" s="201" t="n">
        <f aca="false">R61-R62-R63</f>
        <v>0</v>
      </c>
      <c r="S64" s="201" t="n">
        <f aca="false">S61-S62-S63</f>
        <v>0</v>
      </c>
      <c r="T64" s="201" t="n">
        <f aca="false">T61-T62-T63</f>
        <v>0</v>
      </c>
      <c r="U64" s="201" t="n">
        <f aca="false">U61-U62-U63</f>
        <v>0</v>
      </c>
      <c r="V64" s="201" t="n">
        <f aca="false">V61-V62-V63</f>
        <v>0</v>
      </c>
      <c r="W64" s="201" t="n">
        <f aca="false">W61-W62-W63</f>
        <v>0</v>
      </c>
      <c r="X64" s="201" t="n">
        <f aca="false">X61-X62-X63</f>
        <v>0</v>
      </c>
      <c r="Y64" s="201" t="n">
        <f aca="false">Y61-Y62-Y63</f>
        <v>0</v>
      </c>
      <c r="Z64" s="201" t="n">
        <f aca="false">Z61-Z62-Z63</f>
        <v>641</v>
      </c>
      <c r="AA64" s="201" t="n">
        <f aca="false">AA61-AA62-AA63</f>
        <v>699</v>
      </c>
      <c r="AB64" s="201" t="n">
        <f aca="false">AB61-AB62-AB63</f>
        <v>753</v>
      </c>
      <c r="AC64" s="201" t="n">
        <f aca="false">AC61-AC62-AC63</f>
        <v>803</v>
      </c>
      <c r="AD64" s="201" t="n">
        <f aca="false">AD61-AD62-AD63</f>
        <v>851</v>
      </c>
      <c r="AE64" s="201" t="n">
        <f aca="false">AE61-AE62-AE63</f>
        <v>894</v>
      </c>
      <c r="AF64" s="201" t="n">
        <f aca="false">AF61-AF62-AF63</f>
        <v>934</v>
      </c>
      <c r="AG64" s="201" t="n">
        <f aca="false">AG61-AG62-AG63</f>
        <v>973</v>
      </c>
      <c r="AH64" s="201" t="n">
        <f aca="false">AH61-AH62-AH63</f>
        <v>1007</v>
      </c>
      <c r="AI64" s="201" t="n">
        <f aca="false">AI61-AI62-AI63</f>
        <v>1039</v>
      </c>
      <c r="AJ64" s="201" t="n">
        <f aca="false">AJ61-AJ62-AJ63</f>
        <v>1069</v>
      </c>
      <c r="AK64" s="201" t="n">
        <f aca="false">AK61-AK62-AK63</f>
        <v>1098</v>
      </c>
      <c r="AL64" s="201" t="n">
        <f aca="false">AL61-AL62-AL63</f>
        <v>1520</v>
      </c>
      <c r="AM64" s="201" t="n">
        <f aca="false">AM61-AM62-AM63</f>
        <v>1619</v>
      </c>
      <c r="AN64" s="201" t="n">
        <f aca="false">AN61-AN62-AN63</f>
        <v>1711</v>
      </c>
      <c r="AO64" s="201" t="n">
        <f aca="false">AO61-AO62-AO63</f>
        <v>1798</v>
      </c>
      <c r="AP64" s="201" t="n">
        <f aca="false">AP61-AP62-AP63</f>
        <v>1879</v>
      </c>
      <c r="AQ64" s="201" t="n">
        <f aca="false">AQ61-AQ62-AQ63</f>
        <v>1954</v>
      </c>
      <c r="AR64" s="201" t="n">
        <f aca="false">AR61-AR62-AR63</f>
        <v>2025</v>
      </c>
      <c r="AS64" s="201" t="n">
        <f aca="false">AS61-AS62-AS63</f>
        <v>2090</v>
      </c>
      <c r="AT64" s="201" t="n">
        <f aca="false">AT61-AT62-AT63</f>
        <v>2152</v>
      </c>
      <c r="AU64" s="201" t="n">
        <f aca="false">AU61-AU62-AU63</f>
        <v>2209</v>
      </c>
      <c r="AV64" s="201" t="n">
        <f aca="false">AV61-AV62-AV63</f>
        <v>2263</v>
      </c>
      <c r="AW64" s="201" t="n">
        <f aca="false">AW61-AW62-AW63</f>
        <v>2312</v>
      </c>
      <c r="AX64" s="201" t="n">
        <f aca="false">AX61-AX62-AX63</f>
        <v>3051</v>
      </c>
      <c r="AY64" s="201" t="n">
        <f aca="false">AY61-AY62-AY63</f>
        <v>3232</v>
      </c>
      <c r="AZ64" s="201" t="n">
        <f aca="false">AZ61-AZ62-AZ63</f>
        <v>3401</v>
      </c>
      <c r="BA64" s="201" t="n">
        <f aca="false">BA61-BA62-BA63</f>
        <v>3560</v>
      </c>
      <c r="BB64" s="201" t="n">
        <f aca="false">BB61-BB62-BB63</f>
        <v>3709</v>
      </c>
      <c r="BC64" s="201" t="n">
        <f aca="false">BC61-BC62-BC63</f>
        <v>3848</v>
      </c>
      <c r="BD64" s="201" t="n">
        <f aca="false">BD61-BD62-BD63</f>
        <v>3980</v>
      </c>
      <c r="BE64" s="201" t="n">
        <f aca="false">BE61-BE62-BE63</f>
        <v>4102</v>
      </c>
      <c r="BF64" s="201" t="n">
        <f aca="false">BF61-BF62-BF63</f>
        <v>4218</v>
      </c>
      <c r="BG64" s="201" t="n">
        <f aca="false">BG61-BG62-BG63</f>
        <v>4325</v>
      </c>
      <c r="BH64" s="201" t="n">
        <f aca="false">BH61-BH62-BH63</f>
        <v>4426</v>
      </c>
      <c r="BI64" s="201" t="n">
        <f aca="false">BI61-BI62-BI63</f>
        <v>4521</v>
      </c>
      <c r="BJ64" s="202" t="n">
        <f aca="false">BI64</f>
        <v>4521</v>
      </c>
      <c r="BK64" s="51" t="s">
        <v>748</v>
      </c>
    </row>
    <row r="65" customFormat="false" ht="15.75" hidden="false" customHeight="true" outlineLevel="0" collapsed="false">
      <c r="A65" s="49" t="s">
        <v>721</v>
      </c>
      <c r="B65" s="201" t="n">
        <f aca="false" t="array" ref="B65:B65">IF(ROUND(B59*INDEX(Premissas!$C$67:$G$67,B$7),0)&gt;=Premissas!$B$68,ROUND(B59*INDEX(Premissas!$C$67:$G$67,B$7),0),0)</f>
        <v>0</v>
      </c>
      <c r="C65" s="201" t="n">
        <f aca="false" t="array" ref="C65:C65">IF(ROUND(C59*INDEX(Premissas!$C$67:$G$67,C$7),0)&gt;=Premissas!$B$68,ROUND(C59*INDEX(Premissas!$C$67:$G$67,C$7),0),0)</f>
        <v>0</v>
      </c>
      <c r="D65" s="201" t="n">
        <f aca="false" t="array" ref="D65:D65">IF(ROUND(D59*INDEX(Premissas!$C$67:$G$67,D$7),0)&gt;=Premissas!$B$68,ROUND(D59*INDEX(Premissas!$C$67:$G$67,D$7),0),0)</f>
        <v>0</v>
      </c>
      <c r="E65" s="201" t="n">
        <f aca="false" t="array" ref="E65:E65">IF(ROUND(E59*INDEX(Premissas!$C$67:$G$67,E$7),0)&gt;=Premissas!$B$68,ROUND(E59*INDEX(Premissas!$C$67:$G$67,E$7),0),0)</f>
        <v>0</v>
      </c>
      <c r="F65" s="201" t="n">
        <f aca="false" t="array" ref="F65:F65">IF(ROUND(F59*INDEX(Premissas!$C$67:$G$67,F$7),0)&gt;=Premissas!$B$68,ROUND(F59*INDEX(Premissas!$C$67:$G$67,F$7),0),0)</f>
        <v>0</v>
      </c>
      <c r="G65" s="201" t="n">
        <f aca="false" t="array" ref="G65:G65">IF(ROUND(G59*INDEX(Premissas!$C$67:$G$67,G$7),0)&gt;=Premissas!$B$68,ROUND(G59*INDEX(Premissas!$C$67:$G$67,G$7),0),0)</f>
        <v>0</v>
      </c>
      <c r="H65" s="201" t="n">
        <f aca="false" t="array" ref="H65:H65">IF(ROUND(H59*INDEX(Premissas!$C$67:$G$67,H$7),0)&gt;=Premissas!$B$68,ROUND(H59*INDEX(Premissas!$C$67:$G$67,H$7),0),0)</f>
        <v>0</v>
      </c>
      <c r="I65" s="201" t="n">
        <f aca="false" t="array" ref="I65:I65">IF(ROUND(I59*INDEX(Premissas!$C$67:$G$67,I$7),0)&gt;=Premissas!$B$68,ROUND(I59*INDEX(Premissas!$C$67:$G$67,I$7),0),0)</f>
        <v>0</v>
      </c>
      <c r="J65" s="201" t="n">
        <f aca="false" t="array" ref="J65:J65">IF(ROUND(J59*INDEX(Premissas!$C$67:$G$67,J$7),0)&gt;=Premissas!$B$68,ROUND(J59*INDEX(Premissas!$C$67:$G$67,J$7),0),0)</f>
        <v>0</v>
      </c>
      <c r="K65" s="201" t="n">
        <f aca="false" t="array" ref="K65:K65">IF(ROUND(K59*INDEX(Premissas!$C$67:$G$67,K$7),0)&gt;=Premissas!$B$68,ROUND(K59*INDEX(Premissas!$C$67:$G$67,K$7),0),0)</f>
        <v>0</v>
      </c>
      <c r="L65" s="201" t="n">
        <f aca="false" t="array" ref="L65:L65">IF(ROUND(L59*INDEX(Premissas!$C$67:$G$67,L$7),0)&gt;=Premissas!$B$68,ROUND(L59*INDEX(Premissas!$C$67:$G$67,L$7),0),0)</f>
        <v>0</v>
      </c>
      <c r="M65" s="201" t="n">
        <f aca="false" t="array" ref="M65:M65">IF(ROUND(M59*INDEX(Premissas!$C$67:$G$67,M$7),0)&gt;=Premissas!$B$68,ROUND(M59*INDEX(Premissas!$C$67:$G$67,M$7),0),0)</f>
        <v>0</v>
      </c>
      <c r="N65" s="201" t="n">
        <f aca="false" t="array" ref="N65:N65">IF(ROUND(N59*INDEX(Premissas!$C$67:$G$67,N$7),0)&gt;=Premissas!$B$68,ROUND(N59*INDEX(Premissas!$C$67:$G$67,N$7),0),0)</f>
        <v>0</v>
      </c>
      <c r="O65" s="201" t="n">
        <f aca="false" t="array" ref="O65:O65">IF(ROUND(O59*INDEX(Premissas!$C$67:$G$67,O$7),0)&gt;=Premissas!$B$68,ROUND(O59*INDEX(Premissas!$C$67:$G$67,O$7),0),0)</f>
        <v>0</v>
      </c>
      <c r="P65" s="201" t="n">
        <f aca="false" t="array" ref="P65:P65">IF(ROUND(P59*INDEX(Premissas!$C$67:$G$67,P$7),0)&gt;=Premissas!$B$68,ROUND(P59*INDEX(Premissas!$C$67:$G$67,P$7),0),0)</f>
        <v>0</v>
      </c>
      <c r="Q65" s="201" t="n">
        <f aca="false" t="array" ref="Q65:Q65">IF(ROUND(Q59*INDEX(Premissas!$C$67:$G$67,Q$7),0)&gt;=Premissas!$B$68,ROUND(Q59*INDEX(Premissas!$C$67:$G$67,Q$7),0),0)</f>
        <v>110192</v>
      </c>
      <c r="R65" s="201" t="n">
        <f aca="false" t="array" ref="R65:R65">IF(ROUND(R59*INDEX(Premissas!$C$67:$G$67,R$7),0)&gt;=Premissas!$B$68,ROUND(R59*INDEX(Premissas!$C$67:$G$67,R$7),0),0)</f>
        <v>129056</v>
      </c>
      <c r="S65" s="201" t="n">
        <f aca="false" t="array" ref="S65:S65">IF(ROUND(S59*INDEX(Premissas!$C$67:$G$67,S$7),0)&gt;=Premissas!$B$68,ROUND(S59*INDEX(Premissas!$C$67:$G$67,S$7),0),0)</f>
        <v>146501</v>
      </c>
      <c r="T65" s="201" t="n">
        <f aca="false" t="array" ref="T65:T65">IF(ROUND(T59*INDEX(Premissas!$C$67:$G$67,T$7),0)&gt;=Premissas!$B$68,ROUND(T59*INDEX(Premissas!$C$67:$G$67,T$7),0),0)</f>
        <v>162634</v>
      </c>
      <c r="U65" s="201" t="n">
        <f aca="false" t="array" ref="U65:U65">IF(ROUND(U59*INDEX(Premissas!$C$67:$G$67,U$7),0)&gt;=Premissas!$B$68,ROUND(U59*INDEX(Premissas!$C$67:$G$67,U$7),0),0)</f>
        <v>177554</v>
      </c>
      <c r="V65" s="201" t="n">
        <f aca="false" t="array" ref="V65:V65">IF(ROUND(V59*INDEX(Premissas!$C$67:$G$67,V$7),0)&gt;=Premissas!$B$68,ROUND(V59*INDEX(Premissas!$C$67:$G$67,V$7),0),0)</f>
        <v>191352</v>
      </c>
      <c r="W65" s="201" t="n">
        <f aca="false" t="array" ref="W65:W65">IF(ROUND(W59*INDEX(Premissas!$C$67:$G$67,W$7),0)&gt;=Premissas!$B$68,ROUND(W59*INDEX(Premissas!$C$67:$G$67,W$7),0),0)</f>
        <v>204112</v>
      </c>
      <c r="X65" s="201" t="n">
        <f aca="false" t="array" ref="X65:X65">IF(ROUND(X59*INDEX(Premissas!$C$67:$G$67,X$7),0)&gt;=Premissas!$B$68,ROUND(X59*INDEX(Premissas!$C$67:$G$67,X$7),0),0)</f>
        <v>215913</v>
      </c>
      <c r="Y65" s="201" t="n">
        <f aca="false" t="array" ref="Y65:Y65">IF(ROUND(Y59*INDEX(Premissas!$C$67:$G$67,Y$7),0)&gt;=Premissas!$B$68,ROUND(Y59*INDEX(Premissas!$C$67:$G$67,Y$7),0),0)</f>
        <v>226826</v>
      </c>
      <c r="Z65" s="201" t="n">
        <f aca="false" t="array" ref="Z65:Z65">IF(ROUND(Z59*INDEX(Premissas!$C$67:$G$67,Z$7),0)&gt;=Premissas!$B$68,ROUND(Z59*INDEX(Premissas!$C$67:$G$67,Z$7),0),0)</f>
        <v>251517</v>
      </c>
      <c r="AA65" s="201" t="n">
        <f aca="false" t="array" ref="AA65:AA65">IF(ROUND(AA59*INDEX(Premissas!$C$67:$G$67,AA$7),0)&gt;=Premissas!$B$68,ROUND(AA59*INDEX(Premissas!$C$67:$G$67,AA$7),0),0)</f>
        <v>274463</v>
      </c>
      <c r="AB65" s="201" t="n">
        <f aca="false" t="array" ref="AB65:AB65">IF(ROUND(AB59*INDEX(Premissas!$C$67:$G$67,AB$7),0)&gt;=Premissas!$B$68,ROUND(AB59*INDEX(Premissas!$C$67:$G$67,AB$7),0),0)</f>
        <v>295787</v>
      </c>
      <c r="AC65" s="201" t="n">
        <f aca="false" t="array" ref="AC65:AC65">IF(ROUND(AC59*INDEX(Premissas!$C$67:$G$67,AC$7),0)&gt;=Premissas!$B$68,ROUND(AC59*INDEX(Premissas!$C$67:$G$67,AC$7),0),0)</f>
        <v>315603</v>
      </c>
      <c r="AD65" s="201" t="n">
        <f aca="false" t="array" ref="AD65:AD65">IF(ROUND(AD59*INDEX(Premissas!$C$67:$G$67,AD$7),0)&gt;=Premissas!$B$68,ROUND(AD59*INDEX(Premissas!$C$67:$G$67,AD$7),0),0)</f>
        <v>334019</v>
      </c>
      <c r="AE65" s="201" t="n">
        <f aca="false" t="array" ref="AE65:AE65">IF(ROUND(AE59*INDEX(Premissas!$C$67:$G$67,AE$7),0)&gt;=Premissas!$B$68,ROUND(AE59*INDEX(Premissas!$C$67:$G$67,AE$7),0),0)</f>
        <v>351133</v>
      </c>
      <c r="AF65" s="201" t="n">
        <f aca="false" t="array" ref="AF65:AF65">IF(ROUND(AF59*INDEX(Premissas!$C$67:$G$67,AF$7),0)&gt;=Premissas!$B$68,ROUND(AF59*INDEX(Premissas!$C$67:$G$67,AF$7),0),0)</f>
        <v>367037</v>
      </c>
      <c r="AG65" s="201" t="n">
        <f aca="false" t="array" ref="AG65:AG65">IF(ROUND(AG59*INDEX(Premissas!$C$67:$G$67,AG$7),0)&gt;=Premissas!$B$68,ROUND(AG59*INDEX(Premissas!$C$67:$G$67,AG$7),0),0)</f>
        <v>381817</v>
      </c>
      <c r="AH65" s="201" t="n">
        <f aca="false" t="array" ref="AH65:AH65">IF(ROUND(AH59*INDEX(Premissas!$C$67:$G$67,AH$7),0)&gt;=Premissas!$B$68,ROUND(AH59*INDEX(Premissas!$C$67:$G$67,AH$7),0),0)</f>
        <v>395552</v>
      </c>
      <c r="AI65" s="201" t="n">
        <f aca="false" t="array" ref="AI65:AI65">IF(ROUND(AI59*INDEX(Premissas!$C$67:$G$67,AI$7),0)&gt;=Premissas!$B$68,ROUND(AI59*INDEX(Premissas!$C$67:$G$67,AI$7),0),0)</f>
        <v>408316</v>
      </c>
      <c r="AJ65" s="201" t="n">
        <f aca="false" t="array" ref="AJ65:AJ65">IF(ROUND(AJ59*INDEX(Premissas!$C$67:$G$67,AJ$7),0)&gt;=Premissas!$B$68,ROUND(AJ59*INDEX(Premissas!$C$67:$G$67,AJ$7),0),0)</f>
        <v>420178</v>
      </c>
      <c r="AK65" s="201" t="n">
        <f aca="false" t="array" ref="AK65:AK65">IF(ROUND(AK59*INDEX(Premissas!$C$67:$G$67,AK$7),0)&gt;=Premissas!$B$68,ROUND(AK59*INDEX(Premissas!$C$67:$G$67,AK$7),0),0)</f>
        <v>431201</v>
      </c>
      <c r="AL65" s="201" t="n">
        <f aca="false" t="array" ref="AL65:AL65">IF(ROUND(AL59*INDEX(Premissas!$C$67:$G$67,AL$7),0)&gt;=Premissas!$B$68,ROUND(AL59*INDEX(Premissas!$C$67:$G$67,AL$7),0),0)</f>
        <v>463637</v>
      </c>
      <c r="AM65" s="201" t="n">
        <f aca="false" t="array" ref="AM65:AM65">IF(ROUND(AM59*INDEX(Premissas!$C$67:$G$67,AM$7),0)&gt;=Premissas!$B$68,ROUND(AM59*INDEX(Premissas!$C$67:$G$67,AM$7),0),0)</f>
        <v>493917</v>
      </c>
      <c r="AN65" s="201" t="n">
        <f aca="false" t="array" ref="AN65:AN65">IF(ROUND(AN59*INDEX(Premissas!$C$67:$G$67,AN$7),0)&gt;=Premissas!$B$68,ROUND(AN59*INDEX(Premissas!$C$67:$G$67,AN$7),0),0)</f>
        <v>522186</v>
      </c>
      <c r="AO65" s="201" t="n">
        <f aca="false" t="array" ref="AO65:AO65">IF(ROUND(AO59*INDEX(Premissas!$C$67:$G$67,AO$7),0)&gt;=Premissas!$B$68,ROUND(AO59*INDEX(Premissas!$C$67:$G$67,AO$7),0),0)</f>
        <v>548576</v>
      </c>
      <c r="AP65" s="201" t="n">
        <f aca="false" t="array" ref="AP65:AP65">IF(ROUND(AP59*INDEX(Premissas!$C$67:$G$67,AP$7),0)&gt;=Premissas!$B$68,ROUND(AP59*INDEX(Premissas!$C$67:$G$67,AP$7),0),0)</f>
        <v>573212</v>
      </c>
      <c r="AQ65" s="201" t="n">
        <f aca="false" t="array" ref="AQ65:AQ65">IF(ROUND(AQ59*INDEX(Premissas!$C$67:$G$67,AQ$7),0)&gt;=Premissas!$B$68,ROUND(AQ59*INDEX(Premissas!$C$67:$G$67,AQ$7),0),0)</f>
        <v>596212</v>
      </c>
      <c r="AR65" s="201" t="n">
        <f aca="false" t="array" ref="AR65:AR65">IF(ROUND(AR59*INDEX(Premissas!$C$67:$G$67,AR$7),0)&gt;=Premissas!$B$68,ROUND(AR59*INDEX(Premissas!$C$67:$G$67,AR$7),0),0)</f>
        <v>617683</v>
      </c>
      <c r="AS65" s="201" t="n">
        <f aca="false" t="array" ref="AS65:AS65">IF(ROUND(AS59*INDEX(Premissas!$C$67:$G$67,AS$7),0)&gt;=Premissas!$B$68,ROUND(AS59*INDEX(Premissas!$C$67:$G$67,AS$7),0),0)</f>
        <v>637727</v>
      </c>
      <c r="AT65" s="201" t="n">
        <f aca="false" t="array" ref="AT65:AT65">IF(ROUND(AT59*INDEX(Premissas!$C$67:$G$67,AT$7),0)&gt;=Premissas!$B$68,ROUND(AT59*INDEX(Premissas!$C$67:$G$67,AT$7),0),0)</f>
        <v>656440</v>
      </c>
      <c r="AU65" s="201" t="n">
        <f aca="false" t="array" ref="AU65:AU65">IF(ROUND(AU59*INDEX(Premissas!$C$67:$G$67,AU$7),0)&gt;=Premissas!$B$68,ROUND(AU59*INDEX(Premissas!$C$67:$G$67,AU$7),0),0)</f>
        <v>673909</v>
      </c>
      <c r="AV65" s="201" t="n">
        <f aca="false" t="array" ref="AV65:AV65">IF(ROUND(AV59*INDEX(Premissas!$C$67:$G$67,AV$7),0)&gt;=Premissas!$B$68,ROUND(AV59*INDEX(Premissas!$C$67:$G$67,AV$7),0),0)</f>
        <v>690218</v>
      </c>
      <c r="AW65" s="201" t="n">
        <f aca="false" t="array" ref="AW65:AW65">IF(ROUND(AW59*INDEX(Premissas!$C$67:$G$67,AW$7),0)&gt;=Premissas!$B$68,ROUND(AW59*INDEX(Premissas!$C$67:$G$67,AW$7),0),0)</f>
        <v>705442</v>
      </c>
      <c r="AX65" s="201" t="n">
        <f aca="false" t="array" ref="AX65:AX65">IF(ROUND(AX59*INDEX(Premissas!$C$67:$G$67,AX$7),0)&gt;=Premissas!$B$68,ROUND(AX59*INDEX(Premissas!$C$67:$G$67,AX$7),0),0)</f>
        <v>753012</v>
      </c>
      <c r="AY65" s="201" t="n">
        <f aca="false" t="array" ref="AY65:AY65">IF(ROUND(AY59*INDEX(Premissas!$C$67:$G$67,AY$7),0)&gt;=Premissas!$B$68,ROUND(AY59*INDEX(Premissas!$C$67:$G$67,AY$7),0),0)</f>
        <v>797610</v>
      </c>
      <c r="AZ65" s="201" t="n">
        <f aca="false" t="array" ref="AZ65:AZ65">IF(ROUND(AZ59*INDEX(Premissas!$C$67:$G$67,AZ$7),0)&gt;=Premissas!$B$68,ROUND(AZ59*INDEX(Premissas!$C$67:$G$67,AZ$7),0),0)</f>
        <v>839423</v>
      </c>
      <c r="BA65" s="201" t="n">
        <f aca="false" t="array" ref="BA65:BA65">IF(ROUND(BA59*INDEX(Premissas!$C$67:$G$67,BA$7),0)&gt;=Premissas!$B$68,ROUND(BA59*INDEX(Premissas!$C$67:$G$67,BA$7),0),0)</f>
        <v>878624</v>
      </c>
      <c r="BB65" s="201" t="n">
        <f aca="false" t="array" ref="BB65:BB65">IF(ROUND(BB59*INDEX(Premissas!$C$67:$G$67,BB$7),0)&gt;=Premissas!$B$68,ROUND(BB59*INDEX(Premissas!$C$67:$G$67,BB$7),0),0)</f>
        <v>915376</v>
      </c>
      <c r="BC65" s="201" t="n">
        <f aca="false" t="array" ref="BC65:BC65">IF(ROUND(BC59*INDEX(Premissas!$C$67:$G$67,BC$7),0)&gt;=Premissas!$B$68,ROUND(BC59*INDEX(Premissas!$C$67:$G$67,BC$7),0),0)</f>
        <v>949833</v>
      </c>
      <c r="BD65" s="201" t="n">
        <f aca="false" t="array" ref="BD65:BD65">IF(ROUND(BD59*INDEX(Premissas!$C$67:$G$67,BD$7),0)&gt;=Premissas!$B$68,ROUND(BD59*INDEX(Premissas!$C$67:$G$67,BD$7),0),0)</f>
        <v>982138</v>
      </c>
      <c r="BE65" s="201" t="n">
        <f aca="false" t="array" ref="BE65:BE65">IF(ROUND(BE59*INDEX(Premissas!$C$67:$G$67,BE$7),0)&gt;=Premissas!$B$68,ROUND(BE59*INDEX(Premissas!$C$67:$G$67,BE$7),0),0)</f>
        <v>1012425</v>
      </c>
      <c r="BF65" s="201" t="n">
        <f aca="false" t="array" ref="BF65:BF65">IF(ROUND(BF59*INDEX(Premissas!$C$67:$G$67,BF$7),0)&gt;=Premissas!$B$68,ROUND(BF59*INDEX(Premissas!$C$67:$G$67,BF$7),0),0)</f>
        <v>1040820</v>
      </c>
      <c r="BG65" s="201" t="n">
        <f aca="false" t="array" ref="BG65:BG65">IF(ROUND(BG59*INDEX(Premissas!$C$67:$G$67,BG$7),0)&gt;=Premissas!$B$68,ROUND(BG59*INDEX(Premissas!$C$67:$G$67,BG$7),0),0)</f>
        <v>1067442</v>
      </c>
      <c r="BH65" s="201" t="n">
        <f aca="false" t="array" ref="BH65:BH65">IF(ROUND(BH59*INDEX(Premissas!$C$67:$G$67,BH$7),0)&gt;=Premissas!$B$68,ROUND(BH59*INDEX(Premissas!$C$67:$G$67,BH$7),0),0)</f>
        <v>1092401</v>
      </c>
      <c r="BI65" s="201" t="n">
        <f aca="false" t="array" ref="BI65:BI65">IF(ROUND(BI59*INDEX(Premissas!$C$67:$G$67,BI$7),0)&gt;=Premissas!$B$68,ROUND(BI59*INDEX(Premissas!$C$67:$G$67,BI$7),0),0)</f>
        <v>1115801</v>
      </c>
      <c r="BJ65" s="202" t="n">
        <f aca="false">BI65</f>
        <v>1115801</v>
      </c>
    </row>
    <row r="66" customFormat="false" ht="15.75" hidden="false" customHeight="true" outlineLevel="0" collapsed="false">
      <c r="A66" s="49" t="s">
        <v>750</v>
      </c>
      <c r="B66" s="168" t="n">
        <f aca="false">B62*Premissas!$B$29*(1+Premissas!$B$32)^(B$6-2026)</f>
        <v>0</v>
      </c>
      <c r="C66" s="168" t="n">
        <f aca="false">C62*Premissas!$B$29*(1+Premissas!$B$32)^(C$6-2026)</f>
        <v>0</v>
      </c>
      <c r="D66" s="168" t="n">
        <f aca="false">D62*Premissas!$B$29*(1+Premissas!$B$32)^(D$6-2026)</f>
        <v>0</v>
      </c>
      <c r="E66" s="168" t="n">
        <f aca="false">E62*Premissas!$B$29*(1+Premissas!$B$32)^(E$6-2026)</f>
        <v>0</v>
      </c>
      <c r="F66" s="168" t="n">
        <f aca="false">F62*Premissas!$B$29*(1+Premissas!$B$32)^(F$6-2026)</f>
        <v>0</v>
      </c>
      <c r="G66" s="168" t="n">
        <f aca="false">G62*Premissas!$B$29*(1+Premissas!$B$32)^(G$6-2026)</f>
        <v>0</v>
      </c>
      <c r="H66" s="168" t="n">
        <f aca="false">H62*Premissas!$B$29*(1+Premissas!$B$32)^(H$6-2026)</f>
        <v>0</v>
      </c>
      <c r="I66" s="168" t="n">
        <f aca="false">I62*Premissas!$B$29*(1+Premissas!$B$32)^(I$6-2026)</f>
        <v>0</v>
      </c>
      <c r="J66" s="168" t="n">
        <f aca="false">J62*Premissas!$B$29*(1+Premissas!$B$32)^(J$6-2026)</f>
        <v>0</v>
      </c>
      <c r="K66" s="168" t="n">
        <f aca="false">K62*Premissas!$B$29*(1+Premissas!$B$32)^(K$6-2026)</f>
        <v>0</v>
      </c>
      <c r="L66" s="168" t="n">
        <f aca="false">L62*Premissas!$B$29*(1+Premissas!$B$32)^(L$6-2026)</f>
        <v>0</v>
      </c>
      <c r="M66" s="168" t="n">
        <f aca="false">M62*Premissas!$B$29*(1+Premissas!$B$32)^(M$6-2026)</f>
        <v>7191</v>
      </c>
      <c r="N66" s="168" t="n">
        <f aca="false">N62*Premissas!$B$29*(1+Premissas!$B$32)^(N$6-2026)</f>
        <v>36114.8</v>
      </c>
      <c r="O66" s="168" t="n">
        <f aca="false">O62*Premissas!$B$29*(1+Premissas!$B$32)^(O$6-2026)</f>
        <v>83655.3</v>
      </c>
      <c r="P66" s="168" t="n">
        <f aca="false">P62*Premissas!$B$29*(1+Premissas!$B$32)^(P$6-2026)</f>
        <v>147815</v>
      </c>
      <c r="Q66" s="168" t="n">
        <f aca="false">Q62*Premissas!$B$29*(1+Premissas!$B$32)^(Q$6-2026)</f>
        <v>226676.3</v>
      </c>
      <c r="R66" s="168" t="n">
        <f aca="false">R62*Premissas!$B$29*(1+Premissas!$B$32)^(R$6-2026)</f>
        <v>318641.2</v>
      </c>
      <c r="S66" s="168" t="n">
        <f aca="false">S62*Premissas!$B$29*(1+Premissas!$B$32)^(S$6-2026)</f>
        <v>361707.3</v>
      </c>
      <c r="T66" s="168" t="n">
        <f aca="false">T62*Premissas!$B$29*(1+Premissas!$B$32)^(T$6-2026)</f>
        <v>401497.5</v>
      </c>
      <c r="U66" s="168" t="n">
        <f aca="false">U62*Premissas!$B$29*(1+Premissas!$B$32)^(U$6-2026)</f>
        <v>438331.4</v>
      </c>
      <c r="V66" s="168" t="n">
        <f aca="false">V62*Premissas!$B$29*(1+Premissas!$B$32)^(V$6-2026)</f>
        <v>472448.7</v>
      </c>
      <c r="W66" s="168" t="n">
        <f aca="false">W62*Premissas!$B$29*(1+Premissas!$B$32)^(W$6-2026)</f>
        <v>503929.3</v>
      </c>
      <c r="X66" s="168" t="n">
        <f aca="false">X62*Premissas!$B$29*(1+Premissas!$B$32)^(X$6-2026)</f>
        <v>533092.8</v>
      </c>
      <c r="Y66" s="168" t="n">
        <f aca="false">Y62*Premissas!$B$29*(1+Premissas!$B$32)^(Y$6-2026)</f>
        <v>560019.1</v>
      </c>
      <c r="Z66" s="168" t="n">
        <f aca="false">Z62*Premissas!$B$29*(1+Premissas!$B$32)^(Z$6-2026)</f>
        <v>434895.7</v>
      </c>
      <c r="AA66" s="168" t="n">
        <f aca="false">AA62*Premissas!$B$29*(1+Premissas!$B$32)^(AA$6-2026)</f>
        <v>474606</v>
      </c>
      <c r="AB66" s="168" t="n">
        <f aca="false">AB62*Premissas!$B$29*(1+Premissas!$B$32)^(AB$6-2026)</f>
        <v>511519.8</v>
      </c>
      <c r="AC66" s="168" t="n">
        <f aca="false">AC62*Premissas!$B$29*(1+Premissas!$B$32)^(AC$6-2026)</f>
        <v>545796.9</v>
      </c>
      <c r="AD66" s="168" t="n">
        <f aca="false">AD62*Premissas!$B$29*(1+Premissas!$B$32)^(AD$6-2026)</f>
        <v>577597.1</v>
      </c>
      <c r="AE66" s="168" t="n">
        <f aca="false">AE62*Premissas!$B$29*(1+Premissas!$B$32)^(AE$6-2026)</f>
        <v>607240</v>
      </c>
      <c r="AF66" s="168" t="n">
        <f aca="false">AF62*Premissas!$B$29*(1+Premissas!$B$32)^(AF$6-2026)</f>
        <v>634725.6</v>
      </c>
      <c r="AG66" s="168" t="n">
        <f aca="false">AG62*Premissas!$B$29*(1+Premissas!$B$32)^(AG$6-2026)</f>
        <v>660213.7</v>
      </c>
      <c r="AH66" s="168" t="n">
        <f aca="false">AH62*Premissas!$B$29*(1+Premissas!$B$32)^(AH$6-2026)</f>
        <v>684023.9</v>
      </c>
      <c r="AI66" s="168" t="n">
        <f aca="false">AI62*Premissas!$B$29*(1+Premissas!$B$32)^(AI$6-2026)</f>
        <v>706076.3</v>
      </c>
      <c r="AJ66" s="168" t="n">
        <f aca="false">AJ62*Premissas!$B$29*(1+Premissas!$B$32)^(AJ$6-2026)</f>
        <v>726610.6</v>
      </c>
      <c r="AK66" s="168" t="n">
        <f aca="false">AK62*Premissas!$B$29*(1+Premissas!$B$32)^(AK$6-2026)</f>
        <v>745626.8</v>
      </c>
      <c r="AL66" s="168" t="n">
        <f aca="false">AL62*Premissas!$B$29*(1+Premissas!$B$32)^(AL$6-2026)</f>
        <v>777187.3</v>
      </c>
      <c r="AM66" s="168" t="n">
        <f aca="false">AM62*Premissas!$B$29*(1+Premissas!$B$32)^(AM$6-2026)</f>
        <v>828003.7</v>
      </c>
      <c r="AN66" s="168" t="n">
        <f aca="false">AN62*Premissas!$B$29*(1+Premissas!$B$32)^(AN$6-2026)</f>
        <v>875384.4</v>
      </c>
      <c r="AO66" s="168" t="n">
        <f aca="false">AO62*Premissas!$B$29*(1+Premissas!$B$32)^(AO$6-2026)</f>
        <v>919569.1</v>
      </c>
      <c r="AP66" s="168" t="n">
        <f aca="false">AP62*Premissas!$B$29*(1+Premissas!$B$32)^(AP$6-2026)</f>
        <v>960877.4</v>
      </c>
      <c r="AQ66" s="168" t="n">
        <f aca="false">AQ62*Premissas!$B$29*(1+Premissas!$B$32)^(AQ$6-2026)</f>
        <v>999469.1</v>
      </c>
      <c r="AR66" s="168" t="n">
        <f aca="false">AR62*Premissas!$B$29*(1+Premissas!$B$32)^(AR$6-2026)</f>
        <v>1035424.1</v>
      </c>
      <c r="AS66" s="168" t="n">
        <f aca="false">AS62*Premissas!$B$29*(1+Premissas!$B$32)^(AS$6-2026)</f>
        <v>1069062</v>
      </c>
      <c r="AT66" s="168" t="n">
        <f aca="false">AT62*Premissas!$B$29*(1+Premissas!$B$32)^(AT$6-2026)</f>
        <v>1100382.8</v>
      </c>
      <c r="AU66" s="168" t="n">
        <f aca="false">AU62*Premissas!$B$29*(1+Premissas!$B$32)^(AU$6-2026)</f>
        <v>1129706.1</v>
      </c>
      <c r="AV66" s="168" t="n">
        <f aca="false">AV62*Premissas!$B$29*(1+Premissas!$B$32)^(AV$6-2026)</f>
        <v>1157031.9</v>
      </c>
      <c r="AW66" s="168" t="n">
        <f aca="false">AW62*Premissas!$B$29*(1+Premissas!$B$32)^(AW$6-2026)</f>
        <v>1182599.9</v>
      </c>
      <c r="AX66" s="168" t="n">
        <f aca="false">AX62*Premissas!$B$29*(1+Premissas!$B$32)^(AX$6-2026)</f>
        <v>1218954.4</v>
      </c>
      <c r="AY66" s="168" t="n">
        <f aca="false">AY62*Premissas!$B$29*(1+Premissas!$B$32)^(AY$6-2026)</f>
        <v>1291104.1</v>
      </c>
      <c r="AZ66" s="168" t="n">
        <f aca="false">AZ62*Premissas!$B$29*(1+Premissas!$B$32)^(AZ$6-2026)</f>
        <v>1358779.4</v>
      </c>
      <c r="BA66" s="168" t="n">
        <f aca="false">BA62*Premissas!$B$29*(1+Premissas!$B$32)^(BA$6-2026)</f>
        <v>1422220</v>
      </c>
      <c r="BB66" s="168" t="n">
        <f aca="false">BB62*Premissas!$B$29*(1+Premissas!$B$32)^(BB$6-2026)</f>
        <v>1481745.5</v>
      </c>
      <c r="BC66" s="168" t="n">
        <f aca="false">BC62*Premissas!$B$29*(1+Premissas!$B$32)^(BC$6-2026)</f>
        <v>1537515.7</v>
      </c>
      <c r="BD66" s="168" t="n">
        <f aca="false">BD62*Premissas!$B$29*(1+Premissas!$B$32)^(BD$6-2026)</f>
        <v>1589770.3</v>
      </c>
      <c r="BE66" s="168" t="n">
        <f aca="false">BE62*Premissas!$B$29*(1+Premissas!$B$32)^(BE$6-2026)</f>
        <v>1638828.9</v>
      </c>
      <c r="BF66" s="168" t="n">
        <f aca="false">BF62*Premissas!$B$29*(1+Premissas!$B$32)^(BF$6-2026)</f>
        <v>1684771.4</v>
      </c>
      <c r="BG66" s="168" t="n">
        <f aca="false">BG62*Premissas!$B$29*(1+Premissas!$B$32)^(BG$6-2026)</f>
        <v>1727837.5</v>
      </c>
      <c r="BH66" s="168" t="n">
        <f aca="false">BH62*Premissas!$B$29*(1+Premissas!$B$32)^(BH$6-2026)</f>
        <v>1768266.9</v>
      </c>
      <c r="BI66" s="168" t="n">
        <f aca="false">BI62*Premissas!$B$29*(1+Premissas!$B$32)^(BI$6-2026)</f>
        <v>1806139.5</v>
      </c>
      <c r="BJ66" s="154" t="n">
        <f aca="false">SUM(B66:BI66)</f>
        <v>41960683.5</v>
      </c>
    </row>
    <row r="67" customFormat="false" ht="15.75" hidden="false" customHeight="true" outlineLevel="0" collapsed="false">
      <c r="A67" s="49" t="s">
        <v>751</v>
      </c>
      <c r="B67" s="168" t="n">
        <f aca="false">B63*Premissas!$B$30*(1+Premissas!$B$32)^(B$6-2026)</f>
        <v>0</v>
      </c>
      <c r="C67" s="168" t="n">
        <f aca="false">C63*Premissas!$B$30*(1+Premissas!$B$32)^(C$6-2026)</f>
        <v>0</v>
      </c>
      <c r="D67" s="168" t="n">
        <f aca="false">D63*Premissas!$B$30*(1+Premissas!$B$32)^(D$6-2026)</f>
        <v>0</v>
      </c>
      <c r="E67" s="168" t="n">
        <f aca="false">E63*Premissas!$B$30*(1+Premissas!$B$32)^(E$6-2026)</f>
        <v>0</v>
      </c>
      <c r="F67" s="168" t="n">
        <f aca="false">F63*Premissas!$B$30*(1+Premissas!$B$32)^(F$6-2026)</f>
        <v>0</v>
      </c>
      <c r="G67" s="168" t="n">
        <f aca="false">G63*Premissas!$B$30*(1+Premissas!$B$32)^(G$6-2026)</f>
        <v>0</v>
      </c>
      <c r="H67" s="168" t="n">
        <f aca="false">H63*Premissas!$B$30*(1+Premissas!$B$32)^(H$6-2026)</f>
        <v>0</v>
      </c>
      <c r="I67" s="168" t="n">
        <f aca="false">I63*Premissas!$B$30*(1+Premissas!$B$32)^(I$6-2026)</f>
        <v>0</v>
      </c>
      <c r="J67" s="168" t="n">
        <f aca="false">J63*Premissas!$B$30*(1+Premissas!$B$32)^(J$6-2026)</f>
        <v>0</v>
      </c>
      <c r="K67" s="168" t="n">
        <f aca="false">K63*Premissas!$B$30*(1+Premissas!$B$32)^(K$6-2026)</f>
        <v>0</v>
      </c>
      <c r="L67" s="168" t="n">
        <f aca="false">L63*Premissas!$B$30*(1+Premissas!$B$32)^(L$6-2026)</f>
        <v>0</v>
      </c>
      <c r="M67" s="168" t="n">
        <f aca="false">M63*Premissas!$B$30*(1+Premissas!$B$32)^(M$6-2026)</f>
        <v>0</v>
      </c>
      <c r="N67" s="168" t="n">
        <f aca="false">N63*Premissas!$B$30*(1+Premissas!$B$32)^(N$6-2026)</f>
        <v>0</v>
      </c>
      <c r="O67" s="168" t="n">
        <f aca="false">O63*Premissas!$B$30*(1+Premissas!$B$32)^(O$6-2026)</f>
        <v>0</v>
      </c>
      <c r="P67" s="168" t="n">
        <f aca="false">P63*Premissas!$B$30*(1+Premissas!$B$32)^(P$6-2026)</f>
        <v>0</v>
      </c>
      <c r="Q67" s="168" t="n">
        <f aca="false">Q63*Premissas!$B$30*(1+Premissas!$B$32)^(Q$6-2026)</f>
        <v>0</v>
      </c>
      <c r="R67" s="168" t="n">
        <f aca="false">R63*Premissas!$B$30*(1+Premissas!$B$32)^(R$6-2026)</f>
        <v>0</v>
      </c>
      <c r="S67" s="168" t="n">
        <f aca="false">S63*Premissas!$B$30*(1+Premissas!$B$32)^(S$6-2026)</f>
        <v>0</v>
      </c>
      <c r="T67" s="168" t="n">
        <f aca="false">T63*Premissas!$B$30*(1+Premissas!$B$32)^(T$6-2026)</f>
        <v>0</v>
      </c>
      <c r="U67" s="168" t="n">
        <f aca="false">U63*Premissas!$B$30*(1+Premissas!$B$32)^(U$6-2026)</f>
        <v>0</v>
      </c>
      <c r="V67" s="168" t="n">
        <f aca="false">V63*Premissas!$B$30*(1+Premissas!$B$32)^(V$6-2026)</f>
        <v>0</v>
      </c>
      <c r="W67" s="168" t="n">
        <f aca="false">W63*Premissas!$B$30*(1+Premissas!$B$32)^(W$6-2026)</f>
        <v>0</v>
      </c>
      <c r="X67" s="168" t="n">
        <f aca="false">X63*Premissas!$B$30*(1+Premissas!$B$32)^(X$6-2026)</f>
        <v>0</v>
      </c>
      <c r="Y67" s="168" t="n">
        <f aca="false">Y63*Premissas!$B$30*(1+Premissas!$B$32)^(Y$6-2026)</f>
        <v>0</v>
      </c>
      <c r="Z67" s="168" t="n">
        <f aca="false">Z63*Premissas!$B$30*(1+Premissas!$B$32)^(Z$6-2026)</f>
        <v>172697.9</v>
      </c>
      <c r="AA67" s="168" t="n">
        <f aca="false">AA63*Premissas!$B$30*(1+Premissas!$B$32)^(AA$6-2026)</f>
        <v>188430.4</v>
      </c>
      <c r="AB67" s="168" t="n">
        <f aca="false">AB63*Premissas!$B$30*(1+Premissas!$B$32)^(AB$6-2026)</f>
        <v>203084.1</v>
      </c>
      <c r="AC67" s="168" t="n">
        <f aca="false">AC63*Premissas!$B$30*(1+Premissas!$B$32)^(AC$6-2026)</f>
        <v>216748.9</v>
      </c>
      <c r="AD67" s="168" t="n">
        <f aca="false">AD63*Premissas!$B$30*(1+Premissas!$B$32)^(AD$6-2026)</f>
        <v>229334.9</v>
      </c>
      <c r="AE67" s="168" t="n">
        <f aca="false">AE63*Premissas!$B$30*(1+Premissas!$B$32)^(AE$6-2026)</f>
        <v>241111.8</v>
      </c>
      <c r="AF67" s="168" t="n">
        <f aca="false">AF63*Premissas!$B$30*(1+Premissas!$B$32)^(AF$6-2026)</f>
        <v>252079.6</v>
      </c>
      <c r="AG67" s="168" t="n">
        <f aca="false">AG63*Premissas!$B$30*(1+Premissas!$B$32)^(AG$6-2026)</f>
        <v>262148.4</v>
      </c>
      <c r="AH67" s="168" t="n">
        <f aca="false">AH63*Premissas!$B$30*(1+Premissas!$B$32)^(AH$6-2026)</f>
        <v>271587.9</v>
      </c>
      <c r="AI67" s="168" t="n">
        <f aca="false">AI63*Premissas!$B$30*(1+Premissas!$B$32)^(AI$6-2026)</f>
        <v>280398.1</v>
      </c>
      <c r="AJ67" s="168" t="n">
        <f aca="false">AJ63*Premissas!$B$30*(1+Premissas!$B$32)^(AJ$6-2026)</f>
        <v>288579</v>
      </c>
      <c r="AK67" s="168" t="n">
        <f aca="false">AK63*Premissas!$B$30*(1+Premissas!$B$32)^(AK$6-2026)</f>
        <v>296130.6</v>
      </c>
      <c r="AL67" s="168" t="n">
        <f aca="false">AL63*Premissas!$B$30*(1+Premissas!$B$32)^(AL$6-2026)</f>
        <v>355284.8</v>
      </c>
      <c r="AM67" s="168" t="n">
        <f aca="false">AM63*Premissas!$B$30*(1+Premissas!$B$32)^(AM$6-2026)</f>
        <v>378479</v>
      </c>
      <c r="AN67" s="168" t="n">
        <f aca="false">AN63*Premissas!$B$30*(1+Premissas!$B$32)^(AN$6-2026)</f>
        <v>400144.9</v>
      </c>
      <c r="AO67" s="168" t="n">
        <f aca="false">AO63*Premissas!$B$30*(1+Premissas!$B$32)^(AO$6-2026)</f>
        <v>420372.4</v>
      </c>
      <c r="AP67" s="168" t="n">
        <f aca="false">AP63*Premissas!$B$30*(1+Premissas!$B$32)^(AP$6-2026)</f>
        <v>439251.4</v>
      </c>
      <c r="AQ67" s="168" t="n">
        <f aca="false">AQ63*Premissas!$B$30*(1+Premissas!$B$32)^(AQ$6-2026)</f>
        <v>456871.8</v>
      </c>
      <c r="AR67" s="168" t="n">
        <f aca="false">AR63*Premissas!$B$30*(1+Premissas!$B$32)^(AR$6-2026)</f>
        <v>473323.5</v>
      </c>
      <c r="AS67" s="168" t="n">
        <f aca="false">AS63*Premissas!$B$30*(1+Premissas!$B$32)^(AS$6-2026)</f>
        <v>488696.4</v>
      </c>
      <c r="AT67" s="168" t="n">
        <f aca="false">AT63*Premissas!$B$30*(1+Premissas!$B$32)^(AT$6-2026)</f>
        <v>502990.5</v>
      </c>
      <c r="AU67" s="168" t="n">
        <f aca="false">AU63*Premissas!$B$30*(1+Premissas!$B$32)^(AU$6-2026)</f>
        <v>516385.6</v>
      </c>
      <c r="AV67" s="168" t="n">
        <f aca="false">AV63*Premissas!$B$30*(1+Premissas!$B$32)^(AV$6-2026)</f>
        <v>528881.7</v>
      </c>
      <c r="AW67" s="168" t="n">
        <f aca="false">AW63*Premissas!$B$30*(1+Premissas!$B$32)^(AW$6-2026)</f>
        <v>540568.7</v>
      </c>
      <c r="AX67" s="168" t="n">
        <f aca="false">AX63*Premissas!$B$30*(1+Premissas!$B$32)^(AX$6-2026)</f>
        <v>639998.1</v>
      </c>
      <c r="AY67" s="168" t="n">
        <f aca="false">AY63*Premissas!$B$30*(1+Premissas!$B$32)^(AY$6-2026)</f>
        <v>677935.9</v>
      </c>
      <c r="AZ67" s="168" t="n">
        <f aca="false">AZ63*Premissas!$B$30*(1+Premissas!$B$32)^(AZ$6-2026)</f>
        <v>713446.4</v>
      </c>
      <c r="BA67" s="168" t="n">
        <f aca="false">BA63*Premissas!$B$30*(1+Premissas!$B$32)^(BA$6-2026)</f>
        <v>746799.3</v>
      </c>
      <c r="BB67" s="168" t="n">
        <f aca="false">BB63*Premissas!$B$30*(1+Premissas!$B$32)^(BB$6-2026)</f>
        <v>777994.6</v>
      </c>
      <c r="BC67" s="168" t="n">
        <f aca="false">BC63*Premissas!$B$30*(1+Premissas!$B$32)^(BC$6-2026)</f>
        <v>807302</v>
      </c>
      <c r="BD67" s="168" t="n">
        <f aca="false">BD63*Premissas!$B$30*(1+Premissas!$B$32)^(BD$6-2026)</f>
        <v>834721.5</v>
      </c>
      <c r="BE67" s="168" t="n">
        <f aca="false">BE63*Premissas!$B$30*(1+Premissas!$B$32)^(BE$6-2026)</f>
        <v>860522.8</v>
      </c>
      <c r="BF67" s="168" t="n">
        <f aca="false">BF63*Premissas!$B$30*(1+Premissas!$B$32)^(BF$6-2026)</f>
        <v>884616</v>
      </c>
      <c r="BG67" s="168" t="n">
        <f aca="false">BG63*Premissas!$B$30*(1+Premissas!$B$32)^(BG$6-2026)</f>
        <v>907270.8</v>
      </c>
      <c r="BH67" s="168" t="n">
        <f aca="false">BH63*Premissas!$B$30*(1+Premissas!$B$32)^(BH$6-2026)</f>
        <v>928487.2</v>
      </c>
      <c r="BI67" s="168" t="n">
        <f aca="false">BI63*Premissas!$B$30*(1+Premissas!$B$32)^(BI$6-2026)</f>
        <v>948355.1</v>
      </c>
      <c r="BJ67" s="154" t="n">
        <f aca="false">SUM(B67:BI67)</f>
        <v>18131032</v>
      </c>
    </row>
    <row r="68" customFormat="false" ht="15.75" hidden="false" customHeight="true" outlineLevel="0" collapsed="false">
      <c r="A68" s="49" t="s">
        <v>752</v>
      </c>
      <c r="B68" s="168" t="n">
        <f aca="false">B64*Premissas!$B$31*(1+Premissas!$B$32)^(B$6-2026)</f>
        <v>0</v>
      </c>
      <c r="C68" s="168" t="n">
        <f aca="false">C64*Premissas!$B$31*(1+Premissas!$B$32)^(C$6-2026)</f>
        <v>0</v>
      </c>
      <c r="D68" s="168" t="n">
        <f aca="false">D64*Premissas!$B$31*(1+Premissas!$B$32)^(D$6-2026)</f>
        <v>0</v>
      </c>
      <c r="E68" s="168" t="n">
        <f aca="false">E64*Premissas!$B$31*(1+Premissas!$B$32)^(E$6-2026)</f>
        <v>0</v>
      </c>
      <c r="F68" s="168" t="n">
        <f aca="false">F64*Premissas!$B$31*(1+Premissas!$B$32)^(F$6-2026)</f>
        <v>0</v>
      </c>
      <c r="G68" s="168" t="n">
        <f aca="false">G64*Premissas!$B$31*(1+Premissas!$B$32)^(G$6-2026)</f>
        <v>0</v>
      </c>
      <c r="H68" s="168" t="n">
        <f aca="false">H64*Premissas!$B$31*(1+Premissas!$B$32)^(H$6-2026)</f>
        <v>0</v>
      </c>
      <c r="I68" s="168" t="n">
        <f aca="false">I64*Premissas!$B$31*(1+Premissas!$B$32)^(I$6-2026)</f>
        <v>0</v>
      </c>
      <c r="J68" s="168" t="n">
        <f aca="false">J64*Premissas!$B$31*(1+Premissas!$B$32)^(J$6-2026)</f>
        <v>0</v>
      </c>
      <c r="K68" s="168" t="n">
        <f aca="false">K64*Premissas!$B$31*(1+Premissas!$B$32)^(K$6-2026)</f>
        <v>0</v>
      </c>
      <c r="L68" s="168" t="n">
        <f aca="false">L64*Premissas!$B$31*(1+Premissas!$B$32)^(L$6-2026)</f>
        <v>0</v>
      </c>
      <c r="M68" s="168" t="n">
        <f aca="false">M64*Premissas!$B$31*(1+Premissas!$B$32)^(M$6-2026)</f>
        <v>0</v>
      </c>
      <c r="N68" s="168" t="n">
        <f aca="false">N64*Premissas!$B$31*(1+Premissas!$B$32)^(N$6-2026)</f>
        <v>0</v>
      </c>
      <c r="O68" s="168" t="n">
        <f aca="false">O64*Premissas!$B$31*(1+Premissas!$B$32)^(O$6-2026)</f>
        <v>0</v>
      </c>
      <c r="P68" s="168" t="n">
        <f aca="false">P64*Premissas!$B$31*(1+Premissas!$B$32)^(P$6-2026)</f>
        <v>0</v>
      </c>
      <c r="Q68" s="168" t="n">
        <f aca="false">Q64*Premissas!$B$31*(1+Premissas!$B$32)^(Q$6-2026)</f>
        <v>0</v>
      </c>
      <c r="R68" s="168" t="n">
        <f aca="false">R64*Premissas!$B$31*(1+Premissas!$B$32)^(R$6-2026)</f>
        <v>0</v>
      </c>
      <c r="S68" s="168" t="n">
        <f aca="false">S64*Premissas!$B$31*(1+Premissas!$B$32)^(S$6-2026)</f>
        <v>0</v>
      </c>
      <c r="T68" s="168" t="n">
        <f aca="false">T64*Premissas!$B$31*(1+Premissas!$B$32)^(T$6-2026)</f>
        <v>0</v>
      </c>
      <c r="U68" s="168" t="n">
        <f aca="false">U64*Premissas!$B$31*(1+Premissas!$B$32)^(U$6-2026)</f>
        <v>0</v>
      </c>
      <c r="V68" s="168" t="n">
        <f aca="false">V64*Premissas!$B$31*(1+Premissas!$B$32)^(V$6-2026)</f>
        <v>0</v>
      </c>
      <c r="W68" s="168" t="n">
        <f aca="false">W64*Premissas!$B$31*(1+Premissas!$B$32)^(W$6-2026)</f>
        <v>0</v>
      </c>
      <c r="X68" s="168" t="n">
        <f aca="false">X64*Premissas!$B$31*(1+Premissas!$B$32)^(X$6-2026)</f>
        <v>0</v>
      </c>
      <c r="Y68" s="168" t="n">
        <f aca="false">Y64*Premissas!$B$31*(1+Premissas!$B$32)^(Y$6-2026)</f>
        <v>0</v>
      </c>
      <c r="Z68" s="168" t="n">
        <f aca="false">Z64*Premissas!$B$31*(1+Premissas!$B$32)^(Z$6-2026)</f>
        <v>69869</v>
      </c>
      <c r="AA68" s="168" t="n">
        <f aca="false">AA64*Premissas!$B$31*(1+Premissas!$B$32)^(AA$6-2026)</f>
        <v>76191</v>
      </c>
      <c r="AB68" s="168" t="n">
        <f aca="false">AB64*Premissas!$B$31*(1+Premissas!$B$32)^(AB$6-2026)</f>
        <v>82077</v>
      </c>
      <c r="AC68" s="168" t="n">
        <f aca="false">AC64*Premissas!$B$31*(1+Premissas!$B$32)^(AC$6-2026)</f>
        <v>87527</v>
      </c>
      <c r="AD68" s="168" t="n">
        <f aca="false">AD64*Premissas!$B$31*(1+Premissas!$B$32)^(AD$6-2026)</f>
        <v>92759</v>
      </c>
      <c r="AE68" s="168" t="n">
        <f aca="false">AE64*Premissas!$B$31*(1+Premissas!$B$32)^(AE$6-2026)</f>
        <v>97446</v>
      </c>
      <c r="AF68" s="168" t="n">
        <f aca="false">AF64*Premissas!$B$31*(1+Premissas!$B$32)^(AF$6-2026)</f>
        <v>101806</v>
      </c>
      <c r="AG68" s="168" t="n">
        <f aca="false">AG64*Premissas!$B$31*(1+Premissas!$B$32)^(AG$6-2026)</f>
        <v>106057</v>
      </c>
      <c r="AH68" s="168" t="n">
        <f aca="false">AH64*Premissas!$B$31*(1+Premissas!$B$32)^(AH$6-2026)</f>
        <v>109763</v>
      </c>
      <c r="AI68" s="168" t="n">
        <f aca="false">AI64*Premissas!$B$31*(1+Premissas!$B$32)^(AI$6-2026)</f>
        <v>113251</v>
      </c>
      <c r="AJ68" s="168" t="n">
        <f aca="false">AJ64*Premissas!$B$31*(1+Premissas!$B$32)^(AJ$6-2026)</f>
        <v>116521</v>
      </c>
      <c r="AK68" s="168" t="n">
        <f aca="false">AK64*Premissas!$B$31*(1+Premissas!$B$32)^(AK$6-2026)</f>
        <v>119682</v>
      </c>
      <c r="AL68" s="168" t="n">
        <f aca="false">AL64*Premissas!$B$31*(1+Premissas!$B$32)^(AL$6-2026)</f>
        <v>165680</v>
      </c>
      <c r="AM68" s="168" t="n">
        <f aca="false">AM64*Premissas!$B$31*(1+Premissas!$B$32)^(AM$6-2026)</f>
        <v>176471</v>
      </c>
      <c r="AN68" s="168" t="n">
        <f aca="false">AN64*Premissas!$B$31*(1+Premissas!$B$32)^(AN$6-2026)</f>
        <v>186499</v>
      </c>
      <c r="AO68" s="168" t="n">
        <f aca="false">AO64*Premissas!$B$31*(1+Premissas!$B$32)^(AO$6-2026)</f>
        <v>195982</v>
      </c>
      <c r="AP68" s="168" t="n">
        <f aca="false">AP64*Premissas!$B$31*(1+Premissas!$B$32)^(AP$6-2026)</f>
        <v>204811</v>
      </c>
      <c r="AQ68" s="168" t="n">
        <f aca="false">AQ64*Premissas!$B$31*(1+Premissas!$B$32)^(AQ$6-2026)</f>
        <v>212986</v>
      </c>
      <c r="AR68" s="168" t="n">
        <f aca="false">AR64*Premissas!$B$31*(1+Premissas!$B$32)^(AR$6-2026)</f>
        <v>220725</v>
      </c>
      <c r="AS68" s="168" t="n">
        <f aca="false">AS64*Premissas!$B$31*(1+Premissas!$B$32)^(AS$6-2026)</f>
        <v>227810</v>
      </c>
      <c r="AT68" s="168" t="n">
        <f aca="false">AT64*Premissas!$B$31*(1+Premissas!$B$32)^(AT$6-2026)</f>
        <v>234568</v>
      </c>
      <c r="AU68" s="168" t="n">
        <f aca="false">AU64*Premissas!$B$31*(1+Premissas!$B$32)^(AU$6-2026)</f>
        <v>240781</v>
      </c>
      <c r="AV68" s="168" t="n">
        <f aca="false">AV64*Premissas!$B$31*(1+Premissas!$B$32)^(AV$6-2026)</f>
        <v>246667</v>
      </c>
      <c r="AW68" s="168" t="n">
        <f aca="false">AW64*Premissas!$B$31*(1+Premissas!$B$32)^(AW$6-2026)</f>
        <v>252008</v>
      </c>
      <c r="AX68" s="168" t="n">
        <f aca="false">AX64*Premissas!$B$31*(1+Premissas!$B$32)^(AX$6-2026)</f>
        <v>332559</v>
      </c>
      <c r="AY68" s="168" t="n">
        <f aca="false">AY64*Premissas!$B$31*(1+Premissas!$B$32)^(AY$6-2026)</f>
        <v>352288</v>
      </c>
      <c r="AZ68" s="168" t="n">
        <f aca="false">AZ64*Premissas!$B$31*(1+Premissas!$B$32)^(AZ$6-2026)</f>
        <v>370709</v>
      </c>
      <c r="BA68" s="168" t="n">
        <f aca="false">BA64*Premissas!$B$31*(1+Premissas!$B$32)^(BA$6-2026)</f>
        <v>388040</v>
      </c>
      <c r="BB68" s="168" t="n">
        <f aca="false">BB64*Premissas!$B$31*(1+Premissas!$B$32)^(BB$6-2026)</f>
        <v>404281</v>
      </c>
      <c r="BC68" s="168" t="n">
        <f aca="false">BC64*Premissas!$B$31*(1+Premissas!$B$32)^(BC$6-2026)</f>
        <v>419432</v>
      </c>
      <c r="BD68" s="168" t="n">
        <f aca="false">BD64*Premissas!$B$31*(1+Premissas!$B$32)^(BD$6-2026)</f>
        <v>433820</v>
      </c>
      <c r="BE68" s="168" t="n">
        <f aca="false">BE64*Premissas!$B$31*(1+Premissas!$B$32)^(BE$6-2026)</f>
        <v>447118</v>
      </c>
      <c r="BF68" s="168" t="n">
        <f aca="false">BF64*Premissas!$B$31*(1+Premissas!$B$32)^(BF$6-2026)</f>
        <v>459762</v>
      </c>
      <c r="BG68" s="168" t="n">
        <f aca="false">BG64*Premissas!$B$31*(1+Premissas!$B$32)^(BG$6-2026)</f>
        <v>471425</v>
      </c>
      <c r="BH68" s="168" t="n">
        <f aca="false">BH64*Premissas!$B$31*(1+Premissas!$B$32)^(BH$6-2026)</f>
        <v>482434</v>
      </c>
      <c r="BI68" s="168" t="n">
        <f aca="false">BI64*Premissas!$B$31*(1+Premissas!$B$32)^(BI$6-2026)</f>
        <v>492789</v>
      </c>
      <c r="BJ68" s="154" t="n">
        <f aca="false">SUM(B68:BI68)</f>
        <v>8792594</v>
      </c>
    </row>
    <row r="69" customFormat="false" ht="15.75" hidden="false" customHeight="true" outlineLevel="0" collapsed="false">
      <c r="A69" s="53" t="s">
        <v>753</v>
      </c>
      <c r="B69" s="160" t="n">
        <f aca="false">SUM(B66:B68)</f>
        <v>0</v>
      </c>
      <c r="C69" s="160" t="n">
        <f aca="false">SUM(C66:C68)</f>
        <v>0</v>
      </c>
      <c r="D69" s="160" t="n">
        <f aca="false">SUM(D66:D68)</f>
        <v>0</v>
      </c>
      <c r="E69" s="160" t="n">
        <f aca="false">SUM(E66:E68)</f>
        <v>0</v>
      </c>
      <c r="F69" s="160" t="n">
        <f aca="false">SUM(F66:F68)</f>
        <v>0</v>
      </c>
      <c r="G69" s="160" t="n">
        <f aca="false">SUM(G66:G68)</f>
        <v>0</v>
      </c>
      <c r="H69" s="160" t="n">
        <f aca="false">SUM(H66:H68)</f>
        <v>0</v>
      </c>
      <c r="I69" s="160" t="n">
        <f aca="false">SUM(I66:I68)</f>
        <v>0</v>
      </c>
      <c r="J69" s="160" t="n">
        <f aca="false">SUM(J66:J68)</f>
        <v>0</v>
      </c>
      <c r="K69" s="160" t="n">
        <f aca="false">SUM(K66:K68)</f>
        <v>0</v>
      </c>
      <c r="L69" s="160" t="n">
        <f aca="false">SUM(L66:L68)</f>
        <v>0</v>
      </c>
      <c r="M69" s="160" t="n">
        <f aca="false">SUM(M66:M68)</f>
        <v>7191</v>
      </c>
      <c r="N69" s="160" t="n">
        <f aca="false">SUM(N66:N68)</f>
        <v>36114.8</v>
      </c>
      <c r="O69" s="160" t="n">
        <f aca="false">SUM(O66:O68)</f>
        <v>83655.3</v>
      </c>
      <c r="P69" s="160" t="n">
        <f aca="false">SUM(P66:P68)</f>
        <v>147815</v>
      </c>
      <c r="Q69" s="160" t="n">
        <f aca="false">SUM(Q66:Q68)</f>
        <v>226676.3</v>
      </c>
      <c r="R69" s="160" t="n">
        <f aca="false">SUM(R66:R68)</f>
        <v>318641.2</v>
      </c>
      <c r="S69" s="160" t="n">
        <f aca="false">SUM(S66:S68)</f>
        <v>361707.3</v>
      </c>
      <c r="T69" s="160" t="n">
        <f aca="false">SUM(T66:T68)</f>
        <v>401497.5</v>
      </c>
      <c r="U69" s="160" t="n">
        <f aca="false">SUM(U66:U68)</f>
        <v>438331.4</v>
      </c>
      <c r="V69" s="160" t="n">
        <f aca="false">SUM(V66:V68)</f>
        <v>472448.7</v>
      </c>
      <c r="W69" s="160" t="n">
        <f aca="false">SUM(W66:W68)</f>
        <v>503929.3</v>
      </c>
      <c r="X69" s="160" t="n">
        <f aca="false">SUM(X66:X68)</f>
        <v>533092.8</v>
      </c>
      <c r="Y69" s="160" t="n">
        <f aca="false">SUM(Y66:Y68)</f>
        <v>560019.1</v>
      </c>
      <c r="Z69" s="160" t="n">
        <f aca="false">SUM(Z66:Z68)</f>
        <v>677462.6</v>
      </c>
      <c r="AA69" s="160" t="n">
        <f aca="false">SUM(AA66:AA68)</f>
        <v>739227.4</v>
      </c>
      <c r="AB69" s="160" t="n">
        <f aca="false">SUM(AB66:AB68)</f>
        <v>796680.9</v>
      </c>
      <c r="AC69" s="160" t="n">
        <f aca="false">SUM(AC66:AC68)</f>
        <v>850072.8</v>
      </c>
      <c r="AD69" s="160" t="n">
        <f aca="false">SUM(AD66:AD68)</f>
        <v>899691</v>
      </c>
      <c r="AE69" s="160" t="n">
        <f aca="false">SUM(AE66:AE68)</f>
        <v>945797.8</v>
      </c>
      <c r="AF69" s="160" t="n">
        <f aca="false">SUM(AF66:AF68)</f>
        <v>988611.2</v>
      </c>
      <c r="AG69" s="160" t="n">
        <f aca="false">SUM(AG66:AG68)</f>
        <v>1028419.1</v>
      </c>
      <c r="AH69" s="160" t="n">
        <f aca="false">SUM(AH66:AH68)</f>
        <v>1065374.8</v>
      </c>
      <c r="AI69" s="160" t="n">
        <f aca="false">SUM(AI66:AI68)</f>
        <v>1099725.4</v>
      </c>
      <c r="AJ69" s="160" t="n">
        <f aca="false">SUM(AJ66:AJ68)</f>
        <v>1131710.6</v>
      </c>
      <c r="AK69" s="160" t="n">
        <f aca="false">SUM(AK66:AK68)</f>
        <v>1161439.4</v>
      </c>
      <c r="AL69" s="160" t="n">
        <f aca="false">SUM(AL66:AL68)</f>
        <v>1298152.1</v>
      </c>
      <c r="AM69" s="160" t="n">
        <f aca="false">SUM(AM66:AM68)</f>
        <v>1382953.7</v>
      </c>
      <c r="AN69" s="160" t="n">
        <f aca="false">SUM(AN66:AN68)</f>
        <v>1462028.3</v>
      </c>
      <c r="AO69" s="160" t="n">
        <f aca="false">SUM(AO66:AO68)</f>
        <v>1535923.5</v>
      </c>
      <c r="AP69" s="160" t="n">
        <f aca="false">SUM(AP66:AP68)</f>
        <v>1604939.8</v>
      </c>
      <c r="AQ69" s="160" t="n">
        <f aca="false">SUM(AQ66:AQ68)</f>
        <v>1669326.9</v>
      </c>
      <c r="AR69" s="160" t="n">
        <f aca="false">SUM(AR66:AR68)</f>
        <v>1729472.6</v>
      </c>
      <c r="AS69" s="160" t="n">
        <f aca="false">SUM(AS66:AS68)</f>
        <v>1785568.4</v>
      </c>
      <c r="AT69" s="160" t="n">
        <f aca="false">SUM(AT66:AT68)</f>
        <v>1837941.3</v>
      </c>
      <c r="AU69" s="160" t="n">
        <f aca="false">SUM(AU66:AU68)</f>
        <v>1886872.7</v>
      </c>
      <c r="AV69" s="160" t="n">
        <f aca="false">SUM(AV66:AV68)</f>
        <v>1932580.6</v>
      </c>
      <c r="AW69" s="160" t="n">
        <f aca="false">SUM(AW66:AW68)</f>
        <v>1975176.6</v>
      </c>
      <c r="AX69" s="160" t="n">
        <f aca="false">SUM(AX66:AX68)</f>
        <v>2191511.5</v>
      </c>
      <c r="AY69" s="160" t="n">
        <f aca="false">SUM(AY66:AY68)</f>
        <v>2321328</v>
      </c>
      <c r="AZ69" s="160" t="n">
        <f aca="false">SUM(AZ66:AZ68)</f>
        <v>2442934.8</v>
      </c>
      <c r="BA69" s="160" t="n">
        <f aca="false">SUM(BA66:BA68)</f>
        <v>2557059.3</v>
      </c>
      <c r="BB69" s="160" t="n">
        <f aca="false">SUM(BB66:BB68)</f>
        <v>2664021.1</v>
      </c>
      <c r="BC69" s="160" t="n">
        <f aca="false">SUM(BC66:BC68)</f>
        <v>2764249.7</v>
      </c>
      <c r="BD69" s="160" t="n">
        <f aca="false">SUM(BD66:BD68)</f>
        <v>2858311.8</v>
      </c>
      <c r="BE69" s="160" t="n">
        <f aca="false">SUM(BE66:BE68)</f>
        <v>2946469.7</v>
      </c>
      <c r="BF69" s="160" t="n">
        <f aca="false">SUM(BF66:BF68)</f>
        <v>3029149.4</v>
      </c>
      <c r="BG69" s="160" t="n">
        <f aca="false">SUM(BG66:BG68)</f>
        <v>3106533.3</v>
      </c>
      <c r="BH69" s="160" t="n">
        <f aca="false">SUM(BH66:BH68)</f>
        <v>3179188.1</v>
      </c>
      <c r="BI69" s="160" t="n">
        <f aca="false">SUM(BI66:BI68)</f>
        <v>3247283.6</v>
      </c>
      <c r="BJ69" s="154" t="n">
        <f aca="false">SUM(B69:BI69)</f>
        <v>68884309.5</v>
      </c>
    </row>
    <row r="70" customFormat="false" ht="15.75" hidden="false" customHeight="true" outlineLevel="0" collapsed="false">
      <c r="A70" s="49" t="s">
        <v>754</v>
      </c>
      <c r="B70" s="168" t="n">
        <f aca="false" t="array" ref="B70:B70">B59*INDEX(Premissas!$C$88:$G$88,B$7)*Premissas!$B$87*Premissas!$B$86</f>
        <v>0</v>
      </c>
      <c r="C70" s="168" t="n">
        <f aca="false" t="array" ref="C70:C70">C59*INDEX(Premissas!$C$88:$G$88,C$7)*Premissas!$B$87*Premissas!$B$86</f>
        <v>0</v>
      </c>
      <c r="D70" s="168" t="n">
        <f aca="false" t="array" ref="D70:D70">D59*INDEX(Premissas!$C$88:$G$88,D$7)*Premissas!$B$87*Premissas!$B$86</f>
        <v>0</v>
      </c>
      <c r="E70" s="168" t="n">
        <f aca="false" t="array" ref="E70:E70">E59*INDEX(Premissas!$C$88:$G$88,E$7)*Premissas!$B$87*Premissas!$B$86</f>
        <v>0</v>
      </c>
      <c r="F70" s="168" t="n">
        <f aca="false" t="array" ref="F70:F70">F59*INDEX(Premissas!$C$88:$G$88,F$7)*Premissas!$B$87*Premissas!$B$86</f>
        <v>0</v>
      </c>
      <c r="G70" s="168" t="n">
        <f aca="false" t="array" ref="G70:G70">G59*INDEX(Premissas!$C$88:$G$88,G$7)*Premissas!$B$87*Premissas!$B$86</f>
        <v>0</v>
      </c>
      <c r="H70" s="168" t="n">
        <f aca="false" t="array" ref="H70:H70">H59*INDEX(Premissas!$C$88:$G$88,H$7)*Premissas!$B$87*Premissas!$B$86</f>
        <v>0</v>
      </c>
      <c r="I70" s="168" t="n">
        <f aca="false" t="array" ref="I70:I70">I59*INDEX(Premissas!$C$88:$G$88,I$7)*Premissas!$B$87*Premissas!$B$86</f>
        <v>0</v>
      </c>
      <c r="J70" s="168" t="n">
        <f aca="false" t="array" ref="J70:J70">J59*INDEX(Premissas!$C$88:$G$88,J$7)*Premissas!$B$87*Premissas!$B$86</f>
        <v>0</v>
      </c>
      <c r="K70" s="168" t="n">
        <f aca="false" t="array" ref="K70:K70">K59*INDEX(Premissas!$C$88:$G$88,K$7)*Premissas!$B$87*Premissas!$B$86</f>
        <v>0</v>
      </c>
      <c r="L70" s="168" t="n">
        <f aca="false" t="array" ref="L70:L70">L59*INDEX(Premissas!$C$88:$G$88,L$7)*Premissas!$B$87*Premissas!$B$86</f>
        <v>0</v>
      </c>
      <c r="M70" s="168" t="n">
        <f aca="false" t="array" ref="M70:M70">M59*INDEX(Premissas!$C$88:$G$88,M$7)*Premissas!$B$87*Premissas!$B$86</f>
        <v>0</v>
      </c>
      <c r="N70" s="168" t="n">
        <f aca="false" t="array" ref="N70:N70">N59*INDEX(Premissas!$C$88:$G$88,N$7)*Premissas!$B$87*Premissas!$B$86</f>
        <v>2304.1662</v>
      </c>
      <c r="O70" s="168" t="n">
        <f aca="false" t="array" ref="O70:O70">O59*INDEX(Premissas!$C$88:$G$88,O$7)*Premissas!$B$87*Premissas!$B$86</f>
        <v>3556.26790176</v>
      </c>
      <c r="P70" s="168" t="n">
        <f aca="false" t="array" ref="P70:P70">P59*INDEX(Premissas!$C$88:$G$88,P$7)*Premissas!$B$87*Premissas!$B$86</f>
        <v>4714.21155554765</v>
      </c>
      <c r="Q70" s="168" t="n">
        <f aca="false" t="array" ref="Q70:Q70">Q59*INDEX(Premissas!$C$88:$G$88,Q$7)*Premissas!$B$87*Premissas!$B$86</f>
        <v>5785.07784657047</v>
      </c>
      <c r="R70" s="168" t="n">
        <f aca="false" t="array" ref="R70:R70">R59*INDEX(Premissas!$C$88:$G$88,R$7)*Premissas!$B$87*Premissas!$B$86</f>
        <v>6775.41499250837</v>
      </c>
      <c r="S70" s="168" t="n">
        <f aca="false" t="array" ref="S70:S70">S59*INDEX(Premissas!$C$88:$G$88,S$7)*Premissas!$B$87*Premissas!$B$86</f>
        <v>7691.27878507174</v>
      </c>
      <c r="T70" s="168" t="n">
        <f aca="false" t="array" ref="T70:T70">T59*INDEX(Premissas!$C$88:$G$88,T$7)*Premissas!$B$87*Premissas!$B$86</f>
        <v>8538.26962043434</v>
      </c>
      <c r="U70" s="168" t="n">
        <f aca="false" t="array" ref="U70:U70">U59*INDEX(Premissas!$C$88:$G$88,U$7)*Premissas!$B$87*Premissas!$B$86</f>
        <v>9321.56674497768</v>
      </c>
      <c r="V70" s="168" t="n">
        <f aca="false" t="array" ref="V70:V70">V59*INDEX(Premissas!$C$88:$G$88,V$7)*Premissas!$B$87*Premissas!$B$86</f>
        <v>10045.9599257554</v>
      </c>
      <c r="W70" s="168" t="n">
        <f aca="false" t="array" ref="W70:W70">W59*INDEX(Premissas!$C$88:$G$88,W$7)*Premissas!$B$87*Premissas!$B$86</f>
        <v>10715.8787393386</v>
      </c>
      <c r="X70" s="168" t="n">
        <f aca="false" t="array" ref="X70:X70">X59*INDEX(Premissas!$C$88:$G$88,X$7)*Premissas!$B$87*Premissas!$B$86</f>
        <v>11335.4196581403</v>
      </c>
      <c r="Y70" s="168" t="n">
        <f aca="false" t="array" ref="Y70:Y70">Y59*INDEX(Premissas!$C$88:$G$88,Y$7)*Premissas!$B$87*Premissas!$B$86</f>
        <v>11908.3710998481</v>
      </c>
      <c r="Z70" s="168" t="n">
        <f aca="false" t="array" ref="Z70:Z70">Z59*INDEX(Premissas!$C$88:$G$88,Z$7)*Premissas!$B$87*Premissas!$B$86</f>
        <v>22007.7577725701</v>
      </c>
      <c r="AA70" s="168" t="n">
        <f aca="false" t="array" ref="AA70:AA70">AA59*INDEX(Premissas!$C$88:$G$88,AA$7)*Premissas!$B$87*Premissas!$B$86</f>
        <v>24015.5108911427</v>
      </c>
      <c r="AB70" s="168" t="n">
        <f aca="false" t="array" ref="AB70:AB70">AB59*INDEX(Premissas!$C$88:$G$88,AB$7)*Premissas!$B$87*Premissas!$B$86</f>
        <v>25881.3399572696</v>
      </c>
      <c r="AC70" s="168" t="n">
        <f aca="false" t="array" ref="AC70:AC70">AC59*INDEX(Premissas!$C$88:$G$88,AC$7)*Premissas!$B$87*Premissas!$B$86</f>
        <v>27615.2772983701</v>
      </c>
      <c r="AD70" s="168" t="n">
        <f aca="false" t="array" ref="AD70:AD70">AD59*INDEX(Premissas!$C$88:$G$88,AD$7)*Premissas!$B$87*Premissas!$B$86</f>
        <v>29226.6460767029</v>
      </c>
      <c r="AE70" s="168" t="n">
        <f aca="false" t="array" ref="AE70:AE70">AE59*INDEX(Premissas!$C$88:$G$88,AE$7)*Premissas!$B$87*Premissas!$B$86</f>
        <v>30724.110418833</v>
      </c>
      <c r="AF70" s="168" t="n">
        <f aca="false" t="array" ref="AF70:AF70">AF59*INDEX(Premissas!$C$88:$G$88,AF$7)*Premissas!$B$87*Premissas!$B$86</f>
        <v>32115.7220015465</v>
      </c>
      <c r="AG70" s="168" t="n">
        <f aca="false" t="array" ref="AG70:AG70">AG59*INDEX(Premissas!$C$88:$G$88,AG$7)*Premissas!$B$87*Premissas!$B$86</f>
        <v>33408.9633447012</v>
      </c>
      <c r="AH70" s="168" t="n">
        <f aca="false" t="array" ref="AH70:AH70">AH59*INDEX(Premissas!$C$88:$G$88,AH$7)*Premissas!$B$87*Premissas!$B$86</f>
        <v>34610.788043791</v>
      </c>
      <c r="AI70" s="168" t="n">
        <f aca="false" t="array" ref="AI70:AI70">AI59*INDEX(Premissas!$C$88:$G$88,AI$7)*Premissas!$B$87*Premissas!$B$86</f>
        <v>35727.6581585515</v>
      </c>
      <c r="AJ70" s="168" t="n">
        <f aca="false" t="array" ref="AJ70:AJ70">AJ59*INDEX(Premissas!$C$88:$G$88,AJ$7)*Premissas!$B$87*Premissas!$B$86</f>
        <v>36765.5789586398</v>
      </c>
      <c r="AK70" s="168" t="n">
        <f aca="false" t="array" ref="AK70:AK70">AK59*INDEX(Premissas!$C$88:$G$88,AK$7)*Premissas!$B$87*Premissas!$B$86</f>
        <v>37730.1312132114</v>
      </c>
      <c r="AL70" s="168" t="n">
        <f aca="false" t="array" ref="AL70:AL70">AL59*INDEX(Premissas!$C$88:$G$88,AL$7)*Premissas!$B$87*Premissas!$B$86</f>
        <v>64909.1903982783</v>
      </c>
      <c r="AM70" s="168" t="n">
        <f aca="false" t="array" ref="AM70:AM70">AM59*INDEX(Premissas!$C$88:$G$88,AM$7)*Premissas!$B$87*Premissas!$B$86</f>
        <v>69148.4375984572</v>
      </c>
      <c r="AN70" s="168" t="n">
        <f aca="false" t="array" ref="AN70:AN70">AN59*INDEX(Premissas!$C$88:$G$88,AN$7)*Premissas!$B$87*Premissas!$B$86</f>
        <v>73106.000726915</v>
      </c>
      <c r="AO70" s="168" t="n">
        <f aca="false" t="array" ref="AO70:AO70">AO59*INDEX(Premissas!$C$88:$G$88,AO$7)*Premissas!$B$87*Premissas!$B$86</f>
        <v>76800.5967662939</v>
      </c>
      <c r="AP70" s="168" t="n">
        <f aca="false" t="array" ref="AP70:AP70">AP59*INDEX(Premissas!$C$88:$G$88,AP$7)*Premissas!$B$87*Premissas!$B$86</f>
        <v>80249.6990171311</v>
      </c>
      <c r="AQ70" s="168" t="n">
        <f aca="false" t="array" ref="AQ70:AQ70">AQ59*INDEX(Premissas!$C$88:$G$88,AQ$7)*Premissas!$B$87*Premissas!$B$86</f>
        <v>83469.6197364555</v>
      </c>
      <c r="AR70" s="168" t="n">
        <f aca="false" t="array" ref="AR70:AR70">AR59*INDEX(Premissas!$C$88:$G$88,AR$7)*Premissas!$B$87*Premissas!$B$86</f>
        <v>86475.5872853208</v>
      </c>
      <c r="AS70" s="168" t="n">
        <f aca="false" t="array" ref="AS70:AS70">AS59*INDEX(Premissas!$C$88:$G$88,AS$7)*Premissas!$B$87*Premissas!$B$86</f>
        <v>89281.8181501375</v>
      </c>
      <c r="AT70" s="168" t="n">
        <f aca="false" t="array" ref="AT70:AT70">AT59*INDEX(Premissas!$C$88:$G$88,AT$7)*Premissas!$B$87*Premissas!$B$86</f>
        <v>91901.5841784244</v>
      </c>
      <c r="AU70" s="168" t="n">
        <f aca="false" t="array" ref="AU70:AU70">AU59*INDEX(Premissas!$C$88:$G$88,AU$7)*Premissas!$B$87*Premissas!$B$86</f>
        <v>94347.2753469642</v>
      </c>
      <c r="AV70" s="168" t="n">
        <f aca="false" t="array" ref="AV70:AV70">AV59*INDEX(Premissas!$C$88:$G$88,AV$7)*Premissas!$B$87*Premissas!$B$86</f>
        <v>96630.4583592216</v>
      </c>
      <c r="AW70" s="168" t="n">
        <f aca="false" t="array" ref="AW70:AW70">AW59*INDEX(Premissas!$C$88:$G$88,AW$7)*Premissas!$B$87*Premissas!$B$86</f>
        <v>98761.9313491547</v>
      </c>
      <c r="AX70" s="168" t="n">
        <f aca="false" t="array" ref="AX70:AX70">AX59*INDEX(Premissas!$C$88:$G$88,AX$7)*Premissas!$B$87*Premissas!$B$86</f>
        <v>131777.055417599</v>
      </c>
      <c r="AY70" s="168" t="n">
        <f aca="false" t="array" ref="AY70:AY70">AY59*INDEX(Premissas!$C$88:$G$88,AY$7)*Premissas!$B$87*Premissas!$B$86</f>
        <v>139581.740250067</v>
      </c>
      <c r="AZ70" s="168" t="n">
        <f aca="false" t="array" ref="AZ70:AZ70">AZ59*INDEX(Premissas!$C$88:$G$88,AZ$7)*Premissas!$B$87*Premissas!$B$86</f>
        <v>146898.945117248</v>
      </c>
      <c r="BA70" s="168" t="n">
        <f aca="false" t="array" ref="BA70:BA70">BA59*INDEX(Premissas!$C$88:$G$88,BA$7)*Premissas!$B$87*Premissas!$B$86</f>
        <v>153759.117977217</v>
      </c>
      <c r="BB70" s="168" t="n">
        <f aca="false" t="array" ref="BB70:BB70">BB59*INDEX(Premissas!$C$88:$G$88,BB$7)*Premissas!$B$87*Premissas!$B$86</f>
        <v>160190.805011119</v>
      </c>
      <c r="BC70" s="168" t="n">
        <f aca="false" t="array" ref="BC70:BC70">BC59*INDEX(Premissas!$C$88:$G$88,BC$7)*Premissas!$B$87*Premissas!$B$86</f>
        <v>166220.769407999</v>
      </c>
      <c r="BD70" s="168" t="n">
        <f aca="false" t="array" ref="BD70:BD70">BD59*INDEX(Premissas!$C$88:$G$88,BD$7)*Premissas!$B$87*Premissas!$B$86</f>
        <v>171874.102730344</v>
      </c>
      <c r="BE70" s="168" t="n">
        <f aca="false" t="array" ref="BE70:BE70">BE59*INDEX(Premissas!$C$88:$G$88,BE$7)*Premissas!$B$87*Premissas!$B$86</f>
        <v>177174.329323732</v>
      </c>
      <c r="BF70" s="168" t="n">
        <f aca="false" t="array" ref="BF70:BF70">BF59*INDEX(Premissas!$C$88:$G$88,BF$7)*Premissas!$B$87*Premissas!$B$86</f>
        <v>182143.504205076</v>
      </c>
      <c r="BG70" s="168" t="n">
        <f aca="false" t="array" ref="BG70:BG70">BG59*INDEX(Premissas!$C$88:$G$88,BG$7)*Premissas!$B$87*Premissas!$B$86</f>
        <v>186802.304836766</v>
      </c>
      <c r="BH70" s="168" t="n">
        <f aca="false" t="array" ref="BH70:BH70">BH59*INDEX(Premissas!$C$88:$G$88,BH$7)*Premissas!$B$87*Premissas!$B$86</f>
        <v>191170.117168614</v>
      </c>
      <c r="BI70" s="168" t="n">
        <f aca="false" t="array" ref="BI70:BI70">BI59*INDEX(Premissas!$C$88:$G$88,BI$7)*Premissas!$B$87*Premissas!$B$86</f>
        <v>195265.116305616</v>
      </c>
      <c r="BJ70" s="154" t="n">
        <f aca="false">SUM(B70:BI70)</f>
        <v>3470461.47386943</v>
      </c>
    </row>
    <row r="71" customFormat="false" ht="15.75" hidden="false" customHeight="true" outlineLevel="0" collapsed="false">
      <c r="A71" s="49" t="s">
        <v>755</v>
      </c>
      <c r="B71" s="168" t="n">
        <f aca="false">Aportes!B98</f>
        <v>0</v>
      </c>
      <c r="C71" s="168" t="n">
        <f aca="false">Aportes!C98</f>
        <v>0</v>
      </c>
      <c r="D71" s="168" t="n">
        <f aca="false">Aportes!D98</f>
        <v>0</v>
      </c>
      <c r="E71" s="168" t="n">
        <f aca="false">Aportes!E98</f>
        <v>0</v>
      </c>
      <c r="F71" s="168" t="n">
        <f aca="false">Aportes!F98</f>
        <v>0</v>
      </c>
      <c r="G71" s="168" t="n">
        <f aca="false">Aportes!G98</f>
        <v>0</v>
      </c>
      <c r="H71" s="168" t="n">
        <f aca="false">Aportes!H98</f>
        <v>0</v>
      </c>
      <c r="I71" s="168" t="n">
        <f aca="false">Aportes!I98</f>
        <v>0</v>
      </c>
      <c r="J71" s="168" t="n">
        <f aca="false">Aportes!J98</f>
        <v>0</v>
      </c>
      <c r="K71" s="168" t="n">
        <f aca="false">Aportes!K98</f>
        <v>0</v>
      </c>
      <c r="L71" s="168" t="n">
        <f aca="false">Aportes!L98</f>
        <v>0</v>
      </c>
      <c r="M71" s="168" t="n">
        <f aca="false">Aportes!M98</f>
        <v>0</v>
      </c>
      <c r="N71" s="168" t="n">
        <f aca="false">Aportes!N98</f>
        <v>0</v>
      </c>
      <c r="O71" s="168" t="n">
        <f aca="false">Aportes!O98</f>
        <v>0</v>
      </c>
      <c r="P71" s="168" t="n">
        <f aca="false">Aportes!P98</f>
        <v>5000</v>
      </c>
      <c r="Q71" s="168" t="n">
        <f aca="false">Aportes!Q98</f>
        <v>5000</v>
      </c>
      <c r="R71" s="168" t="n">
        <f aca="false">Aportes!R98</f>
        <v>5000</v>
      </c>
      <c r="S71" s="168" t="n">
        <f aca="false">Aportes!S98</f>
        <v>5000</v>
      </c>
      <c r="T71" s="168" t="n">
        <f aca="false">Aportes!T98</f>
        <v>5000</v>
      </c>
      <c r="U71" s="168" t="n">
        <f aca="false">Aportes!U98</f>
        <v>5000</v>
      </c>
      <c r="V71" s="168" t="n">
        <f aca="false">Aportes!V98</f>
        <v>5000</v>
      </c>
      <c r="W71" s="168" t="n">
        <f aca="false">Aportes!W98</f>
        <v>5000</v>
      </c>
      <c r="X71" s="168" t="n">
        <f aca="false">Aportes!X98</f>
        <v>5000</v>
      </c>
      <c r="Y71" s="168" t="n">
        <f aca="false">Aportes!Y98</f>
        <v>5000</v>
      </c>
      <c r="Z71" s="168" t="n">
        <f aca="false">Aportes!Z98</f>
        <v>5000</v>
      </c>
      <c r="AA71" s="168" t="n">
        <f aca="false">Aportes!AA98</f>
        <v>5000</v>
      </c>
      <c r="AB71" s="168" t="n">
        <f aca="false">Aportes!AB98</f>
        <v>5000</v>
      </c>
      <c r="AC71" s="168" t="n">
        <f aca="false">Aportes!AC98</f>
        <v>5000</v>
      </c>
      <c r="AD71" s="168" t="n">
        <f aca="false">Aportes!AD98</f>
        <v>5000</v>
      </c>
      <c r="AE71" s="168" t="n">
        <f aca="false">Aportes!AE98</f>
        <v>5000</v>
      </c>
      <c r="AF71" s="168" t="n">
        <f aca="false">Aportes!AF98</f>
        <v>5000</v>
      </c>
      <c r="AG71" s="168" t="n">
        <f aca="false">Aportes!AG98</f>
        <v>5000</v>
      </c>
      <c r="AH71" s="168" t="n">
        <f aca="false">Aportes!AH98</f>
        <v>5000</v>
      </c>
      <c r="AI71" s="168" t="n">
        <f aca="false">Aportes!AI98</f>
        <v>5000</v>
      </c>
      <c r="AJ71" s="168" t="n">
        <f aca="false">Aportes!AJ98</f>
        <v>5000</v>
      </c>
      <c r="AK71" s="168" t="n">
        <f aca="false">Aportes!AK98</f>
        <v>5000</v>
      </c>
      <c r="AL71" s="168" t="n">
        <f aca="false">Aportes!AL98</f>
        <v>5000</v>
      </c>
      <c r="AM71" s="168" t="n">
        <f aca="false">Aportes!AM98</f>
        <v>5000</v>
      </c>
      <c r="AN71" s="168" t="n">
        <f aca="false">Aportes!AN98</f>
        <v>5000</v>
      </c>
      <c r="AO71" s="168" t="n">
        <f aca="false">Aportes!AO98</f>
        <v>5000</v>
      </c>
      <c r="AP71" s="168" t="n">
        <f aca="false">Aportes!AP98</f>
        <v>5000</v>
      </c>
      <c r="AQ71" s="168" t="n">
        <f aca="false">Aportes!AQ98</f>
        <v>5000</v>
      </c>
      <c r="AR71" s="168" t="n">
        <f aca="false">Aportes!AR98</f>
        <v>5000</v>
      </c>
      <c r="AS71" s="168" t="n">
        <f aca="false">Aportes!AS98</f>
        <v>5000</v>
      </c>
      <c r="AT71" s="168" t="n">
        <f aca="false">Aportes!AT98</f>
        <v>5000</v>
      </c>
      <c r="AU71" s="168" t="n">
        <f aca="false">Aportes!AU98</f>
        <v>5000</v>
      </c>
      <c r="AV71" s="168" t="n">
        <f aca="false">Aportes!AV98</f>
        <v>5000</v>
      </c>
      <c r="AW71" s="168" t="n">
        <f aca="false">Aportes!AW98</f>
        <v>5000</v>
      </c>
      <c r="AX71" s="168" t="n">
        <f aca="false">Aportes!AX98</f>
        <v>5000</v>
      </c>
      <c r="AY71" s="168" t="n">
        <f aca="false">Aportes!AY98</f>
        <v>5000</v>
      </c>
      <c r="AZ71" s="168" t="n">
        <f aca="false">Aportes!AZ98</f>
        <v>5000</v>
      </c>
      <c r="BA71" s="168" t="n">
        <f aca="false">Aportes!BA98</f>
        <v>5000</v>
      </c>
      <c r="BB71" s="168" t="n">
        <f aca="false">Aportes!BB98</f>
        <v>5000</v>
      </c>
      <c r="BC71" s="168" t="n">
        <f aca="false">Aportes!BC98</f>
        <v>5000</v>
      </c>
      <c r="BD71" s="168" t="n">
        <f aca="false">Aportes!BD98</f>
        <v>5000</v>
      </c>
      <c r="BE71" s="168" t="n">
        <f aca="false">Aportes!BE98</f>
        <v>5000</v>
      </c>
      <c r="BF71" s="168" t="n">
        <f aca="false">Aportes!BF98</f>
        <v>5000</v>
      </c>
      <c r="BG71" s="168" t="n">
        <f aca="false">Aportes!BG98</f>
        <v>5000</v>
      </c>
      <c r="BH71" s="168" t="n">
        <f aca="false">Aportes!BH98</f>
        <v>5000</v>
      </c>
      <c r="BI71" s="168" t="n">
        <f aca="false">Aportes!BI98</f>
        <v>5000</v>
      </c>
      <c r="BJ71" s="154" t="n">
        <f aca="false">SUM(B71:BI71)</f>
        <v>230000</v>
      </c>
    </row>
    <row r="72" customFormat="false" ht="15.75" hidden="false" customHeight="true" outlineLevel="0" collapsed="false">
      <c r="A72" s="49" t="s">
        <v>756</v>
      </c>
      <c r="B72" s="168" t="n">
        <f aca="false">IF(B65=0,0,SUMPRODUCT((Premissas!$B$74:$B$82="Dados")*((Premissas!$C$74:$C$82="Planejado")+(Premissas!$C$74:$C$82="Em estudo")*Premissas!$B$70)*(Premissas!$F$74:$F$82&lt;=B$4)*(Premissas!$G$74:$G$82&gt;=B$4)*(Premissas!$D$74:$D$82="Fixo mensal")*Premissas!$E$74:$E$82)+SUMPRODUCT((Premissas!$B$74:$B$82="Dados")*((Premissas!$C$74:$C$82="Planejado")+(Premissas!$C$74:$C$82="Em estudo")*Premissas!$B$70)*(Premissas!$F$74:$F$82&lt;=B$4)*(Premissas!$G$74:$G$82&gt;=B$4)*(Premissas!$D$74:$D$82="Por usuário")*Premissas!$E$74:$E$82)*B65)</f>
        <v>0</v>
      </c>
      <c r="C72" s="168" t="n">
        <f aca="false">IF(C65=0,0,SUMPRODUCT((Premissas!$B$74:$B$82="Dados")*((Premissas!$C$74:$C$82="Planejado")+(Premissas!$C$74:$C$82="Em estudo")*Premissas!$B$70)*(Premissas!$F$74:$F$82&lt;=C$4)*(Premissas!$G$74:$G$82&gt;=C$4)*(Premissas!$D$74:$D$82="Fixo mensal")*Premissas!$E$74:$E$82)+SUMPRODUCT((Premissas!$B$74:$B$82="Dados")*((Premissas!$C$74:$C$82="Planejado")+(Premissas!$C$74:$C$82="Em estudo")*Premissas!$B$70)*(Premissas!$F$74:$F$82&lt;=C$4)*(Premissas!$G$74:$G$82&gt;=C$4)*(Premissas!$D$74:$D$82="Por usuário")*Premissas!$E$74:$E$82)*C65)</f>
        <v>0</v>
      </c>
      <c r="D72" s="168" t="n">
        <f aca="false">IF(D65=0,0,SUMPRODUCT((Premissas!$B$74:$B$82="Dados")*((Premissas!$C$74:$C$82="Planejado")+(Premissas!$C$74:$C$82="Em estudo")*Premissas!$B$70)*(Premissas!$F$74:$F$82&lt;=D$4)*(Premissas!$G$74:$G$82&gt;=D$4)*(Premissas!$D$74:$D$82="Fixo mensal")*Premissas!$E$74:$E$82)+SUMPRODUCT((Premissas!$B$74:$B$82="Dados")*((Premissas!$C$74:$C$82="Planejado")+(Premissas!$C$74:$C$82="Em estudo")*Premissas!$B$70)*(Premissas!$F$74:$F$82&lt;=D$4)*(Premissas!$G$74:$G$82&gt;=D$4)*(Premissas!$D$74:$D$82="Por usuário")*Premissas!$E$74:$E$82)*D65)</f>
        <v>0</v>
      </c>
      <c r="E72" s="168" t="n">
        <f aca="false">IF(E65=0,0,SUMPRODUCT((Premissas!$B$74:$B$82="Dados")*((Premissas!$C$74:$C$82="Planejado")+(Premissas!$C$74:$C$82="Em estudo")*Premissas!$B$70)*(Premissas!$F$74:$F$82&lt;=E$4)*(Premissas!$G$74:$G$82&gt;=E$4)*(Premissas!$D$74:$D$82="Fixo mensal")*Premissas!$E$74:$E$82)+SUMPRODUCT((Premissas!$B$74:$B$82="Dados")*((Premissas!$C$74:$C$82="Planejado")+(Premissas!$C$74:$C$82="Em estudo")*Premissas!$B$70)*(Premissas!$F$74:$F$82&lt;=E$4)*(Premissas!$G$74:$G$82&gt;=E$4)*(Premissas!$D$74:$D$82="Por usuário")*Premissas!$E$74:$E$82)*E65)</f>
        <v>0</v>
      </c>
      <c r="F72" s="168" t="n">
        <f aca="false">IF(F65=0,0,SUMPRODUCT((Premissas!$B$74:$B$82="Dados")*((Premissas!$C$74:$C$82="Planejado")+(Premissas!$C$74:$C$82="Em estudo")*Premissas!$B$70)*(Premissas!$F$74:$F$82&lt;=F$4)*(Premissas!$G$74:$G$82&gt;=F$4)*(Premissas!$D$74:$D$82="Fixo mensal")*Premissas!$E$74:$E$82)+SUMPRODUCT((Premissas!$B$74:$B$82="Dados")*((Premissas!$C$74:$C$82="Planejado")+(Premissas!$C$74:$C$82="Em estudo")*Premissas!$B$70)*(Premissas!$F$74:$F$82&lt;=F$4)*(Premissas!$G$74:$G$82&gt;=F$4)*(Premissas!$D$74:$D$82="Por usuário")*Premissas!$E$74:$E$82)*F65)</f>
        <v>0</v>
      </c>
      <c r="G72" s="168" t="n">
        <f aca="false">IF(G65=0,0,SUMPRODUCT((Premissas!$B$74:$B$82="Dados")*((Premissas!$C$74:$C$82="Planejado")+(Premissas!$C$74:$C$82="Em estudo")*Premissas!$B$70)*(Premissas!$F$74:$F$82&lt;=G$4)*(Premissas!$G$74:$G$82&gt;=G$4)*(Premissas!$D$74:$D$82="Fixo mensal")*Premissas!$E$74:$E$82)+SUMPRODUCT((Premissas!$B$74:$B$82="Dados")*((Premissas!$C$74:$C$82="Planejado")+(Premissas!$C$74:$C$82="Em estudo")*Premissas!$B$70)*(Premissas!$F$74:$F$82&lt;=G$4)*(Premissas!$G$74:$G$82&gt;=G$4)*(Premissas!$D$74:$D$82="Por usuário")*Premissas!$E$74:$E$82)*G65)</f>
        <v>0</v>
      </c>
      <c r="H72" s="168" t="n">
        <f aca="false">IF(H65=0,0,SUMPRODUCT((Premissas!$B$74:$B$82="Dados")*((Premissas!$C$74:$C$82="Planejado")+(Premissas!$C$74:$C$82="Em estudo")*Premissas!$B$70)*(Premissas!$F$74:$F$82&lt;=H$4)*(Premissas!$G$74:$G$82&gt;=H$4)*(Premissas!$D$74:$D$82="Fixo mensal")*Premissas!$E$74:$E$82)+SUMPRODUCT((Premissas!$B$74:$B$82="Dados")*((Premissas!$C$74:$C$82="Planejado")+(Premissas!$C$74:$C$82="Em estudo")*Premissas!$B$70)*(Premissas!$F$74:$F$82&lt;=H$4)*(Premissas!$G$74:$G$82&gt;=H$4)*(Premissas!$D$74:$D$82="Por usuário")*Premissas!$E$74:$E$82)*H65)</f>
        <v>0</v>
      </c>
      <c r="I72" s="168" t="n">
        <f aca="false">IF(I65=0,0,SUMPRODUCT((Premissas!$B$74:$B$82="Dados")*((Premissas!$C$74:$C$82="Planejado")+(Premissas!$C$74:$C$82="Em estudo")*Premissas!$B$70)*(Premissas!$F$74:$F$82&lt;=I$4)*(Premissas!$G$74:$G$82&gt;=I$4)*(Premissas!$D$74:$D$82="Fixo mensal")*Premissas!$E$74:$E$82)+SUMPRODUCT((Premissas!$B$74:$B$82="Dados")*((Premissas!$C$74:$C$82="Planejado")+(Premissas!$C$74:$C$82="Em estudo")*Premissas!$B$70)*(Premissas!$F$74:$F$82&lt;=I$4)*(Premissas!$G$74:$G$82&gt;=I$4)*(Premissas!$D$74:$D$82="Por usuário")*Premissas!$E$74:$E$82)*I65)</f>
        <v>0</v>
      </c>
      <c r="J72" s="168" t="n">
        <f aca="false">IF(J65=0,0,SUMPRODUCT((Premissas!$B$74:$B$82="Dados")*((Premissas!$C$74:$C$82="Planejado")+(Premissas!$C$74:$C$82="Em estudo")*Premissas!$B$70)*(Premissas!$F$74:$F$82&lt;=J$4)*(Premissas!$G$74:$G$82&gt;=J$4)*(Premissas!$D$74:$D$82="Fixo mensal")*Premissas!$E$74:$E$82)+SUMPRODUCT((Premissas!$B$74:$B$82="Dados")*((Premissas!$C$74:$C$82="Planejado")+(Premissas!$C$74:$C$82="Em estudo")*Premissas!$B$70)*(Premissas!$F$74:$F$82&lt;=J$4)*(Premissas!$G$74:$G$82&gt;=J$4)*(Premissas!$D$74:$D$82="Por usuário")*Premissas!$E$74:$E$82)*J65)</f>
        <v>0</v>
      </c>
      <c r="K72" s="168" t="n">
        <f aca="false">IF(K65=0,0,SUMPRODUCT((Premissas!$B$74:$B$82="Dados")*((Premissas!$C$74:$C$82="Planejado")+(Premissas!$C$74:$C$82="Em estudo")*Premissas!$B$70)*(Premissas!$F$74:$F$82&lt;=K$4)*(Premissas!$G$74:$G$82&gt;=K$4)*(Premissas!$D$74:$D$82="Fixo mensal")*Premissas!$E$74:$E$82)+SUMPRODUCT((Premissas!$B$74:$B$82="Dados")*((Premissas!$C$74:$C$82="Planejado")+(Premissas!$C$74:$C$82="Em estudo")*Premissas!$B$70)*(Premissas!$F$74:$F$82&lt;=K$4)*(Premissas!$G$74:$G$82&gt;=K$4)*(Premissas!$D$74:$D$82="Por usuário")*Premissas!$E$74:$E$82)*K65)</f>
        <v>0</v>
      </c>
      <c r="L72" s="168" t="n">
        <f aca="false">IF(L65=0,0,SUMPRODUCT((Premissas!$B$74:$B$82="Dados")*((Premissas!$C$74:$C$82="Planejado")+(Premissas!$C$74:$C$82="Em estudo")*Premissas!$B$70)*(Premissas!$F$74:$F$82&lt;=L$4)*(Premissas!$G$74:$G$82&gt;=L$4)*(Premissas!$D$74:$D$82="Fixo mensal")*Premissas!$E$74:$E$82)+SUMPRODUCT((Premissas!$B$74:$B$82="Dados")*((Premissas!$C$74:$C$82="Planejado")+(Premissas!$C$74:$C$82="Em estudo")*Premissas!$B$70)*(Premissas!$F$74:$F$82&lt;=L$4)*(Premissas!$G$74:$G$82&gt;=L$4)*(Premissas!$D$74:$D$82="Por usuário")*Premissas!$E$74:$E$82)*L65)</f>
        <v>0</v>
      </c>
      <c r="M72" s="168" t="n">
        <f aca="false">IF(M65=0,0,SUMPRODUCT((Premissas!$B$74:$B$82="Dados")*((Premissas!$C$74:$C$82="Planejado")+(Premissas!$C$74:$C$82="Em estudo")*Premissas!$B$70)*(Premissas!$F$74:$F$82&lt;=M$4)*(Premissas!$G$74:$G$82&gt;=M$4)*(Premissas!$D$74:$D$82="Fixo mensal")*Premissas!$E$74:$E$82)+SUMPRODUCT((Premissas!$B$74:$B$82="Dados")*((Premissas!$C$74:$C$82="Planejado")+(Premissas!$C$74:$C$82="Em estudo")*Premissas!$B$70)*(Premissas!$F$74:$F$82&lt;=M$4)*(Premissas!$G$74:$G$82&gt;=M$4)*(Premissas!$D$74:$D$82="Por usuário")*Premissas!$E$74:$E$82)*M65)</f>
        <v>0</v>
      </c>
      <c r="N72" s="168" t="n">
        <f aca="false">IF(N65=0,0,SUMPRODUCT((Premissas!$B$74:$B$82="Dados")*((Premissas!$C$74:$C$82="Planejado")+(Premissas!$C$74:$C$82="Em estudo")*Premissas!$B$70)*(Premissas!$F$74:$F$82&lt;=N$4)*(Premissas!$G$74:$G$82&gt;=N$4)*(Premissas!$D$74:$D$82="Fixo mensal")*Premissas!$E$74:$E$82)+SUMPRODUCT((Premissas!$B$74:$B$82="Dados")*((Premissas!$C$74:$C$82="Planejado")+(Premissas!$C$74:$C$82="Em estudo")*Premissas!$B$70)*(Premissas!$F$74:$F$82&lt;=N$4)*(Premissas!$G$74:$G$82&gt;=N$4)*(Premissas!$D$74:$D$82="Por usuário")*Premissas!$E$74:$E$82)*N65)</f>
        <v>0</v>
      </c>
      <c r="O72" s="168" t="n">
        <f aca="false">IF(O65=0,0,SUMPRODUCT((Premissas!$B$74:$B$82="Dados")*((Premissas!$C$74:$C$82="Planejado")+(Premissas!$C$74:$C$82="Em estudo")*Premissas!$B$70)*(Premissas!$F$74:$F$82&lt;=O$4)*(Premissas!$G$74:$G$82&gt;=O$4)*(Premissas!$D$74:$D$82="Fixo mensal")*Premissas!$E$74:$E$82)+SUMPRODUCT((Premissas!$B$74:$B$82="Dados")*((Premissas!$C$74:$C$82="Planejado")+(Premissas!$C$74:$C$82="Em estudo")*Premissas!$B$70)*(Premissas!$F$74:$F$82&lt;=O$4)*(Premissas!$G$74:$G$82&gt;=O$4)*(Premissas!$D$74:$D$82="Por usuário")*Premissas!$E$74:$E$82)*O65)</f>
        <v>0</v>
      </c>
      <c r="P72" s="168" t="n">
        <f aca="false">IF(P65=0,0,SUMPRODUCT((Premissas!$B$74:$B$82="Dados")*((Premissas!$C$74:$C$82="Planejado")+(Premissas!$C$74:$C$82="Em estudo")*Premissas!$B$70)*(Premissas!$F$74:$F$82&lt;=P$4)*(Premissas!$G$74:$G$82&gt;=P$4)*(Premissas!$D$74:$D$82="Fixo mensal")*Premissas!$E$74:$E$82)+SUMPRODUCT((Premissas!$B$74:$B$82="Dados")*((Premissas!$C$74:$C$82="Planejado")+(Premissas!$C$74:$C$82="Em estudo")*Premissas!$B$70)*(Premissas!$F$74:$F$82&lt;=P$4)*(Premissas!$G$74:$G$82&gt;=P$4)*(Premissas!$D$74:$D$82="Por usuário")*Premissas!$E$74:$E$82)*P65)</f>
        <v>0</v>
      </c>
      <c r="Q72" s="168" t="n">
        <f aca="false">IF(Q65=0,0,SUMPRODUCT((Premissas!$B$74:$B$82="Dados")*((Premissas!$C$74:$C$82="Planejado")+(Premissas!$C$74:$C$82="Em estudo")*Premissas!$B$70)*(Premissas!$F$74:$F$82&lt;=Q$4)*(Premissas!$G$74:$G$82&gt;=Q$4)*(Premissas!$D$74:$D$82="Fixo mensal")*Premissas!$E$74:$E$82)+SUMPRODUCT((Premissas!$B$74:$B$82="Dados")*((Premissas!$C$74:$C$82="Planejado")+(Premissas!$C$74:$C$82="Em estudo")*Premissas!$B$70)*(Premissas!$F$74:$F$82&lt;=Q$4)*(Premissas!$G$74:$G$82&gt;=Q$4)*(Premissas!$D$74:$D$82="Por usuário")*Premissas!$E$74:$E$82)*Q65)</f>
        <v>3750</v>
      </c>
      <c r="R72" s="168" t="n">
        <f aca="false">IF(R65=0,0,SUMPRODUCT((Premissas!$B$74:$B$82="Dados")*((Premissas!$C$74:$C$82="Planejado")+(Premissas!$C$74:$C$82="Em estudo")*Premissas!$B$70)*(Premissas!$F$74:$F$82&lt;=R$4)*(Premissas!$G$74:$G$82&gt;=R$4)*(Premissas!$D$74:$D$82="Fixo mensal")*Premissas!$E$74:$E$82)+SUMPRODUCT((Premissas!$B$74:$B$82="Dados")*((Premissas!$C$74:$C$82="Planejado")+(Premissas!$C$74:$C$82="Em estudo")*Premissas!$B$70)*(Premissas!$F$74:$F$82&lt;=R$4)*(Premissas!$G$74:$G$82&gt;=R$4)*(Premissas!$D$74:$D$82="Por usuário")*Premissas!$E$74:$E$82)*R65)</f>
        <v>3750</v>
      </c>
      <c r="S72" s="168" t="n">
        <f aca="false">IF(S65=0,0,SUMPRODUCT((Premissas!$B$74:$B$82="Dados")*((Premissas!$C$74:$C$82="Planejado")+(Premissas!$C$74:$C$82="Em estudo")*Premissas!$B$70)*(Premissas!$F$74:$F$82&lt;=S$4)*(Premissas!$G$74:$G$82&gt;=S$4)*(Premissas!$D$74:$D$82="Fixo mensal")*Premissas!$E$74:$E$82)+SUMPRODUCT((Premissas!$B$74:$B$82="Dados")*((Premissas!$C$74:$C$82="Planejado")+(Premissas!$C$74:$C$82="Em estudo")*Premissas!$B$70)*(Premissas!$F$74:$F$82&lt;=S$4)*(Premissas!$G$74:$G$82&gt;=S$4)*(Premissas!$D$74:$D$82="Por usuário")*Premissas!$E$74:$E$82)*S65)</f>
        <v>3750</v>
      </c>
      <c r="T72" s="168" t="n">
        <f aca="false">IF(T65=0,0,SUMPRODUCT((Premissas!$B$74:$B$82="Dados")*((Premissas!$C$74:$C$82="Planejado")+(Premissas!$C$74:$C$82="Em estudo")*Premissas!$B$70)*(Premissas!$F$74:$F$82&lt;=T$4)*(Premissas!$G$74:$G$82&gt;=T$4)*(Premissas!$D$74:$D$82="Fixo mensal")*Premissas!$E$74:$E$82)+SUMPRODUCT((Premissas!$B$74:$B$82="Dados")*((Premissas!$C$74:$C$82="Planejado")+(Premissas!$C$74:$C$82="Em estudo")*Premissas!$B$70)*(Premissas!$F$74:$F$82&lt;=T$4)*(Premissas!$G$74:$G$82&gt;=T$4)*(Premissas!$D$74:$D$82="Por usuário")*Premissas!$E$74:$E$82)*T65)</f>
        <v>3750</v>
      </c>
      <c r="U72" s="168" t="n">
        <f aca="false">IF(U65=0,0,SUMPRODUCT((Premissas!$B$74:$B$82="Dados")*((Premissas!$C$74:$C$82="Planejado")+(Premissas!$C$74:$C$82="Em estudo")*Premissas!$B$70)*(Premissas!$F$74:$F$82&lt;=U$4)*(Premissas!$G$74:$G$82&gt;=U$4)*(Premissas!$D$74:$D$82="Fixo mensal")*Premissas!$E$74:$E$82)+SUMPRODUCT((Premissas!$B$74:$B$82="Dados")*((Premissas!$C$74:$C$82="Planejado")+(Premissas!$C$74:$C$82="Em estudo")*Premissas!$B$70)*(Premissas!$F$74:$F$82&lt;=U$4)*(Premissas!$G$74:$G$82&gt;=U$4)*(Premissas!$D$74:$D$82="Por usuário")*Premissas!$E$74:$E$82)*U65)</f>
        <v>3750</v>
      </c>
      <c r="V72" s="168" t="n">
        <f aca="false">IF(V65=0,0,SUMPRODUCT((Premissas!$B$74:$B$82="Dados")*((Premissas!$C$74:$C$82="Planejado")+(Premissas!$C$74:$C$82="Em estudo")*Premissas!$B$70)*(Premissas!$F$74:$F$82&lt;=V$4)*(Premissas!$G$74:$G$82&gt;=V$4)*(Premissas!$D$74:$D$82="Fixo mensal")*Premissas!$E$74:$E$82)+SUMPRODUCT((Premissas!$B$74:$B$82="Dados")*((Premissas!$C$74:$C$82="Planejado")+(Premissas!$C$74:$C$82="Em estudo")*Premissas!$B$70)*(Premissas!$F$74:$F$82&lt;=V$4)*(Premissas!$G$74:$G$82&gt;=V$4)*(Premissas!$D$74:$D$82="Por usuário")*Premissas!$E$74:$E$82)*V65)</f>
        <v>3750</v>
      </c>
      <c r="W72" s="168" t="n">
        <f aca="false">IF(W65=0,0,SUMPRODUCT((Premissas!$B$74:$B$82="Dados")*((Premissas!$C$74:$C$82="Planejado")+(Premissas!$C$74:$C$82="Em estudo")*Premissas!$B$70)*(Premissas!$F$74:$F$82&lt;=W$4)*(Premissas!$G$74:$G$82&gt;=W$4)*(Premissas!$D$74:$D$82="Fixo mensal")*Premissas!$E$74:$E$82)+SUMPRODUCT((Premissas!$B$74:$B$82="Dados")*((Premissas!$C$74:$C$82="Planejado")+(Premissas!$C$74:$C$82="Em estudo")*Premissas!$B$70)*(Premissas!$F$74:$F$82&lt;=W$4)*(Premissas!$G$74:$G$82&gt;=W$4)*(Premissas!$D$74:$D$82="Por usuário")*Premissas!$E$74:$E$82)*W65)</f>
        <v>5750</v>
      </c>
      <c r="X72" s="168" t="n">
        <f aca="false">IF(X65=0,0,SUMPRODUCT((Premissas!$B$74:$B$82="Dados")*((Premissas!$C$74:$C$82="Planejado")+(Premissas!$C$74:$C$82="Em estudo")*Premissas!$B$70)*(Premissas!$F$74:$F$82&lt;=X$4)*(Premissas!$G$74:$G$82&gt;=X$4)*(Premissas!$D$74:$D$82="Fixo mensal")*Premissas!$E$74:$E$82)+SUMPRODUCT((Premissas!$B$74:$B$82="Dados")*((Premissas!$C$74:$C$82="Planejado")+(Premissas!$C$74:$C$82="Em estudo")*Premissas!$B$70)*(Premissas!$F$74:$F$82&lt;=X$4)*(Premissas!$G$74:$G$82&gt;=X$4)*(Premissas!$D$74:$D$82="Por usuário")*Premissas!$E$74:$E$82)*X65)</f>
        <v>5750</v>
      </c>
      <c r="Y72" s="168" t="n">
        <f aca="false">IF(Y65=0,0,SUMPRODUCT((Premissas!$B$74:$B$82="Dados")*((Premissas!$C$74:$C$82="Planejado")+(Premissas!$C$74:$C$82="Em estudo")*Premissas!$B$70)*(Premissas!$F$74:$F$82&lt;=Y$4)*(Premissas!$G$74:$G$82&gt;=Y$4)*(Premissas!$D$74:$D$82="Fixo mensal")*Premissas!$E$74:$E$82)+SUMPRODUCT((Premissas!$B$74:$B$82="Dados")*((Premissas!$C$74:$C$82="Planejado")+(Premissas!$C$74:$C$82="Em estudo")*Premissas!$B$70)*(Premissas!$F$74:$F$82&lt;=Y$4)*(Premissas!$G$74:$G$82&gt;=Y$4)*(Premissas!$D$74:$D$82="Por usuário")*Premissas!$E$74:$E$82)*Y65)</f>
        <v>5750</v>
      </c>
      <c r="Z72" s="168" t="n">
        <f aca="false">IF(Z65=0,0,SUMPRODUCT((Premissas!$B$74:$B$82="Dados")*((Premissas!$C$74:$C$82="Planejado")+(Premissas!$C$74:$C$82="Em estudo")*Premissas!$B$70)*(Premissas!$F$74:$F$82&lt;=Z$4)*(Premissas!$G$74:$G$82&gt;=Z$4)*(Premissas!$D$74:$D$82="Fixo mensal")*Premissas!$E$74:$E$82)+SUMPRODUCT((Premissas!$B$74:$B$82="Dados")*((Premissas!$C$74:$C$82="Planejado")+(Premissas!$C$74:$C$82="Em estudo")*Premissas!$B$70)*(Premissas!$F$74:$F$82&lt;=Z$4)*(Premissas!$G$74:$G$82&gt;=Z$4)*(Premissas!$D$74:$D$82="Por usuário")*Premissas!$E$74:$E$82)*Z65)</f>
        <v>5750</v>
      </c>
      <c r="AA72" s="168" t="n">
        <f aca="false">IF(AA65=0,0,SUMPRODUCT((Premissas!$B$74:$B$82="Dados")*((Premissas!$C$74:$C$82="Planejado")+(Premissas!$C$74:$C$82="Em estudo")*Premissas!$B$70)*(Premissas!$F$74:$F$82&lt;=AA$4)*(Premissas!$G$74:$G$82&gt;=AA$4)*(Premissas!$D$74:$D$82="Fixo mensal")*Premissas!$E$74:$E$82)+SUMPRODUCT((Premissas!$B$74:$B$82="Dados")*((Premissas!$C$74:$C$82="Planejado")+(Premissas!$C$74:$C$82="Em estudo")*Premissas!$B$70)*(Premissas!$F$74:$F$82&lt;=AA$4)*(Premissas!$G$74:$G$82&gt;=AA$4)*(Premissas!$D$74:$D$82="Por usuário")*Premissas!$E$74:$E$82)*AA65)</f>
        <v>5750</v>
      </c>
      <c r="AB72" s="168" t="n">
        <f aca="false">IF(AB65=0,0,SUMPRODUCT((Premissas!$B$74:$B$82="Dados")*((Premissas!$C$74:$C$82="Planejado")+(Premissas!$C$74:$C$82="Em estudo")*Premissas!$B$70)*(Premissas!$F$74:$F$82&lt;=AB$4)*(Premissas!$G$74:$G$82&gt;=AB$4)*(Premissas!$D$74:$D$82="Fixo mensal")*Premissas!$E$74:$E$82)+SUMPRODUCT((Premissas!$B$74:$B$82="Dados")*((Premissas!$C$74:$C$82="Planejado")+(Premissas!$C$74:$C$82="Em estudo")*Premissas!$B$70)*(Premissas!$F$74:$F$82&lt;=AB$4)*(Premissas!$G$74:$G$82&gt;=AB$4)*(Premissas!$D$74:$D$82="Por usuário")*Premissas!$E$74:$E$82)*AB65)</f>
        <v>5750</v>
      </c>
      <c r="AC72" s="168" t="n">
        <f aca="false">IF(AC65=0,0,SUMPRODUCT((Premissas!$B$74:$B$82="Dados")*((Premissas!$C$74:$C$82="Planejado")+(Premissas!$C$74:$C$82="Em estudo")*Premissas!$B$70)*(Premissas!$F$74:$F$82&lt;=AC$4)*(Premissas!$G$74:$G$82&gt;=AC$4)*(Premissas!$D$74:$D$82="Fixo mensal")*Premissas!$E$74:$E$82)+SUMPRODUCT((Premissas!$B$74:$B$82="Dados")*((Premissas!$C$74:$C$82="Planejado")+(Premissas!$C$74:$C$82="Em estudo")*Premissas!$B$70)*(Premissas!$F$74:$F$82&lt;=AC$4)*(Premissas!$G$74:$G$82&gt;=AC$4)*(Premissas!$D$74:$D$82="Por usuário")*Premissas!$E$74:$E$82)*AC65)</f>
        <v>5750</v>
      </c>
      <c r="AD72" s="168" t="n">
        <f aca="false">IF(AD65=0,0,SUMPRODUCT((Premissas!$B$74:$B$82="Dados")*((Premissas!$C$74:$C$82="Planejado")+(Premissas!$C$74:$C$82="Em estudo")*Premissas!$B$70)*(Premissas!$F$74:$F$82&lt;=AD$4)*(Premissas!$G$74:$G$82&gt;=AD$4)*(Premissas!$D$74:$D$82="Fixo mensal")*Premissas!$E$74:$E$82)+SUMPRODUCT((Premissas!$B$74:$B$82="Dados")*((Premissas!$C$74:$C$82="Planejado")+(Premissas!$C$74:$C$82="Em estudo")*Premissas!$B$70)*(Premissas!$F$74:$F$82&lt;=AD$4)*(Premissas!$G$74:$G$82&gt;=AD$4)*(Premissas!$D$74:$D$82="Por usuário")*Premissas!$E$74:$E$82)*AD65)</f>
        <v>5750</v>
      </c>
      <c r="AE72" s="168" t="n">
        <f aca="false">IF(AE65=0,0,SUMPRODUCT((Premissas!$B$74:$B$82="Dados")*((Premissas!$C$74:$C$82="Planejado")+(Premissas!$C$74:$C$82="Em estudo")*Premissas!$B$70)*(Premissas!$F$74:$F$82&lt;=AE$4)*(Premissas!$G$74:$G$82&gt;=AE$4)*(Premissas!$D$74:$D$82="Fixo mensal")*Premissas!$E$74:$E$82)+SUMPRODUCT((Premissas!$B$74:$B$82="Dados")*((Premissas!$C$74:$C$82="Planejado")+(Premissas!$C$74:$C$82="Em estudo")*Premissas!$B$70)*(Premissas!$F$74:$F$82&lt;=AE$4)*(Premissas!$G$74:$G$82&gt;=AE$4)*(Premissas!$D$74:$D$82="Por usuário")*Premissas!$E$74:$E$82)*AE65)</f>
        <v>5750</v>
      </c>
      <c r="AF72" s="168" t="n">
        <f aca="false">IF(AF65=0,0,SUMPRODUCT((Premissas!$B$74:$B$82="Dados")*((Premissas!$C$74:$C$82="Planejado")+(Premissas!$C$74:$C$82="Em estudo")*Premissas!$B$70)*(Premissas!$F$74:$F$82&lt;=AF$4)*(Premissas!$G$74:$G$82&gt;=AF$4)*(Premissas!$D$74:$D$82="Fixo mensal")*Premissas!$E$74:$E$82)+SUMPRODUCT((Premissas!$B$74:$B$82="Dados")*((Premissas!$C$74:$C$82="Planejado")+(Premissas!$C$74:$C$82="Em estudo")*Premissas!$B$70)*(Premissas!$F$74:$F$82&lt;=AF$4)*(Premissas!$G$74:$G$82&gt;=AF$4)*(Premissas!$D$74:$D$82="Por usuário")*Premissas!$E$74:$E$82)*AF65)</f>
        <v>5750</v>
      </c>
      <c r="AG72" s="168" t="n">
        <f aca="false">IF(AG65=0,0,SUMPRODUCT((Premissas!$B$74:$B$82="Dados")*((Premissas!$C$74:$C$82="Planejado")+(Premissas!$C$74:$C$82="Em estudo")*Premissas!$B$70)*(Premissas!$F$74:$F$82&lt;=AG$4)*(Premissas!$G$74:$G$82&gt;=AG$4)*(Premissas!$D$74:$D$82="Fixo mensal")*Premissas!$E$74:$E$82)+SUMPRODUCT((Premissas!$B$74:$B$82="Dados")*((Premissas!$C$74:$C$82="Planejado")+(Premissas!$C$74:$C$82="Em estudo")*Premissas!$B$70)*(Premissas!$F$74:$F$82&lt;=AG$4)*(Premissas!$G$74:$G$82&gt;=AG$4)*(Premissas!$D$74:$D$82="Por usuário")*Premissas!$E$74:$E$82)*AG65)</f>
        <v>5750</v>
      </c>
      <c r="AH72" s="168" t="n">
        <f aca="false">IF(AH65=0,0,SUMPRODUCT((Premissas!$B$74:$B$82="Dados")*((Premissas!$C$74:$C$82="Planejado")+(Premissas!$C$74:$C$82="Em estudo")*Premissas!$B$70)*(Premissas!$F$74:$F$82&lt;=AH$4)*(Premissas!$G$74:$G$82&gt;=AH$4)*(Premissas!$D$74:$D$82="Fixo mensal")*Premissas!$E$74:$E$82)+SUMPRODUCT((Premissas!$B$74:$B$82="Dados")*((Premissas!$C$74:$C$82="Planejado")+(Premissas!$C$74:$C$82="Em estudo")*Premissas!$B$70)*(Premissas!$F$74:$F$82&lt;=AH$4)*(Premissas!$G$74:$G$82&gt;=AH$4)*(Premissas!$D$74:$D$82="Por usuário")*Premissas!$E$74:$E$82)*AH65)</f>
        <v>5750</v>
      </c>
      <c r="AI72" s="168" t="n">
        <f aca="false">IF(AI65=0,0,SUMPRODUCT((Premissas!$B$74:$B$82="Dados")*((Premissas!$C$74:$C$82="Planejado")+(Premissas!$C$74:$C$82="Em estudo")*Premissas!$B$70)*(Premissas!$F$74:$F$82&lt;=AI$4)*(Premissas!$G$74:$G$82&gt;=AI$4)*(Premissas!$D$74:$D$82="Fixo mensal")*Premissas!$E$74:$E$82)+SUMPRODUCT((Premissas!$B$74:$B$82="Dados")*((Premissas!$C$74:$C$82="Planejado")+(Premissas!$C$74:$C$82="Em estudo")*Premissas!$B$70)*(Premissas!$F$74:$F$82&lt;=AI$4)*(Premissas!$G$74:$G$82&gt;=AI$4)*(Premissas!$D$74:$D$82="Por usuário")*Premissas!$E$74:$E$82)*AI65)</f>
        <v>5750</v>
      </c>
      <c r="AJ72" s="168" t="n">
        <f aca="false">IF(AJ65=0,0,SUMPRODUCT((Premissas!$B$74:$B$82="Dados")*((Premissas!$C$74:$C$82="Planejado")+(Premissas!$C$74:$C$82="Em estudo")*Premissas!$B$70)*(Premissas!$F$74:$F$82&lt;=AJ$4)*(Premissas!$G$74:$G$82&gt;=AJ$4)*(Premissas!$D$74:$D$82="Fixo mensal")*Premissas!$E$74:$E$82)+SUMPRODUCT((Premissas!$B$74:$B$82="Dados")*((Premissas!$C$74:$C$82="Planejado")+(Premissas!$C$74:$C$82="Em estudo")*Premissas!$B$70)*(Premissas!$F$74:$F$82&lt;=AJ$4)*(Premissas!$G$74:$G$82&gt;=AJ$4)*(Premissas!$D$74:$D$82="Por usuário")*Premissas!$E$74:$E$82)*AJ65)</f>
        <v>5750</v>
      </c>
      <c r="AK72" s="168" t="n">
        <f aca="false">IF(AK65=0,0,SUMPRODUCT((Premissas!$B$74:$B$82="Dados")*((Premissas!$C$74:$C$82="Planejado")+(Premissas!$C$74:$C$82="Em estudo")*Premissas!$B$70)*(Premissas!$F$74:$F$82&lt;=AK$4)*(Premissas!$G$74:$G$82&gt;=AK$4)*(Premissas!$D$74:$D$82="Fixo mensal")*Premissas!$E$74:$E$82)+SUMPRODUCT((Premissas!$B$74:$B$82="Dados")*((Premissas!$C$74:$C$82="Planejado")+(Premissas!$C$74:$C$82="Em estudo")*Premissas!$B$70)*(Premissas!$F$74:$F$82&lt;=AK$4)*(Premissas!$G$74:$G$82&gt;=AK$4)*(Premissas!$D$74:$D$82="Por usuário")*Premissas!$E$74:$E$82)*AK65)</f>
        <v>5750</v>
      </c>
      <c r="AL72" s="168" t="n">
        <f aca="false">IF(AL65=0,0,SUMPRODUCT((Premissas!$B$74:$B$82="Dados")*((Premissas!$C$74:$C$82="Planejado")+(Premissas!$C$74:$C$82="Em estudo")*Premissas!$B$70)*(Premissas!$F$74:$F$82&lt;=AL$4)*(Premissas!$G$74:$G$82&gt;=AL$4)*(Premissas!$D$74:$D$82="Fixo mensal")*Premissas!$E$74:$E$82)+SUMPRODUCT((Premissas!$B$74:$B$82="Dados")*((Premissas!$C$74:$C$82="Planejado")+(Premissas!$C$74:$C$82="Em estudo")*Premissas!$B$70)*(Premissas!$F$74:$F$82&lt;=AL$4)*(Premissas!$G$74:$G$82&gt;=AL$4)*(Premissas!$D$74:$D$82="Por usuário")*Premissas!$E$74:$E$82)*AL65)</f>
        <v>5750</v>
      </c>
      <c r="AM72" s="168" t="n">
        <f aca="false">IF(AM65=0,0,SUMPRODUCT((Premissas!$B$74:$B$82="Dados")*((Premissas!$C$74:$C$82="Planejado")+(Premissas!$C$74:$C$82="Em estudo")*Premissas!$B$70)*(Premissas!$F$74:$F$82&lt;=AM$4)*(Premissas!$G$74:$G$82&gt;=AM$4)*(Premissas!$D$74:$D$82="Fixo mensal")*Premissas!$E$74:$E$82)+SUMPRODUCT((Premissas!$B$74:$B$82="Dados")*((Premissas!$C$74:$C$82="Planejado")+(Premissas!$C$74:$C$82="Em estudo")*Premissas!$B$70)*(Premissas!$F$74:$F$82&lt;=AM$4)*(Premissas!$G$74:$G$82&gt;=AM$4)*(Premissas!$D$74:$D$82="Por usuário")*Premissas!$E$74:$E$82)*AM65)</f>
        <v>5750</v>
      </c>
      <c r="AN72" s="168" t="n">
        <f aca="false">IF(AN65=0,0,SUMPRODUCT((Premissas!$B$74:$B$82="Dados")*((Premissas!$C$74:$C$82="Planejado")+(Premissas!$C$74:$C$82="Em estudo")*Premissas!$B$70)*(Premissas!$F$74:$F$82&lt;=AN$4)*(Premissas!$G$74:$G$82&gt;=AN$4)*(Premissas!$D$74:$D$82="Fixo mensal")*Premissas!$E$74:$E$82)+SUMPRODUCT((Premissas!$B$74:$B$82="Dados")*((Premissas!$C$74:$C$82="Planejado")+(Premissas!$C$74:$C$82="Em estudo")*Premissas!$B$70)*(Premissas!$F$74:$F$82&lt;=AN$4)*(Premissas!$G$74:$G$82&gt;=AN$4)*(Premissas!$D$74:$D$82="Por usuário")*Premissas!$E$74:$E$82)*AN65)</f>
        <v>5750</v>
      </c>
      <c r="AO72" s="168" t="n">
        <f aca="false">IF(AO65=0,0,SUMPRODUCT((Premissas!$B$74:$B$82="Dados")*((Premissas!$C$74:$C$82="Planejado")+(Premissas!$C$74:$C$82="Em estudo")*Premissas!$B$70)*(Premissas!$F$74:$F$82&lt;=AO$4)*(Premissas!$G$74:$G$82&gt;=AO$4)*(Premissas!$D$74:$D$82="Fixo mensal")*Premissas!$E$74:$E$82)+SUMPRODUCT((Premissas!$B$74:$B$82="Dados")*((Premissas!$C$74:$C$82="Planejado")+(Premissas!$C$74:$C$82="Em estudo")*Premissas!$B$70)*(Premissas!$F$74:$F$82&lt;=AO$4)*(Premissas!$G$74:$G$82&gt;=AO$4)*(Premissas!$D$74:$D$82="Por usuário")*Premissas!$E$74:$E$82)*AO65)</f>
        <v>5750</v>
      </c>
      <c r="AP72" s="168" t="n">
        <f aca="false">IF(AP65=0,0,SUMPRODUCT((Premissas!$B$74:$B$82="Dados")*((Premissas!$C$74:$C$82="Planejado")+(Premissas!$C$74:$C$82="Em estudo")*Premissas!$B$70)*(Premissas!$F$74:$F$82&lt;=AP$4)*(Premissas!$G$74:$G$82&gt;=AP$4)*(Premissas!$D$74:$D$82="Fixo mensal")*Premissas!$E$74:$E$82)+SUMPRODUCT((Premissas!$B$74:$B$82="Dados")*((Premissas!$C$74:$C$82="Planejado")+(Premissas!$C$74:$C$82="Em estudo")*Premissas!$B$70)*(Premissas!$F$74:$F$82&lt;=AP$4)*(Premissas!$G$74:$G$82&gt;=AP$4)*(Premissas!$D$74:$D$82="Por usuário")*Premissas!$E$74:$E$82)*AP65)</f>
        <v>5750</v>
      </c>
      <c r="AQ72" s="168" t="n">
        <f aca="false">IF(AQ65=0,0,SUMPRODUCT((Premissas!$B$74:$B$82="Dados")*((Premissas!$C$74:$C$82="Planejado")+(Premissas!$C$74:$C$82="Em estudo")*Premissas!$B$70)*(Premissas!$F$74:$F$82&lt;=AQ$4)*(Premissas!$G$74:$G$82&gt;=AQ$4)*(Premissas!$D$74:$D$82="Fixo mensal")*Premissas!$E$74:$E$82)+SUMPRODUCT((Premissas!$B$74:$B$82="Dados")*((Premissas!$C$74:$C$82="Planejado")+(Premissas!$C$74:$C$82="Em estudo")*Premissas!$B$70)*(Premissas!$F$74:$F$82&lt;=AQ$4)*(Premissas!$G$74:$G$82&gt;=AQ$4)*(Premissas!$D$74:$D$82="Por usuário")*Premissas!$E$74:$E$82)*AQ65)</f>
        <v>5750</v>
      </c>
      <c r="AR72" s="168" t="n">
        <f aca="false">IF(AR65=0,0,SUMPRODUCT((Premissas!$B$74:$B$82="Dados")*((Premissas!$C$74:$C$82="Planejado")+(Premissas!$C$74:$C$82="Em estudo")*Premissas!$B$70)*(Premissas!$F$74:$F$82&lt;=AR$4)*(Premissas!$G$74:$G$82&gt;=AR$4)*(Premissas!$D$74:$D$82="Fixo mensal")*Premissas!$E$74:$E$82)+SUMPRODUCT((Premissas!$B$74:$B$82="Dados")*((Premissas!$C$74:$C$82="Planejado")+(Premissas!$C$74:$C$82="Em estudo")*Premissas!$B$70)*(Premissas!$F$74:$F$82&lt;=AR$4)*(Premissas!$G$74:$G$82&gt;=AR$4)*(Premissas!$D$74:$D$82="Por usuário")*Premissas!$E$74:$E$82)*AR65)</f>
        <v>5750</v>
      </c>
      <c r="AS72" s="168" t="n">
        <f aca="false">IF(AS65=0,0,SUMPRODUCT((Premissas!$B$74:$B$82="Dados")*((Premissas!$C$74:$C$82="Planejado")+(Premissas!$C$74:$C$82="Em estudo")*Premissas!$B$70)*(Premissas!$F$74:$F$82&lt;=AS$4)*(Premissas!$G$74:$G$82&gt;=AS$4)*(Premissas!$D$74:$D$82="Fixo mensal")*Premissas!$E$74:$E$82)+SUMPRODUCT((Premissas!$B$74:$B$82="Dados")*((Premissas!$C$74:$C$82="Planejado")+(Premissas!$C$74:$C$82="Em estudo")*Premissas!$B$70)*(Premissas!$F$74:$F$82&lt;=AS$4)*(Premissas!$G$74:$G$82&gt;=AS$4)*(Premissas!$D$74:$D$82="Por usuário")*Premissas!$E$74:$E$82)*AS65)</f>
        <v>5750</v>
      </c>
      <c r="AT72" s="168" t="n">
        <f aca="false">IF(AT65=0,0,SUMPRODUCT((Premissas!$B$74:$B$82="Dados")*((Premissas!$C$74:$C$82="Planejado")+(Premissas!$C$74:$C$82="Em estudo")*Premissas!$B$70)*(Premissas!$F$74:$F$82&lt;=AT$4)*(Premissas!$G$74:$G$82&gt;=AT$4)*(Premissas!$D$74:$D$82="Fixo mensal")*Premissas!$E$74:$E$82)+SUMPRODUCT((Premissas!$B$74:$B$82="Dados")*((Premissas!$C$74:$C$82="Planejado")+(Premissas!$C$74:$C$82="Em estudo")*Premissas!$B$70)*(Premissas!$F$74:$F$82&lt;=AT$4)*(Premissas!$G$74:$G$82&gt;=AT$4)*(Premissas!$D$74:$D$82="Por usuário")*Premissas!$E$74:$E$82)*AT65)</f>
        <v>5750</v>
      </c>
      <c r="AU72" s="168" t="n">
        <f aca="false">IF(AU65=0,0,SUMPRODUCT((Premissas!$B$74:$B$82="Dados")*((Premissas!$C$74:$C$82="Planejado")+(Premissas!$C$74:$C$82="Em estudo")*Premissas!$B$70)*(Premissas!$F$74:$F$82&lt;=AU$4)*(Premissas!$G$74:$G$82&gt;=AU$4)*(Premissas!$D$74:$D$82="Fixo mensal")*Premissas!$E$74:$E$82)+SUMPRODUCT((Premissas!$B$74:$B$82="Dados")*((Premissas!$C$74:$C$82="Planejado")+(Premissas!$C$74:$C$82="Em estudo")*Premissas!$B$70)*(Premissas!$F$74:$F$82&lt;=AU$4)*(Premissas!$G$74:$G$82&gt;=AU$4)*(Premissas!$D$74:$D$82="Por usuário")*Premissas!$E$74:$E$82)*AU65)</f>
        <v>5750</v>
      </c>
      <c r="AV72" s="168" t="n">
        <f aca="false">IF(AV65=0,0,SUMPRODUCT((Premissas!$B$74:$B$82="Dados")*((Premissas!$C$74:$C$82="Planejado")+(Premissas!$C$74:$C$82="Em estudo")*Premissas!$B$70)*(Premissas!$F$74:$F$82&lt;=AV$4)*(Premissas!$G$74:$G$82&gt;=AV$4)*(Premissas!$D$74:$D$82="Fixo mensal")*Premissas!$E$74:$E$82)+SUMPRODUCT((Premissas!$B$74:$B$82="Dados")*((Premissas!$C$74:$C$82="Planejado")+(Premissas!$C$74:$C$82="Em estudo")*Premissas!$B$70)*(Premissas!$F$74:$F$82&lt;=AV$4)*(Premissas!$G$74:$G$82&gt;=AV$4)*(Premissas!$D$74:$D$82="Por usuário")*Premissas!$E$74:$E$82)*AV65)</f>
        <v>5750</v>
      </c>
      <c r="AW72" s="168" t="n">
        <f aca="false">IF(AW65=0,0,SUMPRODUCT((Premissas!$B$74:$B$82="Dados")*((Premissas!$C$74:$C$82="Planejado")+(Premissas!$C$74:$C$82="Em estudo")*Premissas!$B$70)*(Premissas!$F$74:$F$82&lt;=AW$4)*(Premissas!$G$74:$G$82&gt;=AW$4)*(Premissas!$D$74:$D$82="Fixo mensal")*Premissas!$E$74:$E$82)+SUMPRODUCT((Premissas!$B$74:$B$82="Dados")*((Premissas!$C$74:$C$82="Planejado")+(Premissas!$C$74:$C$82="Em estudo")*Premissas!$B$70)*(Premissas!$F$74:$F$82&lt;=AW$4)*(Premissas!$G$74:$G$82&gt;=AW$4)*(Premissas!$D$74:$D$82="Por usuário")*Premissas!$E$74:$E$82)*AW65)</f>
        <v>5750</v>
      </c>
      <c r="AX72" s="168" t="n">
        <f aca="false">IF(AX65=0,0,SUMPRODUCT((Premissas!$B$74:$B$82="Dados")*((Premissas!$C$74:$C$82="Planejado")+(Premissas!$C$74:$C$82="Em estudo")*Premissas!$B$70)*(Premissas!$F$74:$F$82&lt;=AX$4)*(Premissas!$G$74:$G$82&gt;=AX$4)*(Premissas!$D$74:$D$82="Fixo mensal")*Premissas!$E$74:$E$82)+SUMPRODUCT((Premissas!$B$74:$B$82="Dados")*((Premissas!$C$74:$C$82="Planejado")+(Premissas!$C$74:$C$82="Em estudo")*Premissas!$B$70)*(Premissas!$F$74:$F$82&lt;=AX$4)*(Premissas!$G$74:$G$82&gt;=AX$4)*(Premissas!$D$74:$D$82="Por usuário")*Premissas!$E$74:$E$82)*AX65)</f>
        <v>5750</v>
      </c>
      <c r="AY72" s="168" t="n">
        <f aca="false">IF(AY65=0,0,SUMPRODUCT((Premissas!$B$74:$B$82="Dados")*((Premissas!$C$74:$C$82="Planejado")+(Premissas!$C$74:$C$82="Em estudo")*Premissas!$B$70)*(Premissas!$F$74:$F$82&lt;=AY$4)*(Premissas!$G$74:$G$82&gt;=AY$4)*(Premissas!$D$74:$D$82="Fixo mensal")*Premissas!$E$74:$E$82)+SUMPRODUCT((Premissas!$B$74:$B$82="Dados")*((Premissas!$C$74:$C$82="Planejado")+(Premissas!$C$74:$C$82="Em estudo")*Premissas!$B$70)*(Premissas!$F$74:$F$82&lt;=AY$4)*(Premissas!$G$74:$G$82&gt;=AY$4)*(Premissas!$D$74:$D$82="Por usuário")*Premissas!$E$74:$E$82)*AY65)</f>
        <v>5750</v>
      </c>
      <c r="AZ72" s="168" t="n">
        <f aca="false">IF(AZ65=0,0,SUMPRODUCT((Premissas!$B$74:$B$82="Dados")*((Premissas!$C$74:$C$82="Planejado")+(Premissas!$C$74:$C$82="Em estudo")*Premissas!$B$70)*(Premissas!$F$74:$F$82&lt;=AZ$4)*(Premissas!$G$74:$G$82&gt;=AZ$4)*(Premissas!$D$74:$D$82="Fixo mensal")*Premissas!$E$74:$E$82)+SUMPRODUCT((Premissas!$B$74:$B$82="Dados")*((Premissas!$C$74:$C$82="Planejado")+(Premissas!$C$74:$C$82="Em estudo")*Premissas!$B$70)*(Premissas!$F$74:$F$82&lt;=AZ$4)*(Premissas!$G$74:$G$82&gt;=AZ$4)*(Premissas!$D$74:$D$82="Por usuário")*Premissas!$E$74:$E$82)*AZ65)</f>
        <v>5750</v>
      </c>
      <c r="BA72" s="168" t="n">
        <f aca="false">IF(BA65=0,0,SUMPRODUCT((Premissas!$B$74:$B$82="Dados")*((Premissas!$C$74:$C$82="Planejado")+(Premissas!$C$74:$C$82="Em estudo")*Premissas!$B$70)*(Premissas!$F$74:$F$82&lt;=BA$4)*(Premissas!$G$74:$G$82&gt;=BA$4)*(Premissas!$D$74:$D$82="Fixo mensal")*Premissas!$E$74:$E$82)+SUMPRODUCT((Premissas!$B$74:$B$82="Dados")*((Premissas!$C$74:$C$82="Planejado")+(Premissas!$C$74:$C$82="Em estudo")*Premissas!$B$70)*(Premissas!$F$74:$F$82&lt;=BA$4)*(Premissas!$G$74:$G$82&gt;=BA$4)*(Premissas!$D$74:$D$82="Por usuário")*Premissas!$E$74:$E$82)*BA65)</f>
        <v>5750</v>
      </c>
      <c r="BB72" s="168" t="n">
        <f aca="false">IF(BB65=0,0,SUMPRODUCT((Premissas!$B$74:$B$82="Dados")*((Premissas!$C$74:$C$82="Planejado")+(Premissas!$C$74:$C$82="Em estudo")*Premissas!$B$70)*(Premissas!$F$74:$F$82&lt;=BB$4)*(Premissas!$G$74:$G$82&gt;=BB$4)*(Premissas!$D$74:$D$82="Fixo mensal")*Premissas!$E$74:$E$82)+SUMPRODUCT((Premissas!$B$74:$B$82="Dados")*((Premissas!$C$74:$C$82="Planejado")+(Premissas!$C$74:$C$82="Em estudo")*Premissas!$B$70)*(Premissas!$F$74:$F$82&lt;=BB$4)*(Premissas!$G$74:$G$82&gt;=BB$4)*(Premissas!$D$74:$D$82="Por usuário")*Premissas!$E$74:$E$82)*BB65)</f>
        <v>5750</v>
      </c>
      <c r="BC72" s="168" t="n">
        <f aca="false">IF(BC65=0,0,SUMPRODUCT((Premissas!$B$74:$B$82="Dados")*((Premissas!$C$74:$C$82="Planejado")+(Premissas!$C$74:$C$82="Em estudo")*Premissas!$B$70)*(Premissas!$F$74:$F$82&lt;=BC$4)*(Premissas!$G$74:$G$82&gt;=BC$4)*(Premissas!$D$74:$D$82="Fixo mensal")*Premissas!$E$74:$E$82)+SUMPRODUCT((Premissas!$B$74:$B$82="Dados")*((Premissas!$C$74:$C$82="Planejado")+(Premissas!$C$74:$C$82="Em estudo")*Premissas!$B$70)*(Premissas!$F$74:$F$82&lt;=BC$4)*(Premissas!$G$74:$G$82&gt;=BC$4)*(Premissas!$D$74:$D$82="Por usuário")*Premissas!$E$74:$E$82)*BC65)</f>
        <v>5750</v>
      </c>
      <c r="BD72" s="168" t="n">
        <f aca="false">IF(BD65=0,0,SUMPRODUCT((Premissas!$B$74:$B$82="Dados")*((Premissas!$C$74:$C$82="Planejado")+(Premissas!$C$74:$C$82="Em estudo")*Premissas!$B$70)*(Premissas!$F$74:$F$82&lt;=BD$4)*(Premissas!$G$74:$G$82&gt;=BD$4)*(Premissas!$D$74:$D$82="Fixo mensal")*Premissas!$E$74:$E$82)+SUMPRODUCT((Premissas!$B$74:$B$82="Dados")*((Premissas!$C$74:$C$82="Planejado")+(Premissas!$C$74:$C$82="Em estudo")*Premissas!$B$70)*(Premissas!$F$74:$F$82&lt;=BD$4)*(Premissas!$G$74:$G$82&gt;=BD$4)*(Premissas!$D$74:$D$82="Por usuário")*Premissas!$E$74:$E$82)*BD65)</f>
        <v>5750</v>
      </c>
      <c r="BE72" s="168" t="n">
        <f aca="false">IF(BE65=0,0,SUMPRODUCT((Premissas!$B$74:$B$82="Dados")*((Premissas!$C$74:$C$82="Planejado")+(Premissas!$C$74:$C$82="Em estudo")*Premissas!$B$70)*(Premissas!$F$74:$F$82&lt;=BE$4)*(Premissas!$G$74:$G$82&gt;=BE$4)*(Premissas!$D$74:$D$82="Fixo mensal")*Premissas!$E$74:$E$82)+SUMPRODUCT((Premissas!$B$74:$B$82="Dados")*((Premissas!$C$74:$C$82="Planejado")+(Premissas!$C$74:$C$82="Em estudo")*Premissas!$B$70)*(Premissas!$F$74:$F$82&lt;=BE$4)*(Premissas!$G$74:$G$82&gt;=BE$4)*(Premissas!$D$74:$D$82="Por usuário")*Premissas!$E$74:$E$82)*BE65)</f>
        <v>5750</v>
      </c>
      <c r="BF72" s="168" t="n">
        <f aca="false">IF(BF65=0,0,SUMPRODUCT((Premissas!$B$74:$B$82="Dados")*((Premissas!$C$74:$C$82="Planejado")+(Premissas!$C$74:$C$82="Em estudo")*Premissas!$B$70)*(Premissas!$F$74:$F$82&lt;=BF$4)*(Premissas!$G$74:$G$82&gt;=BF$4)*(Premissas!$D$74:$D$82="Fixo mensal")*Premissas!$E$74:$E$82)+SUMPRODUCT((Premissas!$B$74:$B$82="Dados")*((Premissas!$C$74:$C$82="Planejado")+(Premissas!$C$74:$C$82="Em estudo")*Premissas!$B$70)*(Premissas!$F$74:$F$82&lt;=BF$4)*(Premissas!$G$74:$G$82&gt;=BF$4)*(Premissas!$D$74:$D$82="Por usuário")*Premissas!$E$74:$E$82)*BF65)</f>
        <v>5750</v>
      </c>
      <c r="BG72" s="168" t="n">
        <f aca="false">IF(BG65=0,0,SUMPRODUCT((Premissas!$B$74:$B$82="Dados")*((Premissas!$C$74:$C$82="Planejado")+(Premissas!$C$74:$C$82="Em estudo")*Premissas!$B$70)*(Premissas!$F$74:$F$82&lt;=BG$4)*(Premissas!$G$74:$G$82&gt;=BG$4)*(Premissas!$D$74:$D$82="Fixo mensal")*Premissas!$E$74:$E$82)+SUMPRODUCT((Premissas!$B$74:$B$82="Dados")*((Premissas!$C$74:$C$82="Planejado")+(Premissas!$C$74:$C$82="Em estudo")*Premissas!$B$70)*(Premissas!$F$74:$F$82&lt;=BG$4)*(Premissas!$G$74:$G$82&gt;=BG$4)*(Premissas!$D$74:$D$82="Por usuário")*Premissas!$E$74:$E$82)*BG65)</f>
        <v>5750</v>
      </c>
      <c r="BH72" s="168" t="n">
        <f aca="false">IF(BH65=0,0,SUMPRODUCT((Premissas!$B$74:$B$82="Dados")*((Premissas!$C$74:$C$82="Planejado")+(Premissas!$C$74:$C$82="Em estudo")*Premissas!$B$70)*(Premissas!$F$74:$F$82&lt;=BH$4)*(Premissas!$G$74:$G$82&gt;=BH$4)*(Premissas!$D$74:$D$82="Fixo mensal")*Premissas!$E$74:$E$82)+SUMPRODUCT((Premissas!$B$74:$B$82="Dados")*((Premissas!$C$74:$C$82="Planejado")+(Premissas!$C$74:$C$82="Em estudo")*Premissas!$B$70)*(Premissas!$F$74:$F$82&lt;=BH$4)*(Premissas!$G$74:$G$82&gt;=BH$4)*(Premissas!$D$74:$D$82="Por usuário")*Premissas!$E$74:$E$82)*BH65)</f>
        <v>5750</v>
      </c>
      <c r="BI72" s="168" t="n">
        <f aca="false">IF(BI65=0,0,SUMPRODUCT((Premissas!$B$74:$B$82="Dados")*((Premissas!$C$74:$C$82="Planejado")+(Premissas!$C$74:$C$82="Em estudo")*Premissas!$B$70)*(Premissas!$F$74:$F$82&lt;=BI$4)*(Premissas!$G$74:$G$82&gt;=BI$4)*(Premissas!$D$74:$D$82="Fixo mensal")*Premissas!$E$74:$E$82)+SUMPRODUCT((Premissas!$B$74:$B$82="Dados")*((Premissas!$C$74:$C$82="Planejado")+(Premissas!$C$74:$C$82="Em estudo")*Premissas!$B$70)*(Premissas!$F$74:$F$82&lt;=BI$4)*(Premissas!$G$74:$G$82&gt;=BI$4)*(Premissas!$D$74:$D$82="Por usuário")*Premissas!$E$74:$E$82)*BI65)</f>
        <v>5750</v>
      </c>
      <c r="BJ72" s="154" t="n">
        <f aca="false">SUM(B72:BI72)</f>
        <v>246750</v>
      </c>
      <c r="BK72" s="51" t="s">
        <v>748</v>
      </c>
    </row>
    <row r="73" customFormat="false" ht="15.75" hidden="false" customHeight="true" outlineLevel="0" collapsed="false">
      <c r="A73" s="49" t="s">
        <v>757</v>
      </c>
      <c r="B73" s="168" t="n">
        <f aca="false">SUMPRODUCT((Premissas!$B$74:$B$82="Outras")*((Premissas!$C$74:$C$82="Planejado")+(Premissas!$C$74:$C$82="Em estudo")*Premissas!$B$70)*(Premissas!$F$74:$F$82&lt;=B$4)*(Premissas!$G$74:$G$82&gt;=B$4)*(Premissas!$D$74:$D$82="Fixo mensal")*Premissas!$E$74:$E$82)+SUMPRODUCT((Premissas!$B$74:$B$82="Outras")*((Premissas!$C$74:$C$82="Planejado")+(Premissas!$C$74:$C$82="Em estudo")*Premissas!$B$70)*(Premissas!$F$74:$F$82&lt;=B$4)*(Premissas!$G$74:$G$82&gt;=B$4)*(Premissas!$D$74:$D$82="Por usuário")*Premissas!$E$74:$E$82)*B65</f>
        <v>0</v>
      </c>
      <c r="C73" s="168" t="n">
        <f aca="false">SUMPRODUCT((Premissas!$B$74:$B$82="Outras")*((Premissas!$C$74:$C$82="Planejado")+(Premissas!$C$74:$C$82="Em estudo")*Premissas!$B$70)*(Premissas!$F$74:$F$82&lt;=C$4)*(Premissas!$G$74:$G$82&gt;=C$4)*(Premissas!$D$74:$D$82="Fixo mensal")*Premissas!$E$74:$E$82)+SUMPRODUCT((Premissas!$B$74:$B$82="Outras")*((Premissas!$C$74:$C$82="Planejado")+(Premissas!$C$74:$C$82="Em estudo")*Premissas!$B$70)*(Premissas!$F$74:$F$82&lt;=C$4)*(Premissas!$G$74:$G$82&gt;=C$4)*(Premissas!$D$74:$D$82="Por usuário")*Premissas!$E$74:$E$82)*C65</f>
        <v>0</v>
      </c>
      <c r="D73" s="168" t="n">
        <f aca="false">SUMPRODUCT((Premissas!$B$74:$B$82="Outras")*((Premissas!$C$74:$C$82="Planejado")+(Premissas!$C$74:$C$82="Em estudo")*Premissas!$B$70)*(Premissas!$F$74:$F$82&lt;=D$4)*(Premissas!$G$74:$G$82&gt;=D$4)*(Premissas!$D$74:$D$82="Fixo mensal")*Premissas!$E$74:$E$82)+SUMPRODUCT((Premissas!$B$74:$B$82="Outras")*((Premissas!$C$74:$C$82="Planejado")+(Premissas!$C$74:$C$82="Em estudo")*Premissas!$B$70)*(Premissas!$F$74:$F$82&lt;=D$4)*(Premissas!$G$74:$G$82&gt;=D$4)*(Premissas!$D$74:$D$82="Por usuário")*Premissas!$E$74:$E$82)*D65</f>
        <v>0</v>
      </c>
      <c r="E73" s="168" t="n">
        <f aca="false">SUMPRODUCT((Premissas!$B$74:$B$82="Outras")*((Premissas!$C$74:$C$82="Planejado")+(Premissas!$C$74:$C$82="Em estudo")*Premissas!$B$70)*(Premissas!$F$74:$F$82&lt;=E$4)*(Premissas!$G$74:$G$82&gt;=E$4)*(Premissas!$D$74:$D$82="Fixo mensal")*Premissas!$E$74:$E$82)+SUMPRODUCT((Premissas!$B$74:$B$82="Outras")*((Premissas!$C$74:$C$82="Planejado")+(Premissas!$C$74:$C$82="Em estudo")*Premissas!$B$70)*(Premissas!$F$74:$F$82&lt;=E$4)*(Premissas!$G$74:$G$82&gt;=E$4)*(Premissas!$D$74:$D$82="Por usuário")*Premissas!$E$74:$E$82)*E65</f>
        <v>0</v>
      </c>
      <c r="F73" s="168" t="n">
        <f aca="false">SUMPRODUCT((Premissas!$B$74:$B$82="Outras")*((Premissas!$C$74:$C$82="Planejado")+(Premissas!$C$74:$C$82="Em estudo")*Premissas!$B$70)*(Premissas!$F$74:$F$82&lt;=F$4)*(Premissas!$G$74:$G$82&gt;=F$4)*(Premissas!$D$74:$D$82="Fixo mensal")*Premissas!$E$74:$E$82)+SUMPRODUCT((Premissas!$B$74:$B$82="Outras")*((Premissas!$C$74:$C$82="Planejado")+(Premissas!$C$74:$C$82="Em estudo")*Premissas!$B$70)*(Premissas!$F$74:$F$82&lt;=F$4)*(Premissas!$G$74:$G$82&gt;=F$4)*(Premissas!$D$74:$D$82="Por usuário")*Premissas!$E$74:$E$82)*F65</f>
        <v>0</v>
      </c>
      <c r="G73" s="168" t="n">
        <f aca="false">SUMPRODUCT((Premissas!$B$74:$B$82="Outras")*((Premissas!$C$74:$C$82="Planejado")+(Premissas!$C$74:$C$82="Em estudo")*Premissas!$B$70)*(Premissas!$F$74:$F$82&lt;=G$4)*(Premissas!$G$74:$G$82&gt;=G$4)*(Premissas!$D$74:$D$82="Fixo mensal")*Premissas!$E$74:$E$82)+SUMPRODUCT((Premissas!$B$74:$B$82="Outras")*((Premissas!$C$74:$C$82="Planejado")+(Premissas!$C$74:$C$82="Em estudo")*Premissas!$B$70)*(Premissas!$F$74:$F$82&lt;=G$4)*(Premissas!$G$74:$G$82&gt;=G$4)*(Premissas!$D$74:$D$82="Por usuário")*Premissas!$E$74:$E$82)*G65</f>
        <v>0</v>
      </c>
      <c r="H73" s="168" t="n">
        <f aca="false">SUMPRODUCT((Premissas!$B$74:$B$82="Outras")*((Premissas!$C$74:$C$82="Planejado")+(Premissas!$C$74:$C$82="Em estudo")*Premissas!$B$70)*(Premissas!$F$74:$F$82&lt;=H$4)*(Premissas!$G$74:$G$82&gt;=H$4)*(Premissas!$D$74:$D$82="Fixo mensal")*Premissas!$E$74:$E$82)+SUMPRODUCT((Premissas!$B$74:$B$82="Outras")*((Premissas!$C$74:$C$82="Planejado")+(Premissas!$C$74:$C$82="Em estudo")*Premissas!$B$70)*(Premissas!$F$74:$F$82&lt;=H$4)*(Premissas!$G$74:$G$82&gt;=H$4)*(Premissas!$D$74:$D$82="Por usuário")*Premissas!$E$74:$E$82)*H65</f>
        <v>0</v>
      </c>
      <c r="I73" s="168" t="n">
        <f aca="false">SUMPRODUCT((Premissas!$B$74:$B$82="Outras")*((Premissas!$C$74:$C$82="Planejado")+(Premissas!$C$74:$C$82="Em estudo")*Premissas!$B$70)*(Premissas!$F$74:$F$82&lt;=I$4)*(Premissas!$G$74:$G$82&gt;=I$4)*(Premissas!$D$74:$D$82="Fixo mensal")*Premissas!$E$74:$E$82)+SUMPRODUCT((Premissas!$B$74:$B$82="Outras")*((Premissas!$C$74:$C$82="Planejado")+(Premissas!$C$74:$C$82="Em estudo")*Premissas!$B$70)*(Premissas!$F$74:$F$82&lt;=I$4)*(Premissas!$G$74:$G$82&gt;=I$4)*(Premissas!$D$74:$D$82="Por usuário")*Premissas!$E$74:$E$82)*I65</f>
        <v>0</v>
      </c>
      <c r="J73" s="168" t="n">
        <f aca="false">SUMPRODUCT((Premissas!$B$74:$B$82="Outras")*((Premissas!$C$74:$C$82="Planejado")+(Premissas!$C$74:$C$82="Em estudo")*Premissas!$B$70)*(Premissas!$F$74:$F$82&lt;=J$4)*(Premissas!$G$74:$G$82&gt;=J$4)*(Premissas!$D$74:$D$82="Fixo mensal")*Premissas!$E$74:$E$82)+SUMPRODUCT((Premissas!$B$74:$B$82="Outras")*((Premissas!$C$74:$C$82="Planejado")+(Premissas!$C$74:$C$82="Em estudo")*Premissas!$B$70)*(Premissas!$F$74:$F$82&lt;=J$4)*(Premissas!$G$74:$G$82&gt;=J$4)*(Premissas!$D$74:$D$82="Por usuário")*Premissas!$E$74:$E$82)*J65</f>
        <v>0</v>
      </c>
      <c r="K73" s="168" t="n">
        <f aca="false">SUMPRODUCT((Premissas!$B$74:$B$82="Outras")*((Premissas!$C$74:$C$82="Planejado")+(Premissas!$C$74:$C$82="Em estudo")*Premissas!$B$70)*(Premissas!$F$74:$F$82&lt;=K$4)*(Premissas!$G$74:$G$82&gt;=K$4)*(Premissas!$D$74:$D$82="Fixo mensal")*Premissas!$E$74:$E$82)+SUMPRODUCT((Premissas!$B$74:$B$82="Outras")*((Premissas!$C$74:$C$82="Planejado")+(Premissas!$C$74:$C$82="Em estudo")*Premissas!$B$70)*(Premissas!$F$74:$F$82&lt;=K$4)*(Premissas!$G$74:$G$82&gt;=K$4)*(Premissas!$D$74:$D$82="Por usuário")*Premissas!$E$74:$E$82)*K65</f>
        <v>0</v>
      </c>
      <c r="L73" s="168" t="n">
        <f aca="false">SUMPRODUCT((Premissas!$B$74:$B$82="Outras")*((Premissas!$C$74:$C$82="Planejado")+(Premissas!$C$74:$C$82="Em estudo")*Premissas!$B$70)*(Premissas!$F$74:$F$82&lt;=L$4)*(Premissas!$G$74:$G$82&gt;=L$4)*(Premissas!$D$74:$D$82="Fixo mensal")*Premissas!$E$74:$E$82)+SUMPRODUCT((Premissas!$B$74:$B$82="Outras")*((Premissas!$C$74:$C$82="Planejado")+(Premissas!$C$74:$C$82="Em estudo")*Premissas!$B$70)*(Premissas!$F$74:$F$82&lt;=L$4)*(Premissas!$G$74:$G$82&gt;=L$4)*(Premissas!$D$74:$D$82="Por usuário")*Premissas!$E$74:$E$82)*L65</f>
        <v>0</v>
      </c>
      <c r="M73" s="168" t="n">
        <f aca="false">SUMPRODUCT((Premissas!$B$74:$B$82="Outras")*((Premissas!$C$74:$C$82="Planejado")+(Premissas!$C$74:$C$82="Em estudo")*Premissas!$B$70)*(Premissas!$F$74:$F$82&lt;=M$4)*(Premissas!$G$74:$G$82&gt;=M$4)*(Premissas!$D$74:$D$82="Fixo mensal")*Premissas!$E$74:$E$82)+SUMPRODUCT((Premissas!$B$74:$B$82="Outras")*((Premissas!$C$74:$C$82="Planejado")+(Premissas!$C$74:$C$82="Em estudo")*Premissas!$B$70)*(Premissas!$F$74:$F$82&lt;=M$4)*(Premissas!$G$74:$G$82&gt;=M$4)*(Premissas!$D$74:$D$82="Por usuário")*Premissas!$E$74:$E$82)*M65</f>
        <v>0</v>
      </c>
      <c r="N73" s="168" t="n">
        <f aca="false">SUMPRODUCT((Premissas!$B$74:$B$82="Outras")*((Premissas!$C$74:$C$82="Planejado")+(Premissas!$C$74:$C$82="Em estudo")*Premissas!$B$70)*(Premissas!$F$74:$F$82&lt;=N$4)*(Premissas!$G$74:$G$82&gt;=N$4)*(Premissas!$D$74:$D$82="Fixo mensal")*Premissas!$E$74:$E$82)+SUMPRODUCT((Premissas!$B$74:$B$82="Outras")*((Premissas!$C$74:$C$82="Planejado")+(Premissas!$C$74:$C$82="Em estudo")*Premissas!$B$70)*(Premissas!$F$74:$F$82&lt;=N$4)*(Premissas!$G$74:$G$82&gt;=N$4)*(Premissas!$D$74:$D$82="Por usuário")*Premissas!$E$74:$E$82)*N65</f>
        <v>0</v>
      </c>
      <c r="O73" s="168" t="n">
        <f aca="false">SUMPRODUCT((Premissas!$B$74:$B$82="Outras")*((Premissas!$C$74:$C$82="Planejado")+(Premissas!$C$74:$C$82="Em estudo")*Premissas!$B$70)*(Premissas!$F$74:$F$82&lt;=O$4)*(Premissas!$G$74:$G$82&gt;=O$4)*(Premissas!$D$74:$D$82="Fixo mensal")*Premissas!$E$74:$E$82)+SUMPRODUCT((Premissas!$B$74:$B$82="Outras")*((Premissas!$C$74:$C$82="Planejado")+(Premissas!$C$74:$C$82="Em estudo")*Premissas!$B$70)*(Premissas!$F$74:$F$82&lt;=O$4)*(Premissas!$G$74:$G$82&gt;=O$4)*(Premissas!$D$74:$D$82="Por usuário")*Premissas!$E$74:$E$82)*O65</f>
        <v>0</v>
      </c>
      <c r="P73" s="168" t="n">
        <f aca="false">SUMPRODUCT((Premissas!$B$74:$B$82="Outras")*((Premissas!$C$74:$C$82="Planejado")+(Premissas!$C$74:$C$82="Em estudo")*Premissas!$B$70)*(Premissas!$F$74:$F$82&lt;=P$4)*(Premissas!$G$74:$G$82&gt;=P$4)*(Premissas!$D$74:$D$82="Fixo mensal")*Premissas!$E$74:$E$82)+SUMPRODUCT((Premissas!$B$74:$B$82="Outras")*((Premissas!$C$74:$C$82="Planejado")+(Premissas!$C$74:$C$82="Em estudo")*Premissas!$B$70)*(Premissas!$F$74:$F$82&lt;=P$4)*(Premissas!$G$74:$G$82&gt;=P$4)*(Premissas!$D$74:$D$82="Por usuário")*Premissas!$E$74:$E$82)*P65</f>
        <v>0</v>
      </c>
      <c r="Q73" s="168" t="n">
        <f aca="false">SUMPRODUCT((Premissas!$B$74:$B$82="Outras")*((Premissas!$C$74:$C$82="Planejado")+(Premissas!$C$74:$C$82="Em estudo")*Premissas!$B$70)*(Premissas!$F$74:$F$82&lt;=Q$4)*(Premissas!$G$74:$G$82&gt;=Q$4)*(Premissas!$D$74:$D$82="Fixo mensal")*Premissas!$E$74:$E$82)+SUMPRODUCT((Premissas!$B$74:$B$82="Outras")*((Premissas!$C$74:$C$82="Planejado")+(Premissas!$C$74:$C$82="Em estudo")*Premissas!$B$70)*(Premissas!$F$74:$F$82&lt;=Q$4)*(Premissas!$G$74:$G$82&gt;=Q$4)*(Premissas!$D$74:$D$82="Por usuário")*Premissas!$E$74:$E$82)*Q65</f>
        <v>0</v>
      </c>
      <c r="R73" s="168" t="n">
        <f aca="false">SUMPRODUCT((Premissas!$B$74:$B$82="Outras")*((Premissas!$C$74:$C$82="Planejado")+(Premissas!$C$74:$C$82="Em estudo")*Premissas!$B$70)*(Premissas!$F$74:$F$82&lt;=R$4)*(Premissas!$G$74:$G$82&gt;=R$4)*(Premissas!$D$74:$D$82="Fixo mensal")*Premissas!$E$74:$E$82)+SUMPRODUCT((Premissas!$B$74:$B$82="Outras")*((Premissas!$C$74:$C$82="Planejado")+(Premissas!$C$74:$C$82="Em estudo")*Premissas!$B$70)*(Premissas!$F$74:$F$82&lt;=R$4)*(Premissas!$G$74:$G$82&gt;=R$4)*(Premissas!$D$74:$D$82="Por usuário")*Premissas!$E$74:$E$82)*R65</f>
        <v>0</v>
      </c>
      <c r="S73" s="168" t="n">
        <f aca="false">SUMPRODUCT((Premissas!$B$74:$B$82="Outras")*((Premissas!$C$74:$C$82="Planejado")+(Premissas!$C$74:$C$82="Em estudo")*Premissas!$B$70)*(Premissas!$F$74:$F$82&lt;=S$4)*(Premissas!$G$74:$G$82&gt;=S$4)*(Premissas!$D$74:$D$82="Fixo mensal")*Premissas!$E$74:$E$82)+SUMPRODUCT((Premissas!$B$74:$B$82="Outras")*((Premissas!$C$74:$C$82="Planejado")+(Premissas!$C$74:$C$82="Em estudo")*Premissas!$B$70)*(Premissas!$F$74:$F$82&lt;=S$4)*(Premissas!$G$74:$G$82&gt;=S$4)*(Premissas!$D$74:$D$82="Por usuário")*Premissas!$E$74:$E$82)*S65</f>
        <v>0</v>
      </c>
      <c r="T73" s="168" t="n">
        <f aca="false">SUMPRODUCT((Premissas!$B$74:$B$82="Outras")*((Premissas!$C$74:$C$82="Planejado")+(Premissas!$C$74:$C$82="Em estudo")*Premissas!$B$70)*(Premissas!$F$74:$F$82&lt;=T$4)*(Premissas!$G$74:$G$82&gt;=T$4)*(Premissas!$D$74:$D$82="Fixo mensal")*Premissas!$E$74:$E$82)+SUMPRODUCT((Premissas!$B$74:$B$82="Outras")*((Premissas!$C$74:$C$82="Planejado")+(Premissas!$C$74:$C$82="Em estudo")*Premissas!$B$70)*(Premissas!$F$74:$F$82&lt;=T$4)*(Premissas!$G$74:$G$82&gt;=T$4)*(Premissas!$D$74:$D$82="Por usuário")*Premissas!$E$74:$E$82)*T65</f>
        <v>0</v>
      </c>
      <c r="U73" s="168" t="n">
        <f aca="false">SUMPRODUCT((Premissas!$B$74:$B$82="Outras")*((Premissas!$C$74:$C$82="Planejado")+(Premissas!$C$74:$C$82="Em estudo")*Premissas!$B$70)*(Premissas!$F$74:$F$82&lt;=U$4)*(Premissas!$G$74:$G$82&gt;=U$4)*(Premissas!$D$74:$D$82="Fixo mensal")*Premissas!$E$74:$E$82)+SUMPRODUCT((Premissas!$B$74:$B$82="Outras")*((Premissas!$C$74:$C$82="Planejado")+(Premissas!$C$74:$C$82="Em estudo")*Premissas!$B$70)*(Premissas!$F$74:$F$82&lt;=U$4)*(Premissas!$G$74:$G$82&gt;=U$4)*(Premissas!$D$74:$D$82="Por usuário")*Premissas!$E$74:$E$82)*U65</f>
        <v>0</v>
      </c>
      <c r="V73" s="168" t="n">
        <f aca="false">SUMPRODUCT((Premissas!$B$74:$B$82="Outras")*((Premissas!$C$74:$C$82="Planejado")+(Premissas!$C$74:$C$82="Em estudo")*Premissas!$B$70)*(Premissas!$F$74:$F$82&lt;=V$4)*(Premissas!$G$74:$G$82&gt;=V$4)*(Premissas!$D$74:$D$82="Fixo mensal")*Premissas!$E$74:$E$82)+SUMPRODUCT((Premissas!$B$74:$B$82="Outras")*((Premissas!$C$74:$C$82="Planejado")+(Premissas!$C$74:$C$82="Em estudo")*Premissas!$B$70)*(Premissas!$F$74:$F$82&lt;=V$4)*(Premissas!$G$74:$G$82&gt;=V$4)*(Premissas!$D$74:$D$82="Por usuário")*Premissas!$E$74:$E$82)*V65</f>
        <v>0</v>
      </c>
      <c r="W73" s="168" t="n">
        <f aca="false">SUMPRODUCT((Premissas!$B$74:$B$82="Outras")*((Premissas!$C$74:$C$82="Planejado")+(Premissas!$C$74:$C$82="Em estudo")*Premissas!$B$70)*(Premissas!$F$74:$F$82&lt;=W$4)*(Premissas!$G$74:$G$82&gt;=W$4)*(Premissas!$D$74:$D$82="Fixo mensal")*Premissas!$E$74:$E$82)+SUMPRODUCT((Premissas!$B$74:$B$82="Outras")*((Premissas!$C$74:$C$82="Planejado")+(Premissas!$C$74:$C$82="Em estudo")*Premissas!$B$70)*(Premissas!$F$74:$F$82&lt;=W$4)*(Premissas!$G$74:$G$82&gt;=W$4)*(Premissas!$D$74:$D$82="Por usuário")*Premissas!$E$74:$E$82)*W65</f>
        <v>0</v>
      </c>
      <c r="X73" s="168" t="n">
        <f aca="false">SUMPRODUCT((Premissas!$B$74:$B$82="Outras")*((Premissas!$C$74:$C$82="Planejado")+(Premissas!$C$74:$C$82="Em estudo")*Premissas!$B$70)*(Premissas!$F$74:$F$82&lt;=X$4)*(Premissas!$G$74:$G$82&gt;=X$4)*(Premissas!$D$74:$D$82="Fixo mensal")*Premissas!$E$74:$E$82)+SUMPRODUCT((Premissas!$B$74:$B$82="Outras")*((Premissas!$C$74:$C$82="Planejado")+(Premissas!$C$74:$C$82="Em estudo")*Premissas!$B$70)*(Premissas!$F$74:$F$82&lt;=X$4)*(Premissas!$G$74:$G$82&gt;=X$4)*(Premissas!$D$74:$D$82="Por usuário")*Premissas!$E$74:$E$82)*X65</f>
        <v>0</v>
      </c>
      <c r="Y73" s="168" t="n">
        <f aca="false">SUMPRODUCT((Premissas!$B$74:$B$82="Outras")*((Premissas!$C$74:$C$82="Planejado")+(Premissas!$C$74:$C$82="Em estudo")*Premissas!$B$70)*(Premissas!$F$74:$F$82&lt;=Y$4)*(Premissas!$G$74:$G$82&gt;=Y$4)*(Premissas!$D$74:$D$82="Fixo mensal")*Premissas!$E$74:$E$82)+SUMPRODUCT((Premissas!$B$74:$B$82="Outras")*((Premissas!$C$74:$C$82="Planejado")+(Premissas!$C$74:$C$82="Em estudo")*Premissas!$B$70)*(Premissas!$F$74:$F$82&lt;=Y$4)*(Premissas!$G$74:$G$82&gt;=Y$4)*(Premissas!$D$74:$D$82="Por usuário")*Premissas!$E$74:$E$82)*Y65</f>
        <v>0</v>
      </c>
      <c r="Z73" s="168" t="n">
        <f aca="false">SUMPRODUCT((Premissas!$B$74:$B$82="Outras")*((Premissas!$C$74:$C$82="Planejado")+(Premissas!$C$74:$C$82="Em estudo")*Premissas!$B$70)*(Premissas!$F$74:$F$82&lt;=Z$4)*(Premissas!$G$74:$G$82&gt;=Z$4)*(Premissas!$D$74:$D$82="Fixo mensal")*Premissas!$E$74:$E$82)+SUMPRODUCT((Premissas!$B$74:$B$82="Outras")*((Premissas!$C$74:$C$82="Planejado")+(Premissas!$C$74:$C$82="Em estudo")*Premissas!$B$70)*(Premissas!$F$74:$F$82&lt;=Z$4)*(Premissas!$G$74:$G$82&gt;=Z$4)*(Premissas!$D$74:$D$82="Por usuário")*Premissas!$E$74:$E$82)*Z65</f>
        <v>0</v>
      </c>
      <c r="AA73" s="168" t="n">
        <f aca="false">SUMPRODUCT((Premissas!$B$74:$B$82="Outras")*((Premissas!$C$74:$C$82="Planejado")+(Premissas!$C$74:$C$82="Em estudo")*Premissas!$B$70)*(Premissas!$F$74:$F$82&lt;=AA$4)*(Premissas!$G$74:$G$82&gt;=AA$4)*(Premissas!$D$74:$D$82="Fixo mensal")*Premissas!$E$74:$E$82)+SUMPRODUCT((Premissas!$B$74:$B$82="Outras")*((Premissas!$C$74:$C$82="Planejado")+(Premissas!$C$74:$C$82="Em estudo")*Premissas!$B$70)*(Premissas!$F$74:$F$82&lt;=AA$4)*(Premissas!$G$74:$G$82&gt;=AA$4)*(Premissas!$D$74:$D$82="Por usuário")*Premissas!$E$74:$E$82)*AA65</f>
        <v>0</v>
      </c>
      <c r="AB73" s="168" t="n">
        <f aca="false">SUMPRODUCT((Premissas!$B$74:$B$82="Outras")*((Premissas!$C$74:$C$82="Planejado")+(Premissas!$C$74:$C$82="Em estudo")*Premissas!$B$70)*(Premissas!$F$74:$F$82&lt;=AB$4)*(Premissas!$G$74:$G$82&gt;=AB$4)*(Premissas!$D$74:$D$82="Fixo mensal")*Premissas!$E$74:$E$82)+SUMPRODUCT((Premissas!$B$74:$B$82="Outras")*((Premissas!$C$74:$C$82="Planejado")+(Premissas!$C$74:$C$82="Em estudo")*Premissas!$B$70)*(Premissas!$F$74:$F$82&lt;=AB$4)*(Premissas!$G$74:$G$82&gt;=AB$4)*(Premissas!$D$74:$D$82="Por usuário")*Premissas!$E$74:$E$82)*AB65</f>
        <v>0</v>
      </c>
      <c r="AC73" s="168" t="n">
        <f aca="false">SUMPRODUCT((Premissas!$B$74:$B$82="Outras")*((Premissas!$C$74:$C$82="Planejado")+(Premissas!$C$74:$C$82="Em estudo")*Premissas!$B$70)*(Premissas!$F$74:$F$82&lt;=AC$4)*(Premissas!$G$74:$G$82&gt;=AC$4)*(Premissas!$D$74:$D$82="Fixo mensal")*Premissas!$E$74:$E$82)+SUMPRODUCT((Premissas!$B$74:$B$82="Outras")*((Premissas!$C$74:$C$82="Planejado")+(Premissas!$C$74:$C$82="Em estudo")*Premissas!$B$70)*(Premissas!$F$74:$F$82&lt;=AC$4)*(Premissas!$G$74:$G$82&gt;=AC$4)*(Premissas!$D$74:$D$82="Por usuário")*Premissas!$E$74:$E$82)*AC65</f>
        <v>0</v>
      </c>
      <c r="AD73" s="168" t="n">
        <f aca="false">SUMPRODUCT((Premissas!$B$74:$B$82="Outras")*((Premissas!$C$74:$C$82="Planejado")+(Premissas!$C$74:$C$82="Em estudo")*Premissas!$B$70)*(Premissas!$F$74:$F$82&lt;=AD$4)*(Premissas!$G$74:$G$82&gt;=AD$4)*(Premissas!$D$74:$D$82="Fixo mensal")*Premissas!$E$74:$E$82)+SUMPRODUCT((Premissas!$B$74:$B$82="Outras")*((Premissas!$C$74:$C$82="Planejado")+(Premissas!$C$74:$C$82="Em estudo")*Premissas!$B$70)*(Premissas!$F$74:$F$82&lt;=AD$4)*(Premissas!$G$74:$G$82&gt;=AD$4)*(Premissas!$D$74:$D$82="Por usuário")*Premissas!$E$74:$E$82)*AD65</f>
        <v>0</v>
      </c>
      <c r="AE73" s="168" t="n">
        <f aca="false">SUMPRODUCT((Premissas!$B$74:$B$82="Outras")*((Premissas!$C$74:$C$82="Planejado")+(Premissas!$C$74:$C$82="Em estudo")*Premissas!$B$70)*(Premissas!$F$74:$F$82&lt;=AE$4)*(Premissas!$G$74:$G$82&gt;=AE$4)*(Premissas!$D$74:$D$82="Fixo mensal")*Premissas!$E$74:$E$82)+SUMPRODUCT((Premissas!$B$74:$B$82="Outras")*((Premissas!$C$74:$C$82="Planejado")+(Premissas!$C$74:$C$82="Em estudo")*Premissas!$B$70)*(Premissas!$F$74:$F$82&lt;=AE$4)*(Premissas!$G$74:$G$82&gt;=AE$4)*(Premissas!$D$74:$D$82="Por usuário")*Premissas!$E$74:$E$82)*AE65</f>
        <v>0</v>
      </c>
      <c r="AF73" s="168" t="n">
        <f aca="false">SUMPRODUCT((Premissas!$B$74:$B$82="Outras")*((Premissas!$C$74:$C$82="Planejado")+(Premissas!$C$74:$C$82="Em estudo")*Premissas!$B$70)*(Premissas!$F$74:$F$82&lt;=AF$4)*(Premissas!$G$74:$G$82&gt;=AF$4)*(Premissas!$D$74:$D$82="Fixo mensal")*Premissas!$E$74:$E$82)+SUMPRODUCT((Premissas!$B$74:$B$82="Outras")*((Premissas!$C$74:$C$82="Planejado")+(Premissas!$C$74:$C$82="Em estudo")*Premissas!$B$70)*(Premissas!$F$74:$F$82&lt;=AF$4)*(Premissas!$G$74:$G$82&gt;=AF$4)*(Premissas!$D$74:$D$82="Por usuário")*Premissas!$E$74:$E$82)*AF65</f>
        <v>0</v>
      </c>
      <c r="AG73" s="168" t="n">
        <f aca="false">SUMPRODUCT((Premissas!$B$74:$B$82="Outras")*((Premissas!$C$74:$C$82="Planejado")+(Premissas!$C$74:$C$82="Em estudo")*Premissas!$B$70)*(Premissas!$F$74:$F$82&lt;=AG$4)*(Premissas!$G$74:$G$82&gt;=AG$4)*(Premissas!$D$74:$D$82="Fixo mensal")*Premissas!$E$74:$E$82)+SUMPRODUCT((Premissas!$B$74:$B$82="Outras")*((Premissas!$C$74:$C$82="Planejado")+(Premissas!$C$74:$C$82="Em estudo")*Premissas!$B$70)*(Premissas!$F$74:$F$82&lt;=AG$4)*(Premissas!$G$74:$G$82&gt;=AG$4)*(Premissas!$D$74:$D$82="Por usuário")*Premissas!$E$74:$E$82)*AG65</f>
        <v>0</v>
      </c>
      <c r="AH73" s="168" t="n">
        <f aca="false">SUMPRODUCT((Premissas!$B$74:$B$82="Outras")*((Premissas!$C$74:$C$82="Planejado")+(Premissas!$C$74:$C$82="Em estudo")*Premissas!$B$70)*(Premissas!$F$74:$F$82&lt;=AH$4)*(Premissas!$G$74:$G$82&gt;=AH$4)*(Premissas!$D$74:$D$82="Fixo mensal")*Premissas!$E$74:$E$82)+SUMPRODUCT((Premissas!$B$74:$B$82="Outras")*((Premissas!$C$74:$C$82="Planejado")+(Premissas!$C$74:$C$82="Em estudo")*Premissas!$B$70)*(Premissas!$F$74:$F$82&lt;=AH$4)*(Premissas!$G$74:$G$82&gt;=AH$4)*(Premissas!$D$74:$D$82="Por usuário")*Premissas!$E$74:$E$82)*AH65</f>
        <v>0</v>
      </c>
      <c r="AI73" s="168" t="n">
        <f aca="false">SUMPRODUCT((Premissas!$B$74:$B$82="Outras")*((Premissas!$C$74:$C$82="Planejado")+(Premissas!$C$74:$C$82="Em estudo")*Premissas!$B$70)*(Premissas!$F$74:$F$82&lt;=AI$4)*(Premissas!$G$74:$G$82&gt;=AI$4)*(Premissas!$D$74:$D$82="Fixo mensal")*Premissas!$E$74:$E$82)+SUMPRODUCT((Premissas!$B$74:$B$82="Outras")*((Premissas!$C$74:$C$82="Planejado")+(Premissas!$C$74:$C$82="Em estudo")*Premissas!$B$70)*(Premissas!$F$74:$F$82&lt;=AI$4)*(Premissas!$G$74:$G$82&gt;=AI$4)*(Premissas!$D$74:$D$82="Por usuário")*Premissas!$E$74:$E$82)*AI65</f>
        <v>0</v>
      </c>
      <c r="AJ73" s="168" t="n">
        <f aca="false">SUMPRODUCT((Premissas!$B$74:$B$82="Outras")*((Premissas!$C$74:$C$82="Planejado")+(Premissas!$C$74:$C$82="Em estudo")*Premissas!$B$70)*(Premissas!$F$74:$F$82&lt;=AJ$4)*(Premissas!$G$74:$G$82&gt;=AJ$4)*(Premissas!$D$74:$D$82="Fixo mensal")*Premissas!$E$74:$E$82)+SUMPRODUCT((Premissas!$B$74:$B$82="Outras")*((Premissas!$C$74:$C$82="Planejado")+(Premissas!$C$74:$C$82="Em estudo")*Premissas!$B$70)*(Premissas!$F$74:$F$82&lt;=AJ$4)*(Premissas!$G$74:$G$82&gt;=AJ$4)*(Premissas!$D$74:$D$82="Por usuário")*Premissas!$E$74:$E$82)*AJ65</f>
        <v>0</v>
      </c>
      <c r="AK73" s="168" t="n">
        <f aca="false">SUMPRODUCT((Premissas!$B$74:$B$82="Outras")*((Premissas!$C$74:$C$82="Planejado")+(Premissas!$C$74:$C$82="Em estudo")*Premissas!$B$70)*(Premissas!$F$74:$F$82&lt;=AK$4)*(Premissas!$G$74:$G$82&gt;=AK$4)*(Premissas!$D$74:$D$82="Fixo mensal")*Premissas!$E$74:$E$82)+SUMPRODUCT((Premissas!$B$74:$B$82="Outras")*((Premissas!$C$74:$C$82="Planejado")+(Premissas!$C$74:$C$82="Em estudo")*Premissas!$B$70)*(Premissas!$F$74:$F$82&lt;=AK$4)*(Premissas!$G$74:$G$82&gt;=AK$4)*(Premissas!$D$74:$D$82="Por usuário")*Premissas!$E$74:$E$82)*AK65</f>
        <v>0</v>
      </c>
      <c r="AL73" s="168" t="n">
        <f aca="false">SUMPRODUCT((Premissas!$B$74:$B$82="Outras")*((Premissas!$C$74:$C$82="Planejado")+(Premissas!$C$74:$C$82="Em estudo")*Premissas!$B$70)*(Premissas!$F$74:$F$82&lt;=AL$4)*(Premissas!$G$74:$G$82&gt;=AL$4)*(Premissas!$D$74:$D$82="Fixo mensal")*Premissas!$E$74:$E$82)+SUMPRODUCT((Premissas!$B$74:$B$82="Outras")*((Premissas!$C$74:$C$82="Planejado")+(Premissas!$C$74:$C$82="Em estudo")*Premissas!$B$70)*(Premissas!$F$74:$F$82&lt;=AL$4)*(Premissas!$G$74:$G$82&gt;=AL$4)*(Premissas!$D$74:$D$82="Por usuário")*Premissas!$E$74:$E$82)*AL65</f>
        <v>0</v>
      </c>
      <c r="AM73" s="168" t="n">
        <f aca="false">SUMPRODUCT((Premissas!$B$74:$B$82="Outras")*((Premissas!$C$74:$C$82="Planejado")+(Premissas!$C$74:$C$82="Em estudo")*Premissas!$B$70)*(Premissas!$F$74:$F$82&lt;=AM$4)*(Premissas!$G$74:$G$82&gt;=AM$4)*(Premissas!$D$74:$D$82="Fixo mensal")*Premissas!$E$74:$E$82)+SUMPRODUCT((Premissas!$B$74:$B$82="Outras")*((Premissas!$C$74:$C$82="Planejado")+(Premissas!$C$74:$C$82="Em estudo")*Premissas!$B$70)*(Premissas!$F$74:$F$82&lt;=AM$4)*(Premissas!$G$74:$G$82&gt;=AM$4)*(Premissas!$D$74:$D$82="Por usuário")*Premissas!$E$74:$E$82)*AM65</f>
        <v>0</v>
      </c>
      <c r="AN73" s="168" t="n">
        <f aca="false">SUMPRODUCT((Premissas!$B$74:$B$82="Outras")*((Premissas!$C$74:$C$82="Planejado")+(Premissas!$C$74:$C$82="Em estudo")*Premissas!$B$70)*(Premissas!$F$74:$F$82&lt;=AN$4)*(Premissas!$G$74:$G$82&gt;=AN$4)*(Premissas!$D$74:$D$82="Fixo mensal")*Premissas!$E$74:$E$82)+SUMPRODUCT((Premissas!$B$74:$B$82="Outras")*((Premissas!$C$74:$C$82="Planejado")+(Premissas!$C$74:$C$82="Em estudo")*Premissas!$B$70)*(Premissas!$F$74:$F$82&lt;=AN$4)*(Premissas!$G$74:$G$82&gt;=AN$4)*(Premissas!$D$74:$D$82="Por usuário")*Premissas!$E$74:$E$82)*AN65</f>
        <v>0</v>
      </c>
      <c r="AO73" s="168" t="n">
        <f aca="false">SUMPRODUCT((Premissas!$B$74:$B$82="Outras")*((Premissas!$C$74:$C$82="Planejado")+(Premissas!$C$74:$C$82="Em estudo")*Premissas!$B$70)*(Premissas!$F$74:$F$82&lt;=AO$4)*(Premissas!$G$74:$G$82&gt;=AO$4)*(Premissas!$D$74:$D$82="Fixo mensal")*Premissas!$E$74:$E$82)+SUMPRODUCT((Premissas!$B$74:$B$82="Outras")*((Premissas!$C$74:$C$82="Planejado")+(Premissas!$C$74:$C$82="Em estudo")*Premissas!$B$70)*(Premissas!$F$74:$F$82&lt;=AO$4)*(Premissas!$G$74:$G$82&gt;=AO$4)*(Premissas!$D$74:$D$82="Por usuário")*Premissas!$E$74:$E$82)*AO65</f>
        <v>0</v>
      </c>
      <c r="AP73" s="168" t="n">
        <f aca="false">SUMPRODUCT((Premissas!$B$74:$B$82="Outras")*((Premissas!$C$74:$C$82="Planejado")+(Premissas!$C$74:$C$82="Em estudo")*Premissas!$B$70)*(Premissas!$F$74:$F$82&lt;=AP$4)*(Premissas!$G$74:$G$82&gt;=AP$4)*(Premissas!$D$74:$D$82="Fixo mensal")*Premissas!$E$74:$E$82)+SUMPRODUCT((Premissas!$B$74:$B$82="Outras")*((Premissas!$C$74:$C$82="Planejado")+(Premissas!$C$74:$C$82="Em estudo")*Premissas!$B$70)*(Premissas!$F$74:$F$82&lt;=AP$4)*(Premissas!$G$74:$G$82&gt;=AP$4)*(Premissas!$D$74:$D$82="Por usuário")*Premissas!$E$74:$E$82)*AP65</f>
        <v>0</v>
      </c>
      <c r="AQ73" s="168" t="n">
        <f aca="false">SUMPRODUCT((Premissas!$B$74:$B$82="Outras")*((Premissas!$C$74:$C$82="Planejado")+(Premissas!$C$74:$C$82="Em estudo")*Premissas!$B$70)*(Premissas!$F$74:$F$82&lt;=AQ$4)*(Premissas!$G$74:$G$82&gt;=AQ$4)*(Premissas!$D$74:$D$82="Fixo mensal")*Premissas!$E$74:$E$82)+SUMPRODUCT((Premissas!$B$74:$B$82="Outras")*((Premissas!$C$74:$C$82="Planejado")+(Premissas!$C$74:$C$82="Em estudo")*Premissas!$B$70)*(Premissas!$F$74:$F$82&lt;=AQ$4)*(Premissas!$G$74:$G$82&gt;=AQ$4)*(Premissas!$D$74:$D$82="Por usuário")*Premissas!$E$74:$E$82)*AQ65</f>
        <v>0</v>
      </c>
      <c r="AR73" s="168" t="n">
        <f aca="false">SUMPRODUCT((Premissas!$B$74:$B$82="Outras")*((Premissas!$C$74:$C$82="Planejado")+(Premissas!$C$74:$C$82="Em estudo")*Premissas!$B$70)*(Premissas!$F$74:$F$82&lt;=AR$4)*(Premissas!$G$74:$G$82&gt;=AR$4)*(Premissas!$D$74:$D$82="Fixo mensal")*Premissas!$E$74:$E$82)+SUMPRODUCT((Premissas!$B$74:$B$82="Outras")*((Premissas!$C$74:$C$82="Planejado")+(Premissas!$C$74:$C$82="Em estudo")*Premissas!$B$70)*(Premissas!$F$74:$F$82&lt;=AR$4)*(Premissas!$G$74:$G$82&gt;=AR$4)*(Premissas!$D$74:$D$82="Por usuário")*Premissas!$E$74:$E$82)*AR65</f>
        <v>0</v>
      </c>
      <c r="AS73" s="168" t="n">
        <f aca="false">SUMPRODUCT((Premissas!$B$74:$B$82="Outras")*((Premissas!$C$74:$C$82="Planejado")+(Premissas!$C$74:$C$82="Em estudo")*Premissas!$B$70)*(Premissas!$F$74:$F$82&lt;=AS$4)*(Premissas!$G$74:$G$82&gt;=AS$4)*(Premissas!$D$74:$D$82="Fixo mensal")*Premissas!$E$74:$E$82)+SUMPRODUCT((Premissas!$B$74:$B$82="Outras")*((Premissas!$C$74:$C$82="Planejado")+(Premissas!$C$74:$C$82="Em estudo")*Premissas!$B$70)*(Premissas!$F$74:$F$82&lt;=AS$4)*(Premissas!$G$74:$G$82&gt;=AS$4)*(Premissas!$D$74:$D$82="Por usuário")*Premissas!$E$74:$E$82)*AS65</f>
        <v>0</v>
      </c>
      <c r="AT73" s="168" t="n">
        <f aca="false">SUMPRODUCT((Premissas!$B$74:$B$82="Outras")*((Premissas!$C$74:$C$82="Planejado")+(Premissas!$C$74:$C$82="Em estudo")*Premissas!$B$70)*(Premissas!$F$74:$F$82&lt;=AT$4)*(Premissas!$G$74:$G$82&gt;=AT$4)*(Premissas!$D$74:$D$82="Fixo mensal")*Premissas!$E$74:$E$82)+SUMPRODUCT((Premissas!$B$74:$B$82="Outras")*((Premissas!$C$74:$C$82="Planejado")+(Premissas!$C$74:$C$82="Em estudo")*Premissas!$B$70)*(Premissas!$F$74:$F$82&lt;=AT$4)*(Premissas!$G$74:$G$82&gt;=AT$4)*(Premissas!$D$74:$D$82="Por usuário")*Premissas!$E$74:$E$82)*AT65</f>
        <v>0</v>
      </c>
      <c r="AU73" s="168" t="n">
        <f aca="false">SUMPRODUCT((Premissas!$B$74:$B$82="Outras")*((Premissas!$C$74:$C$82="Planejado")+(Premissas!$C$74:$C$82="Em estudo")*Premissas!$B$70)*(Premissas!$F$74:$F$82&lt;=AU$4)*(Premissas!$G$74:$G$82&gt;=AU$4)*(Premissas!$D$74:$D$82="Fixo mensal")*Premissas!$E$74:$E$82)+SUMPRODUCT((Premissas!$B$74:$B$82="Outras")*((Premissas!$C$74:$C$82="Planejado")+(Premissas!$C$74:$C$82="Em estudo")*Premissas!$B$70)*(Premissas!$F$74:$F$82&lt;=AU$4)*(Premissas!$G$74:$G$82&gt;=AU$4)*(Premissas!$D$74:$D$82="Por usuário")*Premissas!$E$74:$E$82)*AU65</f>
        <v>0</v>
      </c>
      <c r="AV73" s="168" t="n">
        <f aca="false">SUMPRODUCT((Premissas!$B$74:$B$82="Outras")*((Premissas!$C$74:$C$82="Planejado")+(Premissas!$C$74:$C$82="Em estudo")*Premissas!$B$70)*(Premissas!$F$74:$F$82&lt;=AV$4)*(Premissas!$G$74:$G$82&gt;=AV$4)*(Premissas!$D$74:$D$82="Fixo mensal")*Premissas!$E$74:$E$82)+SUMPRODUCT((Premissas!$B$74:$B$82="Outras")*((Premissas!$C$74:$C$82="Planejado")+(Premissas!$C$74:$C$82="Em estudo")*Premissas!$B$70)*(Premissas!$F$74:$F$82&lt;=AV$4)*(Premissas!$G$74:$G$82&gt;=AV$4)*(Premissas!$D$74:$D$82="Por usuário")*Premissas!$E$74:$E$82)*AV65</f>
        <v>0</v>
      </c>
      <c r="AW73" s="168" t="n">
        <f aca="false">SUMPRODUCT((Premissas!$B$74:$B$82="Outras")*((Premissas!$C$74:$C$82="Planejado")+(Premissas!$C$74:$C$82="Em estudo")*Premissas!$B$70)*(Premissas!$F$74:$F$82&lt;=AW$4)*(Premissas!$G$74:$G$82&gt;=AW$4)*(Premissas!$D$74:$D$82="Fixo mensal")*Premissas!$E$74:$E$82)+SUMPRODUCT((Premissas!$B$74:$B$82="Outras")*((Premissas!$C$74:$C$82="Planejado")+(Premissas!$C$74:$C$82="Em estudo")*Premissas!$B$70)*(Premissas!$F$74:$F$82&lt;=AW$4)*(Premissas!$G$74:$G$82&gt;=AW$4)*(Premissas!$D$74:$D$82="Por usuário")*Premissas!$E$74:$E$82)*AW65</f>
        <v>0</v>
      </c>
      <c r="AX73" s="168" t="n">
        <f aca="false">SUMPRODUCT((Premissas!$B$74:$B$82="Outras")*((Premissas!$C$74:$C$82="Planejado")+(Premissas!$C$74:$C$82="Em estudo")*Premissas!$B$70)*(Premissas!$F$74:$F$82&lt;=AX$4)*(Premissas!$G$74:$G$82&gt;=AX$4)*(Premissas!$D$74:$D$82="Fixo mensal")*Premissas!$E$74:$E$82)+SUMPRODUCT((Premissas!$B$74:$B$82="Outras")*((Premissas!$C$74:$C$82="Planejado")+(Premissas!$C$74:$C$82="Em estudo")*Premissas!$B$70)*(Premissas!$F$74:$F$82&lt;=AX$4)*(Premissas!$G$74:$G$82&gt;=AX$4)*(Premissas!$D$74:$D$82="Por usuário")*Premissas!$E$74:$E$82)*AX65</f>
        <v>0</v>
      </c>
      <c r="AY73" s="168" t="n">
        <f aca="false">SUMPRODUCT((Premissas!$B$74:$B$82="Outras")*((Premissas!$C$74:$C$82="Planejado")+(Premissas!$C$74:$C$82="Em estudo")*Premissas!$B$70)*(Premissas!$F$74:$F$82&lt;=AY$4)*(Premissas!$G$74:$G$82&gt;=AY$4)*(Premissas!$D$74:$D$82="Fixo mensal")*Premissas!$E$74:$E$82)+SUMPRODUCT((Premissas!$B$74:$B$82="Outras")*((Premissas!$C$74:$C$82="Planejado")+(Premissas!$C$74:$C$82="Em estudo")*Premissas!$B$70)*(Premissas!$F$74:$F$82&lt;=AY$4)*(Premissas!$G$74:$G$82&gt;=AY$4)*(Premissas!$D$74:$D$82="Por usuário")*Premissas!$E$74:$E$82)*AY65</f>
        <v>0</v>
      </c>
      <c r="AZ73" s="168" t="n">
        <f aca="false">SUMPRODUCT((Premissas!$B$74:$B$82="Outras")*((Premissas!$C$74:$C$82="Planejado")+(Premissas!$C$74:$C$82="Em estudo")*Premissas!$B$70)*(Premissas!$F$74:$F$82&lt;=AZ$4)*(Premissas!$G$74:$G$82&gt;=AZ$4)*(Premissas!$D$74:$D$82="Fixo mensal")*Premissas!$E$74:$E$82)+SUMPRODUCT((Premissas!$B$74:$B$82="Outras")*((Premissas!$C$74:$C$82="Planejado")+(Premissas!$C$74:$C$82="Em estudo")*Premissas!$B$70)*(Premissas!$F$74:$F$82&lt;=AZ$4)*(Premissas!$G$74:$G$82&gt;=AZ$4)*(Premissas!$D$74:$D$82="Por usuário")*Premissas!$E$74:$E$82)*AZ65</f>
        <v>0</v>
      </c>
      <c r="BA73" s="168" t="n">
        <f aca="false">SUMPRODUCT((Premissas!$B$74:$B$82="Outras")*((Premissas!$C$74:$C$82="Planejado")+(Premissas!$C$74:$C$82="Em estudo")*Premissas!$B$70)*(Premissas!$F$74:$F$82&lt;=BA$4)*(Premissas!$G$74:$G$82&gt;=BA$4)*(Premissas!$D$74:$D$82="Fixo mensal")*Premissas!$E$74:$E$82)+SUMPRODUCT((Premissas!$B$74:$B$82="Outras")*((Premissas!$C$74:$C$82="Planejado")+(Premissas!$C$74:$C$82="Em estudo")*Premissas!$B$70)*(Premissas!$F$74:$F$82&lt;=BA$4)*(Premissas!$G$74:$G$82&gt;=BA$4)*(Premissas!$D$74:$D$82="Por usuário")*Premissas!$E$74:$E$82)*BA65</f>
        <v>0</v>
      </c>
      <c r="BB73" s="168" t="n">
        <f aca="false">SUMPRODUCT((Premissas!$B$74:$B$82="Outras")*((Premissas!$C$74:$C$82="Planejado")+(Premissas!$C$74:$C$82="Em estudo")*Premissas!$B$70)*(Premissas!$F$74:$F$82&lt;=BB$4)*(Premissas!$G$74:$G$82&gt;=BB$4)*(Premissas!$D$74:$D$82="Fixo mensal")*Premissas!$E$74:$E$82)+SUMPRODUCT((Premissas!$B$74:$B$82="Outras")*((Premissas!$C$74:$C$82="Planejado")+(Premissas!$C$74:$C$82="Em estudo")*Premissas!$B$70)*(Premissas!$F$74:$F$82&lt;=BB$4)*(Premissas!$G$74:$G$82&gt;=BB$4)*(Premissas!$D$74:$D$82="Por usuário")*Premissas!$E$74:$E$82)*BB65</f>
        <v>0</v>
      </c>
      <c r="BC73" s="168" t="n">
        <f aca="false">SUMPRODUCT((Premissas!$B$74:$B$82="Outras")*((Premissas!$C$74:$C$82="Planejado")+(Premissas!$C$74:$C$82="Em estudo")*Premissas!$B$70)*(Premissas!$F$74:$F$82&lt;=BC$4)*(Premissas!$G$74:$G$82&gt;=BC$4)*(Premissas!$D$74:$D$82="Fixo mensal")*Premissas!$E$74:$E$82)+SUMPRODUCT((Premissas!$B$74:$B$82="Outras")*((Premissas!$C$74:$C$82="Planejado")+(Premissas!$C$74:$C$82="Em estudo")*Premissas!$B$70)*(Premissas!$F$74:$F$82&lt;=BC$4)*(Premissas!$G$74:$G$82&gt;=BC$4)*(Premissas!$D$74:$D$82="Por usuário")*Premissas!$E$74:$E$82)*BC65</f>
        <v>0</v>
      </c>
      <c r="BD73" s="168" t="n">
        <f aca="false">SUMPRODUCT((Premissas!$B$74:$B$82="Outras")*((Premissas!$C$74:$C$82="Planejado")+(Premissas!$C$74:$C$82="Em estudo")*Premissas!$B$70)*(Premissas!$F$74:$F$82&lt;=BD$4)*(Premissas!$G$74:$G$82&gt;=BD$4)*(Premissas!$D$74:$D$82="Fixo mensal")*Premissas!$E$74:$E$82)+SUMPRODUCT((Premissas!$B$74:$B$82="Outras")*((Premissas!$C$74:$C$82="Planejado")+(Premissas!$C$74:$C$82="Em estudo")*Premissas!$B$70)*(Premissas!$F$74:$F$82&lt;=BD$4)*(Premissas!$G$74:$G$82&gt;=BD$4)*(Premissas!$D$74:$D$82="Por usuário")*Premissas!$E$74:$E$82)*BD65</f>
        <v>0</v>
      </c>
      <c r="BE73" s="168" t="n">
        <f aca="false">SUMPRODUCT((Premissas!$B$74:$B$82="Outras")*((Premissas!$C$74:$C$82="Planejado")+(Premissas!$C$74:$C$82="Em estudo")*Premissas!$B$70)*(Premissas!$F$74:$F$82&lt;=BE$4)*(Premissas!$G$74:$G$82&gt;=BE$4)*(Premissas!$D$74:$D$82="Fixo mensal")*Premissas!$E$74:$E$82)+SUMPRODUCT((Premissas!$B$74:$B$82="Outras")*((Premissas!$C$74:$C$82="Planejado")+(Premissas!$C$74:$C$82="Em estudo")*Premissas!$B$70)*(Premissas!$F$74:$F$82&lt;=BE$4)*(Premissas!$G$74:$G$82&gt;=BE$4)*(Premissas!$D$74:$D$82="Por usuário")*Premissas!$E$74:$E$82)*BE65</f>
        <v>0</v>
      </c>
      <c r="BF73" s="168" t="n">
        <f aca="false">SUMPRODUCT((Premissas!$B$74:$B$82="Outras")*((Premissas!$C$74:$C$82="Planejado")+(Premissas!$C$74:$C$82="Em estudo")*Premissas!$B$70)*(Premissas!$F$74:$F$82&lt;=BF$4)*(Premissas!$G$74:$G$82&gt;=BF$4)*(Premissas!$D$74:$D$82="Fixo mensal")*Premissas!$E$74:$E$82)+SUMPRODUCT((Premissas!$B$74:$B$82="Outras")*((Premissas!$C$74:$C$82="Planejado")+(Premissas!$C$74:$C$82="Em estudo")*Premissas!$B$70)*(Premissas!$F$74:$F$82&lt;=BF$4)*(Premissas!$G$74:$G$82&gt;=BF$4)*(Premissas!$D$74:$D$82="Por usuário")*Premissas!$E$74:$E$82)*BF65</f>
        <v>0</v>
      </c>
      <c r="BG73" s="168" t="n">
        <f aca="false">SUMPRODUCT((Premissas!$B$74:$B$82="Outras")*((Premissas!$C$74:$C$82="Planejado")+(Premissas!$C$74:$C$82="Em estudo")*Premissas!$B$70)*(Premissas!$F$74:$F$82&lt;=BG$4)*(Premissas!$G$74:$G$82&gt;=BG$4)*(Premissas!$D$74:$D$82="Fixo mensal")*Premissas!$E$74:$E$82)+SUMPRODUCT((Premissas!$B$74:$B$82="Outras")*((Premissas!$C$74:$C$82="Planejado")+(Premissas!$C$74:$C$82="Em estudo")*Premissas!$B$70)*(Premissas!$F$74:$F$82&lt;=BG$4)*(Premissas!$G$74:$G$82&gt;=BG$4)*(Premissas!$D$74:$D$82="Por usuário")*Premissas!$E$74:$E$82)*BG65</f>
        <v>0</v>
      </c>
      <c r="BH73" s="168" t="n">
        <f aca="false">SUMPRODUCT((Premissas!$B$74:$B$82="Outras")*((Premissas!$C$74:$C$82="Planejado")+(Premissas!$C$74:$C$82="Em estudo")*Premissas!$B$70)*(Premissas!$F$74:$F$82&lt;=BH$4)*(Premissas!$G$74:$G$82&gt;=BH$4)*(Premissas!$D$74:$D$82="Fixo mensal")*Premissas!$E$74:$E$82)+SUMPRODUCT((Premissas!$B$74:$B$82="Outras")*((Premissas!$C$74:$C$82="Planejado")+(Premissas!$C$74:$C$82="Em estudo")*Premissas!$B$70)*(Premissas!$F$74:$F$82&lt;=BH$4)*(Premissas!$G$74:$G$82&gt;=BH$4)*(Premissas!$D$74:$D$82="Por usuário")*Premissas!$E$74:$E$82)*BH65</f>
        <v>0</v>
      </c>
      <c r="BI73" s="168" t="n">
        <f aca="false">SUMPRODUCT((Premissas!$B$74:$B$82="Outras")*((Premissas!$C$74:$C$82="Planejado")+(Premissas!$C$74:$C$82="Em estudo")*Premissas!$B$70)*(Premissas!$F$74:$F$82&lt;=BI$4)*(Premissas!$G$74:$G$82&gt;=BI$4)*(Premissas!$D$74:$D$82="Fixo mensal")*Premissas!$E$74:$E$82)+SUMPRODUCT((Premissas!$B$74:$B$82="Outras")*((Premissas!$C$74:$C$82="Planejado")+(Premissas!$C$74:$C$82="Em estudo")*Premissas!$B$70)*(Premissas!$F$74:$F$82&lt;=BI$4)*(Premissas!$G$74:$G$82&gt;=BI$4)*(Premissas!$D$74:$D$82="Por usuário")*Premissas!$E$74:$E$82)*BI65</f>
        <v>0</v>
      </c>
      <c r="BJ73" s="154" t="n">
        <f aca="false">SUM(B73:BI73)</f>
        <v>0</v>
      </c>
      <c r="BK73" s="51" t="s">
        <v>758</v>
      </c>
    </row>
    <row r="74" customFormat="false" ht="15.75" hidden="false" customHeight="true" outlineLevel="0" collapsed="false">
      <c r="A74" s="53" t="s">
        <v>699</v>
      </c>
      <c r="B74" s="154" t="n">
        <f aca="false">SUM(B69:B73)</f>
        <v>0</v>
      </c>
      <c r="C74" s="154" t="n">
        <f aca="false">SUM(C69:C73)</f>
        <v>0</v>
      </c>
      <c r="D74" s="154" t="n">
        <f aca="false">SUM(D69:D73)</f>
        <v>0</v>
      </c>
      <c r="E74" s="154" t="n">
        <f aca="false">SUM(E69:E73)</f>
        <v>0</v>
      </c>
      <c r="F74" s="154" t="n">
        <f aca="false">SUM(F69:F73)</f>
        <v>0</v>
      </c>
      <c r="G74" s="154" t="n">
        <f aca="false">SUM(G69:G73)</f>
        <v>0</v>
      </c>
      <c r="H74" s="154" t="n">
        <f aca="false">SUM(H69:H73)</f>
        <v>0</v>
      </c>
      <c r="I74" s="154" t="n">
        <f aca="false">SUM(I69:I73)</f>
        <v>0</v>
      </c>
      <c r="J74" s="154" t="n">
        <f aca="false">SUM(J69:J73)</f>
        <v>0</v>
      </c>
      <c r="K74" s="154" t="n">
        <f aca="false">SUM(K69:K73)</f>
        <v>0</v>
      </c>
      <c r="L74" s="154" t="n">
        <f aca="false">SUM(L69:L73)</f>
        <v>0</v>
      </c>
      <c r="M74" s="154" t="n">
        <f aca="false">SUM(M69:M73)</f>
        <v>7191</v>
      </c>
      <c r="N74" s="154" t="n">
        <f aca="false">SUM(N69:N73)</f>
        <v>38418.9662</v>
      </c>
      <c r="O74" s="154" t="n">
        <f aca="false">SUM(O69:O73)</f>
        <v>87211.56790176</v>
      </c>
      <c r="P74" s="154" t="n">
        <f aca="false">SUM(P69:P73)</f>
        <v>157529.211555548</v>
      </c>
      <c r="Q74" s="154" t="n">
        <f aca="false">SUM(Q69:Q73)</f>
        <v>241211.37784657</v>
      </c>
      <c r="R74" s="154" t="n">
        <f aca="false">SUM(R69:R73)</f>
        <v>334166.614992508</v>
      </c>
      <c r="S74" s="154" t="n">
        <f aca="false">SUM(S69:S73)</f>
        <v>378148.578785072</v>
      </c>
      <c r="T74" s="154" t="n">
        <f aca="false">SUM(T69:T73)</f>
        <v>418785.769620434</v>
      </c>
      <c r="U74" s="154" t="n">
        <f aca="false">SUM(U69:U73)</f>
        <v>456402.966744978</v>
      </c>
      <c r="V74" s="154" t="n">
        <f aca="false">SUM(V69:V73)</f>
        <v>491244.659925755</v>
      </c>
      <c r="W74" s="154" t="n">
        <f aca="false">SUM(W69:W73)</f>
        <v>525395.178739339</v>
      </c>
      <c r="X74" s="154" t="n">
        <f aca="false">SUM(X69:X73)</f>
        <v>555178.21965814</v>
      </c>
      <c r="Y74" s="154" t="n">
        <f aca="false">SUM(Y69:Y73)</f>
        <v>582677.471099848</v>
      </c>
      <c r="Z74" s="154" t="n">
        <f aca="false">SUM(Z69:Z73)</f>
        <v>710220.35777257</v>
      </c>
      <c r="AA74" s="154" t="n">
        <f aca="false">SUM(AA69:AA73)</f>
        <v>773992.910891143</v>
      </c>
      <c r="AB74" s="154" t="n">
        <f aca="false">SUM(AB69:AB73)</f>
        <v>833312.23995727</v>
      </c>
      <c r="AC74" s="154" t="n">
        <f aca="false">SUM(AC69:AC73)</f>
        <v>888438.07729837</v>
      </c>
      <c r="AD74" s="154" t="n">
        <f aca="false">SUM(AD69:AD73)</f>
        <v>939667.646076703</v>
      </c>
      <c r="AE74" s="154" t="n">
        <f aca="false">SUM(AE69:AE73)</f>
        <v>987271.910418833</v>
      </c>
      <c r="AF74" s="154" t="n">
        <f aca="false">SUM(AF69:AF73)</f>
        <v>1031476.92200155</v>
      </c>
      <c r="AG74" s="154" t="n">
        <f aca="false">SUM(AG69:AG73)</f>
        <v>1072578.0633447</v>
      </c>
      <c r="AH74" s="154" t="n">
        <f aca="false">SUM(AH69:AH73)</f>
        <v>1110735.58804379</v>
      </c>
      <c r="AI74" s="154" t="n">
        <f aca="false">SUM(AI69:AI73)</f>
        <v>1146203.05815855</v>
      </c>
      <c r="AJ74" s="154" t="n">
        <f aca="false">SUM(AJ69:AJ73)</f>
        <v>1179226.17895864</v>
      </c>
      <c r="AK74" s="154" t="n">
        <f aca="false">SUM(AK69:AK73)</f>
        <v>1209919.53121321</v>
      </c>
      <c r="AL74" s="154" t="n">
        <f aca="false">SUM(AL69:AL73)</f>
        <v>1373811.29039828</v>
      </c>
      <c r="AM74" s="154" t="n">
        <f aca="false">SUM(AM69:AM73)</f>
        <v>1462852.13759846</v>
      </c>
      <c r="AN74" s="154" t="n">
        <f aca="false">SUM(AN69:AN73)</f>
        <v>1545884.30072692</v>
      </c>
      <c r="AO74" s="154" t="n">
        <f aca="false">SUM(AO69:AO73)</f>
        <v>1623474.09676629</v>
      </c>
      <c r="AP74" s="154" t="n">
        <f aca="false">SUM(AP69:AP73)</f>
        <v>1695939.49901713</v>
      </c>
      <c r="AQ74" s="154" t="n">
        <f aca="false">SUM(AQ69:AQ73)</f>
        <v>1763546.51973646</v>
      </c>
      <c r="AR74" s="154" t="n">
        <f aca="false">SUM(AR69:AR73)</f>
        <v>1826698.18728532</v>
      </c>
      <c r="AS74" s="154" t="n">
        <f aca="false">SUM(AS69:AS73)</f>
        <v>1885600.21815014</v>
      </c>
      <c r="AT74" s="154" t="n">
        <f aca="false">SUM(AT69:AT73)</f>
        <v>1940592.88417842</v>
      </c>
      <c r="AU74" s="154" t="n">
        <f aca="false">SUM(AU69:AU73)</f>
        <v>1991969.97534696</v>
      </c>
      <c r="AV74" s="154" t="n">
        <f aca="false">SUM(AV69:AV73)</f>
        <v>2039961.05835922</v>
      </c>
      <c r="AW74" s="154" t="n">
        <f aca="false">SUM(AW69:AW73)</f>
        <v>2084688.53134916</v>
      </c>
      <c r="AX74" s="154" t="n">
        <f aca="false">SUM(AX69:AX73)</f>
        <v>2334038.5554176</v>
      </c>
      <c r="AY74" s="154" t="n">
        <f aca="false">SUM(AY69:AY73)</f>
        <v>2471659.74025007</v>
      </c>
      <c r="AZ74" s="154" t="n">
        <f aca="false">SUM(AZ69:AZ73)</f>
        <v>2600583.74511725</v>
      </c>
      <c r="BA74" s="154" t="n">
        <f aca="false">SUM(BA69:BA73)</f>
        <v>2721568.41797722</v>
      </c>
      <c r="BB74" s="154" t="n">
        <f aca="false">SUM(BB69:BB73)</f>
        <v>2834961.90501112</v>
      </c>
      <c r="BC74" s="154" t="n">
        <f aca="false">SUM(BC69:BC73)</f>
        <v>2941220.469408</v>
      </c>
      <c r="BD74" s="154" t="n">
        <f aca="false">SUM(BD69:BD73)</f>
        <v>3040935.90273034</v>
      </c>
      <c r="BE74" s="154" t="n">
        <f aca="false">SUM(BE69:BE73)</f>
        <v>3134394.02932373</v>
      </c>
      <c r="BF74" s="154" t="n">
        <f aca="false">SUM(BF69:BF73)</f>
        <v>3222042.90420508</v>
      </c>
      <c r="BG74" s="154" t="n">
        <f aca="false">SUM(BG69:BG73)</f>
        <v>3304085.60483677</v>
      </c>
      <c r="BH74" s="154" t="n">
        <f aca="false">SUM(BH69:BH73)</f>
        <v>3381108.21716861</v>
      </c>
      <c r="BI74" s="154" t="n">
        <f aca="false">SUM(BI69:BI73)</f>
        <v>3453298.71630562</v>
      </c>
      <c r="BJ74" s="154" t="n">
        <f aca="false">SUM(B74:BI74)</f>
        <v>72831520.9738694</v>
      </c>
    </row>
    <row r="75" customFormat="false" ht="15.75" hidden="false" customHeight="true" outlineLevel="0" collapsed="false">
      <c r="A75" s="49" t="s">
        <v>759</v>
      </c>
      <c r="B75" s="168" t="n">
        <f aca="false">B74*12</f>
        <v>0</v>
      </c>
      <c r="C75" s="168" t="n">
        <f aca="false">SUM($B74:B74)/1*12</f>
        <v>0</v>
      </c>
      <c r="D75" s="168" t="n">
        <f aca="false">SUM($B74:C74)/2*12</f>
        <v>0</v>
      </c>
      <c r="E75" s="168" t="n">
        <f aca="false">SUM($B74:D74)/3*12</f>
        <v>0</v>
      </c>
      <c r="F75" s="168" t="n">
        <f aca="false">SUM($B74:E74)/4*12</f>
        <v>0</v>
      </c>
      <c r="G75" s="168" t="n">
        <f aca="false">SUM($B74:F74)/5*12</f>
        <v>0</v>
      </c>
      <c r="H75" s="168" t="n">
        <f aca="false">SUM($B74:G74)/6*12</f>
        <v>0</v>
      </c>
      <c r="I75" s="168" t="n">
        <f aca="false">SUM($B74:H74)/7*12</f>
        <v>0</v>
      </c>
      <c r="J75" s="168" t="n">
        <f aca="false">SUM($B74:I74)/8*12</f>
        <v>0</v>
      </c>
      <c r="K75" s="168" t="n">
        <f aca="false">SUM($B74:J74)/9*12</f>
        <v>0</v>
      </c>
      <c r="L75" s="168" t="n">
        <f aca="false">SUM($B74:K74)/10*12</f>
        <v>0</v>
      </c>
      <c r="M75" s="168" t="n">
        <f aca="false">SUM($B74:L74)/11*12</f>
        <v>0</v>
      </c>
      <c r="N75" s="168" t="n">
        <f aca="false">SUM(B74:M74)</f>
        <v>7191</v>
      </c>
      <c r="O75" s="168" t="n">
        <f aca="false">SUM(C74:N74)</f>
        <v>45609.9662</v>
      </c>
      <c r="P75" s="168" t="n">
        <f aca="false">SUM(D74:O74)</f>
        <v>132821.53410176</v>
      </c>
      <c r="Q75" s="168" t="n">
        <f aca="false">SUM(E74:P74)</f>
        <v>290350.745657308</v>
      </c>
      <c r="R75" s="168" t="n">
        <f aca="false">SUM(F74:Q74)</f>
        <v>531562.123503878</v>
      </c>
      <c r="S75" s="168" t="n">
        <f aca="false">SUM(G74:R74)</f>
        <v>865728.738496386</v>
      </c>
      <c r="T75" s="168" t="n">
        <f aca="false">SUM(H74:S74)</f>
        <v>1243877.31728146</v>
      </c>
      <c r="U75" s="168" t="n">
        <f aca="false">SUM(I74:T74)</f>
        <v>1662663.08690189</v>
      </c>
      <c r="V75" s="168" t="n">
        <f aca="false">SUM(J74:U74)</f>
        <v>2119066.05364687</v>
      </c>
      <c r="W75" s="168" t="n">
        <f aca="false">SUM(K74:V74)</f>
        <v>2610310.71357263</v>
      </c>
      <c r="X75" s="168" t="n">
        <f aca="false">SUM(L74:W74)</f>
        <v>3135705.89231196</v>
      </c>
      <c r="Y75" s="168" t="n">
        <f aca="false">SUM(M74:X74)</f>
        <v>3690884.1119701</v>
      </c>
      <c r="Z75" s="168" t="n">
        <f aca="false">SUM(N74:Y74)</f>
        <v>4266370.58306995</v>
      </c>
      <c r="AA75" s="168" t="n">
        <f aca="false">SUM(O74:Z74)</f>
        <v>4938171.97464252</v>
      </c>
      <c r="AB75" s="168" t="n">
        <f aca="false">SUM(P74:AA74)</f>
        <v>5624953.31763191</v>
      </c>
      <c r="AC75" s="168" t="n">
        <f aca="false">SUM(Q74:AB74)</f>
        <v>6300736.34603363</v>
      </c>
      <c r="AD75" s="168" t="n">
        <f aca="false">SUM(R74:AC74)</f>
        <v>6947963.04548543</v>
      </c>
      <c r="AE75" s="168" t="n">
        <f aca="false">SUM(S74:AD74)</f>
        <v>7553464.07656962</v>
      </c>
      <c r="AF75" s="168" t="n">
        <f aca="false">SUM(T74:AE74)</f>
        <v>8162587.40820338</v>
      </c>
      <c r="AG75" s="168" t="n">
        <f aca="false">SUM(U74:AF74)</f>
        <v>8775278.5605845</v>
      </c>
      <c r="AH75" s="168" t="n">
        <f aca="false">SUM(V74:AG74)</f>
        <v>9391453.65718422</v>
      </c>
      <c r="AI75" s="168" t="n">
        <f aca="false">SUM(W74:AH74)</f>
        <v>10010944.5853023</v>
      </c>
      <c r="AJ75" s="168" t="n">
        <f aca="false">SUM(X74:AI74)</f>
        <v>10631752.4647215</v>
      </c>
      <c r="AK75" s="168" t="n">
        <f aca="false">SUM(Y74:AJ74)</f>
        <v>11255800.424022</v>
      </c>
      <c r="AL75" s="168" t="n">
        <f aca="false">SUM(Z74:AK74)</f>
        <v>11883042.4841353</v>
      </c>
      <c r="AM75" s="168" t="n">
        <f aca="false">SUM(AA74:AL74)</f>
        <v>12546633.416761</v>
      </c>
      <c r="AN75" s="168" t="n">
        <f aca="false">SUM(AB74:AM74)</f>
        <v>13235492.6434684</v>
      </c>
      <c r="AO75" s="168" t="n">
        <f aca="false">SUM(AC74:AN74)</f>
        <v>13948064.704238</v>
      </c>
      <c r="AP75" s="168" t="n">
        <f aca="false">SUM(AD74:AO74)</f>
        <v>14683100.7237059</v>
      </c>
      <c r="AQ75" s="168" t="n">
        <f aca="false">SUM(AE74:AP74)</f>
        <v>15439372.5766464</v>
      </c>
      <c r="AR75" s="168" t="n">
        <f aca="false">SUM(AF74:AQ74)</f>
        <v>16215647.185964</v>
      </c>
      <c r="AS75" s="168" t="n">
        <f aca="false">SUM(AG74:AR74)</f>
        <v>17010868.4512477</v>
      </c>
      <c r="AT75" s="168" t="n">
        <f aca="false">SUM(AH74:AS74)</f>
        <v>17823890.6060532</v>
      </c>
      <c r="AU75" s="168" t="n">
        <f aca="false">SUM(AI74:AT74)</f>
        <v>18653747.9021878</v>
      </c>
      <c r="AV75" s="168" t="n">
        <f aca="false">SUM(AJ74:AU74)</f>
        <v>19499514.8193762</v>
      </c>
      <c r="AW75" s="168" t="n">
        <f aca="false">SUM(AK74:AV74)</f>
        <v>20360249.6987768</v>
      </c>
      <c r="AX75" s="168" t="n">
        <f aca="false">SUM(AL74:AW74)</f>
        <v>21235018.6989128</v>
      </c>
      <c r="AY75" s="168" t="n">
        <f aca="false">SUM(AM74:AX74)</f>
        <v>22195245.9639321</v>
      </c>
      <c r="AZ75" s="168" t="n">
        <f aca="false">SUM(AN74:AY74)</f>
        <v>23204053.5665837</v>
      </c>
      <c r="BA75" s="168" t="n">
        <f aca="false">SUM(AO74:AZ74)</f>
        <v>24258753.010974</v>
      </c>
      <c r="BB75" s="168" t="n">
        <f aca="false">SUM(AP74:BA74)</f>
        <v>25356847.3321849</v>
      </c>
      <c r="BC75" s="168" t="n">
        <f aca="false">SUM(AQ74:BB74)</f>
        <v>26495869.7381789</v>
      </c>
      <c r="BD75" s="168" t="n">
        <f aca="false">SUM(AR74:BC74)</f>
        <v>27673543.6878505</v>
      </c>
      <c r="BE75" s="168" t="n">
        <f aca="false">SUM(AS74:BD74)</f>
        <v>28887781.4032955</v>
      </c>
      <c r="BF75" s="168" t="n">
        <f aca="false">SUM(AT74:BE74)</f>
        <v>30136575.2144691</v>
      </c>
      <c r="BG75" s="168" t="n">
        <f aca="false">SUM(AU74:BF74)</f>
        <v>31418025.2344957</v>
      </c>
      <c r="BH75" s="168" t="n">
        <f aca="false">SUM(AV74:BG74)</f>
        <v>32730140.8639855</v>
      </c>
      <c r="BI75" s="168" t="n">
        <f aca="false">SUM(AW74:BH74)</f>
        <v>34071288.0227949</v>
      </c>
      <c r="BJ75" s="154" t="n">
        <f aca="false">BI75</f>
        <v>34071288.0227949</v>
      </c>
    </row>
    <row r="76" customFormat="false" ht="15.75" hidden="false" customHeight="true" outlineLevel="0" collapsed="false">
      <c r="A76" s="49" t="s">
        <v>702</v>
      </c>
      <c r="B76" s="263" t="n">
        <f aca="false" t="array" ref="B76:B76">IF(Premissas!$B$23=3,Premissas!$B$24,IF(B75&gt;Premissas!$B$25,Premissas!$B$24,IFERROR(MAX(Tributos!$C$24,(INDEX(Tributos!$C$24:$C$29,MATCH(B75,Tributos!$B$24:$B$29,1))*B75-INDEX(Tributos!$D$24:$D$29,MATCH(B75,Tributos!$B$24:$B$29,1)))/B75),Tributos!$C$24)))</f>
        <v>0.155</v>
      </c>
      <c r="C76" s="263" t="n">
        <f aca="false" t="array" ref="C76:C76">IF(Premissas!$B$23=3,Premissas!$B$24,IF(C75&gt;Premissas!$B$25,Premissas!$B$24,IFERROR(MAX(Tributos!$C$24,(INDEX(Tributos!$C$24:$C$29,MATCH(C75,Tributos!$B$24:$B$29,1))*C75-INDEX(Tributos!$D$24:$D$29,MATCH(C75,Tributos!$B$24:$B$29,1)))/C75),Tributos!$C$24)))</f>
        <v>0.155</v>
      </c>
      <c r="D76" s="263" t="n">
        <f aca="false" t="array" ref="D76:D76">IF(Premissas!$B$23=3,Premissas!$B$24,IF(D75&gt;Premissas!$B$25,Premissas!$B$24,IFERROR(MAX(Tributos!$C$24,(INDEX(Tributos!$C$24:$C$29,MATCH(D75,Tributos!$B$24:$B$29,1))*D75-INDEX(Tributos!$D$24:$D$29,MATCH(D75,Tributos!$B$24:$B$29,1)))/D75),Tributos!$C$24)))</f>
        <v>0.155</v>
      </c>
      <c r="E76" s="263" t="n">
        <f aca="false" t="array" ref="E76:E76">IF(Premissas!$B$23=3,Premissas!$B$24,IF(E75&gt;Premissas!$B$25,Premissas!$B$24,IFERROR(MAX(Tributos!$C$24,(INDEX(Tributos!$C$24:$C$29,MATCH(E75,Tributos!$B$24:$B$29,1))*E75-INDEX(Tributos!$D$24:$D$29,MATCH(E75,Tributos!$B$24:$B$29,1)))/E75),Tributos!$C$24)))</f>
        <v>0.155</v>
      </c>
      <c r="F76" s="263" t="n">
        <f aca="false" t="array" ref="F76:F76">IF(Premissas!$B$23=3,Premissas!$B$24,IF(F75&gt;Premissas!$B$25,Premissas!$B$24,IFERROR(MAX(Tributos!$C$24,(INDEX(Tributos!$C$24:$C$29,MATCH(F75,Tributos!$B$24:$B$29,1))*F75-INDEX(Tributos!$D$24:$D$29,MATCH(F75,Tributos!$B$24:$B$29,1)))/F75),Tributos!$C$24)))</f>
        <v>0.155</v>
      </c>
      <c r="G76" s="263" t="n">
        <f aca="false" t="array" ref="G76:G76">IF(Premissas!$B$23=3,Premissas!$B$24,IF(G75&gt;Premissas!$B$25,Premissas!$B$24,IFERROR(MAX(Tributos!$C$24,(INDEX(Tributos!$C$24:$C$29,MATCH(G75,Tributos!$B$24:$B$29,1))*G75-INDEX(Tributos!$D$24:$D$29,MATCH(G75,Tributos!$B$24:$B$29,1)))/G75),Tributos!$C$24)))</f>
        <v>0.155</v>
      </c>
      <c r="H76" s="263" t="n">
        <f aca="false" t="array" ref="H76:H76">IF(Premissas!$B$23=3,Premissas!$B$24,IF(H75&gt;Premissas!$B$25,Premissas!$B$24,IFERROR(MAX(Tributos!$C$24,(INDEX(Tributos!$C$24:$C$29,MATCH(H75,Tributos!$B$24:$B$29,1))*H75-INDEX(Tributos!$D$24:$D$29,MATCH(H75,Tributos!$B$24:$B$29,1)))/H75),Tributos!$C$24)))</f>
        <v>0.155</v>
      </c>
      <c r="I76" s="263" t="n">
        <f aca="false" t="array" ref="I76:I76">IF(Premissas!$B$23=3,Premissas!$B$24,IF(I75&gt;Premissas!$B$25,Premissas!$B$24,IFERROR(MAX(Tributos!$C$24,(INDEX(Tributos!$C$24:$C$29,MATCH(I75,Tributos!$B$24:$B$29,1))*I75-INDEX(Tributos!$D$24:$D$29,MATCH(I75,Tributos!$B$24:$B$29,1)))/I75),Tributos!$C$24)))</f>
        <v>0.155</v>
      </c>
      <c r="J76" s="263" t="n">
        <f aca="false" t="array" ref="J76:J76">IF(Premissas!$B$23=3,Premissas!$B$24,IF(J75&gt;Premissas!$B$25,Premissas!$B$24,IFERROR(MAX(Tributos!$C$24,(INDEX(Tributos!$C$24:$C$29,MATCH(J75,Tributos!$B$24:$B$29,1))*J75-INDEX(Tributos!$D$24:$D$29,MATCH(J75,Tributos!$B$24:$B$29,1)))/J75),Tributos!$C$24)))</f>
        <v>0.155</v>
      </c>
      <c r="K76" s="263" t="n">
        <f aca="false" t="array" ref="K76:K76">IF(Premissas!$B$23=3,Premissas!$B$24,IF(K75&gt;Premissas!$B$25,Premissas!$B$24,IFERROR(MAX(Tributos!$C$24,(INDEX(Tributos!$C$24:$C$29,MATCH(K75,Tributos!$B$24:$B$29,1))*K75-INDEX(Tributos!$D$24:$D$29,MATCH(K75,Tributos!$B$24:$B$29,1)))/K75),Tributos!$C$24)))</f>
        <v>0.155</v>
      </c>
      <c r="L76" s="263" t="n">
        <f aca="false" t="array" ref="L76:L76">IF(Premissas!$B$23=3,Premissas!$B$24,IF(L75&gt;Premissas!$B$25,Premissas!$B$24,IFERROR(MAX(Tributos!$C$24,(INDEX(Tributos!$C$24:$C$29,MATCH(L75,Tributos!$B$24:$B$29,1))*L75-INDEX(Tributos!$D$24:$D$29,MATCH(L75,Tributos!$B$24:$B$29,1)))/L75),Tributos!$C$24)))</f>
        <v>0.155</v>
      </c>
      <c r="M76" s="263" t="n">
        <f aca="false" t="array" ref="M76:M76">IF(Premissas!$B$23=3,Premissas!$B$24,IF(M75&gt;Premissas!$B$25,Premissas!$B$24,IFERROR(MAX(Tributos!$C$24,(INDEX(Tributos!$C$24:$C$29,MATCH(M75,Tributos!$B$24:$B$29,1))*M75-INDEX(Tributos!$D$24:$D$29,MATCH(M75,Tributos!$B$24:$B$29,1)))/M75),Tributos!$C$24)))</f>
        <v>0.155</v>
      </c>
      <c r="N76" s="263" t="n">
        <f aca="false" t="array" ref="N76:N76">IF(Premissas!$B$23=3,Premissas!$B$24,IF(N75&gt;Premissas!$B$25,Premissas!$B$24,IFERROR(MAX(Tributos!$C$24,(INDEX(Tributos!$C$24:$C$29,MATCH(N75,Tributos!$B$24:$B$29,1))*N75-INDEX(Tributos!$D$24:$D$29,MATCH(N75,Tributos!$B$24:$B$29,1)))/N75),Tributos!$C$24)))</f>
        <v>0.155</v>
      </c>
      <c r="O76" s="263" t="n">
        <f aca="false" t="array" ref="O76:O76">IF(Premissas!$B$23=3,Premissas!$B$24,IF(O75&gt;Premissas!$B$25,Premissas!$B$24,IFERROR(MAX(Tributos!$C$24,(INDEX(Tributos!$C$24:$C$29,MATCH(O75,Tributos!$B$24:$B$29,1))*O75-INDEX(Tributos!$D$24:$D$29,MATCH(O75,Tributos!$B$24:$B$29,1)))/O75),Tributos!$C$24)))</f>
        <v>0.155</v>
      </c>
      <c r="P76" s="263" t="n">
        <f aca="false" t="array" ref="P76:P76">IF(Premissas!$B$23=3,Premissas!$B$24,IF(P75&gt;Premissas!$B$25,Premissas!$B$24,IFERROR(MAX(Tributos!$C$24,(INDEX(Tributos!$C$24:$C$29,MATCH(P75,Tributos!$B$24:$B$29,1))*P75-INDEX(Tributos!$D$24:$D$29,MATCH(P75,Tributos!$B$24:$B$29,1)))/P75),Tributos!$C$24)))</f>
        <v>0.155</v>
      </c>
      <c r="Q76" s="263" t="n">
        <f aca="false" t="array" ref="Q76:Q76">IF(Premissas!$B$23=3,Premissas!$B$24,IF(Q75&gt;Premissas!$B$25,Premissas!$B$24,IFERROR(MAX(Tributos!$C$24,(INDEX(Tributos!$C$24:$C$29,MATCH(Q75,Tributos!$B$24:$B$29,1))*Q75-INDEX(Tributos!$D$24:$D$29,MATCH(Q75,Tributos!$B$24:$B$29,1)))/Q75),Tributos!$C$24)))</f>
        <v>0.16450150355284</v>
      </c>
      <c r="R76" s="263" t="n">
        <f aca="false" t="array" ref="R76:R76">IF(Premissas!$B$23=3,Premissas!$B$24,IF(R75&gt;Premissas!$B$25,Premissas!$B$24,IFERROR(MAX(Tributos!$C$24,(INDEX(Tributos!$C$24:$C$29,MATCH(R75,Tributos!$B$24:$B$29,1))*R75-INDEX(Tributos!$D$24:$D$29,MATCH(R75,Tributos!$B$24:$B$29,1)))/R75),Tributos!$C$24)))</f>
        <v>0.176375648184369</v>
      </c>
      <c r="S76" s="263" t="n">
        <f aca="false" t="array" ref="S76:S76">IF(Premissas!$B$23=3,Premissas!$B$24,IF(S75&gt;Premissas!$B$25,Premissas!$B$24,IFERROR(MAX(Tributos!$C$24,(INDEX(Tributos!$C$24:$C$29,MATCH(S75,Tributos!$B$24:$B$29,1))*S75-INDEX(Tributos!$D$24:$D$29,MATCH(S75,Tributos!$B$24:$B$29,1)))/S75),Tributos!$C$24)))</f>
        <v>0.185247854507291</v>
      </c>
      <c r="T76" s="263" t="n">
        <f aca="false" t="array" ref="T76:T76">IF(Premissas!$B$23=3,Premissas!$B$24,IF(T75&gt;Premissas!$B$25,Premissas!$B$24,IFERROR(MAX(Tributos!$C$24,(INDEX(Tributos!$C$24:$C$29,MATCH(T75,Tributos!$B$24:$B$29,1))*T75-INDEX(Tributos!$D$24:$D$29,MATCH(T75,Tributos!$B$24:$B$29,1)))/T75),Tributos!$C$24)))</f>
        <v>0.191252663536487</v>
      </c>
      <c r="U76" s="263" t="n">
        <f aca="false" t="array" ref="U76:U76">IF(Premissas!$B$23=3,Premissas!$B$24,IF(U75&gt;Premissas!$B$25,Premissas!$B$24,IFERROR(MAX(Tributos!$C$24,(INDEX(Tributos!$C$24:$C$29,MATCH(U75,Tributos!$B$24:$B$29,1))*U75-INDEX(Tributos!$D$24:$D$29,MATCH(U75,Tributos!$B$24:$B$29,1)))/U75),Tributos!$C$24)))</f>
        <v>0.194715294616985</v>
      </c>
      <c r="V76" s="263" t="n">
        <f aca="false" t="array" ref="V76:V76">IF(Premissas!$B$23=3,Premissas!$B$24,IF(V75&gt;Premissas!$B$25,Premissas!$B$24,IFERROR(MAX(Tributos!$C$24,(INDEX(Tributos!$C$24:$C$29,MATCH(V75,Tributos!$B$24:$B$29,1))*V75-INDEX(Tributos!$D$24:$D$29,MATCH(V75,Tributos!$B$24:$B$29,1)))/V75),Tributos!$C$24)))</f>
        <v>0.20069463696371</v>
      </c>
      <c r="W76" s="263" t="n">
        <f aca="false" t="array" ref="W76:W76">IF(Premissas!$B$23=3,Premissas!$B$24,IF(W75&gt;Premissas!$B$25,Premissas!$B$24,IFERROR(MAX(Tributos!$C$24,(INDEX(Tributos!$C$24:$C$29,MATCH(W75,Tributos!$B$24:$B$29,1))*W75-INDEX(Tributos!$D$24:$D$29,MATCH(W75,Tributos!$B$24:$B$29,1)))/W75),Tributos!$C$24)))</f>
        <v>0.206209728720377</v>
      </c>
      <c r="X76" s="263" t="n">
        <f aca="false" t="array" ref="X76:X76">IF(Premissas!$B$23=3,Premissas!$B$24,IF(X75&gt;Premissas!$B$25,Premissas!$B$24,IFERROR(MAX(Tributos!$C$24,(INDEX(Tributos!$C$24:$C$29,MATCH(X75,Tributos!$B$24:$B$29,1))*X75-INDEX(Tributos!$D$24:$D$29,MATCH(X75,Tributos!$B$24:$B$29,1)))/X75),Tributos!$C$24)))</f>
        <v>0.210195846762206</v>
      </c>
      <c r="Y76" s="263" t="n">
        <f aca="false" t="array" ref="Y76:Y76">IF(Premissas!$B$23=3,Premissas!$B$24,IF(Y75&gt;Premissas!$B$25,Premissas!$B$24,IFERROR(MAX(Tributos!$C$24,(INDEX(Tributos!$C$24:$C$29,MATCH(Y75,Tributos!$B$24:$B$29,1))*Y75-INDEX(Tributos!$D$24:$D$29,MATCH(Y75,Tributos!$B$24:$B$29,1)))/Y75),Tributos!$C$24)))</f>
        <v>0.158693591123954</v>
      </c>
      <c r="Z76" s="263" t="n">
        <f aca="false" t="array" ref="Z76:Z76">IF(Premissas!$B$23=3,Premissas!$B$24,IF(Z75&gt;Premissas!$B$25,Premissas!$B$24,IFERROR(MAX(Tributos!$C$24,(INDEX(Tributos!$C$24:$C$29,MATCH(Z75,Tributos!$B$24:$B$29,1))*Z75-INDEX(Tributos!$D$24:$D$29,MATCH(Z75,Tributos!$B$24:$B$29,1)))/Z75),Tributos!$C$24)))</f>
        <v>0.178428716637308</v>
      </c>
      <c r="AA76" s="263" t="n">
        <f aca="false" t="array" ref="AA76:AA76">IF(Premissas!$B$23=3,Premissas!$B$24,IF(AA75&gt;Premissas!$B$25,Premissas!$B$24,IFERROR(MAX(Tributos!$C$24,(INDEX(Tributos!$C$24:$C$29,MATCH(AA75,Tributos!$B$24:$B$29,1))*AA75-INDEX(Tributos!$D$24:$D$29,MATCH(AA75,Tributos!$B$24:$B$29,1)))/AA75),Tributos!$C$24)))</f>
        <v>0.1633</v>
      </c>
      <c r="AB76" s="263" t="n">
        <f aca="false" t="array" ref="AB76:AB76">IF(Premissas!$B$23=3,Premissas!$B$24,IF(AB75&gt;Premissas!$B$25,Premissas!$B$24,IFERROR(MAX(Tributos!$C$24,(INDEX(Tributos!$C$24:$C$29,MATCH(AB75,Tributos!$B$24:$B$29,1))*AB75-INDEX(Tributos!$D$24:$D$29,MATCH(AB75,Tributos!$B$24:$B$29,1)))/AB75),Tributos!$C$24)))</f>
        <v>0.1633</v>
      </c>
      <c r="AC76" s="263" t="n">
        <f aca="false" t="array" ref="AC76:AC76">IF(Premissas!$B$23=3,Premissas!$B$24,IF(AC75&gt;Premissas!$B$25,Premissas!$B$24,IFERROR(MAX(Tributos!$C$24,(INDEX(Tributos!$C$24:$C$29,MATCH(AC75,Tributos!$B$24:$B$29,1))*AC75-INDEX(Tributos!$D$24:$D$29,MATCH(AC75,Tributos!$B$24:$B$29,1)))/AC75),Tributos!$C$24)))</f>
        <v>0.1633</v>
      </c>
      <c r="AD76" s="263" t="n">
        <f aca="false" t="array" ref="AD76:AD76">IF(Premissas!$B$23=3,Premissas!$B$24,IF(AD75&gt;Premissas!$B$25,Premissas!$B$24,IFERROR(MAX(Tributos!$C$24,(INDEX(Tributos!$C$24:$C$29,MATCH(AD75,Tributos!$B$24:$B$29,1))*AD75-INDEX(Tributos!$D$24:$D$29,MATCH(AD75,Tributos!$B$24:$B$29,1)))/AD75),Tributos!$C$24)))</f>
        <v>0.1633</v>
      </c>
      <c r="AE76" s="263" t="n">
        <f aca="false" t="array" ref="AE76:AE76">IF(Premissas!$B$23=3,Premissas!$B$24,IF(AE75&gt;Premissas!$B$25,Premissas!$B$24,IFERROR(MAX(Tributos!$C$24,(INDEX(Tributos!$C$24:$C$29,MATCH(AE75,Tributos!$B$24:$B$29,1))*AE75-INDEX(Tributos!$D$24:$D$29,MATCH(AE75,Tributos!$B$24:$B$29,1)))/AE75),Tributos!$C$24)))</f>
        <v>0.1633</v>
      </c>
      <c r="AF76" s="263" t="n">
        <f aca="false" t="array" ref="AF76:AF76">IF(Premissas!$B$23=3,Premissas!$B$24,IF(AF75&gt;Premissas!$B$25,Premissas!$B$24,IFERROR(MAX(Tributos!$C$24,(INDEX(Tributos!$C$24:$C$29,MATCH(AF75,Tributos!$B$24:$B$29,1))*AF75-INDEX(Tributos!$D$24:$D$29,MATCH(AF75,Tributos!$B$24:$B$29,1)))/AF75),Tributos!$C$24)))</f>
        <v>0.1633</v>
      </c>
      <c r="AG76" s="263" t="n">
        <f aca="false" t="array" ref="AG76:AG76">IF(Premissas!$B$23=3,Premissas!$B$24,IF(AG75&gt;Premissas!$B$25,Premissas!$B$24,IFERROR(MAX(Tributos!$C$24,(INDEX(Tributos!$C$24:$C$29,MATCH(AG75,Tributos!$B$24:$B$29,1))*AG75-INDEX(Tributos!$D$24:$D$29,MATCH(AG75,Tributos!$B$24:$B$29,1)))/AG75),Tributos!$C$24)))</f>
        <v>0.1633</v>
      </c>
      <c r="AH76" s="263" t="n">
        <f aca="false" t="array" ref="AH76:AH76">IF(Premissas!$B$23=3,Premissas!$B$24,IF(AH75&gt;Premissas!$B$25,Premissas!$B$24,IFERROR(MAX(Tributos!$C$24,(INDEX(Tributos!$C$24:$C$29,MATCH(AH75,Tributos!$B$24:$B$29,1))*AH75-INDEX(Tributos!$D$24:$D$29,MATCH(AH75,Tributos!$B$24:$B$29,1)))/AH75),Tributos!$C$24)))</f>
        <v>0.1633</v>
      </c>
      <c r="AI76" s="263" t="n">
        <f aca="false" t="array" ref="AI76:AI76">IF(Premissas!$B$23=3,Premissas!$B$24,IF(AI75&gt;Premissas!$B$25,Premissas!$B$24,IFERROR(MAX(Tributos!$C$24,(INDEX(Tributos!$C$24:$C$29,MATCH(AI75,Tributos!$B$24:$B$29,1))*AI75-INDEX(Tributos!$D$24:$D$29,MATCH(AI75,Tributos!$B$24:$B$29,1)))/AI75),Tributos!$C$24)))</f>
        <v>0.1633</v>
      </c>
      <c r="AJ76" s="263" t="n">
        <f aca="false" t="array" ref="AJ76:AJ76">IF(Premissas!$B$23=3,Premissas!$B$24,IF(AJ75&gt;Premissas!$B$25,Premissas!$B$24,IFERROR(MAX(Tributos!$C$24,(INDEX(Tributos!$C$24:$C$29,MATCH(AJ75,Tributos!$B$24:$B$29,1))*AJ75-INDEX(Tributos!$D$24:$D$29,MATCH(AJ75,Tributos!$B$24:$B$29,1)))/AJ75),Tributos!$C$24)))</f>
        <v>0.1633</v>
      </c>
      <c r="AK76" s="263" t="n">
        <f aca="false" t="array" ref="AK76:AK76">IF(Premissas!$B$23=3,Premissas!$B$24,IF(AK75&gt;Premissas!$B$25,Premissas!$B$24,IFERROR(MAX(Tributos!$C$24,(INDEX(Tributos!$C$24:$C$29,MATCH(AK75,Tributos!$B$24:$B$29,1))*AK75-INDEX(Tributos!$D$24:$D$29,MATCH(AK75,Tributos!$B$24:$B$29,1)))/AK75),Tributos!$C$24)))</f>
        <v>0.1633</v>
      </c>
      <c r="AL76" s="263" t="n">
        <f aca="false" t="array" ref="AL76:AL76">IF(Premissas!$B$23=3,Premissas!$B$24,IF(AL75&gt;Premissas!$B$25,Premissas!$B$24,IFERROR(MAX(Tributos!$C$24,(INDEX(Tributos!$C$24:$C$29,MATCH(AL75,Tributos!$B$24:$B$29,1))*AL75-INDEX(Tributos!$D$24:$D$29,MATCH(AL75,Tributos!$B$24:$B$29,1)))/AL75),Tributos!$C$24)))</f>
        <v>0.1633</v>
      </c>
      <c r="AM76" s="263" t="n">
        <f aca="false" t="array" ref="AM76:AM76">IF(Premissas!$B$23=3,Premissas!$B$24,IF(AM75&gt;Premissas!$B$25,Premissas!$B$24,IFERROR(MAX(Tributos!$C$24,(INDEX(Tributos!$C$24:$C$29,MATCH(AM75,Tributos!$B$24:$B$29,1))*AM75-INDEX(Tributos!$D$24:$D$29,MATCH(AM75,Tributos!$B$24:$B$29,1)))/AM75),Tributos!$C$24)))</f>
        <v>0.1633</v>
      </c>
      <c r="AN76" s="263" t="n">
        <f aca="false" t="array" ref="AN76:AN76">IF(Premissas!$B$23=3,Premissas!$B$24,IF(AN75&gt;Premissas!$B$25,Premissas!$B$24,IFERROR(MAX(Tributos!$C$24,(INDEX(Tributos!$C$24:$C$29,MATCH(AN75,Tributos!$B$24:$B$29,1))*AN75-INDEX(Tributos!$D$24:$D$29,MATCH(AN75,Tributos!$B$24:$B$29,1)))/AN75),Tributos!$C$24)))</f>
        <v>0.1633</v>
      </c>
      <c r="AO76" s="263" t="n">
        <f aca="false" t="array" ref="AO76:AO76">IF(Premissas!$B$23=3,Premissas!$B$24,IF(AO75&gt;Premissas!$B$25,Premissas!$B$24,IFERROR(MAX(Tributos!$C$24,(INDEX(Tributos!$C$24:$C$29,MATCH(AO75,Tributos!$B$24:$B$29,1))*AO75-INDEX(Tributos!$D$24:$D$29,MATCH(AO75,Tributos!$B$24:$B$29,1)))/AO75),Tributos!$C$24)))</f>
        <v>0.1633</v>
      </c>
      <c r="AP76" s="263" t="n">
        <f aca="false" t="array" ref="AP76:AP76">IF(Premissas!$B$23=3,Premissas!$B$24,IF(AP75&gt;Premissas!$B$25,Premissas!$B$24,IFERROR(MAX(Tributos!$C$24,(INDEX(Tributos!$C$24:$C$29,MATCH(AP75,Tributos!$B$24:$B$29,1))*AP75-INDEX(Tributos!$D$24:$D$29,MATCH(AP75,Tributos!$B$24:$B$29,1)))/AP75),Tributos!$C$24)))</f>
        <v>0.1633</v>
      </c>
      <c r="AQ76" s="263" t="n">
        <f aca="false" t="array" ref="AQ76:AQ76">IF(Premissas!$B$23=3,Premissas!$B$24,IF(AQ75&gt;Premissas!$B$25,Premissas!$B$24,IFERROR(MAX(Tributos!$C$24,(INDEX(Tributos!$C$24:$C$29,MATCH(AQ75,Tributos!$B$24:$B$29,1))*AQ75-INDEX(Tributos!$D$24:$D$29,MATCH(AQ75,Tributos!$B$24:$B$29,1)))/AQ75),Tributos!$C$24)))</f>
        <v>0.1633</v>
      </c>
      <c r="AR76" s="263" t="n">
        <f aca="false" t="array" ref="AR76:AR76">IF(Premissas!$B$23=3,Premissas!$B$24,IF(AR75&gt;Premissas!$B$25,Premissas!$B$24,IFERROR(MAX(Tributos!$C$24,(INDEX(Tributos!$C$24:$C$29,MATCH(AR75,Tributos!$B$24:$B$29,1))*AR75-INDEX(Tributos!$D$24:$D$29,MATCH(AR75,Tributos!$B$24:$B$29,1)))/AR75),Tributos!$C$24)))</f>
        <v>0.1633</v>
      </c>
      <c r="AS76" s="263" t="n">
        <f aca="false" t="array" ref="AS76:AS76">IF(Premissas!$B$23=3,Premissas!$B$24,IF(AS75&gt;Premissas!$B$25,Premissas!$B$24,IFERROR(MAX(Tributos!$C$24,(INDEX(Tributos!$C$24:$C$29,MATCH(AS75,Tributos!$B$24:$B$29,1))*AS75-INDEX(Tributos!$D$24:$D$29,MATCH(AS75,Tributos!$B$24:$B$29,1)))/AS75),Tributos!$C$24)))</f>
        <v>0.1633</v>
      </c>
      <c r="AT76" s="263" t="n">
        <f aca="false" t="array" ref="AT76:AT76">IF(Premissas!$B$23=3,Premissas!$B$24,IF(AT75&gt;Premissas!$B$25,Premissas!$B$24,IFERROR(MAX(Tributos!$C$24,(INDEX(Tributos!$C$24:$C$29,MATCH(AT75,Tributos!$B$24:$B$29,1))*AT75-INDEX(Tributos!$D$24:$D$29,MATCH(AT75,Tributos!$B$24:$B$29,1)))/AT75),Tributos!$C$24)))</f>
        <v>0.1633</v>
      </c>
      <c r="AU76" s="263" t="n">
        <f aca="false" t="array" ref="AU76:AU76">IF(Premissas!$B$23=3,Premissas!$B$24,IF(AU75&gt;Premissas!$B$25,Premissas!$B$24,IFERROR(MAX(Tributos!$C$24,(INDEX(Tributos!$C$24:$C$29,MATCH(AU75,Tributos!$B$24:$B$29,1))*AU75-INDEX(Tributos!$D$24:$D$29,MATCH(AU75,Tributos!$B$24:$B$29,1)))/AU75),Tributos!$C$24)))</f>
        <v>0.1633</v>
      </c>
      <c r="AV76" s="263" t="n">
        <f aca="false" t="array" ref="AV76:AV76">IF(Premissas!$B$23=3,Premissas!$B$24,IF(AV75&gt;Premissas!$B$25,Premissas!$B$24,IFERROR(MAX(Tributos!$C$24,(INDEX(Tributos!$C$24:$C$29,MATCH(AV75,Tributos!$B$24:$B$29,1))*AV75-INDEX(Tributos!$D$24:$D$29,MATCH(AV75,Tributos!$B$24:$B$29,1)))/AV75),Tributos!$C$24)))</f>
        <v>0.1633</v>
      </c>
      <c r="AW76" s="263" t="n">
        <f aca="false" t="array" ref="AW76:AW76">IF(Premissas!$B$23=3,Premissas!$B$24,IF(AW75&gt;Premissas!$B$25,Premissas!$B$24,IFERROR(MAX(Tributos!$C$24,(INDEX(Tributos!$C$24:$C$29,MATCH(AW75,Tributos!$B$24:$B$29,1))*AW75-INDEX(Tributos!$D$24:$D$29,MATCH(AW75,Tributos!$B$24:$B$29,1)))/AW75),Tributos!$C$24)))</f>
        <v>0.1633</v>
      </c>
      <c r="AX76" s="263" t="n">
        <f aca="false" t="array" ref="AX76:AX76">IF(Premissas!$B$23=3,Premissas!$B$24,IF(AX75&gt;Premissas!$B$25,Premissas!$B$24,IFERROR(MAX(Tributos!$C$24,(INDEX(Tributos!$C$24:$C$29,MATCH(AX75,Tributos!$B$24:$B$29,1))*AX75-INDEX(Tributos!$D$24:$D$29,MATCH(AX75,Tributos!$B$24:$B$29,1)))/AX75),Tributos!$C$24)))</f>
        <v>0.1633</v>
      </c>
      <c r="AY76" s="263" t="n">
        <f aca="false" t="array" ref="AY76:AY76">IF(Premissas!$B$23=3,Premissas!$B$24,IF(AY75&gt;Premissas!$B$25,Premissas!$B$24,IFERROR(MAX(Tributos!$C$24,(INDEX(Tributos!$C$24:$C$29,MATCH(AY75,Tributos!$B$24:$B$29,1))*AY75-INDEX(Tributos!$D$24:$D$29,MATCH(AY75,Tributos!$B$24:$B$29,1)))/AY75),Tributos!$C$24)))</f>
        <v>0.1633</v>
      </c>
      <c r="AZ76" s="263" t="n">
        <f aca="false" t="array" ref="AZ76:AZ76">IF(Premissas!$B$23=3,Premissas!$B$24,IF(AZ75&gt;Premissas!$B$25,Premissas!$B$24,IFERROR(MAX(Tributos!$C$24,(INDEX(Tributos!$C$24:$C$29,MATCH(AZ75,Tributos!$B$24:$B$29,1))*AZ75-INDEX(Tributos!$D$24:$D$29,MATCH(AZ75,Tributos!$B$24:$B$29,1)))/AZ75),Tributos!$C$24)))</f>
        <v>0.1633</v>
      </c>
      <c r="BA76" s="263" t="n">
        <f aca="false" t="array" ref="BA76:BA76">IF(Premissas!$B$23=3,Premissas!$B$24,IF(BA75&gt;Premissas!$B$25,Premissas!$B$24,IFERROR(MAX(Tributos!$C$24,(INDEX(Tributos!$C$24:$C$29,MATCH(BA75,Tributos!$B$24:$B$29,1))*BA75-INDEX(Tributos!$D$24:$D$29,MATCH(BA75,Tributos!$B$24:$B$29,1)))/BA75),Tributos!$C$24)))</f>
        <v>0.1633</v>
      </c>
      <c r="BB76" s="263" t="n">
        <f aca="false" t="array" ref="BB76:BB76">IF(Premissas!$B$23=3,Premissas!$B$24,IF(BB75&gt;Premissas!$B$25,Premissas!$B$24,IFERROR(MAX(Tributos!$C$24,(INDEX(Tributos!$C$24:$C$29,MATCH(BB75,Tributos!$B$24:$B$29,1))*BB75-INDEX(Tributos!$D$24:$D$29,MATCH(BB75,Tributos!$B$24:$B$29,1)))/BB75),Tributos!$C$24)))</f>
        <v>0.1633</v>
      </c>
      <c r="BC76" s="263" t="n">
        <f aca="false" t="array" ref="BC76:BC76">IF(Premissas!$B$23=3,Premissas!$B$24,IF(BC75&gt;Premissas!$B$25,Premissas!$B$24,IFERROR(MAX(Tributos!$C$24,(INDEX(Tributos!$C$24:$C$29,MATCH(BC75,Tributos!$B$24:$B$29,1))*BC75-INDEX(Tributos!$D$24:$D$29,MATCH(BC75,Tributos!$B$24:$B$29,1)))/BC75),Tributos!$C$24)))</f>
        <v>0.1633</v>
      </c>
      <c r="BD76" s="263" t="n">
        <f aca="false" t="array" ref="BD76:BD76">IF(Premissas!$B$23=3,Premissas!$B$24,IF(BD75&gt;Premissas!$B$25,Premissas!$B$24,IFERROR(MAX(Tributos!$C$24,(INDEX(Tributos!$C$24:$C$29,MATCH(BD75,Tributos!$B$24:$B$29,1))*BD75-INDEX(Tributos!$D$24:$D$29,MATCH(BD75,Tributos!$B$24:$B$29,1)))/BD75),Tributos!$C$24)))</f>
        <v>0.1633</v>
      </c>
      <c r="BE76" s="263" t="n">
        <f aca="false" t="array" ref="BE76:BE76">IF(Premissas!$B$23=3,Premissas!$B$24,IF(BE75&gt;Premissas!$B$25,Premissas!$B$24,IFERROR(MAX(Tributos!$C$24,(INDEX(Tributos!$C$24:$C$29,MATCH(BE75,Tributos!$B$24:$B$29,1))*BE75-INDEX(Tributos!$D$24:$D$29,MATCH(BE75,Tributos!$B$24:$B$29,1)))/BE75),Tributos!$C$24)))</f>
        <v>0.1633</v>
      </c>
      <c r="BF76" s="263" t="n">
        <f aca="false" t="array" ref="BF76:BF76">IF(Premissas!$B$23=3,Premissas!$B$24,IF(BF75&gt;Premissas!$B$25,Premissas!$B$24,IFERROR(MAX(Tributos!$C$24,(INDEX(Tributos!$C$24:$C$29,MATCH(BF75,Tributos!$B$24:$B$29,1))*BF75-INDEX(Tributos!$D$24:$D$29,MATCH(BF75,Tributos!$B$24:$B$29,1)))/BF75),Tributos!$C$24)))</f>
        <v>0.1633</v>
      </c>
      <c r="BG76" s="263" t="n">
        <f aca="false" t="array" ref="BG76:BG76">IF(Premissas!$B$23=3,Premissas!$B$24,IF(BG75&gt;Premissas!$B$25,Premissas!$B$24,IFERROR(MAX(Tributos!$C$24,(INDEX(Tributos!$C$24:$C$29,MATCH(BG75,Tributos!$B$24:$B$29,1))*BG75-INDEX(Tributos!$D$24:$D$29,MATCH(BG75,Tributos!$B$24:$B$29,1)))/BG75),Tributos!$C$24)))</f>
        <v>0.1633</v>
      </c>
      <c r="BH76" s="263" t="n">
        <f aca="false" t="array" ref="BH76:BH76">IF(Premissas!$B$23=3,Premissas!$B$24,IF(BH75&gt;Premissas!$B$25,Premissas!$B$24,IFERROR(MAX(Tributos!$C$24,(INDEX(Tributos!$C$24:$C$29,MATCH(BH75,Tributos!$B$24:$B$29,1))*BH75-INDEX(Tributos!$D$24:$D$29,MATCH(BH75,Tributos!$B$24:$B$29,1)))/BH75),Tributos!$C$24)))</f>
        <v>0.1633</v>
      </c>
      <c r="BI76" s="263" t="n">
        <f aca="false" t="array" ref="BI76:BI76">IF(Premissas!$B$23=3,Premissas!$B$24,IF(BI75&gt;Premissas!$B$25,Premissas!$B$24,IFERROR(MAX(Tributos!$C$24,(INDEX(Tributos!$C$24:$C$29,MATCH(BI75,Tributos!$B$24:$B$29,1))*BI75-INDEX(Tributos!$D$24:$D$29,MATCH(BI75,Tributos!$B$24:$B$29,1)))/BI75),Tributos!$C$24)))</f>
        <v>0.1633</v>
      </c>
      <c r="BJ76" s="264" t="n">
        <f aca="false">IFERROR(-BJ74/BJ71,0)</f>
        <v>-316.658786842911</v>
      </c>
    </row>
    <row r="77" customFormat="false" ht="15.75" hidden="false" customHeight="true" outlineLevel="0" collapsed="false">
      <c r="A77" s="49" t="s">
        <v>434</v>
      </c>
      <c r="B77" s="168" t="n">
        <f aca="false">-B74*B76</f>
        <v>-0</v>
      </c>
      <c r="C77" s="168" t="n">
        <f aca="false">-C74*C76</f>
        <v>-0</v>
      </c>
      <c r="D77" s="168" t="n">
        <f aca="false">-D74*D76</f>
        <v>-0</v>
      </c>
      <c r="E77" s="168" t="n">
        <f aca="false">-E74*E76</f>
        <v>-0</v>
      </c>
      <c r="F77" s="168" t="n">
        <f aca="false">-F74*F76</f>
        <v>-0</v>
      </c>
      <c r="G77" s="168" t="n">
        <f aca="false">-G74*G76</f>
        <v>-0</v>
      </c>
      <c r="H77" s="168" t="n">
        <f aca="false">-H74*H76</f>
        <v>-0</v>
      </c>
      <c r="I77" s="168" t="n">
        <f aca="false">-I74*I76</f>
        <v>-0</v>
      </c>
      <c r="J77" s="168" t="n">
        <f aca="false">-J74*J76</f>
        <v>-0</v>
      </c>
      <c r="K77" s="168" t="n">
        <f aca="false">-K74*K76</f>
        <v>-0</v>
      </c>
      <c r="L77" s="168" t="n">
        <f aca="false">-L74*L76</f>
        <v>-0</v>
      </c>
      <c r="M77" s="168" t="n">
        <f aca="false">-M74*M76</f>
        <v>-1114.605</v>
      </c>
      <c r="N77" s="168" t="n">
        <f aca="false">-N74*N76</f>
        <v>-5954.939761</v>
      </c>
      <c r="O77" s="168" t="n">
        <f aca="false">-O74*O76</f>
        <v>-13517.7930247728</v>
      </c>
      <c r="P77" s="168" t="n">
        <f aca="false">-P74*P76</f>
        <v>-24417.0277911099</v>
      </c>
      <c r="Q77" s="168" t="n">
        <f aca="false">-Q74*Q76</f>
        <v>-39679.6343298131</v>
      </c>
      <c r="R77" s="168" t="n">
        <f aca="false">-R74*R76</f>
        <v>-58938.8533208802</v>
      </c>
      <c r="S77" s="168" t="n">
        <f aca="false">-S74*S76</f>
        <v>-70051.2129049159</v>
      </c>
      <c r="T77" s="168" t="n">
        <f aca="false">-T74*T76</f>
        <v>-80093.8938910857</v>
      </c>
      <c r="U77" s="168" t="n">
        <f aca="false">-U74*U76</f>
        <v>-88868.6381338144</v>
      </c>
      <c r="V77" s="168" t="n">
        <f aca="false">-V74*V76</f>
        <v>-98590.1686841606</v>
      </c>
      <c r="W77" s="168" t="n">
        <f aca="false">-W74*W76</f>
        <v>-108341.597278833</v>
      </c>
      <c r="X77" s="168" t="n">
        <f aca="false">-X74*X76</f>
        <v>-116696.155984977</v>
      </c>
      <c r="Y77" s="168" t="n">
        <f aca="false">-Y74*Y76</f>
        <v>-92467.1803558589</v>
      </c>
      <c r="Z77" s="168" t="n">
        <f aca="false">-Z74*Z76</f>
        <v>-126723.70696705</v>
      </c>
      <c r="AA77" s="168" t="n">
        <f aca="false">-AA74*AA76</f>
        <v>-126393.042348524</v>
      </c>
      <c r="AB77" s="168" t="n">
        <f aca="false">-AB74*AB76</f>
        <v>-136079.888785022</v>
      </c>
      <c r="AC77" s="168" t="n">
        <f aca="false">-AC74*AC76</f>
        <v>-145081.938022824</v>
      </c>
      <c r="AD77" s="168" t="n">
        <f aca="false">-AD74*AD76</f>
        <v>-153447.726604326</v>
      </c>
      <c r="AE77" s="168" t="n">
        <f aca="false">-AE74*AE76</f>
        <v>-161221.502971395</v>
      </c>
      <c r="AF77" s="168" t="n">
        <f aca="false">-AF74*AF76</f>
        <v>-168440.181362853</v>
      </c>
      <c r="AG77" s="168" t="n">
        <f aca="false">-AG74*AG76</f>
        <v>-175151.99774419</v>
      </c>
      <c r="AH77" s="168" t="n">
        <f aca="false">-AH74*AH76</f>
        <v>-181383.121527551</v>
      </c>
      <c r="AI77" s="168" t="n">
        <f aca="false">-AI74*AI76</f>
        <v>-187174.959397291</v>
      </c>
      <c r="AJ77" s="168" t="n">
        <f aca="false">-AJ74*AJ76</f>
        <v>-192567.635023946</v>
      </c>
      <c r="AK77" s="168" t="n">
        <f aca="false">-AK74*AK76</f>
        <v>-197579.859447117</v>
      </c>
      <c r="AL77" s="168" t="n">
        <f aca="false">-AL74*AL76</f>
        <v>-224343.383722039</v>
      </c>
      <c r="AM77" s="168" t="n">
        <f aca="false">-AM74*AM76</f>
        <v>-238883.754069828</v>
      </c>
      <c r="AN77" s="168" t="n">
        <f aca="false">-AN74*AN76</f>
        <v>-252442.906308705</v>
      </c>
      <c r="AO77" s="168" t="n">
        <f aca="false">-AO74*AO76</f>
        <v>-265113.320001936</v>
      </c>
      <c r="AP77" s="168" t="n">
        <f aca="false">-AP74*AP76</f>
        <v>-276946.920189498</v>
      </c>
      <c r="AQ77" s="168" t="n">
        <f aca="false">-AQ74*AQ76</f>
        <v>-287987.146672963</v>
      </c>
      <c r="AR77" s="168" t="n">
        <f aca="false">-AR74*AR76</f>
        <v>-298299.813983693</v>
      </c>
      <c r="AS77" s="168" t="n">
        <f aca="false">-AS74*AS76</f>
        <v>-307918.515623917</v>
      </c>
      <c r="AT77" s="168" t="n">
        <f aca="false">-AT74*AT76</f>
        <v>-316898.817986337</v>
      </c>
      <c r="AU77" s="168" t="n">
        <f aca="false">-AU74*AU76</f>
        <v>-325288.696974159</v>
      </c>
      <c r="AV77" s="168" t="n">
        <f aca="false">-AV74*AV76</f>
        <v>-333125.640830061</v>
      </c>
      <c r="AW77" s="168" t="n">
        <f aca="false">-AW74*AW76</f>
        <v>-340429.637169317</v>
      </c>
      <c r="AX77" s="168" t="n">
        <f aca="false">-AX74*AX76</f>
        <v>-381148.496099694</v>
      </c>
      <c r="AY77" s="168" t="n">
        <f aca="false">-AY74*AY76</f>
        <v>-403622.035582836</v>
      </c>
      <c r="AZ77" s="168" t="n">
        <f aca="false">-AZ74*AZ76</f>
        <v>-424675.325577647</v>
      </c>
      <c r="BA77" s="168" t="n">
        <f aca="false">-BA74*BA76</f>
        <v>-444432.12265568</v>
      </c>
      <c r="BB77" s="168" t="n">
        <f aca="false">-BB74*BB76</f>
        <v>-462949.279088316</v>
      </c>
      <c r="BC77" s="168" t="n">
        <f aca="false">-BC74*BC76</f>
        <v>-480301.302654326</v>
      </c>
      <c r="BD77" s="168" t="n">
        <f aca="false">-BD74*BD76</f>
        <v>-496584.832915865</v>
      </c>
      <c r="BE77" s="168" t="n">
        <f aca="false">-BE74*BE76</f>
        <v>-511846.544988565</v>
      </c>
      <c r="BF77" s="168" t="n">
        <f aca="false">-BF74*BF76</f>
        <v>-526159.606256689</v>
      </c>
      <c r="BG77" s="168" t="n">
        <f aca="false">-BG74*BG76</f>
        <v>-539557.179269844</v>
      </c>
      <c r="BH77" s="168" t="n">
        <f aca="false">-BH74*BH76</f>
        <v>-552134.971863635</v>
      </c>
      <c r="BI77" s="168" t="n">
        <f aca="false">-BI74*BI76</f>
        <v>-563923.680372707</v>
      </c>
      <c r="BJ77" s="154" t="n">
        <f aca="false">SUM(B77:BI77)</f>
        <v>-12004991.1915216</v>
      </c>
    </row>
    <row r="78" customFormat="false" ht="15.75" hidden="false" customHeight="true" outlineLevel="0" collapsed="false">
      <c r="A78" s="49" t="s">
        <v>402</v>
      </c>
      <c r="B78" s="168" t="n">
        <f aca="false" t="array" ref="B78:B78">-B69*Premissas!$B$62*INDEX(Premissas!$C$63:$G$63,B$7)</f>
        <v>-0</v>
      </c>
      <c r="C78" s="168" t="n">
        <f aca="false" t="array" ref="C78:C78">-C69*Premissas!$B$62*INDEX(Premissas!$C$63:$G$63,C$7)</f>
        <v>-0</v>
      </c>
      <c r="D78" s="168" t="n">
        <f aca="false" t="array" ref="D78:D78">-D69*Premissas!$B$62*INDEX(Premissas!$C$63:$G$63,D$7)</f>
        <v>-0</v>
      </c>
      <c r="E78" s="168" t="n">
        <f aca="false" t="array" ref="E78:E78">-E69*Premissas!$B$62*INDEX(Premissas!$C$63:$G$63,E$7)</f>
        <v>-0</v>
      </c>
      <c r="F78" s="168" t="n">
        <f aca="false" t="array" ref="F78:F78">-F69*Premissas!$B$62*INDEX(Premissas!$C$63:$G$63,F$7)</f>
        <v>-0</v>
      </c>
      <c r="G78" s="168" t="n">
        <f aca="false" t="array" ref="G78:G78">-G69*Premissas!$B$62*INDEX(Premissas!$C$63:$G$63,G$7)</f>
        <v>-0</v>
      </c>
      <c r="H78" s="168" t="n">
        <f aca="false" t="array" ref="H78:H78">-H69*Premissas!$B$62*INDEX(Premissas!$C$63:$G$63,H$7)</f>
        <v>-0</v>
      </c>
      <c r="I78" s="168" t="n">
        <f aca="false" t="array" ref="I78:I78">-I69*Premissas!$B$62*INDEX(Premissas!$C$63:$G$63,I$7)</f>
        <v>-0</v>
      </c>
      <c r="J78" s="168" t="n">
        <f aca="false" t="array" ref="J78:J78">-J69*Premissas!$B$62*INDEX(Premissas!$C$63:$G$63,J$7)</f>
        <v>-0</v>
      </c>
      <c r="K78" s="168" t="n">
        <f aca="false" t="array" ref="K78:K78">-K69*Premissas!$B$62*INDEX(Premissas!$C$63:$G$63,K$7)</f>
        <v>-0</v>
      </c>
      <c r="L78" s="168" t="n">
        <f aca="false" t="array" ref="L78:L78">-L69*Premissas!$B$62*INDEX(Premissas!$C$63:$G$63,L$7)</f>
        <v>-0</v>
      </c>
      <c r="M78" s="168" t="n">
        <f aca="false" t="array" ref="M78:M78">-M69*Premissas!$B$62*INDEX(Premissas!$C$63:$G$63,M$7)</f>
        <v>-916.8525</v>
      </c>
      <c r="N78" s="168" t="n">
        <f aca="false" t="array" ref="N78:N78">-N69*Premissas!$B$62*INDEX(Premissas!$C$63:$G$63,N$7)</f>
        <v>-4333.776</v>
      </c>
      <c r="O78" s="168" t="n">
        <f aca="false" t="array" ref="O78:O78">-O69*Premissas!$B$62*INDEX(Premissas!$C$63:$G$63,O$7)</f>
        <v>-10038.636</v>
      </c>
      <c r="P78" s="168" t="n">
        <f aca="false" t="array" ref="P78:P78">-P69*Premissas!$B$62*INDEX(Premissas!$C$63:$G$63,P$7)</f>
        <v>-17737.8</v>
      </c>
      <c r="Q78" s="168" t="n">
        <f aca="false" t="array" ref="Q78:Q78">-Q69*Premissas!$B$62*INDEX(Premissas!$C$63:$G$63,Q$7)</f>
        <v>-27201.156</v>
      </c>
      <c r="R78" s="168" t="n">
        <f aca="false" t="array" ref="R78:R78">-R69*Premissas!$B$62*INDEX(Premissas!$C$63:$G$63,R$7)</f>
        <v>-38236.944</v>
      </c>
      <c r="S78" s="168" t="n">
        <f aca="false" t="array" ref="S78:S78">-S69*Premissas!$B$62*INDEX(Premissas!$C$63:$G$63,S$7)</f>
        <v>-43404.876</v>
      </c>
      <c r="T78" s="168" t="n">
        <f aca="false" t="array" ref="T78:T78">-T69*Premissas!$B$62*INDEX(Premissas!$C$63:$G$63,T$7)</f>
        <v>-48179.7</v>
      </c>
      <c r="U78" s="168" t="n">
        <f aca="false" t="array" ref="U78:U78">-U69*Premissas!$B$62*INDEX(Premissas!$C$63:$G$63,U$7)</f>
        <v>-52599.768</v>
      </c>
      <c r="V78" s="168" t="n">
        <f aca="false" t="array" ref="V78:V78">-V69*Premissas!$B$62*INDEX(Premissas!$C$63:$G$63,V$7)</f>
        <v>-56693.844</v>
      </c>
      <c r="W78" s="168" t="n">
        <f aca="false" t="array" ref="W78:W78">-W69*Premissas!$B$62*INDEX(Premissas!$C$63:$G$63,W$7)</f>
        <v>-60471.516</v>
      </c>
      <c r="X78" s="168" t="n">
        <f aca="false" t="array" ref="X78:X78">-X69*Premissas!$B$62*INDEX(Premissas!$C$63:$G$63,X$7)</f>
        <v>-63971.136</v>
      </c>
      <c r="Y78" s="168" t="n">
        <f aca="false" t="array" ref="Y78:Y78">-Y69*Premissas!$B$62*INDEX(Premissas!$C$63:$G$63,Y$7)</f>
        <v>-67202.292</v>
      </c>
      <c r="Z78" s="168" t="n">
        <f aca="false" t="array" ref="Z78:Z78">-Z69*Premissas!$B$62*INDEX(Premissas!$C$63:$G$63,Z$7)</f>
        <v>-76214.5425</v>
      </c>
      <c r="AA78" s="168" t="n">
        <f aca="false" t="array" ref="AA78:AA78">-AA69*Premissas!$B$62*INDEX(Premissas!$C$63:$G$63,AA$7)</f>
        <v>-83163.0825</v>
      </c>
      <c r="AB78" s="168" t="n">
        <f aca="false" t="array" ref="AB78:AB78">-AB69*Premissas!$B$62*INDEX(Premissas!$C$63:$G$63,AB$7)</f>
        <v>-89626.60125</v>
      </c>
      <c r="AC78" s="168" t="n">
        <f aca="false" t="array" ref="AC78:AC78">-AC69*Premissas!$B$62*INDEX(Premissas!$C$63:$G$63,AC$7)</f>
        <v>-95633.19</v>
      </c>
      <c r="AD78" s="168" t="n">
        <f aca="false" t="array" ref="AD78:AD78">-AD69*Premissas!$B$62*INDEX(Premissas!$C$63:$G$63,AD$7)</f>
        <v>-101215.2375</v>
      </c>
      <c r="AE78" s="168" t="n">
        <f aca="false" t="array" ref="AE78:AE78">-AE69*Premissas!$B$62*INDEX(Premissas!$C$63:$G$63,AE$7)</f>
        <v>-106402.2525</v>
      </c>
      <c r="AF78" s="168" t="n">
        <f aca="false" t="array" ref="AF78:AF78">-AF69*Premissas!$B$62*INDEX(Premissas!$C$63:$G$63,AF$7)</f>
        <v>-111218.76</v>
      </c>
      <c r="AG78" s="168" t="n">
        <f aca="false" t="array" ref="AG78:AG78">-AG69*Premissas!$B$62*INDEX(Premissas!$C$63:$G$63,AG$7)</f>
        <v>-115697.14875</v>
      </c>
      <c r="AH78" s="168" t="n">
        <f aca="false" t="array" ref="AH78:AH78">-AH69*Premissas!$B$62*INDEX(Premissas!$C$63:$G$63,AH$7)</f>
        <v>-119854.665</v>
      </c>
      <c r="AI78" s="168" t="n">
        <f aca="false" t="array" ref="AI78:AI78">-AI69*Premissas!$B$62*INDEX(Premissas!$C$63:$G$63,AI$7)</f>
        <v>-123719.1075</v>
      </c>
      <c r="AJ78" s="168" t="n">
        <f aca="false" t="array" ref="AJ78:AJ78">-AJ69*Premissas!$B$62*INDEX(Premissas!$C$63:$G$63,AJ$7)</f>
        <v>-127317.4425</v>
      </c>
      <c r="AK78" s="168" t="n">
        <f aca="false" t="array" ref="AK78:AK78">-AK69*Premissas!$B$62*INDEX(Premissas!$C$63:$G$63,AK$7)</f>
        <v>-130661.9325</v>
      </c>
      <c r="AL78" s="168" t="n">
        <f aca="false" t="array" ref="AL78:AL78">-AL69*Premissas!$B$62*INDEX(Premissas!$C$63:$G$63,AL$7)</f>
        <v>-140200.4268</v>
      </c>
      <c r="AM78" s="168" t="n">
        <f aca="false" t="array" ref="AM78:AM78">-AM69*Premissas!$B$62*INDEX(Premissas!$C$63:$G$63,AM$7)</f>
        <v>-149358.9996</v>
      </c>
      <c r="AN78" s="168" t="n">
        <f aca="false" t="array" ref="AN78:AN78">-AN69*Premissas!$B$62*INDEX(Premissas!$C$63:$G$63,AN$7)</f>
        <v>-157899.0564</v>
      </c>
      <c r="AO78" s="168" t="n">
        <f aca="false" t="array" ref="AO78:AO78">-AO69*Premissas!$B$62*INDEX(Premissas!$C$63:$G$63,AO$7)</f>
        <v>-165879.738</v>
      </c>
      <c r="AP78" s="168" t="n">
        <f aca="false" t="array" ref="AP78:AP78">-AP69*Premissas!$B$62*INDEX(Premissas!$C$63:$G$63,AP$7)</f>
        <v>-173333.4984</v>
      </c>
      <c r="AQ78" s="168" t="n">
        <f aca="false" t="array" ref="AQ78:AQ78">-AQ69*Premissas!$B$62*INDEX(Premissas!$C$63:$G$63,AQ$7)</f>
        <v>-180287.3052</v>
      </c>
      <c r="AR78" s="168" t="n">
        <f aca="false" t="array" ref="AR78:AR78">-AR69*Premissas!$B$62*INDEX(Premissas!$C$63:$G$63,AR$7)</f>
        <v>-186783.0408</v>
      </c>
      <c r="AS78" s="168" t="n">
        <f aca="false" t="array" ref="AS78:AS78">-AS69*Premissas!$B$62*INDEX(Premissas!$C$63:$G$63,AS$7)</f>
        <v>-192841.3872</v>
      </c>
      <c r="AT78" s="168" t="n">
        <f aca="false" t="array" ref="AT78:AT78">-AT69*Premissas!$B$62*INDEX(Premissas!$C$63:$G$63,AT$7)</f>
        <v>-198497.6604</v>
      </c>
      <c r="AU78" s="168" t="n">
        <f aca="false" t="array" ref="AU78:AU78">-AU69*Premissas!$B$62*INDEX(Premissas!$C$63:$G$63,AU$7)</f>
        <v>-203782.2516</v>
      </c>
      <c r="AV78" s="168" t="n">
        <f aca="false" t="array" ref="AV78:AV78">-AV69*Premissas!$B$62*INDEX(Premissas!$C$63:$G$63,AV$7)</f>
        <v>-208718.7048</v>
      </c>
      <c r="AW78" s="168" t="n">
        <f aca="false" t="array" ref="AW78:AW78">-AW69*Premissas!$B$62*INDEX(Premissas!$C$63:$G$63,AW$7)</f>
        <v>-213319.0728</v>
      </c>
      <c r="AX78" s="168" t="n">
        <f aca="false" t="array" ref="AX78:AX78">-AX69*Premissas!$B$62*INDEX(Premissas!$C$63:$G$63,AX$7)</f>
        <v>-230108.7075</v>
      </c>
      <c r="AY78" s="168" t="n">
        <f aca="false" t="array" ref="AY78:AY78">-AY69*Premissas!$B$62*INDEX(Premissas!$C$63:$G$63,AY$7)</f>
        <v>-243739.44</v>
      </c>
      <c r="AZ78" s="168" t="n">
        <f aca="false" t="array" ref="AZ78:AZ78">-AZ69*Premissas!$B$62*INDEX(Premissas!$C$63:$G$63,AZ$7)</f>
        <v>-256508.154</v>
      </c>
      <c r="BA78" s="168" t="n">
        <f aca="false" t="array" ref="BA78:BA78">-BA69*Premissas!$B$62*INDEX(Premissas!$C$63:$G$63,BA$7)</f>
        <v>-268491.2265</v>
      </c>
      <c r="BB78" s="168" t="n">
        <f aca="false" t="array" ref="BB78:BB78">-BB69*Premissas!$B$62*INDEX(Premissas!$C$63:$G$63,BB$7)</f>
        <v>-279722.2155</v>
      </c>
      <c r="BC78" s="168" t="n">
        <f aca="false" t="array" ref="BC78:BC78">-BC69*Premissas!$B$62*INDEX(Premissas!$C$63:$G$63,BC$7)</f>
        <v>-290246.2185</v>
      </c>
      <c r="BD78" s="168" t="n">
        <f aca="false" t="array" ref="BD78:BD78">-BD69*Premissas!$B$62*INDEX(Premissas!$C$63:$G$63,BD$7)</f>
        <v>-300122.739</v>
      </c>
      <c r="BE78" s="168" t="n">
        <f aca="false" t="array" ref="BE78:BE78">-BE69*Premissas!$B$62*INDEX(Premissas!$C$63:$G$63,BE$7)</f>
        <v>-309379.3185</v>
      </c>
      <c r="BF78" s="168" t="n">
        <f aca="false" t="array" ref="BF78:BF78">-BF69*Premissas!$B$62*INDEX(Premissas!$C$63:$G$63,BF$7)</f>
        <v>-318060.687</v>
      </c>
      <c r="BG78" s="168" t="n">
        <f aca="false" t="array" ref="BG78:BG78">-BG69*Premissas!$B$62*INDEX(Premissas!$C$63:$G$63,BG$7)</f>
        <v>-326185.9965</v>
      </c>
      <c r="BH78" s="168" t="n">
        <f aca="false" t="array" ref="BH78:BH78">-BH69*Premissas!$B$62*INDEX(Premissas!$C$63:$G$63,BH$7)</f>
        <v>-333814.7505</v>
      </c>
      <c r="BI78" s="168" t="n">
        <f aca="false" t="array" ref="BI78:BI78">-BI69*Premissas!$B$62*INDEX(Premissas!$C$63:$G$63,BI$7)</f>
        <v>-340964.778</v>
      </c>
      <c r="BJ78" s="154" t="n">
        <f aca="false">SUM(B78:BI78)</f>
        <v>-7439957.6325</v>
      </c>
    </row>
    <row r="79" customFormat="false" ht="15.75" hidden="false" customHeight="true" outlineLevel="0" collapsed="false">
      <c r="A79" s="49" t="s">
        <v>404</v>
      </c>
      <c r="B79" s="168" t="n">
        <f aca="false" t="array" ref="B79:B79">-(B69*(1-INDEX(Premissas!$C$63:$G$63,B$7))+B70)*Premissas!$B$64</f>
        <v>-0</v>
      </c>
      <c r="C79" s="168" t="n">
        <f aca="false" t="array" ref="C79:C79">-(C69*(1-INDEX(Premissas!$C$63:$G$63,C$7))+C70)*Premissas!$B$64</f>
        <v>-0</v>
      </c>
      <c r="D79" s="168" t="n">
        <f aca="false" t="array" ref="D79:D79">-(D69*(1-INDEX(Premissas!$C$63:$G$63,D$7))+D70)*Premissas!$B$64</f>
        <v>-0</v>
      </c>
      <c r="E79" s="168" t="n">
        <f aca="false" t="array" ref="E79:E79">-(E69*(1-INDEX(Premissas!$C$63:$G$63,E$7))+E70)*Premissas!$B$64</f>
        <v>-0</v>
      </c>
      <c r="F79" s="168" t="n">
        <f aca="false" t="array" ref="F79:F79">-(F69*(1-INDEX(Premissas!$C$63:$G$63,F$7))+F70)*Premissas!$B$64</f>
        <v>-0</v>
      </c>
      <c r="G79" s="168" t="n">
        <f aca="false" t="array" ref="G79:G79">-(G69*(1-INDEX(Premissas!$C$63:$G$63,G$7))+G70)*Premissas!$B$64</f>
        <v>-0</v>
      </c>
      <c r="H79" s="168" t="n">
        <f aca="false" t="array" ref="H79:H79">-(H69*(1-INDEX(Premissas!$C$63:$G$63,H$7))+H70)*Premissas!$B$64</f>
        <v>-0</v>
      </c>
      <c r="I79" s="168" t="n">
        <f aca="false" t="array" ref="I79:I79">-(I69*(1-INDEX(Premissas!$C$63:$G$63,I$7))+I70)*Premissas!$B$64</f>
        <v>-0</v>
      </c>
      <c r="J79" s="168" t="n">
        <f aca="false" t="array" ref="J79:J79">-(J69*(1-INDEX(Premissas!$C$63:$G$63,J$7))+J70)*Premissas!$B$64</f>
        <v>-0</v>
      </c>
      <c r="K79" s="168" t="n">
        <f aca="false" t="array" ref="K79:K79">-(K69*(1-INDEX(Premissas!$C$63:$G$63,K$7))+K70)*Premissas!$B$64</f>
        <v>-0</v>
      </c>
      <c r="L79" s="168" t="n">
        <f aca="false" t="array" ref="L79:L79">-(L69*(1-INDEX(Premissas!$C$63:$G$63,L$7))+L70)*Premissas!$B$64</f>
        <v>-0</v>
      </c>
      <c r="M79" s="168" t="n">
        <f aca="false" t="array" ref="M79:M79">-(M69*(1-INDEX(Premissas!$C$63:$G$63,M$7))+M70)*Premissas!$B$64</f>
        <v>-48.53925</v>
      </c>
      <c r="N79" s="168" t="n">
        <f aca="false" t="array" ref="N79:N79">-(N69*(1-INDEX(Premissas!$C$63:$G$63,N$7))+N70)*Premissas!$B$64</f>
        <v>-428.720679</v>
      </c>
      <c r="O79" s="168" t="n">
        <f aca="false" t="array" ref="O79:O79">-(O69*(1-INDEX(Premissas!$C$63:$G$63,O$7))+O70)*Premissas!$B$64</f>
        <v>-912.9297555792</v>
      </c>
      <c r="P79" s="168" t="n">
        <f aca="false" t="array" ref="P79:P79">-(P69*(1-INDEX(Premissas!$C$63:$G$63,P$7))+P70)*Premissas!$B$64</f>
        <v>-1542.47451999964</v>
      </c>
      <c r="Q79" s="168" t="n">
        <f aca="false" t="array" ref="Q79:Q79">-(Q69*(1-INDEX(Premissas!$C$63:$G$63,Q$7))+Q70)*Premissas!$B$64</f>
        <v>-2300.41520309567</v>
      </c>
      <c r="R79" s="168" t="n">
        <f aca="false" t="array" ref="R79:R79">-(R69*(1-INDEX(Premissas!$C$63:$G$63,R$7))+R70)*Premissas!$B$64</f>
        <v>-3172.66447466288</v>
      </c>
      <c r="S79" s="168" t="n">
        <f aca="false" t="array" ref="S79:S79">-(S69*(1-INDEX(Premissas!$C$63:$G$63,S$7))+S70)*Premissas!$B$64</f>
        <v>-3601.47324532823</v>
      </c>
      <c r="T79" s="168" t="n">
        <f aca="false" t="array" ref="T79:T79">-(T69*(1-INDEX(Premissas!$C$63:$G$63,T$7))+T70)*Premissas!$B$64</f>
        <v>-3997.69963291954</v>
      </c>
      <c r="U79" s="168" t="n">
        <f aca="false" t="array" ref="U79:U79">-(U69*(1-INDEX(Premissas!$C$63:$G$63,U$7))+U70)*Premissas!$B$64</f>
        <v>-4364.453103524</v>
      </c>
      <c r="V79" s="168" t="n">
        <f aca="false" t="array" ref="V79:V79">-(V69*(1-INDEX(Premissas!$C$63:$G$63,V$7))+V70)*Premissas!$B$64</f>
        <v>-4704.10649665899</v>
      </c>
      <c r="W79" s="168" t="n">
        <f aca="false" t="array" ref="W79:W79">-(W69*(1-INDEX(Premissas!$C$63:$G$63,W$7))+W70)*Premissas!$B$64</f>
        <v>-5017.57824327023</v>
      </c>
      <c r="X79" s="168" t="n">
        <f aca="false" t="array" ref="X79:X79">-(X69*(1-INDEX(Premissas!$C$63:$G$63,X$7))+X70)*Premissas!$B$64</f>
        <v>-5307.92908461631</v>
      </c>
      <c r="Y79" s="168" t="n">
        <f aca="false" t="array" ref="Y79:Y79">-(Y69*(1-INDEX(Premissas!$C$63:$G$63,Y$7))+Y70)*Premissas!$B$64</f>
        <v>-5576.04859949317</v>
      </c>
      <c r="Z79" s="168" t="n">
        <f aca="false" t="array" ref="Z79:Z79">-(Z69*(1-INDEX(Premissas!$C$63:$G$63,Z$7))+Z70)*Premissas!$B$64</f>
        <v>-8611.80334976566</v>
      </c>
      <c r="AA79" s="168" t="n">
        <f aca="false" t="array" ref="AA79:AA79">-(AA69*(1-INDEX(Premissas!$C$63:$G$63,AA$7))+AA70)*Premissas!$B$64</f>
        <v>-9397.00624010142</v>
      </c>
      <c r="AB79" s="168" t="n">
        <f aca="false" t="array" ref="AB79:AB79">-(AB69*(1-INDEX(Premissas!$C$63:$G$63,AB$7))+AB70)*Premissas!$B$64</f>
        <v>-10127.3204230771</v>
      </c>
      <c r="AC79" s="168" t="n">
        <f aca="false" t="array" ref="AC79:AC79">-(AC69*(1-INDEX(Premissas!$C$63:$G$63,AC$7))+AC70)*Premissas!$B$64</f>
        <v>-10806.0064784267</v>
      </c>
      <c r="AD79" s="168" t="n">
        <f aca="false" t="array" ref="AD79:AD79">-(AD69*(1-INDEX(Premissas!$C$63:$G$63,AD$7))+AD70)*Premissas!$B$64</f>
        <v>-11436.7228234516</v>
      </c>
      <c r="AE79" s="168" t="n">
        <f aca="false" t="array" ref="AE79:AE79">-(AE69*(1-INDEX(Premissas!$C$63:$G$63,AE$7))+AE70)*Premissas!$B$64</f>
        <v>-12022.8102188475</v>
      </c>
      <c r="AF79" s="168" t="n">
        <f aca="false" t="array" ref="AF79:AF79">-(AF69*(1-INDEX(Premissas!$C$63:$G$63,AF$7))+AF70)*Premissas!$B$64</f>
        <v>-12567.0834900696</v>
      </c>
      <c r="AG79" s="168" t="n">
        <f aca="false" t="array" ref="AG79:AG79">-(AG69*(1-INDEX(Premissas!$C$63:$G$63,AG$7))+AG70)*Premissas!$B$64</f>
        <v>-13073.1182255116</v>
      </c>
      <c r="AH79" s="168" t="n">
        <f aca="false" t="array" ref="AH79:AH79">-(AH69*(1-INDEX(Premissas!$C$63:$G$63,AH$7))+AH70)*Premissas!$B$64</f>
        <v>-13542.9519619706</v>
      </c>
      <c r="AI79" s="168" t="n">
        <f aca="false" t="array" ref="AI79:AI79">-(AI69*(1-INDEX(Premissas!$C$63:$G$63,AI$7))+AI70)*Premissas!$B$64</f>
        <v>-13979.6553671348</v>
      </c>
      <c r="AJ79" s="168" t="n">
        <f aca="false" t="array" ref="AJ79:AJ79">-(AJ69*(1-INDEX(Premissas!$C$63:$G$63,AJ$7))+AJ70)*Premissas!$B$64</f>
        <v>-14386.1953031388</v>
      </c>
      <c r="AK79" s="168" t="n">
        <f aca="false" t="array" ref="AK79:AK79">-(AK69*(1-INDEX(Premissas!$C$63:$G$63,AK$7))+AK70)*Premissas!$B$64</f>
        <v>-14764.0491545945</v>
      </c>
      <c r="AL79" s="168" t="n">
        <f aca="false" t="array" ref="AL79:AL79">-(AL69*(1-INDEX(Premissas!$C$63:$G$63,AL$7))+AL70)*Premissas!$B$64</f>
        <v>-19277.6300279225</v>
      </c>
      <c r="AM79" s="168" t="n">
        <f aca="false" t="array" ref="AM79:AM79">-(AM69*(1-INDEX(Premissas!$C$63:$G$63,AM$7))+AM70)*Premissas!$B$64</f>
        <v>-20536.8963119306</v>
      </c>
      <c r="AN79" s="168" t="n">
        <f aca="false" t="array" ref="AN79:AN79">-(AN69*(1-INDEX(Premissas!$C$63:$G$63,AN$7))+AN70)*Premissas!$B$64</f>
        <v>-21711.3266127112</v>
      </c>
      <c r="AO79" s="168" t="n">
        <f aca="false" t="array" ref="AO79:AO79">-(AO69*(1-INDEX(Premissas!$C$63:$G$63,AO$7))+AO70)*Premissas!$B$64</f>
        <v>-22808.6629544832</v>
      </c>
      <c r="AP79" s="168" t="n">
        <f aca="false" t="array" ref="AP79:AP79">-(AP69*(1-INDEX(Premissas!$C$63:$G$63,AP$7))+AP70)*Premissas!$B$64</f>
        <v>-23833.4779357709</v>
      </c>
      <c r="AQ79" s="168" t="n">
        <f aca="false" t="array" ref="AQ79:AQ79">-(AQ69*(1-INDEX(Premissas!$C$63:$G$63,AQ$7))+AQ70)*Premissas!$B$64</f>
        <v>-24789.6518281405</v>
      </c>
      <c r="AR79" s="168" t="n">
        <f aca="false" t="array" ref="AR79:AR79">-(AR69*(1-INDEX(Premissas!$C$63:$G$63,AR$7))+AR70)*Premissas!$B$64</f>
        <v>-25682.7561878394</v>
      </c>
      <c r="AS79" s="168" t="n">
        <f aca="false" t="array" ref="AS79:AS79">-(AS69*(1-INDEX(Premissas!$C$63:$G$63,AS$7))+AS70)*Premissas!$B$64</f>
        <v>-26515.8436567562</v>
      </c>
      <c r="AT79" s="168" t="n">
        <f aca="false" t="array" ref="AT79:AT79">-(AT69*(1-INDEX(Premissas!$C$63:$G$63,AT$7))+AT70)*Premissas!$B$64</f>
        <v>-27293.6316680291</v>
      </c>
      <c r="AU79" s="168" t="n">
        <f aca="false" t="array" ref="AU79:AU79">-(AU69*(1-INDEX(Premissas!$C$63:$G$63,AU$7))+AU70)*Premissas!$B$64</f>
        <v>-28020.2234106134</v>
      </c>
      <c r="AV79" s="168" t="n">
        <f aca="false" t="array" ref="AV79:AV79">-(AV69*(1-INDEX(Premissas!$C$63:$G$63,AV$7))+AV70)*Premissas!$B$64</f>
        <v>-28698.886186165</v>
      </c>
      <c r="AW79" s="168" t="n">
        <f aca="false" t="array" ref="AW79:AW79">-(AW69*(1-INDEX(Premissas!$C$63:$G$63,AW$7))+AW70)*Premissas!$B$64</f>
        <v>-29331.512070712</v>
      </c>
      <c r="AX79" s="168" t="n">
        <f aca="false" t="array" ref="AX79:AX79">-(AX69*(1-INDEX(Premissas!$C$63:$G$63,AX$7))+AX70)*Premissas!$B$64</f>
        <v>-35515.372743792</v>
      </c>
      <c r="AY79" s="168" t="n">
        <f aca="false" t="array" ref="AY79:AY79">-(AY69*(1-INDEX(Premissas!$C$63:$G$63,AY$7))+AY70)*Premissas!$B$64</f>
        <v>-37619.106311253</v>
      </c>
      <c r="AZ79" s="168" t="n">
        <f aca="false" t="array" ref="AZ79:AZ79">-(AZ69*(1-INDEX(Premissas!$C$63:$G$63,AZ$7))+AZ70)*Premissas!$B$64</f>
        <v>-39590.0723302762</v>
      </c>
      <c r="BA79" s="168" t="n">
        <f aca="false" t="array" ref="BA79:BA79">-(BA69*(1-INDEX(Premissas!$C$63:$G$63,BA$7))+BA70)*Premissas!$B$64</f>
        <v>-41439.4608589748</v>
      </c>
      <c r="BB79" s="168" t="n">
        <f aca="false" t="array" ref="BB79:BB79">-(BB69*(1-INDEX(Premissas!$C$63:$G$63,BB$7))+BB70)*Premissas!$B$64</f>
        <v>-43172.8710755004</v>
      </c>
      <c r="BC79" s="168" t="n">
        <f aca="false" t="array" ref="BC79:BC79">-(BC69*(1-INDEX(Premissas!$C$63:$G$63,BC$7))+BC70)*Premissas!$B$64</f>
        <v>-44797.30557336</v>
      </c>
      <c r="BD79" s="168" t="n">
        <f aca="false" t="array" ref="BD79:BD79">-(BD69*(1-INDEX(Premissas!$C$63:$G$63,BD$7))+BD70)*Premissas!$B$64</f>
        <v>-46321.5439228655</v>
      </c>
      <c r="BE79" s="168" t="n">
        <f aca="false" t="array" ref="BE79:BE79">-(BE69*(1-INDEX(Premissas!$C$63:$G$63,BE$7))+BE70)*Premissas!$B$64</f>
        <v>-47750.1857695679</v>
      </c>
      <c r="BF79" s="168" t="n">
        <f aca="false" t="array" ref="BF79:BF79">-(BF69*(1-INDEX(Premissas!$C$63:$G$63,BF$7))+BF70)*Premissas!$B$64</f>
        <v>-49089.9745892284</v>
      </c>
      <c r="BG79" s="168" t="n">
        <f aca="false" t="array" ref="BG79:BG79">-(BG69*(1-INDEX(Premissas!$C$63:$G$63,BG$7))+BG70)*Premissas!$B$64</f>
        <v>-50344.3032676545</v>
      </c>
      <c r="BH79" s="168" t="n">
        <f aca="false" t="array" ref="BH79:BH79">-(BH69*(1-INDEX(Premissas!$C$63:$G$63,BH$7))+BH70)*Premissas!$B$64</f>
        <v>-51521.6946225876</v>
      </c>
      <c r="BI79" s="168" t="n">
        <f aca="false" t="array" ref="BI79:BI79">-(BI69*(1-INDEX(Premissas!$C$63:$G$63,BI$7))+BI70)*Premissas!$B$64</f>
        <v>-52625.2588337527</v>
      </c>
      <c r="BJ79" s="154" t="n">
        <f aca="false">SUM(B79:BI79)</f>
        <v>-1023977.40407412</v>
      </c>
    </row>
    <row r="80" customFormat="false" ht="15.75" hidden="false" customHeight="true" outlineLevel="0" collapsed="false">
      <c r="A80" s="53" t="s">
        <v>701</v>
      </c>
      <c r="B80" s="154" t="n">
        <f aca="false">B74+SUM(B77:B79)</f>
        <v>0</v>
      </c>
      <c r="C80" s="154" t="n">
        <f aca="false">C74+SUM(C77:C79)</f>
        <v>0</v>
      </c>
      <c r="D80" s="154" t="n">
        <f aca="false">D74+SUM(D77:D79)</f>
        <v>0</v>
      </c>
      <c r="E80" s="154" t="n">
        <f aca="false">E74+SUM(E77:E79)</f>
        <v>0</v>
      </c>
      <c r="F80" s="154" t="n">
        <f aca="false">F74+SUM(F77:F79)</f>
        <v>0</v>
      </c>
      <c r="G80" s="154" t="n">
        <f aca="false">G74+SUM(G77:G79)</f>
        <v>0</v>
      </c>
      <c r="H80" s="154" t="n">
        <f aca="false">H74+SUM(H77:H79)</f>
        <v>0</v>
      </c>
      <c r="I80" s="154" t="n">
        <f aca="false">I74+SUM(I77:I79)</f>
        <v>0</v>
      </c>
      <c r="J80" s="154" t="n">
        <f aca="false">J74+SUM(J77:J79)</f>
        <v>0</v>
      </c>
      <c r="K80" s="154" t="n">
        <f aca="false">K74+SUM(K77:K79)</f>
        <v>0</v>
      </c>
      <c r="L80" s="154" t="n">
        <f aca="false">L74+SUM(L77:L79)</f>
        <v>0</v>
      </c>
      <c r="M80" s="154" t="n">
        <f aca="false">M74+SUM(M77:M79)</f>
        <v>5111.00325</v>
      </c>
      <c r="N80" s="154" t="n">
        <f aca="false">N74+SUM(N77:N79)</f>
        <v>27701.52976</v>
      </c>
      <c r="O80" s="154" t="n">
        <f aca="false">O74+SUM(O77:O79)</f>
        <v>62742.209121408</v>
      </c>
      <c r="P80" s="154" t="n">
        <f aca="false">P74+SUM(P77:P79)</f>
        <v>113831.909244438</v>
      </c>
      <c r="Q80" s="154" t="n">
        <f aca="false">Q74+SUM(Q77:Q79)</f>
        <v>172030.172313662</v>
      </c>
      <c r="R80" s="154" t="n">
        <f aca="false">R74+SUM(R77:R79)</f>
        <v>233818.153196965</v>
      </c>
      <c r="S80" s="154" t="n">
        <f aca="false">S74+SUM(S77:S79)</f>
        <v>261091.016634828</v>
      </c>
      <c r="T80" s="154" t="n">
        <f aca="false">T74+SUM(T77:T79)</f>
        <v>286514.476096429</v>
      </c>
      <c r="U80" s="154" t="n">
        <f aca="false">U74+SUM(U77:U79)</f>
        <v>310570.107507639</v>
      </c>
      <c r="V80" s="154" t="n">
        <f aca="false">V74+SUM(V77:V79)</f>
        <v>331256.540744936</v>
      </c>
      <c r="W80" s="154" t="n">
        <f aca="false">W74+SUM(W77:W79)</f>
        <v>351564.487217236</v>
      </c>
      <c r="X80" s="154" t="n">
        <f aca="false">X74+SUM(X77:X79)</f>
        <v>369202.998588547</v>
      </c>
      <c r="Y80" s="154" t="n">
        <f aca="false">Y74+SUM(Y77:Y79)</f>
        <v>417431.950144496</v>
      </c>
      <c r="Z80" s="154" t="n">
        <f aca="false">Z74+SUM(Z77:Z79)</f>
        <v>498670.304955755</v>
      </c>
      <c r="AA80" s="154" t="n">
        <f aca="false">AA74+SUM(AA77:AA79)</f>
        <v>555039.779802518</v>
      </c>
      <c r="AB80" s="154" t="n">
        <f aca="false">AB74+SUM(AB77:AB79)</f>
        <v>597478.42949917</v>
      </c>
      <c r="AC80" s="154" t="n">
        <f aca="false">AC74+SUM(AC77:AC79)</f>
        <v>636916.94279712</v>
      </c>
      <c r="AD80" s="154" t="n">
        <f aca="false">AD74+SUM(AD77:AD79)</f>
        <v>673567.959148926</v>
      </c>
      <c r="AE80" s="154" t="n">
        <f aca="false">AE74+SUM(AE77:AE79)</f>
        <v>707625.34472859</v>
      </c>
      <c r="AF80" s="154" t="n">
        <f aca="false">AF74+SUM(AF77:AF79)</f>
        <v>739250.897148624</v>
      </c>
      <c r="AG80" s="154" t="n">
        <f aca="false">AG74+SUM(AG77:AG79)</f>
        <v>768655.798625</v>
      </c>
      <c r="AH80" s="154" t="n">
        <f aca="false">AH74+SUM(AH77:AH79)</f>
        <v>795954.849554269</v>
      </c>
      <c r="AI80" s="154" t="n">
        <f aca="false">AI74+SUM(AI77:AI79)</f>
        <v>821329.335894125</v>
      </c>
      <c r="AJ80" s="154" t="n">
        <f aca="false">AJ74+SUM(AJ77:AJ79)</f>
        <v>844954.906131555</v>
      </c>
      <c r="AK80" s="154" t="n">
        <f aca="false">AK74+SUM(AK77:AK79)</f>
        <v>866913.6901115</v>
      </c>
      <c r="AL80" s="154" t="n">
        <f aca="false">AL74+SUM(AL77:AL79)</f>
        <v>989989.849848317</v>
      </c>
      <c r="AM80" s="154" t="n">
        <f aca="false">AM74+SUM(AM77:AM79)</f>
        <v>1054072.4876167</v>
      </c>
      <c r="AN80" s="154" t="n">
        <f aca="false">AN74+SUM(AN77:AN79)</f>
        <v>1113831.0114055</v>
      </c>
      <c r="AO80" s="154" t="n">
        <f aca="false">AO74+SUM(AO77:AO79)</f>
        <v>1169672.37580987</v>
      </c>
      <c r="AP80" s="154" t="n">
        <f aca="false">AP74+SUM(AP77:AP79)</f>
        <v>1221825.60249186</v>
      </c>
      <c r="AQ80" s="154" t="n">
        <f aca="false">AQ74+SUM(AQ77:AQ79)</f>
        <v>1270482.41603535</v>
      </c>
      <c r="AR80" s="154" t="n">
        <f aca="false">AR74+SUM(AR77:AR79)</f>
        <v>1315932.57631379</v>
      </c>
      <c r="AS80" s="154" t="n">
        <f aca="false">AS74+SUM(AS77:AS79)</f>
        <v>1358324.47166946</v>
      </c>
      <c r="AT80" s="154" t="n">
        <f aca="false">AT74+SUM(AT77:AT79)</f>
        <v>1397902.77412406</v>
      </c>
      <c r="AU80" s="154" t="n">
        <f aca="false">AU74+SUM(AU77:AU79)</f>
        <v>1434878.80336219</v>
      </c>
      <c r="AV80" s="154" t="n">
        <f aca="false">AV74+SUM(AV77:AV79)</f>
        <v>1469417.826543</v>
      </c>
      <c r="AW80" s="154" t="n">
        <f aca="false">AW74+SUM(AW77:AW79)</f>
        <v>1501608.30930913</v>
      </c>
      <c r="AX80" s="154" t="n">
        <f aca="false">AX74+SUM(AX77:AX79)</f>
        <v>1687265.97907411</v>
      </c>
      <c r="AY80" s="154" t="n">
        <f aca="false">AY74+SUM(AY77:AY79)</f>
        <v>1786679.15835598</v>
      </c>
      <c r="AZ80" s="154" t="n">
        <f aca="false">AZ74+SUM(AZ77:AZ79)</f>
        <v>1879810.19320933</v>
      </c>
      <c r="BA80" s="154" t="n">
        <f aca="false">BA74+SUM(BA77:BA79)</f>
        <v>1967205.60796256</v>
      </c>
      <c r="BB80" s="154" t="n">
        <f aca="false">BB74+SUM(BB77:BB79)</f>
        <v>2049117.5393473</v>
      </c>
      <c r="BC80" s="154" t="n">
        <f aca="false">BC74+SUM(BC77:BC79)</f>
        <v>2125875.64268031</v>
      </c>
      <c r="BD80" s="154" t="n">
        <f aca="false">BD74+SUM(BD77:BD79)</f>
        <v>2197906.78689161</v>
      </c>
      <c r="BE80" s="154" t="n">
        <f aca="false">BE74+SUM(BE77:BE79)</f>
        <v>2265417.9800656</v>
      </c>
      <c r="BF80" s="154" t="n">
        <f aca="false">BF74+SUM(BF77:BF79)</f>
        <v>2328732.63635916</v>
      </c>
      <c r="BG80" s="154" t="n">
        <f aca="false">BG74+SUM(BG77:BG79)</f>
        <v>2387998.12579927</v>
      </c>
      <c r="BH80" s="154" t="n">
        <f aca="false">BH74+SUM(BH77:BH79)</f>
        <v>2443636.80018239</v>
      </c>
      <c r="BI80" s="154" t="n">
        <f aca="false">BI74+SUM(BI77:BI79)</f>
        <v>2495784.99909916</v>
      </c>
      <c r="BJ80" s="154" t="n">
        <f aca="false">SUM(B80:BI80)</f>
        <v>52362594.7457738</v>
      </c>
    </row>
    <row r="81" customFormat="false" ht="15.75" hidden="false" customHeight="true" outlineLevel="0" collapsed="false">
      <c r="A81" s="49" t="s">
        <v>407</v>
      </c>
      <c r="B81" s="168" t="n">
        <f aca="false" t="array" ref="B81:B81">-(B61*INDEX(Premissas!$C$93:$G$93,B$7)+(B59-B61)*INDEX(Premissas!$C$94:$G$94,B$7)+B65*Premissas!$B$69+IF(B$4&gt;=Premissas!$B$91,INDEX(Premissas!$C$92:$G$92,B$7),0))</f>
        <v>-0</v>
      </c>
      <c r="C81" s="168" t="n">
        <f aca="false" t="array" ref="C81:C81">-(C61*INDEX(Premissas!$C$93:$G$93,C$7)+(C59-C61)*INDEX(Premissas!$C$94:$G$94,C$7)+C65*Premissas!$B$69+IF(C$4&gt;=Premissas!$B$91,INDEX(Premissas!$C$92:$G$92,C$7),0))</f>
        <v>-0</v>
      </c>
      <c r="D81" s="168" t="n">
        <f aca="false" t="array" ref="D81:D81">-(D61*INDEX(Premissas!$C$93:$G$93,D$7)+(D59-D61)*INDEX(Premissas!$C$94:$G$94,D$7)+D65*Premissas!$B$69+IF(D$4&gt;=Premissas!$B$91,INDEX(Premissas!$C$92:$G$92,D$7),0))</f>
        <v>-0</v>
      </c>
      <c r="E81" s="168" t="n">
        <f aca="false" t="array" ref="E81:E81">-(E61*INDEX(Premissas!$C$93:$G$93,E$7)+(E59-E61)*INDEX(Premissas!$C$94:$G$94,E$7)+E65*Premissas!$B$69+IF(E$4&gt;=Premissas!$B$91,INDEX(Premissas!$C$92:$G$92,E$7),0))</f>
        <v>-0</v>
      </c>
      <c r="F81" s="168" t="n">
        <f aca="false" t="array" ref="F81:F81">-(F61*INDEX(Premissas!$C$93:$G$93,F$7)+(F59-F61)*INDEX(Premissas!$C$94:$G$94,F$7)+F65*Premissas!$B$69+IF(F$4&gt;=Premissas!$B$91,INDEX(Premissas!$C$92:$G$92,F$7),0))</f>
        <v>-600</v>
      </c>
      <c r="G81" s="168" t="n">
        <f aca="false" t="array" ref="G81:G81">-(G61*INDEX(Premissas!$C$93:$G$93,G$7)+(G59-G61)*INDEX(Premissas!$C$94:$G$94,G$7)+G65*Premissas!$B$69+IF(G$4&gt;=Premissas!$B$91,INDEX(Premissas!$C$92:$G$92,G$7),0))</f>
        <v>-600</v>
      </c>
      <c r="H81" s="168" t="n">
        <f aca="false" t="array" ref="H81:H81">-(H61*INDEX(Premissas!$C$93:$G$93,H$7)+(H59-H61)*INDEX(Premissas!$C$94:$G$94,H$7)+H65*Premissas!$B$69+IF(H$4&gt;=Premissas!$B$91,INDEX(Premissas!$C$92:$G$92,H$7),0))</f>
        <v>-600</v>
      </c>
      <c r="I81" s="168" t="n">
        <f aca="false" t="array" ref="I81:I81">-(I61*INDEX(Premissas!$C$93:$G$93,I$7)+(I59-I61)*INDEX(Premissas!$C$94:$G$94,I$7)+I65*Premissas!$B$69+IF(I$4&gt;=Premissas!$B$91,INDEX(Premissas!$C$92:$G$92,I$7),0))</f>
        <v>-600</v>
      </c>
      <c r="J81" s="168" t="n">
        <f aca="false" t="array" ref="J81:J81">-(J61*INDEX(Premissas!$C$93:$G$93,J$7)+(J59-J61)*INDEX(Premissas!$C$94:$G$94,J$7)+J65*Premissas!$B$69+IF(J$4&gt;=Premissas!$B$91,INDEX(Premissas!$C$92:$G$92,J$7),0))</f>
        <v>-600</v>
      </c>
      <c r="K81" s="168" t="n">
        <f aca="false" t="array" ref="K81:K81">-(K61*INDEX(Premissas!$C$93:$G$93,K$7)+(K59-K61)*INDEX(Premissas!$C$94:$G$94,K$7)+K65*Premissas!$B$69+IF(K$4&gt;=Premissas!$B$91,INDEX(Premissas!$C$92:$G$92,K$7),0))</f>
        <v>-600</v>
      </c>
      <c r="L81" s="168" t="n">
        <f aca="false" t="array" ref="L81:L81">-(L61*INDEX(Premissas!$C$93:$G$93,L$7)+(L59-L61)*INDEX(Premissas!$C$94:$G$94,L$7)+L65*Premissas!$B$69+IF(L$4&gt;=Premissas!$B$91,INDEX(Premissas!$C$92:$G$92,L$7),0))</f>
        <v>-600</v>
      </c>
      <c r="M81" s="168" t="n">
        <f aca="false" t="array" ref="M81:M81">-(M61*INDEX(Premissas!$C$93:$G$93,M$7)+(M59-M61)*INDEX(Premissas!$C$94:$G$94,M$7)+M65*Premissas!$B$69+IF(M$4&gt;=Premissas!$B$91,INDEX(Premissas!$C$92:$G$92,M$7),0))</f>
        <v>-3840.2</v>
      </c>
      <c r="N81" s="168" t="n">
        <f aca="false" t="array" ref="N81:N81">-(N61*INDEX(Premissas!$C$93:$G$93,N$7)+(N59-N61)*INDEX(Premissas!$C$94:$G$94,N$7)+N65*Premissas!$B$69+IF(N$4&gt;=Premissas!$B$91,INDEX(Premissas!$C$92:$G$92,N$7),0))</f>
        <v>-17787.5376</v>
      </c>
      <c r="O81" s="168" t="n">
        <f aca="false" t="array" ref="O81:O81">-(O61*INDEX(Premissas!$C$93:$G$93,O$7)+(O59-O61)*INDEX(Premissas!$C$94:$G$94,O$7)+O65*Premissas!$B$69+IF(O$4&gt;=Premissas!$B$91,INDEX(Premissas!$C$92:$G$92,O$7),0))</f>
        <v>-37233.12872448</v>
      </c>
      <c r="P81" s="168" t="n">
        <f aca="false" t="array" ref="P81:P81">-(P61*INDEX(Premissas!$C$93:$G$93,P$7)+(P59-P61)*INDEX(Premissas!$C$94:$G$94,P$7)+P65*Premissas!$B$69+IF(P$4&gt;=Premissas!$B$91,INDEX(Premissas!$C$92:$G$92,P$7),0))</f>
        <v>-63273.8901163991</v>
      </c>
      <c r="Q81" s="168" t="n">
        <f aca="false" t="array" ref="Q81:Q81">-(Q61*INDEX(Premissas!$C$93:$G$93,Q$7)+(Q59-Q61)*INDEX(Premissas!$C$94:$G$94,Q$7)+Q65*Premissas!$B$69+IF(Q$4&gt;=Premissas!$B$91,INDEX(Premissas!$C$92:$G$92,Q$7),0))</f>
        <v>-100656.999179646</v>
      </c>
      <c r="R81" s="168" t="n">
        <f aca="false" t="array" ref="R81:R81">-(R61*INDEX(Premissas!$C$93:$G$93,R$7)+(R59-R61)*INDEX(Premissas!$C$94:$G$94,R$7)+R65*Premissas!$B$69+IF(R$4&gt;=Premissas!$B$91,INDEX(Premissas!$C$92:$G$92,R$7),0))</f>
        <v>-138671.350473337</v>
      </c>
      <c r="S81" s="168" t="n">
        <f aca="false" t="array" ref="S81:S81">-(S61*INDEX(Premissas!$C$93:$G$93,S$7)+(S59-S61)*INDEX(Premissas!$C$94:$G$94,S$7)+S65*Premissas!$B$69+IF(S$4&gt;=Premissas!$B$91,INDEX(Premissas!$C$92:$G$92,S$7),0))</f>
        <v>-157075.820965742</v>
      </c>
      <c r="T81" s="168" t="n">
        <f aca="false" t="array" ref="T81:T81">-(T61*INDEX(Premissas!$C$93:$G$93,T$7)+(T59-T61)*INDEX(Premissas!$C$94:$G$94,T$7)+T65*Premissas!$B$69+IF(T$4&gt;=Premissas!$B$91,INDEX(Premissas!$C$92:$G$92,T$7),0))</f>
        <v>-174081.374141118</v>
      </c>
      <c r="U81" s="168" t="n">
        <f aca="false" t="array" ref="U81:U81">-(U61*INDEX(Premissas!$C$93:$G$93,U$7)+(U59-U61)*INDEX(Premissas!$C$94:$G$94,U$7)+U65*Premissas!$B$69+IF(U$4&gt;=Premissas!$B$91,INDEX(Premissas!$C$92:$G$92,U$7),0))</f>
        <v>-189822.453045706</v>
      </c>
      <c r="V81" s="168" t="n">
        <f aca="false" t="array" ref="V81:V81">-(V61*INDEX(Premissas!$C$93:$G$93,V$7)+(V59-V61)*INDEX(Premissas!$C$94:$G$94,V$7)+V65*Premissas!$B$69+IF(V$4&gt;=Premissas!$B$91,INDEX(Premissas!$C$92:$G$92,V$7),0))</f>
        <v>-204401.072352669</v>
      </c>
      <c r="W81" s="168" t="n">
        <f aca="false" t="array" ref="W81:W81">-(W61*INDEX(Premissas!$C$93:$G$93,W$7)+(W59-W61)*INDEX(Premissas!$C$94:$G$94,W$7)+W65*Premissas!$B$69+IF(W$4&gt;=Premissas!$B$91,INDEX(Premissas!$C$92:$G$92,W$7),0))</f>
        <v>-217854.999519748</v>
      </c>
      <c r="X81" s="168" t="n">
        <f aca="false" t="array" ref="X81:X81">-(X61*INDEX(Premissas!$C$93:$G$93,X$7)+(X59-X61)*INDEX(Premissas!$C$94:$G$94,X$7)+X65*Premissas!$B$69+IF(X$4&gt;=Premissas!$B$91,INDEX(Premissas!$C$92:$G$92,X$7),0))</f>
        <v>-230317.265107863</v>
      </c>
      <c r="Y81" s="168" t="n">
        <f aca="false" t="array" ref="Y81:Y81">-(Y61*INDEX(Premissas!$C$93:$G$93,Y$7)+(Y59-Y61)*INDEX(Premissas!$C$94:$G$94,Y$7)+Y65*Premissas!$B$69+IF(Y$4&gt;=Premissas!$B$91,INDEX(Premissas!$C$92:$G$92,Y$7),0))</f>
        <v>-241824.742323752</v>
      </c>
      <c r="Z81" s="168" t="n">
        <f aca="false" t="array" ref="Z81:Z81">-(Z61*INDEX(Premissas!$C$93:$G$93,Z$7)+(Z59-Z61)*INDEX(Premissas!$C$94:$G$94,Z$7)+Z65*Premissas!$B$69+IF(Z$4&gt;=Premissas!$B$91,INDEX(Premissas!$C$92:$G$92,Z$7),0))</f>
        <v>-280318.570170357</v>
      </c>
      <c r="AA81" s="168" t="n">
        <f aca="false" t="array" ref="AA81:AA81">-(AA61*INDEX(Premissas!$C$93:$G$93,AA$7)+(AA59-AA61)*INDEX(Premissas!$C$94:$G$94,AA$7)+AA65*Premissas!$B$69+IF(AA$4&gt;=Premissas!$B$91,INDEX(Premissas!$C$92:$G$92,AA$7),0))</f>
        <v>-305152.753669035</v>
      </c>
      <c r="AB81" s="168" t="n">
        <f aca="false" t="array" ref="AB81:AB81">-(AB61*INDEX(Premissas!$C$93:$G$93,AB$7)+(AB59-AB61)*INDEX(Premissas!$C$94:$G$94,AB$7)+AB65*Premissas!$B$69+IF(AB$4&gt;=Premissas!$B$91,INDEX(Premissas!$C$92:$G$92,AB$7),0))</f>
        <v>-328250.659362638</v>
      </c>
      <c r="AC81" s="168" t="n">
        <f aca="false" t="array" ref="AC81:AC81">-(AC61*INDEX(Premissas!$C$93:$G$93,AC$7)+(AC59-AC61)*INDEX(Premissas!$C$94:$G$94,AC$7)+AC65*Premissas!$B$69+IF(AC$4&gt;=Premissas!$B$91,INDEX(Premissas!$C$92:$G$92,AC$7),0))</f>
        <v>-349715.697044236</v>
      </c>
      <c r="AD81" s="168" t="n">
        <f aca="false" t="array" ref="AD81:AD81">-(AD61*INDEX(Premissas!$C$93:$G$93,AD$7)+(AD59-AD61)*INDEX(Premissas!$C$94:$G$94,AD$7)+AD65*Premissas!$B$69+IF(AD$4&gt;=Premissas!$B$91,INDEX(Premissas!$C$92:$G$92,AD$7),0))</f>
        <v>-369650.830621493</v>
      </c>
      <c r="AE81" s="168" t="n">
        <f aca="false" t="array" ref="AE81:AE81">-(AE61*INDEX(Premissas!$C$93:$G$93,AE$7)+(AE59-AE61)*INDEX(Premissas!$C$94:$G$94,AE$7)+AE65*Premissas!$B$69+IF(AE$4&gt;=Premissas!$B$91,INDEX(Premissas!$C$92:$G$92,AE$7),0))</f>
        <v>-388190.270429017</v>
      </c>
      <c r="AF81" s="168" t="n">
        <f aca="false" t="array" ref="AF81:AF81">-(AF61*INDEX(Premissas!$C$93:$G$93,AF$7)+(AF59-AF61)*INDEX(Premissas!$C$94:$G$94,AF$7)+AF65*Premissas!$B$69+IF(AF$4&gt;=Premissas!$B$91,INDEX(Premissas!$C$92:$G$92,AF$7),0))</f>
        <v>-405404.036811747</v>
      </c>
      <c r="AG81" s="168" t="n">
        <f aca="false" t="array" ref="AG81:AG81">-(AG61*INDEX(Premissas!$C$93:$G$93,AG$7)+(AG59-AG61)*INDEX(Premissas!$C$94:$G$94,AG$7)+AG65*Premissas!$B$69+IF(AG$4&gt;=Premissas!$B$91,INDEX(Premissas!$C$92:$G$92,AG$7),0))</f>
        <v>-421393.61503091</v>
      </c>
      <c r="AH81" s="168" t="n">
        <f aca="false" t="array" ref="AH81:AH81">-(AH61*INDEX(Premissas!$C$93:$G$93,AH$7)+(AH59-AH61)*INDEX(Premissas!$C$94:$G$94,AH$7)+AH65*Premissas!$B$69+IF(AH$4&gt;=Premissas!$B$91,INDEX(Premissas!$C$92:$G$92,AH$7),0))</f>
        <v>-436260.031540437</v>
      </c>
      <c r="AI81" s="168" t="n">
        <f aca="false" t="array" ref="AI81:AI81">-(AI61*INDEX(Premissas!$C$93:$G$93,AI$7)+(AI59-AI61)*INDEX(Premissas!$C$94:$G$94,AI$7)+AI65*Premissas!$B$69+IF(AI$4&gt;=Premissas!$B$91,INDEX(Premissas!$C$92:$G$92,AI$7),0))</f>
        <v>-450072.079678331</v>
      </c>
      <c r="AJ81" s="168" t="n">
        <f aca="false" t="array" ref="AJ81:AJ81">-(AJ61*INDEX(Premissas!$C$93:$G$93,AJ$7)+(AJ59-AJ61)*INDEX(Premissas!$C$94:$G$94,AJ$7)+AJ65*Premissas!$B$69+IF(AJ$4&gt;=Premissas!$B$91,INDEX(Premissas!$C$92:$G$92,AJ$7),0))</f>
        <v>-462930.090814349</v>
      </c>
      <c r="AK81" s="168" t="n">
        <f aca="false" t="array" ref="AK81:AK81">-(AK61*INDEX(Premissas!$C$93:$G$93,AK$7)+(AK59-AK61)*INDEX(Premissas!$C$94:$G$94,AK$7)+AK65*Premissas!$B$69+IF(AK$4&gt;=Premissas!$B$91,INDEX(Premissas!$C$92:$G$92,AK$7),0))</f>
        <v>-474870.244992432</v>
      </c>
      <c r="AL81" s="168" t="n">
        <f aca="false" t="array" ref="AL81:AL81">-(AL61*INDEX(Premissas!$C$93:$G$93,AL$7)+(AL59-AL61)*INDEX(Premissas!$C$94:$G$94,AL$7)+AL65*Premissas!$B$69+IF(AL$4&gt;=Premissas!$B$91,INDEX(Premissas!$C$92:$G$92,AL$7),0))</f>
        <v>-532756.521114101</v>
      </c>
      <c r="AM81" s="168" t="n">
        <f aca="false" t="array" ref="AM81:AM81">-(AM61*INDEX(Premissas!$C$93:$G$93,AM$7)+(AM59-AM61)*INDEX(Premissas!$C$94:$G$94,AM$7)+AM65*Premissas!$B$69+IF(AM$4&gt;=Premissas!$B$91,INDEX(Premissas!$C$92:$G$92,AM$7),0))</f>
        <v>-566386.531171263</v>
      </c>
      <c r="AN81" s="168" t="n">
        <f aca="false" t="array" ref="AN81:AN81">-(AN61*INDEX(Premissas!$C$93:$G$93,AN$7)+(AN59-AN61)*INDEX(Premissas!$C$94:$G$94,AN$7)+AN65*Premissas!$B$69+IF(AN$4&gt;=Premissas!$B$91,INDEX(Premissas!$C$92:$G$92,AN$7),0))</f>
        <v>-597749.51579217</v>
      </c>
      <c r="AO81" s="168" t="n">
        <f aca="false" t="array" ref="AO81:AO81">-(AO61*INDEX(Premissas!$C$93:$G$93,AO$7)+(AO59-AO61)*INDEX(Premissas!$C$94:$G$94,AO$7)+AO65*Premissas!$B$69+IF(AO$4&gt;=Premissas!$B$91,INDEX(Premissas!$C$92:$G$92,AO$7),0))</f>
        <v>-627045.390367817</v>
      </c>
      <c r="AP81" s="168" t="n">
        <f aca="false" t="array" ref="AP81:AP81">-(AP61*INDEX(Premissas!$C$93:$G$93,AP$7)+(AP59-AP61)*INDEX(Premissas!$C$94:$G$94,AP$7)+AP65*Premissas!$B$69+IF(AP$4&gt;=Premissas!$B$91,INDEX(Premissas!$C$92:$G$92,AP$7),0))</f>
        <v>-654409.81703755</v>
      </c>
      <c r="AQ81" s="168" t="n">
        <f aca="false" t="array" ref="AQ81:AQ81">-(AQ61*INDEX(Premissas!$C$93:$G$93,AQ$7)+(AQ59-AQ61)*INDEX(Premissas!$C$94:$G$94,AQ$7)+AQ65*Premissas!$B$69+IF(AQ$4&gt;=Premissas!$B$91,INDEX(Premissas!$C$92:$G$92,AQ$7),0))</f>
        <v>-679946.098543192</v>
      </c>
      <c r="AR81" s="168" t="n">
        <f aca="false" t="array" ref="AR81:AR81">-(AR61*INDEX(Premissas!$C$93:$G$93,AR$7)+(AR59-AR61)*INDEX(Premissas!$C$94:$G$94,AR$7)+AR65*Premissas!$B$69+IF(AR$4&gt;=Premissas!$B$91,INDEX(Premissas!$C$92:$G$92,AR$7),0))</f>
        <v>-703788.756494856</v>
      </c>
      <c r="AS81" s="168" t="n">
        <f aca="false" t="array" ref="AS81:AS81">-(AS61*INDEX(Premissas!$C$93:$G$93,AS$7)+(AS59-AS61)*INDEX(Premissas!$C$94:$G$94,AS$7)+AS65*Premissas!$B$69+IF(AS$4&gt;=Premissas!$B$91,INDEX(Premissas!$C$92:$G$92,AS$7),0))</f>
        <v>-726040.069087515</v>
      </c>
      <c r="AT81" s="168" t="n">
        <f aca="false" t="array" ref="AT81:AT81">-(AT61*INDEX(Premissas!$C$93:$G$93,AT$7)+(AT59-AT61)*INDEX(Premissas!$C$94:$G$94,AT$7)+AT65*Premissas!$B$69+IF(AT$4&gt;=Premissas!$B$91,INDEX(Premissas!$C$92:$G$92,AT$7),0))</f>
        <v>-746801.913304831</v>
      </c>
      <c r="AU81" s="168" t="n">
        <f aca="false" t="array" ref="AU81:AU81">-(AU61*INDEX(Premissas!$C$93:$G$93,AU$7)+(AU59-AU61)*INDEX(Premissas!$C$94:$G$94,AU$7)+AU65*Premissas!$B$69+IF(AU$4&gt;=Premissas!$B$91,INDEX(Premissas!$C$92:$G$92,AU$7),0))</f>
        <v>-766207.506644318</v>
      </c>
      <c r="AV81" s="168" t="n">
        <f aca="false" t="array" ref="AV81:AV81">-(AV61*INDEX(Premissas!$C$93:$G$93,AV$7)+(AV59-AV61)*INDEX(Premissas!$C$94:$G$94,AV$7)+AV65*Premissas!$B$69+IF(AV$4&gt;=Premissas!$B$91,INDEX(Premissas!$C$92:$G$92,AV$7),0))</f>
        <v>-784326.058395631</v>
      </c>
      <c r="AW81" s="168" t="n">
        <f aca="false" t="array" ref="AW81:AW81">-(AW61*INDEX(Premissas!$C$93:$G$93,AW$7)+(AW59-AW61)*INDEX(Premissas!$C$94:$G$94,AW$7)+AW65*Premissas!$B$69+IF(AW$4&gt;=Premissas!$B$91,INDEX(Premissas!$C$92:$G$92,AW$7),0))</f>
        <v>-801226.245501695</v>
      </c>
      <c r="AX81" s="168" t="n">
        <f aca="false" t="array" ref="AX81:AX81">-(AX61*INDEX(Premissas!$C$93:$G$93,AX$7)+(AX59-AX61)*INDEX(Premissas!$C$94:$G$94,AX$7)+AX65*Premissas!$B$69+IF(AX$4&gt;=Premissas!$B$91,INDEX(Premissas!$C$92:$G$92,AX$7),0))</f>
        <v>-889653.786178651</v>
      </c>
      <c r="AY81" s="168" t="n">
        <f aca="false" t="array" ref="AY81:AY81">-(AY61*INDEX(Premissas!$C$93:$G$93,AY$7)+(AY59-AY61)*INDEX(Premissas!$C$94:$G$94,AY$7)+AY65*Premissas!$B$69+IF(AY$4&gt;=Premissas!$B$91,INDEX(Premissas!$C$92:$G$92,AY$7),0))</f>
        <v>-940571.469164291</v>
      </c>
      <c r="AZ81" s="168" t="n">
        <f aca="false" t="array" ref="AZ81:AZ81">-(AZ61*INDEX(Premissas!$C$93:$G$93,AZ$7)+(AZ59-AZ61)*INDEX(Premissas!$C$94:$G$94,AZ$7)+AZ65*Premissas!$B$69+IF(AZ$4&gt;=Premissas!$B$91,INDEX(Premissas!$C$92:$G$92,AZ$7),0))</f>
        <v>-988279.043152907</v>
      </c>
      <c r="BA81" s="168" t="n">
        <f aca="false" t="array" ref="BA81:BA81">-(BA61*INDEX(Premissas!$C$93:$G$93,BA$7)+(BA59-BA61)*INDEX(Premissas!$C$94:$G$94,BA$7)+BA65*Premissas!$B$69+IF(BA$4&gt;=Premissas!$B$91,INDEX(Premissas!$C$92:$G$92,BA$7),0))</f>
        <v>-1033042.84796948</v>
      </c>
      <c r="BB81" s="168" t="n">
        <f aca="false" t="array" ref="BB81:BB81">-(BB61*INDEX(Premissas!$C$93:$G$93,BB$7)+(BB59-BB61)*INDEX(Premissas!$C$94:$G$94,BB$7)+BB65*Premissas!$B$69+IF(BB$4&gt;=Premissas!$B$91,INDEX(Premissas!$C$92:$G$92,BB$7),0))</f>
        <v>-1075001.02042952</v>
      </c>
      <c r="BC81" s="168" t="n">
        <f aca="false" t="array" ref="BC81:BC81">-(BC61*INDEX(Premissas!$C$93:$G$93,BC$7)+(BC59-BC61)*INDEX(Premissas!$C$94:$G$94,BC$7)+BC65*Premissas!$B$69+IF(BC$4&gt;=Premissas!$B$91,INDEX(Premissas!$C$92:$G$92,BC$7),0))</f>
        <v>-1114322.97952069</v>
      </c>
      <c r="BD81" s="168" t="n">
        <f aca="false" t="array" ref="BD81:BD81">-(BD61*INDEX(Premissas!$C$93:$G$93,BD$7)+(BD59-BD61)*INDEX(Premissas!$C$94:$G$94,BD$7)+BD65*Premissas!$B$69+IF(BD$4&gt;=Premissas!$B$91,INDEX(Premissas!$C$92:$G$92,BD$7),0))</f>
        <v>-1151209.33594832</v>
      </c>
      <c r="BE81" s="168" t="n">
        <f aca="false" t="array" ref="BE81:BE81">-(BE61*INDEX(Premissas!$C$93:$G$93,BE$7)+(BE59-BE61)*INDEX(Premissas!$C$94:$G$94,BE$7)+BE65*Premissas!$B$69+IF(BE$4&gt;=Premissas!$B$91,INDEX(Premissas!$C$92:$G$92,BE$7),0))</f>
        <v>-1185796.34608489</v>
      </c>
      <c r="BF81" s="168" t="n">
        <f aca="false" t="array" ref="BF81:BF81">-(BF61*INDEX(Premissas!$C$93:$G$93,BF$7)+(BF59-BF61)*INDEX(Premissas!$C$94:$G$94,BF$7)+BF65*Premissas!$B$69+IF(BF$4&gt;=Premissas!$B$91,INDEX(Premissas!$C$92:$G$92,BF$7),0))</f>
        <v>-1218219.74036043</v>
      </c>
      <c r="BG81" s="168" t="n">
        <f aca="false" t="array" ref="BG81:BG81">-(BG61*INDEX(Premissas!$C$93:$G$93,BG$7)+(BG59-BG61)*INDEX(Premissas!$C$94:$G$94,BG$7)+BG65*Premissas!$B$69+IF(BG$4&gt;=Premissas!$B$91,INDEX(Premissas!$C$92:$G$92,BG$7),0))</f>
        <v>-1248582.89612887</v>
      </c>
      <c r="BH81" s="168" t="n">
        <f aca="false" t="array" ref="BH81:BH81">-(BH61*INDEX(Premissas!$C$93:$G$93,BH$7)+(BH59-BH61)*INDEX(Premissas!$C$94:$G$94,BH$7)+BH65*Premissas!$B$69+IF(BH$4&gt;=Premissas!$B$91,INDEX(Premissas!$C$92:$G$92,BH$7),0))</f>
        <v>-1277084.28504302</v>
      </c>
      <c r="BI81" s="168" t="n">
        <f aca="false" t="array" ref="BI81:BI81">-(BI61*INDEX(Premissas!$C$93:$G$93,BI$7)+(BI59-BI61)*INDEX(Premissas!$C$94:$G$94,BI$7)+BI65*Premissas!$B$69+IF(BI$4&gt;=Premissas!$B$91,INDEX(Premissas!$C$92:$G$92,BI$7),0))</f>
        <v>-1303794.43496905</v>
      </c>
      <c r="BJ81" s="154" t="n">
        <f aca="false">SUM(B81:BI81)</f>
        <v>-28065492.3221205</v>
      </c>
    </row>
    <row r="82" customFormat="false" ht="15.75" hidden="false" customHeight="true" outlineLevel="0" collapsed="false">
      <c r="A82" s="49" t="s">
        <v>408</v>
      </c>
      <c r="B82" s="168" t="n">
        <f aca="false" t="array" ref="B82:B82">-B61*INDEX(Premissas!$C$95:$G$95,B$7)</f>
        <v>-0</v>
      </c>
      <c r="C82" s="168" t="n">
        <f aca="false" t="array" ref="C82:C82">-C61*INDEX(Premissas!$C$95:$G$95,C$7)</f>
        <v>-0</v>
      </c>
      <c r="D82" s="168" t="n">
        <f aca="false" t="array" ref="D82:D82">-D61*INDEX(Premissas!$C$95:$G$95,D$7)</f>
        <v>-0</v>
      </c>
      <c r="E82" s="168" t="n">
        <f aca="false" t="array" ref="E82:E82">-E61*INDEX(Premissas!$C$95:$G$95,E$7)</f>
        <v>-0</v>
      </c>
      <c r="F82" s="168" t="n">
        <f aca="false" t="array" ref="F82:F82">-F61*INDEX(Premissas!$C$95:$G$95,F$7)</f>
        <v>-0</v>
      </c>
      <c r="G82" s="168" t="n">
        <f aca="false" t="array" ref="G82:G82">-G61*INDEX(Premissas!$C$95:$G$95,G$7)</f>
        <v>-0</v>
      </c>
      <c r="H82" s="168" t="n">
        <f aca="false" t="array" ref="H82:H82">-H61*INDEX(Premissas!$C$95:$G$95,H$7)</f>
        <v>-0</v>
      </c>
      <c r="I82" s="168" t="n">
        <f aca="false" t="array" ref="I82:I82">-I61*INDEX(Premissas!$C$95:$G$95,I$7)</f>
        <v>-0</v>
      </c>
      <c r="J82" s="168" t="n">
        <f aca="false" t="array" ref="J82:J82">-J61*INDEX(Premissas!$C$95:$G$95,J$7)</f>
        <v>-0</v>
      </c>
      <c r="K82" s="168" t="n">
        <f aca="false" t="array" ref="K82:K82">-K61*INDEX(Premissas!$C$95:$G$95,K$7)</f>
        <v>-0</v>
      </c>
      <c r="L82" s="168" t="n">
        <f aca="false" t="array" ref="L82:L82">-L61*INDEX(Premissas!$C$95:$G$95,L$7)</f>
        <v>-0</v>
      </c>
      <c r="M82" s="168" t="n">
        <f aca="false" t="array" ref="M82:M82">-M61*INDEX(Premissas!$C$95:$G$95,M$7)</f>
        <v>-31.5</v>
      </c>
      <c r="N82" s="168" t="n">
        <f aca="false" t="array" ref="N82:N82">-N61*INDEX(Premissas!$C$95:$G$95,N$7)</f>
        <v>-158.2</v>
      </c>
      <c r="O82" s="168" t="n">
        <f aca="false" t="array" ref="O82:O82">-O61*INDEX(Premissas!$C$95:$G$95,O$7)</f>
        <v>-366.45</v>
      </c>
      <c r="P82" s="168" t="n">
        <f aca="false" t="array" ref="P82:P82">-P61*INDEX(Premissas!$C$95:$G$95,P$7)</f>
        <v>-647.5</v>
      </c>
      <c r="Q82" s="168" t="n">
        <f aca="false" t="array" ref="Q82:Q82">-Q61*INDEX(Premissas!$C$95:$G$95,Q$7)</f>
        <v>-992.95</v>
      </c>
      <c r="R82" s="168" t="n">
        <f aca="false" t="array" ref="R82:R82">-R61*INDEX(Premissas!$C$95:$G$95,R$7)</f>
        <v>-1395.8</v>
      </c>
      <c r="S82" s="168" t="n">
        <f aca="false" t="array" ref="S82:S82">-S61*INDEX(Premissas!$C$95:$G$95,S$7)</f>
        <v>-1584.45</v>
      </c>
      <c r="T82" s="168" t="n">
        <f aca="false" t="array" ref="T82:T82">-T61*INDEX(Premissas!$C$95:$G$95,T$7)</f>
        <v>-1758.75</v>
      </c>
      <c r="U82" s="168" t="n">
        <f aca="false" t="array" ref="U82:U82">-U61*INDEX(Premissas!$C$95:$G$95,U$7)</f>
        <v>-1920.1</v>
      </c>
      <c r="V82" s="168" t="n">
        <f aca="false" t="array" ref="V82:V82">-V61*INDEX(Premissas!$C$95:$G$95,V$7)</f>
        <v>-2069.55</v>
      </c>
      <c r="W82" s="168" t="n">
        <f aca="false" t="array" ref="W82:W82">-W61*INDEX(Premissas!$C$95:$G$95,W$7)</f>
        <v>-2207.45</v>
      </c>
      <c r="X82" s="168" t="n">
        <f aca="false" t="array" ref="X82:X82">-X61*INDEX(Premissas!$C$95:$G$95,X$7)</f>
        <v>-2335.2</v>
      </c>
      <c r="Y82" s="168" t="n">
        <f aca="false" t="array" ref="Y82:Y82">-Y61*INDEX(Premissas!$C$95:$G$95,Y$7)</f>
        <v>-2453.15</v>
      </c>
      <c r="Z82" s="168" t="n">
        <f aca="false" t="array" ref="Z82:Z82">-Z61*INDEX(Premissas!$C$95:$G$95,Z$7)</f>
        <v>-2401.5</v>
      </c>
      <c r="AA82" s="168" t="n">
        <f aca="false" t="array" ref="AA82:AA82">-AA61*INDEX(Premissas!$C$95:$G$95,AA$7)</f>
        <v>-2620.5</v>
      </c>
      <c r="AB82" s="168" t="n">
        <f aca="false" t="array" ref="AB82:AB82">-AB61*INDEX(Premissas!$C$95:$G$95,AB$7)</f>
        <v>-2824.2</v>
      </c>
      <c r="AC82" s="168" t="n">
        <f aca="false" t="array" ref="AC82:AC82">-AC61*INDEX(Premissas!$C$95:$G$95,AC$7)</f>
        <v>-3013.5</v>
      </c>
      <c r="AD82" s="168" t="n">
        <f aca="false" t="array" ref="AD82:AD82">-AD61*INDEX(Premissas!$C$95:$G$95,AD$7)</f>
        <v>-3189.3</v>
      </c>
      <c r="AE82" s="168" t="n">
        <f aca="false" t="array" ref="AE82:AE82">-AE61*INDEX(Premissas!$C$95:$G$95,AE$7)</f>
        <v>-3352.8</v>
      </c>
      <c r="AF82" s="168" t="n">
        <f aca="false" t="array" ref="AF82:AF82">-AF61*INDEX(Premissas!$C$95:$G$95,AF$7)</f>
        <v>-3504.6</v>
      </c>
      <c r="AG82" s="168" t="n">
        <f aca="false" t="array" ref="AG82:AG82">-AG61*INDEX(Premissas!$C$95:$G$95,AG$7)</f>
        <v>-3645.6</v>
      </c>
      <c r="AH82" s="168" t="n">
        <f aca="false" t="array" ref="AH82:AH82">-AH61*INDEX(Premissas!$C$95:$G$95,AH$7)</f>
        <v>-3776.7</v>
      </c>
      <c r="AI82" s="168" t="n">
        <f aca="false" t="array" ref="AI82:AI82">-AI61*INDEX(Premissas!$C$95:$G$95,AI$7)</f>
        <v>-3898.5</v>
      </c>
      <c r="AJ82" s="168" t="n">
        <f aca="false" t="array" ref="AJ82:AJ82">-AJ61*INDEX(Premissas!$C$95:$G$95,AJ$7)</f>
        <v>-4011.9</v>
      </c>
      <c r="AK82" s="168" t="n">
        <f aca="false" t="array" ref="AK82:AK82">-AK61*INDEX(Premissas!$C$95:$G$95,AK$7)</f>
        <v>-4117.2</v>
      </c>
      <c r="AL82" s="168" t="n">
        <f aca="false" t="array" ref="AL82:AL82">-AL61*INDEX(Premissas!$C$95:$G$95,AL$7)</f>
        <v>-4255.72</v>
      </c>
      <c r="AM82" s="168" t="n">
        <f aca="false" t="array" ref="AM82:AM82">-AM61*INDEX(Premissas!$C$95:$G$95,AM$7)</f>
        <v>-4533.76</v>
      </c>
      <c r="AN82" s="168" t="n">
        <f aca="false" t="array" ref="AN82:AN82">-AN61*INDEX(Premissas!$C$95:$G$95,AN$7)</f>
        <v>-4793.04</v>
      </c>
      <c r="AO82" s="168" t="n">
        <f aca="false" t="array" ref="AO82:AO82">-AO61*INDEX(Premissas!$C$95:$G$95,AO$7)</f>
        <v>-5035.24</v>
      </c>
      <c r="AP82" s="168" t="n">
        <f aca="false" t="array" ref="AP82:AP82">-AP61*INDEX(Premissas!$C$95:$G$95,AP$7)</f>
        <v>-5261.48</v>
      </c>
      <c r="AQ82" s="168" t="n">
        <f aca="false" t="array" ref="AQ82:AQ82">-AQ61*INDEX(Premissas!$C$95:$G$95,AQ$7)</f>
        <v>-5472.6</v>
      </c>
      <c r="AR82" s="168" t="n">
        <f aca="false" t="array" ref="AR82:AR82">-AR61*INDEX(Premissas!$C$95:$G$95,AR$7)</f>
        <v>-5669.72</v>
      </c>
      <c r="AS82" s="168" t="n">
        <f aca="false" t="array" ref="AS82:AS82">-AS61*INDEX(Premissas!$C$95:$G$95,AS$7)</f>
        <v>-5853.68</v>
      </c>
      <c r="AT82" s="168" t="n">
        <f aca="false" t="array" ref="AT82:AT82">-AT61*INDEX(Premissas!$C$95:$G$95,AT$7)</f>
        <v>-6025.32</v>
      </c>
      <c r="AU82" s="168" t="n">
        <f aca="false" t="array" ref="AU82:AU82">-AU61*INDEX(Premissas!$C$95:$G$95,AU$7)</f>
        <v>-6185.76</v>
      </c>
      <c r="AV82" s="168" t="n">
        <f aca="false" t="array" ref="AV82:AV82">-AV61*INDEX(Premissas!$C$95:$G$95,AV$7)</f>
        <v>-6335.56</v>
      </c>
      <c r="AW82" s="168" t="n">
        <f aca="false" t="array" ref="AW82:AW82">-AW61*INDEX(Premissas!$C$95:$G$95,AW$7)</f>
        <v>-6475.28</v>
      </c>
      <c r="AX82" s="168" t="n">
        <f aca="false" t="array" ref="AX82:AX82">-AX61*INDEX(Premissas!$C$95:$G$95,AX$7)</f>
        <v>-6356.5</v>
      </c>
      <c r="AY82" s="168" t="n">
        <f aca="false" t="array" ref="AY82:AY82">-AY61*INDEX(Premissas!$C$95:$G$95,AY$7)</f>
        <v>-6733</v>
      </c>
      <c r="AZ82" s="168" t="n">
        <f aca="false" t="array" ref="AZ82:AZ82">-AZ61*INDEX(Premissas!$C$95:$G$95,AZ$7)</f>
        <v>-7085.75</v>
      </c>
      <c r="BA82" s="168" t="n">
        <f aca="false" t="array" ref="BA82:BA82">-BA61*INDEX(Premissas!$C$95:$G$95,BA$7)</f>
        <v>-7416.75</v>
      </c>
      <c r="BB82" s="168" t="n">
        <f aca="false" t="array" ref="BB82:BB82">-BB61*INDEX(Premissas!$C$95:$G$95,BB$7)</f>
        <v>-7727</v>
      </c>
      <c r="BC82" s="168" t="n">
        <f aca="false" t="array" ref="BC82:BC82">-BC61*INDEX(Premissas!$C$95:$G$95,BC$7)</f>
        <v>-8017.75</v>
      </c>
      <c r="BD82" s="168" t="n">
        <f aca="false" t="array" ref="BD82:BD82">-BD61*INDEX(Premissas!$C$95:$G$95,BD$7)</f>
        <v>-8290.5</v>
      </c>
      <c r="BE82" s="168" t="n">
        <f aca="false" t="array" ref="BE82:BE82">-BE61*INDEX(Premissas!$C$95:$G$95,BE$7)</f>
        <v>-8546.25</v>
      </c>
      <c r="BF82" s="168" t="n">
        <f aca="false" t="array" ref="BF82:BF82">-BF61*INDEX(Premissas!$C$95:$G$95,BF$7)</f>
        <v>-8786</v>
      </c>
      <c r="BG82" s="168" t="n">
        <f aca="false" t="array" ref="BG82:BG82">-BG61*INDEX(Premissas!$C$95:$G$95,BG$7)</f>
        <v>-9010.5</v>
      </c>
      <c r="BH82" s="168" t="n">
        <f aca="false" t="array" ref="BH82:BH82">-BH61*INDEX(Premissas!$C$95:$G$95,BH$7)</f>
        <v>-9221.25</v>
      </c>
      <c r="BI82" s="168" t="n">
        <f aca="false" t="array" ref="BI82:BI82">-BI61*INDEX(Premissas!$C$95:$G$95,BI$7)</f>
        <v>-9418.75</v>
      </c>
      <c r="BJ82" s="154" t="n">
        <f aca="false">SUM(B82:BI82)</f>
        <v>-220784.51</v>
      </c>
    </row>
    <row r="83" customFormat="false" ht="15.75" hidden="false" customHeight="true" outlineLevel="0" collapsed="false">
      <c r="A83" s="49" t="s">
        <v>760</v>
      </c>
      <c r="B83" s="168" t="n">
        <f aca="false">-Pessoas!B45</f>
        <v>-0</v>
      </c>
      <c r="C83" s="168" t="n">
        <f aca="false">-Pessoas!C45</f>
        <v>-0</v>
      </c>
      <c r="D83" s="168" t="n">
        <f aca="false">-Pessoas!D45</f>
        <v>-0</v>
      </c>
      <c r="E83" s="168" t="n">
        <f aca="false">-Pessoas!E45</f>
        <v>-0</v>
      </c>
      <c r="F83" s="168" t="n">
        <f aca="false">-Pessoas!F45</f>
        <v>-0</v>
      </c>
      <c r="G83" s="168" t="n">
        <f aca="false">-Pessoas!G45</f>
        <v>-0</v>
      </c>
      <c r="H83" s="168" t="n">
        <f aca="false">-Pessoas!H45</f>
        <v>-0</v>
      </c>
      <c r="I83" s="168" t="n">
        <f aca="false">-Pessoas!I45</f>
        <v>-0</v>
      </c>
      <c r="J83" s="168" t="n">
        <f aca="false">-Pessoas!J45</f>
        <v>-0</v>
      </c>
      <c r="K83" s="168" t="n">
        <f aca="false">-Pessoas!K45</f>
        <v>-0</v>
      </c>
      <c r="L83" s="168" t="n">
        <f aca="false">-Pessoas!L45</f>
        <v>-0</v>
      </c>
      <c r="M83" s="168" t="n">
        <f aca="false">-Pessoas!M45</f>
        <v>-0</v>
      </c>
      <c r="N83" s="168" t="n">
        <f aca="false">-Pessoas!N45</f>
        <v>-42500</v>
      </c>
      <c r="O83" s="168" t="n">
        <f aca="false">-Pessoas!O45</f>
        <v>-42500</v>
      </c>
      <c r="P83" s="168" t="n">
        <f aca="false">-Pessoas!P45</f>
        <v>-42500</v>
      </c>
      <c r="Q83" s="168" t="n">
        <f aca="false">-Pessoas!Q45</f>
        <v>-42500</v>
      </c>
      <c r="R83" s="168" t="n">
        <f aca="false">-Pessoas!R45</f>
        <v>-42500</v>
      </c>
      <c r="S83" s="168" t="n">
        <f aca="false">-Pessoas!S45</f>
        <v>-42500</v>
      </c>
      <c r="T83" s="168" t="n">
        <f aca="false">-Pessoas!T45</f>
        <v>-42500</v>
      </c>
      <c r="U83" s="168" t="n">
        <f aca="false">-Pessoas!U45</f>
        <v>-42500</v>
      </c>
      <c r="V83" s="168" t="n">
        <f aca="false">-Pessoas!V45</f>
        <v>-42500</v>
      </c>
      <c r="W83" s="168" t="n">
        <f aca="false">-Pessoas!W45</f>
        <v>-42500</v>
      </c>
      <c r="X83" s="168" t="n">
        <f aca="false">-Pessoas!X45</f>
        <v>-42500</v>
      </c>
      <c r="Y83" s="168" t="n">
        <f aca="false">-Pessoas!Y45</f>
        <v>-42500</v>
      </c>
      <c r="Z83" s="168" t="n">
        <f aca="false">-Pessoas!Z45</f>
        <v>-117500</v>
      </c>
      <c r="AA83" s="168" t="n">
        <f aca="false">-Pessoas!AA45</f>
        <v>-117500</v>
      </c>
      <c r="AB83" s="168" t="n">
        <f aca="false">-Pessoas!AB45</f>
        <v>-117500</v>
      </c>
      <c r="AC83" s="168" t="n">
        <f aca="false">-Pessoas!AC45</f>
        <v>-117500</v>
      </c>
      <c r="AD83" s="168" t="n">
        <f aca="false">-Pessoas!AD45</f>
        <v>-117500</v>
      </c>
      <c r="AE83" s="168" t="n">
        <f aca="false">-Pessoas!AE45</f>
        <v>-117500</v>
      </c>
      <c r="AF83" s="168" t="n">
        <f aca="false">-Pessoas!AF45</f>
        <v>-117500</v>
      </c>
      <c r="AG83" s="168" t="n">
        <f aca="false">-Pessoas!AG45</f>
        <v>-117500</v>
      </c>
      <c r="AH83" s="168" t="n">
        <f aca="false">-Pessoas!AH45</f>
        <v>-117500</v>
      </c>
      <c r="AI83" s="168" t="n">
        <f aca="false">-Pessoas!AI45</f>
        <v>-117500</v>
      </c>
      <c r="AJ83" s="168" t="n">
        <f aca="false">-Pessoas!AJ45</f>
        <v>-117500</v>
      </c>
      <c r="AK83" s="168" t="n">
        <f aca="false">-Pessoas!AK45</f>
        <v>-117500</v>
      </c>
      <c r="AL83" s="168" t="n">
        <f aca="false">-Pessoas!AL45</f>
        <v>-253300</v>
      </c>
      <c r="AM83" s="168" t="n">
        <f aca="false">-Pessoas!AM45</f>
        <v>-253300</v>
      </c>
      <c r="AN83" s="168" t="n">
        <f aca="false">-Pessoas!AN45</f>
        <v>-253300</v>
      </c>
      <c r="AO83" s="168" t="n">
        <f aca="false">-Pessoas!AO45</f>
        <v>-253300</v>
      </c>
      <c r="AP83" s="168" t="n">
        <f aca="false">-Pessoas!AP45</f>
        <v>-253300</v>
      </c>
      <c r="AQ83" s="168" t="n">
        <f aca="false">-Pessoas!AQ45</f>
        <v>-253300</v>
      </c>
      <c r="AR83" s="168" t="n">
        <f aca="false">-Pessoas!AR45</f>
        <v>-253300</v>
      </c>
      <c r="AS83" s="168" t="n">
        <f aca="false">-Pessoas!AS45</f>
        <v>-253300</v>
      </c>
      <c r="AT83" s="168" t="n">
        <f aca="false">-Pessoas!AT45</f>
        <v>-253300</v>
      </c>
      <c r="AU83" s="168" t="n">
        <f aca="false">-Pessoas!AU45</f>
        <v>-253300</v>
      </c>
      <c r="AV83" s="168" t="n">
        <f aca="false">-Pessoas!AV45</f>
        <v>-253300</v>
      </c>
      <c r="AW83" s="168" t="n">
        <f aca="false">-Pessoas!AW45</f>
        <v>-253300</v>
      </c>
      <c r="AX83" s="168" t="n">
        <f aca="false">-Pessoas!AX45</f>
        <v>-374300</v>
      </c>
      <c r="AY83" s="168" t="n">
        <f aca="false">-Pessoas!AY45</f>
        <v>-374300</v>
      </c>
      <c r="AZ83" s="168" t="n">
        <f aca="false">-Pessoas!AZ45</f>
        <v>-374300</v>
      </c>
      <c r="BA83" s="168" t="n">
        <f aca="false">-Pessoas!BA45</f>
        <v>-374300</v>
      </c>
      <c r="BB83" s="168" t="n">
        <f aca="false">-Pessoas!BB45</f>
        <v>-374300</v>
      </c>
      <c r="BC83" s="168" t="n">
        <f aca="false">-Pessoas!BC45</f>
        <v>-374300</v>
      </c>
      <c r="BD83" s="168" t="n">
        <f aca="false">-Pessoas!BD45</f>
        <v>-374300</v>
      </c>
      <c r="BE83" s="168" t="n">
        <f aca="false">-Pessoas!BE45</f>
        <v>-374300</v>
      </c>
      <c r="BF83" s="168" t="n">
        <f aca="false">-Pessoas!BF45</f>
        <v>-374300</v>
      </c>
      <c r="BG83" s="168" t="n">
        <f aca="false">-Pessoas!BG45</f>
        <v>-374300</v>
      </c>
      <c r="BH83" s="168" t="n">
        <f aca="false">-Pessoas!BH45</f>
        <v>-374300</v>
      </c>
      <c r="BI83" s="168" t="n">
        <f aca="false">-Pessoas!BI45</f>
        <v>-374300</v>
      </c>
      <c r="BJ83" s="154" t="n">
        <f aca="false">SUM(B83:BI83)</f>
        <v>-9451200</v>
      </c>
    </row>
    <row r="84" customFormat="false" ht="15.75" hidden="false" customHeight="true" outlineLevel="0" collapsed="false">
      <c r="A84" s="49" t="s">
        <v>413</v>
      </c>
      <c r="B84" s="168" t="n">
        <f aca="false" t="array" ref="B84:B84">-(B56*(1-INDEX(Premissas!$C$59:$G$59,B$7))*INDEX(Premissas!$C$57:$G$57,B$7)+IF(B$4&gt;=Premissas!$B$99,INDEX(Premissas!$C$98:$G$98,B$7),0)+IF(B$4=DATE(YEAR(Premissas!$B$101),MONTH(Premissas!$B$101),1),Premissas!$B$100,0))</f>
        <v>-0</v>
      </c>
      <c r="C84" s="168" t="n">
        <f aca="false" t="array" ref="C84:C84">-(C56*(1-INDEX(Premissas!$C$59:$G$59,C$7))*INDEX(Premissas!$C$57:$G$57,C$7)+IF(C$4&gt;=Premissas!$B$99,INDEX(Premissas!$C$98:$G$98,C$7),0)+IF(C$4=DATE(YEAR(Premissas!$B$101),MONTH(Premissas!$B$101),1),Premissas!$B$100,0))</f>
        <v>-0</v>
      </c>
      <c r="D84" s="168" t="n">
        <f aca="false" t="array" ref="D84:D84">-(D56*(1-INDEX(Premissas!$C$59:$G$59,D$7))*INDEX(Premissas!$C$57:$G$57,D$7)+IF(D$4&gt;=Premissas!$B$99,INDEX(Premissas!$C$98:$G$98,D$7),0)+IF(D$4=DATE(YEAR(Premissas!$B$101),MONTH(Premissas!$B$101),1),Premissas!$B$100,0))</f>
        <v>-0</v>
      </c>
      <c r="E84" s="168" t="n">
        <f aca="false" t="array" ref="E84:E84">-(E56*(1-INDEX(Premissas!$C$59:$G$59,E$7))*INDEX(Premissas!$C$57:$G$57,E$7)+IF(E$4&gt;=Premissas!$B$99,INDEX(Premissas!$C$98:$G$98,E$7),0)+IF(E$4=DATE(YEAR(Premissas!$B$101),MONTH(Premissas!$B$101),1),Premissas!$B$100,0))</f>
        <v>-0</v>
      </c>
      <c r="F84" s="168" t="n">
        <f aca="false" t="array" ref="F84:F84">-(F56*(1-INDEX(Premissas!$C$59:$G$59,F$7))*INDEX(Premissas!$C$57:$G$57,F$7)+IF(F$4&gt;=Premissas!$B$99,INDEX(Premissas!$C$98:$G$98,F$7),0)+IF(F$4=DATE(YEAR(Premissas!$B$101),MONTH(Premissas!$B$101),1),Premissas!$B$100,0))</f>
        <v>-0</v>
      </c>
      <c r="G84" s="168" t="n">
        <f aca="false" t="array" ref="G84:G84">-(G56*(1-INDEX(Premissas!$C$59:$G$59,G$7))*INDEX(Premissas!$C$57:$G$57,G$7)+IF(G$4&gt;=Premissas!$B$99,INDEX(Premissas!$C$98:$G$98,G$7),0)+IF(G$4=DATE(YEAR(Premissas!$B$101),MONTH(Premissas!$B$101),1),Premissas!$B$100,0))</f>
        <v>-0</v>
      </c>
      <c r="H84" s="168" t="n">
        <f aca="false" t="array" ref="H84:H84">-(H56*(1-INDEX(Premissas!$C$59:$G$59,H$7))*INDEX(Premissas!$C$57:$G$57,H$7)+IF(H$4&gt;=Premissas!$B$99,INDEX(Premissas!$C$98:$G$98,H$7),0)+IF(H$4=DATE(YEAR(Premissas!$B$101),MONTH(Premissas!$B$101),1),Premissas!$B$100,0))</f>
        <v>-0</v>
      </c>
      <c r="I84" s="168" t="n">
        <f aca="false" t="array" ref="I84:I84">-(I56*(1-INDEX(Premissas!$C$59:$G$59,I$7))*INDEX(Premissas!$C$57:$G$57,I$7)+IF(I$4&gt;=Premissas!$B$99,INDEX(Premissas!$C$98:$G$98,I$7),0)+IF(I$4=DATE(YEAR(Premissas!$B$101),MONTH(Premissas!$B$101),1),Premissas!$B$100,0))</f>
        <v>-0</v>
      </c>
      <c r="J84" s="168" t="n">
        <f aca="false" t="array" ref="J84:J84">-(J56*(1-INDEX(Premissas!$C$59:$G$59,J$7))*INDEX(Premissas!$C$57:$G$57,J$7)+IF(J$4&gt;=Premissas!$B$99,INDEX(Premissas!$C$98:$G$98,J$7),0)+IF(J$4=DATE(YEAR(Premissas!$B$101),MONTH(Premissas!$B$101),1),Premissas!$B$100,0))</f>
        <v>-0</v>
      </c>
      <c r="K84" s="168" t="n">
        <f aca="false" t="array" ref="K84:K84">-(K56*(1-INDEX(Premissas!$C$59:$G$59,K$7))*INDEX(Premissas!$C$57:$G$57,K$7)+IF(K$4&gt;=Premissas!$B$99,INDEX(Premissas!$C$98:$G$98,K$7),0)+IF(K$4=DATE(YEAR(Premissas!$B$101),MONTH(Premissas!$B$101),1),Premissas!$B$100,0))</f>
        <v>-0</v>
      </c>
      <c r="L84" s="168" t="n">
        <f aca="false" t="array" ref="L84:L84">-(L56*(1-INDEX(Premissas!$C$59:$G$59,L$7))*INDEX(Premissas!$C$57:$G$57,L$7)+IF(L$4&gt;=Premissas!$B$99,INDEX(Premissas!$C$98:$G$98,L$7),0)+IF(L$4=DATE(YEAR(Premissas!$B$101),MONTH(Premissas!$B$101),1),Premissas!$B$100,0))</f>
        <v>-1500</v>
      </c>
      <c r="M84" s="168" t="n">
        <f aca="false" t="array" ref="M84:M84">-(M56*(1-INDEX(Premissas!$C$59:$G$59,M$7))*INDEX(Premissas!$C$57:$G$57,M$7)+IF(M$4&gt;=Premissas!$B$99,INDEX(Premissas!$C$98:$G$98,M$7),0)+IF(M$4=DATE(YEAR(Premissas!$B$101),MONTH(Premissas!$B$101),1),Premissas!$B$100,0))</f>
        <v>-32175</v>
      </c>
      <c r="N84" s="168" t="n">
        <f aca="false" t="array" ref="N84:N84">-(N56*(1-INDEX(Premissas!$C$59:$G$59,N$7))*INDEX(Premissas!$C$57:$G$57,N$7)+IF(N$4&gt;=Premissas!$B$99,INDEX(Premissas!$C$98:$G$98,N$7),0)+IF(N$4=DATE(YEAR(Premissas!$B$101),MONTH(Premissas!$B$101),1),Premissas!$B$100,0))</f>
        <v>-58078.25</v>
      </c>
      <c r="O84" s="168" t="n">
        <f aca="false" t="array" ref="O84:O84">-(O56*(1-INDEX(Premissas!$C$59:$G$59,O$7))*INDEX(Premissas!$C$57:$G$57,O$7)+IF(O$4&gt;=Premissas!$B$99,INDEX(Premissas!$C$98:$G$98,O$7),0)+IF(O$4=DATE(YEAR(Premissas!$B$101),MONTH(Premissas!$B$101),1),Premissas!$B$100,0))</f>
        <v>-58078.25</v>
      </c>
      <c r="P84" s="168" t="n">
        <f aca="false" t="array" ref="P84:P84">-(P56*(1-INDEX(Premissas!$C$59:$G$59,P$7))*INDEX(Premissas!$C$57:$G$57,P$7)+IF(P$4&gt;=Premissas!$B$99,INDEX(Premissas!$C$98:$G$98,P$7),0)+IF(P$4=DATE(YEAR(Premissas!$B$101),MONTH(Premissas!$B$101),1),Premissas!$B$100,0))</f>
        <v>-58078.25</v>
      </c>
      <c r="Q84" s="168" t="n">
        <f aca="false" t="array" ref="Q84:Q84">-(Q56*(1-INDEX(Premissas!$C$59:$G$59,Q$7))*INDEX(Premissas!$C$57:$G$57,Q$7)+IF(Q$4&gt;=Premissas!$B$99,INDEX(Premissas!$C$98:$G$98,Q$7),0)+IF(Q$4=DATE(YEAR(Premissas!$B$101),MONTH(Premissas!$B$101),1),Premissas!$B$100,0))</f>
        <v>-58078.25</v>
      </c>
      <c r="R84" s="168" t="n">
        <f aca="false" t="array" ref="R84:R84">-(R56*(1-INDEX(Premissas!$C$59:$G$59,R$7))*INDEX(Premissas!$C$57:$G$57,R$7)+IF(R$4&gt;=Premissas!$B$99,INDEX(Premissas!$C$98:$G$98,R$7),0)+IF(R$4=DATE(YEAR(Premissas!$B$101),MONTH(Premissas!$B$101),1),Premissas!$B$100,0))</f>
        <v>-58078.25</v>
      </c>
      <c r="S84" s="168" t="n">
        <f aca="false" t="array" ref="S84:S84">-(S56*(1-INDEX(Premissas!$C$59:$G$59,S$7))*INDEX(Premissas!$C$57:$G$57,S$7)+IF(S$4&gt;=Premissas!$B$99,INDEX(Premissas!$C$98:$G$98,S$7),0)+IF(S$4=DATE(YEAR(Premissas!$B$101),MONTH(Premissas!$B$101),1),Premissas!$B$100,0))</f>
        <v>-58078.25</v>
      </c>
      <c r="T84" s="168" t="n">
        <f aca="false" t="array" ref="T84:T84">-(T56*(1-INDEX(Premissas!$C$59:$G$59,T$7))*INDEX(Premissas!$C$57:$G$57,T$7)+IF(T$4&gt;=Premissas!$B$99,INDEX(Premissas!$C$98:$G$98,T$7),0)+IF(T$4=DATE(YEAR(Premissas!$B$101),MONTH(Premissas!$B$101),1),Premissas!$B$100,0))</f>
        <v>-58078.25</v>
      </c>
      <c r="U84" s="168" t="n">
        <f aca="false" t="array" ref="U84:U84">-(U56*(1-INDEX(Premissas!$C$59:$G$59,U$7))*INDEX(Premissas!$C$57:$G$57,U$7)+IF(U$4&gt;=Premissas!$B$99,INDEX(Premissas!$C$98:$G$98,U$7),0)+IF(U$4=DATE(YEAR(Premissas!$B$101),MONTH(Premissas!$B$101),1),Premissas!$B$100,0))</f>
        <v>-58078.25</v>
      </c>
      <c r="V84" s="168" t="n">
        <f aca="false" t="array" ref="V84:V84">-(V56*(1-INDEX(Premissas!$C$59:$G$59,V$7))*INDEX(Premissas!$C$57:$G$57,V$7)+IF(V$4&gt;=Premissas!$B$99,INDEX(Premissas!$C$98:$G$98,V$7),0)+IF(V$4=DATE(YEAR(Premissas!$B$101),MONTH(Premissas!$B$101),1),Premissas!$B$100,0))</f>
        <v>-58078.25</v>
      </c>
      <c r="W84" s="168" t="n">
        <f aca="false" t="array" ref="W84:W84">-(W56*(1-INDEX(Premissas!$C$59:$G$59,W$7))*INDEX(Premissas!$C$57:$G$57,W$7)+IF(W$4&gt;=Premissas!$B$99,INDEX(Premissas!$C$98:$G$98,W$7),0)+IF(W$4=DATE(YEAR(Premissas!$B$101),MONTH(Premissas!$B$101),1),Premissas!$B$100,0))</f>
        <v>-58078.25</v>
      </c>
      <c r="X84" s="168" t="n">
        <f aca="false" t="array" ref="X84:X84">-(X56*(1-INDEX(Premissas!$C$59:$G$59,X$7))*INDEX(Premissas!$C$57:$G$57,X$7)+IF(X$4&gt;=Premissas!$B$99,INDEX(Premissas!$C$98:$G$98,X$7),0)+IF(X$4=DATE(YEAR(Premissas!$B$101),MONTH(Premissas!$B$101),1),Premissas!$B$100,0))</f>
        <v>-58078.25</v>
      </c>
      <c r="Y84" s="168" t="n">
        <f aca="false" t="array" ref="Y84:Y84">-(Y56*(1-INDEX(Premissas!$C$59:$G$59,Y$7))*INDEX(Premissas!$C$57:$G$57,Y$7)+IF(Y$4&gt;=Premissas!$B$99,INDEX(Premissas!$C$98:$G$98,Y$7),0)+IF(Y$4=DATE(YEAR(Premissas!$B$101),MONTH(Premissas!$B$101),1),Premissas!$B$100,0))</f>
        <v>-58078.25</v>
      </c>
      <c r="Z84" s="168" t="n">
        <f aca="false" t="array" ref="Z84:Z84">-(Z56*(1-INDEX(Premissas!$C$59:$G$59,Z$7))*INDEX(Premissas!$C$57:$G$57,Z$7)+IF(Z$4&gt;=Premissas!$B$99,INDEX(Premissas!$C$98:$G$98,Z$7),0)+IF(Z$4=DATE(YEAR(Premissas!$B$101),MONTH(Premissas!$B$101),1),Premissas!$B$100,0))</f>
        <v>-95520.5703125</v>
      </c>
      <c r="AA84" s="168" t="n">
        <f aca="false" t="array" ref="AA84:AA84">-(AA56*(1-INDEX(Premissas!$C$59:$G$59,AA$7))*INDEX(Premissas!$C$57:$G$57,AA$7)+IF(AA$4&gt;=Premissas!$B$99,INDEX(Premissas!$C$98:$G$98,AA$7),0)+IF(AA$4=DATE(YEAR(Premissas!$B$101),MONTH(Premissas!$B$101),1),Premissas!$B$100,0))</f>
        <v>-95520.5703125</v>
      </c>
      <c r="AB84" s="168" t="n">
        <f aca="false" t="array" ref="AB84:AB84">-(AB56*(1-INDEX(Premissas!$C$59:$G$59,AB$7))*INDEX(Premissas!$C$57:$G$57,AB$7)+IF(AB$4&gt;=Premissas!$B$99,INDEX(Premissas!$C$98:$G$98,AB$7),0)+IF(AB$4=DATE(YEAR(Premissas!$B$101),MONTH(Premissas!$B$101),1),Premissas!$B$100,0))</f>
        <v>-95520.5703125</v>
      </c>
      <c r="AC84" s="168" t="n">
        <f aca="false" t="array" ref="AC84:AC84">-(AC56*(1-INDEX(Premissas!$C$59:$G$59,AC$7))*INDEX(Premissas!$C$57:$G$57,AC$7)+IF(AC$4&gt;=Premissas!$B$99,INDEX(Premissas!$C$98:$G$98,AC$7),0)+IF(AC$4=DATE(YEAR(Premissas!$B$101),MONTH(Premissas!$B$101),1),Premissas!$B$100,0))</f>
        <v>-95520.5703125</v>
      </c>
      <c r="AD84" s="168" t="n">
        <f aca="false" t="array" ref="AD84:AD84">-(AD56*(1-INDEX(Premissas!$C$59:$G$59,AD$7))*INDEX(Premissas!$C$57:$G$57,AD$7)+IF(AD$4&gt;=Premissas!$B$99,INDEX(Premissas!$C$98:$G$98,AD$7),0)+IF(AD$4=DATE(YEAR(Premissas!$B$101),MONTH(Premissas!$B$101),1),Premissas!$B$100,0))</f>
        <v>-95520.5703125</v>
      </c>
      <c r="AE84" s="168" t="n">
        <f aca="false" t="array" ref="AE84:AE84">-(AE56*(1-INDEX(Premissas!$C$59:$G$59,AE$7))*INDEX(Premissas!$C$57:$G$57,AE$7)+IF(AE$4&gt;=Premissas!$B$99,INDEX(Premissas!$C$98:$G$98,AE$7),0)+IF(AE$4=DATE(YEAR(Premissas!$B$101),MONTH(Premissas!$B$101),1),Premissas!$B$100,0))</f>
        <v>-95520.5703125</v>
      </c>
      <c r="AF84" s="168" t="n">
        <f aca="false" t="array" ref="AF84:AF84">-(AF56*(1-INDEX(Premissas!$C$59:$G$59,AF$7))*INDEX(Premissas!$C$57:$G$57,AF$7)+IF(AF$4&gt;=Premissas!$B$99,INDEX(Premissas!$C$98:$G$98,AF$7),0)+IF(AF$4=DATE(YEAR(Premissas!$B$101),MONTH(Premissas!$B$101),1),Premissas!$B$100,0))</f>
        <v>-95520.5703125</v>
      </c>
      <c r="AG84" s="168" t="n">
        <f aca="false" t="array" ref="AG84:AG84">-(AG56*(1-INDEX(Premissas!$C$59:$G$59,AG$7))*INDEX(Premissas!$C$57:$G$57,AG$7)+IF(AG$4&gt;=Premissas!$B$99,INDEX(Premissas!$C$98:$G$98,AG$7),0)+IF(AG$4=DATE(YEAR(Premissas!$B$101),MONTH(Premissas!$B$101),1),Premissas!$B$100,0))</f>
        <v>-95520.5703125</v>
      </c>
      <c r="AH84" s="168" t="n">
        <f aca="false" t="array" ref="AH84:AH84">-(AH56*(1-INDEX(Premissas!$C$59:$G$59,AH$7))*INDEX(Premissas!$C$57:$G$57,AH$7)+IF(AH$4&gt;=Premissas!$B$99,INDEX(Premissas!$C$98:$G$98,AH$7),0)+IF(AH$4=DATE(YEAR(Premissas!$B$101),MONTH(Premissas!$B$101),1),Premissas!$B$100,0))</f>
        <v>-95520.5703125</v>
      </c>
      <c r="AI84" s="168" t="n">
        <f aca="false" t="array" ref="AI84:AI84">-(AI56*(1-INDEX(Premissas!$C$59:$G$59,AI$7))*INDEX(Premissas!$C$57:$G$57,AI$7)+IF(AI$4&gt;=Premissas!$B$99,INDEX(Premissas!$C$98:$G$98,AI$7),0)+IF(AI$4=DATE(YEAR(Premissas!$B$101),MONTH(Premissas!$B$101),1),Premissas!$B$100,0))</f>
        <v>-95520.5703125</v>
      </c>
      <c r="AJ84" s="168" t="n">
        <f aca="false" t="array" ref="AJ84:AJ84">-(AJ56*(1-INDEX(Premissas!$C$59:$G$59,AJ$7))*INDEX(Premissas!$C$57:$G$57,AJ$7)+IF(AJ$4&gt;=Premissas!$B$99,INDEX(Premissas!$C$98:$G$98,AJ$7),0)+IF(AJ$4=DATE(YEAR(Premissas!$B$101),MONTH(Premissas!$B$101),1),Premissas!$B$100,0))</f>
        <v>-95520.5703125</v>
      </c>
      <c r="AK84" s="168" t="n">
        <f aca="false" t="array" ref="AK84:AK84">-(AK56*(1-INDEX(Premissas!$C$59:$G$59,AK$7))*INDEX(Premissas!$C$57:$G$57,AK$7)+IF(AK$4&gt;=Premissas!$B$99,INDEX(Premissas!$C$98:$G$98,AK$7),0)+IF(AK$4=DATE(YEAR(Premissas!$B$101),MONTH(Premissas!$B$101),1),Premissas!$B$100,0))</f>
        <v>-95520.5703125</v>
      </c>
      <c r="AL84" s="168" t="n">
        <f aca="false" t="array" ref="AL84:AL84">-(AL56*(1-INDEX(Premissas!$C$59:$G$59,AL$7))*INDEX(Premissas!$C$57:$G$57,AL$7)+IF(AL$4&gt;=Premissas!$B$99,INDEX(Premissas!$C$98:$G$98,AL$7),0)+IF(AL$4=DATE(YEAR(Premissas!$B$101),MONTH(Premissas!$B$101),1),Premissas!$B$100,0))</f>
        <v>-156004.999921875</v>
      </c>
      <c r="AM84" s="168" t="n">
        <f aca="false" t="array" ref="AM84:AM84">-(AM56*(1-INDEX(Premissas!$C$59:$G$59,AM$7))*INDEX(Premissas!$C$57:$G$57,AM$7)+IF(AM$4&gt;=Premissas!$B$99,INDEX(Premissas!$C$98:$G$98,AM$7),0)+IF(AM$4=DATE(YEAR(Premissas!$B$101),MONTH(Premissas!$B$101),1),Premissas!$B$100,0))</f>
        <v>-156004.999921875</v>
      </c>
      <c r="AN84" s="168" t="n">
        <f aca="false" t="array" ref="AN84:AN84">-(AN56*(1-INDEX(Premissas!$C$59:$G$59,AN$7))*INDEX(Premissas!$C$57:$G$57,AN$7)+IF(AN$4&gt;=Premissas!$B$99,INDEX(Premissas!$C$98:$G$98,AN$7),0)+IF(AN$4=DATE(YEAR(Premissas!$B$101),MONTH(Premissas!$B$101),1),Premissas!$B$100,0))</f>
        <v>-156004.999921875</v>
      </c>
      <c r="AO84" s="168" t="n">
        <f aca="false" t="array" ref="AO84:AO84">-(AO56*(1-INDEX(Premissas!$C$59:$G$59,AO$7))*INDEX(Premissas!$C$57:$G$57,AO$7)+IF(AO$4&gt;=Premissas!$B$99,INDEX(Premissas!$C$98:$G$98,AO$7),0)+IF(AO$4=DATE(YEAR(Premissas!$B$101),MONTH(Premissas!$B$101),1),Premissas!$B$100,0))</f>
        <v>-156004.999921875</v>
      </c>
      <c r="AP84" s="168" t="n">
        <f aca="false" t="array" ref="AP84:AP84">-(AP56*(1-INDEX(Premissas!$C$59:$G$59,AP$7))*INDEX(Premissas!$C$57:$G$57,AP$7)+IF(AP$4&gt;=Premissas!$B$99,INDEX(Premissas!$C$98:$G$98,AP$7),0)+IF(AP$4=DATE(YEAR(Premissas!$B$101),MONTH(Premissas!$B$101),1),Premissas!$B$100,0))</f>
        <v>-156004.999921875</v>
      </c>
      <c r="AQ84" s="168" t="n">
        <f aca="false" t="array" ref="AQ84:AQ84">-(AQ56*(1-INDEX(Premissas!$C$59:$G$59,AQ$7))*INDEX(Premissas!$C$57:$G$57,AQ$7)+IF(AQ$4&gt;=Premissas!$B$99,INDEX(Premissas!$C$98:$G$98,AQ$7),0)+IF(AQ$4=DATE(YEAR(Premissas!$B$101),MONTH(Premissas!$B$101),1),Premissas!$B$100,0))</f>
        <v>-156004.999921875</v>
      </c>
      <c r="AR84" s="168" t="n">
        <f aca="false" t="array" ref="AR84:AR84">-(AR56*(1-INDEX(Premissas!$C$59:$G$59,AR$7))*INDEX(Premissas!$C$57:$G$57,AR$7)+IF(AR$4&gt;=Premissas!$B$99,INDEX(Premissas!$C$98:$G$98,AR$7),0)+IF(AR$4=DATE(YEAR(Premissas!$B$101),MONTH(Premissas!$B$101),1),Premissas!$B$100,0))</f>
        <v>-156004.999921875</v>
      </c>
      <c r="AS84" s="168" t="n">
        <f aca="false" t="array" ref="AS84:AS84">-(AS56*(1-INDEX(Premissas!$C$59:$G$59,AS$7))*INDEX(Premissas!$C$57:$G$57,AS$7)+IF(AS$4&gt;=Premissas!$B$99,INDEX(Premissas!$C$98:$G$98,AS$7),0)+IF(AS$4=DATE(YEAR(Premissas!$B$101),MONTH(Premissas!$B$101),1),Premissas!$B$100,0))</f>
        <v>-156004.999921875</v>
      </c>
      <c r="AT84" s="168" t="n">
        <f aca="false" t="array" ref="AT84:AT84">-(AT56*(1-INDEX(Premissas!$C$59:$G$59,AT$7))*INDEX(Premissas!$C$57:$G$57,AT$7)+IF(AT$4&gt;=Premissas!$B$99,INDEX(Premissas!$C$98:$G$98,AT$7),0)+IF(AT$4=DATE(YEAR(Premissas!$B$101),MONTH(Premissas!$B$101),1),Premissas!$B$100,0))</f>
        <v>-156004.999921875</v>
      </c>
      <c r="AU84" s="168" t="n">
        <f aca="false" t="array" ref="AU84:AU84">-(AU56*(1-INDEX(Premissas!$C$59:$G$59,AU$7))*INDEX(Premissas!$C$57:$G$57,AU$7)+IF(AU$4&gt;=Premissas!$B$99,INDEX(Premissas!$C$98:$G$98,AU$7),0)+IF(AU$4=DATE(YEAR(Premissas!$B$101),MONTH(Premissas!$B$101),1),Premissas!$B$100,0))</f>
        <v>-156004.999921875</v>
      </c>
      <c r="AV84" s="168" t="n">
        <f aca="false" t="array" ref="AV84:AV84">-(AV56*(1-INDEX(Premissas!$C$59:$G$59,AV$7))*INDEX(Premissas!$C$57:$G$57,AV$7)+IF(AV$4&gt;=Premissas!$B$99,INDEX(Premissas!$C$98:$G$98,AV$7),0)+IF(AV$4=DATE(YEAR(Premissas!$B$101),MONTH(Premissas!$B$101),1),Premissas!$B$100,0))</f>
        <v>-156004.999921875</v>
      </c>
      <c r="AW84" s="168" t="n">
        <f aca="false" t="array" ref="AW84:AW84">-(AW56*(1-INDEX(Premissas!$C$59:$G$59,AW$7))*INDEX(Premissas!$C$57:$G$57,AW$7)+IF(AW$4&gt;=Premissas!$B$99,INDEX(Premissas!$C$98:$G$98,AW$7),0)+IF(AW$4=DATE(YEAR(Premissas!$B$101),MONTH(Premissas!$B$101),1),Premissas!$B$100,0))</f>
        <v>-156004.999921875</v>
      </c>
      <c r="AX84" s="168" t="n">
        <f aca="false" t="array" ref="AX84:AX84">-(AX56*(1-INDEX(Premissas!$C$59:$G$59,AX$7))*INDEX(Premissas!$C$57:$G$57,AX$7)+IF(AX$4&gt;=Premissas!$B$99,INDEX(Premissas!$C$98:$G$98,AX$7),0)+IF(AX$4=DATE(YEAR(Premissas!$B$101),MONTH(Premissas!$B$101),1),Premissas!$B$100,0))</f>
        <v>-255395.443417969</v>
      </c>
      <c r="AY84" s="168" t="n">
        <f aca="false" t="array" ref="AY84:AY84">-(AY56*(1-INDEX(Premissas!$C$59:$G$59,AY$7))*INDEX(Premissas!$C$57:$G$57,AY$7)+IF(AY$4&gt;=Premissas!$B$99,INDEX(Premissas!$C$98:$G$98,AY$7),0)+IF(AY$4=DATE(YEAR(Premissas!$B$101),MONTH(Premissas!$B$101),1),Premissas!$B$100,0))</f>
        <v>-255395.443417969</v>
      </c>
      <c r="AZ84" s="168" t="n">
        <f aca="false" t="array" ref="AZ84:AZ84">-(AZ56*(1-INDEX(Premissas!$C$59:$G$59,AZ$7))*INDEX(Premissas!$C$57:$G$57,AZ$7)+IF(AZ$4&gt;=Premissas!$B$99,INDEX(Premissas!$C$98:$G$98,AZ$7),0)+IF(AZ$4=DATE(YEAR(Premissas!$B$101),MONTH(Premissas!$B$101),1),Premissas!$B$100,0))</f>
        <v>-255395.443417969</v>
      </c>
      <c r="BA84" s="168" t="n">
        <f aca="false" t="array" ref="BA84:BA84">-(BA56*(1-INDEX(Premissas!$C$59:$G$59,BA$7))*INDEX(Premissas!$C$57:$G$57,BA$7)+IF(BA$4&gt;=Premissas!$B$99,INDEX(Premissas!$C$98:$G$98,BA$7),0)+IF(BA$4=DATE(YEAR(Premissas!$B$101),MONTH(Premissas!$B$101),1),Premissas!$B$100,0))</f>
        <v>-255395.443417969</v>
      </c>
      <c r="BB84" s="168" t="n">
        <f aca="false" t="array" ref="BB84:BB84">-(BB56*(1-INDEX(Premissas!$C$59:$G$59,BB$7))*INDEX(Premissas!$C$57:$G$57,BB$7)+IF(BB$4&gt;=Premissas!$B$99,INDEX(Premissas!$C$98:$G$98,BB$7),0)+IF(BB$4=DATE(YEAR(Premissas!$B$101),MONTH(Premissas!$B$101),1),Premissas!$B$100,0))</f>
        <v>-255395.443417969</v>
      </c>
      <c r="BC84" s="168" t="n">
        <f aca="false" t="array" ref="BC84:BC84">-(BC56*(1-INDEX(Premissas!$C$59:$G$59,BC$7))*INDEX(Premissas!$C$57:$G$57,BC$7)+IF(BC$4&gt;=Premissas!$B$99,INDEX(Premissas!$C$98:$G$98,BC$7),0)+IF(BC$4=DATE(YEAR(Premissas!$B$101),MONTH(Premissas!$B$101),1),Premissas!$B$100,0))</f>
        <v>-255395.443417969</v>
      </c>
      <c r="BD84" s="168" t="n">
        <f aca="false" t="array" ref="BD84:BD84">-(BD56*(1-INDEX(Premissas!$C$59:$G$59,BD$7))*INDEX(Premissas!$C$57:$G$57,BD$7)+IF(BD$4&gt;=Premissas!$B$99,INDEX(Premissas!$C$98:$G$98,BD$7),0)+IF(BD$4=DATE(YEAR(Premissas!$B$101),MONTH(Premissas!$B$101),1),Premissas!$B$100,0))</f>
        <v>-255395.443417969</v>
      </c>
      <c r="BE84" s="168" t="n">
        <f aca="false" t="array" ref="BE84:BE84">-(BE56*(1-INDEX(Premissas!$C$59:$G$59,BE$7))*INDEX(Premissas!$C$57:$G$57,BE$7)+IF(BE$4&gt;=Premissas!$B$99,INDEX(Premissas!$C$98:$G$98,BE$7),0)+IF(BE$4=DATE(YEAR(Premissas!$B$101),MONTH(Premissas!$B$101),1),Premissas!$B$100,0))</f>
        <v>-255395.443417969</v>
      </c>
      <c r="BF84" s="168" t="n">
        <f aca="false" t="array" ref="BF84:BF84">-(BF56*(1-INDEX(Premissas!$C$59:$G$59,BF$7))*INDEX(Premissas!$C$57:$G$57,BF$7)+IF(BF$4&gt;=Premissas!$B$99,INDEX(Premissas!$C$98:$G$98,BF$7),0)+IF(BF$4=DATE(YEAR(Premissas!$B$101),MONTH(Premissas!$B$101),1),Premissas!$B$100,0))</f>
        <v>-255395.443417969</v>
      </c>
      <c r="BG84" s="168" t="n">
        <f aca="false" t="array" ref="BG84:BG84">-(BG56*(1-INDEX(Premissas!$C$59:$G$59,BG$7))*INDEX(Premissas!$C$57:$G$57,BG$7)+IF(BG$4&gt;=Premissas!$B$99,INDEX(Premissas!$C$98:$G$98,BG$7),0)+IF(BG$4=DATE(YEAR(Premissas!$B$101),MONTH(Premissas!$B$101),1),Premissas!$B$100,0))</f>
        <v>-255395.443417969</v>
      </c>
      <c r="BH84" s="168" t="n">
        <f aca="false" t="array" ref="BH84:BH84">-(BH56*(1-INDEX(Premissas!$C$59:$G$59,BH$7))*INDEX(Premissas!$C$57:$G$57,BH$7)+IF(BH$4&gt;=Premissas!$B$99,INDEX(Premissas!$C$98:$G$98,BH$7),0)+IF(BH$4=DATE(YEAR(Premissas!$B$101),MONTH(Premissas!$B$101),1),Premissas!$B$100,0))</f>
        <v>-255395.443417969</v>
      </c>
      <c r="BI84" s="168" t="n">
        <f aca="false" t="array" ref="BI84:BI84">-(BI56*(1-INDEX(Premissas!$C$59:$G$59,BI$7))*INDEX(Premissas!$C$57:$G$57,BI$7)+IF(BI$4&gt;=Premissas!$B$99,INDEX(Premissas!$C$98:$G$98,BI$7),0)+IF(BI$4=DATE(YEAR(Premissas!$B$101),MONTH(Premissas!$B$101),1),Premissas!$B$100,0))</f>
        <v>-255395.443417969</v>
      </c>
      <c r="BJ84" s="154" t="n">
        <f aca="false">SUM(B84:BI84)</f>
        <v>-6813666.16382812</v>
      </c>
    </row>
    <row r="85" customFormat="false" ht="15.75" hidden="false" customHeight="true" outlineLevel="0" collapsed="false">
      <c r="A85" s="49" t="s">
        <v>415</v>
      </c>
      <c r="B85" s="168" t="n">
        <f aca="false" t="array" ref="B85:B85">-IF(B$4&gt;=Premissas!$B$96,INDEX(Premissas!$C$97:$G$97,B$7),0)</f>
        <v>-0</v>
      </c>
      <c r="C85" s="168" t="n">
        <f aca="false" t="array" ref="C85:C85">-IF(C$4&gt;=Premissas!$B$96,INDEX(Premissas!$C$97:$G$97,C$7),0)</f>
        <v>-0</v>
      </c>
      <c r="D85" s="168" t="n">
        <f aca="false" t="array" ref="D85:D85">-IF(D$4&gt;=Premissas!$B$96,INDEX(Premissas!$C$97:$G$97,D$7),0)</f>
        <v>-0</v>
      </c>
      <c r="E85" s="168" t="n">
        <f aca="false" t="array" ref="E85:E85">-IF(E$4&gt;=Premissas!$B$96,INDEX(Premissas!$C$97:$G$97,E$7),0)</f>
        <v>-0</v>
      </c>
      <c r="F85" s="168" t="n">
        <f aca="false" t="array" ref="F85:F85">-IF(F$4&gt;=Premissas!$B$96,INDEX(Premissas!$C$97:$G$97,F$7),0)</f>
        <v>-0</v>
      </c>
      <c r="G85" s="168" t="n">
        <f aca="false" t="array" ref="G85:G85">-IF(G$4&gt;=Premissas!$B$96,INDEX(Premissas!$C$97:$G$97,G$7),0)</f>
        <v>-0</v>
      </c>
      <c r="H85" s="168" t="n">
        <f aca="false" t="array" ref="H85:H85">-IF(H$4&gt;=Premissas!$B$96,INDEX(Premissas!$C$97:$G$97,H$7),0)</f>
        <v>-0</v>
      </c>
      <c r="I85" s="168" t="n">
        <f aca="false" t="array" ref="I85:I85">-IF(I$4&gt;=Premissas!$B$96,INDEX(Premissas!$C$97:$G$97,I$7),0)</f>
        <v>-0</v>
      </c>
      <c r="J85" s="168" t="n">
        <f aca="false" t="array" ref="J85:J85">-IF(J$4&gt;=Premissas!$B$96,INDEX(Premissas!$C$97:$G$97,J$7),0)</f>
        <v>-0</v>
      </c>
      <c r="K85" s="168" t="n">
        <f aca="false" t="array" ref="K85:K85">-IF(K$4&gt;=Premissas!$B$96,INDEX(Premissas!$C$97:$G$97,K$7),0)</f>
        <v>-0</v>
      </c>
      <c r="L85" s="168" t="n">
        <f aca="false" t="array" ref="L85:L85">-IF(L$4&gt;=Premissas!$B$96,INDEX(Premissas!$C$97:$G$97,L$7),0)</f>
        <v>-0</v>
      </c>
      <c r="M85" s="168" t="n">
        <f aca="false" t="array" ref="M85:M85">-IF(M$4&gt;=Premissas!$B$96,INDEX(Premissas!$C$97:$G$97,M$7),0)</f>
        <v>-0</v>
      </c>
      <c r="N85" s="168" t="n">
        <f aca="false" t="array" ref="N85:N85">-IF(N$4&gt;=Premissas!$B$96,INDEX(Premissas!$C$97:$G$97,N$7),0)</f>
        <v>-166.666666666667</v>
      </c>
      <c r="O85" s="168" t="n">
        <f aca="false" t="array" ref="O85:O85">-IF(O$4&gt;=Premissas!$B$96,INDEX(Premissas!$C$97:$G$97,O$7),0)</f>
        <v>-166.666666666667</v>
      </c>
      <c r="P85" s="168" t="n">
        <f aca="false" t="array" ref="P85:P85">-IF(P$4&gt;=Premissas!$B$96,INDEX(Premissas!$C$97:$G$97,P$7),0)</f>
        <v>-166.666666666667</v>
      </c>
      <c r="Q85" s="168" t="n">
        <f aca="false" t="array" ref="Q85:Q85">-IF(Q$4&gt;=Premissas!$B$96,INDEX(Premissas!$C$97:$G$97,Q$7),0)</f>
        <v>-166.666666666667</v>
      </c>
      <c r="R85" s="168" t="n">
        <f aca="false" t="array" ref="R85:R85">-IF(R$4&gt;=Premissas!$B$96,INDEX(Premissas!$C$97:$G$97,R$7),0)</f>
        <v>-166.666666666667</v>
      </c>
      <c r="S85" s="168" t="n">
        <f aca="false" t="array" ref="S85:S85">-IF(S$4&gt;=Premissas!$B$96,INDEX(Premissas!$C$97:$G$97,S$7),0)</f>
        <v>-166.666666666667</v>
      </c>
      <c r="T85" s="168" t="n">
        <f aca="false" t="array" ref="T85:T85">-IF(T$4&gt;=Premissas!$B$96,INDEX(Premissas!$C$97:$G$97,T$7),0)</f>
        <v>-166.666666666667</v>
      </c>
      <c r="U85" s="168" t="n">
        <f aca="false" t="array" ref="U85:U85">-IF(U$4&gt;=Premissas!$B$96,INDEX(Premissas!$C$97:$G$97,U$7),0)</f>
        <v>-166.666666666667</v>
      </c>
      <c r="V85" s="168" t="n">
        <f aca="false" t="array" ref="V85:V85">-IF(V$4&gt;=Premissas!$B$96,INDEX(Premissas!$C$97:$G$97,V$7),0)</f>
        <v>-166.666666666667</v>
      </c>
      <c r="W85" s="168" t="n">
        <f aca="false" t="array" ref="W85:W85">-IF(W$4&gt;=Premissas!$B$96,INDEX(Premissas!$C$97:$G$97,W$7),0)</f>
        <v>-166.666666666667</v>
      </c>
      <c r="X85" s="168" t="n">
        <f aca="false" t="array" ref="X85:X85">-IF(X$4&gt;=Premissas!$B$96,INDEX(Premissas!$C$97:$G$97,X$7),0)</f>
        <v>-166.666666666667</v>
      </c>
      <c r="Y85" s="168" t="n">
        <f aca="false" t="array" ref="Y85:Y85">-IF(Y$4&gt;=Premissas!$B$96,INDEX(Premissas!$C$97:$G$97,Y$7),0)</f>
        <v>-166.666666666667</v>
      </c>
      <c r="Z85" s="168" t="n">
        <f aca="false" t="array" ref="Z85:Z85">-IF(Z$4&gt;=Premissas!$B$96,INDEX(Premissas!$C$97:$G$97,Z$7),0)</f>
        <v>-416.666666666667</v>
      </c>
      <c r="AA85" s="168" t="n">
        <f aca="false" t="array" ref="AA85:AA85">-IF(AA$4&gt;=Premissas!$B$96,INDEX(Premissas!$C$97:$G$97,AA$7),0)</f>
        <v>-416.666666666667</v>
      </c>
      <c r="AB85" s="168" t="n">
        <f aca="false" t="array" ref="AB85:AB85">-IF(AB$4&gt;=Premissas!$B$96,INDEX(Premissas!$C$97:$G$97,AB$7),0)</f>
        <v>-416.666666666667</v>
      </c>
      <c r="AC85" s="168" t="n">
        <f aca="false" t="array" ref="AC85:AC85">-IF(AC$4&gt;=Premissas!$B$96,INDEX(Premissas!$C$97:$G$97,AC$7),0)</f>
        <v>-416.666666666667</v>
      </c>
      <c r="AD85" s="168" t="n">
        <f aca="false" t="array" ref="AD85:AD85">-IF(AD$4&gt;=Premissas!$B$96,INDEX(Premissas!$C$97:$G$97,AD$7),0)</f>
        <v>-416.666666666667</v>
      </c>
      <c r="AE85" s="168" t="n">
        <f aca="false" t="array" ref="AE85:AE85">-IF(AE$4&gt;=Premissas!$B$96,INDEX(Premissas!$C$97:$G$97,AE$7),0)</f>
        <v>-416.666666666667</v>
      </c>
      <c r="AF85" s="168" t="n">
        <f aca="false" t="array" ref="AF85:AF85">-IF(AF$4&gt;=Premissas!$B$96,INDEX(Premissas!$C$97:$G$97,AF$7),0)</f>
        <v>-416.666666666667</v>
      </c>
      <c r="AG85" s="168" t="n">
        <f aca="false" t="array" ref="AG85:AG85">-IF(AG$4&gt;=Premissas!$B$96,INDEX(Premissas!$C$97:$G$97,AG$7),0)</f>
        <v>-416.666666666667</v>
      </c>
      <c r="AH85" s="168" t="n">
        <f aca="false" t="array" ref="AH85:AH85">-IF(AH$4&gt;=Premissas!$B$96,INDEX(Premissas!$C$97:$G$97,AH$7),0)</f>
        <v>-416.666666666667</v>
      </c>
      <c r="AI85" s="168" t="n">
        <f aca="false" t="array" ref="AI85:AI85">-IF(AI$4&gt;=Premissas!$B$96,INDEX(Premissas!$C$97:$G$97,AI$7),0)</f>
        <v>-416.666666666667</v>
      </c>
      <c r="AJ85" s="168" t="n">
        <f aca="false" t="array" ref="AJ85:AJ85">-IF(AJ$4&gt;=Premissas!$B$96,INDEX(Premissas!$C$97:$G$97,AJ$7),0)</f>
        <v>-416.666666666667</v>
      </c>
      <c r="AK85" s="168" t="n">
        <f aca="false" t="array" ref="AK85:AK85">-IF(AK$4&gt;=Premissas!$B$96,INDEX(Premissas!$C$97:$G$97,AK$7),0)</f>
        <v>-416.666666666667</v>
      </c>
      <c r="AL85" s="168" t="n">
        <f aca="false" t="array" ref="AL85:AL85">-IF(AL$4&gt;=Premissas!$B$96,INDEX(Premissas!$C$97:$G$97,AL$7),0)</f>
        <v>-833.333333333333</v>
      </c>
      <c r="AM85" s="168" t="n">
        <f aca="false" t="array" ref="AM85:AM85">-IF(AM$4&gt;=Premissas!$B$96,INDEX(Premissas!$C$97:$G$97,AM$7),0)</f>
        <v>-833.333333333333</v>
      </c>
      <c r="AN85" s="168" t="n">
        <f aca="false" t="array" ref="AN85:AN85">-IF(AN$4&gt;=Premissas!$B$96,INDEX(Premissas!$C$97:$G$97,AN$7),0)</f>
        <v>-833.333333333333</v>
      </c>
      <c r="AO85" s="168" t="n">
        <f aca="false" t="array" ref="AO85:AO85">-IF(AO$4&gt;=Premissas!$B$96,INDEX(Premissas!$C$97:$G$97,AO$7),0)</f>
        <v>-833.333333333333</v>
      </c>
      <c r="AP85" s="168" t="n">
        <f aca="false" t="array" ref="AP85:AP85">-IF(AP$4&gt;=Premissas!$B$96,INDEX(Premissas!$C$97:$G$97,AP$7),0)</f>
        <v>-833.333333333333</v>
      </c>
      <c r="AQ85" s="168" t="n">
        <f aca="false" t="array" ref="AQ85:AQ85">-IF(AQ$4&gt;=Premissas!$B$96,INDEX(Premissas!$C$97:$G$97,AQ$7),0)</f>
        <v>-833.333333333333</v>
      </c>
      <c r="AR85" s="168" t="n">
        <f aca="false" t="array" ref="AR85:AR85">-IF(AR$4&gt;=Premissas!$B$96,INDEX(Premissas!$C$97:$G$97,AR$7),0)</f>
        <v>-833.333333333333</v>
      </c>
      <c r="AS85" s="168" t="n">
        <f aca="false" t="array" ref="AS85:AS85">-IF(AS$4&gt;=Premissas!$B$96,INDEX(Premissas!$C$97:$G$97,AS$7),0)</f>
        <v>-833.333333333333</v>
      </c>
      <c r="AT85" s="168" t="n">
        <f aca="false" t="array" ref="AT85:AT85">-IF(AT$4&gt;=Premissas!$B$96,INDEX(Premissas!$C$97:$G$97,AT$7),0)</f>
        <v>-833.333333333333</v>
      </c>
      <c r="AU85" s="168" t="n">
        <f aca="false" t="array" ref="AU85:AU85">-IF(AU$4&gt;=Premissas!$B$96,INDEX(Premissas!$C$97:$G$97,AU$7),0)</f>
        <v>-833.333333333333</v>
      </c>
      <c r="AV85" s="168" t="n">
        <f aca="false" t="array" ref="AV85:AV85">-IF(AV$4&gt;=Premissas!$B$96,INDEX(Premissas!$C$97:$G$97,AV$7),0)</f>
        <v>-833.333333333333</v>
      </c>
      <c r="AW85" s="168" t="n">
        <f aca="false" t="array" ref="AW85:AW85">-IF(AW$4&gt;=Premissas!$B$96,INDEX(Premissas!$C$97:$G$97,AW$7),0)</f>
        <v>-833.333333333333</v>
      </c>
      <c r="AX85" s="168" t="n">
        <f aca="false" t="array" ref="AX85:AX85">-IF(AX$4&gt;=Premissas!$B$96,INDEX(Premissas!$C$97:$G$97,AX$7),0)</f>
        <v>-1666.66666666667</v>
      </c>
      <c r="AY85" s="168" t="n">
        <f aca="false" t="array" ref="AY85:AY85">-IF(AY$4&gt;=Premissas!$B$96,INDEX(Premissas!$C$97:$G$97,AY$7),0)</f>
        <v>-1666.66666666667</v>
      </c>
      <c r="AZ85" s="168" t="n">
        <f aca="false" t="array" ref="AZ85:AZ85">-IF(AZ$4&gt;=Premissas!$B$96,INDEX(Premissas!$C$97:$G$97,AZ$7),0)</f>
        <v>-1666.66666666667</v>
      </c>
      <c r="BA85" s="168" t="n">
        <f aca="false" t="array" ref="BA85:BA85">-IF(BA$4&gt;=Premissas!$B$96,INDEX(Premissas!$C$97:$G$97,BA$7),0)</f>
        <v>-1666.66666666667</v>
      </c>
      <c r="BB85" s="168" t="n">
        <f aca="false" t="array" ref="BB85:BB85">-IF(BB$4&gt;=Premissas!$B$96,INDEX(Premissas!$C$97:$G$97,BB$7),0)</f>
        <v>-1666.66666666667</v>
      </c>
      <c r="BC85" s="168" t="n">
        <f aca="false" t="array" ref="BC85:BC85">-IF(BC$4&gt;=Premissas!$B$96,INDEX(Premissas!$C$97:$G$97,BC$7),0)</f>
        <v>-1666.66666666667</v>
      </c>
      <c r="BD85" s="168" t="n">
        <f aca="false" t="array" ref="BD85:BD85">-IF(BD$4&gt;=Premissas!$B$96,INDEX(Premissas!$C$97:$G$97,BD$7),0)</f>
        <v>-1666.66666666667</v>
      </c>
      <c r="BE85" s="168" t="n">
        <f aca="false" t="array" ref="BE85:BE85">-IF(BE$4&gt;=Premissas!$B$96,INDEX(Premissas!$C$97:$G$97,BE$7),0)</f>
        <v>-1666.66666666667</v>
      </c>
      <c r="BF85" s="168" t="n">
        <f aca="false" t="array" ref="BF85:BF85">-IF(BF$4&gt;=Premissas!$B$96,INDEX(Premissas!$C$97:$G$97,BF$7),0)</f>
        <v>-1666.66666666667</v>
      </c>
      <c r="BG85" s="168" t="n">
        <f aca="false" t="array" ref="BG85:BG85">-IF(BG$4&gt;=Premissas!$B$96,INDEX(Premissas!$C$97:$G$97,BG$7),0)</f>
        <v>-1666.66666666667</v>
      </c>
      <c r="BH85" s="168" t="n">
        <f aca="false" t="array" ref="BH85:BH85">-IF(BH$4&gt;=Premissas!$B$96,INDEX(Premissas!$C$97:$G$97,BH$7),0)</f>
        <v>-1666.66666666667</v>
      </c>
      <c r="BI85" s="168" t="n">
        <f aca="false" t="array" ref="BI85:BI85">-IF(BI$4&gt;=Premissas!$B$96,INDEX(Premissas!$C$97:$G$97,BI$7),0)</f>
        <v>-1666.66666666667</v>
      </c>
      <c r="BJ85" s="154" t="n">
        <f aca="false">SUM(B85:BI85)</f>
        <v>-37000</v>
      </c>
    </row>
    <row r="86" customFormat="false" ht="15.75" hidden="false" customHeight="true" outlineLevel="0" collapsed="false">
      <c r="A86" s="53" t="s">
        <v>761</v>
      </c>
      <c r="B86" s="154" t="n">
        <f aca="false">SUM(B80:B85)</f>
        <v>0</v>
      </c>
      <c r="C86" s="154" t="n">
        <f aca="false">SUM(C80:C85)</f>
        <v>0</v>
      </c>
      <c r="D86" s="154" t="n">
        <f aca="false">SUM(D80:D85)</f>
        <v>0</v>
      </c>
      <c r="E86" s="154" t="n">
        <f aca="false">SUM(E80:E85)</f>
        <v>0</v>
      </c>
      <c r="F86" s="154" t="n">
        <f aca="false">SUM(F80:F85)</f>
        <v>-600</v>
      </c>
      <c r="G86" s="154" t="n">
        <f aca="false">SUM(G80:G85)</f>
        <v>-600</v>
      </c>
      <c r="H86" s="154" t="n">
        <f aca="false">SUM(H80:H85)</f>
        <v>-600</v>
      </c>
      <c r="I86" s="154" t="n">
        <f aca="false">SUM(I80:I85)</f>
        <v>-600</v>
      </c>
      <c r="J86" s="154" t="n">
        <f aca="false">SUM(J80:J85)</f>
        <v>-600</v>
      </c>
      <c r="K86" s="154" t="n">
        <f aca="false">SUM(K80:K85)</f>
        <v>-600</v>
      </c>
      <c r="L86" s="154" t="n">
        <f aca="false">SUM(L80:L85)</f>
        <v>-2100</v>
      </c>
      <c r="M86" s="154" t="n">
        <f aca="false">SUM(M80:M85)</f>
        <v>-30935.69675</v>
      </c>
      <c r="N86" s="154" t="n">
        <f aca="false">SUM(N80:N85)</f>
        <v>-90989.1245066667</v>
      </c>
      <c r="O86" s="154" t="n">
        <f aca="false">SUM(O80:O85)</f>
        <v>-75602.2862697387</v>
      </c>
      <c r="P86" s="154" t="n">
        <f aca="false">SUM(P80:P85)</f>
        <v>-50834.3975386276</v>
      </c>
      <c r="Q86" s="154" t="n">
        <f aca="false">SUM(Q80:Q85)</f>
        <v>-30364.6935326509</v>
      </c>
      <c r="R86" s="154" t="n">
        <f aca="false">SUM(R80:R85)</f>
        <v>-6993.91394303791</v>
      </c>
      <c r="S86" s="154" t="n">
        <f aca="false">SUM(S80:S85)</f>
        <v>1685.82900241943</v>
      </c>
      <c r="T86" s="154" t="n">
        <f aca="false">SUM(T80:T85)</f>
        <v>9929.43528864453</v>
      </c>
      <c r="U86" s="154" t="n">
        <f aca="false">SUM(U80:U85)</f>
        <v>18082.6377952669</v>
      </c>
      <c r="V86" s="154" t="n">
        <f aca="false">SUM(V80:V85)</f>
        <v>24041.0017256004</v>
      </c>
      <c r="W86" s="154" t="n">
        <f aca="false">SUM(W80:W85)</f>
        <v>30757.1210308209</v>
      </c>
      <c r="X86" s="154" t="n">
        <f aca="false">SUM(X80:X85)</f>
        <v>35805.6168140176</v>
      </c>
      <c r="Y86" s="154" t="n">
        <f aca="false">SUM(Y80:Y85)</f>
        <v>72409.141154078</v>
      </c>
      <c r="Z86" s="154" t="n">
        <f aca="false">SUM(Z80:Z85)</f>
        <v>2512.9978062311</v>
      </c>
      <c r="AA86" s="154" t="n">
        <f aca="false">SUM(AA80:AA85)</f>
        <v>33829.289154316</v>
      </c>
      <c r="AB86" s="154" t="n">
        <f aca="false">SUM(AB80:AB85)</f>
        <v>52966.3331573655</v>
      </c>
      <c r="AC86" s="154" t="n">
        <f aca="false">SUM(AC80:AC85)</f>
        <v>70750.5087737169</v>
      </c>
      <c r="AD86" s="154" t="n">
        <f aca="false">SUM(AD80:AD85)</f>
        <v>87290.591548266</v>
      </c>
      <c r="AE86" s="154" t="n">
        <f aca="false">SUM(AE80:AE85)</f>
        <v>102645.037320406</v>
      </c>
      <c r="AF86" s="154" t="n">
        <f aca="false">SUM(AF80:AF85)</f>
        <v>116905.023357711</v>
      </c>
      <c r="AG86" s="154" t="n">
        <f aca="false">SUM(AG80:AG85)</f>
        <v>130179.346614923</v>
      </c>
      <c r="AH86" s="154" t="n">
        <f aca="false">SUM(AH80:AH85)</f>
        <v>142480.881034666</v>
      </c>
      <c r="AI86" s="154" t="n">
        <f aca="false">SUM(AI80:AI85)</f>
        <v>153921.519236628</v>
      </c>
      <c r="AJ86" s="154" t="n">
        <f aca="false">SUM(AJ80:AJ85)</f>
        <v>164575.67833804</v>
      </c>
      <c r="AK86" s="154" t="n">
        <f aca="false">SUM(AK80:AK85)</f>
        <v>174489.008139901</v>
      </c>
      <c r="AL86" s="154" t="n">
        <f aca="false">SUM(AL80:AL85)</f>
        <v>42839.2754790075</v>
      </c>
      <c r="AM86" s="154" t="n">
        <f aca="false">SUM(AM80:AM85)</f>
        <v>73013.8631902271</v>
      </c>
      <c r="AN86" s="154" t="n">
        <f aca="false">SUM(AN80:AN85)</f>
        <v>101150.122358121</v>
      </c>
      <c r="AO86" s="154" t="n">
        <f aca="false">SUM(AO80:AO85)</f>
        <v>127453.412186849</v>
      </c>
      <c r="AP86" s="154" t="n">
        <f aca="false">SUM(AP80:AP85)</f>
        <v>152015.972199104</v>
      </c>
      <c r="AQ86" s="154" t="n">
        <f aca="false">SUM(AQ80:AQ85)</f>
        <v>174925.384236952</v>
      </c>
      <c r="AR86" s="154" t="n">
        <f aca="false">SUM(AR80:AR85)</f>
        <v>196335.766563724</v>
      </c>
      <c r="AS86" s="154" t="n">
        <f aca="false">SUM(AS80:AS85)</f>
        <v>216292.389326741</v>
      </c>
      <c r="AT86" s="154" t="n">
        <f aca="false">SUM(AT80:AT85)</f>
        <v>234937.207564019</v>
      </c>
      <c r="AU86" s="154" t="n">
        <f aca="false">SUM(AU80:AU85)</f>
        <v>252347.203462666</v>
      </c>
      <c r="AV86" s="154" t="n">
        <f aca="false">SUM(AV80:AV85)</f>
        <v>268617.874892157</v>
      </c>
      <c r="AW86" s="154" t="n">
        <f aca="false">SUM(AW80:AW85)</f>
        <v>283768.450552222</v>
      </c>
      <c r="AX86" s="154" t="n">
        <f aca="false">SUM(AX80:AX85)</f>
        <v>159893.582810827</v>
      </c>
      <c r="AY86" s="154" t="n">
        <f aca="false">SUM(AY80:AY85)</f>
        <v>208012.579107051</v>
      </c>
      <c r="AZ86" s="154" t="n">
        <f aca="false">SUM(AZ80:AZ85)</f>
        <v>253083.289971783</v>
      </c>
      <c r="BA86" s="154" t="n">
        <f aca="false">SUM(BA80:BA85)</f>
        <v>295383.899908452</v>
      </c>
      <c r="BB86" s="154" t="n">
        <f aca="false">SUM(BB80:BB85)</f>
        <v>335027.408833143</v>
      </c>
      <c r="BC86" s="154" t="n">
        <f aca="false">SUM(BC80:BC85)</f>
        <v>372172.803074992</v>
      </c>
      <c r="BD86" s="154" t="n">
        <f aca="false">SUM(BD80:BD85)</f>
        <v>407044.840858663</v>
      </c>
      <c r="BE86" s="154" t="n">
        <f aca="false">SUM(BE80:BE85)</f>
        <v>439713.273896072</v>
      </c>
      <c r="BF86" s="154" t="n">
        <f aca="false">SUM(BF80:BF85)</f>
        <v>470364.785914089</v>
      </c>
      <c r="BG86" s="154" t="n">
        <f aca="false">SUM(BG80:BG85)</f>
        <v>499042.619585767</v>
      </c>
      <c r="BH86" s="154" t="n">
        <f aca="false">SUM(BH80:BH85)</f>
        <v>525969.155054732</v>
      </c>
      <c r="BI86" s="154" t="n">
        <f aca="false">SUM(BI80:BI85)</f>
        <v>551209.704045468</v>
      </c>
      <c r="BJ86" s="154" t="n">
        <f aca="false">SUM(B86:BI86)</f>
        <v>7774451.74982513</v>
      </c>
    </row>
    <row r="87" customFormat="false" ht="15.75" hidden="false" customHeight="true" outlineLevel="0" collapsed="false">
      <c r="A87" s="49" t="s">
        <v>762</v>
      </c>
      <c r="B87" s="168" t="n">
        <f aca="false">-Investimentos!B25</f>
        <v>-0</v>
      </c>
      <c r="C87" s="168" t="n">
        <f aca="false">-Investimentos!C25</f>
        <v>-0</v>
      </c>
      <c r="D87" s="168" t="n">
        <f aca="false">-Investimentos!D25</f>
        <v>-0</v>
      </c>
      <c r="E87" s="168" t="n">
        <f aca="false">-Investimentos!E25</f>
        <v>-0</v>
      </c>
      <c r="F87" s="168" t="n">
        <f aca="false">-Investimentos!F25</f>
        <v>-6000</v>
      </c>
      <c r="G87" s="168" t="n">
        <f aca="false">-Investimentos!G25</f>
        <v>-0</v>
      </c>
      <c r="H87" s="168" t="n">
        <f aca="false">-Investimentos!H25</f>
        <v>-0</v>
      </c>
      <c r="I87" s="168" t="n">
        <f aca="false">-Investimentos!I25</f>
        <v>-9127.82</v>
      </c>
      <c r="J87" s="168" t="n">
        <f aca="false">-Investimentos!J25</f>
        <v>-10500</v>
      </c>
      <c r="K87" s="168" t="n">
        <f aca="false">-Investimentos!K25</f>
        <v>-10500</v>
      </c>
      <c r="L87" s="168" t="n">
        <f aca="false">-Investimentos!L25</f>
        <v>-0</v>
      </c>
      <c r="M87" s="168" t="n">
        <f aca="false">-Investimentos!M25</f>
        <v>-0</v>
      </c>
      <c r="N87" s="168" t="n">
        <f aca="false">-Investimentos!N25</f>
        <v>-0</v>
      </c>
      <c r="O87" s="168" t="n">
        <f aca="false">-Investimentos!O25</f>
        <v>-0</v>
      </c>
      <c r="P87" s="168" t="n">
        <f aca="false">-Investimentos!P25</f>
        <v>-12000</v>
      </c>
      <c r="Q87" s="168" t="n">
        <f aca="false">-Investimentos!Q25</f>
        <v>-0</v>
      </c>
      <c r="R87" s="168" t="n">
        <f aca="false">-Investimentos!R25</f>
        <v>-0</v>
      </c>
      <c r="S87" s="168" t="n">
        <f aca="false">-Investimentos!S25</f>
        <v>-6000</v>
      </c>
      <c r="T87" s="168" t="n">
        <f aca="false">-Investimentos!T25</f>
        <v>-0</v>
      </c>
      <c r="U87" s="168" t="n">
        <f aca="false">-Investimentos!U25</f>
        <v>-0</v>
      </c>
      <c r="V87" s="168" t="n">
        <f aca="false">-Investimentos!V25</f>
        <v>-0</v>
      </c>
      <c r="W87" s="168" t="n">
        <f aca="false">-Investimentos!W25</f>
        <v>-0</v>
      </c>
      <c r="X87" s="168" t="n">
        <f aca="false">-Investimentos!X25</f>
        <v>-0</v>
      </c>
      <c r="Y87" s="168" t="n">
        <f aca="false">-Investimentos!Y25</f>
        <v>-0</v>
      </c>
      <c r="Z87" s="168" t="n">
        <f aca="false">-Investimentos!Z25</f>
        <v>-0</v>
      </c>
      <c r="AA87" s="168" t="n">
        <f aca="false">-Investimentos!AA25</f>
        <v>-0</v>
      </c>
      <c r="AB87" s="168" t="n">
        <f aca="false">-Investimentos!AB25</f>
        <v>-0</v>
      </c>
      <c r="AC87" s="168" t="n">
        <f aca="false">-Investimentos!AC25</f>
        <v>-0</v>
      </c>
      <c r="AD87" s="168" t="n">
        <f aca="false">-Investimentos!AD25</f>
        <v>-0</v>
      </c>
      <c r="AE87" s="168" t="n">
        <f aca="false">-Investimentos!AE25</f>
        <v>-15000</v>
      </c>
      <c r="AF87" s="168" t="n">
        <f aca="false">-Investimentos!AF25</f>
        <v>-0</v>
      </c>
      <c r="AG87" s="168" t="n">
        <f aca="false">-Investimentos!AG25</f>
        <v>-0</v>
      </c>
      <c r="AH87" s="168" t="n">
        <f aca="false">-Investimentos!AH25</f>
        <v>-0</v>
      </c>
      <c r="AI87" s="168" t="n">
        <f aca="false">-Investimentos!AI25</f>
        <v>-0</v>
      </c>
      <c r="AJ87" s="168" t="n">
        <f aca="false">-Investimentos!AJ25</f>
        <v>-0</v>
      </c>
      <c r="AK87" s="168" t="n">
        <f aca="false">-Investimentos!AK25</f>
        <v>-0</v>
      </c>
      <c r="AL87" s="168" t="n">
        <f aca="false">-Investimentos!AL25</f>
        <v>-0</v>
      </c>
      <c r="AM87" s="168" t="n">
        <f aca="false">-Investimentos!AM25</f>
        <v>-0</v>
      </c>
      <c r="AN87" s="168" t="n">
        <f aca="false">-Investimentos!AN25</f>
        <v>-0</v>
      </c>
      <c r="AO87" s="168" t="n">
        <f aca="false">-Investimentos!AO25</f>
        <v>-0</v>
      </c>
      <c r="AP87" s="168" t="n">
        <f aca="false">-Investimentos!AP25</f>
        <v>-0</v>
      </c>
      <c r="AQ87" s="168" t="n">
        <f aca="false">-Investimentos!AQ25</f>
        <v>-25000</v>
      </c>
      <c r="AR87" s="168" t="n">
        <f aca="false">-Investimentos!AR25</f>
        <v>-0</v>
      </c>
      <c r="AS87" s="168" t="n">
        <f aca="false">-Investimentos!AS25</f>
        <v>-0</v>
      </c>
      <c r="AT87" s="168" t="n">
        <f aca="false">-Investimentos!AT25</f>
        <v>-0</v>
      </c>
      <c r="AU87" s="168" t="n">
        <f aca="false">-Investimentos!AU25</f>
        <v>-0</v>
      </c>
      <c r="AV87" s="168" t="n">
        <f aca="false">-Investimentos!AV25</f>
        <v>-0</v>
      </c>
      <c r="AW87" s="168" t="n">
        <f aca="false">-Investimentos!AW25</f>
        <v>-0</v>
      </c>
      <c r="AX87" s="168" t="n">
        <f aca="false">-Investimentos!AX25</f>
        <v>-0</v>
      </c>
      <c r="AY87" s="168" t="n">
        <f aca="false">-Investimentos!AY25</f>
        <v>-0</v>
      </c>
      <c r="AZ87" s="168" t="n">
        <f aca="false">-Investimentos!AZ25</f>
        <v>-0</v>
      </c>
      <c r="BA87" s="168" t="n">
        <f aca="false">-Investimentos!BA25</f>
        <v>-0</v>
      </c>
      <c r="BB87" s="168" t="n">
        <f aca="false">-Investimentos!BB25</f>
        <v>-0</v>
      </c>
      <c r="BC87" s="168" t="n">
        <f aca="false">-Investimentos!BC25</f>
        <v>-30000</v>
      </c>
      <c r="BD87" s="168" t="n">
        <f aca="false">-Investimentos!BD25</f>
        <v>-0</v>
      </c>
      <c r="BE87" s="168" t="n">
        <f aca="false">-Investimentos!BE25</f>
        <v>-0</v>
      </c>
      <c r="BF87" s="168" t="n">
        <f aca="false">-Investimentos!BF25</f>
        <v>-0</v>
      </c>
      <c r="BG87" s="168" t="n">
        <f aca="false">-Investimentos!BG25</f>
        <v>-0</v>
      </c>
      <c r="BH87" s="168" t="n">
        <f aca="false">-Investimentos!BH25</f>
        <v>-0</v>
      </c>
      <c r="BI87" s="168" t="n">
        <f aca="false">-Investimentos!BI25</f>
        <v>-0</v>
      </c>
      <c r="BJ87" s="154" t="n">
        <f aca="false">SUM(B87:BI87)</f>
        <v>-124127.82</v>
      </c>
      <c r="BK87" s="51" t="s">
        <v>748</v>
      </c>
    </row>
    <row r="88" customFormat="false" ht="15.75" hidden="false" customHeight="true" outlineLevel="0" collapsed="false">
      <c r="A88" s="53" t="s">
        <v>464</v>
      </c>
      <c r="B88" s="154" t="n">
        <f aca="false">B86+B87</f>
        <v>0</v>
      </c>
      <c r="C88" s="154" t="n">
        <f aca="false">C86+C87</f>
        <v>0</v>
      </c>
      <c r="D88" s="154" t="n">
        <f aca="false">D86+D87</f>
        <v>0</v>
      </c>
      <c r="E88" s="154" t="n">
        <f aca="false">E86+E87</f>
        <v>0</v>
      </c>
      <c r="F88" s="154" t="n">
        <f aca="false">F86+F87</f>
        <v>-6600</v>
      </c>
      <c r="G88" s="154" t="n">
        <f aca="false">G86+G87</f>
        <v>-600</v>
      </c>
      <c r="H88" s="154" t="n">
        <f aca="false">H86+H87</f>
        <v>-600</v>
      </c>
      <c r="I88" s="154" t="n">
        <f aca="false">I86+I87</f>
        <v>-9727.82</v>
      </c>
      <c r="J88" s="154" t="n">
        <f aca="false">J86+J87</f>
        <v>-11100</v>
      </c>
      <c r="K88" s="154" t="n">
        <f aca="false">K86+K87</f>
        <v>-11100</v>
      </c>
      <c r="L88" s="154" t="n">
        <f aca="false">L86+L87</f>
        <v>-2100</v>
      </c>
      <c r="M88" s="154" t="n">
        <f aca="false">M86+M87</f>
        <v>-30935.69675</v>
      </c>
      <c r="N88" s="154" t="n">
        <f aca="false">N86+N87</f>
        <v>-90989.1245066667</v>
      </c>
      <c r="O88" s="154" t="n">
        <f aca="false">O86+O87</f>
        <v>-75602.2862697387</v>
      </c>
      <c r="P88" s="154" t="n">
        <f aca="false">P86+P87</f>
        <v>-62834.3975386276</v>
      </c>
      <c r="Q88" s="154" t="n">
        <f aca="false">Q86+Q87</f>
        <v>-30364.6935326509</v>
      </c>
      <c r="R88" s="154" t="n">
        <f aca="false">R86+R87</f>
        <v>-6993.91394303791</v>
      </c>
      <c r="S88" s="154" t="n">
        <f aca="false">S86+S87</f>
        <v>-4314.17099758057</v>
      </c>
      <c r="T88" s="154" t="n">
        <f aca="false">T86+T87</f>
        <v>9929.43528864453</v>
      </c>
      <c r="U88" s="154" t="n">
        <f aca="false">U86+U87</f>
        <v>18082.6377952669</v>
      </c>
      <c r="V88" s="154" t="n">
        <f aca="false">V86+V87</f>
        <v>24041.0017256004</v>
      </c>
      <c r="W88" s="154" t="n">
        <f aca="false">W86+W87</f>
        <v>30757.1210308209</v>
      </c>
      <c r="X88" s="154" t="n">
        <f aca="false">X86+X87</f>
        <v>35805.6168140176</v>
      </c>
      <c r="Y88" s="154" t="n">
        <f aca="false">Y86+Y87</f>
        <v>72409.141154078</v>
      </c>
      <c r="Z88" s="154" t="n">
        <f aca="false">Z86+Z87</f>
        <v>2512.9978062311</v>
      </c>
      <c r="AA88" s="154" t="n">
        <f aca="false">AA86+AA87</f>
        <v>33829.289154316</v>
      </c>
      <c r="AB88" s="154" t="n">
        <f aca="false">AB86+AB87</f>
        <v>52966.3331573655</v>
      </c>
      <c r="AC88" s="154" t="n">
        <f aca="false">AC86+AC87</f>
        <v>70750.5087737169</v>
      </c>
      <c r="AD88" s="154" t="n">
        <f aca="false">AD86+AD87</f>
        <v>87290.591548266</v>
      </c>
      <c r="AE88" s="154" t="n">
        <f aca="false">AE86+AE87</f>
        <v>87645.0373204064</v>
      </c>
      <c r="AF88" s="154" t="n">
        <f aca="false">AF86+AF87</f>
        <v>116905.023357711</v>
      </c>
      <c r="AG88" s="154" t="n">
        <f aca="false">AG86+AG87</f>
        <v>130179.346614923</v>
      </c>
      <c r="AH88" s="154" t="n">
        <f aca="false">AH86+AH87</f>
        <v>142480.881034666</v>
      </c>
      <c r="AI88" s="154" t="n">
        <f aca="false">AI86+AI87</f>
        <v>153921.519236628</v>
      </c>
      <c r="AJ88" s="154" t="n">
        <f aca="false">AJ86+AJ87</f>
        <v>164575.67833804</v>
      </c>
      <c r="AK88" s="154" t="n">
        <f aca="false">AK86+AK87</f>
        <v>174489.008139901</v>
      </c>
      <c r="AL88" s="154" t="n">
        <f aca="false">AL86+AL87</f>
        <v>42839.2754790075</v>
      </c>
      <c r="AM88" s="154" t="n">
        <f aca="false">AM86+AM87</f>
        <v>73013.8631902271</v>
      </c>
      <c r="AN88" s="154" t="n">
        <f aca="false">AN86+AN87</f>
        <v>101150.122358121</v>
      </c>
      <c r="AO88" s="154" t="n">
        <f aca="false">AO86+AO87</f>
        <v>127453.412186849</v>
      </c>
      <c r="AP88" s="154" t="n">
        <f aca="false">AP86+AP87</f>
        <v>152015.972199104</v>
      </c>
      <c r="AQ88" s="154" t="n">
        <f aca="false">AQ86+AQ87</f>
        <v>149925.384236952</v>
      </c>
      <c r="AR88" s="154" t="n">
        <f aca="false">AR86+AR87</f>
        <v>196335.766563724</v>
      </c>
      <c r="AS88" s="154" t="n">
        <f aca="false">AS86+AS87</f>
        <v>216292.389326741</v>
      </c>
      <c r="AT88" s="154" t="n">
        <f aca="false">AT86+AT87</f>
        <v>234937.207564019</v>
      </c>
      <c r="AU88" s="154" t="n">
        <f aca="false">AU86+AU87</f>
        <v>252347.203462666</v>
      </c>
      <c r="AV88" s="154" t="n">
        <f aca="false">AV86+AV87</f>
        <v>268617.874892157</v>
      </c>
      <c r="AW88" s="154" t="n">
        <f aca="false">AW86+AW87</f>
        <v>283768.450552222</v>
      </c>
      <c r="AX88" s="154" t="n">
        <f aca="false">AX86+AX87</f>
        <v>159893.582810827</v>
      </c>
      <c r="AY88" s="154" t="n">
        <f aca="false">AY86+AY87</f>
        <v>208012.579107051</v>
      </c>
      <c r="AZ88" s="154" t="n">
        <f aca="false">AZ86+AZ87</f>
        <v>253083.289971783</v>
      </c>
      <c r="BA88" s="154" t="n">
        <f aca="false">BA86+BA87</f>
        <v>295383.899908452</v>
      </c>
      <c r="BB88" s="154" t="n">
        <f aca="false">BB86+BB87</f>
        <v>335027.408833143</v>
      </c>
      <c r="BC88" s="154" t="n">
        <f aca="false">BC86+BC87</f>
        <v>342172.803074992</v>
      </c>
      <c r="BD88" s="154" t="n">
        <f aca="false">BD86+BD87</f>
        <v>407044.840858663</v>
      </c>
      <c r="BE88" s="154" t="n">
        <f aca="false">BE86+BE87</f>
        <v>439713.273896072</v>
      </c>
      <c r="BF88" s="154" t="n">
        <f aca="false">BF86+BF87</f>
        <v>470364.785914089</v>
      </c>
      <c r="BG88" s="154" t="n">
        <f aca="false">BG86+BG87</f>
        <v>499042.619585767</v>
      </c>
      <c r="BH88" s="154" t="n">
        <f aca="false">BH86+BH87</f>
        <v>525969.155054732</v>
      </c>
      <c r="BI88" s="154" t="n">
        <f aca="false">BI86+BI87</f>
        <v>551209.704045468</v>
      </c>
      <c r="BJ88" s="154" t="n">
        <f aca="false">SUM(B88:BI88)</f>
        <v>7650323.92982513</v>
      </c>
      <c r="BK88" s="51" t="s">
        <v>748</v>
      </c>
    </row>
    <row r="89" customFormat="false" ht="15.75" hidden="false" customHeight="true" outlineLevel="0" collapsed="false">
      <c r="A89" s="158" t="s">
        <v>466</v>
      </c>
      <c r="B89" s="159" t="n">
        <f aca="false">B88/(1+Premissas!$B$19)^B$5</f>
        <v>0</v>
      </c>
      <c r="C89" s="159" t="n">
        <f aca="false">C88/(1+Premissas!$B$19)^C$5</f>
        <v>0</v>
      </c>
      <c r="D89" s="159" t="n">
        <f aca="false">D88/(1+Premissas!$B$19)^D$5</f>
        <v>0</v>
      </c>
      <c r="E89" s="159" t="n">
        <f aca="false">E88/(1+Premissas!$B$19)^E$5</f>
        <v>0</v>
      </c>
      <c r="F89" s="159" t="n">
        <f aca="false">F88/(1+Premissas!$B$19)^F$5</f>
        <v>-6014.01855172587</v>
      </c>
      <c r="G89" s="159" t="n">
        <f aca="false">G88/(1+Premissas!$B$19)^G$5</f>
        <v>-536.656314599949</v>
      </c>
      <c r="H89" s="159" t="n">
        <f aca="false">H88/(1+Premissas!$B$19)^H$5</f>
        <v>-526.769243019855</v>
      </c>
      <c r="I89" s="159" t="n">
        <f aca="false">I88/(1+Premissas!$B$19)^I$5</f>
        <v>-8383.18114655438</v>
      </c>
      <c r="J89" s="159" t="n">
        <f aca="false">J88/(1+Premissas!$B$19)^J$5</f>
        <v>-9389.4568193522</v>
      </c>
      <c r="K89" s="159" t="n">
        <f aca="false">K88/(1+Premissas!$B$19)^K$5</f>
        <v>-9216.47044213917</v>
      </c>
      <c r="L89" s="159" t="n">
        <f aca="false">L88/(1+Premissas!$B$19)^L$5</f>
        <v>-1711.53236540413</v>
      </c>
      <c r="M89" s="159" t="n">
        <f aca="false">M88/(1+Premissas!$B$19)^M$5</f>
        <v>-24748.5574</v>
      </c>
      <c r="N89" s="159" t="n">
        <f aca="false">N88/(1+Premissas!$B$19)^N$5</f>
        <v>-71450.2312716036</v>
      </c>
      <c r="O89" s="159" t="n">
        <f aca="false">O88/(1+Premissas!$B$19)^O$5</f>
        <v>-58273.7876752269</v>
      </c>
      <c r="P89" s="159" t="n">
        <f aca="false">P88/(1+Premissas!$B$19)^P$5</f>
        <v>-47540.0833831414</v>
      </c>
      <c r="Q89" s="159" t="n">
        <f aca="false">Q88/(1+Premissas!$B$19)^Q$5</f>
        <v>-22550.4675899562</v>
      </c>
      <c r="R89" s="159" t="n">
        <f aca="false">R88/(1+Premissas!$B$19)^R$5</f>
        <v>-5098.36705486111</v>
      </c>
      <c r="S89" s="159" t="n">
        <f aca="false">S88/(1+Premissas!$B$19)^S$5</f>
        <v>-3086.96947748743</v>
      </c>
      <c r="T89" s="159" t="n">
        <f aca="false">T88/(1+Premissas!$B$19)^T$5</f>
        <v>6974.02814748521</v>
      </c>
      <c r="U89" s="159" t="n">
        <f aca="false">U88/(1+Premissas!$B$19)^U$5</f>
        <v>12466.5158890894</v>
      </c>
      <c r="V89" s="159" t="n">
        <f aca="false">V88/(1+Premissas!$B$19)^V$5</f>
        <v>16268.9691961439</v>
      </c>
      <c r="W89" s="159" t="n">
        <f aca="false">W88/(1+Premissas!$B$19)^W$5</f>
        <v>20430.4213957375</v>
      </c>
      <c r="X89" s="159" t="n">
        <f aca="false">X88/(1+Premissas!$B$19)^X$5</f>
        <v>23345.7036344569</v>
      </c>
      <c r="Y89" s="159" t="n">
        <f aca="false">Y88/(1+Premissas!$B$19)^Y$5</f>
        <v>46341.8503386098</v>
      </c>
      <c r="Z89" s="159" t="n">
        <f aca="false">Z88/(1+Premissas!$B$19)^Z$5</f>
        <v>1578.68778638123</v>
      </c>
      <c r="AA89" s="159" t="n">
        <f aca="false">AA88/(1+Premissas!$B$19)^AA$5</f>
        <v>20860.3301370958</v>
      </c>
      <c r="AB89" s="159" t="n">
        <f aca="false">AB88/(1+Premissas!$B$19)^AB$5</f>
        <v>32059.1776916768</v>
      </c>
      <c r="AC89" s="159" t="n">
        <f aca="false">AC88/(1+Premissas!$B$19)^AC$5</f>
        <v>42034.5307515528</v>
      </c>
      <c r="AD89" s="159" t="n">
        <f aca="false">AD88/(1+Premissas!$B$19)^AD$5</f>
        <v>50905.9138872626</v>
      </c>
      <c r="AE89" s="159" t="n">
        <f aca="false">AE88/(1+Premissas!$B$19)^AE$5</f>
        <v>50170.9469027671</v>
      </c>
      <c r="AF89" s="159" t="n">
        <f aca="false">AF88/(1+Premissas!$B$19)^AF$5</f>
        <v>65687.4353699837</v>
      </c>
      <c r="AG89" s="159" t="n">
        <f aca="false">AG88/(1+Premissas!$B$19)^AG$5</f>
        <v>71798.5024698559</v>
      </c>
      <c r="AH89" s="159" t="n">
        <f aca="false">AH88/(1+Premissas!$B$19)^AH$5</f>
        <v>77135.4568682234</v>
      </c>
      <c r="AI89" s="159" t="n">
        <f aca="false">AI88/(1+Premissas!$B$19)^AI$5</f>
        <v>81793.9103396633</v>
      </c>
      <c r="AJ89" s="159" t="n">
        <f aca="false">AJ88/(1+Premissas!$B$19)^AJ$5</f>
        <v>85844.2971531867</v>
      </c>
      <c r="AK89" s="159" t="n">
        <f aca="false">AK88/(1+Premissas!$B$19)^AK$5</f>
        <v>89338.372167629</v>
      </c>
      <c r="AL89" s="159" t="n">
        <f aca="false">AL88/(1+Premissas!$B$19)^AL$5</f>
        <v>21529.6140118987</v>
      </c>
      <c r="AM89" s="159" t="n">
        <f aca="false">AM88/(1+Premissas!$B$19)^AM$5</f>
        <v>36018.3339066954</v>
      </c>
      <c r="AN89" s="159" t="n">
        <f aca="false">AN88/(1+Premissas!$B$19)^AN$5</f>
        <v>48978.8822885566</v>
      </c>
      <c r="AO89" s="159" t="n">
        <f aca="false">AO88/(1+Premissas!$B$19)^AO$5</f>
        <v>60578.440684782</v>
      </c>
      <c r="AP89" s="159" t="n">
        <f aca="false">AP88/(1+Premissas!$B$19)^AP$5</f>
        <v>70921.8425766055</v>
      </c>
      <c r="AQ89" s="159" t="n">
        <f aca="false">AQ88/(1+Premissas!$B$19)^AQ$5</f>
        <v>68657.8382247115</v>
      </c>
      <c r="AR89" s="159" t="n">
        <f aca="false">AR88/(1+Premissas!$B$19)^AR$5</f>
        <v>88254.842138023</v>
      </c>
      <c r="AS89" s="159" t="n">
        <f aca="false">AS88/(1+Premissas!$B$19)^AS$5</f>
        <v>95434.3069195081</v>
      </c>
      <c r="AT89" s="159" t="n">
        <f aca="false">AT88/(1+Premissas!$B$19)^AT$5</f>
        <v>101751.132975581</v>
      </c>
      <c r="AU89" s="159" t="n">
        <f aca="false">AU88/(1+Premissas!$B$19)^AU$5</f>
        <v>107277.862832208</v>
      </c>
      <c r="AV89" s="159" t="n">
        <f aca="false">AV88/(1+Premissas!$B$19)^AV$5</f>
        <v>112090.986496976</v>
      </c>
      <c r="AW89" s="159" t="n">
        <f aca="false">AW88/(1+Premissas!$B$19)^AW$5</f>
        <v>116231.55734619</v>
      </c>
      <c r="AX89" s="159" t="n">
        <f aca="false">AX88/(1+Premissas!$B$19)^AX$5</f>
        <v>64285.8140321923</v>
      </c>
      <c r="AY89" s="159" t="n">
        <f aca="false">AY88/(1+Premissas!$B$19)^AY$5</f>
        <v>82091.4407616059</v>
      </c>
      <c r="AZ89" s="159" t="n">
        <f aca="false">AZ88/(1+Premissas!$B$19)^AZ$5</f>
        <v>98038.3325674417</v>
      </c>
      <c r="BA89" s="159" t="n">
        <f aca="false">BA88/(1+Premissas!$B$19)^BA$5</f>
        <v>112316.466089497</v>
      </c>
      <c r="BB89" s="159" t="n">
        <f aca="false">BB88/(1+Premissas!$B$19)^BB$5</f>
        <v>125043.498018702</v>
      </c>
      <c r="BC89" s="159" t="n">
        <f aca="false">BC88/(1+Premissas!$B$19)^BC$5</f>
        <v>125357.530763645</v>
      </c>
      <c r="BD89" s="159" t="n">
        <f aca="false">BD88/(1+Premissas!$B$19)^BD$5</f>
        <v>146376.501039277</v>
      </c>
      <c r="BE89" s="159" t="n">
        <f aca="false">BE88/(1+Premissas!$B$19)^BE$5</f>
        <v>155211.125710714</v>
      </c>
      <c r="BF89" s="159" t="n">
        <f aca="false">BF88/(1+Premissas!$B$19)^BF$5</f>
        <v>162971.716144309</v>
      </c>
      <c r="BG89" s="159" t="n">
        <f aca="false">BG88/(1+Premissas!$B$19)^BG$5</f>
        <v>169722.42991159</v>
      </c>
      <c r="BH89" s="159" t="n">
        <f aca="false">BH88/(1+Premissas!$B$19)^BH$5</f>
        <v>175584.44755245</v>
      </c>
      <c r="BI89" s="159" t="n">
        <f aca="false">BI88/(1+Premissas!$B$19)^BI$5</f>
        <v>180620.395821618</v>
      </c>
      <c r="BJ89" s="154" t="n">
        <f aca="false">SUM(B89:BI89)</f>
        <v>3051853.84020651</v>
      </c>
    </row>
    <row r="90" customFormat="false" ht="15.75" hidden="false" customHeight="true" outlineLevel="0" collapsed="false">
      <c r="A90" s="49" t="s">
        <v>467</v>
      </c>
      <c r="B90" s="168" t="n">
        <f aca="false">B89</f>
        <v>0</v>
      </c>
      <c r="C90" s="168" t="n">
        <f aca="false">B90+C89</f>
        <v>0</v>
      </c>
      <c r="D90" s="168" t="n">
        <f aca="false">C90+D89</f>
        <v>0</v>
      </c>
      <c r="E90" s="168" t="n">
        <f aca="false">D90+E89</f>
        <v>0</v>
      </c>
      <c r="F90" s="168" t="n">
        <f aca="false">E90+F89</f>
        <v>-6014.01855172587</v>
      </c>
      <c r="G90" s="168" t="n">
        <f aca="false">F90+G89</f>
        <v>-6550.67486632582</v>
      </c>
      <c r="H90" s="168" t="n">
        <f aca="false">G90+H89</f>
        <v>-7077.44410934567</v>
      </c>
      <c r="I90" s="168" t="n">
        <f aca="false">H90+I89</f>
        <v>-15460.6252559</v>
      </c>
      <c r="J90" s="168" t="n">
        <f aca="false">I90+J89</f>
        <v>-24850.0820752523</v>
      </c>
      <c r="K90" s="168" t="n">
        <f aca="false">J90+K89</f>
        <v>-34066.5525173914</v>
      </c>
      <c r="L90" s="168" t="n">
        <f aca="false">K90+L89</f>
        <v>-35778.0848827955</v>
      </c>
      <c r="M90" s="168" t="n">
        <f aca="false">L90+M89</f>
        <v>-60526.6422827955</v>
      </c>
      <c r="N90" s="168" t="n">
        <f aca="false">M90+N89</f>
        <v>-131976.873554399</v>
      </c>
      <c r="O90" s="168" t="n">
        <f aca="false">N90+O89</f>
        <v>-190250.661229626</v>
      </c>
      <c r="P90" s="168" t="n">
        <f aca="false">O90+P89</f>
        <v>-237790.744612767</v>
      </c>
      <c r="Q90" s="168" t="n">
        <f aca="false">P90+Q89</f>
        <v>-260341.212202724</v>
      </c>
      <c r="R90" s="168" t="n">
        <f aca="false">Q90+R89</f>
        <v>-265439.579257585</v>
      </c>
      <c r="S90" s="168" t="n">
        <f aca="false">R90+S89</f>
        <v>-268526.548735072</v>
      </c>
      <c r="T90" s="168" t="n">
        <f aca="false">S90+T89</f>
        <v>-261552.520587587</v>
      </c>
      <c r="U90" s="168" t="n">
        <f aca="false">T90+U89</f>
        <v>-249086.004698498</v>
      </c>
      <c r="V90" s="168" t="n">
        <f aca="false">U90+V89</f>
        <v>-232817.035502354</v>
      </c>
      <c r="W90" s="168" t="n">
        <f aca="false">V90+W89</f>
        <v>-212386.614106616</v>
      </c>
      <c r="X90" s="168" t="n">
        <f aca="false">W90+X89</f>
        <v>-189040.910472159</v>
      </c>
      <c r="Y90" s="168" t="n">
        <f aca="false">X90+Y89</f>
        <v>-142699.060133549</v>
      </c>
      <c r="Z90" s="168" t="n">
        <f aca="false">Y90+Z89</f>
        <v>-141120.372347168</v>
      </c>
      <c r="AA90" s="168" t="n">
        <f aca="false">Z90+AA89</f>
        <v>-120260.042210072</v>
      </c>
      <c r="AB90" s="168" t="n">
        <f aca="false">AA90+AB89</f>
        <v>-88200.8645183957</v>
      </c>
      <c r="AC90" s="168" t="n">
        <f aca="false">AB90+AC89</f>
        <v>-46166.3337668429</v>
      </c>
      <c r="AD90" s="168" t="n">
        <f aca="false">AC90+AD89</f>
        <v>4739.58012041975</v>
      </c>
      <c r="AE90" s="168" t="n">
        <f aca="false">AD90+AE89</f>
        <v>54910.5270231869</v>
      </c>
      <c r="AF90" s="168" t="n">
        <f aca="false">AE90+AF89</f>
        <v>120597.962393171</v>
      </c>
      <c r="AG90" s="168" t="n">
        <f aca="false">AF90+AG89</f>
        <v>192396.464863026</v>
      </c>
      <c r="AH90" s="168" t="n">
        <f aca="false">AG90+AH89</f>
        <v>269531.92173125</v>
      </c>
      <c r="AI90" s="168" t="n">
        <f aca="false">AH90+AI89</f>
        <v>351325.832070913</v>
      </c>
      <c r="AJ90" s="168" t="n">
        <f aca="false">AI90+AJ89</f>
        <v>437170.1292241</v>
      </c>
      <c r="AK90" s="168" t="n">
        <f aca="false">AJ90+AK89</f>
        <v>526508.501391729</v>
      </c>
      <c r="AL90" s="168" t="n">
        <f aca="false">AK90+AL89</f>
        <v>548038.115403628</v>
      </c>
      <c r="AM90" s="168" t="n">
        <f aca="false">AL90+AM89</f>
        <v>584056.449310323</v>
      </c>
      <c r="AN90" s="168" t="n">
        <f aca="false">AM90+AN89</f>
        <v>633035.33159888</v>
      </c>
      <c r="AO90" s="168" t="n">
        <f aca="false">AN90+AO89</f>
        <v>693613.772283662</v>
      </c>
      <c r="AP90" s="168" t="n">
        <f aca="false">AO90+AP89</f>
        <v>764535.614860267</v>
      </c>
      <c r="AQ90" s="168" t="n">
        <f aca="false">AP90+AQ89</f>
        <v>833193.453084979</v>
      </c>
      <c r="AR90" s="168" t="n">
        <f aca="false">AQ90+AR89</f>
        <v>921448.295223002</v>
      </c>
      <c r="AS90" s="168" t="n">
        <f aca="false">AR90+AS89</f>
        <v>1016882.60214251</v>
      </c>
      <c r="AT90" s="168" t="n">
        <f aca="false">AS90+AT89</f>
        <v>1118633.73511809</v>
      </c>
      <c r="AU90" s="168" t="n">
        <f aca="false">AT90+AU89</f>
        <v>1225911.5979503</v>
      </c>
      <c r="AV90" s="168" t="n">
        <f aca="false">AU90+AV89</f>
        <v>1338002.58444727</v>
      </c>
      <c r="AW90" s="168" t="n">
        <f aca="false">AV90+AW89</f>
        <v>1454234.14179346</v>
      </c>
      <c r="AX90" s="168" t="n">
        <f aca="false">AW90+AX89</f>
        <v>1518519.95582566</v>
      </c>
      <c r="AY90" s="168" t="n">
        <f aca="false">AX90+AY89</f>
        <v>1600611.39658726</v>
      </c>
      <c r="AZ90" s="168" t="n">
        <f aca="false">AY90+AZ89</f>
        <v>1698649.7291547</v>
      </c>
      <c r="BA90" s="168" t="n">
        <f aca="false">AZ90+BA89</f>
        <v>1810966.1952442</v>
      </c>
      <c r="BB90" s="168" t="n">
        <f aca="false">BA90+BB89</f>
        <v>1936009.6932629</v>
      </c>
      <c r="BC90" s="168" t="n">
        <f aca="false">BB90+BC89</f>
        <v>2061367.22402655</v>
      </c>
      <c r="BD90" s="168" t="n">
        <f aca="false">BC90+BD89</f>
        <v>2207743.72506583</v>
      </c>
      <c r="BE90" s="168" t="n">
        <f aca="false">BD90+BE89</f>
        <v>2362954.85077654</v>
      </c>
      <c r="BF90" s="168" t="n">
        <f aca="false">BE90+BF89</f>
        <v>2525926.56692085</v>
      </c>
      <c r="BG90" s="168" t="n">
        <f aca="false">BF90+BG89</f>
        <v>2695648.99683244</v>
      </c>
      <c r="BH90" s="168" t="n">
        <f aca="false">BG90+BH89</f>
        <v>2871233.44438489</v>
      </c>
      <c r="BI90" s="168" t="n">
        <f aca="false">BH90+BI89</f>
        <v>3051853.84020651</v>
      </c>
      <c r="BJ90" s="154" t="n">
        <f aca="false">BI90</f>
        <v>3051853.84020651</v>
      </c>
    </row>
    <row r="91" customFormat="false" ht="15.75" hidden="false" customHeight="true" outlineLevel="0" collapsed="false">
      <c r="A91" s="49" t="s">
        <v>468</v>
      </c>
      <c r="B91" s="168" t="n">
        <f aca="false">B88</f>
        <v>0</v>
      </c>
      <c r="C91" s="168" t="n">
        <f aca="false">B91+C88</f>
        <v>0</v>
      </c>
      <c r="D91" s="168" t="n">
        <f aca="false">C91+D88</f>
        <v>0</v>
      </c>
      <c r="E91" s="168" t="n">
        <f aca="false">D91+E88</f>
        <v>0</v>
      </c>
      <c r="F91" s="168" t="n">
        <f aca="false">E91+F88</f>
        <v>-6600</v>
      </c>
      <c r="G91" s="168" t="n">
        <f aca="false">F91+G88</f>
        <v>-7200</v>
      </c>
      <c r="H91" s="168" t="n">
        <f aca="false">G91+H88</f>
        <v>-7800</v>
      </c>
      <c r="I91" s="168" t="n">
        <f aca="false">H91+I88</f>
        <v>-17527.82</v>
      </c>
      <c r="J91" s="168" t="n">
        <f aca="false">I91+J88</f>
        <v>-28627.82</v>
      </c>
      <c r="K91" s="168" t="n">
        <f aca="false">J91+K88</f>
        <v>-39727.82</v>
      </c>
      <c r="L91" s="168" t="n">
        <f aca="false">K91+L88</f>
        <v>-41827.82</v>
      </c>
      <c r="M91" s="168" t="n">
        <f aca="false">L91+M88</f>
        <v>-72763.51675</v>
      </c>
      <c r="N91" s="168" t="n">
        <f aca="false">M91+N88</f>
        <v>-163752.641256667</v>
      </c>
      <c r="O91" s="168" t="n">
        <f aca="false">N91+O88</f>
        <v>-239354.927526405</v>
      </c>
      <c r="P91" s="168" t="n">
        <f aca="false">O91+P88</f>
        <v>-302189.325065033</v>
      </c>
      <c r="Q91" s="168" t="n">
        <f aca="false">P91+Q88</f>
        <v>-332554.018597684</v>
      </c>
      <c r="R91" s="168" t="n">
        <f aca="false">Q91+R88</f>
        <v>-339547.932540722</v>
      </c>
      <c r="S91" s="168" t="n">
        <f aca="false">R91+S88</f>
        <v>-343862.103538302</v>
      </c>
      <c r="T91" s="168" t="n">
        <f aca="false">S91+T88</f>
        <v>-333932.668249658</v>
      </c>
      <c r="U91" s="168" t="n">
        <f aca="false">T91+U88</f>
        <v>-315850.030454391</v>
      </c>
      <c r="V91" s="168" t="n">
        <f aca="false">U91+V88</f>
        <v>-291809.028728791</v>
      </c>
      <c r="W91" s="168" t="n">
        <f aca="false">V91+W88</f>
        <v>-261051.90769797</v>
      </c>
      <c r="X91" s="168" t="n">
        <f aca="false">W91+X88</f>
        <v>-225246.290883952</v>
      </c>
      <c r="Y91" s="168" t="n">
        <f aca="false">X91+Y88</f>
        <v>-152837.149729874</v>
      </c>
      <c r="Z91" s="168" t="n">
        <f aca="false">Y91+Z88</f>
        <v>-150324.151923643</v>
      </c>
      <c r="AA91" s="168" t="n">
        <f aca="false">Z91+AA88</f>
        <v>-116494.862769327</v>
      </c>
      <c r="AB91" s="168" t="n">
        <f aca="false">AA91+AB88</f>
        <v>-63528.5296119615</v>
      </c>
      <c r="AC91" s="168" t="n">
        <f aca="false">AB91+AC88</f>
        <v>7221.97916175541</v>
      </c>
      <c r="AD91" s="168" t="n">
        <f aca="false">AC91+AD88</f>
        <v>94512.5707100214</v>
      </c>
      <c r="AE91" s="168" t="n">
        <f aca="false">AD91+AE88</f>
        <v>182157.608030428</v>
      </c>
      <c r="AF91" s="168" t="n">
        <f aca="false">AE91+AF88</f>
        <v>299062.631388139</v>
      </c>
      <c r="AG91" s="168" t="n">
        <f aca="false">AF91+AG88</f>
        <v>429241.978003062</v>
      </c>
      <c r="AH91" s="168" t="n">
        <f aca="false">AG91+AH88</f>
        <v>571722.859037728</v>
      </c>
      <c r="AI91" s="168" t="n">
        <f aca="false">AH91+AI88</f>
        <v>725644.378274356</v>
      </c>
      <c r="AJ91" s="168" t="n">
        <f aca="false">AI91+AJ88</f>
        <v>890220.056612396</v>
      </c>
      <c r="AK91" s="168" t="n">
        <f aca="false">AJ91+AK88</f>
        <v>1064709.0647523</v>
      </c>
      <c r="AL91" s="168" t="n">
        <f aca="false">AK91+AL88</f>
        <v>1107548.3402313</v>
      </c>
      <c r="AM91" s="168" t="n">
        <f aca="false">AL91+AM88</f>
        <v>1180562.20342153</v>
      </c>
      <c r="AN91" s="168" t="n">
        <f aca="false">AM91+AN88</f>
        <v>1281712.32577965</v>
      </c>
      <c r="AO91" s="168" t="n">
        <f aca="false">AN91+AO88</f>
        <v>1409165.7379665</v>
      </c>
      <c r="AP91" s="168" t="n">
        <f aca="false">AO91+AP88</f>
        <v>1561181.71016561</v>
      </c>
      <c r="AQ91" s="168" t="n">
        <f aca="false">AP91+AQ88</f>
        <v>1711107.09440256</v>
      </c>
      <c r="AR91" s="168" t="n">
        <f aca="false">AQ91+AR88</f>
        <v>1907442.86096628</v>
      </c>
      <c r="AS91" s="168" t="n">
        <f aca="false">AR91+AS88</f>
        <v>2123735.25029302</v>
      </c>
      <c r="AT91" s="168" t="n">
        <f aca="false">AS91+AT88</f>
        <v>2358672.45785704</v>
      </c>
      <c r="AU91" s="168" t="n">
        <f aca="false">AT91+AU88</f>
        <v>2611019.66131971</v>
      </c>
      <c r="AV91" s="168" t="n">
        <f aca="false">AU91+AV88</f>
        <v>2879637.53621187</v>
      </c>
      <c r="AW91" s="168" t="n">
        <f aca="false">AV91+AW88</f>
        <v>3163405.98676409</v>
      </c>
      <c r="AX91" s="168" t="n">
        <f aca="false">AW91+AX88</f>
        <v>3323299.56957491</v>
      </c>
      <c r="AY91" s="168" t="n">
        <f aca="false">AX91+AY88</f>
        <v>3531312.14868197</v>
      </c>
      <c r="AZ91" s="168" t="n">
        <f aca="false">AY91+AZ88</f>
        <v>3784395.43865375</v>
      </c>
      <c r="BA91" s="168" t="n">
        <f aca="false">AZ91+BA88</f>
        <v>4079779.3385622</v>
      </c>
      <c r="BB91" s="168" t="n">
        <f aca="false">BA91+BB88</f>
        <v>4414806.74739534</v>
      </c>
      <c r="BC91" s="168" t="n">
        <f aca="false">BB91+BC88</f>
        <v>4756979.55047034</v>
      </c>
      <c r="BD91" s="168" t="n">
        <f aca="false">BC91+BD88</f>
        <v>5164024.391329</v>
      </c>
      <c r="BE91" s="168" t="n">
        <f aca="false">BD91+BE88</f>
        <v>5603737.66522507</v>
      </c>
      <c r="BF91" s="168" t="n">
        <f aca="false">BE91+BF88</f>
        <v>6074102.45113916</v>
      </c>
      <c r="BG91" s="168" t="n">
        <f aca="false">BF91+BG88</f>
        <v>6573145.07072493</v>
      </c>
      <c r="BH91" s="168" t="n">
        <f aca="false">BG91+BH88</f>
        <v>7099114.22577966</v>
      </c>
      <c r="BI91" s="168" t="n">
        <f aca="false">BH91+BI88</f>
        <v>7650323.92982513</v>
      </c>
      <c r="BJ91" s="154" t="n">
        <f aca="false">BI91</f>
        <v>7650323.92982513</v>
      </c>
    </row>
    <row r="92" customFormat="false" ht="15.75" hidden="false" customHeight="true" outlineLevel="0" collapsed="false">
      <c r="A92" s="49" t="s">
        <v>763</v>
      </c>
      <c r="B92" s="201" t="n">
        <f aca="false">IF(B86&gt;0,1,0)</f>
        <v>0</v>
      </c>
      <c r="C92" s="201" t="n">
        <f aca="false">IF(B92=1,1,IF(C86&gt;0,1,0))</f>
        <v>0</v>
      </c>
      <c r="D92" s="201" t="n">
        <f aca="false">IF(C92=1,1,IF(D86&gt;0,1,0))</f>
        <v>0</v>
      </c>
      <c r="E92" s="201" t="n">
        <f aca="false">IF(D92=1,1,IF(E86&gt;0,1,0))</f>
        <v>0</v>
      </c>
      <c r="F92" s="201" t="n">
        <f aca="false">IF(E92=1,1,IF(F86&gt;0,1,0))</f>
        <v>0</v>
      </c>
      <c r="G92" s="201" t="n">
        <f aca="false">IF(F92=1,1,IF(G86&gt;0,1,0))</f>
        <v>0</v>
      </c>
      <c r="H92" s="201" t="n">
        <f aca="false">IF(G92=1,1,IF(H86&gt;0,1,0))</f>
        <v>0</v>
      </c>
      <c r="I92" s="201" t="n">
        <f aca="false">IF(H92=1,1,IF(I86&gt;0,1,0))</f>
        <v>0</v>
      </c>
      <c r="J92" s="201" t="n">
        <f aca="false">IF(I92=1,1,IF(J86&gt;0,1,0))</f>
        <v>0</v>
      </c>
      <c r="K92" s="201" t="n">
        <f aca="false">IF(J92=1,1,IF(K86&gt;0,1,0))</f>
        <v>0</v>
      </c>
      <c r="L92" s="201" t="n">
        <f aca="false">IF(K92=1,1,IF(L86&gt;0,1,0))</f>
        <v>0</v>
      </c>
      <c r="M92" s="201" t="n">
        <f aca="false">IF(L92=1,1,IF(M86&gt;0,1,0))</f>
        <v>0</v>
      </c>
      <c r="N92" s="201" t="n">
        <f aca="false">IF(M92=1,1,IF(N86&gt;0,1,0))</f>
        <v>0</v>
      </c>
      <c r="O92" s="201" t="n">
        <f aca="false">IF(N92=1,1,IF(O86&gt;0,1,0))</f>
        <v>0</v>
      </c>
      <c r="P92" s="201" t="n">
        <f aca="false">IF(O92=1,1,IF(P86&gt;0,1,0))</f>
        <v>0</v>
      </c>
      <c r="Q92" s="201" t="n">
        <f aca="false">IF(P92=1,1,IF(Q86&gt;0,1,0))</f>
        <v>0</v>
      </c>
      <c r="R92" s="201" t="n">
        <f aca="false">IF(Q92=1,1,IF(R86&gt;0,1,0))</f>
        <v>0</v>
      </c>
      <c r="S92" s="201" t="n">
        <f aca="false">IF(R92=1,1,IF(S86&gt;0,1,0))</f>
        <v>1</v>
      </c>
      <c r="T92" s="201" t="n">
        <f aca="false">IF(S92=1,1,IF(T86&gt;0,1,0))</f>
        <v>1</v>
      </c>
      <c r="U92" s="201" t="n">
        <f aca="false">IF(T92=1,1,IF(U86&gt;0,1,0))</f>
        <v>1</v>
      </c>
      <c r="V92" s="201" t="n">
        <f aca="false">IF(U92=1,1,IF(V86&gt;0,1,0))</f>
        <v>1</v>
      </c>
      <c r="W92" s="201" t="n">
        <f aca="false">IF(V92=1,1,IF(W86&gt;0,1,0))</f>
        <v>1</v>
      </c>
      <c r="X92" s="201" t="n">
        <f aca="false">IF(W92=1,1,IF(X86&gt;0,1,0))</f>
        <v>1</v>
      </c>
      <c r="Y92" s="201" t="n">
        <f aca="false">IF(X92=1,1,IF(Y86&gt;0,1,0))</f>
        <v>1</v>
      </c>
      <c r="Z92" s="201" t="n">
        <f aca="false">IF(Y92=1,1,IF(Z86&gt;0,1,0))</f>
        <v>1</v>
      </c>
      <c r="AA92" s="201" t="n">
        <f aca="false">IF(Z92=1,1,IF(AA86&gt;0,1,0))</f>
        <v>1</v>
      </c>
      <c r="AB92" s="201" t="n">
        <f aca="false">IF(AA92=1,1,IF(AB86&gt;0,1,0))</f>
        <v>1</v>
      </c>
      <c r="AC92" s="201" t="n">
        <f aca="false">IF(AB92=1,1,IF(AC86&gt;0,1,0))</f>
        <v>1</v>
      </c>
      <c r="AD92" s="201" t="n">
        <f aca="false">IF(AC92=1,1,IF(AD86&gt;0,1,0))</f>
        <v>1</v>
      </c>
      <c r="AE92" s="201" t="n">
        <f aca="false">IF(AD92=1,1,IF(AE86&gt;0,1,0))</f>
        <v>1</v>
      </c>
      <c r="AF92" s="201" t="n">
        <f aca="false">IF(AE92=1,1,IF(AF86&gt;0,1,0))</f>
        <v>1</v>
      </c>
      <c r="AG92" s="201" t="n">
        <f aca="false">IF(AF92=1,1,IF(AG86&gt;0,1,0))</f>
        <v>1</v>
      </c>
      <c r="AH92" s="201" t="n">
        <f aca="false">IF(AG92=1,1,IF(AH86&gt;0,1,0))</f>
        <v>1</v>
      </c>
      <c r="AI92" s="201" t="n">
        <f aca="false">IF(AH92=1,1,IF(AI86&gt;0,1,0))</f>
        <v>1</v>
      </c>
      <c r="AJ92" s="201" t="n">
        <f aca="false">IF(AI92=1,1,IF(AJ86&gt;0,1,0))</f>
        <v>1</v>
      </c>
      <c r="AK92" s="201" t="n">
        <f aca="false">IF(AJ92=1,1,IF(AK86&gt;0,1,0))</f>
        <v>1</v>
      </c>
      <c r="AL92" s="201" t="n">
        <f aca="false">IF(AK92=1,1,IF(AL86&gt;0,1,0))</f>
        <v>1</v>
      </c>
      <c r="AM92" s="201" t="n">
        <f aca="false">IF(AL92=1,1,IF(AM86&gt;0,1,0))</f>
        <v>1</v>
      </c>
      <c r="AN92" s="201" t="n">
        <f aca="false">IF(AM92=1,1,IF(AN86&gt;0,1,0))</f>
        <v>1</v>
      </c>
      <c r="AO92" s="201" t="n">
        <f aca="false">IF(AN92=1,1,IF(AO86&gt;0,1,0))</f>
        <v>1</v>
      </c>
      <c r="AP92" s="201" t="n">
        <f aca="false">IF(AO92=1,1,IF(AP86&gt;0,1,0))</f>
        <v>1</v>
      </c>
      <c r="AQ92" s="201" t="n">
        <f aca="false">IF(AP92=1,1,IF(AQ86&gt;0,1,0))</f>
        <v>1</v>
      </c>
      <c r="AR92" s="201" t="n">
        <f aca="false">IF(AQ92=1,1,IF(AR86&gt;0,1,0))</f>
        <v>1</v>
      </c>
      <c r="AS92" s="201" t="n">
        <f aca="false">IF(AR92=1,1,IF(AS86&gt;0,1,0))</f>
        <v>1</v>
      </c>
      <c r="AT92" s="201" t="n">
        <f aca="false">IF(AS92=1,1,IF(AT86&gt;0,1,0))</f>
        <v>1</v>
      </c>
      <c r="AU92" s="201" t="n">
        <f aca="false">IF(AT92=1,1,IF(AU86&gt;0,1,0))</f>
        <v>1</v>
      </c>
      <c r="AV92" s="201" t="n">
        <f aca="false">IF(AU92=1,1,IF(AV86&gt;0,1,0))</f>
        <v>1</v>
      </c>
      <c r="AW92" s="201" t="n">
        <f aca="false">IF(AV92=1,1,IF(AW86&gt;0,1,0))</f>
        <v>1</v>
      </c>
      <c r="AX92" s="201" t="n">
        <f aca="false">IF(AW92=1,1,IF(AX86&gt;0,1,0))</f>
        <v>1</v>
      </c>
      <c r="AY92" s="201" t="n">
        <f aca="false">IF(AX92=1,1,IF(AY86&gt;0,1,0))</f>
        <v>1</v>
      </c>
      <c r="AZ92" s="201" t="n">
        <f aca="false">IF(AY92=1,1,IF(AZ86&gt;0,1,0))</f>
        <v>1</v>
      </c>
      <c r="BA92" s="201" t="n">
        <f aca="false">IF(AZ92=1,1,IF(BA86&gt;0,1,0))</f>
        <v>1</v>
      </c>
      <c r="BB92" s="201" t="n">
        <f aca="false">IF(BA92=1,1,IF(BB86&gt;0,1,0))</f>
        <v>1</v>
      </c>
      <c r="BC92" s="201" t="n">
        <f aca="false">IF(BB92=1,1,IF(BC86&gt;0,1,0))</f>
        <v>1</v>
      </c>
      <c r="BD92" s="201" t="n">
        <f aca="false">IF(BC92=1,1,IF(BD86&gt;0,1,0))</f>
        <v>1</v>
      </c>
      <c r="BE92" s="201" t="n">
        <f aca="false">IF(BD92=1,1,IF(BE86&gt;0,1,0))</f>
        <v>1</v>
      </c>
      <c r="BF92" s="201" t="n">
        <f aca="false">IF(BE92=1,1,IF(BF86&gt;0,1,0))</f>
        <v>1</v>
      </c>
      <c r="BG92" s="201" t="n">
        <f aca="false">IF(BF92=1,1,IF(BG86&gt;0,1,0))</f>
        <v>1</v>
      </c>
      <c r="BH92" s="201" t="n">
        <f aca="false">IF(BG92=1,1,IF(BH86&gt;0,1,0))</f>
        <v>1</v>
      </c>
      <c r="BI92" s="201" t="n">
        <f aca="false">IF(BH92=1,1,IF(BI86&gt;0,1,0))</f>
        <v>1</v>
      </c>
      <c r="BJ92" s="202" t="n">
        <f aca="false">BI92</f>
        <v>1</v>
      </c>
      <c r="BK92" s="51" t="s">
        <v>748</v>
      </c>
    </row>
    <row r="93" customFormat="false" ht="15.75" hidden="false" customHeight="true" outlineLevel="0" collapsed="false">
      <c r="A93" s="49" t="s">
        <v>469</v>
      </c>
      <c r="B93" s="168" t="n">
        <f aca="false">Aportes!B96</f>
        <v>0</v>
      </c>
      <c r="C93" s="168" t="n">
        <f aca="false">Aportes!C96</f>
        <v>0</v>
      </c>
      <c r="D93" s="168" t="n">
        <f aca="false">Aportes!D96</f>
        <v>0</v>
      </c>
      <c r="E93" s="168" t="n">
        <f aca="false">Aportes!E96</f>
        <v>10000</v>
      </c>
      <c r="F93" s="168" t="n">
        <f aca="false">Aportes!F96</f>
        <v>0</v>
      </c>
      <c r="G93" s="168" t="n">
        <f aca="false">Aportes!G96</f>
        <v>0</v>
      </c>
      <c r="H93" s="168" t="n">
        <f aca="false">Aportes!H96</f>
        <v>5000</v>
      </c>
      <c r="I93" s="168" t="n">
        <f aca="false">Aportes!I96</f>
        <v>18000</v>
      </c>
      <c r="J93" s="168" t="n">
        <f aca="false">Aportes!J96</f>
        <v>4000</v>
      </c>
      <c r="K93" s="168" t="n">
        <f aca="false">Aportes!K96</f>
        <v>80000</v>
      </c>
      <c r="L93" s="168" t="n">
        <f aca="false">Aportes!L96</f>
        <v>0</v>
      </c>
      <c r="M93" s="168" t="n">
        <f aca="false">Aportes!M96</f>
        <v>0</v>
      </c>
      <c r="N93" s="168" t="n">
        <f aca="false">Aportes!N96</f>
        <v>0</v>
      </c>
      <c r="O93" s="168" t="n">
        <f aca="false">Aportes!O96</f>
        <v>200000</v>
      </c>
      <c r="P93" s="168" t="n">
        <f aca="false">Aportes!P96</f>
        <v>0</v>
      </c>
      <c r="Q93" s="168" t="n">
        <f aca="false">Aportes!Q96</f>
        <v>0</v>
      </c>
      <c r="R93" s="168" t="n">
        <f aca="false">Aportes!R96</f>
        <v>0</v>
      </c>
      <c r="S93" s="168" t="n">
        <f aca="false">Aportes!S96</f>
        <v>0</v>
      </c>
      <c r="T93" s="168" t="n">
        <f aca="false">Aportes!T96</f>
        <v>0</v>
      </c>
      <c r="U93" s="168" t="n">
        <f aca="false">Aportes!U96</f>
        <v>0</v>
      </c>
      <c r="V93" s="168" t="n">
        <f aca="false">Aportes!V96</f>
        <v>0</v>
      </c>
      <c r="W93" s="168" t="n">
        <f aca="false">Aportes!W96</f>
        <v>0</v>
      </c>
      <c r="X93" s="168" t="n">
        <f aca="false">Aportes!X96</f>
        <v>0</v>
      </c>
      <c r="Y93" s="168" t="n">
        <f aca="false">Aportes!Y96</f>
        <v>0</v>
      </c>
      <c r="Z93" s="168" t="n">
        <f aca="false">Aportes!Z96</f>
        <v>0</v>
      </c>
      <c r="AA93" s="168" t="n">
        <f aca="false">Aportes!AA96</f>
        <v>0</v>
      </c>
      <c r="AB93" s="168" t="n">
        <f aca="false">Aportes!AB96</f>
        <v>0</v>
      </c>
      <c r="AC93" s="168" t="n">
        <f aca="false">Aportes!AC96</f>
        <v>0</v>
      </c>
      <c r="AD93" s="168" t="n">
        <f aca="false">Aportes!AD96</f>
        <v>0</v>
      </c>
      <c r="AE93" s="168" t="n">
        <f aca="false">Aportes!AE96</f>
        <v>0</v>
      </c>
      <c r="AF93" s="168" t="n">
        <f aca="false">Aportes!AF96</f>
        <v>0</v>
      </c>
      <c r="AG93" s="168" t="n">
        <f aca="false">Aportes!AG96</f>
        <v>0</v>
      </c>
      <c r="AH93" s="168" t="n">
        <f aca="false">Aportes!AH96</f>
        <v>0</v>
      </c>
      <c r="AI93" s="168" t="n">
        <f aca="false">Aportes!AI96</f>
        <v>0</v>
      </c>
      <c r="AJ93" s="168" t="n">
        <f aca="false">Aportes!AJ96</f>
        <v>0</v>
      </c>
      <c r="AK93" s="168" t="n">
        <f aca="false">Aportes!AK96</f>
        <v>0</v>
      </c>
      <c r="AL93" s="168" t="n">
        <f aca="false">Aportes!AL96</f>
        <v>0</v>
      </c>
      <c r="AM93" s="168" t="n">
        <f aca="false">Aportes!AM96</f>
        <v>0</v>
      </c>
      <c r="AN93" s="168" t="n">
        <f aca="false">Aportes!AN96</f>
        <v>0</v>
      </c>
      <c r="AO93" s="168" t="n">
        <f aca="false">Aportes!AO96</f>
        <v>0</v>
      </c>
      <c r="AP93" s="168" t="n">
        <f aca="false">Aportes!AP96</f>
        <v>0</v>
      </c>
      <c r="AQ93" s="168" t="n">
        <f aca="false">Aportes!AQ96</f>
        <v>0</v>
      </c>
      <c r="AR93" s="168" t="n">
        <f aca="false">Aportes!AR96</f>
        <v>0</v>
      </c>
      <c r="AS93" s="168" t="n">
        <f aca="false">Aportes!AS96</f>
        <v>0</v>
      </c>
      <c r="AT93" s="168" t="n">
        <f aca="false">Aportes!AT96</f>
        <v>0</v>
      </c>
      <c r="AU93" s="168" t="n">
        <f aca="false">Aportes!AU96</f>
        <v>0</v>
      </c>
      <c r="AV93" s="168" t="n">
        <f aca="false">Aportes!AV96</f>
        <v>0</v>
      </c>
      <c r="AW93" s="168" t="n">
        <f aca="false">Aportes!AW96</f>
        <v>0</v>
      </c>
      <c r="AX93" s="168" t="n">
        <f aca="false">Aportes!AX96</f>
        <v>0</v>
      </c>
      <c r="AY93" s="168" t="n">
        <f aca="false">Aportes!AY96</f>
        <v>0</v>
      </c>
      <c r="AZ93" s="168" t="n">
        <f aca="false">Aportes!AZ96</f>
        <v>0</v>
      </c>
      <c r="BA93" s="168" t="n">
        <f aca="false">Aportes!BA96</f>
        <v>0</v>
      </c>
      <c r="BB93" s="168" t="n">
        <f aca="false">Aportes!BB96</f>
        <v>0</v>
      </c>
      <c r="BC93" s="168" t="n">
        <f aca="false">Aportes!BC96</f>
        <v>0</v>
      </c>
      <c r="BD93" s="168" t="n">
        <f aca="false">Aportes!BD96</f>
        <v>0</v>
      </c>
      <c r="BE93" s="168" t="n">
        <f aca="false">Aportes!BE96</f>
        <v>0</v>
      </c>
      <c r="BF93" s="168" t="n">
        <f aca="false">Aportes!BF96</f>
        <v>0</v>
      </c>
      <c r="BG93" s="168" t="n">
        <f aca="false">Aportes!BG96</f>
        <v>0</v>
      </c>
      <c r="BH93" s="168" t="n">
        <f aca="false">Aportes!BH96</f>
        <v>0</v>
      </c>
      <c r="BI93" s="168" t="n">
        <f aca="false">Aportes!BI96</f>
        <v>0</v>
      </c>
      <c r="BJ93" s="154" t="n">
        <f aca="false">SUM(B93:BI93)</f>
        <v>317000</v>
      </c>
      <c r="BK93" s="51" t="s">
        <v>764</v>
      </c>
    </row>
    <row r="94" customFormat="false" ht="15.75" hidden="false" customHeight="true" outlineLevel="0" collapsed="false">
      <c r="A94" s="49" t="s">
        <v>765</v>
      </c>
      <c r="B94" s="168" t="n">
        <f aca="false">B88+B93</f>
        <v>0</v>
      </c>
      <c r="C94" s="168" t="n">
        <f aca="false">C88+C93</f>
        <v>0</v>
      </c>
      <c r="D94" s="168" t="n">
        <f aca="false">D88+D93</f>
        <v>0</v>
      </c>
      <c r="E94" s="168" t="n">
        <f aca="false">E88+E93</f>
        <v>10000</v>
      </c>
      <c r="F94" s="168" t="n">
        <f aca="false">F88+F93</f>
        <v>-6600</v>
      </c>
      <c r="G94" s="168" t="n">
        <f aca="false">G88+G93</f>
        <v>-600</v>
      </c>
      <c r="H94" s="168" t="n">
        <f aca="false">H88+H93</f>
        <v>4400</v>
      </c>
      <c r="I94" s="168" t="n">
        <f aca="false">I88+I93</f>
        <v>8272.18</v>
      </c>
      <c r="J94" s="168" t="n">
        <f aca="false">J88+J93</f>
        <v>-7100</v>
      </c>
      <c r="K94" s="168" t="n">
        <f aca="false">K88+K93</f>
        <v>68900</v>
      </c>
      <c r="L94" s="168" t="n">
        <f aca="false">L88+L93</f>
        <v>-2100</v>
      </c>
      <c r="M94" s="168" t="n">
        <f aca="false">M88+M93</f>
        <v>-30935.69675</v>
      </c>
      <c r="N94" s="168" t="n">
        <f aca="false">N88+N93</f>
        <v>-90989.1245066667</v>
      </c>
      <c r="O94" s="168" t="n">
        <f aca="false">O88+O93</f>
        <v>124397.713730261</v>
      </c>
      <c r="P94" s="168" t="n">
        <f aca="false">P88+P93</f>
        <v>-62834.3975386276</v>
      </c>
      <c r="Q94" s="168" t="n">
        <f aca="false">Q88+Q93</f>
        <v>-30364.6935326509</v>
      </c>
      <c r="R94" s="168" t="n">
        <f aca="false">R88+R93</f>
        <v>-6993.91394303791</v>
      </c>
      <c r="S94" s="168" t="n">
        <f aca="false">S88+S93</f>
        <v>-4314.17099758057</v>
      </c>
      <c r="T94" s="168" t="n">
        <f aca="false">T88+T93</f>
        <v>9929.43528864453</v>
      </c>
      <c r="U94" s="168" t="n">
        <f aca="false">U88+U93</f>
        <v>18082.6377952669</v>
      </c>
      <c r="V94" s="168" t="n">
        <f aca="false">V88+V93</f>
        <v>24041.0017256004</v>
      </c>
      <c r="W94" s="168" t="n">
        <f aca="false">W88+W93</f>
        <v>30757.1210308209</v>
      </c>
      <c r="X94" s="168" t="n">
        <f aca="false">X88+X93</f>
        <v>35805.6168140176</v>
      </c>
      <c r="Y94" s="168" t="n">
        <f aca="false">Y88+Y93</f>
        <v>72409.141154078</v>
      </c>
      <c r="Z94" s="168" t="n">
        <f aca="false">Z88+Z93</f>
        <v>2512.9978062311</v>
      </c>
      <c r="AA94" s="168" t="n">
        <f aca="false">AA88+AA93</f>
        <v>33829.289154316</v>
      </c>
      <c r="AB94" s="168" t="n">
        <f aca="false">AB88+AB93</f>
        <v>52966.3331573655</v>
      </c>
      <c r="AC94" s="168" t="n">
        <f aca="false">AC88+AC93</f>
        <v>70750.5087737169</v>
      </c>
      <c r="AD94" s="168" t="n">
        <f aca="false">AD88+AD93</f>
        <v>87290.591548266</v>
      </c>
      <c r="AE94" s="168" t="n">
        <f aca="false">AE88+AE93</f>
        <v>87645.0373204064</v>
      </c>
      <c r="AF94" s="168" t="n">
        <f aca="false">AF88+AF93</f>
        <v>116905.023357711</v>
      </c>
      <c r="AG94" s="168" t="n">
        <f aca="false">AG88+AG93</f>
        <v>130179.346614923</v>
      </c>
      <c r="AH94" s="168" t="n">
        <f aca="false">AH88+AH93</f>
        <v>142480.881034666</v>
      </c>
      <c r="AI94" s="168" t="n">
        <f aca="false">AI88+AI93</f>
        <v>153921.519236628</v>
      </c>
      <c r="AJ94" s="168" t="n">
        <f aca="false">AJ88+AJ93</f>
        <v>164575.67833804</v>
      </c>
      <c r="AK94" s="168" t="n">
        <f aca="false">AK88+AK93</f>
        <v>174489.008139901</v>
      </c>
      <c r="AL94" s="168" t="n">
        <f aca="false">AL88+AL93</f>
        <v>42839.2754790075</v>
      </c>
      <c r="AM94" s="168" t="n">
        <f aca="false">AM88+AM93</f>
        <v>73013.8631902271</v>
      </c>
      <c r="AN94" s="168" t="n">
        <f aca="false">AN88+AN93</f>
        <v>101150.122358121</v>
      </c>
      <c r="AO94" s="168" t="n">
        <f aca="false">AO88+AO93</f>
        <v>127453.412186849</v>
      </c>
      <c r="AP94" s="168" t="n">
        <f aca="false">AP88+AP93</f>
        <v>152015.972199104</v>
      </c>
      <c r="AQ94" s="168" t="n">
        <f aca="false">AQ88+AQ93</f>
        <v>149925.384236952</v>
      </c>
      <c r="AR94" s="168" t="n">
        <f aca="false">AR88+AR93</f>
        <v>196335.766563724</v>
      </c>
      <c r="AS94" s="168" t="n">
        <f aca="false">AS88+AS93</f>
        <v>216292.389326741</v>
      </c>
      <c r="AT94" s="168" t="n">
        <f aca="false">AT88+AT93</f>
        <v>234937.207564019</v>
      </c>
      <c r="AU94" s="168" t="n">
        <f aca="false">AU88+AU93</f>
        <v>252347.203462666</v>
      </c>
      <c r="AV94" s="168" t="n">
        <f aca="false">AV88+AV93</f>
        <v>268617.874892157</v>
      </c>
      <c r="AW94" s="168" t="n">
        <f aca="false">AW88+AW93</f>
        <v>283768.450552222</v>
      </c>
      <c r="AX94" s="168" t="n">
        <f aca="false">AX88+AX93</f>
        <v>159893.582810827</v>
      </c>
      <c r="AY94" s="168" t="n">
        <f aca="false">AY88+AY93</f>
        <v>208012.579107051</v>
      </c>
      <c r="AZ94" s="168" t="n">
        <f aca="false">AZ88+AZ93</f>
        <v>253083.289971783</v>
      </c>
      <c r="BA94" s="168" t="n">
        <f aca="false">BA88+BA93</f>
        <v>295383.899908452</v>
      </c>
      <c r="BB94" s="168" t="n">
        <f aca="false">BB88+BB93</f>
        <v>335027.408833143</v>
      </c>
      <c r="BC94" s="168" t="n">
        <f aca="false">BC88+BC93</f>
        <v>342172.803074992</v>
      </c>
      <c r="BD94" s="168" t="n">
        <f aca="false">BD88+BD93</f>
        <v>407044.840858663</v>
      </c>
      <c r="BE94" s="168" t="n">
        <f aca="false">BE88+BE93</f>
        <v>439713.273896072</v>
      </c>
      <c r="BF94" s="168" t="n">
        <f aca="false">BF88+BF93</f>
        <v>470364.785914089</v>
      </c>
      <c r="BG94" s="168" t="n">
        <f aca="false">BG88+BG93</f>
        <v>499042.619585767</v>
      </c>
      <c r="BH94" s="168" t="n">
        <f aca="false">BH88+BH93</f>
        <v>525969.155054732</v>
      </c>
      <c r="BI94" s="168" t="n">
        <f aca="false">BI88+BI93</f>
        <v>551209.704045468</v>
      </c>
      <c r="BJ94" s="154" t="n">
        <f aca="false">SUM(B94:BI94)</f>
        <v>7967323.92982513</v>
      </c>
      <c r="BK94" s="51" t="s">
        <v>764</v>
      </c>
    </row>
    <row r="95" customFormat="false" ht="15.75" hidden="false" customHeight="true" outlineLevel="0" collapsed="false">
      <c r="A95" s="53" t="s">
        <v>471</v>
      </c>
      <c r="B95" s="154" t="n">
        <f aca="false">B94</f>
        <v>0</v>
      </c>
      <c r="C95" s="154" t="n">
        <f aca="false">B95+C94</f>
        <v>0</v>
      </c>
      <c r="D95" s="154" t="n">
        <f aca="false">C95+D94</f>
        <v>0</v>
      </c>
      <c r="E95" s="154" t="n">
        <f aca="false">D95+E94</f>
        <v>10000</v>
      </c>
      <c r="F95" s="154" t="n">
        <f aca="false">E95+F94</f>
        <v>3400</v>
      </c>
      <c r="G95" s="154" t="n">
        <f aca="false">F95+G94</f>
        <v>2800</v>
      </c>
      <c r="H95" s="154" t="n">
        <f aca="false">G95+H94</f>
        <v>7200</v>
      </c>
      <c r="I95" s="154" t="n">
        <f aca="false">H95+I94</f>
        <v>15472.18</v>
      </c>
      <c r="J95" s="154" t="n">
        <f aca="false">I95+J94</f>
        <v>8372.18</v>
      </c>
      <c r="K95" s="154" t="n">
        <f aca="false">J95+K94</f>
        <v>77272.18</v>
      </c>
      <c r="L95" s="154" t="n">
        <f aca="false">K95+L94</f>
        <v>75172.18</v>
      </c>
      <c r="M95" s="154" t="n">
        <f aca="false">L95+M94</f>
        <v>44236.48325</v>
      </c>
      <c r="N95" s="154" t="n">
        <f aca="false">M95+N94</f>
        <v>-46752.6412566667</v>
      </c>
      <c r="O95" s="154" t="n">
        <f aca="false">N95+O94</f>
        <v>77645.0724735947</v>
      </c>
      <c r="P95" s="154" t="n">
        <f aca="false">O95+P94</f>
        <v>14810.674934967</v>
      </c>
      <c r="Q95" s="154" t="n">
        <f aca="false">P95+Q94</f>
        <v>-15554.0185976838</v>
      </c>
      <c r="R95" s="154" t="n">
        <f aca="false">Q95+R94</f>
        <v>-22547.9325407217</v>
      </c>
      <c r="S95" s="154" t="n">
        <f aca="false">R95+S94</f>
        <v>-26862.1035383023</v>
      </c>
      <c r="T95" s="154" t="n">
        <f aca="false">S95+T94</f>
        <v>-16932.6682496578</v>
      </c>
      <c r="U95" s="154" t="n">
        <f aca="false">T95+U94</f>
        <v>1149.9695456091</v>
      </c>
      <c r="V95" s="154" t="n">
        <f aca="false">U95+V94</f>
        <v>25190.9712712095</v>
      </c>
      <c r="W95" s="154" t="n">
        <f aca="false">V95+W94</f>
        <v>55948.0923020304</v>
      </c>
      <c r="X95" s="154" t="n">
        <f aca="false">W95+X94</f>
        <v>91753.709116048</v>
      </c>
      <c r="Y95" s="154" t="n">
        <f aca="false">X95+Y94</f>
        <v>164162.850270126</v>
      </c>
      <c r="Z95" s="154" t="n">
        <f aca="false">Y95+Z94</f>
        <v>166675.848076357</v>
      </c>
      <c r="AA95" s="154" t="n">
        <f aca="false">Z95+AA94</f>
        <v>200505.137230673</v>
      </c>
      <c r="AB95" s="154" t="n">
        <f aca="false">AA95+AB94</f>
        <v>253471.470388039</v>
      </c>
      <c r="AC95" s="154" t="n">
        <f aca="false">AB95+AC94</f>
        <v>324221.979161756</v>
      </c>
      <c r="AD95" s="154" t="n">
        <f aca="false">AC95+AD94</f>
        <v>411512.570710022</v>
      </c>
      <c r="AE95" s="154" t="n">
        <f aca="false">AD95+AE94</f>
        <v>499157.608030428</v>
      </c>
      <c r="AF95" s="154" t="n">
        <f aca="false">AE95+AF94</f>
        <v>616062.631388139</v>
      </c>
      <c r="AG95" s="154" t="n">
        <f aca="false">AF95+AG94</f>
        <v>746241.978003062</v>
      </c>
      <c r="AH95" s="154" t="n">
        <f aca="false">AG95+AH94</f>
        <v>888722.859037728</v>
      </c>
      <c r="AI95" s="154" t="n">
        <f aca="false">AH95+AI94</f>
        <v>1042644.37827436</v>
      </c>
      <c r="AJ95" s="154" t="n">
        <f aca="false">AI95+AJ94</f>
        <v>1207220.0566124</v>
      </c>
      <c r="AK95" s="154" t="n">
        <f aca="false">AJ95+AK94</f>
        <v>1381709.0647523</v>
      </c>
      <c r="AL95" s="154" t="n">
        <f aca="false">AK95+AL94</f>
        <v>1424548.3402313</v>
      </c>
      <c r="AM95" s="154" t="n">
        <f aca="false">AL95+AM94</f>
        <v>1497562.20342153</v>
      </c>
      <c r="AN95" s="154" t="n">
        <f aca="false">AM95+AN94</f>
        <v>1598712.32577965</v>
      </c>
      <c r="AO95" s="154" t="n">
        <f aca="false">AN95+AO94</f>
        <v>1726165.7379665</v>
      </c>
      <c r="AP95" s="154" t="n">
        <f aca="false">AO95+AP94</f>
        <v>1878181.71016561</v>
      </c>
      <c r="AQ95" s="154" t="n">
        <f aca="false">AP95+AQ94</f>
        <v>2028107.09440256</v>
      </c>
      <c r="AR95" s="154" t="n">
        <f aca="false">AQ95+AR94</f>
        <v>2224442.86096628</v>
      </c>
      <c r="AS95" s="154" t="n">
        <f aca="false">AR95+AS94</f>
        <v>2440735.25029302</v>
      </c>
      <c r="AT95" s="154" t="n">
        <f aca="false">AS95+AT94</f>
        <v>2675672.45785704</v>
      </c>
      <c r="AU95" s="154" t="n">
        <f aca="false">AT95+AU94</f>
        <v>2928019.66131971</v>
      </c>
      <c r="AV95" s="154" t="n">
        <f aca="false">AU95+AV94</f>
        <v>3196637.53621187</v>
      </c>
      <c r="AW95" s="154" t="n">
        <f aca="false">AV95+AW94</f>
        <v>3480405.98676409</v>
      </c>
      <c r="AX95" s="154" t="n">
        <f aca="false">AW95+AX94</f>
        <v>3640299.56957491</v>
      </c>
      <c r="AY95" s="154" t="n">
        <f aca="false">AX95+AY94</f>
        <v>3848312.14868197</v>
      </c>
      <c r="AZ95" s="154" t="n">
        <f aca="false">AY95+AZ94</f>
        <v>4101395.43865375</v>
      </c>
      <c r="BA95" s="154" t="n">
        <f aca="false">AZ95+BA94</f>
        <v>4396779.3385622</v>
      </c>
      <c r="BB95" s="154" t="n">
        <f aca="false">BA95+BB94</f>
        <v>4731806.74739534</v>
      </c>
      <c r="BC95" s="154" t="n">
        <f aca="false">BB95+BC94</f>
        <v>5073979.55047034</v>
      </c>
      <c r="BD95" s="154" t="n">
        <f aca="false">BC95+BD94</f>
        <v>5481024.391329</v>
      </c>
      <c r="BE95" s="154" t="n">
        <f aca="false">BD95+BE94</f>
        <v>5920737.66522507</v>
      </c>
      <c r="BF95" s="154" t="n">
        <f aca="false">BE95+BF94</f>
        <v>6391102.45113916</v>
      </c>
      <c r="BG95" s="154" t="n">
        <f aca="false">BF95+BG94</f>
        <v>6890145.07072493</v>
      </c>
      <c r="BH95" s="154" t="n">
        <f aca="false">BG95+BH94</f>
        <v>7416114.22577966</v>
      </c>
      <c r="BI95" s="154" t="n">
        <f aca="false">BH95+BI94</f>
        <v>7967323.92982513</v>
      </c>
      <c r="BJ95" s="154" t="n">
        <f aca="false">BI95</f>
        <v>7967323.92982513</v>
      </c>
    </row>
    <row r="96" customFormat="false" ht="15.75" hidden="false" customHeight="true" outlineLevel="0" collapsed="false">
      <c r="A96" s="49" t="s">
        <v>766</v>
      </c>
      <c r="B96" s="201" t="n">
        <f aca="false">IF(B91&lt;0,B$5,0)</f>
        <v>0</v>
      </c>
      <c r="C96" s="201" t="n">
        <f aca="false">IF(C91&lt;0,C$5,0)</f>
        <v>0</v>
      </c>
      <c r="D96" s="201" t="n">
        <f aca="false">IF(D91&lt;0,D$5,0)</f>
        <v>0</v>
      </c>
      <c r="E96" s="201" t="n">
        <f aca="false">IF(E91&lt;0,E$5,0)</f>
        <v>0</v>
      </c>
      <c r="F96" s="201" t="n">
        <f aca="false">IF(F91&lt;0,F$5,0)</f>
        <v>5</v>
      </c>
      <c r="G96" s="201" t="n">
        <f aca="false">IF(G91&lt;0,G$5,0)</f>
        <v>6</v>
      </c>
      <c r="H96" s="201" t="n">
        <f aca="false">IF(H91&lt;0,H$5,0)</f>
        <v>7</v>
      </c>
      <c r="I96" s="201" t="n">
        <f aca="false">IF(I91&lt;0,I$5,0)</f>
        <v>8</v>
      </c>
      <c r="J96" s="201" t="n">
        <f aca="false">IF(J91&lt;0,J$5,0)</f>
        <v>9</v>
      </c>
      <c r="K96" s="201" t="n">
        <f aca="false">IF(K91&lt;0,K$5,0)</f>
        <v>10</v>
      </c>
      <c r="L96" s="201" t="n">
        <f aca="false">IF(L91&lt;0,L$5,0)</f>
        <v>11</v>
      </c>
      <c r="M96" s="201" t="n">
        <f aca="false">IF(M91&lt;0,M$5,0)</f>
        <v>12</v>
      </c>
      <c r="N96" s="201" t="n">
        <f aca="false">IF(N91&lt;0,N$5,0)</f>
        <v>13</v>
      </c>
      <c r="O96" s="201" t="n">
        <f aca="false">IF(O91&lt;0,O$5,0)</f>
        <v>14</v>
      </c>
      <c r="P96" s="201" t="n">
        <f aca="false">IF(P91&lt;0,P$5,0)</f>
        <v>15</v>
      </c>
      <c r="Q96" s="201" t="n">
        <f aca="false">IF(Q91&lt;0,Q$5,0)</f>
        <v>16</v>
      </c>
      <c r="R96" s="201" t="n">
        <f aca="false">IF(R91&lt;0,R$5,0)</f>
        <v>17</v>
      </c>
      <c r="S96" s="201" t="n">
        <f aca="false">IF(S91&lt;0,S$5,0)</f>
        <v>18</v>
      </c>
      <c r="T96" s="201" t="n">
        <f aca="false">IF(T91&lt;0,T$5,0)</f>
        <v>19</v>
      </c>
      <c r="U96" s="201" t="n">
        <f aca="false">IF(U91&lt;0,U$5,0)</f>
        <v>20</v>
      </c>
      <c r="V96" s="201" t="n">
        <f aca="false">IF(V91&lt;0,V$5,0)</f>
        <v>21</v>
      </c>
      <c r="W96" s="201" t="n">
        <f aca="false">IF(W91&lt;0,W$5,0)</f>
        <v>22</v>
      </c>
      <c r="X96" s="201" t="n">
        <f aca="false">IF(X91&lt;0,X$5,0)</f>
        <v>23</v>
      </c>
      <c r="Y96" s="201" t="n">
        <f aca="false">IF(Y91&lt;0,Y$5,0)</f>
        <v>24</v>
      </c>
      <c r="Z96" s="201" t="n">
        <f aca="false">IF(Z91&lt;0,Z$5,0)</f>
        <v>25</v>
      </c>
      <c r="AA96" s="201" t="n">
        <f aca="false">IF(AA91&lt;0,AA$5,0)</f>
        <v>26</v>
      </c>
      <c r="AB96" s="201" t="n">
        <f aca="false">IF(AB91&lt;0,AB$5,0)</f>
        <v>27</v>
      </c>
      <c r="AC96" s="201" t="n">
        <f aca="false">IF(AC91&lt;0,AC$5,0)</f>
        <v>0</v>
      </c>
      <c r="AD96" s="201" t="n">
        <f aca="false">IF(AD91&lt;0,AD$5,0)</f>
        <v>0</v>
      </c>
      <c r="AE96" s="201" t="n">
        <f aca="false">IF(AE91&lt;0,AE$5,0)</f>
        <v>0</v>
      </c>
      <c r="AF96" s="201" t="n">
        <f aca="false">IF(AF91&lt;0,AF$5,0)</f>
        <v>0</v>
      </c>
      <c r="AG96" s="201" t="n">
        <f aca="false">IF(AG91&lt;0,AG$5,0)</f>
        <v>0</v>
      </c>
      <c r="AH96" s="201" t="n">
        <f aca="false">IF(AH91&lt;0,AH$5,0)</f>
        <v>0</v>
      </c>
      <c r="AI96" s="201" t="n">
        <f aca="false">IF(AI91&lt;0,AI$5,0)</f>
        <v>0</v>
      </c>
      <c r="AJ96" s="201" t="n">
        <f aca="false">IF(AJ91&lt;0,AJ$5,0)</f>
        <v>0</v>
      </c>
      <c r="AK96" s="201" t="n">
        <f aca="false">IF(AK91&lt;0,AK$5,0)</f>
        <v>0</v>
      </c>
      <c r="AL96" s="201" t="n">
        <f aca="false">IF(AL91&lt;0,AL$5,0)</f>
        <v>0</v>
      </c>
      <c r="AM96" s="201" t="n">
        <f aca="false">IF(AM91&lt;0,AM$5,0)</f>
        <v>0</v>
      </c>
      <c r="AN96" s="201" t="n">
        <f aca="false">IF(AN91&lt;0,AN$5,0)</f>
        <v>0</v>
      </c>
      <c r="AO96" s="201" t="n">
        <f aca="false">IF(AO91&lt;0,AO$5,0)</f>
        <v>0</v>
      </c>
      <c r="AP96" s="201" t="n">
        <f aca="false">IF(AP91&lt;0,AP$5,0)</f>
        <v>0</v>
      </c>
      <c r="AQ96" s="201" t="n">
        <f aca="false">IF(AQ91&lt;0,AQ$5,0)</f>
        <v>0</v>
      </c>
      <c r="AR96" s="201" t="n">
        <f aca="false">IF(AR91&lt;0,AR$5,0)</f>
        <v>0</v>
      </c>
      <c r="AS96" s="201" t="n">
        <f aca="false">IF(AS91&lt;0,AS$5,0)</f>
        <v>0</v>
      </c>
      <c r="AT96" s="201" t="n">
        <f aca="false">IF(AT91&lt;0,AT$5,0)</f>
        <v>0</v>
      </c>
      <c r="AU96" s="201" t="n">
        <f aca="false">IF(AU91&lt;0,AU$5,0)</f>
        <v>0</v>
      </c>
      <c r="AV96" s="201" t="n">
        <f aca="false">IF(AV91&lt;0,AV$5,0)</f>
        <v>0</v>
      </c>
      <c r="AW96" s="201" t="n">
        <f aca="false">IF(AW91&lt;0,AW$5,0)</f>
        <v>0</v>
      </c>
      <c r="AX96" s="201" t="n">
        <f aca="false">IF(AX91&lt;0,AX$5,0)</f>
        <v>0</v>
      </c>
      <c r="AY96" s="201" t="n">
        <f aca="false">IF(AY91&lt;0,AY$5,0)</f>
        <v>0</v>
      </c>
      <c r="AZ96" s="201" t="n">
        <f aca="false">IF(AZ91&lt;0,AZ$5,0)</f>
        <v>0</v>
      </c>
      <c r="BA96" s="201" t="n">
        <f aca="false">IF(BA91&lt;0,BA$5,0)</f>
        <v>0</v>
      </c>
      <c r="BB96" s="201" t="n">
        <f aca="false">IF(BB91&lt;0,BB$5,0)</f>
        <v>0</v>
      </c>
      <c r="BC96" s="201" t="n">
        <f aca="false">IF(BC91&lt;0,BC$5,0)</f>
        <v>0</v>
      </c>
      <c r="BD96" s="201" t="n">
        <f aca="false">IF(BD91&lt;0,BD$5,0)</f>
        <v>0</v>
      </c>
      <c r="BE96" s="201" t="n">
        <f aca="false">IF(BE91&lt;0,BE$5,0)</f>
        <v>0</v>
      </c>
      <c r="BF96" s="201" t="n">
        <f aca="false">IF(BF91&lt;0,BF$5,0)</f>
        <v>0</v>
      </c>
      <c r="BG96" s="201" t="n">
        <f aca="false">IF(BG91&lt;0,BG$5,0)</f>
        <v>0</v>
      </c>
      <c r="BH96" s="201" t="n">
        <f aca="false">IF(BH91&lt;0,BH$5,0)</f>
        <v>0</v>
      </c>
      <c r="BI96" s="201" t="n">
        <f aca="false">IF(BI91&lt;0,BI$5,0)</f>
        <v>0</v>
      </c>
      <c r="BJ96" s="202" t="n">
        <f aca="false">BI96</f>
        <v>0</v>
      </c>
    </row>
    <row r="97" customFormat="false" ht="15.75" hidden="false" customHeight="true" outlineLevel="0" collapsed="false">
      <c r="A97" s="49" t="s">
        <v>767</v>
      </c>
      <c r="B97" s="201" t="n">
        <f aca="false">IF(B90&lt;0,B$5,0)</f>
        <v>0</v>
      </c>
      <c r="C97" s="201" t="n">
        <f aca="false">IF(C90&lt;0,C$5,0)</f>
        <v>0</v>
      </c>
      <c r="D97" s="201" t="n">
        <f aca="false">IF(D90&lt;0,D$5,0)</f>
        <v>0</v>
      </c>
      <c r="E97" s="201" t="n">
        <f aca="false">IF(E90&lt;0,E$5,0)</f>
        <v>0</v>
      </c>
      <c r="F97" s="201" t="n">
        <f aca="false">IF(F90&lt;0,F$5,0)</f>
        <v>5</v>
      </c>
      <c r="G97" s="201" t="n">
        <f aca="false">IF(G90&lt;0,G$5,0)</f>
        <v>6</v>
      </c>
      <c r="H97" s="201" t="n">
        <f aca="false">IF(H90&lt;0,H$5,0)</f>
        <v>7</v>
      </c>
      <c r="I97" s="201" t="n">
        <f aca="false">IF(I90&lt;0,I$5,0)</f>
        <v>8</v>
      </c>
      <c r="J97" s="201" t="n">
        <f aca="false">IF(J90&lt;0,J$5,0)</f>
        <v>9</v>
      </c>
      <c r="K97" s="201" t="n">
        <f aca="false">IF(K90&lt;0,K$5,0)</f>
        <v>10</v>
      </c>
      <c r="L97" s="201" t="n">
        <f aca="false">IF(L90&lt;0,L$5,0)</f>
        <v>11</v>
      </c>
      <c r="M97" s="201" t="n">
        <f aca="false">IF(M90&lt;0,M$5,0)</f>
        <v>12</v>
      </c>
      <c r="N97" s="201" t="n">
        <f aca="false">IF(N90&lt;0,N$5,0)</f>
        <v>13</v>
      </c>
      <c r="O97" s="201" t="n">
        <f aca="false">IF(O90&lt;0,O$5,0)</f>
        <v>14</v>
      </c>
      <c r="P97" s="201" t="n">
        <f aca="false">IF(P90&lt;0,P$5,0)</f>
        <v>15</v>
      </c>
      <c r="Q97" s="201" t="n">
        <f aca="false">IF(Q90&lt;0,Q$5,0)</f>
        <v>16</v>
      </c>
      <c r="R97" s="201" t="n">
        <f aca="false">IF(R90&lt;0,R$5,0)</f>
        <v>17</v>
      </c>
      <c r="S97" s="201" t="n">
        <f aca="false">IF(S90&lt;0,S$5,0)</f>
        <v>18</v>
      </c>
      <c r="T97" s="201" t="n">
        <f aca="false">IF(T90&lt;0,T$5,0)</f>
        <v>19</v>
      </c>
      <c r="U97" s="201" t="n">
        <f aca="false">IF(U90&lt;0,U$5,0)</f>
        <v>20</v>
      </c>
      <c r="V97" s="201" t="n">
        <f aca="false">IF(V90&lt;0,V$5,0)</f>
        <v>21</v>
      </c>
      <c r="W97" s="201" t="n">
        <f aca="false">IF(W90&lt;0,W$5,0)</f>
        <v>22</v>
      </c>
      <c r="X97" s="201" t="n">
        <f aca="false">IF(X90&lt;0,X$5,0)</f>
        <v>23</v>
      </c>
      <c r="Y97" s="201" t="n">
        <f aca="false">IF(Y90&lt;0,Y$5,0)</f>
        <v>24</v>
      </c>
      <c r="Z97" s="201" t="n">
        <f aca="false">IF(Z90&lt;0,Z$5,0)</f>
        <v>25</v>
      </c>
      <c r="AA97" s="201" t="n">
        <f aca="false">IF(AA90&lt;0,AA$5,0)</f>
        <v>26</v>
      </c>
      <c r="AB97" s="201" t="n">
        <f aca="false">IF(AB90&lt;0,AB$5,0)</f>
        <v>27</v>
      </c>
      <c r="AC97" s="201" t="n">
        <f aca="false">IF(AC90&lt;0,AC$5,0)</f>
        <v>28</v>
      </c>
      <c r="AD97" s="201" t="n">
        <f aca="false">IF(AD90&lt;0,AD$5,0)</f>
        <v>0</v>
      </c>
      <c r="AE97" s="201" t="n">
        <f aca="false">IF(AE90&lt;0,AE$5,0)</f>
        <v>0</v>
      </c>
      <c r="AF97" s="201" t="n">
        <f aca="false">IF(AF90&lt;0,AF$5,0)</f>
        <v>0</v>
      </c>
      <c r="AG97" s="201" t="n">
        <f aca="false">IF(AG90&lt;0,AG$5,0)</f>
        <v>0</v>
      </c>
      <c r="AH97" s="201" t="n">
        <f aca="false">IF(AH90&lt;0,AH$5,0)</f>
        <v>0</v>
      </c>
      <c r="AI97" s="201" t="n">
        <f aca="false">IF(AI90&lt;0,AI$5,0)</f>
        <v>0</v>
      </c>
      <c r="AJ97" s="201" t="n">
        <f aca="false">IF(AJ90&lt;0,AJ$5,0)</f>
        <v>0</v>
      </c>
      <c r="AK97" s="201" t="n">
        <f aca="false">IF(AK90&lt;0,AK$5,0)</f>
        <v>0</v>
      </c>
      <c r="AL97" s="201" t="n">
        <f aca="false">IF(AL90&lt;0,AL$5,0)</f>
        <v>0</v>
      </c>
      <c r="AM97" s="201" t="n">
        <f aca="false">IF(AM90&lt;0,AM$5,0)</f>
        <v>0</v>
      </c>
      <c r="AN97" s="201" t="n">
        <f aca="false">IF(AN90&lt;0,AN$5,0)</f>
        <v>0</v>
      </c>
      <c r="AO97" s="201" t="n">
        <f aca="false">IF(AO90&lt;0,AO$5,0)</f>
        <v>0</v>
      </c>
      <c r="AP97" s="201" t="n">
        <f aca="false">IF(AP90&lt;0,AP$5,0)</f>
        <v>0</v>
      </c>
      <c r="AQ97" s="201" t="n">
        <f aca="false">IF(AQ90&lt;0,AQ$5,0)</f>
        <v>0</v>
      </c>
      <c r="AR97" s="201" t="n">
        <f aca="false">IF(AR90&lt;0,AR$5,0)</f>
        <v>0</v>
      </c>
      <c r="AS97" s="201" t="n">
        <f aca="false">IF(AS90&lt;0,AS$5,0)</f>
        <v>0</v>
      </c>
      <c r="AT97" s="201" t="n">
        <f aca="false">IF(AT90&lt;0,AT$5,0)</f>
        <v>0</v>
      </c>
      <c r="AU97" s="201" t="n">
        <f aca="false">IF(AU90&lt;0,AU$5,0)</f>
        <v>0</v>
      </c>
      <c r="AV97" s="201" t="n">
        <f aca="false">IF(AV90&lt;0,AV$5,0)</f>
        <v>0</v>
      </c>
      <c r="AW97" s="201" t="n">
        <f aca="false">IF(AW90&lt;0,AW$5,0)</f>
        <v>0</v>
      </c>
      <c r="AX97" s="201" t="n">
        <f aca="false">IF(AX90&lt;0,AX$5,0)</f>
        <v>0</v>
      </c>
      <c r="AY97" s="201" t="n">
        <f aca="false">IF(AY90&lt;0,AY$5,0)</f>
        <v>0</v>
      </c>
      <c r="AZ97" s="201" t="n">
        <f aca="false">IF(AZ90&lt;0,AZ$5,0)</f>
        <v>0</v>
      </c>
      <c r="BA97" s="201" t="n">
        <f aca="false">IF(BA90&lt;0,BA$5,0)</f>
        <v>0</v>
      </c>
      <c r="BB97" s="201" t="n">
        <f aca="false">IF(BB90&lt;0,BB$5,0)</f>
        <v>0</v>
      </c>
      <c r="BC97" s="201" t="n">
        <f aca="false">IF(BC90&lt;0,BC$5,0)</f>
        <v>0</v>
      </c>
      <c r="BD97" s="201" t="n">
        <f aca="false">IF(BD90&lt;0,BD$5,0)</f>
        <v>0</v>
      </c>
      <c r="BE97" s="201" t="n">
        <f aca="false">IF(BE90&lt;0,BE$5,0)</f>
        <v>0</v>
      </c>
      <c r="BF97" s="201" t="n">
        <f aca="false">IF(BF90&lt;0,BF$5,0)</f>
        <v>0</v>
      </c>
      <c r="BG97" s="201" t="n">
        <f aca="false">IF(BG90&lt;0,BG$5,0)</f>
        <v>0</v>
      </c>
      <c r="BH97" s="201" t="n">
        <f aca="false">IF(BH90&lt;0,BH$5,0)</f>
        <v>0</v>
      </c>
      <c r="BI97" s="201" t="n">
        <f aca="false">IF(BI90&lt;0,BI$5,0)</f>
        <v>0</v>
      </c>
      <c r="BJ97" s="202" t="n">
        <f aca="false">BI97</f>
        <v>0</v>
      </c>
    </row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9.5" hidden="false" customHeight="true" outlineLevel="0" collapsed="false">
      <c r="A101" s="266" t="s">
        <v>769</v>
      </c>
      <c r="B101" s="267"/>
      <c r="C101" s="267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  <c r="AM101" s="267"/>
      <c r="AN101" s="267"/>
      <c r="AO101" s="267"/>
      <c r="AP101" s="267"/>
      <c r="AQ101" s="267"/>
      <c r="AR101" s="267"/>
      <c r="AS101" s="267"/>
      <c r="AT101" s="267"/>
      <c r="AU101" s="267"/>
      <c r="AV101" s="267"/>
      <c r="AW101" s="267"/>
      <c r="AX101" s="267"/>
      <c r="AY101" s="267"/>
      <c r="AZ101" s="267"/>
      <c r="BA101" s="267"/>
      <c r="BB101" s="267"/>
      <c r="BC101" s="267"/>
      <c r="BD101" s="267"/>
      <c r="BE101" s="267"/>
      <c r="BF101" s="267"/>
      <c r="BG101" s="267"/>
      <c r="BH101" s="267"/>
      <c r="BI101" s="267"/>
      <c r="BJ101" s="267"/>
      <c r="BK101" s="267"/>
    </row>
    <row r="102" customFormat="false" ht="15.75" hidden="false" customHeight="true" outlineLevel="0" collapsed="false">
      <c r="A102" s="49" t="s">
        <v>711</v>
      </c>
      <c r="B102" s="201" t="n">
        <f aca="false" t="array" ref="B102:B102">IF(B$4&lt;Premissas!$B$13,0,INDEX(Premissas!$C$46:$G$46,B$7))</f>
        <v>0</v>
      </c>
      <c r="C102" s="201" t="n">
        <f aca="false" t="array" ref="C102:C102">IF(C$4&lt;Premissas!$B$13,0,INDEX(Premissas!$C$46:$G$46,C$7))</f>
        <v>0</v>
      </c>
      <c r="D102" s="201" t="n">
        <f aca="false" t="array" ref="D102:D102">IF(D$4&lt;Premissas!$B$13,0,INDEX(Premissas!$C$46:$G$46,D$7))</f>
        <v>0</v>
      </c>
      <c r="E102" s="201" t="n">
        <f aca="false" t="array" ref="E102:E102">IF(E$4&lt;Premissas!$B$13,0,INDEX(Premissas!$C$46:$G$46,E$7))</f>
        <v>0</v>
      </c>
      <c r="F102" s="201" t="n">
        <f aca="false" t="array" ref="F102:F102">IF(F$4&lt;Premissas!$B$13,0,INDEX(Premissas!$C$46:$G$46,F$7))</f>
        <v>0</v>
      </c>
      <c r="G102" s="201" t="n">
        <f aca="false" t="array" ref="G102:G102">IF(G$4&lt;Premissas!$B$13,0,INDEX(Premissas!$C$46:$G$46,G$7))</f>
        <v>0</v>
      </c>
      <c r="H102" s="201" t="n">
        <f aca="false" t="array" ref="H102:H102">IF(H$4&lt;Premissas!$B$13,0,INDEX(Premissas!$C$46:$G$46,H$7))</f>
        <v>0</v>
      </c>
      <c r="I102" s="201" t="n">
        <f aca="false" t="array" ref="I102:I102">IF(I$4&lt;Premissas!$B$13,0,INDEX(Premissas!$C$46:$G$46,I$7))</f>
        <v>0</v>
      </c>
      <c r="J102" s="201" t="n">
        <f aca="false" t="array" ref="J102:J102">IF(J$4&lt;Premissas!$B$13,0,INDEX(Premissas!$C$46:$G$46,J$7))</f>
        <v>0</v>
      </c>
      <c r="K102" s="201" t="n">
        <f aca="false" t="array" ref="K102:K102">IF(K$4&lt;Premissas!$B$13,0,INDEX(Premissas!$C$46:$G$46,K$7))</f>
        <v>0</v>
      </c>
      <c r="L102" s="201" t="n">
        <f aca="false" t="array" ref="L102:L102">IF(L$4&lt;Premissas!$B$13,0,INDEX(Premissas!$C$46:$G$46,L$7))</f>
        <v>0</v>
      </c>
      <c r="M102" s="201" t="n">
        <f aca="false" t="array" ref="M102:M102">IF(M$4&lt;Premissas!$B$13,0,INDEX(Premissas!$C$46:$G$46,M$7))</f>
        <v>25340</v>
      </c>
      <c r="N102" s="201" t="n">
        <f aca="false" t="array" ref="N102:N102">IF(N$4&lt;Premissas!$B$13,0,INDEX(Premissas!$C$46:$G$46,N$7))</f>
        <v>40544</v>
      </c>
      <c r="O102" s="201" t="n">
        <f aca="false" t="array" ref="O102:O102">IF(O$4&lt;Premissas!$B$13,0,INDEX(Premissas!$C$46:$G$46,O$7))</f>
        <v>40544</v>
      </c>
      <c r="P102" s="201" t="n">
        <f aca="false" t="array" ref="P102:P102">IF(P$4&lt;Premissas!$B$13,0,INDEX(Premissas!$C$46:$G$46,P$7))</f>
        <v>40544</v>
      </c>
      <c r="Q102" s="201" t="n">
        <f aca="false" t="array" ref="Q102:Q102">IF(Q$4&lt;Premissas!$B$13,0,INDEX(Premissas!$C$46:$G$46,Q$7))</f>
        <v>40544</v>
      </c>
      <c r="R102" s="201" t="n">
        <f aca="false" t="array" ref="R102:R102">IF(R$4&lt;Premissas!$B$13,0,INDEX(Premissas!$C$46:$G$46,R$7))</f>
        <v>40544</v>
      </c>
      <c r="S102" s="201" t="n">
        <f aca="false" t="array" ref="S102:S102">IF(S$4&lt;Premissas!$B$13,0,INDEX(Premissas!$C$46:$G$46,S$7))</f>
        <v>40544</v>
      </c>
      <c r="T102" s="201" t="n">
        <f aca="false" t="array" ref="T102:T102">IF(T$4&lt;Premissas!$B$13,0,INDEX(Premissas!$C$46:$G$46,T$7))</f>
        <v>40544</v>
      </c>
      <c r="U102" s="201" t="n">
        <f aca="false" t="array" ref="U102:U102">IF(U$4&lt;Premissas!$B$13,0,INDEX(Premissas!$C$46:$G$46,U$7))</f>
        <v>40544</v>
      </c>
      <c r="V102" s="201" t="n">
        <f aca="false" t="array" ref="V102:V102">IF(V$4&lt;Premissas!$B$13,0,INDEX(Premissas!$C$46:$G$46,V$7))</f>
        <v>40544</v>
      </c>
      <c r="W102" s="201" t="n">
        <f aca="false" t="array" ref="W102:W102">IF(W$4&lt;Premissas!$B$13,0,INDEX(Premissas!$C$46:$G$46,W$7))</f>
        <v>40544</v>
      </c>
      <c r="X102" s="201" t="n">
        <f aca="false" t="array" ref="X102:X102">IF(X$4&lt;Premissas!$B$13,0,INDEX(Premissas!$C$46:$G$46,X$7))</f>
        <v>40544</v>
      </c>
      <c r="Y102" s="201" t="n">
        <f aca="false" t="array" ref="Y102:Y102">IF(Y$4&lt;Premissas!$B$13,0,INDEX(Premissas!$C$46:$G$46,Y$7))</f>
        <v>40544</v>
      </c>
      <c r="Z102" s="201" t="n">
        <f aca="false" t="array" ref="Z102:Z102">IF(Z$4&lt;Premissas!$B$13,0,INDEX(Premissas!$C$46:$G$46,Z$7))</f>
        <v>64870.4</v>
      </c>
      <c r="AA102" s="201" t="n">
        <f aca="false" t="array" ref="AA102:AA102">IF(AA$4&lt;Premissas!$B$13,0,INDEX(Premissas!$C$46:$G$46,AA$7))</f>
        <v>64870.4</v>
      </c>
      <c r="AB102" s="201" t="n">
        <f aca="false" t="array" ref="AB102:AB102">IF(AB$4&lt;Premissas!$B$13,0,INDEX(Premissas!$C$46:$G$46,AB$7))</f>
        <v>64870.4</v>
      </c>
      <c r="AC102" s="201" t="n">
        <f aca="false" t="array" ref="AC102:AC102">IF(AC$4&lt;Premissas!$B$13,0,INDEX(Premissas!$C$46:$G$46,AC$7))</f>
        <v>64870.4</v>
      </c>
      <c r="AD102" s="201" t="n">
        <f aca="false" t="array" ref="AD102:AD102">IF(AD$4&lt;Premissas!$B$13,0,INDEX(Premissas!$C$46:$G$46,AD$7))</f>
        <v>64870.4</v>
      </c>
      <c r="AE102" s="201" t="n">
        <f aca="false" t="array" ref="AE102:AE102">IF(AE$4&lt;Premissas!$B$13,0,INDEX(Premissas!$C$46:$G$46,AE$7))</f>
        <v>64870.4</v>
      </c>
      <c r="AF102" s="201" t="n">
        <f aca="false" t="array" ref="AF102:AF102">IF(AF$4&lt;Premissas!$B$13,0,INDEX(Premissas!$C$46:$G$46,AF$7))</f>
        <v>64870.4</v>
      </c>
      <c r="AG102" s="201" t="n">
        <f aca="false" t="array" ref="AG102:AG102">IF(AG$4&lt;Premissas!$B$13,0,INDEX(Premissas!$C$46:$G$46,AG$7))</f>
        <v>64870.4</v>
      </c>
      <c r="AH102" s="201" t="n">
        <f aca="false" t="array" ref="AH102:AH102">IF(AH$4&lt;Premissas!$B$13,0,INDEX(Premissas!$C$46:$G$46,AH$7))</f>
        <v>64870.4</v>
      </c>
      <c r="AI102" s="201" t="n">
        <f aca="false" t="array" ref="AI102:AI102">IF(AI$4&lt;Premissas!$B$13,0,INDEX(Premissas!$C$46:$G$46,AI$7))</f>
        <v>64870.4</v>
      </c>
      <c r="AJ102" s="201" t="n">
        <f aca="false" t="array" ref="AJ102:AJ102">IF(AJ$4&lt;Premissas!$B$13,0,INDEX(Premissas!$C$46:$G$46,AJ$7))</f>
        <v>64870.4</v>
      </c>
      <c r="AK102" s="201" t="n">
        <f aca="false" t="array" ref="AK102:AK102">IF(AK$4&lt;Premissas!$B$13,0,INDEX(Premissas!$C$46:$G$46,AK$7))</f>
        <v>64870.4</v>
      </c>
      <c r="AL102" s="201" t="n">
        <f aca="false" t="array" ref="AL102:AL102">IF(AL$4&lt;Premissas!$B$13,0,INDEX(Premissas!$C$46:$G$46,AL$7))</f>
        <v>103792.64</v>
      </c>
      <c r="AM102" s="201" t="n">
        <f aca="false" t="array" ref="AM102:AM102">IF(AM$4&lt;Premissas!$B$13,0,INDEX(Premissas!$C$46:$G$46,AM$7))</f>
        <v>103792.64</v>
      </c>
      <c r="AN102" s="201" t="n">
        <f aca="false" t="array" ref="AN102:AN102">IF(AN$4&lt;Premissas!$B$13,0,INDEX(Premissas!$C$46:$G$46,AN$7))</f>
        <v>103792.64</v>
      </c>
      <c r="AO102" s="201" t="n">
        <f aca="false" t="array" ref="AO102:AO102">IF(AO$4&lt;Premissas!$B$13,0,INDEX(Premissas!$C$46:$G$46,AO$7))</f>
        <v>103792.64</v>
      </c>
      <c r="AP102" s="201" t="n">
        <f aca="false" t="array" ref="AP102:AP102">IF(AP$4&lt;Premissas!$B$13,0,INDEX(Premissas!$C$46:$G$46,AP$7))</f>
        <v>103792.64</v>
      </c>
      <c r="AQ102" s="201" t="n">
        <f aca="false" t="array" ref="AQ102:AQ102">IF(AQ$4&lt;Premissas!$B$13,0,INDEX(Premissas!$C$46:$G$46,AQ$7))</f>
        <v>103792.64</v>
      </c>
      <c r="AR102" s="201" t="n">
        <f aca="false" t="array" ref="AR102:AR102">IF(AR$4&lt;Premissas!$B$13,0,INDEX(Premissas!$C$46:$G$46,AR$7))</f>
        <v>103792.64</v>
      </c>
      <c r="AS102" s="201" t="n">
        <f aca="false" t="array" ref="AS102:AS102">IF(AS$4&lt;Premissas!$B$13,0,INDEX(Premissas!$C$46:$G$46,AS$7))</f>
        <v>103792.64</v>
      </c>
      <c r="AT102" s="201" t="n">
        <f aca="false" t="array" ref="AT102:AT102">IF(AT$4&lt;Premissas!$B$13,0,INDEX(Premissas!$C$46:$G$46,AT$7))</f>
        <v>103792.64</v>
      </c>
      <c r="AU102" s="201" t="n">
        <f aca="false" t="array" ref="AU102:AU102">IF(AU$4&lt;Premissas!$B$13,0,INDEX(Premissas!$C$46:$G$46,AU$7))</f>
        <v>103792.64</v>
      </c>
      <c r="AV102" s="201" t="n">
        <f aca="false" t="array" ref="AV102:AV102">IF(AV$4&lt;Premissas!$B$13,0,INDEX(Premissas!$C$46:$G$46,AV$7))</f>
        <v>103792.64</v>
      </c>
      <c r="AW102" s="201" t="n">
        <f aca="false" t="array" ref="AW102:AW102">IF(AW$4&lt;Premissas!$B$13,0,INDEX(Premissas!$C$46:$G$46,AW$7))</f>
        <v>103792.64</v>
      </c>
      <c r="AX102" s="201" t="n">
        <f aca="false" t="array" ref="AX102:AX102">IF(AX$4&lt;Premissas!$B$13,0,INDEX(Premissas!$C$46:$G$46,AX$7))</f>
        <v>166068.224</v>
      </c>
      <c r="AY102" s="201" t="n">
        <f aca="false" t="array" ref="AY102:AY102">IF(AY$4&lt;Premissas!$B$13,0,INDEX(Premissas!$C$46:$G$46,AY$7))</f>
        <v>166068.224</v>
      </c>
      <c r="AZ102" s="201" t="n">
        <f aca="false" t="array" ref="AZ102:AZ102">IF(AZ$4&lt;Premissas!$B$13,0,INDEX(Premissas!$C$46:$G$46,AZ$7))</f>
        <v>166068.224</v>
      </c>
      <c r="BA102" s="201" t="n">
        <f aca="false" t="array" ref="BA102:BA102">IF(BA$4&lt;Premissas!$B$13,0,INDEX(Premissas!$C$46:$G$46,BA$7))</f>
        <v>166068.224</v>
      </c>
      <c r="BB102" s="201" t="n">
        <f aca="false" t="array" ref="BB102:BB102">IF(BB$4&lt;Premissas!$B$13,0,INDEX(Premissas!$C$46:$G$46,BB$7))</f>
        <v>166068.224</v>
      </c>
      <c r="BC102" s="201" t="n">
        <f aca="false" t="array" ref="BC102:BC102">IF(BC$4&lt;Premissas!$B$13,0,INDEX(Premissas!$C$46:$G$46,BC$7))</f>
        <v>166068.224</v>
      </c>
      <c r="BD102" s="201" t="n">
        <f aca="false" t="array" ref="BD102:BD102">IF(BD$4&lt;Premissas!$B$13,0,INDEX(Premissas!$C$46:$G$46,BD$7))</f>
        <v>166068.224</v>
      </c>
      <c r="BE102" s="201" t="n">
        <f aca="false" t="array" ref="BE102:BE102">IF(BE$4&lt;Premissas!$B$13,0,INDEX(Premissas!$C$46:$G$46,BE$7))</f>
        <v>166068.224</v>
      </c>
      <c r="BF102" s="201" t="n">
        <f aca="false" t="array" ref="BF102:BF102">IF(BF$4&lt;Premissas!$B$13,0,INDEX(Premissas!$C$46:$G$46,BF$7))</f>
        <v>166068.224</v>
      </c>
      <c r="BG102" s="201" t="n">
        <f aca="false" t="array" ref="BG102:BG102">IF(BG$4&lt;Premissas!$B$13,0,INDEX(Premissas!$C$46:$G$46,BG$7))</f>
        <v>166068.224</v>
      </c>
      <c r="BH102" s="201" t="n">
        <f aca="false" t="array" ref="BH102:BH102">IF(BH$4&lt;Premissas!$B$13,0,INDEX(Premissas!$C$46:$G$46,BH$7))</f>
        <v>166068.224</v>
      </c>
      <c r="BI102" s="201" t="n">
        <f aca="false" t="array" ref="BI102:BI102">IF(BI$4&lt;Premissas!$B$13,0,INDEX(Premissas!$C$46:$G$46,BI$7))</f>
        <v>166068.224</v>
      </c>
      <c r="BJ102" s="202" t="n">
        <f aca="false">SUM(B102:BI102)</f>
        <v>4528643.168</v>
      </c>
    </row>
    <row r="103" customFormat="false" ht="15.75" hidden="false" customHeight="true" outlineLevel="0" collapsed="false">
      <c r="A103" s="49" t="s">
        <v>712</v>
      </c>
      <c r="B103" s="201" t="n">
        <f aca="false">0</f>
        <v>0</v>
      </c>
      <c r="C103" s="201" t="n">
        <f aca="false">B105</f>
        <v>0</v>
      </c>
      <c r="D103" s="201" t="n">
        <f aca="false">C105</f>
        <v>0</v>
      </c>
      <c r="E103" s="201" t="n">
        <f aca="false">D105</f>
        <v>0</v>
      </c>
      <c r="F103" s="201" t="n">
        <f aca="false">E105</f>
        <v>0</v>
      </c>
      <c r="G103" s="201" t="n">
        <f aca="false">F105</f>
        <v>0</v>
      </c>
      <c r="H103" s="201" t="n">
        <f aca="false">G105</f>
        <v>0</v>
      </c>
      <c r="I103" s="201" t="n">
        <f aca="false">H105</f>
        <v>0</v>
      </c>
      <c r="J103" s="201" t="n">
        <f aca="false">I105</f>
        <v>0</v>
      </c>
      <c r="K103" s="201" t="n">
        <f aca="false">J105</f>
        <v>0</v>
      </c>
      <c r="L103" s="201" t="n">
        <f aca="false">K105</f>
        <v>0</v>
      </c>
      <c r="M103" s="201" t="n">
        <f aca="false">L105</f>
        <v>0</v>
      </c>
      <c r="N103" s="201" t="n">
        <f aca="false">M105</f>
        <v>25340</v>
      </c>
      <c r="O103" s="201" t="n">
        <f aca="false">N105</f>
        <v>64485.232</v>
      </c>
      <c r="P103" s="201" t="n">
        <f aca="false">O105</f>
        <v>101469.6471936</v>
      </c>
      <c r="Q103" s="201" t="n">
        <f aca="false">P105</f>
        <v>136412.522668513</v>
      </c>
      <c r="R103" s="201" t="n">
        <f aca="false">Q105</f>
        <v>169426.551417211</v>
      </c>
      <c r="S103" s="201" t="n">
        <f aca="false">R105</f>
        <v>200618.205778981</v>
      </c>
      <c r="T103" s="201" t="n">
        <f aca="false">S105</f>
        <v>230088.080819982</v>
      </c>
      <c r="U103" s="201" t="n">
        <f aca="false">T105</f>
        <v>257931.218758719</v>
      </c>
      <c r="V103" s="201" t="n">
        <f aca="false">U105</f>
        <v>284237.415483237</v>
      </c>
      <c r="W103" s="201" t="n">
        <f aca="false">V105</f>
        <v>309091.510148563</v>
      </c>
      <c r="X103" s="201" t="n">
        <f aca="false">W105</f>
        <v>332573.658788362</v>
      </c>
      <c r="Y103" s="201" t="n">
        <f aca="false">X105</f>
        <v>354759.592823244</v>
      </c>
      <c r="Z103" s="201" t="n">
        <f aca="false">Y105</f>
        <v>375720.863299401</v>
      </c>
      <c r="AA103" s="201" t="n">
        <f aca="false">Z105</f>
        <v>421510.654977604</v>
      </c>
      <c r="AB103" s="201" t="n">
        <f aca="false">AA105</f>
        <v>464975.057875222</v>
      </c>
      <c r="AC103" s="201" t="n">
        <f aca="false">AB105</f>
        <v>506232.164536087</v>
      </c>
      <c r="AD103" s="201" t="n">
        <f aca="false">AC105</f>
        <v>545394.070292286</v>
      </c>
      <c r="AE103" s="201" t="n">
        <f aca="false">AD105</f>
        <v>582567.177826562</v>
      </c>
      <c r="AF103" s="201" t="n">
        <f aca="false">AE105</f>
        <v>617852.486267818</v>
      </c>
      <c r="AG103" s="201" t="n">
        <f aca="false">AF105</f>
        <v>651345.865605193</v>
      </c>
      <c r="AH103" s="201" t="n">
        <f aca="false">AG105</f>
        <v>683138.317166299</v>
      </c>
      <c r="AI103" s="201" t="n">
        <f aca="false">AH105</f>
        <v>713316.220867326</v>
      </c>
      <c r="AJ103" s="201" t="n">
        <f aca="false">AI105</f>
        <v>741961.5699068</v>
      </c>
      <c r="AK103" s="201" t="n">
        <f aca="false">AJ105</f>
        <v>769152.193540653</v>
      </c>
      <c r="AL103" s="201" t="n">
        <f aca="false">AK105</f>
        <v>794961.968543884</v>
      </c>
      <c r="AM103" s="201" t="n">
        <f aca="false">AL105</f>
        <v>861612.967822194</v>
      </c>
      <c r="AN103" s="201" t="n">
        <f aca="false">AM105</f>
        <v>925149.947100943</v>
      </c>
      <c r="AO103" s="201" t="n">
        <f aca="false">AN105</f>
        <v>985718.397380454</v>
      </c>
      <c r="AP103" s="201" t="n">
        <f aca="false">AO105</f>
        <v>1043457.01213529</v>
      </c>
      <c r="AQ103" s="201" t="n">
        <f aca="false">AP105</f>
        <v>1098498.00490335</v>
      </c>
      <c r="AR103" s="201" t="n">
        <f aca="false">AQ105</f>
        <v>1150967.41203682</v>
      </c>
      <c r="AS103" s="201" t="n">
        <f aca="false">AR105</f>
        <v>1200985.38130818</v>
      </c>
      <c r="AT103" s="201" t="n">
        <f aca="false">AS105</f>
        <v>1248666.44703217</v>
      </c>
      <c r="AU103" s="201" t="n">
        <f aca="false">AT105</f>
        <v>1294119.79233377</v>
      </c>
      <c r="AV103" s="201" t="n">
        <f aca="false">AU105</f>
        <v>1337449.49916261</v>
      </c>
      <c r="AW103" s="201" t="n">
        <f aca="false">AV105</f>
        <v>1378754.78662637</v>
      </c>
      <c r="AX103" s="201" t="n">
        <f aca="false">AW105</f>
        <v>1418130.23818906</v>
      </c>
      <c r="AY103" s="201" t="n">
        <f aca="false">AX105</f>
        <v>1523242.15104895</v>
      </c>
      <c r="AZ103" s="201" t="n">
        <f aca="false">AY105</f>
        <v>1623835.97784575</v>
      </c>
      <c r="BA103" s="201" t="n">
        <f aca="false">AZ105</f>
        <v>1720105.92208235</v>
      </c>
      <c r="BB103" s="201" t="n">
        <f aca="false">BA105</f>
        <v>1812237.8397003</v>
      </c>
      <c r="BC103" s="201" t="n">
        <f aca="false">BB105</f>
        <v>1900409.59788789</v>
      </c>
      <c r="BD103" s="201" t="n">
        <f aca="false">BC105</f>
        <v>1984791.41846529</v>
      </c>
      <c r="BE103" s="201" t="n">
        <f aca="false">BD105</f>
        <v>2065546.20650987</v>
      </c>
      <c r="BF103" s="201" t="n">
        <f aca="false">BE105</f>
        <v>2142829.86485597</v>
      </c>
      <c r="BG103" s="201" t="n">
        <f aca="false">BF105</f>
        <v>2216791.59507633</v>
      </c>
      <c r="BH103" s="201" t="n">
        <f aca="false">BG105</f>
        <v>2287574.18552634</v>
      </c>
      <c r="BI103" s="201" t="n">
        <f aca="false">BH105</f>
        <v>2355314.28700701</v>
      </c>
      <c r="BJ103" s="202" t="n">
        <f aca="false">BI103</f>
        <v>2355314.28700701</v>
      </c>
      <c r="BK103" s="51" t="s">
        <v>748</v>
      </c>
    </row>
    <row r="104" customFormat="false" ht="15.75" hidden="false" customHeight="true" outlineLevel="0" collapsed="false">
      <c r="A104" s="49" t="s">
        <v>714</v>
      </c>
      <c r="B104" s="201" t="n">
        <f aca="false" t="array" ref="B104:B104">-B103*INDEX(Premissas!$C$50:$G$50,B$7)</f>
        <v>-0</v>
      </c>
      <c r="C104" s="201" t="n">
        <f aca="false" t="array" ref="C104:C104">-C103*INDEX(Premissas!$C$50:$G$50,C$7)</f>
        <v>-0</v>
      </c>
      <c r="D104" s="201" t="n">
        <f aca="false" t="array" ref="D104:D104">-D103*INDEX(Premissas!$C$50:$G$50,D$7)</f>
        <v>-0</v>
      </c>
      <c r="E104" s="201" t="n">
        <f aca="false" t="array" ref="E104:E104">-E103*INDEX(Premissas!$C$50:$G$50,E$7)</f>
        <v>-0</v>
      </c>
      <c r="F104" s="201" t="n">
        <f aca="false" t="array" ref="F104:F104">-F103*INDEX(Premissas!$C$50:$G$50,F$7)</f>
        <v>-0</v>
      </c>
      <c r="G104" s="201" t="n">
        <f aca="false" t="array" ref="G104:G104">-G103*INDEX(Premissas!$C$50:$G$50,G$7)</f>
        <v>-0</v>
      </c>
      <c r="H104" s="201" t="n">
        <f aca="false" t="array" ref="H104:H104">-H103*INDEX(Premissas!$C$50:$G$50,H$7)</f>
        <v>-0</v>
      </c>
      <c r="I104" s="201" t="n">
        <f aca="false" t="array" ref="I104:I104">-I103*INDEX(Premissas!$C$50:$G$50,I$7)</f>
        <v>-0</v>
      </c>
      <c r="J104" s="201" t="n">
        <f aca="false" t="array" ref="J104:J104">-J103*INDEX(Premissas!$C$50:$G$50,J$7)</f>
        <v>-0</v>
      </c>
      <c r="K104" s="201" t="n">
        <f aca="false" t="array" ref="K104:K104">-K103*INDEX(Premissas!$C$50:$G$50,K$7)</f>
        <v>-0</v>
      </c>
      <c r="L104" s="201" t="n">
        <f aca="false" t="array" ref="L104:L104">-L103*INDEX(Premissas!$C$50:$G$50,L$7)</f>
        <v>-0</v>
      </c>
      <c r="M104" s="201" t="n">
        <f aca="false" t="array" ref="M104:M104">-M103*INDEX(Premissas!$C$50:$G$50,M$7)</f>
        <v>-0</v>
      </c>
      <c r="N104" s="201" t="n">
        <f aca="false" t="array" ref="N104:N104">-N103*INDEX(Premissas!$C$50:$G$50,N$7)</f>
        <v>-1398.768</v>
      </c>
      <c r="O104" s="201" t="n">
        <f aca="false" t="array" ref="O104:O104">-O103*INDEX(Premissas!$C$50:$G$50,O$7)</f>
        <v>-3559.5848064</v>
      </c>
      <c r="P104" s="201" t="n">
        <f aca="false" t="array" ref="P104:P104">-P103*INDEX(Premissas!$C$50:$G$50,P$7)</f>
        <v>-5601.12452508672</v>
      </c>
      <c r="Q104" s="201" t="n">
        <f aca="false" t="array" ref="Q104:Q104">-Q103*INDEX(Premissas!$C$50:$G$50,Q$7)</f>
        <v>-7529.97125130193</v>
      </c>
      <c r="R104" s="201" t="n">
        <f aca="false" t="array" ref="R104:R104">-R103*INDEX(Premissas!$C$50:$G$50,R$7)</f>
        <v>-9352.34563823007</v>
      </c>
      <c r="S104" s="201" t="n">
        <f aca="false" t="array" ref="S104:S104">-S103*INDEX(Premissas!$C$50:$G$50,S$7)</f>
        <v>-11074.1249589998</v>
      </c>
      <c r="T104" s="201" t="n">
        <f aca="false" t="array" ref="T104:T104">-T103*INDEX(Premissas!$C$50:$G$50,T$7)</f>
        <v>-12700.862061263</v>
      </c>
      <c r="U104" s="201" t="n">
        <f aca="false" t="array" ref="U104:U104">-U103*INDEX(Premissas!$C$50:$G$50,U$7)</f>
        <v>-14237.8032754813</v>
      </c>
      <c r="V104" s="201" t="n">
        <f aca="false" t="array" ref="V104:V104">-V103*INDEX(Premissas!$C$50:$G$50,V$7)</f>
        <v>-15689.9053346747</v>
      </c>
      <c r="W104" s="201" t="n">
        <f aca="false" t="array" ref="W104:W104">-W103*INDEX(Premissas!$C$50:$G$50,W$7)</f>
        <v>-17061.8513602007</v>
      </c>
      <c r="X104" s="201" t="n">
        <f aca="false" t="array" ref="X104:X104">-X103*INDEX(Premissas!$C$50:$G$50,X$7)</f>
        <v>-18358.0659651176</v>
      </c>
      <c r="Y104" s="201" t="n">
        <f aca="false" t="array" ref="Y104:Y104">-Y103*INDEX(Premissas!$C$50:$G$50,Y$7)</f>
        <v>-19582.7295238431</v>
      </c>
      <c r="Z104" s="201" t="n">
        <f aca="false" t="array" ref="Z104:Z104">-Z103*INDEX(Premissas!$C$50:$G$50,Z$7)</f>
        <v>-19080.6083217968</v>
      </c>
      <c r="AA104" s="201" t="n">
        <f aca="false" t="array" ref="AA104:AA104">-AA103*INDEX(Premissas!$C$50:$G$50,AA$7)</f>
        <v>-21405.9971023827</v>
      </c>
      <c r="AB104" s="201" t="n">
        <f aca="false" t="array" ref="AB104:AB104">-AB103*INDEX(Premissas!$C$50:$G$50,AB$7)</f>
        <v>-23613.2933391353</v>
      </c>
      <c r="AC104" s="201" t="n">
        <f aca="false" t="array" ref="AC104:AC104">-AC103*INDEX(Premissas!$C$50:$G$50,AC$7)</f>
        <v>-25708.4942438006</v>
      </c>
      <c r="AD104" s="201" t="n">
        <f aca="false" t="array" ref="AD104:AD104">-AD103*INDEX(Premissas!$C$50:$G$50,AD$7)</f>
        <v>-27697.2924657234</v>
      </c>
      <c r="AE104" s="201" t="n">
        <f aca="false" t="array" ref="AE104:AE104">-AE103*INDEX(Premissas!$C$50:$G$50,AE$7)</f>
        <v>-29585.0915587442</v>
      </c>
      <c r="AF104" s="201" t="n">
        <f aca="false" t="array" ref="AF104:AF104">-AF103*INDEX(Premissas!$C$50:$G$50,AF$7)</f>
        <v>-31377.0206626249</v>
      </c>
      <c r="AG104" s="201" t="n">
        <f aca="false" t="array" ref="AG104:AG104">-AG103*INDEX(Premissas!$C$50:$G$50,AG$7)</f>
        <v>-33077.9484388941</v>
      </c>
      <c r="AH104" s="201" t="n">
        <f aca="false" t="array" ref="AH104:AH104">-AH103*INDEX(Premissas!$C$50:$G$50,AH$7)</f>
        <v>-34692.4962989734</v>
      </c>
      <c r="AI104" s="201" t="n">
        <f aca="false" t="array" ref="AI104:AI104">-AI103*INDEX(Premissas!$C$50:$G$50,AI$7)</f>
        <v>-36225.0509605263</v>
      </c>
      <c r="AJ104" s="201" t="n">
        <f aca="false" t="array" ref="AJ104:AJ104">-AJ103*INDEX(Premissas!$C$50:$G$50,AJ$7)</f>
        <v>-37679.7763661469</v>
      </c>
      <c r="AK104" s="201" t="n">
        <f aca="false" t="array" ref="AK104:AK104">-AK103*INDEX(Premissas!$C$50:$G$50,AK$7)</f>
        <v>-39060.6249967685</v>
      </c>
      <c r="AL104" s="201" t="n">
        <f aca="false" t="array" ref="AL104:AL104">-AL103*INDEX(Premissas!$C$50:$G$50,AL$7)</f>
        <v>-37141.64072169</v>
      </c>
      <c r="AM104" s="201" t="n">
        <f aca="false" t="array" ref="AM104:AM104">-AM103*INDEX(Premissas!$C$50:$G$50,AM$7)</f>
        <v>-40255.6607212517</v>
      </c>
      <c r="AN104" s="201" t="n">
        <f aca="false" t="array" ref="AN104:AN104">-AN103*INDEX(Premissas!$C$50:$G$50,AN$7)</f>
        <v>-43224.1897204883</v>
      </c>
      <c r="AO104" s="201" t="n">
        <f aca="false" t="array" ref="AO104:AO104">-AO103*INDEX(Premissas!$C$50:$G$50,AO$7)</f>
        <v>-46054.0252451635</v>
      </c>
      <c r="AP104" s="201" t="n">
        <f aca="false" t="array" ref="AP104:AP104">-AP103*INDEX(Premissas!$C$50:$G$50,AP$7)</f>
        <v>-48751.6472319363</v>
      </c>
      <c r="AQ104" s="201" t="n">
        <f aca="false" t="array" ref="AQ104:AQ104">-AQ103*INDEX(Premissas!$C$50:$G$50,AQ$7)</f>
        <v>-51323.232866531</v>
      </c>
      <c r="AR104" s="201" t="n">
        <f aca="false" t="array" ref="AR104:AR104">-AR103*INDEX(Premissas!$C$50:$G$50,AR$7)</f>
        <v>-53774.6707286478</v>
      </c>
      <c r="AS104" s="201" t="n">
        <f aca="false" t="array" ref="AS104:AS104">-AS103*INDEX(Premissas!$C$50:$G$50,AS$7)</f>
        <v>-56111.574276006</v>
      </c>
      <c r="AT104" s="201" t="n">
        <f aca="false" t="array" ref="AT104:AT104">-AT103*INDEX(Premissas!$C$50:$G$50,AT$7)</f>
        <v>-58339.2946983952</v>
      </c>
      <c r="AU104" s="201" t="n">
        <f aca="false" t="array" ref="AU104:AU104">-AU103*INDEX(Premissas!$C$50:$G$50,AU$7)</f>
        <v>-60462.9331711681</v>
      </c>
      <c r="AV104" s="201" t="n">
        <f aca="false" t="array" ref="AV104:AV104">-AV103*INDEX(Premissas!$C$50:$G$50,AV$7)</f>
        <v>-62487.3525362359</v>
      </c>
      <c r="AW104" s="201" t="n">
        <f aca="false" t="array" ref="AW104:AW104">-AW103*INDEX(Premissas!$C$50:$G$50,AW$7)</f>
        <v>-64417.1884373109</v>
      </c>
      <c r="AX104" s="201" t="n">
        <f aca="false" t="array" ref="AX104:AX104">-AX103*INDEX(Premissas!$C$50:$G$50,AX$7)</f>
        <v>-60956.3111401059</v>
      </c>
      <c r="AY104" s="201" t="n">
        <f aca="false" t="array" ref="AY104:AY104">-AY103*INDEX(Premissas!$C$50:$G$50,AY$7)</f>
        <v>-65474.3972032036</v>
      </c>
      <c r="AZ104" s="201" t="n">
        <f aca="false" t="array" ref="AZ104:AZ104">-AZ103*INDEX(Premissas!$C$50:$G$50,AZ$7)</f>
        <v>-69798.2797634047</v>
      </c>
      <c r="BA104" s="201" t="n">
        <f aca="false" t="array" ref="BA104:BA104">-BA103*INDEX(Premissas!$C$50:$G$50,BA$7)</f>
        <v>-73936.3063820461</v>
      </c>
      <c r="BB104" s="201" t="n">
        <f aca="false" t="array" ref="BB104:BB104">-BB103*INDEX(Premissas!$C$50:$G$50,BB$7)</f>
        <v>-77896.4658124142</v>
      </c>
      <c r="BC104" s="201" t="n">
        <f aca="false" t="array" ref="BC104:BC104">-BC103*INDEX(Premissas!$C$50:$G$50,BC$7)</f>
        <v>-81686.4034225987</v>
      </c>
      <c r="BD104" s="201" t="n">
        <f aca="false" t="array" ref="BD104:BD104">-BD103*INDEX(Premissas!$C$50:$G$50,BD$7)</f>
        <v>-85313.4359554167</v>
      </c>
      <c r="BE104" s="201" t="n">
        <f aca="false" t="array" ref="BE104:BE104">-BE103*INDEX(Premissas!$C$50:$G$50,BE$7)</f>
        <v>-88784.5656539026</v>
      </c>
      <c r="BF104" s="201" t="n">
        <f aca="false" t="array" ref="BF104:BF104">-BF103*INDEX(Premissas!$C$50:$G$50,BF$7)</f>
        <v>-92106.493779634</v>
      </c>
      <c r="BG104" s="201" t="n">
        <f aca="false" t="array" ref="BG104:BG104">-BG103*INDEX(Premissas!$C$50:$G$50,BG$7)</f>
        <v>-95285.6335499914</v>
      </c>
      <c r="BH104" s="201" t="n">
        <f aca="false" t="array" ref="BH104:BH104">-BH103*INDEX(Premissas!$C$50:$G$50,BH$7)</f>
        <v>-98328.1225193283</v>
      </c>
      <c r="BI104" s="201" t="n">
        <f aca="false" t="array" ref="BI104:BI104">-BI103*INDEX(Premissas!$C$50:$G$50,BI$7)</f>
        <v>-101239.834427955</v>
      </c>
      <c r="BJ104" s="202" t="n">
        <f aca="false">SUM(B104:BI104)</f>
        <v>-2108500.49142094</v>
      </c>
    </row>
    <row r="105" customFormat="false" ht="15.75" hidden="false" customHeight="true" outlineLevel="0" collapsed="false">
      <c r="A105" s="53" t="s">
        <v>715</v>
      </c>
      <c r="B105" s="252" t="n">
        <f aca="false">B103+B104+B102</f>
        <v>0</v>
      </c>
      <c r="C105" s="252" t="n">
        <f aca="false">C103+C104+C102</f>
        <v>0</v>
      </c>
      <c r="D105" s="252" t="n">
        <f aca="false">D103+D104+D102</f>
        <v>0</v>
      </c>
      <c r="E105" s="252" t="n">
        <f aca="false">E103+E104+E102</f>
        <v>0</v>
      </c>
      <c r="F105" s="252" t="n">
        <f aca="false">F103+F104+F102</f>
        <v>0</v>
      </c>
      <c r="G105" s="252" t="n">
        <f aca="false">G103+G104+G102</f>
        <v>0</v>
      </c>
      <c r="H105" s="252" t="n">
        <f aca="false">H103+H104+H102</f>
        <v>0</v>
      </c>
      <c r="I105" s="252" t="n">
        <f aca="false">I103+I104+I102</f>
        <v>0</v>
      </c>
      <c r="J105" s="252" t="n">
        <f aca="false">J103+J104+J102</f>
        <v>0</v>
      </c>
      <c r="K105" s="252" t="n">
        <f aca="false">K103+K104+K102</f>
        <v>0</v>
      </c>
      <c r="L105" s="252" t="n">
        <f aca="false">L103+L104+L102</f>
        <v>0</v>
      </c>
      <c r="M105" s="252" t="n">
        <f aca="false">M103+M104+M102</f>
        <v>25340</v>
      </c>
      <c r="N105" s="252" t="n">
        <f aca="false">N103+N104+N102</f>
        <v>64485.232</v>
      </c>
      <c r="O105" s="252" t="n">
        <f aca="false">O103+O104+O102</f>
        <v>101469.6471936</v>
      </c>
      <c r="P105" s="252" t="n">
        <f aca="false">P103+P104+P102</f>
        <v>136412.522668513</v>
      </c>
      <c r="Q105" s="252" t="n">
        <f aca="false">Q103+Q104+Q102</f>
        <v>169426.551417211</v>
      </c>
      <c r="R105" s="252" t="n">
        <f aca="false">R103+R104+R102</f>
        <v>200618.205778981</v>
      </c>
      <c r="S105" s="252" t="n">
        <f aca="false">S103+S104+S102</f>
        <v>230088.080819982</v>
      </c>
      <c r="T105" s="252" t="n">
        <f aca="false">T103+T104+T102</f>
        <v>257931.218758719</v>
      </c>
      <c r="U105" s="252" t="n">
        <f aca="false">U103+U104+U102</f>
        <v>284237.415483237</v>
      </c>
      <c r="V105" s="252" t="n">
        <f aca="false">V103+V104+V102</f>
        <v>309091.510148563</v>
      </c>
      <c r="W105" s="252" t="n">
        <f aca="false">W103+W104+W102</f>
        <v>332573.658788362</v>
      </c>
      <c r="X105" s="252" t="n">
        <f aca="false">X103+X104+X102</f>
        <v>354759.592823244</v>
      </c>
      <c r="Y105" s="252" t="n">
        <f aca="false">Y103+Y104+Y102</f>
        <v>375720.863299401</v>
      </c>
      <c r="Z105" s="252" t="n">
        <f aca="false">Z103+Z104+Z102</f>
        <v>421510.654977604</v>
      </c>
      <c r="AA105" s="252" t="n">
        <f aca="false">AA103+AA104+AA102</f>
        <v>464975.057875222</v>
      </c>
      <c r="AB105" s="252" t="n">
        <f aca="false">AB103+AB104+AB102</f>
        <v>506232.164536087</v>
      </c>
      <c r="AC105" s="252" t="n">
        <f aca="false">AC103+AC104+AC102</f>
        <v>545394.070292286</v>
      </c>
      <c r="AD105" s="252" t="n">
        <f aca="false">AD103+AD104+AD102</f>
        <v>582567.177826562</v>
      </c>
      <c r="AE105" s="252" t="n">
        <f aca="false">AE103+AE104+AE102</f>
        <v>617852.486267818</v>
      </c>
      <c r="AF105" s="252" t="n">
        <f aca="false">AF103+AF104+AF102</f>
        <v>651345.865605193</v>
      </c>
      <c r="AG105" s="252" t="n">
        <f aca="false">AG103+AG104+AG102</f>
        <v>683138.317166299</v>
      </c>
      <c r="AH105" s="252" t="n">
        <f aca="false">AH103+AH104+AH102</f>
        <v>713316.220867326</v>
      </c>
      <c r="AI105" s="252" t="n">
        <f aca="false">AI103+AI104+AI102</f>
        <v>741961.5699068</v>
      </c>
      <c r="AJ105" s="252" t="n">
        <f aca="false">AJ103+AJ104+AJ102</f>
        <v>769152.193540653</v>
      </c>
      <c r="AK105" s="252" t="n">
        <f aca="false">AK103+AK104+AK102</f>
        <v>794961.968543884</v>
      </c>
      <c r="AL105" s="252" t="n">
        <f aca="false">AL103+AL104+AL102</f>
        <v>861612.967822194</v>
      </c>
      <c r="AM105" s="252" t="n">
        <f aca="false">AM103+AM104+AM102</f>
        <v>925149.947100943</v>
      </c>
      <c r="AN105" s="252" t="n">
        <f aca="false">AN103+AN104+AN102</f>
        <v>985718.397380454</v>
      </c>
      <c r="AO105" s="252" t="n">
        <f aca="false">AO103+AO104+AO102</f>
        <v>1043457.01213529</v>
      </c>
      <c r="AP105" s="252" t="n">
        <f aca="false">AP103+AP104+AP102</f>
        <v>1098498.00490335</v>
      </c>
      <c r="AQ105" s="252" t="n">
        <f aca="false">AQ103+AQ104+AQ102</f>
        <v>1150967.41203682</v>
      </c>
      <c r="AR105" s="252" t="n">
        <f aca="false">AR103+AR104+AR102</f>
        <v>1200985.38130818</v>
      </c>
      <c r="AS105" s="252" t="n">
        <f aca="false">AS103+AS104+AS102</f>
        <v>1248666.44703217</v>
      </c>
      <c r="AT105" s="252" t="n">
        <f aca="false">AT103+AT104+AT102</f>
        <v>1294119.79233377</v>
      </c>
      <c r="AU105" s="252" t="n">
        <f aca="false">AU103+AU104+AU102</f>
        <v>1337449.49916261</v>
      </c>
      <c r="AV105" s="252" t="n">
        <f aca="false">AV103+AV104+AV102</f>
        <v>1378754.78662637</v>
      </c>
      <c r="AW105" s="252" t="n">
        <f aca="false">AW103+AW104+AW102</f>
        <v>1418130.23818906</v>
      </c>
      <c r="AX105" s="252" t="n">
        <f aca="false">AX103+AX104+AX102</f>
        <v>1523242.15104895</v>
      </c>
      <c r="AY105" s="252" t="n">
        <f aca="false">AY103+AY104+AY102</f>
        <v>1623835.97784575</v>
      </c>
      <c r="AZ105" s="252" t="n">
        <f aca="false">AZ103+AZ104+AZ102</f>
        <v>1720105.92208235</v>
      </c>
      <c r="BA105" s="252" t="n">
        <f aca="false">BA103+BA104+BA102</f>
        <v>1812237.8397003</v>
      </c>
      <c r="BB105" s="252" t="n">
        <f aca="false">BB103+BB104+BB102</f>
        <v>1900409.59788789</v>
      </c>
      <c r="BC105" s="252" t="n">
        <f aca="false">BC103+BC104+BC102</f>
        <v>1984791.41846529</v>
      </c>
      <c r="BD105" s="252" t="n">
        <f aca="false">BD103+BD104+BD102</f>
        <v>2065546.20650987</v>
      </c>
      <c r="BE105" s="252" t="n">
        <f aca="false">BE103+BE104+BE102</f>
        <v>2142829.86485597</v>
      </c>
      <c r="BF105" s="252" t="n">
        <f aca="false">BF103+BF104+BF102</f>
        <v>2216791.59507633</v>
      </c>
      <c r="BG105" s="252" t="n">
        <f aca="false">BG103+BG104+BG102</f>
        <v>2287574.18552634</v>
      </c>
      <c r="BH105" s="252" t="n">
        <f aca="false">BH103+BH104+BH102</f>
        <v>2355314.28700701</v>
      </c>
      <c r="BI105" s="252" t="n">
        <f aca="false">BI103+BI104+BI102</f>
        <v>2420142.67657906</v>
      </c>
      <c r="BJ105" s="202" t="n">
        <f aca="false">BI105</f>
        <v>2420142.67657906</v>
      </c>
      <c r="BK105" s="51" t="s">
        <v>748</v>
      </c>
    </row>
    <row r="106" customFormat="false" ht="15.75" hidden="false" customHeight="true" outlineLevel="0" collapsed="false">
      <c r="A106" s="49" t="s">
        <v>749</v>
      </c>
      <c r="B106" s="262" t="n">
        <f aca="false" t="array" ref="B106:B106">IF(B$4&lt;Premissas!$B$13,0,INDEX(Premissas!$C$54:$G$54,B$7)*MIN(1,MAX(0,(B$5-Premissas!$B$14+1)/Premissas!$B$15)))</f>
        <v>0</v>
      </c>
      <c r="C106" s="262" t="n">
        <f aca="false" t="array" ref="C106:C106">IF(C$4&lt;Premissas!$B$13,0,INDEX(Premissas!$C$54:$G$54,C$7)*MIN(1,MAX(0,(C$5-Premissas!$B$14+1)/Premissas!$B$15)))</f>
        <v>0</v>
      </c>
      <c r="D106" s="262" t="n">
        <f aca="false" t="array" ref="D106:D106">IF(D$4&lt;Premissas!$B$13,0,INDEX(Premissas!$C$54:$G$54,D$7)*MIN(1,MAX(0,(D$5-Premissas!$B$14+1)/Premissas!$B$15)))</f>
        <v>0</v>
      </c>
      <c r="E106" s="262" t="n">
        <f aca="false" t="array" ref="E106:E106">IF(E$4&lt;Premissas!$B$13,0,INDEX(Premissas!$C$54:$G$54,E$7)*MIN(1,MAX(0,(E$5-Premissas!$B$14+1)/Premissas!$B$15)))</f>
        <v>0</v>
      </c>
      <c r="F106" s="262" t="n">
        <f aca="false" t="array" ref="F106:F106">IF(F$4&lt;Premissas!$B$13,0,INDEX(Premissas!$C$54:$G$54,F$7)*MIN(1,MAX(0,(F$5-Premissas!$B$14+1)/Premissas!$B$15)))</f>
        <v>0</v>
      </c>
      <c r="G106" s="262" t="n">
        <f aca="false" t="array" ref="G106:G106">IF(G$4&lt;Premissas!$B$13,0,INDEX(Premissas!$C$54:$G$54,G$7)*MIN(1,MAX(0,(G$5-Premissas!$B$14+1)/Premissas!$B$15)))</f>
        <v>0</v>
      </c>
      <c r="H106" s="262" t="n">
        <f aca="false" t="array" ref="H106:H106">IF(H$4&lt;Premissas!$B$13,0,INDEX(Premissas!$C$54:$G$54,H$7)*MIN(1,MAX(0,(H$5-Premissas!$B$14+1)/Premissas!$B$15)))</f>
        <v>0</v>
      </c>
      <c r="I106" s="262" t="n">
        <f aca="false" t="array" ref="I106:I106">IF(I$4&lt;Premissas!$B$13,0,INDEX(Premissas!$C$54:$G$54,I$7)*MIN(1,MAX(0,(I$5-Premissas!$B$14+1)/Premissas!$B$15)))</f>
        <v>0</v>
      </c>
      <c r="J106" s="262" t="n">
        <f aca="false" t="array" ref="J106:J106">IF(J$4&lt;Premissas!$B$13,0,INDEX(Premissas!$C$54:$G$54,J$7)*MIN(1,MAX(0,(J$5-Premissas!$B$14+1)/Premissas!$B$15)))</f>
        <v>0</v>
      </c>
      <c r="K106" s="262" t="n">
        <f aca="false" t="array" ref="K106:K106">IF(K$4&lt;Premissas!$B$13,0,INDEX(Premissas!$C$54:$G$54,K$7)*MIN(1,MAX(0,(K$5-Premissas!$B$14+1)/Premissas!$B$15)))</f>
        <v>0</v>
      </c>
      <c r="L106" s="262" t="n">
        <f aca="false" t="array" ref="L106:L106">IF(L$4&lt;Premissas!$B$13,0,INDEX(Premissas!$C$54:$G$54,L$7)*MIN(1,MAX(0,(L$5-Premissas!$B$14+1)/Premissas!$B$15)))</f>
        <v>0</v>
      </c>
      <c r="M106" s="262" t="n">
        <f aca="false" t="array" ref="M106:M106">IF(M$4&lt;Premissas!$B$13,0,INDEX(Premissas!$C$54:$G$54,M$7)*MIN(1,MAX(0,(M$5-Premissas!$B$14+1)/Premissas!$B$15)))</f>
        <v>0.01</v>
      </c>
      <c r="N106" s="262" t="n">
        <f aca="false" t="array" ref="N106:N106">IF(N$4&lt;Premissas!$B$13,0,INDEX(Premissas!$C$54:$G$54,N$7)*MIN(1,MAX(0,(N$5-Premissas!$B$14+1)/Premissas!$B$15)))</f>
        <v>0.0212</v>
      </c>
      <c r="O106" s="262" t="n">
        <f aca="false" t="array" ref="O106:O106">IF(O$4&lt;Premissas!$B$13,0,INDEX(Premissas!$C$54:$G$54,O$7)*MIN(1,MAX(0,(O$5-Premissas!$B$14+1)/Premissas!$B$15)))</f>
        <v>0.0318</v>
      </c>
      <c r="P106" s="262" t="n">
        <f aca="false" t="array" ref="P106:P106">IF(P$4&lt;Premissas!$B$13,0,INDEX(Premissas!$C$54:$G$54,P$7)*MIN(1,MAX(0,(P$5-Premissas!$B$14+1)/Premissas!$B$15)))</f>
        <v>0.0424</v>
      </c>
      <c r="Q106" s="262" t="n">
        <f aca="false" t="array" ref="Q106:Q106">IF(Q$4&lt;Premissas!$B$13,0,INDEX(Premissas!$C$54:$G$54,Q$7)*MIN(1,MAX(0,(Q$5-Premissas!$B$14+1)/Premissas!$B$15)))</f>
        <v>0.053</v>
      </c>
      <c r="R106" s="262" t="n">
        <f aca="false" t="array" ref="R106:R106">IF(R$4&lt;Premissas!$B$13,0,INDEX(Premissas!$C$54:$G$54,R$7)*MIN(1,MAX(0,(R$5-Premissas!$B$14+1)/Premissas!$B$15)))</f>
        <v>0.0636</v>
      </c>
      <c r="S106" s="262" t="n">
        <f aca="false" t="array" ref="S106:S106">IF(S$4&lt;Premissas!$B$13,0,INDEX(Premissas!$C$54:$G$54,S$7)*MIN(1,MAX(0,(S$5-Premissas!$B$14+1)/Premissas!$B$15)))</f>
        <v>0.0636</v>
      </c>
      <c r="T106" s="262" t="n">
        <f aca="false" t="array" ref="T106:T106">IF(T$4&lt;Premissas!$B$13,0,INDEX(Premissas!$C$54:$G$54,T$7)*MIN(1,MAX(0,(T$5-Premissas!$B$14+1)/Premissas!$B$15)))</f>
        <v>0.0636</v>
      </c>
      <c r="U106" s="262" t="n">
        <f aca="false" t="array" ref="U106:U106">IF(U$4&lt;Premissas!$B$13,0,INDEX(Premissas!$C$54:$G$54,U$7)*MIN(1,MAX(0,(U$5-Premissas!$B$14+1)/Premissas!$B$15)))</f>
        <v>0.0636</v>
      </c>
      <c r="V106" s="262" t="n">
        <f aca="false" t="array" ref="V106:V106">IF(V$4&lt;Premissas!$B$13,0,INDEX(Premissas!$C$54:$G$54,V$7)*MIN(1,MAX(0,(V$5-Premissas!$B$14+1)/Premissas!$B$15)))</f>
        <v>0.0636</v>
      </c>
      <c r="W106" s="262" t="n">
        <f aca="false" t="array" ref="W106:W106">IF(W$4&lt;Premissas!$B$13,0,INDEX(Premissas!$C$54:$G$54,W$7)*MIN(1,MAX(0,(W$5-Premissas!$B$14+1)/Premissas!$B$15)))</f>
        <v>0.0636</v>
      </c>
      <c r="X106" s="262" t="n">
        <f aca="false" t="array" ref="X106:X106">IF(X$4&lt;Premissas!$B$13,0,INDEX(Premissas!$C$54:$G$54,X$7)*MIN(1,MAX(0,(X$5-Premissas!$B$14+1)/Premissas!$B$15)))</f>
        <v>0.0636</v>
      </c>
      <c r="Y106" s="262" t="n">
        <f aca="false" t="array" ref="Y106:Y106">IF(Y$4&lt;Premissas!$B$13,0,INDEX(Premissas!$C$54:$G$54,Y$7)*MIN(1,MAX(0,(Y$5-Premissas!$B$14+1)/Premissas!$B$15)))</f>
        <v>0.0636</v>
      </c>
      <c r="Z106" s="262" t="n">
        <f aca="false" t="array" ref="Z106:Z106">IF(Z$4&lt;Premissas!$B$13,0,INDEX(Premissas!$C$54:$G$54,Z$7)*MIN(1,MAX(0,(Z$5-Premissas!$B$14+1)/Premissas!$B$15)))</f>
        <v>0.067416</v>
      </c>
      <c r="AA106" s="262" t="n">
        <f aca="false" t="array" ref="AA106:AA106">IF(AA$4&lt;Premissas!$B$13,0,INDEX(Premissas!$C$54:$G$54,AA$7)*MIN(1,MAX(0,(AA$5-Premissas!$B$14+1)/Premissas!$B$15)))</f>
        <v>0.067416</v>
      </c>
      <c r="AB106" s="262" t="n">
        <f aca="false" t="array" ref="AB106:AB106">IF(AB$4&lt;Premissas!$B$13,0,INDEX(Premissas!$C$54:$G$54,AB$7)*MIN(1,MAX(0,(AB$5-Premissas!$B$14+1)/Premissas!$B$15)))</f>
        <v>0.067416</v>
      </c>
      <c r="AC106" s="262" t="n">
        <f aca="false" t="array" ref="AC106:AC106">IF(AC$4&lt;Premissas!$B$13,0,INDEX(Premissas!$C$54:$G$54,AC$7)*MIN(1,MAX(0,(AC$5-Premissas!$B$14+1)/Premissas!$B$15)))</f>
        <v>0.067416</v>
      </c>
      <c r="AD106" s="262" t="n">
        <f aca="false" t="array" ref="AD106:AD106">IF(AD$4&lt;Premissas!$B$13,0,INDEX(Premissas!$C$54:$G$54,AD$7)*MIN(1,MAX(0,(AD$5-Premissas!$B$14+1)/Premissas!$B$15)))</f>
        <v>0.067416</v>
      </c>
      <c r="AE106" s="262" t="n">
        <f aca="false" t="array" ref="AE106:AE106">IF(AE$4&lt;Premissas!$B$13,0,INDEX(Premissas!$C$54:$G$54,AE$7)*MIN(1,MAX(0,(AE$5-Premissas!$B$14+1)/Premissas!$B$15)))</f>
        <v>0.067416</v>
      </c>
      <c r="AF106" s="262" t="n">
        <f aca="false" t="array" ref="AF106:AF106">IF(AF$4&lt;Premissas!$B$13,0,INDEX(Premissas!$C$54:$G$54,AF$7)*MIN(1,MAX(0,(AF$5-Premissas!$B$14+1)/Premissas!$B$15)))</f>
        <v>0.067416</v>
      </c>
      <c r="AG106" s="262" t="n">
        <f aca="false" t="array" ref="AG106:AG106">IF(AG$4&lt;Premissas!$B$13,0,INDEX(Premissas!$C$54:$G$54,AG$7)*MIN(1,MAX(0,(AG$5-Premissas!$B$14+1)/Premissas!$B$15)))</f>
        <v>0.067416</v>
      </c>
      <c r="AH106" s="262" t="n">
        <f aca="false" t="array" ref="AH106:AH106">IF(AH$4&lt;Premissas!$B$13,0,INDEX(Premissas!$C$54:$G$54,AH$7)*MIN(1,MAX(0,(AH$5-Premissas!$B$14+1)/Premissas!$B$15)))</f>
        <v>0.067416</v>
      </c>
      <c r="AI106" s="262" t="n">
        <f aca="false" t="array" ref="AI106:AI106">IF(AI$4&lt;Premissas!$B$13,0,INDEX(Premissas!$C$54:$G$54,AI$7)*MIN(1,MAX(0,(AI$5-Premissas!$B$14+1)/Premissas!$B$15)))</f>
        <v>0.067416</v>
      </c>
      <c r="AJ106" s="262" t="n">
        <f aca="false" t="array" ref="AJ106:AJ106">IF(AJ$4&lt;Premissas!$B$13,0,INDEX(Premissas!$C$54:$G$54,AJ$7)*MIN(1,MAX(0,(AJ$5-Premissas!$B$14+1)/Premissas!$B$15)))</f>
        <v>0.067416</v>
      </c>
      <c r="AK106" s="262" t="n">
        <f aca="false" t="array" ref="AK106:AK106">IF(AK$4&lt;Premissas!$B$13,0,INDEX(Premissas!$C$54:$G$54,AK$7)*MIN(1,MAX(0,(AK$5-Premissas!$B$14+1)/Premissas!$B$15)))</f>
        <v>0.067416</v>
      </c>
      <c r="AL106" s="262" t="n">
        <f aca="false" t="array" ref="AL106:AL106">IF(AL$4&lt;Premissas!$B$13,0,INDEX(Premissas!$C$54:$G$54,AL$7)*MIN(1,MAX(0,(AL$5-Premissas!$B$14+1)/Premissas!$B$15)))</f>
        <v>0.07146096</v>
      </c>
      <c r="AM106" s="262" t="n">
        <f aca="false" t="array" ref="AM106:AM106">IF(AM$4&lt;Premissas!$B$13,0,INDEX(Premissas!$C$54:$G$54,AM$7)*MIN(1,MAX(0,(AM$5-Premissas!$B$14+1)/Premissas!$B$15)))</f>
        <v>0.07146096</v>
      </c>
      <c r="AN106" s="262" t="n">
        <f aca="false" t="array" ref="AN106:AN106">IF(AN$4&lt;Premissas!$B$13,0,INDEX(Premissas!$C$54:$G$54,AN$7)*MIN(1,MAX(0,(AN$5-Premissas!$B$14+1)/Premissas!$B$15)))</f>
        <v>0.07146096</v>
      </c>
      <c r="AO106" s="262" t="n">
        <f aca="false" t="array" ref="AO106:AO106">IF(AO$4&lt;Premissas!$B$13,0,INDEX(Premissas!$C$54:$G$54,AO$7)*MIN(1,MAX(0,(AO$5-Premissas!$B$14+1)/Premissas!$B$15)))</f>
        <v>0.07146096</v>
      </c>
      <c r="AP106" s="262" t="n">
        <f aca="false" t="array" ref="AP106:AP106">IF(AP$4&lt;Premissas!$B$13,0,INDEX(Premissas!$C$54:$G$54,AP$7)*MIN(1,MAX(0,(AP$5-Premissas!$B$14+1)/Premissas!$B$15)))</f>
        <v>0.07146096</v>
      </c>
      <c r="AQ106" s="262" t="n">
        <f aca="false" t="array" ref="AQ106:AQ106">IF(AQ$4&lt;Premissas!$B$13,0,INDEX(Premissas!$C$54:$G$54,AQ$7)*MIN(1,MAX(0,(AQ$5-Premissas!$B$14+1)/Premissas!$B$15)))</f>
        <v>0.07146096</v>
      </c>
      <c r="AR106" s="262" t="n">
        <f aca="false" t="array" ref="AR106:AR106">IF(AR$4&lt;Premissas!$B$13,0,INDEX(Premissas!$C$54:$G$54,AR$7)*MIN(1,MAX(0,(AR$5-Premissas!$B$14+1)/Premissas!$B$15)))</f>
        <v>0.07146096</v>
      </c>
      <c r="AS106" s="262" t="n">
        <f aca="false" t="array" ref="AS106:AS106">IF(AS$4&lt;Premissas!$B$13,0,INDEX(Premissas!$C$54:$G$54,AS$7)*MIN(1,MAX(0,(AS$5-Premissas!$B$14+1)/Premissas!$B$15)))</f>
        <v>0.07146096</v>
      </c>
      <c r="AT106" s="262" t="n">
        <f aca="false" t="array" ref="AT106:AT106">IF(AT$4&lt;Premissas!$B$13,0,INDEX(Premissas!$C$54:$G$54,AT$7)*MIN(1,MAX(0,(AT$5-Premissas!$B$14+1)/Premissas!$B$15)))</f>
        <v>0.07146096</v>
      </c>
      <c r="AU106" s="262" t="n">
        <f aca="false" t="array" ref="AU106:AU106">IF(AU$4&lt;Premissas!$B$13,0,INDEX(Premissas!$C$54:$G$54,AU$7)*MIN(1,MAX(0,(AU$5-Premissas!$B$14+1)/Premissas!$B$15)))</f>
        <v>0.07146096</v>
      </c>
      <c r="AV106" s="262" t="n">
        <f aca="false" t="array" ref="AV106:AV106">IF(AV$4&lt;Premissas!$B$13,0,INDEX(Premissas!$C$54:$G$54,AV$7)*MIN(1,MAX(0,(AV$5-Premissas!$B$14+1)/Premissas!$B$15)))</f>
        <v>0.07146096</v>
      </c>
      <c r="AW106" s="262" t="n">
        <f aca="false" t="array" ref="AW106:AW106">IF(AW$4&lt;Premissas!$B$13,0,INDEX(Premissas!$C$54:$G$54,AW$7)*MIN(1,MAX(0,(AW$5-Premissas!$B$14+1)/Premissas!$B$15)))</f>
        <v>0.07146096</v>
      </c>
      <c r="AX106" s="262" t="n">
        <f aca="false" t="array" ref="AX106:AX106">IF(AX$4&lt;Premissas!$B$13,0,INDEX(Premissas!$C$54:$G$54,AX$7)*MIN(1,MAX(0,(AX$5-Premissas!$B$14+1)/Premissas!$B$15)))</f>
        <v>0.0757486176</v>
      </c>
      <c r="AY106" s="262" t="n">
        <f aca="false" t="array" ref="AY106:AY106">IF(AY$4&lt;Premissas!$B$13,0,INDEX(Premissas!$C$54:$G$54,AY$7)*MIN(1,MAX(0,(AY$5-Premissas!$B$14+1)/Premissas!$B$15)))</f>
        <v>0.0757486176</v>
      </c>
      <c r="AZ106" s="262" t="n">
        <f aca="false" t="array" ref="AZ106:AZ106">IF(AZ$4&lt;Premissas!$B$13,0,INDEX(Premissas!$C$54:$G$54,AZ$7)*MIN(1,MAX(0,(AZ$5-Premissas!$B$14+1)/Premissas!$B$15)))</f>
        <v>0.0757486176</v>
      </c>
      <c r="BA106" s="262" t="n">
        <f aca="false" t="array" ref="BA106:BA106">IF(BA$4&lt;Premissas!$B$13,0,INDEX(Premissas!$C$54:$G$54,BA$7)*MIN(1,MAX(0,(BA$5-Premissas!$B$14+1)/Premissas!$B$15)))</f>
        <v>0.0757486176</v>
      </c>
      <c r="BB106" s="262" t="n">
        <f aca="false" t="array" ref="BB106:BB106">IF(BB$4&lt;Premissas!$B$13,0,INDEX(Premissas!$C$54:$G$54,BB$7)*MIN(1,MAX(0,(BB$5-Premissas!$B$14+1)/Premissas!$B$15)))</f>
        <v>0.0757486176</v>
      </c>
      <c r="BC106" s="262" t="n">
        <f aca="false" t="array" ref="BC106:BC106">IF(BC$4&lt;Premissas!$B$13,0,INDEX(Premissas!$C$54:$G$54,BC$7)*MIN(1,MAX(0,(BC$5-Premissas!$B$14+1)/Premissas!$B$15)))</f>
        <v>0.0757486176</v>
      </c>
      <c r="BD106" s="262" t="n">
        <f aca="false" t="array" ref="BD106:BD106">IF(BD$4&lt;Premissas!$B$13,0,INDEX(Premissas!$C$54:$G$54,BD$7)*MIN(1,MAX(0,(BD$5-Premissas!$B$14+1)/Premissas!$B$15)))</f>
        <v>0.0757486176</v>
      </c>
      <c r="BE106" s="262" t="n">
        <f aca="false" t="array" ref="BE106:BE106">IF(BE$4&lt;Premissas!$B$13,0,INDEX(Premissas!$C$54:$G$54,BE$7)*MIN(1,MAX(0,(BE$5-Premissas!$B$14+1)/Premissas!$B$15)))</f>
        <v>0.0757486176</v>
      </c>
      <c r="BF106" s="262" t="n">
        <f aca="false" t="array" ref="BF106:BF106">IF(BF$4&lt;Premissas!$B$13,0,INDEX(Premissas!$C$54:$G$54,BF$7)*MIN(1,MAX(0,(BF$5-Premissas!$B$14+1)/Premissas!$B$15)))</f>
        <v>0.0757486176</v>
      </c>
      <c r="BG106" s="262" t="n">
        <f aca="false" t="array" ref="BG106:BG106">IF(BG$4&lt;Premissas!$B$13,0,INDEX(Premissas!$C$54:$G$54,BG$7)*MIN(1,MAX(0,(BG$5-Premissas!$B$14+1)/Premissas!$B$15)))</f>
        <v>0.0757486176</v>
      </c>
      <c r="BH106" s="262" t="n">
        <f aca="false" t="array" ref="BH106:BH106">IF(BH$4&lt;Premissas!$B$13,0,INDEX(Premissas!$C$54:$G$54,BH$7)*MIN(1,MAX(0,(BH$5-Premissas!$B$14+1)/Premissas!$B$15)))</f>
        <v>0.0757486176</v>
      </c>
      <c r="BI106" s="262" t="n">
        <f aca="false" t="array" ref="BI106:BI106">IF(BI$4&lt;Premissas!$B$13,0,INDEX(Premissas!$C$54:$G$54,BI$7)*MIN(1,MAX(0,(BI$5-Premissas!$B$14+1)/Premissas!$B$15)))</f>
        <v>0.0757486176</v>
      </c>
      <c r="BJ106" s="157" t="n">
        <f aca="false">BI106</f>
        <v>0.0757486176</v>
      </c>
    </row>
    <row r="107" customFormat="false" ht="15.75" hidden="false" customHeight="true" outlineLevel="0" collapsed="false">
      <c r="A107" s="53" t="s">
        <v>717</v>
      </c>
      <c r="B107" s="252" t="n">
        <f aca="false">ROUND(B105*B106,0)</f>
        <v>0</v>
      </c>
      <c r="C107" s="252" t="n">
        <f aca="false">ROUND(C105*C106,0)</f>
        <v>0</v>
      </c>
      <c r="D107" s="252" t="n">
        <f aca="false">ROUND(D105*D106,0)</f>
        <v>0</v>
      </c>
      <c r="E107" s="252" t="n">
        <f aca="false">ROUND(E105*E106,0)</f>
        <v>0</v>
      </c>
      <c r="F107" s="252" t="n">
        <f aca="false">ROUND(F105*F106,0)</f>
        <v>0</v>
      </c>
      <c r="G107" s="252" t="n">
        <f aca="false">ROUND(G105*G106,0)</f>
        <v>0</v>
      </c>
      <c r="H107" s="252" t="n">
        <f aca="false">ROUND(H105*H106,0)</f>
        <v>0</v>
      </c>
      <c r="I107" s="252" t="n">
        <f aca="false">ROUND(I105*I106,0)</f>
        <v>0</v>
      </c>
      <c r="J107" s="252" t="n">
        <f aca="false">ROUND(J105*J106,0)</f>
        <v>0</v>
      </c>
      <c r="K107" s="252" t="n">
        <f aca="false">ROUND(K105*K106,0)</f>
        <v>0</v>
      </c>
      <c r="L107" s="252" t="n">
        <f aca="false">ROUND(L105*L106,0)</f>
        <v>0</v>
      </c>
      <c r="M107" s="252" t="n">
        <f aca="false">ROUND(M105*M106,0)</f>
        <v>253</v>
      </c>
      <c r="N107" s="252" t="n">
        <f aca="false">ROUND(N105*N106,0)</f>
        <v>1367</v>
      </c>
      <c r="O107" s="252" t="n">
        <f aca="false">ROUND(O105*O106,0)</f>
        <v>3227</v>
      </c>
      <c r="P107" s="252" t="n">
        <f aca="false">ROUND(P105*P106,0)</f>
        <v>5784</v>
      </c>
      <c r="Q107" s="252" t="n">
        <f aca="false">ROUND(Q105*Q106,0)</f>
        <v>8980</v>
      </c>
      <c r="R107" s="252" t="n">
        <f aca="false">ROUND(R105*R106,0)</f>
        <v>12759</v>
      </c>
      <c r="S107" s="252" t="n">
        <f aca="false">ROUND(S105*S106,0)</f>
        <v>14634</v>
      </c>
      <c r="T107" s="252" t="n">
        <f aca="false">ROUND(T105*T106,0)</f>
        <v>16404</v>
      </c>
      <c r="U107" s="252" t="n">
        <f aca="false">ROUND(U105*U106,0)</f>
        <v>18077</v>
      </c>
      <c r="V107" s="252" t="n">
        <f aca="false">ROUND(V105*V106,0)</f>
        <v>19658</v>
      </c>
      <c r="W107" s="252" t="n">
        <f aca="false">ROUND(W105*W106,0)</f>
        <v>21152</v>
      </c>
      <c r="X107" s="252" t="n">
        <f aca="false">ROUND(X105*X106,0)</f>
        <v>22563</v>
      </c>
      <c r="Y107" s="252" t="n">
        <f aca="false">ROUND(Y105*Y106,0)</f>
        <v>23896</v>
      </c>
      <c r="Z107" s="252" t="n">
        <f aca="false">ROUND(Z105*Z106,0)</f>
        <v>28417</v>
      </c>
      <c r="AA107" s="252" t="n">
        <f aca="false">ROUND(AA105*AA106,0)</f>
        <v>31347</v>
      </c>
      <c r="AB107" s="252" t="n">
        <f aca="false">ROUND(AB105*AB106,0)</f>
        <v>34128</v>
      </c>
      <c r="AC107" s="252" t="n">
        <f aca="false">ROUND(AC105*AC106,0)</f>
        <v>36768</v>
      </c>
      <c r="AD107" s="252" t="n">
        <f aca="false">ROUND(AD105*AD106,0)</f>
        <v>39274</v>
      </c>
      <c r="AE107" s="252" t="n">
        <f aca="false">ROUND(AE105*AE106,0)</f>
        <v>41653</v>
      </c>
      <c r="AF107" s="252" t="n">
        <f aca="false">ROUND(AF105*AF106,0)</f>
        <v>43911</v>
      </c>
      <c r="AG107" s="252" t="n">
        <f aca="false">ROUND(AG105*AG106,0)</f>
        <v>46054</v>
      </c>
      <c r="AH107" s="252" t="n">
        <f aca="false">ROUND(AH105*AH106,0)</f>
        <v>48089</v>
      </c>
      <c r="AI107" s="252" t="n">
        <f aca="false">ROUND(AI105*AI106,0)</f>
        <v>50020</v>
      </c>
      <c r="AJ107" s="252" t="n">
        <f aca="false">ROUND(AJ105*AJ106,0)</f>
        <v>51853</v>
      </c>
      <c r="AK107" s="252" t="n">
        <f aca="false">ROUND(AK105*AK106,0)</f>
        <v>53593</v>
      </c>
      <c r="AL107" s="252" t="n">
        <f aca="false">ROUND(AL105*AL106,0)</f>
        <v>61572</v>
      </c>
      <c r="AM107" s="252" t="n">
        <f aca="false">ROUND(AM105*AM106,0)</f>
        <v>66112</v>
      </c>
      <c r="AN107" s="252" t="n">
        <f aca="false">ROUND(AN105*AN106,0)</f>
        <v>70440</v>
      </c>
      <c r="AO107" s="252" t="n">
        <f aca="false">ROUND(AO105*AO106,0)</f>
        <v>74566</v>
      </c>
      <c r="AP107" s="252" t="n">
        <f aca="false">ROUND(AP105*AP106,0)</f>
        <v>78500</v>
      </c>
      <c r="AQ107" s="252" t="n">
        <f aca="false">ROUND(AQ105*AQ106,0)</f>
        <v>82249</v>
      </c>
      <c r="AR107" s="252" t="n">
        <f aca="false">ROUND(AR105*AR106,0)</f>
        <v>85824</v>
      </c>
      <c r="AS107" s="252" t="n">
        <f aca="false">ROUND(AS105*AS106,0)</f>
        <v>89231</v>
      </c>
      <c r="AT107" s="252" t="n">
        <f aca="false">ROUND(AT105*AT106,0)</f>
        <v>92479</v>
      </c>
      <c r="AU107" s="252" t="n">
        <f aca="false">ROUND(AU105*AU106,0)</f>
        <v>95575</v>
      </c>
      <c r="AV107" s="252" t="n">
        <f aca="false">ROUND(AV105*AV106,0)</f>
        <v>98527</v>
      </c>
      <c r="AW107" s="252" t="n">
        <f aca="false">ROUND(AW105*AW106,0)</f>
        <v>101341</v>
      </c>
      <c r="AX107" s="252" t="n">
        <f aca="false">ROUND(AX105*AX106,0)</f>
        <v>115383</v>
      </c>
      <c r="AY107" s="252" t="n">
        <f aca="false">ROUND(AY105*AY106,0)</f>
        <v>123003</v>
      </c>
      <c r="AZ107" s="252" t="n">
        <f aca="false">ROUND(AZ105*AZ106,0)</f>
        <v>130296</v>
      </c>
      <c r="BA107" s="252" t="n">
        <f aca="false">ROUND(BA105*BA106,0)</f>
        <v>137275</v>
      </c>
      <c r="BB107" s="252" t="n">
        <f aca="false">ROUND(BB105*BB106,0)</f>
        <v>143953</v>
      </c>
      <c r="BC107" s="252" t="n">
        <f aca="false">ROUND(BC105*BC106,0)</f>
        <v>150345</v>
      </c>
      <c r="BD107" s="252" t="n">
        <f aca="false">ROUND(BD105*BD106,0)</f>
        <v>156462</v>
      </c>
      <c r="BE107" s="252" t="n">
        <f aca="false">ROUND(BE105*BE106,0)</f>
        <v>162316</v>
      </c>
      <c r="BF107" s="252" t="n">
        <f aca="false">ROUND(BF105*BF106,0)</f>
        <v>167919</v>
      </c>
      <c r="BG107" s="252" t="n">
        <f aca="false">ROUND(BG105*BG106,0)</f>
        <v>173281</v>
      </c>
      <c r="BH107" s="252" t="n">
        <f aca="false">ROUND(BH105*BH106,0)</f>
        <v>178412</v>
      </c>
      <c r="BI107" s="252" t="n">
        <f aca="false">ROUND(BI105*BI106,0)</f>
        <v>183322</v>
      </c>
      <c r="BJ107" s="202" t="n">
        <f aca="false">BI107</f>
        <v>183322</v>
      </c>
      <c r="BK107" s="51" t="s">
        <v>748</v>
      </c>
    </row>
    <row r="108" customFormat="false" ht="15.75" hidden="false" customHeight="true" outlineLevel="0" collapsed="false">
      <c r="A108" s="49" t="s">
        <v>718</v>
      </c>
      <c r="B108" s="201" t="n">
        <f aca="false" t="array" ref="B108:B108">ROUND(B107*INDEX(Premissas!$C$34:$G$34,B$7),0)</f>
        <v>0</v>
      </c>
      <c r="C108" s="201" t="n">
        <f aca="false" t="array" ref="C108:C108">ROUND(C107*INDEX(Premissas!$C$34:$G$34,C$7),0)</f>
        <v>0</v>
      </c>
      <c r="D108" s="201" t="n">
        <f aca="false" t="array" ref="D108:D108">ROUND(D107*INDEX(Premissas!$C$34:$G$34,D$7),0)</f>
        <v>0</v>
      </c>
      <c r="E108" s="201" t="n">
        <f aca="false" t="array" ref="E108:E108">ROUND(E107*INDEX(Premissas!$C$34:$G$34,E$7),0)</f>
        <v>0</v>
      </c>
      <c r="F108" s="201" t="n">
        <f aca="false" t="array" ref="F108:F108">ROUND(F107*INDEX(Premissas!$C$34:$G$34,F$7),0)</f>
        <v>0</v>
      </c>
      <c r="G108" s="201" t="n">
        <f aca="false" t="array" ref="G108:G108">ROUND(G107*INDEX(Premissas!$C$34:$G$34,G$7),0)</f>
        <v>0</v>
      </c>
      <c r="H108" s="201" t="n">
        <f aca="false" t="array" ref="H108:H108">ROUND(H107*INDEX(Premissas!$C$34:$G$34,H$7),0)</f>
        <v>0</v>
      </c>
      <c r="I108" s="201" t="n">
        <f aca="false" t="array" ref="I108:I108">ROUND(I107*INDEX(Premissas!$C$34:$G$34,I$7),0)</f>
        <v>0</v>
      </c>
      <c r="J108" s="201" t="n">
        <f aca="false" t="array" ref="J108:J108">ROUND(J107*INDEX(Premissas!$C$34:$G$34,J$7),0)</f>
        <v>0</v>
      </c>
      <c r="K108" s="201" t="n">
        <f aca="false" t="array" ref="K108:K108">ROUND(K107*INDEX(Premissas!$C$34:$G$34,K$7),0)</f>
        <v>0</v>
      </c>
      <c r="L108" s="201" t="n">
        <f aca="false" t="array" ref="L108:L108">ROUND(L107*INDEX(Premissas!$C$34:$G$34,L$7),0)</f>
        <v>0</v>
      </c>
      <c r="M108" s="201" t="n">
        <f aca="false" t="array" ref="M108:M108">ROUND(M107*INDEX(Premissas!$C$34:$G$34,M$7),0)</f>
        <v>253</v>
      </c>
      <c r="N108" s="201" t="n">
        <f aca="false" t="array" ref="N108:N108">ROUND(N107*INDEX(Premissas!$C$34:$G$34,N$7),0)</f>
        <v>1367</v>
      </c>
      <c r="O108" s="201" t="n">
        <f aca="false" t="array" ref="O108:O108">ROUND(O107*INDEX(Premissas!$C$34:$G$34,O$7),0)</f>
        <v>3227</v>
      </c>
      <c r="P108" s="201" t="n">
        <f aca="false" t="array" ref="P108:P108">ROUND(P107*INDEX(Premissas!$C$34:$G$34,P$7),0)</f>
        <v>5784</v>
      </c>
      <c r="Q108" s="201" t="n">
        <f aca="false" t="array" ref="Q108:Q108">ROUND(Q107*INDEX(Premissas!$C$34:$G$34,Q$7),0)</f>
        <v>8980</v>
      </c>
      <c r="R108" s="201" t="n">
        <f aca="false" t="array" ref="R108:R108">ROUND(R107*INDEX(Premissas!$C$34:$G$34,R$7),0)</f>
        <v>12759</v>
      </c>
      <c r="S108" s="201" t="n">
        <f aca="false" t="array" ref="S108:S108">ROUND(S107*INDEX(Premissas!$C$34:$G$34,S$7),0)</f>
        <v>14634</v>
      </c>
      <c r="T108" s="201" t="n">
        <f aca="false" t="array" ref="T108:T108">ROUND(T107*INDEX(Premissas!$C$34:$G$34,T$7),0)</f>
        <v>16404</v>
      </c>
      <c r="U108" s="201" t="n">
        <f aca="false" t="array" ref="U108:U108">ROUND(U107*INDEX(Premissas!$C$34:$G$34,U$7),0)</f>
        <v>18077</v>
      </c>
      <c r="V108" s="201" t="n">
        <f aca="false" t="array" ref="V108:V108">ROUND(V107*INDEX(Premissas!$C$34:$G$34,V$7),0)</f>
        <v>19658</v>
      </c>
      <c r="W108" s="201" t="n">
        <f aca="false" t="array" ref="W108:W108">ROUND(W107*INDEX(Premissas!$C$34:$G$34,W$7),0)</f>
        <v>21152</v>
      </c>
      <c r="X108" s="201" t="n">
        <f aca="false" t="array" ref="X108:X108">ROUND(X107*INDEX(Premissas!$C$34:$G$34,X$7),0)</f>
        <v>22563</v>
      </c>
      <c r="Y108" s="201" t="n">
        <f aca="false" t="array" ref="Y108:Y108">ROUND(Y107*INDEX(Premissas!$C$34:$G$34,Y$7),0)</f>
        <v>23896</v>
      </c>
      <c r="Z108" s="201" t="n">
        <f aca="false" t="array" ref="Z108:Z108">ROUND(Z107*INDEX(Premissas!$C$34:$G$34,Z$7),0)</f>
        <v>19324</v>
      </c>
      <c r="AA108" s="201" t="n">
        <f aca="false" t="array" ref="AA108:AA108">ROUND(AA107*INDEX(Premissas!$C$34:$G$34,AA$7),0)</f>
        <v>21316</v>
      </c>
      <c r="AB108" s="201" t="n">
        <f aca="false" t="array" ref="AB108:AB108">ROUND(AB107*INDEX(Premissas!$C$34:$G$34,AB$7),0)</f>
        <v>23207</v>
      </c>
      <c r="AC108" s="201" t="n">
        <f aca="false" t="array" ref="AC108:AC108">ROUND(AC107*INDEX(Premissas!$C$34:$G$34,AC$7),0)</f>
        <v>25002</v>
      </c>
      <c r="AD108" s="201" t="n">
        <f aca="false" t="array" ref="AD108:AD108">ROUND(AD107*INDEX(Premissas!$C$34:$G$34,AD$7),0)</f>
        <v>26706</v>
      </c>
      <c r="AE108" s="201" t="n">
        <f aca="false" t="array" ref="AE108:AE108">ROUND(AE107*INDEX(Premissas!$C$34:$G$34,AE$7),0)</f>
        <v>28324</v>
      </c>
      <c r="AF108" s="201" t="n">
        <f aca="false" t="array" ref="AF108:AF108">ROUND(AF107*INDEX(Premissas!$C$34:$G$34,AF$7),0)</f>
        <v>29859</v>
      </c>
      <c r="AG108" s="201" t="n">
        <f aca="false" t="array" ref="AG108:AG108">ROUND(AG107*INDEX(Premissas!$C$34:$G$34,AG$7),0)</f>
        <v>31317</v>
      </c>
      <c r="AH108" s="201" t="n">
        <f aca="false" t="array" ref="AH108:AH108">ROUND(AH107*INDEX(Premissas!$C$34:$G$34,AH$7),0)</f>
        <v>32701</v>
      </c>
      <c r="AI108" s="201" t="n">
        <f aca="false" t="array" ref="AI108:AI108">ROUND(AI107*INDEX(Premissas!$C$34:$G$34,AI$7),0)</f>
        <v>34014</v>
      </c>
      <c r="AJ108" s="201" t="n">
        <f aca="false" t="array" ref="AJ108:AJ108">ROUND(AJ107*INDEX(Premissas!$C$34:$G$34,AJ$7),0)</f>
        <v>35260</v>
      </c>
      <c r="AK108" s="201" t="n">
        <f aca="false" t="array" ref="AK108:AK108">ROUND(AK107*INDEX(Premissas!$C$34:$G$34,AK$7),0)</f>
        <v>36443</v>
      </c>
      <c r="AL108" s="201" t="n">
        <f aca="false" t="array" ref="AL108:AL108">ROUND(AL107*INDEX(Premissas!$C$34:$G$34,AL$7),0)</f>
        <v>39406</v>
      </c>
      <c r="AM108" s="201" t="n">
        <f aca="false" t="array" ref="AM108:AM108">ROUND(AM107*INDEX(Premissas!$C$34:$G$34,AM$7),0)</f>
        <v>42312</v>
      </c>
      <c r="AN108" s="201" t="n">
        <f aca="false" t="array" ref="AN108:AN108">ROUND(AN107*INDEX(Premissas!$C$34:$G$34,AN$7),0)</f>
        <v>45082</v>
      </c>
      <c r="AO108" s="201" t="n">
        <f aca="false" t="array" ref="AO108:AO108">ROUND(AO107*INDEX(Premissas!$C$34:$G$34,AO$7),0)</f>
        <v>47722</v>
      </c>
      <c r="AP108" s="201" t="n">
        <f aca="false" t="array" ref="AP108:AP108">ROUND(AP107*INDEX(Premissas!$C$34:$G$34,AP$7),0)</f>
        <v>50240</v>
      </c>
      <c r="AQ108" s="201" t="n">
        <f aca="false" t="array" ref="AQ108:AQ108">ROUND(AQ107*INDEX(Premissas!$C$34:$G$34,AQ$7),0)</f>
        <v>52639</v>
      </c>
      <c r="AR108" s="201" t="n">
        <f aca="false" t="array" ref="AR108:AR108">ROUND(AR107*INDEX(Premissas!$C$34:$G$34,AR$7),0)</f>
        <v>54927</v>
      </c>
      <c r="AS108" s="201" t="n">
        <f aca="false" t="array" ref="AS108:AS108">ROUND(AS107*INDEX(Premissas!$C$34:$G$34,AS$7),0)</f>
        <v>57108</v>
      </c>
      <c r="AT108" s="201" t="n">
        <f aca="false" t="array" ref="AT108:AT108">ROUND(AT107*INDEX(Premissas!$C$34:$G$34,AT$7),0)</f>
        <v>59187</v>
      </c>
      <c r="AU108" s="201" t="n">
        <f aca="false" t="array" ref="AU108:AU108">ROUND(AU107*INDEX(Premissas!$C$34:$G$34,AU$7),0)</f>
        <v>61168</v>
      </c>
      <c r="AV108" s="201" t="n">
        <f aca="false" t="array" ref="AV108:AV108">ROUND(AV107*INDEX(Premissas!$C$34:$G$34,AV$7),0)</f>
        <v>63057</v>
      </c>
      <c r="AW108" s="201" t="n">
        <f aca="false" t="array" ref="AW108:AW108">ROUND(AW107*INDEX(Premissas!$C$34:$G$34,AW$7),0)</f>
        <v>64858</v>
      </c>
      <c r="AX108" s="201" t="n">
        <f aca="false" t="array" ref="AX108:AX108">ROUND(AX107*INDEX(Premissas!$C$34:$G$34,AX$7),0)</f>
        <v>69230</v>
      </c>
      <c r="AY108" s="201" t="n">
        <f aca="false" t="array" ref="AY108:AY108">ROUND(AY107*INDEX(Premissas!$C$34:$G$34,AY$7),0)</f>
        <v>73802</v>
      </c>
      <c r="AZ108" s="201" t="n">
        <f aca="false" t="array" ref="AZ108:AZ108">ROUND(AZ107*INDEX(Premissas!$C$34:$G$34,AZ$7),0)</f>
        <v>78178</v>
      </c>
      <c r="BA108" s="201" t="n">
        <f aca="false" t="array" ref="BA108:BA108">ROUND(BA107*INDEX(Premissas!$C$34:$G$34,BA$7),0)</f>
        <v>82365</v>
      </c>
      <c r="BB108" s="201" t="n">
        <f aca="false" t="array" ref="BB108:BB108">ROUND(BB107*INDEX(Premissas!$C$34:$G$34,BB$7),0)</f>
        <v>86372</v>
      </c>
      <c r="BC108" s="201" t="n">
        <f aca="false" t="array" ref="BC108:BC108">ROUND(BC107*INDEX(Premissas!$C$34:$G$34,BC$7),0)</f>
        <v>90207</v>
      </c>
      <c r="BD108" s="201" t="n">
        <f aca="false" t="array" ref="BD108:BD108">ROUND(BD107*INDEX(Premissas!$C$34:$G$34,BD$7),0)</f>
        <v>93877</v>
      </c>
      <c r="BE108" s="201" t="n">
        <f aca="false" t="array" ref="BE108:BE108">ROUND(BE107*INDEX(Premissas!$C$34:$G$34,BE$7),0)</f>
        <v>97390</v>
      </c>
      <c r="BF108" s="201" t="n">
        <f aca="false" t="array" ref="BF108:BF108">ROUND(BF107*INDEX(Premissas!$C$34:$G$34,BF$7),0)</f>
        <v>100751</v>
      </c>
      <c r="BG108" s="201" t="n">
        <f aca="false" t="array" ref="BG108:BG108">ROUND(BG107*INDEX(Premissas!$C$34:$G$34,BG$7),0)</f>
        <v>103969</v>
      </c>
      <c r="BH108" s="201" t="n">
        <f aca="false" t="array" ref="BH108:BH108">ROUND(BH107*INDEX(Premissas!$C$34:$G$34,BH$7),0)</f>
        <v>107047</v>
      </c>
      <c r="BI108" s="201" t="n">
        <f aca="false" t="array" ref="BI108:BI108">ROUND(BI107*INDEX(Premissas!$C$34:$G$34,BI$7),0)</f>
        <v>109993</v>
      </c>
      <c r="BJ108" s="202" t="n">
        <f aca="false">BI108</f>
        <v>109993</v>
      </c>
      <c r="BK108" s="51" t="s">
        <v>748</v>
      </c>
    </row>
    <row r="109" customFormat="false" ht="15.75" hidden="false" customHeight="true" outlineLevel="0" collapsed="false">
      <c r="A109" s="49" t="s">
        <v>719</v>
      </c>
      <c r="B109" s="201" t="n">
        <f aca="false" t="array" ref="B109:B109">ROUND(B107*INDEX(Premissas!$C$35:$G$35,B$7),0)</f>
        <v>0</v>
      </c>
      <c r="C109" s="201" t="n">
        <f aca="false" t="array" ref="C109:C109">ROUND(C107*INDEX(Premissas!$C$35:$G$35,C$7),0)</f>
        <v>0</v>
      </c>
      <c r="D109" s="201" t="n">
        <f aca="false" t="array" ref="D109:D109">ROUND(D107*INDEX(Premissas!$C$35:$G$35,D$7),0)</f>
        <v>0</v>
      </c>
      <c r="E109" s="201" t="n">
        <f aca="false" t="array" ref="E109:E109">ROUND(E107*INDEX(Premissas!$C$35:$G$35,E$7),0)</f>
        <v>0</v>
      </c>
      <c r="F109" s="201" t="n">
        <f aca="false" t="array" ref="F109:F109">ROUND(F107*INDEX(Premissas!$C$35:$G$35,F$7),0)</f>
        <v>0</v>
      </c>
      <c r="G109" s="201" t="n">
        <f aca="false" t="array" ref="G109:G109">ROUND(G107*INDEX(Premissas!$C$35:$G$35,G$7),0)</f>
        <v>0</v>
      </c>
      <c r="H109" s="201" t="n">
        <f aca="false" t="array" ref="H109:H109">ROUND(H107*INDEX(Premissas!$C$35:$G$35,H$7),0)</f>
        <v>0</v>
      </c>
      <c r="I109" s="201" t="n">
        <f aca="false" t="array" ref="I109:I109">ROUND(I107*INDEX(Premissas!$C$35:$G$35,I$7),0)</f>
        <v>0</v>
      </c>
      <c r="J109" s="201" t="n">
        <f aca="false" t="array" ref="J109:J109">ROUND(J107*INDEX(Premissas!$C$35:$G$35,J$7),0)</f>
        <v>0</v>
      </c>
      <c r="K109" s="201" t="n">
        <f aca="false" t="array" ref="K109:K109">ROUND(K107*INDEX(Premissas!$C$35:$G$35,K$7),0)</f>
        <v>0</v>
      </c>
      <c r="L109" s="201" t="n">
        <f aca="false" t="array" ref="L109:L109">ROUND(L107*INDEX(Premissas!$C$35:$G$35,L$7),0)</f>
        <v>0</v>
      </c>
      <c r="M109" s="201" t="n">
        <f aca="false" t="array" ref="M109:M109">ROUND(M107*INDEX(Premissas!$C$35:$G$35,M$7),0)</f>
        <v>0</v>
      </c>
      <c r="N109" s="201" t="n">
        <f aca="false" t="array" ref="N109:N109">ROUND(N107*INDEX(Premissas!$C$35:$G$35,N$7),0)</f>
        <v>0</v>
      </c>
      <c r="O109" s="201" t="n">
        <f aca="false" t="array" ref="O109:O109">ROUND(O107*INDEX(Premissas!$C$35:$G$35,O$7),0)</f>
        <v>0</v>
      </c>
      <c r="P109" s="201" t="n">
        <f aca="false" t="array" ref="P109:P109">ROUND(P107*INDEX(Premissas!$C$35:$G$35,P$7),0)</f>
        <v>0</v>
      </c>
      <c r="Q109" s="201" t="n">
        <f aca="false" t="array" ref="Q109:Q109">ROUND(Q107*INDEX(Premissas!$C$35:$G$35,Q$7),0)</f>
        <v>0</v>
      </c>
      <c r="R109" s="201" t="n">
        <f aca="false" t="array" ref="R109:R109">ROUND(R107*INDEX(Premissas!$C$35:$G$35,R$7),0)</f>
        <v>0</v>
      </c>
      <c r="S109" s="201" t="n">
        <f aca="false" t="array" ref="S109:S109">ROUND(S107*INDEX(Premissas!$C$35:$G$35,S$7),0)</f>
        <v>0</v>
      </c>
      <c r="T109" s="201" t="n">
        <f aca="false" t="array" ref="T109:T109">ROUND(T107*INDEX(Premissas!$C$35:$G$35,T$7),0)</f>
        <v>0</v>
      </c>
      <c r="U109" s="201" t="n">
        <f aca="false" t="array" ref="U109:U109">ROUND(U107*INDEX(Premissas!$C$35:$G$35,U$7),0)</f>
        <v>0</v>
      </c>
      <c r="V109" s="201" t="n">
        <f aca="false" t="array" ref="V109:V109">ROUND(V107*INDEX(Premissas!$C$35:$G$35,V$7),0)</f>
        <v>0</v>
      </c>
      <c r="W109" s="201" t="n">
        <f aca="false" t="array" ref="W109:W109">ROUND(W107*INDEX(Premissas!$C$35:$G$35,W$7),0)</f>
        <v>0</v>
      </c>
      <c r="X109" s="201" t="n">
        <f aca="false" t="array" ref="X109:X109">ROUND(X107*INDEX(Premissas!$C$35:$G$35,X$7),0)</f>
        <v>0</v>
      </c>
      <c r="Y109" s="201" t="n">
        <f aca="false" t="array" ref="Y109:Y109">ROUND(Y107*INDEX(Premissas!$C$35:$G$35,Y$7),0)</f>
        <v>0</v>
      </c>
      <c r="Z109" s="201" t="n">
        <f aca="false" t="array" ref="Z109:Z109">ROUND(Z107*INDEX(Premissas!$C$35:$G$35,Z$7),0)</f>
        <v>6820</v>
      </c>
      <c r="AA109" s="201" t="n">
        <f aca="false" t="array" ref="AA109:AA109">ROUND(AA107*INDEX(Premissas!$C$35:$G$35,AA$7),0)</f>
        <v>7523</v>
      </c>
      <c r="AB109" s="201" t="n">
        <f aca="false" t="array" ref="AB109:AB109">ROUND(AB107*INDEX(Premissas!$C$35:$G$35,AB$7),0)</f>
        <v>8191</v>
      </c>
      <c r="AC109" s="201" t="n">
        <f aca="false" t="array" ref="AC109:AC109">ROUND(AC107*INDEX(Premissas!$C$35:$G$35,AC$7),0)</f>
        <v>8824</v>
      </c>
      <c r="AD109" s="201" t="n">
        <f aca="false" t="array" ref="AD109:AD109">ROUND(AD107*INDEX(Premissas!$C$35:$G$35,AD$7),0)</f>
        <v>9426</v>
      </c>
      <c r="AE109" s="201" t="n">
        <f aca="false" t="array" ref="AE109:AE109">ROUND(AE107*INDEX(Premissas!$C$35:$G$35,AE$7),0)</f>
        <v>9997</v>
      </c>
      <c r="AF109" s="201" t="n">
        <f aca="false" t="array" ref="AF109:AF109">ROUND(AF107*INDEX(Premissas!$C$35:$G$35,AF$7),0)</f>
        <v>10539</v>
      </c>
      <c r="AG109" s="201" t="n">
        <f aca="false" t="array" ref="AG109:AG109">ROUND(AG107*INDEX(Premissas!$C$35:$G$35,AG$7),0)</f>
        <v>11053</v>
      </c>
      <c r="AH109" s="201" t="n">
        <f aca="false" t="array" ref="AH109:AH109">ROUND(AH107*INDEX(Premissas!$C$35:$G$35,AH$7),0)</f>
        <v>11541</v>
      </c>
      <c r="AI109" s="201" t="n">
        <f aca="false" t="array" ref="AI109:AI109">ROUND(AI107*INDEX(Premissas!$C$35:$G$35,AI$7),0)</f>
        <v>12005</v>
      </c>
      <c r="AJ109" s="201" t="n">
        <f aca="false" t="array" ref="AJ109:AJ109">ROUND(AJ107*INDEX(Premissas!$C$35:$G$35,AJ$7),0)</f>
        <v>12445</v>
      </c>
      <c r="AK109" s="201" t="n">
        <f aca="false" t="array" ref="AK109:AK109">ROUND(AK107*INDEX(Premissas!$C$35:$G$35,AK$7),0)</f>
        <v>12862</v>
      </c>
      <c r="AL109" s="201" t="n">
        <f aca="false" t="array" ref="AL109:AL109">ROUND(AL107*INDEX(Premissas!$C$35:$G$35,AL$7),0)</f>
        <v>16009</v>
      </c>
      <c r="AM109" s="201" t="n">
        <f aca="false" t="array" ref="AM109:AM109">ROUND(AM107*INDEX(Premissas!$C$35:$G$35,AM$7),0)</f>
        <v>17189</v>
      </c>
      <c r="AN109" s="201" t="n">
        <f aca="false" t="array" ref="AN109:AN109">ROUND(AN107*INDEX(Premissas!$C$35:$G$35,AN$7),0)</f>
        <v>18314</v>
      </c>
      <c r="AO109" s="201" t="n">
        <f aca="false" t="array" ref="AO109:AO109">ROUND(AO107*INDEX(Premissas!$C$35:$G$35,AO$7),0)</f>
        <v>19387</v>
      </c>
      <c r="AP109" s="201" t="n">
        <f aca="false" t="array" ref="AP109:AP109">ROUND(AP107*INDEX(Premissas!$C$35:$G$35,AP$7),0)</f>
        <v>20410</v>
      </c>
      <c r="AQ109" s="201" t="n">
        <f aca="false" t="array" ref="AQ109:AQ109">ROUND(AQ107*INDEX(Premissas!$C$35:$G$35,AQ$7),0)</f>
        <v>21385</v>
      </c>
      <c r="AR109" s="201" t="n">
        <f aca="false" t="array" ref="AR109:AR109">ROUND(AR107*INDEX(Premissas!$C$35:$G$35,AR$7),0)</f>
        <v>22314</v>
      </c>
      <c r="AS109" s="201" t="n">
        <f aca="false" t="array" ref="AS109:AS109">ROUND(AS107*INDEX(Premissas!$C$35:$G$35,AS$7),0)</f>
        <v>23200</v>
      </c>
      <c r="AT109" s="201" t="n">
        <f aca="false" t="array" ref="AT109:AT109">ROUND(AT107*INDEX(Premissas!$C$35:$G$35,AT$7),0)</f>
        <v>24045</v>
      </c>
      <c r="AU109" s="201" t="n">
        <f aca="false" t="array" ref="AU109:AU109">ROUND(AU107*INDEX(Premissas!$C$35:$G$35,AU$7),0)</f>
        <v>24850</v>
      </c>
      <c r="AV109" s="201" t="n">
        <f aca="false" t="array" ref="AV109:AV109">ROUND(AV107*INDEX(Premissas!$C$35:$G$35,AV$7),0)</f>
        <v>25617</v>
      </c>
      <c r="AW109" s="201" t="n">
        <f aca="false" t="array" ref="AW109:AW109">ROUND(AW107*INDEX(Premissas!$C$35:$G$35,AW$7),0)</f>
        <v>26349</v>
      </c>
      <c r="AX109" s="201" t="n">
        <f aca="false" t="array" ref="AX109:AX109">ROUND(AX107*INDEX(Premissas!$C$35:$G$35,AX$7),0)</f>
        <v>32307</v>
      </c>
      <c r="AY109" s="201" t="n">
        <f aca="false" t="array" ref="AY109:AY109">ROUND(AY107*INDEX(Premissas!$C$35:$G$35,AY$7),0)</f>
        <v>34441</v>
      </c>
      <c r="AZ109" s="201" t="n">
        <f aca="false" t="array" ref="AZ109:AZ109">ROUND(AZ107*INDEX(Premissas!$C$35:$G$35,AZ$7),0)</f>
        <v>36483</v>
      </c>
      <c r="BA109" s="201" t="n">
        <f aca="false" t="array" ref="BA109:BA109">ROUND(BA107*INDEX(Premissas!$C$35:$G$35,BA$7),0)</f>
        <v>38437</v>
      </c>
      <c r="BB109" s="201" t="n">
        <f aca="false" t="array" ref="BB109:BB109">ROUND(BB107*INDEX(Premissas!$C$35:$G$35,BB$7),0)</f>
        <v>40307</v>
      </c>
      <c r="BC109" s="201" t="n">
        <f aca="false" t="array" ref="BC109:BC109">ROUND(BC107*INDEX(Premissas!$C$35:$G$35,BC$7),0)</f>
        <v>42097</v>
      </c>
      <c r="BD109" s="201" t="n">
        <f aca="false" t="array" ref="BD109:BD109">ROUND(BD107*INDEX(Premissas!$C$35:$G$35,BD$7),0)</f>
        <v>43809</v>
      </c>
      <c r="BE109" s="201" t="n">
        <f aca="false" t="array" ref="BE109:BE109">ROUND(BE107*INDEX(Premissas!$C$35:$G$35,BE$7),0)</f>
        <v>45448</v>
      </c>
      <c r="BF109" s="201" t="n">
        <f aca="false" t="array" ref="BF109:BF109">ROUND(BF107*INDEX(Premissas!$C$35:$G$35,BF$7),0)</f>
        <v>47017</v>
      </c>
      <c r="BG109" s="201" t="n">
        <f aca="false" t="array" ref="BG109:BG109">ROUND(BG107*INDEX(Premissas!$C$35:$G$35,BG$7),0)</f>
        <v>48519</v>
      </c>
      <c r="BH109" s="201" t="n">
        <f aca="false" t="array" ref="BH109:BH109">ROUND(BH107*INDEX(Premissas!$C$35:$G$35,BH$7),0)</f>
        <v>49955</v>
      </c>
      <c r="BI109" s="201" t="n">
        <f aca="false" t="array" ref="BI109:BI109">ROUND(BI107*INDEX(Premissas!$C$35:$G$35,BI$7),0)</f>
        <v>51330</v>
      </c>
      <c r="BJ109" s="202" t="n">
        <f aca="false">BI109</f>
        <v>51330</v>
      </c>
      <c r="BK109" s="51" t="s">
        <v>748</v>
      </c>
    </row>
    <row r="110" customFormat="false" ht="15.75" hidden="false" customHeight="true" outlineLevel="0" collapsed="false">
      <c r="A110" s="49" t="s">
        <v>720</v>
      </c>
      <c r="B110" s="201" t="n">
        <f aca="false">B107-B108-B109</f>
        <v>0</v>
      </c>
      <c r="C110" s="201" t="n">
        <f aca="false">C107-C108-C109</f>
        <v>0</v>
      </c>
      <c r="D110" s="201" t="n">
        <f aca="false">D107-D108-D109</f>
        <v>0</v>
      </c>
      <c r="E110" s="201" t="n">
        <f aca="false">E107-E108-E109</f>
        <v>0</v>
      </c>
      <c r="F110" s="201" t="n">
        <f aca="false">F107-F108-F109</f>
        <v>0</v>
      </c>
      <c r="G110" s="201" t="n">
        <f aca="false">G107-G108-G109</f>
        <v>0</v>
      </c>
      <c r="H110" s="201" t="n">
        <f aca="false">H107-H108-H109</f>
        <v>0</v>
      </c>
      <c r="I110" s="201" t="n">
        <f aca="false">I107-I108-I109</f>
        <v>0</v>
      </c>
      <c r="J110" s="201" t="n">
        <f aca="false">J107-J108-J109</f>
        <v>0</v>
      </c>
      <c r="K110" s="201" t="n">
        <f aca="false">K107-K108-K109</f>
        <v>0</v>
      </c>
      <c r="L110" s="201" t="n">
        <f aca="false">L107-L108-L109</f>
        <v>0</v>
      </c>
      <c r="M110" s="201" t="n">
        <f aca="false">M107-M108-M109</f>
        <v>0</v>
      </c>
      <c r="N110" s="201" t="n">
        <f aca="false">N107-N108-N109</f>
        <v>0</v>
      </c>
      <c r="O110" s="201" t="n">
        <f aca="false">O107-O108-O109</f>
        <v>0</v>
      </c>
      <c r="P110" s="201" t="n">
        <f aca="false">P107-P108-P109</f>
        <v>0</v>
      </c>
      <c r="Q110" s="201" t="n">
        <f aca="false">Q107-Q108-Q109</f>
        <v>0</v>
      </c>
      <c r="R110" s="201" t="n">
        <f aca="false">R107-R108-R109</f>
        <v>0</v>
      </c>
      <c r="S110" s="201" t="n">
        <f aca="false">S107-S108-S109</f>
        <v>0</v>
      </c>
      <c r="T110" s="201" t="n">
        <f aca="false">T107-T108-T109</f>
        <v>0</v>
      </c>
      <c r="U110" s="201" t="n">
        <f aca="false">U107-U108-U109</f>
        <v>0</v>
      </c>
      <c r="V110" s="201" t="n">
        <f aca="false">V107-V108-V109</f>
        <v>0</v>
      </c>
      <c r="W110" s="201" t="n">
        <f aca="false">W107-W108-W109</f>
        <v>0</v>
      </c>
      <c r="X110" s="201" t="n">
        <f aca="false">X107-X108-X109</f>
        <v>0</v>
      </c>
      <c r="Y110" s="201" t="n">
        <f aca="false">Y107-Y108-Y109</f>
        <v>0</v>
      </c>
      <c r="Z110" s="201" t="n">
        <f aca="false">Z107-Z108-Z109</f>
        <v>2273</v>
      </c>
      <c r="AA110" s="201" t="n">
        <f aca="false">AA107-AA108-AA109</f>
        <v>2508</v>
      </c>
      <c r="AB110" s="201" t="n">
        <f aca="false">AB107-AB108-AB109</f>
        <v>2730</v>
      </c>
      <c r="AC110" s="201" t="n">
        <f aca="false">AC107-AC108-AC109</f>
        <v>2942</v>
      </c>
      <c r="AD110" s="201" t="n">
        <f aca="false">AD107-AD108-AD109</f>
        <v>3142</v>
      </c>
      <c r="AE110" s="201" t="n">
        <f aca="false">AE107-AE108-AE109</f>
        <v>3332</v>
      </c>
      <c r="AF110" s="201" t="n">
        <f aca="false">AF107-AF108-AF109</f>
        <v>3513</v>
      </c>
      <c r="AG110" s="201" t="n">
        <f aca="false">AG107-AG108-AG109</f>
        <v>3684</v>
      </c>
      <c r="AH110" s="201" t="n">
        <f aca="false">AH107-AH108-AH109</f>
        <v>3847</v>
      </c>
      <c r="AI110" s="201" t="n">
        <f aca="false">AI107-AI108-AI109</f>
        <v>4001</v>
      </c>
      <c r="AJ110" s="201" t="n">
        <f aca="false">AJ107-AJ108-AJ109</f>
        <v>4148</v>
      </c>
      <c r="AK110" s="201" t="n">
        <f aca="false">AK107-AK108-AK109</f>
        <v>4288</v>
      </c>
      <c r="AL110" s="201" t="n">
        <f aca="false">AL107-AL108-AL109</f>
        <v>6157</v>
      </c>
      <c r="AM110" s="201" t="n">
        <f aca="false">AM107-AM108-AM109</f>
        <v>6611</v>
      </c>
      <c r="AN110" s="201" t="n">
        <f aca="false">AN107-AN108-AN109</f>
        <v>7044</v>
      </c>
      <c r="AO110" s="201" t="n">
        <f aca="false">AO107-AO108-AO109</f>
        <v>7457</v>
      </c>
      <c r="AP110" s="201" t="n">
        <f aca="false">AP107-AP108-AP109</f>
        <v>7850</v>
      </c>
      <c r="AQ110" s="201" t="n">
        <f aca="false">AQ107-AQ108-AQ109</f>
        <v>8225</v>
      </c>
      <c r="AR110" s="201" t="n">
        <f aca="false">AR107-AR108-AR109</f>
        <v>8583</v>
      </c>
      <c r="AS110" s="201" t="n">
        <f aca="false">AS107-AS108-AS109</f>
        <v>8923</v>
      </c>
      <c r="AT110" s="201" t="n">
        <f aca="false">AT107-AT108-AT109</f>
        <v>9247</v>
      </c>
      <c r="AU110" s="201" t="n">
        <f aca="false">AU107-AU108-AU109</f>
        <v>9557</v>
      </c>
      <c r="AV110" s="201" t="n">
        <f aca="false">AV107-AV108-AV109</f>
        <v>9853</v>
      </c>
      <c r="AW110" s="201" t="n">
        <f aca="false">AW107-AW108-AW109</f>
        <v>10134</v>
      </c>
      <c r="AX110" s="201" t="n">
        <f aca="false">AX107-AX108-AX109</f>
        <v>13846</v>
      </c>
      <c r="AY110" s="201" t="n">
        <f aca="false">AY107-AY108-AY109</f>
        <v>14760</v>
      </c>
      <c r="AZ110" s="201" t="n">
        <f aca="false">AZ107-AZ108-AZ109</f>
        <v>15635</v>
      </c>
      <c r="BA110" s="201" t="n">
        <f aca="false">BA107-BA108-BA109</f>
        <v>16473</v>
      </c>
      <c r="BB110" s="201" t="n">
        <f aca="false">BB107-BB108-BB109</f>
        <v>17274</v>
      </c>
      <c r="BC110" s="201" t="n">
        <f aca="false">BC107-BC108-BC109</f>
        <v>18041</v>
      </c>
      <c r="BD110" s="201" t="n">
        <f aca="false">BD107-BD108-BD109</f>
        <v>18776</v>
      </c>
      <c r="BE110" s="201" t="n">
        <f aca="false">BE107-BE108-BE109</f>
        <v>19478</v>
      </c>
      <c r="BF110" s="201" t="n">
        <f aca="false">BF107-BF108-BF109</f>
        <v>20151</v>
      </c>
      <c r="BG110" s="201" t="n">
        <f aca="false">BG107-BG108-BG109</f>
        <v>20793</v>
      </c>
      <c r="BH110" s="201" t="n">
        <f aca="false">BH107-BH108-BH109</f>
        <v>21410</v>
      </c>
      <c r="BI110" s="201" t="n">
        <f aca="false">BI107-BI108-BI109</f>
        <v>21999</v>
      </c>
      <c r="BJ110" s="202" t="n">
        <f aca="false">BI110</f>
        <v>21999</v>
      </c>
      <c r="BK110" s="51" t="s">
        <v>748</v>
      </c>
    </row>
    <row r="111" customFormat="false" ht="15.75" hidden="false" customHeight="true" outlineLevel="0" collapsed="false">
      <c r="A111" s="49" t="s">
        <v>721</v>
      </c>
      <c r="B111" s="201" t="n">
        <f aca="false" t="array" ref="B111:B111">IF(ROUND(B105*INDEX(Premissas!$C$67:$G$67,B$7),0)&gt;=Premissas!$B$68,ROUND(B105*INDEX(Premissas!$C$67:$G$67,B$7),0),0)</f>
        <v>0</v>
      </c>
      <c r="C111" s="201" t="n">
        <f aca="false" t="array" ref="C111:C111">IF(ROUND(C105*INDEX(Premissas!$C$67:$G$67,C$7),0)&gt;=Premissas!$B$68,ROUND(C105*INDEX(Premissas!$C$67:$G$67,C$7),0),0)</f>
        <v>0</v>
      </c>
      <c r="D111" s="201" t="n">
        <f aca="false" t="array" ref="D111:D111">IF(ROUND(D105*INDEX(Premissas!$C$67:$G$67,D$7),0)&gt;=Premissas!$B$68,ROUND(D105*INDEX(Premissas!$C$67:$G$67,D$7),0),0)</f>
        <v>0</v>
      </c>
      <c r="E111" s="201" t="n">
        <f aca="false" t="array" ref="E111:E111">IF(ROUND(E105*INDEX(Premissas!$C$67:$G$67,E$7),0)&gt;=Premissas!$B$68,ROUND(E105*INDEX(Premissas!$C$67:$G$67,E$7),0),0)</f>
        <v>0</v>
      </c>
      <c r="F111" s="201" t="n">
        <f aca="false" t="array" ref="F111:F111">IF(ROUND(F105*INDEX(Premissas!$C$67:$G$67,F$7),0)&gt;=Premissas!$B$68,ROUND(F105*INDEX(Premissas!$C$67:$G$67,F$7),0),0)</f>
        <v>0</v>
      </c>
      <c r="G111" s="201" t="n">
        <f aca="false" t="array" ref="G111:G111">IF(ROUND(G105*INDEX(Premissas!$C$67:$G$67,G$7),0)&gt;=Premissas!$B$68,ROUND(G105*INDEX(Premissas!$C$67:$G$67,G$7),0),0)</f>
        <v>0</v>
      </c>
      <c r="H111" s="201" t="n">
        <f aca="false" t="array" ref="H111:H111">IF(ROUND(H105*INDEX(Premissas!$C$67:$G$67,H$7),0)&gt;=Premissas!$B$68,ROUND(H105*INDEX(Premissas!$C$67:$G$67,H$7),0),0)</f>
        <v>0</v>
      </c>
      <c r="I111" s="201" t="n">
        <f aca="false" t="array" ref="I111:I111">IF(ROUND(I105*INDEX(Premissas!$C$67:$G$67,I$7),0)&gt;=Premissas!$B$68,ROUND(I105*INDEX(Premissas!$C$67:$G$67,I$7),0),0)</f>
        <v>0</v>
      </c>
      <c r="J111" s="201" t="n">
        <f aca="false" t="array" ref="J111:J111">IF(ROUND(J105*INDEX(Premissas!$C$67:$G$67,J$7),0)&gt;=Premissas!$B$68,ROUND(J105*INDEX(Premissas!$C$67:$G$67,J$7),0),0)</f>
        <v>0</v>
      </c>
      <c r="K111" s="201" t="n">
        <f aca="false" t="array" ref="K111:K111">IF(ROUND(K105*INDEX(Premissas!$C$67:$G$67,K$7),0)&gt;=Premissas!$B$68,ROUND(K105*INDEX(Premissas!$C$67:$G$67,K$7),0),0)</f>
        <v>0</v>
      </c>
      <c r="L111" s="201" t="n">
        <f aca="false" t="array" ref="L111:L111">IF(ROUND(L105*INDEX(Premissas!$C$67:$G$67,L$7),0)&gt;=Premissas!$B$68,ROUND(L105*INDEX(Premissas!$C$67:$G$67,L$7),0),0)</f>
        <v>0</v>
      </c>
      <c r="M111" s="201" t="n">
        <f aca="false" t="array" ref="M111:M111">IF(ROUND(M105*INDEX(Premissas!$C$67:$G$67,M$7),0)&gt;=Premissas!$B$68,ROUND(M105*INDEX(Premissas!$C$67:$G$67,M$7),0),0)</f>
        <v>0</v>
      </c>
      <c r="N111" s="201" t="n">
        <f aca="false" t="array" ref="N111:N111">IF(ROUND(N105*INDEX(Premissas!$C$67:$G$67,N$7),0)&gt;=Premissas!$B$68,ROUND(N105*INDEX(Premissas!$C$67:$G$67,N$7),0),0)</f>
        <v>0</v>
      </c>
      <c r="O111" s="201" t="n">
        <f aca="false" t="array" ref="O111:O111">IF(ROUND(O105*INDEX(Premissas!$C$67:$G$67,O$7),0)&gt;=Premissas!$B$68,ROUND(O105*INDEX(Premissas!$C$67:$G$67,O$7),0),0)</f>
        <v>101470</v>
      </c>
      <c r="P111" s="201" t="n">
        <f aca="false" t="array" ref="P111:P111">IF(ROUND(P105*INDEX(Premissas!$C$67:$G$67,P$7),0)&gt;=Premissas!$B$68,ROUND(P105*INDEX(Premissas!$C$67:$G$67,P$7),0),0)</f>
        <v>136413</v>
      </c>
      <c r="Q111" s="201" t="n">
        <f aca="false" t="array" ref="Q111:Q111">IF(ROUND(Q105*INDEX(Premissas!$C$67:$G$67,Q$7),0)&gt;=Premissas!$B$68,ROUND(Q105*INDEX(Premissas!$C$67:$G$67,Q$7),0),0)</f>
        <v>169427</v>
      </c>
      <c r="R111" s="201" t="n">
        <f aca="false" t="array" ref="R111:R111">IF(ROUND(R105*INDEX(Premissas!$C$67:$G$67,R$7),0)&gt;=Premissas!$B$68,ROUND(R105*INDEX(Premissas!$C$67:$G$67,R$7),0),0)</f>
        <v>200618</v>
      </c>
      <c r="S111" s="201" t="n">
        <f aca="false" t="array" ref="S111:S111">IF(ROUND(S105*INDEX(Premissas!$C$67:$G$67,S$7),0)&gt;=Premissas!$B$68,ROUND(S105*INDEX(Premissas!$C$67:$G$67,S$7),0),0)</f>
        <v>230088</v>
      </c>
      <c r="T111" s="201" t="n">
        <f aca="false" t="array" ref="T111:T111">IF(ROUND(T105*INDEX(Premissas!$C$67:$G$67,T$7),0)&gt;=Premissas!$B$68,ROUND(T105*INDEX(Premissas!$C$67:$G$67,T$7),0),0)</f>
        <v>257931</v>
      </c>
      <c r="U111" s="201" t="n">
        <f aca="false" t="array" ref="U111:U111">IF(ROUND(U105*INDEX(Premissas!$C$67:$G$67,U$7),0)&gt;=Premissas!$B$68,ROUND(U105*INDEX(Premissas!$C$67:$G$67,U$7),0),0)</f>
        <v>284237</v>
      </c>
      <c r="V111" s="201" t="n">
        <f aca="false" t="array" ref="V111:V111">IF(ROUND(V105*INDEX(Premissas!$C$67:$G$67,V$7),0)&gt;=Premissas!$B$68,ROUND(V105*INDEX(Premissas!$C$67:$G$67,V$7),0),0)</f>
        <v>309092</v>
      </c>
      <c r="W111" s="201" t="n">
        <f aca="false" t="array" ref="W111:W111">IF(ROUND(W105*INDEX(Premissas!$C$67:$G$67,W$7),0)&gt;=Premissas!$B$68,ROUND(W105*INDEX(Premissas!$C$67:$G$67,W$7),0),0)</f>
        <v>332574</v>
      </c>
      <c r="X111" s="201" t="n">
        <f aca="false" t="array" ref="X111:X111">IF(ROUND(X105*INDEX(Premissas!$C$67:$G$67,X$7),0)&gt;=Premissas!$B$68,ROUND(X105*INDEX(Premissas!$C$67:$G$67,X$7),0),0)</f>
        <v>354760</v>
      </c>
      <c r="Y111" s="201" t="n">
        <f aca="false" t="array" ref="Y111:Y111">IF(ROUND(Y105*INDEX(Premissas!$C$67:$G$67,Y$7),0)&gt;=Premissas!$B$68,ROUND(Y105*INDEX(Premissas!$C$67:$G$67,Y$7),0),0)</f>
        <v>375721</v>
      </c>
      <c r="Z111" s="201" t="n">
        <f aca="false" t="array" ref="Z111:Z111">IF(ROUND(Z105*INDEX(Premissas!$C$67:$G$67,Z$7),0)&gt;=Premissas!$B$68,ROUND(Z105*INDEX(Premissas!$C$67:$G$67,Z$7),0),0)</f>
        <v>421511</v>
      </c>
      <c r="AA111" s="201" t="n">
        <f aca="false" t="array" ref="AA111:AA111">IF(ROUND(AA105*INDEX(Premissas!$C$67:$G$67,AA$7),0)&gt;=Premissas!$B$68,ROUND(AA105*INDEX(Premissas!$C$67:$G$67,AA$7),0),0)</f>
        <v>464975</v>
      </c>
      <c r="AB111" s="201" t="n">
        <f aca="false" t="array" ref="AB111:AB111">IF(ROUND(AB105*INDEX(Premissas!$C$67:$G$67,AB$7),0)&gt;=Premissas!$B$68,ROUND(AB105*INDEX(Premissas!$C$67:$G$67,AB$7),0),0)</f>
        <v>506232</v>
      </c>
      <c r="AC111" s="201" t="n">
        <f aca="false" t="array" ref="AC111:AC111">IF(ROUND(AC105*INDEX(Premissas!$C$67:$G$67,AC$7),0)&gt;=Premissas!$B$68,ROUND(AC105*INDEX(Premissas!$C$67:$G$67,AC$7),0),0)</f>
        <v>545394</v>
      </c>
      <c r="AD111" s="201" t="n">
        <f aca="false" t="array" ref="AD111:AD111">IF(ROUND(AD105*INDEX(Premissas!$C$67:$G$67,AD$7),0)&gt;=Premissas!$B$68,ROUND(AD105*INDEX(Premissas!$C$67:$G$67,AD$7),0),0)</f>
        <v>582567</v>
      </c>
      <c r="AE111" s="201" t="n">
        <f aca="false" t="array" ref="AE111:AE111">IF(ROUND(AE105*INDEX(Premissas!$C$67:$G$67,AE$7),0)&gt;=Premissas!$B$68,ROUND(AE105*INDEX(Premissas!$C$67:$G$67,AE$7),0),0)</f>
        <v>617852</v>
      </c>
      <c r="AF111" s="201" t="n">
        <f aca="false" t="array" ref="AF111:AF111">IF(ROUND(AF105*INDEX(Premissas!$C$67:$G$67,AF$7),0)&gt;=Premissas!$B$68,ROUND(AF105*INDEX(Premissas!$C$67:$G$67,AF$7),0),0)</f>
        <v>651346</v>
      </c>
      <c r="AG111" s="201" t="n">
        <f aca="false" t="array" ref="AG111:AG111">IF(ROUND(AG105*INDEX(Premissas!$C$67:$G$67,AG$7),0)&gt;=Premissas!$B$68,ROUND(AG105*INDEX(Premissas!$C$67:$G$67,AG$7),0),0)</f>
        <v>683138</v>
      </c>
      <c r="AH111" s="201" t="n">
        <f aca="false" t="array" ref="AH111:AH111">IF(ROUND(AH105*INDEX(Premissas!$C$67:$G$67,AH$7),0)&gt;=Premissas!$B$68,ROUND(AH105*INDEX(Premissas!$C$67:$G$67,AH$7),0),0)</f>
        <v>713316</v>
      </c>
      <c r="AI111" s="201" t="n">
        <f aca="false" t="array" ref="AI111:AI111">IF(ROUND(AI105*INDEX(Premissas!$C$67:$G$67,AI$7),0)&gt;=Premissas!$B$68,ROUND(AI105*INDEX(Premissas!$C$67:$G$67,AI$7),0),0)</f>
        <v>741962</v>
      </c>
      <c r="AJ111" s="201" t="n">
        <f aca="false" t="array" ref="AJ111:AJ111">IF(ROUND(AJ105*INDEX(Premissas!$C$67:$G$67,AJ$7),0)&gt;=Premissas!$B$68,ROUND(AJ105*INDEX(Premissas!$C$67:$G$67,AJ$7),0),0)</f>
        <v>769152</v>
      </c>
      <c r="AK111" s="201" t="n">
        <f aca="false" t="array" ref="AK111:AK111">IF(ROUND(AK105*INDEX(Premissas!$C$67:$G$67,AK$7),0)&gt;=Premissas!$B$68,ROUND(AK105*INDEX(Premissas!$C$67:$G$67,AK$7),0),0)</f>
        <v>794962</v>
      </c>
      <c r="AL111" s="201" t="n">
        <f aca="false" t="array" ref="AL111:AL111">IF(ROUND(AL105*INDEX(Premissas!$C$67:$G$67,AL$7),0)&gt;=Premissas!$B$68,ROUND(AL105*INDEX(Premissas!$C$67:$G$67,AL$7),0),0)</f>
        <v>861613</v>
      </c>
      <c r="AM111" s="201" t="n">
        <f aca="false" t="array" ref="AM111:AM111">IF(ROUND(AM105*INDEX(Premissas!$C$67:$G$67,AM$7),0)&gt;=Premissas!$B$68,ROUND(AM105*INDEX(Premissas!$C$67:$G$67,AM$7),0),0)</f>
        <v>925150</v>
      </c>
      <c r="AN111" s="201" t="n">
        <f aca="false" t="array" ref="AN111:AN111">IF(ROUND(AN105*INDEX(Premissas!$C$67:$G$67,AN$7),0)&gt;=Premissas!$B$68,ROUND(AN105*INDEX(Premissas!$C$67:$G$67,AN$7),0),0)</f>
        <v>985718</v>
      </c>
      <c r="AO111" s="201" t="n">
        <f aca="false" t="array" ref="AO111:AO111">IF(ROUND(AO105*INDEX(Premissas!$C$67:$G$67,AO$7),0)&gt;=Premissas!$B$68,ROUND(AO105*INDEX(Premissas!$C$67:$G$67,AO$7),0),0)</f>
        <v>1043457</v>
      </c>
      <c r="AP111" s="201" t="n">
        <f aca="false" t="array" ref="AP111:AP111">IF(ROUND(AP105*INDEX(Premissas!$C$67:$G$67,AP$7),0)&gt;=Premissas!$B$68,ROUND(AP105*INDEX(Premissas!$C$67:$G$67,AP$7),0),0)</f>
        <v>1098498</v>
      </c>
      <c r="AQ111" s="201" t="n">
        <f aca="false" t="array" ref="AQ111:AQ111">IF(ROUND(AQ105*INDEX(Premissas!$C$67:$G$67,AQ$7),0)&gt;=Premissas!$B$68,ROUND(AQ105*INDEX(Premissas!$C$67:$G$67,AQ$7),0),0)</f>
        <v>1150967</v>
      </c>
      <c r="AR111" s="201" t="n">
        <f aca="false" t="array" ref="AR111:AR111">IF(ROUND(AR105*INDEX(Premissas!$C$67:$G$67,AR$7),0)&gt;=Premissas!$B$68,ROUND(AR105*INDEX(Premissas!$C$67:$G$67,AR$7),0),0)</f>
        <v>1200985</v>
      </c>
      <c r="AS111" s="201" t="n">
        <f aca="false" t="array" ref="AS111:AS111">IF(ROUND(AS105*INDEX(Premissas!$C$67:$G$67,AS$7),0)&gt;=Premissas!$B$68,ROUND(AS105*INDEX(Premissas!$C$67:$G$67,AS$7),0),0)</f>
        <v>1248666</v>
      </c>
      <c r="AT111" s="201" t="n">
        <f aca="false" t="array" ref="AT111:AT111">IF(ROUND(AT105*INDEX(Premissas!$C$67:$G$67,AT$7),0)&gt;=Premissas!$B$68,ROUND(AT105*INDEX(Premissas!$C$67:$G$67,AT$7),0),0)</f>
        <v>1294120</v>
      </c>
      <c r="AU111" s="201" t="n">
        <f aca="false" t="array" ref="AU111:AU111">IF(ROUND(AU105*INDEX(Premissas!$C$67:$G$67,AU$7),0)&gt;=Premissas!$B$68,ROUND(AU105*INDEX(Premissas!$C$67:$G$67,AU$7),0),0)</f>
        <v>1337449</v>
      </c>
      <c r="AV111" s="201" t="n">
        <f aca="false" t="array" ref="AV111:AV111">IF(ROUND(AV105*INDEX(Premissas!$C$67:$G$67,AV$7),0)&gt;=Premissas!$B$68,ROUND(AV105*INDEX(Premissas!$C$67:$G$67,AV$7),0),0)</f>
        <v>1378755</v>
      </c>
      <c r="AW111" s="201" t="n">
        <f aca="false" t="array" ref="AW111:AW111">IF(ROUND(AW105*INDEX(Premissas!$C$67:$G$67,AW$7),0)&gt;=Premissas!$B$68,ROUND(AW105*INDEX(Premissas!$C$67:$G$67,AW$7),0),0)</f>
        <v>1418130</v>
      </c>
      <c r="AX111" s="201" t="n">
        <f aca="false" t="array" ref="AX111:AX111">IF(ROUND(AX105*INDEX(Premissas!$C$67:$G$67,AX$7),0)&gt;=Premissas!$B$68,ROUND(AX105*INDEX(Premissas!$C$67:$G$67,AX$7),0),0)</f>
        <v>1523242</v>
      </c>
      <c r="AY111" s="201" t="n">
        <f aca="false" t="array" ref="AY111:AY111">IF(ROUND(AY105*INDEX(Premissas!$C$67:$G$67,AY$7),0)&gt;=Premissas!$B$68,ROUND(AY105*INDEX(Premissas!$C$67:$G$67,AY$7),0),0)</f>
        <v>1623836</v>
      </c>
      <c r="AZ111" s="201" t="n">
        <f aca="false" t="array" ref="AZ111:AZ111">IF(ROUND(AZ105*INDEX(Premissas!$C$67:$G$67,AZ$7),0)&gt;=Premissas!$B$68,ROUND(AZ105*INDEX(Premissas!$C$67:$G$67,AZ$7),0),0)</f>
        <v>1720106</v>
      </c>
      <c r="BA111" s="201" t="n">
        <f aca="false" t="array" ref="BA111:BA111">IF(ROUND(BA105*INDEX(Premissas!$C$67:$G$67,BA$7),0)&gt;=Premissas!$B$68,ROUND(BA105*INDEX(Premissas!$C$67:$G$67,BA$7),0),0)</f>
        <v>1812238</v>
      </c>
      <c r="BB111" s="201" t="n">
        <f aca="false" t="array" ref="BB111:BB111">IF(ROUND(BB105*INDEX(Premissas!$C$67:$G$67,BB$7),0)&gt;=Premissas!$B$68,ROUND(BB105*INDEX(Premissas!$C$67:$G$67,BB$7),0),0)</f>
        <v>1900410</v>
      </c>
      <c r="BC111" s="201" t="n">
        <f aca="false" t="array" ref="BC111:BC111">IF(ROUND(BC105*INDEX(Premissas!$C$67:$G$67,BC$7),0)&gt;=Premissas!$B$68,ROUND(BC105*INDEX(Premissas!$C$67:$G$67,BC$7),0),0)</f>
        <v>1984791</v>
      </c>
      <c r="BD111" s="201" t="n">
        <f aca="false" t="array" ref="BD111:BD111">IF(ROUND(BD105*INDEX(Premissas!$C$67:$G$67,BD$7),0)&gt;=Premissas!$B$68,ROUND(BD105*INDEX(Premissas!$C$67:$G$67,BD$7),0),0)</f>
        <v>2065546</v>
      </c>
      <c r="BE111" s="201" t="n">
        <f aca="false" t="array" ref="BE111:BE111">IF(ROUND(BE105*INDEX(Premissas!$C$67:$G$67,BE$7),0)&gt;=Premissas!$B$68,ROUND(BE105*INDEX(Premissas!$C$67:$G$67,BE$7),0),0)</f>
        <v>2142830</v>
      </c>
      <c r="BF111" s="201" t="n">
        <f aca="false" t="array" ref="BF111:BF111">IF(ROUND(BF105*INDEX(Premissas!$C$67:$G$67,BF$7),0)&gt;=Premissas!$B$68,ROUND(BF105*INDEX(Premissas!$C$67:$G$67,BF$7),0),0)</f>
        <v>2216792</v>
      </c>
      <c r="BG111" s="201" t="n">
        <f aca="false" t="array" ref="BG111:BG111">IF(ROUND(BG105*INDEX(Premissas!$C$67:$G$67,BG$7),0)&gt;=Premissas!$B$68,ROUND(BG105*INDEX(Premissas!$C$67:$G$67,BG$7),0),0)</f>
        <v>2287574</v>
      </c>
      <c r="BH111" s="201" t="n">
        <f aca="false" t="array" ref="BH111:BH111">IF(ROUND(BH105*INDEX(Premissas!$C$67:$G$67,BH$7),0)&gt;=Premissas!$B$68,ROUND(BH105*INDEX(Premissas!$C$67:$G$67,BH$7),0),0)</f>
        <v>2355314</v>
      </c>
      <c r="BI111" s="201" t="n">
        <f aca="false" t="array" ref="BI111:BI111">IF(ROUND(BI105*INDEX(Premissas!$C$67:$G$67,BI$7),0)&gt;=Premissas!$B$68,ROUND(BI105*INDEX(Premissas!$C$67:$G$67,BI$7),0),0)</f>
        <v>2420143</v>
      </c>
      <c r="BJ111" s="202" t="n">
        <f aca="false">BI111</f>
        <v>2420143</v>
      </c>
    </row>
    <row r="112" customFormat="false" ht="15.75" hidden="false" customHeight="true" outlineLevel="0" collapsed="false">
      <c r="A112" s="49" t="s">
        <v>750</v>
      </c>
      <c r="B112" s="168" t="n">
        <f aca="false">B108*Premissas!$B$29*(1+Premissas!$B$32)^(B$6-2026)</f>
        <v>0</v>
      </c>
      <c r="C112" s="168" t="n">
        <f aca="false">C108*Premissas!$B$29*(1+Premissas!$B$32)^(C$6-2026)</f>
        <v>0</v>
      </c>
      <c r="D112" s="168" t="n">
        <f aca="false">D108*Premissas!$B$29*(1+Premissas!$B$32)^(D$6-2026)</f>
        <v>0</v>
      </c>
      <c r="E112" s="168" t="n">
        <f aca="false">E108*Premissas!$B$29*(1+Premissas!$B$32)^(E$6-2026)</f>
        <v>0</v>
      </c>
      <c r="F112" s="168" t="n">
        <f aca="false">F108*Premissas!$B$29*(1+Premissas!$B$32)^(F$6-2026)</f>
        <v>0</v>
      </c>
      <c r="G112" s="168" t="n">
        <f aca="false">G108*Premissas!$B$29*(1+Premissas!$B$32)^(G$6-2026)</f>
        <v>0</v>
      </c>
      <c r="H112" s="168" t="n">
        <f aca="false">H108*Premissas!$B$29*(1+Premissas!$B$32)^(H$6-2026)</f>
        <v>0</v>
      </c>
      <c r="I112" s="168" t="n">
        <f aca="false">I108*Premissas!$B$29*(1+Premissas!$B$32)^(I$6-2026)</f>
        <v>0</v>
      </c>
      <c r="J112" s="168" t="n">
        <f aca="false">J108*Premissas!$B$29*(1+Premissas!$B$32)^(J$6-2026)</f>
        <v>0</v>
      </c>
      <c r="K112" s="168" t="n">
        <f aca="false">K108*Premissas!$B$29*(1+Premissas!$B$32)^(K$6-2026)</f>
        <v>0</v>
      </c>
      <c r="L112" s="168" t="n">
        <f aca="false">L108*Premissas!$B$29*(1+Premissas!$B$32)^(L$6-2026)</f>
        <v>0</v>
      </c>
      <c r="M112" s="168" t="n">
        <f aca="false">M108*Premissas!$B$29*(1+Premissas!$B$32)^(M$6-2026)</f>
        <v>20214.7</v>
      </c>
      <c r="N112" s="168" t="n">
        <f aca="false">N108*Premissas!$B$29*(1+Premissas!$B$32)^(N$6-2026)</f>
        <v>109223.3</v>
      </c>
      <c r="O112" s="168" t="n">
        <f aca="false">O108*Premissas!$B$29*(1+Premissas!$B$32)^(O$6-2026)</f>
        <v>257837.3</v>
      </c>
      <c r="P112" s="168" t="n">
        <f aca="false">P108*Premissas!$B$29*(1+Premissas!$B$32)^(P$6-2026)</f>
        <v>462141.6</v>
      </c>
      <c r="Q112" s="168" t="n">
        <f aca="false">Q108*Premissas!$B$29*(1+Premissas!$B$32)^(Q$6-2026)</f>
        <v>717502</v>
      </c>
      <c r="R112" s="168" t="n">
        <f aca="false">R108*Premissas!$B$29*(1+Premissas!$B$32)^(R$6-2026)</f>
        <v>1019444.1</v>
      </c>
      <c r="S112" s="168" t="n">
        <f aca="false">S108*Premissas!$B$29*(1+Premissas!$B$32)^(S$6-2026)</f>
        <v>1169256.6</v>
      </c>
      <c r="T112" s="168" t="n">
        <f aca="false">T108*Premissas!$B$29*(1+Premissas!$B$32)^(T$6-2026)</f>
        <v>1310679.6</v>
      </c>
      <c r="U112" s="168" t="n">
        <f aca="false">U108*Premissas!$B$29*(1+Premissas!$B$32)^(U$6-2026)</f>
        <v>1444352.3</v>
      </c>
      <c r="V112" s="168" t="n">
        <f aca="false">V108*Premissas!$B$29*(1+Premissas!$B$32)^(V$6-2026)</f>
        <v>1570674.2</v>
      </c>
      <c r="W112" s="168" t="n">
        <f aca="false">W108*Premissas!$B$29*(1+Premissas!$B$32)^(W$6-2026)</f>
        <v>1690044.8</v>
      </c>
      <c r="X112" s="168" t="n">
        <f aca="false">X108*Premissas!$B$29*(1+Premissas!$B$32)^(X$6-2026)</f>
        <v>1802783.7</v>
      </c>
      <c r="Y112" s="168" t="n">
        <f aca="false">Y108*Premissas!$B$29*(1+Premissas!$B$32)^(Y$6-2026)</f>
        <v>1909290.4</v>
      </c>
      <c r="Z112" s="168" t="n">
        <f aca="false">Z108*Premissas!$B$29*(1+Premissas!$B$32)^(Z$6-2026)</f>
        <v>1543987.6</v>
      </c>
      <c r="AA112" s="168" t="n">
        <f aca="false">AA108*Premissas!$B$29*(1+Premissas!$B$32)^(AA$6-2026)</f>
        <v>1703148.4</v>
      </c>
      <c r="AB112" s="168" t="n">
        <f aca="false">AB108*Premissas!$B$29*(1+Premissas!$B$32)^(AB$6-2026)</f>
        <v>1854239.3</v>
      </c>
      <c r="AC112" s="168" t="n">
        <f aca="false">AC108*Premissas!$B$29*(1+Premissas!$B$32)^(AC$6-2026)</f>
        <v>1997659.8</v>
      </c>
      <c r="AD112" s="168" t="n">
        <f aca="false">AD108*Premissas!$B$29*(1+Premissas!$B$32)^(AD$6-2026)</f>
        <v>2133809.4</v>
      </c>
      <c r="AE112" s="168" t="n">
        <f aca="false">AE108*Premissas!$B$29*(1+Premissas!$B$32)^(AE$6-2026)</f>
        <v>2263087.6</v>
      </c>
      <c r="AF112" s="168" t="n">
        <f aca="false">AF108*Premissas!$B$29*(1+Premissas!$B$32)^(AF$6-2026)</f>
        <v>2385734.1</v>
      </c>
      <c r="AG112" s="168" t="n">
        <f aca="false">AG108*Premissas!$B$29*(1+Premissas!$B$32)^(AG$6-2026)</f>
        <v>2502228.3</v>
      </c>
      <c r="AH112" s="168" t="n">
        <f aca="false">AH108*Premissas!$B$29*(1+Premissas!$B$32)^(AH$6-2026)</f>
        <v>2612809.9</v>
      </c>
      <c r="AI112" s="168" t="n">
        <f aca="false">AI108*Premissas!$B$29*(1+Premissas!$B$32)^(AI$6-2026)</f>
        <v>2717718.6</v>
      </c>
      <c r="AJ112" s="168" t="n">
        <f aca="false">AJ108*Premissas!$B$29*(1+Premissas!$B$32)^(AJ$6-2026)</f>
        <v>2817274</v>
      </c>
      <c r="AK112" s="168" t="n">
        <f aca="false">AK108*Premissas!$B$29*(1+Premissas!$B$32)^(AK$6-2026)</f>
        <v>2911795.7</v>
      </c>
      <c r="AL112" s="168" t="n">
        <f aca="false">AL108*Premissas!$B$29*(1+Premissas!$B$32)^(AL$6-2026)</f>
        <v>3148539.4</v>
      </c>
      <c r="AM112" s="168" t="n">
        <f aca="false">AM108*Premissas!$B$29*(1+Premissas!$B$32)^(AM$6-2026)</f>
        <v>3380728.8</v>
      </c>
      <c r="AN112" s="168" t="n">
        <f aca="false">AN108*Premissas!$B$29*(1+Premissas!$B$32)^(AN$6-2026)</f>
        <v>3602051.8</v>
      </c>
      <c r="AO112" s="168" t="n">
        <f aca="false">AO108*Premissas!$B$29*(1+Premissas!$B$32)^(AO$6-2026)</f>
        <v>3812987.8</v>
      </c>
      <c r="AP112" s="168" t="n">
        <f aca="false">AP108*Premissas!$B$29*(1+Premissas!$B$32)^(AP$6-2026)</f>
        <v>4014176</v>
      </c>
      <c r="AQ112" s="168" t="n">
        <f aca="false">AQ108*Premissas!$B$29*(1+Premissas!$B$32)^(AQ$6-2026)</f>
        <v>4205856.1</v>
      </c>
      <c r="AR112" s="168" t="n">
        <f aca="false">AR108*Premissas!$B$29*(1+Premissas!$B$32)^(AR$6-2026)</f>
        <v>4388667.3</v>
      </c>
      <c r="AS112" s="168" t="n">
        <f aca="false">AS108*Premissas!$B$29*(1+Premissas!$B$32)^(AS$6-2026)</f>
        <v>4562929.2</v>
      </c>
      <c r="AT112" s="168" t="n">
        <f aca="false">AT108*Premissas!$B$29*(1+Premissas!$B$32)^(AT$6-2026)</f>
        <v>4729041.3</v>
      </c>
      <c r="AU112" s="168" t="n">
        <f aca="false">AU108*Premissas!$B$29*(1+Premissas!$B$32)^(AU$6-2026)</f>
        <v>4887323.2</v>
      </c>
      <c r="AV112" s="168" t="n">
        <f aca="false">AV108*Premissas!$B$29*(1+Premissas!$B$32)^(AV$6-2026)</f>
        <v>5038254.3</v>
      </c>
      <c r="AW112" s="168" t="n">
        <f aca="false">AW108*Premissas!$B$29*(1+Premissas!$B$32)^(AW$6-2026)</f>
        <v>5182154.2</v>
      </c>
      <c r="AX112" s="168" t="n">
        <f aca="false">AX108*Premissas!$B$29*(1+Premissas!$B$32)^(AX$6-2026)</f>
        <v>5531477</v>
      </c>
      <c r="AY112" s="168" t="n">
        <f aca="false">AY108*Premissas!$B$29*(1+Premissas!$B$32)^(AY$6-2026)</f>
        <v>5896779.8</v>
      </c>
      <c r="AZ112" s="168" t="n">
        <f aca="false">AZ108*Premissas!$B$29*(1+Premissas!$B$32)^(AZ$6-2026)</f>
        <v>6246422.2</v>
      </c>
      <c r="BA112" s="168" t="n">
        <f aca="false">BA108*Premissas!$B$29*(1+Premissas!$B$32)^(BA$6-2026)</f>
        <v>6580963.5</v>
      </c>
      <c r="BB112" s="168" t="n">
        <f aca="false">BB108*Premissas!$B$29*(1+Premissas!$B$32)^(BB$6-2026)</f>
        <v>6901122.8</v>
      </c>
      <c r="BC112" s="168" t="n">
        <f aca="false">BC108*Premissas!$B$29*(1+Premissas!$B$32)^(BC$6-2026)</f>
        <v>7207539.3</v>
      </c>
      <c r="BD112" s="168" t="n">
        <f aca="false">BD108*Premissas!$B$29*(1+Premissas!$B$32)^(BD$6-2026)</f>
        <v>7500772.3</v>
      </c>
      <c r="BE112" s="168" t="n">
        <f aca="false">BE108*Premissas!$B$29*(1+Premissas!$B$32)^(BE$6-2026)</f>
        <v>7781461</v>
      </c>
      <c r="BF112" s="168" t="n">
        <f aca="false">BF108*Premissas!$B$29*(1+Premissas!$B$32)^(BF$6-2026)</f>
        <v>8050004.9</v>
      </c>
      <c r="BG112" s="168" t="n">
        <f aca="false">BG108*Premissas!$B$29*(1+Premissas!$B$32)^(BG$6-2026)</f>
        <v>8307123.1</v>
      </c>
      <c r="BH112" s="168" t="n">
        <f aca="false">BH108*Premissas!$B$29*(1+Premissas!$B$32)^(BH$6-2026)</f>
        <v>8553055.3</v>
      </c>
      <c r="BI112" s="168" t="n">
        <f aca="false">BI108*Premissas!$B$29*(1+Premissas!$B$32)^(BI$6-2026)</f>
        <v>8788440.7</v>
      </c>
      <c r="BJ112" s="154" t="n">
        <f aca="false">SUM(B112:BI112)</f>
        <v>179224808.6</v>
      </c>
    </row>
    <row r="113" customFormat="false" ht="15.75" hidden="false" customHeight="true" outlineLevel="0" collapsed="false">
      <c r="A113" s="49" t="s">
        <v>751</v>
      </c>
      <c r="B113" s="168" t="n">
        <f aca="false">B109*Premissas!$B$30*(1+Premissas!$B$32)^(B$6-2026)</f>
        <v>0</v>
      </c>
      <c r="C113" s="168" t="n">
        <f aca="false">C109*Premissas!$B$30*(1+Premissas!$B$32)^(C$6-2026)</f>
        <v>0</v>
      </c>
      <c r="D113" s="168" t="n">
        <f aca="false">D109*Premissas!$B$30*(1+Premissas!$B$32)^(D$6-2026)</f>
        <v>0</v>
      </c>
      <c r="E113" s="168" t="n">
        <f aca="false">E109*Premissas!$B$30*(1+Premissas!$B$32)^(E$6-2026)</f>
        <v>0</v>
      </c>
      <c r="F113" s="168" t="n">
        <f aca="false">F109*Premissas!$B$30*(1+Premissas!$B$32)^(F$6-2026)</f>
        <v>0</v>
      </c>
      <c r="G113" s="168" t="n">
        <f aca="false">G109*Premissas!$B$30*(1+Premissas!$B$32)^(G$6-2026)</f>
        <v>0</v>
      </c>
      <c r="H113" s="168" t="n">
        <f aca="false">H109*Premissas!$B$30*(1+Premissas!$B$32)^(H$6-2026)</f>
        <v>0</v>
      </c>
      <c r="I113" s="168" t="n">
        <f aca="false">I109*Premissas!$B$30*(1+Premissas!$B$32)^(I$6-2026)</f>
        <v>0</v>
      </c>
      <c r="J113" s="168" t="n">
        <f aca="false">J109*Premissas!$B$30*(1+Premissas!$B$32)^(J$6-2026)</f>
        <v>0</v>
      </c>
      <c r="K113" s="168" t="n">
        <f aca="false">K109*Premissas!$B$30*(1+Premissas!$B$32)^(K$6-2026)</f>
        <v>0</v>
      </c>
      <c r="L113" s="168" t="n">
        <f aca="false">L109*Premissas!$B$30*(1+Premissas!$B$32)^(L$6-2026)</f>
        <v>0</v>
      </c>
      <c r="M113" s="168" t="n">
        <f aca="false">M109*Premissas!$B$30*(1+Premissas!$B$32)^(M$6-2026)</f>
        <v>0</v>
      </c>
      <c r="N113" s="168" t="n">
        <f aca="false">N109*Premissas!$B$30*(1+Premissas!$B$32)^(N$6-2026)</f>
        <v>0</v>
      </c>
      <c r="O113" s="168" t="n">
        <f aca="false">O109*Premissas!$B$30*(1+Premissas!$B$32)^(O$6-2026)</f>
        <v>0</v>
      </c>
      <c r="P113" s="168" t="n">
        <f aca="false">P109*Premissas!$B$30*(1+Premissas!$B$32)^(P$6-2026)</f>
        <v>0</v>
      </c>
      <c r="Q113" s="168" t="n">
        <f aca="false">Q109*Premissas!$B$30*(1+Premissas!$B$32)^(Q$6-2026)</f>
        <v>0</v>
      </c>
      <c r="R113" s="168" t="n">
        <f aca="false">R109*Premissas!$B$30*(1+Premissas!$B$32)^(R$6-2026)</f>
        <v>0</v>
      </c>
      <c r="S113" s="168" t="n">
        <f aca="false">S109*Premissas!$B$30*(1+Premissas!$B$32)^(S$6-2026)</f>
        <v>0</v>
      </c>
      <c r="T113" s="168" t="n">
        <f aca="false">T109*Premissas!$B$30*(1+Premissas!$B$32)^(T$6-2026)</f>
        <v>0</v>
      </c>
      <c r="U113" s="168" t="n">
        <f aca="false">U109*Premissas!$B$30*(1+Premissas!$B$32)^(U$6-2026)</f>
        <v>0</v>
      </c>
      <c r="V113" s="168" t="n">
        <f aca="false">V109*Premissas!$B$30*(1+Premissas!$B$32)^(V$6-2026)</f>
        <v>0</v>
      </c>
      <c r="W113" s="168" t="n">
        <f aca="false">W109*Premissas!$B$30*(1+Premissas!$B$32)^(W$6-2026)</f>
        <v>0</v>
      </c>
      <c r="X113" s="168" t="n">
        <f aca="false">X109*Premissas!$B$30*(1+Premissas!$B$32)^(X$6-2026)</f>
        <v>0</v>
      </c>
      <c r="Y113" s="168" t="n">
        <f aca="false">Y109*Premissas!$B$30*(1+Premissas!$B$32)^(Y$6-2026)</f>
        <v>0</v>
      </c>
      <c r="Z113" s="168" t="n">
        <f aca="false">Z109*Premissas!$B$30*(1+Premissas!$B$32)^(Z$6-2026)</f>
        <v>613118</v>
      </c>
      <c r="AA113" s="168" t="n">
        <f aca="false">AA109*Premissas!$B$30*(1+Premissas!$B$32)^(AA$6-2026)</f>
        <v>676317.7</v>
      </c>
      <c r="AB113" s="168" t="n">
        <f aca="false">AB109*Premissas!$B$30*(1+Premissas!$B$32)^(AB$6-2026)</f>
        <v>736370.9</v>
      </c>
      <c r="AC113" s="168" t="n">
        <f aca="false">AC109*Premissas!$B$30*(1+Premissas!$B$32)^(AC$6-2026)</f>
        <v>793277.6</v>
      </c>
      <c r="AD113" s="168" t="n">
        <f aca="false">AD109*Premissas!$B$30*(1+Premissas!$B$32)^(AD$6-2026)</f>
        <v>847397.4</v>
      </c>
      <c r="AE113" s="168" t="n">
        <f aca="false">AE109*Premissas!$B$30*(1+Premissas!$B$32)^(AE$6-2026)</f>
        <v>898730.3</v>
      </c>
      <c r="AF113" s="168" t="n">
        <f aca="false">AF109*Premissas!$B$30*(1+Premissas!$B$32)^(AF$6-2026)</f>
        <v>947456.1</v>
      </c>
      <c r="AG113" s="168" t="n">
        <f aca="false">AG109*Premissas!$B$30*(1+Premissas!$B$32)^(AG$6-2026)</f>
        <v>993664.7</v>
      </c>
      <c r="AH113" s="168" t="n">
        <f aca="false">AH109*Premissas!$B$30*(1+Premissas!$B$32)^(AH$6-2026)</f>
        <v>1037535.9</v>
      </c>
      <c r="AI113" s="168" t="n">
        <f aca="false">AI109*Premissas!$B$30*(1+Premissas!$B$32)^(AI$6-2026)</f>
        <v>1079249.5</v>
      </c>
      <c r="AJ113" s="168" t="n">
        <f aca="false">AJ109*Premissas!$B$30*(1+Premissas!$B$32)^(AJ$6-2026)</f>
        <v>1118805.5</v>
      </c>
      <c r="AK113" s="168" t="n">
        <f aca="false">AK109*Premissas!$B$30*(1+Premissas!$B$32)^(AK$6-2026)</f>
        <v>1156293.8</v>
      </c>
      <c r="AL113" s="168" t="n">
        <f aca="false">AL109*Premissas!$B$30*(1+Premissas!$B$32)^(AL$6-2026)</f>
        <v>1439209.1</v>
      </c>
      <c r="AM113" s="168" t="n">
        <f aca="false">AM109*Premissas!$B$30*(1+Premissas!$B$32)^(AM$6-2026)</f>
        <v>1545291.1</v>
      </c>
      <c r="AN113" s="168" t="n">
        <f aca="false">AN109*Premissas!$B$30*(1+Premissas!$B$32)^(AN$6-2026)</f>
        <v>1646428.6</v>
      </c>
      <c r="AO113" s="168" t="n">
        <f aca="false">AO109*Premissas!$B$30*(1+Premissas!$B$32)^(AO$6-2026)</f>
        <v>1742891.3</v>
      </c>
      <c r="AP113" s="168" t="n">
        <f aca="false">AP109*Premissas!$B$30*(1+Premissas!$B$32)^(AP$6-2026)</f>
        <v>1834859</v>
      </c>
      <c r="AQ113" s="168" t="n">
        <f aca="false">AQ109*Premissas!$B$30*(1+Premissas!$B$32)^(AQ$6-2026)</f>
        <v>1922511.5</v>
      </c>
      <c r="AR113" s="168" t="n">
        <f aca="false">AR109*Premissas!$B$30*(1+Premissas!$B$32)^(AR$6-2026)</f>
        <v>2006028.6</v>
      </c>
      <c r="AS113" s="168" t="n">
        <f aca="false">AS109*Premissas!$B$30*(1+Premissas!$B$32)^(AS$6-2026)</f>
        <v>2085680</v>
      </c>
      <c r="AT113" s="168" t="n">
        <f aca="false">AT109*Premissas!$B$30*(1+Premissas!$B$32)^(AT$6-2026)</f>
        <v>2161645.5</v>
      </c>
      <c r="AU113" s="168" t="n">
        <f aca="false">AU109*Premissas!$B$30*(1+Premissas!$B$32)^(AU$6-2026)</f>
        <v>2234015</v>
      </c>
      <c r="AV113" s="168" t="n">
        <f aca="false">AV109*Premissas!$B$30*(1+Premissas!$B$32)^(AV$6-2026)</f>
        <v>2302968.3</v>
      </c>
      <c r="AW113" s="168" t="n">
        <f aca="false">AW109*Premissas!$B$30*(1+Premissas!$B$32)^(AW$6-2026)</f>
        <v>2368775.1</v>
      </c>
      <c r="AX113" s="168" t="n">
        <f aca="false">AX109*Premissas!$B$30*(1+Premissas!$B$32)^(AX$6-2026)</f>
        <v>2904399.3</v>
      </c>
      <c r="AY113" s="168" t="n">
        <f aca="false">AY109*Premissas!$B$30*(1+Premissas!$B$32)^(AY$6-2026)</f>
        <v>3096245.9</v>
      </c>
      <c r="AZ113" s="168" t="n">
        <f aca="false">AZ109*Premissas!$B$30*(1+Premissas!$B$32)^(AZ$6-2026)</f>
        <v>3279821.7</v>
      </c>
      <c r="BA113" s="168" t="n">
        <f aca="false">BA109*Premissas!$B$30*(1+Premissas!$B$32)^(BA$6-2026)</f>
        <v>3455486.3</v>
      </c>
      <c r="BB113" s="168" t="n">
        <f aca="false">BB109*Premissas!$B$30*(1+Premissas!$B$32)^(BB$6-2026)</f>
        <v>3623599.3</v>
      </c>
      <c r="BC113" s="168" t="n">
        <f aca="false">BC109*Premissas!$B$30*(1+Premissas!$B$32)^(BC$6-2026)</f>
        <v>3784520.3</v>
      </c>
      <c r="BD113" s="168" t="n">
        <f aca="false">BD109*Premissas!$B$30*(1+Premissas!$B$32)^(BD$6-2026)</f>
        <v>3938429.1</v>
      </c>
      <c r="BE113" s="168" t="n">
        <f aca="false">BE109*Premissas!$B$30*(1+Premissas!$B$32)^(BE$6-2026)</f>
        <v>4085775.2</v>
      </c>
      <c r="BF113" s="168" t="n">
        <f aca="false">BF109*Premissas!$B$30*(1+Premissas!$B$32)^(BF$6-2026)</f>
        <v>4226828.3</v>
      </c>
      <c r="BG113" s="168" t="n">
        <f aca="false">BG109*Premissas!$B$30*(1+Premissas!$B$32)^(BG$6-2026)</f>
        <v>4361858.1</v>
      </c>
      <c r="BH113" s="168" t="n">
        <f aca="false">BH109*Premissas!$B$30*(1+Premissas!$B$32)^(BH$6-2026)</f>
        <v>4490954.5</v>
      </c>
      <c r="BI113" s="168" t="n">
        <f aca="false">BI109*Premissas!$B$30*(1+Premissas!$B$32)^(BI$6-2026)</f>
        <v>4614567</v>
      </c>
      <c r="BJ113" s="154" t="n">
        <f aca="false">SUM(B113:BI113)</f>
        <v>80051005.5</v>
      </c>
    </row>
    <row r="114" customFormat="false" ht="15.75" hidden="false" customHeight="true" outlineLevel="0" collapsed="false">
      <c r="A114" s="49" t="s">
        <v>752</v>
      </c>
      <c r="B114" s="168" t="n">
        <f aca="false">B110*Premissas!$B$31*(1+Premissas!$B$32)^(B$6-2026)</f>
        <v>0</v>
      </c>
      <c r="C114" s="168" t="n">
        <f aca="false">C110*Premissas!$B$31*(1+Premissas!$B$32)^(C$6-2026)</f>
        <v>0</v>
      </c>
      <c r="D114" s="168" t="n">
        <f aca="false">D110*Premissas!$B$31*(1+Premissas!$B$32)^(D$6-2026)</f>
        <v>0</v>
      </c>
      <c r="E114" s="168" t="n">
        <f aca="false">E110*Premissas!$B$31*(1+Premissas!$B$32)^(E$6-2026)</f>
        <v>0</v>
      </c>
      <c r="F114" s="168" t="n">
        <f aca="false">F110*Premissas!$B$31*(1+Premissas!$B$32)^(F$6-2026)</f>
        <v>0</v>
      </c>
      <c r="G114" s="168" t="n">
        <f aca="false">G110*Premissas!$B$31*(1+Premissas!$B$32)^(G$6-2026)</f>
        <v>0</v>
      </c>
      <c r="H114" s="168" t="n">
        <f aca="false">H110*Premissas!$B$31*(1+Premissas!$B$32)^(H$6-2026)</f>
        <v>0</v>
      </c>
      <c r="I114" s="168" t="n">
        <f aca="false">I110*Premissas!$B$31*(1+Premissas!$B$32)^(I$6-2026)</f>
        <v>0</v>
      </c>
      <c r="J114" s="168" t="n">
        <f aca="false">J110*Premissas!$B$31*(1+Premissas!$B$32)^(J$6-2026)</f>
        <v>0</v>
      </c>
      <c r="K114" s="168" t="n">
        <f aca="false">K110*Premissas!$B$31*(1+Premissas!$B$32)^(K$6-2026)</f>
        <v>0</v>
      </c>
      <c r="L114" s="168" t="n">
        <f aca="false">L110*Premissas!$B$31*(1+Premissas!$B$32)^(L$6-2026)</f>
        <v>0</v>
      </c>
      <c r="M114" s="168" t="n">
        <f aca="false">M110*Premissas!$B$31*(1+Premissas!$B$32)^(M$6-2026)</f>
        <v>0</v>
      </c>
      <c r="N114" s="168" t="n">
        <f aca="false">N110*Premissas!$B$31*(1+Premissas!$B$32)^(N$6-2026)</f>
        <v>0</v>
      </c>
      <c r="O114" s="168" t="n">
        <f aca="false">O110*Premissas!$B$31*(1+Premissas!$B$32)^(O$6-2026)</f>
        <v>0</v>
      </c>
      <c r="P114" s="168" t="n">
        <f aca="false">P110*Premissas!$B$31*(1+Premissas!$B$32)^(P$6-2026)</f>
        <v>0</v>
      </c>
      <c r="Q114" s="168" t="n">
        <f aca="false">Q110*Premissas!$B$31*(1+Premissas!$B$32)^(Q$6-2026)</f>
        <v>0</v>
      </c>
      <c r="R114" s="168" t="n">
        <f aca="false">R110*Premissas!$B$31*(1+Premissas!$B$32)^(R$6-2026)</f>
        <v>0</v>
      </c>
      <c r="S114" s="168" t="n">
        <f aca="false">S110*Premissas!$B$31*(1+Premissas!$B$32)^(S$6-2026)</f>
        <v>0</v>
      </c>
      <c r="T114" s="168" t="n">
        <f aca="false">T110*Premissas!$B$31*(1+Premissas!$B$32)^(T$6-2026)</f>
        <v>0</v>
      </c>
      <c r="U114" s="168" t="n">
        <f aca="false">U110*Premissas!$B$31*(1+Premissas!$B$32)^(U$6-2026)</f>
        <v>0</v>
      </c>
      <c r="V114" s="168" t="n">
        <f aca="false">V110*Premissas!$B$31*(1+Premissas!$B$32)^(V$6-2026)</f>
        <v>0</v>
      </c>
      <c r="W114" s="168" t="n">
        <f aca="false">W110*Premissas!$B$31*(1+Premissas!$B$32)^(W$6-2026)</f>
        <v>0</v>
      </c>
      <c r="X114" s="168" t="n">
        <f aca="false">X110*Premissas!$B$31*(1+Premissas!$B$32)^(X$6-2026)</f>
        <v>0</v>
      </c>
      <c r="Y114" s="168" t="n">
        <f aca="false">Y110*Premissas!$B$31*(1+Premissas!$B$32)^(Y$6-2026)</f>
        <v>0</v>
      </c>
      <c r="Z114" s="168" t="n">
        <f aca="false">Z110*Premissas!$B$31*(1+Premissas!$B$32)^(Z$6-2026)</f>
        <v>247757</v>
      </c>
      <c r="AA114" s="168" t="n">
        <f aca="false">AA110*Premissas!$B$31*(1+Premissas!$B$32)^(AA$6-2026)</f>
        <v>273372</v>
      </c>
      <c r="AB114" s="168" t="n">
        <f aca="false">AB110*Premissas!$B$31*(1+Premissas!$B$32)^(AB$6-2026)</f>
        <v>297570</v>
      </c>
      <c r="AC114" s="168" t="n">
        <f aca="false">AC110*Premissas!$B$31*(1+Premissas!$B$32)^(AC$6-2026)</f>
        <v>320678</v>
      </c>
      <c r="AD114" s="168" t="n">
        <f aca="false">AD110*Premissas!$B$31*(1+Premissas!$B$32)^(AD$6-2026)</f>
        <v>342478</v>
      </c>
      <c r="AE114" s="168" t="n">
        <f aca="false">AE110*Premissas!$B$31*(1+Premissas!$B$32)^(AE$6-2026)</f>
        <v>363188</v>
      </c>
      <c r="AF114" s="168" t="n">
        <f aca="false">AF110*Premissas!$B$31*(1+Premissas!$B$32)^(AF$6-2026)</f>
        <v>382917</v>
      </c>
      <c r="AG114" s="168" t="n">
        <f aca="false">AG110*Premissas!$B$31*(1+Premissas!$B$32)^(AG$6-2026)</f>
        <v>401556</v>
      </c>
      <c r="AH114" s="168" t="n">
        <f aca="false">AH110*Premissas!$B$31*(1+Premissas!$B$32)^(AH$6-2026)</f>
        <v>419323</v>
      </c>
      <c r="AI114" s="168" t="n">
        <f aca="false">AI110*Premissas!$B$31*(1+Premissas!$B$32)^(AI$6-2026)</f>
        <v>436109</v>
      </c>
      <c r="AJ114" s="168" t="n">
        <f aca="false">AJ110*Premissas!$B$31*(1+Premissas!$B$32)^(AJ$6-2026)</f>
        <v>452132</v>
      </c>
      <c r="AK114" s="168" t="n">
        <f aca="false">AK110*Premissas!$B$31*(1+Premissas!$B$32)^(AK$6-2026)</f>
        <v>467392</v>
      </c>
      <c r="AL114" s="168" t="n">
        <f aca="false">AL110*Premissas!$B$31*(1+Premissas!$B$32)^(AL$6-2026)</f>
        <v>671113</v>
      </c>
      <c r="AM114" s="168" t="n">
        <f aca="false">AM110*Premissas!$B$31*(1+Premissas!$B$32)^(AM$6-2026)</f>
        <v>720599</v>
      </c>
      <c r="AN114" s="168" t="n">
        <f aca="false">AN110*Premissas!$B$31*(1+Premissas!$B$32)^(AN$6-2026)</f>
        <v>767796</v>
      </c>
      <c r="AO114" s="168" t="n">
        <f aca="false">AO110*Premissas!$B$31*(1+Premissas!$B$32)^(AO$6-2026)</f>
        <v>812813</v>
      </c>
      <c r="AP114" s="168" t="n">
        <f aca="false">AP110*Premissas!$B$31*(1+Premissas!$B$32)^(AP$6-2026)</f>
        <v>855650</v>
      </c>
      <c r="AQ114" s="168" t="n">
        <f aca="false">AQ110*Premissas!$B$31*(1+Premissas!$B$32)^(AQ$6-2026)</f>
        <v>896525</v>
      </c>
      <c r="AR114" s="168" t="n">
        <f aca="false">AR110*Premissas!$B$31*(1+Premissas!$B$32)^(AR$6-2026)</f>
        <v>935547</v>
      </c>
      <c r="AS114" s="168" t="n">
        <f aca="false">AS110*Premissas!$B$31*(1+Premissas!$B$32)^(AS$6-2026)</f>
        <v>972607</v>
      </c>
      <c r="AT114" s="168" t="n">
        <f aca="false">AT110*Premissas!$B$31*(1+Premissas!$B$32)^(AT$6-2026)</f>
        <v>1007923</v>
      </c>
      <c r="AU114" s="168" t="n">
        <f aca="false">AU110*Premissas!$B$31*(1+Premissas!$B$32)^(AU$6-2026)</f>
        <v>1041713</v>
      </c>
      <c r="AV114" s="168" t="n">
        <f aca="false">AV110*Premissas!$B$31*(1+Premissas!$B$32)^(AV$6-2026)</f>
        <v>1073977</v>
      </c>
      <c r="AW114" s="168" t="n">
        <f aca="false">AW110*Premissas!$B$31*(1+Premissas!$B$32)^(AW$6-2026)</f>
        <v>1104606</v>
      </c>
      <c r="AX114" s="168" t="n">
        <f aca="false">AX110*Premissas!$B$31*(1+Premissas!$B$32)^(AX$6-2026)</f>
        <v>1509214</v>
      </c>
      <c r="AY114" s="168" t="n">
        <f aca="false">AY110*Premissas!$B$31*(1+Premissas!$B$32)^(AY$6-2026)</f>
        <v>1608840</v>
      </c>
      <c r="AZ114" s="168" t="n">
        <f aca="false">AZ110*Premissas!$B$31*(1+Premissas!$B$32)^(AZ$6-2026)</f>
        <v>1704215</v>
      </c>
      <c r="BA114" s="168" t="n">
        <f aca="false">BA110*Premissas!$B$31*(1+Premissas!$B$32)^(BA$6-2026)</f>
        <v>1795557</v>
      </c>
      <c r="BB114" s="168" t="n">
        <f aca="false">BB110*Premissas!$B$31*(1+Premissas!$B$32)^(BB$6-2026)</f>
        <v>1882866</v>
      </c>
      <c r="BC114" s="168" t="n">
        <f aca="false">BC110*Premissas!$B$31*(1+Premissas!$B$32)^(BC$6-2026)</f>
        <v>1966469</v>
      </c>
      <c r="BD114" s="168" t="n">
        <f aca="false">BD110*Premissas!$B$31*(1+Premissas!$B$32)^(BD$6-2026)</f>
        <v>2046584</v>
      </c>
      <c r="BE114" s="168" t="n">
        <f aca="false">BE110*Premissas!$B$31*(1+Premissas!$B$32)^(BE$6-2026)</f>
        <v>2123102</v>
      </c>
      <c r="BF114" s="168" t="n">
        <f aca="false">BF110*Premissas!$B$31*(1+Premissas!$B$32)^(BF$6-2026)</f>
        <v>2196459</v>
      </c>
      <c r="BG114" s="168" t="n">
        <f aca="false">BG110*Premissas!$B$31*(1+Premissas!$B$32)^(BG$6-2026)</f>
        <v>2266437</v>
      </c>
      <c r="BH114" s="168" t="n">
        <f aca="false">BH110*Premissas!$B$31*(1+Premissas!$B$32)^(BH$6-2026)</f>
        <v>2333690</v>
      </c>
      <c r="BI114" s="168" t="n">
        <f aca="false">BI110*Premissas!$B$31*(1+Premissas!$B$32)^(BI$6-2026)</f>
        <v>2397891</v>
      </c>
      <c r="BJ114" s="154" t="n">
        <f aca="false">SUM(B114:BI114)</f>
        <v>39096665</v>
      </c>
    </row>
    <row r="115" customFormat="false" ht="15.75" hidden="false" customHeight="true" outlineLevel="0" collapsed="false">
      <c r="A115" s="53" t="s">
        <v>753</v>
      </c>
      <c r="B115" s="160" t="n">
        <f aca="false">SUM(B112:B114)</f>
        <v>0</v>
      </c>
      <c r="C115" s="160" t="n">
        <f aca="false">SUM(C112:C114)</f>
        <v>0</v>
      </c>
      <c r="D115" s="160" t="n">
        <f aca="false">SUM(D112:D114)</f>
        <v>0</v>
      </c>
      <c r="E115" s="160" t="n">
        <f aca="false">SUM(E112:E114)</f>
        <v>0</v>
      </c>
      <c r="F115" s="160" t="n">
        <f aca="false">SUM(F112:F114)</f>
        <v>0</v>
      </c>
      <c r="G115" s="160" t="n">
        <f aca="false">SUM(G112:G114)</f>
        <v>0</v>
      </c>
      <c r="H115" s="160" t="n">
        <f aca="false">SUM(H112:H114)</f>
        <v>0</v>
      </c>
      <c r="I115" s="160" t="n">
        <f aca="false">SUM(I112:I114)</f>
        <v>0</v>
      </c>
      <c r="J115" s="160" t="n">
        <f aca="false">SUM(J112:J114)</f>
        <v>0</v>
      </c>
      <c r="K115" s="160" t="n">
        <f aca="false">SUM(K112:K114)</f>
        <v>0</v>
      </c>
      <c r="L115" s="160" t="n">
        <f aca="false">SUM(L112:L114)</f>
        <v>0</v>
      </c>
      <c r="M115" s="160" t="n">
        <f aca="false">SUM(M112:M114)</f>
        <v>20214.7</v>
      </c>
      <c r="N115" s="160" t="n">
        <f aca="false">SUM(N112:N114)</f>
        <v>109223.3</v>
      </c>
      <c r="O115" s="160" t="n">
        <f aca="false">SUM(O112:O114)</f>
        <v>257837.3</v>
      </c>
      <c r="P115" s="160" t="n">
        <f aca="false">SUM(P112:P114)</f>
        <v>462141.6</v>
      </c>
      <c r="Q115" s="160" t="n">
        <f aca="false">SUM(Q112:Q114)</f>
        <v>717502</v>
      </c>
      <c r="R115" s="160" t="n">
        <f aca="false">SUM(R112:R114)</f>
        <v>1019444.1</v>
      </c>
      <c r="S115" s="160" t="n">
        <f aca="false">SUM(S112:S114)</f>
        <v>1169256.6</v>
      </c>
      <c r="T115" s="160" t="n">
        <f aca="false">SUM(T112:T114)</f>
        <v>1310679.6</v>
      </c>
      <c r="U115" s="160" t="n">
        <f aca="false">SUM(U112:U114)</f>
        <v>1444352.3</v>
      </c>
      <c r="V115" s="160" t="n">
        <f aca="false">SUM(V112:V114)</f>
        <v>1570674.2</v>
      </c>
      <c r="W115" s="160" t="n">
        <f aca="false">SUM(W112:W114)</f>
        <v>1690044.8</v>
      </c>
      <c r="X115" s="160" t="n">
        <f aca="false">SUM(X112:X114)</f>
        <v>1802783.7</v>
      </c>
      <c r="Y115" s="160" t="n">
        <f aca="false">SUM(Y112:Y114)</f>
        <v>1909290.4</v>
      </c>
      <c r="Z115" s="160" t="n">
        <f aca="false">SUM(Z112:Z114)</f>
        <v>2404862.6</v>
      </c>
      <c r="AA115" s="160" t="n">
        <f aca="false">SUM(AA112:AA114)</f>
        <v>2652838.1</v>
      </c>
      <c r="AB115" s="160" t="n">
        <f aca="false">SUM(AB112:AB114)</f>
        <v>2888180.2</v>
      </c>
      <c r="AC115" s="160" t="n">
        <f aca="false">SUM(AC112:AC114)</f>
        <v>3111615.4</v>
      </c>
      <c r="AD115" s="160" t="n">
        <f aca="false">SUM(AD112:AD114)</f>
        <v>3323684.8</v>
      </c>
      <c r="AE115" s="160" t="n">
        <f aca="false">SUM(AE112:AE114)</f>
        <v>3525005.9</v>
      </c>
      <c r="AF115" s="160" t="n">
        <f aca="false">SUM(AF112:AF114)</f>
        <v>3716107.2</v>
      </c>
      <c r="AG115" s="160" t="n">
        <f aca="false">SUM(AG112:AG114)</f>
        <v>3897449</v>
      </c>
      <c r="AH115" s="160" t="n">
        <f aca="false">SUM(AH112:AH114)</f>
        <v>4069668.8</v>
      </c>
      <c r="AI115" s="160" t="n">
        <f aca="false">SUM(AI112:AI114)</f>
        <v>4233077.1</v>
      </c>
      <c r="AJ115" s="160" t="n">
        <f aca="false">SUM(AJ112:AJ114)</f>
        <v>4388211.5</v>
      </c>
      <c r="AK115" s="160" t="n">
        <f aca="false">SUM(AK112:AK114)</f>
        <v>4535481.5</v>
      </c>
      <c r="AL115" s="160" t="n">
        <f aca="false">SUM(AL112:AL114)</f>
        <v>5258861.5</v>
      </c>
      <c r="AM115" s="160" t="n">
        <f aca="false">SUM(AM112:AM114)</f>
        <v>5646618.9</v>
      </c>
      <c r="AN115" s="160" t="n">
        <f aca="false">SUM(AN112:AN114)</f>
        <v>6016276.4</v>
      </c>
      <c r="AO115" s="160" t="n">
        <f aca="false">SUM(AO112:AO114)</f>
        <v>6368692.1</v>
      </c>
      <c r="AP115" s="160" t="n">
        <f aca="false">SUM(AP112:AP114)</f>
        <v>6704685</v>
      </c>
      <c r="AQ115" s="160" t="n">
        <f aca="false">SUM(AQ112:AQ114)</f>
        <v>7024892.6</v>
      </c>
      <c r="AR115" s="160" t="n">
        <f aca="false">SUM(AR112:AR114)</f>
        <v>7330242.9</v>
      </c>
      <c r="AS115" s="160" t="n">
        <f aca="false">SUM(AS112:AS114)</f>
        <v>7621216.2</v>
      </c>
      <c r="AT115" s="160" t="n">
        <f aca="false">SUM(AT112:AT114)</f>
        <v>7898609.8</v>
      </c>
      <c r="AU115" s="160" t="n">
        <f aca="false">SUM(AU112:AU114)</f>
        <v>8163051.2</v>
      </c>
      <c r="AV115" s="160" t="n">
        <f aca="false">SUM(AV112:AV114)</f>
        <v>8415199.6</v>
      </c>
      <c r="AW115" s="160" t="n">
        <f aca="false">SUM(AW112:AW114)</f>
        <v>8655535.3</v>
      </c>
      <c r="AX115" s="160" t="n">
        <f aca="false">SUM(AX112:AX114)</f>
        <v>9945090.3</v>
      </c>
      <c r="AY115" s="160" t="n">
        <f aca="false">SUM(AY112:AY114)</f>
        <v>10601865.7</v>
      </c>
      <c r="AZ115" s="160" t="n">
        <f aca="false">SUM(AZ112:AZ114)</f>
        <v>11230458.9</v>
      </c>
      <c r="BA115" s="160" t="n">
        <f aca="false">SUM(BA112:BA114)</f>
        <v>11832006.8</v>
      </c>
      <c r="BB115" s="160" t="n">
        <f aca="false">SUM(BB112:BB114)</f>
        <v>12407588.1</v>
      </c>
      <c r="BC115" s="160" t="n">
        <f aca="false">SUM(BC112:BC114)</f>
        <v>12958528.6</v>
      </c>
      <c r="BD115" s="160" t="n">
        <f aca="false">SUM(BD112:BD114)</f>
        <v>13485785.4</v>
      </c>
      <c r="BE115" s="160" t="n">
        <f aca="false">SUM(BE112:BE114)</f>
        <v>13990338.2</v>
      </c>
      <c r="BF115" s="160" t="n">
        <f aca="false">SUM(BF112:BF114)</f>
        <v>14473292.2</v>
      </c>
      <c r="BG115" s="160" t="n">
        <f aca="false">SUM(BG112:BG114)</f>
        <v>14935418.2</v>
      </c>
      <c r="BH115" s="160" t="n">
        <f aca="false">SUM(BH112:BH114)</f>
        <v>15377699.8</v>
      </c>
      <c r="BI115" s="160" t="n">
        <f aca="false">SUM(BI112:BI114)</f>
        <v>15800898.7</v>
      </c>
      <c r="BJ115" s="154" t="n">
        <f aca="false">SUM(B115:BI115)</f>
        <v>298372479.1</v>
      </c>
    </row>
    <row r="116" customFormat="false" ht="15.75" hidden="false" customHeight="true" outlineLevel="0" collapsed="false">
      <c r="A116" s="49" t="s">
        <v>754</v>
      </c>
      <c r="B116" s="168" t="n">
        <f aca="false" t="array" ref="B116:B116">B105*INDEX(Premissas!$C$88:$G$88,B$7)*Premissas!$B$87*Premissas!$B$86</f>
        <v>0</v>
      </c>
      <c r="C116" s="168" t="n">
        <f aca="false" t="array" ref="C116:C116">C105*INDEX(Premissas!$C$88:$G$88,C$7)*Premissas!$B$87*Premissas!$B$86</f>
        <v>0</v>
      </c>
      <c r="D116" s="168" t="n">
        <f aca="false" t="array" ref="D116:D116">D105*INDEX(Premissas!$C$88:$G$88,D$7)*Premissas!$B$87*Premissas!$B$86</f>
        <v>0</v>
      </c>
      <c r="E116" s="168" t="n">
        <f aca="false" t="array" ref="E116:E116">E105*INDEX(Premissas!$C$88:$G$88,E$7)*Premissas!$B$87*Premissas!$B$86</f>
        <v>0</v>
      </c>
      <c r="F116" s="168" t="n">
        <f aca="false" t="array" ref="F116:F116">F105*INDEX(Premissas!$C$88:$G$88,F$7)*Premissas!$B$87*Premissas!$B$86</f>
        <v>0</v>
      </c>
      <c r="G116" s="168" t="n">
        <f aca="false" t="array" ref="G116:G116">G105*INDEX(Premissas!$C$88:$G$88,G$7)*Premissas!$B$87*Premissas!$B$86</f>
        <v>0</v>
      </c>
      <c r="H116" s="168" t="n">
        <f aca="false" t="array" ref="H116:H116">H105*INDEX(Premissas!$C$88:$G$88,H$7)*Premissas!$B$87*Premissas!$B$86</f>
        <v>0</v>
      </c>
      <c r="I116" s="168" t="n">
        <f aca="false" t="array" ref="I116:I116">I105*INDEX(Premissas!$C$88:$G$88,I$7)*Premissas!$B$87*Premissas!$B$86</f>
        <v>0</v>
      </c>
      <c r="J116" s="168" t="n">
        <f aca="false" t="array" ref="J116:J116">J105*INDEX(Premissas!$C$88:$G$88,J$7)*Premissas!$B$87*Premissas!$B$86</f>
        <v>0</v>
      </c>
      <c r="K116" s="168" t="n">
        <f aca="false" t="array" ref="K116:K116">K105*INDEX(Premissas!$C$88:$G$88,K$7)*Premissas!$B$87*Premissas!$B$86</f>
        <v>0</v>
      </c>
      <c r="L116" s="168" t="n">
        <f aca="false" t="array" ref="L116:L116">L105*INDEX(Premissas!$C$88:$G$88,L$7)*Premissas!$B$87*Premissas!$B$86</f>
        <v>0</v>
      </c>
      <c r="M116" s="168" t="n">
        <f aca="false" t="array" ref="M116:M116">M105*INDEX(Premissas!$C$88:$G$88,M$7)*Premissas!$B$87*Premissas!$B$86</f>
        <v>0</v>
      </c>
      <c r="N116" s="168" t="n">
        <f aca="false" t="array" ref="N116:N116">N105*INDEX(Premissas!$C$88:$G$88,N$7)*Premissas!$B$87*Premissas!$B$86</f>
        <v>3385.47468</v>
      </c>
      <c r="O116" s="168" t="n">
        <f aca="false" t="array" ref="O116:O116">O105*INDEX(Premissas!$C$88:$G$88,O$7)*Premissas!$B$87*Premissas!$B$86</f>
        <v>5327.156477664</v>
      </c>
      <c r="P116" s="168" t="n">
        <f aca="false" t="array" ref="P116:P116">P105*INDEX(Premissas!$C$88:$G$88,P$7)*Premissas!$B$87*Premissas!$B$86</f>
        <v>7161.65744009695</v>
      </c>
      <c r="Q116" s="168" t="n">
        <f aca="false" t="array" ref="Q116:Q116">Q105*INDEX(Premissas!$C$88:$G$88,Q$7)*Premissas!$B$87*Premissas!$B$86</f>
        <v>8894.8939494036</v>
      </c>
      <c r="R116" s="168" t="n">
        <f aca="false" t="array" ref="R116:R116">R105*INDEX(Premissas!$C$88:$G$88,R$7)*Premissas!$B$87*Premissas!$B$86</f>
        <v>10532.4558033965</v>
      </c>
      <c r="S116" s="168" t="n">
        <f aca="false" t="array" ref="S116:S116">S105*INDEX(Premissas!$C$88:$G$88,S$7)*Premissas!$B$87*Premissas!$B$86</f>
        <v>12079.624243049</v>
      </c>
      <c r="T116" s="168" t="n">
        <f aca="false" t="array" ref="T116:T116">T105*INDEX(Premissas!$C$88:$G$88,T$7)*Premissas!$B$87*Premissas!$B$86</f>
        <v>13541.3889848327</v>
      </c>
      <c r="U116" s="168" t="n">
        <f aca="false" t="array" ref="U116:U116">U105*INDEX(Premissas!$C$88:$G$88,U$7)*Premissas!$B$87*Premissas!$B$86</f>
        <v>14922.46431287</v>
      </c>
      <c r="V116" s="168" t="n">
        <f aca="false" t="array" ref="V116:V116">V105*INDEX(Premissas!$C$88:$G$88,V$7)*Premissas!$B$87*Premissas!$B$86</f>
        <v>16227.3042827995</v>
      </c>
      <c r="W116" s="168" t="n">
        <f aca="false" t="array" ref="W116:W116">W105*INDEX(Premissas!$C$88:$G$88,W$7)*Premissas!$B$87*Premissas!$B$86</f>
        <v>17460.117086389</v>
      </c>
      <c r="X116" s="168" t="n">
        <f aca="false" t="array" ref="X116:X116">X105*INDEX(Premissas!$C$88:$G$88,X$7)*Premissas!$B$87*Premissas!$B$86</f>
        <v>18624.8786232203</v>
      </c>
      <c r="Y116" s="168" t="n">
        <f aca="false" t="array" ref="Y116:Y116">Y105*INDEX(Premissas!$C$88:$G$88,Y$7)*Premissas!$B$87*Premissas!$B$86</f>
        <v>19725.3453232186</v>
      </c>
      <c r="Z116" s="168" t="n">
        <f aca="false" t="array" ref="Z116:Z116">Z105*INDEX(Premissas!$C$88:$G$88,Z$7)*Premissas!$B$87*Premissas!$B$86</f>
        <v>36882.1823105404</v>
      </c>
      <c r="AA116" s="168" t="n">
        <f aca="false" t="array" ref="AA116:AA116">AA105*INDEX(Premissas!$C$88:$G$88,AA$7)*Premissas!$B$87*Premissas!$B$86</f>
        <v>40685.3175640819</v>
      </c>
      <c r="AB116" s="168" t="n">
        <f aca="false" t="array" ref="AB116:AB116">AB105*INDEX(Premissas!$C$88:$G$88,AB$7)*Premissas!$B$87*Premissas!$B$86</f>
        <v>44295.3143969076</v>
      </c>
      <c r="AC116" s="168" t="n">
        <f aca="false" t="array" ref="AC116:AC116">AC105*INDEX(Premissas!$C$88:$G$88,AC$7)*Premissas!$B$87*Premissas!$B$86</f>
        <v>47721.981150575</v>
      </c>
      <c r="AD116" s="168" t="n">
        <f aca="false" t="array" ref="AD116:AD116">AD105*INDEX(Premissas!$C$88:$G$88,AD$7)*Premissas!$B$87*Premissas!$B$86</f>
        <v>50974.6280598242</v>
      </c>
      <c r="AE116" s="168" t="n">
        <f aca="false" t="array" ref="AE116:AE116">AE105*INDEX(Premissas!$C$88:$G$88,AE$7)*Premissas!$B$87*Premissas!$B$86</f>
        <v>54062.0925484341</v>
      </c>
      <c r="AF116" s="168" t="n">
        <f aca="false" t="array" ref="AF116:AF116">AF105*INDEX(Premissas!$C$88:$G$88,AF$7)*Premissas!$B$87*Premissas!$B$86</f>
        <v>56992.7632404544</v>
      </c>
      <c r="AG116" s="168" t="n">
        <f aca="false" t="array" ref="AG116:AG116">AG105*INDEX(Premissas!$C$88:$G$88,AG$7)*Premissas!$B$87*Premissas!$B$86</f>
        <v>59774.6027520512</v>
      </c>
      <c r="AH116" s="168" t="n">
        <f aca="false" t="array" ref="AH116:AH116">AH105*INDEX(Premissas!$C$88:$G$88,AH$7)*Premissas!$B$87*Premissas!$B$86</f>
        <v>62415.169325891</v>
      </c>
      <c r="AI116" s="168" t="n">
        <f aca="false" t="array" ref="AI116:AI116">AI105*INDEX(Premissas!$C$88:$G$88,AI$7)*Premissas!$B$87*Premissas!$B$86</f>
        <v>64921.637366845</v>
      </c>
      <c r="AJ116" s="168" t="n">
        <f aca="false" t="array" ref="AJ116:AJ116">AJ105*INDEX(Premissas!$C$88:$G$88,AJ$7)*Premissas!$B$87*Premissas!$B$86</f>
        <v>67300.8169348071</v>
      </c>
      <c r="AK116" s="168" t="n">
        <f aca="false" t="array" ref="AK116:AK116">AK105*INDEX(Premissas!$C$88:$G$88,AK$7)*Premissas!$B$87*Premissas!$B$86</f>
        <v>69559.1722475899</v>
      </c>
      <c r="AL116" s="168" t="n">
        <f aca="false" t="array" ref="AL116:AL116">AL105*INDEX(Premissas!$C$88:$G$88,AL$7)*Premissas!$B$87*Premissas!$B$86</f>
        <v>120625.815495107</v>
      </c>
      <c r="AM116" s="168" t="n">
        <f aca="false" t="array" ref="AM116:AM116">AM105*INDEX(Premissas!$C$88:$G$88,AM$7)*Premissas!$B$87*Premissas!$B$86</f>
        <v>129520.992594132</v>
      </c>
      <c r="AN116" s="168" t="n">
        <f aca="false" t="array" ref="AN116:AN116">AN105*INDEX(Premissas!$C$88:$G$88,AN$7)*Premissas!$B$87*Premissas!$B$86</f>
        <v>138000.575633264</v>
      </c>
      <c r="AO116" s="168" t="n">
        <f aca="false" t="array" ref="AO116:AO116">AO105*INDEX(Premissas!$C$88:$G$88,AO$7)*Premissas!$B$87*Premissas!$B$86</f>
        <v>146083.981698941</v>
      </c>
      <c r="AP116" s="168" t="n">
        <f aca="false" t="array" ref="AP116:AP116">AP105*INDEX(Premissas!$C$88:$G$88,AP$7)*Premissas!$B$87*Premissas!$B$86</f>
        <v>153789.72068647</v>
      </c>
      <c r="AQ116" s="168" t="n">
        <f aca="false" t="array" ref="AQ116:AQ116">AQ105*INDEX(Premissas!$C$88:$G$88,AQ$7)*Premissas!$B$87*Premissas!$B$86</f>
        <v>161135.437685155</v>
      </c>
      <c r="AR116" s="168" t="n">
        <f aca="false" t="array" ref="AR116:AR116">AR105*INDEX(Premissas!$C$88:$G$88,AR$7)*Premissas!$B$87*Premissas!$B$86</f>
        <v>168137.953383145</v>
      </c>
      <c r="AS116" s="168" t="n">
        <f aca="false" t="array" ref="AS116:AS116">AS105*INDEX(Premissas!$C$88:$G$88,AS$7)*Premissas!$B$87*Premissas!$B$86</f>
        <v>174813.302584504</v>
      </c>
      <c r="AT116" s="168" t="n">
        <f aca="false" t="array" ref="AT116:AT116">AT105*INDEX(Premissas!$C$88:$G$88,AT$7)*Premissas!$B$87*Premissas!$B$86</f>
        <v>181176.770926728</v>
      </c>
      <c r="AU116" s="168" t="n">
        <f aca="false" t="array" ref="AU116:AU116">AU105*INDEX(Premissas!$C$88:$G$88,AU$7)*Premissas!$B$87*Premissas!$B$86</f>
        <v>187242.929882765</v>
      </c>
      <c r="AV116" s="168" t="n">
        <f aca="false" t="array" ref="AV116:AV116">AV105*INDEX(Premissas!$C$88:$G$88,AV$7)*Premissas!$B$87*Premissas!$B$86</f>
        <v>193025.670127692</v>
      </c>
      <c r="AW116" s="168" t="n">
        <f aca="false" t="array" ref="AW116:AW116">AW105*INDEX(Premissas!$C$88:$G$88,AW$7)*Premissas!$B$87*Premissas!$B$86</f>
        <v>198538.233346468</v>
      </c>
      <c r="AX116" s="168" t="n">
        <f aca="false" t="array" ref="AX116:AX116">AX105*INDEX(Premissas!$C$88:$G$88,AX$7)*Premissas!$B$87*Premissas!$B$86</f>
        <v>266567.376433567</v>
      </c>
      <c r="AY116" s="168" t="n">
        <f aca="false" t="array" ref="AY116:AY116">AY105*INDEX(Premissas!$C$88:$G$88,AY$7)*Premissas!$B$87*Premissas!$B$86</f>
        <v>284171.296123006</v>
      </c>
      <c r="AZ116" s="168" t="n">
        <f aca="false" t="array" ref="AZ116:AZ116">AZ105*INDEX(Premissas!$C$88:$G$88,AZ$7)*Premissas!$B$87*Premissas!$B$86</f>
        <v>301018.536364411</v>
      </c>
      <c r="BA116" s="168" t="n">
        <f aca="false" t="array" ref="BA116:BA116">BA105*INDEX(Premissas!$C$88:$G$88,BA$7)*Premissas!$B$87*Premissas!$B$86</f>
        <v>317141.621947552</v>
      </c>
      <c r="BB116" s="168" t="n">
        <f aca="false" t="array" ref="BB116:BB116">BB105*INDEX(Premissas!$C$88:$G$88,BB$7)*Premissas!$B$87*Premissas!$B$86</f>
        <v>332571.67963038</v>
      </c>
      <c r="BC116" s="168" t="n">
        <f aca="false" t="array" ref="BC116:BC116">BC105*INDEX(Premissas!$C$88:$G$88,BC$7)*Premissas!$B$87*Premissas!$B$86</f>
        <v>347338.498231425</v>
      </c>
      <c r="BD116" s="168" t="n">
        <f aca="false" t="array" ref="BD116:BD116">BD105*INDEX(Premissas!$C$88:$G$88,BD$7)*Premissas!$B$87*Premissas!$B$86</f>
        <v>361470.586139227</v>
      </c>
      <c r="BE116" s="168" t="n">
        <f aca="false" t="array" ref="BE116:BE116">BE105*INDEX(Premissas!$C$88:$G$88,BE$7)*Premissas!$B$87*Premissas!$B$86</f>
        <v>374995.226349794</v>
      </c>
      <c r="BF116" s="168" t="n">
        <f aca="false" t="array" ref="BF116:BF116">BF105*INDEX(Premissas!$C$88:$G$88,BF$7)*Premissas!$B$87*Premissas!$B$86</f>
        <v>387938.529138358</v>
      </c>
      <c r="BG116" s="168" t="n">
        <f aca="false" t="array" ref="BG116:BG116">BG105*INDEX(Premissas!$C$88:$G$88,BG$7)*Premissas!$B$87*Premissas!$B$86</f>
        <v>400325.48246711</v>
      </c>
      <c r="BH116" s="168" t="n">
        <f aca="false" t="array" ref="BH116:BH116">BH105*INDEX(Premissas!$C$88:$G$88,BH$7)*Premissas!$B$87*Premissas!$B$86</f>
        <v>412180.000226227</v>
      </c>
      <c r="BI116" s="168" t="n">
        <f aca="false" t="array" ref="BI116:BI116">BI105*INDEX(Premissas!$C$88:$G$88,BI$7)*Premissas!$B$87*Premissas!$B$86</f>
        <v>423524.968401335</v>
      </c>
      <c r="BJ116" s="154" t="n">
        <f aca="false">SUM(B116:BI116)</f>
        <v>6964803.62460171</v>
      </c>
    </row>
    <row r="117" customFormat="false" ht="15.75" hidden="false" customHeight="true" outlineLevel="0" collapsed="false">
      <c r="A117" s="49" t="s">
        <v>755</v>
      </c>
      <c r="B117" s="168" t="n">
        <f aca="false">Aportes!B98</f>
        <v>0</v>
      </c>
      <c r="C117" s="168" t="n">
        <f aca="false">Aportes!C98</f>
        <v>0</v>
      </c>
      <c r="D117" s="168" t="n">
        <f aca="false">Aportes!D98</f>
        <v>0</v>
      </c>
      <c r="E117" s="168" t="n">
        <f aca="false">Aportes!E98</f>
        <v>0</v>
      </c>
      <c r="F117" s="168" t="n">
        <f aca="false">Aportes!F98</f>
        <v>0</v>
      </c>
      <c r="G117" s="168" t="n">
        <f aca="false">Aportes!G98</f>
        <v>0</v>
      </c>
      <c r="H117" s="168" t="n">
        <f aca="false">Aportes!H98</f>
        <v>0</v>
      </c>
      <c r="I117" s="168" t="n">
        <f aca="false">Aportes!I98</f>
        <v>0</v>
      </c>
      <c r="J117" s="168" t="n">
        <f aca="false">Aportes!J98</f>
        <v>0</v>
      </c>
      <c r="K117" s="168" t="n">
        <f aca="false">Aportes!K98</f>
        <v>0</v>
      </c>
      <c r="L117" s="168" t="n">
        <f aca="false">Aportes!L98</f>
        <v>0</v>
      </c>
      <c r="M117" s="168" t="n">
        <f aca="false">Aportes!M98</f>
        <v>0</v>
      </c>
      <c r="N117" s="168" t="n">
        <f aca="false">Aportes!N98</f>
        <v>0</v>
      </c>
      <c r="O117" s="168" t="n">
        <f aca="false">Aportes!O98</f>
        <v>0</v>
      </c>
      <c r="P117" s="168" t="n">
        <f aca="false">Aportes!P98</f>
        <v>5000</v>
      </c>
      <c r="Q117" s="168" t="n">
        <f aca="false">Aportes!Q98</f>
        <v>5000</v>
      </c>
      <c r="R117" s="168" t="n">
        <f aca="false">Aportes!R98</f>
        <v>5000</v>
      </c>
      <c r="S117" s="168" t="n">
        <f aca="false">Aportes!S98</f>
        <v>5000</v>
      </c>
      <c r="T117" s="168" t="n">
        <f aca="false">Aportes!T98</f>
        <v>5000</v>
      </c>
      <c r="U117" s="168" t="n">
        <f aca="false">Aportes!U98</f>
        <v>5000</v>
      </c>
      <c r="V117" s="168" t="n">
        <f aca="false">Aportes!V98</f>
        <v>5000</v>
      </c>
      <c r="W117" s="168" t="n">
        <f aca="false">Aportes!W98</f>
        <v>5000</v>
      </c>
      <c r="X117" s="168" t="n">
        <f aca="false">Aportes!X98</f>
        <v>5000</v>
      </c>
      <c r="Y117" s="168" t="n">
        <f aca="false">Aportes!Y98</f>
        <v>5000</v>
      </c>
      <c r="Z117" s="168" t="n">
        <f aca="false">Aportes!Z98</f>
        <v>5000</v>
      </c>
      <c r="AA117" s="168" t="n">
        <f aca="false">Aportes!AA98</f>
        <v>5000</v>
      </c>
      <c r="AB117" s="168" t="n">
        <f aca="false">Aportes!AB98</f>
        <v>5000</v>
      </c>
      <c r="AC117" s="168" t="n">
        <f aca="false">Aportes!AC98</f>
        <v>5000</v>
      </c>
      <c r="AD117" s="168" t="n">
        <f aca="false">Aportes!AD98</f>
        <v>5000</v>
      </c>
      <c r="AE117" s="168" t="n">
        <f aca="false">Aportes!AE98</f>
        <v>5000</v>
      </c>
      <c r="AF117" s="168" t="n">
        <f aca="false">Aportes!AF98</f>
        <v>5000</v>
      </c>
      <c r="AG117" s="168" t="n">
        <f aca="false">Aportes!AG98</f>
        <v>5000</v>
      </c>
      <c r="AH117" s="168" t="n">
        <f aca="false">Aportes!AH98</f>
        <v>5000</v>
      </c>
      <c r="AI117" s="168" t="n">
        <f aca="false">Aportes!AI98</f>
        <v>5000</v>
      </c>
      <c r="AJ117" s="168" t="n">
        <f aca="false">Aportes!AJ98</f>
        <v>5000</v>
      </c>
      <c r="AK117" s="168" t="n">
        <f aca="false">Aportes!AK98</f>
        <v>5000</v>
      </c>
      <c r="AL117" s="168" t="n">
        <f aca="false">Aportes!AL98</f>
        <v>5000</v>
      </c>
      <c r="AM117" s="168" t="n">
        <f aca="false">Aportes!AM98</f>
        <v>5000</v>
      </c>
      <c r="AN117" s="168" t="n">
        <f aca="false">Aportes!AN98</f>
        <v>5000</v>
      </c>
      <c r="AO117" s="168" t="n">
        <f aca="false">Aportes!AO98</f>
        <v>5000</v>
      </c>
      <c r="AP117" s="168" t="n">
        <f aca="false">Aportes!AP98</f>
        <v>5000</v>
      </c>
      <c r="AQ117" s="168" t="n">
        <f aca="false">Aportes!AQ98</f>
        <v>5000</v>
      </c>
      <c r="AR117" s="168" t="n">
        <f aca="false">Aportes!AR98</f>
        <v>5000</v>
      </c>
      <c r="AS117" s="168" t="n">
        <f aca="false">Aportes!AS98</f>
        <v>5000</v>
      </c>
      <c r="AT117" s="168" t="n">
        <f aca="false">Aportes!AT98</f>
        <v>5000</v>
      </c>
      <c r="AU117" s="168" t="n">
        <f aca="false">Aportes!AU98</f>
        <v>5000</v>
      </c>
      <c r="AV117" s="168" t="n">
        <f aca="false">Aportes!AV98</f>
        <v>5000</v>
      </c>
      <c r="AW117" s="168" t="n">
        <f aca="false">Aportes!AW98</f>
        <v>5000</v>
      </c>
      <c r="AX117" s="168" t="n">
        <f aca="false">Aportes!AX98</f>
        <v>5000</v>
      </c>
      <c r="AY117" s="168" t="n">
        <f aca="false">Aportes!AY98</f>
        <v>5000</v>
      </c>
      <c r="AZ117" s="168" t="n">
        <f aca="false">Aportes!AZ98</f>
        <v>5000</v>
      </c>
      <c r="BA117" s="168" t="n">
        <f aca="false">Aportes!BA98</f>
        <v>5000</v>
      </c>
      <c r="BB117" s="168" t="n">
        <f aca="false">Aportes!BB98</f>
        <v>5000</v>
      </c>
      <c r="BC117" s="168" t="n">
        <f aca="false">Aportes!BC98</f>
        <v>5000</v>
      </c>
      <c r="BD117" s="168" t="n">
        <f aca="false">Aportes!BD98</f>
        <v>5000</v>
      </c>
      <c r="BE117" s="168" t="n">
        <f aca="false">Aportes!BE98</f>
        <v>5000</v>
      </c>
      <c r="BF117" s="168" t="n">
        <f aca="false">Aportes!BF98</f>
        <v>5000</v>
      </c>
      <c r="BG117" s="168" t="n">
        <f aca="false">Aportes!BG98</f>
        <v>5000</v>
      </c>
      <c r="BH117" s="168" t="n">
        <f aca="false">Aportes!BH98</f>
        <v>5000</v>
      </c>
      <c r="BI117" s="168" t="n">
        <f aca="false">Aportes!BI98</f>
        <v>5000</v>
      </c>
      <c r="BJ117" s="154" t="n">
        <f aca="false">SUM(B117:BI117)</f>
        <v>230000</v>
      </c>
    </row>
    <row r="118" customFormat="false" ht="15.75" hidden="false" customHeight="true" outlineLevel="0" collapsed="false">
      <c r="A118" s="49" t="s">
        <v>756</v>
      </c>
      <c r="B118" s="168" t="n">
        <f aca="false">IF(B111=0,0,SUMPRODUCT((Premissas!$B$74:$B$82="Dados")*((Premissas!$C$74:$C$82="Planejado")+(Premissas!$C$74:$C$82="Em estudo")*Premissas!$B$70)*(Premissas!$F$74:$F$82&lt;=B$4)*(Premissas!$G$74:$G$82&gt;=B$4)*(Premissas!$D$74:$D$82="Fixo mensal")*Premissas!$E$74:$E$82)+SUMPRODUCT((Premissas!$B$74:$B$82="Dados")*((Premissas!$C$74:$C$82="Planejado")+(Premissas!$C$74:$C$82="Em estudo")*Premissas!$B$70)*(Premissas!$F$74:$F$82&lt;=B$4)*(Premissas!$G$74:$G$82&gt;=B$4)*(Premissas!$D$74:$D$82="Por usuário")*Premissas!$E$74:$E$82)*B111)</f>
        <v>0</v>
      </c>
      <c r="C118" s="168" t="n">
        <f aca="false">IF(C111=0,0,SUMPRODUCT((Premissas!$B$74:$B$82="Dados")*((Premissas!$C$74:$C$82="Planejado")+(Premissas!$C$74:$C$82="Em estudo")*Premissas!$B$70)*(Premissas!$F$74:$F$82&lt;=C$4)*(Premissas!$G$74:$G$82&gt;=C$4)*(Premissas!$D$74:$D$82="Fixo mensal")*Premissas!$E$74:$E$82)+SUMPRODUCT((Premissas!$B$74:$B$82="Dados")*((Premissas!$C$74:$C$82="Planejado")+(Premissas!$C$74:$C$82="Em estudo")*Premissas!$B$70)*(Premissas!$F$74:$F$82&lt;=C$4)*(Premissas!$G$74:$G$82&gt;=C$4)*(Premissas!$D$74:$D$82="Por usuário")*Premissas!$E$74:$E$82)*C111)</f>
        <v>0</v>
      </c>
      <c r="D118" s="168" t="n">
        <f aca="false">IF(D111=0,0,SUMPRODUCT((Premissas!$B$74:$B$82="Dados")*((Premissas!$C$74:$C$82="Planejado")+(Premissas!$C$74:$C$82="Em estudo")*Premissas!$B$70)*(Premissas!$F$74:$F$82&lt;=D$4)*(Premissas!$G$74:$G$82&gt;=D$4)*(Premissas!$D$74:$D$82="Fixo mensal")*Premissas!$E$74:$E$82)+SUMPRODUCT((Premissas!$B$74:$B$82="Dados")*((Premissas!$C$74:$C$82="Planejado")+(Premissas!$C$74:$C$82="Em estudo")*Premissas!$B$70)*(Premissas!$F$74:$F$82&lt;=D$4)*(Premissas!$G$74:$G$82&gt;=D$4)*(Premissas!$D$74:$D$82="Por usuário")*Premissas!$E$74:$E$82)*D111)</f>
        <v>0</v>
      </c>
      <c r="E118" s="168" t="n">
        <f aca="false">IF(E111=0,0,SUMPRODUCT((Premissas!$B$74:$B$82="Dados")*((Premissas!$C$74:$C$82="Planejado")+(Premissas!$C$74:$C$82="Em estudo")*Premissas!$B$70)*(Premissas!$F$74:$F$82&lt;=E$4)*(Premissas!$G$74:$G$82&gt;=E$4)*(Premissas!$D$74:$D$82="Fixo mensal")*Premissas!$E$74:$E$82)+SUMPRODUCT((Premissas!$B$74:$B$82="Dados")*((Premissas!$C$74:$C$82="Planejado")+(Premissas!$C$74:$C$82="Em estudo")*Premissas!$B$70)*(Premissas!$F$74:$F$82&lt;=E$4)*(Premissas!$G$74:$G$82&gt;=E$4)*(Premissas!$D$74:$D$82="Por usuário")*Premissas!$E$74:$E$82)*E111)</f>
        <v>0</v>
      </c>
      <c r="F118" s="168" t="n">
        <f aca="false">IF(F111=0,0,SUMPRODUCT((Premissas!$B$74:$B$82="Dados")*((Premissas!$C$74:$C$82="Planejado")+(Premissas!$C$74:$C$82="Em estudo")*Premissas!$B$70)*(Premissas!$F$74:$F$82&lt;=F$4)*(Premissas!$G$74:$G$82&gt;=F$4)*(Premissas!$D$74:$D$82="Fixo mensal")*Premissas!$E$74:$E$82)+SUMPRODUCT((Premissas!$B$74:$B$82="Dados")*((Premissas!$C$74:$C$82="Planejado")+(Premissas!$C$74:$C$82="Em estudo")*Premissas!$B$70)*(Premissas!$F$74:$F$82&lt;=F$4)*(Premissas!$G$74:$G$82&gt;=F$4)*(Premissas!$D$74:$D$82="Por usuário")*Premissas!$E$74:$E$82)*F111)</f>
        <v>0</v>
      </c>
      <c r="G118" s="168" t="n">
        <f aca="false">IF(G111=0,0,SUMPRODUCT((Premissas!$B$74:$B$82="Dados")*((Premissas!$C$74:$C$82="Planejado")+(Premissas!$C$74:$C$82="Em estudo")*Premissas!$B$70)*(Premissas!$F$74:$F$82&lt;=G$4)*(Premissas!$G$74:$G$82&gt;=G$4)*(Premissas!$D$74:$D$82="Fixo mensal")*Premissas!$E$74:$E$82)+SUMPRODUCT((Premissas!$B$74:$B$82="Dados")*((Premissas!$C$74:$C$82="Planejado")+(Premissas!$C$74:$C$82="Em estudo")*Premissas!$B$70)*(Premissas!$F$74:$F$82&lt;=G$4)*(Premissas!$G$74:$G$82&gt;=G$4)*(Premissas!$D$74:$D$82="Por usuário")*Premissas!$E$74:$E$82)*G111)</f>
        <v>0</v>
      </c>
      <c r="H118" s="168" t="n">
        <f aca="false">IF(H111=0,0,SUMPRODUCT((Premissas!$B$74:$B$82="Dados")*((Premissas!$C$74:$C$82="Planejado")+(Premissas!$C$74:$C$82="Em estudo")*Premissas!$B$70)*(Premissas!$F$74:$F$82&lt;=H$4)*(Premissas!$G$74:$G$82&gt;=H$4)*(Premissas!$D$74:$D$82="Fixo mensal")*Premissas!$E$74:$E$82)+SUMPRODUCT((Premissas!$B$74:$B$82="Dados")*((Premissas!$C$74:$C$82="Planejado")+(Premissas!$C$74:$C$82="Em estudo")*Premissas!$B$70)*(Premissas!$F$74:$F$82&lt;=H$4)*(Premissas!$G$74:$G$82&gt;=H$4)*(Premissas!$D$74:$D$82="Por usuário")*Premissas!$E$74:$E$82)*H111)</f>
        <v>0</v>
      </c>
      <c r="I118" s="168" t="n">
        <f aca="false">IF(I111=0,0,SUMPRODUCT((Premissas!$B$74:$B$82="Dados")*((Premissas!$C$74:$C$82="Planejado")+(Premissas!$C$74:$C$82="Em estudo")*Premissas!$B$70)*(Premissas!$F$74:$F$82&lt;=I$4)*(Premissas!$G$74:$G$82&gt;=I$4)*(Premissas!$D$74:$D$82="Fixo mensal")*Premissas!$E$74:$E$82)+SUMPRODUCT((Premissas!$B$74:$B$82="Dados")*((Premissas!$C$74:$C$82="Planejado")+(Premissas!$C$74:$C$82="Em estudo")*Premissas!$B$70)*(Premissas!$F$74:$F$82&lt;=I$4)*(Premissas!$G$74:$G$82&gt;=I$4)*(Premissas!$D$74:$D$82="Por usuário")*Premissas!$E$74:$E$82)*I111)</f>
        <v>0</v>
      </c>
      <c r="J118" s="168" t="n">
        <f aca="false">IF(J111=0,0,SUMPRODUCT((Premissas!$B$74:$B$82="Dados")*((Premissas!$C$74:$C$82="Planejado")+(Premissas!$C$74:$C$82="Em estudo")*Premissas!$B$70)*(Premissas!$F$74:$F$82&lt;=J$4)*(Premissas!$G$74:$G$82&gt;=J$4)*(Premissas!$D$74:$D$82="Fixo mensal")*Premissas!$E$74:$E$82)+SUMPRODUCT((Premissas!$B$74:$B$82="Dados")*((Premissas!$C$74:$C$82="Planejado")+(Premissas!$C$74:$C$82="Em estudo")*Premissas!$B$70)*(Premissas!$F$74:$F$82&lt;=J$4)*(Premissas!$G$74:$G$82&gt;=J$4)*(Premissas!$D$74:$D$82="Por usuário")*Premissas!$E$74:$E$82)*J111)</f>
        <v>0</v>
      </c>
      <c r="K118" s="168" t="n">
        <f aca="false">IF(K111=0,0,SUMPRODUCT((Premissas!$B$74:$B$82="Dados")*((Premissas!$C$74:$C$82="Planejado")+(Premissas!$C$74:$C$82="Em estudo")*Premissas!$B$70)*(Premissas!$F$74:$F$82&lt;=K$4)*(Premissas!$G$74:$G$82&gt;=K$4)*(Premissas!$D$74:$D$82="Fixo mensal")*Premissas!$E$74:$E$82)+SUMPRODUCT((Premissas!$B$74:$B$82="Dados")*((Premissas!$C$74:$C$82="Planejado")+(Premissas!$C$74:$C$82="Em estudo")*Premissas!$B$70)*(Premissas!$F$74:$F$82&lt;=K$4)*(Premissas!$G$74:$G$82&gt;=K$4)*(Premissas!$D$74:$D$82="Por usuário")*Premissas!$E$74:$E$82)*K111)</f>
        <v>0</v>
      </c>
      <c r="L118" s="168" t="n">
        <f aca="false">IF(L111=0,0,SUMPRODUCT((Premissas!$B$74:$B$82="Dados")*((Premissas!$C$74:$C$82="Planejado")+(Premissas!$C$74:$C$82="Em estudo")*Premissas!$B$70)*(Premissas!$F$74:$F$82&lt;=L$4)*(Premissas!$G$74:$G$82&gt;=L$4)*(Premissas!$D$74:$D$82="Fixo mensal")*Premissas!$E$74:$E$82)+SUMPRODUCT((Premissas!$B$74:$B$82="Dados")*((Premissas!$C$74:$C$82="Planejado")+(Premissas!$C$74:$C$82="Em estudo")*Premissas!$B$70)*(Premissas!$F$74:$F$82&lt;=L$4)*(Premissas!$G$74:$G$82&gt;=L$4)*(Premissas!$D$74:$D$82="Por usuário")*Premissas!$E$74:$E$82)*L111)</f>
        <v>0</v>
      </c>
      <c r="M118" s="168" t="n">
        <f aca="false">IF(M111=0,0,SUMPRODUCT((Premissas!$B$74:$B$82="Dados")*((Premissas!$C$74:$C$82="Planejado")+(Premissas!$C$74:$C$82="Em estudo")*Premissas!$B$70)*(Premissas!$F$74:$F$82&lt;=M$4)*(Premissas!$G$74:$G$82&gt;=M$4)*(Premissas!$D$74:$D$82="Fixo mensal")*Premissas!$E$74:$E$82)+SUMPRODUCT((Premissas!$B$74:$B$82="Dados")*((Premissas!$C$74:$C$82="Planejado")+(Premissas!$C$74:$C$82="Em estudo")*Premissas!$B$70)*(Premissas!$F$74:$F$82&lt;=M$4)*(Premissas!$G$74:$G$82&gt;=M$4)*(Premissas!$D$74:$D$82="Por usuário")*Premissas!$E$74:$E$82)*M111)</f>
        <v>0</v>
      </c>
      <c r="N118" s="168" t="n">
        <f aca="false">IF(N111=0,0,SUMPRODUCT((Premissas!$B$74:$B$82="Dados")*((Premissas!$C$74:$C$82="Planejado")+(Premissas!$C$74:$C$82="Em estudo")*Premissas!$B$70)*(Premissas!$F$74:$F$82&lt;=N$4)*(Premissas!$G$74:$G$82&gt;=N$4)*(Premissas!$D$74:$D$82="Fixo mensal")*Premissas!$E$74:$E$82)+SUMPRODUCT((Premissas!$B$74:$B$82="Dados")*((Premissas!$C$74:$C$82="Planejado")+(Premissas!$C$74:$C$82="Em estudo")*Premissas!$B$70)*(Premissas!$F$74:$F$82&lt;=N$4)*(Premissas!$G$74:$G$82&gt;=N$4)*(Premissas!$D$74:$D$82="Por usuário")*Premissas!$E$74:$E$82)*N111)</f>
        <v>0</v>
      </c>
      <c r="O118" s="168" t="n">
        <f aca="false">IF(O111=0,0,SUMPRODUCT((Premissas!$B$74:$B$82="Dados")*((Premissas!$C$74:$C$82="Planejado")+(Premissas!$C$74:$C$82="Em estudo")*Premissas!$B$70)*(Premissas!$F$74:$F$82&lt;=O$4)*(Premissas!$G$74:$G$82&gt;=O$4)*(Premissas!$D$74:$D$82="Fixo mensal")*Premissas!$E$74:$E$82)+SUMPRODUCT((Premissas!$B$74:$B$82="Dados")*((Premissas!$C$74:$C$82="Planejado")+(Premissas!$C$74:$C$82="Em estudo")*Premissas!$B$70)*(Premissas!$F$74:$F$82&lt;=O$4)*(Premissas!$G$74:$G$82&gt;=O$4)*(Premissas!$D$74:$D$82="Por usuário")*Premissas!$E$74:$E$82)*O111)</f>
        <v>0</v>
      </c>
      <c r="P118" s="168" t="n">
        <f aca="false">IF(P111=0,0,SUMPRODUCT((Premissas!$B$74:$B$82="Dados")*((Premissas!$C$74:$C$82="Planejado")+(Premissas!$C$74:$C$82="Em estudo")*Premissas!$B$70)*(Premissas!$F$74:$F$82&lt;=P$4)*(Premissas!$G$74:$G$82&gt;=P$4)*(Premissas!$D$74:$D$82="Fixo mensal")*Premissas!$E$74:$E$82)+SUMPRODUCT((Premissas!$B$74:$B$82="Dados")*((Premissas!$C$74:$C$82="Planejado")+(Premissas!$C$74:$C$82="Em estudo")*Premissas!$B$70)*(Premissas!$F$74:$F$82&lt;=P$4)*(Premissas!$G$74:$G$82&gt;=P$4)*(Premissas!$D$74:$D$82="Por usuário")*Premissas!$E$74:$E$82)*P111)</f>
        <v>0</v>
      </c>
      <c r="Q118" s="168" t="n">
        <f aca="false">IF(Q111=0,0,SUMPRODUCT((Premissas!$B$74:$B$82="Dados")*((Premissas!$C$74:$C$82="Planejado")+(Premissas!$C$74:$C$82="Em estudo")*Premissas!$B$70)*(Premissas!$F$74:$F$82&lt;=Q$4)*(Premissas!$G$74:$G$82&gt;=Q$4)*(Premissas!$D$74:$D$82="Fixo mensal")*Premissas!$E$74:$E$82)+SUMPRODUCT((Premissas!$B$74:$B$82="Dados")*((Premissas!$C$74:$C$82="Planejado")+(Premissas!$C$74:$C$82="Em estudo")*Premissas!$B$70)*(Premissas!$F$74:$F$82&lt;=Q$4)*(Premissas!$G$74:$G$82&gt;=Q$4)*(Premissas!$D$74:$D$82="Por usuário")*Premissas!$E$74:$E$82)*Q111)</f>
        <v>3750</v>
      </c>
      <c r="R118" s="168" t="n">
        <f aca="false">IF(R111=0,0,SUMPRODUCT((Premissas!$B$74:$B$82="Dados")*((Premissas!$C$74:$C$82="Planejado")+(Premissas!$C$74:$C$82="Em estudo")*Premissas!$B$70)*(Premissas!$F$74:$F$82&lt;=R$4)*(Premissas!$G$74:$G$82&gt;=R$4)*(Premissas!$D$74:$D$82="Fixo mensal")*Premissas!$E$74:$E$82)+SUMPRODUCT((Premissas!$B$74:$B$82="Dados")*((Premissas!$C$74:$C$82="Planejado")+(Premissas!$C$74:$C$82="Em estudo")*Premissas!$B$70)*(Premissas!$F$74:$F$82&lt;=R$4)*(Premissas!$G$74:$G$82&gt;=R$4)*(Premissas!$D$74:$D$82="Por usuário")*Premissas!$E$74:$E$82)*R111)</f>
        <v>3750</v>
      </c>
      <c r="S118" s="168" t="n">
        <f aca="false">IF(S111=0,0,SUMPRODUCT((Premissas!$B$74:$B$82="Dados")*((Premissas!$C$74:$C$82="Planejado")+(Premissas!$C$74:$C$82="Em estudo")*Premissas!$B$70)*(Premissas!$F$74:$F$82&lt;=S$4)*(Premissas!$G$74:$G$82&gt;=S$4)*(Premissas!$D$74:$D$82="Fixo mensal")*Premissas!$E$74:$E$82)+SUMPRODUCT((Premissas!$B$74:$B$82="Dados")*((Premissas!$C$74:$C$82="Planejado")+(Premissas!$C$74:$C$82="Em estudo")*Premissas!$B$70)*(Premissas!$F$74:$F$82&lt;=S$4)*(Premissas!$G$74:$G$82&gt;=S$4)*(Premissas!$D$74:$D$82="Por usuário")*Premissas!$E$74:$E$82)*S111)</f>
        <v>3750</v>
      </c>
      <c r="T118" s="168" t="n">
        <f aca="false">IF(T111=0,0,SUMPRODUCT((Premissas!$B$74:$B$82="Dados")*((Premissas!$C$74:$C$82="Planejado")+(Premissas!$C$74:$C$82="Em estudo")*Premissas!$B$70)*(Premissas!$F$74:$F$82&lt;=T$4)*(Premissas!$G$74:$G$82&gt;=T$4)*(Premissas!$D$74:$D$82="Fixo mensal")*Premissas!$E$74:$E$82)+SUMPRODUCT((Premissas!$B$74:$B$82="Dados")*((Premissas!$C$74:$C$82="Planejado")+(Premissas!$C$74:$C$82="Em estudo")*Premissas!$B$70)*(Premissas!$F$74:$F$82&lt;=T$4)*(Premissas!$G$74:$G$82&gt;=T$4)*(Premissas!$D$74:$D$82="Por usuário")*Premissas!$E$74:$E$82)*T111)</f>
        <v>3750</v>
      </c>
      <c r="U118" s="168" t="n">
        <f aca="false">IF(U111=0,0,SUMPRODUCT((Premissas!$B$74:$B$82="Dados")*((Premissas!$C$74:$C$82="Planejado")+(Premissas!$C$74:$C$82="Em estudo")*Premissas!$B$70)*(Premissas!$F$74:$F$82&lt;=U$4)*(Premissas!$G$74:$G$82&gt;=U$4)*(Premissas!$D$74:$D$82="Fixo mensal")*Premissas!$E$74:$E$82)+SUMPRODUCT((Premissas!$B$74:$B$82="Dados")*((Premissas!$C$74:$C$82="Planejado")+(Premissas!$C$74:$C$82="Em estudo")*Premissas!$B$70)*(Premissas!$F$74:$F$82&lt;=U$4)*(Premissas!$G$74:$G$82&gt;=U$4)*(Premissas!$D$74:$D$82="Por usuário")*Premissas!$E$74:$E$82)*U111)</f>
        <v>3750</v>
      </c>
      <c r="V118" s="168" t="n">
        <f aca="false">IF(V111=0,0,SUMPRODUCT((Premissas!$B$74:$B$82="Dados")*((Premissas!$C$74:$C$82="Planejado")+(Premissas!$C$74:$C$82="Em estudo")*Premissas!$B$70)*(Premissas!$F$74:$F$82&lt;=V$4)*(Premissas!$G$74:$G$82&gt;=V$4)*(Premissas!$D$74:$D$82="Fixo mensal")*Premissas!$E$74:$E$82)+SUMPRODUCT((Premissas!$B$74:$B$82="Dados")*((Premissas!$C$74:$C$82="Planejado")+(Premissas!$C$74:$C$82="Em estudo")*Premissas!$B$70)*(Premissas!$F$74:$F$82&lt;=V$4)*(Premissas!$G$74:$G$82&gt;=V$4)*(Premissas!$D$74:$D$82="Por usuário")*Premissas!$E$74:$E$82)*V111)</f>
        <v>3750</v>
      </c>
      <c r="W118" s="168" t="n">
        <f aca="false">IF(W111=0,0,SUMPRODUCT((Premissas!$B$74:$B$82="Dados")*((Premissas!$C$74:$C$82="Planejado")+(Premissas!$C$74:$C$82="Em estudo")*Premissas!$B$70)*(Premissas!$F$74:$F$82&lt;=W$4)*(Premissas!$G$74:$G$82&gt;=W$4)*(Premissas!$D$74:$D$82="Fixo mensal")*Premissas!$E$74:$E$82)+SUMPRODUCT((Premissas!$B$74:$B$82="Dados")*((Premissas!$C$74:$C$82="Planejado")+(Premissas!$C$74:$C$82="Em estudo")*Premissas!$B$70)*(Premissas!$F$74:$F$82&lt;=W$4)*(Premissas!$G$74:$G$82&gt;=W$4)*(Premissas!$D$74:$D$82="Por usuário")*Premissas!$E$74:$E$82)*W111)</f>
        <v>5750</v>
      </c>
      <c r="X118" s="168" t="n">
        <f aca="false">IF(X111=0,0,SUMPRODUCT((Premissas!$B$74:$B$82="Dados")*((Premissas!$C$74:$C$82="Planejado")+(Premissas!$C$74:$C$82="Em estudo")*Premissas!$B$70)*(Premissas!$F$74:$F$82&lt;=X$4)*(Premissas!$G$74:$G$82&gt;=X$4)*(Premissas!$D$74:$D$82="Fixo mensal")*Premissas!$E$74:$E$82)+SUMPRODUCT((Premissas!$B$74:$B$82="Dados")*((Premissas!$C$74:$C$82="Planejado")+(Premissas!$C$74:$C$82="Em estudo")*Premissas!$B$70)*(Premissas!$F$74:$F$82&lt;=X$4)*(Premissas!$G$74:$G$82&gt;=X$4)*(Premissas!$D$74:$D$82="Por usuário")*Premissas!$E$74:$E$82)*X111)</f>
        <v>5750</v>
      </c>
      <c r="Y118" s="168" t="n">
        <f aca="false">IF(Y111=0,0,SUMPRODUCT((Premissas!$B$74:$B$82="Dados")*((Premissas!$C$74:$C$82="Planejado")+(Premissas!$C$74:$C$82="Em estudo")*Premissas!$B$70)*(Premissas!$F$74:$F$82&lt;=Y$4)*(Premissas!$G$74:$G$82&gt;=Y$4)*(Premissas!$D$74:$D$82="Fixo mensal")*Premissas!$E$74:$E$82)+SUMPRODUCT((Premissas!$B$74:$B$82="Dados")*((Premissas!$C$74:$C$82="Planejado")+(Premissas!$C$74:$C$82="Em estudo")*Premissas!$B$70)*(Premissas!$F$74:$F$82&lt;=Y$4)*(Premissas!$G$74:$G$82&gt;=Y$4)*(Premissas!$D$74:$D$82="Por usuário")*Premissas!$E$74:$E$82)*Y111)</f>
        <v>5750</v>
      </c>
      <c r="Z118" s="168" t="n">
        <f aca="false">IF(Z111=0,0,SUMPRODUCT((Premissas!$B$74:$B$82="Dados")*((Premissas!$C$74:$C$82="Planejado")+(Premissas!$C$74:$C$82="Em estudo")*Premissas!$B$70)*(Premissas!$F$74:$F$82&lt;=Z$4)*(Premissas!$G$74:$G$82&gt;=Z$4)*(Premissas!$D$74:$D$82="Fixo mensal")*Premissas!$E$74:$E$82)+SUMPRODUCT((Premissas!$B$74:$B$82="Dados")*((Premissas!$C$74:$C$82="Planejado")+(Premissas!$C$74:$C$82="Em estudo")*Premissas!$B$70)*(Premissas!$F$74:$F$82&lt;=Z$4)*(Premissas!$G$74:$G$82&gt;=Z$4)*(Premissas!$D$74:$D$82="Por usuário")*Premissas!$E$74:$E$82)*Z111)</f>
        <v>5750</v>
      </c>
      <c r="AA118" s="168" t="n">
        <f aca="false">IF(AA111=0,0,SUMPRODUCT((Premissas!$B$74:$B$82="Dados")*((Premissas!$C$74:$C$82="Planejado")+(Premissas!$C$74:$C$82="Em estudo")*Premissas!$B$70)*(Premissas!$F$74:$F$82&lt;=AA$4)*(Premissas!$G$74:$G$82&gt;=AA$4)*(Premissas!$D$74:$D$82="Fixo mensal")*Premissas!$E$74:$E$82)+SUMPRODUCT((Premissas!$B$74:$B$82="Dados")*((Premissas!$C$74:$C$82="Planejado")+(Premissas!$C$74:$C$82="Em estudo")*Premissas!$B$70)*(Premissas!$F$74:$F$82&lt;=AA$4)*(Premissas!$G$74:$G$82&gt;=AA$4)*(Premissas!$D$74:$D$82="Por usuário")*Premissas!$E$74:$E$82)*AA111)</f>
        <v>5750</v>
      </c>
      <c r="AB118" s="168" t="n">
        <f aca="false">IF(AB111=0,0,SUMPRODUCT((Premissas!$B$74:$B$82="Dados")*((Premissas!$C$74:$C$82="Planejado")+(Premissas!$C$74:$C$82="Em estudo")*Premissas!$B$70)*(Premissas!$F$74:$F$82&lt;=AB$4)*(Premissas!$G$74:$G$82&gt;=AB$4)*(Premissas!$D$74:$D$82="Fixo mensal")*Premissas!$E$74:$E$82)+SUMPRODUCT((Premissas!$B$74:$B$82="Dados")*((Premissas!$C$74:$C$82="Planejado")+(Premissas!$C$74:$C$82="Em estudo")*Premissas!$B$70)*(Premissas!$F$74:$F$82&lt;=AB$4)*(Premissas!$G$74:$G$82&gt;=AB$4)*(Premissas!$D$74:$D$82="Por usuário")*Premissas!$E$74:$E$82)*AB111)</f>
        <v>5750</v>
      </c>
      <c r="AC118" s="168" t="n">
        <f aca="false">IF(AC111=0,0,SUMPRODUCT((Premissas!$B$74:$B$82="Dados")*((Premissas!$C$74:$C$82="Planejado")+(Premissas!$C$74:$C$82="Em estudo")*Premissas!$B$70)*(Premissas!$F$74:$F$82&lt;=AC$4)*(Premissas!$G$74:$G$82&gt;=AC$4)*(Premissas!$D$74:$D$82="Fixo mensal")*Premissas!$E$74:$E$82)+SUMPRODUCT((Premissas!$B$74:$B$82="Dados")*((Premissas!$C$74:$C$82="Planejado")+(Premissas!$C$74:$C$82="Em estudo")*Premissas!$B$70)*(Premissas!$F$74:$F$82&lt;=AC$4)*(Premissas!$G$74:$G$82&gt;=AC$4)*(Premissas!$D$74:$D$82="Por usuário")*Premissas!$E$74:$E$82)*AC111)</f>
        <v>5750</v>
      </c>
      <c r="AD118" s="168" t="n">
        <f aca="false">IF(AD111=0,0,SUMPRODUCT((Premissas!$B$74:$B$82="Dados")*((Premissas!$C$74:$C$82="Planejado")+(Premissas!$C$74:$C$82="Em estudo")*Premissas!$B$70)*(Premissas!$F$74:$F$82&lt;=AD$4)*(Premissas!$G$74:$G$82&gt;=AD$4)*(Premissas!$D$74:$D$82="Fixo mensal")*Premissas!$E$74:$E$82)+SUMPRODUCT((Premissas!$B$74:$B$82="Dados")*((Premissas!$C$74:$C$82="Planejado")+(Premissas!$C$74:$C$82="Em estudo")*Premissas!$B$70)*(Premissas!$F$74:$F$82&lt;=AD$4)*(Premissas!$G$74:$G$82&gt;=AD$4)*(Premissas!$D$74:$D$82="Por usuário")*Premissas!$E$74:$E$82)*AD111)</f>
        <v>5750</v>
      </c>
      <c r="AE118" s="168" t="n">
        <f aca="false">IF(AE111=0,0,SUMPRODUCT((Premissas!$B$74:$B$82="Dados")*((Premissas!$C$74:$C$82="Planejado")+(Premissas!$C$74:$C$82="Em estudo")*Premissas!$B$70)*(Premissas!$F$74:$F$82&lt;=AE$4)*(Premissas!$G$74:$G$82&gt;=AE$4)*(Premissas!$D$74:$D$82="Fixo mensal")*Premissas!$E$74:$E$82)+SUMPRODUCT((Premissas!$B$74:$B$82="Dados")*((Premissas!$C$74:$C$82="Planejado")+(Premissas!$C$74:$C$82="Em estudo")*Premissas!$B$70)*(Premissas!$F$74:$F$82&lt;=AE$4)*(Premissas!$G$74:$G$82&gt;=AE$4)*(Premissas!$D$74:$D$82="Por usuário")*Premissas!$E$74:$E$82)*AE111)</f>
        <v>5750</v>
      </c>
      <c r="AF118" s="168" t="n">
        <f aca="false">IF(AF111=0,0,SUMPRODUCT((Premissas!$B$74:$B$82="Dados")*((Premissas!$C$74:$C$82="Planejado")+(Premissas!$C$74:$C$82="Em estudo")*Premissas!$B$70)*(Premissas!$F$74:$F$82&lt;=AF$4)*(Premissas!$G$74:$G$82&gt;=AF$4)*(Premissas!$D$74:$D$82="Fixo mensal")*Premissas!$E$74:$E$82)+SUMPRODUCT((Premissas!$B$74:$B$82="Dados")*((Premissas!$C$74:$C$82="Planejado")+(Premissas!$C$74:$C$82="Em estudo")*Premissas!$B$70)*(Premissas!$F$74:$F$82&lt;=AF$4)*(Premissas!$G$74:$G$82&gt;=AF$4)*(Premissas!$D$74:$D$82="Por usuário")*Premissas!$E$74:$E$82)*AF111)</f>
        <v>5750</v>
      </c>
      <c r="AG118" s="168" t="n">
        <f aca="false">IF(AG111=0,0,SUMPRODUCT((Premissas!$B$74:$B$82="Dados")*((Premissas!$C$74:$C$82="Planejado")+(Premissas!$C$74:$C$82="Em estudo")*Premissas!$B$70)*(Premissas!$F$74:$F$82&lt;=AG$4)*(Premissas!$G$74:$G$82&gt;=AG$4)*(Premissas!$D$74:$D$82="Fixo mensal")*Premissas!$E$74:$E$82)+SUMPRODUCT((Premissas!$B$74:$B$82="Dados")*((Premissas!$C$74:$C$82="Planejado")+(Premissas!$C$74:$C$82="Em estudo")*Premissas!$B$70)*(Premissas!$F$74:$F$82&lt;=AG$4)*(Premissas!$G$74:$G$82&gt;=AG$4)*(Premissas!$D$74:$D$82="Por usuário")*Premissas!$E$74:$E$82)*AG111)</f>
        <v>5750</v>
      </c>
      <c r="AH118" s="168" t="n">
        <f aca="false">IF(AH111=0,0,SUMPRODUCT((Premissas!$B$74:$B$82="Dados")*((Premissas!$C$74:$C$82="Planejado")+(Premissas!$C$74:$C$82="Em estudo")*Premissas!$B$70)*(Premissas!$F$74:$F$82&lt;=AH$4)*(Premissas!$G$74:$G$82&gt;=AH$4)*(Premissas!$D$74:$D$82="Fixo mensal")*Premissas!$E$74:$E$82)+SUMPRODUCT((Premissas!$B$74:$B$82="Dados")*((Premissas!$C$74:$C$82="Planejado")+(Premissas!$C$74:$C$82="Em estudo")*Premissas!$B$70)*(Premissas!$F$74:$F$82&lt;=AH$4)*(Premissas!$G$74:$G$82&gt;=AH$4)*(Premissas!$D$74:$D$82="Por usuário")*Premissas!$E$74:$E$82)*AH111)</f>
        <v>5750</v>
      </c>
      <c r="AI118" s="168" t="n">
        <f aca="false">IF(AI111=0,0,SUMPRODUCT((Premissas!$B$74:$B$82="Dados")*((Premissas!$C$74:$C$82="Planejado")+(Premissas!$C$74:$C$82="Em estudo")*Premissas!$B$70)*(Premissas!$F$74:$F$82&lt;=AI$4)*(Premissas!$G$74:$G$82&gt;=AI$4)*(Premissas!$D$74:$D$82="Fixo mensal")*Premissas!$E$74:$E$82)+SUMPRODUCT((Premissas!$B$74:$B$82="Dados")*((Premissas!$C$74:$C$82="Planejado")+(Premissas!$C$74:$C$82="Em estudo")*Premissas!$B$70)*(Premissas!$F$74:$F$82&lt;=AI$4)*(Premissas!$G$74:$G$82&gt;=AI$4)*(Premissas!$D$74:$D$82="Por usuário")*Premissas!$E$74:$E$82)*AI111)</f>
        <v>5750</v>
      </c>
      <c r="AJ118" s="168" t="n">
        <f aca="false">IF(AJ111=0,0,SUMPRODUCT((Premissas!$B$74:$B$82="Dados")*((Premissas!$C$74:$C$82="Planejado")+(Premissas!$C$74:$C$82="Em estudo")*Premissas!$B$70)*(Premissas!$F$74:$F$82&lt;=AJ$4)*(Premissas!$G$74:$G$82&gt;=AJ$4)*(Premissas!$D$74:$D$82="Fixo mensal")*Premissas!$E$74:$E$82)+SUMPRODUCT((Premissas!$B$74:$B$82="Dados")*((Premissas!$C$74:$C$82="Planejado")+(Premissas!$C$74:$C$82="Em estudo")*Premissas!$B$70)*(Premissas!$F$74:$F$82&lt;=AJ$4)*(Premissas!$G$74:$G$82&gt;=AJ$4)*(Premissas!$D$74:$D$82="Por usuário")*Premissas!$E$74:$E$82)*AJ111)</f>
        <v>5750</v>
      </c>
      <c r="AK118" s="168" t="n">
        <f aca="false">IF(AK111=0,0,SUMPRODUCT((Premissas!$B$74:$B$82="Dados")*((Premissas!$C$74:$C$82="Planejado")+(Premissas!$C$74:$C$82="Em estudo")*Premissas!$B$70)*(Premissas!$F$74:$F$82&lt;=AK$4)*(Premissas!$G$74:$G$82&gt;=AK$4)*(Premissas!$D$74:$D$82="Fixo mensal")*Premissas!$E$74:$E$82)+SUMPRODUCT((Premissas!$B$74:$B$82="Dados")*((Premissas!$C$74:$C$82="Planejado")+(Premissas!$C$74:$C$82="Em estudo")*Premissas!$B$70)*(Premissas!$F$74:$F$82&lt;=AK$4)*(Premissas!$G$74:$G$82&gt;=AK$4)*(Premissas!$D$74:$D$82="Por usuário")*Premissas!$E$74:$E$82)*AK111)</f>
        <v>5750</v>
      </c>
      <c r="AL118" s="168" t="n">
        <f aca="false">IF(AL111=0,0,SUMPRODUCT((Premissas!$B$74:$B$82="Dados")*((Premissas!$C$74:$C$82="Planejado")+(Premissas!$C$74:$C$82="Em estudo")*Premissas!$B$70)*(Premissas!$F$74:$F$82&lt;=AL$4)*(Premissas!$G$74:$G$82&gt;=AL$4)*(Premissas!$D$74:$D$82="Fixo mensal")*Premissas!$E$74:$E$82)+SUMPRODUCT((Premissas!$B$74:$B$82="Dados")*((Premissas!$C$74:$C$82="Planejado")+(Premissas!$C$74:$C$82="Em estudo")*Premissas!$B$70)*(Premissas!$F$74:$F$82&lt;=AL$4)*(Premissas!$G$74:$G$82&gt;=AL$4)*(Premissas!$D$74:$D$82="Por usuário")*Premissas!$E$74:$E$82)*AL111)</f>
        <v>5750</v>
      </c>
      <c r="AM118" s="168" t="n">
        <f aca="false">IF(AM111=0,0,SUMPRODUCT((Premissas!$B$74:$B$82="Dados")*((Premissas!$C$74:$C$82="Planejado")+(Premissas!$C$74:$C$82="Em estudo")*Premissas!$B$70)*(Premissas!$F$74:$F$82&lt;=AM$4)*(Premissas!$G$74:$G$82&gt;=AM$4)*(Premissas!$D$74:$D$82="Fixo mensal")*Premissas!$E$74:$E$82)+SUMPRODUCT((Premissas!$B$74:$B$82="Dados")*((Premissas!$C$74:$C$82="Planejado")+(Premissas!$C$74:$C$82="Em estudo")*Premissas!$B$70)*(Premissas!$F$74:$F$82&lt;=AM$4)*(Premissas!$G$74:$G$82&gt;=AM$4)*(Premissas!$D$74:$D$82="Por usuário")*Premissas!$E$74:$E$82)*AM111)</f>
        <v>5750</v>
      </c>
      <c r="AN118" s="168" t="n">
        <f aca="false">IF(AN111=0,0,SUMPRODUCT((Premissas!$B$74:$B$82="Dados")*((Premissas!$C$74:$C$82="Planejado")+(Premissas!$C$74:$C$82="Em estudo")*Premissas!$B$70)*(Premissas!$F$74:$F$82&lt;=AN$4)*(Premissas!$G$74:$G$82&gt;=AN$4)*(Premissas!$D$74:$D$82="Fixo mensal")*Premissas!$E$74:$E$82)+SUMPRODUCT((Premissas!$B$74:$B$82="Dados")*((Premissas!$C$74:$C$82="Planejado")+(Premissas!$C$74:$C$82="Em estudo")*Premissas!$B$70)*(Premissas!$F$74:$F$82&lt;=AN$4)*(Premissas!$G$74:$G$82&gt;=AN$4)*(Premissas!$D$74:$D$82="Por usuário")*Premissas!$E$74:$E$82)*AN111)</f>
        <v>5750</v>
      </c>
      <c r="AO118" s="168" t="n">
        <f aca="false">IF(AO111=0,0,SUMPRODUCT((Premissas!$B$74:$B$82="Dados")*((Premissas!$C$74:$C$82="Planejado")+(Premissas!$C$74:$C$82="Em estudo")*Premissas!$B$70)*(Premissas!$F$74:$F$82&lt;=AO$4)*(Premissas!$G$74:$G$82&gt;=AO$4)*(Premissas!$D$74:$D$82="Fixo mensal")*Premissas!$E$74:$E$82)+SUMPRODUCT((Premissas!$B$74:$B$82="Dados")*((Premissas!$C$74:$C$82="Planejado")+(Premissas!$C$74:$C$82="Em estudo")*Premissas!$B$70)*(Premissas!$F$74:$F$82&lt;=AO$4)*(Premissas!$G$74:$G$82&gt;=AO$4)*(Premissas!$D$74:$D$82="Por usuário")*Premissas!$E$74:$E$82)*AO111)</f>
        <v>5750</v>
      </c>
      <c r="AP118" s="168" t="n">
        <f aca="false">IF(AP111=0,0,SUMPRODUCT((Premissas!$B$74:$B$82="Dados")*((Premissas!$C$74:$C$82="Planejado")+(Premissas!$C$74:$C$82="Em estudo")*Premissas!$B$70)*(Premissas!$F$74:$F$82&lt;=AP$4)*(Premissas!$G$74:$G$82&gt;=AP$4)*(Premissas!$D$74:$D$82="Fixo mensal")*Premissas!$E$74:$E$82)+SUMPRODUCT((Premissas!$B$74:$B$82="Dados")*((Premissas!$C$74:$C$82="Planejado")+(Premissas!$C$74:$C$82="Em estudo")*Premissas!$B$70)*(Premissas!$F$74:$F$82&lt;=AP$4)*(Premissas!$G$74:$G$82&gt;=AP$4)*(Premissas!$D$74:$D$82="Por usuário")*Premissas!$E$74:$E$82)*AP111)</f>
        <v>5750</v>
      </c>
      <c r="AQ118" s="168" t="n">
        <f aca="false">IF(AQ111=0,0,SUMPRODUCT((Premissas!$B$74:$B$82="Dados")*((Premissas!$C$74:$C$82="Planejado")+(Premissas!$C$74:$C$82="Em estudo")*Premissas!$B$70)*(Premissas!$F$74:$F$82&lt;=AQ$4)*(Premissas!$G$74:$G$82&gt;=AQ$4)*(Premissas!$D$74:$D$82="Fixo mensal")*Premissas!$E$74:$E$82)+SUMPRODUCT((Premissas!$B$74:$B$82="Dados")*((Premissas!$C$74:$C$82="Planejado")+(Premissas!$C$74:$C$82="Em estudo")*Premissas!$B$70)*(Premissas!$F$74:$F$82&lt;=AQ$4)*(Premissas!$G$74:$G$82&gt;=AQ$4)*(Premissas!$D$74:$D$82="Por usuário")*Premissas!$E$74:$E$82)*AQ111)</f>
        <v>5750</v>
      </c>
      <c r="AR118" s="168" t="n">
        <f aca="false">IF(AR111=0,0,SUMPRODUCT((Premissas!$B$74:$B$82="Dados")*((Premissas!$C$74:$C$82="Planejado")+(Premissas!$C$74:$C$82="Em estudo")*Premissas!$B$70)*(Premissas!$F$74:$F$82&lt;=AR$4)*(Premissas!$G$74:$G$82&gt;=AR$4)*(Premissas!$D$74:$D$82="Fixo mensal")*Premissas!$E$74:$E$82)+SUMPRODUCT((Premissas!$B$74:$B$82="Dados")*((Premissas!$C$74:$C$82="Planejado")+(Premissas!$C$74:$C$82="Em estudo")*Premissas!$B$70)*(Premissas!$F$74:$F$82&lt;=AR$4)*(Premissas!$G$74:$G$82&gt;=AR$4)*(Premissas!$D$74:$D$82="Por usuário")*Premissas!$E$74:$E$82)*AR111)</f>
        <v>5750</v>
      </c>
      <c r="AS118" s="168" t="n">
        <f aca="false">IF(AS111=0,0,SUMPRODUCT((Premissas!$B$74:$B$82="Dados")*((Premissas!$C$74:$C$82="Planejado")+(Premissas!$C$74:$C$82="Em estudo")*Premissas!$B$70)*(Premissas!$F$74:$F$82&lt;=AS$4)*(Premissas!$G$74:$G$82&gt;=AS$4)*(Premissas!$D$74:$D$82="Fixo mensal")*Premissas!$E$74:$E$82)+SUMPRODUCT((Premissas!$B$74:$B$82="Dados")*((Premissas!$C$74:$C$82="Planejado")+(Premissas!$C$74:$C$82="Em estudo")*Premissas!$B$70)*(Premissas!$F$74:$F$82&lt;=AS$4)*(Premissas!$G$74:$G$82&gt;=AS$4)*(Premissas!$D$74:$D$82="Por usuário")*Premissas!$E$74:$E$82)*AS111)</f>
        <v>5750</v>
      </c>
      <c r="AT118" s="168" t="n">
        <f aca="false">IF(AT111=0,0,SUMPRODUCT((Premissas!$B$74:$B$82="Dados")*((Premissas!$C$74:$C$82="Planejado")+(Premissas!$C$74:$C$82="Em estudo")*Premissas!$B$70)*(Premissas!$F$74:$F$82&lt;=AT$4)*(Premissas!$G$74:$G$82&gt;=AT$4)*(Premissas!$D$74:$D$82="Fixo mensal")*Premissas!$E$74:$E$82)+SUMPRODUCT((Premissas!$B$74:$B$82="Dados")*((Premissas!$C$74:$C$82="Planejado")+(Premissas!$C$74:$C$82="Em estudo")*Premissas!$B$70)*(Premissas!$F$74:$F$82&lt;=AT$4)*(Premissas!$G$74:$G$82&gt;=AT$4)*(Premissas!$D$74:$D$82="Por usuário")*Premissas!$E$74:$E$82)*AT111)</f>
        <v>5750</v>
      </c>
      <c r="AU118" s="168" t="n">
        <f aca="false">IF(AU111=0,0,SUMPRODUCT((Premissas!$B$74:$B$82="Dados")*((Premissas!$C$74:$C$82="Planejado")+(Premissas!$C$74:$C$82="Em estudo")*Premissas!$B$70)*(Premissas!$F$74:$F$82&lt;=AU$4)*(Premissas!$G$74:$G$82&gt;=AU$4)*(Premissas!$D$74:$D$82="Fixo mensal")*Premissas!$E$74:$E$82)+SUMPRODUCT((Premissas!$B$74:$B$82="Dados")*((Premissas!$C$74:$C$82="Planejado")+(Premissas!$C$74:$C$82="Em estudo")*Premissas!$B$70)*(Premissas!$F$74:$F$82&lt;=AU$4)*(Premissas!$G$74:$G$82&gt;=AU$4)*(Premissas!$D$74:$D$82="Por usuário")*Premissas!$E$74:$E$82)*AU111)</f>
        <v>5750</v>
      </c>
      <c r="AV118" s="168" t="n">
        <f aca="false">IF(AV111=0,0,SUMPRODUCT((Premissas!$B$74:$B$82="Dados")*((Premissas!$C$74:$C$82="Planejado")+(Premissas!$C$74:$C$82="Em estudo")*Premissas!$B$70)*(Premissas!$F$74:$F$82&lt;=AV$4)*(Premissas!$G$74:$G$82&gt;=AV$4)*(Premissas!$D$74:$D$82="Fixo mensal")*Premissas!$E$74:$E$82)+SUMPRODUCT((Premissas!$B$74:$B$82="Dados")*((Premissas!$C$74:$C$82="Planejado")+(Premissas!$C$74:$C$82="Em estudo")*Premissas!$B$70)*(Premissas!$F$74:$F$82&lt;=AV$4)*(Premissas!$G$74:$G$82&gt;=AV$4)*(Premissas!$D$74:$D$82="Por usuário")*Premissas!$E$74:$E$82)*AV111)</f>
        <v>5750</v>
      </c>
      <c r="AW118" s="168" t="n">
        <f aca="false">IF(AW111=0,0,SUMPRODUCT((Premissas!$B$74:$B$82="Dados")*((Premissas!$C$74:$C$82="Planejado")+(Premissas!$C$74:$C$82="Em estudo")*Premissas!$B$70)*(Premissas!$F$74:$F$82&lt;=AW$4)*(Premissas!$G$74:$G$82&gt;=AW$4)*(Premissas!$D$74:$D$82="Fixo mensal")*Premissas!$E$74:$E$82)+SUMPRODUCT((Premissas!$B$74:$B$82="Dados")*((Premissas!$C$74:$C$82="Planejado")+(Premissas!$C$74:$C$82="Em estudo")*Premissas!$B$70)*(Premissas!$F$74:$F$82&lt;=AW$4)*(Premissas!$G$74:$G$82&gt;=AW$4)*(Premissas!$D$74:$D$82="Por usuário")*Premissas!$E$74:$E$82)*AW111)</f>
        <v>5750</v>
      </c>
      <c r="AX118" s="168" t="n">
        <f aca="false">IF(AX111=0,0,SUMPRODUCT((Premissas!$B$74:$B$82="Dados")*((Premissas!$C$74:$C$82="Planejado")+(Premissas!$C$74:$C$82="Em estudo")*Premissas!$B$70)*(Premissas!$F$74:$F$82&lt;=AX$4)*(Premissas!$G$74:$G$82&gt;=AX$4)*(Premissas!$D$74:$D$82="Fixo mensal")*Premissas!$E$74:$E$82)+SUMPRODUCT((Premissas!$B$74:$B$82="Dados")*((Premissas!$C$74:$C$82="Planejado")+(Premissas!$C$74:$C$82="Em estudo")*Premissas!$B$70)*(Premissas!$F$74:$F$82&lt;=AX$4)*(Premissas!$G$74:$G$82&gt;=AX$4)*(Premissas!$D$74:$D$82="Por usuário")*Premissas!$E$74:$E$82)*AX111)</f>
        <v>5750</v>
      </c>
      <c r="AY118" s="168" t="n">
        <f aca="false">IF(AY111=0,0,SUMPRODUCT((Premissas!$B$74:$B$82="Dados")*((Premissas!$C$74:$C$82="Planejado")+(Premissas!$C$74:$C$82="Em estudo")*Premissas!$B$70)*(Premissas!$F$74:$F$82&lt;=AY$4)*(Premissas!$G$74:$G$82&gt;=AY$4)*(Premissas!$D$74:$D$82="Fixo mensal")*Premissas!$E$74:$E$82)+SUMPRODUCT((Premissas!$B$74:$B$82="Dados")*((Premissas!$C$74:$C$82="Planejado")+(Premissas!$C$74:$C$82="Em estudo")*Premissas!$B$70)*(Premissas!$F$74:$F$82&lt;=AY$4)*(Premissas!$G$74:$G$82&gt;=AY$4)*(Premissas!$D$74:$D$82="Por usuário")*Premissas!$E$74:$E$82)*AY111)</f>
        <v>5750</v>
      </c>
      <c r="AZ118" s="168" t="n">
        <f aca="false">IF(AZ111=0,0,SUMPRODUCT((Premissas!$B$74:$B$82="Dados")*((Premissas!$C$74:$C$82="Planejado")+(Premissas!$C$74:$C$82="Em estudo")*Premissas!$B$70)*(Premissas!$F$74:$F$82&lt;=AZ$4)*(Premissas!$G$74:$G$82&gt;=AZ$4)*(Premissas!$D$74:$D$82="Fixo mensal")*Premissas!$E$74:$E$82)+SUMPRODUCT((Premissas!$B$74:$B$82="Dados")*((Premissas!$C$74:$C$82="Planejado")+(Premissas!$C$74:$C$82="Em estudo")*Premissas!$B$70)*(Premissas!$F$74:$F$82&lt;=AZ$4)*(Premissas!$G$74:$G$82&gt;=AZ$4)*(Premissas!$D$74:$D$82="Por usuário")*Premissas!$E$74:$E$82)*AZ111)</f>
        <v>5750</v>
      </c>
      <c r="BA118" s="168" t="n">
        <f aca="false">IF(BA111=0,0,SUMPRODUCT((Premissas!$B$74:$B$82="Dados")*((Premissas!$C$74:$C$82="Planejado")+(Premissas!$C$74:$C$82="Em estudo")*Premissas!$B$70)*(Premissas!$F$74:$F$82&lt;=BA$4)*(Premissas!$G$74:$G$82&gt;=BA$4)*(Premissas!$D$74:$D$82="Fixo mensal")*Premissas!$E$74:$E$82)+SUMPRODUCT((Premissas!$B$74:$B$82="Dados")*((Premissas!$C$74:$C$82="Planejado")+(Premissas!$C$74:$C$82="Em estudo")*Premissas!$B$70)*(Premissas!$F$74:$F$82&lt;=BA$4)*(Premissas!$G$74:$G$82&gt;=BA$4)*(Premissas!$D$74:$D$82="Por usuário")*Premissas!$E$74:$E$82)*BA111)</f>
        <v>5750</v>
      </c>
      <c r="BB118" s="168" t="n">
        <f aca="false">IF(BB111=0,0,SUMPRODUCT((Premissas!$B$74:$B$82="Dados")*((Premissas!$C$74:$C$82="Planejado")+(Premissas!$C$74:$C$82="Em estudo")*Premissas!$B$70)*(Premissas!$F$74:$F$82&lt;=BB$4)*(Premissas!$G$74:$G$82&gt;=BB$4)*(Premissas!$D$74:$D$82="Fixo mensal")*Premissas!$E$74:$E$82)+SUMPRODUCT((Premissas!$B$74:$B$82="Dados")*((Premissas!$C$74:$C$82="Planejado")+(Premissas!$C$74:$C$82="Em estudo")*Premissas!$B$70)*(Premissas!$F$74:$F$82&lt;=BB$4)*(Premissas!$G$74:$G$82&gt;=BB$4)*(Premissas!$D$74:$D$82="Por usuário")*Premissas!$E$74:$E$82)*BB111)</f>
        <v>5750</v>
      </c>
      <c r="BC118" s="168" t="n">
        <f aca="false">IF(BC111=0,0,SUMPRODUCT((Premissas!$B$74:$B$82="Dados")*((Premissas!$C$74:$C$82="Planejado")+(Premissas!$C$74:$C$82="Em estudo")*Premissas!$B$70)*(Premissas!$F$74:$F$82&lt;=BC$4)*(Premissas!$G$74:$G$82&gt;=BC$4)*(Premissas!$D$74:$D$82="Fixo mensal")*Premissas!$E$74:$E$82)+SUMPRODUCT((Premissas!$B$74:$B$82="Dados")*((Premissas!$C$74:$C$82="Planejado")+(Premissas!$C$74:$C$82="Em estudo")*Premissas!$B$70)*(Premissas!$F$74:$F$82&lt;=BC$4)*(Premissas!$G$74:$G$82&gt;=BC$4)*(Premissas!$D$74:$D$82="Por usuário")*Premissas!$E$74:$E$82)*BC111)</f>
        <v>5750</v>
      </c>
      <c r="BD118" s="168" t="n">
        <f aca="false">IF(BD111=0,0,SUMPRODUCT((Premissas!$B$74:$B$82="Dados")*((Premissas!$C$74:$C$82="Planejado")+(Premissas!$C$74:$C$82="Em estudo")*Premissas!$B$70)*(Premissas!$F$74:$F$82&lt;=BD$4)*(Premissas!$G$74:$G$82&gt;=BD$4)*(Premissas!$D$74:$D$82="Fixo mensal")*Premissas!$E$74:$E$82)+SUMPRODUCT((Premissas!$B$74:$B$82="Dados")*((Premissas!$C$74:$C$82="Planejado")+(Premissas!$C$74:$C$82="Em estudo")*Premissas!$B$70)*(Premissas!$F$74:$F$82&lt;=BD$4)*(Premissas!$G$74:$G$82&gt;=BD$4)*(Premissas!$D$74:$D$82="Por usuário")*Premissas!$E$74:$E$82)*BD111)</f>
        <v>5750</v>
      </c>
      <c r="BE118" s="168" t="n">
        <f aca="false">IF(BE111=0,0,SUMPRODUCT((Premissas!$B$74:$B$82="Dados")*((Premissas!$C$74:$C$82="Planejado")+(Premissas!$C$74:$C$82="Em estudo")*Premissas!$B$70)*(Premissas!$F$74:$F$82&lt;=BE$4)*(Premissas!$G$74:$G$82&gt;=BE$4)*(Premissas!$D$74:$D$82="Fixo mensal")*Premissas!$E$74:$E$82)+SUMPRODUCT((Premissas!$B$74:$B$82="Dados")*((Premissas!$C$74:$C$82="Planejado")+(Premissas!$C$74:$C$82="Em estudo")*Premissas!$B$70)*(Premissas!$F$74:$F$82&lt;=BE$4)*(Premissas!$G$74:$G$82&gt;=BE$4)*(Premissas!$D$74:$D$82="Por usuário")*Premissas!$E$74:$E$82)*BE111)</f>
        <v>5750</v>
      </c>
      <c r="BF118" s="168" t="n">
        <f aca="false">IF(BF111=0,0,SUMPRODUCT((Premissas!$B$74:$B$82="Dados")*((Premissas!$C$74:$C$82="Planejado")+(Premissas!$C$74:$C$82="Em estudo")*Premissas!$B$70)*(Premissas!$F$74:$F$82&lt;=BF$4)*(Premissas!$G$74:$G$82&gt;=BF$4)*(Premissas!$D$74:$D$82="Fixo mensal")*Premissas!$E$74:$E$82)+SUMPRODUCT((Premissas!$B$74:$B$82="Dados")*((Premissas!$C$74:$C$82="Planejado")+(Premissas!$C$74:$C$82="Em estudo")*Premissas!$B$70)*(Premissas!$F$74:$F$82&lt;=BF$4)*(Premissas!$G$74:$G$82&gt;=BF$4)*(Premissas!$D$74:$D$82="Por usuário")*Premissas!$E$74:$E$82)*BF111)</f>
        <v>5750</v>
      </c>
      <c r="BG118" s="168" t="n">
        <f aca="false">IF(BG111=0,0,SUMPRODUCT((Premissas!$B$74:$B$82="Dados")*((Premissas!$C$74:$C$82="Planejado")+(Premissas!$C$74:$C$82="Em estudo")*Premissas!$B$70)*(Premissas!$F$74:$F$82&lt;=BG$4)*(Premissas!$G$74:$G$82&gt;=BG$4)*(Premissas!$D$74:$D$82="Fixo mensal")*Premissas!$E$74:$E$82)+SUMPRODUCT((Premissas!$B$74:$B$82="Dados")*((Premissas!$C$74:$C$82="Planejado")+(Premissas!$C$74:$C$82="Em estudo")*Premissas!$B$70)*(Premissas!$F$74:$F$82&lt;=BG$4)*(Premissas!$G$74:$G$82&gt;=BG$4)*(Premissas!$D$74:$D$82="Por usuário")*Premissas!$E$74:$E$82)*BG111)</f>
        <v>5750</v>
      </c>
      <c r="BH118" s="168" t="n">
        <f aca="false">IF(BH111=0,0,SUMPRODUCT((Premissas!$B$74:$B$82="Dados")*((Premissas!$C$74:$C$82="Planejado")+(Premissas!$C$74:$C$82="Em estudo")*Premissas!$B$70)*(Premissas!$F$74:$F$82&lt;=BH$4)*(Premissas!$G$74:$G$82&gt;=BH$4)*(Premissas!$D$74:$D$82="Fixo mensal")*Premissas!$E$74:$E$82)+SUMPRODUCT((Premissas!$B$74:$B$82="Dados")*((Premissas!$C$74:$C$82="Planejado")+(Premissas!$C$74:$C$82="Em estudo")*Premissas!$B$70)*(Premissas!$F$74:$F$82&lt;=BH$4)*(Premissas!$G$74:$G$82&gt;=BH$4)*(Premissas!$D$74:$D$82="Por usuário")*Premissas!$E$74:$E$82)*BH111)</f>
        <v>5750</v>
      </c>
      <c r="BI118" s="168" t="n">
        <f aca="false">IF(BI111=0,0,SUMPRODUCT((Premissas!$B$74:$B$82="Dados")*((Premissas!$C$74:$C$82="Planejado")+(Premissas!$C$74:$C$82="Em estudo")*Premissas!$B$70)*(Premissas!$F$74:$F$82&lt;=BI$4)*(Premissas!$G$74:$G$82&gt;=BI$4)*(Premissas!$D$74:$D$82="Fixo mensal")*Premissas!$E$74:$E$82)+SUMPRODUCT((Premissas!$B$74:$B$82="Dados")*((Premissas!$C$74:$C$82="Planejado")+(Premissas!$C$74:$C$82="Em estudo")*Premissas!$B$70)*(Premissas!$F$74:$F$82&lt;=BI$4)*(Premissas!$G$74:$G$82&gt;=BI$4)*(Premissas!$D$74:$D$82="Por usuário")*Premissas!$E$74:$E$82)*BI111)</f>
        <v>5750</v>
      </c>
      <c r="BJ118" s="154" t="n">
        <f aca="false">SUM(B118:BI118)</f>
        <v>246750</v>
      </c>
      <c r="BK118" s="51" t="s">
        <v>748</v>
      </c>
    </row>
    <row r="119" customFormat="false" ht="15.75" hidden="false" customHeight="true" outlineLevel="0" collapsed="false">
      <c r="A119" s="49" t="s">
        <v>757</v>
      </c>
      <c r="B119" s="168" t="n">
        <f aca="false">SUMPRODUCT((Premissas!$B$74:$B$82="Outras")*((Premissas!$C$74:$C$82="Planejado")+(Premissas!$C$74:$C$82="Em estudo")*Premissas!$B$70)*(Premissas!$F$74:$F$82&lt;=B$4)*(Premissas!$G$74:$G$82&gt;=B$4)*(Premissas!$D$74:$D$82="Fixo mensal")*Premissas!$E$74:$E$82)+SUMPRODUCT((Premissas!$B$74:$B$82="Outras")*((Premissas!$C$74:$C$82="Planejado")+(Premissas!$C$74:$C$82="Em estudo")*Premissas!$B$70)*(Premissas!$F$74:$F$82&lt;=B$4)*(Premissas!$G$74:$G$82&gt;=B$4)*(Premissas!$D$74:$D$82="Por usuário")*Premissas!$E$74:$E$82)*B111</f>
        <v>0</v>
      </c>
      <c r="C119" s="168" t="n">
        <f aca="false">SUMPRODUCT((Premissas!$B$74:$B$82="Outras")*((Premissas!$C$74:$C$82="Planejado")+(Premissas!$C$74:$C$82="Em estudo")*Premissas!$B$70)*(Premissas!$F$74:$F$82&lt;=C$4)*(Premissas!$G$74:$G$82&gt;=C$4)*(Premissas!$D$74:$D$82="Fixo mensal")*Premissas!$E$74:$E$82)+SUMPRODUCT((Premissas!$B$74:$B$82="Outras")*((Premissas!$C$74:$C$82="Planejado")+(Premissas!$C$74:$C$82="Em estudo")*Premissas!$B$70)*(Premissas!$F$74:$F$82&lt;=C$4)*(Premissas!$G$74:$G$82&gt;=C$4)*(Premissas!$D$74:$D$82="Por usuário")*Premissas!$E$74:$E$82)*C111</f>
        <v>0</v>
      </c>
      <c r="D119" s="168" t="n">
        <f aca="false">SUMPRODUCT((Premissas!$B$74:$B$82="Outras")*((Premissas!$C$74:$C$82="Planejado")+(Premissas!$C$74:$C$82="Em estudo")*Premissas!$B$70)*(Premissas!$F$74:$F$82&lt;=D$4)*(Premissas!$G$74:$G$82&gt;=D$4)*(Premissas!$D$74:$D$82="Fixo mensal")*Premissas!$E$74:$E$82)+SUMPRODUCT((Premissas!$B$74:$B$82="Outras")*((Premissas!$C$74:$C$82="Planejado")+(Premissas!$C$74:$C$82="Em estudo")*Premissas!$B$70)*(Premissas!$F$74:$F$82&lt;=D$4)*(Premissas!$G$74:$G$82&gt;=D$4)*(Premissas!$D$74:$D$82="Por usuário")*Premissas!$E$74:$E$82)*D111</f>
        <v>0</v>
      </c>
      <c r="E119" s="168" t="n">
        <f aca="false">SUMPRODUCT((Premissas!$B$74:$B$82="Outras")*((Premissas!$C$74:$C$82="Planejado")+(Premissas!$C$74:$C$82="Em estudo")*Premissas!$B$70)*(Premissas!$F$74:$F$82&lt;=E$4)*(Premissas!$G$74:$G$82&gt;=E$4)*(Premissas!$D$74:$D$82="Fixo mensal")*Premissas!$E$74:$E$82)+SUMPRODUCT((Premissas!$B$74:$B$82="Outras")*((Premissas!$C$74:$C$82="Planejado")+(Premissas!$C$74:$C$82="Em estudo")*Premissas!$B$70)*(Premissas!$F$74:$F$82&lt;=E$4)*(Premissas!$G$74:$G$82&gt;=E$4)*(Premissas!$D$74:$D$82="Por usuário")*Premissas!$E$74:$E$82)*E111</f>
        <v>0</v>
      </c>
      <c r="F119" s="168" t="n">
        <f aca="false">SUMPRODUCT((Premissas!$B$74:$B$82="Outras")*((Premissas!$C$74:$C$82="Planejado")+(Premissas!$C$74:$C$82="Em estudo")*Premissas!$B$70)*(Premissas!$F$74:$F$82&lt;=F$4)*(Premissas!$G$74:$G$82&gt;=F$4)*(Premissas!$D$74:$D$82="Fixo mensal")*Premissas!$E$74:$E$82)+SUMPRODUCT((Premissas!$B$74:$B$82="Outras")*((Premissas!$C$74:$C$82="Planejado")+(Premissas!$C$74:$C$82="Em estudo")*Premissas!$B$70)*(Premissas!$F$74:$F$82&lt;=F$4)*(Premissas!$G$74:$G$82&gt;=F$4)*(Premissas!$D$74:$D$82="Por usuário")*Premissas!$E$74:$E$82)*F111</f>
        <v>0</v>
      </c>
      <c r="G119" s="168" t="n">
        <f aca="false">SUMPRODUCT((Premissas!$B$74:$B$82="Outras")*((Premissas!$C$74:$C$82="Planejado")+(Premissas!$C$74:$C$82="Em estudo")*Premissas!$B$70)*(Premissas!$F$74:$F$82&lt;=G$4)*(Premissas!$G$74:$G$82&gt;=G$4)*(Premissas!$D$74:$D$82="Fixo mensal")*Premissas!$E$74:$E$82)+SUMPRODUCT((Premissas!$B$74:$B$82="Outras")*((Premissas!$C$74:$C$82="Planejado")+(Premissas!$C$74:$C$82="Em estudo")*Premissas!$B$70)*(Premissas!$F$74:$F$82&lt;=G$4)*(Premissas!$G$74:$G$82&gt;=G$4)*(Premissas!$D$74:$D$82="Por usuário")*Premissas!$E$74:$E$82)*G111</f>
        <v>0</v>
      </c>
      <c r="H119" s="168" t="n">
        <f aca="false">SUMPRODUCT((Premissas!$B$74:$B$82="Outras")*((Premissas!$C$74:$C$82="Planejado")+(Premissas!$C$74:$C$82="Em estudo")*Premissas!$B$70)*(Premissas!$F$74:$F$82&lt;=H$4)*(Premissas!$G$74:$G$82&gt;=H$4)*(Premissas!$D$74:$D$82="Fixo mensal")*Premissas!$E$74:$E$82)+SUMPRODUCT((Premissas!$B$74:$B$82="Outras")*((Premissas!$C$74:$C$82="Planejado")+(Premissas!$C$74:$C$82="Em estudo")*Premissas!$B$70)*(Premissas!$F$74:$F$82&lt;=H$4)*(Premissas!$G$74:$G$82&gt;=H$4)*(Premissas!$D$74:$D$82="Por usuário")*Premissas!$E$74:$E$82)*H111</f>
        <v>0</v>
      </c>
      <c r="I119" s="168" t="n">
        <f aca="false">SUMPRODUCT((Premissas!$B$74:$B$82="Outras")*((Premissas!$C$74:$C$82="Planejado")+(Premissas!$C$74:$C$82="Em estudo")*Premissas!$B$70)*(Premissas!$F$74:$F$82&lt;=I$4)*(Premissas!$G$74:$G$82&gt;=I$4)*(Premissas!$D$74:$D$82="Fixo mensal")*Premissas!$E$74:$E$82)+SUMPRODUCT((Premissas!$B$74:$B$82="Outras")*((Premissas!$C$74:$C$82="Planejado")+(Premissas!$C$74:$C$82="Em estudo")*Premissas!$B$70)*(Premissas!$F$74:$F$82&lt;=I$4)*(Premissas!$G$74:$G$82&gt;=I$4)*(Premissas!$D$74:$D$82="Por usuário")*Premissas!$E$74:$E$82)*I111</f>
        <v>0</v>
      </c>
      <c r="J119" s="168" t="n">
        <f aca="false">SUMPRODUCT((Premissas!$B$74:$B$82="Outras")*((Premissas!$C$74:$C$82="Planejado")+(Premissas!$C$74:$C$82="Em estudo")*Premissas!$B$70)*(Premissas!$F$74:$F$82&lt;=J$4)*(Premissas!$G$74:$G$82&gt;=J$4)*(Premissas!$D$74:$D$82="Fixo mensal")*Premissas!$E$74:$E$82)+SUMPRODUCT((Premissas!$B$74:$B$82="Outras")*((Premissas!$C$74:$C$82="Planejado")+(Premissas!$C$74:$C$82="Em estudo")*Premissas!$B$70)*(Premissas!$F$74:$F$82&lt;=J$4)*(Premissas!$G$74:$G$82&gt;=J$4)*(Premissas!$D$74:$D$82="Por usuário")*Premissas!$E$74:$E$82)*J111</f>
        <v>0</v>
      </c>
      <c r="K119" s="168" t="n">
        <f aca="false">SUMPRODUCT((Premissas!$B$74:$B$82="Outras")*((Premissas!$C$74:$C$82="Planejado")+(Premissas!$C$74:$C$82="Em estudo")*Premissas!$B$70)*(Premissas!$F$74:$F$82&lt;=K$4)*(Premissas!$G$74:$G$82&gt;=K$4)*(Premissas!$D$74:$D$82="Fixo mensal")*Premissas!$E$74:$E$82)+SUMPRODUCT((Premissas!$B$74:$B$82="Outras")*((Premissas!$C$74:$C$82="Planejado")+(Premissas!$C$74:$C$82="Em estudo")*Premissas!$B$70)*(Premissas!$F$74:$F$82&lt;=K$4)*(Premissas!$G$74:$G$82&gt;=K$4)*(Premissas!$D$74:$D$82="Por usuário")*Premissas!$E$74:$E$82)*K111</f>
        <v>0</v>
      </c>
      <c r="L119" s="168" t="n">
        <f aca="false">SUMPRODUCT((Premissas!$B$74:$B$82="Outras")*((Premissas!$C$74:$C$82="Planejado")+(Premissas!$C$74:$C$82="Em estudo")*Premissas!$B$70)*(Premissas!$F$74:$F$82&lt;=L$4)*(Premissas!$G$74:$G$82&gt;=L$4)*(Premissas!$D$74:$D$82="Fixo mensal")*Premissas!$E$74:$E$82)+SUMPRODUCT((Premissas!$B$74:$B$82="Outras")*((Premissas!$C$74:$C$82="Planejado")+(Premissas!$C$74:$C$82="Em estudo")*Premissas!$B$70)*(Premissas!$F$74:$F$82&lt;=L$4)*(Premissas!$G$74:$G$82&gt;=L$4)*(Premissas!$D$74:$D$82="Por usuário")*Premissas!$E$74:$E$82)*L111</f>
        <v>0</v>
      </c>
      <c r="M119" s="168" t="n">
        <f aca="false">SUMPRODUCT((Premissas!$B$74:$B$82="Outras")*((Premissas!$C$74:$C$82="Planejado")+(Premissas!$C$74:$C$82="Em estudo")*Premissas!$B$70)*(Premissas!$F$74:$F$82&lt;=M$4)*(Premissas!$G$74:$G$82&gt;=M$4)*(Premissas!$D$74:$D$82="Fixo mensal")*Premissas!$E$74:$E$82)+SUMPRODUCT((Premissas!$B$74:$B$82="Outras")*((Premissas!$C$74:$C$82="Planejado")+(Premissas!$C$74:$C$82="Em estudo")*Premissas!$B$70)*(Premissas!$F$74:$F$82&lt;=M$4)*(Premissas!$G$74:$G$82&gt;=M$4)*(Premissas!$D$74:$D$82="Por usuário")*Premissas!$E$74:$E$82)*M111</f>
        <v>0</v>
      </c>
      <c r="N119" s="168" t="n">
        <f aca="false">SUMPRODUCT((Premissas!$B$74:$B$82="Outras")*((Premissas!$C$74:$C$82="Planejado")+(Premissas!$C$74:$C$82="Em estudo")*Premissas!$B$70)*(Premissas!$F$74:$F$82&lt;=N$4)*(Premissas!$G$74:$G$82&gt;=N$4)*(Premissas!$D$74:$D$82="Fixo mensal")*Premissas!$E$74:$E$82)+SUMPRODUCT((Premissas!$B$74:$B$82="Outras")*((Premissas!$C$74:$C$82="Planejado")+(Premissas!$C$74:$C$82="Em estudo")*Premissas!$B$70)*(Premissas!$F$74:$F$82&lt;=N$4)*(Premissas!$G$74:$G$82&gt;=N$4)*(Premissas!$D$74:$D$82="Por usuário")*Premissas!$E$74:$E$82)*N111</f>
        <v>0</v>
      </c>
      <c r="O119" s="168" t="n">
        <f aca="false">SUMPRODUCT((Premissas!$B$74:$B$82="Outras")*((Premissas!$C$74:$C$82="Planejado")+(Premissas!$C$74:$C$82="Em estudo")*Premissas!$B$70)*(Premissas!$F$74:$F$82&lt;=O$4)*(Premissas!$G$74:$G$82&gt;=O$4)*(Premissas!$D$74:$D$82="Fixo mensal")*Premissas!$E$74:$E$82)+SUMPRODUCT((Premissas!$B$74:$B$82="Outras")*((Premissas!$C$74:$C$82="Planejado")+(Premissas!$C$74:$C$82="Em estudo")*Premissas!$B$70)*(Premissas!$F$74:$F$82&lt;=O$4)*(Premissas!$G$74:$G$82&gt;=O$4)*(Premissas!$D$74:$D$82="Por usuário")*Premissas!$E$74:$E$82)*O111</f>
        <v>0</v>
      </c>
      <c r="P119" s="168" t="n">
        <f aca="false">SUMPRODUCT((Premissas!$B$74:$B$82="Outras")*((Premissas!$C$74:$C$82="Planejado")+(Premissas!$C$74:$C$82="Em estudo")*Premissas!$B$70)*(Premissas!$F$74:$F$82&lt;=P$4)*(Premissas!$G$74:$G$82&gt;=P$4)*(Premissas!$D$74:$D$82="Fixo mensal")*Premissas!$E$74:$E$82)+SUMPRODUCT((Premissas!$B$74:$B$82="Outras")*((Premissas!$C$74:$C$82="Planejado")+(Premissas!$C$74:$C$82="Em estudo")*Premissas!$B$70)*(Premissas!$F$74:$F$82&lt;=P$4)*(Premissas!$G$74:$G$82&gt;=P$4)*(Premissas!$D$74:$D$82="Por usuário")*Premissas!$E$74:$E$82)*P111</f>
        <v>0</v>
      </c>
      <c r="Q119" s="168" t="n">
        <f aca="false">SUMPRODUCT((Premissas!$B$74:$B$82="Outras")*((Premissas!$C$74:$C$82="Planejado")+(Premissas!$C$74:$C$82="Em estudo")*Premissas!$B$70)*(Premissas!$F$74:$F$82&lt;=Q$4)*(Premissas!$G$74:$G$82&gt;=Q$4)*(Premissas!$D$74:$D$82="Fixo mensal")*Premissas!$E$74:$E$82)+SUMPRODUCT((Premissas!$B$74:$B$82="Outras")*((Premissas!$C$74:$C$82="Planejado")+(Premissas!$C$74:$C$82="Em estudo")*Premissas!$B$70)*(Premissas!$F$74:$F$82&lt;=Q$4)*(Premissas!$G$74:$G$82&gt;=Q$4)*(Premissas!$D$74:$D$82="Por usuário")*Premissas!$E$74:$E$82)*Q111</f>
        <v>0</v>
      </c>
      <c r="R119" s="168" t="n">
        <f aca="false">SUMPRODUCT((Premissas!$B$74:$B$82="Outras")*((Premissas!$C$74:$C$82="Planejado")+(Premissas!$C$74:$C$82="Em estudo")*Premissas!$B$70)*(Premissas!$F$74:$F$82&lt;=R$4)*(Premissas!$G$74:$G$82&gt;=R$4)*(Premissas!$D$74:$D$82="Fixo mensal")*Premissas!$E$74:$E$82)+SUMPRODUCT((Premissas!$B$74:$B$82="Outras")*((Premissas!$C$74:$C$82="Planejado")+(Premissas!$C$74:$C$82="Em estudo")*Premissas!$B$70)*(Premissas!$F$74:$F$82&lt;=R$4)*(Premissas!$G$74:$G$82&gt;=R$4)*(Premissas!$D$74:$D$82="Por usuário")*Premissas!$E$74:$E$82)*R111</f>
        <v>0</v>
      </c>
      <c r="S119" s="168" t="n">
        <f aca="false">SUMPRODUCT((Premissas!$B$74:$B$82="Outras")*((Premissas!$C$74:$C$82="Planejado")+(Premissas!$C$74:$C$82="Em estudo")*Premissas!$B$70)*(Premissas!$F$74:$F$82&lt;=S$4)*(Premissas!$G$74:$G$82&gt;=S$4)*(Premissas!$D$74:$D$82="Fixo mensal")*Premissas!$E$74:$E$82)+SUMPRODUCT((Premissas!$B$74:$B$82="Outras")*((Premissas!$C$74:$C$82="Planejado")+(Premissas!$C$74:$C$82="Em estudo")*Premissas!$B$70)*(Premissas!$F$74:$F$82&lt;=S$4)*(Premissas!$G$74:$G$82&gt;=S$4)*(Premissas!$D$74:$D$82="Por usuário")*Premissas!$E$74:$E$82)*S111</f>
        <v>0</v>
      </c>
      <c r="T119" s="168" t="n">
        <f aca="false">SUMPRODUCT((Premissas!$B$74:$B$82="Outras")*((Premissas!$C$74:$C$82="Planejado")+(Premissas!$C$74:$C$82="Em estudo")*Premissas!$B$70)*(Premissas!$F$74:$F$82&lt;=T$4)*(Premissas!$G$74:$G$82&gt;=T$4)*(Premissas!$D$74:$D$82="Fixo mensal")*Premissas!$E$74:$E$82)+SUMPRODUCT((Premissas!$B$74:$B$82="Outras")*((Premissas!$C$74:$C$82="Planejado")+(Premissas!$C$74:$C$82="Em estudo")*Premissas!$B$70)*(Premissas!$F$74:$F$82&lt;=T$4)*(Premissas!$G$74:$G$82&gt;=T$4)*(Premissas!$D$74:$D$82="Por usuário")*Premissas!$E$74:$E$82)*T111</f>
        <v>0</v>
      </c>
      <c r="U119" s="168" t="n">
        <f aca="false">SUMPRODUCT((Premissas!$B$74:$B$82="Outras")*((Premissas!$C$74:$C$82="Planejado")+(Premissas!$C$74:$C$82="Em estudo")*Premissas!$B$70)*(Premissas!$F$74:$F$82&lt;=U$4)*(Premissas!$G$74:$G$82&gt;=U$4)*(Premissas!$D$74:$D$82="Fixo mensal")*Premissas!$E$74:$E$82)+SUMPRODUCT((Premissas!$B$74:$B$82="Outras")*((Premissas!$C$74:$C$82="Planejado")+(Premissas!$C$74:$C$82="Em estudo")*Premissas!$B$70)*(Premissas!$F$74:$F$82&lt;=U$4)*(Premissas!$G$74:$G$82&gt;=U$4)*(Premissas!$D$74:$D$82="Por usuário")*Premissas!$E$74:$E$82)*U111</f>
        <v>0</v>
      </c>
      <c r="V119" s="168" t="n">
        <f aca="false">SUMPRODUCT((Premissas!$B$74:$B$82="Outras")*((Premissas!$C$74:$C$82="Planejado")+(Premissas!$C$74:$C$82="Em estudo")*Premissas!$B$70)*(Premissas!$F$74:$F$82&lt;=V$4)*(Premissas!$G$74:$G$82&gt;=V$4)*(Premissas!$D$74:$D$82="Fixo mensal")*Premissas!$E$74:$E$82)+SUMPRODUCT((Premissas!$B$74:$B$82="Outras")*((Premissas!$C$74:$C$82="Planejado")+(Premissas!$C$74:$C$82="Em estudo")*Premissas!$B$70)*(Premissas!$F$74:$F$82&lt;=V$4)*(Premissas!$G$74:$G$82&gt;=V$4)*(Premissas!$D$74:$D$82="Por usuário")*Premissas!$E$74:$E$82)*V111</f>
        <v>0</v>
      </c>
      <c r="W119" s="168" t="n">
        <f aca="false">SUMPRODUCT((Premissas!$B$74:$B$82="Outras")*((Premissas!$C$74:$C$82="Planejado")+(Premissas!$C$74:$C$82="Em estudo")*Premissas!$B$70)*(Premissas!$F$74:$F$82&lt;=W$4)*(Premissas!$G$74:$G$82&gt;=W$4)*(Premissas!$D$74:$D$82="Fixo mensal")*Premissas!$E$74:$E$82)+SUMPRODUCT((Premissas!$B$74:$B$82="Outras")*((Premissas!$C$74:$C$82="Planejado")+(Premissas!$C$74:$C$82="Em estudo")*Premissas!$B$70)*(Premissas!$F$74:$F$82&lt;=W$4)*(Premissas!$G$74:$G$82&gt;=W$4)*(Premissas!$D$74:$D$82="Por usuário")*Premissas!$E$74:$E$82)*W111</f>
        <v>0</v>
      </c>
      <c r="X119" s="168" t="n">
        <f aca="false">SUMPRODUCT((Premissas!$B$74:$B$82="Outras")*((Premissas!$C$74:$C$82="Planejado")+(Premissas!$C$74:$C$82="Em estudo")*Premissas!$B$70)*(Premissas!$F$74:$F$82&lt;=X$4)*(Premissas!$G$74:$G$82&gt;=X$4)*(Premissas!$D$74:$D$82="Fixo mensal")*Premissas!$E$74:$E$82)+SUMPRODUCT((Premissas!$B$74:$B$82="Outras")*((Premissas!$C$74:$C$82="Planejado")+(Premissas!$C$74:$C$82="Em estudo")*Premissas!$B$70)*(Premissas!$F$74:$F$82&lt;=X$4)*(Premissas!$G$74:$G$82&gt;=X$4)*(Premissas!$D$74:$D$82="Por usuário")*Premissas!$E$74:$E$82)*X111</f>
        <v>0</v>
      </c>
      <c r="Y119" s="168" t="n">
        <f aca="false">SUMPRODUCT((Premissas!$B$74:$B$82="Outras")*((Premissas!$C$74:$C$82="Planejado")+(Premissas!$C$74:$C$82="Em estudo")*Premissas!$B$70)*(Premissas!$F$74:$F$82&lt;=Y$4)*(Premissas!$G$74:$G$82&gt;=Y$4)*(Premissas!$D$74:$D$82="Fixo mensal")*Premissas!$E$74:$E$82)+SUMPRODUCT((Premissas!$B$74:$B$82="Outras")*((Premissas!$C$74:$C$82="Planejado")+(Premissas!$C$74:$C$82="Em estudo")*Premissas!$B$70)*(Premissas!$F$74:$F$82&lt;=Y$4)*(Premissas!$G$74:$G$82&gt;=Y$4)*(Premissas!$D$74:$D$82="Por usuário")*Premissas!$E$74:$E$82)*Y111</f>
        <v>0</v>
      </c>
      <c r="Z119" s="168" t="n">
        <f aca="false">SUMPRODUCT((Premissas!$B$74:$B$82="Outras")*((Premissas!$C$74:$C$82="Planejado")+(Premissas!$C$74:$C$82="Em estudo")*Premissas!$B$70)*(Premissas!$F$74:$F$82&lt;=Z$4)*(Premissas!$G$74:$G$82&gt;=Z$4)*(Premissas!$D$74:$D$82="Fixo mensal")*Premissas!$E$74:$E$82)+SUMPRODUCT((Premissas!$B$74:$B$82="Outras")*((Premissas!$C$74:$C$82="Planejado")+(Premissas!$C$74:$C$82="Em estudo")*Premissas!$B$70)*(Premissas!$F$74:$F$82&lt;=Z$4)*(Premissas!$G$74:$G$82&gt;=Z$4)*(Premissas!$D$74:$D$82="Por usuário")*Premissas!$E$74:$E$82)*Z111</f>
        <v>0</v>
      </c>
      <c r="AA119" s="168" t="n">
        <f aca="false">SUMPRODUCT((Premissas!$B$74:$B$82="Outras")*((Premissas!$C$74:$C$82="Planejado")+(Premissas!$C$74:$C$82="Em estudo")*Premissas!$B$70)*(Premissas!$F$74:$F$82&lt;=AA$4)*(Premissas!$G$74:$G$82&gt;=AA$4)*(Premissas!$D$74:$D$82="Fixo mensal")*Premissas!$E$74:$E$82)+SUMPRODUCT((Premissas!$B$74:$B$82="Outras")*((Premissas!$C$74:$C$82="Planejado")+(Premissas!$C$74:$C$82="Em estudo")*Premissas!$B$70)*(Premissas!$F$74:$F$82&lt;=AA$4)*(Premissas!$G$74:$G$82&gt;=AA$4)*(Premissas!$D$74:$D$82="Por usuário")*Premissas!$E$74:$E$82)*AA111</f>
        <v>0</v>
      </c>
      <c r="AB119" s="168" t="n">
        <f aca="false">SUMPRODUCT((Premissas!$B$74:$B$82="Outras")*((Premissas!$C$74:$C$82="Planejado")+(Premissas!$C$74:$C$82="Em estudo")*Premissas!$B$70)*(Premissas!$F$74:$F$82&lt;=AB$4)*(Premissas!$G$74:$G$82&gt;=AB$4)*(Premissas!$D$74:$D$82="Fixo mensal")*Premissas!$E$74:$E$82)+SUMPRODUCT((Premissas!$B$74:$B$82="Outras")*((Premissas!$C$74:$C$82="Planejado")+(Premissas!$C$74:$C$82="Em estudo")*Premissas!$B$70)*(Premissas!$F$74:$F$82&lt;=AB$4)*(Premissas!$G$74:$G$82&gt;=AB$4)*(Premissas!$D$74:$D$82="Por usuário")*Premissas!$E$74:$E$82)*AB111</f>
        <v>0</v>
      </c>
      <c r="AC119" s="168" t="n">
        <f aca="false">SUMPRODUCT((Premissas!$B$74:$B$82="Outras")*((Premissas!$C$74:$C$82="Planejado")+(Premissas!$C$74:$C$82="Em estudo")*Premissas!$B$70)*(Premissas!$F$74:$F$82&lt;=AC$4)*(Premissas!$G$74:$G$82&gt;=AC$4)*(Premissas!$D$74:$D$82="Fixo mensal")*Premissas!$E$74:$E$82)+SUMPRODUCT((Premissas!$B$74:$B$82="Outras")*((Premissas!$C$74:$C$82="Planejado")+(Premissas!$C$74:$C$82="Em estudo")*Premissas!$B$70)*(Premissas!$F$74:$F$82&lt;=AC$4)*(Premissas!$G$74:$G$82&gt;=AC$4)*(Premissas!$D$74:$D$82="Por usuário")*Premissas!$E$74:$E$82)*AC111</f>
        <v>0</v>
      </c>
      <c r="AD119" s="168" t="n">
        <f aca="false">SUMPRODUCT((Premissas!$B$74:$B$82="Outras")*((Premissas!$C$74:$C$82="Planejado")+(Premissas!$C$74:$C$82="Em estudo")*Premissas!$B$70)*(Premissas!$F$74:$F$82&lt;=AD$4)*(Premissas!$G$74:$G$82&gt;=AD$4)*(Premissas!$D$74:$D$82="Fixo mensal")*Premissas!$E$74:$E$82)+SUMPRODUCT((Premissas!$B$74:$B$82="Outras")*((Premissas!$C$74:$C$82="Planejado")+(Premissas!$C$74:$C$82="Em estudo")*Premissas!$B$70)*(Premissas!$F$74:$F$82&lt;=AD$4)*(Premissas!$G$74:$G$82&gt;=AD$4)*(Premissas!$D$74:$D$82="Por usuário")*Premissas!$E$74:$E$82)*AD111</f>
        <v>0</v>
      </c>
      <c r="AE119" s="168" t="n">
        <f aca="false">SUMPRODUCT((Premissas!$B$74:$B$82="Outras")*((Premissas!$C$74:$C$82="Planejado")+(Premissas!$C$74:$C$82="Em estudo")*Premissas!$B$70)*(Premissas!$F$74:$F$82&lt;=AE$4)*(Premissas!$G$74:$G$82&gt;=AE$4)*(Premissas!$D$74:$D$82="Fixo mensal")*Premissas!$E$74:$E$82)+SUMPRODUCT((Premissas!$B$74:$B$82="Outras")*((Premissas!$C$74:$C$82="Planejado")+(Premissas!$C$74:$C$82="Em estudo")*Premissas!$B$70)*(Premissas!$F$74:$F$82&lt;=AE$4)*(Premissas!$G$74:$G$82&gt;=AE$4)*(Premissas!$D$74:$D$82="Por usuário")*Premissas!$E$74:$E$82)*AE111</f>
        <v>0</v>
      </c>
      <c r="AF119" s="168" t="n">
        <f aca="false">SUMPRODUCT((Premissas!$B$74:$B$82="Outras")*((Premissas!$C$74:$C$82="Planejado")+(Premissas!$C$74:$C$82="Em estudo")*Premissas!$B$70)*(Premissas!$F$74:$F$82&lt;=AF$4)*(Premissas!$G$74:$G$82&gt;=AF$4)*(Premissas!$D$74:$D$82="Fixo mensal")*Premissas!$E$74:$E$82)+SUMPRODUCT((Premissas!$B$74:$B$82="Outras")*((Premissas!$C$74:$C$82="Planejado")+(Premissas!$C$74:$C$82="Em estudo")*Premissas!$B$70)*(Premissas!$F$74:$F$82&lt;=AF$4)*(Premissas!$G$74:$G$82&gt;=AF$4)*(Premissas!$D$74:$D$82="Por usuário")*Premissas!$E$74:$E$82)*AF111</f>
        <v>0</v>
      </c>
      <c r="AG119" s="168" t="n">
        <f aca="false">SUMPRODUCT((Premissas!$B$74:$B$82="Outras")*((Premissas!$C$74:$C$82="Planejado")+(Premissas!$C$74:$C$82="Em estudo")*Premissas!$B$70)*(Premissas!$F$74:$F$82&lt;=AG$4)*(Premissas!$G$74:$G$82&gt;=AG$4)*(Premissas!$D$74:$D$82="Fixo mensal")*Premissas!$E$74:$E$82)+SUMPRODUCT((Premissas!$B$74:$B$82="Outras")*((Premissas!$C$74:$C$82="Planejado")+(Premissas!$C$74:$C$82="Em estudo")*Premissas!$B$70)*(Premissas!$F$74:$F$82&lt;=AG$4)*(Premissas!$G$74:$G$82&gt;=AG$4)*(Premissas!$D$74:$D$82="Por usuário")*Premissas!$E$74:$E$82)*AG111</f>
        <v>0</v>
      </c>
      <c r="AH119" s="168" t="n">
        <f aca="false">SUMPRODUCT((Premissas!$B$74:$B$82="Outras")*((Premissas!$C$74:$C$82="Planejado")+(Premissas!$C$74:$C$82="Em estudo")*Premissas!$B$70)*(Premissas!$F$74:$F$82&lt;=AH$4)*(Premissas!$G$74:$G$82&gt;=AH$4)*(Premissas!$D$74:$D$82="Fixo mensal")*Premissas!$E$74:$E$82)+SUMPRODUCT((Premissas!$B$74:$B$82="Outras")*((Premissas!$C$74:$C$82="Planejado")+(Premissas!$C$74:$C$82="Em estudo")*Premissas!$B$70)*(Premissas!$F$74:$F$82&lt;=AH$4)*(Premissas!$G$74:$G$82&gt;=AH$4)*(Premissas!$D$74:$D$82="Por usuário")*Premissas!$E$74:$E$82)*AH111</f>
        <v>0</v>
      </c>
      <c r="AI119" s="168" t="n">
        <f aca="false">SUMPRODUCT((Premissas!$B$74:$B$82="Outras")*((Premissas!$C$74:$C$82="Planejado")+(Premissas!$C$74:$C$82="Em estudo")*Premissas!$B$70)*(Premissas!$F$74:$F$82&lt;=AI$4)*(Premissas!$G$74:$G$82&gt;=AI$4)*(Premissas!$D$74:$D$82="Fixo mensal")*Premissas!$E$74:$E$82)+SUMPRODUCT((Premissas!$B$74:$B$82="Outras")*((Premissas!$C$74:$C$82="Planejado")+(Premissas!$C$74:$C$82="Em estudo")*Premissas!$B$70)*(Premissas!$F$74:$F$82&lt;=AI$4)*(Premissas!$G$74:$G$82&gt;=AI$4)*(Premissas!$D$74:$D$82="Por usuário")*Premissas!$E$74:$E$82)*AI111</f>
        <v>0</v>
      </c>
      <c r="AJ119" s="168" t="n">
        <f aca="false">SUMPRODUCT((Premissas!$B$74:$B$82="Outras")*((Premissas!$C$74:$C$82="Planejado")+(Premissas!$C$74:$C$82="Em estudo")*Premissas!$B$70)*(Premissas!$F$74:$F$82&lt;=AJ$4)*(Premissas!$G$74:$G$82&gt;=AJ$4)*(Premissas!$D$74:$D$82="Fixo mensal")*Premissas!$E$74:$E$82)+SUMPRODUCT((Premissas!$B$74:$B$82="Outras")*((Premissas!$C$74:$C$82="Planejado")+(Premissas!$C$74:$C$82="Em estudo")*Premissas!$B$70)*(Premissas!$F$74:$F$82&lt;=AJ$4)*(Premissas!$G$74:$G$82&gt;=AJ$4)*(Premissas!$D$74:$D$82="Por usuário")*Premissas!$E$74:$E$82)*AJ111</f>
        <v>0</v>
      </c>
      <c r="AK119" s="168" t="n">
        <f aca="false">SUMPRODUCT((Premissas!$B$74:$B$82="Outras")*((Premissas!$C$74:$C$82="Planejado")+(Premissas!$C$74:$C$82="Em estudo")*Premissas!$B$70)*(Premissas!$F$74:$F$82&lt;=AK$4)*(Premissas!$G$74:$G$82&gt;=AK$4)*(Premissas!$D$74:$D$82="Fixo mensal")*Premissas!$E$74:$E$82)+SUMPRODUCT((Premissas!$B$74:$B$82="Outras")*((Premissas!$C$74:$C$82="Planejado")+(Premissas!$C$74:$C$82="Em estudo")*Premissas!$B$70)*(Premissas!$F$74:$F$82&lt;=AK$4)*(Premissas!$G$74:$G$82&gt;=AK$4)*(Premissas!$D$74:$D$82="Por usuário")*Premissas!$E$74:$E$82)*AK111</f>
        <v>0</v>
      </c>
      <c r="AL119" s="168" t="n">
        <f aca="false">SUMPRODUCT((Premissas!$B$74:$B$82="Outras")*((Premissas!$C$74:$C$82="Planejado")+(Premissas!$C$74:$C$82="Em estudo")*Premissas!$B$70)*(Premissas!$F$74:$F$82&lt;=AL$4)*(Premissas!$G$74:$G$82&gt;=AL$4)*(Premissas!$D$74:$D$82="Fixo mensal")*Premissas!$E$74:$E$82)+SUMPRODUCT((Premissas!$B$74:$B$82="Outras")*((Premissas!$C$74:$C$82="Planejado")+(Premissas!$C$74:$C$82="Em estudo")*Premissas!$B$70)*(Premissas!$F$74:$F$82&lt;=AL$4)*(Premissas!$G$74:$G$82&gt;=AL$4)*(Premissas!$D$74:$D$82="Por usuário")*Premissas!$E$74:$E$82)*AL111</f>
        <v>0</v>
      </c>
      <c r="AM119" s="168" t="n">
        <f aca="false">SUMPRODUCT((Premissas!$B$74:$B$82="Outras")*((Premissas!$C$74:$C$82="Planejado")+(Premissas!$C$74:$C$82="Em estudo")*Premissas!$B$70)*(Premissas!$F$74:$F$82&lt;=AM$4)*(Premissas!$G$74:$G$82&gt;=AM$4)*(Premissas!$D$74:$D$82="Fixo mensal")*Premissas!$E$74:$E$82)+SUMPRODUCT((Premissas!$B$74:$B$82="Outras")*((Premissas!$C$74:$C$82="Planejado")+(Premissas!$C$74:$C$82="Em estudo")*Premissas!$B$70)*(Premissas!$F$74:$F$82&lt;=AM$4)*(Premissas!$G$74:$G$82&gt;=AM$4)*(Premissas!$D$74:$D$82="Por usuário")*Premissas!$E$74:$E$82)*AM111</f>
        <v>0</v>
      </c>
      <c r="AN119" s="168" t="n">
        <f aca="false">SUMPRODUCT((Premissas!$B$74:$B$82="Outras")*((Premissas!$C$74:$C$82="Planejado")+(Premissas!$C$74:$C$82="Em estudo")*Premissas!$B$70)*(Premissas!$F$74:$F$82&lt;=AN$4)*(Premissas!$G$74:$G$82&gt;=AN$4)*(Premissas!$D$74:$D$82="Fixo mensal")*Premissas!$E$74:$E$82)+SUMPRODUCT((Premissas!$B$74:$B$82="Outras")*((Premissas!$C$74:$C$82="Planejado")+(Premissas!$C$74:$C$82="Em estudo")*Premissas!$B$70)*(Premissas!$F$74:$F$82&lt;=AN$4)*(Premissas!$G$74:$G$82&gt;=AN$4)*(Premissas!$D$74:$D$82="Por usuário")*Premissas!$E$74:$E$82)*AN111</f>
        <v>0</v>
      </c>
      <c r="AO119" s="168" t="n">
        <f aca="false">SUMPRODUCT((Premissas!$B$74:$B$82="Outras")*((Premissas!$C$74:$C$82="Planejado")+(Premissas!$C$74:$C$82="Em estudo")*Premissas!$B$70)*(Premissas!$F$74:$F$82&lt;=AO$4)*(Premissas!$G$74:$G$82&gt;=AO$4)*(Premissas!$D$74:$D$82="Fixo mensal")*Premissas!$E$74:$E$82)+SUMPRODUCT((Premissas!$B$74:$B$82="Outras")*((Premissas!$C$74:$C$82="Planejado")+(Premissas!$C$74:$C$82="Em estudo")*Premissas!$B$70)*(Premissas!$F$74:$F$82&lt;=AO$4)*(Premissas!$G$74:$G$82&gt;=AO$4)*(Premissas!$D$74:$D$82="Por usuário")*Premissas!$E$74:$E$82)*AO111</f>
        <v>0</v>
      </c>
      <c r="AP119" s="168" t="n">
        <f aca="false">SUMPRODUCT((Premissas!$B$74:$B$82="Outras")*((Premissas!$C$74:$C$82="Planejado")+(Premissas!$C$74:$C$82="Em estudo")*Premissas!$B$70)*(Premissas!$F$74:$F$82&lt;=AP$4)*(Premissas!$G$74:$G$82&gt;=AP$4)*(Premissas!$D$74:$D$82="Fixo mensal")*Premissas!$E$74:$E$82)+SUMPRODUCT((Premissas!$B$74:$B$82="Outras")*((Premissas!$C$74:$C$82="Planejado")+(Premissas!$C$74:$C$82="Em estudo")*Premissas!$B$70)*(Premissas!$F$74:$F$82&lt;=AP$4)*(Premissas!$G$74:$G$82&gt;=AP$4)*(Premissas!$D$74:$D$82="Por usuário")*Premissas!$E$74:$E$82)*AP111</f>
        <v>0</v>
      </c>
      <c r="AQ119" s="168" t="n">
        <f aca="false">SUMPRODUCT((Premissas!$B$74:$B$82="Outras")*((Premissas!$C$74:$C$82="Planejado")+(Premissas!$C$74:$C$82="Em estudo")*Premissas!$B$70)*(Premissas!$F$74:$F$82&lt;=AQ$4)*(Premissas!$G$74:$G$82&gt;=AQ$4)*(Premissas!$D$74:$D$82="Fixo mensal")*Premissas!$E$74:$E$82)+SUMPRODUCT((Premissas!$B$74:$B$82="Outras")*((Premissas!$C$74:$C$82="Planejado")+(Premissas!$C$74:$C$82="Em estudo")*Premissas!$B$70)*(Premissas!$F$74:$F$82&lt;=AQ$4)*(Premissas!$G$74:$G$82&gt;=AQ$4)*(Premissas!$D$74:$D$82="Por usuário")*Premissas!$E$74:$E$82)*AQ111</f>
        <v>0</v>
      </c>
      <c r="AR119" s="168" t="n">
        <f aca="false">SUMPRODUCT((Premissas!$B$74:$B$82="Outras")*((Premissas!$C$74:$C$82="Planejado")+(Premissas!$C$74:$C$82="Em estudo")*Premissas!$B$70)*(Premissas!$F$74:$F$82&lt;=AR$4)*(Premissas!$G$74:$G$82&gt;=AR$4)*(Premissas!$D$74:$D$82="Fixo mensal")*Premissas!$E$74:$E$82)+SUMPRODUCT((Premissas!$B$74:$B$82="Outras")*((Premissas!$C$74:$C$82="Planejado")+(Premissas!$C$74:$C$82="Em estudo")*Premissas!$B$70)*(Premissas!$F$74:$F$82&lt;=AR$4)*(Premissas!$G$74:$G$82&gt;=AR$4)*(Premissas!$D$74:$D$82="Por usuário")*Premissas!$E$74:$E$82)*AR111</f>
        <v>0</v>
      </c>
      <c r="AS119" s="168" t="n">
        <f aca="false">SUMPRODUCT((Premissas!$B$74:$B$82="Outras")*((Premissas!$C$74:$C$82="Planejado")+(Premissas!$C$74:$C$82="Em estudo")*Premissas!$B$70)*(Premissas!$F$74:$F$82&lt;=AS$4)*(Premissas!$G$74:$G$82&gt;=AS$4)*(Premissas!$D$74:$D$82="Fixo mensal")*Premissas!$E$74:$E$82)+SUMPRODUCT((Premissas!$B$74:$B$82="Outras")*((Premissas!$C$74:$C$82="Planejado")+(Premissas!$C$74:$C$82="Em estudo")*Premissas!$B$70)*(Premissas!$F$74:$F$82&lt;=AS$4)*(Premissas!$G$74:$G$82&gt;=AS$4)*(Premissas!$D$74:$D$82="Por usuário")*Premissas!$E$74:$E$82)*AS111</f>
        <v>0</v>
      </c>
      <c r="AT119" s="168" t="n">
        <f aca="false">SUMPRODUCT((Premissas!$B$74:$B$82="Outras")*((Premissas!$C$74:$C$82="Planejado")+(Premissas!$C$74:$C$82="Em estudo")*Premissas!$B$70)*(Premissas!$F$74:$F$82&lt;=AT$4)*(Premissas!$G$74:$G$82&gt;=AT$4)*(Premissas!$D$74:$D$82="Fixo mensal")*Premissas!$E$74:$E$82)+SUMPRODUCT((Premissas!$B$74:$B$82="Outras")*((Premissas!$C$74:$C$82="Planejado")+(Premissas!$C$74:$C$82="Em estudo")*Premissas!$B$70)*(Premissas!$F$74:$F$82&lt;=AT$4)*(Premissas!$G$74:$G$82&gt;=AT$4)*(Premissas!$D$74:$D$82="Por usuário")*Premissas!$E$74:$E$82)*AT111</f>
        <v>0</v>
      </c>
      <c r="AU119" s="168" t="n">
        <f aca="false">SUMPRODUCT((Premissas!$B$74:$B$82="Outras")*((Premissas!$C$74:$C$82="Planejado")+(Premissas!$C$74:$C$82="Em estudo")*Premissas!$B$70)*(Premissas!$F$74:$F$82&lt;=AU$4)*(Premissas!$G$74:$G$82&gt;=AU$4)*(Premissas!$D$74:$D$82="Fixo mensal")*Premissas!$E$74:$E$82)+SUMPRODUCT((Premissas!$B$74:$B$82="Outras")*((Premissas!$C$74:$C$82="Planejado")+(Premissas!$C$74:$C$82="Em estudo")*Premissas!$B$70)*(Premissas!$F$74:$F$82&lt;=AU$4)*(Premissas!$G$74:$G$82&gt;=AU$4)*(Premissas!$D$74:$D$82="Por usuário")*Premissas!$E$74:$E$82)*AU111</f>
        <v>0</v>
      </c>
      <c r="AV119" s="168" t="n">
        <f aca="false">SUMPRODUCT((Premissas!$B$74:$B$82="Outras")*((Premissas!$C$74:$C$82="Planejado")+(Premissas!$C$74:$C$82="Em estudo")*Premissas!$B$70)*(Premissas!$F$74:$F$82&lt;=AV$4)*(Premissas!$G$74:$G$82&gt;=AV$4)*(Premissas!$D$74:$D$82="Fixo mensal")*Premissas!$E$74:$E$82)+SUMPRODUCT((Premissas!$B$74:$B$82="Outras")*((Premissas!$C$74:$C$82="Planejado")+(Premissas!$C$74:$C$82="Em estudo")*Premissas!$B$70)*(Premissas!$F$74:$F$82&lt;=AV$4)*(Premissas!$G$74:$G$82&gt;=AV$4)*(Premissas!$D$74:$D$82="Por usuário")*Premissas!$E$74:$E$82)*AV111</f>
        <v>0</v>
      </c>
      <c r="AW119" s="168" t="n">
        <f aca="false">SUMPRODUCT((Premissas!$B$74:$B$82="Outras")*((Premissas!$C$74:$C$82="Planejado")+(Premissas!$C$74:$C$82="Em estudo")*Premissas!$B$70)*(Premissas!$F$74:$F$82&lt;=AW$4)*(Premissas!$G$74:$G$82&gt;=AW$4)*(Premissas!$D$74:$D$82="Fixo mensal")*Premissas!$E$74:$E$82)+SUMPRODUCT((Premissas!$B$74:$B$82="Outras")*((Premissas!$C$74:$C$82="Planejado")+(Premissas!$C$74:$C$82="Em estudo")*Premissas!$B$70)*(Premissas!$F$74:$F$82&lt;=AW$4)*(Premissas!$G$74:$G$82&gt;=AW$4)*(Premissas!$D$74:$D$82="Por usuário")*Premissas!$E$74:$E$82)*AW111</f>
        <v>0</v>
      </c>
      <c r="AX119" s="168" t="n">
        <f aca="false">SUMPRODUCT((Premissas!$B$74:$B$82="Outras")*((Premissas!$C$74:$C$82="Planejado")+(Premissas!$C$74:$C$82="Em estudo")*Premissas!$B$70)*(Premissas!$F$74:$F$82&lt;=AX$4)*(Premissas!$G$74:$G$82&gt;=AX$4)*(Premissas!$D$74:$D$82="Fixo mensal")*Premissas!$E$74:$E$82)+SUMPRODUCT((Premissas!$B$74:$B$82="Outras")*((Premissas!$C$74:$C$82="Planejado")+(Premissas!$C$74:$C$82="Em estudo")*Premissas!$B$70)*(Premissas!$F$74:$F$82&lt;=AX$4)*(Premissas!$G$74:$G$82&gt;=AX$4)*(Premissas!$D$74:$D$82="Por usuário")*Premissas!$E$74:$E$82)*AX111</f>
        <v>0</v>
      </c>
      <c r="AY119" s="168" t="n">
        <f aca="false">SUMPRODUCT((Premissas!$B$74:$B$82="Outras")*((Premissas!$C$74:$C$82="Planejado")+(Premissas!$C$74:$C$82="Em estudo")*Premissas!$B$70)*(Premissas!$F$74:$F$82&lt;=AY$4)*(Premissas!$G$74:$G$82&gt;=AY$4)*(Premissas!$D$74:$D$82="Fixo mensal")*Premissas!$E$74:$E$82)+SUMPRODUCT((Premissas!$B$74:$B$82="Outras")*((Premissas!$C$74:$C$82="Planejado")+(Premissas!$C$74:$C$82="Em estudo")*Premissas!$B$70)*(Premissas!$F$74:$F$82&lt;=AY$4)*(Premissas!$G$74:$G$82&gt;=AY$4)*(Premissas!$D$74:$D$82="Por usuário")*Premissas!$E$74:$E$82)*AY111</f>
        <v>0</v>
      </c>
      <c r="AZ119" s="168" t="n">
        <f aca="false">SUMPRODUCT((Premissas!$B$74:$B$82="Outras")*((Premissas!$C$74:$C$82="Planejado")+(Premissas!$C$74:$C$82="Em estudo")*Premissas!$B$70)*(Premissas!$F$74:$F$82&lt;=AZ$4)*(Premissas!$G$74:$G$82&gt;=AZ$4)*(Premissas!$D$74:$D$82="Fixo mensal")*Premissas!$E$74:$E$82)+SUMPRODUCT((Premissas!$B$74:$B$82="Outras")*((Premissas!$C$74:$C$82="Planejado")+(Premissas!$C$74:$C$82="Em estudo")*Premissas!$B$70)*(Premissas!$F$74:$F$82&lt;=AZ$4)*(Premissas!$G$74:$G$82&gt;=AZ$4)*(Premissas!$D$74:$D$82="Por usuário")*Premissas!$E$74:$E$82)*AZ111</f>
        <v>0</v>
      </c>
      <c r="BA119" s="168" t="n">
        <f aca="false">SUMPRODUCT((Premissas!$B$74:$B$82="Outras")*((Premissas!$C$74:$C$82="Planejado")+(Premissas!$C$74:$C$82="Em estudo")*Premissas!$B$70)*(Premissas!$F$74:$F$82&lt;=BA$4)*(Premissas!$G$74:$G$82&gt;=BA$4)*(Premissas!$D$74:$D$82="Fixo mensal")*Premissas!$E$74:$E$82)+SUMPRODUCT((Premissas!$B$74:$B$82="Outras")*((Premissas!$C$74:$C$82="Planejado")+(Premissas!$C$74:$C$82="Em estudo")*Premissas!$B$70)*(Premissas!$F$74:$F$82&lt;=BA$4)*(Premissas!$G$74:$G$82&gt;=BA$4)*(Premissas!$D$74:$D$82="Por usuário")*Premissas!$E$74:$E$82)*BA111</f>
        <v>0</v>
      </c>
      <c r="BB119" s="168" t="n">
        <f aca="false">SUMPRODUCT((Premissas!$B$74:$B$82="Outras")*((Premissas!$C$74:$C$82="Planejado")+(Premissas!$C$74:$C$82="Em estudo")*Premissas!$B$70)*(Premissas!$F$74:$F$82&lt;=BB$4)*(Premissas!$G$74:$G$82&gt;=BB$4)*(Premissas!$D$74:$D$82="Fixo mensal")*Premissas!$E$74:$E$82)+SUMPRODUCT((Premissas!$B$74:$B$82="Outras")*((Premissas!$C$74:$C$82="Planejado")+(Premissas!$C$74:$C$82="Em estudo")*Premissas!$B$70)*(Premissas!$F$74:$F$82&lt;=BB$4)*(Premissas!$G$74:$G$82&gt;=BB$4)*(Premissas!$D$74:$D$82="Por usuário")*Premissas!$E$74:$E$82)*BB111</f>
        <v>0</v>
      </c>
      <c r="BC119" s="168" t="n">
        <f aca="false">SUMPRODUCT((Premissas!$B$74:$B$82="Outras")*((Premissas!$C$74:$C$82="Planejado")+(Premissas!$C$74:$C$82="Em estudo")*Premissas!$B$70)*(Premissas!$F$74:$F$82&lt;=BC$4)*(Premissas!$G$74:$G$82&gt;=BC$4)*(Premissas!$D$74:$D$82="Fixo mensal")*Premissas!$E$74:$E$82)+SUMPRODUCT((Premissas!$B$74:$B$82="Outras")*((Premissas!$C$74:$C$82="Planejado")+(Premissas!$C$74:$C$82="Em estudo")*Premissas!$B$70)*(Premissas!$F$74:$F$82&lt;=BC$4)*(Premissas!$G$74:$G$82&gt;=BC$4)*(Premissas!$D$74:$D$82="Por usuário")*Premissas!$E$74:$E$82)*BC111</f>
        <v>0</v>
      </c>
      <c r="BD119" s="168" t="n">
        <f aca="false">SUMPRODUCT((Premissas!$B$74:$B$82="Outras")*((Premissas!$C$74:$C$82="Planejado")+(Premissas!$C$74:$C$82="Em estudo")*Premissas!$B$70)*(Premissas!$F$74:$F$82&lt;=BD$4)*(Premissas!$G$74:$G$82&gt;=BD$4)*(Premissas!$D$74:$D$82="Fixo mensal")*Premissas!$E$74:$E$82)+SUMPRODUCT((Premissas!$B$74:$B$82="Outras")*((Premissas!$C$74:$C$82="Planejado")+(Premissas!$C$74:$C$82="Em estudo")*Premissas!$B$70)*(Premissas!$F$74:$F$82&lt;=BD$4)*(Premissas!$G$74:$G$82&gt;=BD$4)*(Premissas!$D$74:$D$82="Por usuário")*Premissas!$E$74:$E$82)*BD111</f>
        <v>0</v>
      </c>
      <c r="BE119" s="168" t="n">
        <f aca="false">SUMPRODUCT((Premissas!$B$74:$B$82="Outras")*((Premissas!$C$74:$C$82="Planejado")+(Premissas!$C$74:$C$82="Em estudo")*Premissas!$B$70)*(Premissas!$F$74:$F$82&lt;=BE$4)*(Premissas!$G$74:$G$82&gt;=BE$4)*(Premissas!$D$74:$D$82="Fixo mensal")*Premissas!$E$74:$E$82)+SUMPRODUCT((Premissas!$B$74:$B$82="Outras")*((Premissas!$C$74:$C$82="Planejado")+(Premissas!$C$74:$C$82="Em estudo")*Premissas!$B$70)*(Premissas!$F$74:$F$82&lt;=BE$4)*(Premissas!$G$74:$G$82&gt;=BE$4)*(Premissas!$D$74:$D$82="Por usuário")*Premissas!$E$74:$E$82)*BE111</f>
        <v>0</v>
      </c>
      <c r="BF119" s="168" t="n">
        <f aca="false">SUMPRODUCT((Premissas!$B$74:$B$82="Outras")*((Premissas!$C$74:$C$82="Planejado")+(Premissas!$C$74:$C$82="Em estudo")*Premissas!$B$70)*(Premissas!$F$74:$F$82&lt;=BF$4)*(Premissas!$G$74:$G$82&gt;=BF$4)*(Premissas!$D$74:$D$82="Fixo mensal")*Premissas!$E$74:$E$82)+SUMPRODUCT((Premissas!$B$74:$B$82="Outras")*((Premissas!$C$74:$C$82="Planejado")+(Premissas!$C$74:$C$82="Em estudo")*Premissas!$B$70)*(Premissas!$F$74:$F$82&lt;=BF$4)*(Premissas!$G$74:$G$82&gt;=BF$4)*(Premissas!$D$74:$D$82="Por usuário")*Premissas!$E$74:$E$82)*BF111</f>
        <v>0</v>
      </c>
      <c r="BG119" s="168" t="n">
        <f aca="false">SUMPRODUCT((Premissas!$B$74:$B$82="Outras")*((Premissas!$C$74:$C$82="Planejado")+(Premissas!$C$74:$C$82="Em estudo")*Premissas!$B$70)*(Premissas!$F$74:$F$82&lt;=BG$4)*(Premissas!$G$74:$G$82&gt;=BG$4)*(Premissas!$D$74:$D$82="Fixo mensal")*Premissas!$E$74:$E$82)+SUMPRODUCT((Premissas!$B$74:$B$82="Outras")*((Premissas!$C$74:$C$82="Planejado")+(Premissas!$C$74:$C$82="Em estudo")*Premissas!$B$70)*(Premissas!$F$74:$F$82&lt;=BG$4)*(Premissas!$G$74:$G$82&gt;=BG$4)*(Premissas!$D$74:$D$82="Por usuário")*Premissas!$E$74:$E$82)*BG111</f>
        <v>0</v>
      </c>
      <c r="BH119" s="168" t="n">
        <f aca="false">SUMPRODUCT((Premissas!$B$74:$B$82="Outras")*((Premissas!$C$74:$C$82="Planejado")+(Premissas!$C$74:$C$82="Em estudo")*Premissas!$B$70)*(Premissas!$F$74:$F$82&lt;=BH$4)*(Premissas!$G$74:$G$82&gt;=BH$4)*(Premissas!$D$74:$D$82="Fixo mensal")*Premissas!$E$74:$E$82)+SUMPRODUCT((Premissas!$B$74:$B$82="Outras")*((Premissas!$C$74:$C$82="Planejado")+(Premissas!$C$74:$C$82="Em estudo")*Premissas!$B$70)*(Premissas!$F$74:$F$82&lt;=BH$4)*(Premissas!$G$74:$G$82&gt;=BH$4)*(Premissas!$D$74:$D$82="Por usuário")*Premissas!$E$74:$E$82)*BH111</f>
        <v>0</v>
      </c>
      <c r="BI119" s="168" t="n">
        <f aca="false">SUMPRODUCT((Premissas!$B$74:$B$82="Outras")*((Premissas!$C$74:$C$82="Planejado")+(Premissas!$C$74:$C$82="Em estudo")*Premissas!$B$70)*(Premissas!$F$74:$F$82&lt;=BI$4)*(Premissas!$G$74:$G$82&gt;=BI$4)*(Premissas!$D$74:$D$82="Fixo mensal")*Premissas!$E$74:$E$82)+SUMPRODUCT((Premissas!$B$74:$B$82="Outras")*((Premissas!$C$74:$C$82="Planejado")+(Premissas!$C$74:$C$82="Em estudo")*Premissas!$B$70)*(Premissas!$F$74:$F$82&lt;=BI$4)*(Premissas!$G$74:$G$82&gt;=BI$4)*(Premissas!$D$74:$D$82="Por usuário")*Premissas!$E$74:$E$82)*BI111</f>
        <v>0</v>
      </c>
      <c r="BJ119" s="154" t="n">
        <f aca="false">SUM(B119:BI119)</f>
        <v>0</v>
      </c>
      <c r="BK119" s="51" t="s">
        <v>758</v>
      </c>
    </row>
    <row r="120" customFormat="false" ht="15.75" hidden="false" customHeight="true" outlineLevel="0" collapsed="false">
      <c r="A120" s="53" t="s">
        <v>699</v>
      </c>
      <c r="B120" s="154" t="n">
        <f aca="false">SUM(B115:B119)</f>
        <v>0</v>
      </c>
      <c r="C120" s="154" t="n">
        <f aca="false">SUM(C115:C119)</f>
        <v>0</v>
      </c>
      <c r="D120" s="154" t="n">
        <f aca="false">SUM(D115:D119)</f>
        <v>0</v>
      </c>
      <c r="E120" s="154" t="n">
        <f aca="false">SUM(E115:E119)</f>
        <v>0</v>
      </c>
      <c r="F120" s="154" t="n">
        <f aca="false">SUM(F115:F119)</f>
        <v>0</v>
      </c>
      <c r="G120" s="154" t="n">
        <f aca="false">SUM(G115:G119)</f>
        <v>0</v>
      </c>
      <c r="H120" s="154" t="n">
        <f aca="false">SUM(H115:H119)</f>
        <v>0</v>
      </c>
      <c r="I120" s="154" t="n">
        <f aca="false">SUM(I115:I119)</f>
        <v>0</v>
      </c>
      <c r="J120" s="154" t="n">
        <f aca="false">SUM(J115:J119)</f>
        <v>0</v>
      </c>
      <c r="K120" s="154" t="n">
        <f aca="false">SUM(K115:K119)</f>
        <v>0</v>
      </c>
      <c r="L120" s="154" t="n">
        <f aca="false">SUM(L115:L119)</f>
        <v>0</v>
      </c>
      <c r="M120" s="154" t="n">
        <f aca="false">SUM(M115:M119)</f>
        <v>20214.7</v>
      </c>
      <c r="N120" s="154" t="n">
        <f aca="false">SUM(N115:N119)</f>
        <v>112608.77468</v>
      </c>
      <c r="O120" s="154" t="n">
        <f aca="false">SUM(O115:O119)</f>
        <v>263164.456477664</v>
      </c>
      <c r="P120" s="154" t="n">
        <f aca="false">SUM(P115:P119)</f>
        <v>474303.257440097</v>
      </c>
      <c r="Q120" s="154" t="n">
        <f aca="false">SUM(Q115:Q119)</f>
        <v>735146.893949404</v>
      </c>
      <c r="R120" s="154" t="n">
        <f aca="false">SUM(R115:R119)</f>
        <v>1038726.5558034</v>
      </c>
      <c r="S120" s="154" t="n">
        <f aca="false">SUM(S115:S119)</f>
        <v>1190086.22424305</v>
      </c>
      <c r="T120" s="154" t="n">
        <f aca="false">SUM(T115:T119)</f>
        <v>1332970.98898483</v>
      </c>
      <c r="U120" s="154" t="n">
        <f aca="false">SUM(U115:U119)</f>
        <v>1468024.76431287</v>
      </c>
      <c r="V120" s="154" t="n">
        <f aca="false">SUM(V115:V119)</f>
        <v>1595651.5042828</v>
      </c>
      <c r="W120" s="154" t="n">
        <f aca="false">SUM(W115:W119)</f>
        <v>1718254.91708639</v>
      </c>
      <c r="X120" s="154" t="n">
        <f aca="false">SUM(X115:X119)</f>
        <v>1832158.57862322</v>
      </c>
      <c r="Y120" s="154" t="n">
        <f aca="false">SUM(Y115:Y119)</f>
        <v>1939765.74532322</v>
      </c>
      <c r="Z120" s="154" t="n">
        <f aca="false">SUM(Z115:Z119)</f>
        <v>2452494.78231054</v>
      </c>
      <c r="AA120" s="154" t="n">
        <f aca="false">SUM(AA115:AA119)</f>
        <v>2704273.41756408</v>
      </c>
      <c r="AB120" s="154" t="n">
        <f aca="false">SUM(AB115:AB119)</f>
        <v>2943225.51439691</v>
      </c>
      <c r="AC120" s="154" t="n">
        <f aca="false">SUM(AC115:AC119)</f>
        <v>3170087.38115058</v>
      </c>
      <c r="AD120" s="154" t="n">
        <f aca="false">SUM(AD115:AD119)</f>
        <v>3385409.42805982</v>
      </c>
      <c r="AE120" s="154" t="n">
        <f aca="false">SUM(AE115:AE119)</f>
        <v>3589817.99254843</v>
      </c>
      <c r="AF120" s="154" t="n">
        <f aca="false">SUM(AF115:AF119)</f>
        <v>3783849.96324045</v>
      </c>
      <c r="AG120" s="154" t="n">
        <f aca="false">SUM(AG115:AG119)</f>
        <v>3967973.60275205</v>
      </c>
      <c r="AH120" s="154" t="n">
        <f aca="false">SUM(AH115:AH119)</f>
        <v>4142833.96932589</v>
      </c>
      <c r="AI120" s="154" t="n">
        <f aca="false">SUM(AI115:AI119)</f>
        <v>4308748.73736685</v>
      </c>
      <c r="AJ120" s="154" t="n">
        <f aca="false">SUM(AJ115:AJ119)</f>
        <v>4466262.31693481</v>
      </c>
      <c r="AK120" s="154" t="n">
        <f aca="false">SUM(AK115:AK119)</f>
        <v>4615790.67224759</v>
      </c>
      <c r="AL120" s="154" t="n">
        <f aca="false">SUM(AL115:AL119)</f>
        <v>5390237.31549511</v>
      </c>
      <c r="AM120" s="154" t="n">
        <f aca="false">SUM(AM115:AM119)</f>
        <v>5786889.89259413</v>
      </c>
      <c r="AN120" s="154" t="n">
        <f aca="false">SUM(AN115:AN119)</f>
        <v>6165026.97563326</v>
      </c>
      <c r="AO120" s="154" t="n">
        <f aca="false">SUM(AO115:AO119)</f>
        <v>6525526.08169894</v>
      </c>
      <c r="AP120" s="154" t="n">
        <f aca="false">SUM(AP115:AP119)</f>
        <v>6869224.72068647</v>
      </c>
      <c r="AQ120" s="154" t="n">
        <f aca="false">SUM(AQ115:AQ119)</f>
        <v>7196778.03768516</v>
      </c>
      <c r="AR120" s="154" t="n">
        <f aca="false">SUM(AR115:AR119)</f>
        <v>7509130.85338315</v>
      </c>
      <c r="AS120" s="154" t="n">
        <f aca="false">SUM(AS115:AS119)</f>
        <v>7806779.5025845</v>
      </c>
      <c r="AT120" s="154" t="n">
        <f aca="false">SUM(AT115:AT119)</f>
        <v>8090536.57092673</v>
      </c>
      <c r="AU120" s="154" t="n">
        <f aca="false">SUM(AU115:AU119)</f>
        <v>8361044.12988277</v>
      </c>
      <c r="AV120" s="154" t="n">
        <f aca="false">SUM(AV115:AV119)</f>
        <v>8618975.27012769</v>
      </c>
      <c r="AW120" s="154" t="n">
        <f aca="false">SUM(AW115:AW119)</f>
        <v>8864823.53334647</v>
      </c>
      <c r="AX120" s="154" t="n">
        <f aca="false">SUM(AX115:AX119)</f>
        <v>10222407.6764336</v>
      </c>
      <c r="AY120" s="154" t="n">
        <f aca="false">SUM(AY115:AY119)</f>
        <v>10896786.996123</v>
      </c>
      <c r="AZ120" s="154" t="n">
        <f aca="false">SUM(AZ115:AZ119)</f>
        <v>11542227.4363644</v>
      </c>
      <c r="BA120" s="154" t="n">
        <f aca="false">SUM(BA115:BA119)</f>
        <v>12159898.4219476</v>
      </c>
      <c r="BB120" s="154" t="n">
        <f aca="false">SUM(BB115:BB119)</f>
        <v>12750909.7796304</v>
      </c>
      <c r="BC120" s="154" t="n">
        <f aca="false">SUM(BC115:BC119)</f>
        <v>13316617.0982314</v>
      </c>
      <c r="BD120" s="154" t="n">
        <f aca="false">SUM(BD115:BD119)</f>
        <v>13858005.9861392</v>
      </c>
      <c r="BE120" s="154" t="n">
        <f aca="false">SUM(BE115:BE119)</f>
        <v>14376083.4263498</v>
      </c>
      <c r="BF120" s="154" t="n">
        <f aca="false">SUM(BF115:BF119)</f>
        <v>14871980.7291384</v>
      </c>
      <c r="BG120" s="154" t="n">
        <f aca="false">SUM(BG115:BG119)</f>
        <v>15346493.6824671</v>
      </c>
      <c r="BH120" s="154" t="n">
        <f aca="false">SUM(BH115:BH119)</f>
        <v>15800629.8002262</v>
      </c>
      <c r="BI120" s="154" t="n">
        <f aca="false">SUM(BI115:BI119)</f>
        <v>16235173.6684013</v>
      </c>
      <c r="BJ120" s="154" t="n">
        <f aca="false">SUM(B120:BI120)</f>
        <v>305814032.724602</v>
      </c>
    </row>
    <row r="121" customFormat="false" ht="15.75" hidden="false" customHeight="true" outlineLevel="0" collapsed="false">
      <c r="A121" s="49" t="s">
        <v>759</v>
      </c>
      <c r="B121" s="168" t="n">
        <f aca="false">B120*12</f>
        <v>0</v>
      </c>
      <c r="C121" s="168" t="n">
        <f aca="false">SUM($B120:B120)/1*12</f>
        <v>0</v>
      </c>
      <c r="D121" s="168" t="n">
        <f aca="false">SUM($B120:C120)/2*12</f>
        <v>0</v>
      </c>
      <c r="E121" s="168" t="n">
        <f aca="false">SUM($B120:D120)/3*12</f>
        <v>0</v>
      </c>
      <c r="F121" s="168" t="n">
        <f aca="false">SUM($B120:E120)/4*12</f>
        <v>0</v>
      </c>
      <c r="G121" s="168" t="n">
        <f aca="false">SUM($B120:F120)/5*12</f>
        <v>0</v>
      </c>
      <c r="H121" s="168" t="n">
        <f aca="false">SUM($B120:G120)/6*12</f>
        <v>0</v>
      </c>
      <c r="I121" s="168" t="n">
        <f aca="false">SUM($B120:H120)/7*12</f>
        <v>0</v>
      </c>
      <c r="J121" s="168" t="n">
        <f aca="false">SUM($B120:I120)/8*12</f>
        <v>0</v>
      </c>
      <c r="K121" s="168" t="n">
        <f aca="false">SUM($B120:J120)/9*12</f>
        <v>0</v>
      </c>
      <c r="L121" s="168" t="n">
        <f aca="false">SUM($B120:K120)/10*12</f>
        <v>0</v>
      </c>
      <c r="M121" s="168" t="n">
        <f aca="false">SUM($B120:L120)/11*12</f>
        <v>0</v>
      </c>
      <c r="N121" s="168" t="n">
        <f aca="false">SUM(B120:M120)</f>
        <v>20214.7</v>
      </c>
      <c r="O121" s="168" t="n">
        <f aca="false">SUM(C120:N120)</f>
        <v>132823.47468</v>
      </c>
      <c r="P121" s="168" t="n">
        <f aca="false">SUM(D120:O120)</f>
        <v>395987.931157664</v>
      </c>
      <c r="Q121" s="168" t="n">
        <f aca="false">SUM(E120:P120)</f>
        <v>870291.188597761</v>
      </c>
      <c r="R121" s="168" t="n">
        <f aca="false">SUM(F120:Q120)</f>
        <v>1605438.08254716</v>
      </c>
      <c r="S121" s="168" t="n">
        <f aca="false">SUM(G120:R120)</f>
        <v>2644164.63835056</v>
      </c>
      <c r="T121" s="168" t="n">
        <f aca="false">SUM(H120:S120)</f>
        <v>3834250.86259361</v>
      </c>
      <c r="U121" s="168" t="n">
        <f aca="false">SUM(I120:T120)</f>
        <v>5167221.85157844</v>
      </c>
      <c r="V121" s="168" t="n">
        <f aca="false">SUM(J120:U120)</f>
        <v>6635246.61589131</v>
      </c>
      <c r="W121" s="168" t="n">
        <f aca="false">SUM(K120:V120)</f>
        <v>8230898.12017411</v>
      </c>
      <c r="X121" s="168" t="n">
        <f aca="false">SUM(L120:W120)</f>
        <v>9949153.0372605</v>
      </c>
      <c r="Y121" s="168" t="n">
        <f aca="false">SUM(M120:X120)</f>
        <v>11781311.6158837</v>
      </c>
      <c r="Z121" s="168" t="n">
        <f aca="false">SUM(N120:Y120)</f>
        <v>13700862.6612069</v>
      </c>
      <c r="AA121" s="168" t="n">
        <f aca="false">SUM(O120:Z120)</f>
        <v>16040748.6688375</v>
      </c>
      <c r="AB121" s="168" t="n">
        <f aca="false">SUM(P120:AA120)</f>
        <v>18481857.6299239</v>
      </c>
      <c r="AC121" s="168" t="n">
        <f aca="false">SUM(Q120:AB120)</f>
        <v>20950779.8868807</v>
      </c>
      <c r="AD121" s="168" t="n">
        <f aca="false">SUM(R120:AC120)</f>
        <v>23385720.3740819</v>
      </c>
      <c r="AE121" s="168" t="n">
        <f aca="false">SUM(S120:AD120)</f>
        <v>25732403.2463383</v>
      </c>
      <c r="AF121" s="168" t="n">
        <f aca="false">SUM(T120:AE120)</f>
        <v>28132135.0146437</v>
      </c>
      <c r="AG121" s="168" t="n">
        <f aca="false">SUM(U120:AF120)</f>
        <v>30583013.9888993</v>
      </c>
      <c r="AH121" s="168" t="n">
        <f aca="false">SUM(V120:AG120)</f>
        <v>33082962.8273385</v>
      </c>
      <c r="AI121" s="168" t="n">
        <f aca="false">SUM(W120:AH120)</f>
        <v>35630145.2923816</v>
      </c>
      <c r="AJ121" s="168" t="n">
        <f aca="false">SUM(X120:AI120)</f>
        <v>38220639.1126621</v>
      </c>
      <c r="AK121" s="168" t="n">
        <f aca="false">SUM(Y120:AJ120)</f>
        <v>40854742.8509736</v>
      </c>
      <c r="AL121" s="168" t="n">
        <f aca="false">SUM(Z120:AK120)</f>
        <v>43530767.777898</v>
      </c>
      <c r="AM121" s="168" t="n">
        <f aca="false">SUM(AA120:AL120)</f>
        <v>46468510.3110826</v>
      </c>
      <c r="AN121" s="168" t="n">
        <f aca="false">SUM(AB120:AM120)</f>
        <v>49551126.7861126</v>
      </c>
      <c r="AO121" s="168" t="n">
        <f aca="false">SUM(AC120:AN120)</f>
        <v>52772928.247349</v>
      </c>
      <c r="AP121" s="168" t="n">
        <f aca="false">SUM(AD120:AO120)</f>
        <v>56128366.9478973</v>
      </c>
      <c r="AQ121" s="168" t="n">
        <f aca="false">SUM(AE120:AP120)</f>
        <v>59612182.240524</v>
      </c>
      <c r="AR121" s="168" t="n">
        <f aca="false">SUM(AF120:AQ120)</f>
        <v>63219142.2856607</v>
      </c>
      <c r="AS121" s="168" t="n">
        <f aca="false">SUM(AG120:AR120)</f>
        <v>66944423.1758034</v>
      </c>
      <c r="AT121" s="168" t="n">
        <f aca="false">SUM(AH120:AS120)</f>
        <v>70783229.0756359</v>
      </c>
      <c r="AU121" s="168" t="n">
        <f aca="false">SUM(AI120:AT120)</f>
        <v>74730931.6772367</v>
      </c>
      <c r="AV121" s="168" t="n">
        <f aca="false">SUM(AJ120:AU120)</f>
        <v>78783227.0697526</v>
      </c>
      <c r="AW121" s="168" t="n">
        <f aca="false">SUM(AK120:AV120)</f>
        <v>82935940.0229455</v>
      </c>
      <c r="AX121" s="168" t="n">
        <f aca="false">SUM(AL120:AW120)</f>
        <v>87184972.8840444</v>
      </c>
      <c r="AY121" s="168" t="n">
        <f aca="false">SUM(AM120:AX120)</f>
        <v>92017143.2449828</v>
      </c>
      <c r="AZ121" s="168" t="n">
        <f aca="false">SUM(AN120:AY120)</f>
        <v>97127040.3485117</v>
      </c>
      <c r="BA121" s="168" t="n">
        <f aca="false">SUM(AO120:AZ120)</f>
        <v>102504240.809243</v>
      </c>
      <c r="BB121" s="168" t="n">
        <f aca="false">SUM(AP120:BA120)</f>
        <v>108138613.149491</v>
      </c>
      <c r="BC121" s="168" t="n">
        <f aca="false">SUM(AQ120:BB120)</f>
        <v>114020298.208435</v>
      </c>
      <c r="BD121" s="168" t="n">
        <f aca="false">SUM(AR120:BC120)</f>
        <v>120140137.268982</v>
      </c>
      <c r="BE121" s="168" t="n">
        <f aca="false">SUM(AS120:BD120)</f>
        <v>126489012.401738</v>
      </c>
      <c r="BF121" s="168" t="n">
        <f aca="false">SUM(AT120:BE120)</f>
        <v>133058316.325503</v>
      </c>
      <c r="BG121" s="168" t="n">
        <f aca="false">SUM(AU120:BF120)</f>
        <v>139839760.483715</v>
      </c>
      <c r="BH121" s="168" t="n">
        <f aca="false">SUM(AV120:BG120)</f>
        <v>146825210.036299</v>
      </c>
      <c r="BI121" s="168" t="n">
        <f aca="false">SUM(AW120:BH120)</f>
        <v>154006864.566398</v>
      </c>
      <c r="BJ121" s="154" t="n">
        <f aca="false">BI121</f>
        <v>154006864.566398</v>
      </c>
    </row>
    <row r="122" customFormat="false" ht="15.75" hidden="false" customHeight="true" outlineLevel="0" collapsed="false">
      <c r="A122" s="49" t="s">
        <v>702</v>
      </c>
      <c r="B122" s="263" t="n">
        <f aca="false" t="array" ref="B122:B122">IF(Premissas!$B$23=3,Premissas!$B$24,IF(B121&gt;Premissas!$B$25,Premissas!$B$24,IFERROR(MAX(Tributos!$C$24,(INDEX(Tributos!$C$24:$C$29,MATCH(B121,Tributos!$B$24:$B$29,1))*B121-INDEX(Tributos!$D$24:$D$29,MATCH(B121,Tributos!$B$24:$B$29,1)))/B121),Tributos!$C$24)))</f>
        <v>0.155</v>
      </c>
      <c r="C122" s="263" t="n">
        <f aca="false" t="array" ref="C122:C122">IF(Premissas!$B$23=3,Premissas!$B$24,IF(C121&gt;Premissas!$B$25,Premissas!$B$24,IFERROR(MAX(Tributos!$C$24,(INDEX(Tributos!$C$24:$C$29,MATCH(C121,Tributos!$B$24:$B$29,1))*C121-INDEX(Tributos!$D$24:$D$29,MATCH(C121,Tributos!$B$24:$B$29,1)))/C121),Tributos!$C$24)))</f>
        <v>0.155</v>
      </c>
      <c r="D122" s="263" t="n">
        <f aca="false" t="array" ref="D122:D122">IF(Premissas!$B$23=3,Premissas!$B$24,IF(D121&gt;Premissas!$B$25,Premissas!$B$24,IFERROR(MAX(Tributos!$C$24,(INDEX(Tributos!$C$24:$C$29,MATCH(D121,Tributos!$B$24:$B$29,1))*D121-INDEX(Tributos!$D$24:$D$29,MATCH(D121,Tributos!$B$24:$B$29,1)))/D121),Tributos!$C$24)))</f>
        <v>0.155</v>
      </c>
      <c r="E122" s="263" t="n">
        <f aca="false" t="array" ref="E122:E122">IF(Premissas!$B$23=3,Premissas!$B$24,IF(E121&gt;Premissas!$B$25,Premissas!$B$24,IFERROR(MAX(Tributos!$C$24,(INDEX(Tributos!$C$24:$C$29,MATCH(E121,Tributos!$B$24:$B$29,1))*E121-INDEX(Tributos!$D$24:$D$29,MATCH(E121,Tributos!$B$24:$B$29,1)))/E121),Tributos!$C$24)))</f>
        <v>0.155</v>
      </c>
      <c r="F122" s="263" t="n">
        <f aca="false" t="array" ref="F122:F122">IF(Premissas!$B$23=3,Premissas!$B$24,IF(F121&gt;Premissas!$B$25,Premissas!$B$24,IFERROR(MAX(Tributos!$C$24,(INDEX(Tributos!$C$24:$C$29,MATCH(F121,Tributos!$B$24:$B$29,1))*F121-INDEX(Tributos!$D$24:$D$29,MATCH(F121,Tributos!$B$24:$B$29,1)))/F121),Tributos!$C$24)))</f>
        <v>0.155</v>
      </c>
      <c r="G122" s="263" t="n">
        <f aca="false" t="array" ref="G122:G122">IF(Premissas!$B$23=3,Premissas!$B$24,IF(G121&gt;Premissas!$B$25,Premissas!$B$24,IFERROR(MAX(Tributos!$C$24,(INDEX(Tributos!$C$24:$C$29,MATCH(G121,Tributos!$B$24:$B$29,1))*G121-INDEX(Tributos!$D$24:$D$29,MATCH(G121,Tributos!$B$24:$B$29,1)))/G121),Tributos!$C$24)))</f>
        <v>0.155</v>
      </c>
      <c r="H122" s="263" t="n">
        <f aca="false" t="array" ref="H122:H122">IF(Premissas!$B$23=3,Premissas!$B$24,IF(H121&gt;Premissas!$B$25,Premissas!$B$24,IFERROR(MAX(Tributos!$C$24,(INDEX(Tributos!$C$24:$C$29,MATCH(H121,Tributos!$B$24:$B$29,1))*H121-INDEX(Tributos!$D$24:$D$29,MATCH(H121,Tributos!$B$24:$B$29,1)))/H121),Tributos!$C$24)))</f>
        <v>0.155</v>
      </c>
      <c r="I122" s="263" t="n">
        <f aca="false" t="array" ref="I122:I122">IF(Premissas!$B$23=3,Premissas!$B$24,IF(I121&gt;Premissas!$B$25,Premissas!$B$24,IFERROR(MAX(Tributos!$C$24,(INDEX(Tributos!$C$24:$C$29,MATCH(I121,Tributos!$B$24:$B$29,1))*I121-INDEX(Tributos!$D$24:$D$29,MATCH(I121,Tributos!$B$24:$B$29,1)))/I121),Tributos!$C$24)))</f>
        <v>0.155</v>
      </c>
      <c r="J122" s="263" t="n">
        <f aca="false" t="array" ref="J122:J122">IF(Premissas!$B$23=3,Premissas!$B$24,IF(J121&gt;Premissas!$B$25,Premissas!$B$24,IFERROR(MAX(Tributos!$C$24,(INDEX(Tributos!$C$24:$C$29,MATCH(J121,Tributos!$B$24:$B$29,1))*J121-INDEX(Tributos!$D$24:$D$29,MATCH(J121,Tributos!$B$24:$B$29,1)))/J121),Tributos!$C$24)))</f>
        <v>0.155</v>
      </c>
      <c r="K122" s="263" t="n">
        <f aca="false" t="array" ref="K122:K122">IF(Premissas!$B$23=3,Premissas!$B$24,IF(K121&gt;Premissas!$B$25,Premissas!$B$24,IFERROR(MAX(Tributos!$C$24,(INDEX(Tributos!$C$24:$C$29,MATCH(K121,Tributos!$B$24:$B$29,1))*K121-INDEX(Tributos!$D$24:$D$29,MATCH(K121,Tributos!$B$24:$B$29,1)))/K121),Tributos!$C$24)))</f>
        <v>0.155</v>
      </c>
      <c r="L122" s="263" t="n">
        <f aca="false" t="array" ref="L122:L122">IF(Premissas!$B$23=3,Premissas!$B$24,IF(L121&gt;Premissas!$B$25,Premissas!$B$24,IFERROR(MAX(Tributos!$C$24,(INDEX(Tributos!$C$24:$C$29,MATCH(L121,Tributos!$B$24:$B$29,1))*L121-INDEX(Tributos!$D$24:$D$29,MATCH(L121,Tributos!$B$24:$B$29,1)))/L121),Tributos!$C$24)))</f>
        <v>0.155</v>
      </c>
      <c r="M122" s="263" t="n">
        <f aca="false" t="array" ref="M122:M122">IF(Premissas!$B$23=3,Premissas!$B$24,IF(M121&gt;Premissas!$B$25,Premissas!$B$24,IFERROR(MAX(Tributos!$C$24,(INDEX(Tributos!$C$24:$C$29,MATCH(M121,Tributos!$B$24:$B$29,1))*M121-INDEX(Tributos!$D$24:$D$29,MATCH(M121,Tributos!$B$24:$B$29,1)))/M121),Tributos!$C$24)))</f>
        <v>0.155</v>
      </c>
      <c r="N122" s="263" t="n">
        <f aca="false" t="array" ref="N122:N122">IF(Premissas!$B$23=3,Premissas!$B$24,IF(N121&gt;Premissas!$B$25,Premissas!$B$24,IFERROR(MAX(Tributos!$C$24,(INDEX(Tributos!$C$24:$C$29,MATCH(N121,Tributos!$B$24:$B$29,1))*N121-INDEX(Tributos!$D$24:$D$29,MATCH(N121,Tributos!$B$24:$B$29,1)))/N121),Tributos!$C$24)))</f>
        <v>0.155</v>
      </c>
      <c r="O122" s="263" t="n">
        <f aca="false" t="array" ref="O122:O122">IF(Premissas!$B$23=3,Premissas!$B$24,IF(O121&gt;Premissas!$B$25,Premissas!$B$24,IFERROR(MAX(Tributos!$C$24,(INDEX(Tributos!$C$24:$C$29,MATCH(O121,Tributos!$B$24:$B$29,1))*O121-INDEX(Tributos!$D$24:$D$29,MATCH(O121,Tributos!$B$24:$B$29,1)))/O121),Tributos!$C$24)))</f>
        <v>0.155</v>
      </c>
      <c r="P122" s="263" t="n">
        <f aca="false" t="array" ref="P122:P122">IF(Premissas!$B$23=3,Premissas!$B$24,IF(P121&gt;Premissas!$B$25,Premissas!$B$24,IFERROR(MAX(Tributos!$C$24,(INDEX(Tributos!$C$24:$C$29,MATCH(P121,Tributos!$B$24:$B$29,1))*P121-INDEX(Tributos!$D$24:$D$29,MATCH(P121,Tributos!$B$24:$B$29,1)))/P121),Tributos!$C$24)))</f>
        <v>0.169999238054914</v>
      </c>
      <c r="Q122" s="263" t="n">
        <f aca="false" t="array" ref="Q122:Q122">IF(Premissas!$B$23=3,Premissas!$B$24,IF(Q121&gt;Premissas!$B$25,Premissas!$B$24,IFERROR(MAX(Tributos!$C$24,(INDEX(Tributos!$C$24:$C$29,MATCH(Q121,Tributos!$B$24:$B$29,1))*Q121-INDEX(Tributos!$D$24:$D$29,MATCH(Q121,Tributos!$B$24:$B$29,1)))/Q121),Tributos!$C$24)))</f>
        <v>0.185351403962216</v>
      </c>
      <c r="R122" s="263" t="n">
        <f aca="false" t="array" ref="R122:R122">IF(Premissas!$B$23=3,Premissas!$B$24,IF(R121&gt;Premissas!$B$25,Premissas!$B$24,IFERROR(MAX(Tributos!$C$24,(INDEX(Tributos!$C$24:$C$29,MATCH(R121,Tributos!$B$24:$B$29,1))*R121-INDEX(Tributos!$D$24:$D$29,MATCH(R121,Tributos!$B$24:$B$29,1)))/R121),Tributos!$C$24)))</f>
        <v>0.194348701649789</v>
      </c>
      <c r="S122" s="263" t="n">
        <f aca="false" t="array" ref="S122:S122">IF(Premissas!$B$23=3,Premissas!$B$24,IF(S121&gt;Premissas!$B$25,Premissas!$B$24,IFERROR(MAX(Tributos!$C$24,(INDEX(Tributos!$C$24:$C$29,MATCH(S121,Tributos!$B$24:$B$29,1))*S121-INDEX(Tributos!$D$24:$D$29,MATCH(S121,Tributos!$B$24:$B$29,1)))/S121),Tributos!$C$24)))</f>
        <v>0.20651432172592</v>
      </c>
      <c r="T122" s="263" t="n">
        <f aca="false" t="array" ref="T122:T122">IF(Premissas!$B$23=3,Premissas!$B$24,IF(T121&gt;Premissas!$B$25,Premissas!$B$24,IFERROR(MAX(Tributos!$C$24,(INDEX(Tributos!$C$24:$C$29,MATCH(T121,Tributos!$B$24:$B$29,1))*T121-INDEX(Tributos!$D$24:$D$29,MATCH(T121,Tributos!$B$24:$B$29,1)))/T121),Tributos!$C$24)))</f>
        <v>0.164164144613447</v>
      </c>
      <c r="U122" s="263" t="n">
        <f aca="false" t="array" ref="U122:U122">IF(Premissas!$B$23=3,Premissas!$B$24,IF(U121&gt;Premissas!$B$25,Premissas!$B$24,IFERROR(MAX(Tributos!$C$24,(INDEX(Tributos!$C$24:$C$29,MATCH(U121,Tributos!$B$24:$B$29,1))*U121-INDEX(Tributos!$D$24:$D$29,MATCH(U121,Tributos!$B$24:$B$29,1)))/U121),Tributos!$C$24)))</f>
        <v>0.1633</v>
      </c>
      <c r="V122" s="263" t="n">
        <f aca="false" t="array" ref="V122:V122">IF(Premissas!$B$23=3,Premissas!$B$24,IF(V121&gt;Premissas!$B$25,Premissas!$B$24,IFERROR(MAX(Tributos!$C$24,(INDEX(Tributos!$C$24:$C$29,MATCH(V121,Tributos!$B$24:$B$29,1))*V121-INDEX(Tributos!$D$24:$D$29,MATCH(V121,Tributos!$B$24:$B$29,1)))/V121),Tributos!$C$24)))</f>
        <v>0.1633</v>
      </c>
      <c r="W122" s="263" t="n">
        <f aca="false" t="array" ref="W122:W122">IF(Premissas!$B$23=3,Premissas!$B$24,IF(W121&gt;Premissas!$B$25,Premissas!$B$24,IFERROR(MAX(Tributos!$C$24,(INDEX(Tributos!$C$24:$C$29,MATCH(W121,Tributos!$B$24:$B$29,1))*W121-INDEX(Tributos!$D$24:$D$29,MATCH(W121,Tributos!$B$24:$B$29,1)))/W121),Tributos!$C$24)))</f>
        <v>0.1633</v>
      </c>
      <c r="X122" s="263" t="n">
        <f aca="false" t="array" ref="X122:X122">IF(Premissas!$B$23=3,Premissas!$B$24,IF(X121&gt;Premissas!$B$25,Premissas!$B$24,IFERROR(MAX(Tributos!$C$24,(INDEX(Tributos!$C$24:$C$29,MATCH(X121,Tributos!$B$24:$B$29,1))*X121-INDEX(Tributos!$D$24:$D$29,MATCH(X121,Tributos!$B$24:$B$29,1)))/X121),Tributos!$C$24)))</f>
        <v>0.1633</v>
      </c>
      <c r="Y122" s="263" t="n">
        <f aca="false" t="array" ref="Y122:Y122">IF(Premissas!$B$23=3,Premissas!$B$24,IF(Y121&gt;Premissas!$B$25,Premissas!$B$24,IFERROR(MAX(Tributos!$C$24,(INDEX(Tributos!$C$24:$C$29,MATCH(Y121,Tributos!$B$24:$B$29,1))*Y121-INDEX(Tributos!$D$24:$D$29,MATCH(Y121,Tributos!$B$24:$B$29,1)))/Y121),Tributos!$C$24)))</f>
        <v>0.1633</v>
      </c>
      <c r="Z122" s="263" t="n">
        <f aca="false" t="array" ref="Z122:Z122">IF(Premissas!$B$23=3,Premissas!$B$24,IF(Z121&gt;Premissas!$B$25,Premissas!$B$24,IFERROR(MAX(Tributos!$C$24,(INDEX(Tributos!$C$24:$C$29,MATCH(Z121,Tributos!$B$24:$B$29,1))*Z121-INDEX(Tributos!$D$24:$D$29,MATCH(Z121,Tributos!$B$24:$B$29,1)))/Z121),Tributos!$C$24)))</f>
        <v>0.1633</v>
      </c>
      <c r="AA122" s="263" t="n">
        <f aca="false" t="array" ref="AA122:AA122">IF(Premissas!$B$23=3,Premissas!$B$24,IF(AA121&gt;Premissas!$B$25,Premissas!$B$24,IFERROR(MAX(Tributos!$C$24,(INDEX(Tributos!$C$24:$C$29,MATCH(AA121,Tributos!$B$24:$B$29,1))*AA121-INDEX(Tributos!$D$24:$D$29,MATCH(AA121,Tributos!$B$24:$B$29,1)))/AA121),Tributos!$C$24)))</f>
        <v>0.1633</v>
      </c>
      <c r="AB122" s="263" t="n">
        <f aca="false" t="array" ref="AB122:AB122">IF(Premissas!$B$23=3,Premissas!$B$24,IF(AB121&gt;Premissas!$B$25,Premissas!$B$24,IFERROR(MAX(Tributos!$C$24,(INDEX(Tributos!$C$24:$C$29,MATCH(AB121,Tributos!$B$24:$B$29,1))*AB121-INDEX(Tributos!$D$24:$D$29,MATCH(AB121,Tributos!$B$24:$B$29,1)))/AB121),Tributos!$C$24)))</f>
        <v>0.1633</v>
      </c>
      <c r="AC122" s="263" t="n">
        <f aca="false" t="array" ref="AC122:AC122">IF(Premissas!$B$23=3,Premissas!$B$24,IF(AC121&gt;Premissas!$B$25,Premissas!$B$24,IFERROR(MAX(Tributos!$C$24,(INDEX(Tributos!$C$24:$C$29,MATCH(AC121,Tributos!$B$24:$B$29,1))*AC121-INDEX(Tributos!$D$24:$D$29,MATCH(AC121,Tributos!$B$24:$B$29,1)))/AC121),Tributos!$C$24)))</f>
        <v>0.1633</v>
      </c>
      <c r="AD122" s="263" t="n">
        <f aca="false" t="array" ref="AD122:AD122">IF(Premissas!$B$23=3,Premissas!$B$24,IF(AD121&gt;Premissas!$B$25,Premissas!$B$24,IFERROR(MAX(Tributos!$C$24,(INDEX(Tributos!$C$24:$C$29,MATCH(AD121,Tributos!$B$24:$B$29,1))*AD121-INDEX(Tributos!$D$24:$D$29,MATCH(AD121,Tributos!$B$24:$B$29,1)))/AD121),Tributos!$C$24)))</f>
        <v>0.1633</v>
      </c>
      <c r="AE122" s="263" t="n">
        <f aca="false" t="array" ref="AE122:AE122">IF(Premissas!$B$23=3,Premissas!$B$24,IF(AE121&gt;Premissas!$B$25,Premissas!$B$24,IFERROR(MAX(Tributos!$C$24,(INDEX(Tributos!$C$24:$C$29,MATCH(AE121,Tributos!$B$24:$B$29,1))*AE121-INDEX(Tributos!$D$24:$D$29,MATCH(AE121,Tributos!$B$24:$B$29,1)))/AE121),Tributos!$C$24)))</f>
        <v>0.1633</v>
      </c>
      <c r="AF122" s="263" t="n">
        <f aca="false" t="array" ref="AF122:AF122">IF(Premissas!$B$23=3,Premissas!$B$24,IF(AF121&gt;Premissas!$B$25,Premissas!$B$24,IFERROR(MAX(Tributos!$C$24,(INDEX(Tributos!$C$24:$C$29,MATCH(AF121,Tributos!$B$24:$B$29,1))*AF121-INDEX(Tributos!$D$24:$D$29,MATCH(AF121,Tributos!$B$24:$B$29,1)))/AF121),Tributos!$C$24)))</f>
        <v>0.1633</v>
      </c>
      <c r="AG122" s="263" t="n">
        <f aca="false" t="array" ref="AG122:AG122">IF(Premissas!$B$23=3,Premissas!$B$24,IF(AG121&gt;Premissas!$B$25,Premissas!$B$24,IFERROR(MAX(Tributos!$C$24,(INDEX(Tributos!$C$24:$C$29,MATCH(AG121,Tributos!$B$24:$B$29,1))*AG121-INDEX(Tributos!$D$24:$D$29,MATCH(AG121,Tributos!$B$24:$B$29,1)))/AG121),Tributos!$C$24)))</f>
        <v>0.1633</v>
      </c>
      <c r="AH122" s="263" t="n">
        <f aca="false" t="array" ref="AH122:AH122">IF(Premissas!$B$23=3,Premissas!$B$24,IF(AH121&gt;Premissas!$B$25,Premissas!$B$24,IFERROR(MAX(Tributos!$C$24,(INDEX(Tributos!$C$24:$C$29,MATCH(AH121,Tributos!$B$24:$B$29,1))*AH121-INDEX(Tributos!$D$24:$D$29,MATCH(AH121,Tributos!$B$24:$B$29,1)))/AH121),Tributos!$C$24)))</f>
        <v>0.1633</v>
      </c>
      <c r="AI122" s="263" t="n">
        <f aca="false" t="array" ref="AI122:AI122">IF(Premissas!$B$23=3,Premissas!$B$24,IF(AI121&gt;Premissas!$B$25,Premissas!$B$24,IFERROR(MAX(Tributos!$C$24,(INDEX(Tributos!$C$24:$C$29,MATCH(AI121,Tributos!$B$24:$B$29,1))*AI121-INDEX(Tributos!$D$24:$D$29,MATCH(AI121,Tributos!$B$24:$B$29,1)))/AI121),Tributos!$C$24)))</f>
        <v>0.1633</v>
      </c>
      <c r="AJ122" s="263" t="n">
        <f aca="false" t="array" ref="AJ122:AJ122">IF(Premissas!$B$23=3,Premissas!$B$24,IF(AJ121&gt;Premissas!$B$25,Premissas!$B$24,IFERROR(MAX(Tributos!$C$24,(INDEX(Tributos!$C$24:$C$29,MATCH(AJ121,Tributos!$B$24:$B$29,1))*AJ121-INDEX(Tributos!$D$24:$D$29,MATCH(AJ121,Tributos!$B$24:$B$29,1)))/AJ121),Tributos!$C$24)))</f>
        <v>0.1633</v>
      </c>
      <c r="AK122" s="263" t="n">
        <f aca="false" t="array" ref="AK122:AK122">IF(Premissas!$B$23=3,Premissas!$B$24,IF(AK121&gt;Premissas!$B$25,Premissas!$B$24,IFERROR(MAX(Tributos!$C$24,(INDEX(Tributos!$C$24:$C$29,MATCH(AK121,Tributos!$B$24:$B$29,1))*AK121-INDEX(Tributos!$D$24:$D$29,MATCH(AK121,Tributos!$B$24:$B$29,1)))/AK121),Tributos!$C$24)))</f>
        <v>0.1633</v>
      </c>
      <c r="AL122" s="263" t="n">
        <f aca="false" t="array" ref="AL122:AL122">IF(Premissas!$B$23=3,Premissas!$B$24,IF(AL121&gt;Premissas!$B$25,Premissas!$B$24,IFERROR(MAX(Tributos!$C$24,(INDEX(Tributos!$C$24:$C$29,MATCH(AL121,Tributos!$B$24:$B$29,1))*AL121-INDEX(Tributos!$D$24:$D$29,MATCH(AL121,Tributos!$B$24:$B$29,1)))/AL121),Tributos!$C$24)))</f>
        <v>0.1633</v>
      </c>
      <c r="AM122" s="263" t="n">
        <f aca="false" t="array" ref="AM122:AM122">IF(Premissas!$B$23=3,Premissas!$B$24,IF(AM121&gt;Premissas!$B$25,Premissas!$B$24,IFERROR(MAX(Tributos!$C$24,(INDEX(Tributos!$C$24:$C$29,MATCH(AM121,Tributos!$B$24:$B$29,1))*AM121-INDEX(Tributos!$D$24:$D$29,MATCH(AM121,Tributos!$B$24:$B$29,1)))/AM121),Tributos!$C$24)))</f>
        <v>0.1633</v>
      </c>
      <c r="AN122" s="263" t="n">
        <f aca="false" t="array" ref="AN122:AN122">IF(Premissas!$B$23=3,Premissas!$B$24,IF(AN121&gt;Premissas!$B$25,Premissas!$B$24,IFERROR(MAX(Tributos!$C$24,(INDEX(Tributos!$C$24:$C$29,MATCH(AN121,Tributos!$B$24:$B$29,1))*AN121-INDEX(Tributos!$D$24:$D$29,MATCH(AN121,Tributos!$B$24:$B$29,1)))/AN121),Tributos!$C$24)))</f>
        <v>0.1633</v>
      </c>
      <c r="AO122" s="263" t="n">
        <f aca="false" t="array" ref="AO122:AO122">IF(Premissas!$B$23=3,Premissas!$B$24,IF(AO121&gt;Premissas!$B$25,Premissas!$B$24,IFERROR(MAX(Tributos!$C$24,(INDEX(Tributos!$C$24:$C$29,MATCH(AO121,Tributos!$B$24:$B$29,1))*AO121-INDEX(Tributos!$D$24:$D$29,MATCH(AO121,Tributos!$B$24:$B$29,1)))/AO121),Tributos!$C$24)))</f>
        <v>0.1633</v>
      </c>
      <c r="AP122" s="263" t="n">
        <f aca="false" t="array" ref="AP122:AP122">IF(Premissas!$B$23=3,Premissas!$B$24,IF(AP121&gt;Premissas!$B$25,Premissas!$B$24,IFERROR(MAX(Tributos!$C$24,(INDEX(Tributos!$C$24:$C$29,MATCH(AP121,Tributos!$B$24:$B$29,1))*AP121-INDEX(Tributos!$D$24:$D$29,MATCH(AP121,Tributos!$B$24:$B$29,1)))/AP121),Tributos!$C$24)))</f>
        <v>0.1633</v>
      </c>
      <c r="AQ122" s="263" t="n">
        <f aca="false" t="array" ref="AQ122:AQ122">IF(Premissas!$B$23=3,Premissas!$B$24,IF(AQ121&gt;Premissas!$B$25,Premissas!$B$24,IFERROR(MAX(Tributos!$C$24,(INDEX(Tributos!$C$24:$C$29,MATCH(AQ121,Tributos!$B$24:$B$29,1))*AQ121-INDEX(Tributos!$D$24:$D$29,MATCH(AQ121,Tributos!$B$24:$B$29,1)))/AQ121),Tributos!$C$24)))</f>
        <v>0.1633</v>
      </c>
      <c r="AR122" s="263" t="n">
        <f aca="false" t="array" ref="AR122:AR122">IF(Premissas!$B$23=3,Premissas!$B$24,IF(AR121&gt;Premissas!$B$25,Premissas!$B$24,IFERROR(MAX(Tributos!$C$24,(INDEX(Tributos!$C$24:$C$29,MATCH(AR121,Tributos!$B$24:$B$29,1))*AR121-INDEX(Tributos!$D$24:$D$29,MATCH(AR121,Tributos!$B$24:$B$29,1)))/AR121),Tributos!$C$24)))</f>
        <v>0.1633</v>
      </c>
      <c r="AS122" s="263" t="n">
        <f aca="false" t="array" ref="AS122:AS122">IF(Premissas!$B$23=3,Premissas!$B$24,IF(AS121&gt;Premissas!$B$25,Premissas!$B$24,IFERROR(MAX(Tributos!$C$24,(INDEX(Tributos!$C$24:$C$29,MATCH(AS121,Tributos!$B$24:$B$29,1))*AS121-INDEX(Tributos!$D$24:$D$29,MATCH(AS121,Tributos!$B$24:$B$29,1)))/AS121),Tributos!$C$24)))</f>
        <v>0.1633</v>
      </c>
      <c r="AT122" s="263" t="n">
        <f aca="false" t="array" ref="AT122:AT122">IF(Premissas!$B$23=3,Premissas!$B$24,IF(AT121&gt;Premissas!$B$25,Premissas!$B$24,IFERROR(MAX(Tributos!$C$24,(INDEX(Tributos!$C$24:$C$29,MATCH(AT121,Tributos!$B$24:$B$29,1))*AT121-INDEX(Tributos!$D$24:$D$29,MATCH(AT121,Tributos!$B$24:$B$29,1)))/AT121),Tributos!$C$24)))</f>
        <v>0.1633</v>
      </c>
      <c r="AU122" s="263" t="n">
        <f aca="false" t="array" ref="AU122:AU122">IF(Premissas!$B$23=3,Premissas!$B$24,IF(AU121&gt;Premissas!$B$25,Premissas!$B$24,IFERROR(MAX(Tributos!$C$24,(INDEX(Tributos!$C$24:$C$29,MATCH(AU121,Tributos!$B$24:$B$29,1))*AU121-INDEX(Tributos!$D$24:$D$29,MATCH(AU121,Tributos!$B$24:$B$29,1)))/AU121),Tributos!$C$24)))</f>
        <v>0.1633</v>
      </c>
      <c r="AV122" s="263" t="n">
        <f aca="false" t="array" ref="AV122:AV122">IF(Premissas!$B$23=3,Premissas!$B$24,IF(AV121&gt;Premissas!$B$25,Premissas!$B$24,IFERROR(MAX(Tributos!$C$24,(INDEX(Tributos!$C$24:$C$29,MATCH(AV121,Tributos!$B$24:$B$29,1))*AV121-INDEX(Tributos!$D$24:$D$29,MATCH(AV121,Tributos!$B$24:$B$29,1)))/AV121),Tributos!$C$24)))</f>
        <v>0.1633</v>
      </c>
      <c r="AW122" s="263" t="n">
        <f aca="false" t="array" ref="AW122:AW122">IF(Premissas!$B$23=3,Premissas!$B$24,IF(AW121&gt;Premissas!$B$25,Premissas!$B$24,IFERROR(MAX(Tributos!$C$24,(INDEX(Tributos!$C$24:$C$29,MATCH(AW121,Tributos!$B$24:$B$29,1))*AW121-INDEX(Tributos!$D$24:$D$29,MATCH(AW121,Tributos!$B$24:$B$29,1)))/AW121),Tributos!$C$24)))</f>
        <v>0.1633</v>
      </c>
      <c r="AX122" s="263" t="n">
        <f aca="false" t="array" ref="AX122:AX122">IF(Premissas!$B$23=3,Premissas!$B$24,IF(AX121&gt;Premissas!$B$25,Premissas!$B$24,IFERROR(MAX(Tributos!$C$24,(INDEX(Tributos!$C$24:$C$29,MATCH(AX121,Tributos!$B$24:$B$29,1))*AX121-INDEX(Tributos!$D$24:$D$29,MATCH(AX121,Tributos!$B$24:$B$29,1)))/AX121),Tributos!$C$24)))</f>
        <v>0.1633</v>
      </c>
      <c r="AY122" s="263" t="n">
        <f aca="false" t="array" ref="AY122:AY122">IF(Premissas!$B$23=3,Premissas!$B$24,IF(AY121&gt;Premissas!$B$25,Premissas!$B$24,IFERROR(MAX(Tributos!$C$24,(INDEX(Tributos!$C$24:$C$29,MATCH(AY121,Tributos!$B$24:$B$29,1))*AY121-INDEX(Tributos!$D$24:$D$29,MATCH(AY121,Tributos!$B$24:$B$29,1)))/AY121),Tributos!$C$24)))</f>
        <v>0.1633</v>
      </c>
      <c r="AZ122" s="263" t="n">
        <f aca="false" t="array" ref="AZ122:AZ122">IF(Premissas!$B$23=3,Premissas!$B$24,IF(AZ121&gt;Premissas!$B$25,Premissas!$B$24,IFERROR(MAX(Tributos!$C$24,(INDEX(Tributos!$C$24:$C$29,MATCH(AZ121,Tributos!$B$24:$B$29,1))*AZ121-INDEX(Tributos!$D$24:$D$29,MATCH(AZ121,Tributos!$B$24:$B$29,1)))/AZ121),Tributos!$C$24)))</f>
        <v>0.1633</v>
      </c>
      <c r="BA122" s="263" t="n">
        <f aca="false" t="array" ref="BA122:BA122">IF(Premissas!$B$23=3,Premissas!$B$24,IF(BA121&gt;Premissas!$B$25,Premissas!$B$24,IFERROR(MAX(Tributos!$C$24,(INDEX(Tributos!$C$24:$C$29,MATCH(BA121,Tributos!$B$24:$B$29,1))*BA121-INDEX(Tributos!$D$24:$D$29,MATCH(BA121,Tributos!$B$24:$B$29,1)))/BA121),Tributos!$C$24)))</f>
        <v>0.1633</v>
      </c>
      <c r="BB122" s="263" t="n">
        <f aca="false" t="array" ref="BB122:BB122">IF(Premissas!$B$23=3,Premissas!$B$24,IF(BB121&gt;Premissas!$B$25,Premissas!$B$24,IFERROR(MAX(Tributos!$C$24,(INDEX(Tributos!$C$24:$C$29,MATCH(BB121,Tributos!$B$24:$B$29,1))*BB121-INDEX(Tributos!$D$24:$D$29,MATCH(BB121,Tributos!$B$24:$B$29,1)))/BB121),Tributos!$C$24)))</f>
        <v>0.1633</v>
      </c>
      <c r="BC122" s="263" t="n">
        <f aca="false" t="array" ref="BC122:BC122">IF(Premissas!$B$23=3,Premissas!$B$24,IF(BC121&gt;Premissas!$B$25,Premissas!$B$24,IFERROR(MAX(Tributos!$C$24,(INDEX(Tributos!$C$24:$C$29,MATCH(BC121,Tributos!$B$24:$B$29,1))*BC121-INDEX(Tributos!$D$24:$D$29,MATCH(BC121,Tributos!$B$24:$B$29,1)))/BC121),Tributos!$C$24)))</f>
        <v>0.1633</v>
      </c>
      <c r="BD122" s="263" t="n">
        <f aca="false" t="array" ref="BD122:BD122">IF(Premissas!$B$23=3,Premissas!$B$24,IF(BD121&gt;Premissas!$B$25,Premissas!$B$24,IFERROR(MAX(Tributos!$C$24,(INDEX(Tributos!$C$24:$C$29,MATCH(BD121,Tributos!$B$24:$B$29,1))*BD121-INDEX(Tributos!$D$24:$D$29,MATCH(BD121,Tributos!$B$24:$B$29,1)))/BD121),Tributos!$C$24)))</f>
        <v>0.1633</v>
      </c>
      <c r="BE122" s="263" t="n">
        <f aca="false" t="array" ref="BE122:BE122">IF(Premissas!$B$23=3,Premissas!$B$24,IF(BE121&gt;Premissas!$B$25,Premissas!$B$24,IFERROR(MAX(Tributos!$C$24,(INDEX(Tributos!$C$24:$C$29,MATCH(BE121,Tributos!$B$24:$B$29,1))*BE121-INDEX(Tributos!$D$24:$D$29,MATCH(BE121,Tributos!$B$24:$B$29,1)))/BE121),Tributos!$C$24)))</f>
        <v>0.1633</v>
      </c>
      <c r="BF122" s="263" t="n">
        <f aca="false" t="array" ref="BF122:BF122">IF(Premissas!$B$23=3,Premissas!$B$24,IF(BF121&gt;Premissas!$B$25,Premissas!$B$24,IFERROR(MAX(Tributos!$C$24,(INDEX(Tributos!$C$24:$C$29,MATCH(BF121,Tributos!$B$24:$B$29,1))*BF121-INDEX(Tributos!$D$24:$D$29,MATCH(BF121,Tributos!$B$24:$B$29,1)))/BF121),Tributos!$C$24)))</f>
        <v>0.1633</v>
      </c>
      <c r="BG122" s="263" t="n">
        <f aca="false" t="array" ref="BG122:BG122">IF(Premissas!$B$23=3,Premissas!$B$24,IF(BG121&gt;Premissas!$B$25,Premissas!$B$24,IFERROR(MAX(Tributos!$C$24,(INDEX(Tributos!$C$24:$C$29,MATCH(BG121,Tributos!$B$24:$B$29,1))*BG121-INDEX(Tributos!$D$24:$D$29,MATCH(BG121,Tributos!$B$24:$B$29,1)))/BG121),Tributos!$C$24)))</f>
        <v>0.1633</v>
      </c>
      <c r="BH122" s="263" t="n">
        <f aca="false" t="array" ref="BH122:BH122">IF(Premissas!$B$23=3,Premissas!$B$24,IF(BH121&gt;Premissas!$B$25,Premissas!$B$24,IFERROR(MAX(Tributos!$C$24,(INDEX(Tributos!$C$24:$C$29,MATCH(BH121,Tributos!$B$24:$B$29,1))*BH121-INDEX(Tributos!$D$24:$D$29,MATCH(BH121,Tributos!$B$24:$B$29,1)))/BH121),Tributos!$C$24)))</f>
        <v>0.1633</v>
      </c>
      <c r="BI122" s="263" t="n">
        <f aca="false" t="array" ref="BI122:BI122">IF(Premissas!$B$23=3,Premissas!$B$24,IF(BI121&gt;Premissas!$B$25,Premissas!$B$24,IFERROR(MAX(Tributos!$C$24,(INDEX(Tributos!$C$24:$C$29,MATCH(BI121,Tributos!$B$24:$B$29,1))*BI121-INDEX(Tributos!$D$24:$D$29,MATCH(BI121,Tributos!$B$24:$B$29,1)))/BI121),Tributos!$C$24)))</f>
        <v>0.1633</v>
      </c>
      <c r="BJ122" s="264" t="n">
        <f aca="false">IFERROR(-BJ120/BJ117,0)</f>
        <v>-1329.6262292374</v>
      </c>
    </row>
    <row r="123" customFormat="false" ht="15.75" hidden="false" customHeight="true" outlineLevel="0" collapsed="false">
      <c r="A123" s="49" t="s">
        <v>434</v>
      </c>
      <c r="B123" s="168" t="n">
        <f aca="false">-B120*B122</f>
        <v>-0</v>
      </c>
      <c r="C123" s="168" t="n">
        <f aca="false">-C120*C122</f>
        <v>-0</v>
      </c>
      <c r="D123" s="168" t="n">
        <f aca="false">-D120*D122</f>
        <v>-0</v>
      </c>
      <c r="E123" s="168" t="n">
        <f aca="false">-E120*E122</f>
        <v>-0</v>
      </c>
      <c r="F123" s="168" t="n">
        <f aca="false">-F120*F122</f>
        <v>-0</v>
      </c>
      <c r="G123" s="168" t="n">
        <f aca="false">-G120*G122</f>
        <v>-0</v>
      </c>
      <c r="H123" s="168" t="n">
        <f aca="false">-H120*H122</f>
        <v>-0</v>
      </c>
      <c r="I123" s="168" t="n">
        <f aca="false">-I120*I122</f>
        <v>-0</v>
      </c>
      <c r="J123" s="168" t="n">
        <f aca="false">-J120*J122</f>
        <v>-0</v>
      </c>
      <c r="K123" s="168" t="n">
        <f aca="false">-K120*K122</f>
        <v>-0</v>
      </c>
      <c r="L123" s="168" t="n">
        <f aca="false">-L120*L122</f>
        <v>-0</v>
      </c>
      <c r="M123" s="168" t="n">
        <f aca="false">-M120*M122</f>
        <v>-3133.2785</v>
      </c>
      <c r="N123" s="168" t="n">
        <f aca="false">-N120*N122</f>
        <v>-17454.3600754</v>
      </c>
      <c r="O123" s="168" t="n">
        <f aca="false">-O120*O122</f>
        <v>-40790.4907540379</v>
      </c>
      <c r="P123" s="168" t="n">
        <f aca="false">-P120*P122</f>
        <v>-80631.1923717801</v>
      </c>
      <c r="Q123" s="168" t="n">
        <f aca="false">-Q120*Q122</f>
        <v>-136260.508911985</v>
      </c>
      <c r="R123" s="168" t="n">
        <f aca="false">-R120*R122</f>
        <v>-201875.157489548</v>
      </c>
      <c r="S123" s="168" t="n">
        <f aca="false">-S120*S122</f>
        <v>-245769.849394915</v>
      </c>
      <c r="T123" s="168" t="n">
        <f aca="false">-T120*T122</f>
        <v>-218826.042201235</v>
      </c>
      <c r="U123" s="168" t="n">
        <f aca="false">-U120*U122</f>
        <v>-239728.444012292</v>
      </c>
      <c r="V123" s="168" t="n">
        <f aca="false">-V120*V122</f>
        <v>-260569.890649381</v>
      </c>
      <c r="W123" s="168" t="n">
        <f aca="false">-W120*W122</f>
        <v>-280591.027960207</v>
      </c>
      <c r="X123" s="168" t="n">
        <f aca="false">-X120*X122</f>
        <v>-299191.495889172</v>
      </c>
      <c r="Y123" s="168" t="n">
        <f aca="false">-Y120*Y122</f>
        <v>-316763.746211282</v>
      </c>
      <c r="Z123" s="168" t="n">
        <f aca="false">-Z120*Z122</f>
        <v>-400492.397951311</v>
      </c>
      <c r="AA123" s="168" t="n">
        <f aca="false">-AA120*AA122</f>
        <v>-441607.849088215</v>
      </c>
      <c r="AB123" s="168" t="n">
        <f aca="false">-AB120*AB122</f>
        <v>-480628.726501015</v>
      </c>
      <c r="AC123" s="168" t="n">
        <f aca="false">-AC120*AC122</f>
        <v>-517675.269341889</v>
      </c>
      <c r="AD123" s="168" t="n">
        <f aca="false">-AD120*AD122</f>
        <v>-552837.359602169</v>
      </c>
      <c r="AE123" s="168" t="n">
        <f aca="false">-AE120*AE122</f>
        <v>-586217.278183159</v>
      </c>
      <c r="AF123" s="168" t="n">
        <f aca="false">-AF120*AF122</f>
        <v>-617902.698997166</v>
      </c>
      <c r="AG123" s="168" t="n">
        <f aca="false">-AG120*AG122</f>
        <v>-647970.08932941</v>
      </c>
      <c r="AH123" s="168" t="n">
        <f aca="false">-AH120*AH122</f>
        <v>-676524.787190918</v>
      </c>
      <c r="AI123" s="168" t="n">
        <f aca="false">-AI120*AI122</f>
        <v>-703618.668812006</v>
      </c>
      <c r="AJ123" s="168" t="n">
        <f aca="false">-AJ120*AJ122</f>
        <v>-729340.636355454</v>
      </c>
      <c r="AK123" s="168" t="n">
        <f aca="false">-AK120*AK122</f>
        <v>-753758.616778031</v>
      </c>
      <c r="AL123" s="168" t="n">
        <f aca="false">-AL120*AL122</f>
        <v>-880225.753620351</v>
      </c>
      <c r="AM123" s="168" t="n">
        <f aca="false">-AM120*AM122</f>
        <v>-944999.119460622</v>
      </c>
      <c r="AN123" s="168" t="n">
        <f aca="false">-AN120*AN122</f>
        <v>-1006748.90512091</v>
      </c>
      <c r="AO123" s="168" t="n">
        <f aca="false">-AO120*AO122</f>
        <v>-1065618.40914144</v>
      </c>
      <c r="AP123" s="168" t="n">
        <f aca="false">-AP120*AP122</f>
        <v>-1121744.3968881</v>
      </c>
      <c r="AQ123" s="168" t="n">
        <f aca="false">-AQ120*AQ122</f>
        <v>-1175233.85355399</v>
      </c>
      <c r="AR123" s="168" t="n">
        <f aca="false">-AR120*AR122</f>
        <v>-1226241.06835747</v>
      </c>
      <c r="AS123" s="168" t="n">
        <f aca="false">-AS120*AS122</f>
        <v>-1274847.09277205</v>
      </c>
      <c r="AT123" s="168" t="n">
        <f aca="false">-AT120*AT122</f>
        <v>-1321184.62203234</v>
      </c>
      <c r="AU123" s="168" t="n">
        <f aca="false">-AU120*AU122</f>
        <v>-1365358.50640986</v>
      </c>
      <c r="AV123" s="168" t="n">
        <f aca="false">-AV120*AV122</f>
        <v>-1407478.66161185</v>
      </c>
      <c r="AW123" s="168" t="n">
        <f aca="false">-AW120*AW122</f>
        <v>-1447625.68299548</v>
      </c>
      <c r="AX123" s="168" t="n">
        <f aca="false">-AX120*AX122</f>
        <v>-1669319.1735616</v>
      </c>
      <c r="AY123" s="168" t="n">
        <f aca="false">-AY120*AY122</f>
        <v>-1779445.31646689</v>
      </c>
      <c r="AZ123" s="168" t="n">
        <f aca="false">-AZ120*AZ122</f>
        <v>-1884845.74035831</v>
      </c>
      <c r="BA123" s="168" t="n">
        <f aca="false">-BA120*BA122</f>
        <v>-1985711.41230404</v>
      </c>
      <c r="BB123" s="168" t="n">
        <f aca="false">-BB120*BB122</f>
        <v>-2082223.56701364</v>
      </c>
      <c r="BC123" s="168" t="n">
        <f aca="false">-BC120*BC122</f>
        <v>-2174603.57214119</v>
      </c>
      <c r="BD123" s="168" t="n">
        <f aca="false">-BD120*BD122</f>
        <v>-2263012.37753654</v>
      </c>
      <c r="BE123" s="168" t="n">
        <f aca="false">-BE120*BE122</f>
        <v>-2347614.42352292</v>
      </c>
      <c r="BF123" s="168" t="n">
        <f aca="false">-BF120*BF122</f>
        <v>-2428594.45306829</v>
      </c>
      <c r="BG123" s="168" t="n">
        <f aca="false">-BG120*BG122</f>
        <v>-2506082.41834688</v>
      </c>
      <c r="BH123" s="168" t="n">
        <f aca="false">-BH120*BH122</f>
        <v>-2580242.84637694</v>
      </c>
      <c r="BI123" s="168" t="n">
        <f aca="false">-BI120*BI122</f>
        <v>-2651203.86004994</v>
      </c>
      <c r="BJ123" s="154" t="n">
        <f aca="false">SUM(B123:BI123)</f>
        <v>-50040365.0952636</v>
      </c>
    </row>
    <row r="124" customFormat="false" ht="15.75" hidden="false" customHeight="true" outlineLevel="0" collapsed="false">
      <c r="A124" s="49" t="s">
        <v>402</v>
      </c>
      <c r="B124" s="168" t="n">
        <f aca="false" t="array" ref="B124:B124">-B115*Premissas!$B$62*INDEX(Premissas!$C$63:$G$63,B$7)</f>
        <v>-0</v>
      </c>
      <c r="C124" s="168" t="n">
        <f aca="false" t="array" ref="C124:C124">-C115*Premissas!$B$62*INDEX(Premissas!$C$63:$G$63,C$7)</f>
        <v>-0</v>
      </c>
      <c r="D124" s="168" t="n">
        <f aca="false" t="array" ref="D124:D124">-D115*Premissas!$B$62*INDEX(Premissas!$C$63:$G$63,D$7)</f>
        <v>-0</v>
      </c>
      <c r="E124" s="168" t="n">
        <f aca="false" t="array" ref="E124:E124">-E115*Premissas!$B$62*INDEX(Premissas!$C$63:$G$63,E$7)</f>
        <v>-0</v>
      </c>
      <c r="F124" s="168" t="n">
        <f aca="false" t="array" ref="F124:F124">-F115*Premissas!$B$62*INDEX(Premissas!$C$63:$G$63,F$7)</f>
        <v>-0</v>
      </c>
      <c r="G124" s="168" t="n">
        <f aca="false" t="array" ref="G124:G124">-G115*Premissas!$B$62*INDEX(Premissas!$C$63:$G$63,G$7)</f>
        <v>-0</v>
      </c>
      <c r="H124" s="168" t="n">
        <f aca="false" t="array" ref="H124:H124">-H115*Premissas!$B$62*INDEX(Premissas!$C$63:$G$63,H$7)</f>
        <v>-0</v>
      </c>
      <c r="I124" s="168" t="n">
        <f aca="false" t="array" ref="I124:I124">-I115*Premissas!$B$62*INDEX(Premissas!$C$63:$G$63,I$7)</f>
        <v>-0</v>
      </c>
      <c r="J124" s="168" t="n">
        <f aca="false" t="array" ref="J124:J124">-J115*Premissas!$B$62*INDEX(Premissas!$C$63:$G$63,J$7)</f>
        <v>-0</v>
      </c>
      <c r="K124" s="168" t="n">
        <f aca="false" t="array" ref="K124:K124">-K115*Premissas!$B$62*INDEX(Premissas!$C$63:$G$63,K$7)</f>
        <v>-0</v>
      </c>
      <c r="L124" s="168" t="n">
        <f aca="false" t="array" ref="L124:L124">-L115*Premissas!$B$62*INDEX(Premissas!$C$63:$G$63,L$7)</f>
        <v>-0</v>
      </c>
      <c r="M124" s="168" t="n">
        <f aca="false" t="array" ref="M124:M124">-M115*Premissas!$B$62*INDEX(Premissas!$C$63:$G$63,M$7)</f>
        <v>-2577.37425</v>
      </c>
      <c r="N124" s="168" t="n">
        <f aca="false" t="array" ref="N124:N124">-N115*Premissas!$B$62*INDEX(Premissas!$C$63:$G$63,N$7)</f>
        <v>-13106.796</v>
      </c>
      <c r="O124" s="168" t="n">
        <f aca="false" t="array" ref="O124:O124">-O115*Premissas!$B$62*INDEX(Premissas!$C$63:$G$63,O$7)</f>
        <v>-30940.476</v>
      </c>
      <c r="P124" s="168" t="n">
        <f aca="false" t="array" ref="P124:P124">-P115*Premissas!$B$62*INDEX(Premissas!$C$63:$G$63,P$7)</f>
        <v>-55456.992</v>
      </c>
      <c r="Q124" s="168" t="n">
        <f aca="false" t="array" ref="Q124:Q124">-Q115*Premissas!$B$62*INDEX(Premissas!$C$63:$G$63,Q$7)</f>
        <v>-86100.24</v>
      </c>
      <c r="R124" s="168" t="n">
        <f aca="false" t="array" ref="R124:R124">-R115*Premissas!$B$62*INDEX(Premissas!$C$63:$G$63,R$7)</f>
        <v>-122333.292</v>
      </c>
      <c r="S124" s="168" t="n">
        <f aca="false" t="array" ref="S124:S124">-S115*Premissas!$B$62*INDEX(Premissas!$C$63:$G$63,S$7)</f>
        <v>-140310.792</v>
      </c>
      <c r="T124" s="168" t="n">
        <f aca="false" t="array" ref="T124:T124">-T115*Premissas!$B$62*INDEX(Premissas!$C$63:$G$63,T$7)</f>
        <v>-157281.552</v>
      </c>
      <c r="U124" s="168" t="n">
        <f aca="false" t="array" ref="U124:U124">-U115*Premissas!$B$62*INDEX(Premissas!$C$63:$G$63,U$7)</f>
        <v>-173322.276</v>
      </c>
      <c r="V124" s="168" t="n">
        <f aca="false" t="array" ref="V124:V124">-V115*Premissas!$B$62*INDEX(Premissas!$C$63:$G$63,V$7)</f>
        <v>-188480.904</v>
      </c>
      <c r="W124" s="168" t="n">
        <f aca="false" t="array" ref="W124:W124">-W115*Premissas!$B$62*INDEX(Premissas!$C$63:$G$63,W$7)</f>
        <v>-202805.376</v>
      </c>
      <c r="X124" s="168" t="n">
        <f aca="false" t="array" ref="X124:X124">-X115*Premissas!$B$62*INDEX(Premissas!$C$63:$G$63,X$7)</f>
        <v>-216334.044</v>
      </c>
      <c r="Y124" s="168" t="n">
        <f aca="false" t="array" ref="Y124:Y124">-Y115*Premissas!$B$62*INDEX(Premissas!$C$63:$G$63,Y$7)</f>
        <v>-229114.848</v>
      </c>
      <c r="Z124" s="168" t="n">
        <f aca="false" t="array" ref="Z124:Z124">-Z115*Premissas!$B$62*INDEX(Premissas!$C$63:$G$63,Z$7)</f>
        <v>-270547.0425</v>
      </c>
      <c r="AA124" s="168" t="n">
        <f aca="false" t="array" ref="AA124:AA124">-AA115*Premissas!$B$62*INDEX(Premissas!$C$63:$G$63,AA$7)</f>
        <v>-298444.28625</v>
      </c>
      <c r="AB124" s="168" t="n">
        <f aca="false" t="array" ref="AB124:AB124">-AB115*Premissas!$B$62*INDEX(Premissas!$C$63:$G$63,AB$7)</f>
        <v>-324920.2725</v>
      </c>
      <c r="AC124" s="168" t="n">
        <f aca="false" t="array" ref="AC124:AC124">-AC115*Premissas!$B$62*INDEX(Premissas!$C$63:$G$63,AC$7)</f>
        <v>-350056.7325</v>
      </c>
      <c r="AD124" s="168" t="n">
        <f aca="false" t="array" ref="AD124:AD124">-AD115*Premissas!$B$62*INDEX(Premissas!$C$63:$G$63,AD$7)</f>
        <v>-373914.54</v>
      </c>
      <c r="AE124" s="168" t="n">
        <f aca="false" t="array" ref="AE124:AE124">-AE115*Premissas!$B$62*INDEX(Premissas!$C$63:$G$63,AE$7)</f>
        <v>-396563.16375</v>
      </c>
      <c r="AF124" s="168" t="n">
        <f aca="false" t="array" ref="AF124:AF124">-AF115*Premissas!$B$62*INDEX(Premissas!$C$63:$G$63,AF$7)</f>
        <v>-418062.06</v>
      </c>
      <c r="AG124" s="168" t="n">
        <f aca="false" t="array" ref="AG124:AG124">-AG115*Premissas!$B$62*INDEX(Premissas!$C$63:$G$63,AG$7)</f>
        <v>-438463.0125</v>
      </c>
      <c r="AH124" s="168" t="n">
        <f aca="false" t="array" ref="AH124:AH124">-AH115*Premissas!$B$62*INDEX(Premissas!$C$63:$G$63,AH$7)</f>
        <v>-457837.74</v>
      </c>
      <c r="AI124" s="168" t="n">
        <f aca="false" t="array" ref="AI124:AI124">-AI115*Premissas!$B$62*INDEX(Premissas!$C$63:$G$63,AI$7)</f>
        <v>-476221.17375</v>
      </c>
      <c r="AJ124" s="168" t="n">
        <f aca="false" t="array" ref="AJ124:AJ124">-AJ115*Premissas!$B$62*INDEX(Premissas!$C$63:$G$63,AJ$7)</f>
        <v>-493673.79375</v>
      </c>
      <c r="AK124" s="168" t="n">
        <f aca="false" t="array" ref="AK124:AK124">-AK115*Premissas!$B$62*INDEX(Premissas!$C$63:$G$63,AK$7)</f>
        <v>-510241.66875</v>
      </c>
      <c r="AL124" s="168" t="n">
        <f aca="false" t="array" ref="AL124:AL124">-AL115*Premissas!$B$62*INDEX(Premissas!$C$63:$G$63,AL$7)</f>
        <v>-567957.042</v>
      </c>
      <c r="AM124" s="168" t="n">
        <f aca="false" t="array" ref="AM124:AM124">-AM115*Premissas!$B$62*INDEX(Premissas!$C$63:$G$63,AM$7)</f>
        <v>-609834.8412</v>
      </c>
      <c r="AN124" s="168" t="n">
        <f aca="false" t="array" ref="AN124:AN124">-AN115*Premissas!$B$62*INDEX(Premissas!$C$63:$G$63,AN$7)</f>
        <v>-649757.8512</v>
      </c>
      <c r="AO124" s="168" t="n">
        <f aca="false" t="array" ref="AO124:AO124">-AO115*Premissas!$B$62*INDEX(Premissas!$C$63:$G$63,AO$7)</f>
        <v>-687818.7468</v>
      </c>
      <c r="AP124" s="168" t="n">
        <f aca="false" t="array" ref="AP124:AP124">-AP115*Premissas!$B$62*INDEX(Premissas!$C$63:$G$63,AP$7)</f>
        <v>-724105.98</v>
      </c>
      <c r="AQ124" s="168" t="n">
        <f aca="false" t="array" ref="AQ124:AQ124">-AQ115*Premissas!$B$62*INDEX(Premissas!$C$63:$G$63,AQ$7)</f>
        <v>-758688.4008</v>
      </c>
      <c r="AR124" s="168" t="n">
        <f aca="false" t="array" ref="AR124:AR124">-AR115*Premissas!$B$62*INDEX(Premissas!$C$63:$G$63,AR$7)</f>
        <v>-791666.2332</v>
      </c>
      <c r="AS124" s="168" t="n">
        <f aca="false" t="array" ref="AS124:AS124">-AS115*Premissas!$B$62*INDEX(Premissas!$C$63:$G$63,AS$7)</f>
        <v>-823091.3496</v>
      </c>
      <c r="AT124" s="168" t="n">
        <f aca="false" t="array" ref="AT124:AT124">-AT115*Premissas!$B$62*INDEX(Premissas!$C$63:$G$63,AT$7)</f>
        <v>-853049.8584</v>
      </c>
      <c r="AU124" s="168" t="n">
        <f aca="false" t="array" ref="AU124:AU124">-AU115*Premissas!$B$62*INDEX(Premissas!$C$63:$G$63,AU$7)</f>
        <v>-881609.5296</v>
      </c>
      <c r="AV124" s="168" t="n">
        <f aca="false" t="array" ref="AV124:AV124">-AV115*Premissas!$B$62*INDEX(Premissas!$C$63:$G$63,AV$7)</f>
        <v>-908841.5568</v>
      </c>
      <c r="AW124" s="168" t="n">
        <f aca="false" t="array" ref="AW124:AW124">-AW115*Premissas!$B$62*INDEX(Premissas!$C$63:$G$63,AW$7)</f>
        <v>-934797.8124</v>
      </c>
      <c r="AX124" s="168" t="n">
        <f aca="false" t="array" ref="AX124:AX124">-AX115*Premissas!$B$62*INDEX(Premissas!$C$63:$G$63,AX$7)</f>
        <v>-1044234.4815</v>
      </c>
      <c r="AY124" s="168" t="n">
        <f aca="false" t="array" ref="AY124:AY124">-AY115*Premissas!$B$62*INDEX(Premissas!$C$63:$G$63,AY$7)</f>
        <v>-1113195.8985</v>
      </c>
      <c r="AZ124" s="168" t="n">
        <f aca="false" t="array" ref="AZ124:AZ124">-AZ115*Premissas!$B$62*INDEX(Premissas!$C$63:$G$63,AZ$7)</f>
        <v>-1179198.1845</v>
      </c>
      <c r="BA124" s="168" t="n">
        <f aca="false" t="array" ref="BA124:BA124">-BA115*Premissas!$B$62*INDEX(Premissas!$C$63:$G$63,BA$7)</f>
        <v>-1242360.714</v>
      </c>
      <c r="BB124" s="168" t="n">
        <f aca="false" t="array" ref="BB124:BB124">-BB115*Premissas!$B$62*INDEX(Premissas!$C$63:$G$63,BB$7)</f>
        <v>-1302796.7505</v>
      </c>
      <c r="BC124" s="168" t="n">
        <f aca="false" t="array" ref="BC124:BC124">-BC115*Premissas!$B$62*INDEX(Premissas!$C$63:$G$63,BC$7)</f>
        <v>-1360645.503</v>
      </c>
      <c r="BD124" s="168" t="n">
        <f aca="false" t="array" ref="BD124:BD124">-BD115*Premissas!$B$62*INDEX(Premissas!$C$63:$G$63,BD$7)</f>
        <v>-1416007.467</v>
      </c>
      <c r="BE124" s="168" t="n">
        <f aca="false" t="array" ref="BE124:BE124">-BE115*Premissas!$B$62*INDEX(Premissas!$C$63:$G$63,BE$7)</f>
        <v>-1468985.511</v>
      </c>
      <c r="BF124" s="168" t="n">
        <f aca="false" t="array" ref="BF124:BF124">-BF115*Premissas!$B$62*INDEX(Premissas!$C$63:$G$63,BF$7)</f>
        <v>-1519695.681</v>
      </c>
      <c r="BG124" s="168" t="n">
        <f aca="false" t="array" ref="BG124:BG124">-BG115*Premissas!$B$62*INDEX(Premissas!$C$63:$G$63,BG$7)</f>
        <v>-1568218.911</v>
      </c>
      <c r="BH124" s="168" t="n">
        <f aca="false" t="array" ref="BH124:BH124">-BH115*Premissas!$B$62*INDEX(Premissas!$C$63:$G$63,BH$7)</f>
        <v>-1614658.479</v>
      </c>
      <c r="BI124" s="168" t="n">
        <f aca="false" t="array" ref="BI124:BI124">-BI115*Premissas!$B$62*INDEX(Premissas!$C$63:$G$63,BI$7)</f>
        <v>-1659094.3635</v>
      </c>
      <c r="BJ124" s="154" t="n">
        <f aca="false">SUM(B124:BI124)</f>
        <v>-32107421.595</v>
      </c>
    </row>
    <row r="125" customFormat="false" ht="15.75" hidden="false" customHeight="true" outlineLevel="0" collapsed="false">
      <c r="A125" s="49" t="s">
        <v>404</v>
      </c>
      <c r="B125" s="168" t="n">
        <f aca="false" t="array" ref="B125:B125">-(B115*(1-INDEX(Premissas!$C$63:$G$63,B$7))+B116)*Premissas!$B$64</f>
        <v>-0</v>
      </c>
      <c r="C125" s="168" t="n">
        <f aca="false" t="array" ref="C125:C125">-(C115*(1-INDEX(Premissas!$C$63:$G$63,C$7))+C116)*Premissas!$B$64</f>
        <v>-0</v>
      </c>
      <c r="D125" s="168" t="n">
        <f aca="false" t="array" ref="D125:D125">-(D115*(1-INDEX(Premissas!$C$63:$G$63,D$7))+D116)*Premissas!$B$64</f>
        <v>-0</v>
      </c>
      <c r="E125" s="168" t="n">
        <f aca="false" t="array" ref="E125:E125">-(E115*(1-INDEX(Premissas!$C$63:$G$63,E$7))+E116)*Premissas!$B$64</f>
        <v>-0</v>
      </c>
      <c r="F125" s="168" t="n">
        <f aca="false" t="array" ref="F125:F125">-(F115*(1-INDEX(Premissas!$C$63:$G$63,F$7))+F116)*Premissas!$B$64</f>
        <v>-0</v>
      </c>
      <c r="G125" s="168" t="n">
        <f aca="false" t="array" ref="G125:G125">-(G115*(1-INDEX(Premissas!$C$63:$G$63,G$7))+G116)*Premissas!$B$64</f>
        <v>-0</v>
      </c>
      <c r="H125" s="168" t="n">
        <f aca="false" t="array" ref="H125:H125">-(H115*(1-INDEX(Premissas!$C$63:$G$63,H$7))+H116)*Premissas!$B$64</f>
        <v>-0</v>
      </c>
      <c r="I125" s="168" t="n">
        <f aca="false" t="array" ref="I125:I125">-(I115*(1-INDEX(Premissas!$C$63:$G$63,I$7))+I116)*Premissas!$B$64</f>
        <v>-0</v>
      </c>
      <c r="J125" s="168" t="n">
        <f aca="false" t="array" ref="J125:J125">-(J115*(1-INDEX(Premissas!$C$63:$G$63,J$7))+J116)*Premissas!$B$64</f>
        <v>-0</v>
      </c>
      <c r="K125" s="168" t="n">
        <f aca="false" t="array" ref="K125:K125">-(K115*(1-INDEX(Premissas!$C$63:$G$63,K$7))+K116)*Premissas!$B$64</f>
        <v>-0</v>
      </c>
      <c r="L125" s="168" t="n">
        <f aca="false" t="array" ref="L125:L125">-(L115*(1-INDEX(Premissas!$C$63:$G$63,L$7))+L116)*Premissas!$B$64</f>
        <v>-0</v>
      </c>
      <c r="M125" s="168" t="n">
        <f aca="false" t="array" ref="M125:M125">-(M115*(1-INDEX(Premissas!$C$63:$G$63,M$7))+M116)*Premissas!$B$64</f>
        <v>-136.449225</v>
      </c>
      <c r="N125" s="168" t="n">
        <f aca="false" t="array" ref="N125:N125">-(N115*(1-INDEX(Premissas!$C$63:$G$63,N$7))+N116)*Premissas!$B$64</f>
        <v>-1135.3560606</v>
      </c>
      <c r="O125" s="168" t="n">
        <f aca="false" t="array" ref="O125:O125">-(O115*(1-INDEX(Premissas!$C$63:$G$63,O$7))+O116)*Premissas!$B$64</f>
        <v>-2560.25774149488</v>
      </c>
      <c r="P125" s="168" t="n">
        <f aca="false" t="array" ref="P125:P125">-(P115*(1-INDEX(Premissas!$C$63:$G$63,P$7))+P116)*Premissas!$B$64</f>
        <v>-4481.54898480436</v>
      </c>
      <c r="Q125" s="168" t="n">
        <f aca="false" t="array" ref="Q125:Q125">-(Q115*(1-INDEX(Premissas!$C$63:$G$63,Q$7))+Q116)*Premissas!$B$64</f>
        <v>-6857.78822772316</v>
      </c>
      <c r="R125" s="168" t="n">
        <f aca="false" t="array" ref="R125:R125">-(R115*(1-INDEX(Premissas!$C$63:$G$63,R$7))+R116)*Premissas!$B$64</f>
        <v>-9648.95741115284</v>
      </c>
      <c r="S125" s="168" t="n">
        <f aca="false" t="array" ref="S125:S125">-(S115*(1-INDEX(Premissas!$C$63:$G$63,S$7))+S116)*Premissas!$B$64</f>
        <v>-11066.8924909372</v>
      </c>
      <c r="T125" s="168" t="n">
        <f aca="false" t="array" ref="T125:T125">-(T115*(1-INDEX(Premissas!$C$63:$G$63,T$7))+T116)*Premissas!$B$64</f>
        <v>-12405.4789043175</v>
      </c>
      <c r="U125" s="168" t="n">
        <f aca="false" t="array" ref="U125:U125">-(U115*(1-INDEX(Premissas!$C$63:$G$63,U$7))+U116)*Premissas!$B$64</f>
        <v>-13670.6815940791</v>
      </c>
      <c r="V125" s="168" t="n">
        <f aca="false" t="array" ref="V125:V125">-(V115*(1-INDEX(Premissas!$C$63:$G$63,V$7))+V116)*Premissas!$B$64</f>
        <v>-14866.296492726</v>
      </c>
      <c r="W125" s="168" t="n">
        <f aca="false" t="array" ref="W125:W125">-(W115*(1-INDEX(Premissas!$C$63:$G$63,W$7))+W116)*Premissas!$B$64</f>
        <v>-15996.1084688875</v>
      </c>
      <c r="X125" s="168" t="n">
        <f aca="false" t="array" ref="X125:X125">-(X115*(1-INDEX(Premissas!$C$63:$G$63,X$7))+X116)*Premissas!$B$64</f>
        <v>-17063.1728380449</v>
      </c>
      <c r="Y125" s="168" t="n">
        <f aca="false" t="array" ref="Y125:Y125">-(Y115*(1-INDEX(Premissas!$C$63:$G$63,Y$7))+Y116)*Premissas!$B$64</f>
        <v>-18071.2541395448</v>
      </c>
      <c r="Z125" s="168" t="n">
        <f aca="false" t="array" ref="Z125:Z125">-(Z115*(1-INDEX(Premissas!$C$63:$G$63,Z$7))+Z116)*Premissas!$B$64</f>
        <v>-28714.4024539743</v>
      </c>
      <c r="AA125" s="168" t="n">
        <f aca="false" t="array" ref="AA125:AA125">-(AA115*(1-INDEX(Premissas!$C$63:$G$63,AA$7))+AA116)*Premissas!$B$64</f>
        <v>-31675.2679153837</v>
      </c>
      <c r="AB125" s="168" t="n">
        <f aca="false" t="array" ref="AB125:AB125">-(AB115*(1-INDEX(Premissas!$C$63:$G$63,AB$7))+AB116)*Premissas!$B$64</f>
        <v>-34485.3163978608</v>
      </c>
      <c r="AC125" s="168" t="n">
        <f aca="false" t="array" ref="AC125:AC125">-(AC115*(1-INDEX(Premissas!$C$63:$G$63,AC$7))+AC116)*Premissas!$B$64</f>
        <v>-37153.1624017759</v>
      </c>
      <c r="AD125" s="168" t="n">
        <f aca="false" t="array" ref="AD125:AD125">-(AD115*(1-INDEX(Premissas!$C$63:$G$63,AD$7))+AD116)*Premissas!$B$64</f>
        <v>-39685.3122626921</v>
      </c>
      <c r="AE125" s="168" t="n">
        <f aca="false" t="array" ref="AE125:AE125">-(AE115*(1-INDEX(Premissas!$C$63:$G$63,AE$7))+AE116)*Premissas!$B$64</f>
        <v>-42089.1105396795</v>
      </c>
      <c r="AF125" s="168" t="n">
        <f aca="false" t="array" ref="AF125:AF125">-(AF115*(1-INDEX(Premissas!$C$63:$G$63,AF$7))+AF116)*Premissas!$B$64</f>
        <v>-44370.8803458205</v>
      </c>
      <c r="AG125" s="168" t="n">
        <f aca="false" t="array" ref="AG125:AG125">-(AG115*(1-INDEX(Premissas!$C$63:$G$63,AG$7))+AG116)*Premissas!$B$64</f>
        <v>-46536.1583738423</v>
      </c>
      <c r="AH125" s="168" t="n">
        <f aca="false" t="array" ref="AH125:AH125">-(AH115*(1-INDEX(Premissas!$C$63:$G$63,AH$7))+AH116)*Premissas!$B$64</f>
        <v>-48592.4566196651</v>
      </c>
      <c r="AI125" s="168" t="n">
        <f aca="false" t="array" ref="AI125:AI125">-(AI115*(1-INDEX(Premissas!$C$63:$G$63,AI$7))+AI116)*Premissas!$B$64</f>
        <v>-50543.591056508</v>
      </c>
      <c r="AJ125" s="168" t="n">
        <f aca="false" t="array" ref="AJ125:AJ125">-(AJ115*(1-INDEX(Premissas!$C$63:$G$63,AJ$7))+AJ116)*Premissas!$B$64</f>
        <v>-52395.9161370663</v>
      </c>
      <c r="AK125" s="168" t="n">
        <f aca="false" t="array" ref="AK125:AK125">-(AK115*(1-INDEX(Premissas!$C$63:$G$63,AK$7))+AK116)*Premissas!$B$64</f>
        <v>-54154.3296261415</v>
      </c>
      <c r="AL125" s="168" t="n">
        <f aca="false" t="array" ref="AL125:AL125">-(AL115*(1-INDEX(Premissas!$C$63:$G$63,AL$7))+AL116)*Premissas!$B$64</f>
        <v>-71689.8165972798</v>
      </c>
      <c r="AM125" s="168" t="n">
        <f aca="false" t="array" ref="AM125:AM125">-(AM115*(1-INDEX(Premissas!$C$63:$G$63,AM$7))+AM116)*Premissas!$B$64</f>
        <v>-76975.842806736</v>
      </c>
      <c r="AN125" s="168" t="n">
        <f aca="false" t="array" ref="AN125:AN125">-(AN115*(1-INDEX(Premissas!$C$63:$G$63,AN$7))+AN116)*Premissas!$B$64</f>
        <v>-82015.1085434969</v>
      </c>
      <c r="AO125" s="168" t="n">
        <f aca="false" t="array" ref="AO125:AO125">-(AO115*(1-INDEX(Premissas!$C$63:$G$63,AO$7))+AO116)*Premissas!$B$64</f>
        <v>-86819.2996364523</v>
      </c>
      <c r="AP125" s="168" t="n">
        <f aca="false" t="array" ref="AP125:AP125">-(AP115*(1-INDEX(Premissas!$C$63:$G$63,AP$7))+AP116)*Premissas!$B$64</f>
        <v>-91399.5684308911</v>
      </c>
      <c r="AQ125" s="168" t="n">
        <f aca="false" t="array" ref="AQ125:AQ125">-(AQ115*(1-INDEX(Premissas!$C$63:$G$63,AQ$7))+AQ116)*Premissas!$B$64</f>
        <v>-95764.741455832</v>
      </c>
      <c r="AR125" s="168" t="n">
        <f aca="false" t="array" ref="AR125:AR125">-(AR115*(1-INDEX(Premissas!$C$63:$G$63,AR$7))+AR116)*Premissas!$B$64</f>
        <v>-99927.2684422415</v>
      </c>
      <c r="AS125" s="168" t="n">
        <f aca="false" t="array" ref="AS125:AS125">-(AS115*(1-INDEX(Premissas!$C$63:$G$63,AS$7))+AS116)*Premissas!$B$64</f>
        <v>-103893.922736303</v>
      </c>
      <c r="AT125" s="168" t="n">
        <f aca="false" t="array" ref="AT125:AT125">-(AT115*(1-INDEX(Premissas!$C$63:$G$63,AT$7))+AT116)*Premissas!$B$64</f>
        <v>-107675.438171703</v>
      </c>
      <c r="AU125" s="168" t="n">
        <f aca="false" t="array" ref="AU125:AU125">-(AU115*(1-INDEX(Premissas!$C$63:$G$63,AU$7))+AU116)*Premissas!$B$64</f>
        <v>-111280.376964724</v>
      </c>
      <c r="AV125" s="168" t="n">
        <f aca="false" t="array" ref="AV125:AV125">-(AV115*(1-INDEX(Premissas!$C$63:$G$63,AV$7))+AV116)*Premissas!$B$64</f>
        <v>-114717.670115746</v>
      </c>
      <c r="AW125" s="168" t="n">
        <f aca="false" t="array" ref="AW125:AW125">-(AW115*(1-INDEX(Premissas!$C$63:$G$63,AW$7))+AW116)*Premissas!$B$64</f>
        <v>-117993.965280591</v>
      </c>
      <c r="AX125" s="168" t="n">
        <f aca="false" t="array" ref="AX125:AX125">-(AX115*(1-INDEX(Premissas!$C$63:$G$63,AX$7))+AX116)*Premissas!$B$64</f>
        <v>-146254.250989511</v>
      </c>
      <c r="AY125" s="168" t="n">
        <f aca="false" t="array" ref="AY125:AY125">-(AY115*(1-INDEX(Premissas!$C$63:$G$63,AY$7))+AY116)*Premissas!$B$64</f>
        <v>-155912.895275535</v>
      </c>
      <c r="AZ125" s="168" t="n">
        <f aca="false" t="array" ref="AZ125:AZ125">-(AZ115*(1-INDEX(Premissas!$C$63:$G$63,AZ$7))+AZ116)*Premissas!$B$64</f>
        <v>-165157.029286399</v>
      </c>
      <c r="BA125" s="168" t="n">
        <f aca="false" t="array" ref="BA125:BA125">-(BA115*(1-INDEX(Premissas!$C$63:$G$63,BA$7))+BA116)*Premissas!$B$64</f>
        <v>-174003.46478764</v>
      </c>
      <c r="BB125" s="168" t="n">
        <f aca="false" t="array" ref="BB125:BB125">-(BB115*(1-INDEX(Premissas!$C$63:$G$63,BB$7))+BB116)*Premissas!$B$64</f>
        <v>-182468.164933367</v>
      </c>
      <c r="BC125" s="168" t="n">
        <f aca="false" t="array" ref="BC125:BC125">-(BC115*(1-INDEX(Premissas!$C$63:$G$63,BC$7))+BC116)*Premissas!$B$64</f>
        <v>-190570.368520414</v>
      </c>
      <c r="BD125" s="168" t="n">
        <f aca="false" t="array" ref="BD125:BD125">-(BD115*(1-INDEX(Premissas!$C$63:$G$63,BD$7))+BD116)*Premissas!$B$64</f>
        <v>-198324.279276265</v>
      </c>
      <c r="BE125" s="168" t="n">
        <f aca="false" t="array" ref="BE125:BE125">-(BE115*(1-INDEX(Premissas!$C$63:$G$63,BE$7))+BE116)*Premissas!$B$64</f>
        <v>-205744.350885741</v>
      </c>
      <c r="BF125" s="168" t="n">
        <f aca="false" t="array" ref="BF125:BF125">-(BF115*(1-INDEX(Premissas!$C$63:$G$63,BF$7))+BF116)*Premissas!$B$64</f>
        <v>-212846.678511226</v>
      </c>
      <c r="BG125" s="168" t="n">
        <f aca="false" t="array" ref="BG125:BG125">-(BG115*(1-INDEX(Premissas!$C$63:$G$63,BG$7))+BG116)*Premissas!$B$64</f>
        <v>-219642.79241102</v>
      </c>
      <c r="BH125" s="168" t="n">
        <f aca="false" t="array" ref="BH125:BH125">-(BH115*(1-INDEX(Premissas!$C$63:$G$63,BH$7))+BH116)*Premissas!$B$64</f>
        <v>-226147.04731018</v>
      </c>
      <c r="BI125" s="168" t="n">
        <f aca="false" t="array" ref="BI125:BI125">-(BI115*(1-INDEX(Premissas!$C$63:$G$63,BI$7))+BI116)*Premissas!$B$64</f>
        <v>-232370.75602806</v>
      </c>
      <c r="BJ125" s="154" t="n">
        <f aca="false">SUM(B125:BI125)</f>
        <v>-4107951.24410708</v>
      </c>
    </row>
    <row r="126" customFormat="false" ht="15.75" hidden="false" customHeight="true" outlineLevel="0" collapsed="false">
      <c r="A126" s="53" t="s">
        <v>701</v>
      </c>
      <c r="B126" s="154" t="n">
        <f aca="false">B120+SUM(B123:B125)</f>
        <v>0</v>
      </c>
      <c r="C126" s="154" t="n">
        <f aca="false">C120+SUM(C123:C125)</f>
        <v>0</v>
      </c>
      <c r="D126" s="154" t="n">
        <f aca="false">D120+SUM(D123:D125)</f>
        <v>0</v>
      </c>
      <c r="E126" s="154" t="n">
        <f aca="false">E120+SUM(E123:E125)</f>
        <v>0</v>
      </c>
      <c r="F126" s="154" t="n">
        <f aca="false">F120+SUM(F123:F125)</f>
        <v>0</v>
      </c>
      <c r="G126" s="154" t="n">
        <f aca="false">G120+SUM(G123:G125)</f>
        <v>0</v>
      </c>
      <c r="H126" s="154" t="n">
        <f aca="false">H120+SUM(H123:H125)</f>
        <v>0</v>
      </c>
      <c r="I126" s="154" t="n">
        <f aca="false">I120+SUM(I123:I125)</f>
        <v>0</v>
      </c>
      <c r="J126" s="154" t="n">
        <f aca="false">J120+SUM(J123:J125)</f>
        <v>0</v>
      </c>
      <c r="K126" s="154" t="n">
        <f aca="false">K120+SUM(K123:K125)</f>
        <v>0</v>
      </c>
      <c r="L126" s="154" t="n">
        <f aca="false">L120+SUM(L123:L125)</f>
        <v>0</v>
      </c>
      <c r="M126" s="154" t="n">
        <f aca="false">M120+SUM(M123:M125)</f>
        <v>14367.598025</v>
      </c>
      <c r="N126" s="154" t="n">
        <f aca="false">N120+SUM(N123:N125)</f>
        <v>80912.262544</v>
      </c>
      <c r="O126" s="154" t="n">
        <f aca="false">O120+SUM(O123:O125)</f>
        <v>188873.231982131</v>
      </c>
      <c r="P126" s="154" t="n">
        <f aca="false">P120+SUM(P123:P125)</f>
        <v>333733.524083513</v>
      </c>
      <c r="Q126" s="154" t="n">
        <f aca="false">Q120+SUM(Q123:Q125)</f>
        <v>505928.356809696</v>
      </c>
      <c r="R126" s="154" t="n">
        <f aca="false">R120+SUM(R123:R125)</f>
        <v>704869.148902696</v>
      </c>
      <c r="S126" s="154" t="n">
        <f aca="false">S120+SUM(S123:S125)</f>
        <v>792938.690357197</v>
      </c>
      <c r="T126" s="154" t="n">
        <f aca="false">T120+SUM(T123:T125)</f>
        <v>944457.91587928</v>
      </c>
      <c r="U126" s="154" t="n">
        <f aca="false">U120+SUM(U123:U125)</f>
        <v>1041303.3627065</v>
      </c>
      <c r="V126" s="154" t="n">
        <f aca="false">V120+SUM(V123:V125)</f>
        <v>1131734.41314069</v>
      </c>
      <c r="W126" s="154" t="n">
        <f aca="false">W120+SUM(W123:W125)</f>
        <v>1218862.40465729</v>
      </c>
      <c r="X126" s="154" t="n">
        <f aca="false">X120+SUM(X123:X125)</f>
        <v>1299569.865896</v>
      </c>
      <c r="Y126" s="154" t="n">
        <f aca="false">Y120+SUM(Y123:Y125)</f>
        <v>1375815.89697239</v>
      </c>
      <c r="Z126" s="154" t="n">
        <f aca="false">Z120+SUM(Z123:Z125)</f>
        <v>1752740.93940525</v>
      </c>
      <c r="AA126" s="154" t="n">
        <f aca="false">AA120+SUM(AA123:AA125)</f>
        <v>1932546.01431048</v>
      </c>
      <c r="AB126" s="154" t="n">
        <f aca="false">AB120+SUM(AB123:AB125)</f>
        <v>2103191.19899803</v>
      </c>
      <c r="AC126" s="154" t="n">
        <f aca="false">AC120+SUM(AC123:AC125)</f>
        <v>2265202.21690691</v>
      </c>
      <c r="AD126" s="154" t="n">
        <f aca="false">AD120+SUM(AD123:AD125)</f>
        <v>2418972.21619496</v>
      </c>
      <c r="AE126" s="154" t="n">
        <f aca="false">AE120+SUM(AE123:AE125)</f>
        <v>2564948.4400756</v>
      </c>
      <c r="AF126" s="154" t="n">
        <f aca="false">AF120+SUM(AF123:AF125)</f>
        <v>2703514.32389747</v>
      </c>
      <c r="AG126" s="154" t="n">
        <f aca="false">AG120+SUM(AG123:AG125)</f>
        <v>2835004.3425488</v>
      </c>
      <c r="AH126" s="154" t="n">
        <f aca="false">AH120+SUM(AH123:AH125)</f>
        <v>2959878.98551531</v>
      </c>
      <c r="AI126" s="154" t="n">
        <f aca="false">AI120+SUM(AI123:AI125)</f>
        <v>3078365.30374833</v>
      </c>
      <c r="AJ126" s="154" t="n">
        <f aca="false">AJ120+SUM(AJ123:AJ125)</f>
        <v>3190851.97069229</v>
      </c>
      <c r="AK126" s="154" t="n">
        <f aca="false">AK120+SUM(AK123:AK125)</f>
        <v>3297636.05709342</v>
      </c>
      <c r="AL126" s="154" t="n">
        <f aca="false">AL120+SUM(AL123:AL125)</f>
        <v>3870364.70327748</v>
      </c>
      <c r="AM126" s="154" t="n">
        <f aca="false">AM120+SUM(AM123:AM125)</f>
        <v>4155080.08912677</v>
      </c>
      <c r="AN126" s="154" t="n">
        <f aca="false">AN120+SUM(AN123:AN125)</f>
        <v>4426505.11076886</v>
      </c>
      <c r="AO126" s="154" t="n">
        <f aca="false">AO120+SUM(AO123:AO125)</f>
        <v>4685269.62612105</v>
      </c>
      <c r="AP126" s="154" t="n">
        <f aca="false">AP120+SUM(AP123:AP125)</f>
        <v>4931974.77536748</v>
      </c>
      <c r="AQ126" s="154" t="n">
        <f aca="false">AQ120+SUM(AQ123:AQ125)</f>
        <v>5167091.04187534</v>
      </c>
      <c r="AR126" s="154" t="n">
        <f aca="false">AR120+SUM(AR123:AR125)</f>
        <v>5391296.28338344</v>
      </c>
      <c r="AS126" s="154" t="n">
        <f aca="false">AS120+SUM(AS123:AS125)</f>
        <v>5604947.13747615</v>
      </c>
      <c r="AT126" s="154" t="n">
        <f aca="false">AT120+SUM(AT123:AT125)</f>
        <v>5808626.65232269</v>
      </c>
      <c r="AU126" s="154" t="n">
        <f aca="false">AU120+SUM(AU123:AU125)</f>
        <v>6002795.71690819</v>
      </c>
      <c r="AV126" s="154" t="n">
        <f aca="false">AV120+SUM(AV123:AV125)</f>
        <v>6187937.3816001</v>
      </c>
      <c r="AW126" s="154" t="n">
        <f aca="false">AW120+SUM(AW123:AW125)</f>
        <v>6364406.0726704</v>
      </c>
      <c r="AX126" s="154" t="n">
        <f aca="false">AX120+SUM(AX123:AX125)</f>
        <v>7362599.77038246</v>
      </c>
      <c r="AY126" s="154" t="n">
        <f aca="false">AY120+SUM(AY123:AY125)</f>
        <v>7848232.88588058</v>
      </c>
      <c r="AZ126" s="154" t="n">
        <f aca="false">AZ120+SUM(AZ123:AZ125)</f>
        <v>8313026.4822197</v>
      </c>
      <c r="BA126" s="154" t="n">
        <f aca="false">BA120+SUM(BA123:BA125)</f>
        <v>8757822.83085588</v>
      </c>
      <c r="BB126" s="154" t="n">
        <f aca="false">BB120+SUM(BB123:BB125)</f>
        <v>9183421.29718337</v>
      </c>
      <c r="BC126" s="154" t="n">
        <f aca="false">BC120+SUM(BC123:BC125)</f>
        <v>9590797.65456982</v>
      </c>
      <c r="BD126" s="154" t="n">
        <f aca="false">BD120+SUM(BD123:BD125)</f>
        <v>9980661.86232643</v>
      </c>
      <c r="BE126" s="154" t="n">
        <f aca="false">BE120+SUM(BE123:BE125)</f>
        <v>10353739.1409411</v>
      </c>
      <c r="BF126" s="154" t="n">
        <f aca="false">BF120+SUM(BF123:BF125)</f>
        <v>10710843.9165588</v>
      </c>
      <c r="BG126" s="154" t="n">
        <f aca="false">BG120+SUM(BG123:BG125)</f>
        <v>11052549.5607092</v>
      </c>
      <c r="BH126" s="154" t="n">
        <f aca="false">BH120+SUM(BH123:BH125)</f>
        <v>11379581.4275391</v>
      </c>
      <c r="BI126" s="154" t="n">
        <f aca="false">BI120+SUM(BI123:BI125)</f>
        <v>11692504.6888233</v>
      </c>
      <c r="BJ126" s="154" t="n">
        <f aca="false">SUM(B126:BI126)</f>
        <v>219558294.790231</v>
      </c>
    </row>
    <row r="127" customFormat="false" ht="15.75" hidden="false" customHeight="true" outlineLevel="0" collapsed="false">
      <c r="A127" s="49" t="s">
        <v>407</v>
      </c>
      <c r="B127" s="168" t="n">
        <f aca="false" t="array" ref="B127:B127">-(B107*INDEX(Premissas!$C$93:$G$93,B$7)+(B105-B107)*INDEX(Premissas!$C$94:$G$94,B$7)+B111*Premissas!$B$69+IF(B$4&gt;=Premissas!$B$91,INDEX(Premissas!$C$92:$G$92,B$7),0))</f>
        <v>-0</v>
      </c>
      <c r="C127" s="168" t="n">
        <f aca="false" t="array" ref="C127:C127">-(C107*INDEX(Premissas!$C$93:$G$93,C$7)+(C105-C107)*INDEX(Premissas!$C$94:$G$94,C$7)+C111*Premissas!$B$69+IF(C$4&gt;=Premissas!$B$91,INDEX(Premissas!$C$92:$G$92,C$7),0))</f>
        <v>-0</v>
      </c>
      <c r="D127" s="168" t="n">
        <f aca="false" t="array" ref="D127:D127">-(D107*INDEX(Premissas!$C$93:$G$93,D$7)+(D105-D107)*INDEX(Premissas!$C$94:$G$94,D$7)+D111*Premissas!$B$69+IF(D$4&gt;=Premissas!$B$91,INDEX(Premissas!$C$92:$G$92,D$7),0))</f>
        <v>-0</v>
      </c>
      <c r="E127" s="168" t="n">
        <f aca="false" t="array" ref="E127:E127">-(E107*INDEX(Premissas!$C$93:$G$93,E$7)+(E105-E107)*INDEX(Premissas!$C$94:$G$94,E$7)+E111*Premissas!$B$69+IF(E$4&gt;=Premissas!$B$91,INDEX(Premissas!$C$92:$G$92,E$7),0))</f>
        <v>-0</v>
      </c>
      <c r="F127" s="168" t="n">
        <f aca="false" t="array" ref="F127:F127">-(F107*INDEX(Premissas!$C$93:$G$93,F$7)+(F105-F107)*INDEX(Premissas!$C$94:$G$94,F$7)+F111*Premissas!$B$69+IF(F$4&gt;=Premissas!$B$91,INDEX(Premissas!$C$92:$G$92,F$7),0))</f>
        <v>-600</v>
      </c>
      <c r="G127" s="168" t="n">
        <f aca="false" t="array" ref="G127:G127">-(G107*INDEX(Premissas!$C$93:$G$93,G$7)+(G105-G107)*INDEX(Premissas!$C$94:$G$94,G$7)+G111*Premissas!$B$69+IF(G$4&gt;=Premissas!$B$91,INDEX(Premissas!$C$92:$G$92,G$7),0))</f>
        <v>-600</v>
      </c>
      <c r="H127" s="168" t="n">
        <f aca="false" t="array" ref="H127:H127">-(H107*INDEX(Premissas!$C$93:$G$93,H$7)+(H105-H107)*INDEX(Premissas!$C$94:$G$94,H$7)+H111*Premissas!$B$69+IF(H$4&gt;=Premissas!$B$91,INDEX(Premissas!$C$92:$G$92,H$7),0))</f>
        <v>-600</v>
      </c>
      <c r="I127" s="168" t="n">
        <f aca="false" t="array" ref="I127:I127">-(I107*INDEX(Premissas!$C$93:$G$93,I$7)+(I105-I107)*INDEX(Premissas!$C$94:$G$94,I$7)+I111*Premissas!$B$69+IF(I$4&gt;=Premissas!$B$91,INDEX(Premissas!$C$92:$G$92,I$7),0))</f>
        <v>-600</v>
      </c>
      <c r="J127" s="168" t="n">
        <f aca="false" t="array" ref="J127:J127">-(J107*INDEX(Premissas!$C$93:$G$93,J$7)+(J105-J107)*INDEX(Premissas!$C$94:$G$94,J$7)+J111*Premissas!$B$69+IF(J$4&gt;=Premissas!$B$91,INDEX(Premissas!$C$92:$G$92,J$7),0))</f>
        <v>-600</v>
      </c>
      <c r="K127" s="168" t="n">
        <f aca="false" t="array" ref="K127:K127">-(K107*INDEX(Premissas!$C$93:$G$93,K$7)+(K105-K107)*INDEX(Premissas!$C$94:$G$94,K$7)+K111*Premissas!$B$69+IF(K$4&gt;=Premissas!$B$91,INDEX(Premissas!$C$92:$G$92,K$7),0))</f>
        <v>-600</v>
      </c>
      <c r="L127" s="168" t="n">
        <f aca="false" t="array" ref="L127:L127">-(L107*INDEX(Premissas!$C$93:$G$93,L$7)+(L105-L107)*INDEX(Premissas!$C$94:$G$94,L$7)+L111*Premissas!$B$69+IF(L$4&gt;=Premissas!$B$91,INDEX(Premissas!$C$92:$G$92,L$7),0))</f>
        <v>-600</v>
      </c>
      <c r="M127" s="168" t="n">
        <f aca="false" t="array" ref="M127:M127">-(M107*INDEX(Premissas!$C$93:$G$93,M$7)+(M105-M107)*INDEX(Premissas!$C$94:$G$94,M$7)+M111*Premissas!$B$69+IF(M$4&gt;=Premissas!$B$91,INDEX(Premissas!$C$92:$G$92,M$7),0))</f>
        <v>-9197.74</v>
      </c>
      <c r="N127" s="168" t="n">
        <f aca="false" t="array" ref="N127:N127">-(N107*INDEX(Premissas!$C$93:$G$93,N$7)+(N105-N107)*INDEX(Premissas!$C$94:$G$94,N$7)+N111*Premissas!$B$69+IF(N$4&gt;=Premissas!$B$91,INDEX(Premissas!$C$92:$G$92,N$7),0))</f>
        <v>-47369.66464</v>
      </c>
      <c r="O127" s="168" t="n">
        <f aca="false" t="array" ref="O127:O127">-(O107*INDEX(Premissas!$C$93:$G$93,O$7)+(O105-O107)*INDEX(Premissas!$C$94:$G$94,O$7)+O111*Premissas!$B$69+IF(O$4&gt;=Premissas!$B$91,INDEX(Premissas!$C$92:$G$92,O$7),0))</f>
        <v>-112479.652943872</v>
      </c>
      <c r="P127" s="168" t="n">
        <f aca="false" t="array" ref="P127:P127">-(P107*INDEX(Premissas!$C$93:$G$93,P$7)+(P105-P107)*INDEX(Premissas!$C$94:$G$94,P$7)+P111*Premissas!$B$69+IF(P$4&gt;=Premissas!$B$91,INDEX(Premissas!$C$92:$G$92,P$7),0))</f>
        <v>-196442.82045337</v>
      </c>
      <c r="Q127" s="168" t="n">
        <f aca="false" t="array" ref="Q127:Q127">-(Q107*INDEX(Premissas!$C$93:$G$93,Q$7)+(Q105-Q107)*INDEX(Premissas!$C$94:$G$94,Q$7)+Q111*Premissas!$B$69+IF(Q$4&gt;=Premissas!$B$91,INDEX(Premissas!$C$92:$G$92,Q$7),0))</f>
        <v>-300642.281028344</v>
      </c>
      <c r="R127" s="168" t="n">
        <f aca="false" t="array" ref="R127:R127">-(R107*INDEX(Premissas!$C$93:$G$93,R$7)+(R105-R107)*INDEX(Premissas!$C$94:$G$94,R$7)+R111*Premissas!$B$69+IF(R$4&gt;=Premissas!$B$91,INDEX(Premissas!$C$92:$G$92,R$7),0))</f>
        <v>-423300.18411558</v>
      </c>
      <c r="S127" s="168" t="n">
        <f aca="false" t="array" ref="S127:S127">-(S107*INDEX(Premissas!$C$93:$G$93,S$7)+(S105-S107)*INDEX(Premissas!$C$94:$G$94,S$7)+S111*Premissas!$B$69+IF(S$4&gt;=Premissas!$B$91,INDEX(Premissas!$C$92:$G$92,S$7),0))</f>
        <v>-485138.0816164</v>
      </c>
      <c r="T127" s="168" t="n">
        <f aca="false" t="array" ref="T127:T127">-(T107*INDEX(Premissas!$C$93:$G$93,T$7)+(T105-T107)*INDEX(Premissas!$C$94:$G$94,T$7)+T111*Premissas!$B$69+IF(T$4&gt;=Premissas!$B$91,INDEX(Premissas!$C$92:$G$92,T$7),0))</f>
        <v>-543514.694375174</v>
      </c>
      <c r="U127" s="168" t="n">
        <f aca="false" t="array" ref="U127:U127">-(U107*INDEX(Premissas!$C$93:$G$93,U$7)+(U105-U107)*INDEX(Premissas!$C$94:$G$94,U$7)+U111*Premissas!$B$69+IF(U$4&gt;=Premissas!$B$91,INDEX(Premissas!$C$92:$G$92,U$7),0))</f>
        <v>-598691.358309665</v>
      </c>
      <c r="V127" s="168" t="n">
        <f aca="false" t="array" ref="V127:V127">-(V107*INDEX(Premissas!$C$93:$G$93,V$7)+(V105-V107)*INDEX(Premissas!$C$94:$G$94,V$7)+V111*Premissas!$B$69+IF(V$4&gt;=Premissas!$B$91,INDEX(Premissas!$C$92:$G$92,V$7),0))</f>
        <v>-650833.470202971</v>
      </c>
      <c r="W127" s="168" t="n">
        <f aca="false" t="array" ref="W127:W127">-(W107*INDEX(Premissas!$C$93:$G$93,W$7)+(W105-W107)*INDEX(Premissas!$C$94:$G$94,W$7)+W111*Premissas!$B$69+IF(W$4&gt;=Premissas!$B$91,INDEX(Premissas!$C$92:$G$92,W$7),0))</f>
        <v>-700105.933175767</v>
      </c>
      <c r="X127" s="168" t="n">
        <f aca="false" t="array" ref="X127:X127">-(X107*INDEX(Premissas!$C$93:$G$93,X$7)+(X105-X107)*INDEX(Premissas!$C$94:$G$94,X$7)+X111*Premissas!$B$69+IF(X$4&gt;=Premissas!$B$91,INDEX(Premissas!$C$92:$G$92,X$7),0))</f>
        <v>-746641.631856465</v>
      </c>
      <c r="Y127" s="168" t="n">
        <f aca="false" t="array" ref="Y127:Y127">-(Y107*INDEX(Premissas!$C$93:$G$93,Y$7)+(Y105-Y107)*INDEX(Premissas!$C$94:$G$94,Y$7)+Y111*Premissas!$B$69+IF(Y$4&gt;=Premissas!$B$91,INDEX(Premissas!$C$92:$G$92,Y$7),0))</f>
        <v>-790604.947265988</v>
      </c>
      <c r="Z127" s="168" t="n">
        <f aca="false" t="array" ref="Z127:Z127">-(Z107*INDEX(Premissas!$C$93:$G$93,Z$7)+(Z105-Z107)*INDEX(Premissas!$C$94:$G$94,Z$7)+Z111*Premissas!$B$69+IF(Z$4&gt;=Premissas!$B$91,INDEX(Premissas!$C$92:$G$92,Z$7),0))</f>
        <v>-942653.535789597</v>
      </c>
      <c r="AA127" s="168" t="n">
        <f aca="false" t="array" ref="AA127:AA127">-(AA107*INDEX(Premissas!$C$93:$G$93,AA$7)+(AA105-AA107)*INDEX(Premissas!$C$94:$G$94,AA$7)+AA111*Premissas!$B$69+IF(AA$4&gt;=Premissas!$B$91,INDEX(Premissas!$C$92:$G$92,AA$7),0))</f>
        <v>-1039023.35504175</v>
      </c>
      <c r="AB127" s="168" t="n">
        <f aca="false" t="array" ref="AB127:AB127">-(AB107*INDEX(Premissas!$C$93:$G$93,AB$7)+(AB105-AB107)*INDEX(Premissas!$C$94:$G$94,AB$7)+AB111*Premissas!$B$69+IF(AB$4&gt;=Premissas!$B$91,INDEX(Premissas!$C$92:$G$92,AB$7),0))</f>
        <v>-1130492.67496165</v>
      </c>
      <c r="AC127" s="168" t="n">
        <f aca="false" t="array" ref="AC127:AC127">-(AC107*INDEX(Premissas!$C$93:$G$93,AC$7)+(AC105-AC107)*INDEX(Premissas!$C$94:$G$94,AC$7)+AC111*Premissas!$B$69+IF(AC$4&gt;=Premissas!$B$91,INDEX(Premissas!$C$92:$G$92,AC$7),0))</f>
        <v>-1217324.16926526</v>
      </c>
      <c r="AD127" s="168" t="n">
        <f aca="false" t="array" ref="AD127:AD127">-(AD107*INDEX(Premissas!$C$93:$G$93,AD$7)+(AD105-AD107)*INDEX(Premissas!$C$94:$G$94,AD$7)+AD111*Premissas!$B$69+IF(AD$4&gt;=Premissas!$B$91,INDEX(Premissas!$C$92:$G$92,AD$7),0))</f>
        <v>-1299748.22720088</v>
      </c>
      <c r="AE127" s="168" t="n">
        <f aca="false" t="array" ref="AE127:AE127">-(AE107*INDEX(Premissas!$C$93:$G$93,AE$7)+(AE105-AE107)*INDEX(Premissas!$C$94:$G$94,AE$7)+AE111*Premissas!$B$69+IF(AE$4&gt;=Premissas!$B$91,INDEX(Premissas!$C$92:$G$92,AE$7),0))</f>
        <v>-1377994.89075282</v>
      </c>
      <c r="AF127" s="168" t="n">
        <f aca="false" t="array" ref="AF127:AF127">-(AF107*INDEX(Premissas!$C$93:$G$93,AF$7)+(AF105-AF107)*INDEX(Premissas!$C$94:$G$94,AF$7)+AF111*Premissas!$B$69+IF(AF$4&gt;=Premissas!$B$91,INDEX(Premissas!$C$92:$G$92,AF$7),0))</f>
        <v>-1452262.02758089</v>
      </c>
      <c r="AG127" s="168" t="n">
        <f aca="false" t="array" ref="AG127:AG127">-(AG107*INDEX(Premissas!$C$93:$G$93,AG$7)+(AG105-AG107)*INDEX(Premissas!$C$94:$G$94,AG$7)+AG111*Premissas!$B$69+IF(AG$4&gt;=Premissas!$B$91,INDEX(Premissas!$C$92:$G$92,AG$7),0))</f>
        <v>-1522747.01770899</v>
      </c>
      <c r="AH127" s="168" t="n">
        <f aca="false" t="array" ref="AH127:AH127">-(AH107*INDEX(Premissas!$C$93:$G$93,AH$7)+(AH105-AH107)*INDEX(Premissas!$C$94:$G$94,AH$7)+AH111*Premissas!$B$69+IF(AH$4&gt;=Premissas!$B$91,INDEX(Premissas!$C$92:$G$92,AH$7),0))</f>
        <v>-1589678.98997561</v>
      </c>
      <c r="AI127" s="168" t="n">
        <f aca="false" t="array" ref="AI127:AI127">-(AI107*INDEX(Premissas!$C$93:$G$93,AI$7)+(AI105-AI107)*INDEX(Premissas!$C$94:$G$94,AI$7)+AI111*Premissas!$B$69+IF(AI$4&gt;=Premissas!$B$91,INDEX(Premissas!$C$92:$G$92,AI$7),0))</f>
        <v>-1653191.04825832</v>
      </c>
      <c r="AJ127" s="168" t="n">
        <f aca="false" t="array" ref="AJ127:AJ127">-(AJ107*INDEX(Premissas!$C$93:$G$93,AJ$7)+(AJ105-AJ107)*INDEX(Premissas!$C$94:$G$94,AJ$7)+AJ111*Premissas!$B$69+IF(AJ$4&gt;=Premissas!$B$91,INDEX(Premissas!$C$92:$G$92,AJ$7),0))</f>
        <v>-1713479.68548373</v>
      </c>
      <c r="AK127" s="168" t="n">
        <f aca="false" t="array" ref="AK127:AK127">-(AK107*INDEX(Premissas!$C$93:$G$93,AK$7)+(AK105-AK107)*INDEX(Premissas!$C$94:$G$94,AK$7)+AK111*Premissas!$B$69+IF(AK$4&gt;=Premissas!$B$91,INDEX(Premissas!$C$92:$G$92,AK$7),0))</f>
        <v>-1770709.44143379</v>
      </c>
      <c r="AL127" s="168" t="n">
        <f aca="false" t="array" ref="AL127:AL127">-(AL107*INDEX(Premissas!$C$93:$G$93,AL$7)+(AL105-AL107)*INDEX(Premissas!$C$94:$G$94,AL$7)+AL111*Premissas!$B$69+IF(AL$4&gt;=Premissas!$B$91,INDEX(Premissas!$C$92:$G$92,AL$7),0))</f>
        <v>-2037228.06451733</v>
      </c>
      <c r="AM127" s="168" t="n">
        <f aca="false" t="array" ref="AM127:AM127">-(AM107*INDEX(Premissas!$C$93:$G$93,AM$7)+(AM105-AM107)*INDEX(Premissas!$C$94:$G$94,AM$7)+AM111*Premissas!$B$69+IF(AM$4&gt;=Premissas!$B$91,INDEX(Premissas!$C$92:$G$92,AM$7),0))</f>
        <v>-2186115.86920651</v>
      </c>
      <c r="AN127" s="168" t="n">
        <f aca="false" t="array" ref="AN127:AN127">-(AN107*INDEX(Premissas!$C$93:$G$93,AN$7)+(AN105-AN107)*INDEX(Premissas!$C$94:$G$94,AN$7)+AN111*Premissas!$B$69+IF(AN$4&gt;=Premissas!$B$91,INDEX(Premissas!$C$92:$G$92,AN$7),0))</f>
        <v>-2328051.07596071</v>
      </c>
      <c r="AO127" s="168" t="n">
        <f aca="false" t="array" ref="AO127:AO127">-(AO107*INDEX(Premissas!$C$93:$G$93,AO$7)+(AO105-AO107)*INDEX(Premissas!$C$94:$G$94,AO$7)+AO111*Premissas!$B$69+IF(AO$4&gt;=Premissas!$B$91,INDEX(Premissas!$C$92:$G$92,AO$7),0))</f>
        <v>-2463361.61518203</v>
      </c>
      <c r="AP127" s="168" t="n">
        <f aca="false" t="array" ref="AP127:AP127">-(AP107*INDEX(Premissas!$C$93:$G$93,AP$7)+(AP105-AP107)*INDEX(Premissas!$C$94:$G$94,AP$7)+AP111*Premissas!$B$69+IF(AP$4&gt;=Premissas!$B$91,INDEX(Premissas!$C$92:$G$92,AP$7),0))</f>
        <v>-2592374.87007355</v>
      </c>
      <c r="AQ127" s="168" t="n">
        <f aca="false" t="array" ref="AQ127:AQ127">-(AQ107*INDEX(Premissas!$C$93:$G$93,AQ$7)+(AQ105-AQ107)*INDEX(Premissas!$C$94:$G$94,AQ$7)+AQ111*Premissas!$B$69+IF(AQ$4&gt;=Premissas!$B$91,INDEX(Premissas!$C$92:$G$92,AQ$7),0))</f>
        <v>-2715322.22618055</v>
      </c>
      <c r="AR127" s="168" t="n">
        <f aca="false" t="array" ref="AR127:AR127">-(AR107*INDEX(Premissas!$C$93:$G$93,AR$7)+(AR105-AR107)*INDEX(Premissas!$C$94:$G$94,AR$7)+AR111*Premissas!$B$69+IF(AR$4&gt;=Premissas!$B$91,INDEX(Premissas!$C$92:$G$92,AR$7),0))</f>
        <v>-2832562.27071962</v>
      </c>
      <c r="AS127" s="168" t="n">
        <f aca="false" t="array" ref="AS127:AS127">-(AS107*INDEX(Premissas!$C$93:$G$93,AS$7)+(AS105-AS107)*INDEX(Premissas!$C$94:$G$94,AS$7)+AS111*Premissas!$B$69+IF(AS$4&gt;=Premissas!$B$91,INDEX(Premissas!$C$92:$G$92,AS$7),0))</f>
        <v>-2944293.73170548</v>
      </c>
      <c r="AT127" s="168" t="n">
        <f aca="false" t="array" ref="AT127:AT127">-(AT107*INDEX(Premissas!$C$93:$G$93,AT$7)+(AT105-AT107)*INDEX(Premissas!$C$94:$G$94,AT$7)+AT111*Premissas!$B$69+IF(AT$4&gt;=Premissas!$B$91,INDEX(Premissas!$C$92:$G$92,AT$7),0))</f>
        <v>-3050810.71188501</v>
      </c>
      <c r="AU127" s="168" t="n">
        <f aca="false" t="array" ref="AU127:AU127">-(AU107*INDEX(Premissas!$C$93:$G$93,AU$7)+(AU105-AU107)*INDEX(Premissas!$C$94:$G$94,AU$7)+AU111*Premissas!$B$69+IF(AU$4&gt;=Premissas!$B$91,INDEX(Premissas!$C$92:$G$92,AU$7),0))</f>
        <v>-3152343.06748744</v>
      </c>
      <c r="AV127" s="168" t="n">
        <f aca="false" t="array" ref="AV127:AV127">-(AV107*INDEX(Premissas!$C$93:$G$93,AV$7)+(AV105-AV107)*INDEX(Premissas!$C$94:$G$94,AV$7)+AV111*Premissas!$B$69+IF(AV$4&gt;=Premissas!$B$91,INDEX(Premissas!$C$92:$G$92,AV$7),0))</f>
        <v>-3249152.4667994</v>
      </c>
      <c r="AW127" s="168" t="n">
        <f aca="false" t="array" ref="AW127:AW127">-(AW107*INDEX(Premissas!$C$93:$G$93,AW$7)+(AW105-AW107)*INDEX(Premissas!$C$94:$G$94,AW$7)+AW111*Premissas!$B$69+IF(AW$4&gt;=Premissas!$B$91,INDEX(Premissas!$C$92:$G$92,AW$7),0))</f>
        <v>-3341436.23857284</v>
      </c>
      <c r="AX127" s="168" t="n">
        <f aca="false" t="array" ref="AX127:AX127">-(AX107*INDEX(Premissas!$C$93:$G$93,AX$7)+(AX105-AX107)*INDEX(Premissas!$C$94:$G$94,AX$7)+AX111*Premissas!$B$69+IF(AX$4&gt;=Premissas!$B$91,INDEX(Premissas!$C$92:$G$92,AX$7),0))</f>
        <v>-3807997.68726573</v>
      </c>
      <c r="AY127" s="168" t="n">
        <f aca="false" t="array" ref="AY127:AY127">-(AY107*INDEX(Premissas!$C$93:$G$93,AY$7)+(AY105-AY107)*INDEX(Premissas!$C$94:$G$94,AY$7)+AY111*Premissas!$B$69+IF(AY$4&gt;=Premissas!$B$91,INDEX(Premissas!$C$92:$G$92,AY$7),0))</f>
        <v>-4057499.99466769</v>
      </c>
      <c r="AZ127" s="168" t="n">
        <f aca="false" t="array" ref="AZ127:AZ127">-(AZ107*INDEX(Premissas!$C$93:$G$93,AZ$7)+(AZ105-AZ107)*INDEX(Premissas!$C$94:$G$94,AZ$7)+AZ111*Premissas!$B$69+IF(AZ$4&gt;=Premissas!$B$91,INDEX(Premissas!$C$92:$G$92,AZ$7),0))</f>
        <v>-4296294.84883124</v>
      </c>
      <c r="BA127" s="168" t="n">
        <f aca="false" t="array" ref="BA127:BA127">-(BA107*INDEX(Premissas!$C$93:$G$93,BA$7)+(BA105-BA107)*INDEX(Premissas!$C$94:$G$94,BA$7)+BA111*Premissas!$B$69+IF(BA$4&gt;=Premissas!$B$91,INDEX(Premissas!$C$92:$G$92,BA$7),0))</f>
        <v>-4524808.84259551</v>
      </c>
      <c r="BB127" s="168" t="n">
        <f aca="false" t="array" ref="BB127:BB127">-(BB107*INDEX(Premissas!$C$93:$G$93,BB$7)+(BB105-BB107)*INDEX(Premissas!$C$94:$G$94,BB$7)+BB111*Premissas!$B$69+IF(BB$4&gt;=Premissas!$B$91,INDEX(Premissas!$C$92:$G$92,BB$7),0))</f>
        <v>-4743468.04896832</v>
      </c>
      <c r="BC127" s="168" t="n">
        <f aca="false" t="array" ref="BC127:BC127">-(BC107*INDEX(Premissas!$C$93:$G$93,BC$7)+(BC105-BC107)*INDEX(Premissas!$C$94:$G$94,BC$7)+BC111*Premissas!$B$69+IF(BC$4&gt;=Premissas!$B$91,INDEX(Premissas!$C$92:$G$92,BC$7),0))</f>
        <v>-4952761.74627698</v>
      </c>
      <c r="BD127" s="168" t="n">
        <f aca="false" t="array" ref="BD127:BD127">-(BD107*INDEX(Premissas!$C$93:$G$93,BD$7)+(BD105-BD107)*INDEX(Premissas!$C$94:$G$94,BD$7)+BD111*Premissas!$B$69+IF(BD$4&gt;=Premissas!$B$91,INDEX(Premissas!$C$92:$G$92,BD$7),0))</f>
        <v>-5153051.36309765</v>
      </c>
      <c r="BE127" s="168" t="n">
        <f aca="false" t="array" ref="BE127:BE127">-(BE107*INDEX(Premissas!$C$93:$G$93,BE$7)+(BE105-BE107)*INDEX(Premissas!$C$94:$G$94,BE$7)+BE111*Premissas!$B$69+IF(BE$4&gt;=Premissas!$B$91,INDEX(Premissas!$C$92:$G$92,BE$7),0))</f>
        <v>-5344729.60797284</v>
      </c>
      <c r="BF127" s="168" t="n">
        <f aca="false" t="array" ref="BF127:BF127">-(BF107*INDEX(Premissas!$C$93:$G$93,BF$7)+(BF105-BF107)*INDEX(Premissas!$C$94:$G$94,BF$7)+BF111*Premissas!$B$69+IF(BF$4&gt;=Premissas!$B$91,INDEX(Premissas!$C$92:$G$92,BF$7),0))</f>
        <v>-5528188.78892614</v>
      </c>
      <c r="BG127" s="168" t="n">
        <f aca="false" t="array" ref="BG127:BG127">-(BG107*INDEX(Premissas!$C$93:$G$93,BG$7)+(BG105-BG107)*INDEX(Premissas!$C$94:$G$94,BG$7)+BG111*Premissas!$B$69+IF(BG$4&gt;=Premissas!$B$91,INDEX(Premissas!$C$92:$G$92,BG$7),0))</f>
        <v>-5703756.99778289</v>
      </c>
      <c r="BH127" s="168" t="n">
        <f aca="false" t="array" ref="BH127:BH127">-(BH107*INDEX(Premissas!$C$93:$G$93,BH$7)+(BH105-BH107)*INDEX(Premissas!$C$94:$G$94,BH$7)+BH111*Premissas!$B$69+IF(BH$4&gt;=Premissas!$B$91,INDEX(Premissas!$C$92:$G$92,BH$7),0))</f>
        <v>-5871762.03430511</v>
      </c>
      <c r="BI127" s="168" t="n">
        <f aca="false" t="array" ref="BI127:BI127">-(BI107*INDEX(Premissas!$C$93:$G$93,BI$7)+(BI105-BI107)*INDEX(Premissas!$C$94:$G$94,BI$7)+BI111*Premissas!$B$69+IF(BI$4&gt;=Premissas!$B$91,INDEX(Premissas!$C$92:$G$92,BI$7),0))</f>
        <v>-6032531.26014869</v>
      </c>
      <c r="BJ127" s="154" t="n">
        <f aca="false">SUM(B127:BI127)</f>
        <v>-115228370.952566</v>
      </c>
    </row>
    <row r="128" customFormat="false" ht="15.75" hidden="false" customHeight="true" outlineLevel="0" collapsed="false">
      <c r="A128" s="49" t="s">
        <v>408</v>
      </c>
      <c r="B128" s="168" t="n">
        <f aca="false" t="array" ref="B128:B128">-B107*INDEX(Premissas!$C$95:$G$95,B$7)</f>
        <v>-0</v>
      </c>
      <c r="C128" s="168" t="n">
        <f aca="false" t="array" ref="C128:C128">-C107*INDEX(Premissas!$C$95:$G$95,C$7)</f>
        <v>-0</v>
      </c>
      <c r="D128" s="168" t="n">
        <f aca="false" t="array" ref="D128:D128">-D107*INDEX(Premissas!$C$95:$G$95,D$7)</f>
        <v>-0</v>
      </c>
      <c r="E128" s="168" t="n">
        <f aca="false" t="array" ref="E128:E128">-E107*INDEX(Premissas!$C$95:$G$95,E$7)</f>
        <v>-0</v>
      </c>
      <c r="F128" s="168" t="n">
        <f aca="false" t="array" ref="F128:F128">-F107*INDEX(Premissas!$C$95:$G$95,F$7)</f>
        <v>-0</v>
      </c>
      <c r="G128" s="168" t="n">
        <f aca="false" t="array" ref="G128:G128">-G107*INDEX(Premissas!$C$95:$G$95,G$7)</f>
        <v>-0</v>
      </c>
      <c r="H128" s="168" t="n">
        <f aca="false" t="array" ref="H128:H128">-H107*INDEX(Premissas!$C$95:$G$95,H$7)</f>
        <v>-0</v>
      </c>
      <c r="I128" s="168" t="n">
        <f aca="false" t="array" ref="I128:I128">-I107*INDEX(Premissas!$C$95:$G$95,I$7)</f>
        <v>-0</v>
      </c>
      <c r="J128" s="168" t="n">
        <f aca="false" t="array" ref="J128:J128">-J107*INDEX(Premissas!$C$95:$G$95,J$7)</f>
        <v>-0</v>
      </c>
      <c r="K128" s="168" t="n">
        <f aca="false" t="array" ref="K128:K128">-K107*INDEX(Premissas!$C$95:$G$95,K$7)</f>
        <v>-0</v>
      </c>
      <c r="L128" s="168" t="n">
        <f aca="false" t="array" ref="L128:L128">-L107*INDEX(Premissas!$C$95:$G$95,L$7)</f>
        <v>-0</v>
      </c>
      <c r="M128" s="168" t="n">
        <f aca="false" t="array" ref="M128:M128">-M107*INDEX(Premissas!$C$95:$G$95,M$7)</f>
        <v>-88.55</v>
      </c>
      <c r="N128" s="168" t="n">
        <f aca="false" t="array" ref="N128:N128">-N107*INDEX(Premissas!$C$95:$G$95,N$7)</f>
        <v>-478.45</v>
      </c>
      <c r="O128" s="168" t="n">
        <f aca="false" t="array" ref="O128:O128">-O107*INDEX(Premissas!$C$95:$G$95,O$7)</f>
        <v>-1129.45</v>
      </c>
      <c r="P128" s="168" t="n">
        <f aca="false" t="array" ref="P128:P128">-P107*INDEX(Premissas!$C$95:$G$95,P$7)</f>
        <v>-2024.4</v>
      </c>
      <c r="Q128" s="168" t="n">
        <f aca="false" t="array" ref="Q128:Q128">-Q107*INDEX(Premissas!$C$95:$G$95,Q$7)</f>
        <v>-3143</v>
      </c>
      <c r="R128" s="168" t="n">
        <f aca="false" t="array" ref="R128:R128">-R107*INDEX(Premissas!$C$95:$G$95,R$7)</f>
        <v>-4465.65</v>
      </c>
      <c r="S128" s="168" t="n">
        <f aca="false" t="array" ref="S128:S128">-S107*INDEX(Premissas!$C$95:$G$95,S$7)</f>
        <v>-5121.9</v>
      </c>
      <c r="T128" s="168" t="n">
        <f aca="false" t="array" ref="T128:T128">-T107*INDEX(Premissas!$C$95:$G$95,T$7)</f>
        <v>-5741.4</v>
      </c>
      <c r="U128" s="168" t="n">
        <f aca="false" t="array" ref="U128:U128">-U107*INDEX(Premissas!$C$95:$G$95,U$7)</f>
        <v>-6326.95</v>
      </c>
      <c r="V128" s="168" t="n">
        <f aca="false" t="array" ref="V128:V128">-V107*INDEX(Premissas!$C$95:$G$95,V$7)</f>
        <v>-6880.3</v>
      </c>
      <c r="W128" s="168" t="n">
        <f aca="false" t="array" ref="W128:W128">-W107*INDEX(Premissas!$C$95:$G$95,W$7)</f>
        <v>-7403.2</v>
      </c>
      <c r="X128" s="168" t="n">
        <f aca="false" t="array" ref="X128:X128">-X107*INDEX(Premissas!$C$95:$G$95,X$7)</f>
        <v>-7897.05</v>
      </c>
      <c r="Y128" s="168" t="n">
        <f aca="false" t="array" ref="Y128:Y128">-Y107*INDEX(Premissas!$C$95:$G$95,Y$7)</f>
        <v>-8363.6</v>
      </c>
      <c r="Z128" s="168" t="n">
        <f aca="false" t="array" ref="Z128:Z128">-Z107*INDEX(Premissas!$C$95:$G$95,Z$7)</f>
        <v>-8525.1</v>
      </c>
      <c r="AA128" s="168" t="n">
        <f aca="false" t="array" ref="AA128:AA128">-AA107*INDEX(Premissas!$C$95:$G$95,AA$7)</f>
        <v>-9404.1</v>
      </c>
      <c r="AB128" s="168" t="n">
        <f aca="false" t="array" ref="AB128:AB128">-AB107*INDEX(Premissas!$C$95:$G$95,AB$7)</f>
        <v>-10238.4</v>
      </c>
      <c r="AC128" s="168" t="n">
        <f aca="false" t="array" ref="AC128:AC128">-AC107*INDEX(Premissas!$C$95:$G$95,AC$7)</f>
        <v>-11030.4</v>
      </c>
      <c r="AD128" s="168" t="n">
        <f aca="false" t="array" ref="AD128:AD128">-AD107*INDEX(Premissas!$C$95:$G$95,AD$7)</f>
        <v>-11782.2</v>
      </c>
      <c r="AE128" s="168" t="n">
        <f aca="false" t="array" ref="AE128:AE128">-AE107*INDEX(Premissas!$C$95:$G$95,AE$7)</f>
        <v>-12495.9</v>
      </c>
      <c r="AF128" s="168" t="n">
        <f aca="false" t="array" ref="AF128:AF128">-AF107*INDEX(Premissas!$C$95:$G$95,AF$7)</f>
        <v>-13173.3</v>
      </c>
      <c r="AG128" s="168" t="n">
        <f aca="false" t="array" ref="AG128:AG128">-AG107*INDEX(Premissas!$C$95:$G$95,AG$7)</f>
        <v>-13816.2</v>
      </c>
      <c r="AH128" s="168" t="n">
        <f aca="false" t="array" ref="AH128:AH128">-AH107*INDEX(Premissas!$C$95:$G$95,AH$7)</f>
        <v>-14426.7</v>
      </c>
      <c r="AI128" s="168" t="n">
        <f aca="false" t="array" ref="AI128:AI128">-AI107*INDEX(Premissas!$C$95:$G$95,AI$7)</f>
        <v>-15006</v>
      </c>
      <c r="AJ128" s="168" t="n">
        <f aca="false" t="array" ref="AJ128:AJ128">-AJ107*INDEX(Premissas!$C$95:$G$95,AJ$7)</f>
        <v>-15555.9</v>
      </c>
      <c r="AK128" s="168" t="n">
        <f aca="false" t="array" ref="AK128:AK128">-AK107*INDEX(Premissas!$C$95:$G$95,AK$7)</f>
        <v>-16077.9</v>
      </c>
      <c r="AL128" s="168" t="n">
        <f aca="false" t="array" ref="AL128:AL128">-AL107*INDEX(Premissas!$C$95:$G$95,AL$7)</f>
        <v>-17240.16</v>
      </c>
      <c r="AM128" s="168" t="n">
        <f aca="false" t="array" ref="AM128:AM128">-AM107*INDEX(Premissas!$C$95:$G$95,AM$7)</f>
        <v>-18511.36</v>
      </c>
      <c r="AN128" s="168" t="n">
        <f aca="false" t="array" ref="AN128:AN128">-AN107*INDEX(Premissas!$C$95:$G$95,AN$7)</f>
        <v>-19723.2</v>
      </c>
      <c r="AO128" s="168" t="n">
        <f aca="false" t="array" ref="AO128:AO128">-AO107*INDEX(Premissas!$C$95:$G$95,AO$7)</f>
        <v>-20878.48</v>
      </c>
      <c r="AP128" s="168" t="n">
        <f aca="false" t="array" ref="AP128:AP128">-AP107*INDEX(Premissas!$C$95:$G$95,AP$7)</f>
        <v>-21980</v>
      </c>
      <c r="AQ128" s="168" t="n">
        <f aca="false" t="array" ref="AQ128:AQ128">-AQ107*INDEX(Premissas!$C$95:$G$95,AQ$7)</f>
        <v>-23029.72</v>
      </c>
      <c r="AR128" s="168" t="n">
        <f aca="false" t="array" ref="AR128:AR128">-AR107*INDEX(Premissas!$C$95:$G$95,AR$7)</f>
        <v>-24030.72</v>
      </c>
      <c r="AS128" s="168" t="n">
        <f aca="false" t="array" ref="AS128:AS128">-AS107*INDEX(Premissas!$C$95:$G$95,AS$7)</f>
        <v>-24984.68</v>
      </c>
      <c r="AT128" s="168" t="n">
        <f aca="false" t="array" ref="AT128:AT128">-AT107*INDEX(Premissas!$C$95:$G$95,AT$7)</f>
        <v>-25894.12</v>
      </c>
      <c r="AU128" s="168" t="n">
        <f aca="false" t="array" ref="AU128:AU128">-AU107*INDEX(Premissas!$C$95:$G$95,AU$7)</f>
        <v>-26761</v>
      </c>
      <c r="AV128" s="168" t="n">
        <f aca="false" t="array" ref="AV128:AV128">-AV107*INDEX(Premissas!$C$95:$G$95,AV$7)</f>
        <v>-27587.56</v>
      </c>
      <c r="AW128" s="168" t="n">
        <f aca="false" t="array" ref="AW128:AW128">-AW107*INDEX(Premissas!$C$95:$G$95,AW$7)</f>
        <v>-28375.48</v>
      </c>
      <c r="AX128" s="168" t="n">
        <f aca="false" t="array" ref="AX128:AX128">-AX107*INDEX(Premissas!$C$95:$G$95,AX$7)</f>
        <v>-28845.75</v>
      </c>
      <c r="AY128" s="168" t="n">
        <f aca="false" t="array" ref="AY128:AY128">-AY107*INDEX(Premissas!$C$95:$G$95,AY$7)</f>
        <v>-30750.75</v>
      </c>
      <c r="AZ128" s="168" t="n">
        <f aca="false" t="array" ref="AZ128:AZ128">-AZ107*INDEX(Premissas!$C$95:$G$95,AZ$7)</f>
        <v>-32574</v>
      </c>
      <c r="BA128" s="168" t="n">
        <f aca="false" t="array" ref="BA128:BA128">-BA107*INDEX(Premissas!$C$95:$G$95,BA$7)</f>
        <v>-34318.75</v>
      </c>
      <c r="BB128" s="168" t="n">
        <f aca="false" t="array" ref="BB128:BB128">-BB107*INDEX(Premissas!$C$95:$G$95,BB$7)</f>
        <v>-35988.25</v>
      </c>
      <c r="BC128" s="168" t="n">
        <f aca="false" t="array" ref="BC128:BC128">-BC107*INDEX(Premissas!$C$95:$G$95,BC$7)</f>
        <v>-37586.25</v>
      </c>
      <c r="BD128" s="168" t="n">
        <f aca="false" t="array" ref="BD128:BD128">-BD107*INDEX(Premissas!$C$95:$G$95,BD$7)</f>
        <v>-39115.5</v>
      </c>
      <c r="BE128" s="168" t="n">
        <f aca="false" t="array" ref="BE128:BE128">-BE107*INDEX(Premissas!$C$95:$G$95,BE$7)</f>
        <v>-40579</v>
      </c>
      <c r="BF128" s="168" t="n">
        <f aca="false" t="array" ref="BF128:BF128">-BF107*INDEX(Premissas!$C$95:$G$95,BF$7)</f>
        <v>-41979.75</v>
      </c>
      <c r="BG128" s="168" t="n">
        <f aca="false" t="array" ref="BG128:BG128">-BG107*INDEX(Premissas!$C$95:$G$95,BG$7)</f>
        <v>-43320.25</v>
      </c>
      <c r="BH128" s="168" t="n">
        <f aca="false" t="array" ref="BH128:BH128">-BH107*INDEX(Premissas!$C$95:$G$95,BH$7)</f>
        <v>-44603</v>
      </c>
      <c r="BI128" s="168" t="n">
        <f aca="false" t="array" ref="BI128:BI128">-BI107*INDEX(Premissas!$C$95:$G$95,BI$7)</f>
        <v>-45830.5</v>
      </c>
      <c r="BJ128" s="154" t="n">
        <f aca="false">SUM(B128:BI128)</f>
        <v>-945084.23</v>
      </c>
    </row>
    <row r="129" customFormat="false" ht="15.75" hidden="false" customHeight="true" outlineLevel="0" collapsed="false">
      <c r="A129" s="49" t="s">
        <v>760</v>
      </c>
      <c r="B129" s="168" t="n">
        <f aca="false">-Pessoas!B45</f>
        <v>-0</v>
      </c>
      <c r="C129" s="168" t="n">
        <f aca="false">-Pessoas!C45</f>
        <v>-0</v>
      </c>
      <c r="D129" s="168" t="n">
        <f aca="false">-Pessoas!D45</f>
        <v>-0</v>
      </c>
      <c r="E129" s="168" t="n">
        <f aca="false">-Pessoas!E45</f>
        <v>-0</v>
      </c>
      <c r="F129" s="168" t="n">
        <f aca="false">-Pessoas!F45</f>
        <v>-0</v>
      </c>
      <c r="G129" s="168" t="n">
        <f aca="false">-Pessoas!G45</f>
        <v>-0</v>
      </c>
      <c r="H129" s="168" t="n">
        <f aca="false">-Pessoas!H45</f>
        <v>-0</v>
      </c>
      <c r="I129" s="168" t="n">
        <f aca="false">-Pessoas!I45</f>
        <v>-0</v>
      </c>
      <c r="J129" s="168" t="n">
        <f aca="false">-Pessoas!J45</f>
        <v>-0</v>
      </c>
      <c r="K129" s="168" t="n">
        <f aca="false">-Pessoas!K45</f>
        <v>-0</v>
      </c>
      <c r="L129" s="168" t="n">
        <f aca="false">-Pessoas!L45</f>
        <v>-0</v>
      </c>
      <c r="M129" s="168" t="n">
        <f aca="false">-Pessoas!M45</f>
        <v>-0</v>
      </c>
      <c r="N129" s="168" t="n">
        <f aca="false">-Pessoas!N45</f>
        <v>-42500</v>
      </c>
      <c r="O129" s="168" t="n">
        <f aca="false">-Pessoas!O45</f>
        <v>-42500</v>
      </c>
      <c r="P129" s="168" t="n">
        <f aca="false">-Pessoas!P45</f>
        <v>-42500</v>
      </c>
      <c r="Q129" s="168" t="n">
        <f aca="false">-Pessoas!Q45</f>
        <v>-42500</v>
      </c>
      <c r="R129" s="168" t="n">
        <f aca="false">-Pessoas!R45</f>
        <v>-42500</v>
      </c>
      <c r="S129" s="168" t="n">
        <f aca="false">-Pessoas!S45</f>
        <v>-42500</v>
      </c>
      <c r="T129" s="168" t="n">
        <f aca="false">-Pessoas!T45</f>
        <v>-42500</v>
      </c>
      <c r="U129" s="168" t="n">
        <f aca="false">-Pessoas!U45</f>
        <v>-42500</v>
      </c>
      <c r="V129" s="168" t="n">
        <f aca="false">-Pessoas!V45</f>
        <v>-42500</v>
      </c>
      <c r="W129" s="168" t="n">
        <f aca="false">-Pessoas!W45</f>
        <v>-42500</v>
      </c>
      <c r="X129" s="168" t="n">
        <f aca="false">-Pessoas!X45</f>
        <v>-42500</v>
      </c>
      <c r="Y129" s="168" t="n">
        <f aca="false">-Pessoas!Y45</f>
        <v>-42500</v>
      </c>
      <c r="Z129" s="168" t="n">
        <f aca="false">-Pessoas!Z45</f>
        <v>-117500</v>
      </c>
      <c r="AA129" s="168" t="n">
        <f aca="false">-Pessoas!AA45</f>
        <v>-117500</v>
      </c>
      <c r="AB129" s="168" t="n">
        <f aca="false">-Pessoas!AB45</f>
        <v>-117500</v>
      </c>
      <c r="AC129" s="168" t="n">
        <f aca="false">-Pessoas!AC45</f>
        <v>-117500</v>
      </c>
      <c r="AD129" s="168" t="n">
        <f aca="false">-Pessoas!AD45</f>
        <v>-117500</v>
      </c>
      <c r="AE129" s="168" t="n">
        <f aca="false">-Pessoas!AE45</f>
        <v>-117500</v>
      </c>
      <c r="AF129" s="168" t="n">
        <f aca="false">-Pessoas!AF45</f>
        <v>-117500</v>
      </c>
      <c r="AG129" s="168" t="n">
        <f aca="false">-Pessoas!AG45</f>
        <v>-117500</v>
      </c>
      <c r="AH129" s="168" t="n">
        <f aca="false">-Pessoas!AH45</f>
        <v>-117500</v>
      </c>
      <c r="AI129" s="168" t="n">
        <f aca="false">-Pessoas!AI45</f>
        <v>-117500</v>
      </c>
      <c r="AJ129" s="168" t="n">
        <f aca="false">-Pessoas!AJ45</f>
        <v>-117500</v>
      </c>
      <c r="AK129" s="168" t="n">
        <f aca="false">-Pessoas!AK45</f>
        <v>-117500</v>
      </c>
      <c r="AL129" s="168" t="n">
        <f aca="false">-Pessoas!AL45</f>
        <v>-253300</v>
      </c>
      <c r="AM129" s="168" t="n">
        <f aca="false">-Pessoas!AM45</f>
        <v>-253300</v>
      </c>
      <c r="AN129" s="168" t="n">
        <f aca="false">-Pessoas!AN45</f>
        <v>-253300</v>
      </c>
      <c r="AO129" s="168" t="n">
        <f aca="false">-Pessoas!AO45</f>
        <v>-253300</v>
      </c>
      <c r="AP129" s="168" t="n">
        <f aca="false">-Pessoas!AP45</f>
        <v>-253300</v>
      </c>
      <c r="AQ129" s="168" t="n">
        <f aca="false">-Pessoas!AQ45</f>
        <v>-253300</v>
      </c>
      <c r="AR129" s="168" t="n">
        <f aca="false">-Pessoas!AR45</f>
        <v>-253300</v>
      </c>
      <c r="AS129" s="168" t="n">
        <f aca="false">-Pessoas!AS45</f>
        <v>-253300</v>
      </c>
      <c r="AT129" s="168" t="n">
        <f aca="false">-Pessoas!AT45</f>
        <v>-253300</v>
      </c>
      <c r="AU129" s="168" t="n">
        <f aca="false">-Pessoas!AU45</f>
        <v>-253300</v>
      </c>
      <c r="AV129" s="168" t="n">
        <f aca="false">-Pessoas!AV45</f>
        <v>-253300</v>
      </c>
      <c r="AW129" s="168" t="n">
        <f aca="false">-Pessoas!AW45</f>
        <v>-253300</v>
      </c>
      <c r="AX129" s="168" t="n">
        <f aca="false">-Pessoas!AX45</f>
        <v>-374300</v>
      </c>
      <c r="AY129" s="168" t="n">
        <f aca="false">-Pessoas!AY45</f>
        <v>-374300</v>
      </c>
      <c r="AZ129" s="168" t="n">
        <f aca="false">-Pessoas!AZ45</f>
        <v>-374300</v>
      </c>
      <c r="BA129" s="168" t="n">
        <f aca="false">-Pessoas!BA45</f>
        <v>-374300</v>
      </c>
      <c r="BB129" s="168" t="n">
        <f aca="false">-Pessoas!BB45</f>
        <v>-374300</v>
      </c>
      <c r="BC129" s="168" t="n">
        <f aca="false">-Pessoas!BC45</f>
        <v>-374300</v>
      </c>
      <c r="BD129" s="168" t="n">
        <f aca="false">-Pessoas!BD45</f>
        <v>-374300</v>
      </c>
      <c r="BE129" s="168" t="n">
        <f aca="false">-Pessoas!BE45</f>
        <v>-374300</v>
      </c>
      <c r="BF129" s="168" t="n">
        <f aca="false">-Pessoas!BF45</f>
        <v>-374300</v>
      </c>
      <c r="BG129" s="168" t="n">
        <f aca="false">-Pessoas!BG45</f>
        <v>-374300</v>
      </c>
      <c r="BH129" s="168" t="n">
        <f aca="false">-Pessoas!BH45</f>
        <v>-374300</v>
      </c>
      <c r="BI129" s="168" t="n">
        <f aca="false">-Pessoas!BI45</f>
        <v>-374300</v>
      </c>
      <c r="BJ129" s="154" t="n">
        <f aca="false">SUM(B129:BI129)</f>
        <v>-9451200</v>
      </c>
    </row>
    <row r="130" customFormat="false" ht="15.75" hidden="false" customHeight="true" outlineLevel="0" collapsed="false">
      <c r="A130" s="49" t="s">
        <v>413</v>
      </c>
      <c r="B130" s="168" t="n">
        <f aca="false" t="array" ref="B130:B130">-(B102*(1-INDEX(Premissas!$C$59:$G$59,B$7))*INDEX(Premissas!$C$58:$G$58,B$7)+IF(B$4&gt;=Premissas!$B$99,INDEX(Premissas!$C$98:$G$98,B$7),0)+IF(B$4=DATE(YEAR(Premissas!$B$101),MONTH(Premissas!$B$101),1),Premissas!$B$100,0))</f>
        <v>-0</v>
      </c>
      <c r="C130" s="168" t="n">
        <f aca="false" t="array" ref="C130:C130">-(C102*(1-INDEX(Premissas!$C$59:$G$59,C$7))*INDEX(Premissas!$C$58:$G$58,C$7)+IF(C$4&gt;=Premissas!$B$99,INDEX(Premissas!$C$98:$G$98,C$7),0)+IF(C$4=DATE(YEAR(Premissas!$B$101),MONTH(Premissas!$B$101),1),Premissas!$B$100,0))</f>
        <v>-0</v>
      </c>
      <c r="D130" s="168" t="n">
        <f aca="false" t="array" ref="D130:D130">-(D102*(1-INDEX(Premissas!$C$59:$G$59,D$7))*INDEX(Premissas!$C$58:$G$58,D$7)+IF(D$4&gt;=Premissas!$B$99,INDEX(Premissas!$C$98:$G$98,D$7),0)+IF(D$4=DATE(YEAR(Premissas!$B$101),MONTH(Premissas!$B$101),1),Premissas!$B$100,0))</f>
        <v>-0</v>
      </c>
      <c r="E130" s="168" t="n">
        <f aca="false" t="array" ref="E130:E130">-(E102*(1-INDEX(Premissas!$C$59:$G$59,E$7))*INDEX(Premissas!$C$58:$G$58,E$7)+IF(E$4&gt;=Premissas!$B$99,INDEX(Premissas!$C$98:$G$98,E$7),0)+IF(E$4=DATE(YEAR(Premissas!$B$101),MONTH(Premissas!$B$101),1),Premissas!$B$100,0))</f>
        <v>-0</v>
      </c>
      <c r="F130" s="168" t="n">
        <f aca="false" t="array" ref="F130:F130">-(F102*(1-INDEX(Premissas!$C$59:$G$59,F$7))*INDEX(Premissas!$C$58:$G$58,F$7)+IF(F$4&gt;=Premissas!$B$99,INDEX(Premissas!$C$98:$G$98,F$7),0)+IF(F$4=DATE(YEAR(Premissas!$B$101),MONTH(Premissas!$B$101),1),Premissas!$B$100,0))</f>
        <v>-0</v>
      </c>
      <c r="G130" s="168" t="n">
        <f aca="false" t="array" ref="G130:G130">-(G102*(1-INDEX(Premissas!$C$59:$G$59,G$7))*INDEX(Premissas!$C$58:$G$58,G$7)+IF(G$4&gt;=Premissas!$B$99,INDEX(Premissas!$C$98:$G$98,G$7),0)+IF(G$4=DATE(YEAR(Premissas!$B$101),MONTH(Premissas!$B$101),1),Premissas!$B$100,0))</f>
        <v>-0</v>
      </c>
      <c r="H130" s="168" t="n">
        <f aca="false" t="array" ref="H130:H130">-(H102*(1-INDEX(Premissas!$C$59:$G$59,H$7))*INDEX(Premissas!$C$58:$G$58,H$7)+IF(H$4&gt;=Premissas!$B$99,INDEX(Premissas!$C$98:$G$98,H$7),0)+IF(H$4=DATE(YEAR(Premissas!$B$101),MONTH(Premissas!$B$101),1),Premissas!$B$100,0))</f>
        <v>-0</v>
      </c>
      <c r="I130" s="168" t="n">
        <f aca="false" t="array" ref="I130:I130">-(I102*(1-INDEX(Premissas!$C$59:$G$59,I$7))*INDEX(Premissas!$C$58:$G$58,I$7)+IF(I$4&gt;=Premissas!$B$99,INDEX(Premissas!$C$98:$G$98,I$7),0)+IF(I$4=DATE(YEAR(Premissas!$B$101),MONTH(Premissas!$B$101),1),Premissas!$B$100,0))</f>
        <v>-0</v>
      </c>
      <c r="J130" s="168" t="n">
        <f aca="false" t="array" ref="J130:J130">-(J102*(1-INDEX(Premissas!$C$59:$G$59,J$7))*INDEX(Premissas!$C$58:$G$58,J$7)+IF(J$4&gt;=Premissas!$B$99,INDEX(Premissas!$C$98:$G$98,J$7),0)+IF(J$4=DATE(YEAR(Premissas!$B$101),MONTH(Premissas!$B$101),1),Premissas!$B$100,0))</f>
        <v>-0</v>
      </c>
      <c r="K130" s="168" t="n">
        <f aca="false" t="array" ref="K130:K130">-(K102*(1-INDEX(Premissas!$C$59:$G$59,K$7))*INDEX(Premissas!$C$58:$G$58,K$7)+IF(K$4&gt;=Premissas!$B$99,INDEX(Premissas!$C$98:$G$98,K$7),0)+IF(K$4=DATE(YEAR(Premissas!$B$101),MONTH(Premissas!$B$101),1),Premissas!$B$100,0))</f>
        <v>-0</v>
      </c>
      <c r="L130" s="168" t="n">
        <f aca="false" t="array" ref="L130:L130">-(L102*(1-INDEX(Premissas!$C$59:$G$59,L$7))*INDEX(Premissas!$C$58:$G$58,L$7)+IF(L$4&gt;=Premissas!$B$99,INDEX(Premissas!$C$98:$G$98,L$7),0)+IF(L$4=DATE(YEAR(Premissas!$B$101),MONTH(Premissas!$B$101),1),Premissas!$B$100,0))</f>
        <v>-1500</v>
      </c>
      <c r="M130" s="168" t="n">
        <f aca="false" t="array" ref="M130:M130">-(M102*(1-INDEX(Premissas!$C$59:$G$59,M$7))*INDEX(Premissas!$C$58:$G$58,M$7)+IF(M$4&gt;=Premissas!$B$99,INDEX(Premissas!$C$98:$G$98,M$7),0)+IF(M$4=DATE(YEAR(Premissas!$B$101),MONTH(Premissas!$B$101),1),Premissas!$B$100,0))</f>
        <v>-27107</v>
      </c>
      <c r="N130" s="168" t="n">
        <f aca="false" t="array" ref="N130:N130">-(N102*(1-INDEX(Premissas!$C$59:$G$59,N$7))*INDEX(Premissas!$C$58:$G$58,N$7)+IF(N$4&gt;=Premissas!$B$99,INDEX(Premissas!$C$98:$G$98,N$7),0)+IF(N$4=DATE(YEAR(Premissas!$B$101),MONTH(Premissas!$B$101),1),Premissas!$B$100,0))</f>
        <v>-52558.112</v>
      </c>
      <c r="O130" s="168" t="n">
        <f aca="false" t="array" ref="O130:O130">-(O102*(1-INDEX(Premissas!$C$59:$G$59,O$7))*INDEX(Premissas!$C$58:$G$58,O$7)+IF(O$4&gt;=Premissas!$B$99,INDEX(Premissas!$C$98:$G$98,O$7),0)+IF(O$4=DATE(YEAR(Premissas!$B$101),MONTH(Premissas!$B$101),1),Premissas!$B$100,0))</f>
        <v>-52558.112</v>
      </c>
      <c r="P130" s="168" t="n">
        <f aca="false" t="array" ref="P130:P130">-(P102*(1-INDEX(Premissas!$C$59:$G$59,P$7))*INDEX(Premissas!$C$58:$G$58,P$7)+IF(P$4&gt;=Premissas!$B$99,INDEX(Premissas!$C$98:$G$98,P$7),0)+IF(P$4=DATE(YEAR(Premissas!$B$101),MONTH(Premissas!$B$101),1),Premissas!$B$100,0))</f>
        <v>-52558.112</v>
      </c>
      <c r="Q130" s="168" t="n">
        <f aca="false" t="array" ref="Q130:Q130">-(Q102*(1-INDEX(Premissas!$C$59:$G$59,Q$7))*INDEX(Premissas!$C$58:$G$58,Q$7)+IF(Q$4&gt;=Premissas!$B$99,INDEX(Premissas!$C$98:$G$98,Q$7),0)+IF(Q$4=DATE(YEAR(Premissas!$B$101),MONTH(Premissas!$B$101),1),Premissas!$B$100,0))</f>
        <v>-52558.112</v>
      </c>
      <c r="R130" s="168" t="n">
        <f aca="false" t="array" ref="R130:R130">-(R102*(1-INDEX(Premissas!$C$59:$G$59,R$7))*INDEX(Premissas!$C$58:$G$58,R$7)+IF(R$4&gt;=Premissas!$B$99,INDEX(Premissas!$C$98:$G$98,R$7),0)+IF(R$4=DATE(YEAR(Premissas!$B$101),MONTH(Premissas!$B$101),1),Premissas!$B$100,0))</f>
        <v>-52558.112</v>
      </c>
      <c r="S130" s="168" t="n">
        <f aca="false" t="array" ref="S130:S130">-(S102*(1-INDEX(Premissas!$C$59:$G$59,S$7))*INDEX(Premissas!$C$58:$G$58,S$7)+IF(S$4&gt;=Premissas!$B$99,INDEX(Premissas!$C$98:$G$98,S$7),0)+IF(S$4=DATE(YEAR(Premissas!$B$101),MONTH(Premissas!$B$101),1),Premissas!$B$100,0))</f>
        <v>-52558.112</v>
      </c>
      <c r="T130" s="168" t="n">
        <f aca="false" t="array" ref="T130:T130">-(T102*(1-INDEX(Premissas!$C$59:$G$59,T$7))*INDEX(Premissas!$C$58:$G$58,T$7)+IF(T$4&gt;=Premissas!$B$99,INDEX(Premissas!$C$98:$G$98,T$7),0)+IF(T$4=DATE(YEAR(Premissas!$B$101),MONTH(Premissas!$B$101),1),Premissas!$B$100,0))</f>
        <v>-52558.112</v>
      </c>
      <c r="U130" s="168" t="n">
        <f aca="false" t="array" ref="U130:U130">-(U102*(1-INDEX(Premissas!$C$59:$G$59,U$7))*INDEX(Premissas!$C$58:$G$58,U$7)+IF(U$4&gt;=Premissas!$B$99,INDEX(Premissas!$C$98:$G$98,U$7),0)+IF(U$4=DATE(YEAR(Premissas!$B$101),MONTH(Premissas!$B$101),1),Premissas!$B$100,0))</f>
        <v>-52558.112</v>
      </c>
      <c r="V130" s="168" t="n">
        <f aca="false" t="array" ref="V130:V130">-(V102*(1-INDEX(Premissas!$C$59:$G$59,V$7))*INDEX(Premissas!$C$58:$G$58,V$7)+IF(V$4&gt;=Premissas!$B$99,INDEX(Premissas!$C$98:$G$98,V$7),0)+IF(V$4=DATE(YEAR(Premissas!$B$101),MONTH(Premissas!$B$101),1),Premissas!$B$100,0))</f>
        <v>-52558.112</v>
      </c>
      <c r="W130" s="168" t="n">
        <f aca="false" t="array" ref="W130:W130">-(W102*(1-INDEX(Premissas!$C$59:$G$59,W$7))*INDEX(Premissas!$C$58:$G$58,W$7)+IF(W$4&gt;=Premissas!$B$99,INDEX(Premissas!$C$98:$G$98,W$7),0)+IF(W$4=DATE(YEAR(Premissas!$B$101),MONTH(Premissas!$B$101),1),Premissas!$B$100,0))</f>
        <v>-52558.112</v>
      </c>
      <c r="X130" s="168" t="n">
        <f aca="false" t="array" ref="X130:X130">-(X102*(1-INDEX(Premissas!$C$59:$G$59,X$7))*INDEX(Premissas!$C$58:$G$58,X$7)+IF(X$4&gt;=Premissas!$B$99,INDEX(Premissas!$C$98:$G$98,X$7),0)+IF(X$4=DATE(YEAR(Premissas!$B$101),MONTH(Premissas!$B$101),1),Premissas!$B$100,0))</f>
        <v>-52558.112</v>
      </c>
      <c r="Y130" s="168" t="n">
        <f aca="false" t="array" ref="Y130:Y130">-(Y102*(1-INDEX(Premissas!$C$59:$G$59,Y$7))*INDEX(Premissas!$C$58:$G$58,Y$7)+IF(Y$4&gt;=Premissas!$B$99,INDEX(Premissas!$C$98:$G$98,Y$7),0)+IF(Y$4=DATE(YEAR(Premissas!$B$101),MONTH(Premissas!$B$101),1),Premissas!$B$100,0))</f>
        <v>-52558.112</v>
      </c>
      <c r="Z130" s="168" t="n">
        <f aca="false" t="array" ref="Z130:Z130">-(Z102*(1-INDEX(Premissas!$C$59:$G$59,Z$7))*INDEX(Premissas!$C$58:$G$58,Z$7)+IF(Z$4&gt;=Premissas!$B$99,INDEX(Premissas!$C$98:$G$98,Z$7),0)+IF(Z$4=DATE(YEAR(Premissas!$B$101),MONTH(Premissas!$B$101),1),Premissas!$B$100,0))</f>
        <v>-91646.3264</v>
      </c>
      <c r="AA130" s="168" t="n">
        <f aca="false" t="array" ref="AA130:AA130">-(AA102*(1-INDEX(Premissas!$C$59:$G$59,AA$7))*INDEX(Premissas!$C$58:$G$58,AA$7)+IF(AA$4&gt;=Premissas!$B$99,INDEX(Premissas!$C$98:$G$98,AA$7),0)+IF(AA$4=DATE(YEAR(Premissas!$B$101),MONTH(Premissas!$B$101),1),Premissas!$B$100,0))</f>
        <v>-91646.3264</v>
      </c>
      <c r="AB130" s="168" t="n">
        <f aca="false" t="array" ref="AB130:AB130">-(AB102*(1-INDEX(Premissas!$C$59:$G$59,AB$7))*INDEX(Premissas!$C$58:$G$58,AB$7)+IF(AB$4&gt;=Premissas!$B$99,INDEX(Premissas!$C$98:$G$98,AB$7),0)+IF(AB$4=DATE(YEAR(Premissas!$B$101),MONTH(Premissas!$B$101),1),Premissas!$B$100,0))</f>
        <v>-91646.3264</v>
      </c>
      <c r="AC130" s="168" t="n">
        <f aca="false" t="array" ref="AC130:AC130">-(AC102*(1-INDEX(Premissas!$C$59:$G$59,AC$7))*INDEX(Premissas!$C$58:$G$58,AC$7)+IF(AC$4&gt;=Premissas!$B$99,INDEX(Premissas!$C$98:$G$98,AC$7),0)+IF(AC$4=DATE(YEAR(Premissas!$B$101),MONTH(Premissas!$B$101),1),Premissas!$B$100,0))</f>
        <v>-91646.3264</v>
      </c>
      <c r="AD130" s="168" t="n">
        <f aca="false" t="array" ref="AD130:AD130">-(AD102*(1-INDEX(Premissas!$C$59:$G$59,AD$7))*INDEX(Premissas!$C$58:$G$58,AD$7)+IF(AD$4&gt;=Premissas!$B$99,INDEX(Premissas!$C$98:$G$98,AD$7),0)+IF(AD$4=DATE(YEAR(Premissas!$B$101),MONTH(Premissas!$B$101),1),Premissas!$B$100,0))</f>
        <v>-91646.3264</v>
      </c>
      <c r="AE130" s="168" t="n">
        <f aca="false" t="array" ref="AE130:AE130">-(AE102*(1-INDEX(Premissas!$C$59:$G$59,AE$7))*INDEX(Premissas!$C$58:$G$58,AE$7)+IF(AE$4&gt;=Premissas!$B$99,INDEX(Premissas!$C$98:$G$98,AE$7),0)+IF(AE$4=DATE(YEAR(Premissas!$B$101),MONTH(Premissas!$B$101),1),Premissas!$B$100,0))</f>
        <v>-91646.3264</v>
      </c>
      <c r="AF130" s="168" t="n">
        <f aca="false" t="array" ref="AF130:AF130">-(AF102*(1-INDEX(Premissas!$C$59:$G$59,AF$7))*INDEX(Premissas!$C$58:$G$58,AF$7)+IF(AF$4&gt;=Premissas!$B$99,INDEX(Premissas!$C$98:$G$98,AF$7),0)+IF(AF$4=DATE(YEAR(Premissas!$B$101),MONTH(Premissas!$B$101),1),Premissas!$B$100,0))</f>
        <v>-91646.3264</v>
      </c>
      <c r="AG130" s="168" t="n">
        <f aca="false" t="array" ref="AG130:AG130">-(AG102*(1-INDEX(Premissas!$C$59:$G$59,AG$7))*INDEX(Premissas!$C$58:$G$58,AG$7)+IF(AG$4&gt;=Premissas!$B$99,INDEX(Premissas!$C$98:$G$98,AG$7),0)+IF(AG$4=DATE(YEAR(Premissas!$B$101),MONTH(Premissas!$B$101),1),Premissas!$B$100,0))</f>
        <v>-91646.3264</v>
      </c>
      <c r="AH130" s="168" t="n">
        <f aca="false" t="array" ref="AH130:AH130">-(AH102*(1-INDEX(Premissas!$C$59:$G$59,AH$7))*INDEX(Premissas!$C$58:$G$58,AH$7)+IF(AH$4&gt;=Premissas!$B$99,INDEX(Premissas!$C$98:$G$98,AH$7),0)+IF(AH$4=DATE(YEAR(Premissas!$B$101),MONTH(Premissas!$B$101),1),Premissas!$B$100,0))</f>
        <v>-91646.3264</v>
      </c>
      <c r="AI130" s="168" t="n">
        <f aca="false" t="array" ref="AI130:AI130">-(AI102*(1-INDEX(Premissas!$C$59:$G$59,AI$7))*INDEX(Premissas!$C$58:$G$58,AI$7)+IF(AI$4&gt;=Premissas!$B$99,INDEX(Premissas!$C$98:$G$98,AI$7),0)+IF(AI$4=DATE(YEAR(Premissas!$B$101),MONTH(Premissas!$B$101),1),Premissas!$B$100,0))</f>
        <v>-91646.3264</v>
      </c>
      <c r="AJ130" s="168" t="n">
        <f aca="false" t="array" ref="AJ130:AJ130">-(AJ102*(1-INDEX(Premissas!$C$59:$G$59,AJ$7))*INDEX(Premissas!$C$58:$G$58,AJ$7)+IF(AJ$4&gt;=Premissas!$B$99,INDEX(Premissas!$C$98:$G$98,AJ$7),0)+IF(AJ$4=DATE(YEAR(Premissas!$B$101),MONTH(Premissas!$B$101),1),Premissas!$B$100,0))</f>
        <v>-91646.3264</v>
      </c>
      <c r="AK130" s="168" t="n">
        <f aca="false" t="array" ref="AK130:AK130">-(AK102*(1-INDEX(Premissas!$C$59:$G$59,AK$7))*INDEX(Premissas!$C$58:$G$58,AK$7)+IF(AK$4&gt;=Premissas!$B$99,INDEX(Premissas!$C$98:$G$98,AK$7),0)+IF(AK$4=DATE(YEAR(Premissas!$B$101),MONTH(Premissas!$B$101),1),Premissas!$B$100,0))</f>
        <v>-91646.3264</v>
      </c>
      <c r="AL130" s="168" t="n">
        <f aca="false" t="array" ref="AL130:AL130">-(AL102*(1-INDEX(Premissas!$C$59:$G$59,AL$7))*INDEX(Premissas!$C$58:$G$58,AL$7)+IF(AL$4&gt;=Premissas!$B$99,INDEX(Premissas!$C$98:$G$98,AL$7),0)+IF(AL$4=DATE(YEAR(Premissas!$B$101),MONTH(Premissas!$B$101),1),Premissas!$B$100,0))</f>
        <v>-158805.7371648</v>
      </c>
      <c r="AM130" s="168" t="n">
        <f aca="false" t="array" ref="AM130:AM130">-(AM102*(1-INDEX(Premissas!$C$59:$G$59,AM$7))*INDEX(Premissas!$C$58:$G$58,AM$7)+IF(AM$4&gt;=Premissas!$B$99,INDEX(Premissas!$C$98:$G$98,AM$7),0)+IF(AM$4=DATE(YEAR(Premissas!$B$101),MONTH(Premissas!$B$101),1),Premissas!$B$100,0))</f>
        <v>-158805.7371648</v>
      </c>
      <c r="AN130" s="168" t="n">
        <f aca="false" t="array" ref="AN130:AN130">-(AN102*(1-INDEX(Premissas!$C$59:$G$59,AN$7))*INDEX(Premissas!$C$58:$G$58,AN$7)+IF(AN$4&gt;=Premissas!$B$99,INDEX(Premissas!$C$98:$G$98,AN$7),0)+IF(AN$4=DATE(YEAR(Premissas!$B$101),MONTH(Premissas!$B$101),1),Premissas!$B$100,0))</f>
        <v>-158805.7371648</v>
      </c>
      <c r="AO130" s="168" t="n">
        <f aca="false" t="array" ref="AO130:AO130">-(AO102*(1-INDEX(Premissas!$C$59:$G$59,AO$7))*INDEX(Premissas!$C$58:$G$58,AO$7)+IF(AO$4&gt;=Premissas!$B$99,INDEX(Premissas!$C$98:$G$98,AO$7),0)+IF(AO$4=DATE(YEAR(Premissas!$B$101),MONTH(Premissas!$B$101),1),Premissas!$B$100,0))</f>
        <v>-158805.7371648</v>
      </c>
      <c r="AP130" s="168" t="n">
        <f aca="false" t="array" ref="AP130:AP130">-(AP102*(1-INDEX(Premissas!$C$59:$G$59,AP$7))*INDEX(Premissas!$C$58:$G$58,AP$7)+IF(AP$4&gt;=Premissas!$B$99,INDEX(Premissas!$C$98:$G$98,AP$7),0)+IF(AP$4=DATE(YEAR(Premissas!$B$101),MONTH(Premissas!$B$101),1),Premissas!$B$100,0))</f>
        <v>-158805.7371648</v>
      </c>
      <c r="AQ130" s="168" t="n">
        <f aca="false" t="array" ref="AQ130:AQ130">-(AQ102*(1-INDEX(Premissas!$C$59:$G$59,AQ$7))*INDEX(Premissas!$C$58:$G$58,AQ$7)+IF(AQ$4&gt;=Premissas!$B$99,INDEX(Premissas!$C$98:$G$98,AQ$7),0)+IF(AQ$4=DATE(YEAR(Premissas!$B$101),MONTH(Premissas!$B$101),1),Premissas!$B$100,0))</f>
        <v>-158805.7371648</v>
      </c>
      <c r="AR130" s="168" t="n">
        <f aca="false" t="array" ref="AR130:AR130">-(AR102*(1-INDEX(Premissas!$C$59:$G$59,AR$7))*INDEX(Premissas!$C$58:$G$58,AR$7)+IF(AR$4&gt;=Premissas!$B$99,INDEX(Premissas!$C$98:$G$98,AR$7),0)+IF(AR$4=DATE(YEAR(Premissas!$B$101),MONTH(Premissas!$B$101),1),Premissas!$B$100,0))</f>
        <v>-158805.7371648</v>
      </c>
      <c r="AS130" s="168" t="n">
        <f aca="false" t="array" ref="AS130:AS130">-(AS102*(1-INDEX(Premissas!$C$59:$G$59,AS$7))*INDEX(Premissas!$C$58:$G$58,AS$7)+IF(AS$4&gt;=Premissas!$B$99,INDEX(Premissas!$C$98:$G$98,AS$7),0)+IF(AS$4=DATE(YEAR(Premissas!$B$101),MONTH(Premissas!$B$101),1),Premissas!$B$100,0))</f>
        <v>-158805.7371648</v>
      </c>
      <c r="AT130" s="168" t="n">
        <f aca="false" t="array" ref="AT130:AT130">-(AT102*(1-INDEX(Premissas!$C$59:$G$59,AT$7))*INDEX(Premissas!$C$58:$G$58,AT$7)+IF(AT$4&gt;=Premissas!$B$99,INDEX(Premissas!$C$98:$G$98,AT$7),0)+IF(AT$4=DATE(YEAR(Premissas!$B$101),MONTH(Premissas!$B$101),1),Premissas!$B$100,0))</f>
        <v>-158805.7371648</v>
      </c>
      <c r="AU130" s="168" t="n">
        <f aca="false" t="array" ref="AU130:AU130">-(AU102*(1-INDEX(Premissas!$C$59:$G$59,AU$7))*INDEX(Premissas!$C$58:$G$58,AU$7)+IF(AU$4&gt;=Premissas!$B$99,INDEX(Premissas!$C$98:$G$98,AU$7),0)+IF(AU$4=DATE(YEAR(Premissas!$B$101),MONTH(Premissas!$B$101),1),Premissas!$B$100,0))</f>
        <v>-158805.7371648</v>
      </c>
      <c r="AV130" s="168" t="n">
        <f aca="false" t="array" ref="AV130:AV130">-(AV102*(1-INDEX(Premissas!$C$59:$G$59,AV$7))*INDEX(Premissas!$C$58:$G$58,AV$7)+IF(AV$4&gt;=Premissas!$B$99,INDEX(Premissas!$C$98:$G$98,AV$7),0)+IF(AV$4=DATE(YEAR(Premissas!$B$101),MONTH(Premissas!$B$101),1),Premissas!$B$100,0))</f>
        <v>-158805.7371648</v>
      </c>
      <c r="AW130" s="168" t="n">
        <f aca="false" t="array" ref="AW130:AW130">-(AW102*(1-INDEX(Premissas!$C$59:$G$59,AW$7))*INDEX(Premissas!$C$58:$G$58,AW$7)+IF(AW$4&gt;=Premissas!$B$99,INDEX(Premissas!$C$98:$G$98,AW$7),0)+IF(AW$4=DATE(YEAR(Premissas!$B$101),MONTH(Premissas!$B$101),1),Premissas!$B$100,0))</f>
        <v>-158805.7371648</v>
      </c>
      <c r="AX130" s="168" t="n">
        <f aca="false" t="array" ref="AX130:AX130">-(AX102*(1-INDEX(Premissas!$C$59:$G$59,AX$7))*INDEX(Premissas!$C$58:$G$58,AX$7)+IF(AX$4&gt;=Premissas!$B$99,INDEX(Premissas!$C$98:$G$98,AX$7),0)+IF(AX$4=DATE(YEAR(Premissas!$B$101),MONTH(Premissas!$B$101),1),Premissas!$B$100,0))</f>
        <v>-276408.92553216</v>
      </c>
      <c r="AY130" s="168" t="n">
        <f aca="false" t="array" ref="AY130:AY130">-(AY102*(1-INDEX(Premissas!$C$59:$G$59,AY$7))*INDEX(Premissas!$C$58:$G$58,AY$7)+IF(AY$4&gt;=Premissas!$B$99,INDEX(Premissas!$C$98:$G$98,AY$7),0)+IF(AY$4=DATE(YEAR(Premissas!$B$101),MONTH(Premissas!$B$101),1),Premissas!$B$100,0))</f>
        <v>-276408.92553216</v>
      </c>
      <c r="AZ130" s="168" t="n">
        <f aca="false" t="array" ref="AZ130:AZ130">-(AZ102*(1-INDEX(Premissas!$C$59:$G$59,AZ$7))*INDEX(Premissas!$C$58:$G$58,AZ$7)+IF(AZ$4&gt;=Premissas!$B$99,INDEX(Premissas!$C$98:$G$98,AZ$7),0)+IF(AZ$4=DATE(YEAR(Premissas!$B$101),MONTH(Premissas!$B$101),1),Premissas!$B$100,0))</f>
        <v>-276408.92553216</v>
      </c>
      <c r="BA130" s="168" t="n">
        <f aca="false" t="array" ref="BA130:BA130">-(BA102*(1-INDEX(Premissas!$C$59:$G$59,BA$7))*INDEX(Premissas!$C$58:$G$58,BA$7)+IF(BA$4&gt;=Premissas!$B$99,INDEX(Premissas!$C$98:$G$98,BA$7),0)+IF(BA$4=DATE(YEAR(Premissas!$B$101),MONTH(Premissas!$B$101),1),Premissas!$B$100,0))</f>
        <v>-276408.92553216</v>
      </c>
      <c r="BB130" s="168" t="n">
        <f aca="false" t="array" ref="BB130:BB130">-(BB102*(1-INDEX(Premissas!$C$59:$G$59,BB$7))*INDEX(Premissas!$C$58:$G$58,BB$7)+IF(BB$4&gt;=Premissas!$B$99,INDEX(Premissas!$C$98:$G$98,BB$7),0)+IF(BB$4=DATE(YEAR(Premissas!$B$101),MONTH(Premissas!$B$101),1),Premissas!$B$100,0))</f>
        <v>-276408.92553216</v>
      </c>
      <c r="BC130" s="168" t="n">
        <f aca="false" t="array" ref="BC130:BC130">-(BC102*(1-INDEX(Premissas!$C$59:$G$59,BC$7))*INDEX(Premissas!$C$58:$G$58,BC$7)+IF(BC$4&gt;=Premissas!$B$99,INDEX(Premissas!$C$98:$G$98,BC$7),0)+IF(BC$4=DATE(YEAR(Premissas!$B$101),MONTH(Premissas!$B$101),1),Premissas!$B$100,0))</f>
        <v>-276408.92553216</v>
      </c>
      <c r="BD130" s="168" t="n">
        <f aca="false" t="array" ref="BD130:BD130">-(BD102*(1-INDEX(Premissas!$C$59:$G$59,BD$7))*INDEX(Premissas!$C$58:$G$58,BD$7)+IF(BD$4&gt;=Premissas!$B$99,INDEX(Premissas!$C$98:$G$98,BD$7),0)+IF(BD$4=DATE(YEAR(Premissas!$B$101),MONTH(Premissas!$B$101),1),Premissas!$B$100,0))</f>
        <v>-276408.92553216</v>
      </c>
      <c r="BE130" s="168" t="n">
        <f aca="false" t="array" ref="BE130:BE130">-(BE102*(1-INDEX(Premissas!$C$59:$G$59,BE$7))*INDEX(Premissas!$C$58:$G$58,BE$7)+IF(BE$4&gt;=Premissas!$B$99,INDEX(Premissas!$C$98:$G$98,BE$7),0)+IF(BE$4=DATE(YEAR(Premissas!$B$101),MONTH(Premissas!$B$101),1),Premissas!$B$100,0))</f>
        <v>-276408.92553216</v>
      </c>
      <c r="BF130" s="168" t="n">
        <f aca="false" t="array" ref="BF130:BF130">-(BF102*(1-INDEX(Premissas!$C$59:$G$59,BF$7))*INDEX(Premissas!$C$58:$G$58,BF$7)+IF(BF$4&gt;=Premissas!$B$99,INDEX(Premissas!$C$98:$G$98,BF$7),0)+IF(BF$4=DATE(YEAR(Premissas!$B$101),MONTH(Premissas!$B$101),1),Premissas!$B$100,0))</f>
        <v>-276408.92553216</v>
      </c>
      <c r="BG130" s="168" t="n">
        <f aca="false" t="array" ref="BG130:BG130">-(BG102*(1-INDEX(Premissas!$C$59:$G$59,BG$7))*INDEX(Premissas!$C$58:$G$58,BG$7)+IF(BG$4&gt;=Premissas!$B$99,INDEX(Premissas!$C$98:$G$98,BG$7),0)+IF(BG$4=DATE(YEAR(Premissas!$B$101),MONTH(Premissas!$B$101),1),Premissas!$B$100,0))</f>
        <v>-276408.92553216</v>
      </c>
      <c r="BH130" s="168" t="n">
        <f aca="false" t="array" ref="BH130:BH130">-(BH102*(1-INDEX(Premissas!$C$59:$G$59,BH$7))*INDEX(Premissas!$C$58:$G$58,BH$7)+IF(BH$4&gt;=Premissas!$B$99,INDEX(Premissas!$C$98:$G$98,BH$7),0)+IF(BH$4=DATE(YEAR(Premissas!$B$101),MONTH(Premissas!$B$101),1),Premissas!$B$100,0))</f>
        <v>-276408.92553216</v>
      </c>
      <c r="BI130" s="168" t="n">
        <f aca="false" t="array" ref="BI130:BI130">-(BI102*(1-INDEX(Premissas!$C$59:$G$59,BI$7))*INDEX(Premissas!$C$58:$G$58,BI$7)+IF(BI$4&gt;=Premissas!$B$99,INDEX(Premissas!$C$98:$G$98,BI$7),0)+IF(BI$4=DATE(YEAR(Premissas!$B$101),MONTH(Premissas!$B$101),1),Premissas!$B$100,0))</f>
        <v>-276408.92553216</v>
      </c>
      <c r="BJ130" s="154" t="n">
        <f aca="false">SUM(B130:BI130)</f>
        <v>-6981636.21316352</v>
      </c>
    </row>
    <row r="131" customFormat="false" ht="15.75" hidden="false" customHeight="true" outlineLevel="0" collapsed="false">
      <c r="A131" s="49" t="s">
        <v>415</v>
      </c>
      <c r="B131" s="168" t="n">
        <f aca="false" t="array" ref="B131:B131">-IF(B$4&gt;=Premissas!$B$96,INDEX(Premissas!$C$97:$G$97,B$7),0)</f>
        <v>-0</v>
      </c>
      <c r="C131" s="168" t="n">
        <f aca="false" t="array" ref="C131:C131">-IF(C$4&gt;=Premissas!$B$96,INDEX(Premissas!$C$97:$G$97,C$7),0)</f>
        <v>-0</v>
      </c>
      <c r="D131" s="168" t="n">
        <f aca="false" t="array" ref="D131:D131">-IF(D$4&gt;=Premissas!$B$96,INDEX(Premissas!$C$97:$G$97,D$7),0)</f>
        <v>-0</v>
      </c>
      <c r="E131" s="168" t="n">
        <f aca="false" t="array" ref="E131:E131">-IF(E$4&gt;=Premissas!$B$96,INDEX(Premissas!$C$97:$G$97,E$7),0)</f>
        <v>-0</v>
      </c>
      <c r="F131" s="168" t="n">
        <f aca="false" t="array" ref="F131:F131">-IF(F$4&gt;=Premissas!$B$96,INDEX(Premissas!$C$97:$G$97,F$7),0)</f>
        <v>-0</v>
      </c>
      <c r="G131" s="168" t="n">
        <f aca="false" t="array" ref="G131:G131">-IF(G$4&gt;=Premissas!$B$96,INDEX(Premissas!$C$97:$G$97,G$7),0)</f>
        <v>-0</v>
      </c>
      <c r="H131" s="168" t="n">
        <f aca="false" t="array" ref="H131:H131">-IF(H$4&gt;=Premissas!$B$96,INDEX(Premissas!$C$97:$G$97,H$7),0)</f>
        <v>-0</v>
      </c>
      <c r="I131" s="168" t="n">
        <f aca="false" t="array" ref="I131:I131">-IF(I$4&gt;=Premissas!$B$96,INDEX(Premissas!$C$97:$G$97,I$7),0)</f>
        <v>-0</v>
      </c>
      <c r="J131" s="168" t="n">
        <f aca="false" t="array" ref="J131:J131">-IF(J$4&gt;=Premissas!$B$96,INDEX(Premissas!$C$97:$G$97,J$7),0)</f>
        <v>-0</v>
      </c>
      <c r="K131" s="168" t="n">
        <f aca="false" t="array" ref="K131:K131">-IF(K$4&gt;=Premissas!$B$96,INDEX(Premissas!$C$97:$G$97,K$7),0)</f>
        <v>-0</v>
      </c>
      <c r="L131" s="168" t="n">
        <f aca="false" t="array" ref="L131:L131">-IF(L$4&gt;=Premissas!$B$96,INDEX(Premissas!$C$97:$G$97,L$7),0)</f>
        <v>-0</v>
      </c>
      <c r="M131" s="168" t="n">
        <f aca="false" t="array" ref="M131:M131">-IF(M$4&gt;=Premissas!$B$96,INDEX(Premissas!$C$97:$G$97,M$7),0)</f>
        <v>-0</v>
      </c>
      <c r="N131" s="168" t="n">
        <f aca="false" t="array" ref="N131:N131">-IF(N$4&gt;=Premissas!$B$96,INDEX(Premissas!$C$97:$G$97,N$7),0)</f>
        <v>-166.666666666667</v>
      </c>
      <c r="O131" s="168" t="n">
        <f aca="false" t="array" ref="O131:O131">-IF(O$4&gt;=Premissas!$B$96,INDEX(Premissas!$C$97:$G$97,O$7),0)</f>
        <v>-166.666666666667</v>
      </c>
      <c r="P131" s="168" t="n">
        <f aca="false" t="array" ref="P131:P131">-IF(P$4&gt;=Premissas!$B$96,INDEX(Premissas!$C$97:$G$97,P$7),0)</f>
        <v>-166.666666666667</v>
      </c>
      <c r="Q131" s="168" t="n">
        <f aca="false" t="array" ref="Q131:Q131">-IF(Q$4&gt;=Premissas!$B$96,INDEX(Premissas!$C$97:$G$97,Q$7),0)</f>
        <v>-166.666666666667</v>
      </c>
      <c r="R131" s="168" t="n">
        <f aca="false" t="array" ref="R131:R131">-IF(R$4&gt;=Premissas!$B$96,INDEX(Premissas!$C$97:$G$97,R$7),0)</f>
        <v>-166.666666666667</v>
      </c>
      <c r="S131" s="168" t="n">
        <f aca="false" t="array" ref="S131:S131">-IF(S$4&gt;=Premissas!$B$96,INDEX(Premissas!$C$97:$G$97,S$7),0)</f>
        <v>-166.666666666667</v>
      </c>
      <c r="T131" s="168" t="n">
        <f aca="false" t="array" ref="T131:T131">-IF(T$4&gt;=Premissas!$B$96,INDEX(Premissas!$C$97:$G$97,T$7),0)</f>
        <v>-166.666666666667</v>
      </c>
      <c r="U131" s="168" t="n">
        <f aca="false" t="array" ref="U131:U131">-IF(U$4&gt;=Premissas!$B$96,INDEX(Premissas!$C$97:$G$97,U$7),0)</f>
        <v>-166.666666666667</v>
      </c>
      <c r="V131" s="168" t="n">
        <f aca="false" t="array" ref="V131:V131">-IF(V$4&gt;=Premissas!$B$96,INDEX(Premissas!$C$97:$G$97,V$7),0)</f>
        <v>-166.666666666667</v>
      </c>
      <c r="W131" s="168" t="n">
        <f aca="false" t="array" ref="W131:W131">-IF(W$4&gt;=Premissas!$B$96,INDEX(Premissas!$C$97:$G$97,W$7),0)</f>
        <v>-166.666666666667</v>
      </c>
      <c r="X131" s="168" t="n">
        <f aca="false" t="array" ref="X131:X131">-IF(X$4&gt;=Premissas!$B$96,INDEX(Premissas!$C$97:$G$97,X$7),0)</f>
        <v>-166.666666666667</v>
      </c>
      <c r="Y131" s="168" t="n">
        <f aca="false" t="array" ref="Y131:Y131">-IF(Y$4&gt;=Premissas!$B$96,INDEX(Premissas!$C$97:$G$97,Y$7),0)</f>
        <v>-166.666666666667</v>
      </c>
      <c r="Z131" s="168" t="n">
        <f aca="false" t="array" ref="Z131:Z131">-IF(Z$4&gt;=Premissas!$B$96,INDEX(Premissas!$C$97:$G$97,Z$7),0)</f>
        <v>-416.666666666667</v>
      </c>
      <c r="AA131" s="168" t="n">
        <f aca="false" t="array" ref="AA131:AA131">-IF(AA$4&gt;=Premissas!$B$96,INDEX(Premissas!$C$97:$G$97,AA$7),0)</f>
        <v>-416.666666666667</v>
      </c>
      <c r="AB131" s="168" t="n">
        <f aca="false" t="array" ref="AB131:AB131">-IF(AB$4&gt;=Premissas!$B$96,INDEX(Premissas!$C$97:$G$97,AB$7),0)</f>
        <v>-416.666666666667</v>
      </c>
      <c r="AC131" s="168" t="n">
        <f aca="false" t="array" ref="AC131:AC131">-IF(AC$4&gt;=Premissas!$B$96,INDEX(Premissas!$C$97:$G$97,AC$7),0)</f>
        <v>-416.666666666667</v>
      </c>
      <c r="AD131" s="168" t="n">
        <f aca="false" t="array" ref="AD131:AD131">-IF(AD$4&gt;=Premissas!$B$96,INDEX(Premissas!$C$97:$G$97,AD$7),0)</f>
        <v>-416.666666666667</v>
      </c>
      <c r="AE131" s="168" t="n">
        <f aca="false" t="array" ref="AE131:AE131">-IF(AE$4&gt;=Premissas!$B$96,INDEX(Premissas!$C$97:$G$97,AE$7),0)</f>
        <v>-416.666666666667</v>
      </c>
      <c r="AF131" s="168" t="n">
        <f aca="false" t="array" ref="AF131:AF131">-IF(AF$4&gt;=Premissas!$B$96,INDEX(Premissas!$C$97:$G$97,AF$7),0)</f>
        <v>-416.666666666667</v>
      </c>
      <c r="AG131" s="168" t="n">
        <f aca="false" t="array" ref="AG131:AG131">-IF(AG$4&gt;=Premissas!$B$96,INDEX(Premissas!$C$97:$G$97,AG$7),0)</f>
        <v>-416.666666666667</v>
      </c>
      <c r="AH131" s="168" t="n">
        <f aca="false" t="array" ref="AH131:AH131">-IF(AH$4&gt;=Premissas!$B$96,INDEX(Premissas!$C$97:$G$97,AH$7),0)</f>
        <v>-416.666666666667</v>
      </c>
      <c r="AI131" s="168" t="n">
        <f aca="false" t="array" ref="AI131:AI131">-IF(AI$4&gt;=Premissas!$B$96,INDEX(Premissas!$C$97:$G$97,AI$7),0)</f>
        <v>-416.666666666667</v>
      </c>
      <c r="AJ131" s="168" t="n">
        <f aca="false" t="array" ref="AJ131:AJ131">-IF(AJ$4&gt;=Premissas!$B$96,INDEX(Premissas!$C$97:$G$97,AJ$7),0)</f>
        <v>-416.666666666667</v>
      </c>
      <c r="AK131" s="168" t="n">
        <f aca="false" t="array" ref="AK131:AK131">-IF(AK$4&gt;=Premissas!$B$96,INDEX(Premissas!$C$97:$G$97,AK$7),0)</f>
        <v>-416.666666666667</v>
      </c>
      <c r="AL131" s="168" t="n">
        <f aca="false" t="array" ref="AL131:AL131">-IF(AL$4&gt;=Premissas!$B$96,INDEX(Premissas!$C$97:$G$97,AL$7),0)</f>
        <v>-833.333333333333</v>
      </c>
      <c r="AM131" s="168" t="n">
        <f aca="false" t="array" ref="AM131:AM131">-IF(AM$4&gt;=Premissas!$B$96,INDEX(Premissas!$C$97:$G$97,AM$7),0)</f>
        <v>-833.333333333333</v>
      </c>
      <c r="AN131" s="168" t="n">
        <f aca="false" t="array" ref="AN131:AN131">-IF(AN$4&gt;=Premissas!$B$96,INDEX(Premissas!$C$97:$G$97,AN$7),0)</f>
        <v>-833.333333333333</v>
      </c>
      <c r="AO131" s="168" t="n">
        <f aca="false" t="array" ref="AO131:AO131">-IF(AO$4&gt;=Premissas!$B$96,INDEX(Premissas!$C$97:$G$97,AO$7),0)</f>
        <v>-833.333333333333</v>
      </c>
      <c r="AP131" s="168" t="n">
        <f aca="false" t="array" ref="AP131:AP131">-IF(AP$4&gt;=Premissas!$B$96,INDEX(Premissas!$C$97:$G$97,AP$7),0)</f>
        <v>-833.333333333333</v>
      </c>
      <c r="AQ131" s="168" t="n">
        <f aca="false" t="array" ref="AQ131:AQ131">-IF(AQ$4&gt;=Premissas!$B$96,INDEX(Premissas!$C$97:$G$97,AQ$7),0)</f>
        <v>-833.333333333333</v>
      </c>
      <c r="AR131" s="168" t="n">
        <f aca="false" t="array" ref="AR131:AR131">-IF(AR$4&gt;=Premissas!$B$96,INDEX(Premissas!$C$97:$G$97,AR$7),0)</f>
        <v>-833.333333333333</v>
      </c>
      <c r="AS131" s="168" t="n">
        <f aca="false" t="array" ref="AS131:AS131">-IF(AS$4&gt;=Premissas!$B$96,INDEX(Premissas!$C$97:$G$97,AS$7),0)</f>
        <v>-833.333333333333</v>
      </c>
      <c r="AT131" s="168" t="n">
        <f aca="false" t="array" ref="AT131:AT131">-IF(AT$4&gt;=Premissas!$B$96,INDEX(Premissas!$C$97:$G$97,AT$7),0)</f>
        <v>-833.333333333333</v>
      </c>
      <c r="AU131" s="168" t="n">
        <f aca="false" t="array" ref="AU131:AU131">-IF(AU$4&gt;=Premissas!$B$96,INDEX(Premissas!$C$97:$G$97,AU$7),0)</f>
        <v>-833.333333333333</v>
      </c>
      <c r="AV131" s="168" t="n">
        <f aca="false" t="array" ref="AV131:AV131">-IF(AV$4&gt;=Premissas!$B$96,INDEX(Premissas!$C$97:$G$97,AV$7),0)</f>
        <v>-833.333333333333</v>
      </c>
      <c r="AW131" s="168" t="n">
        <f aca="false" t="array" ref="AW131:AW131">-IF(AW$4&gt;=Premissas!$B$96,INDEX(Premissas!$C$97:$G$97,AW$7),0)</f>
        <v>-833.333333333333</v>
      </c>
      <c r="AX131" s="168" t="n">
        <f aca="false" t="array" ref="AX131:AX131">-IF(AX$4&gt;=Premissas!$B$96,INDEX(Premissas!$C$97:$G$97,AX$7),0)</f>
        <v>-1666.66666666667</v>
      </c>
      <c r="AY131" s="168" t="n">
        <f aca="false" t="array" ref="AY131:AY131">-IF(AY$4&gt;=Premissas!$B$96,INDEX(Premissas!$C$97:$G$97,AY$7),0)</f>
        <v>-1666.66666666667</v>
      </c>
      <c r="AZ131" s="168" t="n">
        <f aca="false" t="array" ref="AZ131:AZ131">-IF(AZ$4&gt;=Premissas!$B$96,INDEX(Premissas!$C$97:$G$97,AZ$7),0)</f>
        <v>-1666.66666666667</v>
      </c>
      <c r="BA131" s="168" t="n">
        <f aca="false" t="array" ref="BA131:BA131">-IF(BA$4&gt;=Premissas!$B$96,INDEX(Premissas!$C$97:$G$97,BA$7),0)</f>
        <v>-1666.66666666667</v>
      </c>
      <c r="BB131" s="168" t="n">
        <f aca="false" t="array" ref="BB131:BB131">-IF(BB$4&gt;=Premissas!$B$96,INDEX(Premissas!$C$97:$G$97,BB$7),0)</f>
        <v>-1666.66666666667</v>
      </c>
      <c r="BC131" s="168" t="n">
        <f aca="false" t="array" ref="BC131:BC131">-IF(BC$4&gt;=Premissas!$B$96,INDEX(Premissas!$C$97:$G$97,BC$7),0)</f>
        <v>-1666.66666666667</v>
      </c>
      <c r="BD131" s="168" t="n">
        <f aca="false" t="array" ref="BD131:BD131">-IF(BD$4&gt;=Premissas!$B$96,INDEX(Premissas!$C$97:$G$97,BD$7),0)</f>
        <v>-1666.66666666667</v>
      </c>
      <c r="BE131" s="168" t="n">
        <f aca="false" t="array" ref="BE131:BE131">-IF(BE$4&gt;=Premissas!$B$96,INDEX(Premissas!$C$97:$G$97,BE$7),0)</f>
        <v>-1666.66666666667</v>
      </c>
      <c r="BF131" s="168" t="n">
        <f aca="false" t="array" ref="BF131:BF131">-IF(BF$4&gt;=Premissas!$B$96,INDEX(Premissas!$C$97:$G$97,BF$7),0)</f>
        <v>-1666.66666666667</v>
      </c>
      <c r="BG131" s="168" t="n">
        <f aca="false" t="array" ref="BG131:BG131">-IF(BG$4&gt;=Premissas!$B$96,INDEX(Premissas!$C$97:$G$97,BG$7),0)</f>
        <v>-1666.66666666667</v>
      </c>
      <c r="BH131" s="168" t="n">
        <f aca="false" t="array" ref="BH131:BH131">-IF(BH$4&gt;=Premissas!$B$96,INDEX(Premissas!$C$97:$G$97,BH$7),0)</f>
        <v>-1666.66666666667</v>
      </c>
      <c r="BI131" s="168" t="n">
        <f aca="false" t="array" ref="BI131:BI131">-IF(BI$4&gt;=Premissas!$B$96,INDEX(Premissas!$C$97:$G$97,BI$7),0)</f>
        <v>-1666.66666666667</v>
      </c>
      <c r="BJ131" s="154" t="n">
        <f aca="false">SUM(B131:BI131)</f>
        <v>-37000</v>
      </c>
    </row>
    <row r="132" customFormat="false" ht="15.75" hidden="false" customHeight="true" outlineLevel="0" collapsed="false">
      <c r="A132" s="53" t="s">
        <v>761</v>
      </c>
      <c r="B132" s="154" t="n">
        <f aca="false">SUM(B126:B131)</f>
        <v>0</v>
      </c>
      <c r="C132" s="154" t="n">
        <f aca="false">SUM(C126:C131)</f>
        <v>0</v>
      </c>
      <c r="D132" s="154" t="n">
        <f aca="false">SUM(D126:D131)</f>
        <v>0</v>
      </c>
      <c r="E132" s="154" t="n">
        <f aca="false">SUM(E126:E131)</f>
        <v>0</v>
      </c>
      <c r="F132" s="154" t="n">
        <f aca="false">SUM(F126:F131)</f>
        <v>-600</v>
      </c>
      <c r="G132" s="154" t="n">
        <f aca="false">SUM(G126:G131)</f>
        <v>-600</v>
      </c>
      <c r="H132" s="154" t="n">
        <f aca="false">SUM(H126:H131)</f>
        <v>-600</v>
      </c>
      <c r="I132" s="154" t="n">
        <f aca="false">SUM(I126:I131)</f>
        <v>-600</v>
      </c>
      <c r="J132" s="154" t="n">
        <f aca="false">SUM(J126:J131)</f>
        <v>-600</v>
      </c>
      <c r="K132" s="154" t="n">
        <f aca="false">SUM(K126:K131)</f>
        <v>-600</v>
      </c>
      <c r="L132" s="154" t="n">
        <f aca="false">SUM(L126:L131)</f>
        <v>-2100</v>
      </c>
      <c r="M132" s="154" t="n">
        <f aca="false">SUM(M126:M131)</f>
        <v>-22025.691975</v>
      </c>
      <c r="N132" s="154" t="n">
        <f aca="false">SUM(N126:N131)</f>
        <v>-62160.6307626667</v>
      </c>
      <c r="O132" s="154" t="n">
        <f aca="false">SUM(O126:O131)</f>
        <v>-19960.6496284075</v>
      </c>
      <c r="P132" s="154" t="n">
        <f aca="false">SUM(P126:P131)</f>
        <v>40041.5249634757</v>
      </c>
      <c r="Q132" s="154" t="n">
        <f aca="false">SUM(Q126:Q131)</f>
        <v>106918.297114685</v>
      </c>
      <c r="R132" s="154" t="n">
        <f aca="false">SUM(R126:R131)</f>
        <v>181878.53612045</v>
      </c>
      <c r="S132" s="154" t="n">
        <f aca="false">SUM(S126:S131)</f>
        <v>207453.930074131</v>
      </c>
      <c r="T132" s="154" t="n">
        <f aca="false">SUM(T126:T131)</f>
        <v>299977.042837439</v>
      </c>
      <c r="U132" s="154" t="n">
        <f aca="false">SUM(U126:U131)</f>
        <v>341060.275730168</v>
      </c>
      <c r="V132" s="154" t="n">
        <f aca="false">SUM(V126:V131)</f>
        <v>378795.864271055</v>
      </c>
      <c r="W132" s="154" t="n">
        <f aca="false">SUM(W126:W131)</f>
        <v>416128.492814861</v>
      </c>
      <c r="X132" s="154" t="n">
        <f aca="false">SUM(X126:X131)</f>
        <v>449806.405372872</v>
      </c>
      <c r="Y132" s="154" t="n">
        <f aca="false">SUM(Y126:Y131)</f>
        <v>481622.571039737</v>
      </c>
      <c r="Z132" s="154" t="n">
        <f aca="false">SUM(Z126:Z131)</f>
        <v>591999.310548991</v>
      </c>
      <c r="AA132" s="154" t="n">
        <f aca="false">SUM(AA126:AA131)</f>
        <v>674555.566202063</v>
      </c>
      <c r="AB132" s="154" t="n">
        <f aca="false">SUM(AB126:AB131)</f>
        <v>752897.130969716</v>
      </c>
      <c r="AC132" s="154" t="n">
        <f aca="false">SUM(AC126:AC131)</f>
        <v>827284.654574983</v>
      </c>
      <c r="AD132" s="154" t="n">
        <f aca="false">SUM(AD126:AD131)</f>
        <v>897878.795927418</v>
      </c>
      <c r="AE132" s="154" t="n">
        <f aca="false">SUM(AE126:AE131)</f>
        <v>964894.656256108</v>
      </c>
      <c r="AF132" s="154" t="n">
        <f aca="false">SUM(AF126:AF131)</f>
        <v>1028516.00324991</v>
      </c>
      <c r="AG132" s="154" t="n">
        <f aca="false">SUM(AG126:AG131)</f>
        <v>1088878.13177314</v>
      </c>
      <c r="AH132" s="154" t="n">
        <f aca="false">SUM(AH126:AH131)</f>
        <v>1146210.30247303</v>
      </c>
      <c r="AI132" s="154" t="n">
        <f aca="false">SUM(AI126:AI131)</f>
        <v>1200605.26242334</v>
      </c>
      <c r="AJ132" s="154" t="n">
        <f aca="false">SUM(AJ126:AJ131)</f>
        <v>1252253.39214189</v>
      </c>
      <c r="AK132" s="154" t="n">
        <f aca="false">SUM(AK126:AK131)</f>
        <v>1301285.72259296</v>
      </c>
      <c r="AL132" s="154" t="n">
        <f aca="false">SUM(AL126:AL131)</f>
        <v>1402957.40826201</v>
      </c>
      <c r="AM132" s="154" t="n">
        <f aca="false">SUM(AM126:AM131)</f>
        <v>1537513.78942213</v>
      </c>
      <c r="AN132" s="154" t="n">
        <f aca="false">SUM(AN126:AN131)</f>
        <v>1665791.76431001</v>
      </c>
      <c r="AO132" s="154" t="n">
        <f aca="false">SUM(AO126:AO131)</f>
        <v>1788090.46044089</v>
      </c>
      <c r="AP132" s="154" t="n">
        <f aca="false">SUM(AP126:AP131)</f>
        <v>1904680.83479579</v>
      </c>
      <c r="AQ132" s="154" t="n">
        <f aca="false">SUM(AQ126:AQ131)</f>
        <v>2015800.02519665</v>
      </c>
      <c r="AR132" s="154" t="n">
        <f aca="false">SUM(AR126:AR131)</f>
        <v>2121764.22216568</v>
      </c>
      <c r="AS132" s="154" t="n">
        <f aca="false">SUM(AS126:AS131)</f>
        <v>2222729.65527254</v>
      </c>
      <c r="AT132" s="154" t="n">
        <f aca="false">SUM(AT126:AT131)</f>
        <v>2318982.74993955</v>
      </c>
      <c r="AU132" s="154" t="n">
        <f aca="false">SUM(AU126:AU131)</f>
        <v>2410752.57892261</v>
      </c>
      <c r="AV132" s="154" t="n">
        <f aca="false">SUM(AV126:AV131)</f>
        <v>2498258.28430257</v>
      </c>
      <c r="AW132" s="154" t="n">
        <f aca="false">SUM(AW126:AW131)</f>
        <v>2581655.28359943</v>
      </c>
      <c r="AX132" s="154" t="n">
        <f aca="false">SUM(AX126:AX131)</f>
        <v>2873380.74091789</v>
      </c>
      <c r="AY132" s="154" t="n">
        <f aca="false">SUM(AY126:AY131)</f>
        <v>3107606.54901407</v>
      </c>
      <c r="AZ132" s="154" t="n">
        <f aca="false">SUM(AZ126:AZ131)</f>
        <v>3331782.04118964</v>
      </c>
      <c r="BA132" s="154" t="n">
        <f aca="false">SUM(BA126:BA131)</f>
        <v>3546319.64606155</v>
      </c>
      <c r="BB132" s="154" t="n">
        <f aca="false">SUM(BB126:BB131)</f>
        <v>3751589.40601623</v>
      </c>
      <c r="BC132" s="154" t="n">
        <f aca="false">SUM(BC126:BC131)</f>
        <v>3948074.06609402</v>
      </c>
      <c r="BD132" s="154" t="n">
        <f aca="false">SUM(BD126:BD131)</f>
        <v>4136119.40702995</v>
      </c>
      <c r="BE132" s="154" t="n">
        <f aca="false">SUM(BE126:BE131)</f>
        <v>4316054.94076947</v>
      </c>
      <c r="BF132" s="154" t="n">
        <f aca="false">SUM(BF126:BF131)</f>
        <v>4488299.78543387</v>
      </c>
      <c r="BG132" s="154" t="n">
        <f aca="false">SUM(BG126:BG131)</f>
        <v>4653096.72072749</v>
      </c>
      <c r="BH132" s="154" t="n">
        <f aca="false">SUM(BH126:BH131)</f>
        <v>4810840.80103517</v>
      </c>
      <c r="BI132" s="154" t="n">
        <f aca="false">SUM(BI126:BI131)</f>
        <v>4961767.33647583</v>
      </c>
      <c r="BJ132" s="154" t="n">
        <f aca="false">SUM(B132:BI132)</f>
        <v>86915003.3945014</v>
      </c>
    </row>
    <row r="133" customFormat="false" ht="15.75" hidden="false" customHeight="true" outlineLevel="0" collapsed="false">
      <c r="A133" s="49" t="s">
        <v>762</v>
      </c>
      <c r="B133" s="168" t="n">
        <f aca="false">-Investimentos!B25</f>
        <v>-0</v>
      </c>
      <c r="C133" s="168" t="n">
        <f aca="false">-Investimentos!C25</f>
        <v>-0</v>
      </c>
      <c r="D133" s="168" t="n">
        <f aca="false">-Investimentos!D25</f>
        <v>-0</v>
      </c>
      <c r="E133" s="168" t="n">
        <f aca="false">-Investimentos!E25</f>
        <v>-0</v>
      </c>
      <c r="F133" s="168" t="n">
        <f aca="false">-Investimentos!F25</f>
        <v>-6000</v>
      </c>
      <c r="G133" s="168" t="n">
        <f aca="false">-Investimentos!G25</f>
        <v>-0</v>
      </c>
      <c r="H133" s="168" t="n">
        <f aca="false">-Investimentos!H25</f>
        <v>-0</v>
      </c>
      <c r="I133" s="168" t="n">
        <f aca="false">-Investimentos!I25</f>
        <v>-9127.82</v>
      </c>
      <c r="J133" s="168" t="n">
        <f aca="false">-Investimentos!J25</f>
        <v>-10500</v>
      </c>
      <c r="K133" s="168" t="n">
        <f aca="false">-Investimentos!K25</f>
        <v>-10500</v>
      </c>
      <c r="L133" s="168" t="n">
        <f aca="false">-Investimentos!L25</f>
        <v>-0</v>
      </c>
      <c r="M133" s="168" t="n">
        <f aca="false">-Investimentos!M25</f>
        <v>-0</v>
      </c>
      <c r="N133" s="168" t="n">
        <f aca="false">-Investimentos!N25</f>
        <v>-0</v>
      </c>
      <c r="O133" s="168" t="n">
        <f aca="false">-Investimentos!O25</f>
        <v>-0</v>
      </c>
      <c r="P133" s="168" t="n">
        <f aca="false">-Investimentos!P25</f>
        <v>-12000</v>
      </c>
      <c r="Q133" s="168" t="n">
        <f aca="false">-Investimentos!Q25</f>
        <v>-0</v>
      </c>
      <c r="R133" s="168" t="n">
        <f aca="false">-Investimentos!R25</f>
        <v>-0</v>
      </c>
      <c r="S133" s="168" t="n">
        <f aca="false">-Investimentos!S25</f>
        <v>-6000</v>
      </c>
      <c r="T133" s="168" t="n">
        <f aca="false">-Investimentos!T25</f>
        <v>-0</v>
      </c>
      <c r="U133" s="168" t="n">
        <f aca="false">-Investimentos!U25</f>
        <v>-0</v>
      </c>
      <c r="V133" s="168" t="n">
        <f aca="false">-Investimentos!V25</f>
        <v>-0</v>
      </c>
      <c r="W133" s="168" t="n">
        <f aca="false">-Investimentos!W25</f>
        <v>-0</v>
      </c>
      <c r="X133" s="168" t="n">
        <f aca="false">-Investimentos!X25</f>
        <v>-0</v>
      </c>
      <c r="Y133" s="168" t="n">
        <f aca="false">-Investimentos!Y25</f>
        <v>-0</v>
      </c>
      <c r="Z133" s="168" t="n">
        <f aca="false">-Investimentos!Z25</f>
        <v>-0</v>
      </c>
      <c r="AA133" s="168" t="n">
        <f aca="false">-Investimentos!AA25</f>
        <v>-0</v>
      </c>
      <c r="AB133" s="168" t="n">
        <f aca="false">-Investimentos!AB25</f>
        <v>-0</v>
      </c>
      <c r="AC133" s="168" t="n">
        <f aca="false">-Investimentos!AC25</f>
        <v>-0</v>
      </c>
      <c r="AD133" s="168" t="n">
        <f aca="false">-Investimentos!AD25</f>
        <v>-0</v>
      </c>
      <c r="AE133" s="168" t="n">
        <f aca="false">-Investimentos!AE25</f>
        <v>-15000</v>
      </c>
      <c r="AF133" s="168" t="n">
        <f aca="false">-Investimentos!AF25</f>
        <v>-0</v>
      </c>
      <c r="AG133" s="168" t="n">
        <f aca="false">-Investimentos!AG25</f>
        <v>-0</v>
      </c>
      <c r="AH133" s="168" t="n">
        <f aca="false">-Investimentos!AH25</f>
        <v>-0</v>
      </c>
      <c r="AI133" s="168" t="n">
        <f aca="false">-Investimentos!AI25</f>
        <v>-0</v>
      </c>
      <c r="AJ133" s="168" t="n">
        <f aca="false">-Investimentos!AJ25</f>
        <v>-0</v>
      </c>
      <c r="AK133" s="168" t="n">
        <f aca="false">-Investimentos!AK25</f>
        <v>-0</v>
      </c>
      <c r="AL133" s="168" t="n">
        <f aca="false">-Investimentos!AL25</f>
        <v>-0</v>
      </c>
      <c r="AM133" s="168" t="n">
        <f aca="false">-Investimentos!AM25</f>
        <v>-0</v>
      </c>
      <c r="AN133" s="168" t="n">
        <f aca="false">-Investimentos!AN25</f>
        <v>-0</v>
      </c>
      <c r="AO133" s="168" t="n">
        <f aca="false">-Investimentos!AO25</f>
        <v>-0</v>
      </c>
      <c r="AP133" s="168" t="n">
        <f aca="false">-Investimentos!AP25</f>
        <v>-0</v>
      </c>
      <c r="AQ133" s="168" t="n">
        <f aca="false">-Investimentos!AQ25</f>
        <v>-25000</v>
      </c>
      <c r="AR133" s="168" t="n">
        <f aca="false">-Investimentos!AR25</f>
        <v>-0</v>
      </c>
      <c r="AS133" s="168" t="n">
        <f aca="false">-Investimentos!AS25</f>
        <v>-0</v>
      </c>
      <c r="AT133" s="168" t="n">
        <f aca="false">-Investimentos!AT25</f>
        <v>-0</v>
      </c>
      <c r="AU133" s="168" t="n">
        <f aca="false">-Investimentos!AU25</f>
        <v>-0</v>
      </c>
      <c r="AV133" s="168" t="n">
        <f aca="false">-Investimentos!AV25</f>
        <v>-0</v>
      </c>
      <c r="AW133" s="168" t="n">
        <f aca="false">-Investimentos!AW25</f>
        <v>-0</v>
      </c>
      <c r="AX133" s="168" t="n">
        <f aca="false">-Investimentos!AX25</f>
        <v>-0</v>
      </c>
      <c r="AY133" s="168" t="n">
        <f aca="false">-Investimentos!AY25</f>
        <v>-0</v>
      </c>
      <c r="AZ133" s="168" t="n">
        <f aca="false">-Investimentos!AZ25</f>
        <v>-0</v>
      </c>
      <c r="BA133" s="168" t="n">
        <f aca="false">-Investimentos!BA25</f>
        <v>-0</v>
      </c>
      <c r="BB133" s="168" t="n">
        <f aca="false">-Investimentos!BB25</f>
        <v>-0</v>
      </c>
      <c r="BC133" s="168" t="n">
        <f aca="false">-Investimentos!BC25</f>
        <v>-30000</v>
      </c>
      <c r="BD133" s="168" t="n">
        <f aca="false">-Investimentos!BD25</f>
        <v>-0</v>
      </c>
      <c r="BE133" s="168" t="n">
        <f aca="false">-Investimentos!BE25</f>
        <v>-0</v>
      </c>
      <c r="BF133" s="168" t="n">
        <f aca="false">-Investimentos!BF25</f>
        <v>-0</v>
      </c>
      <c r="BG133" s="168" t="n">
        <f aca="false">-Investimentos!BG25</f>
        <v>-0</v>
      </c>
      <c r="BH133" s="168" t="n">
        <f aca="false">-Investimentos!BH25</f>
        <v>-0</v>
      </c>
      <c r="BI133" s="168" t="n">
        <f aca="false">-Investimentos!BI25</f>
        <v>-0</v>
      </c>
      <c r="BJ133" s="154" t="n">
        <f aca="false">SUM(B133:BI133)</f>
        <v>-124127.82</v>
      </c>
      <c r="BK133" s="51" t="s">
        <v>748</v>
      </c>
    </row>
    <row r="134" customFormat="false" ht="15.75" hidden="false" customHeight="true" outlineLevel="0" collapsed="false">
      <c r="A134" s="53" t="s">
        <v>464</v>
      </c>
      <c r="B134" s="154" t="n">
        <f aca="false">B132+B133</f>
        <v>0</v>
      </c>
      <c r="C134" s="154" t="n">
        <f aca="false">C132+C133</f>
        <v>0</v>
      </c>
      <c r="D134" s="154" t="n">
        <f aca="false">D132+D133</f>
        <v>0</v>
      </c>
      <c r="E134" s="154" t="n">
        <f aca="false">E132+E133</f>
        <v>0</v>
      </c>
      <c r="F134" s="154" t="n">
        <f aca="false">F132+F133</f>
        <v>-6600</v>
      </c>
      <c r="G134" s="154" t="n">
        <f aca="false">G132+G133</f>
        <v>-600</v>
      </c>
      <c r="H134" s="154" t="n">
        <f aca="false">H132+H133</f>
        <v>-600</v>
      </c>
      <c r="I134" s="154" t="n">
        <f aca="false">I132+I133</f>
        <v>-9727.82</v>
      </c>
      <c r="J134" s="154" t="n">
        <f aca="false">J132+J133</f>
        <v>-11100</v>
      </c>
      <c r="K134" s="154" t="n">
        <f aca="false">K132+K133</f>
        <v>-11100</v>
      </c>
      <c r="L134" s="154" t="n">
        <f aca="false">L132+L133</f>
        <v>-2100</v>
      </c>
      <c r="M134" s="154" t="n">
        <f aca="false">M132+M133</f>
        <v>-22025.691975</v>
      </c>
      <c r="N134" s="154" t="n">
        <f aca="false">N132+N133</f>
        <v>-62160.6307626667</v>
      </c>
      <c r="O134" s="154" t="n">
        <f aca="false">O132+O133</f>
        <v>-19960.6496284075</v>
      </c>
      <c r="P134" s="154" t="n">
        <f aca="false">P132+P133</f>
        <v>28041.5249634757</v>
      </c>
      <c r="Q134" s="154" t="n">
        <f aca="false">Q132+Q133</f>
        <v>106918.297114685</v>
      </c>
      <c r="R134" s="154" t="n">
        <f aca="false">R132+R133</f>
        <v>181878.53612045</v>
      </c>
      <c r="S134" s="154" t="n">
        <f aca="false">S132+S133</f>
        <v>201453.930074131</v>
      </c>
      <c r="T134" s="154" t="n">
        <f aca="false">T132+T133</f>
        <v>299977.042837439</v>
      </c>
      <c r="U134" s="154" t="n">
        <f aca="false">U132+U133</f>
        <v>341060.275730168</v>
      </c>
      <c r="V134" s="154" t="n">
        <f aca="false">V132+V133</f>
        <v>378795.864271055</v>
      </c>
      <c r="W134" s="154" t="n">
        <f aca="false">W132+W133</f>
        <v>416128.492814861</v>
      </c>
      <c r="X134" s="154" t="n">
        <f aca="false">X132+X133</f>
        <v>449806.405372872</v>
      </c>
      <c r="Y134" s="154" t="n">
        <f aca="false">Y132+Y133</f>
        <v>481622.571039737</v>
      </c>
      <c r="Z134" s="154" t="n">
        <f aca="false">Z132+Z133</f>
        <v>591999.310548991</v>
      </c>
      <c r="AA134" s="154" t="n">
        <f aca="false">AA132+AA133</f>
        <v>674555.566202063</v>
      </c>
      <c r="AB134" s="154" t="n">
        <f aca="false">AB132+AB133</f>
        <v>752897.130969716</v>
      </c>
      <c r="AC134" s="154" t="n">
        <f aca="false">AC132+AC133</f>
        <v>827284.654574983</v>
      </c>
      <c r="AD134" s="154" t="n">
        <f aca="false">AD132+AD133</f>
        <v>897878.795927418</v>
      </c>
      <c r="AE134" s="154" t="n">
        <f aca="false">AE132+AE133</f>
        <v>949894.656256108</v>
      </c>
      <c r="AF134" s="154" t="n">
        <f aca="false">AF132+AF133</f>
        <v>1028516.00324991</v>
      </c>
      <c r="AG134" s="154" t="n">
        <f aca="false">AG132+AG133</f>
        <v>1088878.13177314</v>
      </c>
      <c r="AH134" s="154" t="n">
        <f aca="false">AH132+AH133</f>
        <v>1146210.30247303</v>
      </c>
      <c r="AI134" s="154" t="n">
        <f aca="false">AI132+AI133</f>
        <v>1200605.26242334</v>
      </c>
      <c r="AJ134" s="154" t="n">
        <f aca="false">AJ132+AJ133</f>
        <v>1252253.39214189</v>
      </c>
      <c r="AK134" s="154" t="n">
        <f aca="false">AK132+AK133</f>
        <v>1301285.72259296</v>
      </c>
      <c r="AL134" s="154" t="n">
        <f aca="false">AL132+AL133</f>
        <v>1402957.40826201</v>
      </c>
      <c r="AM134" s="154" t="n">
        <f aca="false">AM132+AM133</f>
        <v>1537513.78942213</v>
      </c>
      <c r="AN134" s="154" t="n">
        <f aca="false">AN132+AN133</f>
        <v>1665791.76431001</v>
      </c>
      <c r="AO134" s="154" t="n">
        <f aca="false">AO132+AO133</f>
        <v>1788090.46044089</v>
      </c>
      <c r="AP134" s="154" t="n">
        <f aca="false">AP132+AP133</f>
        <v>1904680.83479579</v>
      </c>
      <c r="AQ134" s="154" t="n">
        <f aca="false">AQ132+AQ133</f>
        <v>1990800.02519665</v>
      </c>
      <c r="AR134" s="154" t="n">
        <f aca="false">AR132+AR133</f>
        <v>2121764.22216568</v>
      </c>
      <c r="AS134" s="154" t="n">
        <f aca="false">AS132+AS133</f>
        <v>2222729.65527254</v>
      </c>
      <c r="AT134" s="154" t="n">
        <f aca="false">AT132+AT133</f>
        <v>2318982.74993955</v>
      </c>
      <c r="AU134" s="154" t="n">
        <f aca="false">AU132+AU133</f>
        <v>2410752.57892261</v>
      </c>
      <c r="AV134" s="154" t="n">
        <f aca="false">AV132+AV133</f>
        <v>2498258.28430257</v>
      </c>
      <c r="AW134" s="154" t="n">
        <f aca="false">AW132+AW133</f>
        <v>2581655.28359943</v>
      </c>
      <c r="AX134" s="154" t="n">
        <f aca="false">AX132+AX133</f>
        <v>2873380.74091789</v>
      </c>
      <c r="AY134" s="154" t="n">
        <f aca="false">AY132+AY133</f>
        <v>3107606.54901407</v>
      </c>
      <c r="AZ134" s="154" t="n">
        <f aca="false">AZ132+AZ133</f>
        <v>3331782.04118964</v>
      </c>
      <c r="BA134" s="154" t="n">
        <f aca="false">BA132+BA133</f>
        <v>3546319.64606155</v>
      </c>
      <c r="BB134" s="154" t="n">
        <f aca="false">BB132+BB133</f>
        <v>3751589.40601623</v>
      </c>
      <c r="BC134" s="154" t="n">
        <f aca="false">BC132+BC133</f>
        <v>3918074.06609402</v>
      </c>
      <c r="BD134" s="154" t="n">
        <f aca="false">BD132+BD133</f>
        <v>4136119.40702995</v>
      </c>
      <c r="BE134" s="154" t="n">
        <f aca="false">BE132+BE133</f>
        <v>4316054.94076947</v>
      </c>
      <c r="BF134" s="154" t="n">
        <f aca="false">BF132+BF133</f>
        <v>4488299.78543387</v>
      </c>
      <c r="BG134" s="154" t="n">
        <f aca="false">BG132+BG133</f>
        <v>4653096.72072749</v>
      </c>
      <c r="BH134" s="154" t="n">
        <f aca="false">BH132+BH133</f>
        <v>4810840.80103517</v>
      </c>
      <c r="BI134" s="154" t="n">
        <f aca="false">BI132+BI133</f>
        <v>4961767.33647583</v>
      </c>
      <c r="BJ134" s="154" t="n">
        <f aca="false">SUM(B134:BI134)</f>
        <v>86790875.5745014</v>
      </c>
      <c r="BK134" s="51" t="s">
        <v>748</v>
      </c>
    </row>
    <row r="135" customFormat="false" ht="15.75" hidden="false" customHeight="true" outlineLevel="0" collapsed="false">
      <c r="A135" s="158" t="s">
        <v>466</v>
      </c>
      <c r="B135" s="159" t="n">
        <f aca="false">B134/(1+Premissas!$B$19)^B$5</f>
        <v>0</v>
      </c>
      <c r="C135" s="159" t="n">
        <f aca="false">C134/(1+Premissas!$B$19)^C$5</f>
        <v>0</v>
      </c>
      <c r="D135" s="159" t="n">
        <f aca="false">D134/(1+Premissas!$B$19)^D$5</f>
        <v>0</v>
      </c>
      <c r="E135" s="159" t="n">
        <f aca="false">E134/(1+Premissas!$B$19)^E$5</f>
        <v>0</v>
      </c>
      <c r="F135" s="159" t="n">
        <f aca="false">F134/(1+Premissas!$B$19)^F$5</f>
        <v>-6014.01855172587</v>
      </c>
      <c r="G135" s="159" t="n">
        <f aca="false">G134/(1+Premissas!$B$19)^G$5</f>
        <v>-536.656314599949</v>
      </c>
      <c r="H135" s="159" t="n">
        <f aca="false">H134/(1+Premissas!$B$19)^H$5</f>
        <v>-526.769243019855</v>
      </c>
      <c r="I135" s="159" t="n">
        <f aca="false">I134/(1+Premissas!$B$19)^I$5</f>
        <v>-8383.18114655438</v>
      </c>
      <c r="J135" s="159" t="n">
        <f aca="false">J134/(1+Premissas!$B$19)^J$5</f>
        <v>-9389.4568193522</v>
      </c>
      <c r="K135" s="159" t="n">
        <f aca="false">K134/(1+Premissas!$B$19)^K$5</f>
        <v>-9216.47044213917</v>
      </c>
      <c r="L135" s="159" t="n">
        <f aca="false">L134/(1+Premissas!$B$19)^L$5</f>
        <v>-1711.53236540413</v>
      </c>
      <c r="M135" s="159" t="n">
        <f aca="false">M134/(1+Premissas!$B$19)^M$5</f>
        <v>-17620.55358</v>
      </c>
      <c r="N135" s="159" t="n">
        <f aca="false">N134/(1+Premissas!$B$19)^N$5</f>
        <v>-48812.3329910255</v>
      </c>
      <c r="O135" s="159" t="n">
        <f aca="false">O134/(1+Premissas!$B$19)^O$5</f>
        <v>-15385.5487141663</v>
      </c>
      <c r="P135" s="159" t="n">
        <f aca="false">P134/(1+Premissas!$B$19)^P$5</f>
        <v>21216.0295502882</v>
      </c>
      <c r="Q135" s="159" t="n">
        <f aca="false">Q134/(1+Premissas!$B$19)^Q$5</f>
        <v>79403.3238394264</v>
      </c>
      <c r="R135" s="159" t="n">
        <f aca="false">R134/(1+Premissas!$B$19)^R$5</f>
        <v>132584.350350197</v>
      </c>
      <c r="S135" s="159" t="n">
        <f aca="false">S134/(1+Premissas!$B$19)^S$5</f>
        <v>144148.698233679</v>
      </c>
      <c r="T135" s="159" t="n">
        <f aca="false">T134/(1+Premissas!$B$19)^T$5</f>
        <v>210691.573038416</v>
      </c>
      <c r="U135" s="159" t="n">
        <f aca="false">U134/(1+Premissas!$B$19)^U$5</f>
        <v>235133.468615972</v>
      </c>
      <c r="V135" s="159" t="n">
        <f aca="false">V134/(1+Premissas!$B$19)^V$5</f>
        <v>256337.831417821</v>
      </c>
      <c r="W135" s="159" t="n">
        <f aca="false">W134/(1+Premissas!$B$19)^W$5</f>
        <v>276413.402101627</v>
      </c>
      <c r="X135" s="159" t="n">
        <f aca="false">X134/(1+Premissas!$B$19)^X$5</f>
        <v>293279.322271147</v>
      </c>
      <c r="Y135" s="159" t="n">
        <f aca="false">Y134/(1+Premissas!$B$19)^Y$5</f>
        <v>308238.445465431</v>
      </c>
      <c r="Z135" s="159" t="n">
        <f aca="false">Z134/(1+Premissas!$B$19)^Z$5</f>
        <v>371899.282519252</v>
      </c>
      <c r="AA135" s="159" t="n">
        <f aca="false">AA134/(1+Premissas!$B$19)^AA$5</f>
        <v>415954.699568239</v>
      </c>
      <c r="AB135" s="159" t="n">
        <f aca="false">AB134/(1+Premissas!$B$19)^AB$5</f>
        <v>455709.53219659</v>
      </c>
      <c r="AC135" s="159" t="n">
        <f aca="false">AC134/(1+Premissas!$B$19)^AC$5</f>
        <v>491509.147506488</v>
      </c>
      <c r="AD135" s="159" t="n">
        <f aca="false">AD134/(1+Premissas!$B$19)^AD$5</f>
        <v>523622.762269941</v>
      </c>
      <c r="AE135" s="159" t="n">
        <f aca="false">AE134/(1+Premissas!$B$19)^AE$5</f>
        <v>543751.429850227</v>
      </c>
      <c r="AF135" s="159" t="n">
        <f aca="false">AF134/(1+Premissas!$B$19)^AF$5</f>
        <v>577909.969563476</v>
      </c>
      <c r="AG135" s="159" t="n">
        <f aca="false">AG134/(1+Premissas!$B$19)^AG$5</f>
        <v>600554.705999144</v>
      </c>
      <c r="AH135" s="159" t="n">
        <f aca="false">AH134/(1+Premissas!$B$19)^AH$5</f>
        <v>620528.555875581</v>
      </c>
      <c r="AI135" s="159" t="n">
        <f aca="false">AI134/(1+Premissas!$B$19)^AI$5</f>
        <v>638001.753588552</v>
      </c>
      <c r="AJ135" s="159" t="n">
        <f aca="false">AJ134/(1+Premissas!$B$19)^AJ$5</f>
        <v>653187.72124585</v>
      </c>
      <c r="AK135" s="159" t="n">
        <f aca="false">AK134/(1+Premissas!$B$19)^AK$5</f>
        <v>666258.289967594</v>
      </c>
      <c r="AL135" s="159" t="n">
        <f aca="false">AL134/(1+Premissas!$B$19)^AL$5</f>
        <v>705080.352953596</v>
      </c>
      <c r="AM135" s="159" t="n">
        <f aca="false">AM134/(1+Premissas!$B$19)^AM$5</f>
        <v>758468.085838352</v>
      </c>
      <c r="AN135" s="159" t="n">
        <f aca="false">AN134/(1+Premissas!$B$19)^AN$5</f>
        <v>806609.194722707</v>
      </c>
      <c r="AO135" s="159" t="n">
        <f aca="false">AO134/(1+Premissas!$B$19)^AO$5</f>
        <v>849877.065182406</v>
      </c>
      <c r="AP135" s="159" t="n">
        <f aca="false">AP134/(1+Premissas!$B$19)^AP$5</f>
        <v>888613.692166096</v>
      </c>
      <c r="AQ135" s="159" t="n">
        <f aca="false">AQ134/(1+Premissas!$B$19)^AQ$5</f>
        <v>911680.345282149</v>
      </c>
      <c r="AR135" s="159" t="n">
        <f aca="false">AR134/(1+Premissas!$B$19)^AR$5</f>
        <v>953753.713644222</v>
      </c>
      <c r="AS135" s="159" t="n">
        <f aca="false">AS134/(1+Premissas!$B$19)^AS$5</f>
        <v>980731.059380581</v>
      </c>
      <c r="AT135" s="159" t="n">
        <f aca="false">AT134/(1+Premissas!$B$19)^AT$5</f>
        <v>1004349.7349941</v>
      </c>
      <c r="AU135" s="159" t="n">
        <f aca="false">AU134/(1+Premissas!$B$19)^AU$5</f>
        <v>1024859.32451522</v>
      </c>
      <c r="AV135" s="159" t="n">
        <f aca="false">AV134/(1+Premissas!$B$19)^AV$5</f>
        <v>1042492.93061432</v>
      </c>
      <c r="AW135" s="159" t="n">
        <f aca="false">AW134/(1+Premissas!$B$19)^AW$5</f>
        <v>1057446.00416232</v>
      </c>
      <c r="AX135" s="159" t="n">
        <f aca="false">AX134/(1+Premissas!$B$19)^AX$5</f>
        <v>1155253.49239859</v>
      </c>
      <c r="AY135" s="159" t="n">
        <f aca="false">AY134/(1+Premissas!$B$19)^AY$5</f>
        <v>1226406.11459117</v>
      </c>
      <c r="AZ135" s="159" t="n">
        <f aca="false">AZ134/(1+Premissas!$B$19)^AZ$5</f>
        <v>1290651.61051446</v>
      </c>
      <c r="BA135" s="159" t="n">
        <f aca="false">BA134/(1+Premissas!$B$19)^BA$5</f>
        <v>1348448.88429206</v>
      </c>
      <c r="BB135" s="159" t="n">
        <f aca="false">BB134/(1+Premissas!$B$19)^BB$5</f>
        <v>1400219.35546118</v>
      </c>
      <c r="BC135" s="159" t="n">
        <f aca="false">BC134/(1+Premissas!$B$19)^BC$5</f>
        <v>1435415.33944466</v>
      </c>
      <c r="BD135" s="159" t="n">
        <f aca="false">BD134/(1+Premissas!$B$19)^BD$5</f>
        <v>1487380.81387922</v>
      </c>
      <c r="BE135" s="159" t="n">
        <f aca="false">BE134/(1+Premissas!$B$19)^BE$5</f>
        <v>1523492.20675211</v>
      </c>
      <c r="BF135" s="159" t="n">
        <f aca="false">BF134/(1+Premissas!$B$19)^BF$5</f>
        <v>1555103.48671359</v>
      </c>
      <c r="BG135" s="159" t="n">
        <f aca="false">BG134/(1+Premissas!$B$19)^BG$5</f>
        <v>1582499.87287868</v>
      </c>
      <c r="BH135" s="159" t="n">
        <f aca="false">BH134/(1+Premissas!$B$19)^BH$5</f>
        <v>1606004.48941658</v>
      </c>
      <c r="BI135" s="159" t="n">
        <f aca="false">BI134/(1+Premissas!$B$19)^BI$5</f>
        <v>1625871.92081639</v>
      </c>
      <c r="BJ135" s="154" t="n">
        <f aca="false">SUM(B135:BI135)</f>
        <v>36619446.8654817</v>
      </c>
    </row>
    <row r="136" customFormat="false" ht="15.75" hidden="false" customHeight="true" outlineLevel="0" collapsed="false">
      <c r="A136" s="49" t="s">
        <v>467</v>
      </c>
      <c r="B136" s="168" t="n">
        <f aca="false">B135</f>
        <v>0</v>
      </c>
      <c r="C136" s="168" t="n">
        <f aca="false">B136+C135</f>
        <v>0</v>
      </c>
      <c r="D136" s="168" t="n">
        <f aca="false">C136+D135</f>
        <v>0</v>
      </c>
      <c r="E136" s="168" t="n">
        <f aca="false">D136+E135</f>
        <v>0</v>
      </c>
      <c r="F136" s="168" t="n">
        <f aca="false">E136+F135</f>
        <v>-6014.01855172587</v>
      </c>
      <c r="G136" s="168" t="n">
        <f aca="false">F136+G135</f>
        <v>-6550.67486632582</v>
      </c>
      <c r="H136" s="168" t="n">
        <f aca="false">G136+H135</f>
        <v>-7077.44410934567</v>
      </c>
      <c r="I136" s="168" t="n">
        <f aca="false">H136+I135</f>
        <v>-15460.6252559</v>
      </c>
      <c r="J136" s="168" t="n">
        <f aca="false">I136+J135</f>
        <v>-24850.0820752523</v>
      </c>
      <c r="K136" s="168" t="n">
        <f aca="false">J136+K135</f>
        <v>-34066.5525173914</v>
      </c>
      <c r="L136" s="168" t="n">
        <f aca="false">K136+L135</f>
        <v>-35778.0848827955</v>
      </c>
      <c r="M136" s="168" t="n">
        <f aca="false">L136+M135</f>
        <v>-53398.6384627955</v>
      </c>
      <c r="N136" s="168" t="n">
        <f aca="false">M136+N135</f>
        <v>-102210.971453821</v>
      </c>
      <c r="O136" s="168" t="n">
        <f aca="false">N136+O135</f>
        <v>-117596.520167987</v>
      </c>
      <c r="P136" s="168" t="n">
        <f aca="false">O136+P135</f>
        <v>-96380.4906176992</v>
      </c>
      <c r="Q136" s="168" t="n">
        <f aca="false">P136+Q135</f>
        <v>-16977.1667782728</v>
      </c>
      <c r="R136" s="168" t="n">
        <f aca="false">Q136+R135</f>
        <v>115607.183571925</v>
      </c>
      <c r="S136" s="168" t="n">
        <f aca="false">R136+S135</f>
        <v>259755.881805603</v>
      </c>
      <c r="T136" s="168" t="n">
        <f aca="false">S136+T135</f>
        <v>470447.454844019</v>
      </c>
      <c r="U136" s="168" t="n">
        <f aca="false">T136+U135</f>
        <v>705580.923459991</v>
      </c>
      <c r="V136" s="168" t="n">
        <f aca="false">U136+V135</f>
        <v>961918.754877812</v>
      </c>
      <c r="W136" s="168" t="n">
        <f aca="false">V136+W135</f>
        <v>1238332.15697944</v>
      </c>
      <c r="X136" s="168" t="n">
        <f aca="false">W136+X135</f>
        <v>1531611.47925059</v>
      </c>
      <c r="Y136" s="168" t="n">
        <f aca="false">X136+Y135</f>
        <v>1839849.92471602</v>
      </c>
      <c r="Z136" s="168" t="n">
        <f aca="false">Y136+Z135</f>
        <v>2211749.20723527</v>
      </c>
      <c r="AA136" s="168" t="n">
        <f aca="false">Z136+AA135</f>
        <v>2627703.90680351</v>
      </c>
      <c r="AB136" s="168" t="n">
        <f aca="false">AA136+AB135</f>
        <v>3083413.4390001</v>
      </c>
      <c r="AC136" s="168" t="n">
        <f aca="false">AB136+AC135</f>
        <v>3574922.58650659</v>
      </c>
      <c r="AD136" s="168" t="n">
        <f aca="false">AC136+AD135</f>
        <v>4098545.34877653</v>
      </c>
      <c r="AE136" s="168" t="n">
        <f aca="false">AD136+AE135</f>
        <v>4642296.77862675</v>
      </c>
      <c r="AF136" s="168" t="n">
        <f aca="false">AE136+AF135</f>
        <v>5220206.74819023</v>
      </c>
      <c r="AG136" s="168" t="n">
        <f aca="false">AF136+AG135</f>
        <v>5820761.45418937</v>
      </c>
      <c r="AH136" s="168" t="n">
        <f aca="false">AG136+AH135</f>
        <v>6441290.01006496</v>
      </c>
      <c r="AI136" s="168" t="n">
        <f aca="false">AH136+AI135</f>
        <v>7079291.76365351</v>
      </c>
      <c r="AJ136" s="168" t="n">
        <f aca="false">AI136+AJ135</f>
        <v>7732479.48489936</v>
      </c>
      <c r="AK136" s="168" t="n">
        <f aca="false">AJ136+AK135</f>
        <v>8398737.77486695</v>
      </c>
      <c r="AL136" s="168" t="n">
        <f aca="false">AK136+AL135</f>
        <v>9103818.12782055</v>
      </c>
      <c r="AM136" s="168" t="n">
        <f aca="false">AL136+AM135</f>
        <v>9862286.2136589</v>
      </c>
      <c r="AN136" s="168" t="n">
        <f aca="false">AM136+AN135</f>
        <v>10668895.4083816</v>
      </c>
      <c r="AO136" s="168" t="n">
        <f aca="false">AN136+AO135</f>
        <v>11518772.473564</v>
      </c>
      <c r="AP136" s="168" t="n">
        <f aca="false">AO136+AP135</f>
        <v>12407386.1657301</v>
      </c>
      <c r="AQ136" s="168" t="n">
        <f aca="false">AP136+AQ135</f>
        <v>13319066.5110123</v>
      </c>
      <c r="AR136" s="168" t="n">
        <f aca="false">AQ136+AR135</f>
        <v>14272820.2246565</v>
      </c>
      <c r="AS136" s="168" t="n">
        <f aca="false">AR136+AS135</f>
        <v>15253551.2840371</v>
      </c>
      <c r="AT136" s="168" t="n">
        <f aca="false">AS136+AT135</f>
        <v>16257901.0190312</v>
      </c>
      <c r="AU136" s="168" t="n">
        <f aca="false">AT136+AU135</f>
        <v>17282760.3435464</v>
      </c>
      <c r="AV136" s="168" t="n">
        <f aca="false">AU136+AV135</f>
        <v>18325253.2741607</v>
      </c>
      <c r="AW136" s="168" t="n">
        <f aca="false">AV136+AW135</f>
        <v>19382699.278323</v>
      </c>
      <c r="AX136" s="168" t="n">
        <f aca="false">AW136+AX135</f>
        <v>20537952.7707216</v>
      </c>
      <c r="AY136" s="168" t="n">
        <f aca="false">AX136+AY135</f>
        <v>21764358.8853128</v>
      </c>
      <c r="AZ136" s="168" t="n">
        <f aca="false">AY136+AZ135</f>
        <v>23055010.4958272</v>
      </c>
      <c r="BA136" s="168" t="n">
        <f aca="false">AZ136+BA135</f>
        <v>24403459.3801193</v>
      </c>
      <c r="BB136" s="168" t="n">
        <f aca="false">BA136+BB135</f>
        <v>25803678.7355805</v>
      </c>
      <c r="BC136" s="168" t="n">
        <f aca="false">BB136+BC135</f>
        <v>27239094.0750252</v>
      </c>
      <c r="BD136" s="168" t="n">
        <f aca="false">BC136+BD135</f>
        <v>28726474.8889044</v>
      </c>
      <c r="BE136" s="168" t="n">
        <f aca="false">BD136+BE135</f>
        <v>30249967.0956565</v>
      </c>
      <c r="BF136" s="168" t="n">
        <f aca="false">BE136+BF135</f>
        <v>31805070.5823701</v>
      </c>
      <c r="BG136" s="168" t="n">
        <f aca="false">BF136+BG135</f>
        <v>33387570.4552488</v>
      </c>
      <c r="BH136" s="168" t="n">
        <f aca="false">BG136+BH135</f>
        <v>34993574.9446653</v>
      </c>
      <c r="BI136" s="168" t="n">
        <f aca="false">BH136+BI135</f>
        <v>36619446.8654817</v>
      </c>
      <c r="BJ136" s="154" t="n">
        <f aca="false">BI136</f>
        <v>36619446.8654817</v>
      </c>
    </row>
    <row r="137" customFormat="false" ht="15.75" hidden="false" customHeight="true" outlineLevel="0" collapsed="false">
      <c r="A137" s="49" t="s">
        <v>468</v>
      </c>
      <c r="B137" s="168" t="n">
        <f aca="false">B134</f>
        <v>0</v>
      </c>
      <c r="C137" s="168" t="n">
        <f aca="false">B137+C134</f>
        <v>0</v>
      </c>
      <c r="D137" s="168" t="n">
        <f aca="false">C137+D134</f>
        <v>0</v>
      </c>
      <c r="E137" s="168" t="n">
        <f aca="false">D137+E134</f>
        <v>0</v>
      </c>
      <c r="F137" s="168" t="n">
        <f aca="false">E137+F134</f>
        <v>-6600</v>
      </c>
      <c r="G137" s="168" t="n">
        <f aca="false">F137+G134</f>
        <v>-7200</v>
      </c>
      <c r="H137" s="168" t="n">
        <f aca="false">G137+H134</f>
        <v>-7800</v>
      </c>
      <c r="I137" s="168" t="n">
        <f aca="false">H137+I134</f>
        <v>-17527.82</v>
      </c>
      <c r="J137" s="168" t="n">
        <f aca="false">I137+J134</f>
        <v>-28627.82</v>
      </c>
      <c r="K137" s="168" t="n">
        <f aca="false">J137+K134</f>
        <v>-39727.82</v>
      </c>
      <c r="L137" s="168" t="n">
        <f aca="false">K137+L134</f>
        <v>-41827.82</v>
      </c>
      <c r="M137" s="168" t="n">
        <f aca="false">L137+M134</f>
        <v>-63853.511975</v>
      </c>
      <c r="N137" s="168" t="n">
        <f aca="false">M137+N134</f>
        <v>-126014.142737667</v>
      </c>
      <c r="O137" s="168" t="n">
        <f aca="false">N137+O134</f>
        <v>-145974.792366074</v>
      </c>
      <c r="P137" s="168" t="n">
        <f aca="false">O137+P134</f>
        <v>-117933.267402598</v>
      </c>
      <c r="Q137" s="168" t="n">
        <f aca="false">P137+Q134</f>
        <v>-11014.9702879134</v>
      </c>
      <c r="R137" s="168" t="n">
        <f aca="false">Q137+R134</f>
        <v>170863.565832537</v>
      </c>
      <c r="S137" s="168" t="n">
        <f aca="false">R137+S134</f>
        <v>372317.495906668</v>
      </c>
      <c r="T137" s="168" t="n">
        <f aca="false">S137+T134</f>
        <v>672294.538744106</v>
      </c>
      <c r="U137" s="168" t="n">
        <f aca="false">T137+U134</f>
        <v>1013354.81447427</v>
      </c>
      <c r="V137" s="168" t="n">
        <f aca="false">U137+V134</f>
        <v>1392150.67874533</v>
      </c>
      <c r="W137" s="168" t="n">
        <f aca="false">V137+W134</f>
        <v>1808279.17156019</v>
      </c>
      <c r="X137" s="168" t="n">
        <f aca="false">W137+X134</f>
        <v>2258085.57693306</v>
      </c>
      <c r="Y137" s="168" t="n">
        <f aca="false">X137+Y134</f>
        <v>2739708.1479728</v>
      </c>
      <c r="Z137" s="168" t="n">
        <f aca="false">Y137+Z134</f>
        <v>3331707.45852179</v>
      </c>
      <c r="AA137" s="168" t="n">
        <f aca="false">Z137+AA134</f>
        <v>4006263.02472385</v>
      </c>
      <c r="AB137" s="168" t="n">
        <f aca="false">AA137+AB134</f>
        <v>4759160.15569357</v>
      </c>
      <c r="AC137" s="168" t="n">
        <f aca="false">AB137+AC134</f>
        <v>5586444.81026855</v>
      </c>
      <c r="AD137" s="168" t="n">
        <f aca="false">AC137+AD134</f>
        <v>6484323.60619597</v>
      </c>
      <c r="AE137" s="168" t="n">
        <f aca="false">AD137+AE134</f>
        <v>7434218.26245208</v>
      </c>
      <c r="AF137" s="168" t="n">
        <f aca="false">AE137+AF134</f>
        <v>8462734.26570199</v>
      </c>
      <c r="AG137" s="168" t="n">
        <f aca="false">AF137+AG134</f>
        <v>9551612.39747513</v>
      </c>
      <c r="AH137" s="168" t="n">
        <f aca="false">AG137+AH134</f>
        <v>10697822.6999482</v>
      </c>
      <c r="AI137" s="168" t="n">
        <f aca="false">AH137+AI134</f>
        <v>11898427.9623715</v>
      </c>
      <c r="AJ137" s="168" t="n">
        <f aca="false">AI137+AJ134</f>
        <v>13150681.3545134</v>
      </c>
      <c r="AK137" s="168" t="n">
        <f aca="false">AJ137+AK134</f>
        <v>14451967.0771063</v>
      </c>
      <c r="AL137" s="168" t="n">
        <f aca="false">AK137+AL134</f>
        <v>15854924.4853684</v>
      </c>
      <c r="AM137" s="168" t="n">
        <f aca="false">AL137+AM134</f>
        <v>17392438.2747905</v>
      </c>
      <c r="AN137" s="168" t="n">
        <f aca="false">AM137+AN134</f>
        <v>19058230.0391005</v>
      </c>
      <c r="AO137" s="168" t="n">
        <f aca="false">AN137+AO134</f>
        <v>20846320.4995414</v>
      </c>
      <c r="AP137" s="168" t="n">
        <f aca="false">AO137+AP134</f>
        <v>22751001.3343372</v>
      </c>
      <c r="AQ137" s="168" t="n">
        <f aca="false">AP137+AQ134</f>
        <v>24741801.3595338</v>
      </c>
      <c r="AR137" s="168" t="n">
        <f aca="false">AQ137+AR134</f>
        <v>26863565.5816995</v>
      </c>
      <c r="AS137" s="168" t="n">
        <f aca="false">AR137+AS134</f>
        <v>29086295.2369721</v>
      </c>
      <c r="AT137" s="168" t="n">
        <f aca="false">AS137+AT134</f>
        <v>31405277.9869116</v>
      </c>
      <c r="AU137" s="168" t="n">
        <f aca="false">AT137+AU134</f>
        <v>33816030.5658342</v>
      </c>
      <c r="AV137" s="168" t="n">
        <f aca="false">AU137+AV134</f>
        <v>36314288.8501368</v>
      </c>
      <c r="AW137" s="168" t="n">
        <f aca="false">AV137+AW134</f>
        <v>38895944.1337362</v>
      </c>
      <c r="AX137" s="168" t="n">
        <f aca="false">AW137+AX134</f>
        <v>41769324.8746541</v>
      </c>
      <c r="AY137" s="168" t="n">
        <f aca="false">AX137+AY134</f>
        <v>44876931.4236682</v>
      </c>
      <c r="AZ137" s="168" t="n">
        <f aca="false">AY137+AZ134</f>
        <v>48208713.4648578</v>
      </c>
      <c r="BA137" s="168" t="n">
        <f aca="false">AZ137+BA134</f>
        <v>51755033.1109194</v>
      </c>
      <c r="BB137" s="168" t="n">
        <f aca="false">BA137+BB134</f>
        <v>55506622.5169356</v>
      </c>
      <c r="BC137" s="168" t="n">
        <f aca="false">BB137+BC134</f>
        <v>59424696.5830296</v>
      </c>
      <c r="BD137" s="168" t="n">
        <f aca="false">BC137+BD134</f>
        <v>63560815.9900596</v>
      </c>
      <c r="BE137" s="168" t="n">
        <f aca="false">BD137+BE134</f>
        <v>67876870.930829</v>
      </c>
      <c r="BF137" s="168" t="n">
        <f aca="false">BE137+BF134</f>
        <v>72365170.7162629</v>
      </c>
      <c r="BG137" s="168" t="n">
        <f aca="false">BF137+BG134</f>
        <v>77018267.4369904</v>
      </c>
      <c r="BH137" s="168" t="n">
        <f aca="false">BG137+BH134</f>
        <v>81829108.2380256</v>
      </c>
      <c r="BI137" s="168" t="n">
        <f aca="false">BH137+BI134</f>
        <v>86790875.5745014</v>
      </c>
      <c r="BJ137" s="154" t="n">
        <f aca="false">BI137</f>
        <v>86790875.5745014</v>
      </c>
    </row>
    <row r="138" customFormat="false" ht="15.75" hidden="false" customHeight="true" outlineLevel="0" collapsed="false">
      <c r="A138" s="49" t="s">
        <v>763</v>
      </c>
      <c r="B138" s="201" t="n">
        <f aca="false">IF(B132&gt;0,1,0)</f>
        <v>0</v>
      </c>
      <c r="C138" s="201" t="n">
        <f aca="false">IF(B138=1,1,IF(C132&gt;0,1,0))</f>
        <v>0</v>
      </c>
      <c r="D138" s="201" t="n">
        <f aca="false">IF(C138=1,1,IF(D132&gt;0,1,0))</f>
        <v>0</v>
      </c>
      <c r="E138" s="201" t="n">
        <f aca="false">IF(D138=1,1,IF(E132&gt;0,1,0))</f>
        <v>0</v>
      </c>
      <c r="F138" s="201" t="n">
        <f aca="false">IF(E138=1,1,IF(F132&gt;0,1,0))</f>
        <v>0</v>
      </c>
      <c r="G138" s="201" t="n">
        <f aca="false">IF(F138=1,1,IF(G132&gt;0,1,0))</f>
        <v>0</v>
      </c>
      <c r="H138" s="201" t="n">
        <f aca="false">IF(G138=1,1,IF(H132&gt;0,1,0))</f>
        <v>0</v>
      </c>
      <c r="I138" s="201" t="n">
        <f aca="false">IF(H138=1,1,IF(I132&gt;0,1,0))</f>
        <v>0</v>
      </c>
      <c r="J138" s="201" t="n">
        <f aca="false">IF(I138=1,1,IF(J132&gt;0,1,0))</f>
        <v>0</v>
      </c>
      <c r="K138" s="201" t="n">
        <f aca="false">IF(J138=1,1,IF(K132&gt;0,1,0))</f>
        <v>0</v>
      </c>
      <c r="L138" s="201" t="n">
        <f aca="false">IF(K138=1,1,IF(L132&gt;0,1,0))</f>
        <v>0</v>
      </c>
      <c r="M138" s="201" t="n">
        <f aca="false">IF(L138=1,1,IF(M132&gt;0,1,0))</f>
        <v>0</v>
      </c>
      <c r="N138" s="201" t="n">
        <f aca="false">IF(M138=1,1,IF(N132&gt;0,1,0))</f>
        <v>0</v>
      </c>
      <c r="O138" s="201" t="n">
        <f aca="false">IF(N138=1,1,IF(O132&gt;0,1,0))</f>
        <v>0</v>
      </c>
      <c r="P138" s="201" t="n">
        <f aca="false">IF(O138=1,1,IF(P132&gt;0,1,0))</f>
        <v>1</v>
      </c>
      <c r="Q138" s="201" t="n">
        <f aca="false">IF(P138=1,1,IF(Q132&gt;0,1,0))</f>
        <v>1</v>
      </c>
      <c r="R138" s="201" t="n">
        <f aca="false">IF(Q138=1,1,IF(R132&gt;0,1,0))</f>
        <v>1</v>
      </c>
      <c r="S138" s="201" t="n">
        <f aca="false">IF(R138=1,1,IF(S132&gt;0,1,0))</f>
        <v>1</v>
      </c>
      <c r="T138" s="201" t="n">
        <f aca="false">IF(S138=1,1,IF(T132&gt;0,1,0))</f>
        <v>1</v>
      </c>
      <c r="U138" s="201" t="n">
        <f aca="false">IF(T138=1,1,IF(U132&gt;0,1,0))</f>
        <v>1</v>
      </c>
      <c r="V138" s="201" t="n">
        <f aca="false">IF(U138=1,1,IF(V132&gt;0,1,0))</f>
        <v>1</v>
      </c>
      <c r="W138" s="201" t="n">
        <f aca="false">IF(V138=1,1,IF(W132&gt;0,1,0))</f>
        <v>1</v>
      </c>
      <c r="X138" s="201" t="n">
        <f aca="false">IF(W138=1,1,IF(X132&gt;0,1,0))</f>
        <v>1</v>
      </c>
      <c r="Y138" s="201" t="n">
        <f aca="false">IF(X138=1,1,IF(Y132&gt;0,1,0))</f>
        <v>1</v>
      </c>
      <c r="Z138" s="201" t="n">
        <f aca="false">IF(Y138=1,1,IF(Z132&gt;0,1,0))</f>
        <v>1</v>
      </c>
      <c r="AA138" s="201" t="n">
        <f aca="false">IF(Z138=1,1,IF(AA132&gt;0,1,0))</f>
        <v>1</v>
      </c>
      <c r="AB138" s="201" t="n">
        <f aca="false">IF(AA138=1,1,IF(AB132&gt;0,1,0))</f>
        <v>1</v>
      </c>
      <c r="AC138" s="201" t="n">
        <f aca="false">IF(AB138=1,1,IF(AC132&gt;0,1,0))</f>
        <v>1</v>
      </c>
      <c r="AD138" s="201" t="n">
        <f aca="false">IF(AC138=1,1,IF(AD132&gt;0,1,0))</f>
        <v>1</v>
      </c>
      <c r="AE138" s="201" t="n">
        <f aca="false">IF(AD138=1,1,IF(AE132&gt;0,1,0))</f>
        <v>1</v>
      </c>
      <c r="AF138" s="201" t="n">
        <f aca="false">IF(AE138=1,1,IF(AF132&gt;0,1,0))</f>
        <v>1</v>
      </c>
      <c r="AG138" s="201" t="n">
        <f aca="false">IF(AF138=1,1,IF(AG132&gt;0,1,0))</f>
        <v>1</v>
      </c>
      <c r="AH138" s="201" t="n">
        <f aca="false">IF(AG138=1,1,IF(AH132&gt;0,1,0))</f>
        <v>1</v>
      </c>
      <c r="AI138" s="201" t="n">
        <f aca="false">IF(AH138=1,1,IF(AI132&gt;0,1,0))</f>
        <v>1</v>
      </c>
      <c r="AJ138" s="201" t="n">
        <f aca="false">IF(AI138=1,1,IF(AJ132&gt;0,1,0))</f>
        <v>1</v>
      </c>
      <c r="AK138" s="201" t="n">
        <f aca="false">IF(AJ138=1,1,IF(AK132&gt;0,1,0))</f>
        <v>1</v>
      </c>
      <c r="AL138" s="201" t="n">
        <f aca="false">IF(AK138=1,1,IF(AL132&gt;0,1,0))</f>
        <v>1</v>
      </c>
      <c r="AM138" s="201" t="n">
        <f aca="false">IF(AL138=1,1,IF(AM132&gt;0,1,0))</f>
        <v>1</v>
      </c>
      <c r="AN138" s="201" t="n">
        <f aca="false">IF(AM138=1,1,IF(AN132&gt;0,1,0))</f>
        <v>1</v>
      </c>
      <c r="AO138" s="201" t="n">
        <f aca="false">IF(AN138=1,1,IF(AO132&gt;0,1,0))</f>
        <v>1</v>
      </c>
      <c r="AP138" s="201" t="n">
        <f aca="false">IF(AO138=1,1,IF(AP132&gt;0,1,0))</f>
        <v>1</v>
      </c>
      <c r="AQ138" s="201" t="n">
        <f aca="false">IF(AP138=1,1,IF(AQ132&gt;0,1,0))</f>
        <v>1</v>
      </c>
      <c r="AR138" s="201" t="n">
        <f aca="false">IF(AQ138=1,1,IF(AR132&gt;0,1,0))</f>
        <v>1</v>
      </c>
      <c r="AS138" s="201" t="n">
        <f aca="false">IF(AR138=1,1,IF(AS132&gt;0,1,0))</f>
        <v>1</v>
      </c>
      <c r="AT138" s="201" t="n">
        <f aca="false">IF(AS138=1,1,IF(AT132&gt;0,1,0))</f>
        <v>1</v>
      </c>
      <c r="AU138" s="201" t="n">
        <f aca="false">IF(AT138=1,1,IF(AU132&gt;0,1,0))</f>
        <v>1</v>
      </c>
      <c r="AV138" s="201" t="n">
        <f aca="false">IF(AU138=1,1,IF(AV132&gt;0,1,0))</f>
        <v>1</v>
      </c>
      <c r="AW138" s="201" t="n">
        <f aca="false">IF(AV138=1,1,IF(AW132&gt;0,1,0))</f>
        <v>1</v>
      </c>
      <c r="AX138" s="201" t="n">
        <f aca="false">IF(AW138=1,1,IF(AX132&gt;0,1,0))</f>
        <v>1</v>
      </c>
      <c r="AY138" s="201" t="n">
        <f aca="false">IF(AX138=1,1,IF(AY132&gt;0,1,0))</f>
        <v>1</v>
      </c>
      <c r="AZ138" s="201" t="n">
        <f aca="false">IF(AY138=1,1,IF(AZ132&gt;0,1,0))</f>
        <v>1</v>
      </c>
      <c r="BA138" s="201" t="n">
        <f aca="false">IF(AZ138=1,1,IF(BA132&gt;0,1,0))</f>
        <v>1</v>
      </c>
      <c r="BB138" s="201" t="n">
        <f aca="false">IF(BA138=1,1,IF(BB132&gt;0,1,0))</f>
        <v>1</v>
      </c>
      <c r="BC138" s="201" t="n">
        <f aca="false">IF(BB138=1,1,IF(BC132&gt;0,1,0))</f>
        <v>1</v>
      </c>
      <c r="BD138" s="201" t="n">
        <f aca="false">IF(BC138=1,1,IF(BD132&gt;0,1,0))</f>
        <v>1</v>
      </c>
      <c r="BE138" s="201" t="n">
        <f aca="false">IF(BD138=1,1,IF(BE132&gt;0,1,0))</f>
        <v>1</v>
      </c>
      <c r="BF138" s="201" t="n">
        <f aca="false">IF(BE138=1,1,IF(BF132&gt;0,1,0))</f>
        <v>1</v>
      </c>
      <c r="BG138" s="201" t="n">
        <f aca="false">IF(BF138=1,1,IF(BG132&gt;0,1,0))</f>
        <v>1</v>
      </c>
      <c r="BH138" s="201" t="n">
        <f aca="false">IF(BG138=1,1,IF(BH132&gt;0,1,0))</f>
        <v>1</v>
      </c>
      <c r="BI138" s="201" t="n">
        <f aca="false">IF(BH138=1,1,IF(BI132&gt;0,1,0))</f>
        <v>1</v>
      </c>
      <c r="BJ138" s="202" t="n">
        <f aca="false">BI138</f>
        <v>1</v>
      </c>
      <c r="BK138" s="51" t="s">
        <v>748</v>
      </c>
    </row>
    <row r="139" customFormat="false" ht="15.75" hidden="false" customHeight="true" outlineLevel="0" collapsed="false">
      <c r="A139" s="49" t="s">
        <v>469</v>
      </c>
      <c r="B139" s="168" t="n">
        <f aca="false">Aportes!B96</f>
        <v>0</v>
      </c>
      <c r="C139" s="168" t="n">
        <f aca="false">Aportes!C96</f>
        <v>0</v>
      </c>
      <c r="D139" s="168" t="n">
        <f aca="false">Aportes!D96</f>
        <v>0</v>
      </c>
      <c r="E139" s="168" t="n">
        <f aca="false">Aportes!E96</f>
        <v>10000</v>
      </c>
      <c r="F139" s="168" t="n">
        <f aca="false">Aportes!F96</f>
        <v>0</v>
      </c>
      <c r="G139" s="168" t="n">
        <f aca="false">Aportes!G96</f>
        <v>0</v>
      </c>
      <c r="H139" s="168" t="n">
        <f aca="false">Aportes!H96</f>
        <v>5000</v>
      </c>
      <c r="I139" s="168" t="n">
        <f aca="false">Aportes!I96</f>
        <v>18000</v>
      </c>
      <c r="J139" s="168" t="n">
        <f aca="false">Aportes!J96</f>
        <v>4000</v>
      </c>
      <c r="K139" s="168" t="n">
        <f aca="false">Aportes!K96</f>
        <v>80000</v>
      </c>
      <c r="L139" s="168" t="n">
        <f aca="false">Aportes!L96</f>
        <v>0</v>
      </c>
      <c r="M139" s="168" t="n">
        <f aca="false">Aportes!M96</f>
        <v>0</v>
      </c>
      <c r="N139" s="168" t="n">
        <f aca="false">Aportes!N96</f>
        <v>0</v>
      </c>
      <c r="O139" s="168" t="n">
        <f aca="false">Aportes!O96</f>
        <v>200000</v>
      </c>
      <c r="P139" s="168" t="n">
        <f aca="false">Aportes!P96</f>
        <v>0</v>
      </c>
      <c r="Q139" s="168" t="n">
        <f aca="false">Aportes!Q96</f>
        <v>0</v>
      </c>
      <c r="R139" s="168" t="n">
        <f aca="false">Aportes!R96</f>
        <v>0</v>
      </c>
      <c r="S139" s="168" t="n">
        <f aca="false">Aportes!S96</f>
        <v>0</v>
      </c>
      <c r="T139" s="168" t="n">
        <f aca="false">Aportes!T96</f>
        <v>0</v>
      </c>
      <c r="U139" s="168" t="n">
        <f aca="false">Aportes!U96</f>
        <v>0</v>
      </c>
      <c r="V139" s="168" t="n">
        <f aca="false">Aportes!V96</f>
        <v>0</v>
      </c>
      <c r="W139" s="168" t="n">
        <f aca="false">Aportes!W96</f>
        <v>0</v>
      </c>
      <c r="X139" s="168" t="n">
        <f aca="false">Aportes!X96</f>
        <v>0</v>
      </c>
      <c r="Y139" s="168" t="n">
        <f aca="false">Aportes!Y96</f>
        <v>0</v>
      </c>
      <c r="Z139" s="168" t="n">
        <f aca="false">Aportes!Z96</f>
        <v>0</v>
      </c>
      <c r="AA139" s="168" t="n">
        <f aca="false">Aportes!AA96</f>
        <v>0</v>
      </c>
      <c r="AB139" s="168" t="n">
        <f aca="false">Aportes!AB96</f>
        <v>0</v>
      </c>
      <c r="AC139" s="168" t="n">
        <f aca="false">Aportes!AC96</f>
        <v>0</v>
      </c>
      <c r="AD139" s="168" t="n">
        <f aca="false">Aportes!AD96</f>
        <v>0</v>
      </c>
      <c r="AE139" s="168" t="n">
        <f aca="false">Aportes!AE96</f>
        <v>0</v>
      </c>
      <c r="AF139" s="168" t="n">
        <f aca="false">Aportes!AF96</f>
        <v>0</v>
      </c>
      <c r="AG139" s="168" t="n">
        <f aca="false">Aportes!AG96</f>
        <v>0</v>
      </c>
      <c r="AH139" s="168" t="n">
        <f aca="false">Aportes!AH96</f>
        <v>0</v>
      </c>
      <c r="AI139" s="168" t="n">
        <f aca="false">Aportes!AI96</f>
        <v>0</v>
      </c>
      <c r="AJ139" s="168" t="n">
        <f aca="false">Aportes!AJ96</f>
        <v>0</v>
      </c>
      <c r="AK139" s="168" t="n">
        <f aca="false">Aportes!AK96</f>
        <v>0</v>
      </c>
      <c r="AL139" s="168" t="n">
        <f aca="false">Aportes!AL96</f>
        <v>0</v>
      </c>
      <c r="AM139" s="168" t="n">
        <f aca="false">Aportes!AM96</f>
        <v>0</v>
      </c>
      <c r="AN139" s="168" t="n">
        <f aca="false">Aportes!AN96</f>
        <v>0</v>
      </c>
      <c r="AO139" s="168" t="n">
        <f aca="false">Aportes!AO96</f>
        <v>0</v>
      </c>
      <c r="AP139" s="168" t="n">
        <f aca="false">Aportes!AP96</f>
        <v>0</v>
      </c>
      <c r="AQ139" s="168" t="n">
        <f aca="false">Aportes!AQ96</f>
        <v>0</v>
      </c>
      <c r="AR139" s="168" t="n">
        <f aca="false">Aportes!AR96</f>
        <v>0</v>
      </c>
      <c r="AS139" s="168" t="n">
        <f aca="false">Aportes!AS96</f>
        <v>0</v>
      </c>
      <c r="AT139" s="168" t="n">
        <f aca="false">Aportes!AT96</f>
        <v>0</v>
      </c>
      <c r="AU139" s="168" t="n">
        <f aca="false">Aportes!AU96</f>
        <v>0</v>
      </c>
      <c r="AV139" s="168" t="n">
        <f aca="false">Aportes!AV96</f>
        <v>0</v>
      </c>
      <c r="AW139" s="168" t="n">
        <f aca="false">Aportes!AW96</f>
        <v>0</v>
      </c>
      <c r="AX139" s="168" t="n">
        <f aca="false">Aportes!AX96</f>
        <v>0</v>
      </c>
      <c r="AY139" s="168" t="n">
        <f aca="false">Aportes!AY96</f>
        <v>0</v>
      </c>
      <c r="AZ139" s="168" t="n">
        <f aca="false">Aportes!AZ96</f>
        <v>0</v>
      </c>
      <c r="BA139" s="168" t="n">
        <f aca="false">Aportes!BA96</f>
        <v>0</v>
      </c>
      <c r="BB139" s="168" t="n">
        <f aca="false">Aportes!BB96</f>
        <v>0</v>
      </c>
      <c r="BC139" s="168" t="n">
        <f aca="false">Aportes!BC96</f>
        <v>0</v>
      </c>
      <c r="BD139" s="168" t="n">
        <f aca="false">Aportes!BD96</f>
        <v>0</v>
      </c>
      <c r="BE139" s="168" t="n">
        <f aca="false">Aportes!BE96</f>
        <v>0</v>
      </c>
      <c r="BF139" s="168" t="n">
        <f aca="false">Aportes!BF96</f>
        <v>0</v>
      </c>
      <c r="BG139" s="168" t="n">
        <f aca="false">Aportes!BG96</f>
        <v>0</v>
      </c>
      <c r="BH139" s="168" t="n">
        <f aca="false">Aportes!BH96</f>
        <v>0</v>
      </c>
      <c r="BI139" s="168" t="n">
        <f aca="false">Aportes!BI96</f>
        <v>0</v>
      </c>
      <c r="BJ139" s="154" t="n">
        <f aca="false">SUM(B139:BI139)</f>
        <v>317000</v>
      </c>
      <c r="BK139" s="51" t="s">
        <v>764</v>
      </c>
    </row>
    <row r="140" customFormat="false" ht="15.75" hidden="false" customHeight="true" outlineLevel="0" collapsed="false">
      <c r="A140" s="49" t="s">
        <v>765</v>
      </c>
      <c r="B140" s="168" t="n">
        <f aca="false">B134+B139</f>
        <v>0</v>
      </c>
      <c r="C140" s="168" t="n">
        <f aca="false">C134+C139</f>
        <v>0</v>
      </c>
      <c r="D140" s="168" t="n">
        <f aca="false">D134+D139</f>
        <v>0</v>
      </c>
      <c r="E140" s="168" t="n">
        <f aca="false">E134+E139</f>
        <v>10000</v>
      </c>
      <c r="F140" s="168" t="n">
        <f aca="false">F134+F139</f>
        <v>-6600</v>
      </c>
      <c r="G140" s="168" t="n">
        <f aca="false">G134+G139</f>
        <v>-600</v>
      </c>
      <c r="H140" s="168" t="n">
        <f aca="false">H134+H139</f>
        <v>4400</v>
      </c>
      <c r="I140" s="168" t="n">
        <f aca="false">I134+I139</f>
        <v>8272.18</v>
      </c>
      <c r="J140" s="168" t="n">
        <f aca="false">J134+J139</f>
        <v>-7100</v>
      </c>
      <c r="K140" s="168" t="n">
        <f aca="false">K134+K139</f>
        <v>68900</v>
      </c>
      <c r="L140" s="168" t="n">
        <f aca="false">L134+L139</f>
        <v>-2100</v>
      </c>
      <c r="M140" s="168" t="n">
        <f aca="false">M134+M139</f>
        <v>-22025.691975</v>
      </c>
      <c r="N140" s="168" t="n">
        <f aca="false">N134+N139</f>
        <v>-62160.6307626667</v>
      </c>
      <c r="O140" s="168" t="n">
        <f aca="false">O134+O139</f>
        <v>180039.350371593</v>
      </c>
      <c r="P140" s="168" t="n">
        <f aca="false">P134+P139</f>
        <v>28041.5249634757</v>
      </c>
      <c r="Q140" s="168" t="n">
        <f aca="false">Q134+Q139</f>
        <v>106918.297114685</v>
      </c>
      <c r="R140" s="168" t="n">
        <f aca="false">R134+R139</f>
        <v>181878.53612045</v>
      </c>
      <c r="S140" s="168" t="n">
        <f aca="false">S134+S139</f>
        <v>201453.930074131</v>
      </c>
      <c r="T140" s="168" t="n">
        <f aca="false">T134+T139</f>
        <v>299977.042837439</v>
      </c>
      <c r="U140" s="168" t="n">
        <f aca="false">U134+U139</f>
        <v>341060.275730168</v>
      </c>
      <c r="V140" s="168" t="n">
        <f aca="false">V134+V139</f>
        <v>378795.864271055</v>
      </c>
      <c r="W140" s="168" t="n">
        <f aca="false">W134+W139</f>
        <v>416128.492814861</v>
      </c>
      <c r="X140" s="168" t="n">
        <f aca="false">X134+X139</f>
        <v>449806.405372872</v>
      </c>
      <c r="Y140" s="168" t="n">
        <f aca="false">Y134+Y139</f>
        <v>481622.571039737</v>
      </c>
      <c r="Z140" s="168" t="n">
        <f aca="false">Z134+Z139</f>
        <v>591999.310548991</v>
      </c>
      <c r="AA140" s="168" t="n">
        <f aca="false">AA134+AA139</f>
        <v>674555.566202063</v>
      </c>
      <c r="AB140" s="168" t="n">
        <f aca="false">AB134+AB139</f>
        <v>752897.130969716</v>
      </c>
      <c r="AC140" s="168" t="n">
        <f aca="false">AC134+AC139</f>
        <v>827284.654574983</v>
      </c>
      <c r="AD140" s="168" t="n">
        <f aca="false">AD134+AD139</f>
        <v>897878.795927418</v>
      </c>
      <c r="AE140" s="168" t="n">
        <f aca="false">AE134+AE139</f>
        <v>949894.656256108</v>
      </c>
      <c r="AF140" s="168" t="n">
        <f aca="false">AF134+AF139</f>
        <v>1028516.00324991</v>
      </c>
      <c r="AG140" s="168" t="n">
        <f aca="false">AG134+AG139</f>
        <v>1088878.13177314</v>
      </c>
      <c r="AH140" s="168" t="n">
        <f aca="false">AH134+AH139</f>
        <v>1146210.30247303</v>
      </c>
      <c r="AI140" s="168" t="n">
        <f aca="false">AI134+AI139</f>
        <v>1200605.26242334</v>
      </c>
      <c r="AJ140" s="168" t="n">
        <f aca="false">AJ134+AJ139</f>
        <v>1252253.39214189</v>
      </c>
      <c r="AK140" s="168" t="n">
        <f aca="false">AK134+AK139</f>
        <v>1301285.72259296</v>
      </c>
      <c r="AL140" s="168" t="n">
        <f aca="false">AL134+AL139</f>
        <v>1402957.40826201</v>
      </c>
      <c r="AM140" s="168" t="n">
        <f aca="false">AM134+AM139</f>
        <v>1537513.78942213</v>
      </c>
      <c r="AN140" s="168" t="n">
        <f aca="false">AN134+AN139</f>
        <v>1665791.76431001</v>
      </c>
      <c r="AO140" s="168" t="n">
        <f aca="false">AO134+AO139</f>
        <v>1788090.46044089</v>
      </c>
      <c r="AP140" s="168" t="n">
        <f aca="false">AP134+AP139</f>
        <v>1904680.83479579</v>
      </c>
      <c r="AQ140" s="168" t="n">
        <f aca="false">AQ134+AQ139</f>
        <v>1990800.02519665</v>
      </c>
      <c r="AR140" s="168" t="n">
        <f aca="false">AR134+AR139</f>
        <v>2121764.22216568</v>
      </c>
      <c r="AS140" s="168" t="n">
        <f aca="false">AS134+AS139</f>
        <v>2222729.65527254</v>
      </c>
      <c r="AT140" s="168" t="n">
        <f aca="false">AT134+AT139</f>
        <v>2318982.74993955</v>
      </c>
      <c r="AU140" s="168" t="n">
        <f aca="false">AU134+AU139</f>
        <v>2410752.57892261</v>
      </c>
      <c r="AV140" s="168" t="n">
        <f aca="false">AV134+AV139</f>
        <v>2498258.28430257</v>
      </c>
      <c r="AW140" s="168" t="n">
        <f aca="false">AW134+AW139</f>
        <v>2581655.28359943</v>
      </c>
      <c r="AX140" s="168" t="n">
        <f aca="false">AX134+AX139</f>
        <v>2873380.74091789</v>
      </c>
      <c r="AY140" s="168" t="n">
        <f aca="false">AY134+AY139</f>
        <v>3107606.54901407</v>
      </c>
      <c r="AZ140" s="168" t="n">
        <f aca="false">AZ134+AZ139</f>
        <v>3331782.04118964</v>
      </c>
      <c r="BA140" s="168" t="n">
        <f aca="false">BA134+BA139</f>
        <v>3546319.64606155</v>
      </c>
      <c r="BB140" s="168" t="n">
        <f aca="false">BB134+BB139</f>
        <v>3751589.40601623</v>
      </c>
      <c r="BC140" s="168" t="n">
        <f aca="false">BC134+BC139</f>
        <v>3918074.06609402</v>
      </c>
      <c r="BD140" s="168" t="n">
        <f aca="false">BD134+BD139</f>
        <v>4136119.40702995</v>
      </c>
      <c r="BE140" s="168" t="n">
        <f aca="false">BE134+BE139</f>
        <v>4316054.94076947</v>
      </c>
      <c r="BF140" s="168" t="n">
        <f aca="false">BF134+BF139</f>
        <v>4488299.78543387</v>
      </c>
      <c r="BG140" s="168" t="n">
        <f aca="false">BG134+BG139</f>
        <v>4653096.72072749</v>
      </c>
      <c r="BH140" s="168" t="n">
        <f aca="false">BH134+BH139</f>
        <v>4810840.80103517</v>
      </c>
      <c r="BI140" s="168" t="n">
        <f aca="false">BI134+BI139</f>
        <v>4961767.33647583</v>
      </c>
      <c r="BJ140" s="154" t="n">
        <f aca="false">SUM(B140:BI140)</f>
        <v>87107875.5745014</v>
      </c>
      <c r="BK140" s="51" t="s">
        <v>764</v>
      </c>
    </row>
    <row r="141" customFormat="false" ht="15.75" hidden="false" customHeight="true" outlineLevel="0" collapsed="false">
      <c r="A141" s="53" t="s">
        <v>471</v>
      </c>
      <c r="B141" s="154" t="n">
        <f aca="false">B140</f>
        <v>0</v>
      </c>
      <c r="C141" s="154" t="n">
        <f aca="false">B141+C140</f>
        <v>0</v>
      </c>
      <c r="D141" s="154" t="n">
        <f aca="false">C141+D140</f>
        <v>0</v>
      </c>
      <c r="E141" s="154" t="n">
        <f aca="false">D141+E140</f>
        <v>10000</v>
      </c>
      <c r="F141" s="154" t="n">
        <f aca="false">E141+F140</f>
        <v>3400</v>
      </c>
      <c r="G141" s="154" t="n">
        <f aca="false">F141+G140</f>
        <v>2800</v>
      </c>
      <c r="H141" s="154" t="n">
        <f aca="false">G141+H140</f>
        <v>7200</v>
      </c>
      <c r="I141" s="154" t="n">
        <f aca="false">H141+I140</f>
        <v>15472.18</v>
      </c>
      <c r="J141" s="154" t="n">
        <f aca="false">I141+J140</f>
        <v>8372.18</v>
      </c>
      <c r="K141" s="154" t="n">
        <f aca="false">J141+K140</f>
        <v>77272.18</v>
      </c>
      <c r="L141" s="154" t="n">
        <f aca="false">K141+L140</f>
        <v>75172.18</v>
      </c>
      <c r="M141" s="154" t="n">
        <f aca="false">L141+M140</f>
        <v>53146.488025</v>
      </c>
      <c r="N141" s="154" t="n">
        <f aca="false">M141+N140</f>
        <v>-9014.14273766665</v>
      </c>
      <c r="O141" s="154" t="n">
        <f aca="false">N141+O140</f>
        <v>171025.207633926</v>
      </c>
      <c r="P141" s="154" t="n">
        <f aca="false">O141+P140</f>
        <v>199066.732597402</v>
      </c>
      <c r="Q141" s="154" t="n">
        <f aca="false">P141+Q140</f>
        <v>305985.029712087</v>
      </c>
      <c r="R141" s="154" t="n">
        <f aca="false">Q141+R140</f>
        <v>487863.565832537</v>
      </c>
      <c r="S141" s="154" t="n">
        <f aca="false">R141+S140</f>
        <v>689317.495906668</v>
      </c>
      <c r="T141" s="154" t="n">
        <f aca="false">S141+T140</f>
        <v>989294.538744106</v>
      </c>
      <c r="U141" s="154" t="n">
        <f aca="false">T141+U140</f>
        <v>1330354.81447427</v>
      </c>
      <c r="V141" s="154" t="n">
        <f aca="false">U141+V140</f>
        <v>1709150.67874533</v>
      </c>
      <c r="W141" s="154" t="n">
        <f aca="false">V141+W140</f>
        <v>2125279.17156019</v>
      </c>
      <c r="X141" s="154" t="n">
        <f aca="false">W141+X140</f>
        <v>2575085.57693306</v>
      </c>
      <c r="Y141" s="154" t="n">
        <f aca="false">X141+Y140</f>
        <v>3056708.1479728</v>
      </c>
      <c r="Z141" s="154" t="n">
        <f aca="false">Y141+Z140</f>
        <v>3648707.45852179</v>
      </c>
      <c r="AA141" s="154" t="n">
        <f aca="false">Z141+AA140</f>
        <v>4323263.02472386</v>
      </c>
      <c r="AB141" s="154" t="n">
        <f aca="false">AA141+AB140</f>
        <v>5076160.15569357</v>
      </c>
      <c r="AC141" s="154" t="n">
        <f aca="false">AB141+AC140</f>
        <v>5903444.81026855</v>
      </c>
      <c r="AD141" s="154" t="n">
        <f aca="false">AC141+AD140</f>
        <v>6801323.60619597</v>
      </c>
      <c r="AE141" s="154" t="n">
        <f aca="false">AD141+AE140</f>
        <v>7751218.26245208</v>
      </c>
      <c r="AF141" s="154" t="n">
        <f aca="false">AE141+AF140</f>
        <v>8779734.26570199</v>
      </c>
      <c r="AG141" s="154" t="n">
        <f aca="false">AF141+AG140</f>
        <v>9868612.39747513</v>
      </c>
      <c r="AH141" s="154" t="n">
        <f aca="false">AG141+AH140</f>
        <v>11014822.6999482</v>
      </c>
      <c r="AI141" s="154" t="n">
        <f aca="false">AH141+AI140</f>
        <v>12215427.9623715</v>
      </c>
      <c r="AJ141" s="154" t="n">
        <f aca="false">AI141+AJ140</f>
        <v>13467681.3545134</v>
      </c>
      <c r="AK141" s="154" t="n">
        <f aca="false">AJ141+AK140</f>
        <v>14768967.0771064</v>
      </c>
      <c r="AL141" s="154" t="n">
        <f aca="false">AK141+AL140</f>
        <v>16171924.4853684</v>
      </c>
      <c r="AM141" s="154" t="n">
        <f aca="false">AL141+AM140</f>
        <v>17709438.2747905</v>
      </c>
      <c r="AN141" s="154" t="n">
        <f aca="false">AM141+AN140</f>
        <v>19375230.0391005</v>
      </c>
      <c r="AO141" s="154" t="n">
        <f aca="false">AN141+AO140</f>
        <v>21163320.4995414</v>
      </c>
      <c r="AP141" s="154" t="n">
        <f aca="false">AO141+AP140</f>
        <v>23068001.3343372</v>
      </c>
      <c r="AQ141" s="154" t="n">
        <f aca="false">AP141+AQ140</f>
        <v>25058801.3595338</v>
      </c>
      <c r="AR141" s="154" t="n">
        <f aca="false">AQ141+AR140</f>
        <v>27180565.5816995</v>
      </c>
      <c r="AS141" s="154" t="n">
        <f aca="false">AR141+AS140</f>
        <v>29403295.2369721</v>
      </c>
      <c r="AT141" s="154" t="n">
        <f aca="false">AS141+AT140</f>
        <v>31722277.9869116</v>
      </c>
      <c r="AU141" s="154" t="n">
        <f aca="false">AT141+AU140</f>
        <v>34133030.5658342</v>
      </c>
      <c r="AV141" s="154" t="n">
        <f aca="false">AU141+AV140</f>
        <v>36631288.8501368</v>
      </c>
      <c r="AW141" s="154" t="n">
        <f aca="false">AV141+AW140</f>
        <v>39212944.1337362</v>
      </c>
      <c r="AX141" s="154" t="n">
        <f aca="false">AW141+AX140</f>
        <v>42086324.8746541</v>
      </c>
      <c r="AY141" s="154" t="n">
        <f aca="false">AX141+AY140</f>
        <v>45193931.4236682</v>
      </c>
      <c r="AZ141" s="154" t="n">
        <f aca="false">AY141+AZ140</f>
        <v>48525713.4648578</v>
      </c>
      <c r="BA141" s="154" t="n">
        <f aca="false">AZ141+BA140</f>
        <v>52072033.1109194</v>
      </c>
      <c r="BB141" s="154" t="n">
        <f aca="false">BA141+BB140</f>
        <v>55823622.5169356</v>
      </c>
      <c r="BC141" s="154" t="n">
        <f aca="false">BB141+BC140</f>
        <v>59741696.5830296</v>
      </c>
      <c r="BD141" s="154" t="n">
        <f aca="false">BC141+BD140</f>
        <v>63877815.9900596</v>
      </c>
      <c r="BE141" s="154" t="n">
        <f aca="false">BD141+BE140</f>
        <v>68193870.930829</v>
      </c>
      <c r="BF141" s="154" t="n">
        <f aca="false">BE141+BF140</f>
        <v>72682170.7162629</v>
      </c>
      <c r="BG141" s="154" t="n">
        <f aca="false">BF141+BG140</f>
        <v>77335267.4369904</v>
      </c>
      <c r="BH141" s="154" t="n">
        <f aca="false">BG141+BH140</f>
        <v>82146108.2380256</v>
      </c>
      <c r="BI141" s="154" t="n">
        <f aca="false">BH141+BI140</f>
        <v>87107875.5745014</v>
      </c>
      <c r="BJ141" s="154" t="n">
        <f aca="false">BI141</f>
        <v>87107875.5745014</v>
      </c>
    </row>
    <row r="142" customFormat="false" ht="15.75" hidden="false" customHeight="true" outlineLevel="0" collapsed="false">
      <c r="A142" s="49" t="s">
        <v>766</v>
      </c>
      <c r="B142" s="201" t="n">
        <f aca="false">IF(B137&lt;0,B$5,0)</f>
        <v>0</v>
      </c>
      <c r="C142" s="201" t="n">
        <f aca="false">IF(C137&lt;0,C$5,0)</f>
        <v>0</v>
      </c>
      <c r="D142" s="201" t="n">
        <f aca="false">IF(D137&lt;0,D$5,0)</f>
        <v>0</v>
      </c>
      <c r="E142" s="201" t="n">
        <f aca="false">IF(E137&lt;0,E$5,0)</f>
        <v>0</v>
      </c>
      <c r="F142" s="201" t="n">
        <f aca="false">IF(F137&lt;0,F$5,0)</f>
        <v>5</v>
      </c>
      <c r="G142" s="201" t="n">
        <f aca="false">IF(G137&lt;0,G$5,0)</f>
        <v>6</v>
      </c>
      <c r="H142" s="201" t="n">
        <f aca="false">IF(H137&lt;0,H$5,0)</f>
        <v>7</v>
      </c>
      <c r="I142" s="201" t="n">
        <f aca="false">IF(I137&lt;0,I$5,0)</f>
        <v>8</v>
      </c>
      <c r="J142" s="201" t="n">
        <f aca="false">IF(J137&lt;0,J$5,0)</f>
        <v>9</v>
      </c>
      <c r="K142" s="201" t="n">
        <f aca="false">IF(K137&lt;0,K$5,0)</f>
        <v>10</v>
      </c>
      <c r="L142" s="201" t="n">
        <f aca="false">IF(L137&lt;0,L$5,0)</f>
        <v>11</v>
      </c>
      <c r="M142" s="201" t="n">
        <f aca="false">IF(M137&lt;0,M$5,0)</f>
        <v>12</v>
      </c>
      <c r="N142" s="201" t="n">
        <f aca="false">IF(N137&lt;0,N$5,0)</f>
        <v>13</v>
      </c>
      <c r="O142" s="201" t="n">
        <f aca="false">IF(O137&lt;0,O$5,0)</f>
        <v>14</v>
      </c>
      <c r="P142" s="201" t="n">
        <f aca="false">IF(P137&lt;0,P$5,0)</f>
        <v>15</v>
      </c>
      <c r="Q142" s="201" t="n">
        <f aca="false">IF(Q137&lt;0,Q$5,0)</f>
        <v>16</v>
      </c>
      <c r="R142" s="201" t="n">
        <f aca="false">IF(R137&lt;0,R$5,0)</f>
        <v>0</v>
      </c>
      <c r="S142" s="201" t="n">
        <f aca="false">IF(S137&lt;0,S$5,0)</f>
        <v>0</v>
      </c>
      <c r="T142" s="201" t="n">
        <f aca="false">IF(T137&lt;0,T$5,0)</f>
        <v>0</v>
      </c>
      <c r="U142" s="201" t="n">
        <f aca="false">IF(U137&lt;0,U$5,0)</f>
        <v>0</v>
      </c>
      <c r="V142" s="201" t="n">
        <f aca="false">IF(V137&lt;0,V$5,0)</f>
        <v>0</v>
      </c>
      <c r="W142" s="201" t="n">
        <f aca="false">IF(W137&lt;0,W$5,0)</f>
        <v>0</v>
      </c>
      <c r="X142" s="201" t="n">
        <f aca="false">IF(X137&lt;0,X$5,0)</f>
        <v>0</v>
      </c>
      <c r="Y142" s="201" t="n">
        <f aca="false">IF(Y137&lt;0,Y$5,0)</f>
        <v>0</v>
      </c>
      <c r="Z142" s="201" t="n">
        <f aca="false">IF(Z137&lt;0,Z$5,0)</f>
        <v>0</v>
      </c>
      <c r="AA142" s="201" t="n">
        <f aca="false">IF(AA137&lt;0,AA$5,0)</f>
        <v>0</v>
      </c>
      <c r="AB142" s="201" t="n">
        <f aca="false">IF(AB137&lt;0,AB$5,0)</f>
        <v>0</v>
      </c>
      <c r="AC142" s="201" t="n">
        <f aca="false">IF(AC137&lt;0,AC$5,0)</f>
        <v>0</v>
      </c>
      <c r="AD142" s="201" t="n">
        <f aca="false">IF(AD137&lt;0,AD$5,0)</f>
        <v>0</v>
      </c>
      <c r="AE142" s="201" t="n">
        <f aca="false">IF(AE137&lt;0,AE$5,0)</f>
        <v>0</v>
      </c>
      <c r="AF142" s="201" t="n">
        <f aca="false">IF(AF137&lt;0,AF$5,0)</f>
        <v>0</v>
      </c>
      <c r="AG142" s="201" t="n">
        <f aca="false">IF(AG137&lt;0,AG$5,0)</f>
        <v>0</v>
      </c>
      <c r="AH142" s="201" t="n">
        <f aca="false">IF(AH137&lt;0,AH$5,0)</f>
        <v>0</v>
      </c>
      <c r="AI142" s="201" t="n">
        <f aca="false">IF(AI137&lt;0,AI$5,0)</f>
        <v>0</v>
      </c>
      <c r="AJ142" s="201" t="n">
        <f aca="false">IF(AJ137&lt;0,AJ$5,0)</f>
        <v>0</v>
      </c>
      <c r="AK142" s="201" t="n">
        <f aca="false">IF(AK137&lt;0,AK$5,0)</f>
        <v>0</v>
      </c>
      <c r="AL142" s="201" t="n">
        <f aca="false">IF(AL137&lt;0,AL$5,0)</f>
        <v>0</v>
      </c>
      <c r="AM142" s="201" t="n">
        <f aca="false">IF(AM137&lt;0,AM$5,0)</f>
        <v>0</v>
      </c>
      <c r="AN142" s="201" t="n">
        <f aca="false">IF(AN137&lt;0,AN$5,0)</f>
        <v>0</v>
      </c>
      <c r="AO142" s="201" t="n">
        <f aca="false">IF(AO137&lt;0,AO$5,0)</f>
        <v>0</v>
      </c>
      <c r="AP142" s="201" t="n">
        <f aca="false">IF(AP137&lt;0,AP$5,0)</f>
        <v>0</v>
      </c>
      <c r="AQ142" s="201" t="n">
        <f aca="false">IF(AQ137&lt;0,AQ$5,0)</f>
        <v>0</v>
      </c>
      <c r="AR142" s="201" t="n">
        <f aca="false">IF(AR137&lt;0,AR$5,0)</f>
        <v>0</v>
      </c>
      <c r="AS142" s="201" t="n">
        <f aca="false">IF(AS137&lt;0,AS$5,0)</f>
        <v>0</v>
      </c>
      <c r="AT142" s="201" t="n">
        <f aca="false">IF(AT137&lt;0,AT$5,0)</f>
        <v>0</v>
      </c>
      <c r="AU142" s="201" t="n">
        <f aca="false">IF(AU137&lt;0,AU$5,0)</f>
        <v>0</v>
      </c>
      <c r="AV142" s="201" t="n">
        <f aca="false">IF(AV137&lt;0,AV$5,0)</f>
        <v>0</v>
      </c>
      <c r="AW142" s="201" t="n">
        <f aca="false">IF(AW137&lt;0,AW$5,0)</f>
        <v>0</v>
      </c>
      <c r="AX142" s="201" t="n">
        <f aca="false">IF(AX137&lt;0,AX$5,0)</f>
        <v>0</v>
      </c>
      <c r="AY142" s="201" t="n">
        <f aca="false">IF(AY137&lt;0,AY$5,0)</f>
        <v>0</v>
      </c>
      <c r="AZ142" s="201" t="n">
        <f aca="false">IF(AZ137&lt;0,AZ$5,0)</f>
        <v>0</v>
      </c>
      <c r="BA142" s="201" t="n">
        <f aca="false">IF(BA137&lt;0,BA$5,0)</f>
        <v>0</v>
      </c>
      <c r="BB142" s="201" t="n">
        <f aca="false">IF(BB137&lt;0,BB$5,0)</f>
        <v>0</v>
      </c>
      <c r="BC142" s="201" t="n">
        <f aca="false">IF(BC137&lt;0,BC$5,0)</f>
        <v>0</v>
      </c>
      <c r="BD142" s="201" t="n">
        <f aca="false">IF(BD137&lt;0,BD$5,0)</f>
        <v>0</v>
      </c>
      <c r="BE142" s="201" t="n">
        <f aca="false">IF(BE137&lt;0,BE$5,0)</f>
        <v>0</v>
      </c>
      <c r="BF142" s="201" t="n">
        <f aca="false">IF(BF137&lt;0,BF$5,0)</f>
        <v>0</v>
      </c>
      <c r="BG142" s="201" t="n">
        <f aca="false">IF(BG137&lt;0,BG$5,0)</f>
        <v>0</v>
      </c>
      <c r="BH142" s="201" t="n">
        <f aca="false">IF(BH137&lt;0,BH$5,0)</f>
        <v>0</v>
      </c>
      <c r="BI142" s="201" t="n">
        <f aca="false">IF(BI137&lt;0,BI$5,0)</f>
        <v>0</v>
      </c>
      <c r="BJ142" s="202" t="n">
        <f aca="false">BI142</f>
        <v>0</v>
      </c>
    </row>
    <row r="143" customFormat="false" ht="15.75" hidden="false" customHeight="true" outlineLevel="0" collapsed="false">
      <c r="A143" s="49" t="s">
        <v>767</v>
      </c>
      <c r="B143" s="201" t="n">
        <f aca="false">IF(B136&lt;0,B$5,0)</f>
        <v>0</v>
      </c>
      <c r="C143" s="201" t="n">
        <f aca="false">IF(C136&lt;0,C$5,0)</f>
        <v>0</v>
      </c>
      <c r="D143" s="201" t="n">
        <f aca="false">IF(D136&lt;0,D$5,0)</f>
        <v>0</v>
      </c>
      <c r="E143" s="201" t="n">
        <f aca="false">IF(E136&lt;0,E$5,0)</f>
        <v>0</v>
      </c>
      <c r="F143" s="201" t="n">
        <f aca="false">IF(F136&lt;0,F$5,0)</f>
        <v>5</v>
      </c>
      <c r="G143" s="201" t="n">
        <f aca="false">IF(G136&lt;0,G$5,0)</f>
        <v>6</v>
      </c>
      <c r="H143" s="201" t="n">
        <f aca="false">IF(H136&lt;0,H$5,0)</f>
        <v>7</v>
      </c>
      <c r="I143" s="201" t="n">
        <f aca="false">IF(I136&lt;0,I$5,0)</f>
        <v>8</v>
      </c>
      <c r="J143" s="201" t="n">
        <f aca="false">IF(J136&lt;0,J$5,0)</f>
        <v>9</v>
      </c>
      <c r="K143" s="201" t="n">
        <f aca="false">IF(K136&lt;0,K$5,0)</f>
        <v>10</v>
      </c>
      <c r="L143" s="201" t="n">
        <f aca="false">IF(L136&lt;0,L$5,0)</f>
        <v>11</v>
      </c>
      <c r="M143" s="201" t="n">
        <f aca="false">IF(M136&lt;0,M$5,0)</f>
        <v>12</v>
      </c>
      <c r="N143" s="201" t="n">
        <f aca="false">IF(N136&lt;0,N$5,0)</f>
        <v>13</v>
      </c>
      <c r="O143" s="201" t="n">
        <f aca="false">IF(O136&lt;0,O$5,0)</f>
        <v>14</v>
      </c>
      <c r="P143" s="201" t="n">
        <f aca="false">IF(P136&lt;0,P$5,0)</f>
        <v>15</v>
      </c>
      <c r="Q143" s="201" t="n">
        <f aca="false">IF(Q136&lt;0,Q$5,0)</f>
        <v>16</v>
      </c>
      <c r="R143" s="201" t="n">
        <f aca="false">IF(R136&lt;0,R$5,0)</f>
        <v>0</v>
      </c>
      <c r="S143" s="201" t="n">
        <f aca="false">IF(S136&lt;0,S$5,0)</f>
        <v>0</v>
      </c>
      <c r="T143" s="201" t="n">
        <f aca="false">IF(T136&lt;0,T$5,0)</f>
        <v>0</v>
      </c>
      <c r="U143" s="201" t="n">
        <f aca="false">IF(U136&lt;0,U$5,0)</f>
        <v>0</v>
      </c>
      <c r="V143" s="201" t="n">
        <f aca="false">IF(V136&lt;0,V$5,0)</f>
        <v>0</v>
      </c>
      <c r="W143" s="201" t="n">
        <f aca="false">IF(W136&lt;0,W$5,0)</f>
        <v>0</v>
      </c>
      <c r="X143" s="201" t="n">
        <f aca="false">IF(X136&lt;0,X$5,0)</f>
        <v>0</v>
      </c>
      <c r="Y143" s="201" t="n">
        <f aca="false">IF(Y136&lt;0,Y$5,0)</f>
        <v>0</v>
      </c>
      <c r="Z143" s="201" t="n">
        <f aca="false">IF(Z136&lt;0,Z$5,0)</f>
        <v>0</v>
      </c>
      <c r="AA143" s="201" t="n">
        <f aca="false">IF(AA136&lt;0,AA$5,0)</f>
        <v>0</v>
      </c>
      <c r="AB143" s="201" t="n">
        <f aca="false">IF(AB136&lt;0,AB$5,0)</f>
        <v>0</v>
      </c>
      <c r="AC143" s="201" t="n">
        <f aca="false">IF(AC136&lt;0,AC$5,0)</f>
        <v>0</v>
      </c>
      <c r="AD143" s="201" t="n">
        <f aca="false">IF(AD136&lt;0,AD$5,0)</f>
        <v>0</v>
      </c>
      <c r="AE143" s="201" t="n">
        <f aca="false">IF(AE136&lt;0,AE$5,0)</f>
        <v>0</v>
      </c>
      <c r="AF143" s="201" t="n">
        <f aca="false">IF(AF136&lt;0,AF$5,0)</f>
        <v>0</v>
      </c>
      <c r="AG143" s="201" t="n">
        <f aca="false">IF(AG136&lt;0,AG$5,0)</f>
        <v>0</v>
      </c>
      <c r="AH143" s="201" t="n">
        <f aca="false">IF(AH136&lt;0,AH$5,0)</f>
        <v>0</v>
      </c>
      <c r="AI143" s="201" t="n">
        <f aca="false">IF(AI136&lt;0,AI$5,0)</f>
        <v>0</v>
      </c>
      <c r="AJ143" s="201" t="n">
        <f aca="false">IF(AJ136&lt;0,AJ$5,0)</f>
        <v>0</v>
      </c>
      <c r="AK143" s="201" t="n">
        <f aca="false">IF(AK136&lt;0,AK$5,0)</f>
        <v>0</v>
      </c>
      <c r="AL143" s="201" t="n">
        <f aca="false">IF(AL136&lt;0,AL$5,0)</f>
        <v>0</v>
      </c>
      <c r="AM143" s="201" t="n">
        <f aca="false">IF(AM136&lt;0,AM$5,0)</f>
        <v>0</v>
      </c>
      <c r="AN143" s="201" t="n">
        <f aca="false">IF(AN136&lt;0,AN$5,0)</f>
        <v>0</v>
      </c>
      <c r="AO143" s="201" t="n">
        <f aca="false">IF(AO136&lt;0,AO$5,0)</f>
        <v>0</v>
      </c>
      <c r="AP143" s="201" t="n">
        <f aca="false">IF(AP136&lt;0,AP$5,0)</f>
        <v>0</v>
      </c>
      <c r="AQ143" s="201" t="n">
        <f aca="false">IF(AQ136&lt;0,AQ$5,0)</f>
        <v>0</v>
      </c>
      <c r="AR143" s="201" t="n">
        <f aca="false">IF(AR136&lt;0,AR$5,0)</f>
        <v>0</v>
      </c>
      <c r="AS143" s="201" t="n">
        <f aca="false">IF(AS136&lt;0,AS$5,0)</f>
        <v>0</v>
      </c>
      <c r="AT143" s="201" t="n">
        <f aca="false">IF(AT136&lt;0,AT$5,0)</f>
        <v>0</v>
      </c>
      <c r="AU143" s="201" t="n">
        <f aca="false">IF(AU136&lt;0,AU$5,0)</f>
        <v>0</v>
      </c>
      <c r="AV143" s="201" t="n">
        <f aca="false">IF(AV136&lt;0,AV$5,0)</f>
        <v>0</v>
      </c>
      <c r="AW143" s="201" t="n">
        <f aca="false">IF(AW136&lt;0,AW$5,0)</f>
        <v>0</v>
      </c>
      <c r="AX143" s="201" t="n">
        <f aca="false">IF(AX136&lt;0,AX$5,0)</f>
        <v>0</v>
      </c>
      <c r="AY143" s="201" t="n">
        <f aca="false">IF(AY136&lt;0,AY$5,0)</f>
        <v>0</v>
      </c>
      <c r="AZ143" s="201" t="n">
        <f aca="false">IF(AZ136&lt;0,AZ$5,0)</f>
        <v>0</v>
      </c>
      <c r="BA143" s="201" t="n">
        <f aca="false">IF(BA136&lt;0,BA$5,0)</f>
        <v>0</v>
      </c>
      <c r="BB143" s="201" t="n">
        <f aca="false">IF(BB136&lt;0,BB$5,0)</f>
        <v>0</v>
      </c>
      <c r="BC143" s="201" t="n">
        <f aca="false">IF(BC136&lt;0,BC$5,0)</f>
        <v>0</v>
      </c>
      <c r="BD143" s="201" t="n">
        <f aca="false">IF(BD136&lt;0,BD$5,0)</f>
        <v>0</v>
      </c>
      <c r="BE143" s="201" t="n">
        <f aca="false">IF(BE136&lt;0,BE$5,0)</f>
        <v>0</v>
      </c>
      <c r="BF143" s="201" t="n">
        <f aca="false">IF(BF136&lt;0,BF$5,0)</f>
        <v>0</v>
      </c>
      <c r="BG143" s="201" t="n">
        <f aca="false">IF(BG136&lt;0,BG$5,0)</f>
        <v>0</v>
      </c>
      <c r="BH143" s="201" t="n">
        <f aca="false">IF(BH136&lt;0,BH$5,0)</f>
        <v>0</v>
      </c>
      <c r="BI143" s="201" t="n">
        <f aca="false">IF(BI136&lt;0,BI$5,0)</f>
        <v>0</v>
      </c>
      <c r="BJ143" s="202" t="n">
        <f aca="false">BI143</f>
        <v>0</v>
      </c>
    </row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37" width="10"/>
    <col collapsed="false" customWidth="true" hidden="false" outlineLevel="0" max="3" min="2" style="37" width="20"/>
    <col collapsed="false" customWidth="true" hidden="false" outlineLevel="0" max="4" min="4" style="37" width="18"/>
    <col collapsed="false" customWidth="true" hidden="false" outlineLevel="0" max="5" min="5" style="37" width="20"/>
    <col collapsed="false" customWidth="true" hidden="false" outlineLevel="0" max="6" min="6" style="37" width="6"/>
    <col collapsed="false" customWidth="true" hidden="false" outlineLevel="0" max="7" min="7" style="37" width="78"/>
    <col collapsed="false" customWidth="true" hidden="false" outlineLevel="0" max="8" min="8" style="37" width="6"/>
    <col collapsed="false" customWidth="true" hidden="false" outlineLevel="0" max="26" min="9" style="37" width="8.43"/>
  </cols>
  <sheetData>
    <row r="1" customFormat="false" ht="25.5" hidden="false" customHeight="true" outlineLevel="0" collapsed="false">
      <c r="A1" s="38" t="s">
        <v>770</v>
      </c>
      <c r="B1" s="39"/>
      <c r="C1" s="39"/>
      <c r="D1" s="39"/>
      <c r="E1" s="39"/>
      <c r="F1" s="39"/>
      <c r="G1" s="39"/>
      <c r="H1" s="39"/>
    </row>
    <row r="2" customFormat="false" ht="15.75" hidden="false" customHeight="true" outlineLevel="0" collapsed="false">
      <c r="A2" s="40" t="s">
        <v>771</v>
      </c>
    </row>
    <row r="4" customFormat="false" ht="18" hidden="false" customHeight="true" outlineLevel="0" collapsed="false">
      <c r="A4" s="47" t="s">
        <v>772</v>
      </c>
      <c r="B4" s="48"/>
      <c r="C4" s="48"/>
      <c r="D4" s="48"/>
      <c r="E4" s="48"/>
      <c r="F4" s="48"/>
      <c r="G4" s="48"/>
      <c r="H4" s="48"/>
    </row>
    <row r="5" customFormat="false" ht="15" hidden="false" customHeight="true" outlineLevel="0" collapsed="false">
      <c r="A5" s="229" t="s">
        <v>773</v>
      </c>
      <c r="B5" s="229" t="s">
        <v>774</v>
      </c>
      <c r="C5" s="229" t="s">
        <v>775</v>
      </c>
      <c r="D5" s="229" t="s">
        <v>776</v>
      </c>
      <c r="E5" s="229" t="s">
        <v>777</v>
      </c>
      <c r="G5" s="51" t="s">
        <v>778</v>
      </c>
    </row>
    <row r="6" customFormat="false" ht="15" hidden="false" customHeight="true" outlineLevel="0" collapsed="false">
      <c r="A6" s="194" t="n">
        <v>1</v>
      </c>
      <c r="B6" s="195" t="n">
        <v>0</v>
      </c>
      <c r="C6" s="195" t="n">
        <v>180000</v>
      </c>
      <c r="D6" s="268" t="n">
        <v>0.06</v>
      </c>
      <c r="E6" s="195" t="n">
        <v>0</v>
      </c>
    </row>
    <row r="7" customFormat="false" ht="15" hidden="false" customHeight="true" outlineLevel="0" collapsed="false">
      <c r="A7" s="194" t="n">
        <v>2</v>
      </c>
      <c r="B7" s="195" t="n">
        <v>180000.01</v>
      </c>
      <c r="C7" s="195" t="n">
        <v>360000</v>
      </c>
      <c r="D7" s="268" t="n">
        <v>0.112</v>
      </c>
      <c r="E7" s="195" t="n">
        <v>9360</v>
      </c>
    </row>
    <row r="8" customFormat="false" ht="15" hidden="false" customHeight="true" outlineLevel="0" collapsed="false">
      <c r="A8" s="194" t="n">
        <v>3</v>
      </c>
      <c r="B8" s="195" t="n">
        <v>360000.01</v>
      </c>
      <c r="C8" s="195" t="n">
        <v>720000</v>
      </c>
      <c r="D8" s="268" t="n">
        <v>0.135</v>
      </c>
      <c r="E8" s="195" t="n">
        <v>17640</v>
      </c>
    </row>
    <row r="9" customFormat="false" ht="15" hidden="false" customHeight="true" outlineLevel="0" collapsed="false">
      <c r="A9" s="194" t="n">
        <v>4</v>
      </c>
      <c r="B9" s="195" t="n">
        <v>720000.01</v>
      </c>
      <c r="C9" s="195" t="n">
        <v>1800000</v>
      </c>
      <c r="D9" s="268" t="n">
        <v>0.16</v>
      </c>
      <c r="E9" s="195" t="n">
        <v>35640</v>
      </c>
    </row>
    <row r="10" customFormat="false" ht="15" hidden="false" customHeight="true" outlineLevel="0" collapsed="false">
      <c r="A10" s="194" t="n">
        <v>5</v>
      </c>
      <c r="B10" s="195" t="n">
        <v>1800000.01</v>
      </c>
      <c r="C10" s="195" t="n">
        <v>3600000</v>
      </c>
      <c r="D10" s="268" t="n">
        <v>0.21</v>
      </c>
      <c r="E10" s="195" t="n">
        <v>125640</v>
      </c>
    </row>
    <row r="11" customFormat="false" ht="15" hidden="false" customHeight="true" outlineLevel="0" collapsed="false">
      <c r="A11" s="194" t="n">
        <v>6</v>
      </c>
      <c r="B11" s="195" t="n">
        <v>3600000.01</v>
      </c>
      <c r="C11" s="195" t="n">
        <v>4800000</v>
      </c>
      <c r="D11" s="268" t="n">
        <v>0.33</v>
      </c>
      <c r="E11" s="195" t="n">
        <v>648000</v>
      </c>
    </row>
    <row r="13" customFormat="false" ht="18" hidden="false" customHeight="true" outlineLevel="0" collapsed="false">
      <c r="A13" s="47" t="s">
        <v>779</v>
      </c>
      <c r="B13" s="48"/>
      <c r="C13" s="48"/>
      <c r="D13" s="48"/>
      <c r="E13" s="48"/>
      <c r="F13" s="48"/>
      <c r="G13" s="48"/>
      <c r="H13" s="48"/>
    </row>
    <row r="14" customFormat="false" ht="15" hidden="false" customHeight="true" outlineLevel="0" collapsed="false">
      <c r="A14" s="229" t="s">
        <v>773</v>
      </c>
      <c r="B14" s="229" t="s">
        <v>774</v>
      </c>
      <c r="C14" s="229" t="s">
        <v>775</v>
      </c>
      <c r="D14" s="229" t="s">
        <v>776</v>
      </c>
      <c r="E14" s="229" t="s">
        <v>777</v>
      </c>
      <c r="G14" s="51" t="s">
        <v>780</v>
      </c>
    </row>
    <row r="15" customFormat="false" ht="15" hidden="false" customHeight="true" outlineLevel="0" collapsed="false">
      <c r="A15" s="194" t="n">
        <v>1</v>
      </c>
      <c r="B15" s="195" t="n">
        <v>0</v>
      </c>
      <c r="C15" s="195" t="n">
        <v>180000</v>
      </c>
      <c r="D15" s="268" t="n">
        <v>0.155</v>
      </c>
      <c r="E15" s="195" t="n">
        <v>0</v>
      </c>
    </row>
    <row r="16" customFormat="false" ht="15" hidden="false" customHeight="true" outlineLevel="0" collapsed="false">
      <c r="A16" s="194" t="n">
        <v>2</v>
      </c>
      <c r="B16" s="195" t="n">
        <v>180000.01</v>
      </c>
      <c r="C16" s="195" t="n">
        <v>360000</v>
      </c>
      <c r="D16" s="268" t="n">
        <v>0.18</v>
      </c>
      <c r="E16" s="195" t="n">
        <v>4500</v>
      </c>
    </row>
    <row r="17" customFormat="false" ht="15" hidden="false" customHeight="true" outlineLevel="0" collapsed="false">
      <c r="A17" s="194" t="n">
        <v>3</v>
      </c>
      <c r="B17" s="195" t="n">
        <v>360000.01</v>
      </c>
      <c r="C17" s="195" t="n">
        <v>720000</v>
      </c>
      <c r="D17" s="268" t="n">
        <v>0.195</v>
      </c>
      <c r="E17" s="195" t="n">
        <v>9900</v>
      </c>
    </row>
    <row r="18" customFormat="false" ht="15" hidden="false" customHeight="true" outlineLevel="0" collapsed="false">
      <c r="A18" s="194" t="n">
        <v>4</v>
      </c>
      <c r="B18" s="195" t="n">
        <v>720000.01</v>
      </c>
      <c r="C18" s="195" t="n">
        <v>1800000</v>
      </c>
      <c r="D18" s="268" t="n">
        <v>0.205</v>
      </c>
      <c r="E18" s="195" t="n">
        <v>17100</v>
      </c>
    </row>
    <row r="19" customFormat="false" ht="15" hidden="false" customHeight="true" outlineLevel="0" collapsed="false">
      <c r="A19" s="194" t="n">
        <v>5</v>
      </c>
      <c r="B19" s="195" t="n">
        <v>1800000.01</v>
      </c>
      <c r="C19" s="195" t="n">
        <v>3600000</v>
      </c>
      <c r="D19" s="268" t="n">
        <v>0.23</v>
      </c>
      <c r="E19" s="195" t="n">
        <v>62100</v>
      </c>
    </row>
    <row r="20" customFormat="false" ht="15" hidden="false" customHeight="true" outlineLevel="0" collapsed="false">
      <c r="A20" s="194" t="n">
        <v>6</v>
      </c>
      <c r="B20" s="195" t="n">
        <v>3600000.01</v>
      </c>
      <c r="C20" s="195" t="n">
        <v>4800000</v>
      </c>
      <c r="D20" s="268" t="n">
        <v>0.305</v>
      </c>
      <c r="E20" s="195" t="n">
        <v>540000</v>
      </c>
    </row>
    <row r="21" customFormat="false" ht="15.75" hidden="false" customHeight="true" outlineLevel="0" collapsed="false"/>
    <row r="22" customFormat="false" ht="18" hidden="false" customHeight="true" outlineLevel="0" collapsed="false">
      <c r="A22" s="47" t="s">
        <v>781</v>
      </c>
      <c r="B22" s="48"/>
      <c r="C22" s="48"/>
      <c r="D22" s="48"/>
      <c r="E22" s="48"/>
      <c r="F22" s="48"/>
      <c r="G22" s="48"/>
      <c r="H22" s="48"/>
    </row>
    <row r="23" customFormat="false" ht="15.75" hidden="false" customHeight="true" outlineLevel="0" collapsed="false">
      <c r="A23" s="229" t="s">
        <v>773</v>
      </c>
      <c r="B23" s="229" t="s">
        <v>774</v>
      </c>
      <c r="C23" s="229" t="s">
        <v>776</v>
      </c>
      <c r="D23" s="229" t="s">
        <v>777</v>
      </c>
    </row>
    <row r="24" customFormat="false" ht="15.75" hidden="false" customHeight="true" outlineLevel="0" collapsed="false">
      <c r="A24" s="269" t="n">
        <v>1</v>
      </c>
      <c r="B24" s="270" t="n">
        <f aca="false">IF(Premissas!$B$23=2,B15,B6)</f>
        <v>0</v>
      </c>
      <c r="C24" s="271" t="n">
        <f aca="false">IF(Premissas!$B$23=2,D15,D6)</f>
        <v>0.155</v>
      </c>
      <c r="D24" s="270" t="n">
        <f aca="false">IF(Premissas!$B$23=2,E15,E6)</f>
        <v>0</v>
      </c>
    </row>
    <row r="25" customFormat="false" ht="15.75" hidden="false" customHeight="true" outlineLevel="0" collapsed="false">
      <c r="A25" s="269" t="n">
        <v>2</v>
      </c>
      <c r="B25" s="270" t="n">
        <f aca="false">IF(Premissas!$B$23=2,B16,B7)</f>
        <v>180000.01</v>
      </c>
      <c r="C25" s="271" t="n">
        <f aca="false">IF(Premissas!$B$23=2,D16,D7)</f>
        <v>0.18</v>
      </c>
      <c r="D25" s="270" t="n">
        <f aca="false">IF(Premissas!$B$23=2,E16,E7)</f>
        <v>4500</v>
      </c>
    </row>
    <row r="26" customFormat="false" ht="15.75" hidden="false" customHeight="true" outlineLevel="0" collapsed="false">
      <c r="A26" s="269" t="n">
        <v>3</v>
      </c>
      <c r="B26" s="270" t="n">
        <f aca="false">IF(Premissas!$B$23=2,B17,B8)</f>
        <v>360000.01</v>
      </c>
      <c r="C26" s="271" t="n">
        <f aca="false">IF(Premissas!$B$23=2,D17,D8)</f>
        <v>0.195</v>
      </c>
      <c r="D26" s="270" t="n">
        <f aca="false">IF(Premissas!$B$23=2,E17,E8)</f>
        <v>9900</v>
      </c>
    </row>
    <row r="27" customFormat="false" ht="15.75" hidden="false" customHeight="true" outlineLevel="0" collapsed="false">
      <c r="A27" s="269" t="n">
        <v>4</v>
      </c>
      <c r="B27" s="270" t="n">
        <f aca="false">IF(Premissas!$B$23=2,B18,B9)</f>
        <v>720000.01</v>
      </c>
      <c r="C27" s="271" t="n">
        <f aca="false">IF(Premissas!$B$23=2,D18,D9)</f>
        <v>0.205</v>
      </c>
      <c r="D27" s="270" t="n">
        <f aca="false">IF(Premissas!$B$23=2,E18,E9)</f>
        <v>17100</v>
      </c>
    </row>
    <row r="28" customFormat="false" ht="15.75" hidden="false" customHeight="true" outlineLevel="0" collapsed="false">
      <c r="A28" s="269" t="n">
        <v>5</v>
      </c>
      <c r="B28" s="270" t="n">
        <f aca="false">IF(Premissas!$B$23=2,B19,B10)</f>
        <v>1800000.01</v>
      </c>
      <c r="C28" s="271" t="n">
        <f aca="false">IF(Premissas!$B$23=2,D19,D10)</f>
        <v>0.23</v>
      </c>
      <c r="D28" s="270" t="n">
        <f aca="false">IF(Premissas!$B$23=2,E19,E10)</f>
        <v>62100</v>
      </c>
    </row>
    <row r="29" customFormat="false" ht="15.75" hidden="false" customHeight="true" outlineLevel="0" collapsed="false">
      <c r="A29" s="269" t="n">
        <v>6</v>
      </c>
      <c r="B29" s="270" t="n">
        <f aca="false">IF(Premissas!$B$23=2,B20,B11)</f>
        <v>3600000.01</v>
      </c>
      <c r="C29" s="271" t="n">
        <f aca="false">IF(Premissas!$B$23=2,D20,D11)</f>
        <v>0.305</v>
      </c>
      <c r="D29" s="270" t="n">
        <f aca="false">IF(Premissas!$B$23=2,E20,E11)</f>
        <v>540000</v>
      </c>
    </row>
    <row r="30" customFormat="false" ht="15.75" hidden="false" customHeight="true" outlineLevel="0" collapsed="false"/>
    <row r="31" customFormat="false" ht="18" hidden="false" customHeight="true" outlineLevel="0" collapsed="false">
      <c r="A31" s="47" t="s">
        <v>782</v>
      </c>
      <c r="B31" s="48"/>
      <c r="C31" s="48"/>
      <c r="D31" s="48"/>
      <c r="E31" s="48"/>
      <c r="F31" s="48"/>
      <c r="G31" s="48"/>
      <c r="H31" s="48"/>
    </row>
    <row r="32" customFormat="false" ht="15" hidden="false" customHeight="true" outlineLevel="0" collapsed="false">
      <c r="A32" s="272" t="s">
        <v>783</v>
      </c>
      <c r="B32" s="272"/>
      <c r="C32" s="272"/>
      <c r="D32" s="272"/>
      <c r="E32" s="272"/>
      <c r="F32" s="272"/>
      <c r="G32" s="272"/>
    </row>
    <row r="33" customFormat="false" ht="15" hidden="false" customHeight="true" outlineLevel="0" collapsed="false">
      <c r="A33" s="127" t="s">
        <v>784</v>
      </c>
      <c r="B33" s="127"/>
      <c r="C33" s="127"/>
      <c r="D33" s="127"/>
      <c r="E33" s="127"/>
      <c r="F33" s="127"/>
      <c r="G33" s="127"/>
    </row>
    <row r="34" customFormat="false" ht="15" hidden="false" customHeight="true" outlineLevel="0" collapsed="false">
      <c r="A34" s="127" t="s">
        <v>785</v>
      </c>
      <c r="B34" s="127"/>
      <c r="C34" s="127"/>
      <c r="D34" s="127"/>
      <c r="E34" s="127"/>
      <c r="F34" s="127"/>
      <c r="G34" s="127"/>
    </row>
    <row r="35" customFormat="false" ht="15" hidden="false" customHeight="true" outlineLevel="0" collapsed="false">
      <c r="A35" s="127"/>
      <c r="B35" s="127"/>
      <c r="C35" s="127"/>
      <c r="D35" s="127"/>
      <c r="E35" s="127"/>
      <c r="F35" s="127"/>
      <c r="G35" s="127"/>
    </row>
    <row r="36" customFormat="false" ht="43.5" hidden="false" customHeight="true" outlineLevel="0" collapsed="false">
      <c r="A36" s="231" t="s">
        <v>786</v>
      </c>
      <c r="B36" s="231"/>
      <c r="C36" s="231"/>
      <c r="D36" s="231"/>
      <c r="E36" s="231"/>
      <c r="F36" s="231"/>
      <c r="G36" s="231"/>
    </row>
    <row r="37" customFormat="false" ht="15" hidden="false" customHeight="true" outlineLevel="0" collapsed="false">
      <c r="A37" s="127"/>
      <c r="B37" s="127"/>
      <c r="C37" s="127"/>
      <c r="D37" s="127"/>
      <c r="E37" s="127"/>
      <c r="F37" s="127"/>
      <c r="G37" s="127"/>
    </row>
    <row r="38" customFormat="false" ht="43.5" hidden="false" customHeight="true" outlineLevel="0" collapsed="false">
      <c r="A38" s="127" t="s">
        <v>787</v>
      </c>
      <c r="B38" s="127"/>
      <c r="C38" s="127"/>
      <c r="D38" s="127"/>
      <c r="E38" s="127"/>
      <c r="F38" s="127"/>
      <c r="G38" s="127"/>
    </row>
    <row r="39" customFormat="false" ht="15.75" hidden="false" customHeight="true" outlineLevel="0" collapsed="false"/>
    <row r="40" customFormat="false" ht="18" hidden="false" customHeight="true" outlineLevel="0" collapsed="false">
      <c r="A40" s="47" t="s">
        <v>788</v>
      </c>
      <c r="B40" s="48"/>
      <c r="C40" s="48"/>
      <c r="D40" s="48"/>
      <c r="E40" s="48"/>
      <c r="F40" s="48"/>
      <c r="G40" s="48"/>
      <c r="H40" s="48"/>
    </row>
    <row r="41" customFormat="false" ht="15.75" hidden="false" customHeight="true" outlineLevel="0" collapsed="false">
      <c r="A41" s="229" t="s">
        <v>789</v>
      </c>
      <c r="B41" s="229" t="s">
        <v>790</v>
      </c>
      <c r="C41" s="229" t="s">
        <v>791</v>
      </c>
      <c r="D41" s="229" t="s">
        <v>792</v>
      </c>
      <c r="E41" s="229" t="s">
        <v>793</v>
      </c>
    </row>
    <row r="42" customFormat="false" ht="15.75" hidden="false" customHeight="true" outlineLevel="0" collapsed="false">
      <c r="A42" s="218" t="n">
        <v>180000</v>
      </c>
      <c r="B42" s="273" t="n">
        <f aca="false">($A42*INDEX($D$6:$D$11,MATCH($A42,$B$6:$B$11,1))-INDEX($E$6:$E$11,MATCH($A42,$B$6:$B$11,1)))/$A42</f>
        <v>0.06</v>
      </c>
      <c r="C42" s="273" t="n">
        <f aca="false">($A42*INDEX($D$15:$D$20,MATCH($A42,$B$15:$B$20,1))-INDEX($E$15:$E$20,MATCH($A42,$B$15:$B$20,1)))/$A42</f>
        <v>0.155</v>
      </c>
      <c r="D42" s="273" t="n">
        <f aca="false">$C42-$B42</f>
        <v>0.095</v>
      </c>
      <c r="E42" s="274" t="n">
        <f aca="false">$D42*$A42</f>
        <v>17100</v>
      </c>
      <c r="G42" s="51" t="s">
        <v>794</v>
      </c>
    </row>
    <row r="43" customFormat="false" ht="15.75" hidden="false" customHeight="true" outlineLevel="0" collapsed="false">
      <c r="A43" s="218" t="n">
        <v>360000</v>
      </c>
      <c r="B43" s="273" t="n">
        <f aca="false">($A43*INDEX($D$6:$D$11,MATCH($A43,$B$6:$B$11,1))-INDEX($E$6:$E$11,MATCH($A43,$B$6:$B$11,1)))/$A43</f>
        <v>0.086</v>
      </c>
      <c r="C43" s="273" t="n">
        <f aca="false">($A43*INDEX($D$15:$D$20,MATCH($A43,$B$15:$B$20,1))-INDEX($E$15:$E$20,MATCH($A43,$B$15:$B$20,1)))/$A43</f>
        <v>0.1675</v>
      </c>
      <c r="D43" s="273" t="n">
        <f aca="false">$C43-$B43</f>
        <v>0.0815</v>
      </c>
      <c r="E43" s="274" t="n">
        <f aca="false">$D43*$A43</f>
        <v>29340</v>
      </c>
    </row>
    <row r="44" customFormat="false" ht="15.75" hidden="false" customHeight="true" outlineLevel="0" collapsed="false">
      <c r="A44" s="218" t="n">
        <v>720000</v>
      </c>
      <c r="B44" s="273" t="n">
        <f aca="false">($A44*INDEX($D$6:$D$11,MATCH($A44,$B$6:$B$11,1))-INDEX($E$6:$E$11,MATCH($A44,$B$6:$B$11,1)))/$A44</f>
        <v>0.1105</v>
      </c>
      <c r="C44" s="273" t="n">
        <f aca="false">($A44*INDEX($D$15:$D$20,MATCH($A44,$B$15:$B$20,1))-INDEX($E$15:$E$20,MATCH($A44,$B$15:$B$20,1)))/$A44</f>
        <v>0.18125</v>
      </c>
      <c r="D44" s="273" t="n">
        <f aca="false">$C44-$B44</f>
        <v>0.07075</v>
      </c>
      <c r="E44" s="274" t="n">
        <f aca="false">$D44*$A44</f>
        <v>50940</v>
      </c>
    </row>
    <row r="45" customFormat="false" ht="15.75" hidden="false" customHeight="true" outlineLevel="0" collapsed="false">
      <c r="A45" s="218" t="n">
        <v>1800000</v>
      </c>
      <c r="B45" s="273" t="n">
        <f aca="false">($A45*INDEX($D$6:$D$11,MATCH($A45,$B$6:$B$11,1))-INDEX($E$6:$E$11,MATCH($A45,$B$6:$B$11,1)))/$A45</f>
        <v>0.1402</v>
      </c>
      <c r="C45" s="273" t="n">
        <f aca="false">($A45*INDEX($D$15:$D$20,MATCH($A45,$B$15:$B$20,1))-INDEX($E$15:$E$20,MATCH($A45,$B$15:$B$20,1)))/$A45</f>
        <v>0.1955</v>
      </c>
      <c r="D45" s="273" t="n">
        <f aca="false">$C45-$B45</f>
        <v>0.0553</v>
      </c>
      <c r="E45" s="274" t="n">
        <f aca="false">$D45*$A45</f>
        <v>99540</v>
      </c>
    </row>
    <row r="46" customFormat="false" ht="15.75" hidden="false" customHeight="true" outlineLevel="0" collapsed="false">
      <c r="A46" s="218" t="n">
        <v>3600000</v>
      </c>
      <c r="B46" s="273" t="n">
        <f aca="false">($A46*INDEX($D$6:$D$11,MATCH($A46,$B$6:$B$11,1))-INDEX($E$6:$E$11,MATCH($A46,$B$6:$B$11,1)))/$A46</f>
        <v>0.1751</v>
      </c>
      <c r="C46" s="273" t="n">
        <f aca="false">($A46*INDEX($D$15:$D$20,MATCH($A46,$B$15:$B$20,1))-INDEX($E$15:$E$20,MATCH($A46,$B$15:$B$20,1)))/$A46</f>
        <v>0.21275</v>
      </c>
      <c r="D46" s="273" t="n">
        <f aca="false">$C46-$B46</f>
        <v>0.03765</v>
      </c>
      <c r="E46" s="274" t="n">
        <f aca="false">$D46*$A46</f>
        <v>135540</v>
      </c>
    </row>
    <row r="47" customFormat="false" ht="15.75" hidden="false" customHeight="true" outlineLevel="0" collapsed="false">
      <c r="A47" s="218" t="n">
        <v>4800000</v>
      </c>
      <c r="B47" s="273" t="n">
        <f aca="false">($A47*INDEX($D$6:$D$11,MATCH($A47,$B$6:$B$11,1))-INDEX($E$6:$E$11,MATCH($A47,$B$6:$B$11,1)))/$A47</f>
        <v>0.195</v>
      </c>
      <c r="C47" s="273" t="n">
        <f aca="false">($A47*INDEX($D$15:$D$20,MATCH($A47,$B$15:$B$20,1))-INDEX($E$15:$E$20,MATCH($A47,$B$15:$B$20,1)))/$A47</f>
        <v>0.1925</v>
      </c>
      <c r="D47" s="273" t="n">
        <f aca="false">$C47-$B47</f>
        <v>-0.0025</v>
      </c>
      <c r="E47" s="274" t="n">
        <f aca="false">$D47*$A47</f>
        <v>-12000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32:G32"/>
    <mergeCell ref="A33:G33"/>
    <mergeCell ref="A34:G34"/>
    <mergeCell ref="A35:G35"/>
    <mergeCell ref="A36:G36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2026-08-30T14:16:26Z</dcterms:created>
  <dc:creator>openpyxl</dc:creator>
  <dc:description/>
  <dc:language>en-US</dc:language>
  <cp:lastModifiedBy/>
  <dcterms:modified xsi:type="dcterms:W3CDTF">2026-10-12T22:17:58Z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