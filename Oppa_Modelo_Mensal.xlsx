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çar aqui" sheetId="1" state="visible" r:id="rId3"/>
    <sheet name="Resumo" sheetId="2" state="visible" r:id="rId4"/>
    <sheet name="DRE Mensal" sheetId="3" state="visible" r:id="rId5"/>
    <sheet name="Nuvem e Escala" sheetId="4" state="visible" r:id="rId6"/>
    <sheet name="Equipe" sheetId="5" state="visible" r:id="rId7"/>
    <sheet name="Aport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<sst xmlns="http://schemas.openxmlformats.org/spreadsheetml/2006/main" count="546" uniqueCount="372">
  <si>
    <t xml:space="preserve">OPPA — COMEÇAR AQUI</t>
  </si>
  <si>
    <t xml:space="preserve">Cinco abas. Você digita em três.</t>
  </si>
  <si>
    <t xml:space="preserve">O QUE MUDOU EM RELAÇÃO À VERSÃO ANTERIOR</t>
  </si>
  <si>
    <t xml:space="preserve">•  Não existe mais premissa anual em lugar nenhum. Toda premissa é mensal: você dá o valor inicial, a evolução por mês e o mês em que a coisa começa.</t>
  </si>
  <si>
    <t xml:space="preserve">•  O custo de nuvem deixou de ser um número por usuário e passou a ser uma CONTA mensal que você ancora em alguns tamanhos de base. O custo por usuário é consequência, e cai com a escala.</t>
  </si>
  <si>
    <t xml:space="preserve">•  A DRE virou uma aba só, com os drivers dentro dela. Você não precisa mais ir e voltar entre abas para mudar uma premissa e ver o efeito.</t>
  </si>
  <si>
    <t xml:space="preserve">•  Treze abas viraram cinco.</t>
  </si>
  <si>
    <t xml:space="preserve">AS CINCO ABAS</t>
  </si>
  <si>
    <t xml:space="preserve">ABA</t>
  </si>
  <si>
    <t xml:space="preserve">PARA QUE SERVE</t>
  </si>
  <si>
    <t xml:space="preserve">VOCÊ DIGITA?</t>
  </si>
  <si>
    <t xml:space="preserve">Resumo</t>
  </si>
  <si>
    <t xml:space="preserve">A resposta. Começa com quanto a empresa precisa de dinheiro. Troque o cenário aqui: um número, e o modelo inteiro responde.</t>
  </si>
  <si>
    <t xml:space="preserve">cenário e TMA</t>
  </si>
  <si>
    <t xml:space="preserve">DRE Mensal</t>
  </si>
  <si>
    <t xml:space="preserve">O modelo. Uma coluna por mês, de jan/2026 a dez/2030. Dos drivers ao EBITDA ao caixa, tudo em uma aba só.</t>
  </si>
  <si>
    <t xml:space="preserve">SIM — colunas B, C e D</t>
  </si>
  <si>
    <t xml:space="preserve">Nuvem e Escala</t>
  </si>
  <si>
    <t xml:space="preserve">A conta de nuvem. Você digita a conta mensal esperada em cada tamanho de base; o custo por usuário sai dividido e cai com a escala.</t>
  </si>
  <si>
    <t xml:space="preserve">SIM — coluna B</t>
  </si>
  <si>
    <t xml:space="preserve">Equipe</t>
  </si>
  <si>
    <t xml:space="preserve">Uma linha por papel, com mês de entrada e de saída.</t>
  </si>
  <si>
    <t xml:space="preserve">SIM</t>
  </si>
  <si>
    <t xml:space="preserve">Aportes</t>
  </si>
  <si>
    <t xml:space="preserve">Todo o capital, com o status de cada linha.</t>
  </si>
  <si>
    <t xml:space="preserve">COMO FUNCIONA UMA LINHA DE PREMISSA, NA DRE MENSAL</t>
  </si>
  <si>
    <t xml:space="preserve">•  Coluna B — valor inicial: quanto vale no primeiro mês em que a coisa existe.</t>
  </si>
  <si>
    <t xml:space="preserve">•  Coluna C — evolução por mês: quanto cresce ou cai a cada mês. 3% é 3% ao mês, não ao ano.</t>
  </si>
  <si>
    <t xml:space="preserve">•  Coluna D — mês de início: 1 é jan/2026, 12 é dez/2026, 60 é dez/2030. Antes disso a linha vale zero.</t>
  </si>
  <si>
    <t xml:space="preserve">•  E o mais útil: digite um número POR CIMA de qualquer mês e a curva passa a contar dali. Cada mês lê o mês anterior, então mexer em março muda abril até dezembro de 2030 — e não mexe em janeiro e fevereiro.</t>
  </si>
  <si>
    <t xml:space="preserve">AS CORES DAS CÉLULAS</t>
  </si>
  <si>
    <t xml:space="preserve">Azul com fundo creme</t>
  </si>
  <si>
    <t xml:space="preserve">você digita.</t>
  </si>
  <si>
    <t xml:space="preserve">Azul com fundo amarelo</t>
  </si>
  <si>
    <t xml:space="preserve">você digita, e esta mexe muito no resultado.</t>
  </si>
  <si>
    <t xml:space="preserve">Preto</t>
  </si>
  <si>
    <t xml:space="preserve">calculado na própria aba.</t>
  </si>
  <si>
    <t xml:space="preserve">Verde</t>
  </si>
  <si>
    <t xml:space="preserve">vem de outra aba. Mude na origem.</t>
  </si>
  <si>
    <t xml:space="preserve">SE ALGUM NÚMERO PARECER ERRADO</t>
  </si>
  <si>
    <t xml:space="preserve">O Resumo tem um bloco de conferências no fim. As duas primeiras linhas têm de ser zero e a terceira tem de dizer 'monotônica'. Se saírem disso, alguma fórmula foi sobrescrita por um valor digitado — desfaça a última edição.</t>
  </si>
  <si>
    <t xml:space="preserve">A DRE Mensal traz as mesmas conferências na seção 7, mês a mês, para você achar em qual mês o problema está.</t>
  </si>
  <si>
    <t xml:space="preserve">OPPA — VIABILIDADE FINANCEIRA</t>
  </si>
  <si>
    <t xml:space="preserve">Projeção mensal de jan/2026 a dez/2030. Tudo vem de fórmula — nenhum número desta aba é digitado à mão.</t>
  </si>
  <si>
    <t xml:space="preserve">CENÁRIO — troque o número e o modelo inteiro responde</t>
  </si>
  <si>
    <t xml:space="preserve">Cenário ativo   1 = Conservador · 2 = Provável · 3 = Agressivo</t>
  </si>
  <si>
    <t xml:space="preserve">Como cada cenário mexe nos drivers</t>
  </si>
  <si>
    <t xml:space="preserve">Multiplicador aplicado ao driver</t>
  </si>
  <si>
    <t xml:space="preserve">CONSERVADOR</t>
  </si>
  <si>
    <t xml:space="preserve">PROVÁVEL</t>
  </si>
  <si>
    <t xml:space="preserve">AGRESSIVO</t>
  </si>
  <si>
    <t xml:space="preserve">captação de usuários</t>
  </si>
  <si>
    <t xml:space="preserve">conversão em pagante</t>
  </si>
  <si>
    <t xml:space="preserve">churn</t>
  </si>
  <si>
    <t xml:space="preserve">São multiplicadores, não valores: 0,60x significa captar 60% do que está na aba DRE Mensal. Edite à vontade — é só isto que separa os três cenários.</t>
  </si>
  <si>
    <t xml:space="preserve">1.  QUANTO A EMPRESA PRECISA DE DINHEIRO</t>
  </si>
  <si>
    <t xml:space="preserve">QUANTO AINDA FALTA CAPTAR</t>
  </si>
  <si>
    <t xml:space="preserve">A resposta curta. É o pior mês de toda a projeção: quanto teria de estar em caixa e não está, já contando a reserva mínima e já descontando os aportes que a aba Aportes considera. Detalhe mês a mês na DRE Mensal, seção 6.</t>
  </si>
  <si>
    <t xml:space="preserve">Até quando o dinheiro precisa estar na conta</t>
  </si>
  <si>
    <t xml:space="preserve">Primeiro mês em que o caixa fica negativo. É o prazo que não se negocia.</t>
  </si>
  <si>
    <t xml:space="preserve">O que a operação consome antes de se sustentar</t>
  </si>
  <si>
    <t xml:space="preserve">Fundo do poço do fluxo de caixa livre acumulado. Independe de quando o dinheiro entra.</t>
  </si>
  <si>
    <t xml:space="preserve">(+) Reserva de caixa no mês mais apertado</t>
  </si>
  <si>
    <t xml:space="preserve">(=) Necessidade total de capital</t>
  </si>
  <si>
    <t xml:space="preserve">(−) Capital que a aba Aportes considera</t>
  </si>
  <si>
    <t xml:space="preserve">   do qual já entrou de verdade (Realizado)</t>
  </si>
  <si>
    <t xml:space="preserve">O resto depende de assinatura. Desligue os interruptores na aba Aportes para ver a empresa só com o dinheiro que já está na conta.</t>
  </si>
  <si>
    <t xml:space="preserve">(=) Falta captar, ignorando as datas de entrada</t>
  </si>
  <si>
    <t xml:space="preserve">Serve para dimensionar a rodada. A linha grande lá em cima é maior quando parte do capital chega depois do mês em que o caixa aperta.</t>
  </si>
  <si>
    <t xml:space="preserve">Caixa mínimo projetado</t>
  </si>
  <si>
    <t xml:space="preserve">Mês do caixa mínimo</t>
  </si>
  <si>
    <t xml:space="preserve">2.  O NEGÓCIO</t>
  </si>
  <si>
    <t xml:space="preserve">Base de usuários em dez/2030</t>
  </si>
  <si>
    <t xml:space="preserve">Assinantes pagantes em dez/2030</t>
  </si>
  <si>
    <t xml:space="preserve">% da base que paga em dez/2030</t>
  </si>
  <si>
    <t xml:space="preserve">Faturamento bruto de 2027</t>
  </si>
  <si>
    <t xml:space="preserve">Faturamento bruto de 2030</t>
  </si>
  <si>
    <t xml:space="preserve">Faturamento bruto acumulado em 5 anos</t>
  </si>
  <si>
    <t xml:space="preserve">EBITDA acumulado em 5 anos</t>
  </si>
  <si>
    <t xml:space="preserve">Margem EBITDA em dez/2030</t>
  </si>
  <si>
    <t xml:space="preserve">Primeiro mês com EBITDA positivo</t>
  </si>
  <si>
    <t xml:space="preserve">Quando a operação passa a se pagar. Antes disso, cada mês é financiado por capital.</t>
  </si>
  <si>
    <t xml:space="preserve">3.  PREÇO E CUSTO POR ASSINANTE — em dez/2030</t>
  </si>
  <si>
    <t xml:space="preserve">Preço médio por assinante</t>
  </si>
  <si>
    <t xml:space="preserve">Fica para a empresa, de cada R$ 1 faturado</t>
  </si>
  <si>
    <t xml:space="preserve">O resto é imposto, comissão de loja e meio de pagamento.</t>
  </si>
  <si>
    <t xml:space="preserve">Custo de nuvem por assinante pagante</t>
  </si>
  <si>
    <t xml:space="preserve">A conta inteira de nuvem dividida pelos pagantes — inclui o que o plano gratuito consome. Cai com a escala: no lançamento é muito maior.</t>
  </si>
  <si>
    <t xml:space="preserve">   do qual é subsídio do plano gratuito</t>
  </si>
  <si>
    <t xml:space="preserve">O que cada assinante paga, sem saber, para sustentar quem não paga. No mês do lançamento este número passa do próprio preço da assinatura.</t>
  </si>
  <si>
    <t xml:space="preserve">Custo variável por assinante (nuvem e suporte)</t>
  </si>
  <si>
    <t xml:space="preserve">Sobra por assinante antes do custo fixo</t>
  </si>
  <si>
    <t xml:space="preserve">Se for negativa, cada assinante novo dá prejuízo e nenhum volume resolve.</t>
  </si>
  <si>
    <t xml:space="preserve">CAC por assinante pagante conquistado</t>
  </si>
  <si>
    <t xml:space="preserve">Assinantes necessários para o mês fechar no zero</t>
  </si>
  <si>
    <t xml:space="preserve">Assinantes projetados</t>
  </si>
  <si>
    <t xml:space="preserve">4.  VIABILIDADE</t>
  </si>
  <si>
    <t xml:space="preserve">TMA — retorno mínimo exigido ao ano</t>
  </si>
  <si>
    <t xml:space="preserve">Custo de oportunidade do capital. 25% ao ano é referência para risco de early stage no Brasil.</t>
  </si>
  <si>
    <t xml:space="preserve">TMA equivalente ao mês</t>
  </si>
  <si>
    <t xml:space="preserve">VPL — Valor Presente Líquido</t>
  </si>
  <si>
    <t xml:space="preserve">Sobre o fluxo de caixa livre, sem aportes. Positivo significa que o projeto cria valor acima da TMA.</t>
  </si>
  <si>
    <t xml:space="preserve">TIR ao ano</t>
  </si>
  <si>
    <t xml:space="preserve">Payback (meses até o acumulado virar)</t>
  </si>
  <si>
    <t xml:space="preserve">Caixa em dez/2030</t>
  </si>
  <si>
    <t xml:space="preserve">5.  CONFERÊNCIAS — têm de ficar zeradas</t>
  </si>
  <si>
    <t xml:space="preserve">Faturamento líquido − custo − EBITDA</t>
  </si>
  <si>
    <t xml:space="preserve">Base de usuários − pagantes − gratuitos</t>
  </si>
  <si>
    <t xml:space="preserve">A conta de nuvem nunca cai quando a base sobe</t>
  </si>
  <si>
    <t xml:space="preserve">6.  O QUE MEXER PARA MELHORAR O RESULTADO</t>
  </si>
  <si>
    <t xml:space="preserve">•  Nuvem — aba Nuvem e Escala, coluna B. É o custo que mais pesa por assinante. Peça cotação ao provedor em dois ou três tamanhos de base e troque as âncoras.</t>
  </si>
  <si>
    <t xml:space="preserve">•  Conversão — DRE Mensal, seção 2. Mover a conversão move a receita sem mexer no preço nem no custo de aquisição. É a alavanca mais barata que existe.</t>
  </si>
  <si>
    <t xml:space="preserve">•  Comissão das lojas — DRE Mensal, seção 4. Vender a assinatura fora do app reduz os 12,8% para a taxa de cartão. Em compra única é permitido pelas regras das lojas; em assinatura recorrente há restrição, vale conferir antes.</t>
  </si>
  <si>
    <t xml:space="preserve">•  Data dos aportes — aba Aportes. Dinheiro certo na data errada não paga conta. Antecipar um aporte já previsto pode resolver parte da lacuna sem captar mais nada.</t>
  </si>
  <si>
    <t xml:space="preserve">•  Equipe — aba Equipe. Depois da nuvem, é o maior custo fixo. Mexer no mês de início de cada contratação muda o caixa de 2027 inteiro.</t>
  </si>
  <si>
    <t xml:space="preserve">DRE MENSAL — DOS DRIVERS AO RESULTADO, EM UMA ABA</t>
  </si>
  <si>
    <t xml:space="preserve">Uma coluna por mês, de jan/2026 a dez/2030. Você digita nas colunas B, C e D — e pode digitar por cima de qualquer mês. Nada aqui é anual.</t>
  </si>
  <si>
    <t xml:space="preserve">Linha do tempo</t>
  </si>
  <si>
    <t xml:space="preserve">valor inicial</t>
  </si>
  <si>
    <t xml:space="preserve">evolução/mês</t>
  </si>
  <si>
    <t xml:space="preserve">mês de início</t>
  </si>
  <si>
    <t xml:space="preserve">TOTAL</t>
  </si>
  <si>
    <t xml:space="preserve">O que é / como mexer</t>
  </si>
  <si>
    <t xml:space="preserve">Mês nº</t>
  </si>
  <si>
    <t xml:space="preserve">Ano</t>
  </si>
  <si>
    <t xml:space="preserve">1. CENÁRIO ATIVO  —  troque no Resumo e esta aba inteira responde</t>
  </si>
  <si>
    <t xml:space="preserve">Cenário em uso</t>
  </si>
  <si>
    <t xml:space="preserve">O número e os três multiplicadores abaixo estão na aba Resumo, no alto. Trocar um número só muda o modelo inteiro.</t>
  </si>
  <si>
    <t xml:space="preserve">Multiplicador do cenário — captação de usuários</t>
  </si>
  <si>
    <t xml:space="preserve">Multiplicador do cenário — conversão em pagante</t>
  </si>
  <si>
    <t xml:space="preserve">Multiplicador do cenário — churn</t>
  </si>
  <si>
    <t xml:space="preserve">2. DRIVERS DO NEGÓCIO  —  digite em B (valor inicial), C (evolução por mês) e D (mês de início)</t>
  </si>
  <si>
    <t xml:space="preserve">Novos usuários captados no mês</t>
  </si>
  <si>
    <t xml:space="preserve">Mês 12 = dez/2026, o lançamento. 18.100 no primeiro mês crescendo 3,4% ao mês chega a ~89 mil/mês em dez/2030 — a mesma trajetória que você vinha usando. Digite por cima de qualquer mês para ancorar a curva ali.</t>
  </si>
  <si>
    <t xml:space="preserve">Churn mensal da base de usuários</t>
  </si>
  <si>
    <t xml:space="preserve">8% no lançamento caindo 0,5% ao mês (relativo) chega a 6,3% em 2030. Health/fitness roda entre 7% e 10% ao mês no primeiro ano.</t>
  </si>
  <si>
    <t xml:space="preserve">Conversão da base em assinante pagante</t>
  </si>
  <si>
    <t xml:space="preserve">0,5% no lançamento crescendo 4% ao mês: 0,8% em um ano, 3,3% em dez/2030. Isto substitui a rampa de maturação da versão anterior — aqui a rampa é a própria curva. Mediana de freemium é 2% a 3%; o quartil de cima chega a 8%.</t>
  </si>
  <si>
    <t xml:space="preserve">Preço médio por assinante no mês (R$)</t>
  </si>
  <si>
    <t xml:space="preserve">A média ponderada do que cada pagante paga. Com um plano só, é o preço dele. Ponha a evolução em 0,4%/mês para embutir reajuste anual de ~5%.</t>
  </si>
  <si>
    <t xml:space="preserve">3. USUÁRIOS</t>
  </si>
  <si>
    <t xml:space="preserve">Base no início do mês</t>
  </si>
  <si>
    <t xml:space="preserve">(+) Novos usuários captados</t>
  </si>
  <si>
    <t xml:space="preserve">(−) Usuários perdidos (churn)</t>
  </si>
  <si>
    <t xml:space="preserve">(=) BASE NO FIM DO MÊS</t>
  </si>
  <si>
    <t xml:space="preserve">Pagantes + gratuitos. É esta linha que a aba Nuvem e Escala usa para achar a faixa.</t>
  </si>
  <si>
    <t xml:space="preserve">Assinantes pagantes</t>
  </si>
  <si>
    <t xml:space="preserve">Usuários no plano gratuito</t>
  </si>
  <si>
    <t xml:space="preserve">Não pagam e consomem nuvem. Quem assina sustenta quem não assina.</t>
  </si>
  <si>
    <t xml:space="preserve">% da base que paga</t>
  </si>
  <si>
    <t xml:space="preserve">4. FATURAMENTO</t>
  </si>
  <si>
    <t xml:space="preserve">Receita de assinaturas</t>
  </si>
  <si>
    <t xml:space="preserve">Receita B2B do investidor estratégico</t>
  </si>
  <si>
    <t xml:space="preserve">Vem da aba Aportes, tabela 2. Entra só se o status permitir.</t>
  </si>
  <si>
    <t xml:space="preserve">Outras receitas (digite no mês)</t>
  </si>
  <si>
    <t xml:space="preserve">—</t>
  </si>
  <si>
    <t xml:space="preserve">Venda de dados, marketplace, parceria pontual. Cada mês é uma célula livre.</t>
  </si>
  <si>
    <t xml:space="preserve">(=) FATURAMENTO BRUTO</t>
  </si>
  <si>
    <t xml:space="preserve">Faturamento dos últimos 12 meses (RBT12)</t>
  </si>
  <si>
    <t xml:space="preserve">Base de cálculo da faixa do Simples. Nos 12 primeiros meses é a média anualizada.</t>
  </si>
  <si>
    <t xml:space="preserve">(−) Imposto sobre a receita</t>
  </si>
  <si>
    <t xml:space="preserve">Você digita a alíquota. A linha cinza logo abaixo sugere a alíquota efetiva pela tabela do Anexo V, calculada a partir do RBT12 do mês.</t>
  </si>
  <si>
    <t xml:space="preserve">sugestão pela tabela do Simples (Anexo V)</t>
  </si>
  <si>
    <t xml:space="preserve">Alíquota efetiva do Anexo V pelo RBT12 do mês. Se o número que você digitou acima estiver muito abaixo desta linha, o modelo está otimista no imposto.</t>
  </si>
  <si>
    <t xml:space="preserve">(−) Impostos sobre a receita</t>
  </si>
  <si>
    <t xml:space="preserve">(−) Comissão das lojas de aplicativos (% do bruto)</t>
  </si>
  <si>
    <t xml:space="preserve">15% da Apple/Google aplicados sobre a fatia cobrada dentro do app. Com 85% dentro do app: 15% × 85% = 12,8%. Vender fora do app reduz isto.</t>
  </si>
  <si>
    <t xml:space="preserve">(−) Comissão das lojas de aplicativos</t>
  </si>
  <si>
    <t xml:space="preserve">(−) Taxa de meio de pagamento (% do bruto)</t>
  </si>
  <si>
    <t xml:space="preserve">4,5% de cartão/PIX sobre os 15% cobrados fora do app = 0,68%.</t>
  </si>
  <si>
    <t xml:space="preserve">(−) Taxas de meio de pagamento</t>
  </si>
  <si>
    <t xml:space="preserve">(=) FATURAMENTO LÍQUIDO</t>
  </si>
  <si>
    <t xml:space="preserve">É o divisor de qualquer conta de preço: cobrar R$ 1 não é receber R$ 1.</t>
  </si>
  <si>
    <t xml:space="preserve">5. CUSTOS E DESPESAS</t>
  </si>
  <si>
    <t xml:space="preserve">(−) Nuvem e infraestrutura</t>
  </si>
  <si>
    <t xml:space="preserve">Vem da aba Nuvem e Escala: a conta interpolada pela base deste mês.</t>
  </si>
  <si>
    <t xml:space="preserve">do qual vem do plano gratuito</t>
  </si>
  <si>
    <t xml:space="preserve">O plano gratuito não paga e consome nuvem. Esta linha é o tamanho do subsídio.</t>
  </si>
  <si>
    <t xml:space="preserve">A conta inteira dividida pelos pagantes — é com este número que o preço se compara. Cai com a escala: compare o lançamento com dez/2030.</t>
  </si>
  <si>
    <t xml:space="preserve">Subsídio do plano gratuito por assinante pagante</t>
  </si>
  <si>
    <t xml:space="preserve">(−) Suporte ao cliente (R$ por assinante pagante)</t>
  </si>
  <si>
    <t xml:space="preserve">Ferramentas de atendimento e tempo de equipe que escalam com o número de pagantes. O time de suporte em si está na aba Equipe.</t>
  </si>
  <si>
    <t xml:space="preserve">(−) Suporte ao cliente</t>
  </si>
  <si>
    <t xml:space="preserve">(−) Equipe (PJ, CLT e pró-labore)</t>
  </si>
  <si>
    <t xml:space="preserve">Vem da aba Equipe, linha a linha.</t>
  </si>
  <si>
    <t xml:space="preserve">(−) Marketing de aquisição (R$ por novo usuário captado)</t>
  </si>
  <si>
    <t xml:space="preserve">CAC por usuário captado, não por assinante. O CAC por ASSINANTE é este número dividido pela conversão — veja a seção 7.</t>
  </si>
  <si>
    <t xml:space="preserve">(−) Marketing de aquisição</t>
  </si>
  <si>
    <t xml:space="preserve">(−) Marketing recorrente (R$ no mês)</t>
  </si>
  <si>
    <t xml:space="preserve">Conteúdo, ferramentas, influenciador. Começa um mês antes do lançamento.</t>
  </si>
  <si>
    <t xml:space="preserve">(−) Administrativo: contabilidade, jurídico, ferramentas (R$ no mês)</t>
  </si>
  <si>
    <t xml:space="preserve">Só o contador de uma empresa no Simples costuma custar de R$ 300 a R$ 800 por mês. Começa no mês 4 (abr/2026), com a constituição.</t>
  </si>
  <si>
    <t xml:space="preserve">(−) Outras despesas (digite no mês)</t>
  </si>
  <si>
    <t xml:space="preserve">(=) CUSTO TOTAL DO MÊS</t>
  </si>
  <si>
    <t xml:space="preserve">Soma de tudo acima, em negativo. Não inclui imposto, loja e meio de pagamento, que já saíram do faturamento.</t>
  </si>
  <si>
    <t xml:space="preserve">(=) EBITDA</t>
  </si>
  <si>
    <t xml:space="preserve">Margem EBITDA (% do faturamento líquido)</t>
  </si>
  <si>
    <t xml:space="preserve">EBITDA acumulado</t>
  </si>
  <si>
    <t xml:space="preserve">6. CAIXA E QUANTO FALTA DE DINHEIRO</t>
  </si>
  <si>
    <t xml:space="preserve">(−) Investimentos: equipamentos, marca, certificações (digite no mês)</t>
  </si>
  <si>
    <t xml:space="preserve">Sai do caixa no mês em que você digitar. Não é despesa do mês — é investimento.</t>
  </si>
  <si>
    <t xml:space="preserve">(−) Desenvolvimento capitalizado (da aba Equipe)</t>
  </si>
  <si>
    <t xml:space="preserve">(=) FLUXO DE CAIXA LIVRE (FCL)</t>
  </si>
  <si>
    <t xml:space="preserve">O que a operação gera ou consome. Aporte NÃO entra aqui: aporte é financiamento.</t>
  </si>
  <si>
    <t xml:space="preserve">FCL acumulado</t>
  </si>
  <si>
    <t xml:space="preserve">O fundo do poço desta linha é quanto a operação consome antes de virar.</t>
  </si>
  <si>
    <t xml:space="preserve">(+) Aportes de sócios e investidores</t>
  </si>
  <si>
    <t xml:space="preserve">(=) Fluxo do mês (FCL + aportes)</t>
  </si>
  <si>
    <t xml:space="preserve">(=) CAIXA ACUMULADO</t>
  </si>
  <si>
    <t xml:space="preserve">Se esta linha fica negativa, a conta da empresa não tem fundo naquele mês.</t>
  </si>
  <si>
    <t xml:space="preserve">Custo fixo do mês (referência da reserva)</t>
  </si>
  <si>
    <t xml:space="preserve">Nuvem, equipe, marketing recorrente e administrativo: o que se paga mesmo sem nenhum assinante novo.</t>
  </si>
  <si>
    <t xml:space="preserve">Reserva mínima de caixa desejada (meses de custo fixo)</t>
  </si>
  <si>
    <t xml:space="preserve">Caixa que precisa sobrar depois de pagar tudo. Três meses é o piso usual em estágio inicial. Zere para ver o mínimo matemático.</t>
  </si>
  <si>
    <t xml:space="preserve">Reserva mínima em reais</t>
  </si>
  <si>
    <t xml:space="preserve">FALTA CAPTAR neste mês</t>
  </si>
  <si>
    <t xml:space="preserve">Quanto teria de estar em caixa neste mês e não está, já contando a reserva.</t>
  </si>
  <si>
    <t xml:space="preserve">FALTA CAPTAR — pior mês até aqui</t>
  </si>
  <si>
    <t xml:space="preserve">Só sobe. O último valor é a resposta: quanto a empresa precisa de investimento.</t>
  </si>
  <si>
    <t xml:space="preserve">Marcador — mês com caixa negativo</t>
  </si>
  <si>
    <t xml:space="preserve">Auxiliar: o menor valor desta linha é o primeiro mês sem fundo.</t>
  </si>
  <si>
    <t xml:space="preserve">Marcador — mês com EBITDA positivo</t>
  </si>
  <si>
    <t xml:space="preserve">Marcador — mês com FCL acumulado ainda negativo</t>
  </si>
  <si>
    <t xml:space="preserve">Auxiliar do payback: o maior valor, mais um, é o mês em que o acumulado vira.</t>
  </si>
  <si>
    <t xml:space="preserve">7. CONTAS DE APOIO E CONFERÊNCIA</t>
  </si>
  <si>
    <t xml:space="preserve">Quanto custa trazer um PAGANTE: o CAC por usuário dividido pela conversão.</t>
  </si>
  <si>
    <t xml:space="preserve">Receita por assinante, líquida de imposto, loja e pagamento</t>
  </si>
  <si>
    <t xml:space="preserve">Custo variável por assinante (nuvem, suporte, gratuitos rateados)</t>
  </si>
  <si>
    <t xml:space="preserve">Se esta linha for negativa, cada assinante novo dá prejuízo e nenhum volume resolve. É a primeira coisa a conferir num preço.</t>
  </si>
  <si>
    <t xml:space="preserve">Custo fixo mais aquisição, dividido pela sobra por assinante. Vazio = nenhum volume fecha a esse preço.</t>
  </si>
  <si>
    <t xml:space="preserve">✔ Conferência: faturamento líquido − custo − EBITDA (deve ser zero)</t>
  </si>
  <si>
    <t xml:space="preserve">✔ Conferência: base = pagantes + gratuitos (deve ser zero)</t>
  </si>
  <si>
    <t xml:space="preserve">TABELA DO SIMPLES NACIONAL — ANEXO V  (referência para a alíquota acima)</t>
  </si>
  <si>
    <t xml:space="preserve">RBT12 a partir de</t>
  </si>
  <si>
    <t xml:space="preserve">Alíquota nominal</t>
  </si>
  <si>
    <t xml:space="preserve">Dedução (R$)</t>
  </si>
  <si>
    <t xml:space="preserve">Acima de R$ 4.800.000 sai do Simples: alíquota de Lucro Presumido</t>
  </si>
  <si>
    <t xml:space="preserve">NUVEM E ESCALA — A CONTA DE NUVEM, DE TRÁS PRA FRENTE</t>
  </si>
  <si>
    <t xml:space="preserve">Você digita a CONTA mensal esperada em cada tamanho de base. O custo por usuário é calculado, e cai conforme a base cresce. Mês a mês, o modelo interpola pela base daquele mês.</t>
  </si>
  <si>
    <t xml:space="preserve">0. QUEM CONSOME NUVEM</t>
  </si>
  <si>
    <t xml:space="preserve">Peso de um usuário do plano GRATUITO no consumo de nuvem</t>
  </si>
  <si>
    <t xml:space="preserve">Um assinante pagante tem monitoramento contínuo: vale 100%. Um usuário do plano gratuito abre o app de vez em quando, recebe notificação e guarda pouco dado — aqui vale 10% de um pagante. É a premissa que mais muda o resultado do modelo, porque a base gratuita é 30 vezes maior que a pagante. Com 100% você está dizendo que o gratuito custa igual ao pagante; com 0%, que não custa nada.</t>
  </si>
  <si>
    <t xml:space="preserve">Mês em que a nuvem começa a custar</t>
  </si>
  <si>
    <t xml:space="preserve">1 = jan/2026 · 9 = set/2026 · 60 = dez/2030. Antes deste mês a conta é zero: não existe ambiente para pagar. Padrão 9, quando começa o desenvolvimento do MVP.</t>
  </si>
  <si>
    <t xml:space="preserve">1. ÂNCORAS — a conta de nuvem em cada tamanho de base  (você digita as colunas B e C)</t>
  </si>
  <si>
    <t xml:space="preserve">Usuários na base</t>
  </si>
  <si>
    <t xml:space="preserve">Conta de nuvem no mês (R$)</t>
  </si>
  <si>
    <t xml:space="preserve">R$ por usuário (calculado)</t>
  </si>
  <si>
    <t xml:space="preserve">O que entra nessa conta</t>
  </si>
  <si>
    <t xml:space="preserve">Ambiente mínimo: banco de dados pequeno, um servidor, backup e monitoramento. Existe mesmo com zero usuário.</t>
  </si>
  <si>
    <t xml:space="preserve">Piloto. Daqui sai o R$ 6,40 por usuário que apareceu na conta do sócio.</t>
  </si>
  <si>
    <t xml:space="preserve">Primeiro degrau de verdade: banco maior, fila de notificações, CDN.</t>
  </si>
  <si>
    <t xml:space="preserve">Começa a valer reserva de capacidade e desconto de compromisso.</t>
  </si>
  <si>
    <t xml:space="preserve">Escala em que se negocia contrato anual com o provedor.</t>
  </si>
  <si>
    <t xml:space="preserve">Escala de operação nacional.</t>
  </si>
  <si>
    <t xml:space="preserve">Como ler: a terceira coluna é a divisão simples da conta pelo número de usuários. É ela que mostra o custo por usuário caindo de R$ 6,40 para R$ 0,55 conforme a base vai de 100 para 1 milhão. Se o provedor der uma cotação diferente, troque a conta na coluna B e todo o modelo se ajusta.</t>
  </si>
  <si>
    <t xml:space="preserve">2. O QUE ISSO DÁ MÊS A MÊS — interpolado pela base de cada mês</t>
  </si>
  <si>
    <t xml:space="preserve">Assinantes pagantes (vem da DRE Mensal)</t>
  </si>
  <si>
    <t xml:space="preserve">Usuários do plano gratuito (vem da DRE Mensal)</t>
  </si>
  <si>
    <t xml:space="preserve">Usuários equivalentes que consomem nuvem</t>
  </si>
  <si>
    <t xml:space="preserve">Pagantes contam 100%; gratuitos contam pelo peso da seção 0. É este número que entra na tabela de âncoras.</t>
  </si>
  <si>
    <t xml:space="preserve">Âncora imediatamente abaixo — usuários</t>
  </si>
  <si>
    <t xml:space="preserve">Âncora imediatamente abaixo — conta</t>
  </si>
  <si>
    <t xml:space="preserve">Âncora de cima — usuários</t>
  </si>
  <si>
    <t xml:space="preserve">Âncora de cima — conta</t>
  </si>
  <si>
    <t xml:space="preserve">CONTA DE NUVEM DO MÊS</t>
  </si>
  <si>
    <t xml:space="preserve">Interpolação linear entre as duas âncoras. Acima da última âncora, mantém o custo por usuário da última faixa.</t>
  </si>
  <si>
    <t xml:space="preserve">Custo de nuvem por usuário equivalente</t>
  </si>
  <si>
    <t xml:space="preserve">É esta linha que cai com a escala. Compare o mês do lançamento com dezembro de 2030.</t>
  </si>
  <si>
    <t xml:space="preserve">Parcela da conta que vem dos assinantes pagantes</t>
  </si>
  <si>
    <t xml:space="preserve">Parcela da conta que vem do plano gratuito</t>
  </si>
  <si>
    <t xml:space="preserve">O que o plano gratuito custa em nuvem. Não gera receita nenhuma.</t>
  </si>
  <si>
    <t xml:space="preserve">Subsídio do plano gratuito, por assinante pagante</t>
  </si>
  <si>
    <t xml:space="preserve">Quanto cada assinante paga, sem saber, para sustentar os usuários gratuitos. Compare com o preço da assinatura: é a conta que decide se o plano gratuito cabe no modelo.</t>
  </si>
  <si>
    <t xml:space="preserve">Custo de nuvem por assinante pagante (total da conta ÷ pagantes)</t>
  </si>
  <si>
    <t xml:space="preserve">É este o número que se compara com o preço da assinatura — não o custo por usuário equivalente.</t>
  </si>
  <si>
    <t xml:space="preserve">✔ Conferência: a conta nunca pode cair quando a base sobe</t>
  </si>
  <si>
    <t xml:space="preserve">Com faixas em degrau esta linha acusaria erro. Com interpolação, não.</t>
  </si>
  <si>
    <t xml:space="preserve">Mesma mecânica serve para qualquer custo que escale: se o suporte, as licenças de software ou a taxa de um parceiro tiverem desconto por volume, copie este bloco. A aba DRE Mensal trata suporte como R$ por pagante porque, no tamanho da Oppa, suporte escala quase linear.</t>
  </si>
  <si>
    <t xml:space="preserve">EQUIPE — UMA LINHA POR PAPEL</t>
  </si>
  <si>
    <t xml:space="preserve">Cada linha vale do mês de início ao mês de fim. As linhas de ampliação são ADICIONAIS: somam-se às anteriores. O interruptor de plano desliga tudo o que ainda não foi contratado.</t>
  </si>
  <si>
    <t xml:space="preserve">Considerar o plano de contratações?   1 = Sim · 0 = só o que já está contratado</t>
  </si>
  <si>
    <t xml:space="preserve">Com 0, o modelo mostra a Oppa apenas com a equipe do MVP. Serve para ver o piso de custo.</t>
  </si>
  <si>
    <t xml:space="preserve">QUADRO — edite, acrescente ou apague linhas</t>
  </si>
  <si>
    <t xml:space="preserve">Função / papel</t>
  </si>
  <si>
    <t xml:space="preserve">Tipo</t>
  </si>
  <si>
    <t xml:space="preserve">Status</t>
  </si>
  <si>
    <t xml:space="preserve">Qtd</t>
  </si>
  <si>
    <t xml:space="preserve">Custo mensal
por pessoa (R$)</t>
  </si>
  <si>
    <t xml:space="preserve">Encargos
(% sobre o custo)</t>
  </si>
  <si>
    <t xml:space="preserve">Custo total
mensal (R$)</t>
  </si>
  <si>
    <t xml:space="preserve">Início</t>
  </si>
  <si>
    <t xml:space="preserve">Fim</t>
  </si>
  <si>
    <t xml:space="preserve">Classificação</t>
  </si>
  <si>
    <t xml:space="preserve">Equipe PJ — desenvolvimento do MVP</t>
  </si>
  <si>
    <t xml:space="preserve">PJ</t>
  </si>
  <si>
    <t xml:space="preserve">Contratado</t>
  </si>
  <si>
    <t xml:space="preserve">Investimento</t>
  </si>
  <si>
    <t xml:space="preserve">Desenvolvimento — time base</t>
  </si>
  <si>
    <t xml:space="preserve">Plano</t>
  </si>
  <si>
    <t xml:space="preserve">Despesa</t>
  </si>
  <si>
    <t xml:space="preserve">Desenvolvimento — ampliação 2028 (adicional)</t>
  </si>
  <si>
    <t xml:space="preserve">Desenvolvimento — ampliação 2029 (adicional)</t>
  </si>
  <si>
    <t xml:space="preserve">Desenvolvimento — ampliação 2030 (adicional)</t>
  </si>
  <si>
    <t xml:space="preserve">Suporte ao cliente — time base</t>
  </si>
  <si>
    <t xml:space="preserve">Suporte — ampliação 2028 (adicional)</t>
  </si>
  <si>
    <t xml:space="preserve">Suporte — ampliação 2029 (adicional)</t>
  </si>
  <si>
    <t xml:space="preserve">Suporte — ampliação 2030 (adicional)</t>
  </si>
  <si>
    <t xml:space="preserve">Growth e marketing</t>
  </si>
  <si>
    <t xml:space="preserve">Growth — ampliação 2028 (adicional)</t>
  </si>
  <si>
    <t xml:space="preserve">Growth — ampliação 2029 (adicional)</t>
  </si>
  <si>
    <t xml:space="preserve">Dados e infraestrutura</t>
  </si>
  <si>
    <t xml:space="preserve">Dados e infraestrutura — ampliação 2029 (adicional)</t>
  </si>
  <si>
    <t xml:space="preserve">Produto e gestão</t>
  </si>
  <si>
    <t xml:space="preserve">Produto e gestão — ampliação 2030 (adicional)</t>
  </si>
  <si>
    <t xml:space="preserve">Pró-labore dos sócios (2027–2028)</t>
  </si>
  <si>
    <t xml:space="preserve">Sócio</t>
  </si>
  <si>
    <t xml:space="preserve">Pró-labore dos sócios (2029–2030)</t>
  </si>
  <si>
    <t xml:space="preserve">(exemplo) Contratação CLT</t>
  </si>
  <si>
    <t xml:space="preserve">CLT</t>
  </si>
  <si>
    <t xml:space="preserve">TOTAL DO QUADRO (soma de tudo, sem olhar data)</t>
  </si>
  <si>
    <t xml:space="preserve">O CUSTO MÊS A MÊS</t>
  </si>
  <si>
    <t xml:space="preserve">CUSTO DE EQUIPE NO MÊS (despesa)</t>
  </si>
  <si>
    <t xml:space="preserve">Entra na DRE como despesa de pessoal.</t>
  </si>
  <si>
    <t xml:space="preserve">Equipe PJ</t>
  </si>
  <si>
    <t xml:space="preserve">Equipe CLT (com encargos)</t>
  </si>
  <si>
    <t xml:space="preserve">Pró-labore dos sócios</t>
  </si>
  <si>
    <t xml:space="preserve">Desenvolvimento capitalizado (investimento, não despesa)</t>
  </si>
  <si>
    <t xml:space="preserve">Vai para a linha de investimento da DRE, não para a de pessoal.</t>
  </si>
  <si>
    <t xml:space="preserve">Pessoas na operação (headcount)</t>
  </si>
  <si>
    <t xml:space="preserve">APORTES E INVESTIDORES — TODO O CAPITAL QUE ENTRA</t>
  </si>
  <si>
    <t xml:space="preserve">O STATUS de cada linha decide se ela entra no modelo. Os dois interruptores abaixo ligam e desligam o que ainda não está assinado.</t>
  </si>
  <si>
    <t xml:space="preserve">Considerar aportes PREVISTOS?   1 = Sim · 0 = Não</t>
  </si>
  <si>
    <t xml:space="preserve">Negociação adiantada, sem assinatura.</t>
  </si>
  <si>
    <t xml:space="preserve">Considerar acordos EM NEGOCIAÇÃO?   1 = Sim · 0 = Não</t>
  </si>
  <si>
    <t xml:space="preserve">Sem compromisso nenhum. Hoje são os R$ 80 mil de C-ioT e Martinelli e os R$ 200 mil da Boston. Desligue para ver a Oppa só com o dinheiro que já entrou.</t>
  </si>
  <si>
    <t xml:space="preserve">1. LANÇAMENTOS DE APORTE</t>
  </si>
  <si>
    <t xml:space="preserve">Data</t>
  </si>
  <si>
    <t xml:space="preserve">Sócio / Investidor</t>
  </si>
  <si>
    <t xml:space="preserve">Valor (R$)</t>
  </si>
  <si>
    <t xml:space="preserve">Paulo Kapp</t>
  </si>
  <si>
    <t xml:space="preserve">Realizado</t>
  </si>
  <si>
    <t xml:space="preserve">Fundador</t>
  </si>
  <si>
    <t xml:space="preserve">Lucas Medina</t>
  </si>
  <si>
    <t xml:space="preserve">Felipe Toescher</t>
  </si>
  <si>
    <t xml:space="preserve">Lucas Iung</t>
  </si>
  <si>
    <t xml:space="preserve">C-ioT</t>
  </si>
  <si>
    <t xml:space="preserve">Em negociação</t>
  </si>
  <si>
    <t xml:space="preserve">Novo sócio</t>
  </si>
  <si>
    <t xml:space="preserve">Felipe Martinelli</t>
  </si>
  <si>
    <t xml:space="preserve">Previsto</t>
  </si>
  <si>
    <t xml:space="preserve">TOTAL que o modelo considera</t>
  </si>
  <si>
    <t xml:space="preserve">2. INVESTIDOR ESTRATÉGICO — aporta e traz receita recorrente</t>
  </si>
  <si>
    <t xml:space="preserve">Investidor</t>
  </si>
  <si>
    <t xml:space="preserve">Aporte (R$)</t>
  </si>
  <si>
    <t xml:space="preserve">Mês do aporte</t>
  </si>
  <si>
    <t xml:space="preserve">Receita B2B (R$/mês)</t>
  </si>
  <si>
    <t xml:space="preserve">Início da receita</t>
  </si>
  <si>
    <t xml:space="preserve">Fim da receita</t>
  </si>
  <si>
    <t xml:space="preserve">Boston Scientific</t>
  </si>
  <si>
    <t xml:space="preserve">3. O CAPITAL MÊS A MÊS</t>
  </si>
  <si>
    <t xml:space="preserve">Aportes de sócios e novos sócios</t>
  </si>
  <si>
    <t xml:space="preserve">Aporte do investidor estratégico</t>
  </si>
  <si>
    <t xml:space="preserve">TOTAL DE APORTES NO MÊS</t>
  </si>
  <si>
    <t xml:space="preserve">Entra na DRE como outra receita, não como aporte.</t>
  </si>
  <si>
    <t xml:space="preserve">4. DE ONDE VEM O CAPITAL</t>
  </si>
  <si>
    <t xml:space="preserve">Realizado — dinheiro que já entrou</t>
  </si>
  <si>
    <t xml:space="preserve">Compromisso assinado, ainda não integralizado</t>
  </si>
  <si>
    <t xml:space="preserve">Previsto — negociação adiantada</t>
  </si>
  <si>
    <t xml:space="preserve">Em negociação — sem compromisso</t>
  </si>
  <si>
    <t xml:space="preserve">Investidor estratégico</t>
  </si>
  <si>
    <t xml:space="preserve">CAPITAL TOTAL CONSIDERADO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</si>
</sst>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"/>
    <numFmt numFmtId="166" formatCode="0.00\x"/>
    <numFmt numFmtId="167" formatCode="&quot;R$ &quot;#,##0;&quot;(R$ &quot;#,##0\);\–"/>
    <numFmt numFmtId="168" formatCode="@"/>
    <numFmt numFmtId="169" formatCode="#,##0;\(#,##0\);\–"/>
    <numFmt numFmtId="170" formatCode="0.0%;\(0.0%\);\–"/>
    <numFmt numFmtId="171" formatCode="&quot;R$ &quot;#,##0.00;&quot;(R$ &quot;#,##0.00\);\–"/>
    <numFmt numFmtId="172" formatCode="0.00%;\(0.00%\);\–"/>
    <numFmt numFmtId="173" formatCode="mmm/yy"/>
    <numFmt numFmtId="174" formatCode="0.00\x;\(0.00&quot;x)&quot;;\–"/>
    <numFmt numFmtId="175" formatCode="&quot;R$ &quot;#,##0.0000;&quot;(R$ &quot;#,##0.0000\);\–"/>
    <numFmt numFmtId="176" formatCode="dd/mm/yyyy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9"/>
      <color rgb="FF262626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1F7040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595959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595959"/>
      <name val="Arial"/>
      <family val="0"/>
      <charset val="1"/>
    </font>
    <font>
      <sz val="8"/>
      <color rgb="FFBFBFB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404040"/>
        <bgColor rgb="FF1F3864"/>
      </patternFill>
    </fill>
    <fill>
      <patternFill patternType="solid">
        <fgColor rgb="FF2E5C8A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800000"/>
      </patternFill>
    </fill>
    <fill>
      <patternFill patternType="solid">
        <fgColor rgb="FF1F7040"/>
        <bgColor rgb="FF008000"/>
      </patternFill>
    </fill>
    <fill>
      <patternFill patternType="solid">
        <fgColor rgb="FFFFF2CC"/>
        <bgColor rgb="FFFFFFFF"/>
      </patternFill>
    </fill>
    <fill>
      <patternFill patternType="solid">
        <fgColor rgb="FFBDD7EE"/>
        <bgColor rgb="FFD9E2F3"/>
      </patternFill>
    </fill>
    <fill>
      <patternFill patternType="solid">
        <fgColor rgb="FF808080"/>
        <bgColor rgb="FF969696"/>
      </patternFill>
    </fill>
    <fill>
      <patternFill patternType="solid">
        <fgColor rgb="FFED7D31"/>
        <bgColor rgb="FFFF8080"/>
      </patternFill>
    </fill>
    <fill>
      <patternFill patternType="solid">
        <fgColor rgb="FFD9E2F3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1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6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7" fontId="2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true" indent="1" shrinkToFit="false"/>
      <protection locked="true" hidden="false"/>
    </xf>
    <xf numFmtId="168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7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8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71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70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1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3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7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7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7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3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3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4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1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true" indent="1" shrinkToFit="false"/>
      <protection locked="true" hidden="false"/>
    </xf>
    <xf numFmtId="167" fontId="2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5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8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3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7" fontId="1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3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040"/>
      <rgbColor rgb="FFBFBFBF"/>
      <rgbColor rgb="FF808080"/>
      <rgbColor rgb="FF9999FF"/>
      <rgbColor rgb="FF7030A0"/>
      <rgbColor rgb="FFFFF2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1F3864"/>
      <rgbColor rgb="FF339966"/>
      <rgbColor rgb="FF003300"/>
      <rgbColor rgb="FF404040"/>
      <rgbColor rgb="FF993300"/>
      <rgbColor rgb="FF993366"/>
      <rgbColor rgb="FF2E5C8A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N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88"/>
    <col collapsed="false" customWidth="true" hidden="false" outlineLevel="0" max="4" min="4" style="0" width="22"/>
    <col collapsed="false" customWidth="true" hidden="false" outlineLevel="0" max="5" min="5" style="0" width="3"/>
  </cols>
  <sheetData>
    <row r="1" customFormat="false" ht="25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B4" s="4" t="s">
        <v>2</v>
      </c>
    </row>
    <row r="5" customFormat="false" ht="34.5" hidden="false" customHeight="true" outlineLevel="0" collapsed="false">
      <c r="B5" s="5" t="s">
        <v>3</v>
      </c>
      <c r="C5" s="5"/>
      <c r="D5" s="5"/>
    </row>
    <row r="6" customFormat="false" ht="34.5" hidden="false" customHeight="true" outlineLevel="0" collapsed="false">
      <c r="B6" s="5" t="s">
        <v>4</v>
      </c>
      <c r="C6" s="5"/>
      <c r="D6" s="5"/>
    </row>
    <row r="7" customFormat="false" ht="34.5" hidden="false" customHeight="true" outlineLevel="0" collapsed="false">
      <c r="B7" s="5" t="s">
        <v>5</v>
      </c>
      <c r="C7" s="5"/>
      <c r="D7" s="5"/>
    </row>
    <row r="8" customFormat="false" ht="24" hidden="false" customHeight="true" outlineLevel="0" collapsed="false">
      <c r="B8" s="5" t="s">
        <v>6</v>
      </c>
      <c r="C8" s="5"/>
      <c r="D8" s="5"/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6" t="s">
        <v>8</v>
      </c>
      <c r="C11" s="6" t="s">
        <v>9</v>
      </c>
      <c r="D11" s="7" t="s">
        <v>10</v>
      </c>
    </row>
    <row r="12" customFormat="false" ht="24" hidden="false" customHeight="true" outlineLevel="0" collapsed="false">
      <c r="B12" s="8" t="s">
        <v>11</v>
      </c>
      <c r="C12" s="9" t="s">
        <v>12</v>
      </c>
      <c r="D12" s="10" t="s">
        <v>13</v>
      </c>
    </row>
    <row r="13" customFormat="false" ht="24" hidden="false" customHeight="true" outlineLevel="0" collapsed="false">
      <c r="B13" s="11" t="s">
        <v>14</v>
      </c>
      <c r="C13" s="9" t="s">
        <v>15</v>
      </c>
      <c r="D13" s="12" t="s">
        <v>16</v>
      </c>
    </row>
    <row r="14" customFormat="false" ht="24" hidden="false" customHeight="true" outlineLevel="0" collapsed="false">
      <c r="B14" s="13" t="s">
        <v>17</v>
      </c>
      <c r="C14" s="9" t="s">
        <v>18</v>
      </c>
      <c r="D14" s="12" t="s">
        <v>19</v>
      </c>
    </row>
    <row r="15" customFormat="false" ht="16.5" hidden="false" customHeight="true" outlineLevel="0" collapsed="false">
      <c r="B15" s="14" t="s">
        <v>20</v>
      </c>
      <c r="C15" s="9" t="s">
        <v>21</v>
      </c>
      <c r="D15" s="12" t="s">
        <v>22</v>
      </c>
    </row>
    <row r="16" customFormat="false" ht="16.5" hidden="false" customHeight="true" outlineLevel="0" collapsed="false">
      <c r="B16" s="14" t="s">
        <v>23</v>
      </c>
      <c r="C16" s="9" t="s">
        <v>24</v>
      </c>
      <c r="D16" s="12" t="s">
        <v>22</v>
      </c>
    </row>
    <row r="18" customFormat="false" ht="15" hidden="false" customHeight="false" outlineLevel="0" collapsed="false">
      <c r="B18" s="4" t="s">
        <v>25</v>
      </c>
    </row>
    <row r="19" customFormat="false" ht="24" hidden="false" customHeight="true" outlineLevel="0" collapsed="false">
      <c r="B19" s="5" t="s">
        <v>26</v>
      </c>
      <c r="C19" s="5"/>
      <c r="D19" s="5"/>
    </row>
    <row r="20" customFormat="false" ht="24" hidden="false" customHeight="true" outlineLevel="0" collapsed="false">
      <c r="B20" s="5" t="s">
        <v>27</v>
      </c>
      <c r="C20" s="5"/>
      <c r="D20" s="5"/>
    </row>
    <row r="21" customFormat="false" ht="24" hidden="false" customHeight="true" outlineLevel="0" collapsed="false">
      <c r="B21" s="5" t="s">
        <v>28</v>
      </c>
      <c r="C21" s="5"/>
      <c r="D21" s="5"/>
    </row>
    <row r="22" customFormat="false" ht="34.5" hidden="false" customHeight="true" outlineLevel="0" collapsed="false">
      <c r="B22" s="5" t="s">
        <v>29</v>
      </c>
      <c r="C22" s="5"/>
      <c r="D22" s="5"/>
    </row>
    <row r="24" customFormat="false" ht="15" hidden="false" customHeight="false" outlineLevel="0" collapsed="false">
      <c r="B24" s="4" t="s">
        <v>30</v>
      </c>
    </row>
    <row r="25" customFormat="false" ht="15" hidden="false" customHeight="false" outlineLevel="0" collapsed="false">
      <c r="B25" s="15" t="s">
        <v>31</v>
      </c>
      <c r="C25" s="16" t="s">
        <v>32</v>
      </c>
    </row>
    <row r="26" customFormat="false" ht="15" hidden="false" customHeight="false" outlineLevel="0" collapsed="false">
      <c r="B26" s="15" t="s">
        <v>33</v>
      </c>
      <c r="C26" s="16" t="s">
        <v>34</v>
      </c>
    </row>
    <row r="27" customFormat="false" ht="15" hidden="false" customHeight="false" outlineLevel="0" collapsed="false">
      <c r="B27" s="17" t="s">
        <v>35</v>
      </c>
      <c r="C27" s="16" t="s">
        <v>36</v>
      </c>
    </row>
    <row r="28" customFormat="false" ht="15" hidden="false" customHeight="false" outlineLevel="0" collapsed="false">
      <c r="B28" s="18" t="s">
        <v>37</v>
      </c>
      <c r="C28" s="16" t="s">
        <v>38</v>
      </c>
    </row>
    <row r="30" customFormat="false" ht="15" hidden="false" customHeight="false" outlineLevel="0" collapsed="false">
      <c r="B30" s="4" t="s">
        <v>39</v>
      </c>
    </row>
    <row r="31" customFormat="false" ht="34.5" hidden="false" customHeight="true" outlineLevel="0" collapsed="false">
      <c r="B31" s="5" t="s">
        <v>40</v>
      </c>
      <c r="C31" s="5"/>
      <c r="D31" s="5"/>
    </row>
    <row r="32" customFormat="false" ht="24" hidden="false" customHeight="true" outlineLevel="0" collapsed="false">
      <c r="B32" s="5" t="s">
        <v>41</v>
      </c>
      <c r="C32" s="5"/>
      <c r="D32" s="5"/>
    </row>
  </sheetData>
  <mergeCells count="10">
    <mergeCell ref="B5:D5"/>
    <mergeCell ref="B6:D6"/>
    <mergeCell ref="B7:D7"/>
    <mergeCell ref="B8:D8"/>
    <mergeCell ref="B19:D19"/>
    <mergeCell ref="B20:D20"/>
    <mergeCell ref="B21:D21"/>
    <mergeCell ref="B22:D22"/>
    <mergeCell ref="B31:D31"/>
    <mergeCell ref="B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BN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6" min="3" style="0" width="19"/>
    <col collapsed="false" customWidth="true" hidden="false" outlineLevel="0" max="7" min="7" style="0" width="3"/>
    <col collapsed="false" customWidth="true" hidden="false" outlineLevel="0" max="8" min="8" style="0" width="66"/>
  </cols>
  <sheetData>
    <row r="1" customFormat="false" ht="25.5" hidden="false" customHeight="true" outlineLevel="0" collapsed="false">
      <c r="A1" s="1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customFormat="false" ht="15" hidden="false" customHeight="false" outlineLevel="0" collapsed="false">
      <c r="A2" s="3" t="s">
        <v>43</v>
      </c>
    </row>
    <row r="4" customFormat="false" ht="18" hidden="false" customHeight="true" outlineLevel="0" collapsed="false">
      <c r="A4" s="19" t="s">
        <v>44</v>
      </c>
      <c r="B4" s="20"/>
      <c r="C4" s="20"/>
      <c r="D4" s="20"/>
      <c r="E4" s="20"/>
      <c r="F4" s="20"/>
    </row>
    <row r="5" customFormat="false" ht="24" hidden="false" customHeight="true" outlineLevel="0" collapsed="false">
      <c r="B5" s="21" t="s">
        <v>45</v>
      </c>
      <c r="C5" s="22" t="n">
        <v>2</v>
      </c>
      <c r="D5" s="23" t="str">
        <f aca="false">CHOOSE($C$5,"CONSERVADOR","PROVÁVEL","AGRESSIVO")</f>
        <v>PROVÁVEL</v>
      </c>
    </row>
    <row r="7" customFormat="false" ht="15" hidden="false" customHeight="false" outlineLevel="0" collapsed="false">
      <c r="B7" s="24" t="s">
        <v>46</v>
      </c>
      <c r="C7" s="25" t="s">
        <v>47</v>
      </c>
      <c r="D7" s="26" t="s">
        <v>48</v>
      </c>
      <c r="E7" s="27" t="s">
        <v>49</v>
      </c>
      <c r="F7" s="28" t="s">
        <v>50</v>
      </c>
    </row>
    <row r="8" customFormat="false" ht="15" hidden="false" customHeight="false" outlineLevel="0" collapsed="false">
      <c r="C8" s="29" t="s">
        <v>51</v>
      </c>
      <c r="D8" s="30" t="n">
        <v>0.6</v>
      </c>
      <c r="E8" s="30" t="n">
        <v>1</v>
      </c>
      <c r="F8" s="30" t="n">
        <v>1.5</v>
      </c>
    </row>
    <row r="9" customFormat="false" ht="15" hidden="false" customHeight="false" outlineLevel="0" collapsed="false">
      <c r="C9" s="29" t="s">
        <v>52</v>
      </c>
      <c r="D9" s="30" t="n">
        <v>0.6</v>
      </c>
      <c r="E9" s="30" t="n">
        <v>1</v>
      </c>
      <c r="F9" s="30" t="n">
        <v>1.5</v>
      </c>
    </row>
    <row r="10" customFormat="false" ht="15" hidden="false" customHeight="false" outlineLevel="0" collapsed="false">
      <c r="C10" s="29" t="s">
        <v>53</v>
      </c>
      <c r="D10" s="30" t="n">
        <v>1.3</v>
      </c>
      <c r="E10" s="30" t="n">
        <v>1</v>
      </c>
      <c r="F10" s="30" t="n">
        <v>0.8</v>
      </c>
    </row>
    <row r="11" customFormat="false" ht="27.75" hidden="false" customHeight="true" outlineLevel="0" collapsed="false">
      <c r="B11" s="5" t="s">
        <v>54</v>
      </c>
      <c r="C11" s="5"/>
      <c r="D11" s="5"/>
      <c r="E11" s="5"/>
      <c r="F11" s="5"/>
    </row>
    <row r="13" customFormat="false" ht="19.5" hidden="false" customHeight="true" outlineLevel="0" collapsed="false">
      <c r="B13" s="31" t="s">
        <v>55</v>
      </c>
      <c r="C13" s="32"/>
      <c r="D13" s="32"/>
      <c r="E13" s="32"/>
      <c r="F13" s="32"/>
    </row>
    <row r="14" customFormat="false" ht="34.5" hidden="false" customHeight="true" outlineLevel="0" collapsed="false">
      <c r="B14" s="33" t="s">
        <v>56</v>
      </c>
      <c r="C14" s="34" t="n">
        <f aca="false">'DRE Mensal'!$BL$75</f>
        <v>9036466.94469621</v>
      </c>
      <c r="H14" s="35" t="s">
        <v>57</v>
      </c>
    </row>
    <row r="15" customFormat="false" ht="15" hidden="false" customHeight="true" outlineLevel="0" collapsed="false">
      <c r="B15" s="17" t="s">
        <v>58</v>
      </c>
      <c r="C15" s="36" t="str">
        <f aca="false">IF(MIN('DRE Mensal'!$E$76:$BL$76)=9999,"o caixa nunca fica negativo",CHOOSE(MOD(MIN('DRE Mensal'!$E$76:$BL$76)-1,12)+1,"jan","fev","mar","abr","mai","jun","jul","ago","set","out","nov","dez")&amp;"/"&amp;(2026+INT((MIN('DRE Mensal'!$E$76:$BL$76)-1)/12)))</f>
        <v>jan/2027</v>
      </c>
      <c r="H15" s="35" t="s">
        <v>59</v>
      </c>
    </row>
    <row r="16" customFormat="false" ht="24" hidden="false" customHeight="true" outlineLevel="0" collapsed="false">
      <c r="B16" s="37" t="s">
        <v>60</v>
      </c>
      <c r="C16" s="38" t="n">
        <f aca="false">-MIN(0,MIN('DRE Mensal'!$E$67:$BL$67))</f>
        <v>7890553.01596636</v>
      </c>
      <c r="H16" s="35" t="s">
        <v>61</v>
      </c>
    </row>
    <row r="17" customFormat="false" ht="15" hidden="false" customHeight="false" outlineLevel="0" collapsed="false">
      <c r="B17" s="37" t="s">
        <v>62</v>
      </c>
      <c r="C17" s="38" t="n">
        <f aca="false">INDEX('DRE Mensal'!$E$73:$BL$73,MATCH(MIN('DRE Mensal'!$E$70:$BL$70),'DRE Mensal'!$E$70:$BL$70,0))</f>
        <v>1452813.78525104</v>
      </c>
    </row>
    <row r="18" customFormat="false" ht="15" hidden="false" customHeight="false" outlineLevel="0" collapsed="false">
      <c r="B18" s="17" t="s">
        <v>63</v>
      </c>
      <c r="C18" s="39" t="n">
        <f aca="false">$C$16+$C$17</f>
        <v>9343366.8012174</v>
      </c>
    </row>
    <row r="19" customFormat="false" ht="15" hidden="false" customHeight="false" outlineLevel="0" collapsed="false">
      <c r="B19" s="37" t="s">
        <v>64</v>
      </c>
      <c r="C19" s="38" t="n">
        <f aca="false">-Aportes!$B$63</f>
        <v>-317000</v>
      </c>
    </row>
    <row r="20" customFormat="false" ht="24" hidden="false" customHeight="true" outlineLevel="0" collapsed="false">
      <c r="B20" s="40" t="s">
        <v>65</v>
      </c>
      <c r="C20" s="38" t="n">
        <f aca="false">Aportes!$B$58</f>
        <v>37000</v>
      </c>
      <c r="H20" s="35" t="s">
        <v>66</v>
      </c>
    </row>
    <row r="21" customFormat="false" ht="24" hidden="false" customHeight="true" outlineLevel="0" collapsed="false">
      <c r="B21" s="37" t="s">
        <v>67</v>
      </c>
      <c r="C21" s="38" t="n">
        <f aca="false">MAX(0,$C$18+$C$19)</f>
        <v>9026366.8012174</v>
      </c>
      <c r="H21" s="35" t="s">
        <v>68</v>
      </c>
    </row>
    <row r="22" customFormat="false" ht="15" hidden="false" customHeight="false" outlineLevel="0" collapsed="false">
      <c r="B22" s="17" t="s">
        <v>69</v>
      </c>
      <c r="C22" s="39" t="n">
        <f aca="false">MIN('DRE Mensal'!$E$70:$BL$70)</f>
        <v>-7573553.01596636</v>
      </c>
    </row>
    <row r="23" customFormat="false" ht="15" hidden="false" customHeight="false" outlineLevel="0" collapsed="false">
      <c r="B23" s="37" t="s">
        <v>70</v>
      </c>
      <c r="C23" s="41" t="str">
        <f aca="false">CHOOSE(MOD(MATCH(MIN('DRE Mensal'!$E$70:$BL$70),'DRE Mensal'!$E$70:$BL$70,0)-1,12)+1,"jan","fev","mar","abr","mai","jun","jul","ago","set","out","nov","dez")&amp;"/"&amp;(2026+INT((MATCH(MIN('DRE Mensal'!$E$70:$BL$70),'DRE Mensal'!$E$70:$BL$70,0)-1)/12))</f>
        <v>out/2030</v>
      </c>
    </row>
    <row r="25" customFormat="false" ht="19.5" hidden="false" customHeight="true" outlineLevel="0" collapsed="false">
      <c r="B25" s="42" t="s">
        <v>71</v>
      </c>
      <c r="C25" s="20"/>
      <c r="D25" s="20"/>
      <c r="E25" s="20"/>
      <c r="F25" s="20"/>
    </row>
    <row r="26" customFormat="false" ht="15" hidden="false" customHeight="false" outlineLevel="0" collapsed="false">
      <c r="B26" s="37" t="s">
        <v>72</v>
      </c>
      <c r="C26" s="43" t="n">
        <f aca="false">'DRE Mensal'!$BL$24</f>
        <v>928425</v>
      </c>
    </row>
    <row r="27" customFormat="false" ht="15" hidden="false" customHeight="false" outlineLevel="0" collapsed="false">
      <c r="B27" s="17" t="s">
        <v>73</v>
      </c>
      <c r="C27" s="44" t="n">
        <f aca="false">'DRE Mensal'!$BL$25</f>
        <v>30501</v>
      </c>
    </row>
    <row r="28" customFormat="false" ht="15" hidden="false" customHeight="false" outlineLevel="0" collapsed="false">
      <c r="B28" s="37" t="s">
        <v>74</v>
      </c>
      <c r="C28" s="45" t="n">
        <f aca="false">'DRE Mensal'!$BL$27</f>
        <v>0.0328524113417885</v>
      </c>
    </row>
    <row r="29" customFormat="false" ht="15" hidden="false" customHeight="false" outlineLevel="0" collapsed="false">
      <c r="B29" s="37" t="s">
        <v>75</v>
      </c>
      <c r="C29" s="38" t="n">
        <f aca="false">SUMIFS('DRE Mensal'!$E$33:$BL$33,'DRE Mensal'!$E$6:$BL$6,2027)</f>
        <v>438506.3</v>
      </c>
    </row>
    <row r="30" customFormat="false" ht="15" hidden="false" customHeight="false" outlineLevel="0" collapsed="false">
      <c r="B30" s="37" t="s">
        <v>76</v>
      </c>
      <c r="C30" s="38" t="n">
        <f aca="false">SUMIFS('DRE Mensal'!$E$33:$BL$33,'DRE Mensal'!$E$6:$BL$6,2030)</f>
        <v>9983409.3</v>
      </c>
    </row>
    <row r="31" customFormat="false" ht="15" hidden="false" customHeight="false" outlineLevel="0" collapsed="false">
      <c r="B31" s="17" t="s">
        <v>77</v>
      </c>
      <c r="C31" s="39" t="n">
        <f aca="false">SUM('DRE Mensal'!$E$33:$BL$33)</f>
        <v>15911218.7</v>
      </c>
    </row>
    <row r="32" customFormat="false" ht="15" hidden="false" customHeight="false" outlineLevel="0" collapsed="false">
      <c r="B32" s="17" t="s">
        <v>78</v>
      </c>
      <c r="C32" s="39" t="n">
        <f aca="false">SUM('DRE Mensal'!$E$59:$BL$59)</f>
        <v>-7821397.3843215</v>
      </c>
    </row>
    <row r="33" customFormat="false" ht="15" hidden="false" customHeight="false" outlineLevel="0" collapsed="false">
      <c r="B33" s="37" t="s">
        <v>79</v>
      </c>
      <c r="C33" s="45" t="n">
        <f aca="false">'DRE Mensal'!$BL$60</f>
        <v>0.0532454390639805</v>
      </c>
    </row>
    <row r="34" customFormat="false" ht="24" hidden="false" customHeight="true" outlineLevel="0" collapsed="false">
      <c r="B34" s="17" t="s">
        <v>80</v>
      </c>
      <c r="C34" s="36" t="str">
        <f aca="false">IF(MIN('DRE Mensal'!$E$77:$BL$77)=9999,"não atinge",CHOOSE(MOD(MIN('DRE Mensal'!$E$77:$BL$77)-1,12)+1,"jan","fev","mar","abr","mai","jun","jul","ago","set","out","nov","dez")&amp;"/"&amp;(2026+INT((MIN('DRE Mensal'!$E$77:$BL$77)-1)/12)))</f>
        <v>nov/2030</v>
      </c>
      <c r="H34" s="35" t="s">
        <v>81</v>
      </c>
    </row>
    <row r="36" customFormat="false" ht="19.5" hidden="false" customHeight="true" outlineLevel="0" collapsed="false">
      <c r="B36" s="42" t="s">
        <v>82</v>
      </c>
      <c r="C36" s="20"/>
      <c r="D36" s="20"/>
      <c r="E36" s="20"/>
      <c r="F36" s="20"/>
    </row>
    <row r="37" customFormat="false" ht="15" hidden="false" customHeight="false" outlineLevel="0" collapsed="false">
      <c r="B37" s="37" t="s">
        <v>83</v>
      </c>
      <c r="C37" s="46" t="n">
        <f aca="false">'DRE Mensal'!$BL$18</f>
        <v>39.9</v>
      </c>
    </row>
    <row r="38" customFormat="false" ht="15" hidden="false" customHeight="true" outlineLevel="0" collapsed="false">
      <c r="B38" s="37" t="s">
        <v>84</v>
      </c>
      <c r="C38" s="45" t="n">
        <f aca="false">'DRE Mensal'!$BL$43</f>
        <v>0.731431370615794</v>
      </c>
      <c r="H38" s="35" t="s">
        <v>85</v>
      </c>
    </row>
    <row r="39" customFormat="false" ht="24" hidden="false" customHeight="true" outlineLevel="0" collapsed="false">
      <c r="B39" s="37" t="s">
        <v>86</v>
      </c>
      <c r="C39" s="46" t="n">
        <f aca="false">'DRE Mensal'!$BL$48</f>
        <v>3.29077662298868</v>
      </c>
      <c r="H39" s="35" t="s">
        <v>87</v>
      </c>
    </row>
    <row r="40" customFormat="false" ht="24" hidden="false" customHeight="true" outlineLevel="0" collapsed="false">
      <c r="B40" s="47" t="s">
        <v>88</v>
      </c>
      <c r="C40" s="46" t="n">
        <f aca="false">'DRE Mensal'!$BL$49</f>
        <v>2.4563807913295</v>
      </c>
      <c r="H40" s="35" t="s">
        <v>89</v>
      </c>
    </row>
    <row r="41" customFormat="false" ht="15" hidden="false" customHeight="false" outlineLevel="0" collapsed="false">
      <c r="B41" s="37" t="s">
        <v>90</v>
      </c>
      <c r="C41" s="46" t="n">
        <f aca="false">'DRE Mensal'!$BL$83</f>
        <v>3.56593067967818</v>
      </c>
    </row>
    <row r="42" customFormat="false" ht="15" hidden="false" customHeight="true" outlineLevel="0" collapsed="false">
      <c r="B42" s="17" t="s">
        <v>91</v>
      </c>
      <c r="C42" s="48" t="n">
        <f aca="false">'DRE Mensal'!$BL$84</f>
        <v>25.618181007892</v>
      </c>
      <c r="H42" s="35" t="s">
        <v>92</v>
      </c>
    </row>
    <row r="43" customFormat="false" ht="15" hidden="false" customHeight="false" outlineLevel="0" collapsed="false">
      <c r="B43" s="37" t="s">
        <v>93</v>
      </c>
      <c r="C43" s="46" t="n">
        <f aca="false">'DRE Mensal'!$BL$81</f>
        <v>116.989180117746</v>
      </c>
    </row>
    <row r="44" customFormat="false" ht="15" hidden="false" customHeight="false" outlineLevel="0" collapsed="false">
      <c r="B44" s="17" t="s">
        <v>94</v>
      </c>
      <c r="C44" s="44" t="n">
        <f aca="false">'DRE Mensal'!$BL$85</f>
        <v>32705</v>
      </c>
    </row>
    <row r="45" customFormat="false" ht="15" hidden="false" customHeight="false" outlineLevel="0" collapsed="false">
      <c r="B45" s="49" t="s">
        <v>95</v>
      </c>
      <c r="C45" s="43" t="n">
        <f aca="false">'DRE Mensal'!$BL$25</f>
        <v>30501</v>
      </c>
    </row>
    <row r="47" customFormat="false" ht="19.5" hidden="false" customHeight="true" outlineLevel="0" collapsed="false">
      <c r="B47" s="42" t="s">
        <v>96</v>
      </c>
      <c r="C47" s="20"/>
      <c r="D47" s="20"/>
      <c r="E47" s="20"/>
      <c r="F47" s="20"/>
    </row>
    <row r="48" customFormat="false" ht="15" hidden="false" customHeight="false" outlineLevel="0" collapsed="false">
      <c r="B48" s="24" t="s">
        <v>97</v>
      </c>
      <c r="C48" s="50" t="n">
        <v>0.25</v>
      </c>
      <c r="H48" s="35" t="s">
        <v>98</v>
      </c>
    </row>
    <row r="49" customFormat="false" ht="15" hidden="false" customHeight="false" outlineLevel="0" collapsed="false">
      <c r="B49" s="49" t="s">
        <v>99</v>
      </c>
      <c r="C49" s="51" t="n">
        <f aca="false">(1+$C$48)^(1/12)-1</f>
        <v>0.0187692651215061</v>
      </c>
    </row>
    <row r="50" customFormat="false" ht="24" hidden="false" customHeight="true" outlineLevel="0" collapsed="false">
      <c r="B50" s="17" t="s">
        <v>100</v>
      </c>
      <c r="C50" s="39" t="n">
        <f aca="false">NPV($C$49,'DRE Mensal'!$E$66:$BL$66)</f>
        <v>-3990672.79854575</v>
      </c>
      <c r="H50" s="35" t="s">
        <v>101</v>
      </c>
    </row>
    <row r="51" customFormat="false" ht="15" hidden="false" customHeight="false" outlineLevel="0" collapsed="false">
      <c r="B51" s="37" t="s">
        <v>102</v>
      </c>
      <c r="C51" s="45" t="str">
        <f aca="false">IFERROR((1+IRR('DRE Mensal'!$E$66:$BL$66))^12-1,"n/d")</f>
        <v>n/d</v>
      </c>
    </row>
    <row r="52" customFormat="false" ht="15" hidden="false" customHeight="false" outlineLevel="0" collapsed="false">
      <c r="B52" s="37" t="s">
        <v>103</v>
      </c>
      <c r="C52" s="43" t="str">
        <f aca="false">IF('DRE Mensal'!$BL$67&lt;0,"&gt; 60",MAX('DRE Mensal'!$E$78:$BL$78)+1)</f>
        <v>&gt; 60</v>
      </c>
    </row>
    <row r="53" customFormat="false" ht="15" hidden="false" customHeight="false" outlineLevel="0" collapsed="false">
      <c r="B53" s="37" t="s">
        <v>104</v>
      </c>
      <c r="C53" s="38" t="n">
        <f aca="false">'DRE Mensal'!$BL$70</f>
        <v>-7525397.3843215</v>
      </c>
    </row>
    <row r="55" customFormat="false" ht="19.5" hidden="false" customHeight="true" outlineLevel="0" collapsed="false">
      <c r="B55" s="52" t="s">
        <v>105</v>
      </c>
      <c r="C55" s="53"/>
      <c r="D55" s="53"/>
      <c r="E55" s="53"/>
      <c r="F55" s="53"/>
    </row>
    <row r="56" customFormat="false" ht="15" hidden="false" customHeight="false" outlineLevel="0" collapsed="false">
      <c r="B56" s="49" t="s">
        <v>106</v>
      </c>
      <c r="C56" s="46" t="n">
        <f aca="false">SUMPRODUCT(MAX(ABS('DRE Mensal'!$E$86:$BL$86)))</f>
        <v>0</v>
      </c>
    </row>
    <row r="57" customFormat="false" ht="15" hidden="false" customHeight="false" outlineLevel="0" collapsed="false">
      <c r="B57" s="49" t="s">
        <v>107</v>
      </c>
      <c r="C57" s="43" t="n">
        <f aca="false">SUMPRODUCT(MAX(ABS('DRE Mensal'!$E$87:$BL$87)))</f>
        <v>0</v>
      </c>
    </row>
    <row r="58" customFormat="false" ht="15" hidden="false" customHeight="false" outlineLevel="0" collapsed="false">
      <c r="B58" s="49" t="s">
        <v>108</v>
      </c>
      <c r="C58" s="41" t="str">
        <f aca="false">'Nuvem e Escala'!$BM$39</f>
        <v>✔ monotônica</v>
      </c>
    </row>
    <row r="60" customFormat="false" ht="19.5" hidden="false" customHeight="true" outlineLevel="0" collapsed="false">
      <c r="B60" s="54" t="s">
        <v>109</v>
      </c>
      <c r="C60" s="55"/>
      <c r="D60" s="55"/>
      <c r="E60" s="55"/>
      <c r="F60" s="55"/>
    </row>
    <row r="61" customFormat="false" ht="34.5" hidden="false" customHeight="true" outlineLevel="0" collapsed="false">
      <c r="B61" s="56" t="s">
        <v>110</v>
      </c>
      <c r="C61" s="56"/>
      <c r="D61" s="56"/>
      <c r="E61" s="56"/>
      <c r="F61" s="56"/>
    </row>
    <row r="62" customFormat="false" ht="34.5" hidden="false" customHeight="true" outlineLevel="0" collapsed="false">
      <c r="B62" s="56" t="s">
        <v>111</v>
      </c>
      <c r="C62" s="56"/>
      <c r="D62" s="56"/>
      <c r="E62" s="56"/>
      <c r="F62" s="56"/>
    </row>
    <row r="63" customFormat="false" ht="45.75" hidden="false" customHeight="true" outlineLevel="0" collapsed="false">
      <c r="B63" s="56" t="s">
        <v>112</v>
      </c>
      <c r="C63" s="56"/>
      <c r="D63" s="56"/>
      <c r="E63" s="56"/>
      <c r="F63" s="56"/>
    </row>
    <row r="64" customFormat="false" ht="34.5" hidden="false" customHeight="true" outlineLevel="0" collapsed="false">
      <c r="B64" s="56" t="s">
        <v>113</v>
      </c>
      <c r="C64" s="56"/>
      <c r="D64" s="56"/>
      <c r="E64" s="56"/>
      <c r="F64" s="56"/>
    </row>
    <row r="65" customFormat="false" ht="34.5" hidden="false" customHeight="true" outlineLevel="0" collapsed="false">
      <c r="B65" s="56" t="s">
        <v>114</v>
      </c>
      <c r="C65" s="56"/>
      <c r="D65" s="56"/>
      <c r="E65" s="56"/>
      <c r="F65" s="56"/>
    </row>
  </sheetData>
  <mergeCells count="6">
    <mergeCell ref="B11:F11"/>
    <mergeCell ref="B61:F61"/>
    <mergeCell ref="B62:F62"/>
    <mergeCell ref="B63:F63"/>
    <mergeCell ref="B64:F64"/>
    <mergeCell ref="B65:F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040"/>
    <pageSetUpPr fitToPage="false"/>
  </sheetPr>
  <dimension ref="A1:BN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64" min="5" style="0" width="11"/>
    <col collapsed="false" customWidth="true" hidden="false" outlineLevel="0" max="65" min="65" style="0" width="15"/>
    <col collapsed="false" customWidth="true" hidden="false" outlineLevel="0" max="66" min="66" style="0" width="62"/>
  </cols>
  <sheetData>
    <row r="1" customFormat="false" ht="25.5" hidden="false" customHeight="true" outlineLevel="0" collapsed="false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customFormat="false" ht="15" hidden="false" customHeight="true" outlineLevel="0" collapsed="false">
      <c r="A2" s="3" t="s">
        <v>116</v>
      </c>
    </row>
    <row r="4" customFormat="false" ht="24" hidden="false" customHeight="true" outlineLevel="0" collapsed="false">
      <c r="A4" s="57" t="s">
        <v>117</v>
      </c>
      <c r="B4" s="58" t="s">
        <v>118</v>
      </c>
      <c r="C4" s="58" t="s">
        <v>119</v>
      </c>
      <c r="D4" s="58" t="s">
        <v>120</v>
      </c>
      <c r="E4" s="59" t="n">
        <v>46023</v>
      </c>
      <c r="F4" s="59" t="n">
        <v>46054</v>
      </c>
      <c r="G4" s="59" t="n">
        <v>46082</v>
      </c>
      <c r="H4" s="59" t="n">
        <v>46113</v>
      </c>
      <c r="I4" s="59" t="n">
        <v>46143</v>
      </c>
      <c r="J4" s="59" t="n">
        <v>46174</v>
      </c>
      <c r="K4" s="59" t="n">
        <v>46204</v>
      </c>
      <c r="L4" s="59" t="n">
        <v>46235</v>
      </c>
      <c r="M4" s="59" t="n">
        <v>46266</v>
      </c>
      <c r="N4" s="59" t="n">
        <v>46296</v>
      </c>
      <c r="O4" s="59" t="n">
        <v>46327</v>
      </c>
      <c r="P4" s="59" t="n">
        <v>46357</v>
      </c>
      <c r="Q4" s="59" t="n">
        <v>46388</v>
      </c>
      <c r="R4" s="59" t="n">
        <v>46419</v>
      </c>
      <c r="S4" s="59" t="n">
        <v>46447</v>
      </c>
      <c r="T4" s="59" t="n">
        <v>46478</v>
      </c>
      <c r="U4" s="59" t="n">
        <v>46508</v>
      </c>
      <c r="V4" s="59" t="n">
        <v>46539</v>
      </c>
      <c r="W4" s="59" t="n">
        <v>46569</v>
      </c>
      <c r="X4" s="59" t="n">
        <v>46600</v>
      </c>
      <c r="Y4" s="59" t="n">
        <v>46631</v>
      </c>
      <c r="Z4" s="59" t="n">
        <v>46661</v>
      </c>
      <c r="AA4" s="59" t="n">
        <v>46692</v>
      </c>
      <c r="AB4" s="59" t="n">
        <v>46722</v>
      </c>
      <c r="AC4" s="59" t="n">
        <v>46753</v>
      </c>
      <c r="AD4" s="59" t="n">
        <v>46784</v>
      </c>
      <c r="AE4" s="59" t="n">
        <v>46813</v>
      </c>
      <c r="AF4" s="59" t="n">
        <v>46844</v>
      </c>
      <c r="AG4" s="59" t="n">
        <v>46874</v>
      </c>
      <c r="AH4" s="59" t="n">
        <v>46905</v>
      </c>
      <c r="AI4" s="59" t="n">
        <v>46935</v>
      </c>
      <c r="AJ4" s="59" t="n">
        <v>46966</v>
      </c>
      <c r="AK4" s="59" t="n">
        <v>46997</v>
      </c>
      <c r="AL4" s="59" t="n">
        <v>47027</v>
      </c>
      <c r="AM4" s="59" t="n">
        <v>47058</v>
      </c>
      <c r="AN4" s="59" t="n">
        <v>47088</v>
      </c>
      <c r="AO4" s="59" t="n">
        <v>47119</v>
      </c>
      <c r="AP4" s="59" t="n">
        <v>47150</v>
      </c>
      <c r="AQ4" s="59" t="n">
        <v>47178</v>
      </c>
      <c r="AR4" s="59" t="n">
        <v>47209</v>
      </c>
      <c r="AS4" s="59" t="n">
        <v>47239</v>
      </c>
      <c r="AT4" s="59" t="n">
        <v>47270</v>
      </c>
      <c r="AU4" s="59" t="n">
        <v>47300</v>
      </c>
      <c r="AV4" s="59" t="n">
        <v>47331</v>
      </c>
      <c r="AW4" s="59" t="n">
        <v>47362</v>
      </c>
      <c r="AX4" s="59" t="n">
        <v>47392</v>
      </c>
      <c r="AY4" s="59" t="n">
        <v>47423</v>
      </c>
      <c r="AZ4" s="59" t="n">
        <v>47453</v>
      </c>
      <c r="BA4" s="59" t="n">
        <v>47484</v>
      </c>
      <c r="BB4" s="59" t="n">
        <v>47515</v>
      </c>
      <c r="BC4" s="59" t="n">
        <v>47543</v>
      </c>
      <c r="BD4" s="59" t="n">
        <v>47574</v>
      </c>
      <c r="BE4" s="59" t="n">
        <v>47604</v>
      </c>
      <c r="BF4" s="59" t="n">
        <v>47635</v>
      </c>
      <c r="BG4" s="59" t="n">
        <v>47665</v>
      </c>
      <c r="BH4" s="59" t="n">
        <v>47696</v>
      </c>
      <c r="BI4" s="59" t="n">
        <v>47727</v>
      </c>
      <c r="BJ4" s="59" t="n">
        <v>47757</v>
      </c>
      <c r="BK4" s="59" t="n">
        <v>47788</v>
      </c>
      <c r="BL4" s="59" t="n">
        <v>47818</v>
      </c>
      <c r="BM4" s="27" t="s">
        <v>121</v>
      </c>
      <c r="BN4" s="27" t="s">
        <v>122</v>
      </c>
    </row>
    <row r="5" customFormat="false" ht="15" hidden="false" customHeight="false" outlineLevel="0" collapsed="false">
      <c r="A5" s="60" t="s">
        <v>123</v>
      </c>
      <c r="E5" s="61" t="n">
        <v>1</v>
      </c>
      <c r="F5" s="61" t="n">
        <v>2</v>
      </c>
      <c r="G5" s="61" t="n">
        <v>3</v>
      </c>
      <c r="H5" s="61" t="n">
        <v>4</v>
      </c>
      <c r="I5" s="61" t="n">
        <v>5</v>
      </c>
      <c r="J5" s="61" t="n">
        <v>6</v>
      </c>
      <c r="K5" s="61" t="n">
        <v>7</v>
      </c>
      <c r="L5" s="61" t="n">
        <v>8</v>
      </c>
      <c r="M5" s="61" t="n">
        <v>9</v>
      </c>
      <c r="N5" s="61" t="n">
        <v>10</v>
      </c>
      <c r="O5" s="61" t="n">
        <v>11</v>
      </c>
      <c r="P5" s="61" t="n">
        <v>12</v>
      </c>
      <c r="Q5" s="61" t="n">
        <v>13</v>
      </c>
      <c r="R5" s="61" t="n">
        <v>14</v>
      </c>
      <c r="S5" s="61" t="n">
        <v>15</v>
      </c>
      <c r="T5" s="61" t="n">
        <v>16</v>
      </c>
      <c r="U5" s="61" t="n">
        <v>17</v>
      </c>
      <c r="V5" s="61" t="n">
        <v>18</v>
      </c>
      <c r="W5" s="61" t="n">
        <v>19</v>
      </c>
      <c r="X5" s="61" t="n">
        <v>20</v>
      </c>
      <c r="Y5" s="61" t="n">
        <v>21</v>
      </c>
      <c r="Z5" s="61" t="n">
        <v>22</v>
      </c>
      <c r="AA5" s="61" t="n">
        <v>23</v>
      </c>
      <c r="AB5" s="61" t="n">
        <v>24</v>
      </c>
      <c r="AC5" s="61" t="n">
        <v>25</v>
      </c>
      <c r="AD5" s="61" t="n">
        <v>26</v>
      </c>
      <c r="AE5" s="61" t="n">
        <v>27</v>
      </c>
      <c r="AF5" s="61" t="n">
        <v>28</v>
      </c>
      <c r="AG5" s="61" t="n">
        <v>29</v>
      </c>
      <c r="AH5" s="61" t="n">
        <v>30</v>
      </c>
      <c r="AI5" s="61" t="n">
        <v>31</v>
      </c>
      <c r="AJ5" s="61" t="n">
        <v>32</v>
      </c>
      <c r="AK5" s="61" t="n">
        <v>33</v>
      </c>
      <c r="AL5" s="61" t="n">
        <v>34</v>
      </c>
      <c r="AM5" s="61" t="n">
        <v>35</v>
      </c>
      <c r="AN5" s="61" t="n">
        <v>36</v>
      </c>
      <c r="AO5" s="61" t="n">
        <v>37</v>
      </c>
      <c r="AP5" s="61" t="n">
        <v>38</v>
      </c>
      <c r="AQ5" s="61" t="n">
        <v>39</v>
      </c>
      <c r="AR5" s="61" t="n">
        <v>40</v>
      </c>
      <c r="AS5" s="61" t="n">
        <v>41</v>
      </c>
      <c r="AT5" s="61" t="n">
        <v>42</v>
      </c>
      <c r="AU5" s="61" t="n">
        <v>43</v>
      </c>
      <c r="AV5" s="61" t="n">
        <v>44</v>
      </c>
      <c r="AW5" s="61" t="n">
        <v>45</v>
      </c>
      <c r="AX5" s="61" t="n">
        <v>46</v>
      </c>
      <c r="AY5" s="61" t="n">
        <v>47</v>
      </c>
      <c r="AZ5" s="61" t="n">
        <v>48</v>
      </c>
      <c r="BA5" s="61" t="n">
        <v>49</v>
      </c>
      <c r="BB5" s="61" t="n">
        <v>50</v>
      </c>
      <c r="BC5" s="61" t="n">
        <v>51</v>
      </c>
      <c r="BD5" s="61" t="n">
        <v>52</v>
      </c>
      <c r="BE5" s="61" t="n">
        <v>53</v>
      </c>
      <c r="BF5" s="61" t="n">
        <v>54</v>
      </c>
      <c r="BG5" s="61" t="n">
        <v>55</v>
      </c>
      <c r="BH5" s="61" t="n">
        <v>56</v>
      </c>
      <c r="BI5" s="61" t="n">
        <v>57</v>
      </c>
      <c r="BJ5" s="61" t="n">
        <v>58</v>
      </c>
      <c r="BK5" s="61" t="n">
        <v>59</v>
      </c>
      <c r="BL5" s="61" t="n">
        <v>60</v>
      </c>
    </row>
    <row r="6" customFormat="false" ht="15" hidden="false" customHeight="false" outlineLevel="0" collapsed="false">
      <c r="A6" s="60" t="s">
        <v>124</v>
      </c>
      <c r="E6" s="62" t="n">
        <f aca="false">YEAR(E4)</f>
        <v>2026</v>
      </c>
      <c r="F6" s="62" t="n">
        <f aca="false">YEAR(F4)</f>
        <v>2026</v>
      </c>
      <c r="G6" s="62" t="n">
        <f aca="false">YEAR(G4)</f>
        <v>2026</v>
      </c>
      <c r="H6" s="62" t="n">
        <f aca="false">YEAR(H4)</f>
        <v>2026</v>
      </c>
      <c r="I6" s="62" t="n">
        <f aca="false">YEAR(I4)</f>
        <v>2026</v>
      </c>
      <c r="J6" s="62" t="n">
        <f aca="false">YEAR(J4)</f>
        <v>2026</v>
      </c>
      <c r="K6" s="62" t="n">
        <f aca="false">YEAR(K4)</f>
        <v>2026</v>
      </c>
      <c r="L6" s="62" t="n">
        <f aca="false">YEAR(L4)</f>
        <v>2026</v>
      </c>
      <c r="M6" s="62" t="n">
        <f aca="false">YEAR(M4)</f>
        <v>2026</v>
      </c>
      <c r="N6" s="62" t="n">
        <f aca="false">YEAR(N4)</f>
        <v>2026</v>
      </c>
      <c r="O6" s="62" t="n">
        <f aca="false">YEAR(O4)</f>
        <v>2026</v>
      </c>
      <c r="P6" s="62" t="n">
        <f aca="false">YEAR(P4)</f>
        <v>2026</v>
      </c>
      <c r="Q6" s="62" t="n">
        <f aca="false">YEAR(Q4)</f>
        <v>2027</v>
      </c>
      <c r="R6" s="62" t="n">
        <f aca="false">YEAR(R4)</f>
        <v>2027</v>
      </c>
      <c r="S6" s="62" t="n">
        <f aca="false">YEAR(S4)</f>
        <v>2027</v>
      </c>
      <c r="T6" s="62" t="n">
        <f aca="false">YEAR(T4)</f>
        <v>2027</v>
      </c>
      <c r="U6" s="62" t="n">
        <f aca="false">YEAR(U4)</f>
        <v>2027</v>
      </c>
      <c r="V6" s="62" t="n">
        <f aca="false">YEAR(V4)</f>
        <v>2027</v>
      </c>
      <c r="W6" s="62" t="n">
        <f aca="false">YEAR(W4)</f>
        <v>2027</v>
      </c>
      <c r="X6" s="62" t="n">
        <f aca="false">YEAR(X4)</f>
        <v>2027</v>
      </c>
      <c r="Y6" s="62" t="n">
        <f aca="false">YEAR(Y4)</f>
        <v>2027</v>
      </c>
      <c r="Z6" s="62" t="n">
        <f aca="false">YEAR(Z4)</f>
        <v>2027</v>
      </c>
      <c r="AA6" s="62" t="n">
        <f aca="false">YEAR(AA4)</f>
        <v>2027</v>
      </c>
      <c r="AB6" s="62" t="n">
        <f aca="false">YEAR(AB4)</f>
        <v>2027</v>
      </c>
      <c r="AC6" s="62" t="n">
        <f aca="false">YEAR(AC4)</f>
        <v>2028</v>
      </c>
      <c r="AD6" s="62" t="n">
        <f aca="false">YEAR(AD4)</f>
        <v>2028</v>
      </c>
      <c r="AE6" s="62" t="n">
        <f aca="false">YEAR(AE4)</f>
        <v>2028</v>
      </c>
      <c r="AF6" s="62" t="n">
        <f aca="false">YEAR(AF4)</f>
        <v>2028</v>
      </c>
      <c r="AG6" s="62" t="n">
        <f aca="false">YEAR(AG4)</f>
        <v>2028</v>
      </c>
      <c r="AH6" s="62" t="n">
        <f aca="false">YEAR(AH4)</f>
        <v>2028</v>
      </c>
      <c r="AI6" s="62" t="n">
        <f aca="false">YEAR(AI4)</f>
        <v>2028</v>
      </c>
      <c r="AJ6" s="62" t="n">
        <f aca="false">YEAR(AJ4)</f>
        <v>2028</v>
      </c>
      <c r="AK6" s="62" t="n">
        <f aca="false">YEAR(AK4)</f>
        <v>2028</v>
      </c>
      <c r="AL6" s="62" t="n">
        <f aca="false">YEAR(AL4)</f>
        <v>2028</v>
      </c>
      <c r="AM6" s="62" t="n">
        <f aca="false">YEAR(AM4)</f>
        <v>2028</v>
      </c>
      <c r="AN6" s="62" t="n">
        <f aca="false">YEAR(AN4)</f>
        <v>2028</v>
      </c>
      <c r="AO6" s="62" t="n">
        <f aca="false">YEAR(AO4)</f>
        <v>2029</v>
      </c>
      <c r="AP6" s="62" t="n">
        <f aca="false">YEAR(AP4)</f>
        <v>2029</v>
      </c>
      <c r="AQ6" s="62" t="n">
        <f aca="false">YEAR(AQ4)</f>
        <v>2029</v>
      </c>
      <c r="AR6" s="62" t="n">
        <f aca="false">YEAR(AR4)</f>
        <v>2029</v>
      </c>
      <c r="AS6" s="62" t="n">
        <f aca="false">YEAR(AS4)</f>
        <v>2029</v>
      </c>
      <c r="AT6" s="62" t="n">
        <f aca="false">YEAR(AT4)</f>
        <v>2029</v>
      </c>
      <c r="AU6" s="62" t="n">
        <f aca="false">YEAR(AU4)</f>
        <v>2029</v>
      </c>
      <c r="AV6" s="62" t="n">
        <f aca="false">YEAR(AV4)</f>
        <v>2029</v>
      </c>
      <c r="AW6" s="62" t="n">
        <f aca="false">YEAR(AW4)</f>
        <v>2029</v>
      </c>
      <c r="AX6" s="62" t="n">
        <f aca="false">YEAR(AX4)</f>
        <v>2029</v>
      </c>
      <c r="AY6" s="62" t="n">
        <f aca="false">YEAR(AY4)</f>
        <v>2029</v>
      </c>
      <c r="AZ6" s="62" t="n">
        <f aca="false">YEAR(AZ4)</f>
        <v>2029</v>
      </c>
      <c r="BA6" s="62" t="n">
        <f aca="false">YEAR(BA4)</f>
        <v>2030</v>
      </c>
      <c r="BB6" s="62" t="n">
        <f aca="false">YEAR(BB4)</f>
        <v>2030</v>
      </c>
      <c r="BC6" s="62" t="n">
        <f aca="false">YEAR(BC4)</f>
        <v>2030</v>
      </c>
      <c r="BD6" s="62" t="n">
        <f aca="false">YEAR(BD4)</f>
        <v>2030</v>
      </c>
      <c r="BE6" s="62" t="n">
        <f aca="false">YEAR(BE4)</f>
        <v>2030</v>
      </c>
      <c r="BF6" s="62" t="n">
        <f aca="false">YEAR(BF4)</f>
        <v>2030</v>
      </c>
      <c r="BG6" s="62" t="n">
        <f aca="false">YEAR(BG4)</f>
        <v>2030</v>
      </c>
      <c r="BH6" s="62" t="n">
        <f aca="false">YEAR(BH4)</f>
        <v>2030</v>
      </c>
      <c r="BI6" s="62" t="n">
        <f aca="false">YEAR(BI4)</f>
        <v>2030</v>
      </c>
      <c r="BJ6" s="62" t="n">
        <f aca="false">YEAR(BJ4)</f>
        <v>2030</v>
      </c>
      <c r="BK6" s="62" t="n">
        <f aca="false">YEAR(BK4)</f>
        <v>2030</v>
      </c>
      <c r="BL6" s="62" t="n">
        <f aca="false">YEAR(BL4)</f>
        <v>2030</v>
      </c>
    </row>
    <row r="8" customFormat="false" ht="18" hidden="false" customHeight="true" outlineLevel="0" collapsed="false">
      <c r="A8" s="19" t="s">
        <v>125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</row>
    <row r="9" customFormat="false" ht="15" hidden="false" customHeight="true" outlineLevel="0" collapsed="false">
      <c r="A9" s="63" t="s">
        <v>126</v>
      </c>
      <c r="B9" s="64" t="n">
        <f aca="false">Resumo!$C$5</f>
        <v>2</v>
      </c>
      <c r="C9" s="65" t="str">
        <f aca="false">CHOOSE($B9,"CONSERVADOR","PROVÁVEL","AGRESSIVO")</f>
        <v>PROVÁVEL</v>
      </c>
      <c r="F9" s="66" t="s">
        <v>127</v>
      </c>
      <c r="G9" s="66"/>
      <c r="H9" s="66"/>
      <c r="I9" s="66"/>
      <c r="J9" s="66"/>
      <c r="K9" s="66"/>
      <c r="L9" s="66"/>
      <c r="M9" s="66"/>
      <c r="N9" s="66"/>
    </row>
    <row r="10" customFormat="false" ht="15" hidden="false" customHeight="false" outlineLevel="0" collapsed="false">
      <c r="A10" s="40" t="s">
        <v>128</v>
      </c>
      <c r="B10" s="67" t="n">
        <f aca="false">INDEX(Resumo!$D$8:$F$10,MATCH("captação de usuários",Resumo!$C$8:$C$10,0),$B$9)</f>
        <v>1</v>
      </c>
    </row>
    <row r="11" customFormat="false" ht="15" hidden="false" customHeight="false" outlineLevel="0" collapsed="false">
      <c r="A11" s="40" t="s">
        <v>129</v>
      </c>
      <c r="B11" s="67" t="n">
        <f aca="false">INDEX(Resumo!$D$8:$F$10,MATCH("conversão em pagante",Resumo!$C$8:$C$10,0),$B$9)</f>
        <v>1</v>
      </c>
    </row>
    <row r="12" customFormat="false" ht="15" hidden="false" customHeight="false" outlineLevel="0" collapsed="false">
      <c r="A12" s="40" t="s">
        <v>130</v>
      </c>
      <c r="B12" s="67" t="n">
        <f aca="false">INDEX(Resumo!$D$8:$F$10,MATCH("churn",Resumo!$C$8:$C$10,0),$B$9)</f>
        <v>1</v>
      </c>
    </row>
    <row r="14" customFormat="false" ht="18" hidden="false" customHeight="true" outlineLevel="0" collapsed="false">
      <c r="A14" s="19" t="s">
        <v>131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</row>
    <row r="15" customFormat="false" ht="28.35" hidden="false" customHeight="false" outlineLevel="0" collapsed="false">
      <c r="A15" s="37" t="s">
        <v>132</v>
      </c>
      <c r="B15" s="68" t="n">
        <v>18100</v>
      </c>
      <c r="C15" s="69" t="n">
        <v>0.034</v>
      </c>
      <c r="D15" s="70" t="n">
        <v>12</v>
      </c>
      <c r="E15" s="71" t="n">
        <f aca="false">IF(E$5&lt;$D15,0,$B15)</f>
        <v>0</v>
      </c>
      <c r="F15" s="71" t="n">
        <f aca="false">IF(F$5&lt;$D15,0,IF(E15=0,$B15,E15*(1+$C15)))</f>
        <v>0</v>
      </c>
      <c r="G15" s="71" t="n">
        <f aca="false">IF(G$5&lt;$D15,0,IF(F15=0,$B15,F15*(1+$C15)))</f>
        <v>0</v>
      </c>
      <c r="H15" s="71" t="n">
        <f aca="false">IF(H$5&lt;$D15,0,IF(G15=0,$B15,G15*(1+$C15)))</f>
        <v>0</v>
      </c>
      <c r="I15" s="71" t="n">
        <f aca="false">IF(I$5&lt;$D15,0,IF(H15=0,$B15,H15*(1+$C15)))</f>
        <v>0</v>
      </c>
      <c r="J15" s="71" t="n">
        <f aca="false">IF(J$5&lt;$D15,0,IF(I15=0,$B15,I15*(1+$C15)))</f>
        <v>0</v>
      </c>
      <c r="K15" s="71" t="n">
        <f aca="false">IF(K$5&lt;$D15,0,IF(J15=0,$B15,J15*(1+$C15)))</f>
        <v>0</v>
      </c>
      <c r="L15" s="71" t="n">
        <f aca="false">IF(L$5&lt;$D15,0,IF(K15=0,$B15,K15*(1+$C15)))</f>
        <v>0</v>
      </c>
      <c r="M15" s="71" t="n">
        <f aca="false">IF(M$5&lt;$D15,0,IF(L15=0,$B15,L15*(1+$C15)))</f>
        <v>0</v>
      </c>
      <c r="N15" s="71" t="n">
        <f aca="false">IF(N$5&lt;$D15,0,IF(M15=0,$B15,M15*(1+$C15)))</f>
        <v>0</v>
      </c>
      <c r="O15" s="71" t="n">
        <f aca="false">IF(O$5&lt;$D15,0,IF(N15=0,$B15,N15*(1+$C15)))</f>
        <v>0</v>
      </c>
      <c r="P15" s="71" t="n">
        <f aca="false">IF(P$5&lt;$D15,0,IF(O15=0,$B15,O15*(1+$C15)))</f>
        <v>18100</v>
      </c>
      <c r="Q15" s="71" t="n">
        <f aca="false">IF(Q$5&lt;$D15,0,IF(P15=0,$B15,P15*(1+$C15)))</f>
        <v>18715.4</v>
      </c>
      <c r="R15" s="71" t="n">
        <f aca="false">IF(R$5&lt;$D15,0,IF(Q15=0,$B15,Q15*(1+$C15)))</f>
        <v>19351.7236</v>
      </c>
      <c r="S15" s="71" t="n">
        <f aca="false">IF(S$5&lt;$D15,0,IF(R15=0,$B15,R15*(1+$C15)))</f>
        <v>20009.6822024</v>
      </c>
      <c r="T15" s="71" t="n">
        <f aca="false">IF(T$5&lt;$D15,0,IF(S15=0,$B15,S15*(1+$C15)))</f>
        <v>20690.0113972816</v>
      </c>
      <c r="U15" s="71" t="n">
        <f aca="false">IF(U$5&lt;$D15,0,IF(T15=0,$B15,T15*(1+$C15)))</f>
        <v>21393.4717847892</v>
      </c>
      <c r="V15" s="71" t="n">
        <f aca="false">IF(V$5&lt;$D15,0,IF(U15=0,$B15,U15*(1+$C15)))</f>
        <v>22120.849825472</v>
      </c>
      <c r="W15" s="71" t="n">
        <f aca="false">IF(W$5&lt;$D15,0,IF(V15=0,$B15,V15*(1+$C15)))</f>
        <v>22872.9587195381</v>
      </c>
      <c r="X15" s="71" t="n">
        <f aca="false">IF(X$5&lt;$D15,0,IF(W15=0,$B15,W15*(1+$C15)))</f>
        <v>23650.6393160024</v>
      </c>
      <c r="Y15" s="71" t="n">
        <f aca="false">IF(Y$5&lt;$D15,0,IF(X15=0,$B15,X15*(1+$C15)))</f>
        <v>24454.7610527464</v>
      </c>
      <c r="Z15" s="71" t="n">
        <f aca="false">IF(Z$5&lt;$D15,0,IF(Y15=0,$B15,Y15*(1+$C15)))</f>
        <v>25286.2229285398</v>
      </c>
      <c r="AA15" s="71" t="n">
        <f aca="false">IF(AA$5&lt;$D15,0,IF(Z15=0,$B15,Z15*(1+$C15)))</f>
        <v>26145.9545081102</v>
      </c>
      <c r="AB15" s="71" t="n">
        <f aca="false">IF(AB$5&lt;$D15,0,IF(AA15=0,$B15,AA15*(1+$C15)))</f>
        <v>27034.9169613859</v>
      </c>
      <c r="AC15" s="71" t="n">
        <f aca="false">IF(AC$5&lt;$D15,0,IF(AB15=0,$B15,AB15*(1+$C15)))</f>
        <v>27954.104138073</v>
      </c>
      <c r="AD15" s="71" t="n">
        <f aca="false">IF(AD$5&lt;$D15,0,IF(AC15=0,$B15,AC15*(1+$C15)))</f>
        <v>28904.5436787675</v>
      </c>
      <c r="AE15" s="71" t="n">
        <f aca="false">IF(AE$5&lt;$D15,0,IF(AD15=0,$B15,AD15*(1+$C15)))</f>
        <v>29887.2981638456</v>
      </c>
      <c r="AF15" s="71" t="n">
        <f aca="false">IF(AF$5&lt;$D15,0,IF(AE15=0,$B15,AE15*(1+$C15)))</f>
        <v>30903.4663014164</v>
      </c>
      <c r="AG15" s="71" t="n">
        <f aca="false">IF(AG$5&lt;$D15,0,IF(AF15=0,$B15,AF15*(1+$C15)))</f>
        <v>31954.1841556645</v>
      </c>
      <c r="AH15" s="71" t="n">
        <f aca="false">IF(AH$5&lt;$D15,0,IF(AG15=0,$B15,AG15*(1+$C15)))</f>
        <v>33040.6264169571</v>
      </c>
      <c r="AI15" s="71" t="n">
        <f aca="false">IF(AI$5&lt;$D15,0,IF(AH15=0,$B15,AH15*(1+$C15)))</f>
        <v>34164.0077151337</v>
      </c>
      <c r="AJ15" s="71" t="n">
        <f aca="false">IF(AJ$5&lt;$D15,0,IF(AI15=0,$B15,AI15*(1+$C15)))</f>
        <v>35325.5839774482</v>
      </c>
      <c r="AK15" s="71" t="n">
        <f aca="false">IF(AK$5&lt;$D15,0,IF(AJ15=0,$B15,AJ15*(1+$C15)))</f>
        <v>36526.6538326815</v>
      </c>
      <c r="AL15" s="71" t="n">
        <f aca="false">IF(AL$5&lt;$D15,0,IF(AK15=0,$B15,AK15*(1+$C15)))</f>
        <v>37768.5600629926</v>
      </c>
      <c r="AM15" s="71" t="n">
        <f aca="false">IF(AM$5&lt;$D15,0,IF(AL15=0,$B15,AL15*(1+$C15)))</f>
        <v>39052.6911051344</v>
      </c>
      <c r="AN15" s="71" t="n">
        <f aca="false">IF(AN$5&lt;$D15,0,IF(AM15=0,$B15,AM15*(1+$C15)))</f>
        <v>40380.482602709</v>
      </c>
      <c r="AO15" s="71" t="n">
        <f aca="false">IF(AO$5&lt;$D15,0,IF(AN15=0,$B15,AN15*(1+$C15)))</f>
        <v>41753.4190112011</v>
      </c>
      <c r="AP15" s="71" t="n">
        <f aca="false">IF(AP$5&lt;$D15,0,IF(AO15=0,$B15,AO15*(1+$C15)))</f>
        <v>43173.0352575819</v>
      </c>
      <c r="AQ15" s="71" t="n">
        <f aca="false">IF(AQ$5&lt;$D15,0,IF(AP15=0,$B15,AP15*(1+$C15)))</f>
        <v>44640.9184563397</v>
      </c>
      <c r="AR15" s="71" t="n">
        <f aca="false">IF(AR$5&lt;$D15,0,IF(AQ15=0,$B15,AQ15*(1+$C15)))</f>
        <v>46158.7096838552</v>
      </c>
      <c r="AS15" s="71" t="n">
        <f aca="false">IF(AS$5&lt;$D15,0,IF(AR15=0,$B15,AR15*(1+$C15)))</f>
        <v>47728.1058131063</v>
      </c>
      <c r="AT15" s="71" t="n">
        <f aca="false">IF(AT$5&lt;$D15,0,IF(AS15=0,$B15,AS15*(1+$C15)))</f>
        <v>49350.8614107519</v>
      </c>
      <c r="AU15" s="71" t="n">
        <f aca="false">IF(AU$5&lt;$D15,0,IF(AT15=0,$B15,AT15*(1+$C15)))</f>
        <v>51028.7906987175</v>
      </c>
      <c r="AV15" s="71" t="n">
        <f aca="false">IF(AV$5&lt;$D15,0,IF(AU15=0,$B15,AU15*(1+$C15)))</f>
        <v>52763.7695824739</v>
      </c>
      <c r="AW15" s="71" t="n">
        <f aca="false">IF(AW$5&lt;$D15,0,IF(AV15=0,$B15,AV15*(1+$C15)))</f>
        <v>54557.737748278</v>
      </c>
      <c r="AX15" s="71" t="n">
        <f aca="false">IF(AX$5&lt;$D15,0,IF(AW15=0,$B15,AW15*(1+$C15)))</f>
        <v>56412.7008317195</v>
      </c>
      <c r="AY15" s="71" t="n">
        <f aca="false">IF(AY$5&lt;$D15,0,IF(AX15=0,$B15,AX15*(1+$C15)))</f>
        <v>58330.7326599979</v>
      </c>
      <c r="AZ15" s="71" t="n">
        <f aca="false">IF(AZ$5&lt;$D15,0,IF(AY15=0,$B15,AY15*(1+$C15)))</f>
        <v>60313.9775704379</v>
      </c>
      <c r="BA15" s="71" t="n">
        <f aca="false">IF(BA$5&lt;$D15,0,IF(AZ15=0,$B15,AZ15*(1+$C15)))</f>
        <v>62364.6528078327</v>
      </c>
      <c r="BB15" s="71" t="n">
        <f aca="false">IF(BB$5&lt;$D15,0,IF(BA15=0,$B15,BA15*(1+$C15)))</f>
        <v>64485.0510032991</v>
      </c>
      <c r="BC15" s="71" t="n">
        <f aca="false">IF(BC$5&lt;$D15,0,IF(BB15=0,$B15,BB15*(1+$C15)))</f>
        <v>66677.5427374112</v>
      </c>
      <c r="BD15" s="71" t="n">
        <f aca="false">IF(BD$5&lt;$D15,0,IF(BC15=0,$B15,BC15*(1+$C15)))</f>
        <v>68944.5791904832</v>
      </c>
      <c r="BE15" s="71" t="n">
        <f aca="false">IF(BE$5&lt;$D15,0,IF(BD15=0,$B15,BD15*(1+$C15)))</f>
        <v>71288.6948829597</v>
      </c>
      <c r="BF15" s="71" t="n">
        <f aca="false">IF(BF$5&lt;$D15,0,IF(BE15=0,$B15,BE15*(1+$C15)))</f>
        <v>73712.5105089803</v>
      </c>
      <c r="BG15" s="71" t="n">
        <f aca="false">IF(BG$5&lt;$D15,0,IF(BF15=0,$B15,BF15*(1+$C15)))</f>
        <v>76218.7358662856</v>
      </c>
      <c r="BH15" s="71" t="n">
        <f aca="false">IF(BH$5&lt;$D15,0,IF(BG15=0,$B15,BG15*(1+$C15)))</f>
        <v>78810.1728857393</v>
      </c>
      <c r="BI15" s="71" t="n">
        <f aca="false">IF(BI$5&lt;$D15,0,IF(BH15=0,$B15,BH15*(1+$C15)))</f>
        <v>81489.7187638545</v>
      </c>
      <c r="BJ15" s="71" t="n">
        <f aca="false">IF(BJ$5&lt;$D15,0,IF(BI15=0,$B15,BI15*(1+$C15)))</f>
        <v>84260.3692018255</v>
      </c>
      <c r="BK15" s="71" t="n">
        <f aca="false">IF(BK$5&lt;$D15,0,IF(BJ15=0,$B15,BJ15*(1+$C15)))</f>
        <v>87125.2217546876</v>
      </c>
      <c r="BL15" s="71" t="n">
        <f aca="false">IF(BL$5&lt;$D15,0,IF(BK15=0,$B15,BK15*(1+$C15)))</f>
        <v>90087.479294347</v>
      </c>
      <c r="BM15" s="72" t="n">
        <f aca="false">BL15</f>
        <v>90087.479294347</v>
      </c>
      <c r="BN15" s="35" t="s">
        <v>133</v>
      </c>
    </row>
    <row r="16" customFormat="false" ht="19.4" hidden="false" customHeight="false" outlineLevel="0" collapsed="false">
      <c r="A16" s="37" t="s">
        <v>134</v>
      </c>
      <c r="B16" s="50" t="n">
        <v>0.08</v>
      </c>
      <c r="C16" s="69" t="n">
        <v>-0.005</v>
      </c>
      <c r="D16" s="70" t="n">
        <v>12</v>
      </c>
      <c r="E16" s="73" t="n">
        <f aca="false">IF(E$5&lt;$D16,0,$B16)</f>
        <v>0</v>
      </c>
      <c r="F16" s="73" t="n">
        <f aca="false">IF(F$5&lt;$D16,0,IF(E16=0,$B16,E16*(1+$C16)))</f>
        <v>0</v>
      </c>
      <c r="G16" s="73" t="n">
        <f aca="false">IF(G$5&lt;$D16,0,IF(F16=0,$B16,F16*(1+$C16)))</f>
        <v>0</v>
      </c>
      <c r="H16" s="73" t="n">
        <f aca="false">IF(H$5&lt;$D16,0,IF(G16=0,$B16,G16*(1+$C16)))</f>
        <v>0</v>
      </c>
      <c r="I16" s="73" t="n">
        <f aca="false">IF(I$5&lt;$D16,0,IF(H16=0,$B16,H16*(1+$C16)))</f>
        <v>0</v>
      </c>
      <c r="J16" s="73" t="n">
        <f aca="false">IF(J$5&lt;$D16,0,IF(I16=0,$B16,I16*(1+$C16)))</f>
        <v>0</v>
      </c>
      <c r="K16" s="73" t="n">
        <f aca="false">IF(K$5&lt;$D16,0,IF(J16=0,$B16,J16*(1+$C16)))</f>
        <v>0</v>
      </c>
      <c r="L16" s="73" t="n">
        <f aca="false">IF(L$5&lt;$D16,0,IF(K16=0,$B16,K16*(1+$C16)))</f>
        <v>0</v>
      </c>
      <c r="M16" s="73" t="n">
        <f aca="false">IF(M$5&lt;$D16,0,IF(L16=0,$B16,L16*(1+$C16)))</f>
        <v>0</v>
      </c>
      <c r="N16" s="73" t="n">
        <f aca="false">IF(N$5&lt;$D16,0,IF(M16=0,$B16,M16*(1+$C16)))</f>
        <v>0</v>
      </c>
      <c r="O16" s="73" t="n">
        <f aca="false">IF(O$5&lt;$D16,0,IF(N16=0,$B16,N16*(1+$C16)))</f>
        <v>0</v>
      </c>
      <c r="P16" s="73" t="n">
        <f aca="false">IF(P$5&lt;$D16,0,IF(O16=0,$B16,O16*(1+$C16)))</f>
        <v>0.08</v>
      </c>
      <c r="Q16" s="73" t="n">
        <f aca="false">IF(Q$5&lt;$D16,0,IF(P16=0,$B16,P16*(1+$C16)))</f>
        <v>0.0796</v>
      </c>
      <c r="R16" s="73" t="n">
        <f aca="false">IF(R$5&lt;$D16,0,IF(Q16=0,$B16,Q16*(1+$C16)))</f>
        <v>0.079202</v>
      </c>
      <c r="S16" s="73" t="n">
        <f aca="false">IF(S$5&lt;$D16,0,IF(R16=0,$B16,R16*(1+$C16)))</f>
        <v>0.07880599</v>
      </c>
      <c r="T16" s="73" t="n">
        <f aca="false">IF(T$5&lt;$D16,0,IF(S16=0,$B16,S16*(1+$C16)))</f>
        <v>0.07841196005</v>
      </c>
      <c r="U16" s="73" t="n">
        <f aca="false">IF(U$5&lt;$D16,0,IF(T16=0,$B16,T16*(1+$C16)))</f>
        <v>0.07801990024975</v>
      </c>
      <c r="V16" s="73" t="n">
        <f aca="false">IF(V$5&lt;$D16,0,IF(U16=0,$B16,U16*(1+$C16)))</f>
        <v>0.0776298007485013</v>
      </c>
      <c r="W16" s="73" t="n">
        <f aca="false">IF(W$5&lt;$D16,0,IF(V16=0,$B16,V16*(1+$C16)))</f>
        <v>0.0772416517447587</v>
      </c>
      <c r="X16" s="73" t="n">
        <f aca="false">IF(X$5&lt;$D16,0,IF(W16=0,$B16,W16*(1+$C16)))</f>
        <v>0.0768554434860349</v>
      </c>
      <c r="Y16" s="73" t="n">
        <f aca="false">IF(Y$5&lt;$D16,0,IF(X16=0,$B16,X16*(1+$C16)))</f>
        <v>0.0764711662686048</v>
      </c>
      <c r="Z16" s="73" t="n">
        <f aca="false">IF(Z$5&lt;$D16,0,IF(Y16=0,$B16,Y16*(1+$C16)))</f>
        <v>0.0760888104372618</v>
      </c>
      <c r="AA16" s="73" t="n">
        <f aca="false">IF(AA$5&lt;$D16,0,IF(Z16=0,$B16,Z16*(1+$C16)))</f>
        <v>0.0757083663850754</v>
      </c>
      <c r="AB16" s="73" t="n">
        <f aca="false">IF(AB$5&lt;$D16,0,IF(AA16=0,$B16,AA16*(1+$C16)))</f>
        <v>0.0753298245531501</v>
      </c>
      <c r="AC16" s="73" t="n">
        <f aca="false">IF(AC$5&lt;$D16,0,IF(AB16=0,$B16,AB16*(1+$C16)))</f>
        <v>0.0749531754303843</v>
      </c>
      <c r="AD16" s="73" t="n">
        <f aca="false">IF(AD$5&lt;$D16,0,IF(AC16=0,$B16,AC16*(1+$C16)))</f>
        <v>0.0745784095532324</v>
      </c>
      <c r="AE16" s="73" t="n">
        <f aca="false">IF(AE$5&lt;$D16,0,IF(AD16=0,$B16,AD16*(1+$C16)))</f>
        <v>0.0742055175054662</v>
      </c>
      <c r="AF16" s="73" t="n">
        <f aca="false">IF(AF$5&lt;$D16,0,IF(AE16=0,$B16,AE16*(1+$C16)))</f>
        <v>0.0738344899179389</v>
      </c>
      <c r="AG16" s="73" t="n">
        <f aca="false">IF(AG$5&lt;$D16,0,IF(AF16=0,$B16,AF16*(1+$C16)))</f>
        <v>0.0734653174683492</v>
      </c>
      <c r="AH16" s="73" t="n">
        <f aca="false">IF(AH$5&lt;$D16,0,IF(AG16=0,$B16,AG16*(1+$C16)))</f>
        <v>0.0730979908810075</v>
      </c>
      <c r="AI16" s="73" t="n">
        <f aca="false">IF(AI$5&lt;$D16,0,IF(AH16=0,$B16,AH16*(1+$C16)))</f>
        <v>0.0727325009266024</v>
      </c>
      <c r="AJ16" s="73" t="n">
        <f aca="false">IF(AJ$5&lt;$D16,0,IF(AI16=0,$B16,AI16*(1+$C16)))</f>
        <v>0.0723688384219694</v>
      </c>
      <c r="AK16" s="73" t="n">
        <f aca="false">IF(AK$5&lt;$D16,0,IF(AJ16=0,$B16,AJ16*(1+$C16)))</f>
        <v>0.0720069942298596</v>
      </c>
      <c r="AL16" s="73" t="n">
        <f aca="false">IF(AL$5&lt;$D16,0,IF(AK16=0,$B16,AK16*(1+$C16)))</f>
        <v>0.0716469592587103</v>
      </c>
      <c r="AM16" s="73" t="n">
        <f aca="false">IF(AM$5&lt;$D16,0,IF(AL16=0,$B16,AL16*(1+$C16)))</f>
        <v>0.0712887244624167</v>
      </c>
      <c r="AN16" s="73" t="n">
        <f aca="false">IF(AN$5&lt;$D16,0,IF(AM16=0,$B16,AM16*(1+$C16)))</f>
        <v>0.0709322808401046</v>
      </c>
      <c r="AO16" s="73" t="n">
        <f aca="false">IF(AO$5&lt;$D16,0,IF(AN16=0,$B16,AN16*(1+$C16)))</f>
        <v>0.0705776194359041</v>
      </c>
      <c r="AP16" s="73" t="n">
        <f aca="false">IF(AP$5&lt;$D16,0,IF(AO16=0,$B16,AO16*(1+$C16)))</f>
        <v>0.0702247313387246</v>
      </c>
      <c r="AQ16" s="73" t="n">
        <f aca="false">IF(AQ$5&lt;$D16,0,IF(AP16=0,$B16,AP16*(1+$C16)))</f>
        <v>0.069873607682031</v>
      </c>
      <c r="AR16" s="73" t="n">
        <f aca="false">IF(AR$5&lt;$D16,0,IF(AQ16=0,$B16,AQ16*(1+$C16)))</f>
        <v>0.0695242396436208</v>
      </c>
      <c r="AS16" s="73" t="n">
        <f aca="false">IF(AS$5&lt;$D16,0,IF(AR16=0,$B16,AR16*(1+$C16)))</f>
        <v>0.0691766184454027</v>
      </c>
      <c r="AT16" s="73" t="n">
        <f aca="false">IF(AT$5&lt;$D16,0,IF(AS16=0,$B16,AS16*(1+$C16)))</f>
        <v>0.0688307353531757</v>
      </c>
      <c r="AU16" s="73" t="n">
        <f aca="false">IF(AU$5&lt;$D16,0,IF(AT16=0,$B16,AT16*(1+$C16)))</f>
        <v>0.0684865816764098</v>
      </c>
      <c r="AV16" s="73" t="n">
        <f aca="false">IF(AV$5&lt;$D16,0,IF(AU16=0,$B16,AU16*(1+$C16)))</f>
        <v>0.0681441487680278</v>
      </c>
      <c r="AW16" s="73" t="n">
        <f aca="false">IF(AW$5&lt;$D16,0,IF(AV16=0,$B16,AV16*(1+$C16)))</f>
        <v>0.0678034280241876</v>
      </c>
      <c r="AX16" s="73" t="n">
        <f aca="false">IF(AX$5&lt;$D16,0,IF(AW16=0,$B16,AW16*(1+$C16)))</f>
        <v>0.0674644108840667</v>
      </c>
      <c r="AY16" s="73" t="n">
        <f aca="false">IF(AY$5&lt;$D16,0,IF(AX16=0,$B16,AX16*(1+$C16)))</f>
        <v>0.0671270888296463</v>
      </c>
      <c r="AZ16" s="73" t="n">
        <f aca="false">IF(AZ$5&lt;$D16,0,IF(AY16=0,$B16,AY16*(1+$C16)))</f>
        <v>0.0667914533854981</v>
      </c>
      <c r="BA16" s="73" t="n">
        <f aca="false">IF(BA$5&lt;$D16,0,IF(AZ16=0,$B16,AZ16*(1+$C16)))</f>
        <v>0.0664574961185706</v>
      </c>
      <c r="BB16" s="73" t="n">
        <f aca="false">IF(BB$5&lt;$D16,0,IF(BA16=0,$B16,BA16*(1+$C16)))</f>
        <v>0.0661252086379778</v>
      </c>
      <c r="BC16" s="73" t="n">
        <f aca="false">IF(BC$5&lt;$D16,0,IF(BB16=0,$B16,BB16*(1+$C16)))</f>
        <v>0.0657945825947879</v>
      </c>
      <c r="BD16" s="73" t="n">
        <f aca="false">IF(BD$5&lt;$D16,0,IF(BC16=0,$B16,BC16*(1+$C16)))</f>
        <v>0.0654656096818139</v>
      </c>
      <c r="BE16" s="73" t="n">
        <f aca="false">IF(BE$5&lt;$D16,0,IF(BD16=0,$B16,BD16*(1+$C16)))</f>
        <v>0.0651382816334049</v>
      </c>
      <c r="BF16" s="73" t="n">
        <f aca="false">IF(BF$5&lt;$D16,0,IF(BE16=0,$B16,BE16*(1+$C16)))</f>
        <v>0.0648125902252378</v>
      </c>
      <c r="BG16" s="73" t="n">
        <f aca="false">IF(BG$5&lt;$D16,0,IF(BF16=0,$B16,BF16*(1+$C16)))</f>
        <v>0.0644885272741116</v>
      </c>
      <c r="BH16" s="73" t="n">
        <f aca="false">IF(BH$5&lt;$D16,0,IF(BG16=0,$B16,BG16*(1+$C16)))</f>
        <v>0.0641660846377411</v>
      </c>
      <c r="BI16" s="73" t="n">
        <f aca="false">IF(BI$5&lt;$D16,0,IF(BH16=0,$B16,BH16*(1+$C16)))</f>
        <v>0.0638452542145524</v>
      </c>
      <c r="BJ16" s="73" t="n">
        <f aca="false">IF(BJ$5&lt;$D16,0,IF(BI16=0,$B16,BI16*(1+$C16)))</f>
        <v>0.0635260279434796</v>
      </c>
      <c r="BK16" s="73" t="n">
        <f aca="false">IF(BK$5&lt;$D16,0,IF(BJ16=0,$B16,BJ16*(1+$C16)))</f>
        <v>0.0632083978037622</v>
      </c>
      <c r="BL16" s="73" t="n">
        <f aca="false">IF(BL$5&lt;$D16,0,IF(BK16=0,$B16,BK16*(1+$C16)))</f>
        <v>0.0628923558147434</v>
      </c>
      <c r="BM16" s="74" t="n">
        <f aca="false">BL16</f>
        <v>0.0628923558147434</v>
      </c>
      <c r="BN16" s="35" t="s">
        <v>135</v>
      </c>
    </row>
    <row r="17" customFormat="false" ht="28.35" hidden="false" customHeight="false" outlineLevel="0" collapsed="false">
      <c r="A17" s="37" t="s">
        <v>136</v>
      </c>
      <c r="B17" s="50" t="n">
        <v>0.005</v>
      </c>
      <c r="C17" s="69" t="n">
        <v>0.04</v>
      </c>
      <c r="D17" s="70" t="n">
        <v>12</v>
      </c>
      <c r="E17" s="73" t="n">
        <f aca="false">IF(E$5&lt;$D17,0,MIN(0.5,$B17))</f>
        <v>0</v>
      </c>
      <c r="F17" s="73" t="n">
        <f aca="false">IF(F$5&lt;$D17,0,MIN(0.5,IF(E17=0,$B17,E17*(1+$C17))))</f>
        <v>0</v>
      </c>
      <c r="G17" s="73" t="n">
        <f aca="false">IF(G$5&lt;$D17,0,MIN(0.5,IF(F17=0,$B17,F17*(1+$C17))))</f>
        <v>0</v>
      </c>
      <c r="H17" s="73" t="n">
        <f aca="false">IF(H$5&lt;$D17,0,MIN(0.5,IF(G17=0,$B17,G17*(1+$C17))))</f>
        <v>0</v>
      </c>
      <c r="I17" s="73" t="n">
        <f aca="false">IF(I$5&lt;$D17,0,MIN(0.5,IF(H17=0,$B17,H17*(1+$C17))))</f>
        <v>0</v>
      </c>
      <c r="J17" s="73" t="n">
        <f aca="false">IF(J$5&lt;$D17,0,MIN(0.5,IF(I17=0,$B17,I17*(1+$C17))))</f>
        <v>0</v>
      </c>
      <c r="K17" s="73" t="n">
        <f aca="false">IF(K$5&lt;$D17,0,MIN(0.5,IF(J17=0,$B17,J17*(1+$C17))))</f>
        <v>0</v>
      </c>
      <c r="L17" s="73" t="n">
        <f aca="false">IF(L$5&lt;$D17,0,MIN(0.5,IF(K17=0,$B17,K17*(1+$C17))))</f>
        <v>0</v>
      </c>
      <c r="M17" s="73" t="n">
        <f aca="false">IF(M$5&lt;$D17,0,MIN(0.5,IF(L17=0,$B17,L17*(1+$C17))))</f>
        <v>0</v>
      </c>
      <c r="N17" s="73" t="n">
        <f aca="false">IF(N$5&lt;$D17,0,MIN(0.5,IF(M17=0,$B17,M17*(1+$C17))))</f>
        <v>0</v>
      </c>
      <c r="O17" s="73" t="n">
        <f aca="false">IF(O$5&lt;$D17,0,MIN(0.5,IF(N17=0,$B17,N17*(1+$C17))))</f>
        <v>0</v>
      </c>
      <c r="P17" s="73" t="n">
        <f aca="false">IF(P$5&lt;$D17,0,MIN(0.5,IF(O17=0,$B17,O17*(1+$C17))))</f>
        <v>0.005</v>
      </c>
      <c r="Q17" s="73" t="n">
        <f aca="false">IF(Q$5&lt;$D17,0,MIN(0.5,IF(P17=0,$B17,P17*(1+$C17))))</f>
        <v>0.0052</v>
      </c>
      <c r="R17" s="73" t="n">
        <f aca="false">IF(R$5&lt;$D17,0,MIN(0.5,IF(Q17=0,$B17,Q17*(1+$C17))))</f>
        <v>0.005408</v>
      </c>
      <c r="S17" s="73" t="n">
        <f aca="false">IF(S$5&lt;$D17,0,MIN(0.5,IF(R17=0,$B17,R17*(1+$C17))))</f>
        <v>0.00562432</v>
      </c>
      <c r="T17" s="73" t="n">
        <f aca="false">IF(T$5&lt;$D17,0,MIN(0.5,IF(S17=0,$B17,S17*(1+$C17))))</f>
        <v>0.0058492928</v>
      </c>
      <c r="U17" s="73" t="n">
        <f aca="false">IF(U$5&lt;$D17,0,MIN(0.5,IF(T17=0,$B17,T17*(1+$C17))))</f>
        <v>0.006083264512</v>
      </c>
      <c r="V17" s="73" t="n">
        <f aca="false">IF(V$5&lt;$D17,0,MIN(0.5,IF(U17=0,$B17,U17*(1+$C17))))</f>
        <v>0.00632659509248</v>
      </c>
      <c r="W17" s="73" t="n">
        <f aca="false">IF(W$5&lt;$D17,0,MIN(0.5,IF(V17=0,$B17,V17*(1+$C17))))</f>
        <v>0.0065796588961792</v>
      </c>
      <c r="X17" s="73" t="n">
        <f aca="false">IF(X$5&lt;$D17,0,MIN(0.5,IF(W17=0,$B17,W17*(1+$C17))))</f>
        <v>0.00684284525202637</v>
      </c>
      <c r="Y17" s="73" t="n">
        <f aca="false">IF(Y$5&lt;$D17,0,MIN(0.5,IF(X17=0,$B17,X17*(1+$C17))))</f>
        <v>0.00711655906210743</v>
      </c>
      <c r="Z17" s="73" t="n">
        <f aca="false">IF(Z$5&lt;$D17,0,MIN(0.5,IF(Y17=0,$B17,Y17*(1+$C17))))</f>
        <v>0.00740122142459172</v>
      </c>
      <c r="AA17" s="73" t="n">
        <f aca="false">IF(AA$5&lt;$D17,0,MIN(0.5,IF(Z17=0,$B17,Z17*(1+$C17))))</f>
        <v>0.00769727028157539</v>
      </c>
      <c r="AB17" s="73" t="n">
        <f aca="false">IF(AB$5&lt;$D17,0,MIN(0.5,IF(AA17=0,$B17,AA17*(1+$C17))))</f>
        <v>0.00800516109283841</v>
      </c>
      <c r="AC17" s="73" t="n">
        <f aca="false">IF(AC$5&lt;$D17,0,MIN(0.5,IF(AB17=0,$B17,AB17*(1+$C17))))</f>
        <v>0.00832536753655194</v>
      </c>
      <c r="AD17" s="73" t="n">
        <f aca="false">IF(AD$5&lt;$D17,0,MIN(0.5,IF(AC17=0,$B17,AC17*(1+$C17))))</f>
        <v>0.00865838223801402</v>
      </c>
      <c r="AE17" s="73" t="n">
        <f aca="false">IF(AE$5&lt;$D17,0,MIN(0.5,IF(AD17=0,$B17,AD17*(1+$C17))))</f>
        <v>0.00900471752753458</v>
      </c>
      <c r="AF17" s="73" t="n">
        <f aca="false">IF(AF$5&lt;$D17,0,MIN(0.5,IF(AE17=0,$B17,AE17*(1+$C17))))</f>
        <v>0.00936490622863597</v>
      </c>
      <c r="AG17" s="73" t="n">
        <f aca="false">IF(AG$5&lt;$D17,0,MIN(0.5,IF(AF17=0,$B17,AF17*(1+$C17))))</f>
        <v>0.00973950247778141</v>
      </c>
      <c r="AH17" s="73" t="n">
        <f aca="false">IF(AH$5&lt;$D17,0,MIN(0.5,IF(AG17=0,$B17,AG17*(1+$C17))))</f>
        <v>0.0101290825768927</v>
      </c>
      <c r="AI17" s="73" t="n">
        <f aca="false">IF(AI$5&lt;$D17,0,MIN(0.5,IF(AH17=0,$B17,AH17*(1+$C17))))</f>
        <v>0.0105342458799684</v>
      </c>
      <c r="AJ17" s="73" t="n">
        <f aca="false">IF(AJ$5&lt;$D17,0,MIN(0.5,IF(AI17=0,$B17,AI17*(1+$C17))))</f>
        <v>0.0109556157151671</v>
      </c>
      <c r="AK17" s="73" t="n">
        <f aca="false">IF(AK$5&lt;$D17,0,MIN(0.5,IF(AJ17=0,$B17,AJ17*(1+$C17))))</f>
        <v>0.0113938403437738</v>
      </c>
      <c r="AL17" s="73" t="n">
        <f aca="false">IF(AL$5&lt;$D17,0,MIN(0.5,IF(AK17=0,$B17,AK17*(1+$C17))))</f>
        <v>0.0118495939575247</v>
      </c>
      <c r="AM17" s="73" t="n">
        <f aca="false">IF(AM$5&lt;$D17,0,MIN(0.5,IF(AL17=0,$B17,AL17*(1+$C17))))</f>
        <v>0.0123235777158257</v>
      </c>
      <c r="AN17" s="73" t="n">
        <f aca="false">IF(AN$5&lt;$D17,0,MIN(0.5,IF(AM17=0,$B17,AM17*(1+$C17))))</f>
        <v>0.0128165208244588</v>
      </c>
      <c r="AO17" s="73" t="n">
        <f aca="false">IF(AO$5&lt;$D17,0,MIN(0.5,IF(AN17=0,$B17,AN17*(1+$C17))))</f>
        <v>0.0133291816574371</v>
      </c>
      <c r="AP17" s="73" t="n">
        <f aca="false">IF(AP$5&lt;$D17,0,MIN(0.5,IF(AO17=0,$B17,AO17*(1+$C17))))</f>
        <v>0.0138623489237346</v>
      </c>
      <c r="AQ17" s="73" t="n">
        <f aca="false">IF(AQ$5&lt;$D17,0,MIN(0.5,IF(AP17=0,$B17,AP17*(1+$C17))))</f>
        <v>0.014416842880684</v>
      </c>
      <c r="AR17" s="73" t="n">
        <f aca="false">IF(AR$5&lt;$D17,0,MIN(0.5,IF(AQ17=0,$B17,AQ17*(1+$C17))))</f>
        <v>0.0149935165959113</v>
      </c>
      <c r="AS17" s="73" t="n">
        <f aca="false">IF(AS$5&lt;$D17,0,MIN(0.5,IF(AR17=0,$B17,AR17*(1+$C17))))</f>
        <v>0.0155932572597478</v>
      </c>
      <c r="AT17" s="73" t="n">
        <f aca="false">IF(AT$5&lt;$D17,0,MIN(0.5,IF(AS17=0,$B17,AS17*(1+$C17))))</f>
        <v>0.0162169875501377</v>
      </c>
      <c r="AU17" s="73" t="n">
        <f aca="false">IF(AU$5&lt;$D17,0,MIN(0.5,IF(AT17=0,$B17,AT17*(1+$C17))))</f>
        <v>0.0168656670521432</v>
      </c>
      <c r="AV17" s="73" t="n">
        <f aca="false">IF(AV$5&lt;$D17,0,MIN(0.5,IF(AU17=0,$B17,AU17*(1+$C17))))</f>
        <v>0.0175402937342289</v>
      </c>
      <c r="AW17" s="73" t="n">
        <f aca="false">IF(AW$5&lt;$D17,0,MIN(0.5,IF(AV17=0,$B17,AV17*(1+$C17))))</f>
        <v>0.0182419054835981</v>
      </c>
      <c r="AX17" s="73" t="n">
        <f aca="false">IF(AX$5&lt;$D17,0,MIN(0.5,IF(AW17=0,$B17,AW17*(1+$C17))))</f>
        <v>0.018971581702942</v>
      </c>
      <c r="AY17" s="73" t="n">
        <f aca="false">IF(AY$5&lt;$D17,0,MIN(0.5,IF(AX17=0,$B17,AX17*(1+$C17))))</f>
        <v>0.0197304449710597</v>
      </c>
      <c r="AZ17" s="73" t="n">
        <f aca="false">IF(AZ$5&lt;$D17,0,MIN(0.5,IF(AY17=0,$B17,AY17*(1+$C17))))</f>
        <v>0.0205196627699021</v>
      </c>
      <c r="BA17" s="73" t="n">
        <f aca="false">IF(BA$5&lt;$D17,0,MIN(0.5,IF(AZ17=0,$B17,AZ17*(1+$C17))))</f>
        <v>0.0213404492806982</v>
      </c>
      <c r="BB17" s="73" t="n">
        <f aca="false">IF(BB$5&lt;$D17,0,MIN(0.5,IF(BA17=0,$B17,BA17*(1+$C17))))</f>
        <v>0.0221940672519261</v>
      </c>
      <c r="BC17" s="73" t="n">
        <f aca="false">IF(BC$5&lt;$D17,0,MIN(0.5,IF(BB17=0,$B17,BB17*(1+$C17))))</f>
        <v>0.0230818299420032</v>
      </c>
      <c r="BD17" s="73" t="n">
        <f aca="false">IF(BD$5&lt;$D17,0,MIN(0.5,IF(BC17=0,$B17,BC17*(1+$C17))))</f>
        <v>0.0240051031396833</v>
      </c>
      <c r="BE17" s="73" t="n">
        <f aca="false">IF(BE$5&lt;$D17,0,MIN(0.5,IF(BD17=0,$B17,BD17*(1+$C17))))</f>
        <v>0.0249653072652706</v>
      </c>
      <c r="BF17" s="73" t="n">
        <f aca="false">IF(BF$5&lt;$D17,0,MIN(0.5,IF(BE17=0,$B17,BE17*(1+$C17))))</f>
        <v>0.0259639195558814</v>
      </c>
      <c r="BG17" s="73" t="n">
        <f aca="false">IF(BG$5&lt;$D17,0,MIN(0.5,IF(BF17=0,$B17,BF17*(1+$C17))))</f>
        <v>0.0270024763381167</v>
      </c>
      <c r="BH17" s="73" t="n">
        <f aca="false">IF(BH$5&lt;$D17,0,MIN(0.5,IF(BG17=0,$B17,BG17*(1+$C17))))</f>
        <v>0.0280825753916414</v>
      </c>
      <c r="BI17" s="73" t="n">
        <f aca="false">IF(BI$5&lt;$D17,0,MIN(0.5,IF(BH17=0,$B17,BH17*(1+$C17))))</f>
        <v>0.029205878407307</v>
      </c>
      <c r="BJ17" s="73" t="n">
        <f aca="false">IF(BJ$5&lt;$D17,0,MIN(0.5,IF(BI17=0,$B17,BI17*(1+$C17))))</f>
        <v>0.0303741135435993</v>
      </c>
      <c r="BK17" s="73" t="n">
        <f aca="false">IF(BK$5&lt;$D17,0,MIN(0.5,IF(BJ17=0,$B17,BJ17*(1+$C17))))</f>
        <v>0.0315890780853433</v>
      </c>
      <c r="BL17" s="73" t="n">
        <f aca="false">IF(BL$5&lt;$D17,0,MIN(0.5,IF(BK17=0,$B17,BK17*(1+$C17))))</f>
        <v>0.032852641208757</v>
      </c>
      <c r="BM17" s="74" t="n">
        <f aca="false">BL17</f>
        <v>0.032852641208757</v>
      </c>
      <c r="BN17" s="35" t="s">
        <v>137</v>
      </c>
    </row>
    <row r="18" customFormat="false" ht="19.4" hidden="false" customHeight="false" outlineLevel="0" collapsed="false">
      <c r="A18" s="37" t="s">
        <v>138</v>
      </c>
      <c r="B18" s="75" t="n">
        <v>39.9</v>
      </c>
      <c r="C18" s="69" t="n">
        <v>0</v>
      </c>
      <c r="D18" s="70" t="n">
        <v>12</v>
      </c>
      <c r="E18" s="76" t="n">
        <f aca="false">IF(E$5&lt;$D18,0,$B18)</f>
        <v>0</v>
      </c>
      <c r="F18" s="76" t="n">
        <f aca="false">IF(F$5&lt;$D18,0,IF(E18=0,$B18,E18*(1+$C18)))</f>
        <v>0</v>
      </c>
      <c r="G18" s="76" t="n">
        <f aca="false">IF(G$5&lt;$D18,0,IF(F18=0,$B18,F18*(1+$C18)))</f>
        <v>0</v>
      </c>
      <c r="H18" s="76" t="n">
        <f aca="false">IF(H$5&lt;$D18,0,IF(G18=0,$B18,G18*(1+$C18)))</f>
        <v>0</v>
      </c>
      <c r="I18" s="76" t="n">
        <f aca="false">IF(I$5&lt;$D18,0,IF(H18=0,$B18,H18*(1+$C18)))</f>
        <v>0</v>
      </c>
      <c r="J18" s="76" t="n">
        <f aca="false">IF(J$5&lt;$D18,0,IF(I18=0,$B18,I18*(1+$C18)))</f>
        <v>0</v>
      </c>
      <c r="K18" s="76" t="n">
        <f aca="false">IF(K$5&lt;$D18,0,IF(J18=0,$B18,J18*(1+$C18)))</f>
        <v>0</v>
      </c>
      <c r="L18" s="76" t="n">
        <f aca="false">IF(L$5&lt;$D18,0,IF(K18=0,$B18,K18*(1+$C18)))</f>
        <v>0</v>
      </c>
      <c r="M18" s="76" t="n">
        <f aca="false">IF(M$5&lt;$D18,0,IF(L18=0,$B18,L18*(1+$C18)))</f>
        <v>0</v>
      </c>
      <c r="N18" s="76" t="n">
        <f aca="false">IF(N$5&lt;$D18,0,IF(M18=0,$B18,M18*(1+$C18)))</f>
        <v>0</v>
      </c>
      <c r="O18" s="76" t="n">
        <f aca="false">IF(O$5&lt;$D18,0,IF(N18=0,$B18,N18*(1+$C18)))</f>
        <v>0</v>
      </c>
      <c r="P18" s="76" t="n">
        <f aca="false">IF(P$5&lt;$D18,0,IF(O18=0,$B18,O18*(1+$C18)))</f>
        <v>39.9</v>
      </c>
      <c r="Q18" s="76" t="n">
        <f aca="false">IF(Q$5&lt;$D18,0,IF(P18=0,$B18,P18*(1+$C18)))</f>
        <v>39.9</v>
      </c>
      <c r="R18" s="76" t="n">
        <f aca="false">IF(R$5&lt;$D18,0,IF(Q18=0,$B18,Q18*(1+$C18)))</f>
        <v>39.9</v>
      </c>
      <c r="S18" s="76" t="n">
        <f aca="false">IF(S$5&lt;$D18,0,IF(R18=0,$B18,R18*(1+$C18)))</f>
        <v>39.9</v>
      </c>
      <c r="T18" s="76" t="n">
        <f aca="false">IF(T$5&lt;$D18,0,IF(S18=0,$B18,S18*(1+$C18)))</f>
        <v>39.9</v>
      </c>
      <c r="U18" s="76" t="n">
        <f aca="false">IF(U$5&lt;$D18,0,IF(T18=0,$B18,T18*(1+$C18)))</f>
        <v>39.9</v>
      </c>
      <c r="V18" s="76" t="n">
        <f aca="false">IF(V$5&lt;$D18,0,IF(U18=0,$B18,U18*(1+$C18)))</f>
        <v>39.9</v>
      </c>
      <c r="W18" s="76" t="n">
        <f aca="false">IF(W$5&lt;$D18,0,IF(V18=0,$B18,V18*(1+$C18)))</f>
        <v>39.9</v>
      </c>
      <c r="X18" s="76" t="n">
        <f aca="false">IF(X$5&lt;$D18,0,IF(W18=0,$B18,W18*(1+$C18)))</f>
        <v>39.9</v>
      </c>
      <c r="Y18" s="76" t="n">
        <f aca="false">IF(Y$5&lt;$D18,0,IF(X18=0,$B18,X18*(1+$C18)))</f>
        <v>39.9</v>
      </c>
      <c r="Z18" s="76" t="n">
        <f aca="false">IF(Z$5&lt;$D18,0,IF(Y18=0,$B18,Y18*(1+$C18)))</f>
        <v>39.9</v>
      </c>
      <c r="AA18" s="76" t="n">
        <f aca="false">IF(AA$5&lt;$D18,0,IF(Z18=0,$B18,Z18*(1+$C18)))</f>
        <v>39.9</v>
      </c>
      <c r="AB18" s="76" t="n">
        <f aca="false">IF(AB$5&lt;$D18,0,IF(AA18=0,$B18,AA18*(1+$C18)))</f>
        <v>39.9</v>
      </c>
      <c r="AC18" s="76" t="n">
        <f aca="false">IF(AC$5&lt;$D18,0,IF(AB18=0,$B18,AB18*(1+$C18)))</f>
        <v>39.9</v>
      </c>
      <c r="AD18" s="76" t="n">
        <f aca="false">IF(AD$5&lt;$D18,0,IF(AC18=0,$B18,AC18*(1+$C18)))</f>
        <v>39.9</v>
      </c>
      <c r="AE18" s="76" t="n">
        <f aca="false">IF(AE$5&lt;$D18,0,IF(AD18=0,$B18,AD18*(1+$C18)))</f>
        <v>39.9</v>
      </c>
      <c r="AF18" s="76" t="n">
        <f aca="false">IF(AF$5&lt;$D18,0,IF(AE18=0,$B18,AE18*(1+$C18)))</f>
        <v>39.9</v>
      </c>
      <c r="AG18" s="76" t="n">
        <f aca="false">IF(AG$5&lt;$D18,0,IF(AF18=0,$B18,AF18*(1+$C18)))</f>
        <v>39.9</v>
      </c>
      <c r="AH18" s="76" t="n">
        <f aca="false">IF(AH$5&lt;$D18,0,IF(AG18=0,$B18,AG18*(1+$C18)))</f>
        <v>39.9</v>
      </c>
      <c r="AI18" s="76" t="n">
        <f aca="false">IF(AI$5&lt;$D18,0,IF(AH18=0,$B18,AH18*(1+$C18)))</f>
        <v>39.9</v>
      </c>
      <c r="AJ18" s="76" t="n">
        <f aca="false">IF(AJ$5&lt;$D18,0,IF(AI18=0,$B18,AI18*(1+$C18)))</f>
        <v>39.9</v>
      </c>
      <c r="AK18" s="76" t="n">
        <f aca="false">IF(AK$5&lt;$D18,0,IF(AJ18=0,$B18,AJ18*(1+$C18)))</f>
        <v>39.9</v>
      </c>
      <c r="AL18" s="76" t="n">
        <f aca="false">IF(AL$5&lt;$D18,0,IF(AK18=0,$B18,AK18*(1+$C18)))</f>
        <v>39.9</v>
      </c>
      <c r="AM18" s="76" t="n">
        <f aca="false">IF(AM$5&lt;$D18,0,IF(AL18=0,$B18,AL18*(1+$C18)))</f>
        <v>39.9</v>
      </c>
      <c r="AN18" s="76" t="n">
        <f aca="false">IF(AN$5&lt;$D18,0,IF(AM18=0,$B18,AM18*(1+$C18)))</f>
        <v>39.9</v>
      </c>
      <c r="AO18" s="76" t="n">
        <f aca="false">IF(AO$5&lt;$D18,0,IF(AN18=0,$B18,AN18*(1+$C18)))</f>
        <v>39.9</v>
      </c>
      <c r="AP18" s="76" t="n">
        <f aca="false">IF(AP$5&lt;$D18,0,IF(AO18=0,$B18,AO18*(1+$C18)))</f>
        <v>39.9</v>
      </c>
      <c r="AQ18" s="76" t="n">
        <f aca="false">IF(AQ$5&lt;$D18,0,IF(AP18=0,$B18,AP18*(1+$C18)))</f>
        <v>39.9</v>
      </c>
      <c r="AR18" s="76" t="n">
        <f aca="false">IF(AR$5&lt;$D18,0,IF(AQ18=0,$B18,AQ18*(1+$C18)))</f>
        <v>39.9</v>
      </c>
      <c r="AS18" s="76" t="n">
        <f aca="false">IF(AS$5&lt;$D18,0,IF(AR18=0,$B18,AR18*(1+$C18)))</f>
        <v>39.9</v>
      </c>
      <c r="AT18" s="76" t="n">
        <f aca="false">IF(AT$5&lt;$D18,0,IF(AS18=0,$B18,AS18*(1+$C18)))</f>
        <v>39.9</v>
      </c>
      <c r="AU18" s="76" t="n">
        <f aca="false">IF(AU$5&lt;$D18,0,IF(AT18=0,$B18,AT18*(1+$C18)))</f>
        <v>39.9</v>
      </c>
      <c r="AV18" s="76" t="n">
        <f aca="false">IF(AV$5&lt;$D18,0,IF(AU18=0,$B18,AU18*(1+$C18)))</f>
        <v>39.9</v>
      </c>
      <c r="AW18" s="76" t="n">
        <f aca="false">IF(AW$5&lt;$D18,0,IF(AV18=0,$B18,AV18*(1+$C18)))</f>
        <v>39.9</v>
      </c>
      <c r="AX18" s="76" t="n">
        <f aca="false">IF(AX$5&lt;$D18,0,IF(AW18=0,$B18,AW18*(1+$C18)))</f>
        <v>39.9</v>
      </c>
      <c r="AY18" s="76" t="n">
        <f aca="false">IF(AY$5&lt;$D18,0,IF(AX18=0,$B18,AX18*(1+$C18)))</f>
        <v>39.9</v>
      </c>
      <c r="AZ18" s="76" t="n">
        <f aca="false">IF(AZ$5&lt;$D18,0,IF(AY18=0,$B18,AY18*(1+$C18)))</f>
        <v>39.9</v>
      </c>
      <c r="BA18" s="76" t="n">
        <f aca="false">IF(BA$5&lt;$D18,0,IF(AZ18=0,$B18,AZ18*(1+$C18)))</f>
        <v>39.9</v>
      </c>
      <c r="BB18" s="76" t="n">
        <f aca="false">IF(BB$5&lt;$D18,0,IF(BA18=0,$B18,BA18*(1+$C18)))</f>
        <v>39.9</v>
      </c>
      <c r="BC18" s="76" t="n">
        <f aca="false">IF(BC$5&lt;$D18,0,IF(BB18=0,$B18,BB18*(1+$C18)))</f>
        <v>39.9</v>
      </c>
      <c r="BD18" s="76" t="n">
        <f aca="false">IF(BD$5&lt;$D18,0,IF(BC18=0,$B18,BC18*(1+$C18)))</f>
        <v>39.9</v>
      </c>
      <c r="BE18" s="76" t="n">
        <f aca="false">IF(BE$5&lt;$D18,0,IF(BD18=0,$B18,BD18*(1+$C18)))</f>
        <v>39.9</v>
      </c>
      <c r="BF18" s="76" t="n">
        <f aca="false">IF(BF$5&lt;$D18,0,IF(BE18=0,$B18,BE18*(1+$C18)))</f>
        <v>39.9</v>
      </c>
      <c r="BG18" s="76" t="n">
        <f aca="false">IF(BG$5&lt;$D18,0,IF(BF18=0,$B18,BF18*(1+$C18)))</f>
        <v>39.9</v>
      </c>
      <c r="BH18" s="76" t="n">
        <f aca="false">IF(BH$5&lt;$D18,0,IF(BG18=0,$B18,BG18*(1+$C18)))</f>
        <v>39.9</v>
      </c>
      <c r="BI18" s="76" t="n">
        <f aca="false">IF(BI$5&lt;$D18,0,IF(BH18=0,$B18,BH18*(1+$C18)))</f>
        <v>39.9</v>
      </c>
      <c r="BJ18" s="76" t="n">
        <f aca="false">IF(BJ$5&lt;$D18,0,IF(BI18=0,$B18,BI18*(1+$C18)))</f>
        <v>39.9</v>
      </c>
      <c r="BK18" s="76" t="n">
        <f aca="false">IF(BK$5&lt;$D18,0,IF(BJ18=0,$B18,BJ18*(1+$C18)))</f>
        <v>39.9</v>
      </c>
      <c r="BL18" s="76" t="n">
        <f aca="false">IF(BL$5&lt;$D18,0,IF(BK18=0,$B18,BK18*(1+$C18)))</f>
        <v>39.9</v>
      </c>
      <c r="BM18" s="77" t="n">
        <f aca="false">BL18</f>
        <v>39.9</v>
      </c>
      <c r="BN18" s="35" t="s">
        <v>139</v>
      </c>
    </row>
    <row r="20" customFormat="false" ht="18" hidden="false" customHeight="true" outlineLevel="0" collapsed="false">
      <c r="A20" s="19" t="s">
        <v>140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</row>
    <row r="21" customFormat="false" ht="15" hidden="false" customHeight="false" outlineLevel="0" collapsed="false">
      <c r="A21" s="37" t="s">
        <v>141</v>
      </c>
      <c r="E21" s="78" t="n">
        <f aca="false">0</f>
        <v>0</v>
      </c>
      <c r="F21" s="78" t="n">
        <f aca="false">E24</f>
        <v>0</v>
      </c>
      <c r="G21" s="78" t="n">
        <f aca="false">F24</f>
        <v>0</v>
      </c>
      <c r="H21" s="78" t="n">
        <f aca="false">G24</f>
        <v>0</v>
      </c>
      <c r="I21" s="78" t="n">
        <f aca="false">H24</f>
        <v>0</v>
      </c>
      <c r="J21" s="78" t="n">
        <f aca="false">I24</f>
        <v>0</v>
      </c>
      <c r="K21" s="78" t="n">
        <f aca="false">J24</f>
        <v>0</v>
      </c>
      <c r="L21" s="78" t="n">
        <f aca="false">K24</f>
        <v>0</v>
      </c>
      <c r="M21" s="78" t="n">
        <f aca="false">L24</f>
        <v>0</v>
      </c>
      <c r="N21" s="78" t="n">
        <f aca="false">M24</f>
        <v>0</v>
      </c>
      <c r="O21" s="78" t="n">
        <f aca="false">N24</f>
        <v>0</v>
      </c>
      <c r="P21" s="78" t="n">
        <f aca="false">O24</f>
        <v>0</v>
      </c>
      <c r="Q21" s="78" t="n">
        <f aca="false">P24</f>
        <v>18100</v>
      </c>
      <c r="R21" s="78" t="n">
        <f aca="false">Q24</f>
        <v>35374</v>
      </c>
      <c r="S21" s="78" t="n">
        <f aca="false">R24</f>
        <v>51924</v>
      </c>
      <c r="T21" s="78" t="n">
        <f aca="false">S24</f>
        <v>67842</v>
      </c>
      <c r="U21" s="78" t="n">
        <f aca="false">T24</f>
        <v>83212</v>
      </c>
      <c r="V21" s="78" t="n">
        <f aca="false">U24</f>
        <v>98113</v>
      </c>
      <c r="W21" s="78" t="n">
        <f aca="false">V24</f>
        <v>112618</v>
      </c>
      <c r="X21" s="78" t="n">
        <f aca="false">W24</f>
        <v>126792</v>
      </c>
      <c r="Y21" s="78" t="n">
        <f aca="false">X24</f>
        <v>140698</v>
      </c>
      <c r="Z21" s="78" t="n">
        <f aca="false">Y24</f>
        <v>154394</v>
      </c>
      <c r="AA21" s="78" t="n">
        <f aca="false">Z24</f>
        <v>167932</v>
      </c>
      <c r="AB21" s="78" t="n">
        <f aca="false">AA24</f>
        <v>181364</v>
      </c>
      <c r="AC21" s="78" t="n">
        <f aca="false">AB24</f>
        <v>194737</v>
      </c>
      <c r="AD21" s="78" t="n">
        <f aca="false">AC24</f>
        <v>208095</v>
      </c>
      <c r="AE21" s="78" t="n">
        <f aca="false">AD24</f>
        <v>221481</v>
      </c>
      <c r="AF21" s="78" t="n">
        <f aca="false">AE24</f>
        <v>234933</v>
      </c>
      <c r="AG21" s="78" t="n">
        <f aca="false">AF24</f>
        <v>248490</v>
      </c>
      <c r="AH21" s="78" t="n">
        <f aca="false">AG24</f>
        <v>262189</v>
      </c>
      <c r="AI21" s="78" t="n">
        <f aca="false">AH24</f>
        <v>276065</v>
      </c>
      <c r="AJ21" s="78" t="n">
        <f aca="false">AI24</f>
        <v>290150</v>
      </c>
      <c r="AK21" s="78" t="n">
        <f aca="false">AJ24</f>
        <v>304478</v>
      </c>
      <c r="AL21" s="78" t="n">
        <f aca="false">AK24</f>
        <v>319080</v>
      </c>
      <c r="AM21" s="78" t="n">
        <f aca="false">AL24</f>
        <v>333988</v>
      </c>
      <c r="AN21" s="78" t="n">
        <f aca="false">AM24</f>
        <v>349231</v>
      </c>
      <c r="AO21" s="78" t="n">
        <f aca="false">AN24</f>
        <v>364839</v>
      </c>
      <c r="AP21" s="78" t="n">
        <f aca="false">AO24</f>
        <v>380843</v>
      </c>
      <c r="AQ21" s="78" t="n">
        <f aca="false">AP24</f>
        <v>397271</v>
      </c>
      <c r="AR21" s="78" t="n">
        <f aca="false">AQ24</f>
        <v>414153</v>
      </c>
      <c r="AS21" s="78" t="n">
        <f aca="false">AR24</f>
        <v>431518</v>
      </c>
      <c r="AT21" s="78" t="n">
        <f aca="false">AS24</f>
        <v>449395</v>
      </c>
      <c r="AU21" s="78" t="n">
        <f aca="false">AT24</f>
        <v>467814</v>
      </c>
      <c r="AV21" s="78" t="n">
        <f aca="false">AU24</f>
        <v>486804</v>
      </c>
      <c r="AW21" s="78" t="n">
        <f aca="false">AV24</f>
        <v>506395</v>
      </c>
      <c r="AX21" s="78" t="n">
        <f aca="false">AW24</f>
        <v>526618</v>
      </c>
      <c r="AY21" s="78" t="n">
        <f aca="false">AX24</f>
        <v>547503</v>
      </c>
      <c r="AZ21" s="78" t="n">
        <f aca="false">AY24</f>
        <v>569082</v>
      </c>
      <c r="BA21" s="78" t="n">
        <f aca="false">AZ24</f>
        <v>591386</v>
      </c>
      <c r="BB21" s="78" t="n">
        <f aca="false">BA24</f>
        <v>614449</v>
      </c>
      <c r="BC21" s="78" t="n">
        <f aca="false">BB24</f>
        <v>638303</v>
      </c>
      <c r="BD21" s="78" t="n">
        <f aca="false">BC24</f>
        <v>662984</v>
      </c>
      <c r="BE21" s="78" t="n">
        <f aca="false">BD24</f>
        <v>688526</v>
      </c>
      <c r="BF21" s="78" t="n">
        <f aca="false">BE24</f>
        <v>714966</v>
      </c>
      <c r="BG21" s="78" t="n">
        <f aca="false">BF24</f>
        <v>742340</v>
      </c>
      <c r="BH21" s="78" t="n">
        <f aca="false">BG24</f>
        <v>770687</v>
      </c>
      <c r="BI21" s="78" t="n">
        <f aca="false">BH24</f>
        <v>800045</v>
      </c>
      <c r="BJ21" s="78" t="n">
        <f aca="false">BI24</f>
        <v>830456</v>
      </c>
      <c r="BK21" s="78" t="n">
        <f aca="false">BJ24</f>
        <v>861960</v>
      </c>
      <c r="BL21" s="78" t="n">
        <f aca="false">BK24</f>
        <v>894602</v>
      </c>
      <c r="BM21" s="72" t="n">
        <f aca="false">BL21</f>
        <v>894602</v>
      </c>
    </row>
    <row r="22" customFormat="false" ht="15" hidden="false" customHeight="false" outlineLevel="0" collapsed="false">
      <c r="A22" s="37" t="s">
        <v>142</v>
      </c>
      <c r="E22" s="78" t="n">
        <f aca="false">ROUND(E15*$B$10,0)</f>
        <v>0</v>
      </c>
      <c r="F22" s="78" t="n">
        <f aca="false">ROUND(F15*$B$10,0)</f>
        <v>0</v>
      </c>
      <c r="G22" s="78" t="n">
        <f aca="false">ROUND(G15*$B$10,0)</f>
        <v>0</v>
      </c>
      <c r="H22" s="78" t="n">
        <f aca="false">ROUND(H15*$B$10,0)</f>
        <v>0</v>
      </c>
      <c r="I22" s="78" t="n">
        <f aca="false">ROUND(I15*$B$10,0)</f>
        <v>0</v>
      </c>
      <c r="J22" s="78" t="n">
        <f aca="false">ROUND(J15*$B$10,0)</f>
        <v>0</v>
      </c>
      <c r="K22" s="78" t="n">
        <f aca="false">ROUND(K15*$B$10,0)</f>
        <v>0</v>
      </c>
      <c r="L22" s="78" t="n">
        <f aca="false">ROUND(L15*$B$10,0)</f>
        <v>0</v>
      </c>
      <c r="M22" s="78" t="n">
        <f aca="false">ROUND(M15*$B$10,0)</f>
        <v>0</v>
      </c>
      <c r="N22" s="78" t="n">
        <f aca="false">ROUND(N15*$B$10,0)</f>
        <v>0</v>
      </c>
      <c r="O22" s="78" t="n">
        <f aca="false">ROUND(O15*$B$10,0)</f>
        <v>0</v>
      </c>
      <c r="P22" s="78" t="n">
        <f aca="false">ROUND(P15*$B$10,0)</f>
        <v>18100</v>
      </c>
      <c r="Q22" s="78" t="n">
        <f aca="false">ROUND(Q15*$B$10,0)</f>
        <v>18715</v>
      </c>
      <c r="R22" s="78" t="n">
        <f aca="false">ROUND(R15*$B$10,0)</f>
        <v>19352</v>
      </c>
      <c r="S22" s="78" t="n">
        <f aca="false">ROUND(S15*$B$10,0)</f>
        <v>20010</v>
      </c>
      <c r="T22" s="78" t="n">
        <f aca="false">ROUND(T15*$B$10,0)</f>
        <v>20690</v>
      </c>
      <c r="U22" s="78" t="n">
        <f aca="false">ROUND(U15*$B$10,0)</f>
        <v>21393</v>
      </c>
      <c r="V22" s="78" t="n">
        <f aca="false">ROUND(V15*$B$10,0)</f>
        <v>22121</v>
      </c>
      <c r="W22" s="78" t="n">
        <f aca="false">ROUND(W15*$B$10,0)</f>
        <v>22873</v>
      </c>
      <c r="X22" s="78" t="n">
        <f aca="false">ROUND(X15*$B$10,0)</f>
        <v>23651</v>
      </c>
      <c r="Y22" s="78" t="n">
        <f aca="false">ROUND(Y15*$B$10,0)</f>
        <v>24455</v>
      </c>
      <c r="Z22" s="78" t="n">
        <f aca="false">ROUND(Z15*$B$10,0)</f>
        <v>25286</v>
      </c>
      <c r="AA22" s="78" t="n">
        <f aca="false">ROUND(AA15*$B$10,0)</f>
        <v>26146</v>
      </c>
      <c r="AB22" s="78" t="n">
        <f aca="false">ROUND(AB15*$B$10,0)</f>
        <v>27035</v>
      </c>
      <c r="AC22" s="78" t="n">
        <f aca="false">ROUND(AC15*$B$10,0)</f>
        <v>27954</v>
      </c>
      <c r="AD22" s="78" t="n">
        <f aca="false">ROUND(AD15*$B$10,0)</f>
        <v>28905</v>
      </c>
      <c r="AE22" s="78" t="n">
        <f aca="false">ROUND(AE15*$B$10,0)</f>
        <v>29887</v>
      </c>
      <c r="AF22" s="78" t="n">
        <f aca="false">ROUND(AF15*$B$10,0)</f>
        <v>30903</v>
      </c>
      <c r="AG22" s="78" t="n">
        <f aca="false">ROUND(AG15*$B$10,0)</f>
        <v>31954</v>
      </c>
      <c r="AH22" s="78" t="n">
        <f aca="false">ROUND(AH15*$B$10,0)</f>
        <v>33041</v>
      </c>
      <c r="AI22" s="78" t="n">
        <f aca="false">ROUND(AI15*$B$10,0)</f>
        <v>34164</v>
      </c>
      <c r="AJ22" s="78" t="n">
        <f aca="false">ROUND(AJ15*$B$10,0)</f>
        <v>35326</v>
      </c>
      <c r="AK22" s="78" t="n">
        <f aca="false">ROUND(AK15*$B$10,0)</f>
        <v>36527</v>
      </c>
      <c r="AL22" s="78" t="n">
        <f aca="false">ROUND(AL15*$B$10,0)</f>
        <v>37769</v>
      </c>
      <c r="AM22" s="78" t="n">
        <f aca="false">ROUND(AM15*$B$10,0)</f>
        <v>39053</v>
      </c>
      <c r="AN22" s="78" t="n">
        <f aca="false">ROUND(AN15*$B$10,0)</f>
        <v>40380</v>
      </c>
      <c r="AO22" s="78" t="n">
        <f aca="false">ROUND(AO15*$B$10,0)</f>
        <v>41753</v>
      </c>
      <c r="AP22" s="78" t="n">
        <f aca="false">ROUND(AP15*$B$10,0)</f>
        <v>43173</v>
      </c>
      <c r="AQ22" s="78" t="n">
        <f aca="false">ROUND(AQ15*$B$10,0)</f>
        <v>44641</v>
      </c>
      <c r="AR22" s="78" t="n">
        <f aca="false">ROUND(AR15*$B$10,0)</f>
        <v>46159</v>
      </c>
      <c r="AS22" s="78" t="n">
        <f aca="false">ROUND(AS15*$B$10,0)</f>
        <v>47728</v>
      </c>
      <c r="AT22" s="78" t="n">
        <f aca="false">ROUND(AT15*$B$10,0)</f>
        <v>49351</v>
      </c>
      <c r="AU22" s="78" t="n">
        <f aca="false">ROUND(AU15*$B$10,0)</f>
        <v>51029</v>
      </c>
      <c r="AV22" s="78" t="n">
        <f aca="false">ROUND(AV15*$B$10,0)</f>
        <v>52764</v>
      </c>
      <c r="AW22" s="78" t="n">
        <f aca="false">ROUND(AW15*$B$10,0)</f>
        <v>54558</v>
      </c>
      <c r="AX22" s="78" t="n">
        <f aca="false">ROUND(AX15*$B$10,0)</f>
        <v>56413</v>
      </c>
      <c r="AY22" s="78" t="n">
        <f aca="false">ROUND(AY15*$B$10,0)</f>
        <v>58331</v>
      </c>
      <c r="AZ22" s="78" t="n">
        <f aca="false">ROUND(AZ15*$B$10,0)</f>
        <v>60314</v>
      </c>
      <c r="BA22" s="78" t="n">
        <f aca="false">ROUND(BA15*$B$10,0)</f>
        <v>62365</v>
      </c>
      <c r="BB22" s="78" t="n">
        <f aca="false">ROUND(BB15*$B$10,0)</f>
        <v>64485</v>
      </c>
      <c r="BC22" s="78" t="n">
        <f aca="false">ROUND(BC15*$B$10,0)</f>
        <v>66678</v>
      </c>
      <c r="BD22" s="78" t="n">
        <f aca="false">ROUND(BD15*$B$10,0)</f>
        <v>68945</v>
      </c>
      <c r="BE22" s="78" t="n">
        <f aca="false">ROUND(BE15*$B$10,0)</f>
        <v>71289</v>
      </c>
      <c r="BF22" s="78" t="n">
        <f aca="false">ROUND(BF15*$B$10,0)</f>
        <v>73713</v>
      </c>
      <c r="BG22" s="78" t="n">
        <f aca="false">ROUND(BG15*$B$10,0)</f>
        <v>76219</v>
      </c>
      <c r="BH22" s="78" t="n">
        <f aca="false">ROUND(BH15*$B$10,0)</f>
        <v>78810</v>
      </c>
      <c r="BI22" s="78" t="n">
        <f aca="false">ROUND(BI15*$B$10,0)</f>
        <v>81490</v>
      </c>
      <c r="BJ22" s="78" t="n">
        <f aca="false">ROUND(BJ15*$B$10,0)</f>
        <v>84260</v>
      </c>
      <c r="BK22" s="78" t="n">
        <f aca="false">ROUND(BK15*$B$10,0)</f>
        <v>87125</v>
      </c>
      <c r="BL22" s="78" t="n">
        <f aca="false">ROUND(BL15*$B$10,0)</f>
        <v>90087</v>
      </c>
      <c r="BM22" s="72" t="n">
        <f aca="false">SUM(E22:BL22)</f>
        <v>2207370</v>
      </c>
    </row>
    <row r="23" customFormat="false" ht="15" hidden="false" customHeight="false" outlineLevel="0" collapsed="false">
      <c r="A23" s="37" t="s">
        <v>143</v>
      </c>
      <c r="E23" s="78" t="n">
        <f aca="false">-ROUND(E21*E16*$B$12,0)</f>
        <v>-0</v>
      </c>
      <c r="F23" s="78" t="n">
        <f aca="false">-ROUND(F21*F16*$B$12,0)</f>
        <v>-0</v>
      </c>
      <c r="G23" s="78" t="n">
        <f aca="false">-ROUND(G21*G16*$B$12,0)</f>
        <v>-0</v>
      </c>
      <c r="H23" s="78" t="n">
        <f aca="false">-ROUND(H21*H16*$B$12,0)</f>
        <v>-0</v>
      </c>
      <c r="I23" s="78" t="n">
        <f aca="false">-ROUND(I21*I16*$B$12,0)</f>
        <v>-0</v>
      </c>
      <c r="J23" s="78" t="n">
        <f aca="false">-ROUND(J21*J16*$B$12,0)</f>
        <v>-0</v>
      </c>
      <c r="K23" s="78" t="n">
        <f aca="false">-ROUND(K21*K16*$B$12,0)</f>
        <v>-0</v>
      </c>
      <c r="L23" s="78" t="n">
        <f aca="false">-ROUND(L21*L16*$B$12,0)</f>
        <v>-0</v>
      </c>
      <c r="M23" s="78" t="n">
        <f aca="false">-ROUND(M21*M16*$B$12,0)</f>
        <v>-0</v>
      </c>
      <c r="N23" s="78" t="n">
        <f aca="false">-ROUND(N21*N16*$B$12,0)</f>
        <v>-0</v>
      </c>
      <c r="O23" s="78" t="n">
        <f aca="false">-ROUND(O21*O16*$B$12,0)</f>
        <v>-0</v>
      </c>
      <c r="P23" s="78" t="n">
        <f aca="false">-ROUND(P21*P16*$B$12,0)</f>
        <v>-0</v>
      </c>
      <c r="Q23" s="78" t="n">
        <f aca="false">-ROUND(Q21*Q16*$B$12,0)</f>
        <v>-1441</v>
      </c>
      <c r="R23" s="78" t="n">
        <f aca="false">-ROUND(R21*R16*$B$12,0)</f>
        <v>-2802</v>
      </c>
      <c r="S23" s="78" t="n">
        <f aca="false">-ROUND(S21*S16*$B$12,0)</f>
        <v>-4092</v>
      </c>
      <c r="T23" s="78" t="n">
        <f aca="false">-ROUND(T21*T16*$B$12,0)</f>
        <v>-5320</v>
      </c>
      <c r="U23" s="78" t="n">
        <f aca="false">-ROUND(U21*U16*$B$12,0)</f>
        <v>-6492</v>
      </c>
      <c r="V23" s="78" t="n">
        <f aca="false">-ROUND(V21*V16*$B$12,0)</f>
        <v>-7616</v>
      </c>
      <c r="W23" s="78" t="n">
        <f aca="false">-ROUND(W21*W16*$B$12,0)</f>
        <v>-8699</v>
      </c>
      <c r="X23" s="78" t="n">
        <f aca="false">-ROUND(X21*X16*$B$12,0)</f>
        <v>-9745</v>
      </c>
      <c r="Y23" s="78" t="n">
        <f aca="false">-ROUND(Y21*Y16*$B$12,0)</f>
        <v>-10759</v>
      </c>
      <c r="Z23" s="78" t="n">
        <f aca="false">-ROUND(Z21*Z16*$B$12,0)</f>
        <v>-11748</v>
      </c>
      <c r="AA23" s="78" t="n">
        <f aca="false">-ROUND(AA21*AA16*$B$12,0)</f>
        <v>-12714</v>
      </c>
      <c r="AB23" s="78" t="n">
        <f aca="false">-ROUND(AB21*AB16*$B$12,0)</f>
        <v>-13662</v>
      </c>
      <c r="AC23" s="78" t="n">
        <f aca="false">-ROUND(AC21*AC16*$B$12,0)</f>
        <v>-14596</v>
      </c>
      <c r="AD23" s="78" t="n">
        <f aca="false">-ROUND(AD21*AD16*$B$12,0)</f>
        <v>-15519</v>
      </c>
      <c r="AE23" s="78" t="n">
        <f aca="false">-ROUND(AE21*AE16*$B$12,0)</f>
        <v>-16435</v>
      </c>
      <c r="AF23" s="78" t="n">
        <f aca="false">-ROUND(AF21*AF16*$B$12,0)</f>
        <v>-17346</v>
      </c>
      <c r="AG23" s="78" t="n">
        <f aca="false">-ROUND(AG21*AG16*$B$12,0)</f>
        <v>-18255</v>
      </c>
      <c r="AH23" s="78" t="n">
        <f aca="false">-ROUND(AH21*AH16*$B$12,0)</f>
        <v>-19165</v>
      </c>
      <c r="AI23" s="78" t="n">
        <f aca="false">-ROUND(AI21*AI16*$B$12,0)</f>
        <v>-20079</v>
      </c>
      <c r="AJ23" s="78" t="n">
        <f aca="false">-ROUND(AJ21*AJ16*$B$12,0)</f>
        <v>-20998</v>
      </c>
      <c r="AK23" s="78" t="n">
        <f aca="false">-ROUND(AK21*AK16*$B$12,0)</f>
        <v>-21925</v>
      </c>
      <c r="AL23" s="78" t="n">
        <f aca="false">-ROUND(AL21*AL16*$B$12,0)</f>
        <v>-22861</v>
      </c>
      <c r="AM23" s="78" t="n">
        <f aca="false">-ROUND(AM21*AM16*$B$12,0)</f>
        <v>-23810</v>
      </c>
      <c r="AN23" s="78" t="n">
        <f aca="false">-ROUND(AN21*AN16*$B$12,0)</f>
        <v>-24772</v>
      </c>
      <c r="AO23" s="78" t="n">
        <f aca="false">-ROUND(AO21*AO16*$B$12,0)</f>
        <v>-25749</v>
      </c>
      <c r="AP23" s="78" t="n">
        <f aca="false">-ROUND(AP21*AP16*$B$12,0)</f>
        <v>-26745</v>
      </c>
      <c r="AQ23" s="78" t="n">
        <f aca="false">-ROUND(AQ21*AQ16*$B$12,0)</f>
        <v>-27759</v>
      </c>
      <c r="AR23" s="78" t="n">
        <f aca="false">-ROUND(AR21*AR16*$B$12,0)</f>
        <v>-28794</v>
      </c>
      <c r="AS23" s="78" t="n">
        <f aca="false">-ROUND(AS21*AS16*$B$12,0)</f>
        <v>-29851</v>
      </c>
      <c r="AT23" s="78" t="n">
        <f aca="false">-ROUND(AT21*AT16*$B$12,0)</f>
        <v>-30932</v>
      </c>
      <c r="AU23" s="78" t="n">
        <f aca="false">-ROUND(AU21*AU16*$B$12,0)</f>
        <v>-32039</v>
      </c>
      <c r="AV23" s="78" t="n">
        <f aca="false">-ROUND(AV21*AV16*$B$12,0)</f>
        <v>-33173</v>
      </c>
      <c r="AW23" s="78" t="n">
        <f aca="false">-ROUND(AW21*AW16*$B$12,0)</f>
        <v>-34335</v>
      </c>
      <c r="AX23" s="78" t="n">
        <f aca="false">-ROUND(AX21*AX16*$B$12,0)</f>
        <v>-35528</v>
      </c>
      <c r="AY23" s="78" t="n">
        <f aca="false">-ROUND(AY21*AY16*$B$12,0)</f>
        <v>-36752</v>
      </c>
      <c r="AZ23" s="78" t="n">
        <f aca="false">-ROUND(AZ21*AZ16*$B$12,0)</f>
        <v>-38010</v>
      </c>
      <c r="BA23" s="78" t="n">
        <f aca="false">-ROUND(BA21*BA16*$B$12,0)</f>
        <v>-39302</v>
      </c>
      <c r="BB23" s="78" t="n">
        <f aca="false">-ROUND(BB21*BB16*$B$12,0)</f>
        <v>-40631</v>
      </c>
      <c r="BC23" s="78" t="n">
        <f aca="false">-ROUND(BC21*BC16*$B$12,0)</f>
        <v>-41997</v>
      </c>
      <c r="BD23" s="78" t="n">
        <f aca="false">-ROUND(BD21*BD16*$B$12,0)</f>
        <v>-43403</v>
      </c>
      <c r="BE23" s="78" t="n">
        <f aca="false">-ROUND(BE21*BE16*$B$12,0)</f>
        <v>-44849</v>
      </c>
      <c r="BF23" s="78" t="n">
        <f aca="false">-ROUND(BF21*BF16*$B$12,0)</f>
        <v>-46339</v>
      </c>
      <c r="BG23" s="78" t="n">
        <f aca="false">-ROUND(BG21*BG16*$B$12,0)</f>
        <v>-47872</v>
      </c>
      <c r="BH23" s="78" t="n">
        <f aca="false">-ROUND(BH21*BH16*$B$12,0)</f>
        <v>-49452</v>
      </c>
      <c r="BI23" s="78" t="n">
        <f aca="false">-ROUND(BI21*BI16*$B$12,0)</f>
        <v>-51079</v>
      </c>
      <c r="BJ23" s="78" t="n">
        <f aca="false">-ROUND(BJ21*BJ16*$B$12,0)</f>
        <v>-52756</v>
      </c>
      <c r="BK23" s="78" t="n">
        <f aca="false">-ROUND(BK21*BK16*$B$12,0)</f>
        <v>-54483</v>
      </c>
      <c r="BL23" s="78" t="n">
        <f aca="false">-ROUND(BL21*BL16*$B$12,0)</f>
        <v>-56264</v>
      </c>
      <c r="BM23" s="72" t="n">
        <f aca="false">SUM(E23:BL23)</f>
        <v>-1278945</v>
      </c>
    </row>
    <row r="24" customFormat="false" ht="15" hidden="false" customHeight="false" outlineLevel="0" collapsed="false">
      <c r="A24" s="63" t="s">
        <v>144</v>
      </c>
      <c r="E24" s="72" t="n">
        <f aca="false">E21+E22+E23</f>
        <v>0</v>
      </c>
      <c r="F24" s="72" t="n">
        <f aca="false">F21+F22+F23</f>
        <v>0</v>
      </c>
      <c r="G24" s="72" t="n">
        <f aca="false">G21+G22+G23</f>
        <v>0</v>
      </c>
      <c r="H24" s="72" t="n">
        <f aca="false">H21+H22+H23</f>
        <v>0</v>
      </c>
      <c r="I24" s="72" t="n">
        <f aca="false">I21+I22+I23</f>
        <v>0</v>
      </c>
      <c r="J24" s="72" t="n">
        <f aca="false">J21+J22+J23</f>
        <v>0</v>
      </c>
      <c r="K24" s="72" t="n">
        <f aca="false">K21+K22+K23</f>
        <v>0</v>
      </c>
      <c r="L24" s="72" t="n">
        <f aca="false">L21+L22+L23</f>
        <v>0</v>
      </c>
      <c r="M24" s="72" t="n">
        <f aca="false">M21+M22+M23</f>
        <v>0</v>
      </c>
      <c r="N24" s="72" t="n">
        <f aca="false">N21+N22+N23</f>
        <v>0</v>
      </c>
      <c r="O24" s="72" t="n">
        <f aca="false">O21+O22+O23</f>
        <v>0</v>
      </c>
      <c r="P24" s="72" t="n">
        <f aca="false">P21+P22+P23</f>
        <v>18100</v>
      </c>
      <c r="Q24" s="72" t="n">
        <f aca="false">Q21+Q22+Q23</f>
        <v>35374</v>
      </c>
      <c r="R24" s="72" t="n">
        <f aca="false">R21+R22+R23</f>
        <v>51924</v>
      </c>
      <c r="S24" s="72" t="n">
        <f aca="false">S21+S22+S23</f>
        <v>67842</v>
      </c>
      <c r="T24" s="72" t="n">
        <f aca="false">T21+T22+T23</f>
        <v>83212</v>
      </c>
      <c r="U24" s="72" t="n">
        <f aca="false">U21+U22+U23</f>
        <v>98113</v>
      </c>
      <c r="V24" s="72" t="n">
        <f aca="false">V21+V22+V23</f>
        <v>112618</v>
      </c>
      <c r="W24" s="72" t="n">
        <f aca="false">W21+W22+W23</f>
        <v>126792</v>
      </c>
      <c r="X24" s="72" t="n">
        <f aca="false">X21+X22+X23</f>
        <v>140698</v>
      </c>
      <c r="Y24" s="72" t="n">
        <f aca="false">Y21+Y22+Y23</f>
        <v>154394</v>
      </c>
      <c r="Z24" s="72" t="n">
        <f aca="false">Z21+Z22+Z23</f>
        <v>167932</v>
      </c>
      <c r="AA24" s="72" t="n">
        <f aca="false">AA21+AA22+AA23</f>
        <v>181364</v>
      </c>
      <c r="AB24" s="72" t="n">
        <f aca="false">AB21+AB22+AB23</f>
        <v>194737</v>
      </c>
      <c r="AC24" s="72" t="n">
        <f aca="false">AC21+AC22+AC23</f>
        <v>208095</v>
      </c>
      <c r="AD24" s="72" t="n">
        <f aca="false">AD21+AD22+AD23</f>
        <v>221481</v>
      </c>
      <c r="AE24" s="72" t="n">
        <f aca="false">AE21+AE22+AE23</f>
        <v>234933</v>
      </c>
      <c r="AF24" s="72" t="n">
        <f aca="false">AF21+AF22+AF23</f>
        <v>248490</v>
      </c>
      <c r="AG24" s="72" t="n">
        <f aca="false">AG21+AG22+AG23</f>
        <v>262189</v>
      </c>
      <c r="AH24" s="72" t="n">
        <f aca="false">AH21+AH22+AH23</f>
        <v>276065</v>
      </c>
      <c r="AI24" s="72" t="n">
        <f aca="false">AI21+AI22+AI23</f>
        <v>290150</v>
      </c>
      <c r="AJ24" s="72" t="n">
        <f aca="false">AJ21+AJ22+AJ23</f>
        <v>304478</v>
      </c>
      <c r="AK24" s="72" t="n">
        <f aca="false">AK21+AK22+AK23</f>
        <v>319080</v>
      </c>
      <c r="AL24" s="72" t="n">
        <f aca="false">AL21+AL22+AL23</f>
        <v>333988</v>
      </c>
      <c r="AM24" s="72" t="n">
        <f aca="false">AM21+AM22+AM23</f>
        <v>349231</v>
      </c>
      <c r="AN24" s="72" t="n">
        <f aca="false">AN21+AN22+AN23</f>
        <v>364839</v>
      </c>
      <c r="AO24" s="72" t="n">
        <f aca="false">AO21+AO22+AO23</f>
        <v>380843</v>
      </c>
      <c r="AP24" s="72" t="n">
        <f aca="false">AP21+AP22+AP23</f>
        <v>397271</v>
      </c>
      <c r="AQ24" s="72" t="n">
        <f aca="false">AQ21+AQ22+AQ23</f>
        <v>414153</v>
      </c>
      <c r="AR24" s="72" t="n">
        <f aca="false">AR21+AR22+AR23</f>
        <v>431518</v>
      </c>
      <c r="AS24" s="72" t="n">
        <f aca="false">AS21+AS22+AS23</f>
        <v>449395</v>
      </c>
      <c r="AT24" s="72" t="n">
        <f aca="false">AT21+AT22+AT23</f>
        <v>467814</v>
      </c>
      <c r="AU24" s="72" t="n">
        <f aca="false">AU21+AU22+AU23</f>
        <v>486804</v>
      </c>
      <c r="AV24" s="72" t="n">
        <f aca="false">AV21+AV22+AV23</f>
        <v>506395</v>
      </c>
      <c r="AW24" s="72" t="n">
        <f aca="false">AW21+AW22+AW23</f>
        <v>526618</v>
      </c>
      <c r="AX24" s="72" t="n">
        <f aca="false">AX21+AX22+AX23</f>
        <v>547503</v>
      </c>
      <c r="AY24" s="72" t="n">
        <f aca="false">AY21+AY22+AY23</f>
        <v>569082</v>
      </c>
      <c r="AZ24" s="72" t="n">
        <f aca="false">AZ21+AZ22+AZ23</f>
        <v>591386</v>
      </c>
      <c r="BA24" s="72" t="n">
        <f aca="false">BA21+BA22+BA23</f>
        <v>614449</v>
      </c>
      <c r="BB24" s="72" t="n">
        <f aca="false">BB21+BB22+BB23</f>
        <v>638303</v>
      </c>
      <c r="BC24" s="72" t="n">
        <f aca="false">BC21+BC22+BC23</f>
        <v>662984</v>
      </c>
      <c r="BD24" s="72" t="n">
        <f aca="false">BD21+BD22+BD23</f>
        <v>688526</v>
      </c>
      <c r="BE24" s="72" t="n">
        <f aca="false">BE21+BE22+BE23</f>
        <v>714966</v>
      </c>
      <c r="BF24" s="72" t="n">
        <f aca="false">BF21+BF22+BF23</f>
        <v>742340</v>
      </c>
      <c r="BG24" s="72" t="n">
        <f aca="false">BG21+BG22+BG23</f>
        <v>770687</v>
      </c>
      <c r="BH24" s="72" t="n">
        <f aca="false">BH21+BH22+BH23</f>
        <v>800045</v>
      </c>
      <c r="BI24" s="72" t="n">
        <f aca="false">BI21+BI22+BI23</f>
        <v>830456</v>
      </c>
      <c r="BJ24" s="72" t="n">
        <f aca="false">BJ21+BJ22+BJ23</f>
        <v>861960</v>
      </c>
      <c r="BK24" s="72" t="n">
        <f aca="false">BK21+BK22+BK23</f>
        <v>894602</v>
      </c>
      <c r="BL24" s="72" t="n">
        <f aca="false">BL21+BL22+BL23</f>
        <v>928425</v>
      </c>
      <c r="BM24" s="72" t="n">
        <f aca="false">BL24</f>
        <v>928425</v>
      </c>
      <c r="BN24" s="35" t="s">
        <v>145</v>
      </c>
    </row>
    <row r="25" customFormat="false" ht="15" hidden="false" customHeight="false" outlineLevel="0" collapsed="false">
      <c r="A25" s="63" t="s">
        <v>146</v>
      </c>
      <c r="E25" s="72" t="n">
        <f aca="false">ROUND(E24*E17*$B$11,0)</f>
        <v>0</v>
      </c>
      <c r="F25" s="72" t="n">
        <f aca="false">ROUND(F24*F17*$B$11,0)</f>
        <v>0</v>
      </c>
      <c r="G25" s="72" t="n">
        <f aca="false">ROUND(G24*G17*$B$11,0)</f>
        <v>0</v>
      </c>
      <c r="H25" s="72" t="n">
        <f aca="false">ROUND(H24*H17*$B$11,0)</f>
        <v>0</v>
      </c>
      <c r="I25" s="72" t="n">
        <f aca="false">ROUND(I24*I17*$B$11,0)</f>
        <v>0</v>
      </c>
      <c r="J25" s="72" t="n">
        <f aca="false">ROUND(J24*J17*$B$11,0)</f>
        <v>0</v>
      </c>
      <c r="K25" s="72" t="n">
        <f aca="false">ROUND(K24*K17*$B$11,0)</f>
        <v>0</v>
      </c>
      <c r="L25" s="72" t="n">
        <f aca="false">ROUND(L24*L17*$B$11,0)</f>
        <v>0</v>
      </c>
      <c r="M25" s="72" t="n">
        <f aca="false">ROUND(M24*M17*$B$11,0)</f>
        <v>0</v>
      </c>
      <c r="N25" s="72" t="n">
        <f aca="false">ROUND(N24*N17*$B$11,0)</f>
        <v>0</v>
      </c>
      <c r="O25" s="72" t="n">
        <f aca="false">ROUND(O24*O17*$B$11,0)</f>
        <v>0</v>
      </c>
      <c r="P25" s="72" t="n">
        <f aca="false">ROUND(P24*P17*$B$11,0)</f>
        <v>91</v>
      </c>
      <c r="Q25" s="72" t="n">
        <f aca="false">ROUND(Q24*Q17*$B$11,0)</f>
        <v>184</v>
      </c>
      <c r="R25" s="72" t="n">
        <f aca="false">ROUND(R24*R17*$B$11,0)</f>
        <v>281</v>
      </c>
      <c r="S25" s="72" t="n">
        <f aca="false">ROUND(S24*S17*$B$11,0)</f>
        <v>382</v>
      </c>
      <c r="T25" s="72" t="n">
        <f aca="false">ROUND(T24*T17*$B$11,0)</f>
        <v>487</v>
      </c>
      <c r="U25" s="72" t="n">
        <f aca="false">ROUND(U24*U17*$B$11,0)</f>
        <v>597</v>
      </c>
      <c r="V25" s="72" t="n">
        <f aca="false">ROUND(V24*V17*$B$11,0)</f>
        <v>712</v>
      </c>
      <c r="W25" s="72" t="n">
        <f aca="false">ROUND(W24*W17*$B$11,0)</f>
        <v>834</v>
      </c>
      <c r="X25" s="72" t="n">
        <f aca="false">ROUND(X24*X17*$B$11,0)</f>
        <v>963</v>
      </c>
      <c r="Y25" s="72" t="n">
        <f aca="false">ROUND(Y24*Y17*$B$11,0)</f>
        <v>1099</v>
      </c>
      <c r="Z25" s="72" t="n">
        <f aca="false">ROUND(Z24*Z17*$B$11,0)</f>
        <v>1243</v>
      </c>
      <c r="AA25" s="72" t="n">
        <f aca="false">ROUND(AA24*AA17*$B$11,0)</f>
        <v>1396</v>
      </c>
      <c r="AB25" s="72" t="n">
        <f aca="false">ROUND(AB24*AB17*$B$11,0)</f>
        <v>1559</v>
      </c>
      <c r="AC25" s="72" t="n">
        <f aca="false">ROUND(AC24*AC17*$B$11,0)</f>
        <v>1732</v>
      </c>
      <c r="AD25" s="72" t="n">
        <f aca="false">ROUND(AD24*AD17*$B$11,0)</f>
        <v>1918</v>
      </c>
      <c r="AE25" s="72" t="n">
        <f aca="false">ROUND(AE24*AE17*$B$11,0)</f>
        <v>2116</v>
      </c>
      <c r="AF25" s="72" t="n">
        <f aca="false">ROUND(AF24*AF17*$B$11,0)</f>
        <v>2327</v>
      </c>
      <c r="AG25" s="72" t="n">
        <f aca="false">ROUND(AG24*AG17*$B$11,0)</f>
        <v>2554</v>
      </c>
      <c r="AH25" s="72" t="n">
        <f aca="false">ROUND(AH24*AH17*$B$11,0)</f>
        <v>2796</v>
      </c>
      <c r="AI25" s="72" t="n">
        <f aca="false">ROUND(AI24*AI17*$B$11,0)</f>
        <v>3057</v>
      </c>
      <c r="AJ25" s="72" t="n">
        <f aca="false">ROUND(AJ24*AJ17*$B$11,0)</f>
        <v>3336</v>
      </c>
      <c r="AK25" s="72" t="n">
        <f aca="false">ROUND(AK24*AK17*$B$11,0)</f>
        <v>3636</v>
      </c>
      <c r="AL25" s="72" t="n">
        <f aca="false">ROUND(AL24*AL17*$B$11,0)</f>
        <v>3958</v>
      </c>
      <c r="AM25" s="72" t="n">
        <f aca="false">ROUND(AM24*AM17*$B$11,0)</f>
        <v>4304</v>
      </c>
      <c r="AN25" s="72" t="n">
        <f aca="false">ROUND(AN24*AN17*$B$11,0)</f>
        <v>4676</v>
      </c>
      <c r="AO25" s="72" t="n">
        <f aca="false">ROUND(AO24*AO17*$B$11,0)</f>
        <v>5076</v>
      </c>
      <c r="AP25" s="72" t="n">
        <f aca="false">ROUND(AP24*AP17*$B$11,0)</f>
        <v>5507</v>
      </c>
      <c r="AQ25" s="72" t="n">
        <f aca="false">ROUND(AQ24*AQ17*$B$11,0)</f>
        <v>5971</v>
      </c>
      <c r="AR25" s="72" t="n">
        <f aca="false">ROUND(AR24*AR17*$B$11,0)</f>
        <v>6470</v>
      </c>
      <c r="AS25" s="72" t="n">
        <f aca="false">ROUND(AS24*AS17*$B$11,0)</f>
        <v>7008</v>
      </c>
      <c r="AT25" s="72" t="n">
        <f aca="false">ROUND(AT24*AT17*$B$11,0)</f>
        <v>7587</v>
      </c>
      <c r="AU25" s="72" t="n">
        <f aca="false">ROUND(AU24*AU17*$B$11,0)</f>
        <v>8210</v>
      </c>
      <c r="AV25" s="72" t="n">
        <f aca="false">ROUND(AV24*AV17*$B$11,0)</f>
        <v>8882</v>
      </c>
      <c r="AW25" s="72" t="n">
        <f aca="false">ROUND(AW24*AW17*$B$11,0)</f>
        <v>9607</v>
      </c>
      <c r="AX25" s="72" t="n">
        <f aca="false">ROUND(AX24*AX17*$B$11,0)</f>
        <v>10387</v>
      </c>
      <c r="AY25" s="72" t="n">
        <f aca="false">ROUND(AY24*AY17*$B$11,0)</f>
        <v>11228</v>
      </c>
      <c r="AZ25" s="72" t="n">
        <f aca="false">ROUND(AZ24*AZ17*$B$11,0)</f>
        <v>12135</v>
      </c>
      <c r="BA25" s="72" t="n">
        <f aca="false">ROUND(BA24*BA17*$B$11,0)</f>
        <v>13113</v>
      </c>
      <c r="BB25" s="72" t="n">
        <f aca="false">ROUND(BB24*BB17*$B$11,0)</f>
        <v>14167</v>
      </c>
      <c r="BC25" s="72" t="n">
        <f aca="false">ROUND(BC24*BC17*$B$11,0)</f>
        <v>15303</v>
      </c>
      <c r="BD25" s="72" t="n">
        <f aca="false">ROUND(BD24*BD17*$B$11,0)</f>
        <v>16528</v>
      </c>
      <c r="BE25" s="72" t="n">
        <f aca="false">ROUND(BE24*BE17*$B$11,0)</f>
        <v>17849</v>
      </c>
      <c r="BF25" s="72" t="n">
        <f aca="false">ROUND(BF24*BF17*$B$11,0)</f>
        <v>19274</v>
      </c>
      <c r="BG25" s="72" t="n">
        <f aca="false">ROUND(BG24*BG17*$B$11,0)</f>
        <v>20810</v>
      </c>
      <c r="BH25" s="72" t="n">
        <f aca="false">ROUND(BH24*BH17*$B$11,0)</f>
        <v>22467</v>
      </c>
      <c r="BI25" s="72" t="n">
        <f aca="false">ROUND(BI24*BI17*$B$11,0)</f>
        <v>24254</v>
      </c>
      <c r="BJ25" s="72" t="n">
        <f aca="false">ROUND(BJ24*BJ17*$B$11,0)</f>
        <v>26181</v>
      </c>
      <c r="BK25" s="72" t="n">
        <f aca="false">ROUND(BK24*BK17*$B$11,0)</f>
        <v>28260</v>
      </c>
      <c r="BL25" s="72" t="n">
        <f aca="false">ROUND(BL24*BL17*$B$11,0)</f>
        <v>30501</v>
      </c>
      <c r="BM25" s="72" t="n">
        <f aca="false">BL25</f>
        <v>30501</v>
      </c>
    </row>
    <row r="26" customFormat="false" ht="15" hidden="false" customHeight="false" outlineLevel="0" collapsed="false">
      <c r="A26" s="49" t="s">
        <v>147</v>
      </c>
      <c r="E26" s="79" t="n">
        <f aca="false">E24-E25</f>
        <v>0</v>
      </c>
      <c r="F26" s="79" t="n">
        <f aca="false">F24-F25</f>
        <v>0</v>
      </c>
      <c r="G26" s="79" t="n">
        <f aca="false">G24-G25</f>
        <v>0</v>
      </c>
      <c r="H26" s="79" t="n">
        <f aca="false">H24-H25</f>
        <v>0</v>
      </c>
      <c r="I26" s="79" t="n">
        <f aca="false">I24-I25</f>
        <v>0</v>
      </c>
      <c r="J26" s="79" t="n">
        <f aca="false">J24-J25</f>
        <v>0</v>
      </c>
      <c r="K26" s="79" t="n">
        <f aca="false">K24-K25</f>
        <v>0</v>
      </c>
      <c r="L26" s="79" t="n">
        <f aca="false">L24-L25</f>
        <v>0</v>
      </c>
      <c r="M26" s="79" t="n">
        <f aca="false">M24-M25</f>
        <v>0</v>
      </c>
      <c r="N26" s="79" t="n">
        <f aca="false">N24-N25</f>
        <v>0</v>
      </c>
      <c r="O26" s="79" t="n">
        <f aca="false">O24-O25</f>
        <v>0</v>
      </c>
      <c r="P26" s="79" t="n">
        <f aca="false">P24-P25</f>
        <v>18009</v>
      </c>
      <c r="Q26" s="79" t="n">
        <f aca="false">Q24-Q25</f>
        <v>35190</v>
      </c>
      <c r="R26" s="79" t="n">
        <f aca="false">R24-R25</f>
        <v>51643</v>
      </c>
      <c r="S26" s="79" t="n">
        <f aca="false">S24-S25</f>
        <v>67460</v>
      </c>
      <c r="T26" s="79" t="n">
        <f aca="false">T24-T25</f>
        <v>82725</v>
      </c>
      <c r="U26" s="79" t="n">
        <f aca="false">U24-U25</f>
        <v>97516</v>
      </c>
      <c r="V26" s="79" t="n">
        <f aca="false">V24-V25</f>
        <v>111906</v>
      </c>
      <c r="W26" s="79" t="n">
        <f aca="false">W24-W25</f>
        <v>125958</v>
      </c>
      <c r="X26" s="79" t="n">
        <f aca="false">X24-X25</f>
        <v>139735</v>
      </c>
      <c r="Y26" s="79" t="n">
        <f aca="false">Y24-Y25</f>
        <v>153295</v>
      </c>
      <c r="Z26" s="79" t="n">
        <f aca="false">Z24-Z25</f>
        <v>166689</v>
      </c>
      <c r="AA26" s="79" t="n">
        <f aca="false">AA24-AA25</f>
        <v>179968</v>
      </c>
      <c r="AB26" s="79" t="n">
        <f aca="false">AB24-AB25</f>
        <v>193178</v>
      </c>
      <c r="AC26" s="79" t="n">
        <f aca="false">AC24-AC25</f>
        <v>206363</v>
      </c>
      <c r="AD26" s="79" t="n">
        <f aca="false">AD24-AD25</f>
        <v>219563</v>
      </c>
      <c r="AE26" s="79" t="n">
        <f aca="false">AE24-AE25</f>
        <v>232817</v>
      </c>
      <c r="AF26" s="79" t="n">
        <f aca="false">AF24-AF25</f>
        <v>246163</v>
      </c>
      <c r="AG26" s="79" t="n">
        <f aca="false">AG24-AG25</f>
        <v>259635</v>
      </c>
      <c r="AH26" s="79" t="n">
        <f aca="false">AH24-AH25</f>
        <v>273269</v>
      </c>
      <c r="AI26" s="79" t="n">
        <f aca="false">AI24-AI25</f>
        <v>287093</v>
      </c>
      <c r="AJ26" s="79" t="n">
        <f aca="false">AJ24-AJ25</f>
        <v>301142</v>
      </c>
      <c r="AK26" s="79" t="n">
        <f aca="false">AK24-AK25</f>
        <v>315444</v>
      </c>
      <c r="AL26" s="79" t="n">
        <f aca="false">AL24-AL25</f>
        <v>330030</v>
      </c>
      <c r="AM26" s="79" t="n">
        <f aca="false">AM24-AM25</f>
        <v>344927</v>
      </c>
      <c r="AN26" s="79" t="n">
        <f aca="false">AN24-AN25</f>
        <v>360163</v>
      </c>
      <c r="AO26" s="79" t="n">
        <f aca="false">AO24-AO25</f>
        <v>375767</v>
      </c>
      <c r="AP26" s="79" t="n">
        <f aca="false">AP24-AP25</f>
        <v>391764</v>
      </c>
      <c r="AQ26" s="79" t="n">
        <f aca="false">AQ24-AQ25</f>
        <v>408182</v>
      </c>
      <c r="AR26" s="79" t="n">
        <f aca="false">AR24-AR25</f>
        <v>425048</v>
      </c>
      <c r="AS26" s="79" t="n">
        <f aca="false">AS24-AS25</f>
        <v>442387</v>
      </c>
      <c r="AT26" s="79" t="n">
        <f aca="false">AT24-AT25</f>
        <v>460227</v>
      </c>
      <c r="AU26" s="79" t="n">
        <f aca="false">AU24-AU25</f>
        <v>478594</v>
      </c>
      <c r="AV26" s="79" t="n">
        <f aca="false">AV24-AV25</f>
        <v>497513</v>
      </c>
      <c r="AW26" s="79" t="n">
        <f aca="false">AW24-AW25</f>
        <v>517011</v>
      </c>
      <c r="AX26" s="79" t="n">
        <f aca="false">AX24-AX25</f>
        <v>537116</v>
      </c>
      <c r="AY26" s="79" t="n">
        <f aca="false">AY24-AY25</f>
        <v>557854</v>
      </c>
      <c r="AZ26" s="79" t="n">
        <f aca="false">AZ24-AZ25</f>
        <v>579251</v>
      </c>
      <c r="BA26" s="79" t="n">
        <f aca="false">BA24-BA25</f>
        <v>601336</v>
      </c>
      <c r="BB26" s="79" t="n">
        <f aca="false">BB24-BB25</f>
        <v>624136</v>
      </c>
      <c r="BC26" s="79" t="n">
        <f aca="false">BC24-BC25</f>
        <v>647681</v>
      </c>
      <c r="BD26" s="79" t="n">
        <f aca="false">BD24-BD25</f>
        <v>671998</v>
      </c>
      <c r="BE26" s="79" t="n">
        <f aca="false">BE24-BE25</f>
        <v>697117</v>
      </c>
      <c r="BF26" s="79" t="n">
        <f aca="false">BF24-BF25</f>
        <v>723066</v>
      </c>
      <c r="BG26" s="79" t="n">
        <f aca="false">BG24-BG25</f>
        <v>749877</v>
      </c>
      <c r="BH26" s="79" t="n">
        <f aca="false">BH24-BH25</f>
        <v>777578</v>
      </c>
      <c r="BI26" s="79" t="n">
        <f aca="false">BI24-BI25</f>
        <v>806202</v>
      </c>
      <c r="BJ26" s="79" t="n">
        <f aca="false">BJ24-BJ25</f>
        <v>835779</v>
      </c>
      <c r="BK26" s="79" t="n">
        <f aca="false">BK24-BK25</f>
        <v>866342</v>
      </c>
      <c r="BL26" s="79" t="n">
        <f aca="false">BL24-BL25</f>
        <v>897924</v>
      </c>
      <c r="BM26" s="72" t="n">
        <f aca="false">BL26</f>
        <v>897924</v>
      </c>
      <c r="BN26" s="35" t="s">
        <v>148</v>
      </c>
    </row>
    <row r="27" customFormat="false" ht="15" hidden="false" customHeight="false" outlineLevel="0" collapsed="false">
      <c r="A27" s="49" t="s">
        <v>149</v>
      </c>
      <c r="E27" s="80" t="n">
        <f aca="false">IFERROR(E25/E24,0)</f>
        <v>0</v>
      </c>
      <c r="F27" s="80" t="n">
        <f aca="false">IFERROR(F25/F24,0)</f>
        <v>0</v>
      </c>
      <c r="G27" s="80" t="n">
        <f aca="false">IFERROR(G25/G24,0)</f>
        <v>0</v>
      </c>
      <c r="H27" s="80" t="n">
        <f aca="false">IFERROR(H25/H24,0)</f>
        <v>0</v>
      </c>
      <c r="I27" s="80" t="n">
        <f aca="false">IFERROR(I25/I24,0)</f>
        <v>0</v>
      </c>
      <c r="J27" s="80" t="n">
        <f aca="false">IFERROR(J25/J24,0)</f>
        <v>0</v>
      </c>
      <c r="K27" s="80" t="n">
        <f aca="false">IFERROR(K25/K24,0)</f>
        <v>0</v>
      </c>
      <c r="L27" s="80" t="n">
        <f aca="false">IFERROR(L25/L24,0)</f>
        <v>0</v>
      </c>
      <c r="M27" s="80" t="n">
        <f aca="false">IFERROR(M25/M24,0)</f>
        <v>0</v>
      </c>
      <c r="N27" s="80" t="n">
        <f aca="false">IFERROR(N25/N24,0)</f>
        <v>0</v>
      </c>
      <c r="O27" s="80" t="n">
        <f aca="false">IFERROR(O25/O24,0)</f>
        <v>0</v>
      </c>
      <c r="P27" s="80" t="n">
        <f aca="false">IFERROR(P25/P24,0)</f>
        <v>0.00502762430939227</v>
      </c>
      <c r="Q27" s="80" t="n">
        <f aca="false">IFERROR(Q25/Q24,0)</f>
        <v>0.00520156046814044</v>
      </c>
      <c r="R27" s="80" t="n">
        <f aca="false">IFERROR(R25/R24,0)</f>
        <v>0.00541175564286265</v>
      </c>
      <c r="S27" s="80" t="n">
        <f aca="false">IFERROR(S25/S24,0)</f>
        <v>0.00563073022611362</v>
      </c>
      <c r="T27" s="80" t="n">
        <f aca="false">IFERROR(T25/T24,0)</f>
        <v>0.00585252127097053</v>
      </c>
      <c r="U27" s="80" t="n">
        <f aca="false">IFERROR(U25/U24,0)</f>
        <v>0.0060848205640435</v>
      </c>
      <c r="V27" s="80" t="n">
        <f aca="false">IFERROR(V25/V24,0)</f>
        <v>0.00632225754319913</v>
      </c>
      <c r="W27" s="80" t="n">
        <f aca="false">IFERROR(W25/W24,0)</f>
        <v>0.00657770206322165</v>
      </c>
      <c r="X27" s="80" t="n">
        <f aca="false">IFERROR(X25/X24,0)</f>
        <v>0.00684444697152767</v>
      </c>
      <c r="Y27" s="80" t="n">
        <f aca="false">IFERROR(Y25/Y24,0)</f>
        <v>0.00711815225980284</v>
      </c>
      <c r="Z27" s="80" t="n">
        <f aca="false">IFERROR(Z25/Z24,0)</f>
        <v>0.00740180549269943</v>
      </c>
      <c r="AA27" s="80" t="n">
        <f aca="false">IFERROR(AA25/AA24,0)</f>
        <v>0.00769722767473148</v>
      </c>
      <c r="AB27" s="80" t="n">
        <f aca="false">IFERROR(AB25/AB24,0)</f>
        <v>0.00800566918459255</v>
      </c>
      <c r="AC27" s="80" t="n">
        <f aca="false">IFERROR(AC25/AC24,0)</f>
        <v>0.00832312165116894</v>
      </c>
      <c r="AD27" s="80" t="n">
        <f aca="false">IFERROR(AD25/AD24,0)</f>
        <v>0.00865988504657284</v>
      </c>
      <c r="AE27" s="80" t="n">
        <f aca="false">IFERROR(AE25/AE24,0)</f>
        <v>0.00900682322193987</v>
      </c>
      <c r="AF27" s="80" t="n">
        <f aca="false">IFERROR(AF25/AF24,0)</f>
        <v>0.00936456195420339</v>
      </c>
      <c r="AG27" s="80" t="n">
        <f aca="false">IFERROR(AG25/AG24,0)</f>
        <v>0.00974106465183513</v>
      </c>
      <c r="AH27" s="80" t="n">
        <f aca="false">IFERROR(AH25/AH24,0)</f>
        <v>0.0101280495535472</v>
      </c>
      <c r="AI27" s="80" t="n">
        <f aca="false">IFERROR(AI25/AI24,0)</f>
        <v>0.0105359296915389</v>
      </c>
      <c r="AJ27" s="80" t="n">
        <f aca="false">IFERROR(AJ25/AJ24,0)</f>
        <v>0.0109564566241239</v>
      </c>
      <c r="AK27" s="80" t="n">
        <f aca="false">IFERROR(AK25/AK24,0)</f>
        <v>0.0113952613764573</v>
      </c>
      <c r="AL27" s="80" t="n">
        <f aca="false">IFERROR(AL25/AL24,0)</f>
        <v>0.0118507251757548</v>
      </c>
      <c r="AM27" s="80" t="n">
        <f aca="false">IFERROR(AM25/AM24,0)</f>
        <v>0.0123242209311315</v>
      </c>
      <c r="AN27" s="80" t="n">
        <f aca="false">IFERROR(AN25/AN24,0)</f>
        <v>0.0128166122591061</v>
      </c>
      <c r="AO27" s="80" t="n">
        <f aca="false">IFERROR(AO25/AO24,0)</f>
        <v>0.01332832689586</v>
      </c>
      <c r="AP27" s="80" t="n">
        <f aca="false">IFERROR(AP25/AP24,0)</f>
        <v>0.0138620739998641</v>
      </c>
      <c r="AQ27" s="80" t="n">
        <f aca="false">IFERROR(AQ25/AQ24,0)</f>
        <v>0.0144173771528879</v>
      </c>
      <c r="AR27" s="80" t="n">
        <f aca="false">IFERROR(AR25/AR24,0)</f>
        <v>0.0149935808008009</v>
      </c>
      <c r="AS27" s="80" t="n">
        <f aca="false">IFERROR(AS25/AS24,0)</f>
        <v>0.0155942990019916</v>
      </c>
      <c r="AT27" s="80" t="n">
        <f aca="false">IFERROR(AT25/AT24,0)</f>
        <v>0.0162179840705922</v>
      </c>
      <c r="AU27" s="80" t="n">
        <f aca="false">IFERROR(AU25/AU24,0)</f>
        <v>0.0168651038200179</v>
      </c>
      <c r="AV27" s="80" t="n">
        <f aca="false">IFERROR(AV25/AV24,0)</f>
        <v>0.0175396676507469</v>
      </c>
      <c r="AW27" s="80" t="n">
        <f aca="false">IFERROR(AW25/AW24,0)</f>
        <v>0.0182428249699023</v>
      </c>
      <c r="AX27" s="80" t="n">
        <f aca="false">IFERROR(AX25/AX24,0)</f>
        <v>0.0189715855438235</v>
      </c>
      <c r="AY27" s="80" t="n">
        <f aca="false">IFERROR(AY25/AY24,0)</f>
        <v>0.0197300213326023</v>
      </c>
      <c r="AZ27" s="80" t="n">
        <f aca="false">IFERROR(AZ25/AZ24,0)</f>
        <v>0.020519592956208</v>
      </c>
      <c r="BA27" s="80" t="n">
        <f aca="false">IFERROR(BA25/BA24,0)</f>
        <v>0.0213410714314776</v>
      </c>
      <c r="BB27" s="80" t="n">
        <f aca="false">IFERROR(BB25/BB24,0)</f>
        <v>0.0221947883685334</v>
      </c>
      <c r="BC27" s="80" t="n">
        <f aca="false">IFERROR(BC25/BC24,0)</f>
        <v>0.0230820049955957</v>
      </c>
      <c r="BD27" s="80" t="n">
        <f aca="false">IFERROR(BD25/BD24,0)</f>
        <v>0.0240049032280553</v>
      </c>
      <c r="BE27" s="80" t="n">
        <f aca="false">IFERROR(BE25/BE24,0)</f>
        <v>0.0249648235020966</v>
      </c>
      <c r="BF27" s="80" t="n">
        <f aca="false">IFERROR(BF25/BF24,0)</f>
        <v>0.025963844060673</v>
      </c>
      <c r="BG27" s="80" t="n">
        <f aca="false">IFERROR(BG25/BG24,0)</f>
        <v>0.0270018827357929</v>
      </c>
      <c r="BH27" s="80" t="n">
        <f aca="false">IFERROR(BH25/BH24,0)</f>
        <v>0.0280821703779162</v>
      </c>
      <c r="BI27" s="80" t="n">
        <f aca="false">IFERROR(BI25/BI24,0)</f>
        <v>0.0292056412380668</v>
      </c>
      <c r="BJ27" s="80" t="n">
        <f aca="false">IFERROR(BJ25/BJ24,0)</f>
        <v>0.030373799248225</v>
      </c>
      <c r="BK27" s="80" t="n">
        <f aca="false">IFERROR(BK25/BK24,0)</f>
        <v>0.0315894666007901</v>
      </c>
      <c r="BL27" s="80" t="n">
        <f aca="false">IFERROR(BL25/BL24,0)</f>
        <v>0.0328524113417885</v>
      </c>
      <c r="BM27" s="74" t="n">
        <f aca="false">BL27</f>
        <v>0.0328524113417885</v>
      </c>
    </row>
    <row r="29" customFormat="false" ht="18" hidden="false" customHeight="true" outlineLevel="0" collapsed="false">
      <c r="A29" s="19" t="s">
        <v>150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</row>
    <row r="30" customFormat="false" ht="15" hidden="false" customHeight="false" outlineLevel="0" collapsed="false">
      <c r="A30" s="63" t="s">
        <v>151</v>
      </c>
      <c r="E30" s="81" t="n">
        <f aca="false">E25*E18</f>
        <v>0</v>
      </c>
      <c r="F30" s="81" t="n">
        <f aca="false">F25*F18</f>
        <v>0</v>
      </c>
      <c r="G30" s="81" t="n">
        <f aca="false">G25*G18</f>
        <v>0</v>
      </c>
      <c r="H30" s="81" t="n">
        <f aca="false">H25*H18</f>
        <v>0</v>
      </c>
      <c r="I30" s="81" t="n">
        <f aca="false">I25*I18</f>
        <v>0</v>
      </c>
      <c r="J30" s="81" t="n">
        <f aca="false">J25*J18</f>
        <v>0</v>
      </c>
      <c r="K30" s="81" t="n">
        <f aca="false">K25*K18</f>
        <v>0</v>
      </c>
      <c r="L30" s="81" t="n">
        <f aca="false">L25*L18</f>
        <v>0</v>
      </c>
      <c r="M30" s="81" t="n">
        <f aca="false">M25*M18</f>
        <v>0</v>
      </c>
      <c r="N30" s="81" t="n">
        <f aca="false">N25*N18</f>
        <v>0</v>
      </c>
      <c r="O30" s="81" t="n">
        <f aca="false">O25*O18</f>
        <v>0</v>
      </c>
      <c r="P30" s="81" t="n">
        <f aca="false">P25*P18</f>
        <v>3630.9</v>
      </c>
      <c r="Q30" s="81" t="n">
        <f aca="false">Q25*Q18</f>
        <v>7341.6</v>
      </c>
      <c r="R30" s="81" t="n">
        <f aca="false">R25*R18</f>
        <v>11211.9</v>
      </c>
      <c r="S30" s="81" t="n">
        <f aca="false">S25*S18</f>
        <v>15241.8</v>
      </c>
      <c r="T30" s="81" t="n">
        <f aca="false">T25*T18</f>
        <v>19431.3</v>
      </c>
      <c r="U30" s="81" t="n">
        <f aca="false">U25*U18</f>
        <v>23820.3</v>
      </c>
      <c r="V30" s="81" t="n">
        <f aca="false">V25*V18</f>
        <v>28408.8</v>
      </c>
      <c r="W30" s="81" t="n">
        <f aca="false">W25*W18</f>
        <v>33276.6</v>
      </c>
      <c r="X30" s="81" t="n">
        <f aca="false">X25*X18</f>
        <v>38423.7</v>
      </c>
      <c r="Y30" s="81" t="n">
        <f aca="false">Y25*Y18</f>
        <v>43850.1</v>
      </c>
      <c r="Z30" s="81" t="n">
        <f aca="false">Z25*Z18</f>
        <v>49595.7</v>
      </c>
      <c r="AA30" s="81" t="n">
        <f aca="false">AA25*AA18</f>
        <v>55700.4</v>
      </c>
      <c r="AB30" s="81" t="n">
        <f aca="false">AB25*AB18</f>
        <v>62204.1</v>
      </c>
      <c r="AC30" s="81" t="n">
        <f aca="false">AC25*AC18</f>
        <v>69106.8</v>
      </c>
      <c r="AD30" s="81" t="n">
        <f aca="false">AD25*AD18</f>
        <v>76528.2</v>
      </c>
      <c r="AE30" s="81" t="n">
        <f aca="false">AE25*AE18</f>
        <v>84428.4</v>
      </c>
      <c r="AF30" s="81" t="n">
        <f aca="false">AF25*AF18</f>
        <v>92847.3</v>
      </c>
      <c r="AG30" s="81" t="n">
        <f aca="false">AG25*AG18</f>
        <v>101904.6</v>
      </c>
      <c r="AH30" s="81" t="n">
        <f aca="false">AH25*AH18</f>
        <v>111560.4</v>
      </c>
      <c r="AI30" s="81" t="n">
        <f aca="false">AI25*AI18</f>
        <v>121974.3</v>
      </c>
      <c r="AJ30" s="81" t="n">
        <f aca="false">AJ25*AJ18</f>
        <v>133106.4</v>
      </c>
      <c r="AK30" s="81" t="n">
        <f aca="false">AK25*AK18</f>
        <v>145076.4</v>
      </c>
      <c r="AL30" s="81" t="n">
        <f aca="false">AL25*AL18</f>
        <v>157924.2</v>
      </c>
      <c r="AM30" s="81" t="n">
        <f aca="false">AM25*AM18</f>
        <v>171729.6</v>
      </c>
      <c r="AN30" s="81" t="n">
        <f aca="false">AN25*AN18</f>
        <v>186572.4</v>
      </c>
      <c r="AO30" s="81" t="n">
        <f aca="false">AO25*AO18</f>
        <v>202532.4</v>
      </c>
      <c r="AP30" s="81" t="n">
        <f aca="false">AP25*AP18</f>
        <v>219729.3</v>
      </c>
      <c r="AQ30" s="81" t="n">
        <f aca="false">AQ25*AQ18</f>
        <v>238242.9</v>
      </c>
      <c r="AR30" s="81" t="n">
        <f aca="false">AR25*AR18</f>
        <v>258153</v>
      </c>
      <c r="AS30" s="81" t="n">
        <f aca="false">AS25*AS18</f>
        <v>279619.2</v>
      </c>
      <c r="AT30" s="81" t="n">
        <f aca="false">AT25*AT18</f>
        <v>302721.3</v>
      </c>
      <c r="AU30" s="81" t="n">
        <f aca="false">AU25*AU18</f>
        <v>327579</v>
      </c>
      <c r="AV30" s="81" t="n">
        <f aca="false">AV25*AV18</f>
        <v>354391.8</v>
      </c>
      <c r="AW30" s="81" t="n">
        <f aca="false">AW25*AW18</f>
        <v>383319.3</v>
      </c>
      <c r="AX30" s="81" t="n">
        <f aca="false">AX25*AX18</f>
        <v>414441.3</v>
      </c>
      <c r="AY30" s="81" t="n">
        <f aca="false">AY25*AY18</f>
        <v>447997.2</v>
      </c>
      <c r="AZ30" s="81" t="n">
        <f aca="false">AZ25*AZ18</f>
        <v>484186.5</v>
      </c>
      <c r="BA30" s="81" t="n">
        <f aca="false">BA25*BA18</f>
        <v>523208.7</v>
      </c>
      <c r="BB30" s="81" t="n">
        <f aca="false">BB25*BB18</f>
        <v>565263.3</v>
      </c>
      <c r="BC30" s="81" t="n">
        <f aca="false">BC25*BC18</f>
        <v>610589.7</v>
      </c>
      <c r="BD30" s="81" t="n">
        <f aca="false">BD25*BD18</f>
        <v>659467.2</v>
      </c>
      <c r="BE30" s="81" t="n">
        <f aca="false">BE25*BE18</f>
        <v>712175.1</v>
      </c>
      <c r="BF30" s="81" t="n">
        <f aca="false">BF25*BF18</f>
        <v>769032.6</v>
      </c>
      <c r="BG30" s="81" t="n">
        <f aca="false">BG25*BG18</f>
        <v>830319</v>
      </c>
      <c r="BH30" s="81" t="n">
        <f aca="false">BH25*BH18</f>
        <v>896433.3</v>
      </c>
      <c r="BI30" s="81" t="n">
        <f aca="false">BI25*BI18</f>
        <v>967734.6</v>
      </c>
      <c r="BJ30" s="81" t="n">
        <f aca="false">BJ25*BJ18</f>
        <v>1044621.9</v>
      </c>
      <c r="BK30" s="81" t="n">
        <f aca="false">BK25*BK18</f>
        <v>1127574</v>
      </c>
      <c r="BL30" s="81" t="n">
        <f aca="false">BL25*BL18</f>
        <v>1216989.9</v>
      </c>
      <c r="BM30" s="82" t="n">
        <f aca="false">SUM(E30:BL30)</f>
        <v>15681218.7</v>
      </c>
    </row>
    <row r="31" customFormat="false" ht="15" hidden="false" customHeight="false" outlineLevel="0" collapsed="false">
      <c r="A31" s="83" t="s">
        <v>152</v>
      </c>
      <c r="E31" s="84" t="n">
        <f aca="false">Aportes!E55</f>
        <v>0</v>
      </c>
      <c r="F31" s="84" t="n">
        <f aca="false">Aportes!F55</f>
        <v>0</v>
      </c>
      <c r="G31" s="84" t="n">
        <f aca="false">Aportes!G55</f>
        <v>0</v>
      </c>
      <c r="H31" s="84" t="n">
        <f aca="false">Aportes!H55</f>
        <v>0</v>
      </c>
      <c r="I31" s="84" t="n">
        <f aca="false">Aportes!I55</f>
        <v>0</v>
      </c>
      <c r="J31" s="84" t="n">
        <f aca="false">Aportes!J55</f>
        <v>0</v>
      </c>
      <c r="K31" s="84" t="n">
        <f aca="false">Aportes!K55</f>
        <v>0</v>
      </c>
      <c r="L31" s="84" t="n">
        <f aca="false">Aportes!L55</f>
        <v>0</v>
      </c>
      <c r="M31" s="84" t="n">
        <f aca="false">Aportes!M55</f>
        <v>0</v>
      </c>
      <c r="N31" s="84" t="n">
        <f aca="false">Aportes!N55</f>
        <v>0</v>
      </c>
      <c r="O31" s="84" t="n">
        <f aca="false">Aportes!O55</f>
        <v>0</v>
      </c>
      <c r="P31" s="84" t="n">
        <f aca="false">Aportes!P55</f>
        <v>0</v>
      </c>
      <c r="Q31" s="84" t="n">
        <f aca="false">Aportes!Q55</f>
        <v>0</v>
      </c>
      <c r="R31" s="84" t="n">
        <f aca="false">Aportes!R55</f>
        <v>0</v>
      </c>
      <c r="S31" s="84" t="n">
        <f aca="false">Aportes!S55</f>
        <v>5000</v>
      </c>
      <c r="T31" s="84" t="n">
        <f aca="false">Aportes!T55</f>
        <v>5000</v>
      </c>
      <c r="U31" s="84" t="n">
        <f aca="false">Aportes!U55</f>
        <v>5000</v>
      </c>
      <c r="V31" s="84" t="n">
        <f aca="false">Aportes!V55</f>
        <v>5000</v>
      </c>
      <c r="W31" s="84" t="n">
        <f aca="false">Aportes!W55</f>
        <v>5000</v>
      </c>
      <c r="X31" s="84" t="n">
        <f aca="false">Aportes!X55</f>
        <v>5000</v>
      </c>
      <c r="Y31" s="84" t="n">
        <f aca="false">Aportes!Y55</f>
        <v>5000</v>
      </c>
      <c r="Z31" s="84" t="n">
        <f aca="false">Aportes!Z55</f>
        <v>5000</v>
      </c>
      <c r="AA31" s="84" t="n">
        <f aca="false">Aportes!AA55</f>
        <v>5000</v>
      </c>
      <c r="AB31" s="84" t="n">
        <f aca="false">Aportes!AB55</f>
        <v>5000</v>
      </c>
      <c r="AC31" s="84" t="n">
        <f aca="false">Aportes!AC55</f>
        <v>5000</v>
      </c>
      <c r="AD31" s="84" t="n">
        <f aca="false">Aportes!AD55</f>
        <v>5000</v>
      </c>
      <c r="AE31" s="84" t="n">
        <f aca="false">Aportes!AE55</f>
        <v>5000</v>
      </c>
      <c r="AF31" s="84" t="n">
        <f aca="false">Aportes!AF55</f>
        <v>5000</v>
      </c>
      <c r="AG31" s="84" t="n">
        <f aca="false">Aportes!AG55</f>
        <v>5000</v>
      </c>
      <c r="AH31" s="84" t="n">
        <f aca="false">Aportes!AH55</f>
        <v>5000</v>
      </c>
      <c r="AI31" s="84" t="n">
        <f aca="false">Aportes!AI55</f>
        <v>5000</v>
      </c>
      <c r="AJ31" s="84" t="n">
        <f aca="false">Aportes!AJ55</f>
        <v>5000</v>
      </c>
      <c r="AK31" s="84" t="n">
        <f aca="false">Aportes!AK55</f>
        <v>5000</v>
      </c>
      <c r="AL31" s="84" t="n">
        <f aca="false">Aportes!AL55</f>
        <v>5000</v>
      </c>
      <c r="AM31" s="84" t="n">
        <f aca="false">Aportes!AM55</f>
        <v>5000</v>
      </c>
      <c r="AN31" s="84" t="n">
        <f aca="false">Aportes!AN55</f>
        <v>5000</v>
      </c>
      <c r="AO31" s="84" t="n">
        <f aca="false">Aportes!AO55</f>
        <v>5000</v>
      </c>
      <c r="AP31" s="84" t="n">
        <f aca="false">Aportes!AP55</f>
        <v>5000</v>
      </c>
      <c r="AQ31" s="84" t="n">
        <f aca="false">Aportes!AQ55</f>
        <v>5000</v>
      </c>
      <c r="AR31" s="84" t="n">
        <f aca="false">Aportes!AR55</f>
        <v>5000</v>
      </c>
      <c r="AS31" s="84" t="n">
        <f aca="false">Aportes!AS55</f>
        <v>5000</v>
      </c>
      <c r="AT31" s="84" t="n">
        <f aca="false">Aportes!AT55</f>
        <v>5000</v>
      </c>
      <c r="AU31" s="84" t="n">
        <f aca="false">Aportes!AU55</f>
        <v>5000</v>
      </c>
      <c r="AV31" s="84" t="n">
        <f aca="false">Aportes!AV55</f>
        <v>5000</v>
      </c>
      <c r="AW31" s="84" t="n">
        <f aca="false">Aportes!AW55</f>
        <v>5000</v>
      </c>
      <c r="AX31" s="84" t="n">
        <f aca="false">Aportes!AX55</f>
        <v>5000</v>
      </c>
      <c r="AY31" s="84" t="n">
        <f aca="false">Aportes!AY55</f>
        <v>5000</v>
      </c>
      <c r="AZ31" s="84" t="n">
        <f aca="false">Aportes!AZ55</f>
        <v>5000</v>
      </c>
      <c r="BA31" s="84" t="n">
        <f aca="false">Aportes!BA55</f>
        <v>5000</v>
      </c>
      <c r="BB31" s="84" t="n">
        <f aca="false">Aportes!BB55</f>
        <v>5000</v>
      </c>
      <c r="BC31" s="84" t="n">
        <f aca="false">Aportes!BC55</f>
        <v>5000</v>
      </c>
      <c r="BD31" s="84" t="n">
        <f aca="false">Aportes!BD55</f>
        <v>5000</v>
      </c>
      <c r="BE31" s="84" t="n">
        <f aca="false">Aportes!BE55</f>
        <v>5000</v>
      </c>
      <c r="BF31" s="84" t="n">
        <f aca="false">Aportes!BF55</f>
        <v>5000</v>
      </c>
      <c r="BG31" s="84" t="n">
        <f aca="false">Aportes!BG55</f>
        <v>5000</v>
      </c>
      <c r="BH31" s="84" t="n">
        <f aca="false">Aportes!BH55</f>
        <v>5000</v>
      </c>
      <c r="BI31" s="84" t="n">
        <f aca="false">Aportes!BI55</f>
        <v>5000</v>
      </c>
      <c r="BJ31" s="84" t="n">
        <f aca="false">Aportes!BJ55</f>
        <v>5000</v>
      </c>
      <c r="BK31" s="84" t="n">
        <f aca="false">Aportes!BK55</f>
        <v>5000</v>
      </c>
      <c r="BL31" s="84" t="n">
        <f aca="false">Aportes!BL55</f>
        <v>5000</v>
      </c>
      <c r="BM31" s="82" t="n">
        <f aca="false">SUM(E31:BL31)</f>
        <v>230000</v>
      </c>
      <c r="BN31" s="35" t="s">
        <v>153</v>
      </c>
    </row>
    <row r="32" customFormat="false" ht="15" hidden="false" customHeight="false" outlineLevel="0" collapsed="false">
      <c r="A32" s="37" t="s">
        <v>154</v>
      </c>
      <c r="B32" s="85" t="s">
        <v>155</v>
      </c>
      <c r="C32" s="85" t="s">
        <v>155</v>
      </c>
      <c r="D32" s="85" t="s">
        <v>155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2" t="n">
        <f aca="false">SUM(E32:BL32)</f>
        <v>0</v>
      </c>
      <c r="BN32" s="35" t="s">
        <v>156</v>
      </c>
    </row>
    <row r="33" customFormat="false" ht="15" hidden="false" customHeight="false" outlineLevel="0" collapsed="false">
      <c r="A33" s="63" t="s">
        <v>157</v>
      </c>
      <c r="E33" s="82" t="n">
        <f aca="false">SUM(E30:E32)</f>
        <v>0</v>
      </c>
      <c r="F33" s="82" t="n">
        <f aca="false">SUM(F30:F32)</f>
        <v>0</v>
      </c>
      <c r="G33" s="82" t="n">
        <f aca="false">SUM(G30:G32)</f>
        <v>0</v>
      </c>
      <c r="H33" s="82" t="n">
        <f aca="false">SUM(H30:H32)</f>
        <v>0</v>
      </c>
      <c r="I33" s="82" t="n">
        <f aca="false">SUM(I30:I32)</f>
        <v>0</v>
      </c>
      <c r="J33" s="82" t="n">
        <f aca="false">SUM(J30:J32)</f>
        <v>0</v>
      </c>
      <c r="K33" s="82" t="n">
        <f aca="false">SUM(K30:K32)</f>
        <v>0</v>
      </c>
      <c r="L33" s="82" t="n">
        <f aca="false">SUM(L30:L32)</f>
        <v>0</v>
      </c>
      <c r="M33" s="82" t="n">
        <f aca="false">SUM(M30:M32)</f>
        <v>0</v>
      </c>
      <c r="N33" s="82" t="n">
        <f aca="false">SUM(N30:N32)</f>
        <v>0</v>
      </c>
      <c r="O33" s="82" t="n">
        <f aca="false">SUM(O30:O32)</f>
        <v>0</v>
      </c>
      <c r="P33" s="82" t="n">
        <f aca="false">SUM(P30:P32)</f>
        <v>3630.9</v>
      </c>
      <c r="Q33" s="82" t="n">
        <f aca="false">SUM(Q30:Q32)</f>
        <v>7341.6</v>
      </c>
      <c r="R33" s="82" t="n">
        <f aca="false">SUM(R30:R32)</f>
        <v>11211.9</v>
      </c>
      <c r="S33" s="82" t="n">
        <f aca="false">SUM(S30:S32)</f>
        <v>20241.8</v>
      </c>
      <c r="T33" s="82" t="n">
        <f aca="false">SUM(T30:T32)</f>
        <v>24431.3</v>
      </c>
      <c r="U33" s="82" t="n">
        <f aca="false">SUM(U30:U32)</f>
        <v>28820.3</v>
      </c>
      <c r="V33" s="82" t="n">
        <f aca="false">SUM(V30:V32)</f>
        <v>33408.8</v>
      </c>
      <c r="W33" s="82" t="n">
        <f aca="false">SUM(W30:W32)</f>
        <v>38276.6</v>
      </c>
      <c r="X33" s="82" t="n">
        <f aca="false">SUM(X30:X32)</f>
        <v>43423.7</v>
      </c>
      <c r="Y33" s="82" t="n">
        <f aca="false">SUM(Y30:Y32)</f>
        <v>48850.1</v>
      </c>
      <c r="Z33" s="82" t="n">
        <f aca="false">SUM(Z30:Z32)</f>
        <v>54595.7</v>
      </c>
      <c r="AA33" s="82" t="n">
        <f aca="false">SUM(AA30:AA32)</f>
        <v>60700.4</v>
      </c>
      <c r="AB33" s="82" t="n">
        <f aca="false">SUM(AB30:AB32)</f>
        <v>67204.1</v>
      </c>
      <c r="AC33" s="82" t="n">
        <f aca="false">SUM(AC30:AC32)</f>
        <v>74106.8</v>
      </c>
      <c r="AD33" s="82" t="n">
        <f aca="false">SUM(AD30:AD32)</f>
        <v>81528.2</v>
      </c>
      <c r="AE33" s="82" t="n">
        <f aca="false">SUM(AE30:AE32)</f>
        <v>89428.4</v>
      </c>
      <c r="AF33" s="82" t="n">
        <f aca="false">SUM(AF30:AF32)</f>
        <v>97847.3</v>
      </c>
      <c r="AG33" s="82" t="n">
        <f aca="false">SUM(AG30:AG32)</f>
        <v>106904.6</v>
      </c>
      <c r="AH33" s="82" t="n">
        <f aca="false">SUM(AH30:AH32)</f>
        <v>116560.4</v>
      </c>
      <c r="AI33" s="82" t="n">
        <f aca="false">SUM(AI30:AI32)</f>
        <v>126974.3</v>
      </c>
      <c r="AJ33" s="82" t="n">
        <f aca="false">SUM(AJ30:AJ32)</f>
        <v>138106.4</v>
      </c>
      <c r="AK33" s="82" t="n">
        <f aca="false">SUM(AK30:AK32)</f>
        <v>150076.4</v>
      </c>
      <c r="AL33" s="82" t="n">
        <f aca="false">SUM(AL30:AL32)</f>
        <v>162924.2</v>
      </c>
      <c r="AM33" s="82" t="n">
        <f aca="false">SUM(AM30:AM32)</f>
        <v>176729.6</v>
      </c>
      <c r="AN33" s="82" t="n">
        <f aca="false">SUM(AN30:AN32)</f>
        <v>191572.4</v>
      </c>
      <c r="AO33" s="82" t="n">
        <f aca="false">SUM(AO30:AO32)</f>
        <v>207532.4</v>
      </c>
      <c r="AP33" s="82" t="n">
        <f aca="false">SUM(AP30:AP32)</f>
        <v>224729.3</v>
      </c>
      <c r="AQ33" s="82" t="n">
        <f aca="false">SUM(AQ30:AQ32)</f>
        <v>243242.9</v>
      </c>
      <c r="AR33" s="82" t="n">
        <f aca="false">SUM(AR30:AR32)</f>
        <v>263153</v>
      </c>
      <c r="AS33" s="82" t="n">
        <f aca="false">SUM(AS30:AS32)</f>
        <v>284619.2</v>
      </c>
      <c r="AT33" s="82" t="n">
        <f aca="false">SUM(AT30:AT32)</f>
        <v>307721.3</v>
      </c>
      <c r="AU33" s="82" t="n">
        <f aca="false">SUM(AU30:AU32)</f>
        <v>332579</v>
      </c>
      <c r="AV33" s="82" t="n">
        <f aca="false">SUM(AV30:AV32)</f>
        <v>359391.8</v>
      </c>
      <c r="AW33" s="82" t="n">
        <f aca="false">SUM(AW30:AW32)</f>
        <v>388319.3</v>
      </c>
      <c r="AX33" s="82" t="n">
        <f aca="false">SUM(AX30:AX32)</f>
        <v>419441.3</v>
      </c>
      <c r="AY33" s="82" t="n">
        <f aca="false">SUM(AY30:AY32)</f>
        <v>452997.2</v>
      </c>
      <c r="AZ33" s="82" t="n">
        <f aca="false">SUM(AZ30:AZ32)</f>
        <v>489186.5</v>
      </c>
      <c r="BA33" s="82" t="n">
        <f aca="false">SUM(BA30:BA32)</f>
        <v>528208.7</v>
      </c>
      <c r="BB33" s="82" t="n">
        <f aca="false">SUM(BB30:BB32)</f>
        <v>570263.3</v>
      </c>
      <c r="BC33" s="82" t="n">
        <f aca="false">SUM(BC30:BC32)</f>
        <v>615589.7</v>
      </c>
      <c r="BD33" s="82" t="n">
        <f aca="false">SUM(BD30:BD32)</f>
        <v>664467.2</v>
      </c>
      <c r="BE33" s="82" t="n">
        <f aca="false">SUM(BE30:BE32)</f>
        <v>717175.1</v>
      </c>
      <c r="BF33" s="82" t="n">
        <f aca="false">SUM(BF30:BF32)</f>
        <v>774032.6</v>
      </c>
      <c r="BG33" s="82" t="n">
        <f aca="false">SUM(BG30:BG32)</f>
        <v>835319</v>
      </c>
      <c r="BH33" s="82" t="n">
        <f aca="false">SUM(BH30:BH32)</f>
        <v>901433.3</v>
      </c>
      <c r="BI33" s="82" t="n">
        <f aca="false">SUM(BI30:BI32)</f>
        <v>972734.6</v>
      </c>
      <c r="BJ33" s="82" t="n">
        <f aca="false">SUM(BJ30:BJ32)</f>
        <v>1049621.9</v>
      </c>
      <c r="BK33" s="82" t="n">
        <f aca="false">SUM(BK30:BK32)</f>
        <v>1132574</v>
      </c>
      <c r="BL33" s="82" t="n">
        <f aca="false">SUM(BL30:BL32)</f>
        <v>1221989.9</v>
      </c>
      <c r="BM33" s="82" t="n">
        <f aca="false">SUM(E33:BL33)</f>
        <v>15911218.7</v>
      </c>
    </row>
    <row r="34" customFormat="false" ht="15" hidden="false" customHeight="false" outlineLevel="0" collapsed="false">
      <c r="A34" s="49" t="s">
        <v>158</v>
      </c>
      <c r="E34" s="87" t="n">
        <f aca="false">E33*12</f>
        <v>0</v>
      </c>
      <c r="F34" s="87" t="n">
        <f aca="false">SUM(E33:E33)/1*12</f>
        <v>0</v>
      </c>
      <c r="G34" s="87" t="n">
        <f aca="false">SUM(E33:F33)/2*12</f>
        <v>0</v>
      </c>
      <c r="H34" s="87" t="n">
        <f aca="false">SUM(E33:G33)/3*12</f>
        <v>0</v>
      </c>
      <c r="I34" s="87" t="n">
        <f aca="false">SUM(E33:H33)/4*12</f>
        <v>0</v>
      </c>
      <c r="J34" s="87" t="n">
        <f aca="false">SUM(E33:I33)/5*12</f>
        <v>0</v>
      </c>
      <c r="K34" s="87" t="n">
        <f aca="false">SUM(E33:J33)/6*12</f>
        <v>0</v>
      </c>
      <c r="L34" s="87" t="n">
        <f aca="false">SUM(E33:K33)/7*12</f>
        <v>0</v>
      </c>
      <c r="M34" s="87" t="n">
        <f aca="false">SUM(E33:L33)/8*12</f>
        <v>0</v>
      </c>
      <c r="N34" s="87" t="n">
        <f aca="false">SUM(E33:M33)/9*12</f>
        <v>0</v>
      </c>
      <c r="O34" s="87" t="n">
        <f aca="false">SUM(E33:N33)/10*12</f>
        <v>0</v>
      </c>
      <c r="P34" s="87" t="n">
        <f aca="false">SUM(E33:O33)/11*12</f>
        <v>0</v>
      </c>
      <c r="Q34" s="87" t="n">
        <f aca="false">SUM(E33:P33)</f>
        <v>3630.9</v>
      </c>
      <c r="R34" s="87" t="n">
        <f aca="false">SUM(F33:Q33)</f>
        <v>10972.5</v>
      </c>
      <c r="S34" s="87" t="n">
        <f aca="false">SUM(G33:R33)</f>
        <v>22184.4</v>
      </c>
      <c r="T34" s="87" t="n">
        <f aca="false">SUM(H33:S33)</f>
        <v>42426.2</v>
      </c>
      <c r="U34" s="87" t="n">
        <f aca="false">SUM(I33:T33)</f>
        <v>66857.5</v>
      </c>
      <c r="V34" s="87" t="n">
        <f aca="false">SUM(J33:U33)</f>
        <v>95677.8</v>
      </c>
      <c r="W34" s="87" t="n">
        <f aca="false">SUM(K33:V33)</f>
        <v>129086.6</v>
      </c>
      <c r="X34" s="87" t="n">
        <f aca="false">SUM(L33:W33)</f>
        <v>167363.2</v>
      </c>
      <c r="Y34" s="87" t="n">
        <f aca="false">SUM(M33:X33)</f>
        <v>210786.9</v>
      </c>
      <c r="Z34" s="87" t="n">
        <f aca="false">SUM(N33:Y33)</f>
        <v>259637</v>
      </c>
      <c r="AA34" s="87" t="n">
        <f aca="false">SUM(O33:Z33)</f>
        <v>314232.7</v>
      </c>
      <c r="AB34" s="87" t="n">
        <f aca="false">SUM(P33:AA33)</f>
        <v>374933.1</v>
      </c>
      <c r="AC34" s="87" t="n">
        <f aca="false">SUM(Q33:AB33)</f>
        <v>438506.3</v>
      </c>
      <c r="AD34" s="87" t="n">
        <f aca="false">SUM(R33:AC33)</f>
        <v>505271.5</v>
      </c>
      <c r="AE34" s="87" t="n">
        <f aca="false">SUM(S33:AD33)</f>
        <v>575587.8</v>
      </c>
      <c r="AF34" s="87" t="n">
        <f aca="false">SUM(T33:AE33)</f>
        <v>644774.4</v>
      </c>
      <c r="AG34" s="87" t="n">
        <f aca="false">SUM(U33:AF33)</f>
        <v>718190.4</v>
      </c>
      <c r="AH34" s="87" t="n">
        <f aca="false">SUM(V33:AG33)</f>
        <v>796274.7</v>
      </c>
      <c r="AI34" s="87" t="n">
        <f aca="false">SUM(W33:AH33)</f>
        <v>879426.3</v>
      </c>
      <c r="AJ34" s="87" t="n">
        <f aca="false">SUM(X33:AI33)</f>
        <v>968124</v>
      </c>
      <c r="AK34" s="87" t="n">
        <f aca="false">SUM(Y33:AJ33)</f>
        <v>1062806.7</v>
      </c>
      <c r="AL34" s="87" t="n">
        <f aca="false">SUM(Z33:AK33)</f>
        <v>1164033</v>
      </c>
      <c r="AM34" s="87" t="n">
        <f aca="false">SUM(AA33:AL33)</f>
        <v>1272361.5</v>
      </c>
      <c r="AN34" s="87" t="n">
        <f aca="false">SUM(AB33:AM33)</f>
        <v>1388390.7</v>
      </c>
      <c r="AO34" s="87" t="n">
        <f aca="false">SUM(AC33:AN33)</f>
        <v>1512759</v>
      </c>
      <c r="AP34" s="87" t="n">
        <f aca="false">SUM(AD33:AO33)</f>
        <v>1646184.6</v>
      </c>
      <c r="AQ34" s="87" t="n">
        <f aca="false">SUM(AE33:AP33)</f>
        <v>1789385.7</v>
      </c>
      <c r="AR34" s="87" t="n">
        <f aca="false">SUM(AF33:AQ33)</f>
        <v>1943200.2</v>
      </c>
      <c r="AS34" s="87" t="n">
        <f aca="false">SUM(AG33:AR33)</f>
        <v>2108505.9</v>
      </c>
      <c r="AT34" s="87" t="n">
        <f aca="false">SUM(AH33:AS33)</f>
        <v>2286220.5</v>
      </c>
      <c r="AU34" s="87" t="n">
        <f aca="false">SUM(AI33:AT33)</f>
        <v>2477381.4</v>
      </c>
      <c r="AV34" s="87" t="n">
        <f aca="false">SUM(AJ33:AU33)</f>
        <v>2682986.1</v>
      </c>
      <c r="AW34" s="87" t="n">
        <f aca="false">SUM(AK33:AV33)</f>
        <v>2904271.5</v>
      </c>
      <c r="AX34" s="87" t="n">
        <f aca="false">SUM(AL33:AW33)</f>
        <v>3142514.4</v>
      </c>
      <c r="AY34" s="87" t="n">
        <f aca="false">SUM(AM33:AX33)</f>
        <v>3399031.5</v>
      </c>
      <c r="AZ34" s="87" t="n">
        <f aca="false">SUM(AN33:AY33)</f>
        <v>3675299.1</v>
      </c>
      <c r="BA34" s="87" t="n">
        <f aca="false">SUM(AO33:AZ33)</f>
        <v>3972913.2</v>
      </c>
      <c r="BB34" s="87" t="n">
        <f aca="false">SUM(AP33:BA33)</f>
        <v>4293589.5</v>
      </c>
      <c r="BC34" s="87" t="n">
        <f aca="false">SUM(AQ33:BB33)</f>
        <v>4639123.5</v>
      </c>
      <c r="BD34" s="87" t="n">
        <f aca="false">SUM(AR33:BC33)</f>
        <v>5011470.3</v>
      </c>
      <c r="BE34" s="87" t="n">
        <f aca="false">SUM(AS33:BD33)</f>
        <v>5412784.5</v>
      </c>
      <c r="BF34" s="87" t="n">
        <f aca="false">SUM(AT33:BE33)</f>
        <v>5845340.4</v>
      </c>
      <c r="BG34" s="87" t="n">
        <f aca="false">SUM(AU33:BF33)</f>
        <v>6311651.7</v>
      </c>
      <c r="BH34" s="87" t="n">
        <f aca="false">SUM(AV33:BG33)</f>
        <v>6814391.7</v>
      </c>
      <c r="BI34" s="87" t="n">
        <f aca="false">SUM(AW33:BH33)</f>
        <v>7356433.2</v>
      </c>
      <c r="BJ34" s="87" t="n">
        <f aca="false">SUM(AX33:BI33)</f>
        <v>7940848.5</v>
      </c>
      <c r="BK34" s="87" t="n">
        <f aca="false">SUM(AY33:BJ33)</f>
        <v>8571029.1</v>
      </c>
      <c r="BL34" s="87" t="n">
        <f aca="false">SUM(AZ33:BK33)</f>
        <v>9250605.9</v>
      </c>
      <c r="BM34" s="82" t="n">
        <f aca="false">BL34</f>
        <v>9250605.9</v>
      </c>
      <c r="BN34" s="35" t="s">
        <v>159</v>
      </c>
    </row>
    <row r="35" customFormat="false" ht="19.4" hidden="false" customHeight="false" outlineLevel="0" collapsed="false">
      <c r="A35" s="37" t="s">
        <v>160</v>
      </c>
      <c r="B35" s="88" t="n">
        <v>0.155</v>
      </c>
      <c r="C35" s="69" t="n">
        <v>0</v>
      </c>
      <c r="D35" s="70" t="n">
        <v>1</v>
      </c>
      <c r="E35" s="89" t="n">
        <f aca="false">IF(E$5&lt;$D35,0,$B35)</f>
        <v>0.155</v>
      </c>
      <c r="F35" s="89" t="n">
        <f aca="false">IF(F$5&lt;$D35,0,IF(E35=0,$B35,E35*(1+$C35)))</f>
        <v>0.155</v>
      </c>
      <c r="G35" s="89" t="n">
        <f aca="false">IF(G$5&lt;$D35,0,IF(F35=0,$B35,F35*(1+$C35)))</f>
        <v>0.155</v>
      </c>
      <c r="H35" s="89" t="n">
        <f aca="false">IF(H$5&lt;$D35,0,IF(G35=0,$B35,G35*(1+$C35)))</f>
        <v>0.155</v>
      </c>
      <c r="I35" s="89" t="n">
        <f aca="false">IF(I$5&lt;$D35,0,IF(H35=0,$B35,H35*(1+$C35)))</f>
        <v>0.155</v>
      </c>
      <c r="J35" s="89" t="n">
        <f aca="false">IF(J$5&lt;$D35,0,IF(I35=0,$B35,I35*(1+$C35)))</f>
        <v>0.155</v>
      </c>
      <c r="K35" s="89" t="n">
        <f aca="false">IF(K$5&lt;$D35,0,IF(J35=0,$B35,J35*(1+$C35)))</f>
        <v>0.155</v>
      </c>
      <c r="L35" s="89" t="n">
        <f aca="false">IF(L$5&lt;$D35,0,IF(K35=0,$B35,K35*(1+$C35)))</f>
        <v>0.155</v>
      </c>
      <c r="M35" s="89" t="n">
        <f aca="false">IF(M$5&lt;$D35,0,IF(L35=0,$B35,L35*(1+$C35)))</f>
        <v>0.155</v>
      </c>
      <c r="N35" s="89" t="n">
        <f aca="false">IF(N$5&lt;$D35,0,IF(M35=0,$B35,M35*(1+$C35)))</f>
        <v>0.155</v>
      </c>
      <c r="O35" s="89" t="n">
        <f aca="false">IF(O$5&lt;$D35,0,IF(N35=0,$B35,N35*(1+$C35)))</f>
        <v>0.155</v>
      </c>
      <c r="P35" s="89" t="n">
        <f aca="false">IF(P$5&lt;$D35,0,IF(O35=0,$B35,O35*(1+$C35)))</f>
        <v>0.155</v>
      </c>
      <c r="Q35" s="89" t="n">
        <f aca="false">IF(Q$5&lt;$D35,0,IF(P35=0,$B35,P35*(1+$C35)))</f>
        <v>0.155</v>
      </c>
      <c r="R35" s="89" t="n">
        <f aca="false">IF(R$5&lt;$D35,0,IF(Q35=0,$B35,Q35*(1+$C35)))</f>
        <v>0.155</v>
      </c>
      <c r="S35" s="89" t="n">
        <f aca="false">IF(S$5&lt;$D35,0,IF(R35=0,$B35,R35*(1+$C35)))</f>
        <v>0.155</v>
      </c>
      <c r="T35" s="89" t="n">
        <f aca="false">IF(T$5&lt;$D35,0,IF(S35=0,$B35,S35*(1+$C35)))</f>
        <v>0.155</v>
      </c>
      <c r="U35" s="89" t="n">
        <f aca="false">IF(U$5&lt;$D35,0,IF(T35=0,$B35,T35*(1+$C35)))</f>
        <v>0.155</v>
      </c>
      <c r="V35" s="89" t="n">
        <f aca="false">IF(V$5&lt;$D35,0,IF(U35=0,$B35,U35*(1+$C35)))</f>
        <v>0.155</v>
      </c>
      <c r="W35" s="89" t="n">
        <f aca="false">IF(W$5&lt;$D35,0,IF(V35=0,$B35,V35*(1+$C35)))</f>
        <v>0.155</v>
      </c>
      <c r="X35" s="89" t="n">
        <f aca="false">IF(X$5&lt;$D35,0,IF(W35=0,$B35,W35*(1+$C35)))</f>
        <v>0.155</v>
      </c>
      <c r="Y35" s="89" t="n">
        <f aca="false">IF(Y$5&lt;$D35,0,IF(X35=0,$B35,X35*(1+$C35)))</f>
        <v>0.155</v>
      </c>
      <c r="Z35" s="89" t="n">
        <f aca="false">IF(Z$5&lt;$D35,0,IF(Y35=0,$B35,Y35*(1+$C35)))</f>
        <v>0.155</v>
      </c>
      <c r="AA35" s="89" t="n">
        <f aca="false">IF(AA$5&lt;$D35,0,IF(Z35=0,$B35,Z35*(1+$C35)))</f>
        <v>0.155</v>
      </c>
      <c r="AB35" s="89" t="n">
        <f aca="false">IF(AB$5&lt;$D35,0,IF(AA35=0,$B35,AA35*(1+$C35)))</f>
        <v>0.155</v>
      </c>
      <c r="AC35" s="89" t="n">
        <f aca="false">IF(AC$5&lt;$D35,0,IF(AB35=0,$B35,AB35*(1+$C35)))</f>
        <v>0.155</v>
      </c>
      <c r="AD35" s="89" t="n">
        <f aca="false">IF(AD$5&lt;$D35,0,IF(AC35=0,$B35,AC35*(1+$C35)))</f>
        <v>0.155</v>
      </c>
      <c r="AE35" s="89" t="n">
        <f aca="false">IF(AE$5&lt;$D35,0,IF(AD35=0,$B35,AD35*(1+$C35)))</f>
        <v>0.155</v>
      </c>
      <c r="AF35" s="89" t="n">
        <f aca="false">IF(AF$5&lt;$D35,0,IF(AE35=0,$B35,AE35*(1+$C35)))</f>
        <v>0.155</v>
      </c>
      <c r="AG35" s="89" t="n">
        <f aca="false">IF(AG$5&lt;$D35,0,IF(AF35=0,$B35,AF35*(1+$C35)))</f>
        <v>0.155</v>
      </c>
      <c r="AH35" s="89" t="n">
        <f aca="false">IF(AH$5&lt;$D35,0,IF(AG35=0,$B35,AG35*(1+$C35)))</f>
        <v>0.155</v>
      </c>
      <c r="AI35" s="89" t="n">
        <f aca="false">IF(AI$5&lt;$D35,0,IF(AH35=0,$B35,AH35*(1+$C35)))</f>
        <v>0.155</v>
      </c>
      <c r="AJ35" s="89" t="n">
        <f aca="false">IF(AJ$5&lt;$D35,0,IF(AI35=0,$B35,AI35*(1+$C35)))</f>
        <v>0.155</v>
      </c>
      <c r="AK35" s="89" t="n">
        <f aca="false">IF(AK$5&lt;$D35,0,IF(AJ35=0,$B35,AJ35*(1+$C35)))</f>
        <v>0.155</v>
      </c>
      <c r="AL35" s="89" t="n">
        <f aca="false">IF(AL$5&lt;$D35,0,IF(AK35=0,$B35,AK35*(1+$C35)))</f>
        <v>0.155</v>
      </c>
      <c r="AM35" s="89" t="n">
        <f aca="false">IF(AM$5&lt;$D35,0,IF(AL35=0,$B35,AL35*(1+$C35)))</f>
        <v>0.155</v>
      </c>
      <c r="AN35" s="89" t="n">
        <f aca="false">IF(AN$5&lt;$D35,0,IF(AM35=0,$B35,AM35*(1+$C35)))</f>
        <v>0.155</v>
      </c>
      <c r="AO35" s="89" t="n">
        <f aca="false">IF(AO$5&lt;$D35,0,IF(AN35=0,$B35,AN35*(1+$C35)))</f>
        <v>0.155</v>
      </c>
      <c r="AP35" s="89" t="n">
        <f aca="false">IF(AP$5&lt;$D35,0,IF(AO35=0,$B35,AO35*(1+$C35)))</f>
        <v>0.155</v>
      </c>
      <c r="AQ35" s="89" t="n">
        <f aca="false">IF(AQ$5&lt;$D35,0,IF(AP35=0,$B35,AP35*(1+$C35)))</f>
        <v>0.155</v>
      </c>
      <c r="AR35" s="89" t="n">
        <f aca="false">IF(AR$5&lt;$D35,0,IF(AQ35=0,$B35,AQ35*(1+$C35)))</f>
        <v>0.155</v>
      </c>
      <c r="AS35" s="89" t="n">
        <f aca="false">IF(AS$5&lt;$D35,0,IF(AR35=0,$B35,AR35*(1+$C35)))</f>
        <v>0.155</v>
      </c>
      <c r="AT35" s="89" t="n">
        <f aca="false">IF(AT$5&lt;$D35,0,IF(AS35=0,$B35,AS35*(1+$C35)))</f>
        <v>0.155</v>
      </c>
      <c r="AU35" s="89" t="n">
        <f aca="false">IF(AU$5&lt;$D35,0,IF(AT35=0,$B35,AT35*(1+$C35)))</f>
        <v>0.155</v>
      </c>
      <c r="AV35" s="89" t="n">
        <f aca="false">IF(AV$5&lt;$D35,0,IF(AU35=0,$B35,AU35*(1+$C35)))</f>
        <v>0.155</v>
      </c>
      <c r="AW35" s="89" t="n">
        <f aca="false">IF(AW$5&lt;$D35,0,IF(AV35=0,$B35,AV35*(1+$C35)))</f>
        <v>0.155</v>
      </c>
      <c r="AX35" s="89" t="n">
        <f aca="false">IF(AX$5&lt;$D35,0,IF(AW35=0,$B35,AW35*(1+$C35)))</f>
        <v>0.155</v>
      </c>
      <c r="AY35" s="89" t="n">
        <f aca="false">IF(AY$5&lt;$D35,0,IF(AX35=0,$B35,AX35*(1+$C35)))</f>
        <v>0.155</v>
      </c>
      <c r="AZ35" s="89" t="n">
        <f aca="false">IF(AZ$5&lt;$D35,0,IF(AY35=0,$B35,AY35*(1+$C35)))</f>
        <v>0.155</v>
      </c>
      <c r="BA35" s="89" t="n">
        <f aca="false">IF(BA$5&lt;$D35,0,IF(AZ35=0,$B35,AZ35*(1+$C35)))</f>
        <v>0.155</v>
      </c>
      <c r="BB35" s="89" t="n">
        <f aca="false">IF(BB$5&lt;$D35,0,IF(BA35=0,$B35,BA35*(1+$C35)))</f>
        <v>0.155</v>
      </c>
      <c r="BC35" s="89" t="n">
        <f aca="false">IF(BC$5&lt;$D35,0,IF(BB35=0,$B35,BB35*(1+$C35)))</f>
        <v>0.155</v>
      </c>
      <c r="BD35" s="89" t="n">
        <f aca="false">IF(BD$5&lt;$D35,0,IF(BC35=0,$B35,BC35*(1+$C35)))</f>
        <v>0.155</v>
      </c>
      <c r="BE35" s="89" t="n">
        <f aca="false">IF(BE$5&lt;$D35,0,IF(BD35=0,$B35,BD35*(1+$C35)))</f>
        <v>0.155</v>
      </c>
      <c r="BF35" s="89" t="n">
        <f aca="false">IF(BF$5&lt;$D35,0,IF(BE35=0,$B35,BE35*(1+$C35)))</f>
        <v>0.155</v>
      </c>
      <c r="BG35" s="89" t="n">
        <f aca="false">IF(BG$5&lt;$D35,0,IF(BF35=0,$B35,BF35*(1+$C35)))</f>
        <v>0.155</v>
      </c>
      <c r="BH35" s="89" t="n">
        <f aca="false">IF(BH$5&lt;$D35,0,IF(BG35=0,$B35,BG35*(1+$C35)))</f>
        <v>0.155</v>
      </c>
      <c r="BI35" s="89" t="n">
        <f aca="false">IF(BI$5&lt;$D35,0,IF(BH35=0,$B35,BH35*(1+$C35)))</f>
        <v>0.155</v>
      </c>
      <c r="BJ35" s="89" t="n">
        <f aca="false">IF(BJ$5&lt;$D35,0,IF(BI35=0,$B35,BI35*(1+$C35)))</f>
        <v>0.155</v>
      </c>
      <c r="BK35" s="89" t="n">
        <f aca="false">IF(BK$5&lt;$D35,0,IF(BJ35=0,$B35,BJ35*(1+$C35)))</f>
        <v>0.155</v>
      </c>
      <c r="BL35" s="89" t="n">
        <f aca="false">IF(BL$5&lt;$D35,0,IF(BK35=0,$B35,BK35*(1+$C35)))</f>
        <v>0.155</v>
      </c>
      <c r="BM35" s="90" t="n">
        <f aca="false">BL35</f>
        <v>0.155</v>
      </c>
      <c r="BN35" s="35" t="s">
        <v>161</v>
      </c>
    </row>
    <row r="36" customFormat="false" ht="19.4" hidden="false" customHeight="false" outlineLevel="0" collapsed="false">
      <c r="A36" s="91" t="s">
        <v>162</v>
      </c>
      <c r="E36" s="92" t="n">
        <f aca="false">IF(E34&lt;=0,$B$92,IF(E34&gt;4800000,$B$98,MAX($B$92,(INDEX($B$92:$B$97,MATCH(E34,$A$92:$A$97,1))*E34-INDEX($C$92:$C$97,MATCH(E34,$A$92:$A$97,1)))/E34)))</f>
        <v>0.155</v>
      </c>
      <c r="F36" s="92" t="n">
        <f aca="false">IF(F34&lt;=0,$B$92,IF(F34&gt;4800000,$B$98,MAX($B$92,(INDEX($B$92:$B$97,MATCH(F34,$A$92:$A$97,1))*F34-INDEX($C$92:$C$97,MATCH(F34,$A$92:$A$97,1)))/F34)))</f>
        <v>0.155</v>
      </c>
      <c r="G36" s="92" t="n">
        <f aca="false">IF(G34&lt;=0,$B$92,IF(G34&gt;4800000,$B$98,MAX($B$92,(INDEX($B$92:$B$97,MATCH(G34,$A$92:$A$97,1))*G34-INDEX($C$92:$C$97,MATCH(G34,$A$92:$A$97,1)))/G34)))</f>
        <v>0.155</v>
      </c>
      <c r="H36" s="92" t="n">
        <f aca="false">IF(H34&lt;=0,$B$92,IF(H34&gt;4800000,$B$98,MAX($B$92,(INDEX($B$92:$B$97,MATCH(H34,$A$92:$A$97,1))*H34-INDEX($C$92:$C$97,MATCH(H34,$A$92:$A$97,1)))/H34)))</f>
        <v>0.155</v>
      </c>
      <c r="I36" s="92" t="n">
        <f aca="false">IF(I34&lt;=0,$B$92,IF(I34&gt;4800000,$B$98,MAX($B$92,(INDEX($B$92:$B$97,MATCH(I34,$A$92:$A$97,1))*I34-INDEX($C$92:$C$97,MATCH(I34,$A$92:$A$97,1)))/I34)))</f>
        <v>0.155</v>
      </c>
      <c r="J36" s="92" t="n">
        <f aca="false">IF(J34&lt;=0,$B$92,IF(J34&gt;4800000,$B$98,MAX($B$92,(INDEX($B$92:$B$97,MATCH(J34,$A$92:$A$97,1))*J34-INDEX($C$92:$C$97,MATCH(J34,$A$92:$A$97,1)))/J34)))</f>
        <v>0.155</v>
      </c>
      <c r="K36" s="92" t="n">
        <f aca="false">IF(K34&lt;=0,$B$92,IF(K34&gt;4800000,$B$98,MAX($B$92,(INDEX($B$92:$B$97,MATCH(K34,$A$92:$A$97,1))*K34-INDEX($C$92:$C$97,MATCH(K34,$A$92:$A$97,1)))/K34)))</f>
        <v>0.155</v>
      </c>
      <c r="L36" s="92" t="n">
        <f aca="false">IF(L34&lt;=0,$B$92,IF(L34&gt;4800000,$B$98,MAX($B$92,(INDEX($B$92:$B$97,MATCH(L34,$A$92:$A$97,1))*L34-INDEX($C$92:$C$97,MATCH(L34,$A$92:$A$97,1)))/L34)))</f>
        <v>0.155</v>
      </c>
      <c r="M36" s="92" t="n">
        <f aca="false">IF(M34&lt;=0,$B$92,IF(M34&gt;4800000,$B$98,MAX($B$92,(INDEX($B$92:$B$97,MATCH(M34,$A$92:$A$97,1))*M34-INDEX($C$92:$C$97,MATCH(M34,$A$92:$A$97,1)))/M34)))</f>
        <v>0.155</v>
      </c>
      <c r="N36" s="92" t="n">
        <f aca="false">IF(N34&lt;=0,$B$92,IF(N34&gt;4800000,$B$98,MAX($B$92,(INDEX($B$92:$B$97,MATCH(N34,$A$92:$A$97,1))*N34-INDEX($C$92:$C$97,MATCH(N34,$A$92:$A$97,1)))/N34)))</f>
        <v>0.155</v>
      </c>
      <c r="O36" s="92" t="n">
        <f aca="false">IF(O34&lt;=0,$B$92,IF(O34&gt;4800000,$B$98,MAX($B$92,(INDEX($B$92:$B$97,MATCH(O34,$A$92:$A$97,1))*O34-INDEX($C$92:$C$97,MATCH(O34,$A$92:$A$97,1)))/O34)))</f>
        <v>0.155</v>
      </c>
      <c r="P36" s="92" t="n">
        <f aca="false">IF(P34&lt;=0,$B$92,IF(P34&gt;4800000,$B$98,MAX($B$92,(INDEX($B$92:$B$97,MATCH(P34,$A$92:$A$97,1))*P34-INDEX($C$92:$C$97,MATCH(P34,$A$92:$A$97,1)))/P34)))</f>
        <v>0.155</v>
      </c>
      <c r="Q36" s="92" t="n">
        <f aca="false">IF(Q34&lt;=0,$B$92,IF(Q34&gt;4800000,$B$98,MAX($B$92,(INDEX($B$92:$B$97,MATCH(Q34,$A$92:$A$97,1))*Q34-INDEX($C$92:$C$97,MATCH(Q34,$A$92:$A$97,1)))/Q34)))</f>
        <v>0.155</v>
      </c>
      <c r="R36" s="92" t="n">
        <f aca="false">IF(R34&lt;=0,$B$92,IF(R34&gt;4800000,$B$98,MAX($B$92,(INDEX($B$92:$B$97,MATCH(R34,$A$92:$A$97,1))*R34-INDEX($C$92:$C$97,MATCH(R34,$A$92:$A$97,1)))/R34)))</f>
        <v>0.155</v>
      </c>
      <c r="S36" s="92" t="n">
        <f aca="false">IF(S34&lt;=0,$B$92,IF(S34&gt;4800000,$B$98,MAX($B$92,(INDEX($B$92:$B$97,MATCH(S34,$A$92:$A$97,1))*S34-INDEX($C$92:$C$97,MATCH(S34,$A$92:$A$97,1)))/S34)))</f>
        <v>0.155</v>
      </c>
      <c r="T36" s="92" t="n">
        <f aca="false">IF(T34&lt;=0,$B$92,IF(T34&gt;4800000,$B$98,MAX($B$92,(INDEX($B$92:$B$97,MATCH(T34,$A$92:$A$97,1))*T34-INDEX($C$92:$C$97,MATCH(T34,$A$92:$A$97,1)))/T34)))</f>
        <v>0.155</v>
      </c>
      <c r="U36" s="92" t="n">
        <f aca="false">IF(U34&lt;=0,$B$92,IF(U34&gt;4800000,$B$98,MAX($B$92,(INDEX($B$92:$B$97,MATCH(U34,$A$92:$A$97,1))*U34-INDEX($C$92:$C$97,MATCH(U34,$A$92:$A$97,1)))/U34)))</f>
        <v>0.155</v>
      </c>
      <c r="V36" s="92" t="n">
        <f aca="false">IF(V34&lt;=0,$B$92,IF(V34&gt;4800000,$B$98,MAX($B$92,(INDEX($B$92:$B$97,MATCH(V34,$A$92:$A$97,1))*V34-INDEX($C$92:$C$97,MATCH(V34,$A$92:$A$97,1)))/V34)))</f>
        <v>0.155</v>
      </c>
      <c r="W36" s="92" t="n">
        <f aca="false">IF(W34&lt;=0,$B$92,IF(W34&gt;4800000,$B$98,MAX($B$92,(INDEX($B$92:$B$97,MATCH(W34,$A$92:$A$97,1))*W34-INDEX($C$92:$C$97,MATCH(W34,$A$92:$A$97,1)))/W34)))</f>
        <v>0.155</v>
      </c>
      <c r="X36" s="92" t="n">
        <f aca="false">IF(X34&lt;=0,$B$92,IF(X34&gt;4800000,$B$98,MAX($B$92,(INDEX($B$92:$B$97,MATCH(X34,$A$92:$A$97,1))*X34-INDEX($C$92:$C$97,MATCH(X34,$A$92:$A$97,1)))/X34)))</f>
        <v>0.155</v>
      </c>
      <c r="Y36" s="92" t="n">
        <f aca="false">IF(Y34&lt;=0,$B$92,IF(Y34&gt;4800000,$B$98,MAX($B$92,(INDEX($B$92:$B$97,MATCH(Y34,$A$92:$A$97,1))*Y34-INDEX($C$92:$C$97,MATCH(Y34,$A$92:$A$97,1)))/Y34)))</f>
        <v>0.158651424732751</v>
      </c>
      <c r="Z36" s="92" t="n">
        <f aca="false">IF(Z34&lt;=0,$B$92,IF(Z34&gt;4800000,$B$98,MAX($B$92,(INDEX($B$92:$B$97,MATCH(Z34,$A$92:$A$97,1))*Z34-INDEX($C$92:$C$97,MATCH(Z34,$A$92:$A$97,1)))/Z34)))</f>
        <v>0.162668109707014</v>
      </c>
      <c r="AA36" s="92" t="n">
        <f aca="false">IF(AA34&lt;=0,$B$92,IF(AA34&gt;4800000,$B$98,MAX($B$92,(INDEX($B$92:$B$97,MATCH(AA34,$A$92:$A$97,1))*AA34-INDEX($C$92:$C$97,MATCH(AA34,$A$92:$A$97,1)))/AA34)))</f>
        <v>0.165679402557404</v>
      </c>
      <c r="AB36" s="92" t="n">
        <f aca="false">IF(AB34&lt;=0,$B$92,IF(AB34&gt;4800000,$B$98,MAX($B$92,(INDEX($B$92:$B$97,MATCH(AB34,$A$92:$A$97,1))*AB34-INDEX($C$92:$C$97,MATCH(AB34,$A$92:$A$97,1)))/AB34)))</f>
        <v>0.168595289399629</v>
      </c>
      <c r="AC36" s="92" t="n">
        <f aca="false">IF(AC34&lt;=0,$B$92,IF(AC34&gt;4800000,$B$98,MAX($B$92,(INDEX($B$92:$B$97,MATCH(AC34,$A$92:$A$97,1))*AC34-INDEX($C$92:$C$97,MATCH(AC34,$A$92:$A$97,1)))/AC34)))</f>
        <v>0.172423357429528</v>
      </c>
      <c r="AD36" s="92" t="n">
        <f aca="false">IF(AD34&lt;=0,$B$92,IF(AD34&gt;4800000,$B$98,MAX($B$92,(INDEX($B$92:$B$97,MATCH(AD34,$A$92:$A$97,1))*AD34-INDEX($C$92:$C$97,MATCH(AD34,$A$92:$A$97,1)))/AD34)))</f>
        <v>0.175406573495636</v>
      </c>
      <c r="AE36" s="92" t="n">
        <f aca="false">IF(AE34&lt;=0,$B$92,IF(AE34&gt;4800000,$B$98,MAX($B$92,(INDEX($B$92:$B$97,MATCH(AE34,$A$92:$A$97,1))*AE34-INDEX($C$92:$C$97,MATCH(AE34,$A$92:$A$97,1)))/AE34)))</f>
        <v>0.177800191386961</v>
      </c>
      <c r="AF36" s="92" t="n">
        <f aca="false">IF(AF34&lt;=0,$B$92,IF(AF34&gt;4800000,$B$98,MAX($B$92,(INDEX($B$92:$B$97,MATCH(AF34,$A$92:$A$97,1))*AF34-INDEX($C$92:$C$97,MATCH(AF34,$A$92:$A$97,1)))/AF34)))</f>
        <v>0.17964579238878</v>
      </c>
      <c r="AG36" s="92" t="n">
        <f aca="false">IF(AG34&lt;=0,$B$92,IF(AG34&gt;4800000,$B$98,MAX($B$92,(INDEX($B$92:$B$97,MATCH(AG34,$A$92:$A$97,1))*AG34-INDEX($C$92:$C$97,MATCH(AG34,$A$92:$A$97,1)))/AG34)))</f>
        <v>0.181215354591206</v>
      </c>
      <c r="AH36" s="92" t="n">
        <f aca="false">IF(AH34&lt;=0,$B$92,IF(AH34&gt;4800000,$B$98,MAX($B$92,(INDEX($B$92:$B$97,MATCH(AH34,$A$92:$A$97,1))*AH34-INDEX($C$92:$C$97,MATCH(AH34,$A$92:$A$97,1)))/AH34)))</f>
        <v>0.183524998973344</v>
      </c>
      <c r="AI36" s="92" t="n">
        <f aca="false">IF(AI34&lt;=0,$B$92,IF(AI34&gt;4800000,$B$98,MAX($B$92,(INDEX($B$92:$B$97,MATCH(AI34,$A$92:$A$97,1))*AI34-INDEX($C$92:$C$97,MATCH(AI34,$A$92:$A$97,1)))/AI34)))</f>
        <v>0.18555550533342</v>
      </c>
      <c r="AJ36" s="92" t="n">
        <f aca="false">IF(AJ34&lt;=0,$B$92,IF(AJ34&gt;4800000,$B$98,MAX($B$92,(INDEX($B$92:$B$97,MATCH(AJ34,$A$92:$A$97,1))*AJ34-INDEX($C$92:$C$97,MATCH(AJ34,$A$92:$A$97,1)))/AJ34)))</f>
        <v>0.187336973362916</v>
      </c>
      <c r="AK36" s="92" t="n">
        <f aca="false">IF(AK34&lt;=0,$B$92,IF(AK34&gt;4800000,$B$98,MAX($B$92,(INDEX($B$92:$B$97,MATCH(AK34,$A$92:$A$97,1))*AK34-INDEX($C$92:$C$97,MATCH(AK34,$A$92:$A$97,1)))/AK34)))</f>
        <v>0.188910526721369</v>
      </c>
      <c r="AL36" s="92" t="n">
        <f aca="false">IF(AL34&lt;=0,$B$92,IF(AL34&gt;4800000,$B$98,MAX($B$92,(INDEX($B$92:$B$97,MATCH(AL34,$A$92:$A$97,1))*AL34-INDEX($C$92:$C$97,MATCH(AL34,$A$92:$A$97,1)))/AL34)))</f>
        <v>0.190309694828239</v>
      </c>
      <c r="AM36" s="92" t="n">
        <f aca="false">IF(AM34&lt;=0,$B$92,IF(AM34&gt;4800000,$B$98,MAX($B$92,(INDEX($B$92:$B$97,MATCH(AM34,$A$92:$A$97,1))*AM34-INDEX($C$92:$C$97,MATCH(AM34,$A$92:$A$97,1)))/AM34)))</f>
        <v>0.191560423275932</v>
      </c>
      <c r="AN36" s="92" t="n">
        <f aca="false">IF(AN34&lt;=0,$B$92,IF(AN34&gt;4800000,$B$98,MAX($B$92,(INDEX($B$92:$B$97,MATCH(AN34,$A$92:$A$97,1))*AN34-INDEX($C$92:$C$97,MATCH(AN34,$A$92:$A$97,1)))/AN34)))</f>
        <v>0.192683582150183</v>
      </c>
      <c r="AO36" s="92" t="n">
        <f aca="false">IF(AO34&lt;=0,$B$92,IF(AO34&gt;4800000,$B$98,MAX($B$92,(INDEX($B$92:$B$97,MATCH(AO34,$A$92:$A$97,1))*AO34-INDEX($C$92:$C$97,MATCH(AO34,$A$92:$A$97,1)))/AO34)))</f>
        <v>0.193696150543477</v>
      </c>
      <c r="AP36" s="92" t="n">
        <f aca="false">IF(AP34&lt;=0,$B$92,IF(AP34&gt;4800000,$B$98,MAX($B$92,(INDEX($B$92:$B$97,MATCH(AP34,$A$92:$A$97,1))*AP34-INDEX($C$92:$C$97,MATCH(AP34,$A$92:$A$97,1)))/AP34)))</f>
        <v>0.194612343597431</v>
      </c>
      <c r="AQ36" s="92" t="n">
        <f aca="false">IF(AQ34&lt;=0,$B$92,IF(AQ34&gt;4800000,$B$98,MAX($B$92,(INDEX($B$92:$B$97,MATCH(AQ34,$A$92:$A$97,1))*AQ34-INDEX($C$92:$C$97,MATCH(AQ34,$A$92:$A$97,1)))/AQ34)))</f>
        <v>0.195443647783706</v>
      </c>
      <c r="AR36" s="92" t="n">
        <f aca="false">IF(AR34&lt;=0,$B$92,IF(AR34&gt;4800000,$B$98,MAX($B$92,(INDEX($B$92:$B$97,MATCH(AR34,$A$92:$A$97,1))*AR34-INDEX($C$92:$C$97,MATCH(AR34,$A$92:$A$97,1)))/AR34)))</f>
        <v>0.198042407570769</v>
      </c>
      <c r="AS36" s="92" t="n">
        <f aca="false">IF(AS34&lt;=0,$B$92,IF(AS34&gt;4800000,$B$98,MAX($B$92,(INDEX($B$92:$B$97,MATCH(AS34,$A$92:$A$97,1))*AS34-INDEX($C$92:$C$97,MATCH(AS34,$A$92:$A$97,1)))/AS34)))</f>
        <v>0.200547865196868</v>
      </c>
      <c r="AT36" s="92" t="n">
        <f aca="false">IF(AT34&lt;=0,$B$92,IF(AT34&gt;4800000,$B$98,MAX($B$92,(INDEX($B$92:$B$97,MATCH(AT34,$A$92:$A$97,1))*AT34-INDEX($C$92:$C$97,MATCH(AT34,$A$92:$A$97,1)))/AT34)))</f>
        <v>0.202837265696813</v>
      </c>
      <c r="AU36" s="92" t="n">
        <f aca="false">IF(AU34&lt;=0,$B$92,IF(AU34&gt;4800000,$B$98,MAX($B$92,(INDEX($B$92:$B$97,MATCH(AU34,$A$92:$A$97,1))*AU34-INDEX($C$92:$C$97,MATCH(AU34,$A$92:$A$97,1)))/AU34)))</f>
        <v>0.20493320971894</v>
      </c>
      <c r="AV36" s="92" t="n">
        <f aca="false">IF(AV34&lt;=0,$B$92,IF(AV34&gt;4800000,$B$98,MAX($B$92,(INDEX($B$92:$B$97,MATCH(AV34,$A$92:$A$97,1))*AV34-INDEX($C$92:$C$97,MATCH(AV34,$A$92:$A$97,1)))/AV34)))</f>
        <v>0.206854147697597</v>
      </c>
      <c r="AW36" s="92" t="n">
        <f aca="false">IF(AW34&lt;=0,$B$92,IF(AW34&gt;4800000,$B$98,MAX($B$92,(INDEX($B$92:$B$97,MATCH(AW34,$A$92:$A$97,1))*AW34-INDEX($C$92:$C$97,MATCH(AW34,$A$92:$A$97,1)))/AW34)))</f>
        <v>0.208617701547531</v>
      </c>
      <c r="AX36" s="92" t="n">
        <f aca="false">IF(AX34&lt;=0,$B$92,IF(AX34&gt;4800000,$B$98,MAX($B$92,(INDEX($B$92:$B$97,MATCH(AX34,$A$92:$A$97,1))*AX34-INDEX($C$92:$C$97,MATCH(AX34,$A$92:$A$97,1)))/AX34)))</f>
        <v>0.210238754037213</v>
      </c>
      <c r="AY36" s="92" t="n">
        <f aca="false">IF(AY34&lt;=0,$B$92,IF(AY34&gt;4800000,$B$98,MAX($B$92,(INDEX($B$92:$B$97,MATCH(AY34,$A$92:$A$97,1))*AY34-INDEX($C$92:$C$97,MATCH(AY34,$A$92:$A$97,1)))/AY34)))</f>
        <v>0.211730089880014</v>
      </c>
      <c r="AZ36" s="92" t="n">
        <f aca="false">IF(AZ34&lt;=0,$B$92,IF(AZ34&gt;4800000,$B$98,MAX($B$92,(INDEX($B$92:$B$97,MATCH(AZ34,$A$92:$A$97,1))*AZ34-INDEX($C$92:$C$97,MATCH(AZ34,$A$92:$A$97,1)))/AZ34)))</f>
        <v>0.158073182533634</v>
      </c>
      <c r="BA36" s="92" t="n">
        <f aca="false">IF(BA34&lt;=0,$B$92,IF(BA34&gt;4800000,$B$98,MAX($B$92,(INDEX($B$92:$B$97,MATCH(BA34,$A$92:$A$97,1))*BA34-INDEX($C$92:$C$97,MATCH(BA34,$A$92:$A$97,1)))/BA34)))</f>
        <v>0.169079587744328</v>
      </c>
      <c r="BB36" s="92" t="n">
        <f aca="false">IF(BB34&lt;=0,$B$92,IF(BB34&gt;4800000,$B$98,MAX($B$92,(INDEX($B$92:$B$97,MATCH(BB34,$A$92:$A$97,1))*BB34-INDEX($C$92:$C$97,MATCH(BB34,$A$92:$A$97,1)))/BB34)))</f>
        <v>0.179231106630012</v>
      </c>
      <c r="BC36" s="92" t="n">
        <f aca="false">IF(BC34&lt;=0,$B$92,IF(BC34&gt;4800000,$B$98,MAX($B$92,(INDEX($B$92:$B$97,MATCH(BC34,$A$92:$A$97,1))*BC34-INDEX($C$92:$C$97,MATCH(BC34,$A$92:$A$97,1)))/BC34)))</f>
        <v>0.188598701349511</v>
      </c>
      <c r="BD36" s="92" t="n">
        <f aca="false">IF(BD34&lt;=0,$B$92,IF(BD34&gt;4800000,$B$98,MAX($B$92,(INDEX($B$92:$B$97,MATCH(BD34,$A$92:$A$97,1))*BD34-INDEX($C$92:$C$97,MATCH(BD34,$A$92:$A$97,1)))/BD34)))</f>
        <v>0.1633</v>
      </c>
      <c r="BE36" s="92" t="n">
        <f aca="false">IF(BE34&lt;=0,$B$92,IF(BE34&gt;4800000,$B$98,MAX($B$92,(INDEX($B$92:$B$97,MATCH(BE34,$A$92:$A$97,1))*BE34-INDEX($C$92:$C$97,MATCH(BE34,$A$92:$A$97,1)))/BE34)))</f>
        <v>0.1633</v>
      </c>
      <c r="BF36" s="92" t="n">
        <f aca="false">IF(BF34&lt;=0,$B$92,IF(BF34&gt;4800000,$B$98,MAX($B$92,(INDEX($B$92:$B$97,MATCH(BF34,$A$92:$A$97,1))*BF34-INDEX($C$92:$C$97,MATCH(BF34,$A$92:$A$97,1)))/BF34)))</f>
        <v>0.1633</v>
      </c>
      <c r="BG36" s="92" t="n">
        <f aca="false">IF(BG34&lt;=0,$B$92,IF(BG34&gt;4800000,$B$98,MAX($B$92,(INDEX($B$92:$B$97,MATCH(BG34,$A$92:$A$97,1))*BG34-INDEX($C$92:$C$97,MATCH(BG34,$A$92:$A$97,1)))/BG34)))</f>
        <v>0.1633</v>
      </c>
      <c r="BH36" s="92" t="n">
        <f aca="false">IF(BH34&lt;=0,$B$92,IF(BH34&gt;4800000,$B$98,MAX($B$92,(INDEX($B$92:$B$97,MATCH(BH34,$A$92:$A$97,1))*BH34-INDEX($C$92:$C$97,MATCH(BH34,$A$92:$A$97,1)))/BH34)))</f>
        <v>0.1633</v>
      </c>
      <c r="BI36" s="92" t="n">
        <f aca="false">IF(BI34&lt;=0,$B$92,IF(BI34&gt;4800000,$B$98,MAX($B$92,(INDEX($B$92:$B$97,MATCH(BI34,$A$92:$A$97,1))*BI34-INDEX($C$92:$C$97,MATCH(BI34,$A$92:$A$97,1)))/BI34)))</f>
        <v>0.1633</v>
      </c>
      <c r="BJ36" s="92" t="n">
        <f aca="false">IF(BJ34&lt;=0,$B$92,IF(BJ34&gt;4800000,$B$98,MAX($B$92,(INDEX($B$92:$B$97,MATCH(BJ34,$A$92:$A$97,1))*BJ34-INDEX($C$92:$C$97,MATCH(BJ34,$A$92:$A$97,1)))/BJ34)))</f>
        <v>0.1633</v>
      </c>
      <c r="BK36" s="92" t="n">
        <f aca="false">IF(BK34&lt;=0,$B$92,IF(BK34&gt;4800000,$B$98,MAX($B$92,(INDEX($B$92:$B$97,MATCH(BK34,$A$92:$A$97,1))*BK34-INDEX($C$92:$C$97,MATCH(BK34,$A$92:$A$97,1)))/BK34)))</f>
        <v>0.1633</v>
      </c>
      <c r="BL36" s="92" t="n">
        <f aca="false">IF(BL34&lt;=0,$B$92,IF(BL34&gt;4800000,$B$98,MAX($B$92,(INDEX($B$92:$B$97,MATCH(BL34,$A$92:$A$97,1))*BL34-INDEX($C$92:$C$97,MATCH(BL34,$A$92:$A$97,1)))/BL34)))</f>
        <v>0.1633</v>
      </c>
      <c r="BM36" s="93" t="n">
        <f aca="false">BL36</f>
        <v>0.1633</v>
      </c>
      <c r="BN36" s="35" t="s">
        <v>163</v>
      </c>
    </row>
    <row r="37" customFormat="false" ht="15" hidden="false" customHeight="false" outlineLevel="0" collapsed="false">
      <c r="A37" s="37" t="s">
        <v>164</v>
      </c>
      <c r="E37" s="94" t="n">
        <f aca="false">-E33*E35</f>
        <v>-0</v>
      </c>
      <c r="F37" s="94" t="n">
        <f aca="false">-F33*F35</f>
        <v>-0</v>
      </c>
      <c r="G37" s="94" t="n">
        <f aca="false">-G33*G35</f>
        <v>-0</v>
      </c>
      <c r="H37" s="94" t="n">
        <f aca="false">-H33*H35</f>
        <v>-0</v>
      </c>
      <c r="I37" s="94" t="n">
        <f aca="false">-I33*I35</f>
        <v>-0</v>
      </c>
      <c r="J37" s="94" t="n">
        <f aca="false">-J33*J35</f>
        <v>-0</v>
      </c>
      <c r="K37" s="94" t="n">
        <f aca="false">-K33*K35</f>
        <v>-0</v>
      </c>
      <c r="L37" s="94" t="n">
        <f aca="false">-L33*L35</f>
        <v>-0</v>
      </c>
      <c r="M37" s="94" t="n">
        <f aca="false">-M33*M35</f>
        <v>-0</v>
      </c>
      <c r="N37" s="94" t="n">
        <f aca="false">-N33*N35</f>
        <v>-0</v>
      </c>
      <c r="O37" s="94" t="n">
        <f aca="false">-O33*O35</f>
        <v>-0</v>
      </c>
      <c r="P37" s="94" t="n">
        <f aca="false">-P33*P35</f>
        <v>-562.7895</v>
      </c>
      <c r="Q37" s="94" t="n">
        <f aca="false">-Q33*Q35</f>
        <v>-1137.948</v>
      </c>
      <c r="R37" s="94" t="n">
        <f aca="false">-R33*R35</f>
        <v>-1737.8445</v>
      </c>
      <c r="S37" s="94" t="n">
        <f aca="false">-S33*S35</f>
        <v>-3137.479</v>
      </c>
      <c r="T37" s="94" t="n">
        <f aca="false">-T33*T35</f>
        <v>-3786.8515</v>
      </c>
      <c r="U37" s="94" t="n">
        <f aca="false">-U33*U35</f>
        <v>-4467.1465</v>
      </c>
      <c r="V37" s="94" t="n">
        <f aca="false">-V33*V35</f>
        <v>-5178.364</v>
      </c>
      <c r="W37" s="94" t="n">
        <f aca="false">-W33*W35</f>
        <v>-5932.873</v>
      </c>
      <c r="X37" s="94" t="n">
        <f aca="false">-X33*X35</f>
        <v>-6730.6735</v>
      </c>
      <c r="Y37" s="94" t="n">
        <f aca="false">-Y33*Y35</f>
        <v>-7571.7655</v>
      </c>
      <c r="Z37" s="94" t="n">
        <f aca="false">-Z33*Z35</f>
        <v>-8462.3335</v>
      </c>
      <c r="AA37" s="94" t="n">
        <f aca="false">-AA33*AA35</f>
        <v>-9408.562</v>
      </c>
      <c r="AB37" s="94" t="n">
        <f aca="false">-AB33*AB35</f>
        <v>-10416.6355</v>
      </c>
      <c r="AC37" s="94" t="n">
        <f aca="false">-AC33*AC35</f>
        <v>-11486.554</v>
      </c>
      <c r="AD37" s="94" t="n">
        <f aca="false">-AD33*AD35</f>
        <v>-12636.871</v>
      </c>
      <c r="AE37" s="94" t="n">
        <f aca="false">-AE33*AE35</f>
        <v>-13861.402</v>
      </c>
      <c r="AF37" s="94" t="n">
        <f aca="false">-AF33*AF35</f>
        <v>-15166.3315</v>
      </c>
      <c r="AG37" s="94" t="n">
        <f aca="false">-AG33*AG35</f>
        <v>-16570.213</v>
      </c>
      <c r="AH37" s="94" t="n">
        <f aca="false">-AH33*AH35</f>
        <v>-18066.862</v>
      </c>
      <c r="AI37" s="94" t="n">
        <f aca="false">-AI33*AI35</f>
        <v>-19681.0165</v>
      </c>
      <c r="AJ37" s="94" t="n">
        <f aca="false">-AJ33*AJ35</f>
        <v>-21406.492</v>
      </c>
      <c r="AK37" s="94" t="n">
        <f aca="false">-AK33*AK35</f>
        <v>-23261.842</v>
      </c>
      <c r="AL37" s="94" t="n">
        <f aca="false">-AL33*AL35</f>
        <v>-25253.251</v>
      </c>
      <c r="AM37" s="94" t="n">
        <f aca="false">-AM33*AM35</f>
        <v>-27393.088</v>
      </c>
      <c r="AN37" s="94" t="n">
        <f aca="false">-AN33*AN35</f>
        <v>-29693.722</v>
      </c>
      <c r="AO37" s="94" t="n">
        <f aca="false">-AO33*AO35</f>
        <v>-32167.522</v>
      </c>
      <c r="AP37" s="94" t="n">
        <f aca="false">-AP33*AP35</f>
        <v>-34833.0415</v>
      </c>
      <c r="AQ37" s="94" t="n">
        <f aca="false">-AQ33*AQ35</f>
        <v>-37702.6495</v>
      </c>
      <c r="AR37" s="94" t="n">
        <f aca="false">-AR33*AR35</f>
        <v>-40788.715</v>
      </c>
      <c r="AS37" s="94" t="n">
        <f aca="false">-AS33*AS35</f>
        <v>-44115.976</v>
      </c>
      <c r="AT37" s="94" t="n">
        <f aca="false">-AT33*AT35</f>
        <v>-47696.8015</v>
      </c>
      <c r="AU37" s="94" t="n">
        <f aca="false">-AU33*AU35</f>
        <v>-51549.745</v>
      </c>
      <c r="AV37" s="94" t="n">
        <f aca="false">-AV33*AV35</f>
        <v>-55705.729</v>
      </c>
      <c r="AW37" s="94" t="n">
        <f aca="false">-AW33*AW35</f>
        <v>-60189.4915</v>
      </c>
      <c r="AX37" s="94" t="n">
        <f aca="false">-AX33*AX35</f>
        <v>-65013.4015</v>
      </c>
      <c r="AY37" s="94" t="n">
        <f aca="false">-AY33*AY35</f>
        <v>-70214.566</v>
      </c>
      <c r="AZ37" s="94" t="n">
        <f aca="false">-AZ33*AZ35</f>
        <v>-75823.9075</v>
      </c>
      <c r="BA37" s="94" t="n">
        <f aca="false">-BA33*BA35</f>
        <v>-81872.3485</v>
      </c>
      <c r="BB37" s="94" t="n">
        <f aca="false">-BB33*BB35</f>
        <v>-88390.8115</v>
      </c>
      <c r="BC37" s="94" t="n">
        <f aca="false">-BC33*BC35</f>
        <v>-95416.4035</v>
      </c>
      <c r="BD37" s="94" t="n">
        <f aca="false">-BD33*BD35</f>
        <v>-102992.416</v>
      </c>
      <c r="BE37" s="94" t="n">
        <f aca="false">-BE33*BE35</f>
        <v>-111162.1405</v>
      </c>
      <c r="BF37" s="94" t="n">
        <f aca="false">-BF33*BF35</f>
        <v>-119975.053</v>
      </c>
      <c r="BG37" s="94" t="n">
        <f aca="false">-BG33*BG35</f>
        <v>-129474.445</v>
      </c>
      <c r="BH37" s="94" t="n">
        <f aca="false">-BH33*BH35</f>
        <v>-139722.1615</v>
      </c>
      <c r="BI37" s="94" t="n">
        <f aca="false">-BI33*BI35</f>
        <v>-150773.863</v>
      </c>
      <c r="BJ37" s="94" t="n">
        <f aca="false">-BJ33*BJ35</f>
        <v>-162691.3945</v>
      </c>
      <c r="BK37" s="94" t="n">
        <f aca="false">-BK33*BK35</f>
        <v>-175548.97</v>
      </c>
      <c r="BL37" s="94" t="n">
        <f aca="false">-BL33*BL35</f>
        <v>-189408.4345</v>
      </c>
      <c r="BM37" s="82" t="n">
        <f aca="false">SUM(E37:BL37)</f>
        <v>-2466238.8985</v>
      </c>
    </row>
    <row r="38" customFormat="false" ht="19.4" hidden="false" customHeight="false" outlineLevel="0" collapsed="false">
      <c r="A38" s="37" t="s">
        <v>165</v>
      </c>
      <c r="B38" s="95" t="n">
        <v>0.128</v>
      </c>
      <c r="C38" s="69" t="n">
        <v>-0.003</v>
      </c>
      <c r="D38" s="70" t="n">
        <v>1</v>
      </c>
      <c r="E38" s="89" t="n">
        <f aca="false">IF(E$5&lt;$D38,0,$B38)</f>
        <v>0.128</v>
      </c>
      <c r="F38" s="89" t="n">
        <f aca="false">IF(F$5&lt;$D38,0,IF(E38=0,$B38,E38*(1+$C38)))</f>
        <v>0.127616</v>
      </c>
      <c r="G38" s="89" t="n">
        <f aca="false">IF(G$5&lt;$D38,0,IF(F38=0,$B38,F38*(1+$C38)))</f>
        <v>0.127233152</v>
      </c>
      <c r="H38" s="89" t="n">
        <f aca="false">IF(H$5&lt;$D38,0,IF(G38=0,$B38,G38*(1+$C38)))</f>
        <v>0.126851452544</v>
      </c>
      <c r="I38" s="89" t="n">
        <f aca="false">IF(I$5&lt;$D38,0,IF(H38=0,$B38,H38*(1+$C38)))</f>
        <v>0.126470898186368</v>
      </c>
      <c r="J38" s="89" t="n">
        <f aca="false">IF(J$5&lt;$D38,0,IF(I38=0,$B38,I38*(1+$C38)))</f>
        <v>0.126091485491809</v>
      </c>
      <c r="K38" s="89" t="n">
        <f aca="false">IF(K$5&lt;$D38,0,IF(J38=0,$B38,J38*(1+$C38)))</f>
        <v>0.125713211035333</v>
      </c>
      <c r="L38" s="89" t="n">
        <f aca="false">IF(L$5&lt;$D38,0,IF(K38=0,$B38,K38*(1+$C38)))</f>
        <v>0.125336071402227</v>
      </c>
      <c r="M38" s="89" t="n">
        <f aca="false">IF(M$5&lt;$D38,0,IF(L38=0,$B38,L38*(1+$C38)))</f>
        <v>0.124960063188021</v>
      </c>
      <c r="N38" s="89" t="n">
        <f aca="false">IF(N$5&lt;$D38,0,IF(M38=0,$B38,M38*(1+$C38)))</f>
        <v>0.124585182998457</v>
      </c>
      <c r="O38" s="89" t="n">
        <f aca="false">IF(O$5&lt;$D38,0,IF(N38=0,$B38,N38*(1+$C38)))</f>
        <v>0.124211427449461</v>
      </c>
      <c r="P38" s="89" t="n">
        <f aca="false">IF(P$5&lt;$D38,0,IF(O38=0,$B38,O38*(1+$C38)))</f>
        <v>0.123838793167113</v>
      </c>
      <c r="Q38" s="89" t="n">
        <f aca="false">IF(Q$5&lt;$D38,0,IF(P38=0,$B38,P38*(1+$C38)))</f>
        <v>0.123467276787612</v>
      </c>
      <c r="R38" s="89" t="n">
        <f aca="false">IF(R$5&lt;$D38,0,IF(Q38=0,$B38,Q38*(1+$C38)))</f>
        <v>0.123096874957249</v>
      </c>
      <c r="S38" s="89" t="n">
        <f aca="false">IF(S$5&lt;$D38,0,IF(R38=0,$B38,R38*(1+$C38)))</f>
        <v>0.122727584332377</v>
      </c>
      <c r="T38" s="89" t="n">
        <f aca="false">IF(T$5&lt;$D38,0,IF(S38=0,$B38,S38*(1+$C38)))</f>
        <v>0.12235940157938</v>
      </c>
      <c r="U38" s="89" t="n">
        <f aca="false">IF(U$5&lt;$D38,0,IF(T38=0,$B38,T38*(1+$C38)))</f>
        <v>0.121992323374642</v>
      </c>
      <c r="V38" s="89" t="n">
        <f aca="false">IF(V$5&lt;$D38,0,IF(U38=0,$B38,U38*(1+$C38)))</f>
        <v>0.121626346404518</v>
      </c>
      <c r="W38" s="89" t="n">
        <f aca="false">IF(W$5&lt;$D38,0,IF(V38=0,$B38,V38*(1+$C38)))</f>
        <v>0.121261467365304</v>
      </c>
      <c r="X38" s="89" t="n">
        <f aca="false">IF(X$5&lt;$D38,0,IF(W38=0,$B38,W38*(1+$C38)))</f>
        <v>0.120897682963208</v>
      </c>
      <c r="Y38" s="89" t="n">
        <f aca="false">IF(Y$5&lt;$D38,0,IF(X38=0,$B38,X38*(1+$C38)))</f>
        <v>0.120534989914319</v>
      </c>
      <c r="Z38" s="89" t="n">
        <f aca="false">IF(Z$5&lt;$D38,0,IF(Y38=0,$B38,Y38*(1+$C38)))</f>
        <v>0.120173384944576</v>
      </c>
      <c r="AA38" s="89" t="n">
        <f aca="false">IF(AA$5&lt;$D38,0,IF(Z38=0,$B38,Z38*(1+$C38)))</f>
        <v>0.119812864789742</v>
      </c>
      <c r="AB38" s="89" t="n">
        <f aca="false">IF(AB$5&lt;$D38,0,IF(AA38=0,$B38,AA38*(1+$C38)))</f>
        <v>0.119453426195373</v>
      </c>
      <c r="AC38" s="89" t="n">
        <f aca="false">IF(AC$5&lt;$D38,0,IF(AB38=0,$B38,AB38*(1+$C38)))</f>
        <v>0.119095065916787</v>
      </c>
      <c r="AD38" s="89" t="n">
        <f aca="false">IF(AD$5&lt;$D38,0,IF(AC38=0,$B38,AC38*(1+$C38)))</f>
        <v>0.118737780719036</v>
      </c>
      <c r="AE38" s="89" t="n">
        <f aca="false">IF(AE$5&lt;$D38,0,IF(AD38=0,$B38,AD38*(1+$C38)))</f>
        <v>0.118381567376879</v>
      </c>
      <c r="AF38" s="89" t="n">
        <f aca="false">IF(AF$5&lt;$D38,0,IF(AE38=0,$B38,AE38*(1+$C38)))</f>
        <v>0.118026422674749</v>
      </c>
      <c r="AG38" s="89" t="n">
        <f aca="false">IF(AG$5&lt;$D38,0,IF(AF38=0,$B38,AF38*(1+$C38)))</f>
        <v>0.117672343406724</v>
      </c>
      <c r="AH38" s="89" t="n">
        <f aca="false">IF(AH$5&lt;$D38,0,IF(AG38=0,$B38,AG38*(1+$C38)))</f>
        <v>0.117319326376504</v>
      </c>
      <c r="AI38" s="89" t="n">
        <f aca="false">IF(AI$5&lt;$D38,0,IF(AH38=0,$B38,AH38*(1+$C38)))</f>
        <v>0.116967368397375</v>
      </c>
      <c r="AJ38" s="89" t="n">
        <f aca="false">IF(AJ$5&lt;$D38,0,IF(AI38=0,$B38,AI38*(1+$C38)))</f>
        <v>0.116616466292183</v>
      </c>
      <c r="AK38" s="89" t="n">
        <f aca="false">IF(AK$5&lt;$D38,0,IF(AJ38=0,$B38,AJ38*(1+$C38)))</f>
        <v>0.116266616893306</v>
      </c>
      <c r="AL38" s="89" t="n">
        <f aca="false">IF(AL$5&lt;$D38,0,IF(AK38=0,$B38,AK38*(1+$C38)))</f>
        <v>0.115917817042626</v>
      </c>
      <c r="AM38" s="89" t="n">
        <f aca="false">IF(AM$5&lt;$D38,0,IF(AL38=0,$B38,AL38*(1+$C38)))</f>
        <v>0.115570063591498</v>
      </c>
      <c r="AN38" s="89" t="n">
        <f aca="false">IF(AN$5&lt;$D38,0,IF(AM38=0,$B38,AM38*(1+$C38)))</f>
        <v>0.115223353400724</v>
      </c>
      <c r="AO38" s="89" t="n">
        <f aca="false">IF(AO$5&lt;$D38,0,IF(AN38=0,$B38,AN38*(1+$C38)))</f>
        <v>0.114877683340522</v>
      </c>
      <c r="AP38" s="89" t="n">
        <f aca="false">IF(AP$5&lt;$D38,0,IF(AO38=0,$B38,AO38*(1+$C38)))</f>
        <v>0.1145330502905</v>
      </c>
      <c r="AQ38" s="89" t="n">
        <f aca="false">IF(AQ$5&lt;$D38,0,IF(AP38=0,$B38,AP38*(1+$C38)))</f>
        <v>0.114189451139629</v>
      </c>
      <c r="AR38" s="89" t="n">
        <f aca="false">IF(AR$5&lt;$D38,0,IF(AQ38=0,$B38,AQ38*(1+$C38)))</f>
        <v>0.11384688278621</v>
      </c>
      <c r="AS38" s="89" t="n">
        <f aca="false">IF(AS$5&lt;$D38,0,IF(AR38=0,$B38,AR38*(1+$C38)))</f>
        <v>0.113505342137851</v>
      </c>
      <c r="AT38" s="89" t="n">
        <f aca="false">IF(AT$5&lt;$D38,0,IF(AS38=0,$B38,AS38*(1+$C38)))</f>
        <v>0.113164826111437</v>
      </c>
      <c r="AU38" s="89" t="n">
        <f aca="false">IF(AU$5&lt;$D38,0,IF(AT38=0,$B38,AT38*(1+$C38)))</f>
        <v>0.112825331633103</v>
      </c>
      <c r="AV38" s="89" t="n">
        <f aca="false">IF(AV$5&lt;$D38,0,IF(AU38=0,$B38,AU38*(1+$C38)))</f>
        <v>0.112486855638204</v>
      </c>
      <c r="AW38" s="89" t="n">
        <f aca="false">IF(AW$5&lt;$D38,0,IF(AV38=0,$B38,AV38*(1+$C38)))</f>
        <v>0.112149395071289</v>
      </c>
      <c r="AX38" s="89" t="n">
        <f aca="false">IF(AX$5&lt;$D38,0,IF(AW38=0,$B38,AW38*(1+$C38)))</f>
        <v>0.111812946886075</v>
      </c>
      <c r="AY38" s="89" t="n">
        <f aca="false">IF(AY$5&lt;$D38,0,IF(AX38=0,$B38,AX38*(1+$C38)))</f>
        <v>0.111477508045417</v>
      </c>
      <c r="AZ38" s="89" t="n">
        <f aca="false">IF(AZ$5&lt;$D38,0,IF(AY38=0,$B38,AY38*(1+$C38)))</f>
        <v>0.111143075521281</v>
      </c>
      <c r="BA38" s="89" t="n">
        <f aca="false">IF(BA$5&lt;$D38,0,IF(AZ38=0,$B38,AZ38*(1+$C38)))</f>
        <v>0.110809646294717</v>
      </c>
      <c r="BB38" s="89" t="n">
        <f aca="false">IF(BB$5&lt;$D38,0,IF(BA38=0,$B38,BA38*(1+$C38)))</f>
        <v>0.110477217355833</v>
      </c>
      <c r="BC38" s="89" t="n">
        <f aca="false">IF(BC$5&lt;$D38,0,IF(BB38=0,$B38,BB38*(1+$C38)))</f>
        <v>0.110145785703765</v>
      </c>
      <c r="BD38" s="89" t="n">
        <f aca="false">IF(BD$5&lt;$D38,0,IF(BC38=0,$B38,BC38*(1+$C38)))</f>
        <v>0.109815348346654</v>
      </c>
      <c r="BE38" s="89" t="n">
        <f aca="false">IF(BE$5&lt;$D38,0,IF(BD38=0,$B38,BD38*(1+$C38)))</f>
        <v>0.109485902301614</v>
      </c>
      <c r="BF38" s="89" t="n">
        <f aca="false">IF(BF$5&lt;$D38,0,IF(BE38=0,$B38,BE38*(1+$C38)))</f>
        <v>0.109157444594709</v>
      </c>
      <c r="BG38" s="89" t="n">
        <f aca="false">IF(BG$5&lt;$D38,0,IF(BF38=0,$B38,BF38*(1+$C38)))</f>
        <v>0.108829972260925</v>
      </c>
      <c r="BH38" s="89" t="n">
        <f aca="false">IF(BH$5&lt;$D38,0,IF(BG38=0,$B38,BG38*(1+$C38)))</f>
        <v>0.108503482344142</v>
      </c>
      <c r="BI38" s="89" t="n">
        <f aca="false">IF(BI$5&lt;$D38,0,IF(BH38=0,$B38,BH38*(1+$C38)))</f>
        <v>0.10817797189711</v>
      </c>
      <c r="BJ38" s="89" t="n">
        <f aca="false">IF(BJ$5&lt;$D38,0,IF(BI38=0,$B38,BI38*(1+$C38)))</f>
        <v>0.107853437981419</v>
      </c>
      <c r="BK38" s="89" t="n">
        <f aca="false">IF(BK$5&lt;$D38,0,IF(BJ38=0,$B38,BJ38*(1+$C38)))</f>
        <v>0.107529877667474</v>
      </c>
      <c r="BL38" s="89" t="n">
        <f aca="false">IF(BL$5&lt;$D38,0,IF(BK38=0,$B38,BK38*(1+$C38)))</f>
        <v>0.107207288034472</v>
      </c>
      <c r="BM38" s="90" t="n">
        <f aca="false">BL38</f>
        <v>0.107207288034472</v>
      </c>
      <c r="BN38" s="35" t="s">
        <v>166</v>
      </c>
    </row>
    <row r="39" customFormat="false" ht="15" hidden="false" customHeight="false" outlineLevel="0" collapsed="false">
      <c r="A39" s="37" t="s">
        <v>167</v>
      </c>
      <c r="E39" s="94" t="n">
        <f aca="false">-E30*E38</f>
        <v>-0</v>
      </c>
      <c r="F39" s="94" t="n">
        <f aca="false">-F30*F38</f>
        <v>-0</v>
      </c>
      <c r="G39" s="94" t="n">
        <f aca="false">-G30*G38</f>
        <v>-0</v>
      </c>
      <c r="H39" s="94" t="n">
        <f aca="false">-H30*H38</f>
        <v>-0</v>
      </c>
      <c r="I39" s="94" t="n">
        <f aca="false">-I30*I38</f>
        <v>-0</v>
      </c>
      <c r="J39" s="94" t="n">
        <f aca="false">-J30*J38</f>
        <v>-0</v>
      </c>
      <c r="K39" s="94" t="n">
        <f aca="false">-K30*K38</f>
        <v>-0</v>
      </c>
      <c r="L39" s="94" t="n">
        <f aca="false">-L30*L38</f>
        <v>-0</v>
      </c>
      <c r="M39" s="94" t="n">
        <f aca="false">-M30*M38</f>
        <v>-0</v>
      </c>
      <c r="N39" s="94" t="n">
        <f aca="false">-N30*N38</f>
        <v>-0</v>
      </c>
      <c r="O39" s="94" t="n">
        <f aca="false">-O30*O38</f>
        <v>-0</v>
      </c>
      <c r="P39" s="94" t="n">
        <f aca="false">-P30*P38</f>
        <v>-449.646274110471</v>
      </c>
      <c r="Q39" s="94" t="n">
        <f aca="false">-Q30*Q38</f>
        <v>-906.44735926393</v>
      </c>
      <c r="R39" s="94" t="n">
        <f aca="false">-R30*R38</f>
        <v>-1380.14985233318</v>
      </c>
      <c r="S39" s="94" t="n">
        <f aca="false">-S30*S38</f>
        <v>-1870.58929487722</v>
      </c>
      <c r="T39" s="94" t="n">
        <f aca="false">-T30*T38</f>
        <v>-2377.60223990941</v>
      </c>
      <c r="U39" s="94" t="n">
        <f aca="false">-U30*U38</f>
        <v>-2905.89374048098</v>
      </c>
      <c r="V39" s="94" t="n">
        <f aca="false">-V30*V38</f>
        <v>-3455.25854973667</v>
      </c>
      <c r="W39" s="94" t="n">
        <f aca="false">-W30*W38</f>
        <v>-4035.16934492829</v>
      </c>
      <c r="X39" s="94" t="n">
        <f aca="false">-X30*X38</f>
        <v>-4645.33630087343</v>
      </c>
      <c r="Y39" s="94" t="n">
        <f aca="false">-Y30*Y38</f>
        <v>-5285.47136124187</v>
      </c>
      <c r="Z39" s="94" t="n">
        <f aca="false">-Z30*Z38</f>
        <v>-5960.0831476957</v>
      </c>
      <c r="AA39" s="94" t="n">
        <f aca="false">-AA30*AA38</f>
        <v>-6673.62449393455</v>
      </c>
      <c r="AB39" s="94" t="n">
        <f aca="false">-AB30*AB38</f>
        <v>-7430.49286839959</v>
      </c>
      <c r="AC39" s="94" t="n">
        <f aca="false">-AC30*AC38</f>
        <v>-8230.2789012982</v>
      </c>
      <c r="AD39" s="94" t="n">
        <f aca="false">-AD30*AD38</f>
        <v>-9086.78863042256</v>
      </c>
      <c r="AE39" s="94" t="n">
        <f aca="false">-AE30*AE38</f>
        <v>-9994.76632312211</v>
      </c>
      <c r="AF39" s="94" t="n">
        <f aca="false">-AF30*AF38</f>
        <v>-10958.4346740092</v>
      </c>
      <c r="AG39" s="94" t="n">
        <f aca="false">-AG30*AG38</f>
        <v>-11991.3530859249</v>
      </c>
      <c r="AH39" s="94" t="n">
        <f aca="false">-AH30*AH38</f>
        <v>-13088.1909782934</v>
      </c>
      <c r="AI39" s="94" t="n">
        <f aca="false">-AI30*AI38</f>
        <v>-14267.0128831119</v>
      </c>
      <c r="AJ39" s="94" t="n">
        <f aca="false">-AJ30*AJ38</f>
        <v>-15522.3980088738</v>
      </c>
      <c r="AK39" s="94" t="n">
        <f aca="false">-AK30*AK38</f>
        <v>-16867.54221906</v>
      </c>
      <c r="AL39" s="94" t="n">
        <f aca="false">-AL30*AL38</f>
        <v>-18306.2285222031</v>
      </c>
      <c r="AM39" s="94" t="n">
        <f aca="false">-AM30*AM38</f>
        <v>-19846.8007925426</v>
      </c>
      <c r="AN39" s="94" t="n">
        <f aca="false">-AN30*AN38</f>
        <v>-21497.4975800212</v>
      </c>
      <c r="AO39" s="94" t="n">
        <f aca="false">-AO30*AO38</f>
        <v>-23266.4529133959</v>
      </c>
      <c r="AP39" s="94" t="n">
        <f aca="false">-AP30*AP38</f>
        <v>-25166.2669671964</v>
      </c>
      <c r="AQ39" s="94" t="n">
        <f aca="false">-AQ30*AQ38</f>
        <v>-27204.8259889134</v>
      </c>
      <c r="AR39" s="94" t="n">
        <f aca="false">-AR30*AR38</f>
        <v>-29389.9143319084</v>
      </c>
      <c r="AS39" s="94" t="n">
        <f aca="false">-AS30*AS38</f>
        <v>-31738.2729643122</v>
      </c>
      <c r="AT39" s="94" t="n">
        <f aca="false">-AT30*AT38</f>
        <v>-34257.4032747283</v>
      </c>
      <c r="AU39" s="94" t="n">
        <f aca="false">-AU30*AU38</f>
        <v>-36959.2093110403</v>
      </c>
      <c r="AV39" s="94" t="n">
        <f aca="false">-AV30*AV38</f>
        <v>-39864.4192459632</v>
      </c>
      <c r="AW39" s="94" t="n">
        <f aca="false">-AW30*AW38</f>
        <v>-42989.02761415</v>
      </c>
      <c r="AX39" s="94" t="n">
        <f aca="false">-AX30*AX38</f>
        <v>-46339.903064296</v>
      </c>
      <c r="AY39" s="94" t="n">
        <f aca="false">-AY30*AY38</f>
        <v>-49941.6114673244</v>
      </c>
      <c r="AZ39" s="94" t="n">
        <f aca="false">-AZ30*AZ38</f>
        <v>-53813.9767358847</v>
      </c>
      <c r="BA39" s="94" t="n">
        <f aca="false">-BA30*BA38</f>
        <v>-57976.5709853187</v>
      </c>
      <c r="BB39" s="94" t="n">
        <f aca="false">-BB30*BB38</f>
        <v>-62448.7164573754</v>
      </c>
      <c r="BC39" s="94" t="n">
        <f aca="false">-BC30*BC38</f>
        <v>-67253.8822491264</v>
      </c>
      <c r="BD39" s="94" t="n">
        <f aca="false">-BD30*BD38</f>
        <v>-72419.6202911926</v>
      </c>
      <c r="BE39" s="94" t="n">
        <f aca="false">-BE30*BE38</f>
        <v>-77973.1334202423</v>
      </c>
      <c r="BF39" s="94" t="n">
        <f aca="false">-BF30*BF38</f>
        <v>-83945.6334260252</v>
      </c>
      <c r="BG39" s="94" t="n">
        <f aca="false">-BG30*BG38</f>
        <v>-90363.5937377191</v>
      </c>
      <c r="BH39" s="94" t="n">
        <f aca="false">-BH30*BH38</f>
        <v>-97266.1347392513</v>
      </c>
      <c r="BI39" s="94" t="n">
        <f aca="false">-BI30*BI38</f>
        <v>-104687.566362661</v>
      </c>
      <c r="BJ39" s="94" t="n">
        <f aca="false">-BJ30*BJ38</f>
        <v>-112666.063305682</v>
      </c>
      <c r="BK39" s="94" t="n">
        <f aca="false">-BK30*BK38</f>
        <v>-121247.894281025</v>
      </c>
      <c r="BL39" s="94" t="n">
        <f aca="false">-BL30*BL38</f>
        <v>-130470.186744343</v>
      </c>
      <c r="BM39" s="82" t="n">
        <f aca="false">SUM(E39:BL39)</f>
        <v>-1736683.33730574</v>
      </c>
    </row>
    <row r="40" customFormat="false" ht="15" hidden="false" customHeight="false" outlineLevel="0" collapsed="false">
      <c r="A40" s="37" t="s">
        <v>168</v>
      </c>
      <c r="B40" s="95" t="n">
        <v>0.0068</v>
      </c>
      <c r="C40" s="69" t="n">
        <v>0</v>
      </c>
      <c r="D40" s="70" t="n">
        <v>1</v>
      </c>
      <c r="E40" s="89" t="n">
        <f aca="false">IF(E$5&lt;$D40,0,$B40)</f>
        <v>0.0068</v>
      </c>
      <c r="F40" s="89" t="n">
        <f aca="false">IF(F$5&lt;$D40,0,IF(E40=0,$B40,E40*(1+$C40)))</f>
        <v>0.0068</v>
      </c>
      <c r="G40" s="89" t="n">
        <f aca="false">IF(G$5&lt;$D40,0,IF(F40=0,$B40,F40*(1+$C40)))</f>
        <v>0.0068</v>
      </c>
      <c r="H40" s="89" t="n">
        <f aca="false">IF(H$5&lt;$D40,0,IF(G40=0,$B40,G40*(1+$C40)))</f>
        <v>0.0068</v>
      </c>
      <c r="I40" s="89" t="n">
        <f aca="false">IF(I$5&lt;$D40,0,IF(H40=0,$B40,H40*(1+$C40)))</f>
        <v>0.0068</v>
      </c>
      <c r="J40" s="89" t="n">
        <f aca="false">IF(J$5&lt;$D40,0,IF(I40=0,$B40,I40*(1+$C40)))</f>
        <v>0.0068</v>
      </c>
      <c r="K40" s="89" t="n">
        <f aca="false">IF(K$5&lt;$D40,0,IF(J40=0,$B40,J40*(1+$C40)))</f>
        <v>0.0068</v>
      </c>
      <c r="L40" s="89" t="n">
        <f aca="false">IF(L$5&lt;$D40,0,IF(K40=0,$B40,K40*(1+$C40)))</f>
        <v>0.0068</v>
      </c>
      <c r="M40" s="89" t="n">
        <f aca="false">IF(M$5&lt;$D40,0,IF(L40=0,$B40,L40*(1+$C40)))</f>
        <v>0.0068</v>
      </c>
      <c r="N40" s="89" t="n">
        <f aca="false">IF(N$5&lt;$D40,0,IF(M40=0,$B40,M40*(1+$C40)))</f>
        <v>0.0068</v>
      </c>
      <c r="O40" s="89" t="n">
        <f aca="false">IF(O$5&lt;$D40,0,IF(N40=0,$B40,N40*(1+$C40)))</f>
        <v>0.0068</v>
      </c>
      <c r="P40" s="89" t="n">
        <f aca="false">IF(P$5&lt;$D40,0,IF(O40=0,$B40,O40*(1+$C40)))</f>
        <v>0.0068</v>
      </c>
      <c r="Q40" s="89" t="n">
        <f aca="false">IF(Q$5&lt;$D40,0,IF(P40=0,$B40,P40*(1+$C40)))</f>
        <v>0.0068</v>
      </c>
      <c r="R40" s="89" t="n">
        <f aca="false">IF(R$5&lt;$D40,0,IF(Q40=0,$B40,Q40*(1+$C40)))</f>
        <v>0.0068</v>
      </c>
      <c r="S40" s="89" t="n">
        <f aca="false">IF(S$5&lt;$D40,0,IF(R40=0,$B40,R40*(1+$C40)))</f>
        <v>0.0068</v>
      </c>
      <c r="T40" s="89" t="n">
        <f aca="false">IF(T$5&lt;$D40,0,IF(S40=0,$B40,S40*(1+$C40)))</f>
        <v>0.0068</v>
      </c>
      <c r="U40" s="89" t="n">
        <f aca="false">IF(U$5&lt;$D40,0,IF(T40=0,$B40,T40*(1+$C40)))</f>
        <v>0.0068</v>
      </c>
      <c r="V40" s="89" t="n">
        <f aca="false">IF(V$5&lt;$D40,0,IF(U40=0,$B40,U40*(1+$C40)))</f>
        <v>0.0068</v>
      </c>
      <c r="W40" s="89" t="n">
        <f aca="false">IF(W$5&lt;$D40,0,IF(V40=0,$B40,V40*(1+$C40)))</f>
        <v>0.0068</v>
      </c>
      <c r="X40" s="89" t="n">
        <f aca="false">IF(X$5&lt;$D40,0,IF(W40=0,$B40,W40*(1+$C40)))</f>
        <v>0.0068</v>
      </c>
      <c r="Y40" s="89" t="n">
        <f aca="false">IF(Y$5&lt;$D40,0,IF(X40=0,$B40,X40*(1+$C40)))</f>
        <v>0.0068</v>
      </c>
      <c r="Z40" s="89" t="n">
        <f aca="false">IF(Z$5&lt;$D40,0,IF(Y40=0,$B40,Y40*(1+$C40)))</f>
        <v>0.0068</v>
      </c>
      <c r="AA40" s="89" t="n">
        <f aca="false">IF(AA$5&lt;$D40,0,IF(Z40=0,$B40,Z40*(1+$C40)))</f>
        <v>0.0068</v>
      </c>
      <c r="AB40" s="89" t="n">
        <f aca="false">IF(AB$5&lt;$D40,0,IF(AA40=0,$B40,AA40*(1+$C40)))</f>
        <v>0.0068</v>
      </c>
      <c r="AC40" s="89" t="n">
        <f aca="false">IF(AC$5&lt;$D40,0,IF(AB40=0,$B40,AB40*(1+$C40)))</f>
        <v>0.0068</v>
      </c>
      <c r="AD40" s="89" t="n">
        <f aca="false">IF(AD$5&lt;$D40,0,IF(AC40=0,$B40,AC40*(1+$C40)))</f>
        <v>0.0068</v>
      </c>
      <c r="AE40" s="89" t="n">
        <f aca="false">IF(AE$5&lt;$D40,0,IF(AD40=0,$B40,AD40*(1+$C40)))</f>
        <v>0.0068</v>
      </c>
      <c r="AF40" s="89" t="n">
        <f aca="false">IF(AF$5&lt;$D40,0,IF(AE40=0,$B40,AE40*(1+$C40)))</f>
        <v>0.0068</v>
      </c>
      <c r="AG40" s="89" t="n">
        <f aca="false">IF(AG$5&lt;$D40,0,IF(AF40=0,$B40,AF40*(1+$C40)))</f>
        <v>0.0068</v>
      </c>
      <c r="AH40" s="89" t="n">
        <f aca="false">IF(AH$5&lt;$D40,0,IF(AG40=0,$B40,AG40*(1+$C40)))</f>
        <v>0.0068</v>
      </c>
      <c r="AI40" s="89" t="n">
        <f aca="false">IF(AI$5&lt;$D40,0,IF(AH40=0,$B40,AH40*(1+$C40)))</f>
        <v>0.0068</v>
      </c>
      <c r="AJ40" s="89" t="n">
        <f aca="false">IF(AJ$5&lt;$D40,0,IF(AI40=0,$B40,AI40*(1+$C40)))</f>
        <v>0.0068</v>
      </c>
      <c r="AK40" s="89" t="n">
        <f aca="false">IF(AK$5&lt;$D40,0,IF(AJ40=0,$B40,AJ40*(1+$C40)))</f>
        <v>0.0068</v>
      </c>
      <c r="AL40" s="89" t="n">
        <f aca="false">IF(AL$5&lt;$D40,0,IF(AK40=0,$B40,AK40*(1+$C40)))</f>
        <v>0.0068</v>
      </c>
      <c r="AM40" s="89" t="n">
        <f aca="false">IF(AM$5&lt;$D40,0,IF(AL40=0,$B40,AL40*(1+$C40)))</f>
        <v>0.0068</v>
      </c>
      <c r="AN40" s="89" t="n">
        <f aca="false">IF(AN$5&lt;$D40,0,IF(AM40=0,$B40,AM40*(1+$C40)))</f>
        <v>0.0068</v>
      </c>
      <c r="AO40" s="89" t="n">
        <f aca="false">IF(AO$5&lt;$D40,0,IF(AN40=0,$B40,AN40*(1+$C40)))</f>
        <v>0.0068</v>
      </c>
      <c r="AP40" s="89" t="n">
        <f aca="false">IF(AP$5&lt;$D40,0,IF(AO40=0,$B40,AO40*(1+$C40)))</f>
        <v>0.0068</v>
      </c>
      <c r="AQ40" s="89" t="n">
        <f aca="false">IF(AQ$5&lt;$D40,0,IF(AP40=0,$B40,AP40*(1+$C40)))</f>
        <v>0.0068</v>
      </c>
      <c r="AR40" s="89" t="n">
        <f aca="false">IF(AR$5&lt;$D40,0,IF(AQ40=0,$B40,AQ40*(1+$C40)))</f>
        <v>0.0068</v>
      </c>
      <c r="AS40" s="89" t="n">
        <f aca="false">IF(AS$5&lt;$D40,0,IF(AR40=0,$B40,AR40*(1+$C40)))</f>
        <v>0.0068</v>
      </c>
      <c r="AT40" s="89" t="n">
        <f aca="false">IF(AT$5&lt;$D40,0,IF(AS40=0,$B40,AS40*(1+$C40)))</f>
        <v>0.0068</v>
      </c>
      <c r="AU40" s="89" t="n">
        <f aca="false">IF(AU$5&lt;$D40,0,IF(AT40=0,$B40,AT40*(1+$C40)))</f>
        <v>0.0068</v>
      </c>
      <c r="AV40" s="89" t="n">
        <f aca="false">IF(AV$5&lt;$D40,0,IF(AU40=0,$B40,AU40*(1+$C40)))</f>
        <v>0.0068</v>
      </c>
      <c r="AW40" s="89" t="n">
        <f aca="false">IF(AW$5&lt;$D40,0,IF(AV40=0,$B40,AV40*(1+$C40)))</f>
        <v>0.0068</v>
      </c>
      <c r="AX40" s="89" t="n">
        <f aca="false">IF(AX$5&lt;$D40,0,IF(AW40=0,$B40,AW40*(1+$C40)))</f>
        <v>0.0068</v>
      </c>
      <c r="AY40" s="89" t="n">
        <f aca="false">IF(AY$5&lt;$D40,0,IF(AX40=0,$B40,AX40*(1+$C40)))</f>
        <v>0.0068</v>
      </c>
      <c r="AZ40" s="89" t="n">
        <f aca="false">IF(AZ$5&lt;$D40,0,IF(AY40=0,$B40,AY40*(1+$C40)))</f>
        <v>0.0068</v>
      </c>
      <c r="BA40" s="89" t="n">
        <f aca="false">IF(BA$5&lt;$D40,0,IF(AZ40=0,$B40,AZ40*(1+$C40)))</f>
        <v>0.0068</v>
      </c>
      <c r="BB40" s="89" t="n">
        <f aca="false">IF(BB$5&lt;$D40,0,IF(BA40=0,$B40,BA40*(1+$C40)))</f>
        <v>0.0068</v>
      </c>
      <c r="BC40" s="89" t="n">
        <f aca="false">IF(BC$5&lt;$D40,0,IF(BB40=0,$B40,BB40*(1+$C40)))</f>
        <v>0.0068</v>
      </c>
      <c r="BD40" s="89" t="n">
        <f aca="false">IF(BD$5&lt;$D40,0,IF(BC40=0,$B40,BC40*(1+$C40)))</f>
        <v>0.0068</v>
      </c>
      <c r="BE40" s="89" t="n">
        <f aca="false">IF(BE$5&lt;$D40,0,IF(BD40=0,$B40,BD40*(1+$C40)))</f>
        <v>0.0068</v>
      </c>
      <c r="BF40" s="89" t="n">
        <f aca="false">IF(BF$5&lt;$D40,0,IF(BE40=0,$B40,BE40*(1+$C40)))</f>
        <v>0.0068</v>
      </c>
      <c r="BG40" s="89" t="n">
        <f aca="false">IF(BG$5&lt;$D40,0,IF(BF40=0,$B40,BF40*(1+$C40)))</f>
        <v>0.0068</v>
      </c>
      <c r="BH40" s="89" t="n">
        <f aca="false">IF(BH$5&lt;$D40,0,IF(BG40=0,$B40,BG40*(1+$C40)))</f>
        <v>0.0068</v>
      </c>
      <c r="BI40" s="89" t="n">
        <f aca="false">IF(BI$5&lt;$D40,0,IF(BH40=0,$B40,BH40*(1+$C40)))</f>
        <v>0.0068</v>
      </c>
      <c r="BJ40" s="89" t="n">
        <f aca="false">IF(BJ$5&lt;$D40,0,IF(BI40=0,$B40,BI40*(1+$C40)))</f>
        <v>0.0068</v>
      </c>
      <c r="BK40" s="89" t="n">
        <f aca="false">IF(BK$5&lt;$D40,0,IF(BJ40=0,$B40,BJ40*(1+$C40)))</f>
        <v>0.0068</v>
      </c>
      <c r="BL40" s="89" t="n">
        <f aca="false">IF(BL$5&lt;$D40,0,IF(BK40=0,$B40,BK40*(1+$C40)))</f>
        <v>0.0068</v>
      </c>
      <c r="BM40" s="90" t="n">
        <f aca="false">BL40</f>
        <v>0.0068</v>
      </c>
      <c r="BN40" s="35" t="s">
        <v>169</v>
      </c>
    </row>
    <row r="41" customFormat="false" ht="15" hidden="false" customHeight="false" outlineLevel="0" collapsed="false">
      <c r="A41" s="37" t="s">
        <v>170</v>
      </c>
      <c r="E41" s="94" t="n">
        <f aca="false">-E33*E40</f>
        <v>-0</v>
      </c>
      <c r="F41" s="94" t="n">
        <f aca="false">-F33*F40</f>
        <v>-0</v>
      </c>
      <c r="G41" s="94" t="n">
        <f aca="false">-G33*G40</f>
        <v>-0</v>
      </c>
      <c r="H41" s="94" t="n">
        <f aca="false">-H33*H40</f>
        <v>-0</v>
      </c>
      <c r="I41" s="94" t="n">
        <f aca="false">-I33*I40</f>
        <v>-0</v>
      </c>
      <c r="J41" s="94" t="n">
        <f aca="false">-J33*J40</f>
        <v>-0</v>
      </c>
      <c r="K41" s="94" t="n">
        <f aca="false">-K33*K40</f>
        <v>-0</v>
      </c>
      <c r="L41" s="94" t="n">
        <f aca="false">-L33*L40</f>
        <v>-0</v>
      </c>
      <c r="M41" s="94" t="n">
        <f aca="false">-M33*M40</f>
        <v>-0</v>
      </c>
      <c r="N41" s="94" t="n">
        <f aca="false">-N33*N40</f>
        <v>-0</v>
      </c>
      <c r="O41" s="94" t="n">
        <f aca="false">-O33*O40</f>
        <v>-0</v>
      </c>
      <c r="P41" s="94" t="n">
        <f aca="false">-P33*P40</f>
        <v>-24.69012</v>
      </c>
      <c r="Q41" s="94" t="n">
        <f aca="false">-Q33*Q40</f>
        <v>-49.92288</v>
      </c>
      <c r="R41" s="94" t="n">
        <f aca="false">-R33*R40</f>
        <v>-76.24092</v>
      </c>
      <c r="S41" s="94" t="n">
        <f aca="false">-S33*S40</f>
        <v>-137.64424</v>
      </c>
      <c r="T41" s="94" t="n">
        <f aca="false">-T33*T40</f>
        <v>-166.13284</v>
      </c>
      <c r="U41" s="94" t="n">
        <f aca="false">-U33*U40</f>
        <v>-195.97804</v>
      </c>
      <c r="V41" s="94" t="n">
        <f aca="false">-V33*V40</f>
        <v>-227.17984</v>
      </c>
      <c r="W41" s="94" t="n">
        <f aca="false">-W33*W40</f>
        <v>-260.28088</v>
      </c>
      <c r="X41" s="94" t="n">
        <f aca="false">-X33*X40</f>
        <v>-295.28116</v>
      </c>
      <c r="Y41" s="94" t="n">
        <f aca="false">-Y33*Y40</f>
        <v>-332.18068</v>
      </c>
      <c r="Z41" s="94" t="n">
        <f aca="false">-Z33*Z40</f>
        <v>-371.25076</v>
      </c>
      <c r="AA41" s="94" t="n">
        <f aca="false">-AA33*AA40</f>
        <v>-412.76272</v>
      </c>
      <c r="AB41" s="94" t="n">
        <f aca="false">-AB33*AB40</f>
        <v>-456.98788</v>
      </c>
      <c r="AC41" s="94" t="n">
        <f aca="false">-AC33*AC40</f>
        <v>-503.92624</v>
      </c>
      <c r="AD41" s="94" t="n">
        <f aca="false">-AD33*AD40</f>
        <v>-554.39176</v>
      </c>
      <c r="AE41" s="94" t="n">
        <f aca="false">-AE33*AE40</f>
        <v>-608.11312</v>
      </c>
      <c r="AF41" s="94" t="n">
        <f aca="false">-AF33*AF40</f>
        <v>-665.36164</v>
      </c>
      <c r="AG41" s="94" t="n">
        <f aca="false">-AG33*AG40</f>
        <v>-726.95128</v>
      </c>
      <c r="AH41" s="94" t="n">
        <f aca="false">-AH33*AH40</f>
        <v>-792.61072</v>
      </c>
      <c r="AI41" s="94" t="n">
        <f aca="false">-AI33*AI40</f>
        <v>-863.42524</v>
      </c>
      <c r="AJ41" s="94" t="n">
        <f aca="false">-AJ33*AJ40</f>
        <v>-939.12352</v>
      </c>
      <c r="AK41" s="94" t="n">
        <f aca="false">-AK33*AK40</f>
        <v>-1020.51952</v>
      </c>
      <c r="AL41" s="94" t="n">
        <f aca="false">-AL33*AL40</f>
        <v>-1107.88456</v>
      </c>
      <c r="AM41" s="94" t="n">
        <f aca="false">-AM33*AM40</f>
        <v>-1201.76128</v>
      </c>
      <c r="AN41" s="94" t="n">
        <f aca="false">-AN33*AN40</f>
        <v>-1302.69232</v>
      </c>
      <c r="AO41" s="94" t="n">
        <f aca="false">-AO33*AO40</f>
        <v>-1411.22032</v>
      </c>
      <c r="AP41" s="94" t="n">
        <f aca="false">-AP33*AP40</f>
        <v>-1528.15924</v>
      </c>
      <c r="AQ41" s="94" t="n">
        <f aca="false">-AQ33*AQ40</f>
        <v>-1654.05172</v>
      </c>
      <c r="AR41" s="94" t="n">
        <f aca="false">-AR33*AR40</f>
        <v>-1789.4404</v>
      </c>
      <c r="AS41" s="94" t="n">
        <f aca="false">-AS33*AS40</f>
        <v>-1935.41056</v>
      </c>
      <c r="AT41" s="94" t="n">
        <f aca="false">-AT33*AT40</f>
        <v>-2092.50484</v>
      </c>
      <c r="AU41" s="94" t="n">
        <f aca="false">-AU33*AU40</f>
        <v>-2261.5372</v>
      </c>
      <c r="AV41" s="94" t="n">
        <f aca="false">-AV33*AV40</f>
        <v>-2443.86424</v>
      </c>
      <c r="AW41" s="94" t="n">
        <f aca="false">-AW33*AW40</f>
        <v>-2640.57124</v>
      </c>
      <c r="AX41" s="94" t="n">
        <f aca="false">-AX33*AX40</f>
        <v>-2852.20084</v>
      </c>
      <c r="AY41" s="94" t="n">
        <f aca="false">-AY33*AY40</f>
        <v>-3080.38096</v>
      </c>
      <c r="AZ41" s="94" t="n">
        <f aca="false">-AZ33*AZ40</f>
        <v>-3326.4682</v>
      </c>
      <c r="BA41" s="94" t="n">
        <f aca="false">-BA33*BA40</f>
        <v>-3591.81916</v>
      </c>
      <c r="BB41" s="94" t="n">
        <f aca="false">-BB33*BB40</f>
        <v>-3877.79044</v>
      </c>
      <c r="BC41" s="94" t="n">
        <f aca="false">-BC33*BC40</f>
        <v>-4186.00996</v>
      </c>
      <c r="BD41" s="94" t="n">
        <f aca="false">-BD33*BD40</f>
        <v>-4518.37696</v>
      </c>
      <c r="BE41" s="94" t="n">
        <f aca="false">-BE33*BE40</f>
        <v>-4876.79068</v>
      </c>
      <c r="BF41" s="94" t="n">
        <f aca="false">-BF33*BF40</f>
        <v>-5263.42168</v>
      </c>
      <c r="BG41" s="94" t="n">
        <f aca="false">-BG33*BG40</f>
        <v>-5680.1692</v>
      </c>
      <c r="BH41" s="94" t="n">
        <f aca="false">-BH33*BH40</f>
        <v>-6129.74644</v>
      </c>
      <c r="BI41" s="94" t="n">
        <f aca="false">-BI33*BI40</f>
        <v>-6614.59528</v>
      </c>
      <c r="BJ41" s="94" t="n">
        <f aca="false">-BJ33*BJ40</f>
        <v>-7137.42892</v>
      </c>
      <c r="BK41" s="94" t="n">
        <f aca="false">-BK33*BK40</f>
        <v>-7701.5032</v>
      </c>
      <c r="BL41" s="94" t="n">
        <f aca="false">-BL33*BL40</f>
        <v>-8309.53132</v>
      </c>
      <c r="BM41" s="82" t="n">
        <f aca="false">SUM(E41:BL41)</f>
        <v>-108196.28716</v>
      </c>
    </row>
    <row r="42" customFormat="false" ht="15" hidden="false" customHeight="false" outlineLevel="0" collapsed="false">
      <c r="A42" s="63" t="s">
        <v>171</v>
      </c>
      <c r="E42" s="82" t="n">
        <f aca="false">E33+E37+E39+E41</f>
        <v>0</v>
      </c>
      <c r="F42" s="82" t="n">
        <f aca="false">F33+F37+F39+F41</f>
        <v>0</v>
      </c>
      <c r="G42" s="82" t="n">
        <f aca="false">G33+G37+G39+G41</f>
        <v>0</v>
      </c>
      <c r="H42" s="82" t="n">
        <f aca="false">H33+H37+H39+H41</f>
        <v>0</v>
      </c>
      <c r="I42" s="82" t="n">
        <f aca="false">I33+I37+I39+I41</f>
        <v>0</v>
      </c>
      <c r="J42" s="82" t="n">
        <f aca="false">J33+J37+J39+J41</f>
        <v>0</v>
      </c>
      <c r="K42" s="82" t="n">
        <f aca="false">K33+K37+K39+K41</f>
        <v>0</v>
      </c>
      <c r="L42" s="82" t="n">
        <f aca="false">L33+L37+L39+L41</f>
        <v>0</v>
      </c>
      <c r="M42" s="82" t="n">
        <f aca="false">M33+M37+M39+M41</f>
        <v>0</v>
      </c>
      <c r="N42" s="82" t="n">
        <f aca="false">N33+N37+N39+N41</f>
        <v>0</v>
      </c>
      <c r="O42" s="82" t="n">
        <f aca="false">O33+O37+O39+O41</f>
        <v>0</v>
      </c>
      <c r="P42" s="82" t="n">
        <f aca="false">P33+P37+P39+P41</f>
        <v>2593.77410588953</v>
      </c>
      <c r="Q42" s="82" t="n">
        <f aca="false">Q33+Q37+Q39+Q41</f>
        <v>5247.28176073607</v>
      </c>
      <c r="R42" s="82" t="n">
        <f aca="false">R33+R37+R39+R41</f>
        <v>8017.66472766682</v>
      </c>
      <c r="S42" s="82" t="n">
        <f aca="false">S33+S37+S39+S41</f>
        <v>15096.0874651228</v>
      </c>
      <c r="T42" s="82" t="n">
        <f aca="false">T33+T37+T39+T41</f>
        <v>18100.7134200906</v>
      </c>
      <c r="U42" s="82" t="n">
        <f aca="false">U33+U37+U39+U41</f>
        <v>21251.281719519</v>
      </c>
      <c r="V42" s="82" t="n">
        <f aca="false">V33+V37+V39+V41</f>
        <v>24547.9976102633</v>
      </c>
      <c r="W42" s="82" t="n">
        <f aca="false">W33+W37+W39+W41</f>
        <v>28048.2767750717</v>
      </c>
      <c r="X42" s="82" t="n">
        <f aca="false">X33+X37+X39+X41</f>
        <v>31752.4090391266</v>
      </c>
      <c r="Y42" s="82" t="n">
        <f aca="false">Y33+Y37+Y39+Y41</f>
        <v>35660.6824587581</v>
      </c>
      <c r="Z42" s="82" t="n">
        <f aca="false">Z33+Z37+Z39+Z41</f>
        <v>39802.0325923043</v>
      </c>
      <c r="AA42" s="82" t="n">
        <f aca="false">AA33+AA37+AA39+AA41</f>
        <v>44205.4507860655</v>
      </c>
      <c r="AB42" s="82" t="n">
        <f aca="false">AB33+AB37+AB39+AB41</f>
        <v>48899.9837516004</v>
      </c>
      <c r="AC42" s="82" t="n">
        <f aca="false">AC33+AC37+AC39+AC41</f>
        <v>53886.0408587018</v>
      </c>
      <c r="AD42" s="82" t="n">
        <f aca="false">AD33+AD37+AD39+AD41</f>
        <v>59250.1486095774</v>
      </c>
      <c r="AE42" s="82" t="n">
        <f aca="false">AE33+AE37+AE39+AE41</f>
        <v>64964.1185568779</v>
      </c>
      <c r="AF42" s="82" t="n">
        <f aca="false">AF33+AF37+AF39+AF41</f>
        <v>71057.1721859908</v>
      </c>
      <c r="AG42" s="82" t="n">
        <f aca="false">AG33+AG37+AG39+AG41</f>
        <v>77616.0826340751</v>
      </c>
      <c r="AH42" s="82" t="n">
        <f aca="false">AH33+AH37+AH39+AH41</f>
        <v>84612.7363017066</v>
      </c>
      <c r="AI42" s="82" t="n">
        <f aca="false">AI33+AI37+AI39+AI41</f>
        <v>92162.8453768881</v>
      </c>
      <c r="AJ42" s="82" t="n">
        <f aca="false">AJ33+AJ37+AJ39+AJ41</f>
        <v>100238.386471126</v>
      </c>
      <c r="AK42" s="82" t="n">
        <f aca="false">AK33+AK37+AK39+AK41</f>
        <v>108926.49626094</v>
      </c>
      <c r="AL42" s="82" t="n">
        <f aca="false">AL33+AL37+AL39+AL41</f>
        <v>118256.835917797</v>
      </c>
      <c r="AM42" s="82" t="n">
        <f aca="false">AM33+AM37+AM39+AM41</f>
        <v>128287.949927457</v>
      </c>
      <c r="AN42" s="82" t="n">
        <f aca="false">AN33+AN37+AN39+AN41</f>
        <v>139078.488099979</v>
      </c>
      <c r="AO42" s="82" t="n">
        <f aca="false">AO33+AO37+AO39+AO41</f>
        <v>150687.204766604</v>
      </c>
      <c r="AP42" s="82" t="n">
        <f aca="false">AP33+AP37+AP39+AP41</f>
        <v>163201.832292804</v>
      </c>
      <c r="AQ42" s="82" t="n">
        <f aca="false">AQ33+AQ37+AQ39+AQ41</f>
        <v>176681.372791087</v>
      </c>
      <c r="AR42" s="82" t="n">
        <f aca="false">AR33+AR37+AR39+AR41</f>
        <v>191184.930268092</v>
      </c>
      <c r="AS42" s="82" t="n">
        <f aca="false">AS33+AS37+AS39+AS41</f>
        <v>206829.540475688</v>
      </c>
      <c r="AT42" s="82" t="n">
        <f aca="false">AT33+AT37+AT39+AT41</f>
        <v>223674.590385272</v>
      </c>
      <c r="AU42" s="82" t="n">
        <f aca="false">AU33+AU37+AU39+AU41</f>
        <v>241808.50848896</v>
      </c>
      <c r="AV42" s="82" t="n">
        <f aca="false">AV33+AV37+AV39+AV41</f>
        <v>261377.787514037</v>
      </c>
      <c r="AW42" s="82" t="n">
        <f aca="false">AW33+AW37+AW39+AW41</f>
        <v>282500.20964585</v>
      </c>
      <c r="AX42" s="82" t="n">
        <f aca="false">AX33+AX37+AX39+AX41</f>
        <v>305235.794595704</v>
      </c>
      <c r="AY42" s="82" t="n">
        <f aca="false">AY33+AY37+AY39+AY41</f>
        <v>329760.641572676</v>
      </c>
      <c r="AZ42" s="82" t="n">
        <f aca="false">AZ33+AZ37+AZ39+AZ41</f>
        <v>356222.147564115</v>
      </c>
      <c r="BA42" s="82" t="n">
        <f aca="false">BA33+BA37+BA39+BA41</f>
        <v>384767.961354681</v>
      </c>
      <c r="BB42" s="82" t="n">
        <f aca="false">BB33+BB37+BB39+BB41</f>
        <v>415545.981602625</v>
      </c>
      <c r="BC42" s="82" t="n">
        <f aca="false">BC33+BC37+BC39+BC41</f>
        <v>448733.404290874</v>
      </c>
      <c r="BD42" s="82" t="n">
        <f aca="false">BD33+BD37+BD39+BD41</f>
        <v>484536.786748807</v>
      </c>
      <c r="BE42" s="82" t="n">
        <f aca="false">BE33+BE37+BE39+BE41</f>
        <v>523163.035399758</v>
      </c>
      <c r="BF42" s="82" t="n">
        <f aca="false">BF33+BF37+BF39+BF41</f>
        <v>564848.491893975</v>
      </c>
      <c r="BG42" s="82" t="n">
        <f aca="false">BG33+BG37+BG39+BG41</f>
        <v>609800.792062281</v>
      </c>
      <c r="BH42" s="82" t="n">
        <f aca="false">BH33+BH37+BH39+BH41</f>
        <v>658315.257320749</v>
      </c>
      <c r="BI42" s="82" t="n">
        <f aca="false">BI33+BI37+BI39+BI41</f>
        <v>710658.575357339</v>
      </c>
      <c r="BJ42" s="82" t="n">
        <f aca="false">BJ33+BJ37+BJ39+BJ41</f>
        <v>767127.013274318</v>
      </c>
      <c r="BK42" s="82" t="n">
        <f aca="false">BK33+BK37+BK39+BK41</f>
        <v>828075.632518975</v>
      </c>
      <c r="BL42" s="82" t="n">
        <f aca="false">BL33+BL37+BL39+BL41</f>
        <v>893801.747435657</v>
      </c>
      <c r="BM42" s="82" t="n">
        <f aca="false">SUM(E42:BL42)</f>
        <v>11600100.1770343</v>
      </c>
    </row>
    <row r="43" customFormat="false" ht="15" hidden="false" customHeight="false" outlineLevel="0" collapsed="false">
      <c r="A43" s="49" t="s">
        <v>84</v>
      </c>
      <c r="E43" s="80" t="n">
        <f aca="false">IFERROR(E42/E33,0)</f>
        <v>0</v>
      </c>
      <c r="F43" s="80" t="n">
        <f aca="false">IFERROR(F42/F33,0)</f>
        <v>0</v>
      </c>
      <c r="G43" s="80" t="n">
        <f aca="false">IFERROR(G42/G33,0)</f>
        <v>0</v>
      </c>
      <c r="H43" s="80" t="n">
        <f aca="false">IFERROR(H42/H33,0)</f>
        <v>0</v>
      </c>
      <c r="I43" s="80" t="n">
        <f aca="false">IFERROR(I42/I33,0)</f>
        <v>0</v>
      </c>
      <c r="J43" s="80" t="n">
        <f aca="false">IFERROR(J42/J33,0)</f>
        <v>0</v>
      </c>
      <c r="K43" s="80" t="n">
        <f aca="false">IFERROR(K42/K33,0)</f>
        <v>0</v>
      </c>
      <c r="L43" s="80" t="n">
        <f aca="false">IFERROR(L42/L33,0)</f>
        <v>0</v>
      </c>
      <c r="M43" s="80" t="n">
        <f aca="false">IFERROR(M42/M33,0)</f>
        <v>0</v>
      </c>
      <c r="N43" s="80" t="n">
        <f aca="false">IFERROR(N42/N33,0)</f>
        <v>0</v>
      </c>
      <c r="O43" s="80" t="n">
        <f aca="false">IFERROR(O42/O33,0)</f>
        <v>0</v>
      </c>
      <c r="P43" s="80" t="n">
        <f aca="false">IFERROR(P42/P33,0)</f>
        <v>0.714361206832887</v>
      </c>
      <c r="Q43" s="80" t="n">
        <f aca="false">IFERROR(Q42/Q33,0)</f>
        <v>0.714732723212389</v>
      </c>
      <c r="R43" s="80" t="n">
        <f aca="false">IFERROR(R42/R33,0)</f>
        <v>0.715103125042751</v>
      </c>
      <c r="S43" s="80" t="n">
        <f aca="false">IFERROR(S42/S33,0)</f>
        <v>0.745787798769021</v>
      </c>
      <c r="T43" s="80" t="n">
        <f aca="false">IFERROR(T42/T33,0)</f>
        <v>0.740882123345487</v>
      </c>
      <c r="U43" s="80" t="n">
        <f aca="false">IFERROR(U42/U33,0)</f>
        <v>0.737371981537979</v>
      </c>
      <c r="V43" s="80" t="n">
        <f aca="false">IFERROR(V42/V33,0)</f>
        <v>0.734776394550637</v>
      </c>
      <c r="W43" s="80" t="n">
        <f aca="false">IFERROR(W42/W33,0)</f>
        <v>0.732778689201019</v>
      </c>
      <c r="X43" s="80" t="n">
        <f aca="false">IFERROR(X42/X33,0)</f>
        <v>0.731223019667292</v>
      </c>
      <c r="Y43" s="80" t="n">
        <f aca="false">IFERROR(Y42/Y33,0)</f>
        <v>0.730002240706941</v>
      </c>
      <c r="Z43" s="80" t="n">
        <f aca="false">IFERROR(Z42/Z33,0)</f>
        <v>0.72903237054025</v>
      </c>
      <c r="AA43" s="80" t="n">
        <f aca="false">IFERROR(AA42/AA33,0)</f>
        <v>0.728256334160326</v>
      </c>
      <c r="AB43" s="80" t="n">
        <f aca="false">IFERROR(AB42/AB33,0)</f>
        <v>0.727633935304549</v>
      </c>
      <c r="AC43" s="80" t="n">
        <f aca="false">IFERROR(AC42/AC33,0)</f>
        <v>0.727140301007489</v>
      </c>
      <c r="AD43" s="80" t="n">
        <f aca="false">IFERROR(AD42/AD33,0)</f>
        <v>0.726744226041755</v>
      </c>
      <c r="AE43" s="80" t="n">
        <f aca="false">IFERROR(AE42/AE33,0)</f>
        <v>0.726437223039637</v>
      </c>
      <c r="AF43" s="80" t="n">
        <f aca="false">IFERROR(AF42/AF33,0)</f>
        <v>0.726204731106436</v>
      </c>
      <c r="AG43" s="80" t="n">
        <f aca="false">IFERROR(AG42/AG33,0)</f>
        <v>0.726031271190156</v>
      </c>
      <c r="AH43" s="80" t="n">
        <f aca="false">IFERROR(AH42/AH33,0)</f>
        <v>0.725913228692649</v>
      </c>
      <c r="AI43" s="80" t="n">
        <f aca="false">IFERROR(AI42/AI33,0)</f>
        <v>0.725838578175962</v>
      </c>
      <c r="AJ43" s="80" t="n">
        <f aca="false">IFERROR(AJ42/AJ33,0)</f>
        <v>0.725805512786708</v>
      </c>
      <c r="AK43" s="80" t="n">
        <f aca="false">IFERROR(AK42/AK33,0)</f>
        <v>0.725806964059239</v>
      </c>
      <c r="AL43" s="80" t="n">
        <f aca="false">IFERROR(AL42/AL33,0)</f>
        <v>0.725839598523712</v>
      </c>
      <c r="AM43" s="80" t="n">
        <f aca="false">IFERROR(AM42/AM33,0)</f>
        <v>0.725899622516304</v>
      </c>
      <c r="AN43" s="80" t="n">
        <f aca="false">IFERROR(AN42/AN33,0)</f>
        <v>0.725983952281116</v>
      </c>
      <c r="AO43" s="80" t="n">
        <f aca="false">IFERROR(AO42/AO33,0)</f>
        <v>0.726090021445346</v>
      </c>
      <c r="AP43" s="80" t="n">
        <f aca="false">IFERROR(AP42/AP33,0)</f>
        <v>0.726215194426377</v>
      </c>
      <c r="AQ43" s="80" t="n">
        <f aca="false">IFERROR(AQ42/AQ33,0)</f>
        <v>0.726357779779334</v>
      </c>
      <c r="AR43" s="80" t="n">
        <f aca="false">IFERROR(AR42/AR33,0)</f>
        <v>0.726516248220965</v>
      </c>
      <c r="AS43" s="80" t="n">
        <f aca="false">IFERROR(AS42/AS33,0)</f>
        <v>0.726688643899244</v>
      </c>
      <c r="AT43" s="80" t="n">
        <f aca="false">IFERROR(AT42/AT33,0)</f>
        <v>0.726873929056168</v>
      </c>
      <c r="AU43" s="80" t="n">
        <f aca="false">IFERROR(AU42/AU33,0)</f>
        <v>0.727070886883897</v>
      </c>
      <c r="AV43" s="80" t="n">
        <f aca="false">IFERROR(AV42/AV33,0)</f>
        <v>0.727278105716482</v>
      </c>
      <c r="AW43" s="80" t="n">
        <f aca="false">IFERROR(AW42/AW33,0)</f>
        <v>0.72749464073985</v>
      </c>
      <c r="AX43" s="80" t="n">
        <f aca="false">IFERROR(AX42/AX33,0)</f>
        <v>0.727719932671637</v>
      </c>
      <c r="AY43" s="80" t="n">
        <f aca="false">IFERROR(AY42/AY33,0)</f>
        <v>0.727952935631116</v>
      </c>
      <c r="AZ43" s="80" t="n">
        <f aca="false">IFERROR(AZ42/AZ33,0)</f>
        <v>0.728192923484428</v>
      </c>
      <c r="BA43" s="80" t="n">
        <f aca="false">IFERROR(BA42/BA33,0)</f>
        <v>0.728439272875818</v>
      </c>
      <c r="BB43" s="80" t="n">
        <f aca="false">IFERROR(BB42/BB33,0)</f>
        <v>0.728691433593262</v>
      </c>
      <c r="BC43" s="80" t="n">
        <f aca="false">IFERROR(BC42/BC33,0)</f>
        <v>0.728948850656328</v>
      </c>
      <c r="BD43" s="80" t="n">
        <f aca="false">IFERROR(BD42/BD33,0)</f>
        <v>0.729210993031421</v>
      </c>
      <c r="BE43" s="80" t="n">
        <f aca="false">IFERROR(BE42/BE33,0)</f>
        <v>0.729477411304098</v>
      </c>
      <c r="BF43" s="80" t="n">
        <f aca="false">IFERROR(BF42/BF33,0)</f>
        <v>0.729747677157235</v>
      </c>
      <c r="BG43" s="80" t="n">
        <f aca="false">IFERROR(BG42/BG33,0)</f>
        <v>0.730021455350927</v>
      </c>
      <c r="BH43" s="80" t="n">
        <f aca="false">IFERROR(BH42/BH33,0)</f>
        <v>0.730298356318486</v>
      </c>
      <c r="BI43" s="80" t="n">
        <f aca="false">IFERROR(BI42/BI33,0)</f>
        <v>0.730578078910053</v>
      </c>
      <c r="BJ43" s="80" t="n">
        <f aca="false">IFERROR(BJ42/BJ33,0)</f>
        <v>0.730860334825634</v>
      </c>
      <c r="BK43" s="80" t="n">
        <f aca="false">IFERROR(BK42/BK33,0)</f>
        <v>0.731144836910414</v>
      </c>
      <c r="BL43" s="80" t="n">
        <f aca="false">IFERROR(BL42/BL33,0)</f>
        <v>0.731431370615794</v>
      </c>
      <c r="BM43" s="74" t="n">
        <f aca="false">BL43</f>
        <v>0.731431370615794</v>
      </c>
      <c r="BN43" s="35" t="s">
        <v>172</v>
      </c>
    </row>
    <row r="45" customFormat="false" ht="18" hidden="false" customHeight="true" outlineLevel="0" collapsed="false">
      <c r="A45" s="19" t="s">
        <v>173</v>
      </c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</row>
    <row r="46" customFormat="false" ht="15" hidden="false" customHeight="false" outlineLevel="0" collapsed="false">
      <c r="A46" s="83" t="s">
        <v>174</v>
      </c>
      <c r="E46" s="84" t="n">
        <f aca="false">-'Nuvem e Escala'!E31</f>
        <v>-0</v>
      </c>
      <c r="F46" s="84" t="n">
        <f aca="false">-'Nuvem e Escala'!F31</f>
        <v>-0</v>
      </c>
      <c r="G46" s="84" t="n">
        <f aca="false">-'Nuvem e Escala'!G31</f>
        <v>-0</v>
      </c>
      <c r="H46" s="84" t="n">
        <f aca="false">-'Nuvem e Escala'!H31</f>
        <v>-0</v>
      </c>
      <c r="I46" s="84" t="n">
        <f aca="false">-'Nuvem e Escala'!I31</f>
        <v>-0</v>
      </c>
      <c r="J46" s="84" t="n">
        <f aca="false">-'Nuvem e Escala'!J31</f>
        <v>-0</v>
      </c>
      <c r="K46" s="84" t="n">
        <f aca="false">-'Nuvem e Escala'!K31</f>
        <v>-0</v>
      </c>
      <c r="L46" s="84" t="n">
        <f aca="false">-'Nuvem e Escala'!L31</f>
        <v>-0</v>
      </c>
      <c r="M46" s="84" t="n">
        <f aca="false">-'Nuvem e Escala'!M31</f>
        <v>-300</v>
      </c>
      <c r="N46" s="84" t="n">
        <f aca="false">-'Nuvem e Escala'!N31</f>
        <v>-300</v>
      </c>
      <c r="O46" s="84" t="n">
        <f aca="false">-'Nuvem e Escala'!O31</f>
        <v>-300</v>
      </c>
      <c r="P46" s="84" t="n">
        <f aca="false">-'Nuvem e Escala'!P31</f>
        <v>-4468.62222222222</v>
      </c>
      <c r="Q46" s="84" t="n">
        <f aca="false">-'Nuvem e Escala'!Q31</f>
        <v>-7044.26666666667</v>
      </c>
      <c r="R46" s="84" t="n">
        <f aca="false">-'Nuvem e Escala'!R31</f>
        <v>-9521.77777777778</v>
      </c>
      <c r="S46" s="84" t="n">
        <f aca="false">-'Nuvem e Escala'!S31</f>
        <v>-11915.3777777778</v>
      </c>
      <c r="T46" s="84" t="n">
        <f aca="false">-'Nuvem e Escala'!T31</f>
        <v>-14236.4444444444</v>
      </c>
      <c r="U46" s="84" t="n">
        <f aca="false">-'Nuvem e Escala'!U31</f>
        <v>-16286.9555555556</v>
      </c>
      <c r="V46" s="84" t="n">
        <f aca="false">-'Nuvem e Escala'!V31</f>
        <v>-17564.6888888889</v>
      </c>
      <c r="W46" s="84" t="n">
        <f aca="false">-'Nuvem e Escala'!W31</f>
        <v>-18820.2222222222</v>
      </c>
      <c r="X46" s="84" t="n">
        <f aca="false">-'Nuvem e Escala'!X31</f>
        <v>-20059.3111111111</v>
      </c>
      <c r="Y46" s="84" t="n">
        <f aca="false">-'Nuvem e Escala'!Y31</f>
        <v>-21286.0666666667</v>
      </c>
      <c r="Z46" s="84" t="n">
        <f aca="false">-'Nuvem e Escala'!Z31</f>
        <v>-22505.4222222222</v>
      </c>
      <c r="AA46" s="84" t="n">
        <f aca="false">-'Nuvem e Escala'!AA31</f>
        <v>-23723.1333333333</v>
      </c>
      <c r="AB46" s="84" t="n">
        <f aca="false">-'Nuvem e Escala'!AB31</f>
        <v>-24943.3111111111</v>
      </c>
      <c r="AC46" s="84" t="n">
        <f aca="false">-'Nuvem e Escala'!AC31</f>
        <v>-26169.2444444444</v>
      </c>
      <c r="AD46" s="84" t="n">
        <f aca="false">-'Nuvem e Escala'!AD31</f>
        <v>-27407.5111111111</v>
      </c>
      <c r="AE46" s="84" t="n">
        <f aca="false">-'Nuvem e Escala'!AE31</f>
        <v>-28660.5777777778</v>
      </c>
      <c r="AF46" s="84" t="n">
        <f aca="false">-'Nuvem e Escala'!AF31</f>
        <v>-29930.9111111111</v>
      </c>
      <c r="AG46" s="84" t="n">
        <f aca="false">-'Nuvem e Escala'!AG31</f>
        <v>-31225.9111111111</v>
      </c>
      <c r="AH46" s="84" t="n">
        <f aca="false">-'Nuvem e Escala'!AH31</f>
        <v>-32545.5777777778</v>
      </c>
      <c r="AI46" s="84" t="n">
        <f aca="false">-'Nuvem e Escala'!AI31</f>
        <v>-33896.4888888889</v>
      </c>
      <c r="AJ46" s="84" t="n">
        <f aca="false">-'Nuvem e Escala'!AJ31</f>
        <v>-35281.1111111111</v>
      </c>
      <c r="AK46" s="84" t="n">
        <f aca="false">-'Nuvem e Escala'!AK31</f>
        <v>-36703.5555555556</v>
      </c>
      <c r="AL46" s="84" t="n">
        <f aca="false">-'Nuvem e Escala'!AL31</f>
        <v>-38167.9333333333</v>
      </c>
      <c r="AM46" s="84" t="n">
        <f aca="false">-'Nuvem e Escala'!AM31</f>
        <v>-39677.5333333333</v>
      </c>
      <c r="AN46" s="84" t="n">
        <f aca="false">-'Nuvem e Escala'!AN31</f>
        <v>-41235.6444444445</v>
      </c>
      <c r="AO46" s="84" t="n">
        <f aca="false">-'Nuvem e Escala'!AO31</f>
        <v>-42848.0222222222</v>
      </c>
      <c r="AP46" s="84" t="n">
        <f aca="false">-'Nuvem e Escala'!AP31</f>
        <v>-44517.1333333333</v>
      </c>
      <c r="AQ46" s="84" t="n">
        <f aca="false">-'Nuvem e Escala'!AQ31</f>
        <v>-46248.7333333333</v>
      </c>
      <c r="AR46" s="84" t="n">
        <f aca="false">-'Nuvem e Escala'!AR31</f>
        <v>-48046.1111111111</v>
      </c>
      <c r="AS46" s="84" t="n">
        <f aca="false">-'Nuvem e Escala'!AS31</f>
        <v>-49914.2</v>
      </c>
      <c r="AT46" s="84" t="n">
        <f aca="false">-'Nuvem e Escala'!AT31</f>
        <v>-51857.1111111111</v>
      </c>
      <c r="AU46" s="84" t="n">
        <f aca="false">-'Nuvem e Escala'!AU31</f>
        <v>-53878.9555555556</v>
      </c>
      <c r="AV46" s="84" t="n">
        <f aca="false">-'Nuvem e Escala'!AV31</f>
        <v>-55987.1333333333</v>
      </c>
      <c r="AW46" s="84" t="n">
        <f aca="false">-'Nuvem e Escala'!AW31</f>
        <v>-58186.5777777778</v>
      </c>
      <c r="AX46" s="84" t="n">
        <f aca="false">-'Nuvem e Escala'!AX31</f>
        <v>-60481.4</v>
      </c>
      <c r="AY46" s="84" t="n">
        <f aca="false">-'Nuvem e Escala'!AY31</f>
        <v>-62877.3555555556</v>
      </c>
      <c r="AZ46" s="84" t="n">
        <f aca="false">-'Nuvem e Escala'!AZ31</f>
        <v>-65382.6666666667</v>
      </c>
      <c r="BA46" s="84" t="n">
        <f aca="false">-'Nuvem e Escala'!BA31</f>
        <v>-68003.0888888889</v>
      </c>
      <c r="BB46" s="84" t="n">
        <f aca="false">-'Nuvem e Escala'!BB31</f>
        <v>-70744.3777777778</v>
      </c>
      <c r="BC46" s="84" t="n">
        <f aca="false">-'Nuvem e Escala'!BC31</f>
        <v>-73613.9333333333</v>
      </c>
      <c r="BD46" s="84" t="n">
        <f aca="false">-'Nuvem e Escala'!BD31</f>
        <v>-76620.8</v>
      </c>
      <c r="BE46" s="84" t="n">
        <f aca="false">-'Nuvem e Escala'!BE31</f>
        <v>-79772.3777777778</v>
      </c>
      <c r="BF46" s="84" t="n">
        <f aca="false">-'Nuvem e Escala'!BF31</f>
        <v>-83077.7111111111</v>
      </c>
      <c r="BG46" s="84" t="n">
        <f aca="false">-'Nuvem e Escala'!BG31</f>
        <v>-86545.0222222222</v>
      </c>
      <c r="BH46" s="84" t="n">
        <f aca="false">-'Nuvem e Escala'!BH31</f>
        <v>-90115</v>
      </c>
      <c r="BI46" s="84" t="n">
        <f aca="false">-'Nuvem e Escala'!BI31</f>
        <v>-92491.1555555556</v>
      </c>
      <c r="BJ46" s="84" t="n">
        <f aca="false">-'Nuvem e Escala'!BJ31</f>
        <v>-94987.9333333333</v>
      </c>
      <c r="BK46" s="84" t="n">
        <f aca="false">-'Nuvem e Escala'!BK31</f>
        <v>-97612.4888888889</v>
      </c>
      <c r="BL46" s="84" t="n">
        <f aca="false">-'Nuvem e Escala'!BL31</f>
        <v>-100371.977777778</v>
      </c>
      <c r="BM46" s="82" t="n">
        <f aca="false">SUM(E46:BL46)</f>
        <v>-2268358.86666667</v>
      </c>
      <c r="BN46" s="35" t="s">
        <v>175</v>
      </c>
    </row>
    <row r="47" customFormat="false" ht="15" hidden="false" customHeight="false" outlineLevel="0" collapsed="false">
      <c r="A47" s="40" t="s">
        <v>176</v>
      </c>
      <c r="E47" s="87" t="n">
        <f aca="false">-'Nuvem e Escala'!E35</f>
        <v>-0</v>
      </c>
      <c r="F47" s="87" t="n">
        <f aca="false">-'Nuvem e Escala'!F35</f>
        <v>-0</v>
      </c>
      <c r="G47" s="87" t="n">
        <f aca="false">-'Nuvem e Escala'!G35</f>
        <v>-0</v>
      </c>
      <c r="H47" s="87" t="n">
        <f aca="false">-'Nuvem e Escala'!H35</f>
        <v>-0</v>
      </c>
      <c r="I47" s="87" t="n">
        <f aca="false">-'Nuvem e Escala'!I35</f>
        <v>-0</v>
      </c>
      <c r="J47" s="87" t="n">
        <f aca="false">-'Nuvem e Escala'!J35</f>
        <v>-0</v>
      </c>
      <c r="K47" s="87" t="n">
        <f aca="false">-'Nuvem e Escala'!K35</f>
        <v>-0</v>
      </c>
      <c r="L47" s="87" t="n">
        <f aca="false">-'Nuvem e Escala'!L35</f>
        <v>-0</v>
      </c>
      <c r="M47" s="87" t="n">
        <f aca="false">-'Nuvem e Escala'!M35</f>
        <v>-0</v>
      </c>
      <c r="N47" s="87" t="n">
        <f aca="false">-'Nuvem e Escala'!N35</f>
        <v>-0</v>
      </c>
      <c r="O47" s="87" t="n">
        <f aca="false">-'Nuvem e Escala'!O35</f>
        <v>-0</v>
      </c>
      <c r="P47" s="87" t="n">
        <f aca="false">-'Nuvem e Escala'!P35</f>
        <v>-4253.69377495889</v>
      </c>
      <c r="Q47" s="87" t="n">
        <f aca="false">-'Nuvem e Escala'!Q35</f>
        <v>-6694.24099378882</v>
      </c>
      <c r="R47" s="87" t="n">
        <f aca="false">-'Nuvem e Escala'!R35</f>
        <v>-9030.38759310274</v>
      </c>
      <c r="S47" s="87" t="n">
        <f aca="false">-'Nuvem e Escala'!S35</f>
        <v>-11276.8151639855</v>
      </c>
      <c r="T47" s="87" t="n">
        <f aca="false">-'Nuvem e Escala'!T35</f>
        <v>-13444.9891425672</v>
      </c>
      <c r="U47" s="87" t="n">
        <f aca="false">-'Nuvem e Escala'!U35</f>
        <v>-15347.4142987514</v>
      </c>
      <c r="V47" s="87" t="n">
        <f aca="false">-'Nuvem e Escala'!V35</f>
        <v>-16514.0244774893</v>
      </c>
      <c r="W47" s="87" t="n">
        <f aca="false">-'Nuvem e Escala'!W35</f>
        <v>-17651.4906262927</v>
      </c>
      <c r="X47" s="87" t="n">
        <f aca="false">-'Nuvem e Escala'!X35</f>
        <v>-18766.0717323871</v>
      </c>
      <c r="Y47" s="87" t="n">
        <f aca="false">-'Nuvem e Escala'!Y35</f>
        <v>-19862.158500213</v>
      </c>
      <c r="Z47" s="87" t="n">
        <f aca="false">-'Nuvem e Escala'!Z35</f>
        <v>-20943.6625179892</v>
      </c>
      <c r="AA47" s="87" t="n">
        <f aca="false">-'Nuvem e Escala'!AA35</f>
        <v>-22015.4298251947</v>
      </c>
      <c r="AB47" s="87" t="n">
        <f aca="false">-'Nuvem e Escala'!AB35</f>
        <v>-23080.6573762727</v>
      </c>
      <c r="AC47" s="87" t="n">
        <f aca="false">-'Nuvem e Escala'!AC35</f>
        <v>-24142.9063106024</v>
      </c>
      <c r="AD47" s="87" t="n">
        <f aca="false">-'Nuvem e Escala'!AD35</f>
        <v>-25205.6343283721</v>
      </c>
      <c r="AE47" s="87" t="n">
        <f aca="false">-'Nuvem e Escala'!AE35</f>
        <v>-26272.7605253257</v>
      </c>
      <c r="AF47" s="87" t="n">
        <f aca="false">-'Nuvem e Escala'!AF35</f>
        <v>-27345.8526485956</v>
      </c>
      <c r="AG47" s="87" t="n">
        <f aca="false">-'Nuvem e Escala'!AG35</f>
        <v>-28429.397436317</v>
      </c>
      <c r="AH47" s="87" t="n">
        <f aca="false">-'Nuvem e Escala'!AH35</f>
        <v>-29524.7154643738</v>
      </c>
      <c r="AI47" s="87" t="n">
        <f aca="false">-'Nuvem e Escala'!AI35</f>
        <v>-30634.4613584056</v>
      </c>
      <c r="AJ47" s="87" t="n">
        <f aca="false">-'Nuvem e Escala'!AJ35</f>
        <v>-31762.4926756353</v>
      </c>
      <c r="AK47" s="87" t="n">
        <f aca="false">-'Nuvem e Escala'!AK35</f>
        <v>-32910.089722696</v>
      </c>
      <c r="AL47" s="87" t="n">
        <f aca="false">-'Nuvem e Escala'!AL35</f>
        <v>-34080.6878547658</v>
      </c>
      <c r="AM47" s="87" t="n">
        <f aca="false">-'Nuvem e Escala'!AM35</f>
        <v>-35275.8501241505</v>
      </c>
      <c r="AN47" s="87" t="n">
        <f aca="false">-'Nuvem e Escala'!AN35</f>
        <v>-36497.1731620739</v>
      </c>
      <c r="AO47" s="87" t="n">
        <f aca="false">-'Nuvem e Escala'!AO35</f>
        <v>-37748.8132380945</v>
      </c>
      <c r="AP47" s="87" t="n">
        <f aca="false">-'Nuvem e Escala'!AP35</f>
        <v>-39030.5757327544</v>
      </c>
      <c r="AQ47" s="87" t="n">
        <f aca="false">-'Nuvem e Escala'!AQ35</f>
        <v>-40346.6797153177</v>
      </c>
      <c r="AR47" s="87" t="n">
        <f aca="false">-'Nuvem e Escala'!AR35</f>
        <v>-41698.824967387</v>
      </c>
      <c r="AS47" s="87" t="n">
        <f aca="false">-'Nuvem e Escala'!AS35</f>
        <v>-43088.459691299</v>
      </c>
      <c r="AT47" s="87" t="n">
        <f aca="false">-'Nuvem e Escala'!AT35</f>
        <v>-44518.183634894</v>
      </c>
      <c r="AU47" s="87" t="n">
        <f aca="false">-'Nuvem e Escala'!AU35</f>
        <v>-45989.6365894404</v>
      </c>
      <c r="AV47" s="87" t="n">
        <f aca="false">-'Nuvem e Escala'!AV35</f>
        <v>-47505.9415425898</v>
      </c>
      <c r="AW47" s="87" t="n">
        <f aca="false">-'Nuvem e Escala'!AW35</f>
        <v>-49068.7064932617</v>
      </c>
      <c r="AX47" s="87" t="n">
        <f aca="false">-'Nuvem e Escala'!AX35</f>
        <v>-50680.6183684613</v>
      </c>
      <c r="AY47" s="87" t="n">
        <f aca="false">-'Nuvem e Escala'!AY35</f>
        <v>-52342.2810449714</v>
      </c>
      <c r="AZ47" s="87" t="n">
        <f aca="false">-'Nuvem e Escala'!AZ35</f>
        <v>-54057.8213911885</v>
      </c>
      <c r="BA47" s="87" t="n">
        <f aca="false">-'Nuvem e Escala'!BA35</f>
        <v>-55828.8769129718</v>
      </c>
      <c r="BB47" s="87" t="n">
        <f aca="false">-'Nuvem e Escala'!BB35</f>
        <v>-57657.1159246056</v>
      </c>
      <c r="BC47" s="87" t="n">
        <f aca="false">-'Nuvem e Escala'!BC35</f>
        <v>-59544.9942442749</v>
      </c>
      <c r="BD47" s="87" t="n">
        <f aca="false">-'Nuvem e Escala'!BD35</f>
        <v>-61495.7691572712</v>
      </c>
      <c r="BE47" s="87" t="n">
        <f aca="false">-'Nuvem e Escala'!BE35</f>
        <v>-63511.0608563681</v>
      </c>
      <c r="BF47" s="87" t="n">
        <f aca="false">-'Nuvem e Escala'!BF35</f>
        <v>-65593.3005460861</v>
      </c>
      <c r="BG47" s="87" t="n">
        <f aca="false">-'Nuvem e Escala'!BG35</f>
        <v>-67745.0273116349</v>
      </c>
      <c r="BH47" s="87" t="n">
        <f aca="false">-'Nuvem e Escala'!BH35</f>
        <v>-69914.3144923921</v>
      </c>
      <c r="BI47" s="87" t="n">
        <f aca="false">-'Nuvem e Escala'!BI35</f>
        <v>-71100.9111971403</v>
      </c>
      <c r="BJ47" s="87" t="n">
        <f aca="false">-'Nuvem e Escala'!BJ35</f>
        <v>-72330.3008603698</v>
      </c>
      <c r="BK47" s="87" t="n">
        <f aca="false">-'Nuvem e Escala'!BK35</f>
        <v>-73603.1504029801</v>
      </c>
      <c r="BL47" s="87" t="n">
        <f aca="false">-'Nuvem e Escala'!BL35</f>
        <v>-74922.0705163411</v>
      </c>
      <c r="BM47" s="82" t="n">
        <f aca="false">SUM(E47:BL47)</f>
        <v>-1900286.4924664</v>
      </c>
      <c r="BN47" s="35" t="s">
        <v>177</v>
      </c>
    </row>
    <row r="48" customFormat="false" ht="19.4" hidden="false" customHeight="false" outlineLevel="0" collapsed="false">
      <c r="A48" s="49" t="s">
        <v>86</v>
      </c>
      <c r="E48" s="96" t="n">
        <f aca="false">'Nuvem e Escala'!E37</f>
        <v>0</v>
      </c>
      <c r="F48" s="96" t="n">
        <f aca="false">'Nuvem e Escala'!F37</f>
        <v>0</v>
      </c>
      <c r="G48" s="96" t="n">
        <f aca="false">'Nuvem e Escala'!G37</f>
        <v>0</v>
      </c>
      <c r="H48" s="96" t="n">
        <f aca="false">'Nuvem e Escala'!H37</f>
        <v>0</v>
      </c>
      <c r="I48" s="96" t="n">
        <f aca="false">'Nuvem e Escala'!I37</f>
        <v>0</v>
      </c>
      <c r="J48" s="96" t="n">
        <f aca="false">'Nuvem e Escala'!J37</f>
        <v>0</v>
      </c>
      <c r="K48" s="96" t="n">
        <f aca="false">'Nuvem e Escala'!K37</f>
        <v>0</v>
      </c>
      <c r="L48" s="96" t="n">
        <f aca="false">'Nuvem e Escala'!L37</f>
        <v>0</v>
      </c>
      <c r="M48" s="96" t="n">
        <f aca="false">'Nuvem e Escala'!M37</f>
        <v>0</v>
      </c>
      <c r="N48" s="96" t="n">
        <f aca="false">'Nuvem e Escala'!N37</f>
        <v>0</v>
      </c>
      <c r="O48" s="96" t="n">
        <f aca="false">'Nuvem e Escala'!O37</f>
        <v>0</v>
      </c>
      <c r="P48" s="96" t="n">
        <f aca="false">'Nuvem e Escala'!P37</f>
        <v>49.1057387057387</v>
      </c>
      <c r="Q48" s="96" t="n">
        <f aca="false">'Nuvem e Escala'!Q37</f>
        <v>38.2840579710145</v>
      </c>
      <c r="R48" s="96" t="n">
        <f aca="false">'Nuvem e Escala'!R37</f>
        <v>33.8853301700277</v>
      </c>
      <c r="S48" s="96" t="n">
        <f aca="false">'Nuvem e Escala'!S37</f>
        <v>31.192088423502</v>
      </c>
      <c r="T48" s="96" t="n">
        <f aca="false">'Nuvem e Escala'!T37</f>
        <v>29.2329454711385</v>
      </c>
      <c r="U48" s="96" t="n">
        <f aca="false">'Nuvem e Escala'!U37</f>
        <v>27.2813325888703</v>
      </c>
      <c r="V48" s="96" t="n">
        <f aca="false">'Nuvem e Escala'!V37</f>
        <v>24.669506866417</v>
      </c>
      <c r="W48" s="96" t="n">
        <f aca="false">'Nuvem e Escala'!W37</f>
        <v>22.5662136957101</v>
      </c>
      <c r="X48" s="96" t="n">
        <f aca="false">'Nuvem e Escala'!X37</f>
        <v>20.8300219222338</v>
      </c>
      <c r="Y48" s="96" t="n">
        <f aca="false">'Nuvem e Escala'!Y37</f>
        <v>19.3685774946921</v>
      </c>
      <c r="Z48" s="96" t="n">
        <f aca="false">'Nuvem e Escala'!Z37</f>
        <v>18.1057298650219</v>
      </c>
      <c r="AA48" s="96" t="n">
        <f aca="false">'Nuvem e Escala'!AA37</f>
        <v>16.9936485195798</v>
      </c>
      <c r="AB48" s="96" t="n">
        <f aca="false">'Nuvem e Escala'!AB37</f>
        <v>15.9995581213028</v>
      </c>
      <c r="AC48" s="96" t="n">
        <f aca="false">'Nuvem e Escala'!AC37</f>
        <v>15.1092635360534</v>
      </c>
      <c r="AD48" s="96" t="n">
        <f aca="false">'Nuvem e Escala'!AD37</f>
        <v>14.2896304020392</v>
      </c>
      <c r="AE48" s="96" t="n">
        <f aca="false">'Nuvem e Escala'!AE37</f>
        <v>13.5446964923335</v>
      </c>
      <c r="AF48" s="96" t="n">
        <f aca="false">'Nuvem e Escala'!AF37</f>
        <v>12.8624456859094</v>
      </c>
      <c r="AG48" s="96" t="n">
        <f aca="false">'Nuvem e Escala'!AG37</f>
        <v>12.2262768641782</v>
      </c>
      <c r="AH48" s="96" t="n">
        <f aca="false">'Nuvem e Escala'!AH37</f>
        <v>11.6400492767446</v>
      </c>
      <c r="AI48" s="96" t="n">
        <f aca="false">'Nuvem e Escala'!AI37</f>
        <v>11.0881546905099</v>
      </c>
      <c r="AJ48" s="96" t="n">
        <f aca="false">'Nuvem e Escala'!AJ37</f>
        <v>10.5758726352252</v>
      </c>
      <c r="AK48" s="96" t="n">
        <f aca="false">'Nuvem e Escala'!AK37</f>
        <v>10.0944872265004</v>
      </c>
      <c r="AL48" s="96" t="n">
        <f aca="false">'Nuvem e Escala'!AL37</f>
        <v>9.64323732524844</v>
      </c>
      <c r="AM48" s="96" t="n">
        <f aca="false">'Nuvem e Escala'!AM37</f>
        <v>9.21875774473358</v>
      </c>
      <c r="AN48" s="96" t="n">
        <f aca="false">'Nuvem e Escala'!AN37</f>
        <v>8.81857237905142</v>
      </c>
      <c r="AO48" s="96" t="n">
        <f aca="false">'Nuvem e Escala'!AO37</f>
        <v>8.44129673408633</v>
      </c>
      <c r="AP48" s="96" t="n">
        <f aca="false">'Nuvem e Escala'!AP37</f>
        <v>8.08373585134072</v>
      </c>
      <c r="AQ48" s="96" t="n">
        <f aca="false">'Nuvem e Escala'!AQ37</f>
        <v>7.74555909116284</v>
      </c>
      <c r="AR48" s="96" t="n">
        <f aca="false">'Nuvem e Escala'!AR37</f>
        <v>7.42598317018719</v>
      </c>
      <c r="AS48" s="96" t="n">
        <f aca="false">'Nuvem e Escala'!AS37</f>
        <v>7.1224600456621</v>
      </c>
      <c r="AT48" s="96" t="n">
        <f aca="false">'Nuvem e Escala'!AT37</f>
        <v>6.83499553329526</v>
      </c>
      <c r="AU48" s="96" t="n">
        <f aca="false">'Nuvem e Escala'!AU37</f>
        <v>6.56260116389227</v>
      </c>
      <c r="AV48" s="96" t="n">
        <f aca="false">'Nuvem e Escala'!AV37</f>
        <v>6.30343766418975</v>
      </c>
      <c r="AW48" s="96" t="n">
        <f aca="false">'Nuvem e Escala'!AW37</f>
        <v>6.05668551866116</v>
      </c>
      <c r="AX48" s="96" t="n">
        <f aca="false">'Nuvem e Escala'!AX37</f>
        <v>5.82279772792914</v>
      </c>
      <c r="AY48" s="96" t="n">
        <f aca="false">'Nuvem e Escala'!AY37</f>
        <v>5.60004947947591</v>
      </c>
      <c r="AZ48" s="96" t="n">
        <f aca="false">'Nuvem e Escala'!AZ37</f>
        <v>5.38794121686582</v>
      </c>
      <c r="BA48" s="96" t="n">
        <f aca="false">'Nuvem e Escala'!BA37</f>
        <v>5.18592914580103</v>
      </c>
      <c r="BB48" s="96" t="n">
        <f aca="false">'Nuvem e Escala'!BB37</f>
        <v>4.99360328776578</v>
      </c>
      <c r="BC48" s="96" t="n">
        <f aca="false">'Nuvem e Escala'!BC37</f>
        <v>4.81042497113856</v>
      </c>
      <c r="BD48" s="96" t="n">
        <f aca="false">'Nuvem e Escala'!BD37</f>
        <v>4.63581800580833</v>
      </c>
      <c r="BE48" s="96" t="n">
        <f aca="false">'Nuvem e Escala'!BE37</f>
        <v>4.46929115232102</v>
      </c>
      <c r="BF48" s="96" t="n">
        <f aca="false">'Nuvem e Escala'!BF37</f>
        <v>4.31035130803731</v>
      </c>
      <c r="BG48" s="96" t="n">
        <f aca="false">'Nuvem e Escala'!BG37</f>
        <v>4.15881894388382</v>
      </c>
      <c r="BH48" s="96" t="n">
        <f aca="false">'Nuvem e Escala'!BH37</f>
        <v>4.01099390216762</v>
      </c>
      <c r="BI48" s="96" t="n">
        <f aca="false">'Nuvem e Escala'!BI37</f>
        <v>3.81343924942507</v>
      </c>
      <c r="BJ48" s="96" t="n">
        <f aca="false">'Nuvem e Escala'!BJ37</f>
        <v>3.62812472149014</v>
      </c>
      <c r="BK48" s="96" t="n">
        <f aca="false">'Nuvem e Escala'!BK37</f>
        <v>3.45408665565778</v>
      </c>
      <c r="BL48" s="96" t="n">
        <f aca="false">'Nuvem e Escala'!BL37</f>
        <v>3.29077662298868</v>
      </c>
      <c r="BM48" s="77" t="n">
        <f aca="false">BL48</f>
        <v>3.29077662298868</v>
      </c>
      <c r="BN48" s="35" t="s">
        <v>178</v>
      </c>
    </row>
    <row r="49" customFormat="false" ht="15" hidden="false" customHeight="false" outlineLevel="0" collapsed="false">
      <c r="A49" s="49" t="s">
        <v>179</v>
      </c>
      <c r="E49" s="96" t="n">
        <f aca="false">'Nuvem e Escala'!E36</f>
        <v>0</v>
      </c>
      <c r="F49" s="96" t="n">
        <f aca="false">'Nuvem e Escala'!F36</f>
        <v>0</v>
      </c>
      <c r="G49" s="96" t="n">
        <f aca="false">'Nuvem e Escala'!G36</f>
        <v>0</v>
      </c>
      <c r="H49" s="96" t="n">
        <f aca="false">'Nuvem e Escala'!H36</f>
        <v>0</v>
      </c>
      <c r="I49" s="96" t="n">
        <f aca="false">'Nuvem e Escala'!I36</f>
        <v>0</v>
      </c>
      <c r="J49" s="96" t="n">
        <f aca="false">'Nuvem e Escala'!J36</f>
        <v>0</v>
      </c>
      <c r="K49" s="96" t="n">
        <f aca="false">'Nuvem e Escala'!K36</f>
        <v>0</v>
      </c>
      <c r="L49" s="96" t="n">
        <f aca="false">'Nuvem e Escala'!L36</f>
        <v>0</v>
      </c>
      <c r="M49" s="96" t="n">
        <f aca="false">'Nuvem e Escala'!M36</f>
        <v>0</v>
      </c>
      <c r="N49" s="96" t="n">
        <f aca="false">'Nuvem e Escala'!N36</f>
        <v>0</v>
      </c>
      <c r="O49" s="96" t="n">
        <f aca="false">'Nuvem e Escala'!O36</f>
        <v>0</v>
      </c>
      <c r="P49" s="96" t="n">
        <f aca="false">'Nuvem e Escala'!P36</f>
        <v>46.7438876369109</v>
      </c>
      <c r="Q49" s="96" t="n">
        <f aca="false">'Nuvem e Escala'!Q36</f>
        <v>36.381744531461</v>
      </c>
      <c r="R49" s="96" t="n">
        <f aca="false">'Nuvem e Escala'!R36</f>
        <v>32.1366106516112</v>
      </c>
      <c r="S49" s="96" t="n">
        <f aca="false">'Nuvem e Escala'!S36</f>
        <v>29.5204585444648</v>
      </c>
      <c r="T49" s="96" t="n">
        <f aca="false">'Nuvem e Escala'!T36</f>
        <v>27.6077805802202</v>
      </c>
      <c r="U49" s="96" t="n">
        <f aca="false">'Nuvem e Escala'!U36</f>
        <v>25.7075616394495</v>
      </c>
      <c r="V49" s="96" t="n">
        <f aca="false">'Nuvem e Escala'!V36</f>
        <v>23.1938546032154</v>
      </c>
      <c r="W49" s="96" t="n">
        <f aca="false">'Nuvem e Escala'!W36</f>
        <v>21.1648568660584</v>
      </c>
      <c r="X49" s="96" t="n">
        <f aca="false">'Nuvem e Escala'!X36</f>
        <v>19.4870942184705</v>
      </c>
      <c r="Y49" s="96" t="n">
        <f aca="false">'Nuvem e Escala'!Y36</f>
        <v>18.0729376708035</v>
      </c>
      <c r="Z49" s="96" t="n">
        <f aca="false">'Nuvem e Escala'!Z36</f>
        <v>16.8492860160814</v>
      </c>
      <c r="AA49" s="96" t="n">
        <f aca="false">'Nuvem e Escala'!AA36</f>
        <v>15.7703652042942</v>
      </c>
      <c r="AB49" s="96" t="n">
        <f aca="false">'Nuvem e Escala'!AB36</f>
        <v>14.8047834357105</v>
      </c>
      <c r="AC49" s="96" t="n">
        <f aca="false">'Nuvem e Escala'!AC36</f>
        <v>13.9393223502324</v>
      </c>
      <c r="AD49" s="96" t="n">
        <f aca="false">'Nuvem e Escala'!AD36</f>
        <v>13.1416237374203</v>
      </c>
      <c r="AE49" s="96" t="n">
        <f aca="false">'Nuvem e Escala'!AE36</f>
        <v>12.4162384335188</v>
      </c>
      <c r="AF49" s="96" t="n">
        <f aca="false">'Nuvem e Escala'!AF36</f>
        <v>11.7515481944975</v>
      </c>
      <c r="AG49" s="96" t="n">
        <f aca="false">'Nuvem e Escala'!AG36</f>
        <v>11.1313224104609</v>
      </c>
      <c r="AH49" s="96" t="n">
        <f aca="false">'Nuvem e Escala'!AH36</f>
        <v>10.5596264178733</v>
      </c>
      <c r="AI49" s="96" t="n">
        <f aca="false">'Nuvem e Escala'!AI36</f>
        <v>10.0210864764166</v>
      </c>
      <c r="AJ49" s="96" t="n">
        <f aca="false">'Nuvem e Escala'!AJ36</f>
        <v>9.5211308979722</v>
      </c>
      <c r="AK49" s="96" t="n">
        <f aca="false">'Nuvem e Escala'!AK36</f>
        <v>9.05117979172057</v>
      </c>
      <c r="AL49" s="96" t="n">
        <f aca="false">'Nuvem e Escala'!AL36</f>
        <v>8.61058308609546</v>
      </c>
      <c r="AM49" s="96" t="n">
        <f aca="false">'Nuvem e Escala'!AM36</f>
        <v>8.19606183181935</v>
      </c>
      <c r="AN49" s="96" t="n">
        <f aca="false">'Nuvem e Escala'!AN36</f>
        <v>7.8052123956531</v>
      </c>
      <c r="AO49" s="96" t="n">
        <f aca="false">'Nuvem e Escala'!AO36</f>
        <v>7.43672443618883</v>
      </c>
      <c r="AP49" s="96" t="n">
        <f aca="false">'Nuvem e Escala'!AP36</f>
        <v>7.08744792677582</v>
      </c>
      <c r="AQ49" s="96" t="n">
        <f aca="false">'Nuvem e Escala'!AQ36</f>
        <v>6.75710596471574</v>
      </c>
      <c r="AR49" s="96" t="n">
        <f aca="false">'Nuvem e Escala'!AR36</f>
        <v>6.44494976312009</v>
      </c>
      <c r="AS49" s="96" t="n">
        <f aca="false">'Nuvem e Escala'!AS36</f>
        <v>6.14846742170362</v>
      </c>
      <c r="AT49" s="96" t="n">
        <f aca="false">'Nuvem e Escala'!AT36</f>
        <v>5.86769258401133</v>
      </c>
      <c r="AU49" s="96" t="n">
        <f aca="false">'Nuvem e Escala'!AU36</f>
        <v>5.60166097313525</v>
      </c>
      <c r="AV49" s="96" t="n">
        <f aca="false">'Nuvem e Escala'!AV36</f>
        <v>5.34856356030058</v>
      </c>
      <c r="AW49" s="96" t="n">
        <f aca="false">'Nuvem e Escala'!AW36</f>
        <v>5.10759930189047</v>
      </c>
      <c r="AX49" s="96" t="n">
        <f aca="false">'Nuvem e Escala'!AX36</f>
        <v>4.87923542586515</v>
      </c>
      <c r="AY49" s="96" t="n">
        <f aca="false">'Nuvem e Escala'!AY36</f>
        <v>4.6617635415899</v>
      </c>
      <c r="AZ49" s="96" t="n">
        <f aca="false">'Nuvem e Escala'!AZ36</f>
        <v>4.45470304006498</v>
      </c>
      <c r="BA49" s="96" t="n">
        <f aca="false">'Nuvem e Escala'!BA36</f>
        <v>4.25752130808906</v>
      </c>
      <c r="BB49" s="96" t="n">
        <f aca="false">'Nuvem e Escala'!BB36</f>
        <v>4.06981830483558</v>
      </c>
      <c r="BC49" s="96" t="n">
        <f aca="false">'Nuvem e Escala'!BC36</f>
        <v>3.89106673490655</v>
      </c>
      <c r="BD49" s="96" t="n">
        <f aca="false">'Nuvem e Escala'!BD36</f>
        <v>3.72070239334893</v>
      </c>
      <c r="BE49" s="96" t="n">
        <f aca="false">'Nuvem e Escala'!BE36</f>
        <v>3.55824196629324</v>
      </c>
      <c r="BF49" s="96" t="n">
        <f aca="false">'Nuvem e Escala'!BF36</f>
        <v>3.40320123202688</v>
      </c>
      <c r="BG49" s="96" t="n">
        <f aca="false">'Nuvem e Escala'!BG36</f>
        <v>3.25540736720975</v>
      </c>
      <c r="BH49" s="96" t="n">
        <f aca="false">'Nuvem e Escala'!BH36</f>
        <v>3.11186693783737</v>
      </c>
      <c r="BI49" s="96" t="n">
        <f aca="false">'Nuvem e Escala'!BI36</f>
        <v>2.93151278952504</v>
      </c>
      <c r="BJ49" s="96" t="n">
        <f aca="false">'Nuvem e Escala'!BJ36</f>
        <v>2.76270199229861</v>
      </c>
      <c r="BK49" s="96" t="n">
        <f aca="false">'Nuvem e Escala'!BK36</f>
        <v>2.60449930654565</v>
      </c>
      <c r="BL49" s="96" t="n">
        <f aca="false">'Nuvem e Escala'!BL36</f>
        <v>2.4563807913295</v>
      </c>
      <c r="BM49" s="77" t="n">
        <f aca="false">BL49</f>
        <v>2.4563807913295</v>
      </c>
    </row>
    <row r="50" customFormat="false" ht="19.4" hidden="false" customHeight="false" outlineLevel="0" collapsed="false">
      <c r="A50" s="37" t="s">
        <v>180</v>
      </c>
      <c r="B50" s="97" t="n">
        <v>0.35</v>
      </c>
      <c r="C50" s="69" t="n">
        <v>-0.005</v>
      </c>
      <c r="D50" s="70" t="n">
        <v>12</v>
      </c>
      <c r="E50" s="76" t="n">
        <f aca="false">IF(E$5&lt;$D50,0,$B50)</f>
        <v>0</v>
      </c>
      <c r="F50" s="76" t="n">
        <f aca="false">IF(F$5&lt;$D50,0,IF(E50=0,$B50,E50*(1+$C50)))</f>
        <v>0</v>
      </c>
      <c r="G50" s="76" t="n">
        <f aca="false">IF(G$5&lt;$D50,0,IF(F50=0,$B50,F50*(1+$C50)))</f>
        <v>0</v>
      </c>
      <c r="H50" s="76" t="n">
        <f aca="false">IF(H$5&lt;$D50,0,IF(G50=0,$B50,G50*(1+$C50)))</f>
        <v>0</v>
      </c>
      <c r="I50" s="76" t="n">
        <f aca="false">IF(I$5&lt;$D50,0,IF(H50=0,$B50,H50*(1+$C50)))</f>
        <v>0</v>
      </c>
      <c r="J50" s="76" t="n">
        <f aca="false">IF(J$5&lt;$D50,0,IF(I50=0,$B50,I50*(1+$C50)))</f>
        <v>0</v>
      </c>
      <c r="K50" s="76" t="n">
        <f aca="false">IF(K$5&lt;$D50,0,IF(J50=0,$B50,J50*(1+$C50)))</f>
        <v>0</v>
      </c>
      <c r="L50" s="76" t="n">
        <f aca="false">IF(L$5&lt;$D50,0,IF(K50=0,$B50,K50*(1+$C50)))</f>
        <v>0</v>
      </c>
      <c r="M50" s="76" t="n">
        <f aca="false">IF(M$5&lt;$D50,0,IF(L50=0,$B50,L50*(1+$C50)))</f>
        <v>0</v>
      </c>
      <c r="N50" s="76" t="n">
        <f aca="false">IF(N$5&lt;$D50,0,IF(M50=0,$B50,M50*(1+$C50)))</f>
        <v>0</v>
      </c>
      <c r="O50" s="76" t="n">
        <f aca="false">IF(O$5&lt;$D50,0,IF(N50=0,$B50,N50*(1+$C50)))</f>
        <v>0</v>
      </c>
      <c r="P50" s="76" t="n">
        <f aca="false">IF(P$5&lt;$D50,0,IF(O50=0,$B50,O50*(1+$C50)))</f>
        <v>0.35</v>
      </c>
      <c r="Q50" s="76" t="n">
        <f aca="false">IF(Q$5&lt;$D50,0,IF(P50=0,$B50,P50*(1+$C50)))</f>
        <v>0.34825</v>
      </c>
      <c r="R50" s="76" t="n">
        <f aca="false">IF(R$5&lt;$D50,0,IF(Q50=0,$B50,Q50*(1+$C50)))</f>
        <v>0.34650875</v>
      </c>
      <c r="S50" s="76" t="n">
        <f aca="false">IF(S$5&lt;$D50,0,IF(R50=0,$B50,R50*(1+$C50)))</f>
        <v>0.34477620625</v>
      </c>
      <c r="T50" s="76" t="n">
        <f aca="false">IF(T$5&lt;$D50,0,IF(S50=0,$B50,S50*(1+$C50)))</f>
        <v>0.34305232521875</v>
      </c>
      <c r="U50" s="76" t="n">
        <f aca="false">IF(U$5&lt;$D50,0,IF(T50=0,$B50,T50*(1+$C50)))</f>
        <v>0.341337063592656</v>
      </c>
      <c r="V50" s="76" t="n">
        <f aca="false">IF(V$5&lt;$D50,0,IF(U50=0,$B50,U50*(1+$C50)))</f>
        <v>0.339630378274693</v>
      </c>
      <c r="W50" s="76" t="n">
        <f aca="false">IF(W$5&lt;$D50,0,IF(V50=0,$B50,V50*(1+$C50)))</f>
        <v>0.33793222638332</v>
      </c>
      <c r="X50" s="76" t="n">
        <f aca="false">IF(X$5&lt;$D50,0,IF(W50=0,$B50,W50*(1+$C50)))</f>
        <v>0.336242565251403</v>
      </c>
      <c r="Y50" s="76" t="n">
        <f aca="false">IF(Y$5&lt;$D50,0,IF(X50=0,$B50,X50*(1+$C50)))</f>
        <v>0.334561352425146</v>
      </c>
      <c r="Z50" s="76" t="n">
        <f aca="false">IF(Z$5&lt;$D50,0,IF(Y50=0,$B50,Y50*(1+$C50)))</f>
        <v>0.33288854566302</v>
      </c>
      <c r="AA50" s="76" t="n">
        <f aca="false">IF(AA$5&lt;$D50,0,IF(Z50=0,$B50,Z50*(1+$C50)))</f>
        <v>0.331224102934705</v>
      </c>
      <c r="AB50" s="76" t="n">
        <f aca="false">IF(AB$5&lt;$D50,0,IF(AA50=0,$B50,AA50*(1+$C50)))</f>
        <v>0.329567982420032</v>
      </c>
      <c r="AC50" s="76" t="n">
        <f aca="false">IF(AC$5&lt;$D50,0,IF(AB50=0,$B50,AB50*(1+$C50)))</f>
        <v>0.327920142507931</v>
      </c>
      <c r="AD50" s="76" t="n">
        <f aca="false">IF(AD$5&lt;$D50,0,IF(AC50=0,$B50,AC50*(1+$C50)))</f>
        <v>0.326280541795392</v>
      </c>
      <c r="AE50" s="76" t="n">
        <f aca="false">IF(AE$5&lt;$D50,0,IF(AD50=0,$B50,AD50*(1+$C50)))</f>
        <v>0.324649139086415</v>
      </c>
      <c r="AF50" s="76" t="n">
        <f aca="false">IF(AF$5&lt;$D50,0,IF(AE50=0,$B50,AE50*(1+$C50)))</f>
        <v>0.323025893390983</v>
      </c>
      <c r="AG50" s="76" t="n">
        <f aca="false">IF(AG$5&lt;$D50,0,IF(AF50=0,$B50,AF50*(1+$C50)))</f>
        <v>0.321410763924028</v>
      </c>
      <c r="AH50" s="76" t="n">
        <f aca="false">IF(AH$5&lt;$D50,0,IF(AG50=0,$B50,AG50*(1+$C50)))</f>
        <v>0.319803710104408</v>
      </c>
      <c r="AI50" s="76" t="n">
        <f aca="false">IF(AI$5&lt;$D50,0,IF(AH50=0,$B50,AH50*(1+$C50)))</f>
        <v>0.318204691553886</v>
      </c>
      <c r="AJ50" s="76" t="n">
        <f aca="false">IF(AJ$5&lt;$D50,0,IF(AI50=0,$B50,AI50*(1+$C50)))</f>
        <v>0.316613668096116</v>
      </c>
      <c r="AK50" s="76" t="n">
        <f aca="false">IF(AK$5&lt;$D50,0,IF(AJ50=0,$B50,AJ50*(1+$C50)))</f>
        <v>0.315030599755636</v>
      </c>
      <c r="AL50" s="76" t="n">
        <f aca="false">IF(AL$5&lt;$D50,0,IF(AK50=0,$B50,AK50*(1+$C50)))</f>
        <v>0.313455446756857</v>
      </c>
      <c r="AM50" s="76" t="n">
        <f aca="false">IF(AM$5&lt;$D50,0,IF(AL50=0,$B50,AL50*(1+$C50)))</f>
        <v>0.311888169523073</v>
      </c>
      <c r="AN50" s="76" t="n">
        <f aca="false">IF(AN$5&lt;$D50,0,IF(AM50=0,$B50,AM50*(1+$C50)))</f>
        <v>0.310328728675458</v>
      </c>
      <c r="AO50" s="76" t="n">
        <f aca="false">IF(AO$5&lt;$D50,0,IF(AN50=0,$B50,AN50*(1+$C50)))</f>
        <v>0.30877708503208</v>
      </c>
      <c r="AP50" s="76" t="n">
        <f aca="false">IF(AP$5&lt;$D50,0,IF(AO50=0,$B50,AO50*(1+$C50)))</f>
        <v>0.30723319960692</v>
      </c>
      <c r="AQ50" s="76" t="n">
        <f aca="false">IF(AQ$5&lt;$D50,0,IF(AP50=0,$B50,AP50*(1+$C50)))</f>
        <v>0.305697033608885</v>
      </c>
      <c r="AR50" s="76" t="n">
        <f aca="false">IF(AR$5&lt;$D50,0,IF(AQ50=0,$B50,AQ50*(1+$C50)))</f>
        <v>0.304168548440841</v>
      </c>
      <c r="AS50" s="76" t="n">
        <f aca="false">IF(AS$5&lt;$D50,0,IF(AR50=0,$B50,AR50*(1+$C50)))</f>
        <v>0.302647705698637</v>
      </c>
      <c r="AT50" s="76" t="n">
        <f aca="false">IF(AT$5&lt;$D50,0,IF(AS50=0,$B50,AS50*(1+$C50)))</f>
        <v>0.301134467170144</v>
      </c>
      <c r="AU50" s="76" t="n">
        <f aca="false">IF(AU$5&lt;$D50,0,IF(AT50=0,$B50,AT50*(1+$C50)))</f>
        <v>0.299628794834293</v>
      </c>
      <c r="AV50" s="76" t="n">
        <f aca="false">IF(AV$5&lt;$D50,0,IF(AU50=0,$B50,AU50*(1+$C50)))</f>
        <v>0.298130650860121</v>
      </c>
      <c r="AW50" s="76" t="n">
        <f aca="false">IF(AW$5&lt;$D50,0,IF(AV50=0,$B50,AV50*(1+$C50)))</f>
        <v>0.296639997605821</v>
      </c>
      <c r="AX50" s="76" t="n">
        <f aca="false">IF(AX$5&lt;$D50,0,IF(AW50=0,$B50,AW50*(1+$C50)))</f>
        <v>0.295156797617792</v>
      </c>
      <c r="AY50" s="76" t="n">
        <f aca="false">IF(AY$5&lt;$D50,0,IF(AX50=0,$B50,AX50*(1+$C50)))</f>
        <v>0.293681013629703</v>
      </c>
      <c r="AZ50" s="76" t="n">
        <f aca="false">IF(AZ$5&lt;$D50,0,IF(AY50=0,$B50,AY50*(1+$C50)))</f>
        <v>0.292212608561554</v>
      </c>
      <c r="BA50" s="76" t="n">
        <f aca="false">IF(BA$5&lt;$D50,0,IF(AZ50=0,$B50,AZ50*(1+$C50)))</f>
        <v>0.290751545518747</v>
      </c>
      <c r="BB50" s="76" t="n">
        <f aca="false">IF(BB$5&lt;$D50,0,IF(BA50=0,$B50,BA50*(1+$C50)))</f>
        <v>0.289297787791153</v>
      </c>
      <c r="BC50" s="76" t="n">
        <f aca="false">IF(BC$5&lt;$D50,0,IF(BB50=0,$B50,BB50*(1+$C50)))</f>
        <v>0.287851298852197</v>
      </c>
      <c r="BD50" s="76" t="n">
        <f aca="false">IF(BD$5&lt;$D50,0,IF(BC50=0,$B50,BC50*(1+$C50)))</f>
        <v>0.286412042357936</v>
      </c>
      <c r="BE50" s="76" t="n">
        <f aca="false">IF(BE$5&lt;$D50,0,IF(BD50=0,$B50,BD50*(1+$C50)))</f>
        <v>0.284979982146146</v>
      </c>
      <c r="BF50" s="76" t="n">
        <f aca="false">IF(BF$5&lt;$D50,0,IF(BE50=0,$B50,BE50*(1+$C50)))</f>
        <v>0.283555082235416</v>
      </c>
      <c r="BG50" s="76" t="n">
        <f aca="false">IF(BG$5&lt;$D50,0,IF(BF50=0,$B50,BF50*(1+$C50)))</f>
        <v>0.282137306824239</v>
      </c>
      <c r="BH50" s="76" t="n">
        <f aca="false">IF(BH$5&lt;$D50,0,IF(BG50=0,$B50,BG50*(1+$C50)))</f>
        <v>0.280726620290117</v>
      </c>
      <c r="BI50" s="76" t="n">
        <f aca="false">IF(BI$5&lt;$D50,0,IF(BH50=0,$B50,BH50*(1+$C50)))</f>
        <v>0.279322987188667</v>
      </c>
      <c r="BJ50" s="76" t="n">
        <f aca="false">IF(BJ$5&lt;$D50,0,IF(BI50=0,$B50,BI50*(1+$C50)))</f>
        <v>0.277926372252724</v>
      </c>
      <c r="BK50" s="76" t="n">
        <f aca="false">IF(BK$5&lt;$D50,0,IF(BJ50=0,$B50,BJ50*(1+$C50)))</f>
        <v>0.27653674039146</v>
      </c>
      <c r="BL50" s="76" t="n">
        <f aca="false">IF(BL$5&lt;$D50,0,IF(BK50=0,$B50,BK50*(1+$C50)))</f>
        <v>0.275154056689503</v>
      </c>
      <c r="BM50" s="77" t="n">
        <f aca="false">BL50</f>
        <v>0.275154056689503</v>
      </c>
      <c r="BN50" s="35" t="s">
        <v>181</v>
      </c>
    </row>
    <row r="51" customFormat="false" ht="15" hidden="false" customHeight="false" outlineLevel="0" collapsed="false">
      <c r="A51" s="37" t="s">
        <v>182</v>
      </c>
      <c r="E51" s="94" t="n">
        <f aca="false">-E25*E50</f>
        <v>-0</v>
      </c>
      <c r="F51" s="94" t="n">
        <f aca="false">-F25*F50</f>
        <v>-0</v>
      </c>
      <c r="G51" s="94" t="n">
        <f aca="false">-G25*G50</f>
        <v>-0</v>
      </c>
      <c r="H51" s="94" t="n">
        <f aca="false">-H25*H50</f>
        <v>-0</v>
      </c>
      <c r="I51" s="94" t="n">
        <f aca="false">-I25*I50</f>
        <v>-0</v>
      </c>
      <c r="J51" s="94" t="n">
        <f aca="false">-J25*J50</f>
        <v>-0</v>
      </c>
      <c r="K51" s="94" t="n">
        <f aca="false">-K25*K50</f>
        <v>-0</v>
      </c>
      <c r="L51" s="94" t="n">
        <f aca="false">-L25*L50</f>
        <v>-0</v>
      </c>
      <c r="M51" s="94" t="n">
        <f aca="false">-M25*M50</f>
        <v>-0</v>
      </c>
      <c r="N51" s="94" t="n">
        <f aca="false">-N25*N50</f>
        <v>-0</v>
      </c>
      <c r="O51" s="94" t="n">
        <f aca="false">-O25*O50</f>
        <v>-0</v>
      </c>
      <c r="P51" s="94" t="n">
        <f aca="false">-P25*P50</f>
        <v>-31.85</v>
      </c>
      <c r="Q51" s="94" t="n">
        <f aca="false">-Q25*Q50</f>
        <v>-64.078</v>
      </c>
      <c r="R51" s="94" t="n">
        <f aca="false">-R25*R50</f>
        <v>-97.36895875</v>
      </c>
      <c r="S51" s="94" t="n">
        <f aca="false">-S25*S50</f>
        <v>-131.7045107875</v>
      </c>
      <c r="T51" s="94" t="n">
        <f aca="false">-T25*T50</f>
        <v>-167.066482381531</v>
      </c>
      <c r="U51" s="94" t="n">
        <f aca="false">-U25*U50</f>
        <v>-203.778226964816</v>
      </c>
      <c r="V51" s="94" t="n">
        <f aca="false">-V25*V50</f>
        <v>-241.816829331581</v>
      </c>
      <c r="W51" s="94" t="n">
        <f aca="false">-W25*W50</f>
        <v>-281.835476803688</v>
      </c>
      <c r="X51" s="94" t="n">
        <f aca="false">-X25*X50</f>
        <v>-323.801590337101</v>
      </c>
      <c r="Y51" s="94" t="n">
        <f aca="false">-Y25*Y50</f>
        <v>-367.682926315235</v>
      </c>
      <c r="Z51" s="94" t="n">
        <f aca="false">-Z25*Z50</f>
        <v>-413.780462259134</v>
      </c>
      <c r="AA51" s="94" t="n">
        <f aca="false">-AA25*AA50</f>
        <v>-462.388847696848</v>
      </c>
      <c r="AB51" s="94" t="n">
        <f aca="false">-AB25*AB50</f>
        <v>-513.796484592829</v>
      </c>
      <c r="AC51" s="94" t="n">
        <f aca="false">-AC25*AC50</f>
        <v>-567.957686823737</v>
      </c>
      <c r="AD51" s="94" t="n">
        <f aca="false">-AD25*AD50</f>
        <v>-625.806079163561</v>
      </c>
      <c r="AE51" s="94" t="n">
        <f aca="false">-AE25*AE50</f>
        <v>-686.957578306854</v>
      </c>
      <c r="AF51" s="94" t="n">
        <f aca="false">-AF25*AF50</f>
        <v>-751.681253920817</v>
      </c>
      <c r="AG51" s="94" t="n">
        <f aca="false">-AG25*AG50</f>
        <v>-820.883091061967</v>
      </c>
      <c r="AH51" s="94" t="n">
        <f aca="false">-AH25*AH50</f>
        <v>-894.171173451924</v>
      </c>
      <c r="AI51" s="94" t="n">
        <f aca="false">-AI25*AI50</f>
        <v>-972.751742080228</v>
      </c>
      <c r="AJ51" s="94" t="n">
        <f aca="false">-AJ25*AJ50</f>
        <v>-1056.22319676864</v>
      </c>
      <c r="AK51" s="94" t="n">
        <f aca="false">-AK25*AK50</f>
        <v>-1145.45126071149</v>
      </c>
      <c r="AL51" s="94" t="n">
        <f aca="false">-AL25*AL50</f>
        <v>-1240.65665826364</v>
      </c>
      <c r="AM51" s="94" t="n">
        <f aca="false">-AM25*AM50</f>
        <v>-1342.36668162731</v>
      </c>
      <c r="AN51" s="94" t="n">
        <f aca="false">-AN25*AN50</f>
        <v>-1451.09713528644</v>
      </c>
      <c r="AO51" s="94" t="n">
        <f aca="false">-AO25*AO50</f>
        <v>-1567.35248362284</v>
      </c>
      <c r="AP51" s="94" t="n">
        <f aca="false">-AP25*AP50</f>
        <v>-1691.93323023531</v>
      </c>
      <c r="AQ51" s="94" t="n">
        <f aca="false">-AQ25*AQ50</f>
        <v>-1825.31698767866</v>
      </c>
      <c r="AR51" s="94" t="n">
        <f aca="false">-AR25*AR50</f>
        <v>-1967.97050841224</v>
      </c>
      <c r="AS51" s="94" t="n">
        <f aca="false">-AS25*AS50</f>
        <v>-2120.95512153605</v>
      </c>
      <c r="AT51" s="94" t="n">
        <f aca="false">-AT25*AT50</f>
        <v>-2284.70720241988</v>
      </c>
      <c r="AU51" s="94" t="n">
        <f aca="false">-AU25*AU50</f>
        <v>-2459.95240558955</v>
      </c>
      <c r="AV51" s="94" t="n">
        <f aca="false">-AV25*AV50</f>
        <v>-2647.9964409396</v>
      </c>
      <c r="AW51" s="94" t="n">
        <f aca="false">-AW25*AW50</f>
        <v>-2849.82045699912</v>
      </c>
      <c r="AX51" s="94" t="n">
        <f aca="false">-AX25*AX50</f>
        <v>-3065.793656856</v>
      </c>
      <c r="AY51" s="94" t="n">
        <f aca="false">-AY25*AY50</f>
        <v>-3297.4504210343</v>
      </c>
      <c r="AZ51" s="94" t="n">
        <f aca="false">-AZ25*AZ50</f>
        <v>-3546.00000489446</v>
      </c>
      <c r="BA51" s="94" t="n">
        <f aca="false">-BA25*BA50</f>
        <v>-3812.62501638732</v>
      </c>
      <c r="BB51" s="94" t="n">
        <f aca="false">-BB25*BB50</f>
        <v>-4098.48175963726</v>
      </c>
      <c r="BC51" s="94" t="n">
        <f aca="false">-BC25*BC50</f>
        <v>-4404.98842633517</v>
      </c>
      <c r="BD51" s="94" t="n">
        <f aca="false">-BD25*BD50</f>
        <v>-4733.81823609197</v>
      </c>
      <c r="BE51" s="94" t="n">
        <f aca="false">-BE25*BE50</f>
        <v>-5086.60770132657</v>
      </c>
      <c r="BF51" s="94" t="n">
        <f aca="false">-BF25*BF50</f>
        <v>-5465.2406550054</v>
      </c>
      <c r="BG51" s="94" t="n">
        <f aca="false">-BG25*BG50</f>
        <v>-5871.27735501241</v>
      </c>
      <c r="BH51" s="94" t="n">
        <f aca="false">-BH25*BH50</f>
        <v>-6307.08497805807</v>
      </c>
      <c r="BI51" s="94" t="n">
        <f aca="false">-BI25*BI50</f>
        <v>-6774.69973127393</v>
      </c>
      <c r="BJ51" s="94" t="n">
        <f aca="false">-BJ25*BJ50</f>
        <v>-7276.39035194855</v>
      </c>
      <c r="BK51" s="94" t="n">
        <f aca="false">-BK25*BK50</f>
        <v>-7814.92828346266</v>
      </c>
      <c r="BL51" s="94" t="n">
        <f aca="false">-BL25*BL50</f>
        <v>-8392.47388308652</v>
      </c>
      <c r="BM51" s="82" t="n">
        <f aca="false">SUM(E51:BL51)</f>
        <v>-114220.817631531</v>
      </c>
    </row>
    <row r="52" customFormat="false" ht="15" hidden="false" customHeight="false" outlineLevel="0" collapsed="false">
      <c r="A52" s="83" t="s">
        <v>183</v>
      </c>
      <c r="E52" s="84" t="n">
        <f aca="false">-Equipe!E42</f>
        <v>-0</v>
      </c>
      <c r="F52" s="84" t="n">
        <f aca="false">-Equipe!F42</f>
        <v>-0</v>
      </c>
      <c r="G52" s="84" t="n">
        <f aca="false">-Equipe!G42</f>
        <v>-0</v>
      </c>
      <c r="H52" s="84" t="n">
        <f aca="false">-Equipe!H42</f>
        <v>-0</v>
      </c>
      <c r="I52" s="84" t="n">
        <f aca="false">-Equipe!I42</f>
        <v>-0</v>
      </c>
      <c r="J52" s="84" t="n">
        <f aca="false">-Equipe!J42</f>
        <v>-0</v>
      </c>
      <c r="K52" s="84" t="n">
        <f aca="false">-Equipe!K42</f>
        <v>-0</v>
      </c>
      <c r="L52" s="84" t="n">
        <f aca="false">-Equipe!L42</f>
        <v>-0</v>
      </c>
      <c r="M52" s="84" t="n">
        <f aca="false">-Equipe!M42</f>
        <v>-0</v>
      </c>
      <c r="N52" s="84" t="n">
        <f aca="false">-Equipe!N42</f>
        <v>-0</v>
      </c>
      <c r="O52" s="84" t="n">
        <f aca="false">-Equipe!O42</f>
        <v>-0</v>
      </c>
      <c r="P52" s="84" t="n">
        <f aca="false">-Equipe!P42</f>
        <v>-0</v>
      </c>
      <c r="Q52" s="84" t="n">
        <f aca="false">-Equipe!Q42</f>
        <v>-42500</v>
      </c>
      <c r="R52" s="84" t="n">
        <f aca="false">-Equipe!R42</f>
        <v>-42500</v>
      </c>
      <c r="S52" s="84" t="n">
        <f aca="false">-Equipe!S42</f>
        <v>-42500</v>
      </c>
      <c r="T52" s="84" t="n">
        <f aca="false">-Equipe!T42</f>
        <v>-42500</v>
      </c>
      <c r="U52" s="84" t="n">
        <f aca="false">-Equipe!U42</f>
        <v>-42500</v>
      </c>
      <c r="V52" s="84" t="n">
        <f aca="false">-Equipe!V42</f>
        <v>-42500</v>
      </c>
      <c r="W52" s="84" t="n">
        <f aca="false">-Equipe!W42</f>
        <v>-42500</v>
      </c>
      <c r="X52" s="84" t="n">
        <f aca="false">-Equipe!X42</f>
        <v>-42500</v>
      </c>
      <c r="Y52" s="84" t="n">
        <f aca="false">-Equipe!Y42</f>
        <v>-42500</v>
      </c>
      <c r="Z52" s="84" t="n">
        <f aca="false">-Equipe!Z42</f>
        <v>-42500</v>
      </c>
      <c r="AA52" s="84" t="n">
        <f aca="false">-Equipe!AA42</f>
        <v>-42500</v>
      </c>
      <c r="AB52" s="84" t="n">
        <f aca="false">-Equipe!AB42</f>
        <v>-42500</v>
      </c>
      <c r="AC52" s="84" t="n">
        <f aca="false">-Equipe!AC42</f>
        <v>-117500</v>
      </c>
      <c r="AD52" s="84" t="n">
        <f aca="false">-Equipe!AD42</f>
        <v>-117500</v>
      </c>
      <c r="AE52" s="84" t="n">
        <f aca="false">-Equipe!AE42</f>
        <v>-117500</v>
      </c>
      <c r="AF52" s="84" t="n">
        <f aca="false">-Equipe!AF42</f>
        <v>-117500</v>
      </c>
      <c r="AG52" s="84" t="n">
        <f aca="false">-Equipe!AG42</f>
        <v>-117500</v>
      </c>
      <c r="AH52" s="84" t="n">
        <f aca="false">-Equipe!AH42</f>
        <v>-117500</v>
      </c>
      <c r="AI52" s="84" t="n">
        <f aca="false">-Equipe!AI42</f>
        <v>-117500</v>
      </c>
      <c r="AJ52" s="84" t="n">
        <f aca="false">-Equipe!AJ42</f>
        <v>-117500</v>
      </c>
      <c r="AK52" s="84" t="n">
        <f aca="false">-Equipe!AK42</f>
        <v>-117500</v>
      </c>
      <c r="AL52" s="84" t="n">
        <f aca="false">-Equipe!AL42</f>
        <v>-117500</v>
      </c>
      <c r="AM52" s="84" t="n">
        <f aca="false">-Equipe!AM42</f>
        <v>-117500</v>
      </c>
      <c r="AN52" s="84" t="n">
        <f aca="false">-Equipe!AN42</f>
        <v>-117500</v>
      </c>
      <c r="AO52" s="84" t="n">
        <f aca="false">-Equipe!AO42</f>
        <v>-253300</v>
      </c>
      <c r="AP52" s="84" t="n">
        <f aca="false">-Equipe!AP42</f>
        <v>-253300</v>
      </c>
      <c r="AQ52" s="84" t="n">
        <f aca="false">-Equipe!AQ42</f>
        <v>-253300</v>
      </c>
      <c r="AR52" s="84" t="n">
        <f aca="false">-Equipe!AR42</f>
        <v>-253300</v>
      </c>
      <c r="AS52" s="84" t="n">
        <f aca="false">-Equipe!AS42</f>
        <v>-253300</v>
      </c>
      <c r="AT52" s="84" t="n">
        <f aca="false">-Equipe!AT42</f>
        <v>-253300</v>
      </c>
      <c r="AU52" s="84" t="n">
        <f aca="false">-Equipe!AU42</f>
        <v>-253300</v>
      </c>
      <c r="AV52" s="84" t="n">
        <f aca="false">-Equipe!AV42</f>
        <v>-253300</v>
      </c>
      <c r="AW52" s="84" t="n">
        <f aca="false">-Equipe!AW42</f>
        <v>-253300</v>
      </c>
      <c r="AX52" s="84" t="n">
        <f aca="false">-Equipe!AX42</f>
        <v>-253300</v>
      </c>
      <c r="AY52" s="84" t="n">
        <f aca="false">-Equipe!AY42</f>
        <v>-253300</v>
      </c>
      <c r="AZ52" s="84" t="n">
        <f aca="false">-Equipe!AZ42</f>
        <v>-253300</v>
      </c>
      <c r="BA52" s="84" t="n">
        <f aca="false">-Equipe!BA42</f>
        <v>-374300</v>
      </c>
      <c r="BB52" s="84" t="n">
        <f aca="false">-Equipe!BB42</f>
        <v>-374300</v>
      </c>
      <c r="BC52" s="84" t="n">
        <f aca="false">-Equipe!BC42</f>
        <v>-374300</v>
      </c>
      <c r="BD52" s="84" t="n">
        <f aca="false">-Equipe!BD42</f>
        <v>-374300</v>
      </c>
      <c r="BE52" s="84" t="n">
        <f aca="false">-Equipe!BE42</f>
        <v>-374300</v>
      </c>
      <c r="BF52" s="84" t="n">
        <f aca="false">-Equipe!BF42</f>
        <v>-374300</v>
      </c>
      <c r="BG52" s="84" t="n">
        <f aca="false">-Equipe!BG42</f>
        <v>-374300</v>
      </c>
      <c r="BH52" s="84" t="n">
        <f aca="false">-Equipe!BH42</f>
        <v>-374300</v>
      </c>
      <c r="BI52" s="84" t="n">
        <f aca="false">-Equipe!BI42</f>
        <v>-374300</v>
      </c>
      <c r="BJ52" s="84" t="n">
        <f aca="false">-Equipe!BJ42</f>
        <v>-374300</v>
      </c>
      <c r="BK52" s="84" t="n">
        <f aca="false">-Equipe!BK42</f>
        <v>-374300</v>
      </c>
      <c r="BL52" s="84" t="n">
        <f aca="false">-Equipe!BL42</f>
        <v>-374300</v>
      </c>
      <c r="BM52" s="82" t="n">
        <f aca="false">SUM(E52:BL52)</f>
        <v>-9451200</v>
      </c>
      <c r="BN52" s="35" t="s">
        <v>184</v>
      </c>
    </row>
    <row r="53" customFormat="false" ht="19.4" hidden="false" customHeight="false" outlineLevel="0" collapsed="false">
      <c r="A53" s="37" t="s">
        <v>185</v>
      </c>
      <c r="B53" s="75" t="n">
        <v>2.5</v>
      </c>
      <c r="C53" s="69" t="n">
        <v>0.009</v>
      </c>
      <c r="D53" s="70" t="n">
        <v>12</v>
      </c>
      <c r="E53" s="76" t="n">
        <f aca="false">IF(E$5&lt;$D53,0,$B53)</f>
        <v>0</v>
      </c>
      <c r="F53" s="76" t="n">
        <f aca="false">IF(F$5&lt;$D53,0,IF(E53=0,$B53,E53*(1+$C53)))</f>
        <v>0</v>
      </c>
      <c r="G53" s="76" t="n">
        <f aca="false">IF(G$5&lt;$D53,0,IF(F53=0,$B53,F53*(1+$C53)))</f>
        <v>0</v>
      </c>
      <c r="H53" s="76" t="n">
        <f aca="false">IF(H$5&lt;$D53,0,IF(G53=0,$B53,G53*(1+$C53)))</f>
        <v>0</v>
      </c>
      <c r="I53" s="76" t="n">
        <f aca="false">IF(I$5&lt;$D53,0,IF(H53=0,$B53,H53*(1+$C53)))</f>
        <v>0</v>
      </c>
      <c r="J53" s="76" t="n">
        <f aca="false">IF(J$5&lt;$D53,0,IF(I53=0,$B53,I53*(1+$C53)))</f>
        <v>0</v>
      </c>
      <c r="K53" s="76" t="n">
        <f aca="false">IF(K$5&lt;$D53,0,IF(J53=0,$B53,J53*(1+$C53)))</f>
        <v>0</v>
      </c>
      <c r="L53" s="76" t="n">
        <f aca="false">IF(L$5&lt;$D53,0,IF(K53=0,$B53,K53*(1+$C53)))</f>
        <v>0</v>
      </c>
      <c r="M53" s="76" t="n">
        <f aca="false">IF(M$5&lt;$D53,0,IF(L53=0,$B53,L53*(1+$C53)))</f>
        <v>0</v>
      </c>
      <c r="N53" s="76" t="n">
        <f aca="false">IF(N$5&lt;$D53,0,IF(M53=0,$B53,M53*(1+$C53)))</f>
        <v>0</v>
      </c>
      <c r="O53" s="76" t="n">
        <f aca="false">IF(O$5&lt;$D53,0,IF(N53=0,$B53,N53*(1+$C53)))</f>
        <v>0</v>
      </c>
      <c r="P53" s="76" t="n">
        <f aca="false">IF(P$5&lt;$D53,0,IF(O53=0,$B53,O53*(1+$C53)))</f>
        <v>2.5</v>
      </c>
      <c r="Q53" s="76" t="n">
        <f aca="false">IF(Q$5&lt;$D53,0,IF(P53=0,$B53,P53*(1+$C53)))</f>
        <v>2.5225</v>
      </c>
      <c r="R53" s="76" t="n">
        <f aca="false">IF(R$5&lt;$D53,0,IF(Q53=0,$B53,Q53*(1+$C53)))</f>
        <v>2.5452025</v>
      </c>
      <c r="S53" s="76" t="n">
        <f aca="false">IF(S$5&lt;$D53,0,IF(R53=0,$B53,R53*(1+$C53)))</f>
        <v>2.5681093225</v>
      </c>
      <c r="T53" s="76" t="n">
        <f aca="false">IF(T$5&lt;$D53,0,IF(S53=0,$B53,S53*(1+$C53)))</f>
        <v>2.5912223064025</v>
      </c>
      <c r="U53" s="76" t="n">
        <f aca="false">IF(U$5&lt;$D53,0,IF(T53=0,$B53,T53*(1+$C53)))</f>
        <v>2.61454330716012</v>
      </c>
      <c r="V53" s="76" t="n">
        <f aca="false">IF(V$5&lt;$D53,0,IF(U53=0,$B53,U53*(1+$C53)))</f>
        <v>2.63807419692456</v>
      </c>
      <c r="W53" s="76" t="n">
        <f aca="false">IF(W$5&lt;$D53,0,IF(V53=0,$B53,V53*(1+$C53)))</f>
        <v>2.66181686469688</v>
      </c>
      <c r="X53" s="76" t="n">
        <f aca="false">IF(X$5&lt;$D53,0,IF(W53=0,$B53,W53*(1+$C53)))</f>
        <v>2.68577321647916</v>
      </c>
      <c r="Y53" s="76" t="n">
        <f aca="false">IF(Y$5&lt;$D53,0,IF(X53=0,$B53,X53*(1+$C53)))</f>
        <v>2.70994517542747</v>
      </c>
      <c r="Z53" s="76" t="n">
        <f aca="false">IF(Z$5&lt;$D53,0,IF(Y53=0,$B53,Y53*(1+$C53)))</f>
        <v>2.73433468200631</v>
      </c>
      <c r="AA53" s="76" t="n">
        <f aca="false">IF(AA$5&lt;$D53,0,IF(Z53=0,$B53,Z53*(1+$C53)))</f>
        <v>2.75894369414437</v>
      </c>
      <c r="AB53" s="76" t="n">
        <f aca="false">IF(AB$5&lt;$D53,0,IF(AA53=0,$B53,AA53*(1+$C53)))</f>
        <v>2.78377418739167</v>
      </c>
      <c r="AC53" s="76" t="n">
        <f aca="false">IF(AC$5&lt;$D53,0,IF(AB53=0,$B53,AB53*(1+$C53)))</f>
        <v>2.8088281550782</v>
      </c>
      <c r="AD53" s="76" t="n">
        <f aca="false">IF(AD$5&lt;$D53,0,IF(AC53=0,$B53,AC53*(1+$C53)))</f>
        <v>2.8341076084739</v>
      </c>
      <c r="AE53" s="76" t="n">
        <f aca="false">IF(AE$5&lt;$D53,0,IF(AD53=0,$B53,AD53*(1+$C53)))</f>
        <v>2.85961457695016</v>
      </c>
      <c r="AF53" s="76" t="n">
        <f aca="false">IF(AF$5&lt;$D53,0,IF(AE53=0,$B53,AE53*(1+$C53)))</f>
        <v>2.88535110814271</v>
      </c>
      <c r="AG53" s="76" t="n">
        <f aca="false">IF(AG$5&lt;$D53,0,IF(AF53=0,$B53,AF53*(1+$C53)))</f>
        <v>2.911319268116</v>
      </c>
      <c r="AH53" s="76" t="n">
        <f aca="false">IF(AH$5&lt;$D53,0,IF(AG53=0,$B53,AG53*(1+$C53)))</f>
        <v>2.93752114152904</v>
      </c>
      <c r="AI53" s="76" t="n">
        <f aca="false">IF(AI$5&lt;$D53,0,IF(AH53=0,$B53,AH53*(1+$C53)))</f>
        <v>2.9639588318028</v>
      </c>
      <c r="AJ53" s="76" t="n">
        <f aca="false">IF(AJ$5&lt;$D53,0,IF(AI53=0,$B53,AI53*(1+$C53)))</f>
        <v>2.99063446128903</v>
      </c>
      <c r="AK53" s="76" t="n">
        <f aca="false">IF(AK$5&lt;$D53,0,IF(AJ53=0,$B53,AJ53*(1+$C53)))</f>
        <v>3.01755017144063</v>
      </c>
      <c r="AL53" s="76" t="n">
        <f aca="false">IF(AL$5&lt;$D53,0,IF(AK53=0,$B53,AK53*(1+$C53)))</f>
        <v>3.04470812298359</v>
      </c>
      <c r="AM53" s="76" t="n">
        <f aca="false">IF(AM$5&lt;$D53,0,IF(AL53=0,$B53,AL53*(1+$C53)))</f>
        <v>3.07211049609045</v>
      </c>
      <c r="AN53" s="76" t="n">
        <f aca="false">IF(AN$5&lt;$D53,0,IF(AM53=0,$B53,AM53*(1+$C53)))</f>
        <v>3.09975949055526</v>
      </c>
      <c r="AO53" s="76" t="n">
        <f aca="false">IF(AO$5&lt;$D53,0,IF(AN53=0,$B53,AN53*(1+$C53)))</f>
        <v>3.12765732597026</v>
      </c>
      <c r="AP53" s="76" t="n">
        <f aca="false">IF(AP$5&lt;$D53,0,IF(AO53=0,$B53,AO53*(1+$C53)))</f>
        <v>3.15580624190399</v>
      </c>
      <c r="AQ53" s="76" t="n">
        <f aca="false">IF(AQ$5&lt;$D53,0,IF(AP53=0,$B53,AP53*(1+$C53)))</f>
        <v>3.18420849808112</v>
      </c>
      <c r="AR53" s="76" t="n">
        <f aca="false">IF(AR$5&lt;$D53,0,IF(AQ53=0,$B53,AQ53*(1+$C53)))</f>
        <v>3.21286637456385</v>
      </c>
      <c r="AS53" s="76" t="n">
        <f aca="false">IF(AS$5&lt;$D53,0,IF(AR53=0,$B53,AR53*(1+$C53)))</f>
        <v>3.24178217193493</v>
      </c>
      <c r="AT53" s="76" t="n">
        <f aca="false">IF(AT$5&lt;$D53,0,IF(AS53=0,$B53,AS53*(1+$C53)))</f>
        <v>3.27095821148234</v>
      </c>
      <c r="AU53" s="76" t="n">
        <f aca="false">IF(AU$5&lt;$D53,0,IF(AT53=0,$B53,AT53*(1+$C53)))</f>
        <v>3.30039683538568</v>
      </c>
      <c r="AV53" s="76" t="n">
        <f aca="false">IF(AV$5&lt;$D53,0,IF(AU53=0,$B53,AU53*(1+$C53)))</f>
        <v>3.33010040690415</v>
      </c>
      <c r="AW53" s="76" t="n">
        <f aca="false">IF(AW$5&lt;$D53,0,IF(AV53=0,$B53,AV53*(1+$C53)))</f>
        <v>3.36007131056629</v>
      </c>
      <c r="AX53" s="76" t="n">
        <f aca="false">IF(AX$5&lt;$D53,0,IF(AW53=0,$B53,AW53*(1+$C53)))</f>
        <v>3.39031195236139</v>
      </c>
      <c r="AY53" s="76" t="n">
        <f aca="false">IF(AY$5&lt;$D53,0,IF(AX53=0,$B53,AX53*(1+$C53)))</f>
        <v>3.42082475993264</v>
      </c>
      <c r="AZ53" s="76" t="n">
        <f aca="false">IF(AZ$5&lt;$D53,0,IF(AY53=0,$B53,AY53*(1+$C53)))</f>
        <v>3.45161218277203</v>
      </c>
      <c r="BA53" s="76" t="n">
        <f aca="false">IF(BA$5&lt;$D53,0,IF(AZ53=0,$B53,AZ53*(1+$C53)))</f>
        <v>3.48267669241698</v>
      </c>
      <c r="BB53" s="76" t="n">
        <f aca="false">IF(BB$5&lt;$D53,0,IF(BA53=0,$B53,BA53*(1+$C53)))</f>
        <v>3.51402078264873</v>
      </c>
      <c r="BC53" s="76" t="n">
        <f aca="false">IF(BC$5&lt;$D53,0,IF(BB53=0,$B53,BB53*(1+$C53)))</f>
        <v>3.54564696969257</v>
      </c>
      <c r="BD53" s="76" t="n">
        <f aca="false">IF(BD$5&lt;$D53,0,IF(BC53=0,$B53,BC53*(1+$C53)))</f>
        <v>3.5775577924198</v>
      </c>
      <c r="BE53" s="76" t="n">
        <f aca="false">IF(BE$5&lt;$D53,0,IF(BD53=0,$B53,BD53*(1+$C53)))</f>
        <v>3.60975581255158</v>
      </c>
      <c r="BF53" s="76" t="n">
        <f aca="false">IF(BF$5&lt;$D53,0,IF(BE53=0,$B53,BE53*(1+$C53)))</f>
        <v>3.64224361486455</v>
      </c>
      <c r="BG53" s="76" t="n">
        <f aca="false">IF(BG$5&lt;$D53,0,IF(BF53=0,$B53,BF53*(1+$C53)))</f>
        <v>3.67502380739833</v>
      </c>
      <c r="BH53" s="76" t="n">
        <f aca="false">IF(BH$5&lt;$D53,0,IF(BG53=0,$B53,BG53*(1+$C53)))</f>
        <v>3.70809902166491</v>
      </c>
      <c r="BI53" s="76" t="n">
        <f aca="false">IF(BI$5&lt;$D53,0,IF(BH53=0,$B53,BH53*(1+$C53)))</f>
        <v>3.7414719128599</v>
      </c>
      <c r="BJ53" s="76" t="n">
        <f aca="false">IF(BJ$5&lt;$D53,0,IF(BI53=0,$B53,BI53*(1+$C53)))</f>
        <v>3.77514516007563</v>
      </c>
      <c r="BK53" s="76" t="n">
        <f aca="false">IF(BK$5&lt;$D53,0,IF(BJ53=0,$B53,BJ53*(1+$C53)))</f>
        <v>3.80912146651631</v>
      </c>
      <c r="BL53" s="76" t="n">
        <f aca="false">IF(BL$5&lt;$D53,0,IF(BK53=0,$B53,BK53*(1+$C53)))</f>
        <v>3.84340355971496</v>
      </c>
      <c r="BM53" s="77" t="n">
        <f aca="false">BL53</f>
        <v>3.84340355971496</v>
      </c>
      <c r="BN53" s="35" t="s">
        <v>186</v>
      </c>
    </row>
    <row r="54" customFormat="false" ht="15" hidden="false" customHeight="false" outlineLevel="0" collapsed="false">
      <c r="A54" s="37" t="s">
        <v>187</v>
      </c>
      <c r="E54" s="94" t="n">
        <f aca="false">-E22*E53</f>
        <v>-0</v>
      </c>
      <c r="F54" s="94" t="n">
        <f aca="false">-F22*F53</f>
        <v>-0</v>
      </c>
      <c r="G54" s="94" t="n">
        <f aca="false">-G22*G53</f>
        <v>-0</v>
      </c>
      <c r="H54" s="94" t="n">
        <f aca="false">-H22*H53</f>
        <v>-0</v>
      </c>
      <c r="I54" s="94" t="n">
        <f aca="false">-I22*I53</f>
        <v>-0</v>
      </c>
      <c r="J54" s="94" t="n">
        <f aca="false">-J22*J53</f>
        <v>-0</v>
      </c>
      <c r="K54" s="94" t="n">
        <f aca="false">-K22*K53</f>
        <v>-0</v>
      </c>
      <c r="L54" s="94" t="n">
        <f aca="false">-L22*L53</f>
        <v>-0</v>
      </c>
      <c r="M54" s="94" t="n">
        <f aca="false">-M22*M53</f>
        <v>-0</v>
      </c>
      <c r="N54" s="94" t="n">
        <f aca="false">-N22*N53</f>
        <v>-0</v>
      </c>
      <c r="O54" s="94" t="n">
        <f aca="false">-O22*O53</f>
        <v>-0</v>
      </c>
      <c r="P54" s="94" t="n">
        <f aca="false">-P22*P53</f>
        <v>-45250</v>
      </c>
      <c r="Q54" s="94" t="n">
        <f aca="false">-Q22*Q53</f>
        <v>-47208.5875</v>
      </c>
      <c r="R54" s="94" t="n">
        <f aca="false">-R22*R53</f>
        <v>-49254.75878</v>
      </c>
      <c r="S54" s="94" t="n">
        <f aca="false">-S22*S53</f>
        <v>-51387.867543225</v>
      </c>
      <c r="T54" s="94" t="n">
        <f aca="false">-T22*T53</f>
        <v>-53612.3895194677</v>
      </c>
      <c r="U54" s="94" t="n">
        <f aca="false">-U22*U53</f>
        <v>-55932.9249700765</v>
      </c>
      <c r="V54" s="94" t="n">
        <f aca="false">-V22*V53</f>
        <v>-58356.8393101682</v>
      </c>
      <c r="W54" s="94" t="n">
        <f aca="false">-W22*W53</f>
        <v>-60883.7371462118</v>
      </c>
      <c r="X54" s="94" t="n">
        <f aca="false">-X22*X53</f>
        <v>-63521.2223429485</v>
      </c>
      <c r="Y54" s="94" t="n">
        <f aca="false">-Y22*Y53</f>
        <v>-66271.7092650787</v>
      </c>
      <c r="Z54" s="94" t="n">
        <f aca="false">-Z22*Z53</f>
        <v>-69140.3867692117</v>
      </c>
      <c r="AA54" s="94" t="n">
        <f aca="false">-AA22*AA53</f>
        <v>-72135.3418270987</v>
      </c>
      <c r="AB54" s="94" t="n">
        <f aca="false">-AB22*AB53</f>
        <v>-75259.3351561338</v>
      </c>
      <c r="AC54" s="94" t="n">
        <f aca="false">-AC22*AC53</f>
        <v>-78517.9822470559</v>
      </c>
      <c r="AD54" s="94" t="n">
        <f aca="false">-AD22*AD53</f>
        <v>-81919.880422938</v>
      </c>
      <c r="AE54" s="94" t="n">
        <f aca="false">-AE22*AE53</f>
        <v>-85465.3008613095</v>
      </c>
      <c r="AF54" s="94" t="n">
        <f aca="false">-AF22*AF53</f>
        <v>-89166.0052949343</v>
      </c>
      <c r="AG54" s="94" t="n">
        <f aca="false">-AG22*AG53</f>
        <v>-93028.2958933786</v>
      </c>
      <c r="AH54" s="94" t="n">
        <f aca="false">-AH22*AH53</f>
        <v>-97058.6360372611</v>
      </c>
      <c r="AI54" s="94" t="n">
        <f aca="false">-AI22*AI53</f>
        <v>-101260.689529711</v>
      </c>
      <c r="AJ54" s="94" t="n">
        <f aca="false">-AJ22*AJ53</f>
        <v>-105647.152979496</v>
      </c>
      <c r="AK54" s="94" t="n">
        <f aca="false">-AK22*AK53</f>
        <v>-110222.055112212</v>
      </c>
      <c r="AL54" s="94" t="n">
        <f aca="false">-AL22*AL53</f>
        <v>-114995.581096967</v>
      </c>
      <c r="AM54" s="94" t="n">
        <f aca="false">-AM22*AM53</f>
        <v>-119975.13120382</v>
      </c>
      <c r="AN54" s="94" t="n">
        <f aca="false">-AN22*AN53</f>
        <v>-125168.288228621</v>
      </c>
      <c r="AO54" s="94" t="n">
        <f aca="false">-AO22*AO53</f>
        <v>-130589.076331236</v>
      </c>
      <c r="AP54" s="94" t="n">
        <f aca="false">-AP22*AP53</f>
        <v>-136245.622881721</v>
      </c>
      <c r="AQ54" s="94" t="n">
        <f aca="false">-AQ22*AQ53</f>
        <v>-142146.251562839</v>
      </c>
      <c r="AR54" s="94" t="n">
        <f aca="false">-AR22*AR53</f>
        <v>-148302.698983493</v>
      </c>
      <c r="AS54" s="94" t="n">
        <f aca="false">-AS22*AS53</f>
        <v>-154723.77950211</v>
      </c>
      <c r="AT54" s="94" t="n">
        <f aca="false">-AT22*AT53</f>
        <v>-161425.058694865</v>
      </c>
      <c r="AU54" s="94" t="n">
        <f aca="false">-AU22*AU53</f>
        <v>-168415.950112896</v>
      </c>
      <c r="AV54" s="94" t="n">
        <f aca="false">-AV22*AV53</f>
        <v>-175709.417869891</v>
      </c>
      <c r="AW54" s="94" t="n">
        <f aca="false">-AW22*AW53</f>
        <v>-183318.770561876</v>
      </c>
      <c r="AX54" s="94" t="n">
        <f aca="false">-AX22*AX53</f>
        <v>-191257.668168563</v>
      </c>
      <c r="AY54" s="94" t="n">
        <f aca="false">-AY22*AY53</f>
        <v>-199540.129071631</v>
      </c>
      <c r="AZ54" s="94" t="n">
        <f aca="false">-AZ22*AZ53</f>
        <v>-208180.537191712</v>
      </c>
      <c r="BA54" s="94" t="n">
        <f aca="false">-BA22*BA53</f>
        <v>-217197.131922585</v>
      </c>
      <c r="BB54" s="94" t="n">
        <f aca="false">-BB22*BB53</f>
        <v>-226601.630169104</v>
      </c>
      <c r="BC54" s="94" t="n">
        <f aca="false">-BC22*BC53</f>
        <v>-236416.648645161</v>
      </c>
      <c r="BD54" s="94" t="n">
        <f aca="false">-BD22*BD53</f>
        <v>-246654.721998383</v>
      </c>
      <c r="BE54" s="94" t="n">
        <f aca="false">-BE22*BE53</f>
        <v>-257335.88212099</v>
      </c>
      <c r="BF54" s="94" t="n">
        <f aca="false">-BF22*BF53</f>
        <v>-268480.70358251</v>
      </c>
      <c r="BG54" s="94" t="n">
        <f aca="false">-BG22*BG53</f>
        <v>-280106.639576093</v>
      </c>
      <c r="BH54" s="94" t="n">
        <f aca="false">-BH22*BH53</f>
        <v>-292235.283897412</v>
      </c>
      <c r="BI54" s="94" t="n">
        <f aca="false">-BI22*BI53</f>
        <v>-304892.546178953</v>
      </c>
      <c r="BJ54" s="94" t="n">
        <f aca="false">-BJ22*BJ53</f>
        <v>-318093.731187973</v>
      </c>
      <c r="BK54" s="94" t="n">
        <f aca="false">-BK22*BK53</f>
        <v>-331869.707770234</v>
      </c>
      <c r="BL54" s="94" t="n">
        <f aca="false">-BL22*BL53</f>
        <v>-346240.696484042</v>
      </c>
      <c r="BM54" s="82" t="n">
        <f aca="false">SUM(E54:BL54)</f>
        <v>-7296620.3835036</v>
      </c>
    </row>
    <row r="55" customFormat="false" ht="15" hidden="false" customHeight="false" outlineLevel="0" collapsed="false">
      <c r="A55" s="37" t="s">
        <v>188</v>
      </c>
      <c r="B55" s="98" t="n">
        <v>500</v>
      </c>
      <c r="C55" s="69" t="n">
        <v>0.07</v>
      </c>
      <c r="D55" s="70" t="n">
        <v>11</v>
      </c>
      <c r="E55" s="99" t="n">
        <f aca="false">IF(E$5&lt;$D55,0,$B55)</f>
        <v>0</v>
      </c>
      <c r="F55" s="99" t="n">
        <f aca="false">IF(F$5&lt;$D55,0,IF(E55=0,$B55,E55*(1+$C55)))</f>
        <v>0</v>
      </c>
      <c r="G55" s="99" t="n">
        <f aca="false">IF(G$5&lt;$D55,0,IF(F55=0,$B55,F55*(1+$C55)))</f>
        <v>0</v>
      </c>
      <c r="H55" s="99" t="n">
        <f aca="false">IF(H$5&lt;$D55,0,IF(G55=0,$B55,G55*(1+$C55)))</f>
        <v>0</v>
      </c>
      <c r="I55" s="99" t="n">
        <f aca="false">IF(I$5&lt;$D55,0,IF(H55=0,$B55,H55*(1+$C55)))</f>
        <v>0</v>
      </c>
      <c r="J55" s="99" t="n">
        <f aca="false">IF(J$5&lt;$D55,0,IF(I55=0,$B55,I55*(1+$C55)))</f>
        <v>0</v>
      </c>
      <c r="K55" s="99" t="n">
        <f aca="false">IF(K$5&lt;$D55,0,IF(J55=0,$B55,J55*(1+$C55)))</f>
        <v>0</v>
      </c>
      <c r="L55" s="99" t="n">
        <f aca="false">IF(L$5&lt;$D55,0,IF(K55=0,$B55,K55*(1+$C55)))</f>
        <v>0</v>
      </c>
      <c r="M55" s="99" t="n">
        <f aca="false">IF(M$5&lt;$D55,0,IF(L55=0,$B55,L55*(1+$C55)))</f>
        <v>0</v>
      </c>
      <c r="N55" s="99" t="n">
        <f aca="false">IF(N$5&lt;$D55,0,IF(M55=0,$B55,M55*(1+$C55)))</f>
        <v>0</v>
      </c>
      <c r="O55" s="99" t="n">
        <f aca="false">IF(O$5&lt;$D55,0,IF(N55=0,$B55,N55*(1+$C55)))</f>
        <v>500</v>
      </c>
      <c r="P55" s="99" t="n">
        <f aca="false">IF(P$5&lt;$D55,0,IF(O55=0,$B55,O55*(1+$C55)))</f>
        <v>535</v>
      </c>
      <c r="Q55" s="99" t="n">
        <f aca="false">IF(Q$5&lt;$D55,0,IF(P55=0,$B55,P55*(1+$C55)))</f>
        <v>572.45</v>
      </c>
      <c r="R55" s="99" t="n">
        <f aca="false">IF(R$5&lt;$D55,0,IF(Q55=0,$B55,Q55*(1+$C55)))</f>
        <v>612.5215</v>
      </c>
      <c r="S55" s="99" t="n">
        <f aca="false">IF(S$5&lt;$D55,0,IF(R55=0,$B55,R55*(1+$C55)))</f>
        <v>655.398005</v>
      </c>
      <c r="T55" s="99" t="n">
        <f aca="false">IF(T$5&lt;$D55,0,IF(S55=0,$B55,S55*(1+$C55)))</f>
        <v>701.27586535</v>
      </c>
      <c r="U55" s="99" t="n">
        <f aca="false">IF(U$5&lt;$D55,0,IF(T55=0,$B55,T55*(1+$C55)))</f>
        <v>750.3651759245</v>
      </c>
      <c r="V55" s="99" t="n">
        <f aca="false">IF(V$5&lt;$D55,0,IF(U55=0,$B55,U55*(1+$C55)))</f>
        <v>802.890738239215</v>
      </c>
      <c r="W55" s="99" t="n">
        <f aca="false">IF(W$5&lt;$D55,0,IF(V55=0,$B55,V55*(1+$C55)))</f>
        <v>859.093089915961</v>
      </c>
      <c r="X55" s="99" t="n">
        <f aca="false">IF(X$5&lt;$D55,0,IF(W55=0,$B55,W55*(1+$C55)))</f>
        <v>919.229606210078</v>
      </c>
      <c r="Y55" s="99" t="n">
        <f aca="false">IF(Y$5&lt;$D55,0,IF(X55=0,$B55,X55*(1+$C55)))</f>
        <v>983.575678644783</v>
      </c>
      <c r="Z55" s="99" t="n">
        <f aca="false">IF(Z$5&lt;$D55,0,IF(Y55=0,$B55,Y55*(1+$C55)))</f>
        <v>1052.42597614992</v>
      </c>
      <c r="AA55" s="99" t="n">
        <f aca="false">IF(AA$5&lt;$D55,0,IF(Z55=0,$B55,Z55*(1+$C55)))</f>
        <v>1126.09579448041</v>
      </c>
      <c r="AB55" s="99" t="n">
        <f aca="false">IF(AB$5&lt;$D55,0,IF(AA55=0,$B55,AA55*(1+$C55)))</f>
        <v>1204.92250009404</v>
      </c>
      <c r="AC55" s="99" t="n">
        <f aca="false">IF(AC$5&lt;$D55,0,IF(AB55=0,$B55,AB55*(1+$C55)))</f>
        <v>1289.26707510062</v>
      </c>
      <c r="AD55" s="99" t="n">
        <f aca="false">IF(AD$5&lt;$D55,0,IF(AC55=0,$B55,AC55*(1+$C55)))</f>
        <v>1379.51577035767</v>
      </c>
      <c r="AE55" s="99" t="n">
        <f aca="false">IF(AE$5&lt;$D55,0,IF(AD55=0,$B55,AD55*(1+$C55)))</f>
        <v>1476.08187428271</v>
      </c>
      <c r="AF55" s="99" t="n">
        <f aca="false">IF(AF$5&lt;$D55,0,IF(AE55=0,$B55,AE55*(1+$C55)))</f>
        <v>1579.40760548249</v>
      </c>
      <c r="AG55" s="99" t="n">
        <f aca="false">IF(AG$5&lt;$D55,0,IF(AF55=0,$B55,AF55*(1+$C55)))</f>
        <v>1689.96613786627</v>
      </c>
      <c r="AH55" s="99" t="n">
        <f aca="false">IF(AH$5&lt;$D55,0,IF(AG55=0,$B55,AG55*(1+$C55)))</f>
        <v>1808.26376751691</v>
      </c>
      <c r="AI55" s="99" t="n">
        <f aca="false">IF(AI$5&lt;$D55,0,IF(AH55=0,$B55,AH55*(1+$C55)))</f>
        <v>1934.84223124309</v>
      </c>
      <c r="AJ55" s="99" t="n">
        <f aca="false">IF(AJ$5&lt;$D55,0,IF(AI55=0,$B55,AI55*(1+$C55)))</f>
        <v>2070.28118743011</v>
      </c>
      <c r="AK55" s="99" t="n">
        <f aca="false">IF(AK$5&lt;$D55,0,IF(AJ55=0,$B55,AJ55*(1+$C55)))</f>
        <v>2215.20087055022</v>
      </c>
      <c r="AL55" s="99" t="n">
        <f aca="false">IF(AL$5&lt;$D55,0,IF(AK55=0,$B55,AK55*(1+$C55)))</f>
        <v>2370.26493148873</v>
      </c>
      <c r="AM55" s="99" t="n">
        <f aca="false">IF(AM$5&lt;$D55,0,IF(AL55=0,$B55,AL55*(1+$C55)))</f>
        <v>2536.18347669294</v>
      </c>
      <c r="AN55" s="99" t="n">
        <f aca="false">IF(AN$5&lt;$D55,0,IF(AM55=0,$B55,AM55*(1+$C55)))</f>
        <v>2713.71632006145</v>
      </c>
      <c r="AO55" s="99" t="n">
        <f aca="false">IF(AO$5&lt;$D55,0,IF(AN55=0,$B55,AN55*(1+$C55)))</f>
        <v>2903.67646246575</v>
      </c>
      <c r="AP55" s="99" t="n">
        <f aca="false">IF(AP$5&lt;$D55,0,IF(AO55=0,$B55,AO55*(1+$C55)))</f>
        <v>3106.93381483835</v>
      </c>
      <c r="AQ55" s="99" t="n">
        <f aca="false">IF(AQ$5&lt;$D55,0,IF(AP55=0,$B55,AP55*(1+$C55)))</f>
        <v>3324.41918187704</v>
      </c>
      <c r="AR55" s="99" t="n">
        <f aca="false">IF(AR$5&lt;$D55,0,IF(AQ55=0,$B55,AQ55*(1+$C55)))</f>
        <v>3557.12852460843</v>
      </c>
      <c r="AS55" s="99" t="n">
        <f aca="false">IF(AS$5&lt;$D55,0,IF(AR55=0,$B55,AR55*(1+$C55)))</f>
        <v>3806.12752133102</v>
      </c>
      <c r="AT55" s="99" t="n">
        <f aca="false">IF(AT$5&lt;$D55,0,IF(AS55=0,$B55,AS55*(1+$C55)))</f>
        <v>4072.5564478242</v>
      </c>
      <c r="AU55" s="99" t="n">
        <f aca="false">IF(AU$5&lt;$D55,0,IF(AT55=0,$B55,AT55*(1+$C55)))</f>
        <v>4357.63539917189</v>
      </c>
      <c r="AV55" s="99" t="n">
        <f aca="false">IF(AV$5&lt;$D55,0,IF(AU55=0,$B55,AU55*(1+$C55)))</f>
        <v>4662.66987711392</v>
      </c>
      <c r="AW55" s="99" t="n">
        <f aca="false">IF(AW$5&lt;$D55,0,IF(AV55=0,$B55,AV55*(1+$C55)))</f>
        <v>4989.0567685119</v>
      </c>
      <c r="AX55" s="99" t="n">
        <f aca="false">IF(AX$5&lt;$D55,0,IF(AW55=0,$B55,AW55*(1+$C55)))</f>
        <v>5338.29074230773</v>
      </c>
      <c r="AY55" s="99" t="n">
        <f aca="false">IF(AY$5&lt;$D55,0,IF(AX55=0,$B55,AX55*(1+$C55)))</f>
        <v>5711.97109426927</v>
      </c>
      <c r="AZ55" s="99" t="n">
        <f aca="false">IF(AZ$5&lt;$D55,0,IF(AY55=0,$B55,AY55*(1+$C55)))</f>
        <v>6111.80907086812</v>
      </c>
      <c r="BA55" s="99" t="n">
        <f aca="false">IF(BA$5&lt;$D55,0,IF(AZ55=0,$B55,AZ55*(1+$C55)))</f>
        <v>6539.63570582889</v>
      </c>
      <c r="BB55" s="99" t="n">
        <f aca="false">IF(BB$5&lt;$D55,0,IF(BA55=0,$B55,BA55*(1+$C55)))</f>
        <v>6997.41020523691</v>
      </c>
      <c r="BC55" s="99" t="n">
        <f aca="false">IF(BC$5&lt;$D55,0,IF(BB55=0,$B55,BB55*(1+$C55)))</f>
        <v>7487.2289196035</v>
      </c>
      <c r="BD55" s="99" t="n">
        <f aca="false">IF(BD$5&lt;$D55,0,IF(BC55=0,$B55,BC55*(1+$C55)))</f>
        <v>8011.33494397574</v>
      </c>
      <c r="BE55" s="99" t="n">
        <f aca="false">IF(BE$5&lt;$D55,0,IF(BD55=0,$B55,BD55*(1+$C55)))</f>
        <v>8572.12839005404</v>
      </c>
      <c r="BF55" s="99" t="n">
        <f aca="false">IF(BF$5&lt;$D55,0,IF(BE55=0,$B55,BE55*(1+$C55)))</f>
        <v>9172.17737735783</v>
      </c>
      <c r="BG55" s="99" t="n">
        <f aca="false">IF(BG$5&lt;$D55,0,IF(BF55=0,$B55,BF55*(1+$C55)))</f>
        <v>9814.22979377287</v>
      </c>
      <c r="BH55" s="99" t="n">
        <f aca="false">IF(BH$5&lt;$D55,0,IF(BG55=0,$B55,BG55*(1+$C55)))</f>
        <v>10501.225879337</v>
      </c>
      <c r="BI55" s="99" t="n">
        <f aca="false">IF(BI$5&lt;$D55,0,IF(BH55=0,$B55,BH55*(1+$C55)))</f>
        <v>11236.3116908906</v>
      </c>
      <c r="BJ55" s="99" t="n">
        <f aca="false">IF(BJ$5&lt;$D55,0,IF(BI55=0,$B55,BI55*(1+$C55)))</f>
        <v>12022.8535092529</v>
      </c>
      <c r="BK55" s="99" t="n">
        <f aca="false">IF(BK$5&lt;$D55,0,IF(BJ55=0,$B55,BJ55*(1+$C55)))</f>
        <v>12864.4532549006</v>
      </c>
      <c r="BL55" s="99" t="n">
        <f aca="false">IF(BL$5&lt;$D55,0,IF(BK55=0,$B55,BK55*(1+$C55)))</f>
        <v>13764.9649827437</v>
      </c>
      <c r="BM55" s="82" t="n">
        <f aca="false">BL55</f>
        <v>13764.9649827437</v>
      </c>
      <c r="BN55" s="35" t="s">
        <v>189</v>
      </c>
    </row>
    <row r="56" customFormat="false" ht="19.4" hidden="false" customHeight="false" outlineLevel="0" collapsed="false">
      <c r="A56" s="37" t="s">
        <v>190</v>
      </c>
      <c r="B56" s="98" t="n">
        <v>600</v>
      </c>
      <c r="C56" s="69" t="n">
        <v>0.03</v>
      </c>
      <c r="D56" s="70" t="n">
        <v>4</v>
      </c>
      <c r="E56" s="99" t="n">
        <f aca="false">IF(E$5&lt;$D56,0,$B56)</f>
        <v>0</v>
      </c>
      <c r="F56" s="99" t="n">
        <f aca="false">IF(F$5&lt;$D56,0,IF(E56=0,$B56,E56*(1+$C56)))</f>
        <v>0</v>
      </c>
      <c r="G56" s="99" t="n">
        <f aca="false">IF(G$5&lt;$D56,0,IF(F56=0,$B56,F56*(1+$C56)))</f>
        <v>0</v>
      </c>
      <c r="H56" s="99" t="n">
        <f aca="false">IF(H$5&lt;$D56,0,IF(G56=0,$B56,G56*(1+$C56)))</f>
        <v>600</v>
      </c>
      <c r="I56" s="99" t="n">
        <f aca="false">IF(I$5&lt;$D56,0,IF(H56=0,$B56,H56*(1+$C56)))</f>
        <v>618</v>
      </c>
      <c r="J56" s="99" t="n">
        <f aca="false">IF(J$5&lt;$D56,0,IF(I56=0,$B56,I56*(1+$C56)))</f>
        <v>636.54</v>
      </c>
      <c r="K56" s="99" t="n">
        <f aca="false">IF(K$5&lt;$D56,0,IF(J56=0,$B56,J56*(1+$C56)))</f>
        <v>655.6362</v>
      </c>
      <c r="L56" s="99" t="n">
        <f aca="false">IF(L$5&lt;$D56,0,IF(K56=0,$B56,K56*(1+$C56)))</f>
        <v>675.305286</v>
      </c>
      <c r="M56" s="99" t="n">
        <f aca="false">IF(M$5&lt;$D56,0,IF(L56=0,$B56,L56*(1+$C56)))</f>
        <v>695.56444458</v>
      </c>
      <c r="N56" s="99" t="n">
        <f aca="false">IF(N$5&lt;$D56,0,IF(M56=0,$B56,M56*(1+$C56)))</f>
        <v>716.4313779174</v>
      </c>
      <c r="O56" s="99" t="n">
        <f aca="false">IF(O$5&lt;$D56,0,IF(N56=0,$B56,N56*(1+$C56)))</f>
        <v>737.924319254922</v>
      </c>
      <c r="P56" s="99" t="n">
        <f aca="false">IF(P$5&lt;$D56,0,IF(O56=0,$B56,O56*(1+$C56)))</f>
        <v>760.06204883257</v>
      </c>
      <c r="Q56" s="99" t="n">
        <f aca="false">IF(Q$5&lt;$D56,0,IF(P56=0,$B56,P56*(1+$C56)))</f>
        <v>782.863910297547</v>
      </c>
      <c r="R56" s="99" t="n">
        <f aca="false">IF(R$5&lt;$D56,0,IF(Q56=0,$B56,Q56*(1+$C56)))</f>
        <v>806.349827606473</v>
      </c>
      <c r="S56" s="99" t="n">
        <f aca="false">IF(S$5&lt;$D56,0,IF(R56=0,$B56,R56*(1+$C56)))</f>
        <v>830.540322434668</v>
      </c>
      <c r="T56" s="99" t="n">
        <f aca="false">IF(T$5&lt;$D56,0,IF(S56=0,$B56,S56*(1+$C56)))</f>
        <v>855.456532107708</v>
      </c>
      <c r="U56" s="99" t="n">
        <f aca="false">IF(U$5&lt;$D56,0,IF(T56=0,$B56,T56*(1+$C56)))</f>
        <v>881.120228070939</v>
      </c>
      <c r="V56" s="99" t="n">
        <f aca="false">IF(V$5&lt;$D56,0,IF(U56=0,$B56,U56*(1+$C56)))</f>
        <v>907.553834913067</v>
      </c>
      <c r="W56" s="99" t="n">
        <f aca="false">IF(W$5&lt;$D56,0,IF(V56=0,$B56,V56*(1+$C56)))</f>
        <v>934.780449960459</v>
      </c>
      <c r="X56" s="99" t="n">
        <f aca="false">IF(X$5&lt;$D56,0,IF(W56=0,$B56,W56*(1+$C56)))</f>
        <v>962.823863459273</v>
      </c>
      <c r="Y56" s="99" t="n">
        <f aca="false">IF(Y$5&lt;$D56,0,IF(X56=0,$B56,X56*(1+$C56)))</f>
        <v>991.708579363051</v>
      </c>
      <c r="Z56" s="99" t="n">
        <f aca="false">IF(Z$5&lt;$D56,0,IF(Y56=0,$B56,Y56*(1+$C56)))</f>
        <v>1021.45983674394</v>
      </c>
      <c r="AA56" s="99" t="n">
        <f aca="false">IF(AA$5&lt;$D56,0,IF(Z56=0,$B56,Z56*(1+$C56)))</f>
        <v>1052.10363184626</v>
      </c>
      <c r="AB56" s="99" t="n">
        <f aca="false">IF(AB$5&lt;$D56,0,IF(AA56=0,$B56,AA56*(1+$C56)))</f>
        <v>1083.66674080165</v>
      </c>
      <c r="AC56" s="99" t="n">
        <f aca="false">IF(AC$5&lt;$D56,0,IF(AB56=0,$B56,AB56*(1+$C56)))</f>
        <v>1116.1767430257</v>
      </c>
      <c r="AD56" s="99" t="n">
        <f aca="false">IF(AD$5&lt;$D56,0,IF(AC56=0,$B56,AC56*(1+$C56)))</f>
        <v>1149.66204531647</v>
      </c>
      <c r="AE56" s="99" t="n">
        <f aca="false">IF(AE$5&lt;$D56,0,IF(AD56=0,$B56,AD56*(1+$C56)))</f>
        <v>1184.15190667596</v>
      </c>
      <c r="AF56" s="99" t="n">
        <f aca="false">IF(AF$5&lt;$D56,0,IF(AE56=0,$B56,AE56*(1+$C56)))</f>
        <v>1219.67646387624</v>
      </c>
      <c r="AG56" s="99" t="n">
        <f aca="false">IF(AG$5&lt;$D56,0,IF(AF56=0,$B56,AF56*(1+$C56)))</f>
        <v>1256.26675779253</v>
      </c>
      <c r="AH56" s="99" t="n">
        <f aca="false">IF(AH$5&lt;$D56,0,IF(AG56=0,$B56,AG56*(1+$C56)))</f>
        <v>1293.95476052631</v>
      </c>
      <c r="AI56" s="99" t="n">
        <f aca="false">IF(AI$5&lt;$D56,0,IF(AH56=0,$B56,AH56*(1+$C56)))</f>
        <v>1332.77340334209</v>
      </c>
      <c r="AJ56" s="99" t="n">
        <f aca="false">IF(AJ$5&lt;$D56,0,IF(AI56=0,$B56,AI56*(1+$C56)))</f>
        <v>1372.75660544236</v>
      </c>
      <c r="AK56" s="99" t="n">
        <f aca="false">IF(AK$5&lt;$D56,0,IF(AJ56=0,$B56,AJ56*(1+$C56)))</f>
        <v>1413.93930360563</v>
      </c>
      <c r="AL56" s="99" t="n">
        <f aca="false">IF(AL$5&lt;$D56,0,IF(AK56=0,$B56,AK56*(1+$C56)))</f>
        <v>1456.3574827138</v>
      </c>
      <c r="AM56" s="99" t="n">
        <f aca="false">IF(AM$5&lt;$D56,0,IF(AL56=0,$B56,AL56*(1+$C56)))</f>
        <v>1500.04820719521</v>
      </c>
      <c r="AN56" s="99" t="n">
        <f aca="false">IF(AN$5&lt;$D56,0,IF(AM56=0,$B56,AM56*(1+$C56)))</f>
        <v>1545.04965341107</v>
      </c>
      <c r="AO56" s="99" t="n">
        <f aca="false">IF(AO$5&lt;$D56,0,IF(AN56=0,$B56,AN56*(1+$C56)))</f>
        <v>1591.4011430134</v>
      </c>
      <c r="AP56" s="99" t="n">
        <f aca="false">IF(AP$5&lt;$D56,0,IF(AO56=0,$B56,AO56*(1+$C56)))</f>
        <v>1639.1431773038</v>
      </c>
      <c r="AQ56" s="99" t="n">
        <f aca="false">IF(AQ$5&lt;$D56,0,IF(AP56=0,$B56,AP56*(1+$C56)))</f>
        <v>1688.31747262292</v>
      </c>
      <c r="AR56" s="99" t="n">
        <f aca="false">IF(AR$5&lt;$D56,0,IF(AQ56=0,$B56,AQ56*(1+$C56)))</f>
        <v>1738.9669968016</v>
      </c>
      <c r="AS56" s="99" t="n">
        <f aca="false">IF(AS$5&lt;$D56,0,IF(AR56=0,$B56,AR56*(1+$C56)))</f>
        <v>1791.13600670565</v>
      </c>
      <c r="AT56" s="99" t="n">
        <f aca="false">IF(AT$5&lt;$D56,0,IF(AS56=0,$B56,AS56*(1+$C56)))</f>
        <v>1844.87008690682</v>
      </c>
      <c r="AU56" s="99" t="n">
        <f aca="false">IF(AU$5&lt;$D56,0,IF(AT56=0,$B56,AT56*(1+$C56)))</f>
        <v>1900.21618951402</v>
      </c>
      <c r="AV56" s="99" t="n">
        <f aca="false">IF(AV$5&lt;$D56,0,IF(AU56=0,$B56,AU56*(1+$C56)))</f>
        <v>1957.22267519945</v>
      </c>
      <c r="AW56" s="99" t="n">
        <f aca="false">IF(AW$5&lt;$D56,0,IF(AV56=0,$B56,AV56*(1+$C56)))</f>
        <v>2015.93935545543</v>
      </c>
      <c r="AX56" s="99" t="n">
        <f aca="false">IF(AX$5&lt;$D56,0,IF(AW56=0,$B56,AW56*(1+$C56)))</f>
        <v>2076.41753611909</v>
      </c>
      <c r="AY56" s="99" t="n">
        <f aca="false">IF(AY$5&lt;$D56,0,IF(AX56=0,$B56,AX56*(1+$C56)))</f>
        <v>2138.71006220266</v>
      </c>
      <c r="AZ56" s="99" t="n">
        <f aca="false">IF(AZ$5&lt;$D56,0,IF(AY56=0,$B56,AY56*(1+$C56)))</f>
        <v>2202.87136406874</v>
      </c>
      <c r="BA56" s="99" t="n">
        <f aca="false">IF(BA$5&lt;$D56,0,IF(AZ56=0,$B56,AZ56*(1+$C56)))</f>
        <v>2268.95750499081</v>
      </c>
      <c r="BB56" s="99" t="n">
        <f aca="false">IF(BB$5&lt;$D56,0,IF(BA56=0,$B56,BA56*(1+$C56)))</f>
        <v>2337.02623014053</v>
      </c>
      <c r="BC56" s="99" t="n">
        <f aca="false">IF(BC$5&lt;$D56,0,IF(BB56=0,$B56,BB56*(1+$C56)))</f>
        <v>2407.13701704475</v>
      </c>
      <c r="BD56" s="99" t="n">
        <f aca="false">IF(BD$5&lt;$D56,0,IF(BC56=0,$B56,BC56*(1+$C56)))</f>
        <v>2479.35112755609</v>
      </c>
      <c r="BE56" s="99" t="n">
        <f aca="false">IF(BE$5&lt;$D56,0,IF(BD56=0,$B56,BD56*(1+$C56)))</f>
        <v>2553.73166138277</v>
      </c>
      <c r="BF56" s="99" t="n">
        <f aca="false">IF(BF$5&lt;$D56,0,IF(BE56=0,$B56,BE56*(1+$C56)))</f>
        <v>2630.34361122426</v>
      </c>
      <c r="BG56" s="99" t="n">
        <f aca="false">IF(BG$5&lt;$D56,0,IF(BF56=0,$B56,BF56*(1+$C56)))</f>
        <v>2709.25391956098</v>
      </c>
      <c r="BH56" s="99" t="n">
        <f aca="false">IF(BH$5&lt;$D56,0,IF(BG56=0,$B56,BG56*(1+$C56)))</f>
        <v>2790.53153714781</v>
      </c>
      <c r="BI56" s="99" t="n">
        <f aca="false">IF(BI$5&lt;$D56,0,IF(BH56=0,$B56,BH56*(1+$C56)))</f>
        <v>2874.24748326225</v>
      </c>
      <c r="BJ56" s="99" t="n">
        <f aca="false">IF(BJ$5&lt;$D56,0,IF(BI56=0,$B56,BI56*(1+$C56)))</f>
        <v>2960.47490776012</v>
      </c>
      <c r="BK56" s="99" t="n">
        <f aca="false">IF(BK$5&lt;$D56,0,IF(BJ56=0,$B56,BJ56*(1+$C56)))</f>
        <v>3049.28915499292</v>
      </c>
      <c r="BL56" s="99" t="n">
        <f aca="false">IF(BL$5&lt;$D56,0,IF(BK56=0,$B56,BK56*(1+$C56)))</f>
        <v>3140.76782964271</v>
      </c>
      <c r="BM56" s="82" t="n">
        <f aca="false">BL56</f>
        <v>3140.76782964271</v>
      </c>
      <c r="BN56" s="35" t="s">
        <v>191</v>
      </c>
    </row>
    <row r="57" customFormat="false" ht="15" hidden="false" customHeight="false" outlineLevel="0" collapsed="false">
      <c r="A57" s="37" t="s">
        <v>192</v>
      </c>
      <c r="B57" s="85" t="s">
        <v>155</v>
      </c>
      <c r="C57" s="85" t="s">
        <v>155</v>
      </c>
      <c r="D57" s="85" t="s">
        <v>155</v>
      </c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AU57" s="86"/>
      <c r="AV57" s="86"/>
      <c r="AW57" s="86"/>
      <c r="AX57" s="86"/>
      <c r="AY57" s="86"/>
      <c r="AZ57" s="86"/>
      <c r="BA57" s="86"/>
      <c r="BB57" s="86"/>
      <c r="BC57" s="86"/>
      <c r="BD57" s="86"/>
      <c r="BE57" s="86"/>
      <c r="BF57" s="86"/>
      <c r="BG57" s="86"/>
      <c r="BH57" s="86"/>
      <c r="BI57" s="86"/>
      <c r="BJ57" s="86"/>
      <c r="BK57" s="86"/>
      <c r="BL57" s="86"/>
      <c r="BM57" s="82" t="n">
        <f aca="false">SUM(E57:BL57)</f>
        <v>0</v>
      </c>
    </row>
    <row r="58" customFormat="false" ht="19.4" hidden="false" customHeight="false" outlineLevel="0" collapsed="false">
      <c r="A58" s="63" t="s">
        <v>193</v>
      </c>
      <c r="E58" s="82" t="n">
        <f aca="false">E46+E51+E52+E54-E55-E56-E57</f>
        <v>-0</v>
      </c>
      <c r="F58" s="82" t="n">
        <f aca="false">F46+F51+F52+F54-F55-F56-F57</f>
        <v>-0</v>
      </c>
      <c r="G58" s="82" t="n">
        <f aca="false">G46+G51+G52+G54-G55-G56-G57</f>
        <v>-0</v>
      </c>
      <c r="H58" s="82" t="n">
        <f aca="false">H46+H51+H52+H54-H55-H56-H57</f>
        <v>-600</v>
      </c>
      <c r="I58" s="82" t="n">
        <f aca="false">I46+I51+I52+I54-I55-I56-I57</f>
        <v>-618</v>
      </c>
      <c r="J58" s="82" t="n">
        <f aca="false">J46+J51+J52+J54-J55-J56-J57</f>
        <v>-636.54</v>
      </c>
      <c r="K58" s="82" t="n">
        <f aca="false">K46+K51+K52+K54-K55-K56-K57</f>
        <v>-655.6362</v>
      </c>
      <c r="L58" s="82" t="n">
        <f aca="false">L46+L51+L52+L54-L55-L56-L57</f>
        <v>-675.305286</v>
      </c>
      <c r="M58" s="82" t="n">
        <f aca="false">M46+M51+M52+M54-M55-M56-M57</f>
        <v>-995.56444458</v>
      </c>
      <c r="N58" s="82" t="n">
        <f aca="false">N46+N51+N52+N54-N55-N56-N57</f>
        <v>-1016.4313779174</v>
      </c>
      <c r="O58" s="82" t="n">
        <f aca="false">O46+O51+O52+O54-O55-O56-O57</f>
        <v>-1537.92431925492</v>
      </c>
      <c r="P58" s="82" t="n">
        <f aca="false">P46+P51+P52+P54-P55-P56-P57</f>
        <v>-51045.5342710548</v>
      </c>
      <c r="Q58" s="82" t="n">
        <f aca="false">Q46+Q51+Q52+Q54-Q55-Q56-Q57</f>
        <v>-98172.2460769642</v>
      </c>
      <c r="R58" s="82" t="n">
        <f aca="false">R46+R51+R52+R54-R55-R56-R57</f>
        <v>-102792.776844134</v>
      </c>
      <c r="S58" s="82" t="n">
        <f aca="false">S46+S51+S52+S54-S55-S56-S57</f>
        <v>-107420.888159225</v>
      </c>
      <c r="T58" s="82" t="n">
        <f aca="false">T46+T51+T52+T54-T55-T56-T57</f>
        <v>-112072.632843751</v>
      </c>
      <c r="U58" s="82" t="n">
        <f aca="false">U46+U51+U52+U54-U55-U56-U57</f>
        <v>-116555.144156592</v>
      </c>
      <c r="V58" s="82" t="n">
        <f aca="false">V46+V51+V52+V54-V55-V56-V57</f>
        <v>-120373.789601541</v>
      </c>
      <c r="W58" s="82" t="n">
        <f aca="false">W46+W51+W52+W54-W55-W56-W57</f>
        <v>-124279.668385114</v>
      </c>
      <c r="X58" s="82" t="n">
        <f aca="false">X46+X51+X52+X54-X55-X56-X57</f>
        <v>-128286.388514066</v>
      </c>
      <c r="Y58" s="82" t="n">
        <f aca="false">Y46+Y51+Y52+Y54-Y55-Y56-Y57</f>
        <v>-132400.743116068</v>
      </c>
      <c r="Z58" s="82" t="n">
        <f aca="false">Z46+Z51+Z52+Z54-Z55-Z56-Z57</f>
        <v>-136633.475266587</v>
      </c>
      <c r="AA58" s="82" t="n">
        <f aca="false">AA46+AA51+AA52+AA54-AA55-AA56-AA57</f>
        <v>-140999.063434456</v>
      </c>
      <c r="AB58" s="82" t="n">
        <f aca="false">AB46+AB51+AB52+AB54-AB55-AB56-AB57</f>
        <v>-145505.031992733</v>
      </c>
      <c r="AC58" s="82" t="n">
        <f aca="false">AC46+AC51+AC52+AC54-AC55-AC56-AC57</f>
        <v>-225160.62819645</v>
      </c>
      <c r="AD58" s="82" t="n">
        <f aca="false">AD46+AD51+AD52+AD54-AD55-AD56-AD57</f>
        <v>-229982.375428887</v>
      </c>
      <c r="AE58" s="82" t="n">
        <f aca="false">AE46+AE51+AE52+AE54-AE55-AE56-AE57</f>
        <v>-234973.069998353</v>
      </c>
      <c r="AF58" s="82" t="n">
        <f aca="false">AF46+AF51+AF52+AF54-AF55-AF56-AF57</f>
        <v>-240147.681729325</v>
      </c>
      <c r="AG58" s="82" t="n">
        <f aca="false">AG46+AG51+AG52+AG54-AG55-AG56-AG57</f>
        <v>-245521.32299121</v>
      </c>
      <c r="AH58" s="82" t="n">
        <f aca="false">AH46+AH51+AH52+AH54-AH55-AH56-AH57</f>
        <v>-251100.603516534</v>
      </c>
      <c r="AI58" s="82" t="n">
        <f aca="false">AI46+AI51+AI52+AI54-AI55-AI56-AI57</f>
        <v>-256897.545795265</v>
      </c>
      <c r="AJ58" s="82" t="n">
        <f aca="false">AJ46+AJ51+AJ52+AJ54-AJ55-AJ56-AJ57</f>
        <v>-262927.525080248</v>
      </c>
      <c r="AK58" s="82" t="n">
        <f aca="false">AK46+AK51+AK52+AK54-AK55-AK56-AK57</f>
        <v>-269200.202102635</v>
      </c>
      <c r="AL58" s="82" t="n">
        <f aca="false">AL46+AL51+AL52+AL54-AL55-AL56-AL57</f>
        <v>-275730.793502767</v>
      </c>
      <c r="AM58" s="82" t="n">
        <f aca="false">AM46+AM51+AM52+AM54-AM55-AM56-AM57</f>
        <v>-282531.262902669</v>
      </c>
      <c r="AN58" s="82" t="n">
        <f aca="false">AN46+AN51+AN52+AN54-AN55-AN56-AN57</f>
        <v>-289613.795781825</v>
      </c>
      <c r="AO58" s="82" t="n">
        <f aca="false">AO46+AO51+AO52+AO54-AO55-AO56-AO57</f>
        <v>-432799.52864256</v>
      </c>
      <c r="AP58" s="82" t="n">
        <f aca="false">AP46+AP51+AP52+AP54-AP55-AP56-AP57</f>
        <v>-440500.766437432</v>
      </c>
      <c r="AQ58" s="82" t="n">
        <f aca="false">AQ46+AQ51+AQ52+AQ54-AQ55-AQ56-AQ57</f>
        <v>-448533.038538351</v>
      </c>
      <c r="AR58" s="82" t="n">
        <f aca="false">AR46+AR51+AR52+AR54-AR55-AR56-AR57</f>
        <v>-456912.876124426</v>
      </c>
      <c r="AS58" s="82" t="n">
        <f aca="false">AS46+AS51+AS52+AS54-AS55-AS56-AS57</f>
        <v>-465656.198151683</v>
      </c>
      <c r="AT58" s="82" t="n">
        <f aca="false">AT46+AT51+AT52+AT54-AT55-AT56-AT57</f>
        <v>-474784.303543127</v>
      </c>
      <c r="AU58" s="82" t="n">
        <f aca="false">AU46+AU51+AU52+AU54-AU55-AU56-AU57</f>
        <v>-484312.709662727</v>
      </c>
      <c r="AV58" s="82" t="n">
        <f aca="false">AV46+AV51+AV52+AV54-AV55-AV56-AV57</f>
        <v>-494264.440196477</v>
      </c>
      <c r="AW58" s="82" t="n">
        <f aca="false">AW46+AW51+AW52+AW54-AW55-AW56-AW57</f>
        <v>-504660.16492062</v>
      </c>
      <c r="AX58" s="82" t="n">
        <f aca="false">AX46+AX51+AX52+AX54-AX55-AX56-AX57</f>
        <v>-515519.570103846</v>
      </c>
      <c r="AY58" s="82" t="n">
        <f aca="false">AY46+AY51+AY52+AY54-AY55-AY56-AY57</f>
        <v>-526865.616204693</v>
      </c>
      <c r="AZ58" s="82" t="n">
        <f aca="false">AZ46+AZ51+AZ52+AZ54-AZ55-AZ56-AZ57</f>
        <v>-538723.88429821</v>
      </c>
      <c r="BA58" s="82" t="n">
        <f aca="false">BA46+BA51+BA52+BA54-BA55-BA56-BA57</f>
        <v>-672121.439038681</v>
      </c>
      <c r="BB58" s="82" t="n">
        <f aca="false">BB46+BB51+BB52+BB54-BB55-BB56-BB57</f>
        <v>-685078.926141896</v>
      </c>
      <c r="BC58" s="82" t="n">
        <f aca="false">BC46+BC51+BC52+BC54-BC55-BC56-BC57</f>
        <v>-698629.936341478</v>
      </c>
      <c r="BD58" s="82" t="n">
        <f aca="false">BD46+BD51+BD52+BD54-BD55-BD56-BD57</f>
        <v>-712800.026306007</v>
      </c>
      <c r="BE58" s="82" t="n">
        <f aca="false">BE46+BE51+BE52+BE54-BE55-BE56-BE57</f>
        <v>-727620.727651531</v>
      </c>
      <c r="BF58" s="82" t="n">
        <f aca="false">BF46+BF51+BF52+BF54-BF55-BF56-BF57</f>
        <v>-743126.176337209</v>
      </c>
      <c r="BG58" s="82" t="n">
        <f aca="false">BG46+BG51+BG52+BG54-BG55-BG56-BG57</f>
        <v>-759346.422866662</v>
      </c>
      <c r="BH58" s="82" t="n">
        <f aca="false">BH46+BH51+BH52+BH54-BH55-BH56-BH57</f>
        <v>-776249.126291955</v>
      </c>
      <c r="BI58" s="82" t="n">
        <f aca="false">BI46+BI51+BI52+BI54-BI55-BI56-BI57</f>
        <v>-792568.960639935</v>
      </c>
      <c r="BJ58" s="82" t="n">
        <f aca="false">BJ46+BJ51+BJ52+BJ54-BJ55-BJ56-BJ57</f>
        <v>-809641.383290268</v>
      </c>
      <c r="BK58" s="82" t="n">
        <f aca="false">BK46+BK51+BK52+BK54-BK55-BK56-BK57</f>
        <v>-827510.867352479</v>
      </c>
      <c r="BL58" s="82" t="n">
        <f aca="false">BL46+BL51+BL52+BL54-BL55-BL56-BL57</f>
        <v>-846210.880957292</v>
      </c>
      <c r="BM58" s="82" t="n">
        <f aca="false">SUM(E58:BL58)</f>
        <v>-19421497.5613558</v>
      </c>
      <c r="BN58" s="35" t="s">
        <v>194</v>
      </c>
    </row>
    <row r="59" customFormat="false" ht="15" hidden="false" customHeight="false" outlineLevel="0" collapsed="false">
      <c r="A59" s="63" t="s">
        <v>195</v>
      </c>
      <c r="E59" s="82" t="n">
        <f aca="false">E42+E58</f>
        <v>0</v>
      </c>
      <c r="F59" s="82" t="n">
        <f aca="false">F42+F58</f>
        <v>0</v>
      </c>
      <c r="G59" s="82" t="n">
        <f aca="false">G42+G58</f>
        <v>0</v>
      </c>
      <c r="H59" s="82" t="n">
        <f aca="false">H42+H58</f>
        <v>-600</v>
      </c>
      <c r="I59" s="82" t="n">
        <f aca="false">I42+I58</f>
        <v>-618</v>
      </c>
      <c r="J59" s="82" t="n">
        <f aca="false">J42+J58</f>
        <v>-636.54</v>
      </c>
      <c r="K59" s="82" t="n">
        <f aca="false">K42+K58</f>
        <v>-655.6362</v>
      </c>
      <c r="L59" s="82" t="n">
        <f aca="false">L42+L58</f>
        <v>-675.305286</v>
      </c>
      <c r="M59" s="82" t="n">
        <f aca="false">M42+M58</f>
        <v>-995.56444458</v>
      </c>
      <c r="N59" s="82" t="n">
        <f aca="false">N42+N58</f>
        <v>-1016.4313779174</v>
      </c>
      <c r="O59" s="82" t="n">
        <f aca="false">O42+O58</f>
        <v>-1537.92431925492</v>
      </c>
      <c r="P59" s="82" t="n">
        <f aca="false">P42+P58</f>
        <v>-48451.7601651653</v>
      </c>
      <c r="Q59" s="82" t="n">
        <f aca="false">Q42+Q58</f>
        <v>-92924.9643162281</v>
      </c>
      <c r="R59" s="82" t="n">
        <f aca="false">R42+R58</f>
        <v>-94775.1121164674</v>
      </c>
      <c r="S59" s="82" t="n">
        <f aca="false">S42+S58</f>
        <v>-92324.8006941021</v>
      </c>
      <c r="T59" s="82" t="n">
        <f aca="false">T42+T58</f>
        <v>-93971.9194236608</v>
      </c>
      <c r="U59" s="82" t="n">
        <f aca="false">U42+U58</f>
        <v>-95303.8624370733</v>
      </c>
      <c r="V59" s="82" t="n">
        <f aca="false">V42+V58</f>
        <v>-95825.7919912777</v>
      </c>
      <c r="W59" s="82" t="n">
        <f aca="false">W42+W58</f>
        <v>-96231.3916100424</v>
      </c>
      <c r="X59" s="82" t="n">
        <f aca="false">X42+X58</f>
        <v>-96533.9794749395</v>
      </c>
      <c r="Y59" s="82" t="n">
        <f aca="false">Y42+Y58</f>
        <v>-96740.0606573103</v>
      </c>
      <c r="Z59" s="82" t="n">
        <f aca="false">Z42+Z58</f>
        <v>-96831.4426742826</v>
      </c>
      <c r="AA59" s="82" t="n">
        <f aca="false">AA42+AA58</f>
        <v>-96793.6126483901</v>
      </c>
      <c r="AB59" s="82" t="n">
        <f aca="false">AB42+AB58</f>
        <v>-96605.048241133</v>
      </c>
      <c r="AC59" s="82" t="n">
        <f aca="false">AC42+AC58</f>
        <v>-171274.587337749</v>
      </c>
      <c r="AD59" s="82" t="n">
        <f aca="false">AD42+AD58</f>
        <v>-170732.226819309</v>
      </c>
      <c r="AE59" s="82" t="n">
        <f aca="false">AE42+AE58</f>
        <v>-170008.951441475</v>
      </c>
      <c r="AF59" s="82" t="n">
        <f aca="false">AF42+AF58</f>
        <v>-169090.509543334</v>
      </c>
      <c r="AG59" s="82" t="n">
        <f aca="false">AG42+AG58</f>
        <v>-167905.240357135</v>
      </c>
      <c r="AH59" s="82" t="n">
        <f aca="false">AH42+AH58</f>
        <v>-166487.867214827</v>
      </c>
      <c r="AI59" s="82" t="n">
        <f aca="false">AI42+AI58</f>
        <v>-164734.700418377</v>
      </c>
      <c r="AJ59" s="82" t="n">
        <f aca="false">AJ42+AJ58</f>
        <v>-162689.138609122</v>
      </c>
      <c r="AK59" s="82" t="n">
        <f aca="false">AK42+AK58</f>
        <v>-160273.705841695</v>
      </c>
      <c r="AL59" s="82" t="n">
        <f aca="false">AL42+AL58</f>
        <v>-157473.95758497</v>
      </c>
      <c r="AM59" s="82" t="n">
        <f aca="false">AM42+AM58</f>
        <v>-154243.312975212</v>
      </c>
      <c r="AN59" s="82" t="n">
        <f aca="false">AN42+AN58</f>
        <v>-150535.307681846</v>
      </c>
      <c r="AO59" s="82" t="n">
        <f aca="false">AO42+AO58</f>
        <v>-282112.323875956</v>
      </c>
      <c r="AP59" s="82" t="n">
        <f aca="false">AP42+AP58</f>
        <v>-277298.934144628</v>
      </c>
      <c r="AQ59" s="82" t="n">
        <f aca="false">AQ42+AQ58</f>
        <v>-271851.665747265</v>
      </c>
      <c r="AR59" s="82" t="n">
        <f aca="false">AR42+AR58</f>
        <v>-265727.945856335</v>
      </c>
      <c r="AS59" s="82" t="n">
        <f aca="false">AS42+AS58</f>
        <v>-258826.657675995</v>
      </c>
      <c r="AT59" s="82" t="n">
        <f aca="false">AT42+AT58</f>
        <v>-251109.713157855</v>
      </c>
      <c r="AU59" s="82" t="n">
        <f aca="false">AU42+AU58</f>
        <v>-242504.201173767</v>
      </c>
      <c r="AV59" s="82" t="n">
        <f aca="false">AV42+AV58</f>
        <v>-232886.65268244</v>
      </c>
      <c r="AW59" s="82" t="n">
        <f aca="false">AW42+AW58</f>
        <v>-222159.95527477</v>
      </c>
      <c r="AX59" s="82" t="n">
        <f aca="false">AX42+AX58</f>
        <v>-210283.775508142</v>
      </c>
      <c r="AY59" s="82" t="n">
        <f aca="false">AY42+AY58</f>
        <v>-197104.974632017</v>
      </c>
      <c r="AZ59" s="82" t="n">
        <f aca="false">AZ42+AZ58</f>
        <v>-182501.736734095</v>
      </c>
      <c r="BA59" s="82" t="n">
        <f aca="false">BA42+BA58</f>
        <v>-287353.477684</v>
      </c>
      <c r="BB59" s="82" t="n">
        <f aca="false">BB42+BB58</f>
        <v>-269532.944539271</v>
      </c>
      <c r="BC59" s="82" t="n">
        <f aca="false">BC42+BC58</f>
        <v>-249896.532050604</v>
      </c>
      <c r="BD59" s="82" t="n">
        <f aca="false">BD42+BD58</f>
        <v>-228263.2395572</v>
      </c>
      <c r="BE59" s="82" t="n">
        <f aca="false">BE42+BE58</f>
        <v>-204457.692251773</v>
      </c>
      <c r="BF59" s="82" t="n">
        <f aca="false">BF42+BF58</f>
        <v>-178277.684443234</v>
      </c>
      <c r="BG59" s="82" t="n">
        <f aca="false">BG42+BG58</f>
        <v>-149545.630804381</v>
      </c>
      <c r="BH59" s="82" t="n">
        <f aca="false">BH42+BH58</f>
        <v>-117933.868971206</v>
      </c>
      <c r="BI59" s="82" t="n">
        <f aca="false">BI42+BI58</f>
        <v>-81910.3852825962</v>
      </c>
      <c r="BJ59" s="82" t="n">
        <f aca="false">BJ42+BJ58</f>
        <v>-42514.3700159496</v>
      </c>
      <c r="BK59" s="82" t="n">
        <f aca="false">BK42+BK58</f>
        <v>564.765166496392</v>
      </c>
      <c r="BL59" s="82" t="n">
        <f aca="false">BL42+BL58</f>
        <v>47590.8664783646</v>
      </c>
      <c r="BM59" s="82" t="n">
        <f aca="false">SUM(E59:BL59)</f>
        <v>-7821397.3843215</v>
      </c>
    </row>
    <row r="60" customFormat="false" ht="15" hidden="false" customHeight="false" outlineLevel="0" collapsed="false">
      <c r="A60" s="49" t="s">
        <v>196</v>
      </c>
      <c r="E60" s="80" t="n">
        <f aca="false">IFERROR(E59/E42,0)</f>
        <v>0</v>
      </c>
      <c r="F60" s="80" t="n">
        <f aca="false">IFERROR(F59/F42,0)</f>
        <v>0</v>
      </c>
      <c r="G60" s="80" t="n">
        <f aca="false">IFERROR(G59/G42,0)</f>
        <v>0</v>
      </c>
      <c r="H60" s="80" t="n">
        <f aca="false">IFERROR(H59/H42,0)</f>
        <v>0</v>
      </c>
      <c r="I60" s="80" t="n">
        <f aca="false">IFERROR(I59/I42,0)</f>
        <v>0</v>
      </c>
      <c r="J60" s="80" t="n">
        <f aca="false">IFERROR(J59/J42,0)</f>
        <v>0</v>
      </c>
      <c r="K60" s="80" t="n">
        <f aca="false">IFERROR(K59/K42,0)</f>
        <v>0</v>
      </c>
      <c r="L60" s="80" t="n">
        <f aca="false">IFERROR(L59/L42,0)</f>
        <v>0</v>
      </c>
      <c r="M60" s="80" t="n">
        <f aca="false">IFERROR(M59/M42,0)</f>
        <v>0</v>
      </c>
      <c r="N60" s="80" t="n">
        <f aca="false">IFERROR(N59/N42,0)</f>
        <v>0</v>
      </c>
      <c r="O60" s="80" t="n">
        <f aca="false">IFERROR(O59/O42,0)</f>
        <v>0</v>
      </c>
      <c r="P60" s="80" t="n">
        <f aca="false">IFERROR(P59/P42,0)</f>
        <v>-18.6800230810959</v>
      </c>
      <c r="Q60" s="80" t="n">
        <f aca="false">IFERROR(Q59/Q42,0)</f>
        <v>-17.7091622964788</v>
      </c>
      <c r="R60" s="80" t="n">
        <f aca="false">IFERROR(R59/R42,0)</f>
        <v>-11.8207876402494</v>
      </c>
      <c r="S60" s="80" t="n">
        <f aca="false">IFERROR(S59/S42,0)</f>
        <v>-6.1158098684447</v>
      </c>
      <c r="T60" s="80" t="n">
        <f aca="false">IFERROR(T59/T42,0)</f>
        <v>-5.19161412275376</v>
      </c>
      <c r="U60" s="80" t="n">
        <f aca="false">IFERROR(U59/U42,0)</f>
        <v>-4.48461714897591</v>
      </c>
      <c r="V60" s="80" t="n">
        <f aca="false">IFERROR(V59/V42,0)</f>
        <v>-3.90360930910363</v>
      </c>
      <c r="W60" s="80" t="n">
        <f aca="false">IFERROR(W59/W42,0)</f>
        <v>-3.43091992359293</v>
      </c>
      <c r="X60" s="80" t="n">
        <f aca="false">IFERROR(X59/X42,0)</f>
        <v>-3.04020962176402</v>
      </c>
      <c r="Y60" s="80" t="n">
        <f aca="false">IFERROR(Y59/Y42,0)</f>
        <v>-2.71279330588221</v>
      </c>
      <c r="Z60" s="80" t="n">
        <f aca="false">IFERROR(Z59/Z42,0)</f>
        <v>-2.43282657612327</v>
      </c>
      <c r="AA60" s="80" t="n">
        <f aca="false">IFERROR(AA59/AA42,0)</f>
        <v>-2.18963071130815</v>
      </c>
      <c r="AB60" s="80" t="n">
        <f aca="false">IFERROR(AB59/AB42,0)</f>
        <v>-1.97556401515105</v>
      </c>
      <c r="AC60" s="80" t="n">
        <f aca="false">IFERROR(AC59/AC42,0)</f>
        <v>-3.17845929313789</v>
      </c>
      <c r="AD60" s="80" t="n">
        <f aca="false">IFERROR(AD59/AD42,0)</f>
        <v>-2.88154934334986</v>
      </c>
      <c r="AE60" s="80" t="n">
        <f aca="false">IFERROR(AE59/AE42,0)</f>
        <v>-2.61696695372889</v>
      </c>
      <c r="AF60" s="80" t="n">
        <f aca="false">IFERROR(AF59/AF42,0)</f>
        <v>-2.37964028600439</v>
      </c>
      <c r="AG60" s="80" t="n">
        <f aca="false">IFERROR(AG59/AG42,0)</f>
        <v>-2.1632789836706</v>
      </c>
      <c r="AH60" s="80" t="n">
        <f aca="false">IFERROR(AH59/AH42,0)</f>
        <v>-1.96764546913098</v>
      </c>
      <c r="AI60" s="80" t="n">
        <f aca="false">IFERROR(AI59/AI42,0)</f>
        <v>-1.78743071293769</v>
      </c>
      <c r="AJ60" s="80" t="n">
        <f aca="false">IFERROR(AJ59/AJ42,0)</f>
        <v>-1.6230223204559</v>
      </c>
      <c r="AK60" s="80" t="n">
        <f aca="false">IFERROR(AK59/AK42,0)</f>
        <v>-1.47139319948151</v>
      </c>
      <c r="AL60" s="80" t="n">
        <f aca="false">IFERROR(AL59/AL42,0)</f>
        <v>-1.33162667817727</v>
      </c>
      <c r="AM60" s="80" t="n">
        <f aca="false">IFERROR(AM59/AM42,0)</f>
        <v>-1.2023211304135</v>
      </c>
      <c r="AN60" s="80" t="n">
        <f aca="false">IFERROR(AN59/AN42,0)</f>
        <v>-1.08237664744839</v>
      </c>
      <c r="AO60" s="80" t="n">
        <f aca="false">IFERROR(AO59/AO42,0)</f>
        <v>-1.87217172362387</v>
      </c>
      <c r="AP60" s="80" t="n">
        <f aca="false">IFERROR(AP59/AP42,0)</f>
        <v>-1.69911654942158</v>
      </c>
      <c r="AQ60" s="80" t="n">
        <f aca="false">IFERROR(AQ59/AQ42,0)</f>
        <v>-1.53865493262105</v>
      </c>
      <c r="AR60" s="80" t="n">
        <f aca="false">IFERROR(AR59/AR42,0)</f>
        <v>-1.38990005898328</v>
      </c>
      <c r="AS60" s="80" t="n">
        <f aca="false">IFERROR(AS59/AS42,0)</f>
        <v>-1.25140082543683</v>
      </c>
      <c r="AT60" s="80" t="n">
        <f aca="false">IFERROR(AT59/AT42,0)</f>
        <v>-1.12265641226984</v>
      </c>
      <c r="AU60" s="80" t="n">
        <f aca="false">IFERROR(AU59/AU42,0)</f>
        <v>-1.00287703972517</v>
      </c>
      <c r="AV60" s="80" t="n">
        <f aca="false">IFERROR(AV59/AV42,0)</f>
        <v>-0.890996342487342</v>
      </c>
      <c r="AW60" s="80" t="n">
        <f aca="false">IFERROR(AW59/AW42,0)</f>
        <v>-0.786406337727239</v>
      </c>
      <c r="AX60" s="80" t="n">
        <f aca="false">IFERROR(AX59/AX42,0)</f>
        <v>-0.688922397802887</v>
      </c>
      <c r="AY60" s="80" t="n">
        <f aca="false">IFERROR(AY59/AY42,0)</f>
        <v>-0.597721346283156</v>
      </c>
      <c r="AZ60" s="80" t="n">
        <f aca="false">IFERROR(AZ59/AZ42,0)</f>
        <v>-0.512325631581475</v>
      </c>
      <c r="BA60" s="80" t="n">
        <f aca="false">IFERROR(BA59/BA42,0)</f>
        <v>-0.746822777739323</v>
      </c>
      <c r="BB60" s="80" t="n">
        <f aca="false">IFERROR(BB59/BB42,0)</f>
        <v>-0.648623633658473</v>
      </c>
      <c r="BC60" s="80" t="n">
        <f aca="false">IFERROR(BC59/BC42,0)</f>
        <v>-0.556893089885992</v>
      </c>
      <c r="BD60" s="80" t="n">
        <f aca="false">IFERROR(BD59/BD42,0)</f>
        <v>-0.471095788389614</v>
      </c>
      <c r="BE60" s="80" t="n">
        <f aca="false">IFERROR(BE59/BE42,0)</f>
        <v>-0.390810662101812</v>
      </c>
      <c r="BF60" s="80" t="n">
        <f aca="false">IFERROR(BF59/BF42,0)</f>
        <v>-0.315620360152609</v>
      </c>
      <c r="BG60" s="80" t="n">
        <f aca="false">IFERROR(BG59/BG42,0)</f>
        <v>-0.245236858907043</v>
      </c>
      <c r="BH60" s="80" t="n">
        <f aca="false">IFERROR(BH59/BH42,0)</f>
        <v>-0.179144972958975</v>
      </c>
      <c r="BI60" s="80" t="n">
        <f aca="false">IFERROR(BI59/BI42,0)</f>
        <v>-0.115259828169117</v>
      </c>
      <c r="BJ60" s="80" t="n">
        <f aca="false">IFERROR(BJ59/BJ42,0)</f>
        <v>-0.0554202489030937</v>
      </c>
      <c r="BK60" s="80" t="n">
        <f aca="false">IFERROR(BK59/BK42,0)</f>
        <v>0.000682021236125978</v>
      </c>
      <c r="BL60" s="80" t="n">
        <f aca="false">IFERROR(BL59/BL42,0)</f>
        <v>0.0532454390639805</v>
      </c>
      <c r="BM60" s="74" t="n">
        <f aca="false">BL60</f>
        <v>0.0532454390639805</v>
      </c>
    </row>
    <row r="61" customFormat="false" ht="15" hidden="false" customHeight="false" outlineLevel="0" collapsed="false">
      <c r="A61" s="49" t="s">
        <v>197</v>
      </c>
      <c r="E61" s="87" t="n">
        <f aca="false">E59</f>
        <v>0</v>
      </c>
      <c r="F61" s="87" t="n">
        <f aca="false">E61+F59</f>
        <v>0</v>
      </c>
      <c r="G61" s="87" t="n">
        <f aca="false">F61+G59</f>
        <v>0</v>
      </c>
      <c r="H61" s="87" t="n">
        <f aca="false">G61+H59</f>
        <v>-600</v>
      </c>
      <c r="I61" s="87" t="n">
        <f aca="false">H61+I59</f>
        <v>-1218</v>
      </c>
      <c r="J61" s="87" t="n">
        <f aca="false">I61+J59</f>
        <v>-1854.54</v>
      </c>
      <c r="K61" s="87" t="n">
        <f aca="false">J61+K59</f>
        <v>-2510.1762</v>
      </c>
      <c r="L61" s="87" t="n">
        <f aca="false">K61+L59</f>
        <v>-3185.481486</v>
      </c>
      <c r="M61" s="87" t="n">
        <f aca="false">L61+M59</f>
        <v>-4181.04593058</v>
      </c>
      <c r="N61" s="87" t="n">
        <f aca="false">M61+N59</f>
        <v>-5197.4773084974</v>
      </c>
      <c r="O61" s="87" t="n">
        <f aca="false">N61+O59</f>
        <v>-6735.40162775232</v>
      </c>
      <c r="P61" s="87" t="n">
        <f aca="false">O61+P59</f>
        <v>-55187.1617929176</v>
      </c>
      <c r="Q61" s="87" t="n">
        <f aca="false">P61+Q59</f>
        <v>-148112.126109146</v>
      </c>
      <c r="R61" s="87" t="n">
        <f aca="false">Q61+R59</f>
        <v>-242887.238225613</v>
      </c>
      <c r="S61" s="87" t="n">
        <f aca="false">R61+S59</f>
        <v>-335212.038919715</v>
      </c>
      <c r="T61" s="87" t="n">
        <f aca="false">S61+T59</f>
        <v>-429183.958343376</v>
      </c>
      <c r="U61" s="87" t="n">
        <f aca="false">T61+U59</f>
        <v>-524487.820780449</v>
      </c>
      <c r="V61" s="87" t="n">
        <f aca="false">U61+V59</f>
        <v>-620313.612771727</v>
      </c>
      <c r="W61" s="87" t="n">
        <f aca="false">V61+W59</f>
        <v>-716545.00438177</v>
      </c>
      <c r="X61" s="87" t="n">
        <f aca="false">W61+X59</f>
        <v>-813078.983856709</v>
      </c>
      <c r="Y61" s="87" t="n">
        <f aca="false">X61+Y59</f>
        <v>-909819.044514019</v>
      </c>
      <c r="Z61" s="87" t="n">
        <f aca="false">Y61+Z59</f>
        <v>-1006650.4871883</v>
      </c>
      <c r="AA61" s="87" t="n">
        <f aca="false">Z61+AA59</f>
        <v>-1103444.09983669</v>
      </c>
      <c r="AB61" s="87" t="n">
        <f aca="false">AA61+AB59</f>
        <v>-1200049.14807783</v>
      </c>
      <c r="AC61" s="87" t="n">
        <f aca="false">AB61+AC59</f>
        <v>-1371323.73541557</v>
      </c>
      <c r="AD61" s="87" t="n">
        <f aca="false">AC61+AD59</f>
        <v>-1542055.96223488</v>
      </c>
      <c r="AE61" s="87" t="n">
        <f aca="false">AD61+AE59</f>
        <v>-1712064.91367636</v>
      </c>
      <c r="AF61" s="87" t="n">
        <f aca="false">AE61+AF59</f>
        <v>-1881155.42321969</v>
      </c>
      <c r="AG61" s="87" t="n">
        <f aca="false">AF61+AG59</f>
        <v>-2049060.66357683</v>
      </c>
      <c r="AH61" s="87" t="n">
        <f aca="false">AG61+AH59</f>
        <v>-2215548.53079166</v>
      </c>
      <c r="AI61" s="87" t="n">
        <f aca="false">AH61+AI59</f>
        <v>-2380283.23121003</v>
      </c>
      <c r="AJ61" s="87" t="n">
        <f aca="false">AI61+AJ59</f>
        <v>-2542972.36981915</v>
      </c>
      <c r="AK61" s="87" t="n">
        <f aca="false">AJ61+AK59</f>
        <v>-2703246.07566085</v>
      </c>
      <c r="AL61" s="87" t="n">
        <f aca="false">AK61+AL59</f>
        <v>-2860720.03324582</v>
      </c>
      <c r="AM61" s="87" t="n">
        <f aca="false">AL61+AM59</f>
        <v>-3014963.34622103</v>
      </c>
      <c r="AN61" s="87" t="n">
        <f aca="false">AM61+AN59</f>
        <v>-3165498.65390288</v>
      </c>
      <c r="AO61" s="87" t="n">
        <f aca="false">AN61+AO59</f>
        <v>-3447610.97777883</v>
      </c>
      <c r="AP61" s="87" t="n">
        <f aca="false">AO61+AP59</f>
        <v>-3724909.91192346</v>
      </c>
      <c r="AQ61" s="87" t="n">
        <f aca="false">AP61+AQ59</f>
        <v>-3996761.57767073</v>
      </c>
      <c r="AR61" s="87" t="n">
        <f aca="false">AQ61+AR59</f>
        <v>-4262489.52352706</v>
      </c>
      <c r="AS61" s="87" t="n">
        <f aca="false">AR61+AS59</f>
        <v>-4521316.18120306</v>
      </c>
      <c r="AT61" s="87" t="n">
        <f aca="false">AS61+AT59</f>
        <v>-4772425.89436091</v>
      </c>
      <c r="AU61" s="87" t="n">
        <f aca="false">AT61+AU59</f>
        <v>-5014930.09553468</v>
      </c>
      <c r="AV61" s="87" t="n">
        <f aca="false">AU61+AV59</f>
        <v>-5247816.74821712</v>
      </c>
      <c r="AW61" s="87" t="n">
        <f aca="false">AV61+AW59</f>
        <v>-5469976.70349189</v>
      </c>
      <c r="AX61" s="87" t="n">
        <f aca="false">AW61+AX59</f>
        <v>-5680260.47900003</v>
      </c>
      <c r="AY61" s="87" t="n">
        <f aca="false">AX61+AY59</f>
        <v>-5877365.45363205</v>
      </c>
      <c r="AZ61" s="87" t="n">
        <f aca="false">AY61+AZ59</f>
        <v>-6059867.19036614</v>
      </c>
      <c r="BA61" s="87" t="n">
        <f aca="false">AZ61+BA59</f>
        <v>-6347220.66805014</v>
      </c>
      <c r="BB61" s="87" t="n">
        <f aca="false">BA61+BB59</f>
        <v>-6616753.61258942</v>
      </c>
      <c r="BC61" s="87" t="n">
        <f aca="false">BB61+BC59</f>
        <v>-6866650.14464002</v>
      </c>
      <c r="BD61" s="87" t="n">
        <f aca="false">BC61+BD59</f>
        <v>-7094913.38419722</v>
      </c>
      <c r="BE61" s="87" t="n">
        <f aca="false">BD61+BE59</f>
        <v>-7299371.07644899</v>
      </c>
      <c r="BF61" s="87" t="n">
        <f aca="false">BE61+BF59</f>
        <v>-7477648.76089223</v>
      </c>
      <c r="BG61" s="87" t="n">
        <f aca="false">BF61+BG59</f>
        <v>-7627194.39169661</v>
      </c>
      <c r="BH61" s="87" t="n">
        <f aca="false">BG61+BH59</f>
        <v>-7745128.26066781</v>
      </c>
      <c r="BI61" s="87" t="n">
        <f aca="false">BH61+BI59</f>
        <v>-7827038.64595041</v>
      </c>
      <c r="BJ61" s="87" t="n">
        <f aca="false">BI61+BJ59</f>
        <v>-7869553.01596636</v>
      </c>
      <c r="BK61" s="87" t="n">
        <f aca="false">BJ61+BK59</f>
        <v>-7868988.25079986</v>
      </c>
      <c r="BL61" s="87" t="n">
        <f aca="false">BK61+BL59</f>
        <v>-7821397.3843215</v>
      </c>
      <c r="BM61" s="82" t="n">
        <f aca="false">BL61</f>
        <v>-7821397.3843215</v>
      </c>
    </row>
    <row r="63" customFormat="false" ht="18" hidden="false" customHeight="true" outlineLevel="0" collapsed="false">
      <c r="A63" s="19" t="s">
        <v>198</v>
      </c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</row>
    <row r="64" customFormat="false" ht="15" hidden="false" customHeight="false" outlineLevel="0" collapsed="false">
      <c r="A64" s="37" t="s">
        <v>199</v>
      </c>
      <c r="B64" s="85" t="s">
        <v>155</v>
      </c>
      <c r="C64" s="85" t="s">
        <v>155</v>
      </c>
      <c r="D64" s="85" t="s">
        <v>155</v>
      </c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AU64" s="86"/>
      <c r="AV64" s="86"/>
      <c r="AW64" s="86"/>
      <c r="AX64" s="86"/>
      <c r="AY64" s="86"/>
      <c r="AZ64" s="86"/>
      <c r="BA64" s="86"/>
      <c r="BB64" s="86"/>
      <c r="BC64" s="86"/>
      <c r="BD64" s="86"/>
      <c r="BE64" s="86"/>
      <c r="BF64" s="86"/>
      <c r="BG64" s="86"/>
      <c r="BH64" s="86"/>
      <c r="BI64" s="86"/>
      <c r="BJ64" s="86"/>
      <c r="BK64" s="86"/>
      <c r="BL64" s="86"/>
      <c r="BM64" s="82" t="n">
        <f aca="false">SUM(E64:BL64)</f>
        <v>0</v>
      </c>
      <c r="BN64" s="35" t="s">
        <v>200</v>
      </c>
    </row>
    <row r="65" customFormat="false" ht="15" hidden="false" customHeight="false" outlineLevel="0" collapsed="false">
      <c r="A65" s="83" t="s">
        <v>201</v>
      </c>
      <c r="E65" s="84" t="n">
        <f aca="false">-Equipe!E46</f>
        <v>-0</v>
      </c>
      <c r="F65" s="84" t="n">
        <f aca="false">-Equipe!F46</f>
        <v>-0</v>
      </c>
      <c r="G65" s="84" t="n">
        <f aca="false">-Equipe!G46</f>
        <v>-0</v>
      </c>
      <c r="H65" s="84" t="n">
        <f aca="false">-Equipe!H46</f>
        <v>-0</v>
      </c>
      <c r="I65" s="84" t="n">
        <f aca="false">-Equipe!I46</f>
        <v>-0</v>
      </c>
      <c r="J65" s="84" t="n">
        <f aca="false">-Equipe!J46</f>
        <v>-0</v>
      </c>
      <c r="K65" s="84" t="n">
        <f aca="false">-Equipe!K46</f>
        <v>-0</v>
      </c>
      <c r="L65" s="84" t="n">
        <f aca="false">-Equipe!L46</f>
        <v>-0</v>
      </c>
      <c r="M65" s="84" t="n">
        <f aca="false">-Equipe!M46</f>
        <v>-10500</v>
      </c>
      <c r="N65" s="84" t="n">
        <f aca="false">-Equipe!N46</f>
        <v>-10500</v>
      </c>
      <c r="O65" s="84" t="n">
        <f aca="false">-Equipe!O46</f>
        <v>-0</v>
      </c>
      <c r="P65" s="84" t="n">
        <f aca="false">-Equipe!P46</f>
        <v>-0</v>
      </c>
      <c r="Q65" s="84" t="n">
        <f aca="false">-Equipe!Q46</f>
        <v>-0</v>
      </c>
      <c r="R65" s="84" t="n">
        <f aca="false">-Equipe!R46</f>
        <v>-0</v>
      </c>
      <c r="S65" s="84" t="n">
        <f aca="false">-Equipe!S46</f>
        <v>-0</v>
      </c>
      <c r="T65" s="84" t="n">
        <f aca="false">-Equipe!T46</f>
        <v>-0</v>
      </c>
      <c r="U65" s="84" t="n">
        <f aca="false">-Equipe!U46</f>
        <v>-0</v>
      </c>
      <c r="V65" s="84" t="n">
        <f aca="false">-Equipe!V46</f>
        <v>-0</v>
      </c>
      <c r="W65" s="84" t="n">
        <f aca="false">-Equipe!W46</f>
        <v>-0</v>
      </c>
      <c r="X65" s="84" t="n">
        <f aca="false">-Equipe!X46</f>
        <v>-0</v>
      </c>
      <c r="Y65" s="84" t="n">
        <f aca="false">-Equipe!Y46</f>
        <v>-0</v>
      </c>
      <c r="Z65" s="84" t="n">
        <f aca="false">-Equipe!Z46</f>
        <v>-0</v>
      </c>
      <c r="AA65" s="84" t="n">
        <f aca="false">-Equipe!AA46</f>
        <v>-0</v>
      </c>
      <c r="AB65" s="84" t="n">
        <f aca="false">-Equipe!AB46</f>
        <v>-0</v>
      </c>
      <c r="AC65" s="84" t="n">
        <f aca="false">-Equipe!AC46</f>
        <v>-0</v>
      </c>
      <c r="AD65" s="84" t="n">
        <f aca="false">-Equipe!AD46</f>
        <v>-0</v>
      </c>
      <c r="AE65" s="84" t="n">
        <f aca="false">-Equipe!AE46</f>
        <v>-0</v>
      </c>
      <c r="AF65" s="84" t="n">
        <f aca="false">-Equipe!AF46</f>
        <v>-0</v>
      </c>
      <c r="AG65" s="84" t="n">
        <f aca="false">-Equipe!AG46</f>
        <v>-0</v>
      </c>
      <c r="AH65" s="84" t="n">
        <f aca="false">-Equipe!AH46</f>
        <v>-0</v>
      </c>
      <c r="AI65" s="84" t="n">
        <f aca="false">-Equipe!AI46</f>
        <v>-0</v>
      </c>
      <c r="AJ65" s="84" t="n">
        <f aca="false">-Equipe!AJ46</f>
        <v>-0</v>
      </c>
      <c r="AK65" s="84" t="n">
        <f aca="false">-Equipe!AK46</f>
        <v>-0</v>
      </c>
      <c r="AL65" s="84" t="n">
        <f aca="false">-Equipe!AL46</f>
        <v>-0</v>
      </c>
      <c r="AM65" s="84" t="n">
        <f aca="false">-Equipe!AM46</f>
        <v>-0</v>
      </c>
      <c r="AN65" s="84" t="n">
        <f aca="false">-Equipe!AN46</f>
        <v>-0</v>
      </c>
      <c r="AO65" s="84" t="n">
        <f aca="false">-Equipe!AO46</f>
        <v>-0</v>
      </c>
      <c r="AP65" s="84" t="n">
        <f aca="false">-Equipe!AP46</f>
        <v>-0</v>
      </c>
      <c r="AQ65" s="84" t="n">
        <f aca="false">-Equipe!AQ46</f>
        <v>-0</v>
      </c>
      <c r="AR65" s="84" t="n">
        <f aca="false">-Equipe!AR46</f>
        <v>-0</v>
      </c>
      <c r="AS65" s="84" t="n">
        <f aca="false">-Equipe!AS46</f>
        <v>-0</v>
      </c>
      <c r="AT65" s="84" t="n">
        <f aca="false">-Equipe!AT46</f>
        <v>-0</v>
      </c>
      <c r="AU65" s="84" t="n">
        <f aca="false">-Equipe!AU46</f>
        <v>-0</v>
      </c>
      <c r="AV65" s="84" t="n">
        <f aca="false">-Equipe!AV46</f>
        <v>-0</v>
      </c>
      <c r="AW65" s="84" t="n">
        <f aca="false">-Equipe!AW46</f>
        <v>-0</v>
      </c>
      <c r="AX65" s="84" t="n">
        <f aca="false">-Equipe!AX46</f>
        <v>-0</v>
      </c>
      <c r="AY65" s="84" t="n">
        <f aca="false">-Equipe!AY46</f>
        <v>-0</v>
      </c>
      <c r="AZ65" s="84" t="n">
        <f aca="false">-Equipe!AZ46</f>
        <v>-0</v>
      </c>
      <c r="BA65" s="84" t="n">
        <f aca="false">-Equipe!BA46</f>
        <v>-0</v>
      </c>
      <c r="BB65" s="84" t="n">
        <f aca="false">-Equipe!BB46</f>
        <v>-0</v>
      </c>
      <c r="BC65" s="84" t="n">
        <f aca="false">-Equipe!BC46</f>
        <v>-0</v>
      </c>
      <c r="BD65" s="84" t="n">
        <f aca="false">-Equipe!BD46</f>
        <v>-0</v>
      </c>
      <c r="BE65" s="84" t="n">
        <f aca="false">-Equipe!BE46</f>
        <v>-0</v>
      </c>
      <c r="BF65" s="84" t="n">
        <f aca="false">-Equipe!BF46</f>
        <v>-0</v>
      </c>
      <c r="BG65" s="84" t="n">
        <f aca="false">-Equipe!BG46</f>
        <v>-0</v>
      </c>
      <c r="BH65" s="84" t="n">
        <f aca="false">-Equipe!BH46</f>
        <v>-0</v>
      </c>
      <c r="BI65" s="84" t="n">
        <f aca="false">-Equipe!BI46</f>
        <v>-0</v>
      </c>
      <c r="BJ65" s="84" t="n">
        <f aca="false">-Equipe!BJ46</f>
        <v>-0</v>
      </c>
      <c r="BK65" s="84" t="n">
        <f aca="false">-Equipe!BK46</f>
        <v>-0</v>
      </c>
      <c r="BL65" s="84" t="n">
        <f aca="false">-Equipe!BL46</f>
        <v>-0</v>
      </c>
      <c r="BM65" s="82" t="n">
        <f aca="false">SUM(E65:BL65)</f>
        <v>-21000</v>
      </c>
    </row>
    <row r="66" customFormat="false" ht="15" hidden="false" customHeight="false" outlineLevel="0" collapsed="false">
      <c r="A66" s="63" t="s">
        <v>202</v>
      </c>
      <c r="E66" s="82" t="n">
        <f aca="false">E59-E64+E65</f>
        <v>0</v>
      </c>
      <c r="F66" s="82" t="n">
        <f aca="false">F59-F64+F65</f>
        <v>0</v>
      </c>
      <c r="G66" s="82" t="n">
        <f aca="false">G59-G64+G65</f>
        <v>0</v>
      </c>
      <c r="H66" s="82" t="n">
        <f aca="false">H59-H64+H65</f>
        <v>-600</v>
      </c>
      <c r="I66" s="82" t="n">
        <f aca="false">I59-I64+I65</f>
        <v>-618</v>
      </c>
      <c r="J66" s="82" t="n">
        <f aca="false">J59-J64+J65</f>
        <v>-636.54</v>
      </c>
      <c r="K66" s="82" t="n">
        <f aca="false">K59-K64+K65</f>
        <v>-655.6362</v>
      </c>
      <c r="L66" s="82" t="n">
        <f aca="false">L59-L64+L65</f>
        <v>-675.305286</v>
      </c>
      <c r="M66" s="82" t="n">
        <f aca="false">M59-M64+M65</f>
        <v>-11495.56444458</v>
      </c>
      <c r="N66" s="82" t="n">
        <f aca="false">N59-N64+N65</f>
        <v>-11516.4313779174</v>
      </c>
      <c r="O66" s="82" t="n">
        <f aca="false">O59-O64+O65</f>
        <v>-1537.92431925492</v>
      </c>
      <c r="P66" s="82" t="n">
        <f aca="false">P59-P64+P65</f>
        <v>-48451.7601651653</v>
      </c>
      <c r="Q66" s="82" t="n">
        <f aca="false">Q59-Q64+Q65</f>
        <v>-92924.9643162281</v>
      </c>
      <c r="R66" s="82" t="n">
        <f aca="false">R59-R64+R65</f>
        <v>-94775.1121164674</v>
      </c>
      <c r="S66" s="82" t="n">
        <f aca="false">S59-S64+S65</f>
        <v>-92324.8006941021</v>
      </c>
      <c r="T66" s="82" t="n">
        <f aca="false">T59-T64+T65</f>
        <v>-93971.9194236608</v>
      </c>
      <c r="U66" s="82" t="n">
        <f aca="false">U59-U64+U65</f>
        <v>-95303.8624370733</v>
      </c>
      <c r="V66" s="82" t="n">
        <f aca="false">V59-V64+V65</f>
        <v>-95825.7919912777</v>
      </c>
      <c r="W66" s="82" t="n">
        <f aca="false">W59-W64+W65</f>
        <v>-96231.3916100424</v>
      </c>
      <c r="X66" s="82" t="n">
        <f aca="false">X59-X64+X65</f>
        <v>-96533.9794749395</v>
      </c>
      <c r="Y66" s="82" t="n">
        <f aca="false">Y59-Y64+Y65</f>
        <v>-96740.0606573103</v>
      </c>
      <c r="Z66" s="82" t="n">
        <f aca="false">Z59-Z64+Z65</f>
        <v>-96831.4426742826</v>
      </c>
      <c r="AA66" s="82" t="n">
        <f aca="false">AA59-AA64+AA65</f>
        <v>-96793.6126483901</v>
      </c>
      <c r="AB66" s="82" t="n">
        <f aca="false">AB59-AB64+AB65</f>
        <v>-96605.048241133</v>
      </c>
      <c r="AC66" s="82" t="n">
        <f aca="false">AC59-AC64+AC65</f>
        <v>-171274.587337749</v>
      </c>
      <c r="AD66" s="82" t="n">
        <f aca="false">AD59-AD64+AD65</f>
        <v>-170732.226819309</v>
      </c>
      <c r="AE66" s="82" t="n">
        <f aca="false">AE59-AE64+AE65</f>
        <v>-170008.951441475</v>
      </c>
      <c r="AF66" s="82" t="n">
        <f aca="false">AF59-AF64+AF65</f>
        <v>-169090.509543334</v>
      </c>
      <c r="AG66" s="82" t="n">
        <f aca="false">AG59-AG64+AG65</f>
        <v>-167905.240357135</v>
      </c>
      <c r="AH66" s="82" t="n">
        <f aca="false">AH59-AH64+AH65</f>
        <v>-166487.867214827</v>
      </c>
      <c r="AI66" s="82" t="n">
        <f aca="false">AI59-AI64+AI65</f>
        <v>-164734.700418377</v>
      </c>
      <c r="AJ66" s="82" t="n">
        <f aca="false">AJ59-AJ64+AJ65</f>
        <v>-162689.138609122</v>
      </c>
      <c r="AK66" s="82" t="n">
        <f aca="false">AK59-AK64+AK65</f>
        <v>-160273.705841695</v>
      </c>
      <c r="AL66" s="82" t="n">
        <f aca="false">AL59-AL64+AL65</f>
        <v>-157473.95758497</v>
      </c>
      <c r="AM66" s="82" t="n">
        <f aca="false">AM59-AM64+AM65</f>
        <v>-154243.312975212</v>
      </c>
      <c r="AN66" s="82" t="n">
        <f aca="false">AN59-AN64+AN65</f>
        <v>-150535.307681846</v>
      </c>
      <c r="AO66" s="82" t="n">
        <f aca="false">AO59-AO64+AO65</f>
        <v>-282112.323875956</v>
      </c>
      <c r="AP66" s="82" t="n">
        <f aca="false">AP59-AP64+AP65</f>
        <v>-277298.934144628</v>
      </c>
      <c r="AQ66" s="82" t="n">
        <f aca="false">AQ59-AQ64+AQ65</f>
        <v>-271851.665747265</v>
      </c>
      <c r="AR66" s="82" t="n">
        <f aca="false">AR59-AR64+AR65</f>
        <v>-265727.945856335</v>
      </c>
      <c r="AS66" s="82" t="n">
        <f aca="false">AS59-AS64+AS65</f>
        <v>-258826.657675995</v>
      </c>
      <c r="AT66" s="82" t="n">
        <f aca="false">AT59-AT64+AT65</f>
        <v>-251109.713157855</v>
      </c>
      <c r="AU66" s="82" t="n">
        <f aca="false">AU59-AU64+AU65</f>
        <v>-242504.201173767</v>
      </c>
      <c r="AV66" s="82" t="n">
        <f aca="false">AV59-AV64+AV65</f>
        <v>-232886.65268244</v>
      </c>
      <c r="AW66" s="82" t="n">
        <f aca="false">AW59-AW64+AW65</f>
        <v>-222159.95527477</v>
      </c>
      <c r="AX66" s="82" t="n">
        <f aca="false">AX59-AX64+AX65</f>
        <v>-210283.775508142</v>
      </c>
      <c r="AY66" s="82" t="n">
        <f aca="false">AY59-AY64+AY65</f>
        <v>-197104.974632017</v>
      </c>
      <c r="AZ66" s="82" t="n">
        <f aca="false">AZ59-AZ64+AZ65</f>
        <v>-182501.736734095</v>
      </c>
      <c r="BA66" s="82" t="n">
        <f aca="false">BA59-BA64+BA65</f>
        <v>-287353.477684</v>
      </c>
      <c r="BB66" s="82" t="n">
        <f aca="false">BB59-BB64+BB65</f>
        <v>-269532.944539271</v>
      </c>
      <c r="BC66" s="82" t="n">
        <f aca="false">BC59-BC64+BC65</f>
        <v>-249896.532050604</v>
      </c>
      <c r="BD66" s="82" t="n">
        <f aca="false">BD59-BD64+BD65</f>
        <v>-228263.2395572</v>
      </c>
      <c r="BE66" s="82" t="n">
        <f aca="false">BE59-BE64+BE65</f>
        <v>-204457.692251773</v>
      </c>
      <c r="BF66" s="82" t="n">
        <f aca="false">BF59-BF64+BF65</f>
        <v>-178277.684443234</v>
      </c>
      <c r="BG66" s="82" t="n">
        <f aca="false">BG59-BG64+BG65</f>
        <v>-149545.630804381</v>
      </c>
      <c r="BH66" s="82" t="n">
        <f aca="false">BH59-BH64+BH65</f>
        <v>-117933.868971206</v>
      </c>
      <c r="BI66" s="82" t="n">
        <f aca="false">BI59-BI64+BI65</f>
        <v>-81910.3852825962</v>
      </c>
      <c r="BJ66" s="82" t="n">
        <f aca="false">BJ59-BJ64+BJ65</f>
        <v>-42514.3700159496</v>
      </c>
      <c r="BK66" s="82" t="n">
        <f aca="false">BK59-BK64+BK65</f>
        <v>564.765166496392</v>
      </c>
      <c r="BL66" s="82" t="n">
        <f aca="false">BL59-BL64+BL65</f>
        <v>47590.8664783646</v>
      </c>
      <c r="BM66" s="82" t="n">
        <f aca="false">SUM(E66:BL66)</f>
        <v>-7842397.3843215</v>
      </c>
      <c r="BN66" s="35" t="s">
        <v>203</v>
      </c>
    </row>
    <row r="67" customFormat="false" ht="15" hidden="false" customHeight="false" outlineLevel="0" collapsed="false">
      <c r="A67" s="49" t="s">
        <v>204</v>
      </c>
      <c r="E67" s="87" t="n">
        <f aca="false">E66</f>
        <v>0</v>
      </c>
      <c r="F67" s="87" t="n">
        <f aca="false">E67+F66</f>
        <v>0</v>
      </c>
      <c r="G67" s="87" t="n">
        <f aca="false">F67+G66</f>
        <v>0</v>
      </c>
      <c r="H67" s="87" t="n">
        <f aca="false">G67+H66</f>
        <v>-600</v>
      </c>
      <c r="I67" s="87" t="n">
        <f aca="false">H67+I66</f>
        <v>-1218</v>
      </c>
      <c r="J67" s="87" t="n">
        <f aca="false">I67+J66</f>
        <v>-1854.54</v>
      </c>
      <c r="K67" s="87" t="n">
        <f aca="false">J67+K66</f>
        <v>-2510.1762</v>
      </c>
      <c r="L67" s="87" t="n">
        <f aca="false">K67+L66</f>
        <v>-3185.481486</v>
      </c>
      <c r="M67" s="87" t="n">
        <f aca="false">L67+M66</f>
        <v>-14681.04593058</v>
      </c>
      <c r="N67" s="87" t="n">
        <f aca="false">M67+N66</f>
        <v>-26197.4773084974</v>
      </c>
      <c r="O67" s="87" t="n">
        <f aca="false">N67+O66</f>
        <v>-27735.4016277523</v>
      </c>
      <c r="P67" s="87" t="n">
        <f aca="false">O67+P66</f>
        <v>-76187.1617929176</v>
      </c>
      <c r="Q67" s="87" t="n">
        <f aca="false">P67+Q66</f>
        <v>-169112.126109146</v>
      </c>
      <c r="R67" s="87" t="n">
        <f aca="false">Q67+R66</f>
        <v>-263887.238225613</v>
      </c>
      <c r="S67" s="87" t="n">
        <f aca="false">R67+S66</f>
        <v>-356212.038919715</v>
      </c>
      <c r="T67" s="87" t="n">
        <f aca="false">S67+T66</f>
        <v>-450183.958343376</v>
      </c>
      <c r="U67" s="87" t="n">
        <f aca="false">T67+U66</f>
        <v>-545487.820780449</v>
      </c>
      <c r="V67" s="87" t="n">
        <f aca="false">U67+V66</f>
        <v>-641313.612771727</v>
      </c>
      <c r="W67" s="87" t="n">
        <f aca="false">V67+W66</f>
        <v>-737545.00438177</v>
      </c>
      <c r="X67" s="87" t="n">
        <f aca="false">W67+X66</f>
        <v>-834078.983856709</v>
      </c>
      <c r="Y67" s="87" t="n">
        <f aca="false">X67+Y66</f>
        <v>-930819.044514019</v>
      </c>
      <c r="Z67" s="87" t="n">
        <f aca="false">Y67+Z66</f>
        <v>-1027650.4871883</v>
      </c>
      <c r="AA67" s="87" t="n">
        <f aca="false">Z67+AA66</f>
        <v>-1124444.09983669</v>
      </c>
      <c r="AB67" s="87" t="n">
        <f aca="false">AA67+AB66</f>
        <v>-1221049.14807783</v>
      </c>
      <c r="AC67" s="87" t="n">
        <f aca="false">AB67+AC66</f>
        <v>-1392323.73541557</v>
      </c>
      <c r="AD67" s="87" t="n">
        <f aca="false">AC67+AD66</f>
        <v>-1563055.96223488</v>
      </c>
      <c r="AE67" s="87" t="n">
        <f aca="false">AD67+AE66</f>
        <v>-1733064.91367636</v>
      </c>
      <c r="AF67" s="87" t="n">
        <f aca="false">AE67+AF66</f>
        <v>-1902155.42321969</v>
      </c>
      <c r="AG67" s="87" t="n">
        <f aca="false">AF67+AG66</f>
        <v>-2070060.66357683</v>
      </c>
      <c r="AH67" s="87" t="n">
        <f aca="false">AG67+AH66</f>
        <v>-2236548.53079166</v>
      </c>
      <c r="AI67" s="87" t="n">
        <f aca="false">AH67+AI66</f>
        <v>-2401283.23121003</v>
      </c>
      <c r="AJ67" s="87" t="n">
        <f aca="false">AI67+AJ66</f>
        <v>-2563972.36981915</v>
      </c>
      <c r="AK67" s="87" t="n">
        <f aca="false">AJ67+AK66</f>
        <v>-2724246.07566085</v>
      </c>
      <c r="AL67" s="87" t="n">
        <f aca="false">AK67+AL66</f>
        <v>-2881720.03324582</v>
      </c>
      <c r="AM67" s="87" t="n">
        <f aca="false">AL67+AM66</f>
        <v>-3035963.34622103</v>
      </c>
      <c r="AN67" s="87" t="n">
        <f aca="false">AM67+AN66</f>
        <v>-3186498.65390288</v>
      </c>
      <c r="AO67" s="87" t="n">
        <f aca="false">AN67+AO66</f>
        <v>-3468610.97777883</v>
      </c>
      <c r="AP67" s="87" t="n">
        <f aca="false">AO67+AP66</f>
        <v>-3745909.91192346</v>
      </c>
      <c r="AQ67" s="87" t="n">
        <f aca="false">AP67+AQ66</f>
        <v>-4017761.57767073</v>
      </c>
      <c r="AR67" s="87" t="n">
        <f aca="false">AQ67+AR66</f>
        <v>-4283489.52352706</v>
      </c>
      <c r="AS67" s="87" t="n">
        <f aca="false">AR67+AS66</f>
        <v>-4542316.18120306</v>
      </c>
      <c r="AT67" s="87" t="n">
        <f aca="false">AS67+AT66</f>
        <v>-4793425.89436091</v>
      </c>
      <c r="AU67" s="87" t="n">
        <f aca="false">AT67+AU66</f>
        <v>-5035930.09553468</v>
      </c>
      <c r="AV67" s="87" t="n">
        <f aca="false">AU67+AV66</f>
        <v>-5268816.74821712</v>
      </c>
      <c r="AW67" s="87" t="n">
        <f aca="false">AV67+AW66</f>
        <v>-5490976.70349189</v>
      </c>
      <c r="AX67" s="87" t="n">
        <f aca="false">AW67+AX66</f>
        <v>-5701260.47900003</v>
      </c>
      <c r="AY67" s="87" t="n">
        <f aca="false">AX67+AY66</f>
        <v>-5898365.45363205</v>
      </c>
      <c r="AZ67" s="87" t="n">
        <f aca="false">AY67+AZ66</f>
        <v>-6080867.19036614</v>
      </c>
      <c r="BA67" s="87" t="n">
        <f aca="false">AZ67+BA66</f>
        <v>-6368220.66805014</v>
      </c>
      <c r="BB67" s="87" t="n">
        <f aca="false">BA67+BB66</f>
        <v>-6637753.61258942</v>
      </c>
      <c r="BC67" s="87" t="n">
        <f aca="false">BB67+BC66</f>
        <v>-6887650.14464002</v>
      </c>
      <c r="BD67" s="87" t="n">
        <f aca="false">BC67+BD66</f>
        <v>-7115913.38419722</v>
      </c>
      <c r="BE67" s="87" t="n">
        <f aca="false">BD67+BE66</f>
        <v>-7320371.07644899</v>
      </c>
      <c r="BF67" s="87" t="n">
        <f aca="false">BE67+BF66</f>
        <v>-7498648.76089223</v>
      </c>
      <c r="BG67" s="87" t="n">
        <f aca="false">BF67+BG66</f>
        <v>-7648194.39169661</v>
      </c>
      <c r="BH67" s="87" t="n">
        <f aca="false">BG67+BH66</f>
        <v>-7766128.26066781</v>
      </c>
      <c r="BI67" s="87" t="n">
        <f aca="false">BH67+BI66</f>
        <v>-7848038.64595041</v>
      </c>
      <c r="BJ67" s="87" t="n">
        <f aca="false">BI67+BJ66</f>
        <v>-7890553.01596636</v>
      </c>
      <c r="BK67" s="87" t="n">
        <f aca="false">BJ67+BK66</f>
        <v>-7889988.25079986</v>
      </c>
      <c r="BL67" s="87" t="n">
        <f aca="false">BK67+BL66</f>
        <v>-7842397.3843215</v>
      </c>
      <c r="BM67" s="82" t="n">
        <f aca="false">BL67</f>
        <v>-7842397.3843215</v>
      </c>
      <c r="BN67" s="35" t="s">
        <v>205</v>
      </c>
    </row>
    <row r="68" customFormat="false" ht="15" hidden="false" customHeight="false" outlineLevel="0" collapsed="false">
      <c r="A68" s="83" t="s">
        <v>206</v>
      </c>
      <c r="E68" s="84" t="n">
        <f aca="false">Aportes!E54</f>
        <v>0</v>
      </c>
      <c r="F68" s="84" t="n">
        <f aca="false">Aportes!F54</f>
        <v>0</v>
      </c>
      <c r="G68" s="84" t="n">
        <f aca="false">Aportes!G54</f>
        <v>0</v>
      </c>
      <c r="H68" s="84" t="n">
        <f aca="false">Aportes!H54</f>
        <v>10000</v>
      </c>
      <c r="I68" s="84" t="n">
        <f aca="false">Aportes!I54</f>
        <v>0</v>
      </c>
      <c r="J68" s="84" t="n">
        <f aca="false">Aportes!J54</f>
        <v>0</v>
      </c>
      <c r="K68" s="84" t="n">
        <f aca="false">Aportes!K54</f>
        <v>5000</v>
      </c>
      <c r="L68" s="84" t="n">
        <f aca="false">Aportes!L54</f>
        <v>18000</v>
      </c>
      <c r="M68" s="84" t="n">
        <f aca="false">Aportes!M54</f>
        <v>4000</v>
      </c>
      <c r="N68" s="84" t="n">
        <f aca="false">Aportes!N54</f>
        <v>80000</v>
      </c>
      <c r="O68" s="84" t="n">
        <f aca="false">Aportes!O54</f>
        <v>0</v>
      </c>
      <c r="P68" s="84" t="n">
        <f aca="false">Aportes!P54</f>
        <v>0</v>
      </c>
      <c r="Q68" s="84" t="n">
        <f aca="false">Aportes!Q54</f>
        <v>0</v>
      </c>
      <c r="R68" s="84" t="n">
        <f aca="false">Aportes!R54</f>
        <v>200000</v>
      </c>
      <c r="S68" s="84" t="n">
        <f aca="false">Aportes!S54</f>
        <v>0</v>
      </c>
      <c r="T68" s="84" t="n">
        <f aca="false">Aportes!T54</f>
        <v>0</v>
      </c>
      <c r="U68" s="84" t="n">
        <f aca="false">Aportes!U54</f>
        <v>0</v>
      </c>
      <c r="V68" s="84" t="n">
        <f aca="false">Aportes!V54</f>
        <v>0</v>
      </c>
      <c r="W68" s="84" t="n">
        <f aca="false">Aportes!W54</f>
        <v>0</v>
      </c>
      <c r="X68" s="84" t="n">
        <f aca="false">Aportes!X54</f>
        <v>0</v>
      </c>
      <c r="Y68" s="84" t="n">
        <f aca="false">Aportes!Y54</f>
        <v>0</v>
      </c>
      <c r="Z68" s="84" t="n">
        <f aca="false">Aportes!Z54</f>
        <v>0</v>
      </c>
      <c r="AA68" s="84" t="n">
        <f aca="false">Aportes!AA54</f>
        <v>0</v>
      </c>
      <c r="AB68" s="84" t="n">
        <f aca="false">Aportes!AB54</f>
        <v>0</v>
      </c>
      <c r="AC68" s="84" t="n">
        <f aca="false">Aportes!AC54</f>
        <v>0</v>
      </c>
      <c r="AD68" s="84" t="n">
        <f aca="false">Aportes!AD54</f>
        <v>0</v>
      </c>
      <c r="AE68" s="84" t="n">
        <f aca="false">Aportes!AE54</f>
        <v>0</v>
      </c>
      <c r="AF68" s="84" t="n">
        <f aca="false">Aportes!AF54</f>
        <v>0</v>
      </c>
      <c r="AG68" s="84" t="n">
        <f aca="false">Aportes!AG54</f>
        <v>0</v>
      </c>
      <c r="AH68" s="84" t="n">
        <f aca="false">Aportes!AH54</f>
        <v>0</v>
      </c>
      <c r="AI68" s="84" t="n">
        <f aca="false">Aportes!AI54</f>
        <v>0</v>
      </c>
      <c r="AJ68" s="84" t="n">
        <f aca="false">Aportes!AJ54</f>
        <v>0</v>
      </c>
      <c r="AK68" s="84" t="n">
        <f aca="false">Aportes!AK54</f>
        <v>0</v>
      </c>
      <c r="AL68" s="84" t="n">
        <f aca="false">Aportes!AL54</f>
        <v>0</v>
      </c>
      <c r="AM68" s="84" t="n">
        <f aca="false">Aportes!AM54</f>
        <v>0</v>
      </c>
      <c r="AN68" s="84" t="n">
        <f aca="false">Aportes!AN54</f>
        <v>0</v>
      </c>
      <c r="AO68" s="84" t="n">
        <f aca="false">Aportes!AO54</f>
        <v>0</v>
      </c>
      <c r="AP68" s="84" t="n">
        <f aca="false">Aportes!AP54</f>
        <v>0</v>
      </c>
      <c r="AQ68" s="84" t="n">
        <f aca="false">Aportes!AQ54</f>
        <v>0</v>
      </c>
      <c r="AR68" s="84" t="n">
        <f aca="false">Aportes!AR54</f>
        <v>0</v>
      </c>
      <c r="AS68" s="84" t="n">
        <f aca="false">Aportes!AS54</f>
        <v>0</v>
      </c>
      <c r="AT68" s="84" t="n">
        <f aca="false">Aportes!AT54</f>
        <v>0</v>
      </c>
      <c r="AU68" s="84" t="n">
        <f aca="false">Aportes!AU54</f>
        <v>0</v>
      </c>
      <c r="AV68" s="84" t="n">
        <f aca="false">Aportes!AV54</f>
        <v>0</v>
      </c>
      <c r="AW68" s="84" t="n">
        <f aca="false">Aportes!AW54</f>
        <v>0</v>
      </c>
      <c r="AX68" s="84" t="n">
        <f aca="false">Aportes!AX54</f>
        <v>0</v>
      </c>
      <c r="AY68" s="84" t="n">
        <f aca="false">Aportes!AY54</f>
        <v>0</v>
      </c>
      <c r="AZ68" s="84" t="n">
        <f aca="false">Aportes!AZ54</f>
        <v>0</v>
      </c>
      <c r="BA68" s="84" t="n">
        <f aca="false">Aportes!BA54</f>
        <v>0</v>
      </c>
      <c r="BB68" s="84" t="n">
        <f aca="false">Aportes!BB54</f>
        <v>0</v>
      </c>
      <c r="BC68" s="84" t="n">
        <f aca="false">Aportes!BC54</f>
        <v>0</v>
      </c>
      <c r="BD68" s="84" t="n">
        <f aca="false">Aportes!BD54</f>
        <v>0</v>
      </c>
      <c r="BE68" s="84" t="n">
        <f aca="false">Aportes!BE54</f>
        <v>0</v>
      </c>
      <c r="BF68" s="84" t="n">
        <f aca="false">Aportes!BF54</f>
        <v>0</v>
      </c>
      <c r="BG68" s="84" t="n">
        <f aca="false">Aportes!BG54</f>
        <v>0</v>
      </c>
      <c r="BH68" s="84" t="n">
        <f aca="false">Aportes!BH54</f>
        <v>0</v>
      </c>
      <c r="BI68" s="84" t="n">
        <f aca="false">Aportes!BI54</f>
        <v>0</v>
      </c>
      <c r="BJ68" s="84" t="n">
        <f aca="false">Aportes!BJ54</f>
        <v>0</v>
      </c>
      <c r="BK68" s="84" t="n">
        <f aca="false">Aportes!BK54</f>
        <v>0</v>
      </c>
      <c r="BL68" s="84" t="n">
        <f aca="false">Aportes!BL54</f>
        <v>0</v>
      </c>
      <c r="BM68" s="82" t="n">
        <f aca="false">SUM(E68:BL68)</f>
        <v>317000</v>
      </c>
    </row>
    <row r="69" customFormat="false" ht="15" hidden="false" customHeight="false" outlineLevel="0" collapsed="false">
      <c r="A69" s="37" t="s">
        <v>207</v>
      </c>
      <c r="E69" s="94" t="n">
        <f aca="false">E66+E68</f>
        <v>0</v>
      </c>
      <c r="F69" s="94" t="n">
        <f aca="false">F66+F68</f>
        <v>0</v>
      </c>
      <c r="G69" s="94" t="n">
        <f aca="false">G66+G68</f>
        <v>0</v>
      </c>
      <c r="H69" s="94" t="n">
        <f aca="false">H66+H68</f>
        <v>9400</v>
      </c>
      <c r="I69" s="94" t="n">
        <f aca="false">I66+I68</f>
        <v>-618</v>
      </c>
      <c r="J69" s="94" t="n">
        <f aca="false">J66+J68</f>
        <v>-636.54</v>
      </c>
      <c r="K69" s="94" t="n">
        <f aca="false">K66+K68</f>
        <v>4344.3638</v>
      </c>
      <c r="L69" s="94" t="n">
        <f aca="false">L66+L68</f>
        <v>17324.694714</v>
      </c>
      <c r="M69" s="94" t="n">
        <f aca="false">M66+M68</f>
        <v>-7495.56444458</v>
      </c>
      <c r="N69" s="94" t="n">
        <f aca="false">N66+N68</f>
        <v>68483.5686220826</v>
      </c>
      <c r="O69" s="94" t="n">
        <f aca="false">O66+O68</f>
        <v>-1537.92431925492</v>
      </c>
      <c r="P69" s="94" t="n">
        <f aca="false">P66+P68</f>
        <v>-48451.7601651653</v>
      </c>
      <c r="Q69" s="94" t="n">
        <f aca="false">Q66+Q68</f>
        <v>-92924.9643162281</v>
      </c>
      <c r="R69" s="94" t="n">
        <f aca="false">R66+R68</f>
        <v>105224.887883533</v>
      </c>
      <c r="S69" s="94" t="n">
        <f aca="false">S66+S68</f>
        <v>-92324.8006941021</v>
      </c>
      <c r="T69" s="94" t="n">
        <f aca="false">T66+T68</f>
        <v>-93971.9194236608</v>
      </c>
      <c r="U69" s="94" t="n">
        <f aca="false">U66+U68</f>
        <v>-95303.8624370733</v>
      </c>
      <c r="V69" s="94" t="n">
        <f aca="false">V66+V68</f>
        <v>-95825.7919912777</v>
      </c>
      <c r="W69" s="94" t="n">
        <f aca="false">W66+W68</f>
        <v>-96231.3916100424</v>
      </c>
      <c r="X69" s="94" t="n">
        <f aca="false">X66+X68</f>
        <v>-96533.9794749395</v>
      </c>
      <c r="Y69" s="94" t="n">
        <f aca="false">Y66+Y68</f>
        <v>-96740.0606573103</v>
      </c>
      <c r="Z69" s="94" t="n">
        <f aca="false">Z66+Z68</f>
        <v>-96831.4426742826</v>
      </c>
      <c r="AA69" s="94" t="n">
        <f aca="false">AA66+AA68</f>
        <v>-96793.6126483901</v>
      </c>
      <c r="AB69" s="94" t="n">
        <f aca="false">AB66+AB68</f>
        <v>-96605.048241133</v>
      </c>
      <c r="AC69" s="94" t="n">
        <f aca="false">AC66+AC68</f>
        <v>-171274.587337749</v>
      </c>
      <c r="AD69" s="94" t="n">
        <f aca="false">AD66+AD68</f>
        <v>-170732.226819309</v>
      </c>
      <c r="AE69" s="94" t="n">
        <f aca="false">AE66+AE68</f>
        <v>-170008.951441475</v>
      </c>
      <c r="AF69" s="94" t="n">
        <f aca="false">AF66+AF68</f>
        <v>-169090.509543334</v>
      </c>
      <c r="AG69" s="94" t="n">
        <f aca="false">AG66+AG68</f>
        <v>-167905.240357135</v>
      </c>
      <c r="AH69" s="94" t="n">
        <f aca="false">AH66+AH68</f>
        <v>-166487.867214827</v>
      </c>
      <c r="AI69" s="94" t="n">
        <f aca="false">AI66+AI68</f>
        <v>-164734.700418377</v>
      </c>
      <c r="AJ69" s="94" t="n">
        <f aca="false">AJ66+AJ68</f>
        <v>-162689.138609122</v>
      </c>
      <c r="AK69" s="94" t="n">
        <f aca="false">AK66+AK68</f>
        <v>-160273.705841695</v>
      </c>
      <c r="AL69" s="94" t="n">
        <f aca="false">AL66+AL68</f>
        <v>-157473.95758497</v>
      </c>
      <c r="AM69" s="94" t="n">
        <f aca="false">AM66+AM68</f>
        <v>-154243.312975212</v>
      </c>
      <c r="AN69" s="94" t="n">
        <f aca="false">AN66+AN68</f>
        <v>-150535.307681846</v>
      </c>
      <c r="AO69" s="94" t="n">
        <f aca="false">AO66+AO68</f>
        <v>-282112.323875956</v>
      </c>
      <c r="AP69" s="94" t="n">
        <f aca="false">AP66+AP68</f>
        <v>-277298.934144628</v>
      </c>
      <c r="AQ69" s="94" t="n">
        <f aca="false">AQ66+AQ68</f>
        <v>-271851.665747265</v>
      </c>
      <c r="AR69" s="94" t="n">
        <f aca="false">AR66+AR68</f>
        <v>-265727.945856335</v>
      </c>
      <c r="AS69" s="94" t="n">
        <f aca="false">AS66+AS68</f>
        <v>-258826.657675995</v>
      </c>
      <c r="AT69" s="94" t="n">
        <f aca="false">AT66+AT68</f>
        <v>-251109.713157855</v>
      </c>
      <c r="AU69" s="94" t="n">
        <f aca="false">AU66+AU68</f>
        <v>-242504.201173767</v>
      </c>
      <c r="AV69" s="94" t="n">
        <f aca="false">AV66+AV68</f>
        <v>-232886.65268244</v>
      </c>
      <c r="AW69" s="94" t="n">
        <f aca="false">AW66+AW68</f>
        <v>-222159.95527477</v>
      </c>
      <c r="AX69" s="94" t="n">
        <f aca="false">AX66+AX68</f>
        <v>-210283.775508142</v>
      </c>
      <c r="AY69" s="94" t="n">
        <f aca="false">AY66+AY68</f>
        <v>-197104.974632017</v>
      </c>
      <c r="AZ69" s="94" t="n">
        <f aca="false">AZ66+AZ68</f>
        <v>-182501.736734095</v>
      </c>
      <c r="BA69" s="94" t="n">
        <f aca="false">BA66+BA68</f>
        <v>-287353.477684</v>
      </c>
      <c r="BB69" s="94" t="n">
        <f aca="false">BB66+BB68</f>
        <v>-269532.944539271</v>
      </c>
      <c r="BC69" s="94" t="n">
        <f aca="false">BC66+BC68</f>
        <v>-249896.532050604</v>
      </c>
      <c r="BD69" s="94" t="n">
        <f aca="false">BD66+BD68</f>
        <v>-228263.2395572</v>
      </c>
      <c r="BE69" s="94" t="n">
        <f aca="false">BE66+BE68</f>
        <v>-204457.692251773</v>
      </c>
      <c r="BF69" s="94" t="n">
        <f aca="false">BF66+BF68</f>
        <v>-178277.684443234</v>
      </c>
      <c r="BG69" s="94" t="n">
        <f aca="false">BG66+BG68</f>
        <v>-149545.630804381</v>
      </c>
      <c r="BH69" s="94" t="n">
        <f aca="false">BH66+BH68</f>
        <v>-117933.868971206</v>
      </c>
      <c r="BI69" s="94" t="n">
        <f aca="false">BI66+BI68</f>
        <v>-81910.3852825962</v>
      </c>
      <c r="BJ69" s="94" t="n">
        <f aca="false">BJ66+BJ68</f>
        <v>-42514.3700159496</v>
      </c>
      <c r="BK69" s="94" t="n">
        <f aca="false">BK66+BK68</f>
        <v>564.765166496392</v>
      </c>
      <c r="BL69" s="94" t="n">
        <f aca="false">BL66+BL68</f>
        <v>47590.8664783646</v>
      </c>
      <c r="BM69" s="82" t="n">
        <f aca="false">SUM(E69:BL69)</f>
        <v>-7525397.3843215</v>
      </c>
    </row>
    <row r="70" customFormat="false" ht="15" hidden="false" customHeight="false" outlineLevel="0" collapsed="false">
      <c r="A70" s="63" t="s">
        <v>208</v>
      </c>
      <c r="E70" s="82" t="n">
        <f aca="false">E69</f>
        <v>0</v>
      </c>
      <c r="F70" s="82" t="n">
        <f aca="false">E70+F69</f>
        <v>0</v>
      </c>
      <c r="G70" s="82" t="n">
        <f aca="false">F70+G69</f>
        <v>0</v>
      </c>
      <c r="H70" s="82" t="n">
        <f aca="false">G70+H69</f>
        <v>9400</v>
      </c>
      <c r="I70" s="82" t="n">
        <f aca="false">H70+I69</f>
        <v>8782</v>
      </c>
      <c r="J70" s="82" t="n">
        <f aca="false">I70+J69</f>
        <v>8145.46</v>
      </c>
      <c r="K70" s="82" t="n">
        <f aca="false">J70+K69</f>
        <v>12489.8238</v>
      </c>
      <c r="L70" s="82" t="n">
        <f aca="false">K70+L69</f>
        <v>29814.518514</v>
      </c>
      <c r="M70" s="82" t="n">
        <f aca="false">L70+M69</f>
        <v>22318.95406942</v>
      </c>
      <c r="N70" s="82" t="n">
        <f aca="false">M70+N69</f>
        <v>90802.5226915026</v>
      </c>
      <c r="O70" s="82" t="n">
        <f aca="false">N70+O69</f>
        <v>89264.5983722477</v>
      </c>
      <c r="P70" s="82" t="n">
        <f aca="false">O70+P69</f>
        <v>40812.8382070824</v>
      </c>
      <c r="Q70" s="82" t="n">
        <f aca="false">P70+Q69</f>
        <v>-52112.1261091457</v>
      </c>
      <c r="R70" s="82" t="n">
        <f aca="false">Q70+R69</f>
        <v>53112.7617743869</v>
      </c>
      <c r="S70" s="82" t="n">
        <f aca="false">R70+S69</f>
        <v>-39212.0389197153</v>
      </c>
      <c r="T70" s="82" t="n">
        <f aca="false">S70+T69</f>
        <v>-133183.958343376</v>
      </c>
      <c r="U70" s="82" t="n">
        <f aca="false">T70+U69</f>
        <v>-228487.820780449</v>
      </c>
      <c r="V70" s="82" t="n">
        <f aca="false">U70+V69</f>
        <v>-324313.612771727</v>
      </c>
      <c r="W70" s="82" t="n">
        <f aca="false">V70+W69</f>
        <v>-420545.004381769</v>
      </c>
      <c r="X70" s="82" t="n">
        <f aca="false">W70+X69</f>
        <v>-517078.983856709</v>
      </c>
      <c r="Y70" s="82" t="n">
        <f aca="false">X70+Y69</f>
        <v>-613819.044514019</v>
      </c>
      <c r="Z70" s="82" t="n">
        <f aca="false">Y70+Z69</f>
        <v>-710650.487188302</v>
      </c>
      <c r="AA70" s="82" t="n">
        <f aca="false">Z70+AA69</f>
        <v>-807444.099836692</v>
      </c>
      <c r="AB70" s="82" t="n">
        <f aca="false">AA70+AB69</f>
        <v>-904049.148077825</v>
      </c>
      <c r="AC70" s="82" t="n">
        <f aca="false">AB70+AC69</f>
        <v>-1075323.73541557</v>
      </c>
      <c r="AD70" s="82" t="n">
        <f aca="false">AC70+AD69</f>
        <v>-1246055.96223488</v>
      </c>
      <c r="AE70" s="82" t="n">
        <f aca="false">AD70+AE69</f>
        <v>-1416064.91367636</v>
      </c>
      <c r="AF70" s="82" t="n">
        <f aca="false">AE70+AF69</f>
        <v>-1585155.42321969</v>
      </c>
      <c r="AG70" s="82" t="n">
        <f aca="false">AF70+AG69</f>
        <v>-1753060.66357683</v>
      </c>
      <c r="AH70" s="82" t="n">
        <f aca="false">AG70+AH69</f>
        <v>-1919548.53079165</v>
      </c>
      <c r="AI70" s="82" t="n">
        <f aca="false">AH70+AI69</f>
        <v>-2084283.23121003</v>
      </c>
      <c r="AJ70" s="82" t="n">
        <f aca="false">AI70+AJ69</f>
        <v>-2246972.36981915</v>
      </c>
      <c r="AK70" s="82" t="n">
        <f aca="false">AJ70+AK69</f>
        <v>-2407246.07566085</v>
      </c>
      <c r="AL70" s="82" t="n">
        <f aca="false">AK70+AL69</f>
        <v>-2564720.03324582</v>
      </c>
      <c r="AM70" s="82" t="n">
        <f aca="false">AL70+AM69</f>
        <v>-2718963.34622103</v>
      </c>
      <c r="AN70" s="82" t="n">
        <f aca="false">AM70+AN69</f>
        <v>-2869498.65390288</v>
      </c>
      <c r="AO70" s="82" t="n">
        <f aca="false">AN70+AO69</f>
        <v>-3151610.97777883</v>
      </c>
      <c r="AP70" s="82" t="n">
        <f aca="false">AO70+AP69</f>
        <v>-3428909.91192346</v>
      </c>
      <c r="AQ70" s="82" t="n">
        <f aca="false">AP70+AQ69</f>
        <v>-3700761.57767073</v>
      </c>
      <c r="AR70" s="82" t="n">
        <f aca="false">AQ70+AR69</f>
        <v>-3966489.52352706</v>
      </c>
      <c r="AS70" s="82" t="n">
        <f aca="false">AR70+AS69</f>
        <v>-4225316.18120306</v>
      </c>
      <c r="AT70" s="82" t="n">
        <f aca="false">AS70+AT69</f>
        <v>-4476425.89436091</v>
      </c>
      <c r="AU70" s="82" t="n">
        <f aca="false">AT70+AU69</f>
        <v>-4718930.09553468</v>
      </c>
      <c r="AV70" s="82" t="n">
        <f aca="false">AU70+AV69</f>
        <v>-4951816.74821712</v>
      </c>
      <c r="AW70" s="82" t="n">
        <f aca="false">AV70+AW69</f>
        <v>-5173976.70349189</v>
      </c>
      <c r="AX70" s="82" t="n">
        <f aca="false">AW70+AX69</f>
        <v>-5384260.47900003</v>
      </c>
      <c r="AY70" s="82" t="n">
        <f aca="false">AX70+AY69</f>
        <v>-5581365.45363205</v>
      </c>
      <c r="AZ70" s="82" t="n">
        <f aca="false">AY70+AZ69</f>
        <v>-5763867.19036614</v>
      </c>
      <c r="BA70" s="82" t="n">
        <f aca="false">AZ70+BA69</f>
        <v>-6051220.66805014</v>
      </c>
      <c r="BB70" s="82" t="n">
        <f aca="false">BA70+BB69</f>
        <v>-6320753.61258941</v>
      </c>
      <c r="BC70" s="82" t="n">
        <f aca="false">BB70+BC69</f>
        <v>-6570650.14464002</v>
      </c>
      <c r="BD70" s="82" t="n">
        <f aca="false">BC70+BD69</f>
        <v>-6798913.38419722</v>
      </c>
      <c r="BE70" s="82" t="n">
        <f aca="false">BD70+BE69</f>
        <v>-7003371.07644899</v>
      </c>
      <c r="BF70" s="82" t="n">
        <f aca="false">BE70+BF69</f>
        <v>-7181648.76089223</v>
      </c>
      <c r="BG70" s="82" t="n">
        <f aca="false">BF70+BG69</f>
        <v>-7331194.39169661</v>
      </c>
      <c r="BH70" s="82" t="n">
        <f aca="false">BG70+BH69</f>
        <v>-7449128.26066781</v>
      </c>
      <c r="BI70" s="82" t="n">
        <f aca="false">BH70+BI69</f>
        <v>-7531038.64595041</v>
      </c>
      <c r="BJ70" s="82" t="n">
        <f aca="false">BI70+BJ69</f>
        <v>-7573553.01596636</v>
      </c>
      <c r="BK70" s="82" t="n">
        <f aca="false">BJ70+BK69</f>
        <v>-7572988.25079986</v>
      </c>
      <c r="BL70" s="82" t="n">
        <f aca="false">BK70+BL69</f>
        <v>-7525397.3843215</v>
      </c>
      <c r="BM70" s="82" t="n">
        <f aca="false">BL70</f>
        <v>-7525397.3843215</v>
      </c>
      <c r="BN70" s="35" t="s">
        <v>209</v>
      </c>
    </row>
    <row r="71" customFormat="false" ht="19.4" hidden="false" customHeight="false" outlineLevel="0" collapsed="false">
      <c r="A71" s="49" t="s">
        <v>210</v>
      </c>
      <c r="E71" s="87" t="n">
        <f aca="false">-(E46+E52)+E55+E56</f>
        <v>0</v>
      </c>
      <c r="F71" s="87" t="n">
        <f aca="false">-(F46+F52)+F55+F56</f>
        <v>0</v>
      </c>
      <c r="G71" s="87" t="n">
        <f aca="false">-(G46+G52)+G55+G56</f>
        <v>0</v>
      </c>
      <c r="H71" s="87" t="n">
        <f aca="false">-(H46+H52)+H55+H56</f>
        <v>600</v>
      </c>
      <c r="I71" s="87" t="n">
        <f aca="false">-(I46+I52)+I55+I56</f>
        <v>618</v>
      </c>
      <c r="J71" s="87" t="n">
        <f aca="false">-(J46+J52)+J55+J56</f>
        <v>636.54</v>
      </c>
      <c r="K71" s="87" t="n">
        <f aca="false">-(K46+K52)+K55+K56</f>
        <v>655.6362</v>
      </c>
      <c r="L71" s="87" t="n">
        <f aca="false">-(L46+L52)+L55+L56</f>
        <v>675.305286</v>
      </c>
      <c r="M71" s="87" t="n">
        <f aca="false">-(M46+M52)+M55+M56</f>
        <v>995.56444458</v>
      </c>
      <c r="N71" s="87" t="n">
        <f aca="false">-(N46+N52)+N55+N56</f>
        <v>1016.4313779174</v>
      </c>
      <c r="O71" s="87" t="n">
        <f aca="false">-(O46+O52)+O55+O56</f>
        <v>1537.92431925492</v>
      </c>
      <c r="P71" s="87" t="n">
        <f aca="false">-(P46+P52)+P55+P56</f>
        <v>5763.68427105479</v>
      </c>
      <c r="Q71" s="87" t="n">
        <f aca="false">-(Q46+Q52)+Q55+Q56</f>
        <v>50899.5805769642</v>
      </c>
      <c r="R71" s="87" t="n">
        <f aca="false">-(R46+R52)+R55+R56</f>
        <v>53440.6491053843</v>
      </c>
      <c r="S71" s="87" t="n">
        <f aca="false">-(S46+S52)+S55+S56</f>
        <v>55901.3161052125</v>
      </c>
      <c r="T71" s="87" t="n">
        <f aca="false">-(T46+T52)+T55+T56</f>
        <v>58293.1768419022</v>
      </c>
      <c r="U71" s="87" t="n">
        <f aca="false">-(U46+U52)+U55+U56</f>
        <v>60418.440959551</v>
      </c>
      <c r="V71" s="87" t="n">
        <f aca="false">-(V46+V52)+V55+V56</f>
        <v>61775.1334620412</v>
      </c>
      <c r="W71" s="87" t="n">
        <f aca="false">-(W46+W52)+W55+W56</f>
        <v>63114.0957620986</v>
      </c>
      <c r="X71" s="87" t="n">
        <f aca="false">-(X46+X52)+X55+X56</f>
        <v>64441.3645807805</v>
      </c>
      <c r="Y71" s="87" t="n">
        <f aca="false">-(Y46+Y52)+Y55+Y56</f>
        <v>65761.3509246745</v>
      </c>
      <c r="Z71" s="87" t="n">
        <f aca="false">-(Z46+Z52)+Z55+Z56</f>
        <v>67079.3080351161</v>
      </c>
      <c r="AA71" s="87" t="n">
        <f aca="false">-(AA46+AA52)+AA55+AA56</f>
        <v>68401.33275966</v>
      </c>
      <c r="AB71" s="87" t="n">
        <f aca="false">-(AB46+AB52)+AB55+AB56</f>
        <v>69731.9003520068</v>
      </c>
      <c r="AC71" s="87" t="n">
        <f aca="false">-(AC46+AC52)+AC55+AC56</f>
        <v>146074.688262571</v>
      </c>
      <c r="AD71" s="87" t="n">
        <f aca="false">-(AD46+AD52)+AD55+AD56</f>
        <v>147436.688926785</v>
      </c>
      <c r="AE71" s="87" t="n">
        <f aca="false">-(AE46+AE52)+AE55+AE56</f>
        <v>148820.811558736</v>
      </c>
      <c r="AF71" s="87" t="n">
        <f aca="false">-(AF46+AF52)+AF55+AF56</f>
        <v>150229.99518047</v>
      </c>
      <c r="AG71" s="87" t="n">
        <f aca="false">-(AG46+AG52)+AG55+AG56</f>
        <v>151672.14400677</v>
      </c>
      <c r="AH71" s="87" t="n">
        <f aca="false">-(AH46+AH52)+AH55+AH56</f>
        <v>153147.796305821</v>
      </c>
      <c r="AI71" s="87" t="n">
        <f aca="false">-(AI46+AI52)+AI55+AI56</f>
        <v>154664.104523474</v>
      </c>
      <c r="AJ71" s="87" t="n">
        <f aca="false">-(AJ46+AJ52)+AJ55+AJ56</f>
        <v>156224.148903984</v>
      </c>
      <c r="AK71" s="87" t="n">
        <f aca="false">-(AK46+AK52)+AK55+AK56</f>
        <v>157832.695729711</v>
      </c>
      <c r="AL71" s="87" t="n">
        <f aca="false">-(AL46+AL52)+AL55+AL56</f>
        <v>159494.555747536</v>
      </c>
      <c r="AM71" s="87" t="n">
        <f aca="false">-(AM46+AM52)+AM55+AM56</f>
        <v>161213.765017221</v>
      </c>
      <c r="AN71" s="87" t="n">
        <f aca="false">-(AN46+AN52)+AN55+AN56</f>
        <v>162994.410417917</v>
      </c>
      <c r="AO71" s="87" t="n">
        <f aca="false">-(AO46+AO52)+AO55+AO56</f>
        <v>300643.099827701</v>
      </c>
      <c r="AP71" s="87" t="n">
        <f aca="false">-(AP46+AP52)+AP55+AP56</f>
        <v>302563.210325475</v>
      </c>
      <c r="AQ71" s="87" t="n">
        <f aca="false">-(AQ46+AQ52)+AQ55+AQ56</f>
        <v>304561.469987833</v>
      </c>
      <c r="AR71" s="87" t="n">
        <f aca="false">-(AR46+AR52)+AR55+AR56</f>
        <v>306642.206632521</v>
      </c>
      <c r="AS71" s="87" t="n">
        <f aca="false">-(AS46+AS52)+AS55+AS56</f>
        <v>308811.463528037</v>
      </c>
      <c r="AT71" s="87" t="n">
        <f aca="false">-(AT46+AT52)+AT55+AT56</f>
        <v>311074.537645842</v>
      </c>
      <c r="AU71" s="87" t="n">
        <f aca="false">-(AU46+AU52)+AU55+AU56</f>
        <v>313436.807144241</v>
      </c>
      <c r="AV71" s="87" t="n">
        <f aca="false">-(AV46+AV52)+AV55+AV56</f>
        <v>315907.025885647</v>
      </c>
      <c r="AW71" s="87" t="n">
        <f aca="false">-(AW46+AW52)+AW55+AW56</f>
        <v>318491.573901745</v>
      </c>
      <c r="AX71" s="87" t="n">
        <f aca="false">-(AX46+AX52)+AX55+AX56</f>
        <v>321196.108278427</v>
      </c>
      <c r="AY71" s="87" t="n">
        <f aca="false">-(AY46+AY52)+AY55+AY56</f>
        <v>324028.036712027</v>
      </c>
      <c r="AZ71" s="87" t="n">
        <f aca="false">-(AZ46+AZ52)+AZ55+AZ56</f>
        <v>326997.347101604</v>
      </c>
      <c r="BA71" s="87" t="n">
        <f aca="false">-(BA46+BA52)+BA55+BA56</f>
        <v>451111.682099709</v>
      </c>
      <c r="BB71" s="87" t="n">
        <f aca="false">-(BB46+BB52)+BB55+BB56</f>
        <v>454378.814213155</v>
      </c>
      <c r="BC71" s="87" t="n">
        <f aca="false">-(BC46+BC52)+BC55+BC56</f>
        <v>457808.299269982</v>
      </c>
      <c r="BD71" s="87" t="n">
        <f aca="false">-(BD46+BD52)+BD55+BD56</f>
        <v>461411.486071532</v>
      </c>
      <c r="BE71" s="87" t="n">
        <f aca="false">-(BE46+BE52)+BE55+BE56</f>
        <v>465198.237829215</v>
      </c>
      <c r="BF71" s="87" t="n">
        <f aca="false">-(BF46+BF52)+BF55+BF56</f>
        <v>469180.232099693</v>
      </c>
      <c r="BG71" s="87" t="n">
        <f aca="false">-(BG46+BG52)+BG55+BG56</f>
        <v>473368.505935556</v>
      </c>
      <c r="BH71" s="87" t="n">
        <f aca="false">-(BH46+BH52)+BH55+BH56</f>
        <v>477706.757416485</v>
      </c>
      <c r="BI71" s="87" t="n">
        <f aca="false">-(BI46+BI52)+BI55+BI56</f>
        <v>480901.714729708</v>
      </c>
      <c r="BJ71" s="87" t="n">
        <f aca="false">-(BJ46+BJ52)+BJ55+BJ56</f>
        <v>484271.261750346</v>
      </c>
      <c r="BK71" s="87" t="n">
        <f aca="false">-(BK46+BK52)+BK55+BK56</f>
        <v>487826.231298782</v>
      </c>
      <c r="BL71" s="87" t="n">
        <f aca="false">-(BL46+BL52)+BL55+BL56</f>
        <v>491577.710590164</v>
      </c>
      <c r="BM71" s="82" t="n">
        <f aca="false">SUM(E71:BL71)</f>
        <v>12010656.3602206</v>
      </c>
      <c r="BN71" s="35" t="s">
        <v>211</v>
      </c>
    </row>
    <row r="72" customFormat="false" ht="15" hidden="false" customHeight="true" outlineLevel="0" collapsed="false">
      <c r="A72" s="63" t="s">
        <v>212</v>
      </c>
      <c r="B72" s="100" t="n">
        <v>3</v>
      </c>
      <c r="F72" s="66" t="s">
        <v>213</v>
      </c>
      <c r="G72" s="66"/>
      <c r="H72" s="66"/>
      <c r="I72" s="66"/>
      <c r="J72" s="66"/>
      <c r="K72" s="66"/>
      <c r="L72" s="66"/>
      <c r="M72" s="66"/>
      <c r="N72" s="66"/>
    </row>
    <row r="73" customFormat="false" ht="15" hidden="false" customHeight="false" outlineLevel="0" collapsed="false">
      <c r="A73" s="49" t="s">
        <v>214</v>
      </c>
      <c r="E73" s="87" t="n">
        <f aca="false">E71*$B$72</f>
        <v>0</v>
      </c>
      <c r="F73" s="87" t="n">
        <f aca="false">F71*$B$72</f>
        <v>0</v>
      </c>
      <c r="G73" s="87" t="n">
        <f aca="false">G71*$B$72</f>
        <v>0</v>
      </c>
      <c r="H73" s="87" t="n">
        <f aca="false">H71*$B$72</f>
        <v>1800</v>
      </c>
      <c r="I73" s="87" t="n">
        <f aca="false">I71*$B$72</f>
        <v>1854</v>
      </c>
      <c r="J73" s="87" t="n">
        <f aca="false">J71*$B$72</f>
        <v>1909.62</v>
      </c>
      <c r="K73" s="87" t="n">
        <f aca="false">K71*$B$72</f>
        <v>1966.9086</v>
      </c>
      <c r="L73" s="87" t="n">
        <f aca="false">L71*$B$72</f>
        <v>2025.915858</v>
      </c>
      <c r="M73" s="87" t="n">
        <f aca="false">M71*$B$72</f>
        <v>2986.69333374</v>
      </c>
      <c r="N73" s="87" t="n">
        <f aca="false">N71*$B$72</f>
        <v>3049.2941337522</v>
      </c>
      <c r="O73" s="87" t="n">
        <f aca="false">O71*$B$72</f>
        <v>4613.77295776477</v>
      </c>
      <c r="P73" s="87" t="n">
        <f aca="false">P71*$B$72</f>
        <v>17291.0528131644</v>
      </c>
      <c r="Q73" s="87" t="n">
        <f aca="false">Q71*$B$72</f>
        <v>152698.741730893</v>
      </c>
      <c r="R73" s="87" t="n">
        <f aca="false">R71*$B$72</f>
        <v>160321.947316153</v>
      </c>
      <c r="S73" s="87" t="n">
        <f aca="false">S71*$B$72</f>
        <v>167703.948315637</v>
      </c>
      <c r="T73" s="87" t="n">
        <f aca="false">T71*$B$72</f>
        <v>174879.530525706</v>
      </c>
      <c r="U73" s="87" t="n">
        <f aca="false">U71*$B$72</f>
        <v>181255.322878653</v>
      </c>
      <c r="V73" s="87" t="n">
        <f aca="false">V71*$B$72</f>
        <v>185325.400386124</v>
      </c>
      <c r="W73" s="87" t="n">
        <f aca="false">W71*$B$72</f>
        <v>189342.287286296</v>
      </c>
      <c r="X73" s="87" t="n">
        <f aca="false">X71*$B$72</f>
        <v>193324.093742341</v>
      </c>
      <c r="Y73" s="87" t="n">
        <f aca="false">Y71*$B$72</f>
        <v>197284.052774024</v>
      </c>
      <c r="Z73" s="87" t="n">
        <f aca="false">Z71*$B$72</f>
        <v>201237.924105348</v>
      </c>
      <c r="AA73" s="87" t="n">
        <f aca="false">AA71*$B$72</f>
        <v>205203.99827898</v>
      </c>
      <c r="AB73" s="87" t="n">
        <f aca="false">AB71*$B$72</f>
        <v>209195.70105602</v>
      </c>
      <c r="AC73" s="87" t="n">
        <f aca="false">AC71*$B$72</f>
        <v>438224.064787712</v>
      </c>
      <c r="AD73" s="87" t="n">
        <f aca="false">AD71*$B$72</f>
        <v>442310.066780356</v>
      </c>
      <c r="AE73" s="87" t="n">
        <f aca="false">AE71*$B$72</f>
        <v>446462.434676209</v>
      </c>
      <c r="AF73" s="87" t="n">
        <f aca="false">AF71*$B$72</f>
        <v>450689.98554141</v>
      </c>
      <c r="AG73" s="87" t="n">
        <f aca="false">AG71*$B$72</f>
        <v>455016.43202031</v>
      </c>
      <c r="AH73" s="87" t="n">
        <f aca="false">AH71*$B$72</f>
        <v>459443.388917463</v>
      </c>
      <c r="AI73" s="87" t="n">
        <f aca="false">AI71*$B$72</f>
        <v>463992.313570422</v>
      </c>
      <c r="AJ73" s="87" t="n">
        <f aca="false">AJ71*$B$72</f>
        <v>468672.446711951</v>
      </c>
      <c r="AK73" s="87" t="n">
        <f aca="false">AK71*$B$72</f>
        <v>473498.087189134</v>
      </c>
      <c r="AL73" s="87" t="n">
        <f aca="false">AL71*$B$72</f>
        <v>478483.667242608</v>
      </c>
      <c r="AM73" s="87" t="n">
        <f aca="false">AM71*$B$72</f>
        <v>483641.295051664</v>
      </c>
      <c r="AN73" s="87" t="n">
        <f aca="false">AN71*$B$72</f>
        <v>488983.231253751</v>
      </c>
      <c r="AO73" s="87" t="n">
        <f aca="false">AO71*$B$72</f>
        <v>901929.299483104</v>
      </c>
      <c r="AP73" s="87" t="n">
        <f aca="false">AP71*$B$72</f>
        <v>907689.630976426</v>
      </c>
      <c r="AQ73" s="87" t="n">
        <f aca="false">AQ71*$B$72</f>
        <v>913684.4099635</v>
      </c>
      <c r="AR73" s="87" t="n">
        <f aca="false">AR71*$B$72</f>
        <v>919926.619897564</v>
      </c>
      <c r="AS73" s="87" t="n">
        <f aca="false">AS71*$B$72</f>
        <v>926434.39058411</v>
      </c>
      <c r="AT73" s="87" t="n">
        <f aca="false">AT71*$B$72</f>
        <v>933223.612937526</v>
      </c>
      <c r="AU73" s="87" t="n">
        <f aca="false">AU71*$B$72</f>
        <v>940310.421432725</v>
      </c>
      <c r="AV73" s="87" t="n">
        <f aca="false">AV71*$B$72</f>
        <v>947721.07765694</v>
      </c>
      <c r="AW73" s="87" t="n">
        <f aca="false">AW71*$B$72</f>
        <v>955474.721705235</v>
      </c>
      <c r="AX73" s="87" t="n">
        <f aca="false">AX71*$B$72</f>
        <v>963588.324835281</v>
      </c>
      <c r="AY73" s="87" t="n">
        <f aca="false">AY71*$B$72</f>
        <v>972084.110136082</v>
      </c>
      <c r="AZ73" s="87" t="n">
        <f aca="false">AZ71*$B$72</f>
        <v>980992.041304811</v>
      </c>
      <c r="BA73" s="87" t="n">
        <f aca="false">BA71*$B$72</f>
        <v>1353335.04629913</v>
      </c>
      <c r="BB73" s="87" t="n">
        <f aca="false">BB71*$B$72</f>
        <v>1363136.44263947</v>
      </c>
      <c r="BC73" s="87" t="n">
        <f aca="false">BC71*$B$72</f>
        <v>1373424.89780994</v>
      </c>
      <c r="BD73" s="87" t="n">
        <f aca="false">BD71*$B$72</f>
        <v>1384234.4582146</v>
      </c>
      <c r="BE73" s="87" t="n">
        <f aca="false">BE71*$B$72</f>
        <v>1395594.71348764</v>
      </c>
      <c r="BF73" s="87" t="n">
        <f aca="false">BF71*$B$72</f>
        <v>1407540.69629908</v>
      </c>
      <c r="BG73" s="87" t="n">
        <f aca="false">BG71*$B$72</f>
        <v>1420105.51780667</v>
      </c>
      <c r="BH73" s="87" t="n">
        <f aca="false">BH71*$B$72</f>
        <v>1433120.27224945</v>
      </c>
      <c r="BI73" s="87" t="n">
        <f aca="false">BI71*$B$72</f>
        <v>1442705.14418913</v>
      </c>
      <c r="BJ73" s="87" t="n">
        <f aca="false">BJ71*$B$72</f>
        <v>1452813.78525104</v>
      </c>
      <c r="BK73" s="87" t="n">
        <f aca="false">BK71*$B$72</f>
        <v>1463478.69389635</v>
      </c>
      <c r="BL73" s="87" t="n">
        <f aca="false">BL71*$B$72</f>
        <v>1474733.13177049</v>
      </c>
      <c r="BM73" s="82" t="n">
        <f aca="false">BL73</f>
        <v>1474733.13177049</v>
      </c>
    </row>
    <row r="74" customFormat="false" ht="15" hidden="false" customHeight="false" outlineLevel="0" collapsed="false">
      <c r="A74" s="63" t="s">
        <v>215</v>
      </c>
      <c r="E74" s="82" t="n">
        <f aca="false">MAX(0,E73-E70)</f>
        <v>0</v>
      </c>
      <c r="F74" s="82" t="n">
        <f aca="false">MAX(0,F73-F70)</f>
        <v>0</v>
      </c>
      <c r="G74" s="82" t="n">
        <f aca="false">MAX(0,G73-G70)</f>
        <v>0</v>
      </c>
      <c r="H74" s="82" t="n">
        <f aca="false">MAX(0,H73-H70)</f>
        <v>0</v>
      </c>
      <c r="I74" s="82" t="n">
        <f aca="false">MAX(0,I73-I70)</f>
        <v>0</v>
      </c>
      <c r="J74" s="82" t="n">
        <f aca="false">MAX(0,J73-J70)</f>
        <v>0</v>
      </c>
      <c r="K74" s="82" t="n">
        <f aca="false">MAX(0,K73-K70)</f>
        <v>0</v>
      </c>
      <c r="L74" s="82" t="n">
        <f aca="false">MAX(0,L73-L70)</f>
        <v>0</v>
      </c>
      <c r="M74" s="82" t="n">
        <f aca="false">MAX(0,M73-M70)</f>
        <v>0</v>
      </c>
      <c r="N74" s="82" t="n">
        <f aca="false">MAX(0,N73-N70)</f>
        <v>0</v>
      </c>
      <c r="O74" s="82" t="n">
        <f aca="false">MAX(0,O73-O70)</f>
        <v>0</v>
      </c>
      <c r="P74" s="82" t="n">
        <f aca="false">MAX(0,P73-P70)</f>
        <v>0</v>
      </c>
      <c r="Q74" s="82" t="n">
        <f aca="false">MAX(0,Q73-Q70)</f>
        <v>204810.867840038</v>
      </c>
      <c r="R74" s="82" t="n">
        <f aca="false">MAX(0,R73-R70)</f>
        <v>107209.185541766</v>
      </c>
      <c r="S74" s="82" t="n">
        <f aca="false">MAX(0,S73-S70)</f>
        <v>206915.987235353</v>
      </c>
      <c r="T74" s="82" t="n">
        <f aca="false">MAX(0,T73-T70)</f>
        <v>308063.488869083</v>
      </c>
      <c r="U74" s="82" t="n">
        <f aca="false">MAX(0,U73-U70)</f>
        <v>409743.143659102</v>
      </c>
      <c r="V74" s="82" t="n">
        <f aca="false">MAX(0,V73-V70)</f>
        <v>509639.013157851</v>
      </c>
      <c r="W74" s="82" t="n">
        <f aca="false">MAX(0,W73-W70)</f>
        <v>609887.291668065</v>
      </c>
      <c r="X74" s="82" t="n">
        <f aca="false">MAX(0,X73-X70)</f>
        <v>710403.07759905</v>
      </c>
      <c r="Y74" s="82" t="n">
        <f aca="false">MAX(0,Y73-Y70)</f>
        <v>811103.097288043</v>
      </c>
      <c r="Z74" s="82" t="n">
        <f aca="false">MAX(0,Z73-Z70)</f>
        <v>911888.41129365</v>
      </c>
      <c r="AA74" s="82" t="n">
        <f aca="false">MAX(0,AA73-AA70)</f>
        <v>1012648.09811567</v>
      </c>
      <c r="AB74" s="82" t="n">
        <f aca="false">MAX(0,AB73-AB70)</f>
        <v>1113244.84913385</v>
      </c>
      <c r="AC74" s="82" t="n">
        <f aca="false">MAX(0,AC73-AC70)</f>
        <v>1513547.80020329</v>
      </c>
      <c r="AD74" s="82" t="n">
        <f aca="false">MAX(0,AD73-AD70)</f>
        <v>1688366.02901524</v>
      </c>
      <c r="AE74" s="82" t="n">
        <f aca="false">MAX(0,AE73-AE70)</f>
        <v>1862527.34835257</v>
      </c>
      <c r="AF74" s="82" t="n">
        <f aca="false">MAX(0,AF73-AF70)</f>
        <v>2035845.4087611</v>
      </c>
      <c r="AG74" s="82" t="n">
        <f aca="false">MAX(0,AG73-AG70)</f>
        <v>2208077.09559714</v>
      </c>
      <c r="AH74" s="82" t="n">
        <f aca="false">MAX(0,AH73-AH70)</f>
        <v>2378991.91970912</v>
      </c>
      <c r="AI74" s="82" t="n">
        <f aca="false">MAX(0,AI73-AI70)</f>
        <v>2548275.54478045</v>
      </c>
      <c r="AJ74" s="82" t="n">
        <f aca="false">MAX(0,AJ73-AJ70)</f>
        <v>2715644.81653111</v>
      </c>
      <c r="AK74" s="82" t="n">
        <f aca="false">MAX(0,AK73-AK70)</f>
        <v>2880744.16284998</v>
      </c>
      <c r="AL74" s="82" t="n">
        <f aca="false">MAX(0,AL73-AL70)</f>
        <v>3043203.70048843</v>
      </c>
      <c r="AM74" s="82" t="n">
        <f aca="false">MAX(0,AM73-AM70)</f>
        <v>3202604.6412727</v>
      </c>
      <c r="AN74" s="82" t="n">
        <f aca="false">MAX(0,AN73-AN70)</f>
        <v>3358481.88515663</v>
      </c>
      <c r="AO74" s="82" t="n">
        <f aca="false">MAX(0,AO73-AO70)</f>
        <v>4053540.27726194</v>
      </c>
      <c r="AP74" s="82" t="n">
        <f aca="false">MAX(0,AP73-AP70)</f>
        <v>4336599.54289989</v>
      </c>
      <c r="AQ74" s="82" t="n">
        <f aca="false">MAX(0,AQ73-AQ70)</f>
        <v>4614445.98763423</v>
      </c>
      <c r="AR74" s="82" t="n">
        <f aca="false">MAX(0,AR73-AR70)</f>
        <v>4886416.14342463</v>
      </c>
      <c r="AS74" s="82" t="n">
        <f aca="false">MAX(0,AS73-AS70)</f>
        <v>5151750.57178717</v>
      </c>
      <c r="AT74" s="82" t="n">
        <f aca="false">MAX(0,AT73-AT70)</f>
        <v>5409649.50729844</v>
      </c>
      <c r="AU74" s="82" t="n">
        <f aca="false">MAX(0,AU73-AU70)</f>
        <v>5659240.5169674</v>
      </c>
      <c r="AV74" s="82" t="n">
        <f aca="false">MAX(0,AV73-AV70)</f>
        <v>5899537.82587406</v>
      </c>
      <c r="AW74" s="82" t="n">
        <f aca="false">MAX(0,AW73-AW70)</f>
        <v>6129451.42519712</v>
      </c>
      <c r="AX74" s="82" t="n">
        <f aca="false">MAX(0,AX73-AX70)</f>
        <v>6347848.80383531</v>
      </c>
      <c r="AY74" s="82" t="n">
        <f aca="false">MAX(0,AY73-AY70)</f>
        <v>6553449.56376813</v>
      </c>
      <c r="AZ74" s="82" t="n">
        <f aca="false">MAX(0,AZ73-AZ70)</f>
        <v>6744859.23167095</v>
      </c>
      <c r="BA74" s="82" t="n">
        <f aca="false">MAX(0,BA73-BA70)</f>
        <v>7404555.71434927</v>
      </c>
      <c r="BB74" s="82" t="n">
        <f aca="false">MAX(0,BB73-BB70)</f>
        <v>7683890.05522888</v>
      </c>
      <c r="BC74" s="82" t="n">
        <f aca="false">MAX(0,BC73-BC70)</f>
        <v>7944075.04244996</v>
      </c>
      <c r="BD74" s="82" t="n">
        <f aca="false">MAX(0,BD73-BD70)</f>
        <v>8183147.84241181</v>
      </c>
      <c r="BE74" s="82" t="n">
        <f aca="false">MAX(0,BE73-BE70)</f>
        <v>8398965.78993664</v>
      </c>
      <c r="BF74" s="82" t="n">
        <f aca="false">MAX(0,BF73-BF70)</f>
        <v>8589189.45719131</v>
      </c>
      <c r="BG74" s="82" t="n">
        <f aca="false">MAX(0,BG73-BG70)</f>
        <v>8751299.90950328</v>
      </c>
      <c r="BH74" s="82" t="n">
        <f aca="false">MAX(0,BH73-BH70)</f>
        <v>8882248.53291727</v>
      </c>
      <c r="BI74" s="82" t="n">
        <f aca="false">MAX(0,BI73-BI70)</f>
        <v>8973743.79013954</v>
      </c>
      <c r="BJ74" s="82" t="n">
        <f aca="false">MAX(0,BJ73-BJ70)</f>
        <v>9026366.8012174</v>
      </c>
      <c r="BK74" s="82" t="n">
        <f aca="false">MAX(0,BK73-BK70)</f>
        <v>9036466.94469621</v>
      </c>
      <c r="BL74" s="82" t="n">
        <f aca="false">MAX(0,BL73-BL70)</f>
        <v>9000130.51609199</v>
      </c>
      <c r="BM74" s="82" t="n">
        <f aca="false">BL74</f>
        <v>9000130.51609199</v>
      </c>
      <c r="BN74" s="35" t="s">
        <v>216</v>
      </c>
    </row>
    <row r="75" customFormat="false" ht="15" hidden="false" customHeight="false" outlineLevel="0" collapsed="false">
      <c r="A75" s="63" t="s">
        <v>217</v>
      </c>
      <c r="E75" s="81" t="n">
        <f aca="false">MAX(E74:E74)</f>
        <v>0</v>
      </c>
      <c r="F75" s="81" t="n">
        <f aca="false">MAX(E74:F74)</f>
        <v>0</v>
      </c>
      <c r="G75" s="81" t="n">
        <f aca="false">MAX(E74:G74)</f>
        <v>0</v>
      </c>
      <c r="H75" s="81" t="n">
        <f aca="false">MAX(E74:H74)</f>
        <v>0</v>
      </c>
      <c r="I75" s="81" t="n">
        <f aca="false">MAX(E74:I74)</f>
        <v>0</v>
      </c>
      <c r="J75" s="81" t="n">
        <f aca="false">MAX(E74:J74)</f>
        <v>0</v>
      </c>
      <c r="K75" s="81" t="n">
        <f aca="false">MAX(E74:K74)</f>
        <v>0</v>
      </c>
      <c r="L75" s="81" t="n">
        <f aca="false">MAX(E74:L74)</f>
        <v>0</v>
      </c>
      <c r="M75" s="81" t="n">
        <f aca="false">MAX(E74:M74)</f>
        <v>0</v>
      </c>
      <c r="N75" s="81" t="n">
        <f aca="false">MAX(E74:N74)</f>
        <v>0</v>
      </c>
      <c r="O75" s="81" t="n">
        <f aca="false">MAX(E74:O74)</f>
        <v>0</v>
      </c>
      <c r="P75" s="81" t="n">
        <f aca="false">MAX(E74:P74)</f>
        <v>0</v>
      </c>
      <c r="Q75" s="81" t="n">
        <f aca="false">MAX(E74:Q74)</f>
        <v>204810.867840038</v>
      </c>
      <c r="R75" s="81" t="n">
        <f aca="false">MAX(E74:R74)</f>
        <v>204810.867840038</v>
      </c>
      <c r="S75" s="81" t="n">
        <f aca="false">MAX(E74:S74)</f>
        <v>206915.987235353</v>
      </c>
      <c r="T75" s="81" t="n">
        <f aca="false">MAX(E74:T74)</f>
        <v>308063.488869083</v>
      </c>
      <c r="U75" s="81" t="n">
        <f aca="false">MAX(E74:U74)</f>
        <v>409743.143659102</v>
      </c>
      <c r="V75" s="81" t="n">
        <f aca="false">MAX(E74:V74)</f>
        <v>509639.013157851</v>
      </c>
      <c r="W75" s="81" t="n">
        <f aca="false">MAX(E74:W74)</f>
        <v>609887.291668065</v>
      </c>
      <c r="X75" s="81" t="n">
        <f aca="false">MAX(E74:X74)</f>
        <v>710403.07759905</v>
      </c>
      <c r="Y75" s="81" t="n">
        <f aca="false">MAX(E74:Y74)</f>
        <v>811103.097288043</v>
      </c>
      <c r="Z75" s="81" t="n">
        <f aca="false">MAX(E74:Z74)</f>
        <v>911888.41129365</v>
      </c>
      <c r="AA75" s="81" t="n">
        <f aca="false">MAX(E74:AA74)</f>
        <v>1012648.09811567</v>
      </c>
      <c r="AB75" s="81" t="n">
        <f aca="false">MAX(E74:AB74)</f>
        <v>1113244.84913385</v>
      </c>
      <c r="AC75" s="81" t="n">
        <f aca="false">MAX(E74:AC74)</f>
        <v>1513547.80020329</v>
      </c>
      <c r="AD75" s="81" t="n">
        <f aca="false">MAX(E74:AD74)</f>
        <v>1688366.02901524</v>
      </c>
      <c r="AE75" s="81" t="n">
        <f aca="false">MAX(E74:AE74)</f>
        <v>1862527.34835257</v>
      </c>
      <c r="AF75" s="81" t="n">
        <f aca="false">MAX(E74:AF74)</f>
        <v>2035845.4087611</v>
      </c>
      <c r="AG75" s="81" t="n">
        <f aca="false">MAX(E74:AG74)</f>
        <v>2208077.09559714</v>
      </c>
      <c r="AH75" s="81" t="n">
        <f aca="false">MAX(E74:AH74)</f>
        <v>2378991.91970912</v>
      </c>
      <c r="AI75" s="81" t="n">
        <f aca="false">MAX(E74:AI74)</f>
        <v>2548275.54478045</v>
      </c>
      <c r="AJ75" s="81" t="n">
        <f aca="false">MAX(E74:AJ74)</f>
        <v>2715644.81653111</v>
      </c>
      <c r="AK75" s="81" t="n">
        <f aca="false">MAX(E74:AK74)</f>
        <v>2880744.16284998</v>
      </c>
      <c r="AL75" s="81" t="n">
        <f aca="false">MAX(E74:AL74)</f>
        <v>3043203.70048843</v>
      </c>
      <c r="AM75" s="81" t="n">
        <f aca="false">MAX(E74:AM74)</f>
        <v>3202604.6412727</v>
      </c>
      <c r="AN75" s="81" t="n">
        <f aca="false">MAX(E74:AN74)</f>
        <v>3358481.88515663</v>
      </c>
      <c r="AO75" s="81" t="n">
        <f aca="false">MAX(E74:AO74)</f>
        <v>4053540.27726194</v>
      </c>
      <c r="AP75" s="81" t="n">
        <f aca="false">MAX(E74:AP74)</f>
        <v>4336599.54289989</v>
      </c>
      <c r="AQ75" s="81" t="n">
        <f aca="false">MAX(E74:AQ74)</f>
        <v>4614445.98763423</v>
      </c>
      <c r="AR75" s="81" t="n">
        <f aca="false">MAX(E74:AR74)</f>
        <v>4886416.14342463</v>
      </c>
      <c r="AS75" s="81" t="n">
        <f aca="false">MAX(E74:AS74)</f>
        <v>5151750.57178717</v>
      </c>
      <c r="AT75" s="81" t="n">
        <f aca="false">MAX(E74:AT74)</f>
        <v>5409649.50729844</v>
      </c>
      <c r="AU75" s="81" t="n">
        <f aca="false">MAX(E74:AU74)</f>
        <v>5659240.5169674</v>
      </c>
      <c r="AV75" s="81" t="n">
        <f aca="false">MAX(E74:AV74)</f>
        <v>5899537.82587406</v>
      </c>
      <c r="AW75" s="81" t="n">
        <f aca="false">MAX(E74:AW74)</f>
        <v>6129451.42519712</v>
      </c>
      <c r="AX75" s="81" t="n">
        <f aca="false">MAX(E74:AX74)</f>
        <v>6347848.80383531</v>
      </c>
      <c r="AY75" s="81" t="n">
        <f aca="false">MAX(E74:AY74)</f>
        <v>6553449.56376813</v>
      </c>
      <c r="AZ75" s="81" t="n">
        <f aca="false">MAX(E74:AZ74)</f>
        <v>6744859.23167095</v>
      </c>
      <c r="BA75" s="81" t="n">
        <f aca="false">MAX(E74:BA74)</f>
        <v>7404555.71434927</v>
      </c>
      <c r="BB75" s="81" t="n">
        <f aca="false">MAX(E74:BB74)</f>
        <v>7683890.05522888</v>
      </c>
      <c r="BC75" s="81" t="n">
        <f aca="false">MAX(E74:BC74)</f>
        <v>7944075.04244996</v>
      </c>
      <c r="BD75" s="81" t="n">
        <f aca="false">MAX(E74:BD74)</f>
        <v>8183147.84241181</v>
      </c>
      <c r="BE75" s="81" t="n">
        <f aca="false">MAX(E74:BE74)</f>
        <v>8398965.78993664</v>
      </c>
      <c r="BF75" s="81" t="n">
        <f aca="false">MAX(E74:BF74)</f>
        <v>8589189.45719131</v>
      </c>
      <c r="BG75" s="81" t="n">
        <f aca="false">MAX(E74:BG74)</f>
        <v>8751299.90950328</v>
      </c>
      <c r="BH75" s="81" t="n">
        <f aca="false">MAX(E74:BH74)</f>
        <v>8882248.53291727</v>
      </c>
      <c r="BI75" s="81" t="n">
        <f aca="false">MAX(E74:BI74)</f>
        <v>8973743.79013954</v>
      </c>
      <c r="BJ75" s="81" t="n">
        <f aca="false">MAX(E74:BJ74)</f>
        <v>9026366.8012174</v>
      </c>
      <c r="BK75" s="81" t="n">
        <f aca="false">MAX(E74:BK74)</f>
        <v>9036466.94469621</v>
      </c>
      <c r="BL75" s="81" t="n">
        <f aca="false">MAX(E74:BL74)</f>
        <v>9036466.94469621</v>
      </c>
      <c r="BM75" s="82" t="n">
        <f aca="false">BL75</f>
        <v>9036466.94469621</v>
      </c>
      <c r="BN75" s="35" t="s">
        <v>218</v>
      </c>
    </row>
    <row r="76" customFormat="false" ht="15" hidden="false" customHeight="false" outlineLevel="0" collapsed="false">
      <c r="A76" s="49" t="s">
        <v>219</v>
      </c>
      <c r="E76" s="79" t="n">
        <f aca="false">IF(E70&lt;0,E$5,9999)</f>
        <v>9999</v>
      </c>
      <c r="F76" s="79" t="n">
        <f aca="false">IF(F70&lt;0,F$5,9999)</f>
        <v>9999</v>
      </c>
      <c r="G76" s="79" t="n">
        <f aca="false">IF(G70&lt;0,G$5,9999)</f>
        <v>9999</v>
      </c>
      <c r="H76" s="79" t="n">
        <f aca="false">IF(H70&lt;0,H$5,9999)</f>
        <v>9999</v>
      </c>
      <c r="I76" s="79" t="n">
        <f aca="false">IF(I70&lt;0,I$5,9999)</f>
        <v>9999</v>
      </c>
      <c r="J76" s="79" t="n">
        <f aca="false">IF(J70&lt;0,J$5,9999)</f>
        <v>9999</v>
      </c>
      <c r="K76" s="79" t="n">
        <f aca="false">IF(K70&lt;0,K$5,9999)</f>
        <v>9999</v>
      </c>
      <c r="L76" s="79" t="n">
        <f aca="false">IF(L70&lt;0,L$5,9999)</f>
        <v>9999</v>
      </c>
      <c r="M76" s="79" t="n">
        <f aca="false">IF(M70&lt;0,M$5,9999)</f>
        <v>9999</v>
      </c>
      <c r="N76" s="79" t="n">
        <f aca="false">IF(N70&lt;0,N$5,9999)</f>
        <v>9999</v>
      </c>
      <c r="O76" s="79" t="n">
        <f aca="false">IF(O70&lt;0,O$5,9999)</f>
        <v>9999</v>
      </c>
      <c r="P76" s="79" t="n">
        <f aca="false">IF(P70&lt;0,P$5,9999)</f>
        <v>9999</v>
      </c>
      <c r="Q76" s="79" t="n">
        <f aca="false">IF(Q70&lt;0,Q$5,9999)</f>
        <v>13</v>
      </c>
      <c r="R76" s="79" t="n">
        <f aca="false">IF(R70&lt;0,R$5,9999)</f>
        <v>9999</v>
      </c>
      <c r="S76" s="79" t="n">
        <f aca="false">IF(S70&lt;0,S$5,9999)</f>
        <v>15</v>
      </c>
      <c r="T76" s="79" t="n">
        <f aca="false">IF(T70&lt;0,T$5,9999)</f>
        <v>16</v>
      </c>
      <c r="U76" s="79" t="n">
        <f aca="false">IF(U70&lt;0,U$5,9999)</f>
        <v>17</v>
      </c>
      <c r="V76" s="79" t="n">
        <f aca="false">IF(V70&lt;0,V$5,9999)</f>
        <v>18</v>
      </c>
      <c r="W76" s="79" t="n">
        <f aca="false">IF(W70&lt;0,W$5,9999)</f>
        <v>19</v>
      </c>
      <c r="X76" s="79" t="n">
        <f aca="false">IF(X70&lt;0,X$5,9999)</f>
        <v>20</v>
      </c>
      <c r="Y76" s="79" t="n">
        <f aca="false">IF(Y70&lt;0,Y$5,9999)</f>
        <v>21</v>
      </c>
      <c r="Z76" s="79" t="n">
        <f aca="false">IF(Z70&lt;0,Z$5,9999)</f>
        <v>22</v>
      </c>
      <c r="AA76" s="79" t="n">
        <f aca="false">IF(AA70&lt;0,AA$5,9999)</f>
        <v>23</v>
      </c>
      <c r="AB76" s="79" t="n">
        <f aca="false">IF(AB70&lt;0,AB$5,9999)</f>
        <v>24</v>
      </c>
      <c r="AC76" s="79" t="n">
        <f aca="false">IF(AC70&lt;0,AC$5,9999)</f>
        <v>25</v>
      </c>
      <c r="AD76" s="79" t="n">
        <f aca="false">IF(AD70&lt;0,AD$5,9999)</f>
        <v>26</v>
      </c>
      <c r="AE76" s="79" t="n">
        <f aca="false">IF(AE70&lt;0,AE$5,9999)</f>
        <v>27</v>
      </c>
      <c r="AF76" s="79" t="n">
        <f aca="false">IF(AF70&lt;0,AF$5,9999)</f>
        <v>28</v>
      </c>
      <c r="AG76" s="79" t="n">
        <f aca="false">IF(AG70&lt;0,AG$5,9999)</f>
        <v>29</v>
      </c>
      <c r="AH76" s="79" t="n">
        <f aca="false">IF(AH70&lt;0,AH$5,9999)</f>
        <v>30</v>
      </c>
      <c r="AI76" s="79" t="n">
        <f aca="false">IF(AI70&lt;0,AI$5,9999)</f>
        <v>31</v>
      </c>
      <c r="AJ76" s="79" t="n">
        <f aca="false">IF(AJ70&lt;0,AJ$5,9999)</f>
        <v>32</v>
      </c>
      <c r="AK76" s="79" t="n">
        <f aca="false">IF(AK70&lt;0,AK$5,9999)</f>
        <v>33</v>
      </c>
      <c r="AL76" s="79" t="n">
        <f aca="false">IF(AL70&lt;0,AL$5,9999)</f>
        <v>34</v>
      </c>
      <c r="AM76" s="79" t="n">
        <f aca="false">IF(AM70&lt;0,AM$5,9999)</f>
        <v>35</v>
      </c>
      <c r="AN76" s="79" t="n">
        <f aca="false">IF(AN70&lt;0,AN$5,9999)</f>
        <v>36</v>
      </c>
      <c r="AO76" s="79" t="n">
        <f aca="false">IF(AO70&lt;0,AO$5,9999)</f>
        <v>37</v>
      </c>
      <c r="AP76" s="79" t="n">
        <f aca="false">IF(AP70&lt;0,AP$5,9999)</f>
        <v>38</v>
      </c>
      <c r="AQ76" s="79" t="n">
        <f aca="false">IF(AQ70&lt;0,AQ$5,9999)</f>
        <v>39</v>
      </c>
      <c r="AR76" s="79" t="n">
        <f aca="false">IF(AR70&lt;0,AR$5,9999)</f>
        <v>40</v>
      </c>
      <c r="AS76" s="79" t="n">
        <f aca="false">IF(AS70&lt;0,AS$5,9999)</f>
        <v>41</v>
      </c>
      <c r="AT76" s="79" t="n">
        <f aca="false">IF(AT70&lt;0,AT$5,9999)</f>
        <v>42</v>
      </c>
      <c r="AU76" s="79" t="n">
        <f aca="false">IF(AU70&lt;0,AU$5,9999)</f>
        <v>43</v>
      </c>
      <c r="AV76" s="79" t="n">
        <f aca="false">IF(AV70&lt;0,AV$5,9999)</f>
        <v>44</v>
      </c>
      <c r="AW76" s="79" t="n">
        <f aca="false">IF(AW70&lt;0,AW$5,9999)</f>
        <v>45</v>
      </c>
      <c r="AX76" s="79" t="n">
        <f aca="false">IF(AX70&lt;0,AX$5,9999)</f>
        <v>46</v>
      </c>
      <c r="AY76" s="79" t="n">
        <f aca="false">IF(AY70&lt;0,AY$5,9999)</f>
        <v>47</v>
      </c>
      <c r="AZ76" s="79" t="n">
        <f aca="false">IF(AZ70&lt;0,AZ$5,9999)</f>
        <v>48</v>
      </c>
      <c r="BA76" s="79" t="n">
        <f aca="false">IF(BA70&lt;0,BA$5,9999)</f>
        <v>49</v>
      </c>
      <c r="BB76" s="79" t="n">
        <f aca="false">IF(BB70&lt;0,BB$5,9999)</f>
        <v>50</v>
      </c>
      <c r="BC76" s="79" t="n">
        <f aca="false">IF(BC70&lt;0,BC$5,9999)</f>
        <v>51</v>
      </c>
      <c r="BD76" s="79" t="n">
        <f aca="false">IF(BD70&lt;0,BD$5,9999)</f>
        <v>52</v>
      </c>
      <c r="BE76" s="79" t="n">
        <f aca="false">IF(BE70&lt;0,BE$5,9999)</f>
        <v>53</v>
      </c>
      <c r="BF76" s="79" t="n">
        <f aca="false">IF(BF70&lt;0,BF$5,9999)</f>
        <v>54</v>
      </c>
      <c r="BG76" s="79" t="n">
        <f aca="false">IF(BG70&lt;0,BG$5,9999)</f>
        <v>55</v>
      </c>
      <c r="BH76" s="79" t="n">
        <f aca="false">IF(BH70&lt;0,BH$5,9999)</f>
        <v>56</v>
      </c>
      <c r="BI76" s="79" t="n">
        <f aca="false">IF(BI70&lt;0,BI$5,9999)</f>
        <v>57</v>
      </c>
      <c r="BJ76" s="79" t="n">
        <f aca="false">IF(BJ70&lt;0,BJ$5,9999)</f>
        <v>58</v>
      </c>
      <c r="BK76" s="79" t="n">
        <f aca="false">IF(BK70&lt;0,BK$5,9999)</f>
        <v>59</v>
      </c>
      <c r="BL76" s="79" t="n">
        <f aca="false">IF(BL70&lt;0,BL$5,9999)</f>
        <v>60</v>
      </c>
      <c r="BN76" s="35" t="s">
        <v>220</v>
      </c>
    </row>
    <row r="77" customFormat="false" ht="15" hidden="false" customHeight="false" outlineLevel="0" collapsed="false">
      <c r="A77" s="49" t="s">
        <v>221</v>
      </c>
      <c r="E77" s="79" t="n">
        <f aca="false">IF(E59&gt;0,E$5,9999)</f>
        <v>9999</v>
      </c>
      <c r="F77" s="79" t="n">
        <f aca="false">IF(F59&gt;0,F$5,9999)</f>
        <v>9999</v>
      </c>
      <c r="G77" s="79" t="n">
        <f aca="false">IF(G59&gt;0,G$5,9999)</f>
        <v>9999</v>
      </c>
      <c r="H77" s="79" t="n">
        <f aca="false">IF(H59&gt;0,H$5,9999)</f>
        <v>9999</v>
      </c>
      <c r="I77" s="79" t="n">
        <f aca="false">IF(I59&gt;0,I$5,9999)</f>
        <v>9999</v>
      </c>
      <c r="J77" s="79" t="n">
        <f aca="false">IF(J59&gt;0,J$5,9999)</f>
        <v>9999</v>
      </c>
      <c r="K77" s="79" t="n">
        <f aca="false">IF(K59&gt;0,K$5,9999)</f>
        <v>9999</v>
      </c>
      <c r="L77" s="79" t="n">
        <f aca="false">IF(L59&gt;0,L$5,9999)</f>
        <v>9999</v>
      </c>
      <c r="M77" s="79" t="n">
        <f aca="false">IF(M59&gt;0,M$5,9999)</f>
        <v>9999</v>
      </c>
      <c r="N77" s="79" t="n">
        <f aca="false">IF(N59&gt;0,N$5,9999)</f>
        <v>9999</v>
      </c>
      <c r="O77" s="79" t="n">
        <f aca="false">IF(O59&gt;0,O$5,9999)</f>
        <v>9999</v>
      </c>
      <c r="P77" s="79" t="n">
        <f aca="false">IF(P59&gt;0,P$5,9999)</f>
        <v>9999</v>
      </c>
      <c r="Q77" s="79" t="n">
        <f aca="false">IF(Q59&gt;0,Q$5,9999)</f>
        <v>9999</v>
      </c>
      <c r="R77" s="79" t="n">
        <f aca="false">IF(R59&gt;0,R$5,9999)</f>
        <v>9999</v>
      </c>
      <c r="S77" s="79" t="n">
        <f aca="false">IF(S59&gt;0,S$5,9999)</f>
        <v>9999</v>
      </c>
      <c r="T77" s="79" t="n">
        <f aca="false">IF(T59&gt;0,T$5,9999)</f>
        <v>9999</v>
      </c>
      <c r="U77" s="79" t="n">
        <f aca="false">IF(U59&gt;0,U$5,9999)</f>
        <v>9999</v>
      </c>
      <c r="V77" s="79" t="n">
        <f aca="false">IF(V59&gt;0,V$5,9999)</f>
        <v>9999</v>
      </c>
      <c r="W77" s="79" t="n">
        <f aca="false">IF(W59&gt;0,W$5,9999)</f>
        <v>9999</v>
      </c>
      <c r="X77" s="79" t="n">
        <f aca="false">IF(X59&gt;0,X$5,9999)</f>
        <v>9999</v>
      </c>
      <c r="Y77" s="79" t="n">
        <f aca="false">IF(Y59&gt;0,Y$5,9999)</f>
        <v>9999</v>
      </c>
      <c r="Z77" s="79" t="n">
        <f aca="false">IF(Z59&gt;0,Z$5,9999)</f>
        <v>9999</v>
      </c>
      <c r="AA77" s="79" t="n">
        <f aca="false">IF(AA59&gt;0,AA$5,9999)</f>
        <v>9999</v>
      </c>
      <c r="AB77" s="79" t="n">
        <f aca="false">IF(AB59&gt;0,AB$5,9999)</f>
        <v>9999</v>
      </c>
      <c r="AC77" s="79" t="n">
        <f aca="false">IF(AC59&gt;0,AC$5,9999)</f>
        <v>9999</v>
      </c>
      <c r="AD77" s="79" t="n">
        <f aca="false">IF(AD59&gt;0,AD$5,9999)</f>
        <v>9999</v>
      </c>
      <c r="AE77" s="79" t="n">
        <f aca="false">IF(AE59&gt;0,AE$5,9999)</f>
        <v>9999</v>
      </c>
      <c r="AF77" s="79" t="n">
        <f aca="false">IF(AF59&gt;0,AF$5,9999)</f>
        <v>9999</v>
      </c>
      <c r="AG77" s="79" t="n">
        <f aca="false">IF(AG59&gt;0,AG$5,9999)</f>
        <v>9999</v>
      </c>
      <c r="AH77" s="79" t="n">
        <f aca="false">IF(AH59&gt;0,AH$5,9999)</f>
        <v>9999</v>
      </c>
      <c r="AI77" s="79" t="n">
        <f aca="false">IF(AI59&gt;0,AI$5,9999)</f>
        <v>9999</v>
      </c>
      <c r="AJ77" s="79" t="n">
        <f aca="false">IF(AJ59&gt;0,AJ$5,9999)</f>
        <v>9999</v>
      </c>
      <c r="AK77" s="79" t="n">
        <f aca="false">IF(AK59&gt;0,AK$5,9999)</f>
        <v>9999</v>
      </c>
      <c r="AL77" s="79" t="n">
        <f aca="false">IF(AL59&gt;0,AL$5,9999)</f>
        <v>9999</v>
      </c>
      <c r="AM77" s="79" t="n">
        <f aca="false">IF(AM59&gt;0,AM$5,9999)</f>
        <v>9999</v>
      </c>
      <c r="AN77" s="79" t="n">
        <f aca="false">IF(AN59&gt;0,AN$5,9999)</f>
        <v>9999</v>
      </c>
      <c r="AO77" s="79" t="n">
        <f aca="false">IF(AO59&gt;0,AO$5,9999)</f>
        <v>9999</v>
      </c>
      <c r="AP77" s="79" t="n">
        <f aca="false">IF(AP59&gt;0,AP$5,9999)</f>
        <v>9999</v>
      </c>
      <c r="AQ77" s="79" t="n">
        <f aca="false">IF(AQ59&gt;0,AQ$5,9999)</f>
        <v>9999</v>
      </c>
      <c r="AR77" s="79" t="n">
        <f aca="false">IF(AR59&gt;0,AR$5,9999)</f>
        <v>9999</v>
      </c>
      <c r="AS77" s="79" t="n">
        <f aca="false">IF(AS59&gt;0,AS$5,9999)</f>
        <v>9999</v>
      </c>
      <c r="AT77" s="79" t="n">
        <f aca="false">IF(AT59&gt;0,AT$5,9999)</f>
        <v>9999</v>
      </c>
      <c r="AU77" s="79" t="n">
        <f aca="false">IF(AU59&gt;0,AU$5,9999)</f>
        <v>9999</v>
      </c>
      <c r="AV77" s="79" t="n">
        <f aca="false">IF(AV59&gt;0,AV$5,9999)</f>
        <v>9999</v>
      </c>
      <c r="AW77" s="79" t="n">
        <f aca="false">IF(AW59&gt;0,AW$5,9999)</f>
        <v>9999</v>
      </c>
      <c r="AX77" s="79" t="n">
        <f aca="false">IF(AX59&gt;0,AX$5,9999)</f>
        <v>9999</v>
      </c>
      <c r="AY77" s="79" t="n">
        <f aca="false">IF(AY59&gt;0,AY$5,9999)</f>
        <v>9999</v>
      </c>
      <c r="AZ77" s="79" t="n">
        <f aca="false">IF(AZ59&gt;0,AZ$5,9999)</f>
        <v>9999</v>
      </c>
      <c r="BA77" s="79" t="n">
        <f aca="false">IF(BA59&gt;0,BA$5,9999)</f>
        <v>9999</v>
      </c>
      <c r="BB77" s="79" t="n">
        <f aca="false">IF(BB59&gt;0,BB$5,9999)</f>
        <v>9999</v>
      </c>
      <c r="BC77" s="79" t="n">
        <f aca="false">IF(BC59&gt;0,BC$5,9999)</f>
        <v>9999</v>
      </c>
      <c r="BD77" s="79" t="n">
        <f aca="false">IF(BD59&gt;0,BD$5,9999)</f>
        <v>9999</v>
      </c>
      <c r="BE77" s="79" t="n">
        <f aca="false">IF(BE59&gt;0,BE$5,9999)</f>
        <v>9999</v>
      </c>
      <c r="BF77" s="79" t="n">
        <f aca="false">IF(BF59&gt;0,BF$5,9999)</f>
        <v>9999</v>
      </c>
      <c r="BG77" s="79" t="n">
        <f aca="false">IF(BG59&gt;0,BG$5,9999)</f>
        <v>9999</v>
      </c>
      <c r="BH77" s="79" t="n">
        <f aca="false">IF(BH59&gt;0,BH$5,9999)</f>
        <v>9999</v>
      </c>
      <c r="BI77" s="79" t="n">
        <f aca="false">IF(BI59&gt;0,BI$5,9999)</f>
        <v>9999</v>
      </c>
      <c r="BJ77" s="79" t="n">
        <f aca="false">IF(BJ59&gt;0,BJ$5,9999)</f>
        <v>9999</v>
      </c>
      <c r="BK77" s="79" t="n">
        <f aca="false">IF(BK59&gt;0,BK$5,9999)</f>
        <v>59</v>
      </c>
      <c r="BL77" s="79" t="n">
        <f aca="false">IF(BL59&gt;0,BL$5,9999)</f>
        <v>60</v>
      </c>
    </row>
    <row r="78" customFormat="false" ht="15" hidden="false" customHeight="false" outlineLevel="0" collapsed="false">
      <c r="A78" s="49" t="s">
        <v>222</v>
      </c>
      <c r="E78" s="79" t="n">
        <f aca="false">IF(E67&lt;0,E$5,0)</f>
        <v>0</v>
      </c>
      <c r="F78" s="79" t="n">
        <f aca="false">IF(F67&lt;0,F$5,0)</f>
        <v>0</v>
      </c>
      <c r="G78" s="79" t="n">
        <f aca="false">IF(G67&lt;0,G$5,0)</f>
        <v>0</v>
      </c>
      <c r="H78" s="79" t="n">
        <f aca="false">IF(H67&lt;0,H$5,0)</f>
        <v>4</v>
      </c>
      <c r="I78" s="79" t="n">
        <f aca="false">IF(I67&lt;0,I$5,0)</f>
        <v>5</v>
      </c>
      <c r="J78" s="79" t="n">
        <f aca="false">IF(J67&lt;0,J$5,0)</f>
        <v>6</v>
      </c>
      <c r="K78" s="79" t="n">
        <f aca="false">IF(K67&lt;0,K$5,0)</f>
        <v>7</v>
      </c>
      <c r="L78" s="79" t="n">
        <f aca="false">IF(L67&lt;0,L$5,0)</f>
        <v>8</v>
      </c>
      <c r="M78" s="79" t="n">
        <f aca="false">IF(M67&lt;0,M$5,0)</f>
        <v>9</v>
      </c>
      <c r="N78" s="79" t="n">
        <f aca="false">IF(N67&lt;0,N$5,0)</f>
        <v>10</v>
      </c>
      <c r="O78" s="79" t="n">
        <f aca="false">IF(O67&lt;0,O$5,0)</f>
        <v>11</v>
      </c>
      <c r="P78" s="79" t="n">
        <f aca="false">IF(P67&lt;0,P$5,0)</f>
        <v>12</v>
      </c>
      <c r="Q78" s="79" t="n">
        <f aca="false">IF(Q67&lt;0,Q$5,0)</f>
        <v>13</v>
      </c>
      <c r="R78" s="79" t="n">
        <f aca="false">IF(R67&lt;0,R$5,0)</f>
        <v>14</v>
      </c>
      <c r="S78" s="79" t="n">
        <f aca="false">IF(S67&lt;0,S$5,0)</f>
        <v>15</v>
      </c>
      <c r="T78" s="79" t="n">
        <f aca="false">IF(T67&lt;0,T$5,0)</f>
        <v>16</v>
      </c>
      <c r="U78" s="79" t="n">
        <f aca="false">IF(U67&lt;0,U$5,0)</f>
        <v>17</v>
      </c>
      <c r="V78" s="79" t="n">
        <f aca="false">IF(V67&lt;0,V$5,0)</f>
        <v>18</v>
      </c>
      <c r="W78" s="79" t="n">
        <f aca="false">IF(W67&lt;0,W$5,0)</f>
        <v>19</v>
      </c>
      <c r="X78" s="79" t="n">
        <f aca="false">IF(X67&lt;0,X$5,0)</f>
        <v>20</v>
      </c>
      <c r="Y78" s="79" t="n">
        <f aca="false">IF(Y67&lt;0,Y$5,0)</f>
        <v>21</v>
      </c>
      <c r="Z78" s="79" t="n">
        <f aca="false">IF(Z67&lt;0,Z$5,0)</f>
        <v>22</v>
      </c>
      <c r="AA78" s="79" t="n">
        <f aca="false">IF(AA67&lt;0,AA$5,0)</f>
        <v>23</v>
      </c>
      <c r="AB78" s="79" t="n">
        <f aca="false">IF(AB67&lt;0,AB$5,0)</f>
        <v>24</v>
      </c>
      <c r="AC78" s="79" t="n">
        <f aca="false">IF(AC67&lt;0,AC$5,0)</f>
        <v>25</v>
      </c>
      <c r="AD78" s="79" t="n">
        <f aca="false">IF(AD67&lt;0,AD$5,0)</f>
        <v>26</v>
      </c>
      <c r="AE78" s="79" t="n">
        <f aca="false">IF(AE67&lt;0,AE$5,0)</f>
        <v>27</v>
      </c>
      <c r="AF78" s="79" t="n">
        <f aca="false">IF(AF67&lt;0,AF$5,0)</f>
        <v>28</v>
      </c>
      <c r="AG78" s="79" t="n">
        <f aca="false">IF(AG67&lt;0,AG$5,0)</f>
        <v>29</v>
      </c>
      <c r="AH78" s="79" t="n">
        <f aca="false">IF(AH67&lt;0,AH$5,0)</f>
        <v>30</v>
      </c>
      <c r="AI78" s="79" t="n">
        <f aca="false">IF(AI67&lt;0,AI$5,0)</f>
        <v>31</v>
      </c>
      <c r="AJ78" s="79" t="n">
        <f aca="false">IF(AJ67&lt;0,AJ$5,0)</f>
        <v>32</v>
      </c>
      <c r="AK78" s="79" t="n">
        <f aca="false">IF(AK67&lt;0,AK$5,0)</f>
        <v>33</v>
      </c>
      <c r="AL78" s="79" t="n">
        <f aca="false">IF(AL67&lt;0,AL$5,0)</f>
        <v>34</v>
      </c>
      <c r="AM78" s="79" t="n">
        <f aca="false">IF(AM67&lt;0,AM$5,0)</f>
        <v>35</v>
      </c>
      <c r="AN78" s="79" t="n">
        <f aca="false">IF(AN67&lt;0,AN$5,0)</f>
        <v>36</v>
      </c>
      <c r="AO78" s="79" t="n">
        <f aca="false">IF(AO67&lt;0,AO$5,0)</f>
        <v>37</v>
      </c>
      <c r="AP78" s="79" t="n">
        <f aca="false">IF(AP67&lt;0,AP$5,0)</f>
        <v>38</v>
      </c>
      <c r="AQ78" s="79" t="n">
        <f aca="false">IF(AQ67&lt;0,AQ$5,0)</f>
        <v>39</v>
      </c>
      <c r="AR78" s="79" t="n">
        <f aca="false">IF(AR67&lt;0,AR$5,0)</f>
        <v>40</v>
      </c>
      <c r="AS78" s="79" t="n">
        <f aca="false">IF(AS67&lt;0,AS$5,0)</f>
        <v>41</v>
      </c>
      <c r="AT78" s="79" t="n">
        <f aca="false">IF(AT67&lt;0,AT$5,0)</f>
        <v>42</v>
      </c>
      <c r="AU78" s="79" t="n">
        <f aca="false">IF(AU67&lt;0,AU$5,0)</f>
        <v>43</v>
      </c>
      <c r="AV78" s="79" t="n">
        <f aca="false">IF(AV67&lt;0,AV$5,0)</f>
        <v>44</v>
      </c>
      <c r="AW78" s="79" t="n">
        <f aca="false">IF(AW67&lt;0,AW$5,0)</f>
        <v>45</v>
      </c>
      <c r="AX78" s="79" t="n">
        <f aca="false">IF(AX67&lt;0,AX$5,0)</f>
        <v>46</v>
      </c>
      <c r="AY78" s="79" t="n">
        <f aca="false">IF(AY67&lt;0,AY$5,0)</f>
        <v>47</v>
      </c>
      <c r="AZ78" s="79" t="n">
        <f aca="false">IF(AZ67&lt;0,AZ$5,0)</f>
        <v>48</v>
      </c>
      <c r="BA78" s="79" t="n">
        <f aca="false">IF(BA67&lt;0,BA$5,0)</f>
        <v>49</v>
      </c>
      <c r="BB78" s="79" t="n">
        <f aca="false">IF(BB67&lt;0,BB$5,0)</f>
        <v>50</v>
      </c>
      <c r="BC78" s="79" t="n">
        <f aca="false">IF(BC67&lt;0,BC$5,0)</f>
        <v>51</v>
      </c>
      <c r="BD78" s="79" t="n">
        <f aca="false">IF(BD67&lt;0,BD$5,0)</f>
        <v>52</v>
      </c>
      <c r="BE78" s="79" t="n">
        <f aca="false">IF(BE67&lt;0,BE$5,0)</f>
        <v>53</v>
      </c>
      <c r="BF78" s="79" t="n">
        <f aca="false">IF(BF67&lt;0,BF$5,0)</f>
        <v>54</v>
      </c>
      <c r="BG78" s="79" t="n">
        <f aca="false">IF(BG67&lt;0,BG$5,0)</f>
        <v>55</v>
      </c>
      <c r="BH78" s="79" t="n">
        <f aca="false">IF(BH67&lt;0,BH$5,0)</f>
        <v>56</v>
      </c>
      <c r="BI78" s="79" t="n">
        <f aca="false">IF(BI67&lt;0,BI$5,0)</f>
        <v>57</v>
      </c>
      <c r="BJ78" s="79" t="n">
        <f aca="false">IF(BJ67&lt;0,BJ$5,0)</f>
        <v>58</v>
      </c>
      <c r="BK78" s="79" t="n">
        <f aca="false">IF(BK67&lt;0,BK$5,0)</f>
        <v>59</v>
      </c>
      <c r="BL78" s="79" t="n">
        <f aca="false">IF(BL67&lt;0,BL$5,0)</f>
        <v>60</v>
      </c>
      <c r="BN78" s="35" t="s">
        <v>223</v>
      </c>
    </row>
    <row r="80" customFormat="false" ht="18" hidden="false" customHeight="true" outlineLevel="0" collapsed="false">
      <c r="A80" s="19" t="s">
        <v>224</v>
      </c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</row>
    <row r="81" customFormat="false" ht="15" hidden="false" customHeight="false" outlineLevel="0" collapsed="false">
      <c r="A81" s="49" t="s">
        <v>93</v>
      </c>
      <c r="E81" s="96" t="n">
        <f aca="false">IFERROR(E53/(E17*$B$11),0)</f>
        <v>0</v>
      </c>
      <c r="F81" s="96" t="n">
        <f aca="false">IFERROR(F53/(F17*$B$11),0)</f>
        <v>0</v>
      </c>
      <c r="G81" s="96" t="n">
        <f aca="false">IFERROR(G53/(G17*$B$11),0)</f>
        <v>0</v>
      </c>
      <c r="H81" s="96" t="n">
        <f aca="false">IFERROR(H53/(H17*$B$11),0)</f>
        <v>0</v>
      </c>
      <c r="I81" s="96" t="n">
        <f aca="false">IFERROR(I53/(I17*$B$11),0)</f>
        <v>0</v>
      </c>
      <c r="J81" s="96" t="n">
        <f aca="false">IFERROR(J53/(J17*$B$11),0)</f>
        <v>0</v>
      </c>
      <c r="K81" s="96" t="n">
        <f aca="false">IFERROR(K53/(K17*$B$11),0)</f>
        <v>0</v>
      </c>
      <c r="L81" s="96" t="n">
        <f aca="false">IFERROR(L53/(L17*$B$11),0)</f>
        <v>0</v>
      </c>
      <c r="M81" s="96" t="n">
        <f aca="false">IFERROR(M53/(M17*$B$11),0)</f>
        <v>0</v>
      </c>
      <c r="N81" s="96" t="n">
        <f aca="false">IFERROR(N53/(N17*$B$11),0)</f>
        <v>0</v>
      </c>
      <c r="O81" s="96" t="n">
        <f aca="false">IFERROR(O53/(O17*$B$11),0)</f>
        <v>0</v>
      </c>
      <c r="P81" s="96" t="n">
        <f aca="false">IFERROR(P53/(P17*$B$11),0)</f>
        <v>500</v>
      </c>
      <c r="Q81" s="96" t="n">
        <f aca="false">IFERROR(Q53/(Q17*$B$11),0)</f>
        <v>485.096153846154</v>
      </c>
      <c r="R81" s="96" t="n">
        <f aca="false">IFERROR(R53/(R17*$B$11),0)</f>
        <v>470.636556952663</v>
      </c>
      <c r="S81" s="96" t="n">
        <f aca="false">IFERROR(S53/(S17*$B$11),0)</f>
        <v>456.607967274266</v>
      </c>
      <c r="T81" s="96" t="n">
        <f aca="false">IFERROR(T53/(T17*$B$11),0)</f>
        <v>442.997537480514</v>
      </c>
      <c r="U81" s="96" t="n">
        <f aca="false">IFERROR(U53/(U17*$B$11),0)</f>
        <v>429.792803190229</v>
      </c>
      <c r="V81" s="96" t="n">
        <f aca="false">IFERROR(V53/(V17*$B$11),0)</f>
        <v>416.981671556674</v>
      </c>
      <c r="W81" s="96" t="n">
        <f aca="false">IFERROR(W53/(W17*$B$11),0)</f>
        <v>404.552410192966</v>
      </c>
      <c r="X81" s="96" t="n">
        <f aca="false">IFERROR(X53/(X17*$B$11),0)</f>
        <v>392.493636427598</v>
      </c>
      <c r="Y81" s="96" t="n">
        <f aca="false">IFERROR(Y53/(Y17*$B$11),0)</f>
        <v>380.794306880237</v>
      </c>
      <c r="Z81" s="96" t="n">
        <f aca="false">IFERROR(Z53/(Z17*$B$11),0)</f>
        <v>369.44370734823</v>
      </c>
      <c r="AA81" s="96" t="n">
        <f aca="false">IFERROR(AA53/(AA17*$B$11),0)</f>
        <v>358.431442994581</v>
      </c>
      <c r="AB81" s="96" t="n">
        <f aca="false">IFERROR(AB53/(AB17*$B$11),0)</f>
        <v>347.747428828396</v>
      </c>
      <c r="AC81" s="96" t="n">
        <f aca="false">IFERROR(AC53/(AC17*$B$11),0)</f>
        <v>337.381880469088</v>
      </c>
      <c r="AD81" s="96" t="n">
        <f aca="false">IFERROR(AD53/(AD17*$B$11),0)</f>
        <v>327.325305185875</v>
      </c>
      <c r="AE81" s="96" t="n">
        <f aca="false">IFERROR(AE53/(AE17*$B$11),0)</f>
        <v>317.568493204373</v>
      </c>
      <c r="AF81" s="96" t="n">
        <f aca="false">IFERROR(AF53/(AF17*$B$11),0)</f>
        <v>308.102509272319</v>
      </c>
      <c r="AG81" s="96" t="n">
        <f aca="false">IFERROR(AG53/(AG17*$B$11),0)</f>
        <v>298.918684476702</v>
      </c>
      <c r="AH81" s="96" t="n">
        <f aca="false">IFERROR(AH53/(AH17*$B$11),0)</f>
        <v>290.0086083048</v>
      </c>
      <c r="AI81" s="96" t="n">
        <f aca="false">IFERROR(AI53/(AI17*$B$11),0)</f>
        <v>281.364120941869</v>
      </c>
      <c r="AJ81" s="96" t="n">
        <f aca="false">IFERROR(AJ53/(AJ17*$B$11),0)</f>
        <v>272.977305798409</v>
      </c>
      <c r="AK81" s="96" t="n">
        <f aca="false">IFERROR(AK53/(AK17*$B$11),0)</f>
        <v>264.840482260187</v>
      </c>
      <c r="AL81" s="96" t="n">
        <f aca="false">IFERROR(AL53/(AL17*$B$11),0)</f>
        <v>256.946198654355</v>
      </c>
      <c r="AM81" s="96" t="n">
        <f aca="false">IFERROR(AM53/(AM17*$B$11),0)</f>
        <v>249.287225425235</v>
      </c>
      <c r="AN81" s="96" t="n">
        <f aca="false">IFERROR(AN53/(AN17*$B$11),0)</f>
        <v>241.856548513521</v>
      </c>
      <c r="AO81" s="96" t="n">
        <f aca="false">IFERROR(AO53/(AO17*$B$11),0)</f>
        <v>234.647362932829</v>
      </c>
      <c r="AP81" s="96" t="n">
        <f aca="false">IFERROR(AP53/(AP17*$B$11),0)</f>
        <v>227.653066537716</v>
      </c>
      <c r="AQ81" s="96" t="n">
        <f aca="false">IFERROR(AQ53/(AQ17*$B$11),0)</f>
        <v>220.867253977457</v>
      </c>
      <c r="AR81" s="96" t="n">
        <f aca="false">IFERROR(AR53/(AR17*$B$11),0)</f>
        <v>214.283710830052</v>
      </c>
      <c r="AS81" s="96" t="n">
        <f aca="false">IFERROR(AS53/(AS17*$B$11),0)</f>
        <v>207.896407911079</v>
      </c>
      <c r="AT81" s="96" t="n">
        <f aca="false">IFERROR(AT53/(AT17*$B$11),0)</f>
        <v>201.699495752192</v>
      </c>
      <c r="AU81" s="96" t="n">
        <f aca="false">IFERROR(AU53/(AU17*$B$11),0)</f>
        <v>195.687299244193</v>
      </c>
      <c r="AV81" s="96" t="n">
        <f aca="false">IFERROR(AV53/(AV17*$B$11),0)</f>
        <v>189.854312439799</v>
      </c>
      <c r="AW81" s="96" t="n">
        <f aca="false">IFERROR(AW53/(AW17*$B$11),0)</f>
        <v>184.195193511305</v>
      </c>
      <c r="AX81" s="96" t="n">
        <f aca="false">IFERROR(AX53/(AX17*$B$11),0)</f>
        <v>178.704759858564</v>
      </c>
      <c r="AY81" s="96" t="n">
        <f aca="false">IFERROR(AY53/(AY17*$B$11),0)</f>
        <v>173.37798336278</v>
      </c>
      <c r="AZ81" s="96" t="n">
        <f aca="false">IFERROR(AZ53/(AZ17*$B$11),0)</f>
        <v>168.209985781774</v>
      </c>
      <c r="BA81" s="96" t="n">
        <f aca="false">IFERROR(BA53/(BA17*$B$11),0)</f>
        <v>163.19603428251</v>
      </c>
      <c r="BB81" s="96" t="n">
        <f aca="false">IFERROR(BB53/(BB17*$B$11),0)</f>
        <v>158.331537106781</v>
      </c>
      <c r="BC81" s="96" t="n">
        <f aca="false">IFERROR(BC53/(BC17*$B$11),0)</f>
        <v>153.612039366098</v>
      </c>
      <c r="BD81" s="96" t="n">
        <f aca="false">IFERROR(BD53/(BD17*$B$11),0)</f>
        <v>149.033218961916</v>
      </c>
      <c r="BE81" s="96" t="n">
        <f aca="false">IFERROR(BE53/(BE17*$B$11),0)</f>
        <v>144.590882627475</v>
      </c>
      <c r="BF81" s="96" t="n">
        <f aca="false">IFERROR(BF53/(BF17*$B$11),0)</f>
        <v>140.280962087617</v>
      </c>
      <c r="BG81" s="96" t="n">
        <f aca="false">IFERROR(BG53/(BG17*$B$11),0)</f>
        <v>136.099510333082</v>
      </c>
      <c r="BH81" s="96" t="n">
        <f aca="false">IFERROR(BH53/(BH17*$B$11),0)</f>
        <v>132.042698005846</v>
      </c>
      <c r="BI81" s="96" t="n">
        <f aca="false">IFERROR(BI53/(BI17*$B$11),0)</f>
        <v>128.10680989221</v>
      </c>
      <c r="BJ81" s="96" t="n">
        <f aca="false">IFERROR(BJ53/(BJ17*$B$11),0)</f>
        <v>124.288241520423</v>
      </c>
      <c r="BK81" s="96" t="n">
        <f aca="false">IFERROR(BK53/(BK17*$B$11),0)</f>
        <v>120.583495859718</v>
      </c>
      <c r="BL81" s="96" t="n">
        <f aca="false">IFERROR(BL53/(BL17*$B$11),0)</f>
        <v>116.989180117746</v>
      </c>
      <c r="BM81" s="77" t="n">
        <f aca="false">BL81</f>
        <v>116.989180117746</v>
      </c>
      <c r="BN81" s="35" t="s">
        <v>225</v>
      </c>
    </row>
    <row r="82" customFormat="false" ht="15" hidden="false" customHeight="false" outlineLevel="0" collapsed="false">
      <c r="A82" s="49" t="s">
        <v>226</v>
      </c>
      <c r="E82" s="96" t="n">
        <f aca="false">E18*E43</f>
        <v>0</v>
      </c>
      <c r="F82" s="96" t="n">
        <f aca="false">F18*F43</f>
        <v>0</v>
      </c>
      <c r="G82" s="96" t="n">
        <f aca="false">G18*G43</f>
        <v>0</v>
      </c>
      <c r="H82" s="96" t="n">
        <f aca="false">H18*H43</f>
        <v>0</v>
      </c>
      <c r="I82" s="96" t="n">
        <f aca="false">I18*I43</f>
        <v>0</v>
      </c>
      <c r="J82" s="96" t="n">
        <f aca="false">J18*J43</f>
        <v>0</v>
      </c>
      <c r="K82" s="96" t="n">
        <f aca="false">K18*K43</f>
        <v>0</v>
      </c>
      <c r="L82" s="96" t="n">
        <f aca="false">L18*L43</f>
        <v>0</v>
      </c>
      <c r="M82" s="96" t="n">
        <f aca="false">M18*M43</f>
        <v>0</v>
      </c>
      <c r="N82" s="96" t="n">
        <f aca="false">N18*N43</f>
        <v>0</v>
      </c>
      <c r="O82" s="96" t="n">
        <f aca="false">O18*O43</f>
        <v>0</v>
      </c>
      <c r="P82" s="96" t="n">
        <f aca="false">P18*P43</f>
        <v>28.5030121526322</v>
      </c>
      <c r="Q82" s="96" t="n">
        <f aca="false">Q18*Q43</f>
        <v>28.5178356561743</v>
      </c>
      <c r="R82" s="96" t="n">
        <f aca="false">R18*R43</f>
        <v>28.5326146892058</v>
      </c>
      <c r="S82" s="96" t="n">
        <f aca="false">S18*S43</f>
        <v>29.756933170884</v>
      </c>
      <c r="T82" s="96" t="n">
        <f aca="false">T18*T43</f>
        <v>29.5611967214849</v>
      </c>
      <c r="U82" s="96" t="n">
        <f aca="false">U18*U43</f>
        <v>29.4211420633654</v>
      </c>
      <c r="V82" s="96" t="n">
        <f aca="false">V18*V43</f>
        <v>29.3175781425704</v>
      </c>
      <c r="W82" s="96" t="n">
        <f aca="false">W18*W43</f>
        <v>29.2378696991206</v>
      </c>
      <c r="X82" s="96" t="n">
        <f aca="false">X18*X43</f>
        <v>29.1757984847249</v>
      </c>
      <c r="Y82" s="96" t="n">
        <f aca="false">Y18*Y43</f>
        <v>29.1270894042069</v>
      </c>
      <c r="Z82" s="96" t="n">
        <f aca="false">Z18*Z43</f>
        <v>29.088391584556</v>
      </c>
      <c r="AA82" s="96" t="n">
        <f aca="false">AA18*AA43</f>
        <v>29.057427732997</v>
      </c>
      <c r="AB82" s="96" t="n">
        <f aca="false">AB18*AB43</f>
        <v>29.0325940186515</v>
      </c>
      <c r="AC82" s="96" t="n">
        <f aca="false">AC18*AC43</f>
        <v>29.0128980101988</v>
      </c>
      <c r="AD82" s="96" t="n">
        <f aca="false">AD18*AD43</f>
        <v>28.997094619066</v>
      </c>
      <c r="AE82" s="96" t="n">
        <f aca="false">AE18*AE43</f>
        <v>28.9848451992815</v>
      </c>
      <c r="AF82" s="96" t="n">
        <f aca="false">AF18*AF43</f>
        <v>28.9755687711468</v>
      </c>
      <c r="AG82" s="96" t="n">
        <f aca="false">AG18*AG43</f>
        <v>28.9686477204872</v>
      </c>
      <c r="AH82" s="96" t="n">
        <f aca="false">AH18*AH43</f>
        <v>28.9639378248367</v>
      </c>
      <c r="AI82" s="96" t="n">
        <f aca="false">AI18*AI43</f>
        <v>28.9609592692209</v>
      </c>
      <c r="AJ82" s="96" t="n">
        <f aca="false">AJ18*AJ43</f>
        <v>28.9596399601897</v>
      </c>
      <c r="AK82" s="96" t="n">
        <f aca="false">AK18*AK43</f>
        <v>28.9596978659636</v>
      </c>
      <c r="AL82" s="96" t="n">
        <f aca="false">AL18*AL43</f>
        <v>28.9609999810961</v>
      </c>
      <c r="AM82" s="96" t="n">
        <f aca="false">AM18*AM43</f>
        <v>28.9633949384005</v>
      </c>
      <c r="AN82" s="96" t="n">
        <f aca="false">AN18*AN43</f>
        <v>28.9667596960165</v>
      </c>
      <c r="AO82" s="96" t="n">
        <f aca="false">AO18*AO43</f>
        <v>28.9709918556693</v>
      </c>
      <c r="AP82" s="96" t="n">
        <f aca="false">AP18*AP43</f>
        <v>28.9759862576124</v>
      </c>
      <c r="AQ82" s="96" t="n">
        <f aca="false">AQ18*AQ43</f>
        <v>28.9816754131954</v>
      </c>
      <c r="AR82" s="96" t="n">
        <f aca="false">AR18*AR43</f>
        <v>28.9879983040165</v>
      </c>
      <c r="AS82" s="96" t="n">
        <f aca="false">AS18*AS43</f>
        <v>28.9948768915799</v>
      </c>
      <c r="AT82" s="96" t="n">
        <f aca="false">AT18*AT43</f>
        <v>29.0022697693411</v>
      </c>
      <c r="AU82" s="96" t="n">
        <f aca="false">AU18*AU43</f>
        <v>29.0101283866675</v>
      </c>
      <c r="AV82" s="96" t="n">
        <f aca="false">AV18*AV43</f>
        <v>29.0183964180876</v>
      </c>
      <c r="AW82" s="96" t="n">
        <f aca="false">AW18*AW43</f>
        <v>29.02703616552</v>
      </c>
      <c r="AX82" s="96" t="n">
        <f aca="false">AX18*AX43</f>
        <v>29.0360253135983</v>
      </c>
      <c r="AY82" s="96" t="n">
        <f aca="false">AY18*AY43</f>
        <v>29.0453221316815</v>
      </c>
      <c r="AZ82" s="96" t="n">
        <f aca="false">AZ18*AZ43</f>
        <v>29.0548976470287</v>
      </c>
      <c r="BA82" s="96" t="n">
        <f aca="false">BA18*BA43</f>
        <v>29.0647269877452</v>
      </c>
      <c r="BB82" s="96" t="n">
        <f aca="false">BB18*BB43</f>
        <v>29.0747882003712</v>
      </c>
      <c r="BC82" s="96" t="n">
        <f aca="false">BC18*BC43</f>
        <v>29.0850591411875</v>
      </c>
      <c r="BD82" s="96" t="n">
        <f aca="false">BD18*BD43</f>
        <v>29.0955186219537</v>
      </c>
      <c r="BE82" s="96" t="n">
        <f aca="false">BE18*BE43</f>
        <v>29.1061487110335</v>
      </c>
      <c r="BF82" s="96" t="n">
        <f aca="false">BF18*BF43</f>
        <v>29.1169323185737</v>
      </c>
      <c r="BG82" s="96" t="n">
        <f aca="false">BG18*BG43</f>
        <v>29.127856068502</v>
      </c>
      <c r="BH82" s="96" t="n">
        <f aca="false">BH18*BH43</f>
        <v>29.1389044171076</v>
      </c>
      <c r="BI82" s="96" t="n">
        <f aca="false">BI18*BI43</f>
        <v>29.1500653485111</v>
      </c>
      <c r="BJ82" s="96" t="n">
        <f aca="false">BJ18*BJ43</f>
        <v>29.1613273595428</v>
      </c>
      <c r="BK82" s="96" t="n">
        <f aca="false">BK18*BK43</f>
        <v>29.1726789927255</v>
      </c>
      <c r="BL82" s="96" t="n">
        <f aca="false">BL18*BL43</f>
        <v>29.1841116875702</v>
      </c>
      <c r="BM82" s="77" t="n">
        <f aca="false">BL82</f>
        <v>29.1841116875702</v>
      </c>
    </row>
    <row r="83" customFormat="false" ht="15" hidden="false" customHeight="false" outlineLevel="0" collapsed="false">
      <c r="A83" s="49" t="s">
        <v>227</v>
      </c>
      <c r="E83" s="96" t="n">
        <f aca="false">IFERROR((-E46-E51)/E25,0)</f>
        <v>0</v>
      </c>
      <c r="F83" s="96" t="n">
        <f aca="false">IFERROR((-F46-F51)/F25,0)</f>
        <v>0</v>
      </c>
      <c r="G83" s="96" t="n">
        <f aca="false">IFERROR((-G46-G51)/G25,0)</f>
        <v>0</v>
      </c>
      <c r="H83" s="96" t="n">
        <f aca="false">IFERROR((-H46-H51)/H25,0)</f>
        <v>0</v>
      </c>
      <c r="I83" s="96" t="n">
        <f aca="false">IFERROR((-I46-I51)/I25,0)</f>
        <v>0</v>
      </c>
      <c r="J83" s="96" t="n">
        <f aca="false">IFERROR((-J46-J51)/J25,0)</f>
        <v>0</v>
      </c>
      <c r="K83" s="96" t="n">
        <f aca="false">IFERROR((-K46-K51)/K25,0)</f>
        <v>0</v>
      </c>
      <c r="L83" s="96" t="n">
        <f aca="false">IFERROR((-L46-L51)/L25,0)</f>
        <v>0</v>
      </c>
      <c r="M83" s="96" t="n">
        <f aca="false">IFERROR((-M46-M51)/M25,0)</f>
        <v>0</v>
      </c>
      <c r="N83" s="96" t="n">
        <f aca="false">IFERROR((-N46-N51)/N25,0)</f>
        <v>0</v>
      </c>
      <c r="O83" s="96" t="n">
        <f aca="false">IFERROR((-O46-O51)/O25,0)</f>
        <v>0</v>
      </c>
      <c r="P83" s="96" t="n">
        <f aca="false">IFERROR((-P46-P51)/P25,0)</f>
        <v>49.4557387057387</v>
      </c>
      <c r="Q83" s="96" t="n">
        <f aca="false">IFERROR((-Q46-Q51)/Q25,0)</f>
        <v>38.6323079710145</v>
      </c>
      <c r="R83" s="96" t="n">
        <f aca="false">IFERROR((-R46-R51)/R25,0)</f>
        <v>34.2318389200277</v>
      </c>
      <c r="S83" s="96" t="n">
        <f aca="false">IFERROR((-S46-S51)/S25,0)</f>
        <v>31.536864629752</v>
      </c>
      <c r="T83" s="96" t="n">
        <f aca="false">IFERROR((-T46-T51)/T25,0)</f>
        <v>29.5759977963572</v>
      </c>
      <c r="U83" s="96" t="n">
        <f aca="false">IFERROR((-U46-U51)/U25,0)</f>
        <v>27.6226696524629</v>
      </c>
      <c r="V83" s="96" t="n">
        <f aca="false">IFERROR((-V46-V51)/V25,0)</f>
        <v>25.0091372446917</v>
      </c>
      <c r="W83" s="96" t="n">
        <f aca="false">IFERROR((-W46-W51)/W25,0)</f>
        <v>22.9041459220934</v>
      </c>
      <c r="X83" s="96" t="n">
        <f aca="false">IFERROR((-X46-X51)/X25,0)</f>
        <v>21.1662644874852</v>
      </c>
      <c r="Y83" s="96" t="n">
        <f aca="false">IFERROR((-Y46-Y51)/Y25,0)</f>
        <v>19.7031388471173</v>
      </c>
      <c r="Z83" s="96" t="n">
        <f aca="false">IFERROR((-Z46-Z51)/Z25,0)</f>
        <v>18.4386184106849</v>
      </c>
      <c r="AA83" s="96" t="n">
        <f aca="false">IFERROR((-AA46-AA51)/AA25,0)</f>
        <v>17.3248726225145</v>
      </c>
      <c r="AB83" s="96" t="n">
        <f aca="false">IFERROR((-AB46-AB51)/AB25,0)</f>
        <v>16.3291261037229</v>
      </c>
      <c r="AC83" s="96" t="n">
        <f aca="false">IFERROR((-AC46-AC51)/AC25,0)</f>
        <v>15.4371836785613</v>
      </c>
      <c r="AD83" s="96" t="n">
        <f aca="false">IFERROR((-AD46-AD51)/AD25,0)</f>
        <v>14.6159109438346</v>
      </c>
      <c r="AE83" s="96" t="n">
        <f aca="false">IFERROR((-AE46-AE51)/AE25,0)</f>
        <v>13.86934563142</v>
      </c>
      <c r="AF83" s="96" t="n">
        <f aca="false">IFERROR((-AF46-AF51)/AF25,0)</f>
        <v>13.1854715793004</v>
      </c>
      <c r="AG83" s="96" t="n">
        <f aca="false">IFERROR((-AG46-AG51)/AG25,0)</f>
        <v>12.5476876281022</v>
      </c>
      <c r="AH83" s="96" t="n">
        <f aca="false">IFERROR((-AH46-AH51)/AH25,0)</f>
        <v>11.959852986849</v>
      </c>
      <c r="AI83" s="96" t="n">
        <f aca="false">IFERROR((-AI46-AI51)/AI25,0)</f>
        <v>11.4063593820638</v>
      </c>
      <c r="AJ83" s="96" t="n">
        <f aca="false">IFERROR((-AJ46-AJ51)/AJ25,0)</f>
        <v>10.8924863033213</v>
      </c>
      <c r="AK83" s="96" t="n">
        <f aca="false">IFERROR((-AK46-AK51)/AK25,0)</f>
        <v>10.4095178262561</v>
      </c>
      <c r="AL83" s="96" t="n">
        <f aca="false">IFERROR((-AL46-AL51)/AL25,0)</f>
        <v>9.9566927720053</v>
      </c>
      <c r="AM83" s="96" t="n">
        <f aca="false">IFERROR((-AM46-AM51)/AM25,0)</f>
        <v>9.53064591425665</v>
      </c>
      <c r="AN83" s="96" t="n">
        <f aca="false">IFERROR((-AN46-AN51)/AN25,0)</f>
        <v>9.12890110772688</v>
      </c>
      <c r="AO83" s="96" t="n">
        <f aca="false">IFERROR((-AO46-AO51)/AO25,0)</f>
        <v>8.75007381911841</v>
      </c>
      <c r="AP83" s="96" t="n">
        <f aca="false">IFERROR((-AP46-AP51)/AP25,0)</f>
        <v>8.39096905094764</v>
      </c>
      <c r="AQ83" s="96" t="n">
        <f aca="false">IFERROR((-AQ46-AQ51)/AQ25,0)</f>
        <v>8.05125612477173</v>
      </c>
      <c r="AR83" s="96" t="n">
        <f aca="false">IFERROR((-AR46-AR51)/AR25,0)</f>
        <v>7.73015171862803</v>
      </c>
      <c r="AS83" s="96" t="n">
        <f aca="false">IFERROR((-AS46-AS51)/AS25,0)</f>
        <v>7.42510775136074</v>
      </c>
      <c r="AT83" s="96" t="n">
        <f aca="false">IFERROR((-AT46-AT51)/AT25,0)</f>
        <v>7.1361300004654</v>
      </c>
      <c r="AU83" s="96" t="n">
        <f aca="false">IFERROR((-AU46-AU51)/AU25,0)</f>
        <v>6.86222995872657</v>
      </c>
      <c r="AV83" s="96" t="n">
        <f aca="false">IFERROR((-AV46-AV51)/AV25,0)</f>
        <v>6.60156831504987</v>
      </c>
      <c r="AW83" s="96" t="n">
        <f aca="false">IFERROR((-AW46-AW51)/AW25,0)</f>
        <v>6.35332551626698</v>
      </c>
      <c r="AX83" s="96" t="n">
        <f aca="false">IFERROR((-AX46-AX51)/AX25,0)</f>
        <v>6.11795452554693</v>
      </c>
      <c r="AY83" s="96" t="n">
        <f aca="false">IFERROR((-AY46-AY51)/AY25,0)</f>
        <v>5.89373049310562</v>
      </c>
      <c r="AZ83" s="96" t="n">
        <f aca="false">IFERROR((-AZ46-AZ51)/AZ25,0)</f>
        <v>5.68015382542737</v>
      </c>
      <c r="BA83" s="96" t="n">
        <f aca="false">IFERROR((-BA46-BA51)/BA25,0)</f>
        <v>5.47668069131978</v>
      </c>
      <c r="BB83" s="96" t="n">
        <f aca="false">IFERROR((-BB46-BB51)/BB25,0)</f>
        <v>5.28290107555693</v>
      </c>
      <c r="BC83" s="96" t="n">
        <f aca="false">IFERROR((-BC46-BC51)/BC25,0)</f>
        <v>5.09827626999075</v>
      </c>
      <c r="BD83" s="96" t="n">
        <f aca="false">IFERROR((-BD46-BD51)/BD25,0)</f>
        <v>4.92223004816626</v>
      </c>
      <c r="BE83" s="96" t="n">
        <f aca="false">IFERROR((-BE46-BE51)/BE25,0)</f>
        <v>4.75427113446716</v>
      </c>
      <c r="BF83" s="96" t="n">
        <f aca="false">IFERROR((-BF46-BF51)/BF25,0)</f>
        <v>4.59390639027273</v>
      </c>
      <c r="BG83" s="96" t="n">
        <f aca="false">IFERROR((-BG46-BG51)/BG25,0)</f>
        <v>4.44095625070806</v>
      </c>
      <c r="BH83" s="96" t="n">
        <f aca="false">IFERROR((-BH46-BH51)/BH25,0)</f>
        <v>4.29172052245774</v>
      </c>
      <c r="BI83" s="96" t="n">
        <f aca="false">IFERROR((-BI46-BI51)/BI25,0)</f>
        <v>4.09276223661373</v>
      </c>
      <c r="BJ83" s="96" t="n">
        <f aca="false">IFERROR((-BJ46-BJ51)/BJ25,0)</f>
        <v>3.90605109374286</v>
      </c>
      <c r="BK83" s="96" t="n">
        <f aca="false">IFERROR((-BK46-BK51)/BK25,0)</f>
        <v>3.73062339604924</v>
      </c>
      <c r="BL83" s="96" t="n">
        <f aca="false">IFERROR((-BL46-BL51)/BL25,0)</f>
        <v>3.56593067967818</v>
      </c>
      <c r="BM83" s="77" t="n">
        <f aca="false">BL83</f>
        <v>3.56593067967818</v>
      </c>
    </row>
    <row r="84" customFormat="false" ht="19.4" hidden="false" customHeight="false" outlineLevel="0" collapsed="false">
      <c r="A84" s="63" t="s">
        <v>91</v>
      </c>
      <c r="E84" s="101" t="n">
        <f aca="false">E82-E83</f>
        <v>0</v>
      </c>
      <c r="F84" s="101" t="n">
        <f aca="false">F82-F83</f>
        <v>0</v>
      </c>
      <c r="G84" s="101" t="n">
        <f aca="false">G82-G83</f>
        <v>0</v>
      </c>
      <c r="H84" s="101" t="n">
        <f aca="false">H82-H83</f>
        <v>0</v>
      </c>
      <c r="I84" s="101" t="n">
        <f aca="false">I82-I83</f>
        <v>0</v>
      </c>
      <c r="J84" s="101" t="n">
        <f aca="false">J82-J83</f>
        <v>0</v>
      </c>
      <c r="K84" s="101" t="n">
        <f aca="false">K82-K83</f>
        <v>0</v>
      </c>
      <c r="L84" s="101" t="n">
        <f aca="false">L82-L83</f>
        <v>0</v>
      </c>
      <c r="M84" s="101" t="n">
        <f aca="false">M82-M83</f>
        <v>0</v>
      </c>
      <c r="N84" s="101" t="n">
        <f aca="false">N82-N83</f>
        <v>0</v>
      </c>
      <c r="O84" s="101" t="n">
        <f aca="false">O82-O83</f>
        <v>0</v>
      </c>
      <c r="P84" s="101" t="n">
        <f aca="false">P82-P83</f>
        <v>-20.9527265531065</v>
      </c>
      <c r="Q84" s="101" t="n">
        <f aca="false">Q82-Q83</f>
        <v>-10.1144723148402</v>
      </c>
      <c r="R84" s="101" t="n">
        <f aca="false">R82-R83</f>
        <v>-5.6992242308219</v>
      </c>
      <c r="S84" s="101" t="n">
        <f aca="false">S82-S83</f>
        <v>-1.77993145886808</v>
      </c>
      <c r="T84" s="101" t="n">
        <f aca="false">T82-T83</f>
        <v>-0.0148010748723131</v>
      </c>
      <c r="U84" s="101" t="n">
        <f aca="false">U82-U83</f>
        <v>1.79847241090243</v>
      </c>
      <c r="V84" s="101" t="n">
        <f aca="false">V82-V83</f>
        <v>4.30844089787875</v>
      </c>
      <c r="W84" s="101" t="n">
        <f aca="false">W82-W83</f>
        <v>6.33372377702723</v>
      </c>
      <c r="X84" s="101" t="n">
        <f aca="false">X82-X83</f>
        <v>8.00953399723978</v>
      </c>
      <c r="Y84" s="101" t="n">
        <f aca="false">Y82-Y83</f>
        <v>9.42395055708965</v>
      </c>
      <c r="Z84" s="101" t="n">
        <f aca="false">Z82-Z83</f>
        <v>10.649773173871</v>
      </c>
      <c r="AA84" s="101" t="n">
        <f aca="false">AA82-AA83</f>
        <v>11.7325551104826</v>
      </c>
      <c r="AB84" s="101" t="n">
        <f aca="false">AB82-AB83</f>
        <v>12.7034679149286</v>
      </c>
      <c r="AC84" s="101" t="n">
        <f aca="false">AC82-AC83</f>
        <v>13.5757143316375</v>
      </c>
      <c r="AD84" s="101" t="n">
        <f aca="false">AD82-AD83</f>
        <v>14.3811836752315</v>
      </c>
      <c r="AE84" s="101" t="n">
        <f aca="false">AE82-AE83</f>
        <v>15.1154995678616</v>
      </c>
      <c r="AF84" s="101" t="n">
        <f aca="false">AF82-AF83</f>
        <v>15.7900971918465</v>
      </c>
      <c r="AG84" s="101" t="n">
        <f aca="false">AG82-AG83</f>
        <v>16.420960092385</v>
      </c>
      <c r="AH84" s="101" t="n">
        <f aca="false">AH82-AH83</f>
        <v>17.0040848379877</v>
      </c>
      <c r="AI84" s="101" t="n">
        <f aca="false">AI82-AI83</f>
        <v>17.5545998871571</v>
      </c>
      <c r="AJ84" s="101" t="n">
        <f aca="false">AJ82-AJ83</f>
        <v>18.0671536568684</v>
      </c>
      <c r="AK84" s="101" t="n">
        <f aca="false">AK82-AK83</f>
        <v>18.5501800397076</v>
      </c>
      <c r="AL84" s="101" t="n">
        <f aca="false">AL82-AL83</f>
        <v>19.0043072090908</v>
      </c>
      <c r="AM84" s="101" t="n">
        <f aca="false">AM82-AM83</f>
        <v>19.4327490241439</v>
      </c>
      <c r="AN84" s="101" t="n">
        <f aca="false">AN82-AN83</f>
        <v>19.8378585882896</v>
      </c>
      <c r="AO84" s="101" t="n">
        <f aca="false">AO82-AO83</f>
        <v>20.2209180365509</v>
      </c>
      <c r="AP84" s="101" t="n">
        <f aca="false">AP82-AP83</f>
        <v>20.5850172066648</v>
      </c>
      <c r="AQ84" s="101" t="n">
        <f aca="false">AQ82-AQ83</f>
        <v>20.9304192884237</v>
      </c>
      <c r="AR84" s="101" t="n">
        <f aca="false">AR82-AR83</f>
        <v>21.2578465853885</v>
      </c>
      <c r="AS84" s="101" t="n">
        <f aca="false">AS82-AS83</f>
        <v>21.5697691402191</v>
      </c>
      <c r="AT84" s="101" t="n">
        <f aca="false">AT82-AT83</f>
        <v>21.8661397688757</v>
      </c>
      <c r="AU84" s="101" t="n">
        <f aca="false">AU82-AU83</f>
        <v>22.1478984279409</v>
      </c>
      <c r="AV84" s="101" t="n">
        <f aca="false">AV82-AV83</f>
        <v>22.4168281030378</v>
      </c>
      <c r="AW84" s="101" t="n">
        <f aca="false">AW82-AW83</f>
        <v>22.673710649253</v>
      </c>
      <c r="AX84" s="101" t="n">
        <f aca="false">AX82-AX83</f>
        <v>22.9180707880514</v>
      </c>
      <c r="AY84" s="101" t="n">
        <f aca="false">AY82-AY83</f>
        <v>23.1515916385759</v>
      </c>
      <c r="AZ84" s="101" t="n">
        <f aca="false">AZ82-AZ83</f>
        <v>23.3747438216013</v>
      </c>
      <c r="BA84" s="101" t="n">
        <f aca="false">BA82-BA83</f>
        <v>23.5880462964254</v>
      </c>
      <c r="BB84" s="101" t="n">
        <f aca="false">BB82-BB83</f>
        <v>23.7918871248142</v>
      </c>
      <c r="BC84" s="101" t="n">
        <f aca="false">BC82-BC83</f>
        <v>23.9867828711967</v>
      </c>
      <c r="BD84" s="101" t="n">
        <f aca="false">BD82-BD83</f>
        <v>24.1732885737874</v>
      </c>
      <c r="BE84" s="101" t="n">
        <f aca="false">BE82-BE83</f>
        <v>24.3518775765664</v>
      </c>
      <c r="BF84" s="101" t="n">
        <f aca="false">BF82-BF83</f>
        <v>24.5230259283009</v>
      </c>
      <c r="BG84" s="101" t="n">
        <f aca="false">BG82-BG83</f>
        <v>24.6868998177939</v>
      </c>
      <c r="BH84" s="101" t="n">
        <f aca="false">BH82-BH83</f>
        <v>24.8471838946499</v>
      </c>
      <c r="BI84" s="101" t="n">
        <f aca="false">BI82-BI83</f>
        <v>25.0573031118974</v>
      </c>
      <c r="BJ84" s="101" t="n">
        <f aca="false">BJ82-BJ83</f>
        <v>25.2552762657999</v>
      </c>
      <c r="BK84" s="101" t="n">
        <f aca="false">BK82-BK83</f>
        <v>25.4420555966763</v>
      </c>
      <c r="BL84" s="101" t="n">
        <f aca="false">BL82-BL83</f>
        <v>25.618181007892</v>
      </c>
      <c r="BM84" s="77" t="n">
        <f aca="false">BL84</f>
        <v>25.618181007892</v>
      </c>
      <c r="BN84" s="35" t="s">
        <v>228</v>
      </c>
    </row>
    <row r="85" customFormat="false" ht="19.4" hidden="false" customHeight="false" outlineLevel="0" collapsed="false">
      <c r="A85" s="63" t="s">
        <v>94</v>
      </c>
      <c r="E85" s="102" t="str">
        <f aca="false">IF(E84&lt;=0,"",ROUNDUP((E71+E54*-1)/E84,0))</f>
        <v/>
      </c>
      <c r="F85" s="102" t="str">
        <f aca="false">IF(F84&lt;=0,"",ROUNDUP((F71+F54*-1)/F84,0))</f>
        <v/>
      </c>
      <c r="G85" s="102" t="str">
        <f aca="false">IF(G84&lt;=0,"",ROUNDUP((G71+G54*-1)/G84,0))</f>
        <v/>
      </c>
      <c r="H85" s="102" t="str">
        <f aca="false">IF(H84&lt;=0,"",ROUNDUP((H71+H54*-1)/H84,0))</f>
        <v/>
      </c>
      <c r="I85" s="102" t="str">
        <f aca="false">IF(I84&lt;=0,"",ROUNDUP((I71+I54*-1)/I84,0))</f>
        <v/>
      </c>
      <c r="J85" s="102" t="str">
        <f aca="false">IF(J84&lt;=0,"",ROUNDUP((J71+J54*-1)/J84,0))</f>
        <v/>
      </c>
      <c r="K85" s="102" t="str">
        <f aca="false">IF(K84&lt;=0,"",ROUNDUP((K71+K54*-1)/K84,0))</f>
        <v/>
      </c>
      <c r="L85" s="102" t="str">
        <f aca="false">IF(L84&lt;=0,"",ROUNDUP((L71+L54*-1)/L84,0))</f>
        <v/>
      </c>
      <c r="M85" s="102" t="str">
        <f aca="false">IF(M84&lt;=0,"",ROUNDUP((M71+M54*-1)/M84,0))</f>
        <v/>
      </c>
      <c r="N85" s="102" t="str">
        <f aca="false">IF(N84&lt;=0,"",ROUNDUP((N71+N54*-1)/N84,0))</f>
        <v/>
      </c>
      <c r="O85" s="102" t="str">
        <f aca="false">IF(O84&lt;=0,"",ROUNDUP((O71+O54*-1)/O84,0))</f>
        <v/>
      </c>
      <c r="P85" s="102" t="str">
        <f aca="false">IF(P84&lt;=0,"",ROUNDUP((P71+P54*-1)/P84,0))</f>
        <v/>
      </c>
      <c r="Q85" s="102" t="str">
        <f aca="false">IF(Q84&lt;=0,"",ROUNDUP((Q71+Q54*-1)/Q84,0))</f>
        <v/>
      </c>
      <c r="R85" s="102" t="str">
        <f aca="false">IF(R84&lt;=0,"",ROUNDUP((R71+R54*-1)/R84,0))</f>
        <v/>
      </c>
      <c r="S85" s="102" t="str">
        <f aca="false">IF(S84&lt;=0,"",ROUNDUP((S71+S54*-1)/S84,0))</f>
        <v/>
      </c>
      <c r="T85" s="102" t="str">
        <f aca="false">IF(T84&lt;=0,"",ROUNDUP((T71+T54*-1)/T84,0))</f>
        <v/>
      </c>
      <c r="U85" s="102" t="n">
        <f aca="false">IF(U84&lt;=0,"",ROUNDUP((U71+U54*-1)/U84,0))</f>
        <v>64695</v>
      </c>
      <c r="V85" s="102" t="n">
        <f aca="false">IF(V84&lt;=0,"",ROUNDUP((V71+V54*-1)/V84,0))</f>
        <v>27883</v>
      </c>
      <c r="W85" s="102" t="n">
        <f aca="false">IF(W84&lt;=0,"",ROUNDUP((W71+W54*-1)/W84,0))</f>
        <v>19578</v>
      </c>
      <c r="X85" s="102" t="n">
        <f aca="false">IF(X84&lt;=0,"",ROUNDUP((X71+X54*-1)/X84,0))</f>
        <v>15977</v>
      </c>
      <c r="Y85" s="102" t="n">
        <f aca="false">IF(Y84&lt;=0,"",ROUNDUP((Y71+Y54*-1)/Y84,0))</f>
        <v>14011</v>
      </c>
      <c r="Z85" s="102" t="n">
        <f aca="false">IF(Z84&lt;=0,"",ROUNDUP((Z71+Z54*-1)/Z84,0))</f>
        <v>12791</v>
      </c>
      <c r="AA85" s="102" t="n">
        <f aca="false">IF(AA84&lt;=0,"",ROUNDUP((AA71+AA54*-1)/AA84,0))</f>
        <v>11979</v>
      </c>
      <c r="AB85" s="102" t="n">
        <f aca="false">IF(AB84&lt;=0,"",ROUNDUP((AB71+AB54*-1)/AB84,0))</f>
        <v>11414</v>
      </c>
      <c r="AC85" s="102" t="n">
        <f aca="false">IF(AC84&lt;=0,"",ROUNDUP((AC71+AC54*-1)/AC84,0))</f>
        <v>16544</v>
      </c>
      <c r="AD85" s="102" t="n">
        <f aca="false">IF(AD84&lt;=0,"",ROUNDUP((AD71+AD54*-1)/AD84,0))</f>
        <v>15949</v>
      </c>
      <c r="AE85" s="102" t="n">
        <f aca="false">IF(AE84&lt;=0,"",ROUNDUP((AE71+AE54*-1)/AE84,0))</f>
        <v>15500</v>
      </c>
      <c r="AF85" s="102" t="n">
        <f aca="false">IF(AF84&lt;=0,"",ROUNDUP((AF71+AF54*-1)/AF84,0))</f>
        <v>15162</v>
      </c>
      <c r="AG85" s="102" t="n">
        <f aca="false">IF(AG84&lt;=0,"",ROUNDUP((AG71+AG54*-1)/AG84,0))</f>
        <v>14902</v>
      </c>
      <c r="AH85" s="102" t="n">
        <f aca="false">IF(AH84&lt;=0,"",ROUNDUP((AH71+AH54*-1)/AH84,0))</f>
        <v>14715</v>
      </c>
      <c r="AI85" s="102" t="n">
        <f aca="false">IF(AI84&lt;=0,"",ROUNDUP((AI71+AI54*-1)/AI84,0))</f>
        <v>14579</v>
      </c>
      <c r="AJ85" s="102" t="n">
        <f aca="false">IF(AJ84&lt;=0,"",ROUNDUP((AJ71+AJ54*-1)/AJ84,0))</f>
        <v>14495</v>
      </c>
      <c r="AK85" s="102" t="n">
        <f aca="false">IF(AK84&lt;=0,"",ROUNDUP((AK71+AK54*-1)/AK84,0))</f>
        <v>14451</v>
      </c>
      <c r="AL85" s="102" t="n">
        <f aca="false">IF(AL84&lt;=0,"",ROUNDUP((AL71+AL54*-1)/AL84,0))</f>
        <v>14444</v>
      </c>
      <c r="AM85" s="102" t="n">
        <f aca="false">IF(AM84&lt;=0,"",ROUNDUP((AM71+AM54*-1)/AM84,0))</f>
        <v>14470</v>
      </c>
      <c r="AN85" s="102" t="n">
        <f aca="false">IF(AN84&lt;=0,"",ROUNDUP((AN71+AN54*-1)/AN84,0))</f>
        <v>14526</v>
      </c>
      <c r="AO85" s="102" t="n">
        <f aca="false">IF(AO84&lt;=0,"",ROUNDUP((AO71+AO54*-1)/AO84,0))</f>
        <v>21327</v>
      </c>
      <c r="AP85" s="102" t="n">
        <f aca="false">IF(AP84&lt;=0,"",ROUNDUP((AP71+AP54*-1)/AP84,0))</f>
        <v>21317</v>
      </c>
      <c r="AQ85" s="102" t="n">
        <f aca="false">IF(AQ84&lt;=0,"",ROUNDUP((AQ71+AQ54*-1)/AQ84,0))</f>
        <v>21343</v>
      </c>
      <c r="AR85" s="102" t="n">
        <f aca="false">IF(AR84&lt;=0,"",ROUNDUP((AR71+AR54*-1)/AR84,0))</f>
        <v>21402</v>
      </c>
      <c r="AS85" s="102" t="n">
        <f aca="false">IF(AS84&lt;=0,"",ROUNDUP((AS71+AS54*-1)/AS84,0))</f>
        <v>21491</v>
      </c>
      <c r="AT85" s="102" t="n">
        <f aca="false">IF(AT84&lt;=0,"",ROUNDUP((AT71+AT54*-1)/AT84,0))</f>
        <v>21609</v>
      </c>
      <c r="AU85" s="102" t="n">
        <f aca="false">IF(AU84&lt;=0,"",ROUNDUP((AU71+AU54*-1)/AU84,0))</f>
        <v>21757</v>
      </c>
      <c r="AV85" s="102" t="n">
        <f aca="false">IF(AV84&lt;=0,"",ROUNDUP((AV71+AV54*-1)/AV84,0))</f>
        <v>21931</v>
      </c>
      <c r="AW85" s="102" t="n">
        <f aca="false">IF(AW84&lt;=0,"",ROUNDUP((AW71+AW54*-1)/AW84,0))</f>
        <v>22132</v>
      </c>
      <c r="AX85" s="102" t="n">
        <f aca="false">IF(AX84&lt;=0,"",ROUNDUP((AX71+AX54*-1)/AX84,0))</f>
        <v>22361</v>
      </c>
      <c r="AY85" s="102" t="n">
        <f aca="false">IF(AY84&lt;=0,"",ROUNDUP((AY71+AY54*-1)/AY84,0))</f>
        <v>22615</v>
      </c>
      <c r="AZ85" s="102" t="n">
        <f aca="false">IF(AZ84&lt;=0,"",ROUNDUP((AZ71+AZ54*-1)/AZ84,0))</f>
        <v>22896</v>
      </c>
      <c r="BA85" s="102" t="n">
        <f aca="false">IF(BA84&lt;=0,"",ROUNDUP((BA71+BA54*-1)/BA84,0))</f>
        <v>28333</v>
      </c>
      <c r="BB85" s="102" t="n">
        <f aca="false">IF(BB84&lt;=0,"",ROUNDUP((BB71+BB54*-1)/BB84,0))</f>
        <v>28623</v>
      </c>
      <c r="BC85" s="102" t="n">
        <f aca="false">IF(BC84&lt;=0,"",ROUNDUP((BC71+BC54*-1)/BC84,0))</f>
        <v>28942</v>
      </c>
      <c r="BD85" s="102" t="n">
        <f aca="false">IF(BD84&lt;=0,"",ROUNDUP((BD71+BD54*-1)/BD84,0))</f>
        <v>29292</v>
      </c>
      <c r="BE85" s="102" t="n">
        <f aca="false">IF(BE84&lt;=0,"",ROUNDUP((BE71+BE54*-1)/BE84,0))</f>
        <v>29671</v>
      </c>
      <c r="BF85" s="102" t="n">
        <f aca="false">IF(BF84&lt;=0,"",ROUNDUP((BF71+BF54*-1)/BF84,0))</f>
        <v>30081</v>
      </c>
      <c r="BG85" s="102" t="n">
        <f aca="false">IF(BG84&lt;=0,"",ROUNDUP((BG71+BG54*-1)/BG84,0))</f>
        <v>30522</v>
      </c>
      <c r="BH85" s="102" t="n">
        <f aca="false">IF(BH84&lt;=0,"",ROUNDUP((BH71+BH54*-1)/BH84,0))</f>
        <v>30988</v>
      </c>
      <c r="BI85" s="102" t="n">
        <f aca="false">IF(BI84&lt;=0,"",ROUNDUP((BI71+BI54*-1)/BI84,0))</f>
        <v>31360</v>
      </c>
      <c r="BJ85" s="102" t="n">
        <f aca="false">IF(BJ84&lt;=0,"",ROUNDUP((BJ71+BJ54*-1)/BJ84,0))</f>
        <v>31771</v>
      </c>
      <c r="BK85" s="102" t="n">
        <f aca="false">IF(BK84&lt;=0,"",ROUNDUP((BK71+BK54*-1)/BK84,0))</f>
        <v>32219</v>
      </c>
      <c r="BL85" s="102" t="n">
        <f aca="false">IF(BL84&lt;=0,"",ROUNDUP((BL71+BL54*-1)/BL84,0))</f>
        <v>32705</v>
      </c>
      <c r="BM85" s="72" t="n">
        <f aca="false">BL85</f>
        <v>32705</v>
      </c>
      <c r="BN85" s="35" t="s">
        <v>229</v>
      </c>
    </row>
    <row r="86" customFormat="false" ht="15" hidden="false" customHeight="false" outlineLevel="0" collapsed="false">
      <c r="A86" s="49" t="s">
        <v>230</v>
      </c>
      <c r="E86" s="96" t="n">
        <f aca="false">E42+E58-E59</f>
        <v>0</v>
      </c>
      <c r="F86" s="96" t="n">
        <f aca="false">F42+F58-F59</f>
        <v>0</v>
      </c>
      <c r="G86" s="96" t="n">
        <f aca="false">G42+G58-G59</f>
        <v>0</v>
      </c>
      <c r="H86" s="96" t="n">
        <f aca="false">H42+H58-H59</f>
        <v>0</v>
      </c>
      <c r="I86" s="96" t="n">
        <f aca="false">I42+I58-I59</f>
        <v>0</v>
      </c>
      <c r="J86" s="96" t="n">
        <f aca="false">J42+J58-J59</f>
        <v>0</v>
      </c>
      <c r="K86" s="96" t="n">
        <f aca="false">K42+K58-K59</f>
        <v>0</v>
      </c>
      <c r="L86" s="96" t="n">
        <f aca="false">L42+L58-L59</f>
        <v>0</v>
      </c>
      <c r="M86" s="96" t="n">
        <f aca="false">M42+M58-M59</f>
        <v>0</v>
      </c>
      <c r="N86" s="96" t="n">
        <f aca="false">N42+N58-N59</f>
        <v>0</v>
      </c>
      <c r="O86" s="96" t="n">
        <f aca="false">O42+O58-O59</f>
        <v>0</v>
      </c>
      <c r="P86" s="96" t="n">
        <f aca="false">P42+P58-P59</f>
        <v>0</v>
      </c>
      <c r="Q86" s="96" t="n">
        <f aca="false">Q42+Q58-Q59</f>
        <v>0</v>
      </c>
      <c r="R86" s="96" t="n">
        <f aca="false">R42+R58-R59</f>
        <v>0</v>
      </c>
      <c r="S86" s="96" t="n">
        <f aca="false">S42+S58-S59</f>
        <v>0</v>
      </c>
      <c r="T86" s="96" t="n">
        <f aca="false">T42+T58-T59</f>
        <v>0</v>
      </c>
      <c r="U86" s="96" t="n">
        <f aca="false">U42+U58-U59</f>
        <v>0</v>
      </c>
      <c r="V86" s="96" t="n">
        <f aca="false">V42+V58-V59</f>
        <v>0</v>
      </c>
      <c r="W86" s="96" t="n">
        <f aca="false">W42+W58-W59</f>
        <v>0</v>
      </c>
      <c r="X86" s="96" t="n">
        <f aca="false">X42+X58-X59</f>
        <v>0</v>
      </c>
      <c r="Y86" s="96" t="n">
        <f aca="false">Y42+Y58-Y59</f>
        <v>0</v>
      </c>
      <c r="Z86" s="96" t="n">
        <f aca="false">Z42+Z58-Z59</f>
        <v>0</v>
      </c>
      <c r="AA86" s="96" t="n">
        <f aca="false">AA42+AA58-AA59</f>
        <v>0</v>
      </c>
      <c r="AB86" s="96" t="n">
        <f aca="false">AB42+AB58-AB59</f>
        <v>0</v>
      </c>
      <c r="AC86" s="96" t="n">
        <f aca="false">AC42+AC58-AC59</f>
        <v>0</v>
      </c>
      <c r="AD86" s="96" t="n">
        <f aca="false">AD42+AD58-AD59</f>
        <v>0</v>
      </c>
      <c r="AE86" s="96" t="n">
        <f aca="false">AE42+AE58-AE59</f>
        <v>0</v>
      </c>
      <c r="AF86" s="96" t="n">
        <f aca="false">AF42+AF58-AF59</f>
        <v>0</v>
      </c>
      <c r="AG86" s="96" t="n">
        <f aca="false">AG42+AG58-AG59</f>
        <v>0</v>
      </c>
      <c r="AH86" s="96" t="n">
        <f aca="false">AH42+AH58-AH59</f>
        <v>0</v>
      </c>
      <c r="AI86" s="96" t="n">
        <f aca="false">AI42+AI58-AI59</f>
        <v>0</v>
      </c>
      <c r="AJ86" s="96" t="n">
        <f aca="false">AJ42+AJ58-AJ59</f>
        <v>0</v>
      </c>
      <c r="AK86" s="96" t="n">
        <f aca="false">AK42+AK58-AK59</f>
        <v>0</v>
      </c>
      <c r="AL86" s="96" t="n">
        <f aca="false">AL42+AL58-AL59</f>
        <v>0</v>
      </c>
      <c r="AM86" s="96" t="n">
        <f aca="false">AM42+AM58-AM59</f>
        <v>0</v>
      </c>
      <c r="AN86" s="96" t="n">
        <f aca="false">AN42+AN58-AN59</f>
        <v>0</v>
      </c>
      <c r="AO86" s="96" t="n">
        <f aca="false">AO42+AO58-AO59</f>
        <v>0</v>
      </c>
      <c r="AP86" s="96" t="n">
        <f aca="false">AP42+AP58-AP59</f>
        <v>0</v>
      </c>
      <c r="AQ86" s="96" t="n">
        <f aca="false">AQ42+AQ58-AQ59</f>
        <v>0</v>
      </c>
      <c r="AR86" s="96" t="n">
        <f aca="false">AR42+AR58-AR59</f>
        <v>0</v>
      </c>
      <c r="AS86" s="96" t="n">
        <f aca="false">AS42+AS58-AS59</f>
        <v>0</v>
      </c>
      <c r="AT86" s="96" t="n">
        <f aca="false">AT42+AT58-AT59</f>
        <v>0</v>
      </c>
      <c r="AU86" s="96" t="n">
        <f aca="false">AU42+AU58-AU59</f>
        <v>0</v>
      </c>
      <c r="AV86" s="96" t="n">
        <f aca="false">AV42+AV58-AV59</f>
        <v>0</v>
      </c>
      <c r="AW86" s="96" t="n">
        <f aca="false">AW42+AW58-AW59</f>
        <v>0</v>
      </c>
      <c r="AX86" s="96" t="n">
        <f aca="false">AX42+AX58-AX59</f>
        <v>0</v>
      </c>
      <c r="AY86" s="96" t="n">
        <f aca="false">AY42+AY58-AY59</f>
        <v>0</v>
      </c>
      <c r="AZ86" s="96" t="n">
        <f aca="false">AZ42+AZ58-AZ59</f>
        <v>0</v>
      </c>
      <c r="BA86" s="96" t="n">
        <f aca="false">BA42+BA58-BA59</f>
        <v>0</v>
      </c>
      <c r="BB86" s="96" t="n">
        <f aca="false">BB42+BB58-BB59</f>
        <v>0</v>
      </c>
      <c r="BC86" s="96" t="n">
        <f aca="false">BC42+BC58-BC59</f>
        <v>0</v>
      </c>
      <c r="BD86" s="96" t="n">
        <f aca="false">BD42+BD58-BD59</f>
        <v>0</v>
      </c>
      <c r="BE86" s="96" t="n">
        <f aca="false">BE42+BE58-BE59</f>
        <v>0</v>
      </c>
      <c r="BF86" s="96" t="n">
        <f aca="false">BF42+BF58-BF59</f>
        <v>0</v>
      </c>
      <c r="BG86" s="96" t="n">
        <f aca="false">BG42+BG58-BG59</f>
        <v>0</v>
      </c>
      <c r="BH86" s="96" t="n">
        <f aca="false">BH42+BH58-BH59</f>
        <v>0</v>
      </c>
      <c r="BI86" s="96" t="n">
        <f aca="false">BI42+BI58-BI59</f>
        <v>0</v>
      </c>
      <c r="BJ86" s="96" t="n">
        <f aca="false">BJ42+BJ58-BJ59</f>
        <v>0</v>
      </c>
      <c r="BK86" s="96" t="n">
        <f aca="false">BK42+BK58-BK59</f>
        <v>0</v>
      </c>
      <c r="BL86" s="96" t="n">
        <f aca="false">BL42+BL58-BL59</f>
        <v>0</v>
      </c>
      <c r="BM86" s="77" t="n">
        <f aca="false">SUM(E86:BL86)</f>
        <v>0</v>
      </c>
    </row>
    <row r="87" customFormat="false" ht="15" hidden="false" customHeight="false" outlineLevel="0" collapsed="false">
      <c r="A87" s="49" t="s">
        <v>231</v>
      </c>
      <c r="E87" s="79" t="n">
        <f aca="false">E24-E25-E26</f>
        <v>0</v>
      </c>
      <c r="F87" s="79" t="n">
        <f aca="false">F24-F25-F26</f>
        <v>0</v>
      </c>
      <c r="G87" s="79" t="n">
        <f aca="false">G24-G25-G26</f>
        <v>0</v>
      </c>
      <c r="H87" s="79" t="n">
        <f aca="false">H24-H25-H26</f>
        <v>0</v>
      </c>
      <c r="I87" s="79" t="n">
        <f aca="false">I24-I25-I26</f>
        <v>0</v>
      </c>
      <c r="J87" s="79" t="n">
        <f aca="false">J24-J25-J26</f>
        <v>0</v>
      </c>
      <c r="K87" s="79" t="n">
        <f aca="false">K24-K25-K26</f>
        <v>0</v>
      </c>
      <c r="L87" s="79" t="n">
        <f aca="false">L24-L25-L26</f>
        <v>0</v>
      </c>
      <c r="M87" s="79" t="n">
        <f aca="false">M24-M25-M26</f>
        <v>0</v>
      </c>
      <c r="N87" s="79" t="n">
        <f aca="false">N24-N25-N26</f>
        <v>0</v>
      </c>
      <c r="O87" s="79" t="n">
        <f aca="false">O24-O25-O26</f>
        <v>0</v>
      </c>
      <c r="P87" s="79" t="n">
        <f aca="false">P24-P25-P26</f>
        <v>0</v>
      </c>
      <c r="Q87" s="79" t="n">
        <f aca="false">Q24-Q25-Q26</f>
        <v>0</v>
      </c>
      <c r="R87" s="79" t="n">
        <f aca="false">R24-R25-R26</f>
        <v>0</v>
      </c>
      <c r="S87" s="79" t="n">
        <f aca="false">S24-S25-S26</f>
        <v>0</v>
      </c>
      <c r="T87" s="79" t="n">
        <f aca="false">T24-T25-T26</f>
        <v>0</v>
      </c>
      <c r="U87" s="79" t="n">
        <f aca="false">U24-U25-U26</f>
        <v>0</v>
      </c>
      <c r="V87" s="79" t="n">
        <f aca="false">V24-V25-V26</f>
        <v>0</v>
      </c>
      <c r="W87" s="79" t="n">
        <f aca="false">W24-W25-W26</f>
        <v>0</v>
      </c>
      <c r="X87" s="79" t="n">
        <f aca="false">X24-X25-X26</f>
        <v>0</v>
      </c>
      <c r="Y87" s="79" t="n">
        <f aca="false">Y24-Y25-Y26</f>
        <v>0</v>
      </c>
      <c r="Z87" s="79" t="n">
        <f aca="false">Z24-Z25-Z26</f>
        <v>0</v>
      </c>
      <c r="AA87" s="79" t="n">
        <f aca="false">AA24-AA25-AA26</f>
        <v>0</v>
      </c>
      <c r="AB87" s="79" t="n">
        <f aca="false">AB24-AB25-AB26</f>
        <v>0</v>
      </c>
      <c r="AC87" s="79" t="n">
        <f aca="false">AC24-AC25-AC26</f>
        <v>0</v>
      </c>
      <c r="AD87" s="79" t="n">
        <f aca="false">AD24-AD25-AD26</f>
        <v>0</v>
      </c>
      <c r="AE87" s="79" t="n">
        <f aca="false">AE24-AE25-AE26</f>
        <v>0</v>
      </c>
      <c r="AF87" s="79" t="n">
        <f aca="false">AF24-AF25-AF26</f>
        <v>0</v>
      </c>
      <c r="AG87" s="79" t="n">
        <f aca="false">AG24-AG25-AG26</f>
        <v>0</v>
      </c>
      <c r="AH87" s="79" t="n">
        <f aca="false">AH24-AH25-AH26</f>
        <v>0</v>
      </c>
      <c r="AI87" s="79" t="n">
        <f aca="false">AI24-AI25-AI26</f>
        <v>0</v>
      </c>
      <c r="AJ87" s="79" t="n">
        <f aca="false">AJ24-AJ25-AJ26</f>
        <v>0</v>
      </c>
      <c r="AK87" s="79" t="n">
        <f aca="false">AK24-AK25-AK26</f>
        <v>0</v>
      </c>
      <c r="AL87" s="79" t="n">
        <f aca="false">AL24-AL25-AL26</f>
        <v>0</v>
      </c>
      <c r="AM87" s="79" t="n">
        <f aca="false">AM24-AM25-AM26</f>
        <v>0</v>
      </c>
      <c r="AN87" s="79" t="n">
        <f aca="false">AN24-AN25-AN26</f>
        <v>0</v>
      </c>
      <c r="AO87" s="79" t="n">
        <f aca="false">AO24-AO25-AO26</f>
        <v>0</v>
      </c>
      <c r="AP87" s="79" t="n">
        <f aca="false">AP24-AP25-AP26</f>
        <v>0</v>
      </c>
      <c r="AQ87" s="79" t="n">
        <f aca="false">AQ24-AQ25-AQ26</f>
        <v>0</v>
      </c>
      <c r="AR87" s="79" t="n">
        <f aca="false">AR24-AR25-AR26</f>
        <v>0</v>
      </c>
      <c r="AS87" s="79" t="n">
        <f aca="false">AS24-AS25-AS26</f>
        <v>0</v>
      </c>
      <c r="AT87" s="79" t="n">
        <f aca="false">AT24-AT25-AT26</f>
        <v>0</v>
      </c>
      <c r="AU87" s="79" t="n">
        <f aca="false">AU24-AU25-AU26</f>
        <v>0</v>
      </c>
      <c r="AV87" s="79" t="n">
        <f aca="false">AV24-AV25-AV26</f>
        <v>0</v>
      </c>
      <c r="AW87" s="79" t="n">
        <f aca="false">AW24-AW25-AW26</f>
        <v>0</v>
      </c>
      <c r="AX87" s="79" t="n">
        <f aca="false">AX24-AX25-AX26</f>
        <v>0</v>
      </c>
      <c r="AY87" s="79" t="n">
        <f aca="false">AY24-AY25-AY26</f>
        <v>0</v>
      </c>
      <c r="AZ87" s="79" t="n">
        <f aca="false">AZ24-AZ25-AZ26</f>
        <v>0</v>
      </c>
      <c r="BA87" s="79" t="n">
        <f aca="false">BA24-BA25-BA26</f>
        <v>0</v>
      </c>
      <c r="BB87" s="79" t="n">
        <f aca="false">BB24-BB25-BB26</f>
        <v>0</v>
      </c>
      <c r="BC87" s="79" t="n">
        <f aca="false">BC24-BC25-BC26</f>
        <v>0</v>
      </c>
      <c r="BD87" s="79" t="n">
        <f aca="false">BD24-BD25-BD26</f>
        <v>0</v>
      </c>
      <c r="BE87" s="79" t="n">
        <f aca="false">BE24-BE25-BE26</f>
        <v>0</v>
      </c>
      <c r="BF87" s="79" t="n">
        <f aca="false">BF24-BF25-BF26</f>
        <v>0</v>
      </c>
      <c r="BG87" s="79" t="n">
        <f aca="false">BG24-BG25-BG26</f>
        <v>0</v>
      </c>
      <c r="BH87" s="79" t="n">
        <f aca="false">BH24-BH25-BH26</f>
        <v>0</v>
      </c>
      <c r="BI87" s="79" t="n">
        <f aca="false">BI24-BI25-BI26</f>
        <v>0</v>
      </c>
      <c r="BJ87" s="79" t="n">
        <f aca="false">BJ24-BJ25-BJ26</f>
        <v>0</v>
      </c>
      <c r="BK87" s="79" t="n">
        <f aca="false">BK24-BK25-BK26</f>
        <v>0</v>
      </c>
      <c r="BL87" s="79" t="n">
        <f aca="false">BL24-BL25-BL26</f>
        <v>0</v>
      </c>
      <c r="BM87" s="72" t="n">
        <f aca="false">SUM(E87:BL87)</f>
        <v>0</v>
      </c>
    </row>
    <row r="90" customFormat="false" ht="18" hidden="false" customHeight="true" outlineLevel="0" collapsed="false">
      <c r="A90" s="19" t="s">
        <v>232</v>
      </c>
      <c r="B90" s="20"/>
      <c r="C90" s="20"/>
      <c r="D90" s="20"/>
      <c r="E90" s="20"/>
      <c r="F90" s="20"/>
      <c r="G90" s="20"/>
      <c r="H90" s="20"/>
    </row>
    <row r="91" customFormat="false" ht="15" hidden="false" customHeight="false" outlineLevel="0" collapsed="false">
      <c r="A91" s="7" t="s">
        <v>233</v>
      </c>
      <c r="B91" s="7" t="s">
        <v>234</v>
      </c>
      <c r="C91" s="7" t="s">
        <v>235</v>
      </c>
    </row>
    <row r="92" customFormat="false" ht="15" hidden="false" customHeight="false" outlineLevel="0" collapsed="false">
      <c r="A92" s="103" t="n">
        <v>0</v>
      </c>
      <c r="B92" s="104" t="n">
        <v>0.155</v>
      </c>
      <c r="C92" s="103" t="n">
        <v>0</v>
      </c>
    </row>
    <row r="93" customFormat="false" ht="15" hidden="false" customHeight="false" outlineLevel="0" collapsed="false">
      <c r="A93" s="103" t="n">
        <v>180000.01</v>
      </c>
      <c r="B93" s="104" t="n">
        <v>0.18</v>
      </c>
      <c r="C93" s="103" t="n">
        <v>4500</v>
      </c>
    </row>
    <row r="94" customFormat="false" ht="15" hidden="false" customHeight="false" outlineLevel="0" collapsed="false">
      <c r="A94" s="103" t="n">
        <v>360000.01</v>
      </c>
      <c r="B94" s="104" t="n">
        <v>0.195</v>
      </c>
      <c r="C94" s="103" t="n">
        <v>9900</v>
      </c>
    </row>
    <row r="95" customFormat="false" ht="15" hidden="false" customHeight="false" outlineLevel="0" collapsed="false">
      <c r="A95" s="103" t="n">
        <v>720000.01</v>
      </c>
      <c r="B95" s="104" t="n">
        <v>0.205</v>
      </c>
      <c r="C95" s="103" t="n">
        <v>17100</v>
      </c>
    </row>
    <row r="96" customFormat="false" ht="15" hidden="false" customHeight="false" outlineLevel="0" collapsed="false">
      <c r="A96" s="103" t="n">
        <v>1800000.01</v>
      </c>
      <c r="B96" s="104" t="n">
        <v>0.23</v>
      </c>
      <c r="C96" s="103" t="n">
        <v>62100</v>
      </c>
    </row>
    <row r="97" customFormat="false" ht="15" hidden="false" customHeight="false" outlineLevel="0" collapsed="false">
      <c r="A97" s="103" t="n">
        <v>3600000.01</v>
      </c>
      <c r="B97" s="104" t="n">
        <v>0.305</v>
      </c>
      <c r="C97" s="103" t="n">
        <v>540000</v>
      </c>
    </row>
    <row r="98" customFormat="false" ht="15" hidden="false" customHeight="false" outlineLevel="0" collapsed="false">
      <c r="A98" s="105" t="s">
        <v>236</v>
      </c>
      <c r="B98" s="106" t="n">
        <v>0.1633</v>
      </c>
    </row>
  </sheetData>
  <mergeCells count="2">
    <mergeCell ref="F9:N9"/>
    <mergeCell ref="F72:N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30A0"/>
    <pageSetUpPr fitToPage="false"/>
  </sheetPr>
  <dimension ref="A1:B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64" min="5" style="0" width="11"/>
    <col collapsed="false" customWidth="true" hidden="false" outlineLevel="0" max="65" min="65" style="0" width="15"/>
    <col collapsed="false" customWidth="true" hidden="false" outlineLevel="0" max="66" min="66" style="0" width="62"/>
  </cols>
  <sheetData>
    <row r="1" customFormat="false" ht="25.5" hidden="false" customHeight="true" outlineLevel="0" collapsed="false">
      <c r="A1" s="1" t="s">
        <v>237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customFormat="false" ht="15" hidden="false" customHeight="true" outlineLevel="0" collapsed="false">
      <c r="A2" s="3" t="s">
        <v>238</v>
      </c>
    </row>
    <row r="4" customFormat="false" ht="24" hidden="false" customHeight="true" outlineLevel="0" collapsed="false">
      <c r="A4" s="57" t="s">
        <v>117</v>
      </c>
      <c r="B4" s="58" t="s">
        <v>118</v>
      </c>
      <c r="C4" s="58" t="s">
        <v>119</v>
      </c>
      <c r="D4" s="58" t="s">
        <v>120</v>
      </c>
      <c r="E4" s="59" t="n">
        <v>46023</v>
      </c>
      <c r="F4" s="59" t="n">
        <v>46054</v>
      </c>
      <c r="G4" s="59" t="n">
        <v>46082</v>
      </c>
      <c r="H4" s="59" t="n">
        <v>46113</v>
      </c>
      <c r="I4" s="59" t="n">
        <v>46143</v>
      </c>
      <c r="J4" s="59" t="n">
        <v>46174</v>
      </c>
      <c r="K4" s="59" t="n">
        <v>46204</v>
      </c>
      <c r="L4" s="59" t="n">
        <v>46235</v>
      </c>
      <c r="M4" s="59" t="n">
        <v>46266</v>
      </c>
      <c r="N4" s="59" t="n">
        <v>46296</v>
      </c>
      <c r="O4" s="59" t="n">
        <v>46327</v>
      </c>
      <c r="P4" s="59" t="n">
        <v>46357</v>
      </c>
      <c r="Q4" s="59" t="n">
        <v>46388</v>
      </c>
      <c r="R4" s="59" t="n">
        <v>46419</v>
      </c>
      <c r="S4" s="59" t="n">
        <v>46447</v>
      </c>
      <c r="T4" s="59" t="n">
        <v>46478</v>
      </c>
      <c r="U4" s="59" t="n">
        <v>46508</v>
      </c>
      <c r="V4" s="59" t="n">
        <v>46539</v>
      </c>
      <c r="W4" s="59" t="n">
        <v>46569</v>
      </c>
      <c r="X4" s="59" t="n">
        <v>46600</v>
      </c>
      <c r="Y4" s="59" t="n">
        <v>46631</v>
      </c>
      <c r="Z4" s="59" t="n">
        <v>46661</v>
      </c>
      <c r="AA4" s="59" t="n">
        <v>46692</v>
      </c>
      <c r="AB4" s="59" t="n">
        <v>46722</v>
      </c>
      <c r="AC4" s="59" t="n">
        <v>46753</v>
      </c>
      <c r="AD4" s="59" t="n">
        <v>46784</v>
      </c>
      <c r="AE4" s="59" t="n">
        <v>46813</v>
      </c>
      <c r="AF4" s="59" t="n">
        <v>46844</v>
      </c>
      <c r="AG4" s="59" t="n">
        <v>46874</v>
      </c>
      <c r="AH4" s="59" t="n">
        <v>46905</v>
      </c>
      <c r="AI4" s="59" t="n">
        <v>46935</v>
      </c>
      <c r="AJ4" s="59" t="n">
        <v>46966</v>
      </c>
      <c r="AK4" s="59" t="n">
        <v>46997</v>
      </c>
      <c r="AL4" s="59" t="n">
        <v>47027</v>
      </c>
      <c r="AM4" s="59" t="n">
        <v>47058</v>
      </c>
      <c r="AN4" s="59" t="n">
        <v>47088</v>
      </c>
      <c r="AO4" s="59" t="n">
        <v>47119</v>
      </c>
      <c r="AP4" s="59" t="n">
        <v>47150</v>
      </c>
      <c r="AQ4" s="59" t="n">
        <v>47178</v>
      </c>
      <c r="AR4" s="59" t="n">
        <v>47209</v>
      </c>
      <c r="AS4" s="59" t="n">
        <v>47239</v>
      </c>
      <c r="AT4" s="59" t="n">
        <v>47270</v>
      </c>
      <c r="AU4" s="59" t="n">
        <v>47300</v>
      </c>
      <c r="AV4" s="59" t="n">
        <v>47331</v>
      </c>
      <c r="AW4" s="59" t="n">
        <v>47362</v>
      </c>
      <c r="AX4" s="59" t="n">
        <v>47392</v>
      </c>
      <c r="AY4" s="59" t="n">
        <v>47423</v>
      </c>
      <c r="AZ4" s="59" t="n">
        <v>47453</v>
      </c>
      <c r="BA4" s="59" t="n">
        <v>47484</v>
      </c>
      <c r="BB4" s="59" t="n">
        <v>47515</v>
      </c>
      <c r="BC4" s="59" t="n">
        <v>47543</v>
      </c>
      <c r="BD4" s="59" t="n">
        <v>47574</v>
      </c>
      <c r="BE4" s="59" t="n">
        <v>47604</v>
      </c>
      <c r="BF4" s="59" t="n">
        <v>47635</v>
      </c>
      <c r="BG4" s="59" t="n">
        <v>47665</v>
      </c>
      <c r="BH4" s="59" t="n">
        <v>47696</v>
      </c>
      <c r="BI4" s="59" t="n">
        <v>47727</v>
      </c>
      <c r="BJ4" s="59" t="n">
        <v>47757</v>
      </c>
      <c r="BK4" s="59" t="n">
        <v>47788</v>
      </c>
      <c r="BL4" s="59" t="n">
        <v>47818</v>
      </c>
      <c r="BM4" s="27" t="s">
        <v>121</v>
      </c>
      <c r="BN4" s="27" t="s">
        <v>122</v>
      </c>
    </row>
    <row r="5" customFormat="false" ht="15" hidden="false" customHeight="false" outlineLevel="0" collapsed="false">
      <c r="A5" s="60" t="s">
        <v>123</v>
      </c>
      <c r="E5" s="61" t="n">
        <v>1</v>
      </c>
      <c r="F5" s="61" t="n">
        <v>2</v>
      </c>
      <c r="G5" s="61" t="n">
        <v>3</v>
      </c>
      <c r="H5" s="61" t="n">
        <v>4</v>
      </c>
      <c r="I5" s="61" t="n">
        <v>5</v>
      </c>
      <c r="J5" s="61" t="n">
        <v>6</v>
      </c>
      <c r="K5" s="61" t="n">
        <v>7</v>
      </c>
      <c r="L5" s="61" t="n">
        <v>8</v>
      </c>
      <c r="M5" s="61" t="n">
        <v>9</v>
      </c>
      <c r="N5" s="61" t="n">
        <v>10</v>
      </c>
      <c r="O5" s="61" t="n">
        <v>11</v>
      </c>
      <c r="P5" s="61" t="n">
        <v>12</v>
      </c>
      <c r="Q5" s="61" t="n">
        <v>13</v>
      </c>
      <c r="R5" s="61" t="n">
        <v>14</v>
      </c>
      <c r="S5" s="61" t="n">
        <v>15</v>
      </c>
      <c r="T5" s="61" t="n">
        <v>16</v>
      </c>
      <c r="U5" s="61" t="n">
        <v>17</v>
      </c>
      <c r="V5" s="61" t="n">
        <v>18</v>
      </c>
      <c r="W5" s="61" t="n">
        <v>19</v>
      </c>
      <c r="X5" s="61" t="n">
        <v>20</v>
      </c>
      <c r="Y5" s="61" t="n">
        <v>21</v>
      </c>
      <c r="Z5" s="61" t="n">
        <v>22</v>
      </c>
      <c r="AA5" s="61" t="n">
        <v>23</v>
      </c>
      <c r="AB5" s="61" t="n">
        <v>24</v>
      </c>
      <c r="AC5" s="61" t="n">
        <v>25</v>
      </c>
      <c r="AD5" s="61" t="n">
        <v>26</v>
      </c>
      <c r="AE5" s="61" t="n">
        <v>27</v>
      </c>
      <c r="AF5" s="61" t="n">
        <v>28</v>
      </c>
      <c r="AG5" s="61" t="n">
        <v>29</v>
      </c>
      <c r="AH5" s="61" t="n">
        <v>30</v>
      </c>
      <c r="AI5" s="61" t="n">
        <v>31</v>
      </c>
      <c r="AJ5" s="61" t="n">
        <v>32</v>
      </c>
      <c r="AK5" s="61" t="n">
        <v>33</v>
      </c>
      <c r="AL5" s="61" t="n">
        <v>34</v>
      </c>
      <c r="AM5" s="61" t="n">
        <v>35</v>
      </c>
      <c r="AN5" s="61" t="n">
        <v>36</v>
      </c>
      <c r="AO5" s="61" t="n">
        <v>37</v>
      </c>
      <c r="AP5" s="61" t="n">
        <v>38</v>
      </c>
      <c r="AQ5" s="61" t="n">
        <v>39</v>
      </c>
      <c r="AR5" s="61" t="n">
        <v>40</v>
      </c>
      <c r="AS5" s="61" t="n">
        <v>41</v>
      </c>
      <c r="AT5" s="61" t="n">
        <v>42</v>
      </c>
      <c r="AU5" s="61" t="n">
        <v>43</v>
      </c>
      <c r="AV5" s="61" t="n">
        <v>44</v>
      </c>
      <c r="AW5" s="61" t="n">
        <v>45</v>
      </c>
      <c r="AX5" s="61" t="n">
        <v>46</v>
      </c>
      <c r="AY5" s="61" t="n">
        <v>47</v>
      </c>
      <c r="AZ5" s="61" t="n">
        <v>48</v>
      </c>
      <c r="BA5" s="61" t="n">
        <v>49</v>
      </c>
      <c r="BB5" s="61" t="n">
        <v>50</v>
      </c>
      <c r="BC5" s="61" t="n">
        <v>51</v>
      </c>
      <c r="BD5" s="61" t="n">
        <v>52</v>
      </c>
      <c r="BE5" s="61" t="n">
        <v>53</v>
      </c>
      <c r="BF5" s="61" t="n">
        <v>54</v>
      </c>
      <c r="BG5" s="61" t="n">
        <v>55</v>
      </c>
      <c r="BH5" s="61" t="n">
        <v>56</v>
      </c>
      <c r="BI5" s="61" t="n">
        <v>57</v>
      </c>
      <c r="BJ5" s="61" t="n">
        <v>58</v>
      </c>
      <c r="BK5" s="61" t="n">
        <v>59</v>
      </c>
      <c r="BL5" s="61" t="n">
        <v>60</v>
      </c>
    </row>
    <row r="6" customFormat="false" ht="15" hidden="false" customHeight="false" outlineLevel="0" collapsed="false">
      <c r="A6" s="60" t="s">
        <v>124</v>
      </c>
      <c r="E6" s="62" t="n">
        <f aca="false">YEAR(E4)</f>
        <v>2026</v>
      </c>
      <c r="F6" s="62" t="n">
        <f aca="false">YEAR(F4)</f>
        <v>2026</v>
      </c>
      <c r="G6" s="62" t="n">
        <f aca="false">YEAR(G4)</f>
        <v>2026</v>
      </c>
      <c r="H6" s="62" t="n">
        <f aca="false">YEAR(H4)</f>
        <v>2026</v>
      </c>
      <c r="I6" s="62" t="n">
        <f aca="false">YEAR(I4)</f>
        <v>2026</v>
      </c>
      <c r="J6" s="62" t="n">
        <f aca="false">YEAR(J4)</f>
        <v>2026</v>
      </c>
      <c r="K6" s="62" t="n">
        <f aca="false">YEAR(K4)</f>
        <v>2026</v>
      </c>
      <c r="L6" s="62" t="n">
        <f aca="false">YEAR(L4)</f>
        <v>2026</v>
      </c>
      <c r="M6" s="62" t="n">
        <f aca="false">YEAR(M4)</f>
        <v>2026</v>
      </c>
      <c r="N6" s="62" t="n">
        <f aca="false">YEAR(N4)</f>
        <v>2026</v>
      </c>
      <c r="O6" s="62" t="n">
        <f aca="false">YEAR(O4)</f>
        <v>2026</v>
      </c>
      <c r="P6" s="62" t="n">
        <f aca="false">YEAR(P4)</f>
        <v>2026</v>
      </c>
      <c r="Q6" s="62" t="n">
        <f aca="false">YEAR(Q4)</f>
        <v>2027</v>
      </c>
      <c r="R6" s="62" t="n">
        <f aca="false">YEAR(R4)</f>
        <v>2027</v>
      </c>
      <c r="S6" s="62" t="n">
        <f aca="false">YEAR(S4)</f>
        <v>2027</v>
      </c>
      <c r="T6" s="62" t="n">
        <f aca="false">YEAR(T4)</f>
        <v>2027</v>
      </c>
      <c r="U6" s="62" t="n">
        <f aca="false">YEAR(U4)</f>
        <v>2027</v>
      </c>
      <c r="V6" s="62" t="n">
        <f aca="false">YEAR(V4)</f>
        <v>2027</v>
      </c>
      <c r="W6" s="62" t="n">
        <f aca="false">YEAR(W4)</f>
        <v>2027</v>
      </c>
      <c r="X6" s="62" t="n">
        <f aca="false">YEAR(X4)</f>
        <v>2027</v>
      </c>
      <c r="Y6" s="62" t="n">
        <f aca="false">YEAR(Y4)</f>
        <v>2027</v>
      </c>
      <c r="Z6" s="62" t="n">
        <f aca="false">YEAR(Z4)</f>
        <v>2027</v>
      </c>
      <c r="AA6" s="62" t="n">
        <f aca="false">YEAR(AA4)</f>
        <v>2027</v>
      </c>
      <c r="AB6" s="62" t="n">
        <f aca="false">YEAR(AB4)</f>
        <v>2027</v>
      </c>
      <c r="AC6" s="62" t="n">
        <f aca="false">YEAR(AC4)</f>
        <v>2028</v>
      </c>
      <c r="AD6" s="62" t="n">
        <f aca="false">YEAR(AD4)</f>
        <v>2028</v>
      </c>
      <c r="AE6" s="62" t="n">
        <f aca="false">YEAR(AE4)</f>
        <v>2028</v>
      </c>
      <c r="AF6" s="62" t="n">
        <f aca="false">YEAR(AF4)</f>
        <v>2028</v>
      </c>
      <c r="AG6" s="62" t="n">
        <f aca="false">YEAR(AG4)</f>
        <v>2028</v>
      </c>
      <c r="AH6" s="62" t="n">
        <f aca="false">YEAR(AH4)</f>
        <v>2028</v>
      </c>
      <c r="AI6" s="62" t="n">
        <f aca="false">YEAR(AI4)</f>
        <v>2028</v>
      </c>
      <c r="AJ6" s="62" t="n">
        <f aca="false">YEAR(AJ4)</f>
        <v>2028</v>
      </c>
      <c r="AK6" s="62" t="n">
        <f aca="false">YEAR(AK4)</f>
        <v>2028</v>
      </c>
      <c r="AL6" s="62" t="n">
        <f aca="false">YEAR(AL4)</f>
        <v>2028</v>
      </c>
      <c r="AM6" s="62" t="n">
        <f aca="false">YEAR(AM4)</f>
        <v>2028</v>
      </c>
      <c r="AN6" s="62" t="n">
        <f aca="false">YEAR(AN4)</f>
        <v>2028</v>
      </c>
      <c r="AO6" s="62" t="n">
        <f aca="false">YEAR(AO4)</f>
        <v>2029</v>
      </c>
      <c r="AP6" s="62" t="n">
        <f aca="false">YEAR(AP4)</f>
        <v>2029</v>
      </c>
      <c r="AQ6" s="62" t="n">
        <f aca="false">YEAR(AQ4)</f>
        <v>2029</v>
      </c>
      <c r="AR6" s="62" t="n">
        <f aca="false">YEAR(AR4)</f>
        <v>2029</v>
      </c>
      <c r="AS6" s="62" t="n">
        <f aca="false">YEAR(AS4)</f>
        <v>2029</v>
      </c>
      <c r="AT6" s="62" t="n">
        <f aca="false">YEAR(AT4)</f>
        <v>2029</v>
      </c>
      <c r="AU6" s="62" t="n">
        <f aca="false">YEAR(AU4)</f>
        <v>2029</v>
      </c>
      <c r="AV6" s="62" t="n">
        <f aca="false">YEAR(AV4)</f>
        <v>2029</v>
      </c>
      <c r="AW6" s="62" t="n">
        <f aca="false">YEAR(AW4)</f>
        <v>2029</v>
      </c>
      <c r="AX6" s="62" t="n">
        <f aca="false">YEAR(AX4)</f>
        <v>2029</v>
      </c>
      <c r="AY6" s="62" t="n">
        <f aca="false">YEAR(AY4)</f>
        <v>2029</v>
      </c>
      <c r="AZ6" s="62" t="n">
        <f aca="false">YEAR(AZ4)</f>
        <v>2029</v>
      </c>
      <c r="BA6" s="62" t="n">
        <f aca="false">YEAR(BA4)</f>
        <v>2030</v>
      </c>
      <c r="BB6" s="62" t="n">
        <f aca="false">YEAR(BB4)</f>
        <v>2030</v>
      </c>
      <c r="BC6" s="62" t="n">
        <f aca="false">YEAR(BC4)</f>
        <v>2030</v>
      </c>
      <c r="BD6" s="62" t="n">
        <f aca="false">YEAR(BD4)</f>
        <v>2030</v>
      </c>
      <c r="BE6" s="62" t="n">
        <f aca="false">YEAR(BE4)</f>
        <v>2030</v>
      </c>
      <c r="BF6" s="62" t="n">
        <f aca="false">YEAR(BF4)</f>
        <v>2030</v>
      </c>
      <c r="BG6" s="62" t="n">
        <f aca="false">YEAR(BG4)</f>
        <v>2030</v>
      </c>
      <c r="BH6" s="62" t="n">
        <f aca="false">YEAR(BH4)</f>
        <v>2030</v>
      </c>
      <c r="BI6" s="62" t="n">
        <f aca="false">YEAR(BI4)</f>
        <v>2030</v>
      </c>
      <c r="BJ6" s="62" t="n">
        <f aca="false">YEAR(BJ4)</f>
        <v>2030</v>
      </c>
      <c r="BK6" s="62" t="n">
        <f aca="false">YEAR(BK4)</f>
        <v>2030</v>
      </c>
      <c r="BL6" s="62" t="n">
        <f aca="false">YEAR(BL4)</f>
        <v>2030</v>
      </c>
    </row>
    <row r="8" customFormat="false" ht="18" hidden="false" customHeight="true" outlineLevel="0" collapsed="false">
      <c r="A8" s="19" t="s">
        <v>239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</row>
    <row r="9" customFormat="false" ht="43.5" hidden="false" customHeight="true" outlineLevel="0" collapsed="false">
      <c r="A9" s="107" t="s">
        <v>240</v>
      </c>
      <c r="B9" s="50" t="n">
        <v>0.1</v>
      </c>
      <c r="D9" s="108" t="s">
        <v>241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</row>
    <row r="10" customFormat="false" ht="25.5" hidden="false" customHeight="true" outlineLevel="0" collapsed="false">
      <c r="A10" s="107" t="s">
        <v>242</v>
      </c>
      <c r="B10" s="70" t="n">
        <v>9</v>
      </c>
      <c r="D10" s="109" t="s">
        <v>243</v>
      </c>
      <c r="E10" s="109"/>
      <c r="F10" s="109"/>
      <c r="G10" s="109"/>
      <c r="H10" s="109"/>
      <c r="I10" s="109"/>
      <c r="J10" s="109"/>
      <c r="K10" s="109"/>
      <c r="L10" s="109"/>
      <c r="M10" s="109"/>
      <c r="N10" s="109"/>
    </row>
    <row r="12" customFormat="false" ht="18" hidden="false" customHeight="true" outlineLevel="0" collapsed="false">
      <c r="A12" s="19" t="s">
        <v>244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</row>
    <row r="13" customFormat="false" ht="25.5" hidden="false" customHeight="true" outlineLevel="0" collapsed="false">
      <c r="A13" s="110" t="s">
        <v>245</v>
      </c>
      <c r="B13" s="110" t="s">
        <v>246</v>
      </c>
      <c r="C13" s="110" t="s">
        <v>247</v>
      </c>
      <c r="D13" s="111" t="s">
        <v>248</v>
      </c>
    </row>
    <row r="14" customFormat="false" ht="25.5" hidden="false" customHeight="true" outlineLevel="0" collapsed="false">
      <c r="A14" s="70" t="n">
        <v>0</v>
      </c>
      <c r="B14" s="112" t="n">
        <v>300</v>
      </c>
      <c r="C14" s="113" t="str">
        <f aca="false">IFERROR($B14/$A14,"–")</f>
        <v>–</v>
      </c>
      <c r="D14" s="66" t="s">
        <v>249</v>
      </c>
      <c r="E14" s="66"/>
      <c r="F14" s="66"/>
      <c r="G14" s="66"/>
      <c r="H14" s="66"/>
      <c r="I14" s="66"/>
      <c r="J14" s="66"/>
      <c r="K14" s="66"/>
      <c r="L14" s="66"/>
    </row>
    <row r="15" customFormat="false" ht="25.5" hidden="false" customHeight="true" outlineLevel="0" collapsed="false">
      <c r="A15" s="70" t="n">
        <v>100</v>
      </c>
      <c r="B15" s="112" t="n">
        <v>640</v>
      </c>
      <c r="C15" s="113" t="n">
        <f aca="false">IFERROR($B15/$A15,"–")</f>
        <v>6.4</v>
      </c>
      <c r="D15" s="66" t="s">
        <v>250</v>
      </c>
      <c r="E15" s="66"/>
      <c r="F15" s="66"/>
      <c r="G15" s="66"/>
      <c r="H15" s="66"/>
      <c r="I15" s="66"/>
      <c r="J15" s="66"/>
      <c r="K15" s="66"/>
      <c r="L15" s="66"/>
    </row>
    <row r="16" customFormat="false" ht="25.5" hidden="false" customHeight="true" outlineLevel="0" collapsed="false">
      <c r="A16" s="70" t="n">
        <v>1000</v>
      </c>
      <c r="B16" s="112" t="n">
        <v>3200</v>
      </c>
      <c r="C16" s="113" t="n">
        <f aca="false">IFERROR($B16/$A16,"–")</f>
        <v>3.2</v>
      </c>
      <c r="D16" s="66" t="s">
        <v>251</v>
      </c>
      <c r="E16" s="66"/>
      <c r="F16" s="66"/>
      <c r="G16" s="66"/>
      <c r="H16" s="66"/>
      <c r="I16" s="66"/>
      <c r="J16" s="66"/>
      <c r="K16" s="66"/>
      <c r="L16" s="66"/>
    </row>
    <row r="17" customFormat="false" ht="25.5" hidden="false" customHeight="true" outlineLevel="0" collapsed="false">
      <c r="A17" s="70" t="n">
        <v>10000</v>
      </c>
      <c r="B17" s="112" t="n">
        <v>16000</v>
      </c>
      <c r="C17" s="113" t="n">
        <f aca="false">IFERROR($B17/$A17,"–")</f>
        <v>1.6</v>
      </c>
      <c r="D17" s="66" t="s">
        <v>252</v>
      </c>
      <c r="E17" s="66"/>
      <c r="F17" s="66"/>
      <c r="G17" s="66"/>
      <c r="H17" s="66"/>
      <c r="I17" s="66"/>
      <c r="J17" s="66"/>
      <c r="K17" s="66"/>
      <c r="L17" s="66"/>
    </row>
    <row r="18" customFormat="false" ht="25.5" hidden="false" customHeight="true" outlineLevel="0" collapsed="false">
      <c r="A18" s="70" t="n">
        <v>100000</v>
      </c>
      <c r="B18" s="112" t="n">
        <v>90000</v>
      </c>
      <c r="C18" s="113" t="n">
        <f aca="false">IFERROR($B18/$A18,"–")</f>
        <v>0.9</v>
      </c>
      <c r="D18" s="66" t="s">
        <v>253</v>
      </c>
      <c r="E18" s="66"/>
      <c r="F18" s="66"/>
      <c r="G18" s="66"/>
      <c r="H18" s="66"/>
      <c r="I18" s="66"/>
      <c r="J18" s="66"/>
      <c r="K18" s="66"/>
      <c r="L18" s="66"/>
    </row>
    <row r="19" customFormat="false" ht="25.5" hidden="false" customHeight="true" outlineLevel="0" collapsed="false">
      <c r="A19" s="70" t="n">
        <v>1000000</v>
      </c>
      <c r="B19" s="112" t="n">
        <v>550000</v>
      </c>
      <c r="C19" s="113" t="n">
        <f aca="false">IFERROR($B19/$A19,"–")</f>
        <v>0.55</v>
      </c>
      <c r="D19" s="66" t="s">
        <v>254</v>
      </c>
      <c r="E19" s="66"/>
      <c r="F19" s="66"/>
      <c r="G19" s="66"/>
      <c r="H19" s="66"/>
      <c r="I19" s="66"/>
      <c r="J19" s="66"/>
      <c r="K19" s="66"/>
      <c r="L19" s="66"/>
    </row>
    <row r="21" customFormat="false" ht="30" hidden="false" customHeight="true" outlineLevel="0" collapsed="false">
      <c r="A21" s="5" t="s">
        <v>255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3" customFormat="false" ht="18" hidden="false" customHeight="true" outlineLevel="0" collapsed="false">
      <c r="A23" s="19" t="s">
        <v>256</v>
      </c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</row>
    <row r="24" customFormat="false" ht="15" hidden="false" customHeight="false" outlineLevel="0" collapsed="false">
      <c r="A24" s="83" t="s">
        <v>257</v>
      </c>
      <c r="E24" s="114" t="n">
        <f aca="false">'DRE Mensal'!E$25</f>
        <v>0</v>
      </c>
      <c r="F24" s="114" t="n">
        <f aca="false">'DRE Mensal'!F$25</f>
        <v>0</v>
      </c>
      <c r="G24" s="114" t="n">
        <f aca="false">'DRE Mensal'!G$25</f>
        <v>0</v>
      </c>
      <c r="H24" s="114" t="n">
        <f aca="false">'DRE Mensal'!H$25</f>
        <v>0</v>
      </c>
      <c r="I24" s="114" t="n">
        <f aca="false">'DRE Mensal'!I$25</f>
        <v>0</v>
      </c>
      <c r="J24" s="114" t="n">
        <f aca="false">'DRE Mensal'!J$25</f>
        <v>0</v>
      </c>
      <c r="K24" s="114" t="n">
        <f aca="false">'DRE Mensal'!K$25</f>
        <v>0</v>
      </c>
      <c r="L24" s="114" t="n">
        <f aca="false">'DRE Mensal'!L$25</f>
        <v>0</v>
      </c>
      <c r="M24" s="114" t="n">
        <f aca="false">'DRE Mensal'!M$25</f>
        <v>0</v>
      </c>
      <c r="N24" s="114" t="n">
        <f aca="false">'DRE Mensal'!N$25</f>
        <v>0</v>
      </c>
      <c r="O24" s="114" t="n">
        <f aca="false">'DRE Mensal'!O$25</f>
        <v>0</v>
      </c>
      <c r="P24" s="114" t="n">
        <f aca="false">'DRE Mensal'!P$25</f>
        <v>91</v>
      </c>
      <c r="Q24" s="114" t="n">
        <f aca="false">'DRE Mensal'!Q$25</f>
        <v>184</v>
      </c>
      <c r="R24" s="114" t="n">
        <f aca="false">'DRE Mensal'!R$25</f>
        <v>281</v>
      </c>
      <c r="S24" s="114" t="n">
        <f aca="false">'DRE Mensal'!S$25</f>
        <v>382</v>
      </c>
      <c r="T24" s="114" t="n">
        <f aca="false">'DRE Mensal'!T$25</f>
        <v>487</v>
      </c>
      <c r="U24" s="114" t="n">
        <f aca="false">'DRE Mensal'!U$25</f>
        <v>597</v>
      </c>
      <c r="V24" s="114" t="n">
        <f aca="false">'DRE Mensal'!V$25</f>
        <v>712</v>
      </c>
      <c r="W24" s="114" t="n">
        <f aca="false">'DRE Mensal'!W$25</f>
        <v>834</v>
      </c>
      <c r="X24" s="114" t="n">
        <f aca="false">'DRE Mensal'!X$25</f>
        <v>963</v>
      </c>
      <c r="Y24" s="114" t="n">
        <f aca="false">'DRE Mensal'!Y$25</f>
        <v>1099</v>
      </c>
      <c r="Z24" s="114" t="n">
        <f aca="false">'DRE Mensal'!Z$25</f>
        <v>1243</v>
      </c>
      <c r="AA24" s="114" t="n">
        <f aca="false">'DRE Mensal'!AA$25</f>
        <v>1396</v>
      </c>
      <c r="AB24" s="114" t="n">
        <f aca="false">'DRE Mensal'!AB$25</f>
        <v>1559</v>
      </c>
      <c r="AC24" s="114" t="n">
        <f aca="false">'DRE Mensal'!AC$25</f>
        <v>1732</v>
      </c>
      <c r="AD24" s="114" t="n">
        <f aca="false">'DRE Mensal'!AD$25</f>
        <v>1918</v>
      </c>
      <c r="AE24" s="114" t="n">
        <f aca="false">'DRE Mensal'!AE$25</f>
        <v>2116</v>
      </c>
      <c r="AF24" s="114" t="n">
        <f aca="false">'DRE Mensal'!AF$25</f>
        <v>2327</v>
      </c>
      <c r="AG24" s="114" t="n">
        <f aca="false">'DRE Mensal'!AG$25</f>
        <v>2554</v>
      </c>
      <c r="AH24" s="114" t="n">
        <f aca="false">'DRE Mensal'!AH$25</f>
        <v>2796</v>
      </c>
      <c r="AI24" s="114" t="n">
        <f aca="false">'DRE Mensal'!AI$25</f>
        <v>3057</v>
      </c>
      <c r="AJ24" s="114" t="n">
        <f aca="false">'DRE Mensal'!AJ$25</f>
        <v>3336</v>
      </c>
      <c r="AK24" s="114" t="n">
        <f aca="false">'DRE Mensal'!AK$25</f>
        <v>3636</v>
      </c>
      <c r="AL24" s="114" t="n">
        <f aca="false">'DRE Mensal'!AL$25</f>
        <v>3958</v>
      </c>
      <c r="AM24" s="114" t="n">
        <f aca="false">'DRE Mensal'!AM$25</f>
        <v>4304</v>
      </c>
      <c r="AN24" s="114" t="n">
        <f aca="false">'DRE Mensal'!AN$25</f>
        <v>4676</v>
      </c>
      <c r="AO24" s="114" t="n">
        <f aca="false">'DRE Mensal'!AO$25</f>
        <v>5076</v>
      </c>
      <c r="AP24" s="114" t="n">
        <f aca="false">'DRE Mensal'!AP$25</f>
        <v>5507</v>
      </c>
      <c r="AQ24" s="114" t="n">
        <f aca="false">'DRE Mensal'!AQ$25</f>
        <v>5971</v>
      </c>
      <c r="AR24" s="114" t="n">
        <f aca="false">'DRE Mensal'!AR$25</f>
        <v>6470</v>
      </c>
      <c r="AS24" s="114" t="n">
        <f aca="false">'DRE Mensal'!AS$25</f>
        <v>7008</v>
      </c>
      <c r="AT24" s="114" t="n">
        <f aca="false">'DRE Mensal'!AT$25</f>
        <v>7587</v>
      </c>
      <c r="AU24" s="114" t="n">
        <f aca="false">'DRE Mensal'!AU$25</f>
        <v>8210</v>
      </c>
      <c r="AV24" s="114" t="n">
        <f aca="false">'DRE Mensal'!AV$25</f>
        <v>8882</v>
      </c>
      <c r="AW24" s="114" t="n">
        <f aca="false">'DRE Mensal'!AW$25</f>
        <v>9607</v>
      </c>
      <c r="AX24" s="114" t="n">
        <f aca="false">'DRE Mensal'!AX$25</f>
        <v>10387</v>
      </c>
      <c r="AY24" s="114" t="n">
        <f aca="false">'DRE Mensal'!AY$25</f>
        <v>11228</v>
      </c>
      <c r="AZ24" s="114" t="n">
        <f aca="false">'DRE Mensal'!AZ$25</f>
        <v>12135</v>
      </c>
      <c r="BA24" s="114" t="n">
        <f aca="false">'DRE Mensal'!BA$25</f>
        <v>13113</v>
      </c>
      <c r="BB24" s="114" t="n">
        <f aca="false">'DRE Mensal'!BB$25</f>
        <v>14167</v>
      </c>
      <c r="BC24" s="114" t="n">
        <f aca="false">'DRE Mensal'!BC$25</f>
        <v>15303</v>
      </c>
      <c r="BD24" s="114" t="n">
        <f aca="false">'DRE Mensal'!BD$25</f>
        <v>16528</v>
      </c>
      <c r="BE24" s="114" t="n">
        <f aca="false">'DRE Mensal'!BE$25</f>
        <v>17849</v>
      </c>
      <c r="BF24" s="114" t="n">
        <f aca="false">'DRE Mensal'!BF$25</f>
        <v>19274</v>
      </c>
      <c r="BG24" s="114" t="n">
        <f aca="false">'DRE Mensal'!BG$25</f>
        <v>20810</v>
      </c>
      <c r="BH24" s="114" t="n">
        <f aca="false">'DRE Mensal'!BH$25</f>
        <v>22467</v>
      </c>
      <c r="BI24" s="114" t="n">
        <f aca="false">'DRE Mensal'!BI$25</f>
        <v>24254</v>
      </c>
      <c r="BJ24" s="114" t="n">
        <f aca="false">'DRE Mensal'!BJ$25</f>
        <v>26181</v>
      </c>
      <c r="BK24" s="114" t="n">
        <f aca="false">'DRE Mensal'!BK$25</f>
        <v>28260</v>
      </c>
      <c r="BL24" s="114" t="n">
        <f aca="false">'DRE Mensal'!BL$25</f>
        <v>30501</v>
      </c>
      <c r="BM24" s="72" t="n">
        <f aca="false">BL24</f>
        <v>30501</v>
      </c>
    </row>
    <row r="25" customFormat="false" ht="15" hidden="false" customHeight="false" outlineLevel="0" collapsed="false">
      <c r="A25" s="83" t="s">
        <v>258</v>
      </c>
      <c r="E25" s="114" t="n">
        <f aca="false">'DRE Mensal'!E$26</f>
        <v>0</v>
      </c>
      <c r="F25" s="114" t="n">
        <f aca="false">'DRE Mensal'!F$26</f>
        <v>0</v>
      </c>
      <c r="G25" s="114" t="n">
        <f aca="false">'DRE Mensal'!G$26</f>
        <v>0</v>
      </c>
      <c r="H25" s="114" t="n">
        <f aca="false">'DRE Mensal'!H$26</f>
        <v>0</v>
      </c>
      <c r="I25" s="114" t="n">
        <f aca="false">'DRE Mensal'!I$26</f>
        <v>0</v>
      </c>
      <c r="J25" s="114" t="n">
        <f aca="false">'DRE Mensal'!J$26</f>
        <v>0</v>
      </c>
      <c r="K25" s="114" t="n">
        <f aca="false">'DRE Mensal'!K$26</f>
        <v>0</v>
      </c>
      <c r="L25" s="114" t="n">
        <f aca="false">'DRE Mensal'!L$26</f>
        <v>0</v>
      </c>
      <c r="M25" s="114" t="n">
        <f aca="false">'DRE Mensal'!M$26</f>
        <v>0</v>
      </c>
      <c r="N25" s="114" t="n">
        <f aca="false">'DRE Mensal'!N$26</f>
        <v>0</v>
      </c>
      <c r="O25" s="114" t="n">
        <f aca="false">'DRE Mensal'!O$26</f>
        <v>0</v>
      </c>
      <c r="P25" s="114" t="n">
        <f aca="false">'DRE Mensal'!P$26</f>
        <v>18009</v>
      </c>
      <c r="Q25" s="114" t="n">
        <f aca="false">'DRE Mensal'!Q$26</f>
        <v>35190</v>
      </c>
      <c r="R25" s="114" t="n">
        <f aca="false">'DRE Mensal'!R$26</f>
        <v>51643</v>
      </c>
      <c r="S25" s="114" t="n">
        <f aca="false">'DRE Mensal'!S$26</f>
        <v>67460</v>
      </c>
      <c r="T25" s="114" t="n">
        <f aca="false">'DRE Mensal'!T$26</f>
        <v>82725</v>
      </c>
      <c r="U25" s="114" t="n">
        <f aca="false">'DRE Mensal'!U$26</f>
        <v>97516</v>
      </c>
      <c r="V25" s="114" t="n">
        <f aca="false">'DRE Mensal'!V$26</f>
        <v>111906</v>
      </c>
      <c r="W25" s="114" t="n">
        <f aca="false">'DRE Mensal'!W$26</f>
        <v>125958</v>
      </c>
      <c r="X25" s="114" t="n">
        <f aca="false">'DRE Mensal'!X$26</f>
        <v>139735</v>
      </c>
      <c r="Y25" s="114" t="n">
        <f aca="false">'DRE Mensal'!Y$26</f>
        <v>153295</v>
      </c>
      <c r="Z25" s="114" t="n">
        <f aca="false">'DRE Mensal'!Z$26</f>
        <v>166689</v>
      </c>
      <c r="AA25" s="114" t="n">
        <f aca="false">'DRE Mensal'!AA$26</f>
        <v>179968</v>
      </c>
      <c r="AB25" s="114" t="n">
        <f aca="false">'DRE Mensal'!AB$26</f>
        <v>193178</v>
      </c>
      <c r="AC25" s="114" t="n">
        <f aca="false">'DRE Mensal'!AC$26</f>
        <v>206363</v>
      </c>
      <c r="AD25" s="114" t="n">
        <f aca="false">'DRE Mensal'!AD$26</f>
        <v>219563</v>
      </c>
      <c r="AE25" s="114" t="n">
        <f aca="false">'DRE Mensal'!AE$26</f>
        <v>232817</v>
      </c>
      <c r="AF25" s="114" t="n">
        <f aca="false">'DRE Mensal'!AF$26</f>
        <v>246163</v>
      </c>
      <c r="AG25" s="114" t="n">
        <f aca="false">'DRE Mensal'!AG$26</f>
        <v>259635</v>
      </c>
      <c r="AH25" s="114" t="n">
        <f aca="false">'DRE Mensal'!AH$26</f>
        <v>273269</v>
      </c>
      <c r="AI25" s="114" t="n">
        <f aca="false">'DRE Mensal'!AI$26</f>
        <v>287093</v>
      </c>
      <c r="AJ25" s="114" t="n">
        <f aca="false">'DRE Mensal'!AJ$26</f>
        <v>301142</v>
      </c>
      <c r="AK25" s="114" t="n">
        <f aca="false">'DRE Mensal'!AK$26</f>
        <v>315444</v>
      </c>
      <c r="AL25" s="114" t="n">
        <f aca="false">'DRE Mensal'!AL$26</f>
        <v>330030</v>
      </c>
      <c r="AM25" s="114" t="n">
        <f aca="false">'DRE Mensal'!AM$26</f>
        <v>344927</v>
      </c>
      <c r="AN25" s="114" t="n">
        <f aca="false">'DRE Mensal'!AN$26</f>
        <v>360163</v>
      </c>
      <c r="AO25" s="114" t="n">
        <f aca="false">'DRE Mensal'!AO$26</f>
        <v>375767</v>
      </c>
      <c r="AP25" s="114" t="n">
        <f aca="false">'DRE Mensal'!AP$26</f>
        <v>391764</v>
      </c>
      <c r="AQ25" s="114" t="n">
        <f aca="false">'DRE Mensal'!AQ$26</f>
        <v>408182</v>
      </c>
      <c r="AR25" s="114" t="n">
        <f aca="false">'DRE Mensal'!AR$26</f>
        <v>425048</v>
      </c>
      <c r="AS25" s="114" t="n">
        <f aca="false">'DRE Mensal'!AS$26</f>
        <v>442387</v>
      </c>
      <c r="AT25" s="114" t="n">
        <f aca="false">'DRE Mensal'!AT$26</f>
        <v>460227</v>
      </c>
      <c r="AU25" s="114" t="n">
        <f aca="false">'DRE Mensal'!AU$26</f>
        <v>478594</v>
      </c>
      <c r="AV25" s="114" t="n">
        <f aca="false">'DRE Mensal'!AV$26</f>
        <v>497513</v>
      </c>
      <c r="AW25" s="114" t="n">
        <f aca="false">'DRE Mensal'!AW$26</f>
        <v>517011</v>
      </c>
      <c r="AX25" s="114" t="n">
        <f aca="false">'DRE Mensal'!AX$26</f>
        <v>537116</v>
      </c>
      <c r="AY25" s="114" t="n">
        <f aca="false">'DRE Mensal'!AY$26</f>
        <v>557854</v>
      </c>
      <c r="AZ25" s="114" t="n">
        <f aca="false">'DRE Mensal'!AZ$26</f>
        <v>579251</v>
      </c>
      <c r="BA25" s="114" t="n">
        <f aca="false">'DRE Mensal'!BA$26</f>
        <v>601336</v>
      </c>
      <c r="BB25" s="114" t="n">
        <f aca="false">'DRE Mensal'!BB$26</f>
        <v>624136</v>
      </c>
      <c r="BC25" s="114" t="n">
        <f aca="false">'DRE Mensal'!BC$26</f>
        <v>647681</v>
      </c>
      <c r="BD25" s="114" t="n">
        <f aca="false">'DRE Mensal'!BD$26</f>
        <v>671998</v>
      </c>
      <c r="BE25" s="114" t="n">
        <f aca="false">'DRE Mensal'!BE$26</f>
        <v>697117</v>
      </c>
      <c r="BF25" s="114" t="n">
        <f aca="false">'DRE Mensal'!BF$26</f>
        <v>723066</v>
      </c>
      <c r="BG25" s="114" t="n">
        <f aca="false">'DRE Mensal'!BG$26</f>
        <v>749877</v>
      </c>
      <c r="BH25" s="114" t="n">
        <f aca="false">'DRE Mensal'!BH$26</f>
        <v>777578</v>
      </c>
      <c r="BI25" s="114" t="n">
        <f aca="false">'DRE Mensal'!BI$26</f>
        <v>806202</v>
      </c>
      <c r="BJ25" s="114" t="n">
        <f aca="false">'DRE Mensal'!BJ$26</f>
        <v>835779</v>
      </c>
      <c r="BK25" s="114" t="n">
        <f aca="false">'DRE Mensal'!BK$26</f>
        <v>866342</v>
      </c>
      <c r="BL25" s="114" t="n">
        <f aca="false">'DRE Mensal'!BL$26</f>
        <v>897924</v>
      </c>
      <c r="BM25" s="72" t="n">
        <f aca="false">BL25</f>
        <v>897924</v>
      </c>
    </row>
    <row r="26" customFormat="false" ht="19.4" hidden="false" customHeight="false" outlineLevel="0" collapsed="false">
      <c r="A26" s="63" t="s">
        <v>259</v>
      </c>
      <c r="E26" s="102" t="n">
        <f aca="false">ROUND(E24+E25*$B$9,0)</f>
        <v>0</v>
      </c>
      <c r="F26" s="102" t="n">
        <f aca="false">ROUND(F24+F25*$B$9,0)</f>
        <v>0</v>
      </c>
      <c r="G26" s="102" t="n">
        <f aca="false">ROUND(G24+G25*$B$9,0)</f>
        <v>0</v>
      </c>
      <c r="H26" s="102" t="n">
        <f aca="false">ROUND(H24+H25*$B$9,0)</f>
        <v>0</v>
      </c>
      <c r="I26" s="102" t="n">
        <f aca="false">ROUND(I24+I25*$B$9,0)</f>
        <v>0</v>
      </c>
      <c r="J26" s="102" t="n">
        <f aca="false">ROUND(J24+J25*$B$9,0)</f>
        <v>0</v>
      </c>
      <c r="K26" s="102" t="n">
        <f aca="false">ROUND(K24+K25*$B$9,0)</f>
        <v>0</v>
      </c>
      <c r="L26" s="102" t="n">
        <f aca="false">ROUND(L24+L25*$B$9,0)</f>
        <v>0</v>
      </c>
      <c r="M26" s="102" t="n">
        <f aca="false">ROUND(M24+M25*$B$9,0)</f>
        <v>0</v>
      </c>
      <c r="N26" s="102" t="n">
        <f aca="false">ROUND(N24+N25*$B$9,0)</f>
        <v>0</v>
      </c>
      <c r="O26" s="102" t="n">
        <f aca="false">ROUND(O24+O25*$B$9,0)</f>
        <v>0</v>
      </c>
      <c r="P26" s="102" t="n">
        <f aca="false">ROUND(P24+P25*$B$9,0)</f>
        <v>1892</v>
      </c>
      <c r="Q26" s="102" t="n">
        <f aca="false">ROUND(Q24+Q25*$B$9,0)</f>
        <v>3703</v>
      </c>
      <c r="R26" s="102" t="n">
        <f aca="false">ROUND(R24+R25*$B$9,0)</f>
        <v>5445</v>
      </c>
      <c r="S26" s="102" t="n">
        <f aca="false">ROUND(S24+S25*$B$9,0)</f>
        <v>7128</v>
      </c>
      <c r="T26" s="102" t="n">
        <f aca="false">ROUND(T24+T25*$B$9,0)</f>
        <v>8760</v>
      </c>
      <c r="U26" s="102" t="n">
        <f aca="false">ROUND(U24+U25*$B$9,0)</f>
        <v>10349</v>
      </c>
      <c r="V26" s="102" t="n">
        <f aca="false">ROUND(V24+V25*$B$9,0)</f>
        <v>11903</v>
      </c>
      <c r="W26" s="102" t="n">
        <f aca="false">ROUND(W24+W25*$B$9,0)</f>
        <v>13430</v>
      </c>
      <c r="X26" s="102" t="n">
        <f aca="false">ROUND(X24+X25*$B$9,0)</f>
        <v>14937</v>
      </c>
      <c r="Y26" s="102" t="n">
        <f aca="false">ROUND(Y24+Y25*$B$9,0)</f>
        <v>16429</v>
      </c>
      <c r="Z26" s="102" t="n">
        <f aca="false">ROUND(Z24+Z25*$B$9,0)</f>
        <v>17912</v>
      </c>
      <c r="AA26" s="102" t="n">
        <f aca="false">ROUND(AA24+AA25*$B$9,0)</f>
        <v>19393</v>
      </c>
      <c r="AB26" s="102" t="n">
        <f aca="false">ROUND(AB24+AB25*$B$9,0)</f>
        <v>20877</v>
      </c>
      <c r="AC26" s="102" t="n">
        <f aca="false">ROUND(AC24+AC25*$B$9,0)</f>
        <v>22368</v>
      </c>
      <c r="AD26" s="102" t="n">
        <f aca="false">ROUND(AD24+AD25*$B$9,0)</f>
        <v>23874</v>
      </c>
      <c r="AE26" s="102" t="n">
        <f aca="false">ROUND(AE24+AE25*$B$9,0)</f>
        <v>25398</v>
      </c>
      <c r="AF26" s="102" t="n">
        <f aca="false">ROUND(AF24+AF25*$B$9,0)</f>
        <v>26943</v>
      </c>
      <c r="AG26" s="102" t="n">
        <f aca="false">ROUND(AG24+AG25*$B$9,0)</f>
        <v>28518</v>
      </c>
      <c r="AH26" s="102" t="n">
        <f aca="false">ROUND(AH24+AH25*$B$9,0)</f>
        <v>30123</v>
      </c>
      <c r="AI26" s="102" t="n">
        <f aca="false">ROUND(AI24+AI25*$B$9,0)</f>
        <v>31766</v>
      </c>
      <c r="AJ26" s="102" t="n">
        <f aca="false">ROUND(AJ24+AJ25*$B$9,0)</f>
        <v>33450</v>
      </c>
      <c r="AK26" s="102" t="n">
        <f aca="false">ROUND(AK24+AK25*$B$9,0)</f>
        <v>35180</v>
      </c>
      <c r="AL26" s="102" t="n">
        <f aca="false">ROUND(AL24+AL25*$B$9,0)</f>
        <v>36961</v>
      </c>
      <c r="AM26" s="102" t="n">
        <f aca="false">ROUND(AM24+AM25*$B$9,0)</f>
        <v>38797</v>
      </c>
      <c r="AN26" s="102" t="n">
        <f aca="false">ROUND(AN24+AN25*$B$9,0)</f>
        <v>40692</v>
      </c>
      <c r="AO26" s="102" t="n">
        <f aca="false">ROUND(AO24+AO25*$B$9,0)</f>
        <v>42653</v>
      </c>
      <c r="AP26" s="102" t="n">
        <f aca="false">ROUND(AP24+AP25*$B$9,0)</f>
        <v>44683</v>
      </c>
      <c r="AQ26" s="102" t="n">
        <f aca="false">ROUND(AQ24+AQ25*$B$9,0)</f>
        <v>46789</v>
      </c>
      <c r="AR26" s="102" t="n">
        <f aca="false">ROUND(AR24+AR25*$B$9,0)</f>
        <v>48975</v>
      </c>
      <c r="AS26" s="102" t="n">
        <f aca="false">ROUND(AS24+AS25*$B$9,0)</f>
        <v>51247</v>
      </c>
      <c r="AT26" s="102" t="n">
        <f aca="false">ROUND(AT24+AT25*$B$9,0)</f>
        <v>53610</v>
      </c>
      <c r="AU26" s="102" t="n">
        <f aca="false">ROUND(AU24+AU25*$B$9,0)</f>
        <v>56069</v>
      </c>
      <c r="AV26" s="102" t="n">
        <f aca="false">ROUND(AV24+AV25*$B$9,0)</f>
        <v>58633</v>
      </c>
      <c r="AW26" s="102" t="n">
        <f aca="false">ROUND(AW24+AW25*$B$9,0)</f>
        <v>61308</v>
      </c>
      <c r="AX26" s="102" t="n">
        <f aca="false">ROUND(AX24+AX25*$B$9,0)</f>
        <v>64099</v>
      </c>
      <c r="AY26" s="102" t="n">
        <f aca="false">ROUND(AY24+AY25*$B$9,0)</f>
        <v>67013</v>
      </c>
      <c r="AZ26" s="102" t="n">
        <f aca="false">ROUND(AZ24+AZ25*$B$9,0)</f>
        <v>70060</v>
      </c>
      <c r="BA26" s="102" t="n">
        <f aca="false">ROUND(BA24+BA25*$B$9,0)</f>
        <v>73247</v>
      </c>
      <c r="BB26" s="102" t="n">
        <f aca="false">ROUND(BB24+BB25*$B$9,0)</f>
        <v>76581</v>
      </c>
      <c r="BC26" s="102" t="n">
        <f aca="false">ROUND(BC24+BC25*$B$9,0)</f>
        <v>80071</v>
      </c>
      <c r="BD26" s="102" t="n">
        <f aca="false">ROUND(BD24+BD25*$B$9,0)</f>
        <v>83728</v>
      </c>
      <c r="BE26" s="102" t="n">
        <f aca="false">ROUND(BE24+BE25*$B$9,0)</f>
        <v>87561</v>
      </c>
      <c r="BF26" s="102" t="n">
        <f aca="false">ROUND(BF24+BF25*$B$9,0)</f>
        <v>91581</v>
      </c>
      <c r="BG26" s="102" t="n">
        <f aca="false">ROUND(BG24+BG25*$B$9,0)</f>
        <v>95798</v>
      </c>
      <c r="BH26" s="102" t="n">
        <f aca="false">ROUND(BH24+BH25*$B$9,0)</f>
        <v>100225</v>
      </c>
      <c r="BI26" s="102" t="n">
        <f aca="false">ROUND(BI24+BI25*$B$9,0)</f>
        <v>104874</v>
      </c>
      <c r="BJ26" s="102" t="n">
        <f aca="false">ROUND(BJ24+BJ25*$B$9,0)</f>
        <v>109759</v>
      </c>
      <c r="BK26" s="102" t="n">
        <f aca="false">ROUND(BK24+BK25*$B$9,0)</f>
        <v>114894</v>
      </c>
      <c r="BL26" s="102" t="n">
        <f aca="false">ROUND(BL24+BL25*$B$9,0)</f>
        <v>120293</v>
      </c>
      <c r="BM26" s="72" t="n">
        <f aca="false">BL26</f>
        <v>120293</v>
      </c>
      <c r="BN26" s="35" t="s">
        <v>260</v>
      </c>
    </row>
    <row r="27" customFormat="false" ht="15" hidden="false" customHeight="false" outlineLevel="0" collapsed="false">
      <c r="A27" s="49" t="s">
        <v>261</v>
      </c>
      <c r="E27" s="79" t="n">
        <f aca="false">INDEX($A$14:$A$19,MATCH(MIN(E26,MAX($A$14:$A$19)),$A$14:$A$19,1))</f>
        <v>0</v>
      </c>
      <c r="F27" s="79" t="n">
        <f aca="false">INDEX($A$14:$A$19,MATCH(MIN(F26,MAX($A$14:$A$19)),$A$14:$A$19,1))</f>
        <v>0</v>
      </c>
      <c r="G27" s="79" t="n">
        <f aca="false">INDEX($A$14:$A$19,MATCH(MIN(G26,MAX($A$14:$A$19)),$A$14:$A$19,1))</f>
        <v>0</v>
      </c>
      <c r="H27" s="79" t="n">
        <f aca="false">INDEX($A$14:$A$19,MATCH(MIN(H26,MAX($A$14:$A$19)),$A$14:$A$19,1))</f>
        <v>0</v>
      </c>
      <c r="I27" s="79" t="n">
        <f aca="false">INDEX($A$14:$A$19,MATCH(MIN(I26,MAX($A$14:$A$19)),$A$14:$A$19,1))</f>
        <v>0</v>
      </c>
      <c r="J27" s="79" t="n">
        <f aca="false">INDEX($A$14:$A$19,MATCH(MIN(J26,MAX($A$14:$A$19)),$A$14:$A$19,1))</f>
        <v>0</v>
      </c>
      <c r="K27" s="79" t="n">
        <f aca="false">INDEX($A$14:$A$19,MATCH(MIN(K26,MAX($A$14:$A$19)),$A$14:$A$19,1))</f>
        <v>0</v>
      </c>
      <c r="L27" s="79" t="n">
        <f aca="false">INDEX($A$14:$A$19,MATCH(MIN(L26,MAX($A$14:$A$19)),$A$14:$A$19,1))</f>
        <v>0</v>
      </c>
      <c r="M27" s="79" t="n">
        <f aca="false">INDEX($A$14:$A$19,MATCH(MIN(M26,MAX($A$14:$A$19)),$A$14:$A$19,1))</f>
        <v>0</v>
      </c>
      <c r="N27" s="79" t="n">
        <f aca="false">INDEX($A$14:$A$19,MATCH(MIN(N26,MAX($A$14:$A$19)),$A$14:$A$19,1))</f>
        <v>0</v>
      </c>
      <c r="O27" s="79" t="n">
        <f aca="false">INDEX($A$14:$A$19,MATCH(MIN(O26,MAX($A$14:$A$19)),$A$14:$A$19,1))</f>
        <v>0</v>
      </c>
      <c r="P27" s="79" t="n">
        <f aca="false">INDEX($A$14:$A$19,MATCH(MIN(P26,MAX($A$14:$A$19)),$A$14:$A$19,1))</f>
        <v>1000</v>
      </c>
      <c r="Q27" s="79" t="n">
        <f aca="false">INDEX($A$14:$A$19,MATCH(MIN(Q26,MAX($A$14:$A$19)),$A$14:$A$19,1))</f>
        <v>1000</v>
      </c>
      <c r="R27" s="79" t="n">
        <f aca="false">INDEX($A$14:$A$19,MATCH(MIN(R26,MAX($A$14:$A$19)),$A$14:$A$19,1))</f>
        <v>1000</v>
      </c>
      <c r="S27" s="79" t="n">
        <f aca="false">INDEX($A$14:$A$19,MATCH(MIN(S26,MAX($A$14:$A$19)),$A$14:$A$19,1))</f>
        <v>1000</v>
      </c>
      <c r="T27" s="79" t="n">
        <f aca="false">INDEX($A$14:$A$19,MATCH(MIN(T26,MAX($A$14:$A$19)),$A$14:$A$19,1))</f>
        <v>1000</v>
      </c>
      <c r="U27" s="79" t="n">
        <f aca="false">INDEX($A$14:$A$19,MATCH(MIN(U26,MAX($A$14:$A$19)),$A$14:$A$19,1))</f>
        <v>10000</v>
      </c>
      <c r="V27" s="79" t="n">
        <f aca="false">INDEX($A$14:$A$19,MATCH(MIN(V26,MAX($A$14:$A$19)),$A$14:$A$19,1))</f>
        <v>10000</v>
      </c>
      <c r="W27" s="79" t="n">
        <f aca="false">INDEX($A$14:$A$19,MATCH(MIN(W26,MAX($A$14:$A$19)),$A$14:$A$19,1))</f>
        <v>10000</v>
      </c>
      <c r="X27" s="79" t="n">
        <f aca="false">INDEX($A$14:$A$19,MATCH(MIN(X26,MAX($A$14:$A$19)),$A$14:$A$19,1))</f>
        <v>10000</v>
      </c>
      <c r="Y27" s="79" t="n">
        <f aca="false">INDEX($A$14:$A$19,MATCH(MIN(Y26,MAX($A$14:$A$19)),$A$14:$A$19,1))</f>
        <v>10000</v>
      </c>
      <c r="Z27" s="79" t="n">
        <f aca="false">INDEX($A$14:$A$19,MATCH(MIN(Z26,MAX($A$14:$A$19)),$A$14:$A$19,1))</f>
        <v>10000</v>
      </c>
      <c r="AA27" s="79" t="n">
        <f aca="false">INDEX($A$14:$A$19,MATCH(MIN(AA26,MAX($A$14:$A$19)),$A$14:$A$19,1))</f>
        <v>10000</v>
      </c>
      <c r="AB27" s="79" t="n">
        <f aca="false">INDEX($A$14:$A$19,MATCH(MIN(AB26,MAX($A$14:$A$19)),$A$14:$A$19,1))</f>
        <v>10000</v>
      </c>
      <c r="AC27" s="79" t="n">
        <f aca="false">INDEX($A$14:$A$19,MATCH(MIN(AC26,MAX($A$14:$A$19)),$A$14:$A$19,1))</f>
        <v>10000</v>
      </c>
      <c r="AD27" s="79" t="n">
        <f aca="false">INDEX($A$14:$A$19,MATCH(MIN(AD26,MAX($A$14:$A$19)),$A$14:$A$19,1))</f>
        <v>10000</v>
      </c>
      <c r="AE27" s="79" t="n">
        <f aca="false">INDEX($A$14:$A$19,MATCH(MIN(AE26,MAX($A$14:$A$19)),$A$14:$A$19,1))</f>
        <v>10000</v>
      </c>
      <c r="AF27" s="79" t="n">
        <f aca="false">INDEX($A$14:$A$19,MATCH(MIN(AF26,MAX($A$14:$A$19)),$A$14:$A$19,1))</f>
        <v>10000</v>
      </c>
      <c r="AG27" s="79" t="n">
        <f aca="false">INDEX($A$14:$A$19,MATCH(MIN(AG26,MAX($A$14:$A$19)),$A$14:$A$19,1))</f>
        <v>10000</v>
      </c>
      <c r="AH27" s="79" t="n">
        <f aca="false">INDEX($A$14:$A$19,MATCH(MIN(AH26,MAX($A$14:$A$19)),$A$14:$A$19,1))</f>
        <v>10000</v>
      </c>
      <c r="AI27" s="79" t="n">
        <f aca="false">INDEX($A$14:$A$19,MATCH(MIN(AI26,MAX($A$14:$A$19)),$A$14:$A$19,1))</f>
        <v>10000</v>
      </c>
      <c r="AJ27" s="79" t="n">
        <f aca="false">INDEX($A$14:$A$19,MATCH(MIN(AJ26,MAX($A$14:$A$19)),$A$14:$A$19,1))</f>
        <v>10000</v>
      </c>
      <c r="AK27" s="79" t="n">
        <f aca="false">INDEX($A$14:$A$19,MATCH(MIN(AK26,MAX($A$14:$A$19)),$A$14:$A$19,1))</f>
        <v>10000</v>
      </c>
      <c r="AL27" s="79" t="n">
        <f aca="false">INDEX($A$14:$A$19,MATCH(MIN(AL26,MAX($A$14:$A$19)),$A$14:$A$19,1))</f>
        <v>10000</v>
      </c>
      <c r="AM27" s="79" t="n">
        <f aca="false">INDEX($A$14:$A$19,MATCH(MIN(AM26,MAX($A$14:$A$19)),$A$14:$A$19,1))</f>
        <v>10000</v>
      </c>
      <c r="AN27" s="79" t="n">
        <f aca="false">INDEX($A$14:$A$19,MATCH(MIN(AN26,MAX($A$14:$A$19)),$A$14:$A$19,1))</f>
        <v>10000</v>
      </c>
      <c r="AO27" s="79" t="n">
        <f aca="false">INDEX($A$14:$A$19,MATCH(MIN(AO26,MAX($A$14:$A$19)),$A$14:$A$19,1))</f>
        <v>10000</v>
      </c>
      <c r="AP27" s="79" t="n">
        <f aca="false">INDEX($A$14:$A$19,MATCH(MIN(AP26,MAX($A$14:$A$19)),$A$14:$A$19,1))</f>
        <v>10000</v>
      </c>
      <c r="AQ27" s="79" t="n">
        <f aca="false">INDEX($A$14:$A$19,MATCH(MIN(AQ26,MAX($A$14:$A$19)),$A$14:$A$19,1))</f>
        <v>10000</v>
      </c>
      <c r="AR27" s="79" t="n">
        <f aca="false">INDEX($A$14:$A$19,MATCH(MIN(AR26,MAX($A$14:$A$19)),$A$14:$A$19,1))</f>
        <v>10000</v>
      </c>
      <c r="AS27" s="79" t="n">
        <f aca="false">INDEX($A$14:$A$19,MATCH(MIN(AS26,MAX($A$14:$A$19)),$A$14:$A$19,1))</f>
        <v>10000</v>
      </c>
      <c r="AT27" s="79" t="n">
        <f aca="false">INDEX($A$14:$A$19,MATCH(MIN(AT26,MAX($A$14:$A$19)),$A$14:$A$19,1))</f>
        <v>10000</v>
      </c>
      <c r="AU27" s="79" t="n">
        <f aca="false">INDEX($A$14:$A$19,MATCH(MIN(AU26,MAX($A$14:$A$19)),$A$14:$A$19,1))</f>
        <v>10000</v>
      </c>
      <c r="AV27" s="79" t="n">
        <f aca="false">INDEX($A$14:$A$19,MATCH(MIN(AV26,MAX($A$14:$A$19)),$A$14:$A$19,1))</f>
        <v>10000</v>
      </c>
      <c r="AW27" s="79" t="n">
        <f aca="false">INDEX($A$14:$A$19,MATCH(MIN(AW26,MAX($A$14:$A$19)),$A$14:$A$19,1))</f>
        <v>10000</v>
      </c>
      <c r="AX27" s="79" t="n">
        <f aca="false">INDEX($A$14:$A$19,MATCH(MIN(AX26,MAX($A$14:$A$19)),$A$14:$A$19,1))</f>
        <v>10000</v>
      </c>
      <c r="AY27" s="79" t="n">
        <f aca="false">INDEX($A$14:$A$19,MATCH(MIN(AY26,MAX($A$14:$A$19)),$A$14:$A$19,1))</f>
        <v>10000</v>
      </c>
      <c r="AZ27" s="79" t="n">
        <f aca="false">INDEX($A$14:$A$19,MATCH(MIN(AZ26,MAX($A$14:$A$19)),$A$14:$A$19,1))</f>
        <v>10000</v>
      </c>
      <c r="BA27" s="79" t="n">
        <f aca="false">INDEX($A$14:$A$19,MATCH(MIN(BA26,MAX($A$14:$A$19)),$A$14:$A$19,1))</f>
        <v>10000</v>
      </c>
      <c r="BB27" s="79" t="n">
        <f aca="false">INDEX($A$14:$A$19,MATCH(MIN(BB26,MAX($A$14:$A$19)),$A$14:$A$19,1))</f>
        <v>10000</v>
      </c>
      <c r="BC27" s="79" t="n">
        <f aca="false">INDEX($A$14:$A$19,MATCH(MIN(BC26,MAX($A$14:$A$19)),$A$14:$A$19,1))</f>
        <v>10000</v>
      </c>
      <c r="BD27" s="79" t="n">
        <f aca="false">INDEX($A$14:$A$19,MATCH(MIN(BD26,MAX($A$14:$A$19)),$A$14:$A$19,1))</f>
        <v>10000</v>
      </c>
      <c r="BE27" s="79" t="n">
        <f aca="false">INDEX($A$14:$A$19,MATCH(MIN(BE26,MAX($A$14:$A$19)),$A$14:$A$19,1))</f>
        <v>10000</v>
      </c>
      <c r="BF27" s="79" t="n">
        <f aca="false">INDEX($A$14:$A$19,MATCH(MIN(BF26,MAX($A$14:$A$19)),$A$14:$A$19,1))</f>
        <v>10000</v>
      </c>
      <c r="BG27" s="79" t="n">
        <f aca="false">INDEX($A$14:$A$19,MATCH(MIN(BG26,MAX($A$14:$A$19)),$A$14:$A$19,1))</f>
        <v>10000</v>
      </c>
      <c r="BH27" s="79" t="n">
        <f aca="false">INDEX($A$14:$A$19,MATCH(MIN(BH26,MAX($A$14:$A$19)),$A$14:$A$19,1))</f>
        <v>100000</v>
      </c>
      <c r="BI27" s="79" t="n">
        <f aca="false">INDEX($A$14:$A$19,MATCH(MIN(BI26,MAX($A$14:$A$19)),$A$14:$A$19,1))</f>
        <v>100000</v>
      </c>
      <c r="BJ27" s="79" t="n">
        <f aca="false">INDEX($A$14:$A$19,MATCH(MIN(BJ26,MAX($A$14:$A$19)),$A$14:$A$19,1))</f>
        <v>100000</v>
      </c>
      <c r="BK27" s="79" t="n">
        <f aca="false">INDEX($A$14:$A$19,MATCH(MIN(BK26,MAX($A$14:$A$19)),$A$14:$A$19,1))</f>
        <v>100000</v>
      </c>
      <c r="BL27" s="79" t="n">
        <f aca="false">INDEX($A$14:$A$19,MATCH(MIN(BL26,MAX($A$14:$A$19)),$A$14:$A$19,1))</f>
        <v>100000</v>
      </c>
      <c r="BM27" s="72" t="n">
        <f aca="false">BL27</f>
        <v>100000</v>
      </c>
    </row>
    <row r="28" customFormat="false" ht="15" hidden="false" customHeight="false" outlineLevel="0" collapsed="false">
      <c r="A28" s="49" t="s">
        <v>262</v>
      </c>
      <c r="E28" s="87" t="n">
        <f aca="false">INDEX($B$14:$B$19,MATCH(MIN(E26,MAX($A$14:$A$19)),$A$14:$A$19,1))</f>
        <v>300</v>
      </c>
      <c r="F28" s="87" t="n">
        <f aca="false">INDEX($B$14:$B$19,MATCH(MIN(F26,MAX($A$14:$A$19)),$A$14:$A$19,1))</f>
        <v>300</v>
      </c>
      <c r="G28" s="87" t="n">
        <f aca="false">INDEX($B$14:$B$19,MATCH(MIN(G26,MAX($A$14:$A$19)),$A$14:$A$19,1))</f>
        <v>300</v>
      </c>
      <c r="H28" s="87" t="n">
        <f aca="false">INDEX($B$14:$B$19,MATCH(MIN(H26,MAX($A$14:$A$19)),$A$14:$A$19,1))</f>
        <v>300</v>
      </c>
      <c r="I28" s="87" t="n">
        <f aca="false">INDEX($B$14:$B$19,MATCH(MIN(I26,MAX($A$14:$A$19)),$A$14:$A$19,1))</f>
        <v>300</v>
      </c>
      <c r="J28" s="87" t="n">
        <f aca="false">INDEX($B$14:$B$19,MATCH(MIN(J26,MAX($A$14:$A$19)),$A$14:$A$19,1))</f>
        <v>300</v>
      </c>
      <c r="K28" s="87" t="n">
        <f aca="false">INDEX($B$14:$B$19,MATCH(MIN(K26,MAX($A$14:$A$19)),$A$14:$A$19,1))</f>
        <v>300</v>
      </c>
      <c r="L28" s="87" t="n">
        <f aca="false">INDEX($B$14:$B$19,MATCH(MIN(L26,MAX($A$14:$A$19)),$A$14:$A$19,1))</f>
        <v>300</v>
      </c>
      <c r="M28" s="87" t="n">
        <f aca="false">INDEX($B$14:$B$19,MATCH(MIN(M26,MAX($A$14:$A$19)),$A$14:$A$19,1))</f>
        <v>300</v>
      </c>
      <c r="N28" s="87" t="n">
        <f aca="false">INDEX($B$14:$B$19,MATCH(MIN(N26,MAX($A$14:$A$19)),$A$14:$A$19,1))</f>
        <v>300</v>
      </c>
      <c r="O28" s="87" t="n">
        <f aca="false">INDEX($B$14:$B$19,MATCH(MIN(O26,MAX($A$14:$A$19)),$A$14:$A$19,1))</f>
        <v>300</v>
      </c>
      <c r="P28" s="87" t="n">
        <f aca="false">INDEX($B$14:$B$19,MATCH(MIN(P26,MAX($A$14:$A$19)),$A$14:$A$19,1))</f>
        <v>3200</v>
      </c>
      <c r="Q28" s="87" t="n">
        <f aca="false">INDEX($B$14:$B$19,MATCH(MIN(Q26,MAX($A$14:$A$19)),$A$14:$A$19,1))</f>
        <v>3200</v>
      </c>
      <c r="R28" s="87" t="n">
        <f aca="false">INDEX($B$14:$B$19,MATCH(MIN(R26,MAX($A$14:$A$19)),$A$14:$A$19,1))</f>
        <v>3200</v>
      </c>
      <c r="S28" s="87" t="n">
        <f aca="false">INDEX($B$14:$B$19,MATCH(MIN(S26,MAX($A$14:$A$19)),$A$14:$A$19,1))</f>
        <v>3200</v>
      </c>
      <c r="T28" s="87" t="n">
        <f aca="false">INDEX($B$14:$B$19,MATCH(MIN(T26,MAX($A$14:$A$19)),$A$14:$A$19,1))</f>
        <v>3200</v>
      </c>
      <c r="U28" s="87" t="n">
        <f aca="false">INDEX($B$14:$B$19,MATCH(MIN(U26,MAX($A$14:$A$19)),$A$14:$A$19,1))</f>
        <v>16000</v>
      </c>
      <c r="V28" s="87" t="n">
        <f aca="false">INDEX($B$14:$B$19,MATCH(MIN(V26,MAX($A$14:$A$19)),$A$14:$A$19,1))</f>
        <v>16000</v>
      </c>
      <c r="W28" s="87" t="n">
        <f aca="false">INDEX($B$14:$B$19,MATCH(MIN(W26,MAX($A$14:$A$19)),$A$14:$A$19,1))</f>
        <v>16000</v>
      </c>
      <c r="X28" s="87" t="n">
        <f aca="false">INDEX($B$14:$B$19,MATCH(MIN(X26,MAX($A$14:$A$19)),$A$14:$A$19,1))</f>
        <v>16000</v>
      </c>
      <c r="Y28" s="87" t="n">
        <f aca="false">INDEX($B$14:$B$19,MATCH(MIN(Y26,MAX($A$14:$A$19)),$A$14:$A$19,1))</f>
        <v>16000</v>
      </c>
      <c r="Z28" s="87" t="n">
        <f aca="false">INDEX($B$14:$B$19,MATCH(MIN(Z26,MAX($A$14:$A$19)),$A$14:$A$19,1))</f>
        <v>16000</v>
      </c>
      <c r="AA28" s="87" t="n">
        <f aca="false">INDEX($B$14:$B$19,MATCH(MIN(AA26,MAX($A$14:$A$19)),$A$14:$A$19,1))</f>
        <v>16000</v>
      </c>
      <c r="AB28" s="87" t="n">
        <f aca="false">INDEX($B$14:$B$19,MATCH(MIN(AB26,MAX($A$14:$A$19)),$A$14:$A$19,1))</f>
        <v>16000</v>
      </c>
      <c r="AC28" s="87" t="n">
        <f aca="false">INDEX($B$14:$B$19,MATCH(MIN(AC26,MAX($A$14:$A$19)),$A$14:$A$19,1))</f>
        <v>16000</v>
      </c>
      <c r="AD28" s="87" t="n">
        <f aca="false">INDEX($B$14:$B$19,MATCH(MIN(AD26,MAX($A$14:$A$19)),$A$14:$A$19,1))</f>
        <v>16000</v>
      </c>
      <c r="AE28" s="87" t="n">
        <f aca="false">INDEX($B$14:$B$19,MATCH(MIN(AE26,MAX($A$14:$A$19)),$A$14:$A$19,1))</f>
        <v>16000</v>
      </c>
      <c r="AF28" s="87" t="n">
        <f aca="false">INDEX($B$14:$B$19,MATCH(MIN(AF26,MAX($A$14:$A$19)),$A$14:$A$19,1))</f>
        <v>16000</v>
      </c>
      <c r="AG28" s="87" t="n">
        <f aca="false">INDEX($B$14:$B$19,MATCH(MIN(AG26,MAX($A$14:$A$19)),$A$14:$A$19,1))</f>
        <v>16000</v>
      </c>
      <c r="AH28" s="87" t="n">
        <f aca="false">INDEX($B$14:$B$19,MATCH(MIN(AH26,MAX($A$14:$A$19)),$A$14:$A$19,1))</f>
        <v>16000</v>
      </c>
      <c r="AI28" s="87" t="n">
        <f aca="false">INDEX($B$14:$B$19,MATCH(MIN(AI26,MAX($A$14:$A$19)),$A$14:$A$19,1))</f>
        <v>16000</v>
      </c>
      <c r="AJ28" s="87" t="n">
        <f aca="false">INDEX($B$14:$B$19,MATCH(MIN(AJ26,MAX($A$14:$A$19)),$A$14:$A$19,1))</f>
        <v>16000</v>
      </c>
      <c r="AK28" s="87" t="n">
        <f aca="false">INDEX($B$14:$B$19,MATCH(MIN(AK26,MAX($A$14:$A$19)),$A$14:$A$19,1))</f>
        <v>16000</v>
      </c>
      <c r="AL28" s="87" t="n">
        <f aca="false">INDEX($B$14:$B$19,MATCH(MIN(AL26,MAX($A$14:$A$19)),$A$14:$A$19,1))</f>
        <v>16000</v>
      </c>
      <c r="AM28" s="87" t="n">
        <f aca="false">INDEX($B$14:$B$19,MATCH(MIN(AM26,MAX($A$14:$A$19)),$A$14:$A$19,1))</f>
        <v>16000</v>
      </c>
      <c r="AN28" s="87" t="n">
        <f aca="false">INDEX($B$14:$B$19,MATCH(MIN(AN26,MAX($A$14:$A$19)),$A$14:$A$19,1))</f>
        <v>16000</v>
      </c>
      <c r="AO28" s="87" t="n">
        <f aca="false">INDEX($B$14:$B$19,MATCH(MIN(AO26,MAX($A$14:$A$19)),$A$14:$A$19,1))</f>
        <v>16000</v>
      </c>
      <c r="AP28" s="87" t="n">
        <f aca="false">INDEX($B$14:$B$19,MATCH(MIN(AP26,MAX($A$14:$A$19)),$A$14:$A$19,1))</f>
        <v>16000</v>
      </c>
      <c r="AQ28" s="87" t="n">
        <f aca="false">INDEX($B$14:$B$19,MATCH(MIN(AQ26,MAX($A$14:$A$19)),$A$14:$A$19,1))</f>
        <v>16000</v>
      </c>
      <c r="AR28" s="87" t="n">
        <f aca="false">INDEX($B$14:$B$19,MATCH(MIN(AR26,MAX($A$14:$A$19)),$A$14:$A$19,1))</f>
        <v>16000</v>
      </c>
      <c r="AS28" s="87" t="n">
        <f aca="false">INDEX($B$14:$B$19,MATCH(MIN(AS26,MAX($A$14:$A$19)),$A$14:$A$19,1))</f>
        <v>16000</v>
      </c>
      <c r="AT28" s="87" t="n">
        <f aca="false">INDEX($B$14:$B$19,MATCH(MIN(AT26,MAX($A$14:$A$19)),$A$14:$A$19,1))</f>
        <v>16000</v>
      </c>
      <c r="AU28" s="87" t="n">
        <f aca="false">INDEX($B$14:$B$19,MATCH(MIN(AU26,MAX($A$14:$A$19)),$A$14:$A$19,1))</f>
        <v>16000</v>
      </c>
      <c r="AV28" s="87" t="n">
        <f aca="false">INDEX($B$14:$B$19,MATCH(MIN(AV26,MAX($A$14:$A$19)),$A$14:$A$19,1))</f>
        <v>16000</v>
      </c>
      <c r="AW28" s="87" t="n">
        <f aca="false">INDEX($B$14:$B$19,MATCH(MIN(AW26,MAX($A$14:$A$19)),$A$14:$A$19,1))</f>
        <v>16000</v>
      </c>
      <c r="AX28" s="87" t="n">
        <f aca="false">INDEX($B$14:$B$19,MATCH(MIN(AX26,MAX($A$14:$A$19)),$A$14:$A$19,1))</f>
        <v>16000</v>
      </c>
      <c r="AY28" s="87" t="n">
        <f aca="false">INDEX($B$14:$B$19,MATCH(MIN(AY26,MAX($A$14:$A$19)),$A$14:$A$19,1))</f>
        <v>16000</v>
      </c>
      <c r="AZ28" s="87" t="n">
        <f aca="false">INDEX($B$14:$B$19,MATCH(MIN(AZ26,MAX($A$14:$A$19)),$A$14:$A$19,1))</f>
        <v>16000</v>
      </c>
      <c r="BA28" s="87" t="n">
        <f aca="false">INDEX($B$14:$B$19,MATCH(MIN(BA26,MAX($A$14:$A$19)),$A$14:$A$19,1))</f>
        <v>16000</v>
      </c>
      <c r="BB28" s="87" t="n">
        <f aca="false">INDEX($B$14:$B$19,MATCH(MIN(BB26,MAX($A$14:$A$19)),$A$14:$A$19,1))</f>
        <v>16000</v>
      </c>
      <c r="BC28" s="87" t="n">
        <f aca="false">INDEX($B$14:$B$19,MATCH(MIN(BC26,MAX($A$14:$A$19)),$A$14:$A$19,1))</f>
        <v>16000</v>
      </c>
      <c r="BD28" s="87" t="n">
        <f aca="false">INDEX($B$14:$B$19,MATCH(MIN(BD26,MAX($A$14:$A$19)),$A$14:$A$19,1))</f>
        <v>16000</v>
      </c>
      <c r="BE28" s="87" t="n">
        <f aca="false">INDEX($B$14:$B$19,MATCH(MIN(BE26,MAX($A$14:$A$19)),$A$14:$A$19,1))</f>
        <v>16000</v>
      </c>
      <c r="BF28" s="87" t="n">
        <f aca="false">INDEX($B$14:$B$19,MATCH(MIN(BF26,MAX($A$14:$A$19)),$A$14:$A$19,1))</f>
        <v>16000</v>
      </c>
      <c r="BG28" s="87" t="n">
        <f aca="false">INDEX($B$14:$B$19,MATCH(MIN(BG26,MAX($A$14:$A$19)),$A$14:$A$19,1))</f>
        <v>16000</v>
      </c>
      <c r="BH28" s="87" t="n">
        <f aca="false">INDEX($B$14:$B$19,MATCH(MIN(BH26,MAX($A$14:$A$19)),$A$14:$A$19,1))</f>
        <v>90000</v>
      </c>
      <c r="BI28" s="87" t="n">
        <f aca="false">INDEX($B$14:$B$19,MATCH(MIN(BI26,MAX($A$14:$A$19)),$A$14:$A$19,1))</f>
        <v>90000</v>
      </c>
      <c r="BJ28" s="87" t="n">
        <f aca="false">INDEX($B$14:$B$19,MATCH(MIN(BJ26,MAX($A$14:$A$19)),$A$14:$A$19,1))</f>
        <v>90000</v>
      </c>
      <c r="BK28" s="87" t="n">
        <f aca="false">INDEX($B$14:$B$19,MATCH(MIN(BK26,MAX($A$14:$A$19)),$A$14:$A$19,1))</f>
        <v>90000</v>
      </c>
      <c r="BL28" s="87" t="n">
        <f aca="false">INDEX($B$14:$B$19,MATCH(MIN(BL26,MAX($A$14:$A$19)),$A$14:$A$19,1))</f>
        <v>90000</v>
      </c>
      <c r="BM28" s="82" t="n">
        <f aca="false">SUM(E28:BL28)</f>
        <v>1093300</v>
      </c>
    </row>
    <row r="29" customFormat="false" ht="15" hidden="false" customHeight="false" outlineLevel="0" collapsed="false">
      <c r="A29" s="49" t="s">
        <v>263</v>
      </c>
      <c r="E29" s="79" t="n">
        <f aca="false">INDEX($A$14:$A$19,MIN(6,MATCH(MIN(E26,MAX($A$14:$A$19)),$A$14:$A$19,1)+1))</f>
        <v>100</v>
      </c>
      <c r="F29" s="79" t="n">
        <f aca="false">INDEX($A$14:$A$19,MIN(6,MATCH(MIN(F26,MAX($A$14:$A$19)),$A$14:$A$19,1)+1))</f>
        <v>100</v>
      </c>
      <c r="G29" s="79" t="n">
        <f aca="false">INDEX($A$14:$A$19,MIN(6,MATCH(MIN(G26,MAX($A$14:$A$19)),$A$14:$A$19,1)+1))</f>
        <v>100</v>
      </c>
      <c r="H29" s="79" t="n">
        <f aca="false">INDEX($A$14:$A$19,MIN(6,MATCH(MIN(H26,MAX($A$14:$A$19)),$A$14:$A$19,1)+1))</f>
        <v>100</v>
      </c>
      <c r="I29" s="79" t="n">
        <f aca="false">INDEX($A$14:$A$19,MIN(6,MATCH(MIN(I26,MAX($A$14:$A$19)),$A$14:$A$19,1)+1))</f>
        <v>100</v>
      </c>
      <c r="J29" s="79" t="n">
        <f aca="false">INDEX($A$14:$A$19,MIN(6,MATCH(MIN(J26,MAX($A$14:$A$19)),$A$14:$A$19,1)+1))</f>
        <v>100</v>
      </c>
      <c r="K29" s="79" t="n">
        <f aca="false">INDEX($A$14:$A$19,MIN(6,MATCH(MIN(K26,MAX($A$14:$A$19)),$A$14:$A$19,1)+1))</f>
        <v>100</v>
      </c>
      <c r="L29" s="79" t="n">
        <f aca="false">INDEX($A$14:$A$19,MIN(6,MATCH(MIN(L26,MAX($A$14:$A$19)),$A$14:$A$19,1)+1))</f>
        <v>100</v>
      </c>
      <c r="M29" s="79" t="n">
        <f aca="false">INDEX($A$14:$A$19,MIN(6,MATCH(MIN(M26,MAX($A$14:$A$19)),$A$14:$A$19,1)+1))</f>
        <v>100</v>
      </c>
      <c r="N29" s="79" t="n">
        <f aca="false">INDEX($A$14:$A$19,MIN(6,MATCH(MIN(N26,MAX($A$14:$A$19)),$A$14:$A$19,1)+1))</f>
        <v>100</v>
      </c>
      <c r="O29" s="79" t="n">
        <f aca="false">INDEX($A$14:$A$19,MIN(6,MATCH(MIN(O26,MAX($A$14:$A$19)),$A$14:$A$19,1)+1))</f>
        <v>100</v>
      </c>
      <c r="P29" s="79" t="n">
        <f aca="false">INDEX($A$14:$A$19,MIN(6,MATCH(MIN(P26,MAX($A$14:$A$19)),$A$14:$A$19,1)+1))</f>
        <v>10000</v>
      </c>
      <c r="Q29" s="79" t="n">
        <f aca="false">INDEX($A$14:$A$19,MIN(6,MATCH(MIN(Q26,MAX($A$14:$A$19)),$A$14:$A$19,1)+1))</f>
        <v>10000</v>
      </c>
      <c r="R29" s="79" t="n">
        <f aca="false">INDEX($A$14:$A$19,MIN(6,MATCH(MIN(R26,MAX($A$14:$A$19)),$A$14:$A$19,1)+1))</f>
        <v>10000</v>
      </c>
      <c r="S29" s="79" t="n">
        <f aca="false">INDEX($A$14:$A$19,MIN(6,MATCH(MIN(S26,MAX($A$14:$A$19)),$A$14:$A$19,1)+1))</f>
        <v>10000</v>
      </c>
      <c r="T29" s="79" t="n">
        <f aca="false">INDEX($A$14:$A$19,MIN(6,MATCH(MIN(T26,MAX($A$14:$A$19)),$A$14:$A$19,1)+1))</f>
        <v>10000</v>
      </c>
      <c r="U29" s="79" t="n">
        <f aca="false">INDEX($A$14:$A$19,MIN(6,MATCH(MIN(U26,MAX($A$14:$A$19)),$A$14:$A$19,1)+1))</f>
        <v>100000</v>
      </c>
      <c r="V29" s="79" t="n">
        <f aca="false">INDEX($A$14:$A$19,MIN(6,MATCH(MIN(V26,MAX($A$14:$A$19)),$A$14:$A$19,1)+1))</f>
        <v>100000</v>
      </c>
      <c r="W29" s="79" t="n">
        <f aca="false">INDEX($A$14:$A$19,MIN(6,MATCH(MIN(W26,MAX($A$14:$A$19)),$A$14:$A$19,1)+1))</f>
        <v>100000</v>
      </c>
      <c r="X29" s="79" t="n">
        <f aca="false">INDEX($A$14:$A$19,MIN(6,MATCH(MIN(X26,MAX($A$14:$A$19)),$A$14:$A$19,1)+1))</f>
        <v>100000</v>
      </c>
      <c r="Y29" s="79" t="n">
        <f aca="false">INDEX($A$14:$A$19,MIN(6,MATCH(MIN(Y26,MAX($A$14:$A$19)),$A$14:$A$19,1)+1))</f>
        <v>100000</v>
      </c>
      <c r="Z29" s="79" t="n">
        <f aca="false">INDEX($A$14:$A$19,MIN(6,MATCH(MIN(Z26,MAX($A$14:$A$19)),$A$14:$A$19,1)+1))</f>
        <v>100000</v>
      </c>
      <c r="AA29" s="79" t="n">
        <f aca="false">INDEX($A$14:$A$19,MIN(6,MATCH(MIN(AA26,MAX($A$14:$A$19)),$A$14:$A$19,1)+1))</f>
        <v>100000</v>
      </c>
      <c r="AB29" s="79" t="n">
        <f aca="false">INDEX($A$14:$A$19,MIN(6,MATCH(MIN(AB26,MAX($A$14:$A$19)),$A$14:$A$19,1)+1))</f>
        <v>100000</v>
      </c>
      <c r="AC29" s="79" t="n">
        <f aca="false">INDEX($A$14:$A$19,MIN(6,MATCH(MIN(AC26,MAX($A$14:$A$19)),$A$14:$A$19,1)+1))</f>
        <v>100000</v>
      </c>
      <c r="AD29" s="79" t="n">
        <f aca="false">INDEX($A$14:$A$19,MIN(6,MATCH(MIN(AD26,MAX($A$14:$A$19)),$A$14:$A$19,1)+1))</f>
        <v>100000</v>
      </c>
      <c r="AE29" s="79" t="n">
        <f aca="false">INDEX($A$14:$A$19,MIN(6,MATCH(MIN(AE26,MAX($A$14:$A$19)),$A$14:$A$19,1)+1))</f>
        <v>100000</v>
      </c>
      <c r="AF29" s="79" t="n">
        <f aca="false">INDEX($A$14:$A$19,MIN(6,MATCH(MIN(AF26,MAX($A$14:$A$19)),$A$14:$A$19,1)+1))</f>
        <v>100000</v>
      </c>
      <c r="AG29" s="79" t="n">
        <f aca="false">INDEX($A$14:$A$19,MIN(6,MATCH(MIN(AG26,MAX($A$14:$A$19)),$A$14:$A$19,1)+1))</f>
        <v>100000</v>
      </c>
      <c r="AH29" s="79" t="n">
        <f aca="false">INDEX($A$14:$A$19,MIN(6,MATCH(MIN(AH26,MAX($A$14:$A$19)),$A$14:$A$19,1)+1))</f>
        <v>100000</v>
      </c>
      <c r="AI29" s="79" t="n">
        <f aca="false">INDEX($A$14:$A$19,MIN(6,MATCH(MIN(AI26,MAX($A$14:$A$19)),$A$14:$A$19,1)+1))</f>
        <v>100000</v>
      </c>
      <c r="AJ29" s="79" t="n">
        <f aca="false">INDEX($A$14:$A$19,MIN(6,MATCH(MIN(AJ26,MAX($A$14:$A$19)),$A$14:$A$19,1)+1))</f>
        <v>100000</v>
      </c>
      <c r="AK29" s="79" t="n">
        <f aca="false">INDEX($A$14:$A$19,MIN(6,MATCH(MIN(AK26,MAX($A$14:$A$19)),$A$14:$A$19,1)+1))</f>
        <v>100000</v>
      </c>
      <c r="AL29" s="79" t="n">
        <f aca="false">INDEX($A$14:$A$19,MIN(6,MATCH(MIN(AL26,MAX($A$14:$A$19)),$A$14:$A$19,1)+1))</f>
        <v>100000</v>
      </c>
      <c r="AM29" s="79" t="n">
        <f aca="false">INDEX($A$14:$A$19,MIN(6,MATCH(MIN(AM26,MAX($A$14:$A$19)),$A$14:$A$19,1)+1))</f>
        <v>100000</v>
      </c>
      <c r="AN29" s="79" t="n">
        <f aca="false">INDEX($A$14:$A$19,MIN(6,MATCH(MIN(AN26,MAX($A$14:$A$19)),$A$14:$A$19,1)+1))</f>
        <v>100000</v>
      </c>
      <c r="AO29" s="79" t="n">
        <f aca="false">INDEX($A$14:$A$19,MIN(6,MATCH(MIN(AO26,MAX($A$14:$A$19)),$A$14:$A$19,1)+1))</f>
        <v>100000</v>
      </c>
      <c r="AP29" s="79" t="n">
        <f aca="false">INDEX($A$14:$A$19,MIN(6,MATCH(MIN(AP26,MAX($A$14:$A$19)),$A$14:$A$19,1)+1))</f>
        <v>100000</v>
      </c>
      <c r="AQ29" s="79" t="n">
        <f aca="false">INDEX($A$14:$A$19,MIN(6,MATCH(MIN(AQ26,MAX($A$14:$A$19)),$A$14:$A$19,1)+1))</f>
        <v>100000</v>
      </c>
      <c r="AR29" s="79" t="n">
        <f aca="false">INDEX($A$14:$A$19,MIN(6,MATCH(MIN(AR26,MAX($A$14:$A$19)),$A$14:$A$19,1)+1))</f>
        <v>100000</v>
      </c>
      <c r="AS29" s="79" t="n">
        <f aca="false">INDEX($A$14:$A$19,MIN(6,MATCH(MIN(AS26,MAX($A$14:$A$19)),$A$14:$A$19,1)+1))</f>
        <v>100000</v>
      </c>
      <c r="AT29" s="79" t="n">
        <f aca="false">INDEX($A$14:$A$19,MIN(6,MATCH(MIN(AT26,MAX($A$14:$A$19)),$A$14:$A$19,1)+1))</f>
        <v>100000</v>
      </c>
      <c r="AU29" s="79" t="n">
        <f aca="false">INDEX($A$14:$A$19,MIN(6,MATCH(MIN(AU26,MAX($A$14:$A$19)),$A$14:$A$19,1)+1))</f>
        <v>100000</v>
      </c>
      <c r="AV29" s="79" t="n">
        <f aca="false">INDEX($A$14:$A$19,MIN(6,MATCH(MIN(AV26,MAX($A$14:$A$19)),$A$14:$A$19,1)+1))</f>
        <v>100000</v>
      </c>
      <c r="AW29" s="79" t="n">
        <f aca="false">INDEX($A$14:$A$19,MIN(6,MATCH(MIN(AW26,MAX($A$14:$A$19)),$A$14:$A$19,1)+1))</f>
        <v>100000</v>
      </c>
      <c r="AX29" s="79" t="n">
        <f aca="false">INDEX($A$14:$A$19,MIN(6,MATCH(MIN(AX26,MAX($A$14:$A$19)),$A$14:$A$19,1)+1))</f>
        <v>100000</v>
      </c>
      <c r="AY29" s="79" t="n">
        <f aca="false">INDEX($A$14:$A$19,MIN(6,MATCH(MIN(AY26,MAX($A$14:$A$19)),$A$14:$A$19,1)+1))</f>
        <v>100000</v>
      </c>
      <c r="AZ29" s="79" t="n">
        <f aca="false">INDEX($A$14:$A$19,MIN(6,MATCH(MIN(AZ26,MAX($A$14:$A$19)),$A$14:$A$19,1)+1))</f>
        <v>100000</v>
      </c>
      <c r="BA29" s="79" t="n">
        <f aca="false">INDEX($A$14:$A$19,MIN(6,MATCH(MIN(BA26,MAX($A$14:$A$19)),$A$14:$A$19,1)+1))</f>
        <v>100000</v>
      </c>
      <c r="BB29" s="79" t="n">
        <f aca="false">INDEX($A$14:$A$19,MIN(6,MATCH(MIN(BB26,MAX($A$14:$A$19)),$A$14:$A$19,1)+1))</f>
        <v>100000</v>
      </c>
      <c r="BC29" s="79" t="n">
        <f aca="false">INDEX($A$14:$A$19,MIN(6,MATCH(MIN(BC26,MAX($A$14:$A$19)),$A$14:$A$19,1)+1))</f>
        <v>100000</v>
      </c>
      <c r="BD29" s="79" t="n">
        <f aca="false">INDEX($A$14:$A$19,MIN(6,MATCH(MIN(BD26,MAX($A$14:$A$19)),$A$14:$A$19,1)+1))</f>
        <v>100000</v>
      </c>
      <c r="BE29" s="79" t="n">
        <f aca="false">INDEX($A$14:$A$19,MIN(6,MATCH(MIN(BE26,MAX($A$14:$A$19)),$A$14:$A$19,1)+1))</f>
        <v>100000</v>
      </c>
      <c r="BF29" s="79" t="n">
        <f aca="false">INDEX($A$14:$A$19,MIN(6,MATCH(MIN(BF26,MAX($A$14:$A$19)),$A$14:$A$19,1)+1))</f>
        <v>100000</v>
      </c>
      <c r="BG29" s="79" t="n">
        <f aca="false">INDEX($A$14:$A$19,MIN(6,MATCH(MIN(BG26,MAX($A$14:$A$19)),$A$14:$A$19,1)+1))</f>
        <v>100000</v>
      </c>
      <c r="BH29" s="79" t="n">
        <f aca="false">INDEX($A$14:$A$19,MIN(6,MATCH(MIN(BH26,MAX($A$14:$A$19)),$A$14:$A$19,1)+1))</f>
        <v>1000000</v>
      </c>
      <c r="BI29" s="79" t="n">
        <f aca="false">INDEX($A$14:$A$19,MIN(6,MATCH(MIN(BI26,MAX($A$14:$A$19)),$A$14:$A$19,1)+1))</f>
        <v>1000000</v>
      </c>
      <c r="BJ29" s="79" t="n">
        <f aca="false">INDEX($A$14:$A$19,MIN(6,MATCH(MIN(BJ26,MAX($A$14:$A$19)),$A$14:$A$19,1)+1))</f>
        <v>1000000</v>
      </c>
      <c r="BK29" s="79" t="n">
        <f aca="false">INDEX($A$14:$A$19,MIN(6,MATCH(MIN(BK26,MAX($A$14:$A$19)),$A$14:$A$19,1)+1))</f>
        <v>1000000</v>
      </c>
      <c r="BL29" s="79" t="n">
        <f aca="false">INDEX($A$14:$A$19,MIN(6,MATCH(MIN(BL26,MAX($A$14:$A$19)),$A$14:$A$19,1)+1))</f>
        <v>1000000</v>
      </c>
      <c r="BM29" s="72" t="n">
        <f aca="false">BL29</f>
        <v>1000000</v>
      </c>
    </row>
    <row r="30" customFormat="false" ht="15" hidden="false" customHeight="false" outlineLevel="0" collapsed="false">
      <c r="A30" s="49" t="s">
        <v>264</v>
      </c>
      <c r="E30" s="87" t="n">
        <f aca="false">INDEX($B$14:$B$19,MIN(6,MATCH(MIN(E26,MAX($A$14:$A$19)),$A$14:$A$19,1)+1))</f>
        <v>640</v>
      </c>
      <c r="F30" s="87" t="n">
        <f aca="false">INDEX($B$14:$B$19,MIN(6,MATCH(MIN(F26,MAX($A$14:$A$19)),$A$14:$A$19,1)+1))</f>
        <v>640</v>
      </c>
      <c r="G30" s="87" t="n">
        <f aca="false">INDEX($B$14:$B$19,MIN(6,MATCH(MIN(G26,MAX($A$14:$A$19)),$A$14:$A$19,1)+1))</f>
        <v>640</v>
      </c>
      <c r="H30" s="87" t="n">
        <f aca="false">INDEX($B$14:$B$19,MIN(6,MATCH(MIN(H26,MAX($A$14:$A$19)),$A$14:$A$19,1)+1))</f>
        <v>640</v>
      </c>
      <c r="I30" s="87" t="n">
        <f aca="false">INDEX($B$14:$B$19,MIN(6,MATCH(MIN(I26,MAX($A$14:$A$19)),$A$14:$A$19,1)+1))</f>
        <v>640</v>
      </c>
      <c r="J30" s="87" t="n">
        <f aca="false">INDEX($B$14:$B$19,MIN(6,MATCH(MIN(J26,MAX($A$14:$A$19)),$A$14:$A$19,1)+1))</f>
        <v>640</v>
      </c>
      <c r="K30" s="87" t="n">
        <f aca="false">INDEX($B$14:$B$19,MIN(6,MATCH(MIN(K26,MAX($A$14:$A$19)),$A$14:$A$19,1)+1))</f>
        <v>640</v>
      </c>
      <c r="L30" s="87" t="n">
        <f aca="false">INDEX($B$14:$B$19,MIN(6,MATCH(MIN(L26,MAX($A$14:$A$19)),$A$14:$A$19,1)+1))</f>
        <v>640</v>
      </c>
      <c r="M30" s="87" t="n">
        <f aca="false">INDEX($B$14:$B$19,MIN(6,MATCH(MIN(M26,MAX($A$14:$A$19)),$A$14:$A$19,1)+1))</f>
        <v>640</v>
      </c>
      <c r="N30" s="87" t="n">
        <f aca="false">INDEX($B$14:$B$19,MIN(6,MATCH(MIN(N26,MAX($A$14:$A$19)),$A$14:$A$19,1)+1))</f>
        <v>640</v>
      </c>
      <c r="O30" s="87" t="n">
        <f aca="false">INDEX($B$14:$B$19,MIN(6,MATCH(MIN(O26,MAX($A$14:$A$19)),$A$14:$A$19,1)+1))</f>
        <v>640</v>
      </c>
      <c r="P30" s="87" t="n">
        <f aca="false">INDEX($B$14:$B$19,MIN(6,MATCH(MIN(P26,MAX($A$14:$A$19)),$A$14:$A$19,1)+1))</f>
        <v>16000</v>
      </c>
      <c r="Q30" s="87" t="n">
        <f aca="false">INDEX($B$14:$B$19,MIN(6,MATCH(MIN(Q26,MAX($A$14:$A$19)),$A$14:$A$19,1)+1))</f>
        <v>16000</v>
      </c>
      <c r="R30" s="87" t="n">
        <f aca="false">INDEX($B$14:$B$19,MIN(6,MATCH(MIN(R26,MAX($A$14:$A$19)),$A$14:$A$19,1)+1))</f>
        <v>16000</v>
      </c>
      <c r="S30" s="87" t="n">
        <f aca="false">INDEX($B$14:$B$19,MIN(6,MATCH(MIN(S26,MAX($A$14:$A$19)),$A$14:$A$19,1)+1))</f>
        <v>16000</v>
      </c>
      <c r="T30" s="87" t="n">
        <f aca="false">INDEX($B$14:$B$19,MIN(6,MATCH(MIN(T26,MAX($A$14:$A$19)),$A$14:$A$19,1)+1))</f>
        <v>16000</v>
      </c>
      <c r="U30" s="87" t="n">
        <f aca="false">INDEX($B$14:$B$19,MIN(6,MATCH(MIN(U26,MAX($A$14:$A$19)),$A$14:$A$19,1)+1))</f>
        <v>90000</v>
      </c>
      <c r="V30" s="87" t="n">
        <f aca="false">INDEX($B$14:$B$19,MIN(6,MATCH(MIN(V26,MAX($A$14:$A$19)),$A$14:$A$19,1)+1))</f>
        <v>90000</v>
      </c>
      <c r="W30" s="87" t="n">
        <f aca="false">INDEX($B$14:$B$19,MIN(6,MATCH(MIN(W26,MAX($A$14:$A$19)),$A$14:$A$19,1)+1))</f>
        <v>90000</v>
      </c>
      <c r="X30" s="87" t="n">
        <f aca="false">INDEX($B$14:$B$19,MIN(6,MATCH(MIN(X26,MAX($A$14:$A$19)),$A$14:$A$19,1)+1))</f>
        <v>90000</v>
      </c>
      <c r="Y30" s="87" t="n">
        <f aca="false">INDEX($B$14:$B$19,MIN(6,MATCH(MIN(Y26,MAX($A$14:$A$19)),$A$14:$A$19,1)+1))</f>
        <v>90000</v>
      </c>
      <c r="Z30" s="87" t="n">
        <f aca="false">INDEX($B$14:$B$19,MIN(6,MATCH(MIN(Z26,MAX($A$14:$A$19)),$A$14:$A$19,1)+1))</f>
        <v>90000</v>
      </c>
      <c r="AA30" s="87" t="n">
        <f aca="false">INDEX($B$14:$B$19,MIN(6,MATCH(MIN(AA26,MAX($A$14:$A$19)),$A$14:$A$19,1)+1))</f>
        <v>90000</v>
      </c>
      <c r="AB30" s="87" t="n">
        <f aca="false">INDEX($B$14:$B$19,MIN(6,MATCH(MIN(AB26,MAX($A$14:$A$19)),$A$14:$A$19,1)+1))</f>
        <v>90000</v>
      </c>
      <c r="AC30" s="87" t="n">
        <f aca="false">INDEX($B$14:$B$19,MIN(6,MATCH(MIN(AC26,MAX($A$14:$A$19)),$A$14:$A$19,1)+1))</f>
        <v>90000</v>
      </c>
      <c r="AD30" s="87" t="n">
        <f aca="false">INDEX($B$14:$B$19,MIN(6,MATCH(MIN(AD26,MAX($A$14:$A$19)),$A$14:$A$19,1)+1))</f>
        <v>90000</v>
      </c>
      <c r="AE30" s="87" t="n">
        <f aca="false">INDEX($B$14:$B$19,MIN(6,MATCH(MIN(AE26,MAX($A$14:$A$19)),$A$14:$A$19,1)+1))</f>
        <v>90000</v>
      </c>
      <c r="AF30" s="87" t="n">
        <f aca="false">INDEX($B$14:$B$19,MIN(6,MATCH(MIN(AF26,MAX($A$14:$A$19)),$A$14:$A$19,1)+1))</f>
        <v>90000</v>
      </c>
      <c r="AG30" s="87" t="n">
        <f aca="false">INDEX($B$14:$B$19,MIN(6,MATCH(MIN(AG26,MAX($A$14:$A$19)),$A$14:$A$19,1)+1))</f>
        <v>90000</v>
      </c>
      <c r="AH30" s="87" t="n">
        <f aca="false">INDEX($B$14:$B$19,MIN(6,MATCH(MIN(AH26,MAX($A$14:$A$19)),$A$14:$A$19,1)+1))</f>
        <v>90000</v>
      </c>
      <c r="AI30" s="87" t="n">
        <f aca="false">INDEX($B$14:$B$19,MIN(6,MATCH(MIN(AI26,MAX($A$14:$A$19)),$A$14:$A$19,1)+1))</f>
        <v>90000</v>
      </c>
      <c r="AJ30" s="87" t="n">
        <f aca="false">INDEX($B$14:$B$19,MIN(6,MATCH(MIN(AJ26,MAX($A$14:$A$19)),$A$14:$A$19,1)+1))</f>
        <v>90000</v>
      </c>
      <c r="AK30" s="87" t="n">
        <f aca="false">INDEX($B$14:$B$19,MIN(6,MATCH(MIN(AK26,MAX($A$14:$A$19)),$A$14:$A$19,1)+1))</f>
        <v>90000</v>
      </c>
      <c r="AL30" s="87" t="n">
        <f aca="false">INDEX($B$14:$B$19,MIN(6,MATCH(MIN(AL26,MAX($A$14:$A$19)),$A$14:$A$19,1)+1))</f>
        <v>90000</v>
      </c>
      <c r="AM30" s="87" t="n">
        <f aca="false">INDEX($B$14:$B$19,MIN(6,MATCH(MIN(AM26,MAX($A$14:$A$19)),$A$14:$A$19,1)+1))</f>
        <v>90000</v>
      </c>
      <c r="AN30" s="87" t="n">
        <f aca="false">INDEX($B$14:$B$19,MIN(6,MATCH(MIN(AN26,MAX($A$14:$A$19)),$A$14:$A$19,1)+1))</f>
        <v>90000</v>
      </c>
      <c r="AO30" s="87" t="n">
        <f aca="false">INDEX($B$14:$B$19,MIN(6,MATCH(MIN(AO26,MAX($A$14:$A$19)),$A$14:$A$19,1)+1))</f>
        <v>90000</v>
      </c>
      <c r="AP30" s="87" t="n">
        <f aca="false">INDEX($B$14:$B$19,MIN(6,MATCH(MIN(AP26,MAX($A$14:$A$19)),$A$14:$A$19,1)+1))</f>
        <v>90000</v>
      </c>
      <c r="AQ30" s="87" t="n">
        <f aca="false">INDEX($B$14:$B$19,MIN(6,MATCH(MIN(AQ26,MAX($A$14:$A$19)),$A$14:$A$19,1)+1))</f>
        <v>90000</v>
      </c>
      <c r="AR30" s="87" t="n">
        <f aca="false">INDEX($B$14:$B$19,MIN(6,MATCH(MIN(AR26,MAX($A$14:$A$19)),$A$14:$A$19,1)+1))</f>
        <v>90000</v>
      </c>
      <c r="AS30" s="87" t="n">
        <f aca="false">INDEX($B$14:$B$19,MIN(6,MATCH(MIN(AS26,MAX($A$14:$A$19)),$A$14:$A$19,1)+1))</f>
        <v>90000</v>
      </c>
      <c r="AT30" s="87" t="n">
        <f aca="false">INDEX($B$14:$B$19,MIN(6,MATCH(MIN(AT26,MAX($A$14:$A$19)),$A$14:$A$19,1)+1))</f>
        <v>90000</v>
      </c>
      <c r="AU30" s="87" t="n">
        <f aca="false">INDEX($B$14:$B$19,MIN(6,MATCH(MIN(AU26,MAX($A$14:$A$19)),$A$14:$A$19,1)+1))</f>
        <v>90000</v>
      </c>
      <c r="AV30" s="87" t="n">
        <f aca="false">INDEX($B$14:$B$19,MIN(6,MATCH(MIN(AV26,MAX($A$14:$A$19)),$A$14:$A$19,1)+1))</f>
        <v>90000</v>
      </c>
      <c r="AW30" s="87" t="n">
        <f aca="false">INDEX($B$14:$B$19,MIN(6,MATCH(MIN(AW26,MAX($A$14:$A$19)),$A$14:$A$19,1)+1))</f>
        <v>90000</v>
      </c>
      <c r="AX30" s="87" t="n">
        <f aca="false">INDEX($B$14:$B$19,MIN(6,MATCH(MIN(AX26,MAX($A$14:$A$19)),$A$14:$A$19,1)+1))</f>
        <v>90000</v>
      </c>
      <c r="AY30" s="87" t="n">
        <f aca="false">INDEX($B$14:$B$19,MIN(6,MATCH(MIN(AY26,MAX($A$14:$A$19)),$A$14:$A$19,1)+1))</f>
        <v>90000</v>
      </c>
      <c r="AZ30" s="87" t="n">
        <f aca="false">INDEX($B$14:$B$19,MIN(6,MATCH(MIN(AZ26,MAX($A$14:$A$19)),$A$14:$A$19,1)+1))</f>
        <v>90000</v>
      </c>
      <c r="BA30" s="87" t="n">
        <f aca="false">INDEX($B$14:$B$19,MIN(6,MATCH(MIN(BA26,MAX($A$14:$A$19)),$A$14:$A$19,1)+1))</f>
        <v>90000</v>
      </c>
      <c r="BB30" s="87" t="n">
        <f aca="false">INDEX($B$14:$B$19,MIN(6,MATCH(MIN(BB26,MAX($A$14:$A$19)),$A$14:$A$19,1)+1))</f>
        <v>90000</v>
      </c>
      <c r="BC30" s="87" t="n">
        <f aca="false">INDEX($B$14:$B$19,MIN(6,MATCH(MIN(BC26,MAX($A$14:$A$19)),$A$14:$A$19,1)+1))</f>
        <v>90000</v>
      </c>
      <c r="BD30" s="87" t="n">
        <f aca="false">INDEX($B$14:$B$19,MIN(6,MATCH(MIN(BD26,MAX($A$14:$A$19)),$A$14:$A$19,1)+1))</f>
        <v>90000</v>
      </c>
      <c r="BE30" s="87" t="n">
        <f aca="false">INDEX($B$14:$B$19,MIN(6,MATCH(MIN(BE26,MAX($A$14:$A$19)),$A$14:$A$19,1)+1))</f>
        <v>90000</v>
      </c>
      <c r="BF30" s="87" t="n">
        <f aca="false">INDEX($B$14:$B$19,MIN(6,MATCH(MIN(BF26,MAX($A$14:$A$19)),$A$14:$A$19,1)+1))</f>
        <v>90000</v>
      </c>
      <c r="BG30" s="87" t="n">
        <f aca="false">INDEX($B$14:$B$19,MIN(6,MATCH(MIN(BG26,MAX($A$14:$A$19)),$A$14:$A$19,1)+1))</f>
        <v>90000</v>
      </c>
      <c r="BH30" s="87" t="n">
        <f aca="false">INDEX($B$14:$B$19,MIN(6,MATCH(MIN(BH26,MAX($A$14:$A$19)),$A$14:$A$19,1)+1))</f>
        <v>550000</v>
      </c>
      <c r="BI30" s="87" t="n">
        <f aca="false">INDEX($B$14:$B$19,MIN(6,MATCH(MIN(BI26,MAX($A$14:$A$19)),$A$14:$A$19,1)+1))</f>
        <v>550000</v>
      </c>
      <c r="BJ30" s="87" t="n">
        <f aca="false">INDEX($B$14:$B$19,MIN(6,MATCH(MIN(BJ26,MAX($A$14:$A$19)),$A$14:$A$19,1)+1))</f>
        <v>550000</v>
      </c>
      <c r="BK30" s="87" t="n">
        <f aca="false">INDEX($B$14:$B$19,MIN(6,MATCH(MIN(BK26,MAX($A$14:$A$19)),$A$14:$A$19,1)+1))</f>
        <v>550000</v>
      </c>
      <c r="BL30" s="87" t="n">
        <f aca="false">INDEX($B$14:$B$19,MIN(6,MATCH(MIN(BL26,MAX($A$14:$A$19)),$A$14:$A$19,1)+1))</f>
        <v>550000</v>
      </c>
      <c r="BM30" s="82" t="n">
        <f aca="false">SUM(E30:BL30)</f>
        <v>6347040</v>
      </c>
    </row>
    <row r="31" customFormat="false" ht="19.4" hidden="false" customHeight="false" outlineLevel="0" collapsed="false">
      <c r="A31" s="63" t="s">
        <v>265</v>
      </c>
      <c r="E31" s="82" t="n">
        <f aca="false">IF(E$5&lt;$B$10,0,IF(E26&lt;=0,E28,IF(E29&lt;=E27,E30/MAX(1,E29)*E26,E28+(E26-E27)*(E30-E28)/(E29-E27))))</f>
        <v>0</v>
      </c>
      <c r="F31" s="82" t="n">
        <f aca="false">IF(F$5&lt;$B$10,0,IF(F26&lt;=0,F28,IF(F29&lt;=F27,F30/MAX(1,F29)*F26,F28+(F26-F27)*(F30-F28)/(F29-F27))))</f>
        <v>0</v>
      </c>
      <c r="G31" s="82" t="n">
        <f aca="false">IF(G$5&lt;$B$10,0,IF(G26&lt;=0,G28,IF(G29&lt;=G27,G30/MAX(1,G29)*G26,G28+(G26-G27)*(G30-G28)/(G29-G27))))</f>
        <v>0</v>
      </c>
      <c r="H31" s="82" t="n">
        <f aca="false">IF(H$5&lt;$B$10,0,IF(H26&lt;=0,H28,IF(H29&lt;=H27,H30/MAX(1,H29)*H26,H28+(H26-H27)*(H30-H28)/(H29-H27))))</f>
        <v>0</v>
      </c>
      <c r="I31" s="82" t="n">
        <f aca="false">IF(I$5&lt;$B$10,0,IF(I26&lt;=0,I28,IF(I29&lt;=I27,I30/MAX(1,I29)*I26,I28+(I26-I27)*(I30-I28)/(I29-I27))))</f>
        <v>0</v>
      </c>
      <c r="J31" s="82" t="n">
        <f aca="false">IF(J$5&lt;$B$10,0,IF(J26&lt;=0,J28,IF(J29&lt;=J27,J30/MAX(1,J29)*J26,J28+(J26-J27)*(J30-J28)/(J29-J27))))</f>
        <v>0</v>
      </c>
      <c r="K31" s="82" t="n">
        <f aca="false">IF(K$5&lt;$B$10,0,IF(K26&lt;=0,K28,IF(K29&lt;=K27,K30/MAX(1,K29)*K26,K28+(K26-K27)*(K30-K28)/(K29-K27))))</f>
        <v>0</v>
      </c>
      <c r="L31" s="82" t="n">
        <f aca="false">IF(L$5&lt;$B$10,0,IF(L26&lt;=0,L28,IF(L29&lt;=L27,L30/MAX(1,L29)*L26,L28+(L26-L27)*(L30-L28)/(L29-L27))))</f>
        <v>0</v>
      </c>
      <c r="M31" s="82" t="n">
        <f aca="false">IF(M$5&lt;$B$10,0,IF(M26&lt;=0,M28,IF(M29&lt;=M27,M30/MAX(1,M29)*M26,M28+(M26-M27)*(M30-M28)/(M29-M27))))</f>
        <v>300</v>
      </c>
      <c r="N31" s="82" t="n">
        <f aca="false">IF(N$5&lt;$B$10,0,IF(N26&lt;=0,N28,IF(N29&lt;=N27,N30/MAX(1,N29)*N26,N28+(N26-N27)*(N30-N28)/(N29-N27))))</f>
        <v>300</v>
      </c>
      <c r="O31" s="82" t="n">
        <f aca="false">IF(O$5&lt;$B$10,0,IF(O26&lt;=0,O28,IF(O29&lt;=O27,O30/MAX(1,O29)*O26,O28+(O26-O27)*(O30-O28)/(O29-O27))))</f>
        <v>300</v>
      </c>
      <c r="P31" s="82" t="n">
        <f aca="false">IF(P$5&lt;$B$10,0,IF(P26&lt;=0,P28,IF(P29&lt;=P27,P30/MAX(1,P29)*P26,P28+(P26-P27)*(P30-P28)/(P29-P27))))</f>
        <v>4468.62222222222</v>
      </c>
      <c r="Q31" s="82" t="n">
        <f aca="false">IF(Q$5&lt;$B$10,0,IF(Q26&lt;=0,Q28,IF(Q29&lt;=Q27,Q30/MAX(1,Q29)*Q26,Q28+(Q26-Q27)*(Q30-Q28)/(Q29-Q27))))</f>
        <v>7044.26666666667</v>
      </c>
      <c r="R31" s="82" t="n">
        <f aca="false">IF(R$5&lt;$B$10,0,IF(R26&lt;=0,R28,IF(R29&lt;=R27,R30/MAX(1,R29)*R26,R28+(R26-R27)*(R30-R28)/(R29-R27))))</f>
        <v>9521.77777777778</v>
      </c>
      <c r="S31" s="82" t="n">
        <f aca="false">IF(S$5&lt;$B$10,0,IF(S26&lt;=0,S28,IF(S29&lt;=S27,S30/MAX(1,S29)*S26,S28+(S26-S27)*(S30-S28)/(S29-S27))))</f>
        <v>11915.3777777778</v>
      </c>
      <c r="T31" s="82" t="n">
        <f aca="false">IF(T$5&lt;$B$10,0,IF(T26&lt;=0,T28,IF(T29&lt;=T27,T30/MAX(1,T29)*T26,T28+(T26-T27)*(T30-T28)/(T29-T27))))</f>
        <v>14236.4444444444</v>
      </c>
      <c r="U31" s="82" t="n">
        <f aca="false">IF(U$5&lt;$B$10,0,IF(U26&lt;=0,U28,IF(U29&lt;=U27,U30/MAX(1,U29)*U26,U28+(U26-U27)*(U30-U28)/(U29-U27))))</f>
        <v>16286.9555555556</v>
      </c>
      <c r="V31" s="82" t="n">
        <f aca="false">IF(V$5&lt;$B$10,0,IF(V26&lt;=0,V28,IF(V29&lt;=V27,V30/MAX(1,V29)*V26,V28+(V26-V27)*(V30-V28)/(V29-V27))))</f>
        <v>17564.6888888889</v>
      </c>
      <c r="W31" s="82" t="n">
        <f aca="false">IF(W$5&lt;$B$10,0,IF(W26&lt;=0,W28,IF(W29&lt;=W27,W30/MAX(1,W29)*W26,W28+(W26-W27)*(W30-W28)/(W29-W27))))</f>
        <v>18820.2222222222</v>
      </c>
      <c r="X31" s="82" t="n">
        <f aca="false">IF(X$5&lt;$B$10,0,IF(X26&lt;=0,X28,IF(X29&lt;=X27,X30/MAX(1,X29)*X26,X28+(X26-X27)*(X30-X28)/(X29-X27))))</f>
        <v>20059.3111111111</v>
      </c>
      <c r="Y31" s="82" t="n">
        <f aca="false">IF(Y$5&lt;$B$10,0,IF(Y26&lt;=0,Y28,IF(Y29&lt;=Y27,Y30/MAX(1,Y29)*Y26,Y28+(Y26-Y27)*(Y30-Y28)/(Y29-Y27))))</f>
        <v>21286.0666666667</v>
      </c>
      <c r="Z31" s="82" t="n">
        <f aca="false">IF(Z$5&lt;$B$10,0,IF(Z26&lt;=0,Z28,IF(Z29&lt;=Z27,Z30/MAX(1,Z29)*Z26,Z28+(Z26-Z27)*(Z30-Z28)/(Z29-Z27))))</f>
        <v>22505.4222222222</v>
      </c>
      <c r="AA31" s="82" t="n">
        <f aca="false">IF(AA$5&lt;$B$10,0,IF(AA26&lt;=0,AA28,IF(AA29&lt;=AA27,AA30/MAX(1,AA29)*AA26,AA28+(AA26-AA27)*(AA30-AA28)/(AA29-AA27))))</f>
        <v>23723.1333333333</v>
      </c>
      <c r="AB31" s="82" t="n">
        <f aca="false">IF(AB$5&lt;$B$10,0,IF(AB26&lt;=0,AB28,IF(AB29&lt;=AB27,AB30/MAX(1,AB29)*AB26,AB28+(AB26-AB27)*(AB30-AB28)/(AB29-AB27))))</f>
        <v>24943.3111111111</v>
      </c>
      <c r="AC31" s="82" t="n">
        <f aca="false">IF(AC$5&lt;$B$10,0,IF(AC26&lt;=0,AC28,IF(AC29&lt;=AC27,AC30/MAX(1,AC29)*AC26,AC28+(AC26-AC27)*(AC30-AC28)/(AC29-AC27))))</f>
        <v>26169.2444444444</v>
      </c>
      <c r="AD31" s="82" t="n">
        <f aca="false">IF(AD$5&lt;$B$10,0,IF(AD26&lt;=0,AD28,IF(AD29&lt;=AD27,AD30/MAX(1,AD29)*AD26,AD28+(AD26-AD27)*(AD30-AD28)/(AD29-AD27))))</f>
        <v>27407.5111111111</v>
      </c>
      <c r="AE31" s="82" t="n">
        <f aca="false">IF(AE$5&lt;$B$10,0,IF(AE26&lt;=0,AE28,IF(AE29&lt;=AE27,AE30/MAX(1,AE29)*AE26,AE28+(AE26-AE27)*(AE30-AE28)/(AE29-AE27))))</f>
        <v>28660.5777777778</v>
      </c>
      <c r="AF31" s="82" t="n">
        <f aca="false">IF(AF$5&lt;$B$10,0,IF(AF26&lt;=0,AF28,IF(AF29&lt;=AF27,AF30/MAX(1,AF29)*AF26,AF28+(AF26-AF27)*(AF30-AF28)/(AF29-AF27))))</f>
        <v>29930.9111111111</v>
      </c>
      <c r="AG31" s="82" t="n">
        <f aca="false">IF(AG$5&lt;$B$10,0,IF(AG26&lt;=0,AG28,IF(AG29&lt;=AG27,AG30/MAX(1,AG29)*AG26,AG28+(AG26-AG27)*(AG30-AG28)/(AG29-AG27))))</f>
        <v>31225.9111111111</v>
      </c>
      <c r="AH31" s="82" t="n">
        <f aca="false">IF(AH$5&lt;$B$10,0,IF(AH26&lt;=0,AH28,IF(AH29&lt;=AH27,AH30/MAX(1,AH29)*AH26,AH28+(AH26-AH27)*(AH30-AH28)/(AH29-AH27))))</f>
        <v>32545.5777777778</v>
      </c>
      <c r="AI31" s="82" t="n">
        <f aca="false">IF(AI$5&lt;$B$10,0,IF(AI26&lt;=0,AI28,IF(AI29&lt;=AI27,AI30/MAX(1,AI29)*AI26,AI28+(AI26-AI27)*(AI30-AI28)/(AI29-AI27))))</f>
        <v>33896.4888888889</v>
      </c>
      <c r="AJ31" s="82" t="n">
        <f aca="false">IF(AJ$5&lt;$B$10,0,IF(AJ26&lt;=0,AJ28,IF(AJ29&lt;=AJ27,AJ30/MAX(1,AJ29)*AJ26,AJ28+(AJ26-AJ27)*(AJ30-AJ28)/(AJ29-AJ27))))</f>
        <v>35281.1111111111</v>
      </c>
      <c r="AK31" s="82" t="n">
        <f aca="false">IF(AK$5&lt;$B$10,0,IF(AK26&lt;=0,AK28,IF(AK29&lt;=AK27,AK30/MAX(1,AK29)*AK26,AK28+(AK26-AK27)*(AK30-AK28)/(AK29-AK27))))</f>
        <v>36703.5555555556</v>
      </c>
      <c r="AL31" s="82" t="n">
        <f aca="false">IF(AL$5&lt;$B$10,0,IF(AL26&lt;=0,AL28,IF(AL29&lt;=AL27,AL30/MAX(1,AL29)*AL26,AL28+(AL26-AL27)*(AL30-AL28)/(AL29-AL27))))</f>
        <v>38167.9333333333</v>
      </c>
      <c r="AM31" s="82" t="n">
        <f aca="false">IF(AM$5&lt;$B$10,0,IF(AM26&lt;=0,AM28,IF(AM29&lt;=AM27,AM30/MAX(1,AM29)*AM26,AM28+(AM26-AM27)*(AM30-AM28)/(AM29-AM27))))</f>
        <v>39677.5333333333</v>
      </c>
      <c r="AN31" s="82" t="n">
        <f aca="false">IF(AN$5&lt;$B$10,0,IF(AN26&lt;=0,AN28,IF(AN29&lt;=AN27,AN30/MAX(1,AN29)*AN26,AN28+(AN26-AN27)*(AN30-AN28)/(AN29-AN27))))</f>
        <v>41235.6444444445</v>
      </c>
      <c r="AO31" s="82" t="n">
        <f aca="false">IF(AO$5&lt;$B$10,0,IF(AO26&lt;=0,AO28,IF(AO29&lt;=AO27,AO30/MAX(1,AO29)*AO26,AO28+(AO26-AO27)*(AO30-AO28)/(AO29-AO27))))</f>
        <v>42848.0222222222</v>
      </c>
      <c r="AP31" s="82" t="n">
        <f aca="false">IF(AP$5&lt;$B$10,0,IF(AP26&lt;=0,AP28,IF(AP29&lt;=AP27,AP30/MAX(1,AP29)*AP26,AP28+(AP26-AP27)*(AP30-AP28)/(AP29-AP27))))</f>
        <v>44517.1333333333</v>
      </c>
      <c r="AQ31" s="82" t="n">
        <f aca="false">IF(AQ$5&lt;$B$10,0,IF(AQ26&lt;=0,AQ28,IF(AQ29&lt;=AQ27,AQ30/MAX(1,AQ29)*AQ26,AQ28+(AQ26-AQ27)*(AQ30-AQ28)/(AQ29-AQ27))))</f>
        <v>46248.7333333333</v>
      </c>
      <c r="AR31" s="82" t="n">
        <f aca="false">IF(AR$5&lt;$B$10,0,IF(AR26&lt;=0,AR28,IF(AR29&lt;=AR27,AR30/MAX(1,AR29)*AR26,AR28+(AR26-AR27)*(AR30-AR28)/(AR29-AR27))))</f>
        <v>48046.1111111111</v>
      </c>
      <c r="AS31" s="82" t="n">
        <f aca="false">IF(AS$5&lt;$B$10,0,IF(AS26&lt;=0,AS28,IF(AS29&lt;=AS27,AS30/MAX(1,AS29)*AS26,AS28+(AS26-AS27)*(AS30-AS28)/(AS29-AS27))))</f>
        <v>49914.2</v>
      </c>
      <c r="AT31" s="82" t="n">
        <f aca="false">IF(AT$5&lt;$B$10,0,IF(AT26&lt;=0,AT28,IF(AT29&lt;=AT27,AT30/MAX(1,AT29)*AT26,AT28+(AT26-AT27)*(AT30-AT28)/(AT29-AT27))))</f>
        <v>51857.1111111111</v>
      </c>
      <c r="AU31" s="82" t="n">
        <f aca="false">IF(AU$5&lt;$B$10,0,IF(AU26&lt;=0,AU28,IF(AU29&lt;=AU27,AU30/MAX(1,AU29)*AU26,AU28+(AU26-AU27)*(AU30-AU28)/(AU29-AU27))))</f>
        <v>53878.9555555556</v>
      </c>
      <c r="AV31" s="82" t="n">
        <f aca="false">IF(AV$5&lt;$B$10,0,IF(AV26&lt;=0,AV28,IF(AV29&lt;=AV27,AV30/MAX(1,AV29)*AV26,AV28+(AV26-AV27)*(AV30-AV28)/(AV29-AV27))))</f>
        <v>55987.1333333333</v>
      </c>
      <c r="AW31" s="82" t="n">
        <f aca="false">IF(AW$5&lt;$B$10,0,IF(AW26&lt;=0,AW28,IF(AW29&lt;=AW27,AW30/MAX(1,AW29)*AW26,AW28+(AW26-AW27)*(AW30-AW28)/(AW29-AW27))))</f>
        <v>58186.5777777778</v>
      </c>
      <c r="AX31" s="82" t="n">
        <f aca="false">IF(AX$5&lt;$B$10,0,IF(AX26&lt;=0,AX28,IF(AX29&lt;=AX27,AX30/MAX(1,AX29)*AX26,AX28+(AX26-AX27)*(AX30-AX28)/(AX29-AX27))))</f>
        <v>60481.4</v>
      </c>
      <c r="AY31" s="82" t="n">
        <f aca="false">IF(AY$5&lt;$B$10,0,IF(AY26&lt;=0,AY28,IF(AY29&lt;=AY27,AY30/MAX(1,AY29)*AY26,AY28+(AY26-AY27)*(AY30-AY28)/(AY29-AY27))))</f>
        <v>62877.3555555556</v>
      </c>
      <c r="AZ31" s="82" t="n">
        <f aca="false">IF(AZ$5&lt;$B$10,0,IF(AZ26&lt;=0,AZ28,IF(AZ29&lt;=AZ27,AZ30/MAX(1,AZ29)*AZ26,AZ28+(AZ26-AZ27)*(AZ30-AZ28)/(AZ29-AZ27))))</f>
        <v>65382.6666666667</v>
      </c>
      <c r="BA31" s="82" t="n">
        <f aca="false">IF(BA$5&lt;$B$10,0,IF(BA26&lt;=0,BA28,IF(BA29&lt;=BA27,BA30/MAX(1,BA29)*BA26,BA28+(BA26-BA27)*(BA30-BA28)/(BA29-BA27))))</f>
        <v>68003.0888888889</v>
      </c>
      <c r="BB31" s="82" t="n">
        <f aca="false">IF(BB$5&lt;$B$10,0,IF(BB26&lt;=0,BB28,IF(BB29&lt;=BB27,BB30/MAX(1,BB29)*BB26,BB28+(BB26-BB27)*(BB30-BB28)/(BB29-BB27))))</f>
        <v>70744.3777777778</v>
      </c>
      <c r="BC31" s="82" t="n">
        <f aca="false">IF(BC$5&lt;$B$10,0,IF(BC26&lt;=0,BC28,IF(BC29&lt;=BC27,BC30/MAX(1,BC29)*BC26,BC28+(BC26-BC27)*(BC30-BC28)/(BC29-BC27))))</f>
        <v>73613.9333333333</v>
      </c>
      <c r="BD31" s="82" t="n">
        <f aca="false">IF(BD$5&lt;$B$10,0,IF(BD26&lt;=0,BD28,IF(BD29&lt;=BD27,BD30/MAX(1,BD29)*BD26,BD28+(BD26-BD27)*(BD30-BD28)/(BD29-BD27))))</f>
        <v>76620.8</v>
      </c>
      <c r="BE31" s="82" t="n">
        <f aca="false">IF(BE$5&lt;$B$10,0,IF(BE26&lt;=0,BE28,IF(BE29&lt;=BE27,BE30/MAX(1,BE29)*BE26,BE28+(BE26-BE27)*(BE30-BE28)/(BE29-BE27))))</f>
        <v>79772.3777777778</v>
      </c>
      <c r="BF31" s="82" t="n">
        <f aca="false">IF(BF$5&lt;$B$10,0,IF(BF26&lt;=0,BF28,IF(BF29&lt;=BF27,BF30/MAX(1,BF29)*BF26,BF28+(BF26-BF27)*(BF30-BF28)/(BF29-BF27))))</f>
        <v>83077.7111111111</v>
      </c>
      <c r="BG31" s="82" t="n">
        <f aca="false">IF(BG$5&lt;$B$10,0,IF(BG26&lt;=0,BG28,IF(BG29&lt;=BG27,BG30/MAX(1,BG29)*BG26,BG28+(BG26-BG27)*(BG30-BG28)/(BG29-BG27))))</f>
        <v>86545.0222222222</v>
      </c>
      <c r="BH31" s="82" t="n">
        <f aca="false">IF(BH$5&lt;$B$10,0,IF(BH26&lt;=0,BH28,IF(BH29&lt;=BH27,BH30/MAX(1,BH29)*BH26,BH28+(BH26-BH27)*(BH30-BH28)/(BH29-BH27))))</f>
        <v>90115</v>
      </c>
      <c r="BI31" s="82" t="n">
        <f aca="false">IF(BI$5&lt;$B$10,0,IF(BI26&lt;=0,BI28,IF(BI29&lt;=BI27,BI30/MAX(1,BI29)*BI26,BI28+(BI26-BI27)*(BI30-BI28)/(BI29-BI27))))</f>
        <v>92491.1555555556</v>
      </c>
      <c r="BJ31" s="82" t="n">
        <f aca="false">IF(BJ$5&lt;$B$10,0,IF(BJ26&lt;=0,BJ28,IF(BJ29&lt;=BJ27,BJ30/MAX(1,BJ29)*BJ26,BJ28+(BJ26-BJ27)*(BJ30-BJ28)/(BJ29-BJ27))))</f>
        <v>94987.9333333333</v>
      </c>
      <c r="BK31" s="82" t="n">
        <f aca="false">IF(BK$5&lt;$B$10,0,IF(BK26&lt;=0,BK28,IF(BK29&lt;=BK27,BK30/MAX(1,BK29)*BK26,BK28+(BK26-BK27)*(BK30-BK28)/(BK29-BK27))))</f>
        <v>97612.4888888889</v>
      </c>
      <c r="BL31" s="82" t="n">
        <f aca="false">IF(BL$5&lt;$B$10,0,IF(BL26&lt;=0,BL28,IF(BL29&lt;=BL27,BL30/MAX(1,BL29)*BL26,BL28+(BL26-BL27)*(BL30-BL28)/(BL29-BL27))))</f>
        <v>100371.977777778</v>
      </c>
      <c r="BM31" s="82" t="n">
        <f aca="false">SUM(E31:BL31)</f>
        <v>2268358.86666667</v>
      </c>
      <c r="BN31" s="35" t="s">
        <v>266</v>
      </c>
    </row>
    <row r="32" customFormat="false" ht="19.4" hidden="false" customHeight="false" outlineLevel="0" collapsed="false">
      <c r="A32" s="63" t="s">
        <v>267</v>
      </c>
      <c r="E32" s="115" t="n">
        <f aca="false">IFERROR(E31/E26,0)</f>
        <v>0</v>
      </c>
      <c r="F32" s="115" t="n">
        <f aca="false">IFERROR(F31/F26,0)</f>
        <v>0</v>
      </c>
      <c r="G32" s="115" t="n">
        <f aca="false">IFERROR(G31/G26,0)</f>
        <v>0</v>
      </c>
      <c r="H32" s="115" t="n">
        <f aca="false">IFERROR(H31/H26,0)</f>
        <v>0</v>
      </c>
      <c r="I32" s="115" t="n">
        <f aca="false">IFERROR(I31/I26,0)</f>
        <v>0</v>
      </c>
      <c r="J32" s="115" t="n">
        <f aca="false">IFERROR(J31/J26,0)</f>
        <v>0</v>
      </c>
      <c r="K32" s="115" t="n">
        <f aca="false">IFERROR(K31/K26,0)</f>
        <v>0</v>
      </c>
      <c r="L32" s="115" t="n">
        <f aca="false">IFERROR(L31/L26,0)</f>
        <v>0</v>
      </c>
      <c r="M32" s="115" t="n">
        <f aca="false">IFERROR(M31/M26,0)</f>
        <v>0</v>
      </c>
      <c r="N32" s="115" t="n">
        <f aca="false">IFERROR(N31/N26,0)</f>
        <v>0</v>
      </c>
      <c r="O32" s="115" t="n">
        <f aca="false">IFERROR(O31/O26,0)</f>
        <v>0</v>
      </c>
      <c r="P32" s="115" t="n">
        <f aca="false">IFERROR(P31/P26,0)</f>
        <v>2.36185106882781</v>
      </c>
      <c r="Q32" s="115" t="n">
        <f aca="false">IFERROR(Q31/Q26,0)</f>
        <v>1.90231343955352</v>
      </c>
      <c r="R32" s="115" t="n">
        <f aca="false">IFERROR(R31/R26,0)</f>
        <v>1.74871951841649</v>
      </c>
      <c r="S32" s="115" t="n">
        <f aca="false">IFERROR(S31/S26,0)</f>
        <v>1.67162987903729</v>
      </c>
      <c r="T32" s="115" t="n">
        <f aca="false">IFERROR(T31/T26,0)</f>
        <v>1.62516489091832</v>
      </c>
      <c r="U32" s="115" t="n">
        <f aca="false">IFERROR(U31/U26,0)</f>
        <v>1.57377094942077</v>
      </c>
      <c r="V32" s="115" t="n">
        <f aca="false">IFERROR(V31/V26,0)</f>
        <v>1.47565226320162</v>
      </c>
      <c r="W32" s="115" t="n">
        <f aca="false">IFERROR(W31/W26,0)</f>
        <v>1.40135682965169</v>
      </c>
      <c r="X32" s="115" t="n">
        <f aca="false">IFERROR(X31/X26,0)</f>
        <v>1.34292770376321</v>
      </c>
      <c r="Y32" s="115" t="n">
        <f aca="false">IFERROR(Y31/Y26,0)</f>
        <v>1.29563982388865</v>
      </c>
      <c r="Z32" s="115" t="n">
        <f aca="false">IFERROR(Z31/Z26,0)</f>
        <v>1.2564438489405</v>
      </c>
      <c r="AA32" s="115" t="n">
        <f aca="false">IFERROR(AA31/AA26,0)</f>
        <v>1.22328331528558</v>
      </c>
      <c r="AB32" s="115" t="n">
        <f aca="false">IFERROR(AB31/AB26,0)</f>
        <v>1.19477468559233</v>
      </c>
      <c r="AC32" s="115" t="n">
        <f aca="false">IFERROR(AC31/AC26,0)</f>
        <v>1.16994118582101</v>
      </c>
      <c r="AD32" s="115" t="n">
        <f aca="false">IFERROR(AD31/AD26,0)</f>
        <v>1.14800666461888</v>
      </c>
      <c r="AE32" s="115" t="n">
        <f aca="false">IFERROR(AE31/AE26,0)</f>
        <v>1.12845805881478</v>
      </c>
      <c r="AF32" s="115" t="n">
        <f aca="false">IFERROR(AF31/AF26,0)</f>
        <v>1.11089749141191</v>
      </c>
      <c r="AG32" s="115" t="n">
        <f aca="false">IFERROR(AG31/AG26,0)</f>
        <v>1.09495445371734</v>
      </c>
      <c r="AH32" s="115" t="n">
        <f aca="false">IFERROR(AH31/AH26,0)</f>
        <v>1.08042285887122</v>
      </c>
      <c r="AI32" s="115" t="n">
        <f aca="false">IFERROR(AI31/AI26,0)</f>
        <v>1.06706821409334</v>
      </c>
      <c r="AJ32" s="115" t="n">
        <f aca="false">IFERROR(AJ31/AJ26,0)</f>
        <v>1.05474173725295</v>
      </c>
      <c r="AK32" s="115" t="n">
        <f aca="false">IFERROR(AK31/AK26,0)</f>
        <v>1.04330743477986</v>
      </c>
      <c r="AL32" s="115" t="n">
        <f aca="false">IFERROR(AL31/AL26,0)</f>
        <v>1.03265423915298</v>
      </c>
      <c r="AM32" s="115" t="n">
        <f aca="false">IFERROR(AM31/AM26,0)</f>
        <v>1.02269591291423</v>
      </c>
      <c r="AN32" s="115" t="n">
        <f aca="false">IFERROR(AN31/AN26,0)</f>
        <v>1.01335998339832</v>
      </c>
      <c r="AO32" s="115" t="n">
        <f aca="false">IFERROR(AO31/AO26,0)</f>
        <v>1.0045722978975</v>
      </c>
      <c r="AP32" s="115" t="n">
        <f aca="false">IFERROR(AP31/AP26,0)</f>
        <v>0.996287924564898</v>
      </c>
      <c r="AQ32" s="115" t="n">
        <f aca="false">IFERROR(AQ31/AQ26,0)</f>
        <v>0.9884531264471</v>
      </c>
      <c r="AR32" s="115" t="n">
        <f aca="false">IFERROR(AR31/AR26,0)</f>
        <v>0.981033407067098</v>
      </c>
      <c r="AS32" s="115" t="n">
        <f aca="false">IFERROR(AS31/AS26,0)</f>
        <v>0.973992623958476</v>
      </c>
      <c r="AT32" s="115" t="n">
        <f aca="false">IFERROR(AT31/AT26,0)</f>
        <v>0.967302949283923</v>
      </c>
      <c r="AU32" s="115" t="n">
        <f aca="false">IFERROR(AU31/AU26,0)</f>
        <v>0.960940190757024</v>
      </c>
      <c r="AV32" s="115" t="n">
        <f aca="false">IFERROR(AV31/AV26,0)</f>
        <v>0.954874103889164</v>
      </c>
      <c r="AW32" s="115" t="n">
        <f aca="false">IFERROR(AW31/AW26,0)</f>
        <v>0.949086216770695</v>
      </c>
      <c r="AX32" s="115" t="n">
        <f aca="false">IFERROR(AX31/AX26,0)</f>
        <v>0.943562302063995</v>
      </c>
      <c r="AY32" s="115" t="n">
        <f aca="false">IFERROR(AY31/AY26,0)</f>
        <v>0.938285937886016</v>
      </c>
      <c r="AZ32" s="115" t="n">
        <f aca="false">IFERROR(AZ31/AZ26,0)</f>
        <v>0.933238176800837</v>
      </c>
      <c r="BA32" s="115" t="n">
        <f aca="false">IFERROR(BA31/BA26,0)</f>
        <v>0.928407837711973</v>
      </c>
      <c r="BB32" s="115" t="n">
        <f aca="false">IFERROR(BB31/BB26,0)</f>
        <v>0.923784982930202</v>
      </c>
      <c r="BC32" s="115" t="n">
        <f aca="false">IFERROR(BC31/BC26,0)</f>
        <v>0.919358236232011</v>
      </c>
      <c r="BD32" s="115" t="n">
        <f aca="false">IFERROR(BD31/BD26,0)</f>
        <v>0.915115612459392</v>
      </c>
      <c r="BE32" s="115" t="n">
        <f aca="false">IFERROR(BE31/BE26,0)</f>
        <v>0.911049186027773</v>
      </c>
      <c r="BF32" s="115" t="n">
        <f aca="false">IFERROR(BF31/BF26,0)</f>
        <v>0.907150076010429</v>
      </c>
      <c r="BG32" s="115" t="n">
        <f aca="false">IFERROR(BG31/BG26,0)</f>
        <v>0.903411576674067</v>
      </c>
      <c r="BH32" s="115" t="n">
        <f aca="false">IFERROR(BH31/BH26,0)</f>
        <v>0.899126964330257</v>
      </c>
      <c r="BI32" s="115" t="n">
        <f aca="false">IFERROR(BI31/BI26,0)</f>
        <v>0.881926459900028</v>
      </c>
      <c r="BJ32" s="115" t="n">
        <f aca="false">IFERROR(BJ31/BJ26,0)</f>
        <v>0.865422729191532</v>
      </c>
      <c r="BK32" s="115" t="n">
        <f aca="false">IFERROR(BK31/BK26,0)</f>
        <v>0.849587349112128</v>
      </c>
      <c r="BL32" s="115" t="n">
        <f aca="false">IFERROR(BL31/BL26,0)</f>
        <v>0.83439583165918</v>
      </c>
      <c r="BM32" s="116" t="n">
        <f aca="false">BL32</f>
        <v>0.83439583165918</v>
      </c>
      <c r="BN32" s="35" t="s">
        <v>268</v>
      </c>
    </row>
    <row r="34" customFormat="false" ht="15" hidden="false" customHeight="false" outlineLevel="0" collapsed="false">
      <c r="A34" s="37" t="s">
        <v>269</v>
      </c>
      <c r="E34" s="94" t="n">
        <f aca="false">IFERROR(E31*E24/E26,0)</f>
        <v>0</v>
      </c>
      <c r="F34" s="94" t="n">
        <f aca="false">IFERROR(F31*F24/F26,0)</f>
        <v>0</v>
      </c>
      <c r="G34" s="94" t="n">
        <f aca="false">IFERROR(G31*G24/G26,0)</f>
        <v>0</v>
      </c>
      <c r="H34" s="94" t="n">
        <f aca="false">IFERROR(H31*H24/H26,0)</f>
        <v>0</v>
      </c>
      <c r="I34" s="94" t="n">
        <f aca="false">IFERROR(I31*I24/I26,0)</f>
        <v>0</v>
      </c>
      <c r="J34" s="94" t="n">
        <f aca="false">IFERROR(J31*J24/J26,0)</f>
        <v>0</v>
      </c>
      <c r="K34" s="94" t="n">
        <f aca="false">IFERROR(K31*K24/K26,0)</f>
        <v>0</v>
      </c>
      <c r="L34" s="94" t="n">
        <f aca="false">IFERROR(L31*L24/L26,0)</f>
        <v>0</v>
      </c>
      <c r="M34" s="94" t="n">
        <f aca="false">IFERROR(M31*M24/M26,0)</f>
        <v>0</v>
      </c>
      <c r="N34" s="94" t="n">
        <f aca="false">IFERROR(N31*N24/N26,0)</f>
        <v>0</v>
      </c>
      <c r="O34" s="94" t="n">
        <f aca="false">IFERROR(O31*O24/O26,0)</f>
        <v>0</v>
      </c>
      <c r="P34" s="94" t="n">
        <f aca="false">IFERROR(P31*P24/P26,0)</f>
        <v>214.928447263331</v>
      </c>
      <c r="Q34" s="94" t="n">
        <f aca="false">IFERROR(Q31*Q24/Q26,0)</f>
        <v>350.025672877847</v>
      </c>
      <c r="R34" s="94" t="n">
        <f aca="false">IFERROR(R31*R24/R26,0)</f>
        <v>491.390184675033</v>
      </c>
      <c r="S34" s="94" t="n">
        <f aca="false">IFERROR(S31*S24/S26,0)</f>
        <v>638.562613792243</v>
      </c>
      <c r="T34" s="94" t="n">
        <f aca="false">IFERROR(T31*T24/T26,0)</f>
        <v>791.45530187722</v>
      </c>
      <c r="U34" s="94" t="n">
        <f aca="false">IFERROR(U31*U24/U26,0)</f>
        <v>939.5412568042</v>
      </c>
      <c r="V34" s="94" t="n">
        <f aca="false">IFERROR(V31*V24/V26,0)</f>
        <v>1050.66441139955</v>
      </c>
      <c r="W34" s="94" t="n">
        <f aca="false">IFERROR(W31*W24/W26,0)</f>
        <v>1168.73159592951</v>
      </c>
      <c r="X34" s="94" t="n">
        <f aca="false">IFERROR(X31*X24/X26,0)</f>
        <v>1293.23937872397</v>
      </c>
      <c r="Y34" s="94" t="n">
        <f aca="false">IFERROR(Y31*Y24/Y26,0)</f>
        <v>1423.90816645363</v>
      </c>
      <c r="Z34" s="94" t="n">
        <f aca="false">IFERROR(Z31*Z24/Z26,0)</f>
        <v>1561.75970423304</v>
      </c>
      <c r="AA34" s="94" t="n">
        <f aca="false">IFERROR(AA31*AA24/AA26,0)</f>
        <v>1707.70350813868</v>
      </c>
      <c r="AB34" s="94" t="n">
        <f aca="false">IFERROR(AB31*AB24/AB26,0)</f>
        <v>1862.65373483845</v>
      </c>
      <c r="AC34" s="94" t="n">
        <f aca="false">IFERROR(AC31*AC24/AC26,0)</f>
        <v>2026.338133842</v>
      </c>
      <c r="AD34" s="94" t="n">
        <f aca="false">IFERROR(AD31*AD24/AD26,0)</f>
        <v>2201.87678273901</v>
      </c>
      <c r="AE34" s="94" t="n">
        <f aca="false">IFERROR(AE31*AE24/AE26,0)</f>
        <v>2387.81725245207</v>
      </c>
      <c r="AF34" s="94" t="n">
        <f aca="false">IFERROR(AF31*AF24/AF26,0)</f>
        <v>2585.05846251552</v>
      </c>
      <c r="AG34" s="94" t="n">
        <f aca="false">IFERROR(AG31*AG24/AG26,0)</f>
        <v>2796.51367479409</v>
      </c>
      <c r="AH34" s="94" t="n">
        <f aca="false">IFERROR(AH31*AH24/AH26,0)</f>
        <v>3020.86231340393</v>
      </c>
      <c r="AI34" s="94" t="n">
        <f aca="false">IFERROR(AI31*AI24/AI26,0)</f>
        <v>3262.02753048333</v>
      </c>
      <c r="AJ34" s="94" t="n">
        <f aca="false">IFERROR(AJ31*AJ24/AJ26,0)</f>
        <v>3518.61843547583</v>
      </c>
      <c r="AK34" s="94" t="n">
        <f aca="false">IFERROR(AK31*AK24/AK26,0)</f>
        <v>3793.46583285958</v>
      </c>
      <c r="AL34" s="94" t="n">
        <f aca="false">IFERROR(AL31*AL24/AL26,0)</f>
        <v>4087.2454785675</v>
      </c>
      <c r="AM34" s="94" t="n">
        <f aca="false">IFERROR(AM31*AM24/AM26,0)</f>
        <v>4401.68320918284</v>
      </c>
      <c r="AN34" s="94" t="n">
        <f aca="false">IFERROR(AN31*AN24/AN26,0)</f>
        <v>4738.47128237055</v>
      </c>
      <c r="AO34" s="94" t="n">
        <f aca="false">IFERROR(AO31*AO24/AO26,0)</f>
        <v>5099.20898412773</v>
      </c>
      <c r="AP34" s="94" t="n">
        <f aca="false">IFERROR(AP31*AP24/AP26,0)</f>
        <v>5486.55760057889</v>
      </c>
      <c r="AQ34" s="94" t="n">
        <f aca="false">IFERROR(AQ31*AQ24/AQ26,0)</f>
        <v>5902.05361801563</v>
      </c>
      <c r="AR34" s="94" t="n">
        <f aca="false">IFERROR(AR31*AR24/AR26,0)</f>
        <v>6347.28614372412</v>
      </c>
      <c r="AS34" s="94" t="n">
        <f aca="false">IFERROR(AS31*AS24/AS26,0)</f>
        <v>6825.740308701</v>
      </c>
      <c r="AT34" s="94" t="n">
        <f aca="false">IFERROR(AT31*AT24/AT26,0)</f>
        <v>7338.92747621712</v>
      </c>
      <c r="AU34" s="94" t="n">
        <f aca="false">IFERROR(AU31*AU24/AU26,0)</f>
        <v>7889.31896611516</v>
      </c>
      <c r="AV34" s="94" t="n">
        <f aca="false">IFERROR(AV31*AV24/AV26,0)</f>
        <v>8481.19179074355</v>
      </c>
      <c r="AW34" s="94" t="n">
        <f aca="false">IFERROR(AW31*AW24/AW26,0)</f>
        <v>9117.87128451607</v>
      </c>
      <c r="AX34" s="94" t="n">
        <f aca="false">IFERROR(AX31*AX24/AX26,0)</f>
        <v>9800.78163153872</v>
      </c>
      <c r="AY34" s="94" t="n">
        <f aca="false">IFERROR(AY31*AY24/AY26,0)</f>
        <v>10535.0745105842</v>
      </c>
      <c r="AZ34" s="94" t="n">
        <f aca="false">IFERROR(AZ31*AZ24/AZ26,0)</f>
        <v>11324.8452754782</v>
      </c>
      <c r="BA34" s="94" t="n">
        <f aca="false">IFERROR(BA31*BA24/BA26,0)</f>
        <v>12174.2119759171</v>
      </c>
      <c r="BB34" s="94" t="n">
        <f aca="false">IFERROR(BB31*BB24/BB26,0)</f>
        <v>13087.2618531722</v>
      </c>
      <c r="BC34" s="94" t="n">
        <f aca="false">IFERROR(BC31*BC24/BC26,0)</f>
        <v>14068.9390890585</v>
      </c>
      <c r="BD34" s="94" t="n">
        <f aca="false">IFERROR(BD31*BD24/BD26,0)</f>
        <v>15125.0308427288</v>
      </c>
      <c r="BE34" s="94" t="n">
        <f aca="false">IFERROR(BE31*BE24/BE26,0)</f>
        <v>16261.3169214097</v>
      </c>
      <c r="BF34" s="94" t="n">
        <f aca="false">IFERROR(BF31*BF24/BF26,0)</f>
        <v>17484.410565025</v>
      </c>
      <c r="BG34" s="94" t="n">
        <f aca="false">IFERROR(BG31*BG24/BG26,0)</f>
        <v>18799.9949105873</v>
      </c>
      <c r="BH34" s="94" t="n">
        <f aca="false">IFERROR(BH31*BH24/BH26,0)</f>
        <v>20200.6855076079</v>
      </c>
      <c r="BI34" s="94" t="n">
        <f aca="false">IFERROR(BI31*BI24/BI26,0)</f>
        <v>21390.2443584153</v>
      </c>
      <c r="BJ34" s="94" t="n">
        <f aca="false">IFERROR(BJ31*BJ24/BJ26,0)</f>
        <v>22657.6324729635</v>
      </c>
      <c r="BK34" s="94" t="n">
        <f aca="false">IFERROR(BK31*BK24/BK26,0)</f>
        <v>24009.3384859088</v>
      </c>
      <c r="BL34" s="94" t="n">
        <f aca="false">IFERROR(BL31*BL24/BL26,0)</f>
        <v>25449.9072614367</v>
      </c>
      <c r="BM34" s="82" t="n">
        <f aca="false">SUM(E34:BL34)</f>
        <v>367172.374200264</v>
      </c>
    </row>
    <row r="35" customFormat="false" ht="15" hidden="false" customHeight="false" outlineLevel="0" collapsed="false">
      <c r="A35" s="37" t="s">
        <v>270</v>
      </c>
      <c r="E35" s="94" t="n">
        <f aca="false">IFERROR(E31*(E26-E24)/E26,0)</f>
        <v>0</v>
      </c>
      <c r="F35" s="94" t="n">
        <f aca="false">IFERROR(F31*(F26-F24)/F26,0)</f>
        <v>0</v>
      </c>
      <c r="G35" s="94" t="n">
        <f aca="false">IFERROR(G31*(G26-G24)/G26,0)</f>
        <v>0</v>
      </c>
      <c r="H35" s="94" t="n">
        <f aca="false">IFERROR(H31*(H26-H24)/H26,0)</f>
        <v>0</v>
      </c>
      <c r="I35" s="94" t="n">
        <f aca="false">IFERROR(I31*(I26-I24)/I26,0)</f>
        <v>0</v>
      </c>
      <c r="J35" s="94" t="n">
        <f aca="false">IFERROR(J31*(J26-J24)/J26,0)</f>
        <v>0</v>
      </c>
      <c r="K35" s="94" t="n">
        <f aca="false">IFERROR(K31*(K26-K24)/K26,0)</f>
        <v>0</v>
      </c>
      <c r="L35" s="94" t="n">
        <f aca="false">IFERROR(L31*(L26-L24)/L26,0)</f>
        <v>0</v>
      </c>
      <c r="M35" s="94" t="n">
        <f aca="false">IFERROR(M31*(M26-M24)/M26,0)</f>
        <v>0</v>
      </c>
      <c r="N35" s="94" t="n">
        <f aca="false">IFERROR(N31*(N26-N24)/N26,0)</f>
        <v>0</v>
      </c>
      <c r="O35" s="94" t="n">
        <f aca="false">IFERROR(O31*(O26-O24)/O26,0)</f>
        <v>0</v>
      </c>
      <c r="P35" s="94" t="n">
        <f aca="false">IFERROR(P31*(P26-P24)/P26,0)</f>
        <v>4253.69377495889</v>
      </c>
      <c r="Q35" s="94" t="n">
        <f aca="false">IFERROR(Q31*(Q26-Q24)/Q26,0)</f>
        <v>6694.24099378882</v>
      </c>
      <c r="R35" s="94" t="n">
        <f aca="false">IFERROR(R31*(R26-R24)/R26,0)</f>
        <v>9030.38759310274</v>
      </c>
      <c r="S35" s="94" t="n">
        <f aca="false">IFERROR(S31*(S26-S24)/S26,0)</f>
        <v>11276.8151639855</v>
      </c>
      <c r="T35" s="94" t="n">
        <f aca="false">IFERROR(T31*(T26-T24)/T26,0)</f>
        <v>13444.9891425672</v>
      </c>
      <c r="U35" s="94" t="n">
        <f aca="false">IFERROR(U31*(U26-U24)/U26,0)</f>
        <v>15347.4142987514</v>
      </c>
      <c r="V35" s="94" t="n">
        <f aca="false">IFERROR(V31*(V26-V24)/V26,0)</f>
        <v>16514.0244774893</v>
      </c>
      <c r="W35" s="94" t="n">
        <f aca="false">IFERROR(W31*(W26-W24)/W26,0)</f>
        <v>17651.4906262927</v>
      </c>
      <c r="X35" s="94" t="n">
        <f aca="false">IFERROR(X31*(X26-X24)/X26,0)</f>
        <v>18766.0717323871</v>
      </c>
      <c r="Y35" s="94" t="n">
        <f aca="false">IFERROR(Y31*(Y26-Y24)/Y26,0)</f>
        <v>19862.158500213</v>
      </c>
      <c r="Z35" s="94" t="n">
        <f aca="false">IFERROR(Z31*(Z26-Z24)/Z26,0)</f>
        <v>20943.6625179892</v>
      </c>
      <c r="AA35" s="94" t="n">
        <f aca="false">IFERROR(AA31*(AA26-AA24)/AA26,0)</f>
        <v>22015.4298251947</v>
      </c>
      <c r="AB35" s="94" t="n">
        <f aca="false">IFERROR(AB31*(AB26-AB24)/AB26,0)</f>
        <v>23080.6573762727</v>
      </c>
      <c r="AC35" s="94" t="n">
        <f aca="false">IFERROR(AC31*(AC26-AC24)/AC26,0)</f>
        <v>24142.9063106024</v>
      </c>
      <c r="AD35" s="94" t="n">
        <f aca="false">IFERROR(AD31*(AD26-AD24)/AD26,0)</f>
        <v>25205.6343283721</v>
      </c>
      <c r="AE35" s="94" t="n">
        <f aca="false">IFERROR(AE31*(AE26-AE24)/AE26,0)</f>
        <v>26272.7605253257</v>
      </c>
      <c r="AF35" s="94" t="n">
        <f aca="false">IFERROR(AF31*(AF26-AF24)/AF26,0)</f>
        <v>27345.8526485956</v>
      </c>
      <c r="AG35" s="94" t="n">
        <f aca="false">IFERROR(AG31*(AG26-AG24)/AG26,0)</f>
        <v>28429.397436317</v>
      </c>
      <c r="AH35" s="94" t="n">
        <f aca="false">IFERROR(AH31*(AH26-AH24)/AH26,0)</f>
        <v>29524.7154643738</v>
      </c>
      <c r="AI35" s="94" t="n">
        <f aca="false">IFERROR(AI31*(AI26-AI24)/AI26,0)</f>
        <v>30634.4613584056</v>
      </c>
      <c r="AJ35" s="94" t="n">
        <f aca="false">IFERROR(AJ31*(AJ26-AJ24)/AJ26,0)</f>
        <v>31762.4926756353</v>
      </c>
      <c r="AK35" s="94" t="n">
        <f aca="false">IFERROR(AK31*(AK26-AK24)/AK26,0)</f>
        <v>32910.089722696</v>
      </c>
      <c r="AL35" s="94" t="n">
        <f aca="false">IFERROR(AL31*(AL26-AL24)/AL26,0)</f>
        <v>34080.6878547658</v>
      </c>
      <c r="AM35" s="94" t="n">
        <f aca="false">IFERROR(AM31*(AM26-AM24)/AM26,0)</f>
        <v>35275.8501241505</v>
      </c>
      <c r="AN35" s="94" t="n">
        <f aca="false">IFERROR(AN31*(AN26-AN24)/AN26,0)</f>
        <v>36497.1731620739</v>
      </c>
      <c r="AO35" s="94" t="n">
        <f aca="false">IFERROR(AO31*(AO26-AO24)/AO26,0)</f>
        <v>37748.8132380945</v>
      </c>
      <c r="AP35" s="94" t="n">
        <f aca="false">IFERROR(AP31*(AP26-AP24)/AP26,0)</f>
        <v>39030.5757327544</v>
      </c>
      <c r="AQ35" s="94" t="n">
        <f aca="false">IFERROR(AQ31*(AQ26-AQ24)/AQ26,0)</f>
        <v>40346.6797153177</v>
      </c>
      <c r="AR35" s="94" t="n">
        <f aca="false">IFERROR(AR31*(AR26-AR24)/AR26,0)</f>
        <v>41698.824967387</v>
      </c>
      <c r="AS35" s="94" t="n">
        <f aca="false">IFERROR(AS31*(AS26-AS24)/AS26,0)</f>
        <v>43088.459691299</v>
      </c>
      <c r="AT35" s="94" t="n">
        <f aca="false">IFERROR(AT31*(AT26-AT24)/AT26,0)</f>
        <v>44518.183634894</v>
      </c>
      <c r="AU35" s="94" t="n">
        <f aca="false">IFERROR(AU31*(AU26-AU24)/AU26,0)</f>
        <v>45989.6365894404</v>
      </c>
      <c r="AV35" s="94" t="n">
        <f aca="false">IFERROR(AV31*(AV26-AV24)/AV26,0)</f>
        <v>47505.9415425898</v>
      </c>
      <c r="AW35" s="94" t="n">
        <f aca="false">IFERROR(AW31*(AW26-AW24)/AW26,0)</f>
        <v>49068.7064932617</v>
      </c>
      <c r="AX35" s="94" t="n">
        <f aca="false">IFERROR(AX31*(AX26-AX24)/AX26,0)</f>
        <v>50680.6183684613</v>
      </c>
      <c r="AY35" s="94" t="n">
        <f aca="false">IFERROR(AY31*(AY26-AY24)/AY26,0)</f>
        <v>52342.2810449714</v>
      </c>
      <c r="AZ35" s="94" t="n">
        <f aca="false">IFERROR(AZ31*(AZ26-AZ24)/AZ26,0)</f>
        <v>54057.8213911885</v>
      </c>
      <c r="BA35" s="94" t="n">
        <f aca="false">IFERROR(BA31*(BA26-BA24)/BA26,0)</f>
        <v>55828.8769129718</v>
      </c>
      <c r="BB35" s="94" t="n">
        <f aca="false">IFERROR(BB31*(BB26-BB24)/BB26,0)</f>
        <v>57657.1159246056</v>
      </c>
      <c r="BC35" s="94" t="n">
        <f aca="false">IFERROR(BC31*(BC26-BC24)/BC26,0)</f>
        <v>59544.9942442749</v>
      </c>
      <c r="BD35" s="94" t="n">
        <f aca="false">IFERROR(BD31*(BD26-BD24)/BD26,0)</f>
        <v>61495.7691572712</v>
      </c>
      <c r="BE35" s="94" t="n">
        <f aca="false">IFERROR(BE31*(BE26-BE24)/BE26,0)</f>
        <v>63511.0608563681</v>
      </c>
      <c r="BF35" s="94" t="n">
        <f aca="false">IFERROR(BF31*(BF26-BF24)/BF26,0)</f>
        <v>65593.3005460861</v>
      </c>
      <c r="BG35" s="94" t="n">
        <f aca="false">IFERROR(BG31*(BG26-BG24)/BG26,0)</f>
        <v>67745.0273116349</v>
      </c>
      <c r="BH35" s="94" t="n">
        <f aca="false">IFERROR(BH31*(BH26-BH24)/BH26,0)</f>
        <v>69914.3144923921</v>
      </c>
      <c r="BI35" s="94" t="n">
        <f aca="false">IFERROR(BI31*(BI26-BI24)/BI26,0)</f>
        <v>71100.9111971403</v>
      </c>
      <c r="BJ35" s="94" t="n">
        <f aca="false">IFERROR(BJ31*(BJ26-BJ24)/BJ26,0)</f>
        <v>72330.3008603698</v>
      </c>
      <c r="BK35" s="94" t="n">
        <f aca="false">IFERROR(BK31*(BK26-BK24)/BK26,0)</f>
        <v>73603.1504029801</v>
      </c>
      <c r="BL35" s="94" t="n">
        <f aca="false">IFERROR(BL31*(BL26-BL24)/BL26,0)</f>
        <v>74922.0705163411</v>
      </c>
      <c r="BM35" s="82" t="n">
        <f aca="false">SUM(E35:BL35)</f>
        <v>1900286.4924664</v>
      </c>
      <c r="BN35" s="35" t="s">
        <v>271</v>
      </c>
    </row>
    <row r="36" customFormat="false" ht="19.4" hidden="false" customHeight="false" outlineLevel="0" collapsed="false">
      <c r="A36" s="63" t="s">
        <v>272</v>
      </c>
      <c r="E36" s="101" t="n">
        <f aca="false">IFERROR(E35/E24,0)</f>
        <v>0</v>
      </c>
      <c r="F36" s="101" t="n">
        <f aca="false">IFERROR(F35/F24,0)</f>
        <v>0</v>
      </c>
      <c r="G36" s="101" t="n">
        <f aca="false">IFERROR(G35/G24,0)</f>
        <v>0</v>
      </c>
      <c r="H36" s="101" t="n">
        <f aca="false">IFERROR(H35/H24,0)</f>
        <v>0</v>
      </c>
      <c r="I36" s="101" t="n">
        <f aca="false">IFERROR(I35/I24,0)</f>
        <v>0</v>
      </c>
      <c r="J36" s="101" t="n">
        <f aca="false">IFERROR(J35/J24,0)</f>
        <v>0</v>
      </c>
      <c r="K36" s="101" t="n">
        <f aca="false">IFERROR(K35/K24,0)</f>
        <v>0</v>
      </c>
      <c r="L36" s="101" t="n">
        <f aca="false">IFERROR(L35/L24,0)</f>
        <v>0</v>
      </c>
      <c r="M36" s="101" t="n">
        <f aca="false">IFERROR(M35/M24,0)</f>
        <v>0</v>
      </c>
      <c r="N36" s="101" t="n">
        <f aca="false">IFERROR(N35/N24,0)</f>
        <v>0</v>
      </c>
      <c r="O36" s="101" t="n">
        <f aca="false">IFERROR(O35/O24,0)</f>
        <v>0</v>
      </c>
      <c r="P36" s="101" t="n">
        <f aca="false">IFERROR(P35/P24,0)</f>
        <v>46.7438876369109</v>
      </c>
      <c r="Q36" s="101" t="n">
        <f aca="false">IFERROR(Q35/Q24,0)</f>
        <v>36.381744531461</v>
      </c>
      <c r="R36" s="101" t="n">
        <f aca="false">IFERROR(R35/R24,0)</f>
        <v>32.1366106516112</v>
      </c>
      <c r="S36" s="101" t="n">
        <f aca="false">IFERROR(S35/S24,0)</f>
        <v>29.5204585444648</v>
      </c>
      <c r="T36" s="101" t="n">
        <f aca="false">IFERROR(T35/T24,0)</f>
        <v>27.6077805802202</v>
      </c>
      <c r="U36" s="101" t="n">
        <f aca="false">IFERROR(U35/U24,0)</f>
        <v>25.7075616394495</v>
      </c>
      <c r="V36" s="101" t="n">
        <f aca="false">IFERROR(V35/V24,0)</f>
        <v>23.1938546032154</v>
      </c>
      <c r="W36" s="101" t="n">
        <f aca="false">IFERROR(W35/W24,0)</f>
        <v>21.1648568660584</v>
      </c>
      <c r="X36" s="101" t="n">
        <f aca="false">IFERROR(X35/X24,0)</f>
        <v>19.4870942184705</v>
      </c>
      <c r="Y36" s="101" t="n">
        <f aca="false">IFERROR(Y35/Y24,0)</f>
        <v>18.0729376708035</v>
      </c>
      <c r="Z36" s="101" t="n">
        <f aca="false">IFERROR(Z35/Z24,0)</f>
        <v>16.8492860160814</v>
      </c>
      <c r="AA36" s="101" t="n">
        <f aca="false">IFERROR(AA35/AA24,0)</f>
        <v>15.7703652042942</v>
      </c>
      <c r="AB36" s="101" t="n">
        <f aca="false">IFERROR(AB35/AB24,0)</f>
        <v>14.8047834357105</v>
      </c>
      <c r="AC36" s="101" t="n">
        <f aca="false">IFERROR(AC35/AC24,0)</f>
        <v>13.9393223502324</v>
      </c>
      <c r="AD36" s="101" t="n">
        <f aca="false">IFERROR(AD35/AD24,0)</f>
        <v>13.1416237374203</v>
      </c>
      <c r="AE36" s="101" t="n">
        <f aca="false">IFERROR(AE35/AE24,0)</f>
        <v>12.4162384335188</v>
      </c>
      <c r="AF36" s="101" t="n">
        <f aca="false">IFERROR(AF35/AF24,0)</f>
        <v>11.7515481944975</v>
      </c>
      <c r="AG36" s="101" t="n">
        <f aca="false">IFERROR(AG35/AG24,0)</f>
        <v>11.1313224104609</v>
      </c>
      <c r="AH36" s="101" t="n">
        <f aca="false">IFERROR(AH35/AH24,0)</f>
        <v>10.5596264178733</v>
      </c>
      <c r="AI36" s="101" t="n">
        <f aca="false">IFERROR(AI35/AI24,0)</f>
        <v>10.0210864764166</v>
      </c>
      <c r="AJ36" s="101" t="n">
        <f aca="false">IFERROR(AJ35/AJ24,0)</f>
        <v>9.5211308979722</v>
      </c>
      <c r="AK36" s="101" t="n">
        <f aca="false">IFERROR(AK35/AK24,0)</f>
        <v>9.05117979172057</v>
      </c>
      <c r="AL36" s="101" t="n">
        <f aca="false">IFERROR(AL35/AL24,0)</f>
        <v>8.61058308609546</v>
      </c>
      <c r="AM36" s="101" t="n">
        <f aca="false">IFERROR(AM35/AM24,0)</f>
        <v>8.19606183181935</v>
      </c>
      <c r="AN36" s="101" t="n">
        <f aca="false">IFERROR(AN35/AN24,0)</f>
        <v>7.8052123956531</v>
      </c>
      <c r="AO36" s="101" t="n">
        <f aca="false">IFERROR(AO35/AO24,0)</f>
        <v>7.43672443618883</v>
      </c>
      <c r="AP36" s="101" t="n">
        <f aca="false">IFERROR(AP35/AP24,0)</f>
        <v>7.08744792677582</v>
      </c>
      <c r="AQ36" s="101" t="n">
        <f aca="false">IFERROR(AQ35/AQ24,0)</f>
        <v>6.75710596471574</v>
      </c>
      <c r="AR36" s="101" t="n">
        <f aca="false">IFERROR(AR35/AR24,0)</f>
        <v>6.44494976312009</v>
      </c>
      <c r="AS36" s="101" t="n">
        <f aca="false">IFERROR(AS35/AS24,0)</f>
        <v>6.14846742170362</v>
      </c>
      <c r="AT36" s="101" t="n">
        <f aca="false">IFERROR(AT35/AT24,0)</f>
        <v>5.86769258401133</v>
      </c>
      <c r="AU36" s="101" t="n">
        <f aca="false">IFERROR(AU35/AU24,0)</f>
        <v>5.60166097313525</v>
      </c>
      <c r="AV36" s="101" t="n">
        <f aca="false">IFERROR(AV35/AV24,0)</f>
        <v>5.34856356030058</v>
      </c>
      <c r="AW36" s="101" t="n">
        <f aca="false">IFERROR(AW35/AW24,0)</f>
        <v>5.10759930189047</v>
      </c>
      <c r="AX36" s="101" t="n">
        <f aca="false">IFERROR(AX35/AX24,0)</f>
        <v>4.87923542586515</v>
      </c>
      <c r="AY36" s="101" t="n">
        <f aca="false">IFERROR(AY35/AY24,0)</f>
        <v>4.6617635415899</v>
      </c>
      <c r="AZ36" s="101" t="n">
        <f aca="false">IFERROR(AZ35/AZ24,0)</f>
        <v>4.45470304006498</v>
      </c>
      <c r="BA36" s="101" t="n">
        <f aca="false">IFERROR(BA35/BA24,0)</f>
        <v>4.25752130808906</v>
      </c>
      <c r="BB36" s="101" t="n">
        <f aca="false">IFERROR(BB35/BB24,0)</f>
        <v>4.06981830483558</v>
      </c>
      <c r="BC36" s="101" t="n">
        <f aca="false">IFERROR(BC35/BC24,0)</f>
        <v>3.89106673490655</v>
      </c>
      <c r="BD36" s="101" t="n">
        <f aca="false">IFERROR(BD35/BD24,0)</f>
        <v>3.72070239334893</v>
      </c>
      <c r="BE36" s="101" t="n">
        <f aca="false">IFERROR(BE35/BE24,0)</f>
        <v>3.55824196629324</v>
      </c>
      <c r="BF36" s="101" t="n">
        <f aca="false">IFERROR(BF35/BF24,0)</f>
        <v>3.40320123202688</v>
      </c>
      <c r="BG36" s="101" t="n">
        <f aca="false">IFERROR(BG35/BG24,0)</f>
        <v>3.25540736720975</v>
      </c>
      <c r="BH36" s="101" t="n">
        <f aca="false">IFERROR(BH35/BH24,0)</f>
        <v>3.11186693783737</v>
      </c>
      <c r="BI36" s="101" t="n">
        <f aca="false">IFERROR(BI35/BI24,0)</f>
        <v>2.93151278952504</v>
      </c>
      <c r="BJ36" s="101" t="n">
        <f aca="false">IFERROR(BJ35/BJ24,0)</f>
        <v>2.76270199229861</v>
      </c>
      <c r="BK36" s="101" t="n">
        <f aca="false">IFERROR(BK35/BK24,0)</f>
        <v>2.60449930654565</v>
      </c>
      <c r="BL36" s="101" t="n">
        <f aca="false">IFERROR(BL35/BL24,0)</f>
        <v>2.4563807913295</v>
      </c>
      <c r="BM36" s="77" t="n">
        <f aca="false">SUM(E36:BL36)</f>
        <v>563.40499268604</v>
      </c>
      <c r="BN36" s="35" t="s">
        <v>273</v>
      </c>
    </row>
    <row r="37" customFormat="false" ht="19.4" hidden="false" customHeight="false" outlineLevel="0" collapsed="false">
      <c r="A37" s="63" t="s">
        <v>274</v>
      </c>
      <c r="E37" s="101" t="n">
        <f aca="false">IFERROR(E31/E24,0)</f>
        <v>0</v>
      </c>
      <c r="F37" s="101" t="n">
        <f aca="false">IFERROR(F31/F24,0)</f>
        <v>0</v>
      </c>
      <c r="G37" s="101" t="n">
        <f aca="false">IFERROR(G31/G24,0)</f>
        <v>0</v>
      </c>
      <c r="H37" s="101" t="n">
        <f aca="false">IFERROR(H31/H24,0)</f>
        <v>0</v>
      </c>
      <c r="I37" s="101" t="n">
        <f aca="false">IFERROR(I31/I24,0)</f>
        <v>0</v>
      </c>
      <c r="J37" s="101" t="n">
        <f aca="false">IFERROR(J31/J24,0)</f>
        <v>0</v>
      </c>
      <c r="K37" s="101" t="n">
        <f aca="false">IFERROR(K31/K24,0)</f>
        <v>0</v>
      </c>
      <c r="L37" s="101" t="n">
        <f aca="false">IFERROR(L31/L24,0)</f>
        <v>0</v>
      </c>
      <c r="M37" s="101" t="n">
        <f aca="false">IFERROR(M31/M24,0)</f>
        <v>0</v>
      </c>
      <c r="N37" s="101" t="n">
        <f aca="false">IFERROR(N31/N24,0)</f>
        <v>0</v>
      </c>
      <c r="O37" s="101" t="n">
        <f aca="false">IFERROR(O31/O24,0)</f>
        <v>0</v>
      </c>
      <c r="P37" s="101" t="n">
        <f aca="false">IFERROR(P31/P24,0)</f>
        <v>49.1057387057387</v>
      </c>
      <c r="Q37" s="101" t="n">
        <f aca="false">IFERROR(Q31/Q24,0)</f>
        <v>38.2840579710145</v>
      </c>
      <c r="R37" s="101" t="n">
        <f aca="false">IFERROR(R31/R24,0)</f>
        <v>33.8853301700277</v>
      </c>
      <c r="S37" s="101" t="n">
        <f aca="false">IFERROR(S31/S24,0)</f>
        <v>31.192088423502</v>
      </c>
      <c r="T37" s="101" t="n">
        <f aca="false">IFERROR(T31/T24,0)</f>
        <v>29.2329454711385</v>
      </c>
      <c r="U37" s="101" t="n">
        <f aca="false">IFERROR(U31/U24,0)</f>
        <v>27.2813325888703</v>
      </c>
      <c r="V37" s="101" t="n">
        <f aca="false">IFERROR(V31/V24,0)</f>
        <v>24.669506866417</v>
      </c>
      <c r="W37" s="101" t="n">
        <f aca="false">IFERROR(W31/W24,0)</f>
        <v>22.5662136957101</v>
      </c>
      <c r="X37" s="101" t="n">
        <f aca="false">IFERROR(X31/X24,0)</f>
        <v>20.8300219222338</v>
      </c>
      <c r="Y37" s="101" t="n">
        <f aca="false">IFERROR(Y31/Y24,0)</f>
        <v>19.3685774946921</v>
      </c>
      <c r="Z37" s="101" t="n">
        <f aca="false">IFERROR(Z31/Z24,0)</f>
        <v>18.1057298650219</v>
      </c>
      <c r="AA37" s="101" t="n">
        <f aca="false">IFERROR(AA31/AA24,0)</f>
        <v>16.9936485195798</v>
      </c>
      <c r="AB37" s="101" t="n">
        <f aca="false">IFERROR(AB31/AB24,0)</f>
        <v>15.9995581213028</v>
      </c>
      <c r="AC37" s="101" t="n">
        <f aca="false">IFERROR(AC31/AC24,0)</f>
        <v>15.1092635360534</v>
      </c>
      <c r="AD37" s="101" t="n">
        <f aca="false">IFERROR(AD31/AD24,0)</f>
        <v>14.2896304020392</v>
      </c>
      <c r="AE37" s="101" t="n">
        <f aca="false">IFERROR(AE31/AE24,0)</f>
        <v>13.5446964923335</v>
      </c>
      <c r="AF37" s="101" t="n">
        <f aca="false">IFERROR(AF31/AF24,0)</f>
        <v>12.8624456859094</v>
      </c>
      <c r="AG37" s="101" t="n">
        <f aca="false">IFERROR(AG31/AG24,0)</f>
        <v>12.2262768641782</v>
      </c>
      <c r="AH37" s="101" t="n">
        <f aca="false">IFERROR(AH31/AH24,0)</f>
        <v>11.6400492767446</v>
      </c>
      <c r="AI37" s="101" t="n">
        <f aca="false">IFERROR(AI31/AI24,0)</f>
        <v>11.0881546905099</v>
      </c>
      <c r="AJ37" s="101" t="n">
        <f aca="false">IFERROR(AJ31/AJ24,0)</f>
        <v>10.5758726352252</v>
      </c>
      <c r="AK37" s="101" t="n">
        <f aca="false">IFERROR(AK31/AK24,0)</f>
        <v>10.0944872265004</v>
      </c>
      <c r="AL37" s="101" t="n">
        <f aca="false">IFERROR(AL31/AL24,0)</f>
        <v>9.64323732524844</v>
      </c>
      <c r="AM37" s="101" t="n">
        <f aca="false">IFERROR(AM31/AM24,0)</f>
        <v>9.21875774473358</v>
      </c>
      <c r="AN37" s="101" t="n">
        <f aca="false">IFERROR(AN31/AN24,0)</f>
        <v>8.81857237905142</v>
      </c>
      <c r="AO37" s="101" t="n">
        <f aca="false">IFERROR(AO31/AO24,0)</f>
        <v>8.44129673408633</v>
      </c>
      <c r="AP37" s="101" t="n">
        <f aca="false">IFERROR(AP31/AP24,0)</f>
        <v>8.08373585134072</v>
      </c>
      <c r="AQ37" s="101" t="n">
        <f aca="false">IFERROR(AQ31/AQ24,0)</f>
        <v>7.74555909116284</v>
      </c>
      <c r="AR37" s="101" t="n">
        <f aca="false">IFERROR(AR31/AR24,0)</f>
        <v>7.42598317018719</v>
      </c>
      <c r="AS37" s="101" t="n">
        <f aca="false">IFERROR(AS31/AS24,0)</f>
        <v>7.1224600456621</v>
      </c>
      <c r="AT37" s="101" t="n">
        <f aca="false">IFERROR(AT31/AT24,0)</f>
        <v>6.83499553329526</v>
      </c>
      <c r="AU37" s="101" t="n">
        <f aca="false">IFERROR(AU31/AU24,0)</f>
        <v>6.56260116389227</v>
      </c>
      <c r="AV37" s="101" t="n">
        <f aca="false">IFERROR(AV31/AV24,0)</f>
        <v>6.30343766418975</v>
      </c>
      <c r="AW37" s="101" t="n">
        <f aca="false">IFERROR(AW31/AW24,0)</f>
        <v>6.05668551866116</v>
      </c>
      <c r="AX37" s="101" t="n">
        <f aca="false">IFERROR(AX31/AX24,0)</f>
        <v>5.82279772792914</v>
      </c>
      <c r="AY37" s="101" t="n">
        <f aca="false">IFERROR(AY31/AY24,0)</f>
        <v>5.60004947947591</v>
      </c>
      <c r="AZ37" s="101" t="n">
        <f aca="false">IFERROR(AZ31/AZ24,0)</f>
        <v>5.38794121686582</v>
      </c>
      <c r="BA37" s="101" t="n">
        <f aca="false">IFERROR(BA31/BA24,0)</f>
        <v>5.18592914580103</v>
      </c>
      <c r="BB37" s="101" t="n">
        <f aca="false">IFERROR(BB31/BB24,0)</f>
        <v>4.99360328776578</v>
      </c>
      <c r="BC37" s="101" t="n">
        <f aca="false">IFERROR(BC31/BC24,0)</f>
        <v>4.81042497113856</v>
      </c>
      <c r="BD37" s="101" t="n">
        <f aca="false">IFERROR(BD31/BD24,0)</f>
        <v>4.63581800580833</v>
      </c>
      <c r="BE37" s="101" t="n">
        <f aca="false">IFERROR(BE31/BE24,0)</f>
        <v>4.46929115232102</v>
      </c>
      <c r="BF37" s="101" t="n">
        <f aca="false">IFERROR(BF31/BF24,0)</f>
        <v>4.31035130803731</v>
      </c>
      <c r="BG37" s="101" t="n">
        <f aca="false">IFERROR(BG31/BG24,0)</f>
        <v>4.15881894388382</v>
      </c>
      <c r="BH37" s="101" t="n">
        <f aca="false">IFERROR(BH31/BH24,0)</f>
        <v>4.01099390216762</v>
      </c>
      <c r="BI37" s="101" t="n">
        <f aca="false">IFERROR(BI31/BI24,0)</f>
        <v>3.81343924942507</v>
      </c>
      <c r="BJ37" s="101" t="n">
        <f aca="false">IFERROR(BJ31/BJ24,0)</f>
        <v>3.62812472149014</v>
      </c>
      <c r="BK37" s="101" t="n">
        <f aca="false">IFERROR(BK31/BK24,0)</f>
        <v>3.45408665565778</v>
      </c>
      <c r="BL37" s="101" t="n">
        <f aca="false">IFERROR(BL31/BL24,0)</f>
        <v>3.29077662298868</v>
      </c>
      <c r="BM37" s="77" t="n">
        <f aca="false">SUM(E37:BL37)</f>
        <v>618.77539523701</v>
      </c>
      <c r="BN37" s="35" t="s">
        <v>275</v>
      </c>
    </row>
    <row r="39" customFormat="false" ht="15" hidden="false" customHeight="false" outlineLevel="0" collapsed="false">
      <c r="A39" s="107" t="s">
        <v>276</v>
      </c>
      <c r="E39" s="79" t="n">
        <f aca="false">1</f>
        <v>1</v>
      </c>
      <c r="F39" s="79" t="n">
        <f aca="false">IF(AND(F26&gt;=E26,F31&lt;E31-0.01),0,1)</f>
        <v>1</v>
      </c>
      <c r="G39" s="79" t="n">
        <f aca="false">IF(AND(G26&gt;=F26,G31&lt;F31-0.01),0,1)</f>
        <v>1</v>
      </c>
      <c r="H39" s="79" t="n">
        <f aca="false">IF(AND(H26&gt;=G26,H31&lt;G31-0.01),0,1)</f>
        <v>1</v>
      </c>
      <c r="I39" s="79" t="n">
        <f aca="false">IF(AND(I26&gt;=H26,I31&lt;H31-0.01),0,1)</f>
        <v>1</v>
      </c>
      <c r="J39" s="79" t="n">
        <f aca="false">IF(AND(J26&gt;=I26,J31&lt;I31-0.01),0,1)</f>
        <v>1</v>
      </c>
      <c r="K39" s="79" t="n">
        <f aca="false">IF(AND(K26&gt;=J26,K31&lt;J31-0.01),0,1)</f>
        <v>1</v>
      </c>
      <c r="L39" s="79" t="n">
        <f aca="false">IF(AND(L26&gt;=K26,L31&lt;K31-0.01),0,1)</f>
        <v>1</v>
      </c>
      <c r="M39" s="79" t="n">
        <f aca="false">IF(AND(M26&gt;=L26,M31&lt;L31-0.01),0,1)</f>
        <v>1</v>
      </c>
      <c r="N39" s="79" t="n">
        <f aca="false">IF(AND(N26&gt;=M26,N31&lt;M31-0.01),0,1)</f>
        <v>1</v>
      </c>
      <c r="O39" s="79" t="n">
        <f aca="false">IF(AND(O26&gt;=N26,O31&lt;N31-0.01),0,1)</f>
        <v>1</v>
      </c>
      <c r="P39" s="79" t="n">
        <f aca="false">IF(AND(P26&gt;=O26,P31&lt;O31-0.01),0,1)</f>
        <v>1</v>
      </c>
      <c r="Q39" s="79" t="n">
        <f aca="false">IF(AND(Q26&gt;=P26,Q31&lt;P31-0.01),0,1)</f>
        <v>1</v>
      </c>
      <c r="R39" s="79" t="n">
        <f aca="false">IF(AND(R26&gt;=Q26,R31&lt;Q31-0.01),0,1)</f>
        <v>1</v>
      </c>
      <c r="S39" s="79" t="n">
        <f aca="false">IF(AND(S26&gt;=R26,S31&lt;R31-0.01),0,1)</f>
        <v>1</v>
      </c>
      <c r="T39" s="79" t="n">
        <f aca="false">IF(AND(T26&gt;=S26,T31&lt;S31-0.01),0,1)</f>
        <v>1</v>
      </c>
      <c r="U39" s="79" t="n">
        <f aca="false">IF(AND(U26&gt;=T26,U31&lt;T31-0.01),0,1)</f>
        <v>1</v>
      </c>
      <c r="V39" s="79" t="n">
        <f aca="false">IF(AND(V26&gt;=U26,V31&lt;U31-0.01),0,1)</f>
        <v>1</v>
      </c>
      <c r="W39" s="79" t="n">
        <f aca="false">IF(AND(W26&gt;=V26,W31&lt;V31-0.01),0,1)</f>
        <v>1</v>
      </c>
      <c r="X39" s="79" t="n">
        <f aca="false">IF(AND(X26&gt;=W26,X31&lt;W31-0.01),0,1)</f>
        <v>1</v>
      </c>
      <c r="Y39" s="79" t="n">
        <f aca="false">IF(AND(Y26&gt;=X26,Y31&lt;X31-0.01),0,1)</f>
        <v>1</v>
      </c>
      <c r="Z39" s="79" t="n">
        <f aca="false">IF(AND(Z26&gt;=Y26,Z31&lt;Y31-0.01),0,1)</f>
        <v>1</v>
      </c>
      <c r="AA39" s="79" t="n">
        <f aca="false">IF(AND(AA26&gt;=Z26,AA31&lt;Z31-0.01),0,1)</f>
        <v>1</v>
      </c>
      <c r="AB39" s="79" t="n">
        <f aca="false">IF(AND(AB26&gt;=AA26,AB31&lt;AA31-0.01),0,1)</f>
        <v>1</v>
      </c>
      <c r="AC39" s="79" t="n">
        <f aca="false">IF(AND(AC26&gt;=AB26,AC31&lt;AB31-0.01),0,1)</f>
        <v>1</v>
      </c>
      <c r="AD39" s="79" t="n">
        <f aca="false">IF(AND(AD26&gt;=AC26,AD31&lt;AC31-0.01),0,1)</f>
        <v>1</v>
      </c>
      <c r="AE39" s="79" t="n">
        <f aca="false">IF(AND(AE26&gt;=AD26,AE31&lt;AD31-0.01),0,1)</f>
        <v>1</v>
      </c>
      <c r="AF39" s="79" t="n">
        <f aca="false">IF(AND(AF26&gt;=AE26,AF31&lt;AE31-0.01),0,1)</f>
        <v>1</v>
      </c>
      <c r="AG39" s="79" t="n">
        <f aca="false">IF(AND(AG26&gt;=AF26,AG31&lt;AF31-0.01),0,1)</f>
        <v>1</v>
      </c>
      <c r="AH39" s="79" t="n">
        <f aca="false">IF(AND(AH26&gt;=AG26,AH31&lt;AG31-0.01),0,1)</f>
        <v>1</v>
      </c>
      <c r="AI39" s="79" t="n">
        <f aca="false">IF(AND(AI26&gt;=AH26,AI31&lt;AH31-0.01),0,1)</f>
        <v>1</v>
      </c>
      <c r="AJ39" s="79" t="n">
        <f aca="false">IF(AND(AJ26&gt;=AI26,AJ31&lt;AI31-0.01),0,1)</f>
        <v>1</v>
      </c>
      <c r="AK39" s="79" t="n">
        <f aca="false">IF(AND(AK26&gt;=AJ26,AK31&lt;AJ31-0.01),0,1)</f>
        <v>1</v>
      </c>
      <c r="AL39" s="79" t="n">
        <f aca="false">IF(AND(AL26&gt;=AK26,AL31&lt;AK31-0.01),0,1)</f>
        <v>1</v>
      </c>
      <c r="AM39" s="79" t="n">
        <f aca="false">IF(AND(AM26&gt;=AL26,AM31&lt;AL31-0.01),0,1)</f>
        <v>1</v>
      </c>
      <c r="AN39" s="79" t="n">
        <f aca="false">IF(AND(AN26&gt;=AM26,AN31&lt;AM31-0.01),0,1)</f>
        <v>1</v>
      </c>
      <c r="AO39" s="79" t="n">
        <f aca="false">IF(AND(AO26&gt;=AN26,AO31&lt;AN31-0.01),0,1)</f>
        <v>1</v>
      </c>
      <c r="AP39" s="79" t="n">
        <f aca="false">IF(AND(AP26&gt;=AO26,AP31&lt;AO31-0.01),0,1)</f>
        <v>1</v>
      </c>
      <c r="AQ39" s="79" t="n">
        <f aca="false">IF(AND(AQ26&gt;=AP26,AQ31&lt;AP31-0.01),0,1)</f>
        <v>1</v>
      </c>
      <c r="AR39" s="79" t="n">
        <f aca="false">IF(AND(AR26&gt;=AQ26,AR31&lt;AQ31-0.01),0,1)</f>
        <v>1</v>
      </c>
      <c r="AS39" s="79" t="n">
        <f aca="false">IF(AND(AS26&gt;=AR26,AS31&lt;AR31-0.01),0,1)</f>
        <v>1</v>
      </c>
      <c r="AT39" s="79" t="n">
        <f aca="false">IF(AND(AT26&gt;=AS26,AT31&lt;AS31-0.01),0,1)</f>
        <v>1</v>
      </c>
      <c r="AU39" s="79" t="n">
        <f aca="false">IF(AND(AU26&gt;=AT26,AU31&lt;AT31-0.01),0,1)</f>
        <v>1</v>
      </c>
      <c r="AV39" s="79" t="n">
        <f aca="false">IF(AND(AV26&gt;=AU26,AV31&lt;AU31-0.01),0,1)</f>
        <v>1</v>
      </c>
      <c r="AW39" s="79" t="n">
        <f aca="false">IF(AND(AW26&gt;=AV26,AW31&lt;AV31-0.01),0,1)</f>
        <v>1</v>
      </c>
      <c r="AX39" s="79" t="n">
        <f aca="false">IF(AND(AX26&gt;=AW26,AX31&lt;AW31-0.01),0,1)</f>
        <v>1</v>
      </c>
      <c r="AY39" s="79" t="n">
        <f aca="false">IF(AND(AY26&gt;=AX26,AY31&lt;AX31-0.01),0,1)</f>
        <v>1</v>
      </c>
      <c r="AZ39" s="79" t="n">
        <f aca="false">IF(AND(AZ26&gt;=AY26,AZ31&lt;AY31-0.01),0,1)</f>
        <v>1</v>
      </c>
      <c r="BA39" s="79" t="n">
        <f aca="false">IF(AND(BA26&gt;=AZ26,BA31&lt;AZ31-0.01),0,1)</f>
        <v>1</v>
      </c>
      <c r="BB39" s="79" t="n">
        <f aca="false">IF(AND(BB26&gt;=BA26,BB31&lt;BA31-0.01),0,1)</f>
        <v>1</v>
      </c>
      <c r="BC39" s="79" t="n">
        <f aca="false">IF(AND(BC26&gt;=BB26,BC31&lt;BB31-0.01),0,1)</f>
        <v>1</v>
      </c>
      <c r="BD39" s="79" t="n">
        <f aca="false">IF(AND(BD26&gt;=BC26,BD31&lt;BC31-0.01),0,1)</f>
        <v>1</v>
      </c>
      <c r="BE39" s="79" t="n">
        <f aca="false">IF(AND(BE26&gt;=BD26,BE31&lt;BD31-0.01),0,1)</f>
        <v>1</v>
      </c>
      <c r="BF39" s="79" t="n">
        <f aca="false">IF(AND(BF26&gt;=BE26,BF31&lt;BE31-0.01),0,1)</f>
        <v>1</v>
      </c>
      <c r="BG39" s="79" t="n">
        <f aca="false">IF(AND(BG26&gt;=BF26,BG31&lt;BF31-0.01),0,1)</f>
        <v>1</v>
      </c>
      <c r="BH39" s="79" t="n">
        <f aca="false">IF(AND(BH26&gt;=BG26,BH31&lt;BG31-0.01),0,1)</f>
        <v>1</v>
      </c>
      <c r="BI39" s="79" t="n">
        <f aca="false">IF(AND(BI26&gt;=BH26,BI31&lt;BH31-0.01),0,1)</f>
        <v>1</v>
      </c>
      <c r="BJ39" s="79" t="n">
        <f aca="false">IF(AND(BJ26&gt;=BI26,BJ31&lt;BI31-0.01),0,1)</f>
        <v>1</v>
      </c>
      <c r="BK39" s="79" t="n">
        <f aca="false">IF(AND(BK26&gt;=BJ26,BK31&lt;BJ31-0.01),0,1)</f>
        <v>1</v>
      </c>
      <c r="BL39" s="79" t="n">
        <f aca="false">IF(AND(BL26&gt;=BK26,BL31&lt;BK31-0.01),0,1)</f>
        <v>1</v>
      </c>
      <c r="BM39" s="117" t="str">
        <f aca="false">IF(MIN(E39:BL39)=1,"✔ monotônica","⚠ a conta caiu com a base subindo")</f>
        <v>✔ monotônica</v>
      </c>
      <c r="BN39" s="35" t="s">
        <v>277</v>
      </c>
    </row>
    <row r="41" customFormat="false" ht="30" hidden="false" customHeight="true" outlineLevel="0" collapsed="false">
      <c r="A41" s="5" t="s">
        <v>278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</row>
  </sheetData>
  <mergeCells count="10">
    <mergeCell ref="D9:N9"/>
    <mergeCell ref="D10:N10"/>
    <mergeCell ref="D14:L14"/>
    <mergeCell ref="D15:L15"/>
    <mergeCell ref="D16:L16"/>
    <mergeCell ref="D17:L17"/>
    <mergeCell ref="D18:L18"/>
    <mergeCell ref="D19:L19"/>
    <mergeCell ref="A21:L21"/>
    <mergeCell ref="A41:L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BN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64" min="5" style="0" width="11"/>
    <col collapsed="false" customWidth="true" hidden="false" outlineLevel="0" max="65" min="65" style="0" width="15"/>
    <col collapsed="false" customWidth="true" hidden="false" outlineLevel="0" max="66" min="66" style="0" width="62"/>
  </cols>
  <sheetData>
    <row r="1" customFormat="false" ht="25.5" hidden="false" customHeight="true" outlineLevel="0" collapsed="false">
      <c r="A1" s="1" t="s">
        <v>279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customFormat="false" ht="15" hidden="false" customHeight="true" outlineLevel="0" collapsed="false">
      <c r="A2" s="3" t="s">
        <v>280</v>
      </c>
    </row>
    <row r="4" customFormat="false" ht="24" hidden="false" customHeight="true" outlineLevel="0" collapsed="false">
      <c r="A4" s="57" t="s">
        <v>117</v>
      </c>
      <c r="B4" s="58" t="s">
        <v>118</v>
      </c>
      <c r="C4" s="58" t="s">
        <v>119</v>
      </c>
      <c r="D4" s="58" t="s">
        <v>120</v>
      </c>
      <c r="E4" s="59" t="n">
        <v>46023</v>
      </c>
      <c r="F4" s="59" t="n">
        <v>46054</v>
      </c>
      <c r="G4" s="59" t="n">
        <v>46082</v>
      </c>
      <c r="H4" s="59" t="n">
        <v>46113</v>
      </c>
      <c r="I4" s="59" t="n">
        <v>46143</v>
      </c>
      <c r="J4" s="59" t="n">
        <v>46174</v>
      </c>
      <c r="K4" s="59" t="n">
        <v>46204</v>
      </c>
      <c r="L4" s="59" t="n">
        <v>46235</v>
      </c>
      <c r="M4" s="59" t="n">
        <v>46266</v>
      </c>
      <c r="N4" s="59" t="n">
        <v>46296</v>
      </c>
      <c r="O4" s="59" t="n">
        <v>46327</v>
      </c>
      <c r="P4" s="59" t="n">
        <v>46357</v>
      </c>
      <c r="Q4" s="59" t="n">
        <v>46388</v>
      </c>
      <c r="R4" s="59" t="n">
        <v>46419</v>
      </c>
      <c r="S4" s="59" t="n">
        <v>46447</v>
      </c>
      <c r="T4" s="59" t="n">
        <v>46478</v>
      </c>
      <c r="U4" s="59" t="n">
        <v>46508</v>
      </c>
      <c r="V4" s="59" t="n">
        <v>46539</v>
      </c>
      <c r="W4" s="59" t="n">
        <v>46569</v>
      </c>
      <c r="X4" s="59" t="n">
        <v>46600</v>
      </c>
      <c r="Y4" s="59" t="n">
        <v>46631</v>
      </c>
      <c r="Z4" s="59" t="n">
        <v>46661</v>
      </c>
      <c r="AA4" s="59" t="n">
        <v>46692</v>
      </c>
      <c r="AB4" s="59" t="n">
        <v>46722</v>
      </c>
      <c r="AC4" s="59" t="n">
        <v>46753</v>
      </c>
      <c r="AD4" s="59" t="n">
        <v>46784</v>
      </c>
      <c r="AE4" s="59" t="n">
        <v>46813</v>
      </c>
      <c r="AF4" s="59" t="n">
        <v>46844</v>
      </c>
      <c r="AG4" s="59" t="n">
        <v>46874</v>
      </c>
      <c r="AH4" s="59" t="n">
        <v>46905</v>
      </c>
      <c r="AI4" s="59" t="n">
        <v>46935</v>
      </c>
      <c r="AJ4" s="59" t="n">
        <v>46966</v>
      </c>
      <c r="AK4" s="59" t="n">
        <v>46997</v>
      </c>
      <c r="AL4" s="59" t="n">
        <v>47027</v>
      </c>
      <c r="AM4" s="59" t="n">
        <v>47058</v>
      </c>
      <c r="AN4" s="59" t="n">
        <v>47088</v>
      </c>
      <c r="AO4" s="59" t="n">
        <v>47119</v>
      </c>
      <c r="AP4" s="59" t="n">
        <v>47150</v>
      </c>
      <c r="AQ4" s="59" t="n">
        <v>47178</v>
      </c>
      <c r="AR4" s="59" t="n">
        <v>47209</v>
      </c>
      <c r="AS4" s="59" t="n">
        <v>47239</v>
      </c>
      <c r="AT4" s="59" t="n">
        <v>47270</v>
      </c>
      <c r="AU4" s="59" t="n">
        <v>47300</v>
      </c>
      <c r="AV4" s="59" t="n">
        <v>47331</v>
      </c>
      <c r="AW4" s="59" t="n">
        <v>47362</v>
      </c>
      <c r="AX4" s="59" t="n">
        <v>47392</v>
      </c>
      <c r="AY4" s="59" t="n">
        <v>47423</v>
      </c>
      <c r="AZ4" s="59" t="n">
        <v>47453</v>
      </c>
      <c r="BA4" s="59" t="n">
        <v>47484</v>
      </c>
      <c r="BB4" s="59" t="n">
        <v>47515</v>
      </c>
      <c r="BC4" s="59" t="n">
        <v>47543</v>
      </c>
      <c r="BD4" s="59" t="n">
        <v>47574</v>
      </c>
      <c r="BE4" s="59" t="n">
        <v>47604</v>
      </c>
      <c r="BF4" s="59" t="n">
        <v>47635</v>
      </c>
      <c r="BG4" s="59" t="n">
        <v>47665</v>
      </c>
      <c r="BH4" s="59" t="n">
        <v>47696</v>
      </c>
      <c r="BI4" s="59" t="n">
        <v>47727</v>
      </c>
      <c r="BJ4" s="59" t="n">
        <v>47757</v>
      </c>
      <c r="BK4" s="59" t="n">
        <v>47788</v>
      </c>
      <c r="BL4" s="59" t="n">
        <v>47818</v>
      </c>
      <c r="BM4" s="27" t="s">
        <v>121</v>
      </c>
      <c r="BN4" s="27" t="s">
        <v>122</v>
      </c>
    </row>
    <row r="5" customFormat="false" ht="15" hidden="false" customHeight="false" outlineLevel="0" collapsed="false">
      <c r="A5" s="60" t="s">
        <v>123</v>
      </c>
      <c r="E5" s="61" t="n">
        <v>1</v>
      </c>
      <c r="F5" s="61" t="n">
        <v>2</v>
      </c>
      <c r="G5" s="61" t="n">
        <v>3</v>
      </c>
      <c r="H5" s="61" t="n">
        <v>4</v>
      </c>
      <c r="I5" s="61" t="n">
        <v>5</v>
      </c>
      <c r="J5" s="61" t="n">
        <v>6</v>
      </c>
      <c r="K5" s="61" t="n">
        <v>7</v>
      </c>
      <c r="L5" s="61" t="n">
        <v>8</v>
      </c>
      <c r="M5" s="61" t="n">
        <v>9</v>
      </c>
      <c r="N5" s="61" t="n">
        <v>10</v>
      </c>
      <c r="O5" s="61" t="n">
        <v>11</v>
      </c>
      <c r="P5" s="61" t="n">
        <v>12</v>
      </c>
      <c r="Q5" s="61" t="n">
        <v>13</v>
      </c>
      <c r="R5" s="61" t="n">
        <v>14</v>
      </c>
      <c r="S5" s="61" t="n">
        <v>15</v>
      </c>
      <c r="T5" s="61" t="n">
        <v>16</v>
      </c>
      <c r="U5" s="61" t="n">
        <v>17</v>
      </c>
      <c r="V5" s="61" t="n">
        <v>18</v>
      </c>
      <c r="W5" s="61" t="n">
        <v>19</v>
      </c>
      <c r="X5" s="61" t="n">
        <v>20</v>
      </c>
      <c r="Y5" s="61" t="n">
        <v>21</v>
      </c>
      <c r="Z5" s="61" t="n">
        <v>22</v>
      </c>
      <c r="AA5" s="61" t="n">
        <v>23</v>
      </c>
      <c r="AB5" s="61" t="n">
        <v>24</v>
      </c>
      <c r="AC5" s="61" t="n">
        <v>25</v>
      </c>
      <c r="AD5" s="61" t="n">
        <v>26</v>
      </c>
      <c r="AE5" s="61" t="n">
        <v>27</v>
      </c>
      <c r="AF5" s="61" t="n">
        <v>28</v>
      </c>
      <c r="AG5" s="61" t="n">
        <v>29</v>
      </c>
      <c r="AH5" s="61" t="n">
        <v>30</v>
      </c>
      <c r="AI5" s="61" t="n">
        <v>31</v>
      </c>
      <c r="AJ5" s="61" t="n">
        <v>32</v>
      </c>
      <c r="AK5" s="61" t="n">
        <v>33</v>
      </c>
      <c r="AL5" s="61" t="n">
        <v>34</v>
      </c>
      <c r="AM5" s="61" t="n">
        <v>35</v>
      </c>
      <c r="AN5" s="61" t="n">
        <v>36</v>
      </c>
      <c r="AO5" s="61" t="n">
        <v>37</v>
      </c>
      <c r="AP5" s="61" t="n">
        <v>38</v>
      </c>
      <c r="AQ5" s="61" t="n">
        <v>39</v>
      </c>
      <c r="AR5" s="61" t="n">
        <v>40</v>
      </c>
      <c r="AS5" s="61" t="n">
        <v>41</v>
      </c>
      <c r="AT5" s="61" t="n">
        <v>42</v>
      </c>
      <c r="AU5" s="61" t="n">
        <v>43</v>
      </c>
      <c r="AV5" s="61" t="n">
        <v>44</v>
      </c>
      <c r="AW5" s="61" t="n">
        <v>45</v>
      </c>
      <c r="AX5" s="61" t="n">
        <v>46</v>
      </c>
      <c r="AY5" s="61" t="n">
        <v>47</v>
      </c>
      <c r="AZ5" s="61" t="n">
        <v>48</v>
      </c>
      <c r="BA5" s="61" t="n">
        <v>49</v>
      </c>
      <c r="BB5" s="61" t="n">
        <v>50</v>
      </c>
      <c r="BC5" s="61" t="n">
        <v>51</v>
      </c>
      <c r="BD5" s="61" t="n">
        <v>52</v>
      </c>
      <c r="BE5" s="61" t="n">
        <v>53</v>
      </c>
      <c r="BF5" s="61" t="n">
        <v>54</v>
      </c>
      <c r="BG5" s="61" t="n">
        <v>55</v>
      </c>
      <c r="BH5" s="61" t="n">
        <v>56</v>
      </c>
      <c r="BI5" s="61" t="n">
        <v>57</v>
      </c>
      <c r="BJ5" s="61" t="n">
        <v>58</v>
      </c>
      <c r="BK5" s="61" t="n">
        <v>59</v>
      </c>
      <c r="BL5" s="61" t="n">
        <v>60</v>
      </c>
    </row>
    <row r="6" customFormat="false" ht="15" hidden="false" customHeight="false" outlineLevel="0" collapsed="false">
      <c r="A6" s="60" t="s">
        <v>124</v>
      </c>
      <c r="E6" s="62" t="n">
        <f aca="false">YEAR(E4)</f>
        <v>2026</v>
      </c>
      <c r="F6" s="62" t="n">
        <f aca="false">YEAR(F4)</f>
        <v>2026</v>
      </c>
      <c r="G6" s="62" t="n">
        <f aca="false">YEAR(G4)</f>
        <v>2026</v>
      </c>
      <c r="H6" s="62" t="n">
        <f aca="false">YEAR(H4)</f>
        <v>2026</v>
      </c>
      <c r="I6" s="62" t="n">
        <f aca="false">YEAR(I4)</f>
        <v>2026</v>
      </c>
      <c r="J6" s="62" t="n">
        <f aca="false">YEAR(J4)</f>
        <v>2026</v>
      </c>
      <c r="K6" s="62" t="n">
        <f aca="false">YEAR(K4)</f>
        <v>2026</v>
      </c>
      <c r="L6" s="62" t="n">
        <f aca="false">YEAR(L4)</f>
        <v>2026</v>
      </c>
      <c r="M6" s="62" t="n">
        <f aca="false">YEAR(M4)</f>
        <v>2026</v>
      </c>
      <c r="N6" s="62" t="n">
        <f aca="false">YEAR(N4)</f>
        <v>2026</v>
      </c>
      <c r="O6" s="62" t="n">
        <f aca="false">YEAR(O4)</f>
        <v>2026</v>
      </c>
      <c r="P6" s="62" t="n">
        <f aca="false">YEAR(P4)</f>
        <v>2026</v>
      </c>
      <c r="Q6" s="62" t="n">
        <f aca="false">YEAR(Q4)</f>
        <v>2027</v>
      </c>
      <c r="R6" s="62" t="n">
        <f aca="false">YEAR(R4)</f>
        <v>2027</v>
      </c>
      <c r="S6" s="62" t="n">
        <f aca="false">YEAR(S4)</f>
        <v>2027</v>
      </c>
      <c r="T6" s="62" t="n">
        <f aca="false">YEAR(T4)</f>
        <v>2027</v>
      </c>
      <c r="U6" s="62" t="n">
        <f aca="false">YEAR(U4)</f>
        <v>2027</v>
      </c>
      <c r="V6" s="62" t="n">
        <f aca="false">YEAR(V4)</f>
        <v>2027</v>
      </c>
      <c r="W6" s="62" t="n">
        <f aca="false">YEAR(W4)</f>
        <v>2027</v>
      </c>
      <c r="X6" s="62" t="n">
        <f aca="false">YEAR(X4)</f>
        <v>2027</v>
      </c>
      <c r="Y6" s="62" t="n">
        <f aca="false">YEAR(Y4)</f>
        <v>2027</v>
      </c>
      <c r="Z6" s="62" t="n">
        <f aca="false">YEAR(Z4)</f>
        <v>2027</v>
      </c>
      <c r="AA6" s="62" t="n">
        <f aca="false">YEAR(AA4)</f>
        <v>2027</v>
      </c>
      <c r="AB6" s="62" t="n">
        <f aca="false">YEAR(AB4)</f>
        <v>2027</v>
      </c>
      <c r="AC6" s="62" t="n">
        <f aca="false">YEAR(AC4)</f>
        <v>2028</v>
      </c>
      <c r="AD6" s="62" t="n">
        <f aca="false">YEAR(AD4)</f>
        <v>2028</v>
      </c>
      <c r="AE6" s="62" t="n">
        <f aca="false">YEAR(AE4)</f>
        <v>2028</v>
      </c>
      <c r="AF6" s="62" t="n">
        <f aca="false">YEAR(AF4)</f>
        <v>2028</v>
      </c>
      <c r="AG6" s="62" t="n">
        <f aca="false">YEAR(AG4)</f>
        <v>2028</v>
      </c>
      <c r="AH6" s="62" t="n">
        <f aca="false">YEAR(AH4)</f>
        <v>2028</v>
      </c>
      <c r="AI6" s="62" t="n">
        <f aca="false">YEAR(AI4)</f>
        <v>2028</v>
      </c>
      <c r="AJ6" s="62" t="n">
        <f aca="false">YEAR(AJ4)</f>
        <v>2028</v>
      </c>
      <c r="AK6" s="62" t="n">
        <f aca="false">YEAR(AK4)</f>
        <v>2028</v>
      </c>
      <c r="AL6" s="62" t="n">
        <f aca="false">YEAR(AL4)</f>
        <v>2028</v>
      </c>
      <c r="AM6" s="62" t="n">
        <f aca="false">YEAR(AM4)</f>
        <v>2028</v>
      </c>
      <c r="AN6" s="62" t="n">
        <f aca="false">YEAR(AN4)</f>
        <v>2028</v>
      </c>
      <c r="AO6" s="62" t="n">
        <f aca="false">YEAR(AO4)</f>
        <v>2029</v>
      </c>
      <c r="AP6" s="62" t="n">
        <f aca="false">YEAR(AP4)</f>
        <v>2029</v>
      </c>
      <c r="AQ6" s="62" t="n">
        <f aca="false">YEAR(AQ4)</f>
        <v>2029</v>
      </c>
      <c r="AR6" s="62" t="n">
        <f aca="false">YEAR(AR4)</f>
        <v>2029</v>
      </c>
      <c r="AS6" s="62" t="n">
        <f aca="false">YEAR(AS4)</f>
        <v>2029</v>
      </c>
      <c r="AT6" s="62" t="n">
        <f aca="false">YEAR(AT4)</f>
        <v>2029</v>
      </c>
      <c r="AU6" s="62" t="n">
        <f aca="false">YEAR(AU4)</f>
        <v>2029</v>
      </c>
      <c r="AV6" s="62" t="n">
        <f aca="false">YEAR(AV4)</f>
        <v>2029</v>
      </c>
      <c r="AW6" s="62" t="n">
        <f aca="false">YEAR(AW4)</f>
        <v>2029</v>
      </c>
      <c r="AX6" s="62" t="n">
        <f aca="false">YEAR(AX4)</f>
        <v>2029</v>
      </c>
      <c r="AY6" s="62" t="n">
        <f aca="false">YEAR(AY4)</f>
        <v>2029</v>
      </c>
      <c r="AZ6" s="62" t="n">
        <f aca="false">YEAR(AZ4)</f>
        <v>2029</v>
      </c>
      <c r="BA6" s="62" t="n">
        <f aca="false">YEAR(BA4)</f>
        <v>2030</v>
      </c>
      <c r="BB6" s="62" t="n">
        <f aca="false">YEAR(BB4)</f>
        <v>2030</v>
      </c>
      <c r="BC6" s="62" t="n">
        <f aca="false">YEAR(BC4)</f>
        <v>2030</v>
      </c>
      <c r="BD6" s="62" t="n">
        <f aca="false">YEAR(BD4)</f>
        <v>2030</v>
      </c>
      <c r="BE6" s="62" t="n">
        <f aca="false">YEAR(BE4)</f>
        <v>2030</v>
      </c>
      <c r="BF6" s="62" t="n">
        <f aca="false">YEAR(BF4)</f>
        <v>2030</v>
      </c>
      <c r="BG6" s="62" t="n">
        <f aca="false">YEAR(BG4)</f>
        <v>2030</v>
      </c>
      <c r="BH6" s="62" t="n">
        <f aca="false">YEAR(BH4)</f>
        <v>2030</v>
      </c>
      <c r="BI6" s="62" t="n">
        <f aca="false">YEAR(BI4)</f>
        <v>2030</v>
      </c>
      <c r="BJ6" s="62" t="n">
        <f aca="false">YEAR(BJ4)</f>
        <v>2030</v>
      </c>
      <c r="BK6" s="62" t="n">
        <f aca="false">YEAR(BK4)</f>
        <v>2030</v>
      </c>
      <c r="BL6" s="62" t="n">
        <f aca="false">YEAR(BL4)</f>
        <v>2030</v>
      </c>
    </row>
    <row r="8" customFormat="false" ht="15" hidden="false" customHeight="true" outlineLevel="0" collapsed="false">
      <c r="A8" s="107" t="s">
        <v>281</v>
      </c>
      <c r="B8" s="100" t="n">
        <v>1</v>
      </c>
      <c r="D8" s="66" t="s">
        <v>282</v>
      </c>
      <c r="E8" s="66"/>
      <c r="F8" s="66"/>
      <c r="G8" s="66"/>
      <c r="H8" s="66"/>
      <c r="I8" s="66"/>
      <c r="J8" s="66"/>
      <c r="K8" s="66"/>
      <c r="L8" s="66"/>
    </row>
    <row r="10" customFormat="false" ht="18" hidden="false" customHeight="true" outlineLevel="0" collapsed="false">
      <c r="A10" s="19" t="s">
        <v>283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</row>
    <row r="11" customFormat="false" ht="30" hidden="false" customHeight="true" outlineLevel="0" collapsed="false">
      <c r="A11" s="118" t="s">
        <v>284</v>
      </c>
      <c r="B11" s="118" t="s">
        <v>285</v>
      </c>
      <c r="C11" s="118" t="s">
        <v>286</v>
      </c>
      <c r="D11" s="118" t="s">
        <v>287</v>
      </c>
      <c r="E11" s="118" t="s">
        <v>288</v>
      </c>
      <c r="F11" s="118" t="s">
        <v>289</v>
      </c>
      <c r="G11" s="118" t="s">
        <v>290</v>
      </c>
      <c r="H11" s="118" t="s">
        <v>291</v>
      </c>
      <c r="I11" s="118" t="s">
        <v>292</v>
      </c>
      <c r="J11" s="118" t="s">
        <v>293</v>
      </c>
    </row>
    <row r="12" customFormat="false" ht="15" hidden="false" customHeight="false" outlineLevel="0" collapsed="false">
      <c r="A12" s="119" t="s">
        <v>294</v>
      </c>
      <c r="B12" s="120" t="s">
        <v>295</v>
      </c>
      <c r="C12" s="120" t="s">
        <v>296</v>
      </c>
      <c r="D12" s="70" t="n">
        <v>1</v>
      </c>
      <c r="E12" s="98" t="n">
        <v>10500</v>
      </c>
      <c r="F12" s="69" t="n">
        <v>0</v>
      </c>
      <c r="G12" s="121" t="n">
        <f aca="false">$D12*$E12*(1+$F12)</f>
        <v>10500</v>
      </c>
      <c r="H12" s="122" t="n">
        <v>46266</v>
      </c>
      <c r="I12" s="122" t="n">
        <v>46296</v>
      </c>
      <c r="J12" s="120" t="s">
        <v>297</v>
      </c>
    </row>
    <row r="13" customFormat="false" ht="15" hidden="false" customHeight="false" outlineLevel="0" collapsed="false">
      <c r="A13" s="119" t="s">
        <v>298</v>
      </c>
      <c r="B13" s="120" t="s">
        <v>295</v>
      </c>
      <c r="C13" s="120" t="s">
        <v>299</v>
      </c>
      <c r="D13" s="70" t="n">
        <v>2</v>
      </c>
      <c r="E13" s="98" t="n">
        <v>9000</v>
      </c>
      <c r="F13" s="69" t="n">
        <v>0</v>
      </c>
      <c r="G13" s="121" t="n">
        <f aca="false">$D13*$E13*(1+$F13)</f>
        <v>18000</v>
      </c>
      <c r="H13" s="122" t="n">
        <v>46388</v>
      </c>
      <c r="I13" s="122" t="n">
        <v>47818</v>
      </c>
      <c r="J13" s="120" t="s">
        <v>300</v>
      </c>
    </row>
    <row r="14" customFormat="false" ht="15" hidden="false" customHeight="false" outlineLevel="0" collapsed="false">
      <c r="A14" s="119" t="s">
        <v>301</v>
      </c>
      <c r="B14" s="120" t="s">
        <v>295</v>
      </c>
      <c r="C14" s="120" t="s">
        <v>299</v>
      </c>
      <c r="D14" s="70" t="n">
        <v>3</v>
      </c>
      <c r="E14" s="98" t="n">
        <v>9500</v>
      </c>
      <c r="F14" s="69" t="n">
        <v>0</v>
      </c>
      <c r="G14" s="121" t="n">
        <f aca="false">$D14*$E14*(1+$F14)</f>
        <v>28500</v>
      </c>
      <c r="H14" s="122" t="n">
        <v>46753</v>
      </c>
      <c r="I14" s="122" t="n">
        <v>47818</v>
      </c>
      <c r="J14" s="120" t="s">
        <v>300</v>
      </c>
    </row>
    <row r="15" customFormat="false" ht="15" hidden="false" customHeight="false" outlineLevel="0" collapsed="false">
      <c r="A15" s="119" t="s">
        <v>302</v>
      </c>
      <c r="B15" s="120" t="s">
        <v>295</v>
      </c>
      <c r="C15" s="120" t="s">
        <v>299</v>
      </c>
      <c r="D15" s="70" t="n">
        <v>5</v>
      </c>
      <c r="E15" s="98" t="n">
        <v>10000</v>
      </c>
      <c r="F15" s="69" t="n">
        <v>0</v>
      </c>
      <c r="G15" s="121" t="n">
        <f aca="false">$D15*$E15*(1+$F15)</f>
        <v>50000</v>
      </c>
      <c r="H15" s="122" t="n">
        <v>47119</v>
      </c>
      <c r="I15" s="122" t="n">
        <v>47818</v>
      </c>
      <c r="J15" s="120" t="s">
        <v>300</v>
      </c>
    </row>
    <row r="16" customFormat="false" ht="15" hidden="false" customHeight="false" outlineLevel="0" collapsed="false">
      <c r="A16" s="119" t="s">
        <v>303</v>
      </c>
      <c r="B16" s="120" t="s">
        <v>295</v>
      </c>
      <c r="C16" s="120" t="s">
        <v>299</v>
      </c>
      <c r="D16" s="70" t="n">
        <v>6</v>
      </c>
      <c r="E16" s="98" t="n">
        <v>10500</v>
      </c>
      <c r="F16" s="69" t="n">
        <v>0</v>
      </c>
      <c r="G16" s="121" t="n">
        <f aca="false">$D16*$E16*(1+$F16)</f>
        <v>63000</v>
      </c>
      <c r="H16" s="122" t="n">
        <v>47484</v>
      </c>
      <c r="I16" s="122" t="n">
        <v>47818</v>
      </c>
      <c r="J16" s="120" t="s">
        <v>300</v>
      </c>
    </row>
    <row r="17" customFormat="false" ht="15" hidden="false" customHeight="false" outlineLevel="0" collapsed="false">
      <c r="A17" s="119" t="s">
        <v>304</v>
      </c>
      <c r="B17" s="120" t="s">
        <v>295</v>
      </c>
      <c r="C17" s="120" t="s">
        <v>299</v>
      </c>
      <c r="D17" s="70" t="n">
        <v>1</v>
      </c>
      <c r="E17" s="98" t="n">
        <v>3500</v>
      </c>
      <c r="F17" s="69" t="n">
        <v>0</v>
      </c>
      <c r="G17" s="121" t="n">
        <f aca="false">$D17*$E17*(1+$F17)</f>
        <v>3500</v>
      </c>
      <c r="H17" s="122" t="n">
        <v>46388</v>
      </c>
      <c r="I17" s="122" t="n">
        <v>47818</v>
      </c>
      <c r="J17" s="120" t="s">
        <v>300</v>
      </c>
    </row>
    <row r="18" customFormat="false" ht="15" hidden="false" customHeight="false" outlineLevel="0" collapsed="false">
      <c r="A18" s="119" t="s">
        <v>305</v>
      </c>
      <c r="B18" s="120" t="s">
        <v>295</v>
      </c>
      <c r="C18" s="120" t="s">
        <v>299</v>
      </c>
      <c r="D18" s="70" t="n">
        <v>3</v>
      </c>
      <c r="E18" s="98" t="n">
        <v>3500</v>
      </c>
      <c r="F18" s="69" t="n">
        <v>0</v>
      </c>
      <c r="G18" s="121" t="n">
        <f aca="false">$D18*$E18*(1+$F18)</f>
        <v>10500</v>
      </c>
      <c r="H18" s="122" t="n">
        <v>46753</v>
      </c>
      <c r="I18" s="122" t="n">
        <v>47818</v>
      </c>
      <c r="J18" s="120" t="s">
        <v>300</v>
      </c>
    </row>
    <row r="19" customFormat="false" ht="15" hidden="false" customHeight="false" outlineLevel="0" collapsed="false">
      <c r="A19" s="119" t="s">
        <v>306</v>
      </c>
      <c r="B19" s="120" t="s">
        <v>295</v>
      </c>
      <c r="C19" s="120" t="s">
        <v>299</v>
      </c>
      <c r="D19" s="70" t="n">
        <v>6</v>
      </c>
      <c r="E19" s="98" t="n">
        <v>3800</v>
      </c>
      <c r="F19" s="69" t="n">
        <v>0</v>
      </c>
      <c r="G19" s="121" t="n">
        <f aca="false">$D19*$E19*(1+$F19)</f>
        <v>22800</v>
      </c>
      <c r="H19" s="122" t="n">
        <v>47119</v>
      </c>
      <c r="I19" s="122" t="n">
        <v>47818</v>
      </c>
      <c r="J19" s="120" t="s">
        <v>300</v>
      </c>
    </row>
    <row r="20" customFormat="false" ht="15" hidden="false" customHeight="false" outlineLevel="0" collapsed="false">
      <c r="A20" s="119" t="s">
        <v>307</v>
      </c>
      <c r="B20" s="120" t="s">
        <v>295</v>
      </c>
      <c r="C20" s="120" t="s">
        <v>299</v>
      </c>
      <c r="D20" s="70" t="n">
        <v>8</v>
      </c>
      <c r="E20" s="98" t="n">
        <v>4000</v>
      </c>
      <c r="F20" s="69" t="n">
        <v>0</v>
      </c>
      <c r="G20" s="121" t="n">
        <f aca="false">$D20*$E20*(1+$F20)</f>
        <v>32000</v>
      </c>
      <c r="H20" s="122" t="n">
        <v>47484</v>
      </c>
      <c r="I20" s="122" t="n">
        <v>47818</v>
      </c>
      <c r="J20" s="120" t="s">
        <v>300</v>
      </c>
    </row>
    <row r="21" customFormat="false" ht="15" hidden="false" customHeight="false" outlineLevel="0" collapsed="false">
      <c r="A21" s="119" t="s">
        <v>308</v>
      </c>
      <c r="B21" s="120" t="s">
        <v>295</v>
      </c>
      <c r="C21" s="120" t="s">
        <v>299</v>
      </c>
      <c r="D21" s="70" t="n">
        <v>1</v>
      </c>
      <c r="E21" s="98" t="n">
        <v>6000</v>
      </c>
      <c r="F21" s="69" t="n">
        <v>0</v>
      </c>
      <c r="G21" s="121" t="n">
        <f aca="false">$D21*$E21*(1+$F21)</f>
        <v>6000</v>
      </c>
      <c r="H21" s="122" t="n">
        <v>46388</v>
      </c>
      <c r="I21" s="122" t="n">
        <v>47818</v>
      </c>
      <c r="J21" s="120" t="s">
        <v>300</v>
      </c>
    </row>
    <row r="22" customFormat="false" ht="15" hidden="false" customHeight="false" outlineLevel="0" collapsed="false">
      <c r="A22" s="119" t="s">
        <v>309</v>
      </c>
      <c r="B22" s="120" t="s">
        <v>295</v>
      </c>
      <c r="C22" s="120" t="s">
        <v>299</v>
      </c>
      <c r="D22" s="70" t="n">
        <v>2</v>
      </c>
      <c r="E22" s="98" t="n">
        <v>7000</v>
      </c>
      <c r="F22" s="69" t="n">
        <v>0</v>
      </c>
      <c r="G22" s="121" t="n">
        <f aca="false">$D22*$E22*(1+$F22)</f>
        <v>14000</v>
      </c>
      <c r="H22" s="122" t="n">
        <v>46753</v>
      </c>
      <c r="I22" s="122" t="n">
        <v>47818</v>
      </c>
      <c r="J22" s="120" t="s">
        <v>300</v>
      </c>
    </row>
    <row r="23" customFormat="false" ht="15" hidden="false" customHeight="false" outlineLevel="0" collapsed="false">
      <c r="A23" s="119" t="s">
        <v>310</v>
      </c>
      <c r="B23" s="120" t="s">
        <v>295</v>
      </c>
      <c r="C23" s="120" t="s">
        <v>299</v>
      </c>
      <c r="D23" s="70" t="n">
        <v>3</v>
      </c>
      <c r="E23" s="98" t="n">
        <v>8000</v>
      </c>
      <c r="F23" s="69" t="n">
        <v>0</v>
      </c>
      <c r="G23" s="121" t="n">
        <f aca="false">$D23*$E23*(1+$F23)</f>
        <v>24000</v>
      </c>
      <c r="H23" s="122" t="n">
        <v>47119</v>
      </c>
      <c r="I23" s="122" t="n">
        <v>47818</v>
      </c>
      <c r="J23" s="120" t="s">
        <v>300</v>
      </c>
    </row>
    <row r="24" customFormat="false" ht="15" hidden="false" customHeight="false" outlineLevel="0" collapsed="false">
      <c r="A24" s="119" t="s">
        <v>311</v>
      </c>
      <c r="B24" s="120" t="s">
        <v>295</v>
      </c>
      <c r="C24" s="120" t="s">
        <v>299</v>
      </c>
      <c r="D24" s="70" t="n">
        <v>1</v>
      </c>
      <c r="E24" s="98" t="n">
        <v>10000</v>
      </c>
      <c r="F24" s="69" t="n">
        <v>0</v>
      </c>
      <c r="G24" s="121" t="n">
        <f aca="false">$D24*$E24*(1+$F24)</f>
        <v>10000</v>
      </c>
      <c r="H24" s="122" t="n">
        <v>46753</v>
      </c>
      <c r="I24" s="122" t="n">
        <v>47818</v>
      </c>
      <c r="J24" s="120" t="s">
        <v>300</v>
      </c>
    </row>
    <row r="25" customFormat="false" ht="15" hidden="false" customHeight="false" outlineLevel="0" collapsed="false">
      <c r="A25" s="119" t="s">
        <v>312</v>
      </c>
      <c r="B25" s="120" t="s">
        <v>295</v>
      </c>
      <c r="C25" s="120" t="s">
        <v>299</v>
      </c>
      <c r="D25" s="70" t="n">
        <v>2</v>
      </c>
      <c r="E25" s="98" t="n">
        <v>11000</v>
      </c>
      <c r="F25" s="69" t="n">
        <v>0</v>
      </c>
      <c r="G25" s="121" t="n">
        <f aca="false">$D25*$E25*(1+$F25)</f>
        <v>22000</v>
      </c>
      <c r="H25" s="122" t="n">
        <v>47119</v>
      </c>
      <c r="I25" s="122" t="n">
        <v>47818</v>
      </c>
      <c r="J25" s="120" t="s">
        <v>300</v>
      </c>
    </row>
    <row r="26" customFormat="false" ht="15" hidden="false" customHeight="false" outlineLevel="0" collapsed="false">
      <c r="A26" s="119" t="s">
        <v>313</v>
      </c>
      <c r="B26" s="120" t="s">
        <v>295</v>
      </c>
      <c r="C26" s="120" t="s">
        <v>299</v>
      </c>
      <c r="D26" s="70" t="n">
        <v>1</v>
      </c>
      <c r="E26" s="98" t="n">
        <v>12000</v>
      </c>
      <c r="F26" s="69" t="n">
        <v>0</v>
      </c>
      <c r="G26" s="121" t="n">
        <f aca="false">$D26*$E26*(1+$F26)</f>
        <v>12000</v>
      </c>
      <c r="H26" s="122" t="n">
        <v>46753</v>
      </c>
      <c r="I26" s="122" t="n">
        <v>47818</v>
      </c>
      <c r="J26" s="120" t="s">
        <v>300</v>
      </c>
    </row>
    <row r="27" customFormat="false" ht="15" hidden="false" customHeight="false" outlineLevel="0" collapsed="false">
      <c r="A27" s="119" t="s">
        <v>314</v>
      </c>
      <c r="B27" s="120" t="s">
        <v>295</v>
      </c>
      <c r="C27" s="120" t="s">
        <v>299</v>
      </c>
      <c r="D27" s="70" t="n">
        <v>2</v>
      </c>
      <c r="E27" s="98" t="n">
        <v>13000</v>
      </c>
      <c r="F27" s="69" t="n">
        <v>0</v>
      </c>
      <c r="G27" s="121" t="n">
        <f aca="false">$D27*$E27*(1+$F27)</f>
        <v>26000</v>
      </c>
      <c r="H27" s="122" t="n">
        <v>47484</v>
      </c>
      <c r="I27" s="122" t="n">
        <v>47818</v>
      </c>
      <c r="J27" s="120" t="s">
        <v>300</v>
      </c>
    </row>
    <row r="28" customFormat="false" ht="15" hidden="false" customHeight="false" outlineLevel="0" collapsed="false">
      <c r="A28" s="119" t="s">
        <v>315</v>
      </c>
      <c r="B28" s="120" t="s">
        <v>316</v>
      </c>
      <c r="C28" s="120" t="s">
        <v>299</v>
      </c>
      <c r="D28" s="70" t="n">
        <v>3</v>
      </c>
      <c r="E28" s="98" t="n">
        <v>5000</v>
      </c>
      <c r="F28" s="69" t="n">
        <v>0</v>
      </c>
      <c r="G28" s="121" t="n">
        <f aca="false">$D28*$E28*(1+$F28)</f>
        <v>15000</v>
      </c>
      <c r="H28" s="122" t="n">
        <v>46388</v>
      </c>
      <c r="I28" s="122" t="n">
        <v>47088</v>
      </c>
      <c r="J28" s="120" t="s">
        <v>300</v>
      </c>
    </row>
    <row r="29" customFormat="false" ht="15" hidden="false" customHeight="false" outlineLevel="0" collapsed="false">
      <c r="A29" s="119" t="s">
        <v>317</v>
      </c>
      <c r="B29" s="120" t="s">
        <v>316</v>
      </c>
      <c r="C29" s="120" t="s">
        <v>299</v>
      </c>
      <c r="D29" s="70" t="n">
        <v>4</v>
      </c>
      <c r="E29" s="98" t="n">
        <v>8000</v>
      </c>
      <c r="F29" s="69" t="n">
        <v>0</v>
      </c>
      <c r="G29" s="121" t="n">
        <f aca="false">$D29*$E29*(1+$F29)</f>
        <v>32000</v>
      </c>
      <c r="H29" s="122" t="n">
        <v>47119</v>
      </c>
      <c r="I29" s="122" t="n">
        <v>47818</v>
      </c>
      <c r="J29" s="120" t="s">
        <v>300</v>
      </c>
    </row>
    <row r="30" customFormat="false" ht="15" hidden="false" customHeight="false" outlineLevel="0" collapsed="false">
      <c r="A30" s="119" t="s">
        <v>318</v>
      </c>
      <c r="B30" s="120" t="s">
        <v>319</v>
      </c>
      <c r="C30" s="120" t="s">
        <v>299</v>
      </c>
      <c r="D30" s="70" t="n">
        <v>0</v>
      </c>
      <c r="E30" s="98" t="n">
        <v>8000</v>
      </c>
      <c r="F30" s="69" t="n">
        <v>0.7</v>
      </c>
      <c r="G30" s="121" t="n">
        <f aca="false">$D30*$E30*(1+$F30)</f>
        <v>0</v>
      </c>
      <c r="H30" s="122" t="n">
        <v>46753</v>
      </c>
      <c r="I30" s="122" t="n">
        <v>47818</v>
      </c>
      <c r="J30" s="120" t="s">
        <v>300</v>
      </c>
    </row>
    <row r="31" customFormat="false" ht="15" hidden="false" customHeight="false" outlineLevel="0" collapsed="false">
      <c r="A31" s="123"/>
      <c r="B31" s="120" t="s">
        <v>295</v>
      </c>
      <c r="C31" s="120" t="s">
        <v>299</v>
      </c>
      <c r="D31" s="70" t="n">
        <v>0</v>
      </c>
      <c r="E31" s="98" t="n">
        <v>0</v>
      </c>
      <c r="F31" s="69" t="n">
        <v>0</v>
      </c>
      <c r="G31" s="121" t="n">
        <f aca="false">$D31*$E31*(1+$F31)</f>
        <v>0</v>
      </c>
      <c r="H31" s="122" t="n">
        <v>46388</v>
      </c>
      <c r="I31" s="122" t="n">
        <v>47818</v>
      </c>
      <c r="J31" s="120" t="s">
        <v>300</v>
      </c>
    </row>
    <row r="32" customFormat="false" ht="15" hidden="false" customHeight="false" outlineLevel="0" collapsed="false">
      <c r="A32" s="123"/>
      <c r="B32" s="120" t="s">
        <v>295</v>
      </c>
      <c r="C32" s="120" t="s">
        <v>299</v>
      </c>
      <c r="D32" s="70" t="n">
        <v>0</v>
      </c>
      <c r="E32" s="98" t="n">
        <v>0</v>
      </c>
      <c r="F32" s="69" t="n">
        <v>0</v>
      </c>
      <c r="G32" s="121" t="n">
        <f aca="false">$D32*$E32*(1+$F32)</f>
        <v>0</v>
      </c>
      <c r="H32" s="122" t="n">
        <v>46388</v>
      </c>
      <c r="I32" s="122" t="n">
        <v>47818</v>
      </c>
      <c r="J32" s="120" t="s">
        <v>300</v>
      </c>
    </row>
    <row r="33" customFormat="false" ht="15" hidden="false" customHeight="false" outlineLevel="0" collapsed="false">
      <c r="A33" s="123"/>
      <c r="B33" s="120" t="s">
        <v>295</v>
      </c>
      <c r="C33" s="120" t="s">
        <v>299</v>
      </c>
      <c r="D33" s="70" t="n">
        <v>0</v>
      </c>
      <c r="E33" s="98" t="n">
        <v>0</v>
      </c>
      <c r="F33" s="69" t="n">
        <v>0</v>
      </c>
      <c r="G33" s="121" t="n">
        <f aca="false">$D33*$E33*(1+$F33)</f>
        <v>0</v>
      </c>
      <c r="H33" s="122" t="n">
        <v>46388</v>
      </c>
      <c r="I33" s="122" t="n">
        <v>47818</v>
      </c>
      <c r="J33" s="120" t="s">
        <v>300</v>
      </c>
    </row>
    <row r="34" customFormat="false" ht="15" hidden="false" customHeight="false" outlineLevel="0" collapsed="false">
      <c r="A34" s="123"/>
      <c r="B34" s="120" t="s">
        <v>295</v>
      </c>
      <c r="C34" s="120" t="s">
        <v>299</v>
      </c>
      <c r="D34" s="70" t="n">
        <v>0</v>
      </c>
      <c r="E34" s="98" t="n">
        <v>0</v>
      </c>
      <c r="F34" s="69" t="n">
        <v>0</v>
      </c>
      <c r="G34" s="121" t="n">
        <f aca="false">$D34*$E34*(1+$F34)</f>
        <v>0</v>
      </c>
      <c r="H34" s="122" t="n">
        <v>46388</v>
      </c>
      <c r="I34" s="122" t="n">
        <v>47818</v>
      </c>
      <c r="J34" s="120" t="s">
        <v>300</v>
      </c>
    </row>
    <row r="35" customFormat="false" ht="15" hidden="false" customHeight="false" outlineLevel="0" collapsed="false">
      <c r="A35" s="123"/>
      <c r="B35" s="120" t="s">
        <v>295</v>
      </c>
      <c r="C35" s="120" t="s">
        <v>299</v>
      </c>
      <c r="D35" s="70" t="n">
        <v>0</v>
      </c>
      <c r="E35" s="98" t="n">
        <v>0</v>
      </c>
      <c r="F35" s="69" t="n">
        <v>0</v>
      </c>
      <c r="G35" s="121" t="n">
        <f aca="false">$D35*$E35*(1+$F35)</f>
        <v>0</v>
      </c>
      <c r="H35" s="122" t="n">
        <v>46388</v>
      </c>
      <c r="I35" s="122" t="n">
        <v>47818</v>
      </c>
      <c r="J35" s="120" t="s">
        <v>300</v>
      </c>
    </row>
    <row r="36" customFormat="false" ht="15" hidden="false" customHeight="false" outlineLevel="0" collapsed="false">
      <c r="A36" s="123"/>
      <c r="B36" s="120" t="s">
        <v>295</v>
      </c>
      <c r="C36" s="120" t="s">
        <v>299</v>
      </c>
      <c r="D36" s="70" t="n">
        <v>0</v>
      </c>
      <c r="E36" s="98" t="n">
        <v>0</v>
      </c>
      <c r="F36" s="69" t="n">
        <v>0</v>
      </c>
      <c r="G36" s="121" t="n">
        <f aca="false">$D36*$E36*(1+$F36)</f>
        <v>0</v>
      </c>
      <c r="H36" s="122" t="n">
        <v>46388</v>
      </c>
      <c r="I36" s="122" t="n">
        <v>47818</v>
      </c>
      <c r="J36" s="120" t="s">
        <v>300</v>
      </c>
    </row>
    <row r="37" customFormat="false" ht="15" hidden="false" customHeight="false" outlineLevel="0" collapsed="false">
      <c r="A37" s="123"/>
      <c r="B37" s="120" t="s">
        <v>295</v>
      </c>
      <c r="C37" s="120" t="s">
        <v>299</v>
      </c>
      <c r="D37" s="70" t="n">
        <v>0</v>
      </c>
      <c r="E37" s="98" t="n">
        <v>0</v>
      </c>
      <c r="F37" s="69" t="n">
        <v>0</v>
      </c>
      <c r="G37" s="121" t="n">
        <f aca="false">$D37*$E37*(1+$F37)</f>
        <v>0</v>
      </c>
      <c r="H37" s="122" t="n">
        <v>46388</v>
      </c>
      <c r="I37" s="122" t="n">
        <v>47818</v>
      </c>
      <c r="J37" s="120" t="s">
        <v>300</v>
      </c>
    </row>
    <row r="38" customFormat="false" ht="15" hidden="false" customHeight="false" outlineLevel="0" collapsed="false">
      <c r="A38" s="123"/>
      <c r="B38" s="120" t="s">
        <v>295</v>
      </c>
      <c r="C38" s="120" t="s">
        <v>299</v>
      </c>
      <c r="D38" s="70" t="n">
        <v>0</v>
      </c>
      <c r="E38" s="98" t="n">
        <v>0</v>
      </c>
      <c r="F38" s="69" t="n">
        <v>0</v>
      </c>
      <c r="G38" s="121" t="n">
        <f aca="false">$D38*$E38*(1+$F38)</f>
        <v>0</v>
      </c>
      <c r="H38" s="122" t="n">
        <v>46388</v>
      </c>
      <c r="I38" s="122" t="n">
        <v>47818</v>
      </c>
      <c r="J38" s="120" t="s">
        <v>300</v>
      </c>
    </row>
    <row r="39" customFormat="false" ht="15" hidden="false" customHeight="false" outlineLevel="0" collapsed="false">
      <c r="A39" s="107" t="s">
        <v>320</v>
      </c>
      <c r="G39" s="124" t="n">
        <f aca="false">SUM(G12:G38)</f>
        <v>399800</v>
      </c>
    </row>
    <row r="41" customFormat="false" ht="18" hidden="false" customHeight="true" outlineLevel="0" collapsed="false">
      <c r="A41" s="19" t="s">
        <v>321</v>
      </c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</row>
    <row r="42" customFormat="false" ht="15" hidden="false" customHeight="false" outlineLevel="0" collapsed="false">
      <c r="A42" s="63" t="s">
        <v>322</v>
      </c>
      <c r="E42" s="81" t="n">
        <f aca="false">SUMPRODUCT(($J$12:$J$38="Despesa")*(($C$12:$C$38="Contratado")+($C$12:$C$38="Plano")*$B$8)*($H$12:$H$38&lt;=E$4)*($I$12:$I$38&gt;=E$4)*$G$12:$G$38)</f>
        <v>0</v>
      </c>
      <c r="F42" s="81" t="n">
        <f aca="false">SUMPRODUCT(($J$12:$J$38="Despesa")*(($C$12:$C$38="Contratado")+($C$12:$C$38="Plano")*$B$8)*($H$12:$H$38&lt;=F$4)*($I$12:$I$38&gt;=F$4)*$G$12:$G$38)</f>
        <v>0</v>
      </c>
      <c r="G42" s="81" t="n">
        <f aca="false">SUMPRODUCT(($J$12:$J$38="Despesa")*(($C$12:$C$38="Contratado")+($C$12:$C$38="Plano")*$B$8)*($H$12:$H$38&lt;=G$4)*($I$12:$I$38&gt;=G$4)*$G$12:$G$38)</f>
        <v>0</v>
      </c>
      <c r="H42" s="81" t="n">
        <f aca="false">SUMPRODUCT(($J$12:$J$38="Despesa")*(($C$12:$C$38="Contratado")+($C$12:$C$38="Plano")*$B$8)*($H$12:$H$38&lt;=H$4)*($I$12:$I$38&gt;=H$4)*$G$12:$G$38)</f>
        <v>0</v>
      </c>
      <c r="I42" s="81" t="n">
        <f aca="false">SUMPRODUCT(($J$12:$J$38="Despesa")*(($C$12:$C$38="Contratado")+($C$12:$C$38="Plano")*$B$8)*($H$12:$H$38&lt;=I$4)*($I$12:$I$38&gt;=I$4)*$G$12:$G$38)</f>
        <v>0</v>
      </c>
      <c r="J42" s="81" t="n">
        <f aca="false">SUMPRODUCT(($J$12:$J$38="Despesa")*(($C$12:$C$38="Contratado")+($C$12:$C$38="Plano")*$B$8)*($H$12:$H$38&lt;=J$4)*($I$12:$I$38&gt;=J$4)*$G$12:$G$38)</f>
        <v>0</v>
      </c>
      <c r="K42" s="81" t="n">
        <f aca="false">SUMPRODUCT(($J$12:$J$38="Despesa")*(($C$12:$C$38="Contratado")+($C$12:$C$38="Plano")*$B$8)*($H$12:$H$38&lt;=K$4)*($I$12:$I$38&gt;=K$4)*$G$12:$G$38)</f>
        <v>0</v>
      </c>
      <c r="L42" s="81" t="n">
        <f aca="false">SUMPRODUCT(($J$12:$J$38="Despesa")*(($C$12:$C$38="Contratado")+($C$12:$C$38="Plano")*$B$8)*($H$12:$H$38&lt;=L$4)*($I$12:$I$38&gt;=L$4)*$G$12:$G$38)</f>
        <v>0</v>
      </c>
      <c r="M42" s="81" t="n">
        <f aca="false">SUMPRODUCT(($J$12:$J$38="Despesa")*(($C$12:$C$38="Contratado")+($C$12:$C$38="Plano")*$B$8)*($H$12:$H$38&lt;=M$4)*($I$12:$I$38&gt;=M$4)*$G$12:$G$38)</f>
        <v>0</v>
      </c>
      <c r="N42" s="81" t="n">
        <f aca="false">SUMPRODUCT(($J$12:$J$38="Despesa")*(($C$12:$C$38="Contratado")+($C$12:$C$38="Plano")*$B$8)*($H$12:$H$38&lt;=N$4)*($I$12:$I$38&gt;=N$4)*$G$12:$G$38)</f>
        <v>0</v>
      </c>
      <c r="O42" s="81" t="n">
        <f aca="false">SUMPRODUCT(($J$12:$J$38="Despesa")*(($C$12:$C$38="Contratado")+($C$12:$C$38="Plano")*$B$8)*($H$12:$H$38&lt;=O$4)*($I$12:$I$38&gt;=O$4)*$G$12:$G$38)</f>
        <v>0</v>
      </c>
      <c r="P42" s="81" t="n">
        <f aca="false">SUMPRODUCT(($J$12:$J$38="Despesa")*(($C$12:$C$38="Contratado")+($C$12:$C$38="Plano")*$B$8)*($H$12:$H$38&lt;=P$4)*($I$12:$I$38&gt;=P$4)*$G$12:$G$38)</f>
        <v>0</v>
      </c>
      <c r="Q42" s="81" t="n">
        <f aca="false">SUMPRODUCT(($J$12:$J$38="Despesa")*(($C$12:$C$38="Contratado")+($C$12:$C$38="Plano")*$B$8)*($H$12:$H$38&lt;=Q$4)*($I$12:$I$38&gt;=Q$4)*$G$12:$G$38)</f>
        <v>42500</v>
      </c>
      <c r="R42" s="81" t="n">
        <f aca="false">SUMPRODUCT(($J$12:$J$38="Despesa")*(($C$12:$C$38="Contratado")+($C$12:$C$38="Plano")*$B$8)*($H$12:$H$38&lt;=R$4)*($I$12:$I$38&gt;=R$4)*$G$12:$G$38)</f>
        <v>42500</v>
      </c>
      <c r="S42" s="81" t="n">
        <f aca="false">SUMPRODUCT(($J$12:$J$38="Despesa")*(($C$12:$C$38="Contratado")+($C$12:$C$38="Plano")*$B$8)*($H$12:$H$38&lt;=S$4)*($I$12:$I$38&gt;=S$4)*$G$12:$G$38)</f>
        <v>42500</v>
      </c>
      <c r="T42" s="81" t="n">
        <f aca="false">SUMPRODUCT(($J$12:$J$38="Despesa")*(($C$12:$C$38="Contratado")+($C$12:$C$38="Plano")*$B$8)*($H$12:$H$38&lt;=T$4)*($I$12:$I$38&gt;=T$4)*$G$12:$G$38)</f>
        <v>42500</v>
      </c>
      <c r="U42" s="81" t="n">
        <f aca="false">SUMPRODUCT(($J$12:$J$38="Despesa")*(($C$12:$C$38="Contratado")+($C$12:$C$38="Plano")*$B$8)*($H$12:$H$38&lt;=U$4)*($I$12:$I$38&gt;=U$4)*$G$12:$G$38)</f>
        <v>42500</v>
      </c>
      <c r="V42" s="81" t="n">
        <f aca="false">SUMPRODUCT(($J$12:$J$38="Despesa")*(($C$12:$C$38="Contratado")+($C$12:$C$38="Plano")*$B$8)*($H$12:$H$38&lt;=V$4)*($I$12:$I$38&gt;=V$4)*$G$12:$G$38)</f>
        <v>42500</v>
      </c>
      <c r="W42" s="81" t="n">
        <f aca="false">SUMPRODUCT(($J$12:$J$38="Despesa")*(($C$12:$C$38="Contratado")+($C$12:$C$38="Plano")*$B$8)*($H$12:$H$38&lt;=W$4)*($I$12:$I$38&gt;=W$4)*$G$12:$G$38)</f>
        <v>42500</v>
      </c>
      <c r="X42" s="81" t="n">
        <f aca="false">SUMPRODUCT(($J$12:$J$38="Despesa")*(($C$12:$C$38="Contratado")+($C$12:$C$38="Plano")*$B$8)*($H$12:$H$38&lt;=X$4)*($I$12:$I$38&gt;=X$4)*$G$12:$G$38)</f>
        <v>42500</v>
      </c>
      <c r="Y42" s="81" t="n">
        <f aca="false">SUMPRODUCT(($J$12:$J$38="Despesa")*(($C$12:$C$38="Contratado")+($C$12:$C$38="Plano")*$B$8)*($H$12:$H$38&lt;=Y$4)*($I$12:$I$38&gt;=Y$4)*$G$12:$G$38)</f>
        <v>42500</v>
      </c>
      <c r="Z42" s="81" t="n">
        <f aca="false">SUMPRODUCT(($J$12:$J$38="Despesa")*(($C$12:$C$38="Contratado")+($C$12:$C$38="Plano")*$B$8)*($H$12:$H$38&lt;=Z$4)*($I$12:$I$38&gt;=Z$4)*$G$12:$G$38)</f>
        <v>42500</v>
      </c>
      <c r="AA42" s="81" t="n">
        <f aca="false">SUMPRODUCT(($J$12:$J$38="Despesa")*(($C$12:$C$38="Contratado")+($C$12:$C$38="Plano")*$B$8)*($H$12:$H$38&lt;=AA$4)*($I$12:$I$38&gt;=AA$4)*$G$12:$G$38)</f>
        <v>42500</v>
      </c>
      <c r="AB42" s="81" t="n">
        <f aca="false">SUMPRODUCT(($J$12:$J$38="Despesa")*(($C$12:$C$38="Contratado")+($C$12:$C$38="Plano")*$B$8)*($H$12:$H$38&lt;=AB$4)*($I$12:$I$38&gt;=AB$4)*$G$12:$G$38)</f>
        <v>42500</v>
      </c>
      <c r="AC42" s="81" t="n">
        <f aca="false">SUMPRODUCT(($J$12:$J$38="Despesa")*(($C$12:$C$38="Contratado")+($C$12:$C$38="Plano")*$B$8)*($H$12:$H$38&lt;=AC$4)*($I$12:$I$38&gt;=AC$4)*$G$12:$G$38)</f>
        <v>117500</v>
      </c>
      <c r="AD42" s="81" t="n">
        <f aca="false">SUMPRODUCT(($J$12:$J$38="Despesa")*(($C$12:$C$38="Contratado")+($C$12:$C$38="Plano")*$B$8)*($H$12:$H$38&lt;=AD$4)*($I$12:$I$38&gt;=AD$4)*$G$12:$G$38)</f>
        <v>117500</v>
      </c>
      <c r="AE42" s="81" t="n">
        <f aca="false">SUMPRODUCT(($J$12:$J$38="Despesa")*(($C$12:$C$38="Contratado")+($C$12:$C$38="Plano")*$B$8)*($H$12:$H$38&lt;=AE$4)*($I$12:$I$38&gt;=AE$4)*$G$12:$G$38)</f>
        <v>117500</v>
      </c>
      <c r="AF42" s="81" t="n">
        <f aca="false">SUMPRODUCT(($J$12:$J$38="Despesa")*(($C$12:$C$38="Contratado")+($C$12:$C$38="Plano")*$B$8)*($H$12:$H$38&lt;=AF$4)*($I$12:$I$38&gt;=AF$4)*$G$12:$G$38)</f>
        <v>117500</v>
      </c>
      <c r="AG42" s="81" t="n">
        <f aca="false">SUMPRODUCT(($J$12:$J$38="Despesa")*(($C$12:$C$38="Contratado")+($C$12:$C$38="Plano")*$B$8)*($H$12:$H$38&lt;=AG$4)*($I$12:$I$38&gt;=AG$4)*$G$12:$G$38)</f>
        <v>117500</v>
      </c>
      <c r="AH42" s="81" t="n">
        <f aca="false">SUMPRODUCT(($J$12:$J$38="Despesa")*(($C$12:$C$38="Contratado")+($C$12:$C$38="Plano")*$B$8)*($H$12:$H$38&lt;=AH$4)*($I$12:$I$38&gt;=AH$4)*$G$12:$G$38)</f>
        <v>117500</v>
      </c>
      <c r="AI42" s="81" t="n">
        <f aca="false">SUMPRODUCT(($J$12:$J$38="Despesa")*(($C$12:$C$38="Contratado")+($C$12:$C$38="Plano")*$B$8)*($H$12:$H$38&lt;=AI$4)*($I$12:$I$38&gt;=AI$4)*$G$12:$G$38)</f>
        <v>117500</v>
      </c>
      <c r="AJ42" s="81" t="n">
        <f aca="false">SUMPRODUCT(($J$12:$J$38="Despesa")*(($C$12:$C$38="Contratado")+($C$12:$C$38="Plano")*$B$8)*($H$12:$H$38&lt;=AJ$4)*($I$12:$I$38&gt;=AJ$4)*$G$12:$G$38)</f>
        <v>117500</v>
      </c>
      <c r="AK42" s="81" t="n">
        <f aca="false">SUMPRODUCT(($J$12:$J$38="Despesa")*(($C$12:$C$38="Contratado")+($C$12:$C$38="Plano")*$B$8)*($H$12:$H$38&lt;=AK$4)*($I$12:$I$38&gt;=AK$4)*$G$12:$G$38)</f>
        <v>117500</v>
      </c>
      <c r="AL42" s="81" t="n">
        <f aca="false">SUMPRODUCT(($J$12:$J$38="Despesa")*(($C$12:$C$38="Contratado")+($C$12:$C$38="Plano")*$B$8)*($H$12:$H$38&lt;=AL$4)*($I$12:$I$38&gt;=AL$4)*$G$12:$G$38)</f>
        <v>117500</v>
      </c>
      <c r="AM42" s="81" t="n">
        <f aca="false">SUMPRODUCT(($J$12:$J$38="Despesa")*(($C$12:$C$38="Contratado")+($C$12:$C$38="Plano")*$B$8)*($H$12:$H$38&lt;=AM$4)*($I$12:$I$38&gt;=AM$4)*$G$12:$G$38)</f>
        <v>117500</v>
      </c>
      <c r="AN42" s="81" t="n">
        <f aca="false">SUMPRODUCT(($J$12:$J$38="Despesa")*(($C$12:$C$38="Contratado")+($C$12:$C$38="Plano")*$B$8)*($H$12:$H$38&lt;=AN$4)*($I$12:$I$38&gt;=AN$4)*$G$12:$G$38)</f>
        <v>117500</v>
      </c>
      <c r="AO42" s="81" t="n">
        <f aca="false">SUMPRODUCT(($J$12:$J$38="Despesa")*(($C$12:$C$38="Contratado")+($C$12:$C$38="Plano")*$B$8)*($H$12:$H$38&lt;=AO$4)*($I$12:$I$38&gt;=AO$4)*$G$12:$G$38)</f>
        <v>253300</v>
      </c>
      <c r="AP42" s="81" t="n">
        <f aca="false">SUMPRODUCT(($J$12:$J$38="Despesa")*(($C$12:$C$38="Contratado")+($C$12:$C$38="Plano")*$B$8)*($H$12:$H$38&lt;=AP$4)*($I$12:$I$38&gt;=AP$4)*$G$12:$G$38)</f>
        <v>253300</v>
      </c>
      <c r="AQ42" s="81" t="n">
        <f aca="false">SUMPRODUCT(($J$12:$J$38="Despesa")*(($C$12:$C$38="Contratado")+($C$12:$C$38="Plano")*$B$8)*($H$12:$H$38&lt;=AQ$4)*($I$12:$I$38&gt;=AQ$4)*$G$12:$G$38)</f>
        <v>253300</v>
      </c>
      <c r="AR42" s="81" t="n">
        <f aca="false">SUMPRODUCT(($J$12:$J$38="Despesa")*(($C$12:$C$38="Contratado")+($C$12:$C$38="Plano")*$B$8)*($H$12:$H$38&lt;=AR$4)*($I$12:$I$38&gt;=AR$4)*$G$12:$G$38)</f>
        <v>253300</v>
      </c>
      <c r="AS42" s="81" t="n">
        <f aca="false">SUMPRODUCT(($J$12:$J$38="Despesa")*(($C$12:$C$38="Contratado")+($C$12:$C$38="Plano")*$B$8)*($H$12:$H$38&lt;=AS$4)*($I$12:$I$38&gt;=AS$4)*$G$12:$G$38)</f>
        <v>253300</v>
      </c>
      <c r="AT42" s="81" t="n">
        <f aca="false">SUMPRODUCT(($J$12:$J$38="Despesa")*(($C$12:$C$38="Contratado")+($C$12:$C$38="Plano")*$B$8)*($H$12:$H$38&lt;=AT$4)*($I$12:$I$38&gt;=AT$4)*$G$12:$G$38)</f>
        <v>253300</v>
      </c>
      <c r="AU42" s="81" t="n">
        <f aca="false">SUMPRODUCT(($J$12:$J$38="Despesa")*(($C$12:$C$38="Contratado")+($C$12:$C$38="Plano")*$B$8)*($H$12:$H$38&lt;=AU$4)*($I$12:$I$38&gt;=AU$4)*$G$12:$G$38)</f>
        <v>253300</v>
      </c>
      <c r="AV42" s="81" t="n">
        <f aca="false">SUMPRODUCT(($J$12:$J$38="Despesa")*(($C$12:$C$38="Contratado")+($C$12:$C$38="Plano")*$B$8)*($H$12:$H$38&lt;=AV$4)*($I$12:$I$38&gt;=AV$4)*$G$12:$G$38)</f>
        <v>253300</v>
      </c>
      <c r="AW42" s="81" t="n">
        <f aca="false">SUMPRODUCT(($J$12:$J$38="Despesa")*(($C$12:$C$38="Contratado")+($C$12:$C$38="Plano")*$B$8)*($H$12:$H$38&lt;=AW$4)*($I$12:$I$38&gt;=AW$4)*$G$12:$G$38)</f>
        <v>253300</v>
      </c>
      <c r="AX42" s="81" t="n">
        <f aca="false">SUMPRODUCT(($J$12:$J$38="Despesa")*(($C$12:$C$38="Contratado")+($C$12:$C$38="Plano")*$B$8)*($H$12:$H$38&lt;=AX$4)*($I$12:$I$38&gt;=AX$4)*$G$12:$G$38)</f>
        <v>253300</v>
      </c>
      <c r="AY42" s="81" t="n">
        <f aca="false">SUMPRODUCT(($J$12:$J$38="Despesa")*(($C$12:$C$38="Contratado")+($C$12:$C$38="Plano")*$B$8)*($H$12:$H$38&lt;=AY$4)*($I$12:$I$38&gt;=AY$4)*$G$12:$G$38)</f>
        <v>253300</v>
      </c>
      <c r="AZ42" s="81" t="n">
        <f aca="false">SUMPRODUCT(($J$12:$J$38="Despesa")*(($C$12:$C$38="Contratado")+($C$12:$C$38="Plano")*$B$8)*($H$12:$H$38&lt;=AZ$4)*($I$12:$I$38&gt;=AZ$4)*$G$12:$G$38)</f>
        <v>253300</v>
      </c>
      <c r="BA42" s="81" t="n">
        <f aca="false">SUMPRODUCT(($J$12:$J$38="Despesa")*(($C$12:$C$38="Contratado")+($C$12:$C$38="Plano")*$B$8)*($H$12:$H$38&lt;=BA$4)*($I$12:$I$38&gt;=BA$4)*$G$12:$G$38)</f>
        <v>374300</v>
      </c>
      <c r="BB42" s="81" t="n">
        <f aca="false">SUMPRODUCT(($J$12:$J$38="Despesa")*(($C$12:$C$38="Contratado")+($C$12:$C$38="Plano")*$B$8)*($H$12:$H$38&lt;=BB$4)*($I$12:$I$38&gt;=BB$4)*$G$12:$G$38)</f>
        <v>374300</v>
      </c>
      <c r="BC42" s="81" t="n">
        <f aca="false">SUMPRODUCT(($J$12:$J$38="Despesa")*(($C$12:$C$38="Contratado")+($C$12:$C$38="Plano")*$B$8)*($H$12:$H$38&lt;=BC$4)*($I$12:$I$38&gt;=BC$4)*$G$12:$G$38)</f>
        <v>374300</v>
      </c>
      <c r="BD42" s="81" t="n">
        <f aca="false">SUMPRODUCT(($J$12:$J$38="Despesa")*(($C$12:$C$38="Contratado")+($C$12:$C$38="Plano")*$B$8)*($H$12:$H$38&lt;=BD$4)*($I$12:$I$38&gt;=BD$4)*$G$12:$G$38)</f>
        <v>374300</v>
      </c>
      <c r="BE42" s="81" t="n">
        <f aca="false">SUMPRODUCT(($J$12:$J$38="Despesa")*(($C$12:$C$38="Contratado")+($C$12:$C$38="Plano")*$B$8)*($H$12:$H$38&lt;=BE$4)*($I$12:$I$38&gt;=BE$4)*$G$12:$G$38)</f>
        <v>374300</v>
      </c>
      <c r="BF42" s="81" t="n">
        <f aca="false">SUMPRODUCT(($J$12:$J$38="Despesa")*(($C$12:$C$38="Contratado")+($C$12:$C$38="Plano")*$B$8)*($H$12:$H$38&lt;=BF$4)*($I$12:$I$38&gt;=BF$4)*$G$12:$G$38)</f>
        <v>374300</v>
      </c>
      <c r="BG42" s="81" t="n">
        <f aca="false">SUMPRODUCT(($J$12:$J$38="Despesa")*(($C$12:$C$38="Contratado")+($C$12:$C$38="Plano")*$B$8)*($H$12:$H$38&lt;=BG$4)*($I$12:$I$38&gt;=BG$4)*$G$12:$G$38)</f>
        <v>374300</v>
      </c>
      <c r="BH42" s="81" t="n">
        <f aca="false">SUMPRODUCT(($J$12:$J$38="Despesa")*(($C$12:$C$38="Contratado")+($C$12:$C$38="Plano")*$B$8)*($H$12:$H$38&lt;=BH$4)*($I$12:$I$38&gt;=BH$4)*$G$12:$G$38)</f>
        <v>374300</v>
      </c>
      <c r="BI42" s="81" t="n">
        <f aca="false">SUMPRODUCT(($J$12:$J$38="Despesa")*(($C$12:$C$38="Contratado")+($C$12:$C$38="Plano")*$B$8)*($H$12:$H$38&lt;=BI$4)*($I$12:$I$38&gt;=BI$4)*$G$12:$G$38)</f>
        <v>374300</v>
      </c>
      <c r="BJ42" s="81" t="n">
        <f aca="false">SUMPRODUCT(($J$12:$J$38="Despesa")*(($C$12:$C$38="Contratado")+($C$12:$C$38="Plano")*$B$8)*($H$12:$H$38&lt;=BJ$4)*($I$12:$I$38&gt;=BJ$4)*$G$12:$G$38)</f>
        <v>374300</v>
      </c>
      <c r="BK42" s="81" t="n">
        <f aca="false">SUMPRODUCT(($J$12:$J$38="Despesa")*(($C$12:$C$38="Contratado")+($C$12:$C$38="Plano")*$B$8)*($H$12:$H$38&lt;=BK$4)*($I$12:$I$38&gt;=BK$4)*$G$12:$G$38)</f>
        <v>374300</v>
      </c>
      <c r="BL42" s="81" t="n">
        <f aca="false">SUMPRODUCT(($J$12:$J$38="Despesa")*(($C$12:$C$38="Contratado")+($C$12:$C$38="Plano")*$B$8)*($H$12:$H$38&lt;=BL$4)*($I$12:$I$38&gt;=BL$4)*$G$12:$G$38)</f>
        <v>374300</v>
      </c>
      <c r="BM42" s="82" t="n">
        <f aca="false">SUM(E42:BL42)</f>
        <v>9451200</v>
      </c>
      <c r="BN42" s="35" t="s">
        <v>323</v>
      </c>
    </row>
    <row r="43" customFormat="false" ht="15" hidden="false" customHeight="false" outlineLevel="0" collapsed="false">
      <c r="A43" s="37" t="s">
        <v>324</v>
      </c>
      <c r="E43" s="94" t="n">
        <f aca="false">SUMPRODUCT(($B$12:$B$38="PJ")*($J$12:$J$38="Despesa")*(($C$12:$C$38="Contratado")+($C$12:$C$38="Plano")*$B$8)*($H$12:$H$38&lt;=E$4)*($I$12:$I$38&gt;=E$4)*$G$12:$G$38)</f>
        <v>0</v>
      </c>
      <c r="F43" s="94" t="n">
        <f aca="false">SUMPRODUCT(($B$12:$B$38="PJ")*($J$12:$J$38="Despesa")*(($C$12:$C$38="Contratado")+($C$12:$C$38="Plano")*$B$8)*($H$12:$H$38&lt;=F$4)*($I$12:$I$38&gt;=F$4)*$G$12:$G$38)</f>
        <v>0</v>
      </c>
      <c r="G43" s="94" t="n">
        <f aca="false">SUMPRODUCT(($B$12:$B$38="PJ")*($J$12:$J$38="Despesa")*(($C$12:$C$38="Contratado")+($C$12:$C$38="Plano")*$B$8)*($H$12:$H$38&lt;=G$4)*($I$12:$I$38&gt;=G$4)*$G$12:$G$38)</f>
        <v>0</v>
      </c>
      <c r="H43" s="94" t="n">
        <f aca="false">SUMPRODUCT(($B$12:$B$38="PJ")*($J$12:$J$38="Despesa")*(($C$12:$C$38="Contratado")+($C$12:$C$38="Plano")*$B$8)*($H$12:$H$38&lt;=H$4)*($I$12:$I$38&gt;=H$4)*$G$12:$G$38)</f>
        <v>0</v>
      </c>
      <c r="I43" s="94" t="n">
        <f aca="false">SUMPRODUCT(($B$12:$B$38="PJ")*($J$12:$J$38="Despesa")*(($C$12:$C$38="Contratado")+($C$12:$C$38="Plano")*$B$8)*($H$12:$H$38&lt;=I$4)*($I$12:$I$38&gt;=I$4)*$G$12:$G$38)</f>
        <v>0</v>
      </c>
      <c r="J43" s="94" t="n">
        <f aca="false">SUMPRODUCT(($B$12:$B$38="PJ")*($J$12:$J$38="Despesa")*(($C$12:$C$38="Contratado")+($C$12:$C$38="Plano")*$B$8)*($H$12:$H$38&lt;=J$4)*($I$12:$I$38&gt;=J$4)*$G$12:$G$38)</f>
        <v>0</v>
      </c>
      <c r="K43" s="94" t="n">
        <f aca="false">SUMPRODUCT(($B$12:$B$38="PJ")*($J$12:$J$38="Despesa")*(($C$12:$C$38="Contratado")+($C$12:$C$38="Plano")*$B$8)*($H$12:$H$38&lt;=K$4)*($I$12:$I$38&gt;=K$4)*$G$12:$G$38)</f>
        <v>0</v>
      </c>
      <c r="L43" s="94" t="n">
        <f aca="false">SUMPRODUCT(($B$12:$B$38="PJ")*($J$12:$J$38="Despesa")*(($C$12:$C$38="Contratado")+($C$12:$C$38="Plano")*$B$8)*($H$12:$H$38&lt;=L$4)*($I$12:$I$38&gt;=L$4)*$G$12:$G$38)</f>
        <v>0</v>
      </c>
      <c r="M43" s="94" t="n">
        <f aca="false">SUMPRODUCT(($B$12:$B$38="PJ")*($J$12:$J$38="Despesa")*(($C$12:$C$38="Contratado")+($C$12:$C$38="Plano")*$B$8)*($H$12:$H$38&lt;=M$4)*($I$12:$I$38&gt;=M$4)*$G$12:$G$38)</f>
        <v>0</v>
      </c>
      <c r="N43" s="94" t="n">
        <f aca="false">SUMPRODUCT(($B$12:$B$38="PJ")*($J$12:$J$38="Despesa")*(($C$12:$C$38="Contratado")+($C$12:$C$38="Plano")*$B$8)*($H$12:$H$38&lt;=N$4)*($I$12:$I$38&gt;=N$4)*$G$12:$G$38)</f>
        <v>0</v>
      </c>
      <c r="O43" s="94" t="n">
        <f aca="false">SUMPRODUCT(($B$12:$B$38="PJ")*($J$12:$J$38="Despesa")*(($C$12:$C$38="Contratado")+($C$12:$C$38="Plano")*$B$8)*($H$12:$H$38&lt;=O$4)*($I$12:$I$38&gt;=O$4)*$G$12:$G$38)</f>
        <v>0</v>
      </c>
      <c r="P43" s="94" t="n">
        <f aca="false">SUMPRODUCT(($B$12:$B$38="PJ")*($J$12:$J$38="Despesa")*(($C$12:$C$38="Contratado")+($C$12:$C$38="Plano")*$B$8)*($H$12:$H$38&lt;=P$4)*($I$12:$I$38&gt;=P$4)*$G$12:$G$38)</f>
        <v>0</v>
      </c>
      <c r="Q43" s="94" t="n">
        <f aca="false">SUMPRODUCT(($B$12:$B$38="PJ")*($J$12:$J$38="Despesa")*(($C$12:$C$38="Contratado")+($C$12:$C$38="Plano")*$B$8)*($H$12:$H$38&lt;=Q$4)*($I$12:$I$38&gt;=Q$4)*$G$12:$G$38)</f>
        <v>27500</v>
      </c>
      <c r="R43" s="94" t="n">
        <f aca="false">SUMPRODUCT(($B$12:$B$38="PJ")*($J$12:$J$38="Despesa")*(($C$12:$C$38="Contratado")+($C$12:$C$38="Plano")*$B$8)*($H$12:$H$38&lt;=R$4)*($I$12:$I$38&gt;=R$4)*$G$12:$G$38)</f>
        <v>27500</v>
      </c>
      <c r="S43" s="94" t="n">
        <f aca="false">SUMPRODUCT(($B$12:$B$38="PJ")*($J$12:$J$38="Despesa")*(($C$12:$C$38="Contratado")+($C$12:$C$38="Plano")*$B$8)*($H$12:$H$38&lt;=S$4)*($I$12:$I$38&gt;=S$4)*$G$12:$G$38)</f>
        <v>27500</v>
      </c>
      <c r="T43" s="94" t="n">
        <f aca="false">SUMPRODUCT(($B$12:$B$38="PJ")*($J$12:$J$38="Despesa")*(($C$12:$C$38="Contratado")+($C$12:$C$38="Plano")*$B$8)*($H$12:$H$38&lt;=T$4)*($I$12:$I$38&gt;=T$4)*$G$12:$G$38)</f>
        <v>27500</v>
      </c>
      <c r="U43" s="94" t="n">
        <f aca="false">SUMPRODUCT(($B$12:$B$38="PJ")*($J$12:$J$38="Despesa")*(($C$12:$C$38="Contratado")+($C$12:$C$38="Plano")*$B$8)*($H$12:$H$38&lt;=U$4)*($I$12:$I$38&gt;=U$4)*$G$12:$G$38)</f>
        <v>27500</v>
      </c>
      <c r="V43" s="94" t="n">
        <f aca="false">SUMPRODUCT(($B$12:$B$38="PJ")*($J$12:$J$38="Despesa")*(($C$12:$C$38="Contratado")+($C$12:$C$38="Plano")*$B$8)*($H$12:$H$38&lt;=V$4)*($I$12:$I$38&gt;=V$4)*$G$12:$G$38)</f>
        <v>27500</v>
      </c>
      <c r="W43" s="94" t="n">
        <f aca="false">SUMPRODUCT(($B$12:$B$38="PJ")*($J$12:$J$38="Despesa")*(($C$12:$C$38="Contratado")+($C$12:$C$38="Plano")*$B$8)*($H$12:$H$38&lt;=W$4)*($I$12:$I$38&gt;=W$4)*$G$12:$G$38)</f>
        <v>27500</v>
      </c>
      <c r="X43" s="94" t="n">
        <f aca="false">SUMPRODUCT(($B$12:$B$38="PJ")*($J$12:$J$38="Despesa")*(($C$12:$C$38="Contratado")+($C$12:$C$38="Plano")*$B$8)*($H$12:$H$38&lt;=X$4)*($I$12:$I$38&gt;=X$4)*$G$12:$G$38)</f>
        <v>27500</v>
      </c>
      <c r="Y43" s="94" t="n">
        <f aca="false">SUMPRODUCT(($B$12:$B$38="PJ")*($J$12:$J$38="Despesa")*(($C$12:$C$38="Contratado")+($C$12:$C$38="Plano")*$B$8)*($H$12:$H$38&lt;=Y$4)*($I$12:$I$38&gt;=Y$4)*$G$12:$G$38)</f>
        <v>27500</v>
      </c>
      <c r="Z43" s="94" t="n">
        <f aca="false">SUMPRODUCT(($B$12:$B$38="PJ")*($J$12:$J$38="Despesa")*(($C$12:$C$38="Contratado")+($C$12:$C$38="Plano")*$B$8)*($H$12:$H$38&lt;=Z$4)*($I$12:$I$38&gt;=Z$4)*$G$12:$G$38)</f>
        <v>27500</v>
      </c>
      <c r="AA43" s="94" t="n">
        <f aca="false">SUMPRODUCT(($B$12:$B$38="PJ")*($J$12:$J$38="Despesa")*(($C$12:$C$38="Contratado")+($C$12:$C$38="Plano")*$B$8)*($H$12:$H$38&lt;=AA$4)*($I$12:$I$38&gt;=AA$4)*$G$12:$G$38)</f>
        <v>27500</v>
      </c>
      <c r="AB43" s="94" t="n">
        <f aca="false">SUMPRODUCT(($B$12:$B$38="PJ")*($J$12:$J$38="Despesa")*(($C$12:$C$38="Contratado")+($C$12:$C$38="Plano")*$B$8)*($H$12:$H$38&lt;=AB$4)*($I$12:$I$38&gt;=AB$4)*$G$12:$G$38)</f>
        <v>27500</v>
      </c>
      <c r="AC43" s="94" t="n">
        <f aca="false">SUMPRODUCT(($B$12:$B$38="PJ")*($J$12:$J$38="Despesa")*(($C$12:$C$38="Contratado")+($C$12:$C$38="Plano")*$B$8)*($H$12:$H$38&lt;=AC$4)*($I$12:$I$38&gt;=AC$4)*$G$12:$G$38)</f>
        <v>102500</v>
      </c>
      <c r="AD43" s="94" t="n">
        <f aca="false">SUMPRODUCT(($B$12:$B$38="PJ")*($J$12:$J$38="Despesa")*(($C$12:$C$38="Contratado")+($C$12:$C$38="Plano")*$B$8)*($H$12:$H$38&lt;=AD$4)*($I$12:$I$38&gt;=AD$4)*$G$12:$G$38)</f>
        <v>102500</v>
      </c>
      <c r="AE43" s="94" t="n">
        <f aca="false">SUMPRODUCT(($B$12:$B$38="PJ")*($J$12:$J$38="Despesa")*(($C$12:$C$38="Contratado")+($C$12:$C$38="Plano")*$B$8)*($H$12:$H$38&lt;=AE$4)*($I$12:$I$38&gt;=AE$4)*$G$12:$G$38)</f>
        <v>102500</v>
      </c>
      <c r="AF43" s="94" t="n">
        <f aca="false">SUMPRODUCT(($B$12:$B$38="PJ")*($J$12:$J$38="Despesa")*(($C$12:$C$38="Contratado")+($C$12:$C$38="Plano")*$B$8)*($H$12:$H$38&lt;=AF$4)*($I$12:$I$38&gt;=AF$4)*$G$12:$G$38)</f>
        <v>102500</v>
      </c>
      <c r="AG43" s="94" t="n">
        <f aca="false">SUMPRODUCT(($B$12:$B$38="PJ")*($J$12:$J$38="Despesa")*(($C$12:$C$38="Contratado")+($C$12:$C$38="Plano")*$B$8)*($H$12:$H$38&lt;=AG$4)*($I$12:$I$38&gt;=AG$4)*$G$12:$G$38)</f>
        <v>102500</v>
      </c>
      <c r="AH43" s="94" t="n">
        <f aca="false">SUMPRODUCT(($B$12:$B$38="PJ")*($J$12:$J$38="Despesa")*(($C$12:$C$38="Contratado")+($C$12:$C$38="Plano")*$B$8)*($H$12:$H$38&lt;=AH$4)*($I$12:$I$38&gt;=AH$4)*$G$12:$G$38)</f>
        <v>102500</v>
      </c>
      <c r="AI43" s="94" t="n">
        <f aca="false">SUMPRODUCT(($B$12:$B$38="PJ")*($J$12:$J$38="Despesa")*(($C$12:$C$38="Contratado")+($C$12:$C$38="Plano")*$B$8)*($H$12:$H$38&lt;=AI$4)*($I$12:$I$38&gt;=AI$4)*$G$12:$G$38)</f>
        <v>102500</v>
      </c>
      <c r="AJ43" s="94" t="n">
        <f aca="false">SUMPRODUCT(($B$12:$B$38="PJ")*($J$12:$J$38="Despesa")*(($C$12:$C$38="Contratado")+($C$12:$C$38="Plano")*$B$8)*($H$12:$H$38&lt;=AJ$4)*($I$12:$I$38&gt;=AJ$4)*$G$12:$G$38)</f>
        <v>102500</v>
      </c>
      <c r="AK43" s="94" t="n">
        <f aca="false">SUMPRODUCT(($B$12:$B$38="PJ")*($J$12:$J$38="Despesa")*(($C$12:$C$38="Contratado")+($C$12:$C$38="Plano")*$B$8)*($H$12:$H$38&lt;=AK$4)*($I$12:$I$38&gt;=AK$4)*$G$12:$G$38)</f>
        <v>102500</v>
      </c>
      <c r="AL43" s="94" t="n">
        <f aca="false">SUMPRODUCT(($B$12:$B$38="PJ")*($J$12:$J$38="Despesa")*(($C$12:$C$38="Contratado")+($C$12:$C$38="Plano")*$B$8)*($H$12:$H$38&lt;=AL$4)*($I$12:$I$38&gt;=AL$4)*$G$12:$G$38)</f>
        <v>102500</v>
      </c>
      <c r="AM43" s="94" t="n">
        <f aca="false">SUMPRODUCT(($B$12:$B$38="PJ")*($J$12:$J$38="Despesa")*(($C$12:$C$38="Contratado")+($C$12:$C$38="Plano")*$B$8)*($H$12:$H$38&lt;=AM$4)*($I$12:$I$38&gt;=AM$4)*$G$12:$G$38)</f>
        <v>102500</v>
      </c>
      <c r="AN43" s="94" t="n">
        <f aca="false">SUMPRODUCT(($B$12:$B$38="PJ")*($J$12:$J$38="Despesa")*(($C$12:$C$38="Contratado")+($C$12:$C$38="Plano")*$B$8)*($H$12:$H$38&lt;=AN$4)*($I$12:$I$38&gt;=AN$4)*$G$12:$G$38)</f>
        <v>102500</v>
      </c>
      <c r="AO43" s="94" t="n">
        <f aca="false">SUMPRODUCT(($B$12:$B$38="PJ")*($J$12:$J$38="Despesa")*(($C$12:$C$38="Contratado")+($C$12:$C$38="Plano")*$B$8)*($H$12:$H$38&lt;=AO$4)*($I$12:$I$38&gt;=AO$4)*$G$12:$G$38)</f>
        <v>221300</v>
      </c>
      <c r="AP43" s="94" t="n">
        <f aca="false">SUMPRODUCT(($B$12:$B$38="PJ")*($J$12:$J$38="Despesa")*(($C$12:$C$38="Contratado")+($C$12:$C$38="Plano")*$B$8)*($H$12:$H$38&lt;=AP$4)*($I$12:$I$38&gt;=AP$4)*$G$12:$G$38)</f>
        <v>221300</v>
      </c>
      <c r="AQ43" s="94" t="n">
        <f aca="false">SUMPRODUCT(($B$12:$B$38="PJ")*($J$12:$J$38="Despesa")*(($C$12:$C$38="Contratado")+($C$12:$C$38="Plano")*$B$8)*($H$12:$H$38&lt;=AQ$4)*($I$12:$I$38&gt;=AQ$4)*$G$12:$G$38)</f>
        <v>221300</v>
      </c>
      <c r="AR43" s="94" t="n">
        <f aca="false">SUMPRODUCT(($B$12:$B$38="PJ")*($J$12:$J$38="Despesa")*(($C$12:$C$38="Contratado")+($C$12:$C$38="Plano")*$B$8)*($H$12:$H$38&lt;=AR$4)*($I$12:$I$38&gt;=AR$4)*$G$12:$G$38)</f>
        <v>221300</v>
      </c>
      <c r="AS43" s="94" t="n">
        <f aca="false">SUMPRODUCT(($B$12:$B$38="PJ")*($J$12:$J$38="Despesa")*(($C$12:$C$38="Contratado")+($C$12:$C$38="Plano")*$B$8)*($H$12:$H$38&lt;=AS$4)*($I$12:$I$38&gt;=AS$4)*$G$12:$G$38)</f>
        <v>221300</v>
      </c>
      <c r="AT43" s="94" t="n">
        <f aca="false">SUMPRODUCT(($B$12:$B$38="PJ")*($J$12:$J$38="Despesa")*(($C$12:$C$38="Contratado")+($C$12:$C$38="Plano")*$B$8)*($H$12:$H$38&lt;=AT$4)*($I$12:$I$38&gt;=AT$4)*$G$12:$G$38)</f>
        <v>221300</v>
      </c>
      <c r="AU43" s="94" t="n">
        <f aca="false">SUMPRODUCT(($B$12:$B$38="PJ")*($J$12:$J$38="Despesa")*(($C$12:$C$38="Contratado")+($C$12:$C$38="Plano")*$B$8)*($H$12:$H$38&lt;=AU$4)*($I$12:$I$38&gt;=AU$4)*$G$12:$G$38)</f>
        <v>221300</v>
      </c>
      <c r="AV43" s="94" t="n">
        <f aca="false">SUMPRODUCT(($B$12:$B$38="PJ")*($J$12:$J$38="Despesa")*(($C$12:$C$38="Contratado")+($C$12:$C$38="Plano")*$B$8)*($H$12:$H$38&lt;=AV$4)*($I$12:$I$38&gt;=AV$4)*$G$12:$G$38)</f>
        <v>221300</v>
      </c>
      <c r="AW43" s="94" t="n">
        <f aca="false">SUMPRODUCT(($B$12:$B$38="PJ")*($J$12:$J$38="Despesa")*(($C$12:$C$38="Contratado")+($C$12:$C$38="Plano")*$B$8)*($H$12:$H$38&lt;=AW$4)*($I$12:$I$38&gt;=AW$4)*$G$12:$G$38)</f>
        <v>221300</v>
      </c>
      <c r="AX43" s="94" t="n">
        <f aca="false">SUMPRODUCT(($B$12:$B$38="PJ")*($J$12:$J$38="Despesa")*(($C$12:$C$38="Contratado")+($C$12:$C$38="Plano")*$B$8)*($H$12:$H$38&lt;=AX$4)*($I$12:$I$38&gt;=AX$4)*$G$12:$G$38)</f>
        <v>221300</v>
      </c>
      <c r="AY43" s="94" t="n">
        <f aca="false">SUMPRODUCT(($B$12:$B$38="PJ")*($J$12:$J$38="Despesa")*(($C$12:$C$38="Contratado")+($C$12:$C$38="Plano")*$B$8)*($H$12:$H$38&lt;=AY$4)*($I$12:$I$38&gt;=AY$4)*$G$12:$G$38)</f>
        <v>221300</v>
      </c>
      <c r="AZ43" s="94" t="n">
        <f aca="false">SUMPRODUCT(($B$12:$B$38="PJ")*($J$12:$J$38="Despesa")*(($C$12:$C$38="Contratado")+($C$12:$C$38="Plano")*$B$8)*($H$12:$H$38&lt;=AZ$4)*($I$12:$I$38&gt;=AZ$4)*$G$12:$G$38)</f>
        <v>221300</v>
      </c>
      <c r="BA43" s="94" t="n">
        <f aca="false">SUMPRODUCT(($B$12:$B$38="PJ")*($J$12:$J$38="Despesa")*(($C$12:$C$38="Contratado")+($C$12:$C$38="Plano")*$B$8)*($H$12:$H$38&lt;=BA$4)*($I$12:$I$38&gt;=BA$4)*$G$12:$G$38)</f>
        <v>342300</v>
      </c>
      <c r="BB43" s="94" t="n">
        <f aca="false">SUMPRODUCT(($B$12:$B$38="PJ")*($J$12:$J$38="Despesa")*(($C$12:$C$38="Contratado")+($C$12:$C$38="Plano")*$B$8)*($H$12:$H$38&lt;=BB$4)*($I$12:$I$38&gt;=BB$4)*$G$12:$G$38)</f>
        <v>342300</v>
      </c>
      <c r="BC43" s="94" t="n">
        <f aca="false">SUMPRODUCT(($B$12:$B$38="PJ")*($J$12:$J$38="Despesa")*(($C$12:$C$38="Contratado")+($C$12:$C$38="Plano")*$B$8)*($H$12:$H$38&lt;=BC$4)*($I$12:$I$38&gt;=BC$4)*$G$12:$G$38)</f>
        <v>342300</v>
      </c>
      <c r="BD43" s="94" t="n">
        <f aca="false">SUMPRODUCT(($B$12:$B$38="PJ")*($J$12:$J$38="Despesa")*(($C$12:$C$38="Contratado")+($C$12:$C$38="Plano")*$B$8)*($H$12:$H$38&lt;=BD$4)*($I$12:$I$38&gt;=BD$4)*$G$12:$G$38)</f>
        <v>342300</v>
      </c>
      <c r="BE43" s="94" t="n">
        <f aca="false">SUMPRODUCT(($B$12:$B$38="PJ")*($J$12:$J$38="Despesa")*(($C$12:$C$38="Contratado")+($C$12:$C$38="Plano")*$B$8)*($H$12:$H$38&lt;=BE$4)*($I$12:$I$38&gt;=BE$4)*$G$12:$G$38)</f>
        <v>342300</v>
      </c>
      <c r="BF43" s="94" t="n">
        <f aca="false">SUMPRODUCT(($B$12:$B$38="PJ")*($J$12:$J$38="Despesa")*(($C$12:$C$38="Contratado")+($C$12:$C$38="Plano")*$B$8)*($H$12:$H$38&lt;=BF$4)*($I$12:$I$38&gt;=BF$4)*$G$12:$G$38)</f>
        <v>342300</v>
      </c>
      <c r="BG43" s="94" t="n">
        <f aca="false">SUMPRODUCT(($B$12:$B$38="PJ")*($J$12:$J$38="Despesa")*(($C$12:$C$38="Contratado")+($C$12:$C$38="Plano")*$B$8)*($H$12:$H$38&lt;=BG$4)*($I$12:$I$38&gt;=BG$4)*$G$12:$G$38)</f>
        <v>342300</v>
      </c>
      <c r="BH43" s="94" t="n">
        <f aca="false">SUMPRODUCT(($B$12:$B$38="PJ")*($J$12:$J$38="Despesa")*(($C$12:$C$38="Contratado")+($C$12:$C$38="Plano")*$B$8)*($H$12:$H$38&lt;=BH$4)*($I$12:$I$38&gt;=BH$4)*$G$12:$G$38)</f>
        <v>342300</v>
      </c>
      <c r="BI43" s="94" t="n">
        <f aca="false">SUMPRODUCT(($B$12:$B$38="PJ")*($J$12:$J$38="Despesa")*(($C$12:$C$38="Contratado")+($C$12:$C$38="Plano")*$B$8)*($H$12:$H$38&lt;=BI$4)*($I$12:$I$38&gt;=BI$4)*$G$12:$G$38)</f>
        <v>342300</v>
      </c>
      <c r="BJ43" s="94" t="n">
        <f aca="false">SUMPRODUCT(($B$12:$B$38="PJ")*($J$12:$J$38="Despesa")*(($C$12:$C$38="Contratado")+($C$12:$C$38="Plano")*$B$8)*($H$12:$H$38&lt;=BJ$4)*($I$12:$I$38&gt;=BJ$4)*$G$12:$G$38)</f>
        <v>342300</v>
      </c>
      <c r="BK43" s="94" t="n">
        <f aca="false">SUMPRODUCT(($B$12:$B$38="PJ")*($J$12:$J$38="Despesa")*(($C$12:$C$38="Contratado")+($C$12:$C$38="Plano")*$B$8)*($H$12:$H$38&lt;=BK$4)*($I$12:$I$38&gt;=BK$4)*$G$12:$G$38)</f>
        <v>342300</v>
      </c>
      <c r="BL43" s="94" t="n">
        <f aca="false">SUMPRODUCT(($B$12:$B$38="PJ")*($J$12:$J$38="Despesa")*(($C$12:$C$38="Contratado")+($C$12:$C$38="Plano")*$B$8)*($H$12:$H$38&lt;=BL$4)*($I$12:$I$38&gt;=BL$4)*$G$12:$G$38)</f>
        <v>342300</v>
      </c>
      <c r="BM43" s="82" t="n">
        <f aca="false">SUM(E43:BL43)</f>
        <v>8323200</v>
      </c>
    </row>
    <row r="44" customFormat="false" ht="15" hidden="false" customHeight="false" outlineLevel="0" collapsed="false">
      <c r="A44" s="37" t="s">
        <v>325</v>
      </c>
      <c r="E44" s="94" t="n">
        <f aca="false">SUMPRODUCT(($B$12:$B$38="CLT")*($J$12:$J$38="Despesa")*(($C$12:$C$38="Contratado")+($C$12:$C$38="Plano")*$B$8)*($H$12:$H$38&lt;=E$4)*($I$12:$I$38&gt;=E$4)*$G$12:$G$38)</f>
        <v>0</v>
      </c>
      <c r="F44" s="94" t="n">
        <f aca="false">SUMPRODUCT(($B$12:$B$38="CLT")*($J$12:$J$38="Despesa")*(($C$12:$C$38="Contratado")+($C$12:$C$38="Plano")*$B$8)*($H$12:$H$38&lt;=F$4)*($I$12:$I$38&gt;=F$4)*$G$12:$G$38)</f>
        <v>0</v>
      </c>
      <c r="G44" s="94" t="n">
        <f aca="false">SUMPRODUCT(($B$12:$B$38="CLT")*($J$12:$J$38="Despesa")*(($C$12:$C$38="Contratado")+($C$12:$C$38="Plano")*$B$8)*($H$12:$H$38&lt;=G$4)*($I$12:$I$38&gt;=G$4)*$G$12:$G$38)</f>
        <v>0</v>
      </c>
      <c r="H44" s="94" t="n">
        <f aca="false">SUMPRODUCT(($B$12:$B$38="CLT")*($J$12:$J$38="Despesa")*(($C$12:$C$38="Contratado")+($C$12:$C$38="Plano")*$B$8)*($H$12:$H$38&lt;=H$4)*($I$12:$I$38&gt;=H$4)*$G$12:$G$38)</f>
        <v>0</v>
      </c>
      <c r="I44" s="94" t="n">
        <f aca="false">SUMPRODUCT(($B$12:$B$38="CLT")*($J$12:$J$38="Despesa")*(($C$12:$C$38="Contratado")+($C$12:$C$38="Plano")*$B$8)*($H$12:$H$38&lt;=I$4)*($I$12:$I$38&gt;=I$4)*$G$12:$G$38)</f>
        <v>0</v>
      </c>
      <c r="J44" s="94" t="n">
        <f aca="false">SUMPRODUCT(($B$12:$B$38="CLT")*($J$12:$J$38="Despesa")*(($C$12:$C$38="Contratado")+($C$12:$C$38="Plano")*$B$8)*($H$12:$H$38&lt;=J$4)*($I$12:$I$38&gt;=J$4)*$G$12:$G$38)</f>
        <v>0</v>
      </c>
      <c r="K44" s="94" t="n">
        <f aca="false">SUMPRODUCT(($B$12:$B$38="CLT")*($J$12:$J$38="Despesa")*(($C$12:$C$38="Contratado")+($C$12:$C$38="Plano")*$B$8)*($H$12:$H$38&lt;=K$4)*($I$12:$I$38&gt;=K$4)*$G$12:$G$38)</f>
        <v>0</v>
      </c>
      <c r="L44" s="94" t="n">
        <f aca="false">SUMPRODUCT(($B$12:$B$38="CLT")*($J$12:$J$38="Despesa")*(($C$12:$C$38="Contratado")+($C$12:$C$38="Plano")*$B$8)*($H$12:$H$38&lt;=L$4)*($I$12:$I$38&gt;=L$4)*$G$12:$G$38)</f>
        <v>0</v>
      </c>
      <c r="M44" s="94" t="n">
        <f aca="false">SUMPRODUCT(($B$12:$B$38="CLT")*($J$12:$J$38="Despesa")*(($C$12:$C$38="Contratado")+($C$12:$C$38="Plano")*$B$8)*($H$12:$H$38&lt;=M$4)*($I$12:$I$38&gt;=M$4)*$G$12:$G$38)</f>
        <v>0</v>
      </c>
      <c r="N44" s="94" t="n">
        <f aca="false">SUMPRODUCT(($B$12:$B$38="CLT")*($J$12:$J$38="Despesa")*(($C$12:$C$38="Contratado")+($C$12:$C$38="Plano")*$B$8)*($H$12:$H$38&lt;=N$4)*($I$12:$I$38&gt;=N$4)*$G$12:$G$38)</f>
        <v>0</v>
      </c>
      <c r="O44" s="94" t="n">
        <f aca="false">SUMPRODUCT(($B$12:$B$38="CLT")*($J$12:$J$38="Despesa")*(($C$12:$C$38="Contratado")+($C$12:$C$38="Plano")*$B$8)*($H$12:$H$38&lt;=O$4)*($I$12:$I$38&gt;=O$4)*$G$12:$G$38)</f>
        <v>0</v>
      </c>
      <c r="P44" s="94" t="n">
        <f aca="false">SUMPRODUCT(($B$12:$B$38="CLT")*($J$12:$J$38="Despesa")*(($C$12:$C$38="Contratado")+($C$12:$C$38="Plano")*$B$8)*($H$12:$H$38&lt;=P$4)*($I$12:$I$38&gt;=P$4)*$G$12:$G$38)</f>
        <v>0</v>
      </c>
      <c r="Q44" s="94" t="n">
        <f aca="false">SUMPRODUCT(($B$12:$B$38="CLT")*($J$12:$J$38="Despesa")*(($C$12:$C$38="Contratado")+($C$12:$C$38="Plano")*$B$8)*($H$12:$H$38&lt;=Q$4)*($I$12:$I$38&gt;=Q$4)*$G$12:$G$38)</f>
        <v>0</v>
      </c>
      <c r="R44" s="94" t="n">
        <f aca="false">SUMPRODUCT(($B$12:$B$38="CLT")*($J$12:$J$38="Despesa")*(($C$12:$C$38="Contratado")+($C$12:$C$38="Plano")*$B$8)*($H$12:$H$38&lt;=R$4)*($I$12:$I$38&gt;=R$4)*$G$12:$G$38)</f>
        <v>0</v>
      </c>
      <c r="S44" s="94" t="n">
        <f aca="false">SUMPRODUCT(($B$12:$B$38="CLT")*($J$12:$J$38="Despesa")*(($C$12:$C$38="Contratado")+($C$12:$C$38="Plano")*$B$8)*($H$12:$H$38&lt;=S$4)*($I$12:$I$38&gt;=S$4)*$G$12:$G$38)</f>
        <v>0</v>
      </c>
      <c r="T44" s="94" t="n">
        <f aca="false">SUMPRODUCT(($B$12:$B$38="CLT")*($J$12:$J$38="Despesa")*(($C$12:$C$38="Contratado")+($C$12:$C$38="Plano")*$B$8)*($H$12:$H$38&lt;=T$4)*($I$12:$I$38&gt;=T$4)*$G$12:$G$38)</f>
        <v>0</v>
      </c>
      <c r="U44" s="94" t="n">
        <f aca="false">SUMPRODUCT(($B$12:$B$38="CLT")*($J$12:$J$38="Despesa")*(($C$12:$C$38="Contratado")+($C$12:$C$38="Plano")*$B$8)*($H$12:$H$38&lt;=U$4)*($I$12:$I$38&gt;=U$4)*$G$12:$G$38)</f>
        <v>0</v>
      </c>
      <c r="V44" s="94" t="n">
        <f aca="false">SUMPRODUCT(($B$12:$B$38="CLT")*($J$12:$J$38="Despesa")*(($C$12:$C$38="Contratado")+($C$12:$C$38="Plano")*$B$8)*($H$12:$H$38&lt;=V$4)*($I$12:$I$38&gt;=V$4)*$G$12:$G$38)</f>
        <v>0</v>
      </c>
      <c r="W44" s="94" t="n">
        <f aca="false">SUMPRODUCT(($B$12:$B$38="CLT")*($J$12:$J$38="Despesa")*(($C$12:$C$38="Contratado")+($C$12:$C$38="Plano")*$B$8)*($H$12:$H$38&lt;=W$4)*($I$12:$I$38&gt;=W$4)*$G$12:$G$38)</f>
        <v>0</v>
      </c>
      <c r="X44" s="94" t="n">
        <f aca="false">SUMPRODUCT(($B$12:$B$38="CLT")*($J$12:$J$38="Despesa")*(($C$12:$C$38="Contratado")+($C$12:$C$38="Plano")*$B$8)*($H$12:$H$38&lt;=X$4)*($I$12:$I$38&gt;=X$4)*$G$12:$G$38)</f>
        <v>0</v>
      </c>
      <c r="Y44" s="94" t="n">
        <f aca="false">SUMPRODUCT(($B$12:$B$38="CLT")*($J$12:$J$38="Despesa")*(($C$12:$C$38="Contratado")+($C$12:$C$38="Plano")*$B$8)*($H$12:$H$38&lt;=Y$4)*($I$12:$I$38&gt;=Y$4)*$G$12:$G$38)</f>
        <v>0</v>
      </c>
      <c r="Z44" s="94" t="n">
        <f aca="false">SUMPRODUCT(($B$12:$B$38="CLT")*($J$12:$J$38="Despesa")*(($C$12:$C$38="Contratado")+($C$12:$C$38="Plano")*$B$8)*($H$12:$H$38&lt;=Z$4)*($I$12:$I$38&gt;=Z$4)*$G$12:$G$38)</f>
        <v>0</v>
      </c>
      <c r="AA44" s="94" t="n">
        <f aca="false">SUMPRODUCT(($B$12:$B$38="CLT")*($J$12:$J$38="Despesa")*(($C$12:$C$38="Contratado")+($C$12:$C$38="Plano")*$B$8)*($H$12:$H$38&lt;=AA$4)*($I$12:$I$38&gt;=AA$4)*$G$12:$G$38)</f>
        <v>0</v>
      </c>
      <c r="AB44" s="94" t="n">
        <f aca="false">SUMPRODUCT(($B$12:$B$38="CLT")*($J$12:$J$38="Despesa")*(($C$12:$C$38="Contratado")+($C$12:$C$38="Plano")*$B$8)*($H$12:$H$38&lt;=AB$4)*($I$12:$I$38&gt;=AB$4)*$G$12:$G$38)</f>
        <v>0</v>
      </c>
      <c r="AC44" s="94" t="n">
        <f aca="false">SUMPRODUCT(($B$12:$B$38="CLT")*($J$12:$J$38="Despesa")*(($C$12:$C$38="Contratado")+($C$12:$C$38="Plano")*$B$8)*($H$12:$H$38&lt;=AC$4)*($I$12:$I$38&gt;=AC$4)*$G$12:$G$38)</f>
        <v>0</v>
      </c>
      <c r="AD44" s="94" t="n">
        <f aca="false">SUMPRODUCT(($B$12:$B$38="CLT")*($J$12:$J$38="Despesa")*(($C$12:$C$38="Contratado")+($C$12:$C$38="Plano")*$B$8)*($H$12:$H$38&lt;=AD$4)*($I$12:$I$38&gt;=AD$4)*$G$12:$G$38)</f>
        <v>0</v>
      </c>
      <c r="AE44" s="94" t="n">
        <f aca="false">SUMPRODUCT(($B$12:$B$38="CLT")*($J$12:$J$38="Despesa")*(($C$12:$C$38="Contratado")+($C$12:$C$38="Plano")*$B$8)*($H$12:$H$38&lt;=AE$4)*($I$12:$I$38&gt;=AE$4)*$G$12:$G$38)</f>
        <v>0</v>
      </c>
      <c r="AF44" s="94" t="n">
        <f aca="false">SUMPRODUCT(($B$12:$B$38="CLT")*($J$12:$J$38="Despesa")*(($C$12:$C$38="Contratado")+($C$12:$C$38="Plano")*$B$8)*($H$12:$H$38&lt;=AF$4)*($I$12:$I$38&gt;=AF$4)*$G$12:$G$38)</f>
        <v>0</v>
      </c>
      <c r="AG44" s="94" t="n">
        <f aca="false">SUMPRODUCT(($B$12:$B$38="CLT")*($J$12:$J$38="Despesa")*(($C$12:$C$38="Contratado")+($C$12:$C$38="Plano")*$B$8)*($H$12:$H$38&lt;=AG$4)*($I$12:$I$38&gt;=AG$4)*$G$12:$G$38)</f>
        <v>0</v>
      </c>
      <c r="AH44" s="94" t="n">
        <f aca="false">SUMPRODUCT(($B$12:$B$38="CLT")*($J$12:$J$38="Despesa")*(($C$12:$C$38="Contratado")+($C$12:$C$38="Plano")*$B$8)*($H$12:$H$38&lt;=AH$4)*($I$12:$I$38&gt;=AH$4)*$G$12:$G$38)</f>
        <v>0</v>
      </c>
      <c r="AI44" s="94" t="n">
        <f aca="false">SUMPRODUCT(($B$12:$B$38="CLT")*($J$12:$J$38="Despesa")*(($C$12:$C$38="Contratado")+($C$12:$C$38="Plano")*$B$8)*($H$12:$H$38&lt;=AI$4)*($I$12:$I$38&gt;=AI$4)*$G$12:$G$38)</f>
        <v>0</v>
      </c>
      <c r="AJ44" s="94" t="n">
        <f aca="false">SUMPRODUCT(($B$12:$B$38="CLT")*($J$12:$J$38="Despesa")*(($C$12:$C$38="Contratado")+($C$12:$C$38="Plano")*$B$8)*($H$12:$H$38&lt;=AJ$4)*($I$12:$I$38&gt;=AJ$4)*$G$12:$G$38)</f>
        <v>0</v>
      </c>
      <c r="AK44" s="94" t="n">
        <f aca="false">SUMPRODUCT(($B$12:$B$38="CLT")*($J$12:$J$38="Despesa")*(($C$12:$C$38="Contratado")+($C$12:$C$38="Plano")*$B$8)*($H$12:$H$38&lt;=AK$4)*($I$12:$I$38&gt;=AK$4)*$G$12:$G$38)</f>
        <v>0</v>
      </c>
      <c r="AL44" s="94" t="n">
        <f aca="false">SUMPRODUCT(($B$12:$B$38="CLT")*($J$12:$J$38="Despesa")*(($C$12:$C$38="Contratado")+($C$12:$C$38="Plano")*$B$8)*($H$12:$H$38&lt;=AL$4)*($I$12:$I$38&gt;=AL$4)*$G$12:$G$38)</f>
        <v>0</v>
      </c>
      <c r="AM44" s="94" t="n">
        <f aca="false">SUMPRODUCT(($B$12:$B$38="CLT")*($J$12:$J$38="Despesa")*(($C$12:$C$38="Contratado")+($C$12:$C$38="Plano")*$B$8)*($H$12:$H$38&lt;=AM$4)*($I$12:$I$38&gt;=AM$4)*$G$12:$G$38)</f>
        <v>0</v>
      </c>
      <c r="AN44" s="94" t="n">
        <f aca="false">SUMPRODUCT(($B$12:$B$38="CLT")*($J$12:$J$38="Despesa")*(($C$12:$C$38="Contratado")+($C$12:$C$38="Plano")*$B$8)*($H$12:$H$38&lt;=AN$4)*($I$12:$I$38&gt;=AN$4)*$G$12:$G$38)</f>
        <v>0</v>
      </c>
      <c r="AO44" s="94" t="n">
        <f aca="false">SUMPRODUCT(($B$12:$B$38="CLT")*($J$12:$J$38="Despesa")*(($C$12:$C$38="Contratado")+($C$12:$C$38="Plano")*$B$8)*($H$12:$H$38&lt;=AO$4)*($I$12:$I$38&gt;=AO$4)*$G$12:$G$38)</f>
        <v>0</v>
      </c>
      <c r="AP44" s="94" t="n">
        <f aca="false">SUMPRODUCT(($B$12:$B$38="CLT")*($J$12:$J$38="Despesa")*(($C$12:$C$38="Contratado")+($C$12:$C$38="Plano")*$B$8)*($H$12:$H$38&lt;=AP$4)*($I$12:$I$38&gt;=AP$4)*$G$12:$G$38)</f>
        <v>0</v>
      </c>
      <c r="AQ44" s="94" t="n">
        <f aca="false">SUMPRODUCT(($B$12:$B$38="CLT")*($J$12:$J$38="Despesa")*(($C$12:$C$38="Contratado")+($C$12:$C$38="Plano")*$B$8)*($H$12:$H$38&lt;=AQ$4)*($I$12:$I$38&gt;=AQ$4)*$G$12:$G$38)</f>
        <v>0</v>
      </c>
      <c r="AR44" s="94" t="n">
        <f aca="false">SUMPRODUCT(($B$12:$B$38="CLT")*($J$12:$J$38="Despesa")*(($C$12:$C$38="Contratado")+($C$12:$C$38="Plano")*$B$8)*($H$12:$H$38&lt;=AR$4)*($I$12:$I$38&gt;=AR$4)*$G$12:$G$38)</f>
        <v>0</v>
      </c>
      <c r="AS44" s="94" t="n">
        <f aca="false">SUMPRODUCT(($B$12:$B$38="CLT")*($J$12:$J$38="Despesa")*(($C$12:$C$38="Contratado")+($C$12:$C$38="Plano")*$B$8)*($H$12:$H$38&lt;=AS$4)*($I$12:$I$38&gt;=AS$4)*$G$12:$G$38)</f>
        <v>0</v>
      </c>
      <c r="AT44" s="94" t="n">
        <f aca="false">SUMPRODUCT(($B$12:$B$38="CLT")*($J$12:$J$38="Despesa")*(($C$12:$C$38="Contratado")+($C$12:$C$38="Plano")*$B$8)*($H$12:$H$38&lt;=AT$4)*($I$12:$I$38&gt;=AT$4)*$G$12:$G$38)</f>
        <v>0</v>
      </c>
      <c r="AU44" s="94" t="n">
        <f aca="false">SUMPRODUCT(($B$12:$B$38="CLT")*($J$12:$J$38="Despesa")*(($C$12:$C$38="Contratado")+($C$12:$C$38="Plano")*$B$8)*($H$12:$H$38&lt;=AU$4)*($I$12:$I$38&gt;=AU$4)*$G$12:$G$38)</f>
        <v>0</v>
      </c>
      <c r="AV44" s="94" t="n">
        <f aca="false">SUMPRODUCT(($B$12:$B$38="CLT")*($J$12:$J$38="Despesa")*(($C$12:$C$38="Contratado")+($C$12:$C$38="Plano")*$B$8)*($H$12:$H$38&lt;=AV$4)*($I$12:$I$38&gt;=AV$4)*$G$12:$G$38)</f>
        <v>0</v>
      </c>
      <c r="AW44" s="94" t="n">
        <f aca="false">SUMPRODUCT(($B$12:$B$38="CLT")*($J$12:$J$38="Despesa")*(($C$12:$C$38="Contratado")+($C$12:$C$38="Plano")*$B$8)*($H$12:$H$38&lt;=AW$4)*($I$12:$I$38&gt;=AW$4)*$G$12:$G$38)</f>
        <v>0</v>
      </c>
      <c r="AX44" s="94" t="n">
        <f aca="false">SUMPRODUCT(($B$12:$B$38="CLT")*($J$12:$J$38="Despesa")*(($C$12:$C$38="Contratado")+($C$12:$C$38="Plano")*$B$8)*($H$12:$H$38&lt;=AX$4)*($I$12:$I$38&gt;=AX$4)*$G$12:$G$38)</f>
        <v>0</v>
      </c>
      <c r="AY44" s="94" t="n">
        <f aca="false">SUMPRODUCT(($B$12:$B$38="CLT")*($J$12:$J$38="Despesa")*(($C$12:$C$38="Contratado")+($C$12:$C$38="Plano")*$B$8)*($H$12:$H$38&lt;=AY$4)*($I$12:$I$38&gt;=AY$4)*$G$12:$G$38)</f>
        <v>0</v>
      </c>
      <c r="AZ44" s="94" t="n">
        <f aca="false">SUMPRODUCT(($B$12:$B$38="CLT")*($J$12:$J$38="Despesa")*(($C$12:$C$38="Contratado")+($C$12:$C$38="Plano")*$B$8)*($H$12:$H$38&lt;=AZ$4)*($I$12:$I$38&gt;=AZ$4)*$G$12:$G$38)</f>
        <v>0</v>
      </c>
      <c r="BA44" s="94" t="n">
        <f aca="false">SUMPRODUCT(($B$12:$B$38="CLT")*($J$12:$J$38="Despesa")*(($C$12:$C$38="Contratado")+($C$12:$C$38="Plano")*$B$8)*($H$12:$H$38&lt;=BA$4)*($I$12:$I$38&gt;=BA$4)*$G$12:$G$38)</f>
        <v>0</v>
      </c>
      <c r="BB44" s="94" t="n">
        <f aca="false">SUMPRODUCT(($B$12:$B$38="CLT")*($J$12:$J$38="Despesa")*(($C$12:$C$38="Contratado")+($C$12:$C$38="Plano")*$B$8)*($H$12:$H$38&lt;=BB$4)*($I$12:$I$38&gt;=BB$4)*$G$12:$G$38)</f>
        <v>0</v>
      </c>
      <c r="BC44" s="94" t="n">
        <f aca="false">SUMPRODUCT(($B$12:$B$38="CLT")*($J$12:$J$38="Despesa")*(($C$12:$C$38="Contratado")+($C$12:$C$38="Plano")*$B$8)*($H$12:$H$38&lt;=BC$4)*($I$12:$I$38&gt;=BC$4)*$G$12:$G$38)</f>
        <v>0</v>
      </c>
      <c r="BD44" s="94" t="n">
        <f aca="false">SUMPRODUCT(($B$12:$B$38="CLT")*($J$12:$J$38="Despesa")*(($C$12:$C$38="Contratado")+($C$12:$C$38="Plano")*$B$8)*($H$12:$H$38&lt;=BD$4)*($I$12:$I$38&gt;=BD$4)*$G$12:$G$38)</f>
        <v>0</v>
      </c>
      <c r="BE44" s="94" t="n">
        <f aca="false">SUMPRODUCT(($B$12:$B$38="CLT")*($J$12:$J$38="Despesa")*(($C$12:$C$38="Contratado")+($C$12:$C$38="Plano")*$B$8)*($H$12:$H$38&lt;=BE$4)*($I$12:$I$38&gt;=BE$4)*$G$12:$G$38)</f>
        <v>0</v>
      </c>
      <c r="BF44" s="94" t="n">
        <f aca="false">SUMPRODUCT(($B$12:$B$38="CLT")*($J$12:$J$38="Despesa")*(($C$12:$C$38="Contratado")+($C$12:$C$38="Plano")*$B$8)*($H$12:$H$38&lt;=BF$4)*($I$12:$I$38&gt;=BF$4)*$G$12:$G$38)</f>
        <v>0</v>
      </c>
      <c r="BG44" s="94" t="n">
        <f aca="false">SUMPRODUCT(($B$12:$B$38="CLT")*($J$12:$J$38="Despesa")*(($C$12:$C$38="Contratado")+($C$12:$C$38="Plano")*$B$8)*($H$12:$H$38&lt;=BG$4)*($I$12:$I$38&gt;=BG$4)*$G$12:$G$38)</f>
        <v>0</v>
      </c>
      <c r="BH44" s="94" t="n">
        <f aca="false">SUMPRODUCT(($B$12:$B$38="CLT")*($J$12:$J$38="Despesa")*(($C$12:$C$38="Contratado")+($C$12:$C$38="Plano")*$B$8)*($H$12:$H$38&lt;=BH$4)*($I$12:$I$38&gt;=BH$4)*$G$12:$G$38)</f>
        <v>0</v>
      </c>
      <c r="BI44" s="94" t="n">
        <f aca="false">SUMPRODUCT(($B$12:$B$38="CLT")*($J$12:$J$38="Despesa")*(($C$12:$C$38="Contratado")+($C$12:$C$38="Plano")*$B$8)*($H$12:$H$38&lt;=BI$4)*($I$12:$I$38&gt;=BI$4)*$G$12:$G$38)</f>
        <v>0</v>
      </c>
      <c r="BJ44" s="94" t="n">
        <f aca="false">SUMPRODUCT(($B$12:$B$38="CLT")*($J$12:$J$38="Despesa")*(($C$12:$C$38="Contratado")+($C$12:$C$38="Plano")*$B$8)*($H$12:$H$38&lt;=BJ$4)*($I$12:$I$38&gt;=BJ$4)*$G$12:$G$38)</f>
        <v>0</v>
      </c>
      <c r="BK44" s="94" t="n">
        <f aca="false">SUMPRODUCT(($B$12:$B$38="CLT")*($J$12:$J$38="Despesa")*(($C$12:$C$38="Contratado")+($C$12:$C$38="Plano")*$B$8)*($H$12:$H$38&lt;=BK$4)*($I$12:$I$38&gt;=BK$4)*$G$12:$G$38)</f>
        <v>0</v>
      </c>
      <c r="BL44" s="94" t="n">
        <f aca="false">SUMPRODUCT(($B$12:$B$38="CLT")*($J$12:$J$38="Despesa")*(($C$12:$C$38="Contratado")+($C$12:$C$38="Plano")*$B$8)*($H$12:$H$38&lt;=BL$4)*($I$12:$I$38&gt;=BL$4)*$G$12:$G$38)</f>
        <v>0</v>
      </c>
      <c r="BM44" s="82" t="n">
        <f aca="false">SUM(E44:BL44)</f>
        <v>0</v>
      </c>
    </row>
    <row r="45" customFormat="false" ht="15" hidden="false" customHeight="false" outlineLevel="0" collapsed="false">
      <c r="A45" s="37" t="s">
        <v>326</v>
      </c>
      <c r="E45" s="94" t="n">
        <f aca="false">SUMPRODUCT(($B$12:$B$38="Sócio")*($J$12:$J$38="Despesa")*(($C$12:$C$38="Contratado")+($C$12:$C$38="Plano")*$B$8)*($H$12:$H$38&lt;=E$4)*($I$12:$I$38&gt;=E$4)*$G$12:$G$38)</f>
        <v>0</v>
      </c>
      <c r="F45" s="94" t="n">
        <f aca="false">SUMPRODUCT(($B$12:$B$38="Sócio")*($J$12:$J$38="Despesa")*(($C$12:$C$38="Contratado")+($C$12:$C$38="Plano")*$B$8)*($H$12:$H$38&lt;=F$4)*($I$12:$I$38&gt;=F$4)*$G$12:$G$38)</f>
        <v>0</v>
      </c>
      <c r="G45" s="94" t="n">
        <f aca="false">SUMPRODUCT(($B$12:$B$38="Sócio")*($J$12:$J$38="Despesa")*(($C$12:$C$38="Contratado")+($C$12:$C$38="Plano")*$B$8)*($H$12:$H$38&lt;=G$4)*($I$12:$I$38&gt;=G$4)*$G$12:$G$38)</f>
        <v>0</v>
      </c>
      <c r="H45" s="94" t="n">
        <f aca="false">SUMPRODUCT(($B$12:$B$38="Sócio")*($J$12:$J$38="Despesa")*(($C$12:$C$38="Contratado")+($C$12:$C$38="Plano")*$B$8)*($H$12:$H$38&lt;=H$4)*($I$12:$I$38&gt;=H$4)*$G$12:$G$38)</f>
        <v>0</v>
      </c>
      <c r="I45" s="94" t="n">
        <f aca="false">SUMPRODUCT(($B$12:$B$38="Sócio")*($J$12:$J$38="Despesa")*(($C$12:$C$38="Contratado")+($C$12:$C$38="Plano")*$B$8)*($H$12:$H$38&lt;=I$4)*($I$12:$I$38&gt;=I$4)*$G$12:$G$38)</f>
        <v>0</v>
      </c>
      <c r="J45" s="94" t="n">
        <f aca="false">SUMPRODUCT(($B$12:$B$38="Sócio")*($J$12:$J$38="Despesa")*(($C$12:$C$38="Contratado")+($C$12:$C$38="Plano")*$B$8)*($H$12:$H$38&lt;=J$4)*($I$12:$I$38&gt;=J$4)*$G$12:$G$38)</f>
        <v>0</v>
      </c>
      <c r="K45" s="94" t="n">
        <f aca="false">SUMPRODUCT(($B$12:$B$38="Sócio")*($J$12:$J$38="Despesa")*(($C$12:$C$38="Contratado")+($C$12:$C$38="Plano")*$B$8)*($H$12:$H$38&lt;=K$4)*($I$12:$I$38&gt;=K$4)*$G$12:$G$38)</f>
        <v>0</v>
      </c>
      <c r="L45" s="94" t="n">
        <f aca="false">SUMPRODUCT(($B$12:$B$38="Sócio")*($J$12:$J$38="Despesa")*(($C$12:$C$38="Contratado")+($C$12:$C$38="Plano")*$B$8)*($H$12:$H$38&lt;=L$4)*($I$12:$I$38&gt;=L$4)*$G$12:$G$38)</f>
        <v>0</v>
      </c>
      <c r="M45" s="94" t="n">
        <f aca="false">SUMPRODUCT(($B$12:$B$38="Sócio")*($J$12:$J$38="Despesa")*(($C$12:$C$38="Contratado")+($C$12:$C$38="Plano")*$B$8)*($H$12:$H$38&lt;=M$4)*($I$12:$I$38&gt;=M$4)*$G$12:$G$38)</f>
        <v>0</v>
      </c>
      <c r="N45" s="94" t="n">
        <f aca="false">SUMPRODUCT(($B$12:$B$38="Sócio")*($J$12:$J$38="Despesa")*(($C$12:$C$38="Contratado")+($C$12:$C$38="Plano")*$B$8)*($H$12:$H$38&lt;=N$4)*($I$12:$I$38&gt;=N$4)*$G$12:$G$38)</f>
        <v>0</v>
      </c>
      <c r="O45" s="94" t="n">
        <f aca="false">SUMPRODUCT(($B$12:$B$38="Sócio")*($J$12:$J$38="Despesa")*(($C$12:$C$38="Contratado")+($C$12:$C$38="Plano")*$B$8)*($H$12:$H$38&lt;=O$4)*($I$12:$I$38&gt;=O$4)*$G$12:$G$38)</f>
        <v>0</v>
      </c>
      <c r="P45" s="94" t="n">
        <f aca="false">SUMPRODUCT(($B$12:$B$38="Sócio")*($J$12:$J$38="Despesa")*(($C$12:$C$38="Contratado")+($C$12:$C$38="Plano")*$B$8)*($H$12:$H$38&lt;=P$4)*($I$12:$I$38&gt;=P$4)*$G$12:$G$38)</f>
        <v>0</v>
      </c>
      <c r="Q45" s="94" t="n">
        <f aca="false">SUMPRODUCT(($B$12:$B$38="Sócio")*($J$12:$J$38="Despesa")*(($C$12:$C$38="Contratado")+($C$12:$C$38="Plano")*$B$8)*($H$12:$H$38&lt;=Q$4)*($I$12:$I$38&gt;=Q$4)*$G$12:$G$38)</f>
        <v>15000</v>
      </c>
      <c r="R45" s="94" t="n">
        <f aca="false">SUMPRODUCT(($B$12:$B$38="Sócio")*($J$12:$J$38="Despesa")*(($C$12:$C$38="Contratado")+($C$12:$C$38="Plano")*$B$8)*($H$12:$H$38&lt;=R$4)*($I$12:$I$38&gt;=R$4)*$G$12:$G$38)</f>
        <v>15000</v>
      </c>
      <c r="S45" s="94" t="n">
        <f aca="false">SUMPRODUCT(($B$12:$B$38="Sócio")*($J$12:$J$38="Despesa")*(($C$12:$C$38="Contratado")+($C$12:$C$38="Plano")*$B$8)*($H$12:$H$38&lt;=S$4)*($I$12:$I$38&gt;=S$4)*$G$12:$G$38)</f>
        <v>15000</v>
      </c>
      <c r="T45" s="94" t="n">
        <f aca="false">SUMPRODUCT(($B$12:$B$38="Sócio")*($J$12:$J$38="Despesa")*(($C$12:$C$38="Contratado")+($C$12:$C$38="Plano")*$B$8)*($H$12:$H$38&lt;=T$4)*($I$12:$I$38&gt;=T$4)*$G$12:$G$38)</f>
        <v>15000</v>
      </c>
      <c r="U45" s="94" t="n">
        <f aca="false">SUMPRODUCT(($B$12:$B$38="Sócio")*($J$12:$J$38="Despesa")*(($C$12:$C$38="Contratado")+($C$12:$C$38="Plano")*$B$8)*($H$12:$H$38&lt;=U$4)*($I$12:$I$38&gt;=U$4)*$G$12:$G$38)</f>
        <v>15000</v>
      </c>
      <c r="V45" s="94" t="n">
        <f aca="false">SUMPRODUCT(($B$12:$B$38="Sócio")*($J$12:$J$38="Despesa")*(($C$12:$C$38="Contratado")+($C$12:$C$38="Plano")*$B$8)*($H$12:$H$38&lt;=V$4)*($I$12:$I$38&gt;=V$4)*$G$12:$G$38)</f>
        <v>15000</v>
      </c>
      <c r="W45" s="94" t="n">
        <f aca="false">SUMPRODUCT(($B$12:$B$38="Sócio")*($J$12:$J$38="Despesa")*(($C$12:$C$38="Contratado")+($C$12:$C$38="Plano")*$B$8)*($H$12:$H$38&lt;=W$4)*($I$12:$I$38&gt;=W$4)*$G$12:$G$38)</f>
        <v>15000</v>
      </c>
      <c r="X45" s="94" t="n">
        <f aca="false">SUMPRODUCT(($B$12:$B$38="Sócio")*($J$12:$J$38="Despesa")*(($C$12:$C$38="Contratado")+($C$12:$C$38="Plano")*$B$8)*($H$12:$H$38&lt;=X$4)*($I$12:$I$38&gt;=X$4)*$G$12:$G$38)</f>
        <v>15000</v>
      </c>
      <c r="Y45" s="94" t="n">
        <f aca="false">SUMPRODUCT(($B$12:$B$38="Sócio")*($J$12:$J$38="Despesa")*(($C$12:$C$38="Contratado")+($C$12:$C$38="Plano")*$B$8)*($H$12:$H$38&lt;=Y$4)*($I$12:$I$38&gt;=Y$4)*$G$12:$G$38)</f>
        <v>15000</v>
      </c>
      <c r="Z45" s="94" t="n">
        <f aca="false">SUMPRODUCT(($B$12:$B$38="Sócio")*($J$12:$J$38="Despesa")*(($C$12:$C$38="Contratado")+($C$12:$C$38="Plano")*$B$8)*($H$12:$H$38&lt;=Z$4)*($I$12:$I$38&gt;=Z$4)*$G$12:$G$38)</f>
        <v>15000</v>
      </c>
      <c r="AA45" s="94" t="n">
        <f aca="false">SUMPRODUCT(($B$12:$B$38="Sócio")*($J$12:$J$38="Despesa")*(($C$12:$C$38="Contratado")+($C$12:$C$38="Plano")*$B$8)*($H$12:$H$38&lt;=AA$4)*($I$12:$I$38&gt;=AA$4)*$G$12:$G$38)</f>
        <v>15000</v>
      </c>
      <c r="AB45" s="94" t="n">
        <f aca="false">SUMPRODUCT(($B$12:$B$38="Sócio")*($J$12:$J$38="Despesa")*(($C$12:$C$38="Contratado")+($C$12:$C$38="Plano")*$B$8)*($H$12:$H$38&lt;=AB$4)*($I$12:$I$38&gt;=AB$4)*$G$12:$G$38)</f>
        <v>15000</v>
      </c>
      <c r="AC45" s="94" t="n">
        <f aca="false">SUMPRODUCT(($B$12:$B$38="Sócio")*($J$12:$J$38="Despesa")*(($C$12:$C$38="Contratado")+($C$12:$C$38="Plano")*$B$8)*($H$12:$H$38&lt;=AC$4)*($I$12:$I$38&gt;=AC$4)*$G$12:$G$38)</f>
        <v>15000</v>
      </c>
      <c r="AD45" s="94" t="n">
        <f aca="false">SUMPRODUCT(($B$12:$B$38="Sócio")*($J$12:$J$38="Despesa")*(($C$12:$C$38="Contratado")+($C$12:$C$38="Plano")*$B$8)*($H$12:$H$38&lt;=AD$4)*($I$12:$I$38&gt;=AD$4)*$G$12:$G$38)</f>
        <v>15000</v>
      </c>
      <c r="AE45" s="94" t="n">
        <f aca="false">SUMPRODUCT(($B$12:$B$38="Sócio")*($J$12:$J$38="Despesa")*(($C$12:$C$38="Contratado")+($C$12:$C$38="Plano")*$B$8)*($H$12:$H$38&lt;=AE$4)*($I$12:$I$38&gt;=AE$4)*$G$12:$G$38)</f>
        <v>15000</v>
      </c>
      <c r="AF45" s="94" t="n">
        <f aca="false">SUMPRODUCT(($B$12:$B$38="Sócio")*($J$12:$J$38="Despesa")*(($C$12:$C$38="Contratado")+($C$12:$C$38="Plano")*$B$8)*($H$12:$H$38&lt;=AF$4)*($I$12:$I$38&gt;=AF$4)*$G$12:$G$38)</f>
        <v>15000</v>
      </c>
      <c r="AG45" s="94" t="n">
        <f aca="false">SUMPRODUCT(($B$12:$B$38="Sócio")*($J$12:$J$38="Despesa")*(($C$12:$C$38="Contratado")+($C$12:$C$38="Plano")*$B$8)*($H$12:$H$38&lt;=AG$4)*($I$12:$I$38&gt;=AG$4)*$G$12:$G$38)</f>
        <v>15000</v>
      </c>
      <c r="AH45" s="94" t="n">
        <f aca="false">SUMPRODUCT(($B$12:$B$38="Sócio")*($J$12:$J$38="Despesa")*(($C$12:$C$38="Contratado")+($C$12:$C$38="Plano")*$B$8)*($H$12:$H$38&lt;=AH$4)*($I$12:$I$38&gt;=AH$4)*$G$12:$G$38)</f>
        <v>15000</v>
      </c>
      <c r="AI45" s="94" t="n">
        <f aca="false">SUMPRODUCT(($B$12:$B$38="Sócio")*($J$12:$J$38="Despesa")*(($C$12:$C$38="Contratado")+($C$12:$C$38="Plano")*$B$8)*($H$12:$H$38&lt;=AI$4)*($I$12:$I$38&gt;=AI$4)*$G$12:$G$38)</f>
        <v>15000</v>
      </c>
      <c r="AJ45" s="94" t="n">
        <f aca="false">SUMPRODUCT(($B$12:$B$38="Sócio")*($J$12:$J$38="Despesa")*(($C$12:$C$38="Contratado")+($C$12:$C$38="Plano")*$B$8)*($H$12:$H$38&lt;=AJ$4)*($I$12:$I$38&gt;=AJ$4)*$G$12:$G$38)</f>
        <v>15000</v>
      </c>
      <c r="AK45" s="94" t="n">
        <f aca="false">SUMPRODUCT(($B$12:$B$38="Sócio")*($J$12:$J$38="Despesa")*(($C$12:$C$38="Contratado")+($C$12:$C$38="Plano")*$B$8)*($H$12:$H$38&lt;=AK$4)*($I$12:$I$38&gt;=AK$4)*$G$12:$G$38)</f>
        <v>15000</v>
      </c>
      <c r="AL45" s="94" t="n">
        <f aca="false">SUMPRODUCT(($B$12:$B$38="Sócio")*($J$12:$J$38="Despesa")*(($C$12:$C$38="Contratado")+($C$12:$C$38="Plano")*$B$8)*($H$12:$H$38&lt;=AL$4)*($I$12:$I$38&gt;=AL$4)*$G$12:$G$38)</f>
        <v>15000</v>
      </c>
      <c r="AM45" s="94" t="n">
        <f aca="false">SUMPRODUCT(($B$12:$B$38="Sócio")*($J$12:$J$38="Despesa")*(($C$12:$C$38="Contratado")+($C$12:$C$38="Plano")*$B$8)*($H$12:$H$38&lt;=AM$4)*($I$12:$I$38&gt;=AM$4)*$G$12:$G$38)</f>
        <v>15000</v>
      </c>
      <c r="AN45" s="94" t="n">
        <f aca="false">SUMPRODUCT(($B$12:$B$38="Sócio")*($J$12:$J$38="Despesa")*(($C$12:$C$38="Contratado")+($C$12:$C$38="Plano")*$B$8)*($H$12:$H$38&lt;=AN$4)*($I$12:$I$38&gt;=AN$4)*$G$12:$G$38)</f>
        <v>15000</v>
      </c>
      <c r="AO45" s="94" t="n">
        <f aca="false">SUMPRODUCT(($B$12:$B$38="Sócio")*($J$12:$J$38="Despesa")*(($C$12:$C$38="Contratado")+($C$12:$C$38="Plano")*$B$8)*($H$12:$H$38&lt;=AO$4)*($I$12:$I$38&gt;=AO$4)*$G$12:$G$38)</f>
        <v>32000</v>
      </c>
      <c r="AP45" s="94" t="n">
        <f aca="false">SUMPRODUCT(($B$12:$B$38="Sócio")*($J$12:$J$38="Despesa")*(($C$12:$C$38="Contratado")+($C$12:$C$38="Plano")*$B$8)*($H$12:$H$38&lt;=AP$4)*($I$12:$I$38&gt;=AP$4)*$G$12:$G$38)</f>
        <v>32000</v>
      </c>
      <c r="AQ45" s="94" t="n">
        <f aca="false">SUMPRODUCT(($B$12:$B$38="Sócio")*($J$12:$J$38="Despesa")*(($C$12:$C$38="Contratado")+($C$12:$C$38="Plano")*$B$8)*($H$12:$H$38&lt;=AQ$4)*($I$12:$I$38&gt;=AQ$4)*$G$12:$G$38)</f>
        <v>32000</v>
      </c>
      <c r="AR45" s="94" t="n">
        <f aca="false">SUMPRODUCT(($B$12:$B$38="Sócio")*($J$12:$J$38="Despesa")*(($C$12:$C$38="Contratado")+($C$12:$C$38="Plano")*$B$8)*($H$12:$H$38&lt;=AR$4)*($I$12:$I$38&gt;=AR$4)*$G$12:$G$38)</f>
        <v>32000</v>
      </c>
      <c r="AS45" s="94" t="n">
        <f aca="false">SUMPRODUCT(($B$12:$B$38="Sócio")*($J$12:$J$38="Despesa")*(($C$12:$C$38="Contratado")+($C$12:$C$38="Plano")*$B$8)*($H$12:$H$38&lt;=AS$4)*($I$12:$I$38&gt;=AS$4)*$G$12:$G$38)</f>
        <v>32000</v>
      </c>
      <c r="AT45" s="94" t="n">
        <f aca="false">SUMPRODUCT(($B$12:$B$38="Sócio")*($J$12:$J$38="Despesa")*(($C$12:$C$38="Contratado")+($C$12:$C$38="Plano")*$B$8)*($H$12:$H$38&lt;=AT$4)*($I$12:$I$38&gt;=AT$4)*$G$12:$G$38)</f>
        <v>32000</v>
      </c>
      <c r="AU45" s="94" t="n">
        <f aca="false">SUMPRODUCT(($B$12:$B$38="Sócio")*($J$12:$J$38="Despesa")*(($C$12:$C$38="Contratado")+($C$12:$C$38="Plano")*$B$8)*($H$12:$H$38&lt;=AU$4)*($I$12:$I$38&gt;=AU$4)*$G$12:$G$38)</f>
        <v>32000</v>
      </c>
      <c r="AV45" s="94" t="n">
        <f aca="false">SUMPRODUCT(($B$12:$B$38="Sócio")*($J$12:$J$38="Despesa")*(($C$12:$C$38="Contratado")+($C$12:$C$38="Plano")*$B$8)*($H$12:$H$38&lt;=AV$4)*($I$12:$I$38&gt;=AV$4)*$G$12:$G$38)</f>
        <v>32000</v>
      </c>
      <c r="AW45" s="94" t="n">
        <f aca="false">SUMPRODUCT(($B$12:$B$38="Sócio")*($J$12:$J$38="Despesa")*(($C$12:$C$38="Contratado")+($C$12:$C$38="Plano")*$B$8)*($H$12:$H$38&lt;=AW$4)*($I$12:$I$38&gt;=AW$4)*$G$12:$G$38)</f>
        <v>32000</v>
      </c>
      <c r="AX45" s="94" t="n">
        <f aca="false">SUMPRODUCT(($B$12:$B$38="Sócio")*($J$12:$J$38="Despesa")*(($C$12:$C$38="Contratado")+($C$12:$C$38="Plano")*$B$8)*($H$12:$H$38&lt;=AX$4)*($I$12:$I$38&gt;=AX$4)*$G$12:$G$38)</f>
        <v>32000</v>
      </c>
      <c r="AY45" s="94" t="n">
        <f aca="false">SUMPRODUCT(($B$12:$B$38="Sócio")*($J$12:$J$38="Despesa")*(($C$12:$C$38="Contratado")+($C$12:$C$38="Plano")*$B$8)*($H$12:$H$38&lt;=AY$4)*($I$12:$I$38&gt;=AY$4)*$G$12:$G$38)</f>
        <v>32000</v>
      </c>
      <c r="AZ45" s="94" t="n">
        <f aca="false">SUMPRODUCT(($B$12:$B$38="Sócio")*($J$12:$J$38="Despesa")*(($C$12:$C$38="Contratado")+($C$12:$C$38="Plano")*$B$8)*($H$12:$H$38&lt;=AZ$4)*($I$12:$I$38&gt;=AZ$4)*$G$12:$G$38)</f>
        <v>32000</v>
      </c>
      <c r="BA45" s="94" t="n">
        <f aca="false">SUMPRODUCT(($B$12:$B$38="Sócio")*($J$12:$J$38="Despesa")*(($C$12:$C$38="Contratado")+($C$12:$C$38="Plano")*$B$8)*($H$12:$H$38&lt;=BA$4)*($I$12:$I$38&gt;=BA$4)*$G$12:$G$38)</f>
        <v>32000</v>
      </c>
      <c r="BB45" s="94" t="n">
        <f aca="false">SUMPRODUCT(($B$12:$B$38="Sócio")*($J$12:$J$38="Despesa")*(($C$12:$C$38="Contratado")+($C$12:$C$38="Plano")*$B$8)*($H$12:$H$38&lt;=BB$4)*($I$12:$I$38&gt;=BB$4)*$G$12:$G$38)</f>
        <v>32000</v>
      </c>
      <c r="BC45" s="94" t="n">
        <f aca="false">SUMPRODUCT(($B$12:$B$38="Sócio")*($J$12:$J$38="Despesa")*(($C$12:$C$38="Contratado")+($C$12:$C$38="Plano")*$B$8)*($H$12:$H$38&lt;=BC$4)*($I$12:$I$38&gt;=BC$4)*$G$12:$G$38)</f>
        <v>32000</v>
      </c>
      <c r="BD45" s="94" t="n">
        <f aca="false">SUMPRODUCT(($B$12:$B$38="Sócio")*($J$12:$J$38="Despesa")*(($C$12:$C$38="Contratado")+($C$12:$C$38="Plano")*$B$8)*($H$12:$H$38&lt;=BD$4)*($I$12:$I$38&gt;=BD$4)*$G$12:$G$38)</f>
        <v>32000</v>
      </c>
      <c r="BE45" s="94" t="n">
        <f aca="false">SUMPRODUCT(($B$12:$B$38="Sócio")*($J$12:$J$38="Despesa")*(($C$12:$C$38="Contratado")+($C$12:$C$38="Plano")*$B$8)*($H$12:$H$38&lt;=BE$4)*($I$12:$I$38&gt;=BE$4)*$G$12:$G$38)</f>
        <v>32000</v>
      </c>
      <c r="BF45" s="94" t="n">
        <f aca="false">SUMPRODUCT(($B$12:$B$38="Sócio")*($J$12:$J$38="Despesa")*(($C$12:$C$38="Contratado")+($C$12:$C$38="Plano")*$B$8)*($H$12:$H$38&lt;=BF$4)*($I$12:$I$38&gt;=BF$4)*$G$12:$G$38)</f>
        <v>32000</v>
      </c>
      <c r="BG45" s="94" t="n">
        <f aca="false">SUMPRODUCT(($B$12:$B$38="Sócio")*($J$12:$J$38="Despesa")*(($C$12:$C$38="Contratado")+($C$12:$C$38="Plano")*$B$8)*($H$12:$H$38&lt;=BG$4)*($I$12:$I$38&gt;=BG$4)*$G$12:$G$38)</f>
        <v>32000</v>
      </c>
      <c r="BH45" s="94" t="n">
        <f aca="false">SUMPRODUCT(($B$12:$B$38="Sócio")*($J$12:$J$38="Despesa")*(($C$12:$C$38="Contratado")+($C$12:$C$38="Plano")*$B$8)*($H$12:$H$38&lt;=BH$4)*($I$12:$I$38&gt;=BH$4)*$G$12:$G$38)</f>
        <v>32000</v>
      </c>
      <c r="BI45" s="94" t="n">
        <f aca="false">SUMPRODUCT(($B$12:$B$38="Sócio")*($J$12:$J$38="Despesa")*(($C$12:$C$38="Contratado")+($C$12:$C$38="Plano")*$B$8)*($H$12:$H$38&lt;=BI$4)*($I$12:$I$38&gt;=BI$4)*$G$12:$G$38)</f>
        <v>32000</v>
      </c>
      <c r="BJ45" s="94" t="n">
        <f aca="false">SUMPRODUCT(($B$12:$B$38="Sócio")*($J$12:$J$38="Despesa")*(($C$12:$C$38="Contratado")+($C$12:$C$38="Plano")*$B$8)*($H$12:$H$38&lt;=BJ$4)*($I$12:$I$38&gt;=BJ$4)*$G$12:$G$38)</f>
        <v>32000</v>
      </c>
      <c r="BK45" s="94" t="n">
        <f aca="false">SUMPRODUCT(($B$12:$B$38="Sócio")*($J$12:$J$38="Despesa")*(($C$12:$C$38="Contratado")+($C$12:$C$38="Plano")*$B$8)*($H$12:$H$38&lt;=BK$4)*($I$12:$I$38&gt;=BK$4)*$G$12:$G$38)</f>
        <v>32000</v>
      </c>
      <c r="BL45" s="94" t="n">
        <f aca="false">SUMPRODUCT(($B$12:$B$38="Sócio")*($J$12:$J$38="Despesa")*(($C$12:$C$38="Contratado")+($C$12:$C$38="Plano")*$B$8)*($H$12:$H$38&lt;=BL$4)*($I$12:$I$38&gt;=BL$4)*$G$12:$G$38)</f>
        <v>32000</v>
      </c>
      <c r="BM45" s="82" t="n">
        <f aca="false">SUM(E45:BL45)</f>
        <v>1128000</v>
      </c>
    </row>
    <row r="46" customFormat="false" ht="15" hidden="false" customHeight="false" outlineLevel="0" collapsed="false">
      <c r="A46" s="83" t="s">
        <v>327</v>
      </c>
      <c r="E46" s="84" t="n">
        <f aca="false">SUMPRODUCT(($J$12:$J$38="Investimento")*(($C$12:$C$38="Contratado")+($C$12:$C$38="Plano")*$B$8)*($H$12:$H$38&lt;=E$4)*($I$12:$I$38&gt;=E$4)*$G$12:$G$38)</f>
        <v>0</v>
      </c>
      <c r="F46" s="84" t="n">
        <f aca="false">SUMPRODUCT(($J$12:$J$38="Investimento")*(($C$12:$C$38="Contratado")+($C$12:$C$38="Plano")*$B$8)*($H$12:$H$38&lt;=F$4)*($I$12:$I$38&gt;=F$4)*$G$12:$G$38)</f>
        <v>0</v>
      </c>
      <c r="G46" s="84" t="n">
        <f aca="false">SUMPRODUCT(($J$12:$J$38="Investimento")*(($C$12:$C$38="Contratado")+($C$12:$C$38="Plano")*$B$8)*($H$12:$H$38&lt;=G$4)*($I$12:$I$38&gt;=G$4)*$G$12:$G$38)</f>
        <v>0</v>
      </c>
      <c r="H46" s="84" t="n">
        <f aca="false">SUMPRODUCT(($J$12:$J$38="Investimento")*(($C$12:$C$38="Contratado")+($C$12:$C$38="Plano")*$B$8)*($H$12:$H$38&lt;=H$4)*($I$12:$I$38&gt;=H$4)*$G$12:$G$38)</f>
        <v>0</v>
      </c>
      <c r="I46" s="84" t="n">
        <f aca="false">SUMPRODUCT(($J$12:$J$38="Investimento")*(($C$12:$C$38="Contratado")+($C$12:$C$38="Plano")*$B$8)*($H$12:$H$38&lt;=I$4)*($I$12:$I$38&gt;=I$4)*$G$12:$G$38)</f>
        <v>0</v>
      </c>
      <c r="J46" s="84" t="n">
        <f aca="false">SUMPRODUCT(($J$12:$J$38="Investimento")*(($C$12:$C$38="Contratado")+($C$12:$C$38="Plano")*$B$8)*($H$12:$H$38&lt;=J$4)*($I$12:$I$38&gt;=J$4)*$G$12:$G$38)</f>
        <v>0</v>
      </c>
      <c r="K46" s="84" t="n">
        <f aca="false">SUMPRODUCT(($J$12:$J$38="Investimento")*(($C$12:$C$38="Contratado")+($C$12:$C$38="Plano")*$B$8)*($H$12:$H$38&lt;=K$4)*($I$12:$I$38&gt;=K$4)*$G$12:$G$38)</f>
        <v>0</v>
      </c>
      <c r="L46" s="84" t="n">
        <f aca="false">SUMPRODUCT(($J$12:$J$38="Investimento")*(($C$12:$C$38="Contratado")+($C$12:$C$38="Plano")*$B$8)*($H$12:$H$38&lt;=L$4)*($I$12:$I$38&gt;=L$4)*$G$12:$G$38)</f>
        <v>0</v>
      </c>
      <c r="M46" s="84" t="n">
        <f aca="false">SUMPRODUCT(($J$12:$J$38="Investimento")*(($C$12:$C$38="Contratado")+($C$12:$C$38="Plano")*$B$8)*($H$12:$H$38&lt;=M$4)*($I$12:$I$38&gt;=M$4)*$G$12:$G$38)</f>
        <v>10500</v>
      </c>
      <c r="N46" s="84" t="n">
        <f aca="false">SUMPRODUCT(($J$12:$J$38="Investimento")*(($C$12:$C$38="Contratado")+($C$12:$C$38="Plano")*$B$8)*($H$12:$H$38&lt;=N$4)*($I$12:$I$38&gt;=N$4)*$G$12:$G$38)</f>
        <v>10500</v>
      </c>
      <c r="O46" s="84" t="n">
        <f aca="false">SUMPRODUCT(($J$12:$J$38="Investimento")*(($C$12:$C$38="Contratado")+($C$12:$C$38="Plano")*$B$8)*($H$12:$H$38&lt;=O$4)*($I$12:$I$38&gt;=O$4)*$G$12:$G$38)</f>
        <v>0</v>
      </c>
      <c r="P46" s="84" t="n">
        <f aca="false">SUMPRODUCT(($J$12:$J$38="Investimento")*(($C$12:$C$38="Contratado")+($C$12:$C$38="Plano")*$B$8)*($H$12:$H$38&lt;=P$4)*($I$12:$I$38&gt;=P$4)*$G$12:$G$38)</f>
        <v>0</v>
      </c>
      <c r="Q46" s="84" t="n">
        <f aca="false">SUMPRODUCT(($J$12:$J$38="Investimento")*(($C$12:$C$38="Contratado")+($C$12:$C$38="Plano")*$B$8)*($H$12:$H$38&lt;=Q$4)*($I$12:$I$38&gt;=Q$4)*$G$12:$G$38)</f>
        <v>0</v>
      </c>
      <c r="R46" s="84" t="n">
        <f aca="false">SUMPRODUCT(($J$12:$J$38="Investimento")*(($C$12:$C$38="Contratado")+($C$12:$C$38="Plano")*$B$8)*($H$12:$H$38&lt;=R$4)*($I$12:$I$38&gt;=R$4)*$G$12:$G$38)</f>
        <v>0</v>
      </c>
      <c r="S46" s="84" t="n">
        <f aca="false">SUMPRODUCT(($J$12:$J$38="Investimento")*(($C$12:$C$38="Contratado")+($C$12:$C$38="Plano")*$B$8)*($H$12:$H$38&lt;=S$4)*($I$12:$I$38&gt;=S$4)*$G$12:$G$38)</f>
        <v>0</v>
      </c>
      <c r="T46" s="84" t="n">
        <f aca="false">SUMPRODUCT(($J$12:$J$38="Investimento")*(($C$12:$C$38="Contratado")+($C$12:$C$38="Plano")*$B$8)*($H$12:$H$38&lt;=T$4)*($I$12:$I$38&gt;=T$4)*$G$12:$G$38)</f>
        <v>0</v>
      </c>
      <c r="U46" s="84" t="n">
        <f aca="false">SUMPRODUCT(($J$12:$J$38="Investimento")*(($C$12:$C$38="Contratado")+($C$12:$C$38="Plano")*$B$8)*($H$12:$H$38&lt;=U$4)*($I$12:$I$38&gt;=U$4)*$G$12:$G$38)</f>
        <v>0</v>
      </c>
      <c r="V46" s="84" t="n">
        <f aca="false">SUMPRODUCT(($J$12:$J$38="Investimento")*(($C$12:$C$38="Contratado")+($C$12:$C$38="Plano")*$B$8)*($H$12:$H$38&lt;=V$4)*($I$12:$I$38&gt;=V$4)*$G$12:$G$38)</f>
        <v>0</v>
      </c>
      <c r="W46" s="84" t="n">
        <f aca="false">SUMPRODUCT(($J$12:$J$38="Investimento")*(($C$12:$C$38="Contratado")+($C$12:$C$38="Plano")*$B$8)*($H$12:$H$38&lt;=W$4)*($I$12:$I$38&gt;=W$4)*$G$12:$G$38)</f>
        <v>0</v>
      </c>
      <c r="X46" s="84" t="n">
        <f aca="false">SUMPRODUCT(($J$12:$J$38="Investimento")*(($C$12:$C$38="Contratado")+($C$12:$C$38="Plano")*$B$8)*($H$12:$H$38&lt;=X$4)*($I$12:$I$38&gt;=X$4)*$G$12:$G$38)</f>
        <v>0</v>
      </c>
      <c r="Y46" s="84" t="n">
        <f aca="false">SUMPRODUCT(($J$12:$J$38="Investimento")*(($C$12:$C$38="Contratado")+($C$12:$C$38="Plano")*$B$8)*($H$12:$H$38&lt;=Y$4)*($I$12:$I$38&gt;=Y$4)*$G$12:$G$38)</f>
        <v>0</v>
      </c>
      <c r="Z46" s="84" t="n">
        <f aca="false">SUMPRODUCT(($J$12:$J$38="Investimento")*(($C$12:$C$38="Contratado")+($C$12:$C$38="Plano")*$B$8)*($H$12:$H$38&lt;=Z$4)*($I$12:$I$38&gt;=Z$4)*$G$12:$G$38)</f>
        <v>0</v>
      </c>
      <c r="AA46" s="84" t="n">
        <f aca="false">SUMPRODUCT(($J$12:$J$38="Investimento")*(($C$12:$C$38="Contratado")+($C$12:$C$38="Plano")*$B$8)*($H$12:$H$38&lt;=AA$4)*($I$12:$I$38&gt;=AA$4)*$G$12:$G$38)</f>
        <v>0</v>
      </c>
      <c r="AB46" s="84" t="n">
        <f aca="false">SUMPRODUCT(($J$12:$J$38="Investimento")*(($C$12:$C$38="Contratado")+($C$12:$C$38="Plano")*$B$8)*($H$12:$H$38&lt;=AB$4)*($I$12:$I$38&gt;=AB$4)*$G$12:$G$38)</f>
        <v>0</v>
      </c>
      <c r="AC46" s="84" t="n">
        <f aca="false">SUMPRODUCT(($J$12:$J$38="Investimento")*(($C$12:$C$38="Contratado")+($C$12:$C$38="Plano")*$B$8)*($H$12:$H$38&lt;=AC$4)*($I$12:$I$38&gt;=AC$4)*$G$12:$G$38)</f>
        <v>0</v>
      </c>
      <c r="AD46" s="84" t="n">
        <f aca="false">SUMPRODUCT(($J$12:$J$38="Investimento")*(($C$12:$C$38="Contratado")+($C$12:$C$38="Plano")*$B$8)*($H$12:$H$38&lt;=AD$4)*($I$12:$I$38&gt;=AD$4)*$G$12:$G$38)</f>
        <v>0</v>
      </c>
      <c r="AE46" s="84" t="n">
        <f aca="false">SUMPRODUCT(($J$12:$J$38="Investimento")*(($C$12:$C$38="Contratado")+($C$12:$C$38="Plano")*$B$8)*($H$12:$H$38&lt;=AE$4)*($I$12:$I$38&gt;=AE$4)*$G$12:$G$38)</f>
        <v>0</v>
      </c>
      <c r="AF46" s="84" t="n">
        <f aca="false">SUMPRODUCT(($J$12:$J$38="Investimento")*(($C$12:$C$38="Contratado")+($C$12:$C$38="Plano")*$B$8)*($H$12:$H$38&lt;=AF$4)*($I$12:$I$38&gt;=AF$4)*$G$12:$G$38)</f>
        <v>0</v>
      </c>
      <c r="AG46" s="84" t="n">
        <f aca="false">SUMPRODUCT(($J$12:$J$38="Investimento")*(($C$12:$C$38="Contratado")+($C$12:$C$38="Plano")*$B$8)*($H$12:$H$38&lt;=AG$4)*($I$12:$I$38&gt;=AG$4)*$G$12:$G$38)</f>
        <v>0</v>
      </c>
      <c r="AH46" s="84" t="n">
        <f aca="false">SUMPRODUCT(($J$12:$J$38="Investimento")*(($C$12:$C$38="Contratado")+($C$12:$C$38="Plano")*$B$8)*($H$12:$H$38&lt;=AH$4)*($I$12:$I$38&gt;=AH$4)*$G$12:$G$38)</f>
        <v>0</v>
      </c>
      <c r="AI46" s="84" t="n">
        <f aca="false">SUMPRODUCT(($J$12:$J$38="Investimento")*(($C$12:$C$38="Contratado")+($C$12:$C$38="Plano")*$B$8)*($H$12:$H$38&lt;=AI$4)*($I$12:$I$38&gt;=AI$4)*$G$12:$G$38)</f>
        <v>0</v>
      </c>
      <c r="AJ46" s="84" t="n">
        <f aca="false">SUMPRODUCT(($J$12:$J$38="Investimento")*(($C$12:$C$38="Contratado")+($C$12:$C$38="Plano")*$B$8)*($H$12:$H$38&lt;=AJ$4)*($I$12:$I$38&gt;=AJ$4)*$G$12:$G$38)</f>
        <v>0</v>
      </c>
      <c r="AK46" s="84" t="n">
        <f aca="false">SUMPRODUCT(($J$12:$J$38="Investimento")*(($C$12:$C$38="Contratado")+($C$12:$C$38="Plano")*$B$8)*($H$12:$H$38&lt;=AK$4)*($I$12:$I$38&gt;=AK$4)*$G$12:$G$38)</f>
        <v>0</v>
      </c>
      <c r="AL46" s="84" t="n">
        <f aca="false">SUMPRODUCT(($J$12:$J$38="Investimento")*(($C$12:$C$38="Contratado")+($C$12:$C$38="Plano")*$B$8)*($H$12:$H$38&lt;=AL$4)*($I$12:$I$38&gt;=AL$4)*$G$12:$G$38)</f>
        <v>0</v>
      </c>
      <c r="AM46" s="84" t="n">
        <f aca="false">SUMPRODUCT(($J$12:$J$38="Investimento")*(($C$12:$C$38="Contratado")+($C$12:$C$38="Plano")*$B$8)*($H$12:$H$38&lt;=AM$4)*($I$12:$I$38&gt;=AM$4)*$G$12:$G$38)</f>
        <v>0</v>
      </c>
      <c r="AN46" s="84" t="n">
        <f aca="false">SUMPRODUCT(($J$12:$J$38="Investimento")*(($C$12:$C$38="Contratado")+($C$12:$C$38="Plano")*$B$8)*($H$12:$H$38&lt;=AN$4)*($I$12:$I$38&gt;=AN$4)*$G$12:$G$38)</f>
        <v>0</v>
      </c>
      <c r="AO46" s="84" t="n">
        <f aca="false">SUMPRODUCT(($J$12:$J$38="Investimento")*(($C$12:$C$38="Contratado")+($C$12:$C$38="Plano")*$B$8)*($H$12:$H$38&lt;=AO$4)*($I$12:$I$38&gt;=AO$4)*$G$12:$G$38)</f>
        <v>0</v>
      </c>
      <c r="AP46" s="84" t="n">
        <f aca="false">SUMPRODUCT(($J$12:$J$38="Investimento")*(($C$12:$C$38="Contratado")+($C$12:$C$38="Plano")*$B$8)*($H$12:$H$38&lt;=AP$4)*($I$12:$I$38&gt;=AP$4)*$G$12:$G$38)</f>
        <v>0</v>
      </c>
      <c r="AQ46" s="84" t="n">
        <f aca="false">SUMPRODUCT(($J$12:$J$38="Investimento")*(($C$12:$C$38="Contratado")+($C$12:$C$38="Plano")*$B$8)*($H$12:$H$38&lt;=AQ$4)*($I$12:$I$38&gt;=AQ$4)*$G$12:$G$38)</f>
        <v>0</v>
      </c>
      <c r="AR46" s="84" t="n">
        <f aca="false">SUMPRODUCT(($J$12:$J$38="Investimento")*(($C$12:$C$38="Contratado")+($C$12:$C$38="Plano")*$B$8)*($H$12:$H$38&lt;=AR$4)*($I$12:$I$38&gt;=AR$4)*$G$12:$G$38)</f>
        <v>0</v>
      </c>
      <c r="AS46" s="84" t="n">
        <f aca="false">SUMPRODUCT(($J$12:$J$38="Investimento")*(($C$12:$C$38="Contratado")+($C$12:$C$38="Plano")*$B$8)*($H$12:$H$38&lt;=AS$4)*($I$12:$I$38&gt;=AS$4)*$G$12:$G$38)</f>
        <v>0</v>
      </c>
      <c r="AT46" s="84" t="n">
        <f aca="false">SUMPRODUCT(($J$12:$J$38="Investimento")*(($C$12:$C$38="Contratado")+($C$12:$C$38="Plano")*$B$8)*($H$12:$H$38&lt;=AT$4)*($I$12:$I$38&gt;=AT$4)*$G$12:$G$38)</f>
        <v>0</v>
      </c>
      <c r="AU46" s="84" t="n">
        <f aca="false">SUMPRODUCT(($J$12:$J$38="Investimento")*(($C$12:$C$38="Contratado")+($C$12:$C$38="Plano")*$B$8)*($H$12:$H$38&lt;=AU$4)*($I$12:$I$38&gt;=AU$4)*$G$12:$G$38)</f>
        <v>0</v>
      </c>
      <c r="AV46" s="84" t="n">
        <f aca="false">SUMPRODUCT(($J$12:$J$38="Investimento")*(($C$12:$C$38="Contratado")+($C$12:$C$38="Plano")*$B$8)*($H$12:$H$38&lt;=AV$4)*($I$12:$I$38&gt;=AV$4)*$G$12:$G$38)</f>
        <v>0</v>
      </c>
      <c r="AW46" s="84" t="n">
        <f aca="false">SUMPRODUCT(($J$12:$J$38="Investimento")*(($C$12:$C$38="Contratado")+($C$12:$C$38="Plano")*$B$8)*($H$12:$H$38&lt;=AW$4)*($I$12:$I$38&gt;=AW$4)*$G$12:$G$38)</f>
        <v>0</v>
      </c>
      <c r="AX46" s="84" t="n">
        <f aca="false">SUMPRODUCT(($J$12:$J$38="Investimento")*(($C$12:$C$38="Contratado")+($C$12:$C$38="Plano")*$B$8)*($H$12:$H$38&lt;=AX$4)*($I$12:$I$38&gt;=AX$4)*$G$12:$G$38)</f>
        <v>0</v>
      </c>
      <c r="AY46" s="84" t="n">
        <f aca="false">SUMPRODUCT(($J$12:$J$38="Investimento")*(($C$12:$C$38="Contratado")+($C$12:$C$38="Plano")*$B$8)*($H$12:$H$38&lt;=AY$4)*($I$12:$I$38&gt;=AY$4)*$G$12:$G$38)</f>
        <v>0</v>
      </c>
      <c r="AZ46" s="84" t="n">
        <f aca="false">SUMPRODUCT(($J$12:$J$38="Investimento")*(($C$12:$C$38="Contratado")+($C$12:$C$38="Plano")*$B$8)*($H$12:$H$38&lt;=AZ$4)*($I$12:$I$38&gt;=AZ$4)*$G$12:$G$38)</f>
        <v>0</v>
      </c>
      <c r="BA46" s="84" t="n">
        <f aca="false">SUMPRODUCT(($J$12:$J$38="Investimento")*(($C$12:$C$38="Contratado")+($C$12:$C$38="Plano")*$B$8)*($H$12:$H$38&lt;=BA$4)*($I$12:$I$38&gt;=BA$4)*$G$12:$G$38)</f>
        <v>0</v>
      </c>
      <c r="BB46" s="84" t="n">
        <f aca="false">SUMPRODUCT(($J$12:$J$38="Investimento")*(($C$12:$C$38="Contratado")+($C$12:$C$38="Plano")*$B$8)*($H$12:$H$38&lt;=BB$4)*($I$12:$I$38&gt;=BB$4)*$G$12:$G$38)</f>
        <v>0</v>
      </c>
      <c r="BC46" s="84" t="n">
        <f aca="false">SUMPRODUCT(($J$12:$J$38="Investimento")*(($C$12:$C$38="Contratado")+($C$12:$C$38="Plano")*$B$8)*($H$12:$H$38&lt;=BC$4)*($I$12:$I$38&gt;=BC$4)*$G$12:$G$38)</f>
        <v>0</v>
      </c>
      <c r="BD46" s="84" t="n">
        <f aca="false">SUMPRODUCT(($J$12:$J$38="Investimento")*(($C$12:$C$38="Contratado")+($C$12:$C$38="Plano")*$B$8)*($H$12:$H$38&lt;=BD$4)*($I$12:$I$38&gt;=BD$4)*$G$12:$G$38)</f>
        <v>0</v>
      </c>
      <c r="BE46" s="84" t="n">
        <f aca="false">SUMPRODUCT(($J$12:$J$38="Investimento")*(($C$12:$C$38="Contratado")+($C$12:$C$38="Plano")*$B$8)*($H$12:$H$38&lt;=BE$4)*($I$12:$I$38&gt;=BE$4)*$G$12:$G$38)</f>
        <v>0</v>
      </c>
      <c r="BF46" s="84" t="n">
        <f aca="false">SUMPRODUCT(($J$12:$J$38="Investimento")*(($C$12:$C$38="Contratado")+($C$12:$C$38="Plano")*$B$8)*($H$12:$H$38&lt;=BF$4)*($I$12:$I$38&gt;=BF$4)*$G$12:$G$38)</f>
        <v>0</v>
      </c>
      <c r="BG46" s="84" t="n">
        <f aca="false">SUMPRODUCT(($J$12:$J$38="Investimento")*(($C$12:$C$38="Contratado")+($C$12:$C$38="Plano")*$B$8)*($H$12:$H$38&lt;=BG$4)*($I$12:$I$38&gt;=BG$4)*$G$12:$G$38)</f>
        <v>0</v>
      </c>
      <c r="BH46" s="84" t="n">
        <f aca="false">SUMPRODUCT(($J$12:$J$38="Investimento")*(($C$12:$C$38="Contratado")+($C$12:$C$38="Plano")*$B$8)*($H$12:$H$38&lt;=BH$4)*($I$12:$I$38&gt;=BH$4)*$G$12:$G$38)</f>
        <v>0</v>
      </c>
      <c r="BI46" s="84" t="n">
        <f aca="false">SUMPRODUCT(($J$12:$J$38="Investimento")*(($C$12:$C$38="Contratado")+($C$12:$C$38="Plano")*$B$8)*($H$12:$H$38&lt;=BI$4)*($I$12:$I$38&gt;=BI$4)*$G$12:$G$38)</f>
        <v>0</v>
      </c>
      <c r="BJ46" s="84" t="n">
        <f aca="false">SUMPRODUCT(($J$12:$J$38="Investimento")*(($C$12:$C$38="Contratado")+($C$12:$C$38="Plano")*$B$8)*($H$12:$H$38&lt;=BJ$4)*($I$12:$I$38&gt;=BJ$4)*$G$12:$G$38)</f>
        <v>0</v>
      </c>
      <c r="BK46" s="84" t="n">
        <f aca="false">SUMPRODUCT(($J$12:$J$38="Investimento")*(($C$12:$C$38="Contratado")+($C$12:$C$38="Plano")*$B$8)*($H$12:$H$38&lt;=BK$4)*($I$12:$I$38&gt;=BK$4)*$G$12:$G$38)</f>
        <v>0</v>
      </c>
      <c r="BL46" s="84" t="n">
        <f aca="false">SUMPRODUCT(($J$12:$J$38="Investimento")*(($C$12:$C$38="Contratado")+($C$12:$C$38="Plano")*$B$8)*($H$12:$H$38&lt;=BL$4)*($I$12:$I$38&gt;=BL$4)*$G$12:$G$38)</f>
        <v>0</v>
      </c>
      <c r="BM46" s="82" t="n">
        <f aca="false">SUM(E46:BL46)</f>
        <v>21000</v>
      </c>
      <c r="BN46" s="35" t="s">
        <v>328</v>
      </c>
    </row>
    <row r="47" customFormat="false" ht="15" hidden="false" customHeight="false" outlineLevel="0" collapsed="false">
      <c r="A47" s="49" t="s">
        <v>329</v>
      </c>
      <c r="E47" s="79" t="n">
        <f aca="false">SUMPRODUCT((($C$12:$C$38="Contratado")+($C$12:$C$38="Plano")*$B$8)*($H$12:$H$38&lt;=E$4)*($I$12:$I$38&gt;=E$4)*$D$12:$D$38)</f>
        <v>0</v>
      </c>
      <c r="F47" s="79" t="n">
        <f aca="false">SUMPRODUCT((($C$12:$C$38="Contratado")+($C$12:$C$38="Plano")*$B$8)*($H$12:$H$38&lt;=F$4)*($I$12:$I$38&gt;=F$4)*$D$12:$D$38)</f>
        <v>0</v>
      </c>
      <c r="G47" s="79" t="n">
        <f aca="false">SUMPRODUCT((($C$12:$C$38="Contratado")+($C$12:$C$38="Plano")*$B$8)*($H$12:$H$38&lt;=G$4)*($I$12:$I$38&gt;=G$4)*$D$12:$D$38)</f>
        <v>0</v>
      </c>
      <c r="H47" s="79" t="n">
        <f aca="false">SUMPRODUCT((($C$12:$C$38="Contratado")+($C$12:$C$38="Plano")*$B$8)*($H$12:$H$38&lt;=H$4)*($I$12:$I$38&gt;=H$4)*$D$12:$D$38)</f>
        <v>0</v>
      </c>
      <c r="I47" s="79" t="n">
        <f aca="false">SUMPRODUCT((($C$12:$C$38="Contratado")+($C$12:$C$38="Plano")*$B$8)*($H$12:$H$38&lt;=I$4)*($I$12:$I$38&gt;=I$4)*$D$12:$D$38)</f>
        <v>0</v>
      </c>
      <c r="J47" s="79" t="n">
        <f aca="false">SUMPRODUCT((($C$12:$C$38="Contratado")+($C$12:$C$38="Plano")*$B$8)*($H$12:$H$38&lt;=J$4)*($I$12:$I$38&gt;=J$4)*$D$12:$D$38)</f>
        <v>0</v>
      </c>
      <c r="K47" s="79" t="n">
        <f aca="false">SUMPRODUCT((($C$12:$C$38="Contratado")+($C$12:$C$38="Plano")*$B$8)*($H$12:$H$38&lt;=K$4)*($I$12:$I$38&gt;=K$4)*$D$12:$D$38)</f>
        <v>0</v>
      </c>
      <c r="L47" s="79" t="n">
        <f aca="false">SUMPRODUCT((($C$12:$C$38="Contratado")+($C$12:$C$38="Plano")*$B$8)*($H$12:$H$38&lt;=L$4)*($I$12:$I$38&gt;=L$4)*$D$12:$D$38)</f>
        <v>0</v>
      </c>
      <c r="M47" s="79" t="n">
        <f aca="false">SUMPRODUCT((($C$12:$C$38="Contratado")+($C$12:$C$38="Plano")*$B$8)*($H$12:$H$38&lt;=M$4)*($I$12:$I$38&gt;=M$4)*$D$12:$D$38)</f>
        <v>1</v>
      </c>
      <c r="N47" s="79" t="n">
        <f aca="false">SUMPRODUCT((($C$12:$C$38="Contratado")+($C$12:$C$38="Plano")*$B$8)*($H$12:$H$38&lt;=N$4)*($I$12:$I$38&gt;=N$4)*$D$12:$D$38)</f>
        <v>1</v>
      </c>
      <c r="O47" s="79" t="n">
        <f aca="false">SUMPRODUCT((($C$12:$C$38="Contratado")+($C$12:$C$38="Plano")*$B$8)*($H$12:$H$38&lt;=O$4)*($I$12:$I$38&gt;=O$4)*$D$12:$D$38)</f>
        <v>0</v>
      </c>
      <c r="P47" s="79" t="n">
        <f aca="false">SUMPRODUCT((($C$12:$C$38="Contratado")+($C$12:$C$38="Plano")*$B$8)*($H$12:$H$38&lt;=P$4)*($I$12:$I$38&gt;=P$4)*$D$12:$D$38)</f>
        <v>0</v>
      </c>
      <c r="Q47" s="79" t="n">
        <f aca="false">SUMPRODUCT((($C$12:$C$38="Contratado")+($C$12:$C$38="Plano")*$B$8)*($H$12:$H$38&lt;=Q$4)*($I$12:$I$38&gt;=Q$4)*$D$12:$D$38)</f>
        <v>7</v>
      </c>
      <c r="R47" s="79" t="n">
        <f aca="false">SUMPRODUCT((($C$12:$C$38="Contratado")+($C$12:$C$38="Plano")*$B$8)*($H$12:$H$38&lt;=R$4)*($I$12:$I$38&gt;=R$4)*$D$12:$D$38)</f>
        <v>7</v>
      </c>
      <c r="S47" s="79" t="n">
        <f aca="false">SUMPRODUCT((($C$12:$C$38="Contratado")+($C$12:$C$38="Plano")*$B$8)*($H$12:$H$38&lt;=S$4)*($I$12:$I$38&gt;=S$4)*$D$12:$D$38)</f>
        <v>7</v>
      </c>
      <c r="T47" s="79" t="n">
        <f aca="false">SUMPRODUCT((($C$12:$C$38="Contratado")+($C$12:$C$38="Plano")*$B$8)*($H$12:$H$38&lt;=T$4)*($I$12:$I$38&gt;=T$4)*$D$12:$D$38)</f>
        <v>7</v>
      </c>
      <c r="U47" s="79" t="n">
        <f aca="false">SUMPRODUCT((($C$12:$C$38="Contratado")+($C$12:$C$38="Plano")*$B$8)*($H$12:$H$38&lt;=U$4)*($I$12:$I$38&gt;=U$4)*$D$12:$D$38)</f>
        <v>7</v>
      </c>
      <c r="V47" s="79" t="n">
        <f aca="false">SUMPRODUCT((($C$12:$C$38="Contratado")+($C$12:$C$38="Plano")*$B$8)*($H$12:$H$38&lt;=V$4)*($I$12:$I$38&gt;=V$4)*$D$12:$D$38)</f>
        <v>7</v>
      </c>
      <c r="W47" s="79" t="n">
        <f aca="false">SUMPRODUCT((($C$12:$C$38="Contratado")+($C$12:$C$38="Plano")*$B$8)*($H$12:$H$38&lt;=W$4)*($I$12:$I$38&gt;=W$4)*$D$12:$D$38)</f>
        <v>7</v>
      </c>
      <c r="X47" s="79" t="n">
        <f aca="false">SUMPRODUCT((($C$12:$C$38="Contratado")+($C$12:$C$38="Plano")*$B$8)*($H$12:$H$38&lt;=X$4)*($I$12:$I$38&gt;=X$4)*$D$12:$D$38)</f>
        <v>7</v>
      </c>
      <c r="Y47" s="79" t="n">
        <f aca="false">SUMPRODUCT((($C$12:$C$38="Contratado")+($C$12:$C$38="Plano")*$B$8)*($H$12:$H$38&lt;=Y$4)*($I$12:$I$38&gt;=Y$4)*$D$12:$D$38)</f>
        <v>7</v>
      </c>
      <c r="Z47" s="79" t="n">
        <f aca="false">SUMPRODUCT((($C$12:$C$38="Contratado")+($C$12:$C$38="Plano")*$B$8)*($H$12:$H$38&lt;=Z$4)*($I$12:$I$38&gt;=Z$4)*$D$12:$D$38)</f>
        <v>7</v>
      </c>
      <c r="AA47" s="79" t="n">
        <f aca="false">SUMPRODUCT((($C$12:$C$38="Contratado")+($C$12:$C$38="Plano")*$B$8)*($H$12:$H$38&lt;=AA$4)*($I$12:$I$38&gt;=AA$4)*$D$12:$D$38)</f>
        <v>7</v>
      </c>
      <c r="AB47" s="79" t="n">
        <f aca="false">SUMPRODUCT((($C$12:$C$38="Contratado")+($C$12:$C$38="Plano")*$B$8)*($H$12:$H$38&lt;=AB$4)*($I$12:$I$38&gt;=AB$4)*$D$12:$D$38)</f>
        <v>7</v>
      </c>
      <c r="AC47" s="79" t="n">
        <f aca="false">SUMPRODUCT((($C$12:$C$38="Contratado")+($C$12:$C$38="Plano")*$B$8)*($H$12:$H$38&lt;=AC$4)*($I$12:$I$38&gt;=AC$4)*$D$12:$D$38)</f>
        <v>17</v>
      </c>
      <c r="AD47" s="79" t="n">
        <f aca="false">SUMPRODUCT((($C$12:$C$38="Contratado")+($C$12:$C$38="Plano")*$B$8)*($H$12:$H$38&lt;=AD$4)*($I$12:$I$38&gt;=AD$4)*$D$12:$D$38)</f>
        <v>17</v>
      </c>
      <c r="AE47" s="79" t="n">
        <f aca="false">SUMPRODUCT((($C$12:$C$38="Contratado")+($C$12:$C$38="Plano")*$B$8)*($H$12:$H$38&lt;=AE$4)*($I$12:$I$38&gt;=AE$4)*$D$12:$D$38)</f>
        <v>17</v>
      </c>
      <c r="AF47" s="79" t="n">
        <f aca="false">SUMPRODUCT((($C$12:$C$38="Contratado")+($C$12:$C$38="Plano")*$B$8)*($H$12:$H$38&lt;=AF$4)*($I$12:$I$38&gt;=AF$4)*$D$12:$D$38)</f>
        <v>17</v>
      </c>
      <c r="AG47" s="79" t="n">
        <f aca="false">SUMPRODUCT((($C$12:$C$38="Contratado")+($C$12:$C$38="Plano")*$B$8)*($H$12:$H$38&lt;=AG$4)*($I$12:$I$38&gt;=AG$4)*$D$12:$D$38)</f>
        <v>17</v>
      </c>
      <c r="AH47" s="79" t="n">
        <f aca="false">SUMPRODUCT((($C$12:$C$38="Contratado")+($C$12:$C$38="Plano")*$B$8)*($H$12:$H$38&lt;=AH$4)*($I$12:$I$38&gt;=AH$4)*$D$12:$D$38)</f>
        <v>17</v>
      </c>
      <c r="AI47" s="79" t="n">
        <f aca="false">SUMPRODUCT((($C$12:$C$38="Contratado")+($C$12:$C$38="Plano")*$B$8)*($H$12:$H$38&lt;=AI$4)*($I$12:$I$38&gt;=AI$4)*$D$12:$D$38)</f>
        <v>17</v>
      </c>
      <c r="AJ47" s="79" t="n">
        <f aca="false">SUMPRODUCT((($C$12:$C$38="Contratado")+($C$12:$C$38="Plano")*$B$8)*($H$12:$H$38&lt;=AJ$4)*($I$12:$I$38&gt;=AJ$4)*$D$12:$D$38)</f>
        <v>17</v>
      </c>
      <c r="AK47" s="79" t="n">
        <f aca="false">SUMPRODUCT((($C$12:$C$38="Contratado")+($C$12:$C$38="Plano")*$B$8)*($H$12:$H$38&lt;=AK$4)*($I$12:$I$38&gt;=AK$4)*$D$12:$D$38)</f>
        <v>17</v>
      </c>
      <c r="AL47" s="79" t="n">
        <f aca="false">SUMPRODUCT((($C$12:$C$38="Contratado")+($C$12:$C$38="Plano")*$B$8)*($H$12:$H$38&lt;=AL$4)*($I$12:$I$38&gt;=AL$4)*$D$12:$D$38)</f>
        <v>17</v>
      </c>
      <c r="AM47" s="79" t="n">
        <f aca="false">SUMPRODUCT((($C$12:$C$38="Contratado")+($C$12:$C$38="Plano")*$B$8)*($H$12:$H$38&lt;=AM$4)*($I$12:$I$38&gt;=AM$4)*$D$12:$D$38)</f>
        <v>17</v>
      </c>
      <c r="AN47" s="79" t="n">
        <f aca="false">SUMPRODUCT((($C$12:$C$38="Contratado")+($C$12:$C$38="Plano")*$B$8)*($H$12:$H$38&lt;=AN$4)*($I$12:$I$38&gt;=AN$4)*$D$12:$D$38)</f>
        <v>17</v>
      </c>
      <c r="AO47" s="79" t="n">
        <f aca="false">SUMPRODUCT((($C$12:$C$38="Contratado")+($C$12:$C$38="Plano")*$B$8)*($H$12:$H$38&lt;=AO$4)*($I$12:$I$38&gt;=AO$4)*$D$12:$D$38)</f>
        <v>34</v>
      </c>
      <c r="AP47" s="79" t="n">
        <f aca="false">SUMPRODUCT((($C$12:$C$38="Contratado")+($C$12:$C$38="Plano")*$B$8)*($H$12:$H$38&lt;=AP$4)*($I$12:$I$38&gt;=AP$4)*$D$12:$D$38)</f>
        <v>34</v>
      </c>
      <c r="AQ47" s="79" t="n">
        <f aca="false">SUMPRODUCT((($C$12:$C$38="Contratado")+($C$12:$C$38="Plano")*$B$8)*($H$12:$H$38&lt;=AQ$4)*($I$12:$I$38&gt;=AQ$4)*$D$12:$D$38)</f>
        <v>34</v>
      </c>
      <c r="AR47" s="79" t="n">
        <f aca="false">SUMPRODUCT((($C$12:$C$38="Contratado")+($C$12:$C$38="Plano")*$B$8)*($H$12:$H$38&lt;=AR$4)*($I$12:$I$38&gt;=AR$4)*$D$12:$D$38)</f>
        <v>34</v>
      </c>
      <c r="AS47" s="79" t="n">
        <f aca="false">SUMPRODUCT((($C$12:$C$38="Contratado")+($C$12:$C$38="Plano")*$B$8)*($H$12:$H$38&lt;=AS$4)*($I$12:$I$38&gt;=AS$4)*$D$12:$D$38)</f>
        <v>34</v>
      </c>
      <c r="AT47" s="79" t="n">
        <f aca="false">SUMPRODUCT((($C$12:$C$38="Contratado")+($C$12:$C$38="Plano")*$B$8)*($H$12:$H$38&lt;=AT$4)*($I$12:$I$38&gt;=AT$4)*$D$12:$D$38)</f>
        <v>34</v>
      </c>
      <c r="AU47" s="79" t="n">
        <f aca="false">SUMPRODUCT((($C$12:$C$38="Contratado")+($C$12:$C$38="Plano")*$B$8)*($H$12:$H$38&lt;=AU$4)*($I$12:$I$38&gt;=AU$4)*$D$12:$D$38)</f>
        <v>34</v>
      </c>
      <c r="AV47" s="79" t="n">
        <f aca="false">SUMPRODUCT((($C$12:$C$38="Contratado")+($C$12:$C$38="Plano")*$B$8)*($H$12:$H$38&lt;=AV$4)*($I$12:$I$38&gt;=AV$4)*$D$12:$D$38)</f>
        <v>34</v>
      </c>
      <c r="AW47" s="79" t="n">
        <f aca="false">SUMPRODUCT((($C$12:$C$38="Contratado")+($C$12:$C$38="Plano")*$B$8)*($H$12:$H$38&lt;=AW$4)*($I$12:$I$38&gt;=AW$4)*$D$12:$D$38)</f>
        <v>34</v>
      </c>
      <c r="AX47" s="79" t="n">
        <f aca="false">SUMPRODUCT((($C$12:$C$38="Contratado")+($C$12:$C$38="Plano")*$B$8)*($H$12:$H$38&lt;=AX$4)*($I$12:$I$38&gt;=AX$4)*$D$12:$D$38)</f>
        <v>34</v>
      </c>
      <c r="AY47" s="79" t="n">
        <f aca="false">SUMPRODUCT((($C$12:$C$38="Contratado")+($C$12:$C$38="Plano")*$B$8)*($H$12:$H$38&lt;=AY$4)*($I$12:$I$38&gt;=AY$4)*$D$12:$D$38)</f>
        <v>34</v>
      </c>
      <c r="AZ47" s="79" t="n">
        <f aca="false">SUMPRODUCT((($C$12:$C$38="Contratado")+($C$12:$C$38="Plano")*$B$8)*($H$12:$H$38&lt;=AZ$4)*($I$12:$I$38&gt;=AZ$4)*$D$12:$D$38)</f>
        <v>34</v>
      </c>
      <c r="BA47" s="79" t="n">
        <f aca="false">SUMPRODUCT((($C$12:$C$38="Contratado")+($C$12:$C$38="Plano")*$B$8)*($H$12:$H$38&lt;=BA$4)*($I$12:$I$38&gt;=BA$4)*$D$12:$D$38)</f>
        <v>50</v>
      </c>
      <c r="BB47" s="79" t="n">
        <f aca="false">SUMPRODUCT((($C$12:$C$38="Contratado")+($C$12:$C$38="Plano")*$B$8)*($H$12:$H$38&lt;=BB$4)*($I$12:$I$38&gt;=BB$4)*$D$12:$D$38)</f>
        <v>50</v>
      </c>
      <c r="BC47" s="79" t="n">
        <f aca="false">SUMPRODUCT((($C$12:$C$38="Contratado")+($C$12:$C$38="Plano")*$B$8)*($H$12:$H$38&lt;=BC$4)*($I$12:$I$38&gt;=BC$4)*$D$12:$D$38)</f>
        <v>50</v>
      </c>
      <c r="BD47" s="79" t="n">
        <f aca="false">SUMPRODUCT((($C$12:$C$38="Contratado")+($C$12:$C$38="Plano")*$B$8)*($H$12:$H$38&lt;=BD$4)*($I$12:$I$38&gt;=BD$4)*$D$12:$D$38)</f>
        <v>50</v>
      </c>
      <c r="BE47" s="79" t="n">
        <f aca="false">SUMPRODUCT((($C$12:$C$38="Contratado")+($C$12:$C$38="Plano")*$B$8)*($H$12:$H$38&lt;=BE$4)*($I$12:$I$38&gt;=BE$4)*$D$12:$D$38)</f>
        <v>50</v>
      </c>
      <c r="BF47" s="79" t="n">
        <f aca="false">SUMPRODUCT((($C$12:$C$38="Contratado")+($C$12:$C$38="Plano")*$B$8)*($H$12:$H$38&lt;=BF$4)*($I$12:$I$38&gt;=BF$4)*$D$12:$D$38)</f>
        <v>50</v>
      </c>
      <c r="BG47" s="79" t="n">
        <f aca="false">SUMPRODUCT((($C$12:$C$38="Contratado")+($C$12:$C$38="Plano")*$B$8)*($H$12:$H$38&lt;=BG$4)*($I$12:$I$38&gt;=BG$4)*$D$12:$D$38)</f>
        <v>50</v>
      </c>
      <c r="BH47" s="79" t="n">
        <f aca="false">SUMPRODUCT((($C$12:$C$38="Contratado")+($C$12:$C$38="Plano")*$B$8)*($H$12:$H$38&lt;=BH$4)*($I$12:$I$38&gt;=BH$4)*$D$12:$D$38)</f>
        <v>50</v>
      </c>
      <c r="BI47" s="79" t="n">
        <f aca="false">SUMPRODUCT((($C$12:$C$38="Contratado")+($C$12:$C$38="Plano")*$B$8)*($H$12:$H$38&lt;=BI$4)*($I$12:$I$38&gt;=BI$4)*$D$12:$D$38)</f>
        <v>50</v>
      </c>
      <c r="BJ47" s="79" t="n">
        <f aca="false">SUMPRODUCT((($C$12:$C$38="Contratado")+($C$12:$C$38="Plano")*$B$8)*($H$12:$H$38&lt;=BJ$4)*($I$12:$I$38&gt;=BJ$4)*$D$12:$D$38)</f>
        <v>50</v>
      </c>
      <c r="BK47" s="79" t="n">
        <f aca="false">SUMPRODUCT((($C$12:$C$38="Contratado")+($C$12:$C$38="Plano")*$B$8)*($H$12:$H$38&lt;=BK$4)*($I$12:$I$38&gt;=BK$4)*$D$12:$D$38)</f>
        <v>50</v>
      </c>
      <c r="BL47" s="79" t="n">
        <f aca="false">SUMPRODUCT((($C$12:$C$38="Contratado")+($C$12:$C$38="Plano")*$B$8)*($H$12:$H$38&lt;=BL$4)*($I$12:$I$38&gt;=BL$4)*$D$12:$D$38)</f>
        <v>50</v>
      </c>
      <c r="BM47" s="72" t="n">
        <f aca="false">BL47</f>
        <v>50</v>
      </c>
    </row>
  </sheetData>
  <mergeCells count="1">
    <mergeCell ref="D8:L8"/>
  </mergeCells>
  <dataValidations count="3">
    <dataValidation allowBlank="true" errorStyle="stop" operator="between" showDropDown="false" showErrorMessage="false" showInputMessage="false" sqref="B12:B38" type="list">
      <formula1>"PJ,CLT,Sócio"</formula1>
      <formula2>0</formula2>
    </dataValidation>
    <dataValidation allowBlank="true" errorStyle="stop" operator="between" showDropDown="false" showErrorMessage="false" showInputMessage="false" sqref="C12:C38" type="list">
      <formula1>"Contratado,Plano"</formula1>
      <formula2>0</formula2>
    </dataValidation>
    <dataValidation allowBlank="true" errorStyle="stop" operator="between" showDropDown="false" showErrorMessage="false" showInputMessage="false" sqref="J12:J38" type="list">
      <formula1>"Despesa,Investimento"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BN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4" min="3" style="0" width="12"/>
    <col collapsed="false" customWidth="true" hidden="false" outlineLevel="0" max="64" min="5" style="0" width="11"/>
    <col collapsed="false" customWidth="true" hidden="false" outlineLevel="0" max="65" min="65" style="0" width="15"/>
    <col collapsed="false" customWidth="true" hidden="false" outlineLevel="0" max="66" min="66" style="0" width="62"/>
  </cols>
  <sheetData>
    <row r="1" customFormat="false" ht="25.5" hidden="false" customHeight="true" outlineLevel="0" collapsed="false">
      <c r="A1" s="1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</row>
    <row r="2" customFormat="false" ht="15" hidden="false" customHeight="true" outlineLevel="0" collapsed="false">
      <c r="A2" s="3" t="s">
        <v>331</v>
      </c>
    </row>
    <row r="4" customFormat="false" ht="24" hidden="false" customHeight="true" outlineLevel="0" collapsed="false">
      <c r="A4" s="57" t="s">
        <v>117</v>
      </c>
      <c r="B4" s="58" t="s">
        <v>118</v>
      </c>
      <c r="C4" s="58" t="s">
        <v>119</v>
      </c>
      <c r="D4" s="58" t="s">
        <v>120</v>
      </c>
      <c r="E4" s="59" t="n">
        <v>46023</v>
      </c>
      <c r="F4" s="59" t="n">
        <v>46054</v>
      </c>
      <c r="G4" s="59" t="n">
        <v>46082</v>
      </c>
      <c r="H4" s="59" t="n">
        <v>46113</v>
      </c>
      <c r="I4" s="59" t="n">
        <v>46143</v>
      </c>
      <c r="J4" s="59" t="n">
        <v>46174</v>
      </c>
      <c r="K4" s="59" t="n">
        <v>46204</v>
      </c>
      <c r="L4" s="59" t="n">
        <v>46235</v>
      </c>
      <c r="M4" s="59" t="n">
        <v>46266</v>
      </c>
      <c r="N4" s="59" t="n">
        <v>46296</v>
      </c>
      <c r="O4" s="59" t="n">
        <v>46327</v>
      </c>
      <c r="P4" s="59" t="n">
        <v>46357</v>
      </c>
      <c r="Q4" s="59" t="n">
        <v>46388</v>
      </c>
      <c r="R4" s="59" t="n">
        <v>46419</v>
      </c>
      <c r="S4" s="59" t="n">
        <v>46447</v>
      </c>
      <c r="T4" s="59" t="n">
        <v>46478</v>
      </c>
      <c r="U4" s="59" t="n">
        <v>46508</v>
      </c>
      <c r="V4" s="59" t="n">
        <v>46539</v>
      </c>
      <c r="W4" s="59" t="n">
        <v>46569</v>
      </c>
      <c r="X4" s="59" t="n">
        <v>46600</v>
      </c>
      <c r="Y4" s="59" t="n">
        <v>46631</v>
      </c>
      <c r="Z4" s="59" t="n">
        <v>46661</v>
      </c>
      <c r="AA4" s="59" t="n">
        <v>46692</v>
      </c>
      <c r="AB4" s="59" t="n">
        <v>46722</v>
      </c>
      <c r="AC4" s="59" t="n">
        <v>46753</v>
      </c>
      <c r="AD4" s="59" t="n">
        <v>46784</v>
      </c>
      <c r="AE4" s="59" t="n">
        <v>46813</v>
      </c>
      <c r="AF4" s="59" t="n">
        <v>46844</v>
      </c>
      <c r="AG4" s="59" t="n">
        <v>46874</v>
      </c>
      <c r="AH4" s="59" t="n">
        <v>46905</v>
      </c>
      <c r="AI4" s="59" t="n">
        <v>46935</v>
      </c>
      <c r="AJ4" s="59" t="n">
        <v>46966</v>
      </c>
      <c r="AK4" s="59" t="n">
        <v>46997</v>
      </c>
      <c r="AL4" s="59" t="n">
        <v>47027</v>
      </c>
      <c r="AM4" s="59" t="n">
        <v>47058</v>
      </c>
      <c r="AN4" s="59" t="n">
        <v>47088</v>
      </c>
      <c r="AO4" s="59" t="n">
        <v>47119</v>
      </c>
      <c r="AP4" s="59" t="n">
        <v>47150</v>
      </c>
      <c r="AQ4" s="59" t="n">
        <v>47178</v>
      </c>
      <c r="AR4" s="59" t="n">
        <v>47209</v>
      </c>
      <c r="AS4" s="59" t="n">
        <v>47239</v>
      </c>
      <c r="AT4" s="59" t="n">
        <v>47270</v>
      </c>
      <c r="AU4" s="59" t="n">
        <v>47300</v>
      </c>
      <c r="AV4" s="59" t="n">
        <v>47331</v>
      </c>
      <c r="AW4" s="59" t="n">
        <v>47362</v>
      </c>
      <c r="AX4" s="59" t="n">
        <v>47392</v>
      </c>
      <c r="AY4" s="59" t="n">
        <v>47423</v>
      </c>
      <c r="AZ4" s="59" t="n">
        <v>47453</v>
      </c>
      <c r="BA4" s="59" t="n">
        <v>47484</v>
      </c>
      <c r="BB4" s="59" t="n">
        <v>47515</v>
      </c>
      <c r="BC4" s="59" t="n">
        <v>47543</v>
      </c>
      <c r="BD4" s="59" t="n">
        <v>47574</v>
      </c>
      <c r="BE4" s="59" t="n">
        <v>47604</v>
      </c>
      <c r="BF4" s="59" t="n">
        <v>47635</v>
      </c>
      <c r="BG4" s="59" t="n">
        <v>47665</v>
      </c>
      <c r="BH4" s="59" t="n">
        <v>47696</v>
      </c>
      <c r="BI4" s="59" t="n">
        <v>47727</v>
      </c>
      <c r="BJ4" s="59" t="n">
        <v>47757</v>
      </c>
      <c r="BK4" s="59" t="n">
        <v>47788</v>
      </c>
      <c r="BL4" s="59" t="n">
        <v>47818</v>
      </c>
      <c r="BM4" s="27" t="s">
        <v>121</v>
      </c>
      <c r="BN4" s="27" t="s">
        <v>122</v>
      </c>
    </row>
    <row r="5" customFormat="false" ht="15" hidden="false" customHeight="false" outlineLevel="0" collapsed="false">
      <c r="A5" s="60" t="s">
        <v>123</v>
      </c>
      <c r="E5" s="61" t="n">
        <v>1</v>
      </c>
      <c r="F5" s="61" t="n">
        <v>2</v>
      </c>
      <c r="G5" s="61" t="n">
        <v>3</v>
      </c>
      <c r="H5" s="61" t="n">
        <v>4</v>
      </c>
      <c r="I5" s="61" t="n">
        <v>5</v>
      </c>
      <c r="J5" s="61" t="n">
        <v>6</v>
      </c>
      <c r="K5" s="61" t="n">
        <v>7</v>
      </c>
      <c r="L5" s="61" t="n">
        <v>8</v>
      </c>
      <c r="M5" s="61" t="n">
        <v>9</v>
      </c>
      <c r="N5" s="61" t="n">
        <v>10</v>
      </c>
      <c r="O5" s="61" t="n">
        <v>11</v>
      </c>
      <c r="P5" s="61" t="n">
        <v>12</v>
      </c>
      <c r="Q5" s="61" t="n">
        <v>13</v>
      </c>
      <c r="R5" s="61" t="n">
        <v>14</v>
      </c>
      <c r="S5" s="61" t="n">
        <v>15</v>
      </c>
      <c r="T5" s="61" t="n">
        <v>16</v>
      </c>
      <c r="U5" s="61" t="n">
        <v>17</v>
      </c>
      <c r="V5" s="61" t="n">
        <v>18</v>
      </c>
      <c r="W5" s="61" t="n">
        <v>19</v>
      </c>
      <c r="X5" s="61" t="n">
        <v>20</v>
      </c>
      <c r="Y5" s="61" t="n">
        <v>21</v>
      </c>
      <c r="Z5" s="61" t="n">
        <v>22</v>
      </c>
      <c r="AA5" s="61" t="n">
        <v>23</v>
      </c>
      <c r="AB5" s="61" t="n">
        <v>24</v>
      </c>
      <c r="AC5" s="61" t="n">
        <v>25</v>
      </c>
      <c r="AD5" s="61" t="n">
        <v>26</v>
      </c>
      <c r="AE5" s="61" t="n">
        <v>27</v>
      </c>
      <c r="AF5" s="61" t="n">
        <v>28</v>
      </c>
      <c r="AG5" s="61" t="n">
        <v>29</v>
      </c>
      <c r="AH5" s="61" t="n">
        <v>30</v>
      </c>
      <c r="AI5" s="61" t="n">
        <v>31</v>
      </c>
      <c r="AJ5" s="61" t="n">
        <v>32</v>
      </c>
      <c r="AK5" s="61" t="n">
        <v>33</v>
      </c>
      <c r="AL5" s="61" t="n">
        <v>34</v>
      </c>
      <c r="AM5" s="61" t="n">
        <v>35</v>
      </c>
      <c r="AN5" s="61" t="n">
        <v>36</v>
      </c>
      <c r="AO5" s="61" t="n">
        <v>37</v>
      </c>
      <c r="AP5" s="61" t="n">
        <v>38</v>
      </c>
      <c r="AQ5" s="61" t="n">
        <v>39</v>
      </c>
      <c r="AR5" s="61" t="n">
        <v>40</v>
      </c>
      <c r="AS5" s="61" t="n">
        <v>41</v>
      </c>
      <c r="AT5" s="61" t="n">
        <v>42</v>
      </c>
      <c r="AU5" s="61" t="n">
        <v>43</v>
      </c>
      <c r="AV5" s="61" t="n">
        <v>44</v>
      </c>
      <c r="AW5" s="61" t="n">
        <v>45</v>
      </c>
      <c r="AX5" s="61" t="n">
        <v>46</v>
      </c>
      <c r="AY5" s="61" t="n">
        <v>47</v>
      </c>
      <c r="AZ5" s="61" t="n">
        <v>48</v>
      </c>
      <c r="BA5" s="61" t="n">
        <v>49</v>
      </c>
      <c r="BB5" s="61" t="n">
        <v>50</v>
      </c>
      <c r="BC5" s="61" t="n">
        <v>51</v>
      </c>
      <c r="BD5" s="61" t="n">
        <v>52</v>
      </c>
      <c r="BE5" s="61" t="n">
        <v>53</v>
      </c>
      <c r="BF5" s="61" t="n">
        <v>54</v>
      </c>
      <c r="BG5" s="61" t="n">
        <v>55</v>
      </c>
      <c r="BH5" s="61" t="n">
        <v>56</v>
      </c>
      <c r="BI5" s="61" t="n">
        <v>57</v>
      </c>
      <c r="BJ5" s="61" t="n">
        <v>58</v>
      </c>
      <c r="BK5" s="61" t="n">
        <v>59</v>
      </c>
      <c r="BL5" s="61" t="n">
        <v>60</v>
      </c>
    </row>
    <row r="6" customFormat="false" ht="15" hidden="false" customHeight="false" outlineLevel="0" collapsed="false">
      <c r="A6" s="60" t="s">
        <v>124</v>
      </c>
      <c r="E6" s="62" t="n">
        <f aca="false">YEAR(E4)</f>
        <v>2026</v>
      </c>
      <c r="F6" s="62" t="n">
        <f aca="false">YEAR(F4)</f>
        <v>2026</v>
      </c>
      <c r="G6" s="62" t="n">
        <f aca="false">YEAR(G4)</f>
        <v>2026</v>
      </c>
      <c r="H6" s="62" t="n">
        <f aca="false">YEAR(H4)</f>
        <v>2026</v>
      </c>
      <c r="I6" s="62" t="n">
        <f aca="false">YEAR(I4)</f>
        <v>2026</v>
      </c>
      <c r="J6" s="62" t="n">
        <f aca="false">YEAR(J4)</f>
        <v>2026</v>
      </c>
      <c r="K6" s="62" t="n">
        <f aca="false">YEAR(K4)</f>
        <v>2026</v>
      </c>
      <c r="L6" s="62" t="n">
        <f aca="false">YEAR(L4)</f>
        <v>2026</v>
      </c>
      <c r="M6" s="62" t="n">
        <f aca="false">YEAR(M4)</f>
        <v>2026</v>
      </c>
      <c r="N6" s="62" t="n">
        <f aca="false">YEAR(N4)</f>
        <v>2026</v>
      </c>
      <c r="O6" s="62" t="n">
        <f aca="false">YEAR(O4)</f>
        <v>2026</v>
      </c>
      <c r="P6" s="62" t="n">
        <f aca="false">YEAR(P4)</f>
        <v>2026</v>
      </c>
      <c r="Q6" s="62" t="n">
        <f aca="false">YEAR(Q4)</f>
        <v>2027</v>
      </c>
      <c r="R6" s="62" t="n">
        <f aca="false">YEAR(R4)</f>
        <v>2027</v>
      </c>
      <c r="S6" s="62" t="n">
        <f aca="false">YEAR(S4)</f>
        <v>2027</v>
      </c>
      <c r="T6" s="62" t="n">
        <f aca="false">YEAR(T4)</f>
        <v>2027</v>
      </c>
      <c r="U6" s="62" t="n">
        <f aca="false">YEAR(U4)</f>
        <v>2027</v>
      </c>
      <c r="V6" s="62" t="n">
        <f aca="false">YEAR(V4)</f>
        <v>2027</v>
      </c>
      <c r="W6" s="62" t="n">
        <f aca="false">YEAR(W4)</f>
        <v>2027</v>
      </c>
      <c r="X6" s="62" t="n">
        <f aca="false">YEAR(X4)</f>
        <v>2027</v>
      </c>
      <c r="Y6" s="62" t="n">
        <f aca="false">YEAR(Y4)</f>
        <v>2027</v>
      </c>
      <c r="Z6" s="62" t="n">
        <f aca="false">YEAR(Z4)</f>
        <v>2027</v>
      </c>
      <c r="AA6" s="62" t="n">
        <f aca="false">YEAR(AA4)</f>
        <v>2027</v>
      </c>
      <c r="AB6" s="62" t="n">
        <f aca="false">YEAR(AB4)</f>
        <v>2027</v>
      </c>
      <c r="AC6" s="62" t="n">
        <f aca="false">YEAR(AC4)</f>
        <v>2028</v>
      </c>
      <c r="AD6" s="62" t="n">
        <f aca="false">YEAR(AD4)</f>
        <v>2028</v>
      </c>
      <c r="AE6" s="62" t="n">
        <f aca="false">YEAR(AE4)</f>
        <v>2028</v>
      </c>
      <c r="AF6" s="62" t="n">
        <f aca="false">YEAR(AF4)</f>
        <v>2028</v>
      </c>
      <c r="AG6" s="62" t="n">
        <f aca="false">YEAR(AG4)</f>
        <v>2028</v>
      </c>
      <c r="AH6" s="62" t="n">
        <f aca="false">YEAR(AH4)</f>
        <v>2028</v>
      </c>
      <c r="AI6" s="62" t="n">
        <f aca="false">YEAR(AI4)</f>
        <v>2028</v>
      </c>
      <c r="AJ6" s="62" t="n">
        <f aca="false">YEAR(AJ4)</f>
        <v>2028</v>
      </c>
      <c r="AK6" s="62" t="n">
        <f aca="false">YEAR(AK4)</f>
        <v>2028</v>
      </c>
      <c r="AL6" s="62" t="n">
        <f aca="false">YEAR(AL4)</f>
        <v>2028</v>
      </c>
      <c r="AM6" s="62" t="n">
        <f aca="false">YEAR(AM4)</f>
        <v>2028</v>
      </c>
      <c r="AN6" s="62" t="n">
        <f aca="false">YEAR(AN4)</f>
        <v>2028</v>
      </c>
      <c r="AO6" s="62" t="n">
        <f aca="false">YEAR(AO4)</f>
        <v>2029</v>
      </c>
      <c r="AP6" s="62" t="n">
        <f aca="false">YEAR(AP4)</f>
        <v>2029</v>
      </c>
      <c r="AQ6" s="62" t="n">
        <f aca="false">YEAR(AQ4)</f>
        <v>2029</v>
      </c>
      <c r="AR6" s="62" t="n">
        <f aca="false">YEAR(AR4)</f>
        <v>2029</v>
      </c>
      <c r="AS6" s="62" t="n">
        <f aca="false">YEAR(AS4)</f>
        <v>2029</v>
      </c>
      <c r="AT6" s="62" t="n">
        <f aca="false">YEAR(AT4)</f>
        <v>2029</v>
      </c>
      <c r="AU6" s="62" t="n">
        <f aca="false">YEAR(AU4)</f>
        <v>2029</v>
      </c>
      <c r="AV6" s="62" t="n">
        <f aca="false">YEAR(AV4)</f>
        <v>2029</v>
      </c>
      <c r="AW6" s="62" t="n">
        <f aca="false">YEAR(AW4)</f>
        <v>2029</v>
      </c>
      <c r="AX6" s="62" t="n">
        <f aca="false">YEAR(AX4)</f>
        <v>2029</v>
      </c>
      <c r="AY6" s="62" t="n">
        <f aca="false">YEAR(AY4)</f>
        <v>2029</v>
      </c>
      <c r="AZ6" s="62" t="n">
        <f aca="false">YEAR(AZ4)</f>
        <v>2029</v>
      </c>
      <c r="BA6" s="62" t="n">
        <f aca="false">YEAR(BA4)</f>
        <v>2030</v>
      </c>
      <c r="BB6" s="62" t="n">
        <f aca="false">YEAR(BB4)</f>
        <v>2030</v>
      </c>
      <c r="BC6" s="62" t="n">
        <f aca="false">YEAR(BC4)</f>
        <v>2030</v>
      </c>
      <c r="BD6" s="62" t="n">
        <f aca="false">YEAR(BD4)</f>
        <v>2030</v>
      </c>
      <c r="BE6" s="62" t="n">
        <f aca="false">YEAR(BE4)</f>
        <v>2030</v>
      </c>
      <c r="BF6" s="62" t="n">
        <f aca="false">YEAR(BF4)</f>
        <v>2030</v>
      </c>
      <c r="BG6" s="62" t="n">
        <f aca="false">YEAR(BG4)</f>
        <v>2030</v>
      </c>
      <c r="BH6" s="62" t="n">
        <f aca="false">YEAR(BH4)</f>
        <v>2030</v>
      </c>
      <c r="BI6" s="62" t="n">
        <f aca="false">YEAR(BI4)</f>
        <v>2030</v>
      </c>
      <c r="BJ6" s="62" t="n">
        <f aca="false">YEAR(BJ4)</f>
        <v>2030</v>
      </c>
      <c r="BK6" s="62" t="n">
        <f aca="false">YEAR(BK4)</f>
        <v>2030</v>
      </c>
      <c r="BL6" s="62" t="n">
        <f aca="false">YEAR(BL4)</f>
        <v>2030</v>
      </c>
    </row>
    <row r="8" customFormat="false" ht="15" hidden="false" customHeight="true" outlineLevel="0" collapsed="false">
      <c r="A8" s="107" t="s">
        <v>332</v>
      </c>
      <c r="B8" s="100" t="n">
        <v>1</v>
      </c>
      <c r="D8" s="66" t="s">
        <v>333</v>
      </c>
      <c r="E8" s="66"/>
      <c r="F8" s="66"/>
      <c r="G8" s="66"/>
      <c r="H8" s="66"/>
      <c r="I8" s="66"/>
      <c r="J8" s="66"/>
      <c r="K8" s="66"/>
      <c r="L8" s="66"/>
    </row>
    <row r="9" customFormat="false" ht="19.4" hidden="false" customHeight="true" outlineLevel="0" collapsed="false">
      <c r="A9" s="107" t="s">
        <v>334</v>
      </c>
      <c r="B9" s="100" t="n">
        <v>1</v>
      </c>
      <c r="D9" s="66" t="s">
        <v>335</v>
      </c>
      <c r="E9" s="66"/>
      <c r="F9" s="66"/>
      <c r="G9" s="66"/>
      <c r="H9" s="66"/>
      <c r="I9" s="66"/>
      <c r="J9" s="66"/>
      <c r="K9" s="66"/>
      <c r="L9" s="66"/>
    </row>
    <row r="11" customFormat="false" ht="18" hidden="false" customHeight="true" outlineLevel="0" collapsed="false">
      <c r="A11" s="19" t="s">
        <v>336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</row>
    <row r="12" customFormat="false" ht="15" hidden="false" customHeight="false" outlineLevel="0" collapsed="false">
      <c r="A12" s="7" t="s">
        <v>337</v>
      </c>
      <c r="B12" s="7" t="s">
        <v>338</v>
      </c>
      <c r="C12" s="7" t="s">
        <v>339</v>
      </c>
      <c r="D12" s="7" t="s">
        <v>286</v>
      </c>
      <c r="E12" s="7" t="s">
        <v>285</v>
      </c>
    </row>
    <row r="13" customFormat="false" ht="15" hidden="false" customHeight="false" outlineLevel="0" collapsed="false">
      <c r="A13" s="125" t="n">
        <v>46128</v>
      </c>
      <c r="B13" s="120" t="s">
        <v>340</v>
      </c>
      <c r="C13" s="98" t="n">
        <v>10000</v>
      </c>
      <c r="D13" s="120" t="s">
        <v>341</v>
      </c>
      <c r="E13" s="120" t="s">
        <v>342</v>
      </c>
    </row>
    <row r="14" customFormat="false" ht="15" hidden="false" customHeight="false" outlineLevel="0" collapsed="false">
      <c r="A14" s="125" t="n">
        <v>46207</v>
      </c>
      <c r="B14" s="120" t="s">
        <v>343</v>
      </c>
      <c r="C14" s="98" t="n">
        <v>5000</v>
      </c>
      <c r="D14" s="120" t="s">
        <v>341</v>
      </c>
      <c r="E14" s="120" t="s">
        <v>342</v>
      </c>
    </row>
    <row r="15" customFormat="false" ht="15" hidden="false" customHeight="false" outlineLevel="0" collapsed="false">
      <c r="A15" s="125" t="n">
        <v>46254</v>
      </c>
      <c r="B15" s="120" t="s">
        <v>340</v>
      </c>
      <c r="C15" s="98" t="n">
        <v>10000</v>
      </c>
      <c r="D15" s="120" t="s">
        <v>341</v>
      </c>
      <c r="E15" s="120" t="s">
        <v>342</v>
      </c>
    </row>
    <row r="16" customFormat="false" ht="15" hidden="false" customHeight="false" outlineLevel="0" collapsed="false">
      <c r="A16" s="125" t="n">
        <v>46254</v>
      </c>
      <c r="B16" s="120" t="s">
        <v>344</v>
      </c>
      <c r="C16" s="98" t="n">
        <v>3000</v>
      </c>
      <c r="D16" s="120" t="s">
        <v>341</v>
      </c>
      <c r="E16" s="120" t="s">
        <v>342</v>
      </c>
    </row>
    <row r="17" customFormat="false" ht="15" hidden="false" customHeight="false" outlineLevel="0" collapsed="false">
      <c r="A17" s="125" t="n">
        <v>46254</v>
      </c>
      <c r="B17" s="120" t="s">
        <v>345</v>
      </c>
      <c r="C17" s="98" t="n">
        <v>2000</v>
      </c>
      <c r="D17" s="120" t="s">
        <v>341</v>
      </c>
      <c r="E17" s="120" t="s">
        <v>342</v>
      </c>
    </row>
    <row r="18" customFormat="false" ht="15" hidden="false" customHeight="false" outlineLevel="0" collapsed="false">
      <c r="A18" s="125" t="n">
        <v>46263</v>
      </c>
      <c r="B18" s="120" t="s">
        <v>345</v>
      </c>
      <c r="C18" s="98" t="n">
        <v>3000</v>
      </c>
      <c r="D18" s="120" t="s">
        <v>341</v>
      </c>
      <c r="E18" s="120" t="s">
        <v>342</v>
      </c>
    </row>
    <row r="19" customFormat="false" ht="15" hidden="false" customHeight="false" outlineLevel="0" collapsed="false">
      <c r="A19" s="125" t="n">
        <v>46269</v>
      </c>
      <c r="B19" s="120" t="s">
        <v>344</v>
      </c>
      <c r="C19" s="98" t="n">
        <v>2000</v>
      </c>
      <c r="D19" s="120" t="s">
        <v>341</v>
      </c>
      <c r="E19" s="120" t="s">
        <v>342</v>
      </c>
    </row>
    <row r="20" customFormat="false" ht="15" hidden="false" customHeight="false" outlineLevel="0" collapsed="false">
      <c r="A20" s="125" t="n">
        <v>46281</v>
      </c>
      <c r="B20" s="120" t="s">
        <v>345</v>
      </c>
      <c r="C20" s="98" t="n">
        <v>1000</v>
      </c>
      <c r="D20" s="120" t="s">
        <v>341</v>
      </c>
      <c r="E20" s="120" t="s">
        <v>342</v>
      </c>
    </row>
    <row r="21" customFormat="false" ht="15" hidden="false" customHeight="false" outlineLevel="0" collapsed="false">
      <c r="A21" s="125" t="n">
        <v>46281</v>
      </c>
      <c r="B21" s="120" t="s">
        <v>343</v>
      </c>
      <c r="C21" s="98" t="n">
        <v>1000</v>
      </c>
      <c r="D21" s="120" t="s">
        <v>341</v>
      </c>
      <c r="E21" s="120" t="s">
        <v>342</v>
      </c>
    </row>
    <row r="22" customFormat="false" ht="15" hidden="false" customHeight="false" outlineLevel="0" collapsed="false">
      <c r="A22" s="125" t="n">
        <v>46310</v>
      </c>
      <c r="B22" s="120" t="s">
        <v>346</v>
      </c>
      <c r="C22" s="98" t="n">
        <v>40000</v>
      </c>
      <c r="D22" s="120" t="s">
        <v>347</v>
      </c>
      <c r="E22" s="120" t="s">
        <v>348</v>
      </c>
    </row>
    <row r="23" customFormat="false" ht="15" hidden="false" customHeight="false" outlineLevel="0" collapsed="false">
      <c r="A23" s="125" t="n">
        <v>46310</v>
      </c>
      <c r="B23" s="120" t="s">
        <v>349</v>
      </c>
      <c r="C23" s="98" t="n">
        <v>40000</v>
      </c>
      <c r="D23" s="120" t="s">
        <v>347</v>
      </c>
      <c r="E23" s="120" t="s">
        <v>348</v>
      </c>
    </row>
    <row r="24" customFormat="false" ht="15" hidden="false" customHeight="false" outlineLevel="0" collapsed="false">
      <c r="A24" s="125" t="n">
        <v>46402</v>
      </c>
      <c r="B24" s="120"/>
      <c r="C24" s="98" t="n">
        <v>0</v>
      </c>
      <c r="D24" s="120" t="s">
        <v>350</v>
      </c>
      <c r="E24" s="120" t="s">
        <v>348</v>
      </c>
    </row>
    <row r="25" customFormat="false" ht="15" hidden="false" customHeight="false" outlineLevel="0" collapsed="false">
      <c r="A25" s="125" t="n">
        <v>46402</v>
      </c>
      <c r="B25" s="120"/>
      <c r="C25" s="98" t="n">
        <v>0</v>
      </c>
      <c r="D25" s="120" t="s">
        <v>350</v>
      </c>
      <c r="E25" s="120" t="s">
        <v>348</v>
      </c>
    </row>
    <row r="26" customFormat="false" ht="15" hidden="false" customHeight="false" outlineLevel="0" collapsed="false">
      <c r="A26" s="125" t="n">
        <v>46402</v>
      </c>
      <c r="B26" s="120"/>
      <c r="C26" s="98" t="n">
        <v>0</v>
      </c>
      <c r="D26" s="120" t="s">
        <v>350</v>
      </c>
      <c r="E26" s="120" t="s">
        <v>348</v>
      </c>
    </row>
    <row r="27" customFormat="false" ht="15" hidden="false" customHeight="false" outlineLevel="0" collapsed="false">
      <c r="A27" s="125" t="n">
        <v>46402</v>
      </c>
      <c r="B27" s="120"/>
      <c r="C27" s="98" t="n">
        <v>0</v>
      </c>
      <c r="D27" s="120" t="s">
        <v>350</v>
      </c>
      <c r="E27" s="120" t="s">
        <v>348</v>
      </c>
    </row>
    <row r="28" customFormat="false" ht="15" hidden="false" customHeight="false" outlineLevel="0" collapsed="false">
      <c r="A28" s="125" t="n">
        <v>46402</v>
      </c>
      <c r="B28" s="120"/>
      <c r="C28" s="98" t="n">
        <v>0</v>
      </c>
      <c r="D28" s="120" t="s">
        <v>350</v>
      </c>
      <c r="E28" s="120" t="s">
        <v>348</v>
      </c>
    </row>
    <row r="29" customFormat="false" ht="15" hidden="false" customHeight="false" outlineLevel="0" collapsed="false">
      <c r="A29" s="125" t="n">
        <v>46402</v>
      </c>
      <c r="B29" s="120"/>
      <c r="C29" s="98" t="n">
        <v>0</v>
      </c>
      <c r="D29" s="120" t="s">
        <v>350</v>
      </c>
      <c r="E29" s="120" t="s">
        <v>348</v>
      </c>
    </row>
    <row r="30" customFormat="false" ht="15" hidden="false" customHeight="false" outlineLevel="0" collapsed="false">
      <c r="A30" s="125" t="n">
        <v>46402</v>
      </c>
      <c r="B30" s="120"/>
      <c r="C30" s="98" t="n">
        <v>0</v>
      </c>
      <c r="D30" s="120" t="s">
        <v>350</v>
      </c>
      <c r="E30" s="120" t="s">
        <v>348</v>
      </c>
    </row>
    <row r="31" customFormat="false" ht="15" hidden="false" customHeight="false" outlineLevel="0" collapsed="false">
      <c r="A31" s="125" t="n">
        <v>46402</v>
      </c>
      <c r="B31" s="120"/>
      <c r="C31" s="98" t="n">
        <v>0</v>
      </c>
      <c r="D31" s="120" t="s">
        <v>350</v>
      </c>
      <c r="E31" s="120" t="s">
        <v>348</v>
      </c>
    </row>
    <row r="32" customFormat="false" ht="15" hidden="false" customHeight="false" outlineLevel="0" collapsed="false">
      <c r="A32" s="125" t="n">
        <v>46402</v>
      </c>
      <c r="B32" s="120"/>
      <c r="C32" s="98" t="n">
        <v>0</v>
      </c>
      <c r="D32" s="120" t="s">
        <v>350</v>
      </c>
      <c r="E32" s="120" t="s">
        <v>348</v>
      </c>
    </row>
    <row r="33" customFormat="false" ht="15" hidden="false" customHeight="false" outlineLevel="0" collapsed="false">
      <c r="A33" s="125" t="n">
        <v>46402</v>
      </c>
      <c r="B33" s="120"/>
      <c r="C33" s="98" t="n">
        <v>0</v>
      </c>
      <c r="D33" s="120" t="s">
        <v>350</v>
      </c>
      <c r="E33" s="120" t="s">
        <v>348</v>
      </c>
    </row>
    <row r="34" customFormat="false" ht="15" hidden="false" customHeight="false" outlineLevel="0" collapsed="false">
      <c r="A34" s="125" t="n">
        <v>46402</v>
      </c>
      <c r="B34" s="120"/>
      <c r="C34" s="98" t="n">
        <v>0</v>
      </c>
      <c r="D34" s="120" t="s">
        <v>350</v>
      </c>
      <c r="E34" s="120" t="s">
        <v>348</v>
      </c>
    </row>
    <row r="35" customFormat="false" ht="15" hidden="false" customHeight="false" outlineLevel="0" collapsed="false">
      <c r="A35" s="125" t="n">
        <v>46402</v>
      </c>
      <c r="B35" s="120"/>
      <c r="C35" s="98" t="n">
        <v>0</v>
      </c>
      <c r="D35" s="120" t="s">
        <v>350</v>
      </c>
      <c r="E35" s="120" t="s">
        <v>348</v>
      </c>
    </row>
    <row r="36" customFormat="false" ht="15" hidden="false" customHeight="false" outlineLevel="0" collapsed="false">
      <c r="A36" s="125" t="n">
        <v>46402</v>
      </c>
      <c r="B36" s="120"/>
      <c r="C36" s="98" t="n">
        <v>0</v>
      </c>
      <c r="D36" s="120" t="s">
        <v>350</v>
      </c>
      <c r="E36" s="120" t="s">
        <v>348</v>
      </c>
    </row>
    <row r="37" customFormat="false" ht="15" hidden="false" customHeight="false" outlineLevel="0" collapsed="false">
      <c r="A37" s="125" t="n">
        <v>46402</v>
      </c>
      <c r="B37" s="120"/>
      <c r="C37" s="98" t="n">
        <v>0</v>
      </c>
      <c r="D37" s="120" t="s">
        <v>350</v>
      </c>
      <c r="E37" s="120" t="s">
        <v>348</v>
      </c>
    </row>
    <row r="38" customFormat="false" ht="15" hidden="false" customHeight="false" outlineLevel="0" collapsed="false">
      <c r="B38" s="107" t="s">
        <v>351</v>
      </c>
      <c r="C38" s="124" t="n">
        <f aca="false">SUMPRODUCT((($D$13:$D$37="Realizado")+($D$13:$D$37="Compromisso")+($D$13:$D$37="Previsto")*$B$8+($D$13:$D$37="Em negociação")*$B$9)*$C$13:$C$37)</f>
        <v>117000</v>
      </c>
    </row>
    <row r="40" customFormat="false" ht="18" hidden="false" customHeight="true" outlineLevel="0" collapsed="false">
      <c r="A40" s="19" t="s">
        <v>352</v>
      </c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</row>
    <row r="41" customFormat="false" ht="25.5" hidden="false" customHeight="true" outlineLevel="0" collapsed="false">
      <c r="A41" s="110" t="s">
        <v>353</v>
      </c>
      <c r="B41" s="110" t="s">
        <v>286</v>
      </c>
      <c r="C41" s="110" t="s">
        <v>354</v>
      </c>
      <c r="D41" s="110" t="s">
        <v>355</v>
      </c>
      <c r="E41" s="110" t="s">
        <v>356</v>
      </c>
      <c r="F41" s="110" t="s">
        <v>357</v>
      </c>
      <c r="G41" s="110" t="s">
        <v>358</v>
      </c>
    </row>
    <row r="42" customFormat="false" ht="15" hidden="false" customHeight="false" outlineLevel="0" collapsed="false">
      <c r="A42" s="120" t="s">
        <v>359</v>
      </c>
      <c r="B42" s="120" t="s">
        <v>347</v>
      </c>
      <c r="C42" s="98" t="n">
        <v>200000</v>
      </c>
      <c r="D42" s="122" t="n">
        <v>46419</v>
      </c>
      <c r="E42" s="98" t="n">
        <v>5000</v>
      </c>
      <c r="F42" s="122" t="n">
        <v>46447</v>
      </c>
      <c r="G42" s="122" t="n">
        <v>47818</v>
      </c>
    </row>
    <row r="43" customFormat="false" ht="15" hidden="false" customHeight="false" outlineLevel="0" collapsed="false">
      <c r="A43" s="120"/>
      <c r="B43" s="120" t="s">
        <v>347</v>
      </c>
      <c r="C43" s="98" t="n">
        <v>0</v>
      </c>
      <c r="D43" s="122" t="n">
        <v>46753</v>
      </c>
      <c r="E43" s="98" t="n">
        <v>0</v>
      </c>
      <c r="F43" s="122" t="n">
        <v>46753</v>
      </c>
      <c r="G43" s="122" t="n">
        <v>47818</v>
      </c>
    </row>
    <row r="44" customFormat="false" ht="15" hidden="false" customHeight="false" outlineLevel="0" collapsed="false">
      <c r="A44" s="120"/>
      <c r="B44" s="120" t="s">
        <v>347</v>
      </c>
      <c r="C44" s="98" t="n">
        <v>0</v>
      </c>
      <c r="D44" s="122" t="n">
        <v>46753</v>
      </c>
      <c r="E44" s="98" t="n">
        <v>0</v>
      </c>
      <c r="F44" s="122" t="n">
        <v>46753</v>
      </c>
      <c r="G44" s="122" t="n">
        <v>47818</v>
      </c>
    </row>
    <row r="45" customFormat="false" ht="15" hidden="false" customHeight="false" outlineLevel="0" collapsed="false">
      <c r="A45" s="120"/>
      <c r="B45" s="120" t="s">
        <v>347</v>
      </c>
      <c r="C45" s="98" t="n">
        <v>0</v>
      </c>
      <c r="D45" s="122" t="n">
        <v>46753</v>
      </c>
      <c r="E45" s="98" t="n">
        <v>0</v>
      </c>
      <c r="F45" s="122" t="n">
        <v>46753</v>
      </c>
      <c r="G45" s="122" t="n">
        <v>47818</v>
      </c>
    </row>
    <row r="46" customFormat="false" ht="15" hidden="false" customHeight="false" outlineLevel="0" collapsed="false">
      <c r="A46" s="120"/>
      <c r="B46" s="120" t="s">
        <v>347</v>
      </c>
      <c r="C46" s="98" t="n">
        <v>0</v>
      </c>
      <c r="D46" s="122" t="n">
        <v>46753</v>
      </c>
      <c r="E46" s="98" t="n">
        <v>0</v>
      </c>
      <c r="F46" s="122" t="n">
        <v>46753</v>
      </c>
      <c r="G46" s="122" t="n">
        <v>47818</v>
      </c>
    </row>
    <row r="47" customFormat="false" ht="15" hidden="false" customHeight="false" outlineLevel="0" collapsed="false">
      <c r="A47" s="120"/>
      <c r="B47" s="120" t="s">
        <v>347</v>
      </c>
      <c r="C47" s="98" t="n">
        <v>0</v>
      </c>
      <c r="D47" s="122" t="n">
        <v>46753</v>
      </c>
      <c r="E47" s="98" t="n">
        <v>0</v>
      </c>
      <c r="F47" s="122" t="n">
        <v>46753</v>
      </c>
      <c r="G47" s="122" t="n">
        <v>47818</v>
      </c>
    </row>
    <row r="48" customFormat="false" ht="15" hidden="false" customHeight="false" outlineLevel="0" collapsed="false">
      <c r="A48" s="120"/>
      <c r="B48" s="120" t="s">
        <v>347</v>
      </c>
      <c r="C48" s="98" t="n">
        <v>0</v>
      </c>
      <c r="D48" s="122" t="n">
        <v>46753</v>
      </c>
      <c r="E48" s="98" t="n">
        <v>0</v>
      </c>
      <c r="F48" s="122" t="n">
        <v>46753</v>
      </c>
      <c r="G48" s="122" t="n">
        <v>47818</v>
      </c>
    </row>
    <row r="49" customFormat="false" ht="15" hidden="false" customHeight="false" outlineLevel="0" collapsed="false">
      <c r="A49" s="107" t="s">
        <v>121</v>
      </c>
      <c r="C49" s="124" t="n">
        <f aca="false">SUMPRODUCT((($B$42:$B$48="Confirmado")+($B$42:$B$48="Em negociação")*$B$9)*$C$42:$C$48)</f>
        <v>200000</v>
      </c>
      <c r="E49" s="124" t="n">
        <f aca="false">SUMPRODUCT((($B$42:$B$48="Confirmado")+($B$42:$B$48="Em negociação")*$B$9)*$E$42:$E$48)</f>
        <v>5000</v>
      </c>
    </row>
    <row r="51" customFormat="false" ht="18" hidden="false" customHeight="true" outlineLevel="0" collapsed="false">
      <c r="A51" s="19" t="s">
        <v>360</v>
      </c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</row>
    <row r="52" customFormat="false" ht="15" hidden="false" customHeight="false" outlineLevel="0" collapsed="false">
      <c r="A52" s="37" t="s">
        <v>361</v>
      </c>
      <c r="E52" s="94" t="n">
        <f aca="false">SUMPRODUCT((($D$13:$D$37="Realizado")+($D$13:$D$37="Compromisso")+($D$13:$D$37="Previsto")*$B$8+($D$13:$D$37="Em negociação")*$B$9)*($A$13:$A$37&gt;=E$4)*($A$13:$A$37&lt;=EOMONTH(E$4,0))*$C$13:$C$37)</f>
        <v>0</v>
      </c>
      <c r="F52" s="94" t="n">
        <f aca="false">SUMPRODUCT((($D$13:$D$37="Realizado")+($D$13:$D$37="Compromisso")+($D$13:$D$37="Previsto")*$B$8+($D$13:$D$37="Em negociação")*$B$9)*($A$13:$A$37&gt;=F$4)*($A$13:$A$37&lt;=EOMONTH(F$4,0))*$C$13:$C$37)</f>
        <v>0</v>
      </c>
      <c r="G52" s="94" t="n">
        <f aca="false">SUMPRODUCT((($D$13:$D$37="Realizado")+($D$13:$D$37="Compromisso")+($D$13:$D$37="Previsto")*$B$8+($D$13:$D$37="Em negociação")*$B$9)*($A$13:$A$37&gt;=G$4)*($A$13:$A$37&lt;=EOMONTH(G$4,0))*$C$13:$C$37)</f>
        <v>0</v>
      </c>
      <c r="H52" s="94" t="n">
        <f aca="false">SUMPRODUCT((($D$13:$D$37="Realizado")+($D$13:$D$37="Compromisso")+($D$13:$D$37="Previsto")*$B$8+($D$13:$D$37="Em negociação")*$B$9)*($A$13:$A$37&gt;=H$4)*($A$13:$A$37&lt;=EOMONTH(H$4,0))*$C$13:$C$37)</f>
        <v>10000</v>
      </c>
      <c r="I52" s="94" t="n">
        <f aca="false">SUMPRODUCT((($D$13:$D$37="Realizado")+($D$13:$D$37="Compromisso")+($D$13:$D$37="Previsto")*$B$8+($D$13:$D$37="Em negociação")*$B$9)*($A$13:$A$37&gt;=I$4)*($A$13:$A$37&lt;=EOMONTH(I$4,0))*$C$13:$C$37)</f>
        <v>0</v>
      </c>
      <c r="J52" s="94" t="n">
        <f aca="false">SUMPRODUCT((($D$13:$D$37="Realizado")+($D$13:$D$37="Compromisso")+($D$13:$D$37="Previsto")*$B$8+($D$13:$D$37="Em negociação")*$B$9)*($A$13:$A$37&gt;=J$4)*($A$13:$A$37&lt;=EOMONTH(J$4,0))*$C$13:$C$37)</f>
        <v>0</v>
      </c>
      <c r="K52" s="94" t="n">
        <f aca="false">SUMPRODUCT((($D$13:$D$37="Realizado")+($D$13:$D$37="Compromisso")+($D$13:$D$37="Previsto")*$B$8+($D$13:$D$37="Em negociação")*$B$9)*($A$13:$A$37&gt;=K$4)*($A$13:$A$37&lt;=EOMONTH(K$4,0))*$C$13:$C$37)</f>
        <v>5000</v>
      </c>
      <c r="L52" s="94" t="n">
        <f aca="false">SUMPRODUCT((($D$13:$D$37="Realizado")+($D$13:$D$37="Compromisso")+($D$13:$D$37="Previsto")*$B$8+($D$13:$D$37="Em negociação")*$B$9)*($A$13:$A$37&gt;=L$4)*($A$13:$A$37&lt;=EOMONTH(L$4,0))*$C$13:$C$37)</f>
        <v>18000</v>
      </c>
      <c r="M52" s="94" t="n">
        <f aca="false">SUMPRODUCT((($D$13:$D$37="Realizado")+($D$13:$D$37="Compromisso")+($D$13:$D$37="Previsto")*$B$8+($D$13:$D$37="Em negociação")*$B$9)*($A$13:$A$37&gt;=M$4)*($A$13:$A$37&lt;=EOMONTH(M$4,0))*$C$13:$C$37)</f>
        <v>4000</v>
      </c>
      <c r="N52" s="94" t="n">
        <f aca="false">SUMPRODUCT((($D$13:$D$37="Realizado")+($D$13:$D$37="Compromisso")+($D$13:$D$37="Previsto")*$B$8+($D$13:$D$37="Em negociação")*$B$9)*($A$13:$A$37&gt;=N$4)*($A$13:$A$37&lt;=EOMONTH(N$4,0))*$C$13:$C$37)</f>
        <v>80000</v>
      </c>
      <c r="O52" s="94" t="n">
        <f aca="false">SUMPRODUCT((($D$13:$D$37="Realizado")+($D$13:$D$37="Compromisso")+($D$13:$D$37="Previsto")*$B$8+($D$13:$D$37="Em negociação")*$B$9)*($A$13:$A$37&gt;=O$4)*($A$13:$A$37&lt;=EOMONTH(O$4,0))*$C$13:$C$37)</f>
        <v>0</v>
      </c>
      <c r="P52" s="94" t="n">
        <f aca="false">SUMPRODUCT((($D$13:$D$37="Realizado")+($D$13:$D$37="Compromisso")+($D$13:$D$37="Previsto")*$B$8+($D$13:$D$37="Em negociação")*$B$9)*($A$13:$A$37&gt;=P$4)*($A$13:$A$37&lt;=EOMONTH(P$4,0))*$C$13:$C$37)</f>
        <v>0</v>
      </c>
      <c r="Q52" s="94" t="n">
        <f aca="false">SUMPRODUCT((($D$13:$D$37="Realizado")+($D$13:$D$37="Compromisso")+($D$13:$D$37="Previsto")*$B$8+($D$13:$D$37="Em negociação")*$B$9)*($A$13:$A$37&gt;=Q$4)*($A$13:$A$37&lt;=EOMONTH(Q$4,0))*$C$13:$C$37)</f>
        <v>0</v>
      </c>
      <c r="R52" s="94" t="n">
        <f aca="false">SUMPRODUCT((($D$13:$D$37="Realizado")+($D$13:$D$37="Compromisso")+($D$13:$D$37="Previsto")*$B$8+($D$13:$D$37="Em negociação")*$B$9)*($A$13:$A$37&gt;=R$4)*($A$13:$A$37&lt;=EOMONTH(R$4,0))*$C$13:$C$37)</f>
        <v>0</v>
      </c>
      <c r="S52" s="94" t="n">
        <f aca="false">SUMPRODUCT((($D$13:$D$37="Realizado")+($D$13:$D$37="Compromisso")+($D$13:$D$37="Previsto")*$B$8+($D$13:$D$37="Em negociação")*$B$9)*($A$13:$A$37&gt;=S$4)*($A$13:$A$37&lt;=EOMONTH(S$4,0))*$C$13:$C$37)</f>
        <v>0</v>
      </c>
      <c r="T52" s="94" t="n">
        <f aca="false">SUMPRODUCT((($D$13:$D$37="Realizado")+($D$13:$D$37="Compromisso")+($D$13:$D$37="Previsto")*$B$8+($D$13:$D$37="Em negociação")*$B$9)*($A$13:$A$37&gt;=T$4)*($A$13:$A$37&lt;=EOMONTH(T$4,0))*$C$13:$C$37)</f>
        <v>0</v>
      </c>
      <c r="U52" s="94" t="n">
        <f aca="false">SUMPRODUCT((($D$13:$D$37="Realizado")+($D$13:$D$37="Compromisso")+($D$13:$D$37="Previsto")*$B$8+($D$13:$D$37="Em negociação")*$B$9)*($A$13:$A$37&gt;=U$4)*($A$13:$A$37&lt;=EOMONTH(U$4,0))*$C$13:$C$37)</f>
        <v>0</v>
      </c>
      <c r="V52" s="94" t="n">
        <f aca="false">SUMPRODUCT((($D$13:$D$37="Realizado")+($D$13:$D$37="Compromisso")+($D$13:$D$37="Previsto")*$B$8+($D$13:$D$37="Em negociação")*$B$9)*($A$13:$A$37&gt;=V$4)*($A$13:$A$37&lt;=EOMONTH(V$4,0))*$C$13:$C$37)</f>
        <v>0</v>
      </c>
      <c r="W52" s="94" t="n">
        <f aca="false">SUMPRODUCT((($D$13:$D$37="Realizado")+($D$13:$D$37="Compromisso")+($D$13:$D$37="Previsto")*$B$8+($D$13:$D$37="Em negociação")*$B$9)*($A$13:$A$37&gt;=W$4)*($A$13:$A$37&lt;=EOMONTH(W$4,0))*$C$13:$C$37)</f>
        <v>0</v>
      </c>
      <c r="X52" s="94" t="n">
        <f aca="false">SUMPRODUCT((($D$13:$D$37="Realizado")+($D$13:$D$37="Compromisso")+($D$13:$D$37="Previsto")*$B$8+($D$13:$D$37="Em negociação")*$B$9)*($A$13:$A$37&gt;=X$4)*($A$13:$A$37&lt;=EOMONTH(X$4,0))*$C$13:$C$37)</f>
        <v>0</v>
      </c>
      <c r="Y52" s="94" t="n">
        <f aca="false">SUMPRODUCT((($D$13:$D$37="Realizado")+($D$13:$D$37="Compromisso")+($D$13:$D$37="Previsto")*$B$8+($D$13:$D$37="Em negociação")*$B$9)*($A$13:$A$37&gt;=Y$4)*($A$13:$A$37&lt;=EOMONTH(Y$4,0))*$C$13:$C$37)</f>
        <v>0</v>
      </c>
      <c r="Z52" s="94" t="n">
        <f aca="false">SUMPRODUCT((($D$13:$D$37="Realizado")+($D$13:$D$37="Compromisso")+($D$13:$D$37="Previsto")*$B$8+($D$13:$D$37="Em negociação")*$B$9)*($A$13:$A$37&gt;=Z$4)*($A$13:$A$37&lt;=EOMONTH(Z$4,0))*$C$13:$C$37)</f>
        <v>0</v>
      </c>
      <c r="AA52" s="94" t="n">
        <f aca="false">SUMPRODUCT((($D$13:$D$37="Realizado")+($D$13:$D$37="Compromisso")+($D$13:$D$37="Previsto")*$B$8+($D$13:$D$37="Em negociação")*$B$9)*($A$13:$A$37&gt;=AA$4)*($A$13:$A$37&lt;=EOMONTH(AA$4,0))*$C$13:$C$37)</f>
        <v>0</v>
      </c>
      <c r="AB52" s="94" t="n">
        <f aca="false">SUMPRODUCT((($D$13:$D$37="Realizado")+($D$13:$D$37="Compromisso")+($D$13:$D$37="Previsto")*$B$8+($D$13:$D$37="Em negociação")*$B$9)*($A$13:$A$37&gt;=AB$4)*($A$13:$A$37&lt;=EOMONTH(AB$4,0))*$C$13:$C$37)</f>
        <v>0</v>
      </c>
      <c r="AC52" s="94" t="n">
        <f aca="false">SUMPRODUCT((($D$13:$D$37="Realizado")+($D$13:$D$37="Compromisso")+($D$13:$D$37="Previsto")*$B$8+($D$13:$D$37="Em negociação")*$B$9)*($A$13:$A$37&gt;=AC$4)*($A$13:$A$37&lt;=EOMONTH(AC$4,0))*$C$13:$C$37)</f>
        <v>0</v>
      </c>
      <c r="AD52" s="94" t="n">
        <f aca="false">SUMPRODUCT((($D$13:$D$37="Realizado")+($D$13:$D$37="Compromisso")+($D$13:$D$37="Previsto")*$B$8+($D$13:$D$37="Em negociação")*$B$9)*($A$13:$A$37&gt;=AD$4)*($A$13:$A$37&lt;=EOMONTH(AD$4,0))*$C$13:$C$37)</f>
        <v>0</v>
      </c>
      <c r="AE52" s="94" t="n">
        <f aca="false">SUMPRODUCT((($D$13:$D$37="Realizado")+($D$13:$D$37="Compromisso")+($D$13:$D$37="Previsto")*$B$8+($D$13:$D$37="Em negociação")*$B$9)*($A$13:$A$37&gt;=AE$4)*($A$13:$A$37&lt;=EOMONTH(AE$4,0))*$C$13:$C$37)</f>
        <v>0</v>
      </c>
      <c r="AF52" s="94" t="n">
        <f aca="false">SUMPRODUCT((($D$13:$D$37="Realizado")+($D$13:$D$37="Compromisso")+($D$13:$D$37="Previsto")*$B$8+($D$13:$D$37="Em negociação")*$B$9)*($A$13:$A$37&gt;=AF$4)*($A$13:$A$37&lt;=EOMONTH(AF$4,0))*$C$13:$C$37)</f>
        <v>0</v>
      </c>
      <c r="AG52" s="94" t="n">
        <f aca="false">SUMPRODUCT((($D$13:$D$37="Realizado")+($D$13:$D$37="Compromisso")+($D$13:$D$37="Previsto")*$B$8+($D$13:$D$37="Em negociação")*$B$9)*($A$13:$A$37&gt;=AG$4)*($A$13:$A$37&lt;=EOMONTH(AG$4,0))*$C$13:$C$37)</f>
        <v>0</v>
      </c>
      <c r="AH52" s="94" t="n">
        <f aca="false">SUMPRODUCT((($D$13:$D$37="Realizado")+($D$13:$D$37="Compromisso")+($D$13:$D$37="Previsto")*$B$8+($D$13:$D$37="Em negociação")*$B$9)*($A$13:$A$37&gt;=AH$4)*($A$13:$A$37&lt;=EOMONTH(AH$4,0))*$C$13:$C$37)</f>
        <v>0</v>
      </c>
      <c r="AI52" s="94" t="n">
        <f aca="false">SUMPRODUCT((($D$13:$D$37="Realizado")+($D$13:$D$37="Compromisso")+($D$13:$D$37="Previsto")*$B$8+($D$13:$D$37="Em negociação")*$B$9)*($A$13:$A$37&gt;=AI$4)*($A$13:$A$37&lt;=EOMONTH(AI$4,0))*$C$13:$C$37)</f>
        <v>0</v>
      </c>
      <c r="AJ52" s="94" t="n">
        <f aca="false">SUMPRODUCT((($D$13:$D$37="Realizado")+($D$13:$D$37="Compromisso")+($D$13:$D$37="Previsto")*$B$8+($D$13:$D$37="Em negociação")*$B$9)*($A$13:$A$37&gt;=AJ$4)*($A$13:$A$37&lt;=EOMONTH(AJ$4,0))*$C$13:$C$37)</f>
        <v>0</v>
      </c>
      <c r="AK52" s="94" t="n">
        <f aca="false">SUMPRODUCT((($D$13:$D$37="Realizado")+($D$13:$D$37="Compromisso")+($D$13:$D$37="Previsto")*$B$8+($D$13:$D$37="Em negociação")*$B$9)*($A$13:$A$37&gt;=AK$4)*($A$13:$A$37&lt;=EOMONTH(AK$4,0))*$C$13:$C$37)</f>
        <v>0</v>
      </c>
      <c r="AL52" s="94" t="n">
        <f aca="false">SUMPRODUCT((($D$13:$D$37="Realizado")+($D$13:$D$37="Compromisso")+($D$13:$D$37="Previsto")*$B$8+($D$13:$D$37="Em negociação")*$B$9)*($A$13:$A$37&gt;=AL$4)*($A$13:$A$37&lt;=EOMONTH(AL$4,0))*$C$13:$C$37)</f>
        <v>0</v>
      </c>
      <c r="AM52" s="94" t="n">
        <f aca="false">SUMPRODUCT((($D$13:$D$37="Realizado")+($D$13:$D$37="Compromisso")+($D$13:$D$37="Previsto")*$B$8+($D$13:$D$37="Em negociação")*$B$9)*($A$13:$A$37&gt;=AM$4)*($A$13:$A$37&lt;=EOMONTH(AM$4,0))*$C$13:$C$37)</f>
        <v>0</v>
      </c>
      <c r="AN52" s="94" t="n">
        <f aca="false">SUMPRODUCT((($D$13:$D$37="Realizado")+($D$13:$D$37="Compromisso")+($D$13:$D$37="Previsto")*$B$8+($D$13:$D$37="Em negociação")*$B$9)*($A$13:$A$37&gt;=AN$4)*($A$13:$A$37&lt;=EOMONTH(AN$4,0))*$C$13:$C$37)</f>
        <v>0</v>
      </c>
      <c r="AO52" s="94" t="n">
        <f aca="false">SUMPRODUCT((($D$13:$D$37="Realizado")+($D$13:$D$37="Compromisso")+($D$13:$D$37="Previsto")*$B$8+($D$13:$D$37="Em negociação")*$B$9)*($A$13:$A$37&gt;=AO$4)*($A$13:$A$37&lt;=EOMONTH(AO$4,0))*$C$13:$C$37)</f>
        <v>0</v>
      </c>
      <c r="AP52" s="94" t="n">
        <f aca="false">SUMPRODUCT((($D$13:$D$37="Realizado")+($D$13:$D$37="Compromisso")+($D$13:$D$37="Previsto")*$B$8+($D$13:$D$37="Em negociação")*$B$9)*($A$13:$A$37&gt;=AP$4)*($A$13:$A$37&lt;=EOMONTH(AP$4,0))*$C$13:$C$37)</f>
        <v>0</v>
      </c>
      <c r="AQ52" s="94" t="n">
        <f aca="false">SUMPRODUCT((($D$13:$D$37="Realizado")+($D$13:$D$37="Compromisso")+($D$13:$D$37="Previsto")*$B$8+($D$13:$D$37="Em negociação")*$B$9)*($A$13:$A$37&gt;=AQ$4)*($A$13:$A$37&lt;=EOMONTH(AQ$4,0))*$C$13:$C$37)</f>
        <v>0</v>
      </c>
      <c r="AR52" s="94" t="n">
        <f aca="false">SUMPRODUCT((($D$13:$D$37="Realizado")+($D$13:$D$37="Compromisso")+($D$13:$D$37="Previsto")*$B$8+($D$13:$D$37="Em negociação")*$B$9)*($A$13:$A$37&gt;=AR$4)*($A$13:$A$37&lt;=EOMONTH(AR$4,0))*$C$13:$C$37)</f>
        <v>0</v>
      </c>
      <c r="AS52" s="94" t="n">
        <f aca="false">SUMPRODUCT((($D$13:$D$37="Realizado")+($D$13:$D$37="Compromisso")+($D$13:$D$37="Previsto")*$B$8+($D$13:$D$37="Em negociação")*$B$9)*($A$13:$A$37&gt;=AS$4)*($A$13:$A$37&lt;=EOMONTH(AS$4,0))*$C$13:$C$37)</f>
        <v>0</v>
      </c>
      <c r="AT52" s="94" t="n">
        <f aca="false">SUMPRODUCT((($D$13:$D$37="Realizado")+($D$13:$D$37="Compromisso")+($D$13:$D$37="Previsto")*$B$8+($D$13:$D$37="Em negociação")*$B$9)*($A$13:$A$37&gt;=AT$4)*($A$13:$A$37&lt;=EOMONTH(AT$4,0))*$C$13:$C$37)</f>
        <v>0</v>
      </c>
      <c r="AU52" s="94" t="n">
        <f aca="false">SUMPRODUCT((($D$13:$D$37="Realizado")+($D$13:$D$37="Compromisso")+($D$13:$D$37="Previsto")*$B$8+($D$13:$D$37="Em negociação")*$B$9)*($A$13:$A$37&gt;=AU$4)*($A$13:$A$37&lt;=EOMONTH(AU$4,0))*$C$13:$C$37)</f>
        <v>0</v>
      </c>
      <c r="AV52" s="94" t="n">
        <f aca="false">SUMPRODUCT((($D$13:$D$37="Realizado")+($D$13:$D$37="Compromisso")+($D$13:$D$37="Previsto")*$B$8+($D$13:$D$37="Em negociação")*$B$9)*($A$13:$A$37&gt;=AV$4)*($A$13:$A$37&lt;=EOMONTH(AV$4,0))*$C$13:$C$37)</f>
        <v>0</v>
      </c>
      <c r="AW52" s="94" t="n">
        <f aca="false">SUMPRODUCT((($D$13:$D$37="Realizado")+($D$13:$D$37="Compromisso")+($D$13:$D$37="Previsto")*$B$8+($D$13:$D$37="Em negociação")*$B$9)*($A$13:$A$37&gt;=AW$4)*($A$13:$A$37&lt;=EOMONTH(AW$4,0))*$C$13:$C$37)</f>
        <v>0</v>
      </c>
      <c r="AX52" s="94" t="n">
        <f aca="false">SUMPRODUCT((($D$13:$D$37="Realizado")+($D$13:$D$37="Compromisso")+($D$13:$D$37="Previsto")*$B$8+($D$13:$D$37="Em negociação")*$B$9)*($A$13:$A$37&gt;=AX$4)*($A$13:$A$37&lt;=EOMONTH(AX$4,0))*$C$13:$C$37)</f>
        <v>0</v>
      </c>
      <c r="AY52" s="94" t="n">
        <f aca="false">SUMPRODUCT((($D$13:$D$37="Realizado")+($D$13:$D$37="Compromisso")+($D$13:$D$37="Previsto")*$B$8+($D$13:$D$37="Em negociação")*$B$9)*($A$13:$A$37&gt;=AY$4)*($A$13:$A$37&lt;=EOMONTH(AY$4,0))*$C$13:$C$37)</f>
        <v>0</v>
      </c>
      <c r="AZ52" s="94" t="n">
        <f aca="false">SUMPRODUCT((($D$13:$D$37="Realizado")+($D$13:$D$37="Compromisso")+($D$13:$D$37="Previsto")*$B$8+($D$13:$D$37="Em negociação")*$B$9)*($A$13:$A$37&gt;=AZ$4)*($A$13:$A$37&lt;=EOMONTH(AZ$4,0))*$C$13:$C$37)</f>
        <v>0</v>
      </c>
      <c r="BA52" s="94" t="n">
        <f aca="false">SUMPRODUCT((($D$13:$D$37="Realizado")+($D$13:$D$37="Compromisso")+($D$13:$D$37="Previsto")*$B$8+($D$13:$D$37="Em negociação")*$B$9)*($A$13:$A$37&gt;=BA$4)*($A$13:$A$37&lt;=EOMONTH(BA$4,0))*$C$13:$C$37)</f>
        <v>0</v>
      </c>
      <c r="BB52" s="94" t="n">
        <f aca="false">SUMPRODUCT((($D$13:$D$37="Realizado")+($D$13:$D$37="Compromisso")+($D$13:$D$37="Previsto")*$B$8+($D$13:$D$37="Em negociação")*$B$9)*($A$13:$A$37&gt;=BB$4)*($A$13:$A$37&lt;=EOMONTH(BB$4,0))*$C$13:$C$37)</f>
        <v>0</v>
      </c>
      <c r="BC52" s="94" t="n">
        <f aca="false">SUMPRODUCT((($D$13:$D$37="Realizado")+($D$13:$D$37="Compromisso")+($D$13:$D$37="Previsto")*$B$8+($D$13:$D$37="Em negociação")*$B$9)*($A$13:$A$37&gt;=BC$4)*($A$13:$A$37&lt;=EOMONTH(BC$4,0))*$C$13:$C$37)</f>
        <v>0</v>
      </c>
      <c r="BD52" s="94" t="n">
        <f aca="false">SUMPRODUCT((($D$13:$D$37="Realizado")+($D$13:$D$37="Compromisso")+($D$13:$D$37="Previsto")*$B$8+($D$13:$D$37="Em negociação")*$B$9)*($A$13:$A$37&gt;=BD$4)*($A$13:$A$37&lt;=EOMONTH(BD$4,0))*$C$13:$C$37)</f>
        <v>0</v>
      </c>
      <c r="BE52" s="94" t="n">
        <f aca="false">SUMPRODUCT((($D$13:$D$37="Realizado")+($D$13:$D$37="Compromisso")+($D$13:$D$37="Previsto")*$B$8+($D$13:$D$37="Em negociação")*$B$9)*($A$13:$A$37&gt;=BE$4)*($A$13:$A$37&lt;=EOMONTH(BE$4,0))*$C$13:$C$37)</f>
        <v>0</v>
      </c>
      <c r="BF52" s="94" t="n">
        <f aca="false">SUMPRODUCT((($D$13:$D$37="Realizado")+($D$13:$D$37="Compromisso")+($D$13:$D$37="Previsto")*$B$8+($D$13:$D$37="Em negociação")*$B$9)*($A$13:$A$37&gt;=BF$4)*($A$13:$A$37&lt;=EOMONTH(BF$4,0))*$C$13:$C$37)</f>
        <v>0</v>
      </c>
      <c r="BG52" s="94" t="n">
        <f aca="false">SUMPRODUCT((($D$13:$D$37="Realizado")+($D$13:$D$37="Compromisso")+($D$13:$D$37="Previsto")*$B$8+($D$13:$D$37="Em negociação")*$B$9)*($A$13:$A$37&gt;=BG$4)*($A$13:$A$37&lt;=EOMONTH(BG$4,0))*$C$13:$C$37)</f>
        <v>0</v>
      </c>
      <c r="BH52" s="94" t="n">
        <f aca="false">SUMPRODUCT((($D$13:$D$37="Realizado")+($D$13:$D$37="Compromisso")+($D$13:$D$37="Previsto")*$B$8+($D$13:$D$37="Em negociação")*$B$9)*($A$13:$A$37&gt;=BH$4)*($A$13:$A$37&lt;=EOMONTH(BH$4,0))*$C$13:$C$37)</f>
        <v>0</v>
      </c>
      <c r="BI52" s="94" t="n">
        <f aca="false">SUMPRODUCT((($D$13:$D$37="Realizado")+($D$13:$D$37="Compromisso")+($D$13:$D$37="Previsto")*$B$8+($D$13:$D$37="Em negociação")*$B$9)*($A$13:$A$37&gt;=BI$4)*($A$13:$A$37&lt;=EOMONTH(BI$4,0))*$C$13:$C$37)</f>
        <v>0</v>
      </c>
      <c r="BJ52" s="94" t="n">
        <f aca="false">SUMPRODUCT((($D$13:$D$37="Realizado")+($D$13:$D$37="Compromisso")+($D$13:$D$37="Previsto")*$B$8+($D$13:$D$37="Em negociação")*$B$9)*($A$13:$A$37&gt;=BJ$4)*($A$13:$A$37&lt;=EOMONTH(BJ$4,0))*$C$13:$C$37)</f>
        <v>0</v>
      </c>
      <c r="BK52" s="94" t="n">
        <f aca="false">SUMPRODUCT((($D$13:$D$37="Realizado")+($D$13:$D$37="Compromisso")+($D$13:$D$37="Previsto")*$B$8+($D$13:$D$37="Em negociação")*$B$9)*($A$13:$A$37&gt;=BK$4)*($A$13:$A$37&lt;=EOMONTH(BK$4,0))*$C$13:$C$37)</f>
        <v>0</v>
      </c>
      <c r="BL52" s="94" t="n">
        <f aca="false">SUMPRODUCT((($D$13:$D$37="Realizado")+($D$13:$D$37="Compromisso")+($D$13:$D$37="Previsto")*$B$8+($D$13:$D$37="Em negociação")*$B$9)*($A$13:$A$37&gt;=BL$4)*($A$13:$A$37&lt;=EOMONTH(BL$4,0))*$C$13:$C$37)</f>
        <v>0</v>
      </c>
      <c r="BM52" s="82" t="n">
        <f aca="false">SUM(E52:BL52)</f>
        <v>117000</v>
      </c>
    </row>
    <row r="53" customFormat="false" ht="15" hidden="false" customHeight="false" outlineLevel="0" collapsed="false">
      <c r="A53" s="37" t="s">
        <v>362</v>
      </c>
      <c r="E53" s="94" t="n">
        <f aca="false">SUMPRODUCT((($B$42:$B$48="Confirmado")+($B$42:$B$48="Em negociação")*$B$9)*($D$42:$D$48=E$4)*$C$42:$C$48)</f>
        <v>0</v>
      </c>
      <c r="F53" s="94" t="n">
        <f aca="false">SUMPRODUCT((($B$42:$B$48="Confirmado")+($B$42:$B$48="Em negociação")*$B$9)*($D$42:$D$48=F$4)*$C$42:$C$48)</f>
        <v>0</v>
      </c>
      <c r="G53" s="94" t="n">
        <f aca="false">SUMPRODUCT((($B$42:$B$48="Confirmado")+($B$42:$B$48="Em negociação")*$B$9)*($D$42:$D$48=G$4)*$C$42:$C$48)</f>
        <v>0</v>
      </c>
      <c r="H53" s="94" t="n">
        <f aca="false">SUMPRODUCT((($B$42:$B$48="Confirmado")+($B$42:$B$48="Em negociação")*$B$9)*($D$42:$D$48=H$4)*$C$42:$C$48)</f>
        <v>0</v>
      </c>
      <c r="I53" s="94" t="n">
        <f aca="false">SUMPRODUCT((($B$42:$B$48="Confirmado")+($B$42:$B$48="Em negociação")*$B$9)*($D$42:$D$48=I$4)*$C$42:$C$48)</f>
        <v>0</v>
      </c>
      <c r="J53" s="94" t="n">
        <f aca="false">SUMPRODUCT((($B$42:$B$48="Confirmado")+($B$42:$B$48="Em negociação")*$B$9)*($D$42:$D$48=J$4)*$C$42:$C$48)</f>
        <v>0</v>
      </c>
      <c r="K53" s="94" t="n">
        <f aca="false">SUMPRODUCT((($B$42:$B$48="Confirmado")+($B$42:$B$48="Em negociação")*$B$9)*($D$42:$D$48=K$4)*$C$42:$C$48)</f>
        <v>0</v>
      </c>
      <c r="L53" s="94" t="n">
        <f aca="false">SUMPRODUCT((($B$42:$B$48="Confirmado")+($B$42:$B$48="Em negociação")*$B$9)*($D$42:$D$48=L$4)*$C$42:$C$48)</f>
        <v>0</v>
      </c>
      <c r="M53" s="94" t="n">
        <f aca="false">SUMPRODUCT((($B$42:$B$48="Confirmado")+($B$42:$B$48="Em negociação")*$B$9)*($D$42:$D$48=M$4)*$C$42:$C$48)</f>
        <v>0</v>
      </c>
      <c r="N53" s="94" t="n">
        <f aca="false">SUMPRODUCT((($B$42:$B$48="Confirmado")+($B$42:$B$48="Em negociação")*$B$9)*($D$42:$D$48=N$4)*$C$42:$C$48)</f>
        <v>0</v>
      </c>
      <c r="O53" s="94" t="n">
        <f aca="false">SUMPRODUCT((($B$42:$B$48="Confirmado")+($B$42:$B$48="Em negociação")*$B$9)*($D$42:$D$48=O$4)*$C$42:$C$48)</f>
        <v>0</v>
      </c>
      <c r="P53" s="94" t="n">
        <f aca="false">SUMPRODUCT((($B$42:$B$48="Confirmado")+($B$42:$B$48="Em negociação")*$B$9)*($D$42:$D$48=P$4)*$C$42:$C$48)</f>
        <v>0</v>
      </c>
      <c r="Q53" s="94" t="n">
        <f aca="false">SUMPRODUCT((($B$42:$B$48="Confirmado")+($B$42:$B$48="Em negociação")*$B$9)*($D$42:$D$48=Q$4)*$C$42:$C$48)</f>
        <v>0</v>
      </c>
      <c r="R53" s="94" t="n">
        <f aca="false">SUMPRODUCT((($B$42:$B$48="Confirmado")+($B$42:$B$48="Em negociação")*$B$9)*($D$42:$D$48=R$4)*$C$42:$C$48)</f>
        <v>200000</v>
      </c>
      <c r="S53" s="94" t="n">
        <f aca="false">SUMPRODUCT((($B$42:$B$48="Confirmado")+($B$42:$B$48="Em negociação")*$B$9)*($D$42:$D$48=S$4)*$C$42:$C$48)</f>
        <v>0</v>
      </c>
      <c r="T53" s="94" t="n">
        <f aca="false">SUMPRODUCT((($B$42:$B$48="Confirmado")+($B$42:$B$48="Em negociação")*$B$9)*($D$42:$D$48=T$4)*$C$42:$C$48)</f>
        <v>0</v>
      </c>
      <c r="U53" s="94" t="n">
        <f aca="false">SUMPRODUCT((($B$42:$B$48="Confirmado")+($B$42:$B$48="Em negociação")*$B$9)*($D$42:$D$48=U$4)*$C$42:$C$48)</f>
        <v>0</v>
      </c>
      <c r="V53" s="94" t="n">
        <f aca="false">SUMPRODUCT((($B$42:$B$48="Confirmado")+($B$42:$B$48="Em negociação")*$B$9)*($D$42:$D$48=V$4)*$C$42:$C$48)</f>
        <v>0</v>
      </c>
      <c r="W53" s="94" t="n">
        <f aca="false">SUMPRODUCT((($B$42:$B$48="Confirmado")+($B$42:$B$48="Em negociação")*$B$9)*($D$42:$D$48=W$4)*$C$42:$C$48)</f>
        <v>0</v>
      </c>
      <c r="X53" s="94" t="n">
        <f aca="false">SUMPRODUCT((($B$42:$B$48="Confirmado")+($B$42:$B$48="Em negociação")*$B$9)*($D$42:$D$48=X$4)*$C$42:$C$48)</f>
        <v>0</v>
      </c>
      <c r="Y53" s="94" t="n">
        <f aca="false">SUMPRODUCT((($B$42:$B$48="Confirmado")+($B$42:$B$48="Em negociação")*$B$9)*($D$42:$D$48=Y$4)*$C$42:$C$48)</f>
        <v>0</v>
      </c>
      <c r="Z53" s="94" t="n">
        <f aca="false">SUMPRODUCT((($B$42:$B$48="Confirmado")+($B$42:$B$48="Em negociação")*$B$9)*($D$42:$D$48=Z$4)*$C$42:$C$48)</f>
        <v>0</v>
      </c>
      <c r="AA53" s="94" t="n">
        <f aca="false">SUMPRODUCT((($B$42:$B$48="Confirmado")+($B$42:$B$48="Em negociação")*$B$9)*($D$42:$D$48=AA$4)*$C$42:$C$48)</f>
        <v>0</v>
      </c>
      <c r="AB53" s="94" t="n">
        <f aca="false">SUMPRODUCT((($B$42:$B$48="Confirmado")+($B$42:$B$48="Em negociação")*$B$9)*($D$42:$D$48=AB$4)*$C$42:$C$48)</f>
        <v>0</v>
      </c>
      <c r="AC53" s="94" t="n">
        <f aca="false">SUMPRODUCT((($B$42:$B$48="Confirmado")+($B$42:$B$48="Em negociação")*$B$9)*($D$42:$D$48=AC$4)*$C$42:$C$48)</f>
        <v>0</v>
      </c>
      <c r="AD53" s="94" t="n">
        <f aca="false">SUMPRODUCT((($B$42:$B$48="Confirmado")+($B$42:$B$48="Em negociação")*$B$9)*($D$42:$D$48=AD$4)*$C$42:$C$48)</f>
        <v>0</v>
      </c>
      <c r="AE53" s="94" t="n">
        <f aca="false">SUMPRODUCT((($B$42:$B$48="Confirmado")+($B$42:$B$48="Em negociação")*$B$9)*($D$42:$D$48=AE$4)*$C$42:$C$48)</f>
        <v>0</v>
      </c>
      <c r="AF53" s="94" t="n">
        <f aca="false">SUMPRODUCT((($B$42:$B$48="Confirmado")+($B$42:$B$48="Em negociação")*$B$9)*($D$42:$D$48=AF$4)*$C$42:$C$48)</f>
        <v>0</v>
      </c>
      <c r="AG53" s="94" t="n">
        <f aca="false">SUMPRODUCT((($B$42:$B$48="Confirmado")+($B$42:$B$48="Em negociação")*$B$9)*($D$42:$D$48=AG$4)*$C$42:$C$48)</f>
        <v>0</v>
      </c>
      <c r="AH53" s="94" t="n">
        <f aca="false">SUMPRODUCT((($B$42:$B$48="Confirmado")+($B$42:$B$48="Em negociação")*$B$9)*($D$42:$D$48=AH$4)*$C$42:$C$48)</f>
        <v>0</v>
      </c>
      <c r="AI53" s="94" t="n">
        <f aca="false">SUMPRODUCT((($B$42:$B$48="Confirmado")+($B$42:$B$48="Em negociação")*$B$9)*($D$42:$D$48=AI$4)*$C$42:$C$48)</f>
        <v>0</v>
      </c>
      <c r="AJ53" s="94" t="n">
        <f aca="false">SUMPRODUCT((($B$42:$B$48="Confirmado")+($B$42:$B$48="Em negociação")*$B$9)*($D$42:$D$48=AJ$4)*$C$42:$C$48)</f>
        <v>0</v>
      </c>
      <c r="AK53" s="94" t="n">
        <f aca="false">SUMPRODUCT((($B$42:$B$48="Confirmado")+($B$42:$B$48="Em negociação")*$B$9)*($D$42:$D$48=AK$4)*$C$42:$C$48)</f>
        <v>0</v>
      </c>
      <c r="AL53" s="94" t="n">
        <f aca="false">SUMPRODUCT((($B$42:$B$48="Confirmado")+($B$42:$B$48="Em negociação")*$B$9)*($D$42:$D$48=AL$4)*$C$42:$C$48)</f>
        <v>0</v>
      </c>
      <c r="AM53" s="94" t="n">
        <f aca="false">SUMPRODUCT((($B$42:$B$48="Confirmado")+($B$42:$B$48="Em negociação")*$B$9)*($D$42:$D$48=AM$4)*$C$42:$C$48)</f>
        <v>0</v>
      </c>
      <c r="AN53" s="94" t="n">
        <f aca="false">SUMPRODUCT((($B$42:$B$48="Confirmado")+($B$42:$B$48="Em negociação")*$B$9)*($D$42:$D$48=AN$4)*$C$42:$C$48)</f>
        <v>0</v>
      </c>
      <c r="AO53" s="94" t="n">
        <f aca="false">SUMPRODUCT((($B$42:$B$48="Confirmado")+($B$42:$B$48="Em negociação")*$B$9)*($D$42:$D$48=AO$4)*$C$42:$C$48)</f>
        <v>0</v>
      </c>
      <c r="AP53" s="94" t="n">
        <f aca="false">SUMPRODUCT((($B$42:$B$48="Confirmado")+($B$42:$B$48="Em negociação")*$B$9)*($D$42:$D$48=AP$4)*$C$42:$C$48)</f>
        <v>0</v>
      </c>
      <c r="AQ53" s="94" t="n">
        <f aca="false">SUMPRODUCT((($B$42:$B$48="Confirmado")+($B$42:$B$48="Em negociação")*$B$9)*($D$42:$D$48=AQ$4)*$C$42:$C$48)</f>
        <v>0</v>
      </c>
      <c r="AR53" s="94" t="n">
        <f aca="false">SUMPRODUCT((($B$42:$B$48="Confirmado")+($B$42:$B$48="Em negociação")*$B$9)*($D$42:$D$48=AR$4)*$C$42:$C$48)</f>
        <v>0</v>
      </c>
      <c r="AS53" s="94" t="n">
        <f aca="false">SUMPRODUCT((($B$42:$B$48="Confirmado")+($B$42:$B$48="Em negociação")*$B$9)*($D$42:$D$48=AS$4)*$C$42:$C$48)</f>
        <v>0</v>
      </c>
      <c r="AT53" s="94" t="n">
        <f aca="false">SUMPRODUCT((($B$42:$B$48="Confirmado")+($B$42:$B$48="Em negociação")*$B$9)*($D$42:$D$48=AT$4)*$C$42:$C$48)</f>
        <v>0</v>
      </c>
      <c r="AU53" s="94" t="n">
        <f aca="false">SUMPRODUCT((($B$42:$B$48="Confirmado")+($B$42:$B$48="Em negociação")*$B$9)*($D$42:$D$48=AU$4)*$C$42:$C$48)</f>
        <v>0</v>
      </c>
      <c r="AV53" s="94" t="n">
        <f aca="false">SUMPRODUCT((($B$42:$B$48="Confirmado")+($B$42:$B$48="Em negociação")*$B$9)*($D$42:$D$48=AV$4)*$C$42:$C$48)</f>
        <v>0</v>
      </c>
      <c r="AW53" s="94" t="n">
        <f aca="false">SUMPRODUCT((($B$42:$B$48="Confirmado")+($B$42:$B$48="Em negociação")*$B$9)*($D$42:$D$48=AW$4)*$C$42:$C$48)</f>
        <v>0</v>
      </c>
      <c r="AX53" s="94" t="n">
        <f aca="false">SUMPRODUCT((($B$42:$B$48="Confirmado")+($B$42:$B$48="Em negociação")*$B$9)*($D$42:$D$48=AX$4)*$C$42:$C$48)</f>
        <v>0</v>
      </c>
      <c r="AY53" s="94" t="n">
        <f aca="false">SUMPRODUCT((($B$42:$B$48="Confirmado")+($B$42:$B$48="Em negociação")*$B$9)*($D$42:$D$48=AY$4)*$C$42:$C$48)</f>
        <v>0</v>
      </c>
      <c r="AZ53" s="94" t="n">
        <f aca="false">SUMPRODUCT((($B$42:$B$48="Confirmado")+($B$42:$B$48="Em negociação")*$B$9)*($D$42:$D$48=AZ$4)*$C$42:$C$48)</f>
        <v>0</v>
      </c>
      <c r="BA53" s="94" t="n">
        <f aca="false">SUMPRODUCT((($B$42:$B$48="Confirmado")+($B$42:$B$48="Em negociação")*$B$9)*($D$42:$D$48=BA$4)*$C$42:$C$48)</f>
        <v>0</v>
      </c>
      <c r="BB53" s="94" t="n">
        <f aca="false">SUMPRODUCT((($B$42:$B$48="Confirmado")+($B$42:$B$48="Em negociação")*$B$9)*($D$42:$D$48=BB$4)*$C$42:$C$48)</f>
        <v>0</v>
      </c>
      <c r="BC53" s="94" t="n">
        <f aca="false">SUMPRODUCT((($B$42:$B$48="Confirmado")+($B$42:$B$48="Em negociação")*$B$9)*($D$42:$D$48=BC$4)*$C$42:$C$48)</f>
        <v>0</v>
      </c>
      <c r="BD53" s="94" t="n">
        <f aca="false">SUMPRODUCT((($B$42:$B$48="Confirmado")+($B$42:$B$48="Em negociação")*$B$9)*($D$42:$D$48=BD$4)*$C$42:$C$48)</f>
        <v>0</v>
      </c>
      <c r="BE53" s="94" t="n">
        <f aca="false">SUMPRODUCT((($B$42:$B$48="Confirmado")+($B$42:$B$48="Em negociação")*$B$9)*($D$42:$D$48=BE$4)*$C$42:$C$48)</f>
        <v>0</v>
      </c>
      <c r="BF53" s="94" t="n">
        <f aca="false">SUMPRODUCT((($B$42:$B$48="Confirmado")+($B$42:$B$48="Em negociação")*$B$9)*($D$42:$D$48=BF$4)*$C$42:$C$48)</f>
        <v>0</v>
      </c>
      <c r="BG53" s="94" t="n">
        <f aca="false">SUMPRODUCT((($B$42:$B$48="Confirmado")+($B$42:$B$48="Em negociação")*$B$9)*($D$42:$D$48=BG$4)*$C$42:$C$48)</f>
        <v>0</v>
      </c>
      <c r="BH53" s="94" t="n">
        <f aca="false">SUMPRODUCT((($B$42:$B$48="Confirmado")+($B$42:$B$48="Em negociação")*$B$9)*($D$42:$D$48=BH$4)*$C$42:$C$48)</f>
        <v>0</v>
      </c>
      <c r="BI53" s="94" t="n">
        <f aca="false">SUMPRODUCT((($B$42:$B$48="Confirmado")+($B$42:$B$48="Em negociação")*$B$9)*($D$42:$D$48=BI$4)*$C$42:$C$48)</f>
        <v>0</v>
      </c>
      <c r="BJ53" s="94" t="n">
        <f aca="false">SUMPRODUCT((($B$42:$B$48="Confirmado")+($B$42:$B$48="Em negociação")*$B$9)*($D$42:$D$48=BJ$4)*$C$42:$C$48)</f>
        <v>0</v>
      </c>
      <c r="BK53" s="94" t="n">
        <f aca="false">SUMPRODUCT((($B$42:$B$48="Confirmado")+($B$42:$B$48="Em negociação")*$B$9)*($D$42:$D$48=BK$4)*$C$42:$C$48)</f>
        <v>0</v>
      </c>
      <c r="BL53" s="94" t="n">
        <f aca="false">SUMPRODUCT((($B$42:$B$48="Confirmado")+($B$42:$B$48="Em negociação")*$B$9)*($D$42:$D$48=BL$4)*$C$42:$C$48)</f>
        <v>0</v>
      </c>
      <c r="BM53" s="82" t="n">
        <f aca="false">SUM(E53:BL53)</f>
        <v>200000</v>
      </c>
    </row>
    <row r="54" customFormat="false" ht="15" hidden="false" customHeight="false" outlineLevel="0" collapsed="false">
      <c r="A54" s="63" t="s">
        <v>363</v>
      </c>
      <c r="E54" s="81" t="n">
        <f aca="false">SUM(E52:E53)</f>
        <v>0</v>
      </c>
      <c r="F54" s="81" t="n">
        <f aca="false">SUM(F52:F53)</f>
        <v>0</v>
      </c>
      <c r="G54" s="81" t="n">
        <f aca="false">SUM(G52:G53)</f>
        <v>0</v>
      </c>
      <c r="H54" s="81" t="n">
        <f aca="false">SUM(H52:H53)</f>
        <v>10000</v>
      </c>
      <c r="I54" s="81" t="n">
        <f aca="false">SUM(I52:I53)</f>
        <v>0</v>
      </c>
      <c r="J54" s="81" t="n">
        <f aca="false">SUM(J52:J53)</f>
        <v>0</v>
      </c>
      <c r="K54" s="81" t="n">
        <f aca="false">SUM(K52:K53)</f>
        <v>5000</v>
      </c>
      <c r="L54" s="81" t="n">
        <f aca="false">SUM(L52:L53)</f>
        <v>18000</v>
      </c>
      <c r="M54" s="81" t="n">
        <f aca="false">SUM(M52:M53)</f>
        <v>4000</v>
      </c>
      <c r="N54" s="81" t="n">
        <f aca="false">SUM(N52:N53)</f>
        <v>80000</v>
      </c>
      <c r="O54" s="81" t="n">
        <f aca="false">SUM(O52:O53)</f>
        <v>0</v>
      </c>
      <c r="P54" s="81" t="n">
        <f aca="false">SUM(P52:P53)</f>
        <v>0</v>
      </c>
      <c r="Q54" s="81" t="n">
        <f aca="false">SUM(Q52:Q53)</f>
        <v>0</v>
      </c>
      <c r="R54" s="81" t="n">
        <f aca="false">SUM(R52:R53)</f>
        <v>200000</v>
      </c>
      <c r="S54" s="81" t="n">
        <f aca="false">SUM(S52:S53)</f>
        <v>0</v>
      </c>
      <c r="T54" s="81" t="n">
        <f aca="false">SUM(T52:T53)</f>
        <v>0</v>
      </c>
      <c r="U54" s="81" t="n">
        <f aca="false">SUM(U52:U53)</f>
        <v>0</v>
      </c>
      <c r="V54" s="81" t="n">
        <f aca="false">SUM(V52:V53)</f>
        <v>0</v>
      </c>
      <c r="W54" s="81" t="n">
        <f aca="false">SUM(W52:W53)</f>
        <v>0</v>
      </c>
      <c r="X54" s="81" t="n">
        <f aca="false">SUM(X52:X53)</f>
        <v>0</v>
      </c>
      <c r="Y54" s="81" t="n">
        <f aca="false">SUM(Y52:Y53)</f>
        <v>0</v>
      </c>
      <c r="Z54" s="81" t="n">
        <f aca="false">SUM(Z52:Z53)</f>
        <v>0</v>
      </c>
      <c r="AA54" s="81" t="n">
        <f aca="false">SUM(AA52:AA53)</f>
        <v>0</v>
      </c>
      <c r="AB54" s="81" t="n">
        <f aca="false">SUM(AB52:AB53)</f>
        <v>0</v>
      </c>
      <c r="AC54" s="81" t="n">
        <f aca="false">SUM(AC52:AC53)</f>
        <v>0</v>
      </c>
      <c r="AD54" s="81" t="n">
        <f aca="false">SUM(AD52:AD53)</f>
        <v>0</v>
      </c>
      <c r="AE54" s="81" t="n">
        <f aca="false">SUM(AE52:AE53)</f>
        <v>0</v>
      </c>
      <c r="AF54" s="81" t="n">
        <f aca="false">SUM(AF52:AF53)</f>
        <v>0</v>
      </c>
      <c r="AG54" s="81" t="n">
        <f aca="false">SUM(AG52:AG53)</f>
        <v>0</v>
      </c>
      <c r="AH54" s="81" t="n">
        <f aca="false">SUM(AH52:AH53)</f>
        <v>0</v>
      </c>
      <c r="AI54" s="81" t="n">
        <f aca="false">SUM(AI52:AI53)</f>
        <v>0</v>
      </c>
      <c r="AJ54" s="81" t="n">
        <f aca="false">SUM(AJ52:AJ53)</f>
        <v>0</v>
      </c>
      <c r="AK54" s="81" t="n">
        <f aca="false">SUM(AK52:AK53)</f>
        <v>0</v>
      </c>
      <c r="AL54" s="81" t="n">
        <f aca="false">SUM(AL52:AL53)</f>
        <v>0</v>
      </c>
      <c r="AM54" s="81" t="n">
        <f aca="false">SUM(AM52:AM53)</f>
        <v>0</v>
      </c>
      <c r="AN54" s="81" t="n">
        <f aca="false">SUM(AN52:AN53)</f>
        <v>0</v>
      </c>
      <c r="AO54" s="81" t="n">
        <f aca="false">SUM(AO52:AO53)</f>
        <v>0</v>
      </c>
      <c r="AP54" s="81" t="n">
        <f aca="false">SUM(AP52:AP53)</f>
        <v>0</v>
      </c>
      <c r="AQ54" s="81" t="n">
        <f aca="false">SUM(AQ52:AQ53)</f>
        <v>0</v>
      </c>
      <c r="AR54" s="81" t="n">
        <f aca="false">SUM(AR52:AR53)</f>
        <v>0</v>
      </c>
      <c r="AS54" s="81" t="n">
        <f aca="false">SUM(AS52:AS53)</f>
        <v>0</v>
      </c>
      <c r="AT54" s="81" t="n">
        <f aca="false">SUM(AT52:AT53)</f>
        <v>0</v>
      </c>
      <c r="AU54" s="81" t="n">
        <f aca="false">SUM(AU52:AU53)</f>
        <v>0</v>
      </c>
      <c r="AV54" s="81" t="n">
        <f aca="false">SUM(AV52:AV53)</f>
        <v>0</v>
      </c>
      <c r="AW54" s="81" t="n">
        <f aca="false">SUM(AW52:AW53)</f>
        <v>0</v>
      </c>
      <c r="AX54" s="81" t="n">
        <f aca="false">SUM(AX52:AX53)</f>
        <v>0</v>
      </c>
      <c r="AY54" s="81" t="n">
        <f aca="false">SUM(AY52:AY53)</f>
        <v>0</v>
      </c>
      <c r="AZ54" s="81" t="n">
        <f aca="false">SUM(AZ52:AZ53)</f>
        <v>0</v>
      </c>
      <c r="BA54" s="81" t="n">
        <f aca="false">SUM(BA52:BA53)</f>
        <v>0</v>
      </c>
      <c r="BB54" s="81" t="n">
        <f aca="false">SUM(BB52:BB53)</f>
        <v>0</v>
      </c>
      <c r="BC54" s="81" t="n">
        <f aca="false">SUM(BC52:BC53)</f>
        <v>0</v>
      </c>
      <c r="BD54" s="81" t="n">
        <f aca="false">SUM(BD52:BD53)</f>
        <v>0</v>
      </c>
      <c r="BE54" s="81" t="n">
        <f aca="false">SUM(BE52:BE53)</f>
        <v>0</v>
      </c>
      <c r="BF54" s="81" t="n">
        <f aca="false">SUM(BF52:BF53)</f>
        <v>0</v>
      </c>
      <c r="BG54" s="81" t="n">
        <f aca="false">SUM(BG52:BG53)</f>
        <v>0</v>
      </c>
      <c r="BH54" s="81" t="n">
        <f aca="false">SUM(BH52:BH53)</f>
        <v>0</v>
      </c>
      <c r="BI54" s="81" t="n">
        <f aca="false">SUM(BI52:BI53)</f>
        <v>0</v>
      </c>
      <c r="BJ54" s="81" t="n">
        <f aca="false">SUM(BJ52:BJ53)</f>
        <v>0</v>
      </c>
      <c r="BK54" s="81" t="n">
        <f aca="false">SUM(BK52:BK53)</f>
        <v>0</v>
      </c>
      <c r="BL54" s="81" t="n">
        <f aca="false">SUM(BL52:BL53)</f>
        <v>0</v>
      </c>
      <c r="BM54" s="82" t="n">
        <f aca="false">SUM(E54:BL54)</f>
        <v>317000</v>
      </c>
    </row>
    <row r="55" customFormat="false" ht="15" hidden="false" customHeight="false" outlineLevel="0" collapsed="false">
      <c r="A55" s="83" t="s">
        <v>152</v>
      </c>
      <c r="E55" s="84" t="n">
        <f aca="false">SUMPRODUCT((($B$42:$B$48="Confirmado")+($B$42:$B$48="Em negociação")*$B$9)*($F$42:$F$48&lt;=E$4)*($G$42:$G$48&gt;=E$4)*$E$42:$E$48)</f>
        <v>0</v>
      </c>
      <c r="F55" s="84" t="n">
        <f aca="false">SUMPRODUCT((($B$42:$B$48="Confirmado")+($B$42:$B$48="Em negociação")*$B$9)*($F$42:$F$48&lt;=F$4)*($G$42:$G$48&gt;=F$4)*$E$42:$E$48)</f>
        <v>0</v>
      </c>
      <c r="G55" s="84" t="n">
        <f aca="false">SUMPRODUCT((($B$42:$B$48="Confirmado")+($B$42:$B$48="Em negociação")*$B$9)*($F$42:$F$48&lt;=G$4)*($G$42:$G$48&gt;=G$4)*$E$42:$E$48)</f>
        <v>0</v>
      </c>
      <c r="H55" s="84" t="n">
        <f aca="false">SUMPRODUCT((($B$42:$B$48="Confirmado")+($B$42:$B$48="Em negociação")*$B$9)*($F$42:$F$48&lt;=H$4)*($G$42:$G$48&gt;=H$4)*$E$42:$E$48)</f>
        <v>0</v>
      </c>
      <c r="I55" s="84" t="n">
        <f aca="false">SUMPRODUCT((($B$42:$B$48="Confirmado")+($B$42:$B$48="Em negociação")*$B$9)*($F$42:$F$48&lt;=I$4)*($G$42:$G$48&gt;=I$4)*$E$42:$E$48)</f>
        <v>0</v>
      </c>
      <c r="J55" s="84" t="n">
        <f aca="false">SUMPRODUCT((($B$42:$B$48="Confirmado")+($B$42:$B$48="Em negociação")*$B$9)*($F$42:$F$48&lt;=J$4)*($G$42:$G$48&gt;=J$4)*$E$42:$E$48)</f>
        <v>0</v>
      </c>
      <c r="K55" s="84" t="n">
        <f aca="false">SUMPRODUCT((($B$42:$B$48="Confirmado")+($B$42:$B$48="Em negociação")*$B$9)*($F$42:$F$48&lt;=K$4)*($G$42:$G$48&gt;=K$4)*$E$42:$E$48)</f>
        <v>0</v>
      </c>
      <c r="L55" s="84" t="n">
        <f aca="false">SUMPRODUCT((($B$42:$B$48="Confirmado")+($B$42:$B$48="Em negociação")*$B$9)*($F$42:$F$48&lt;=L$4)*($G$42:$G$48&gt;=L$4)*$E$42:$E$48)</f>
        <v>0</v>
      </c>
      <c r="M55" s="84" t="n">
        <f aca="false">SUMPRODUCT((($B$42:$B$48="Confirmado")+($B$42:$B$48="Em negociação")*$B$9)*($F$42:$F$48&lt;=M$4)*($G$42:$G$48&gt;=M$4)*$E$42:$E$48)</f>
        <v>0</v>
      </c>
      <c r="N55" s="84" t="n">
        <f aca="false">SUMPRODUCT((($B$42:$B$48="Confirmado")+($B$42:$B$48="Em negociação")*$B$9)*($F$42:$F$48&lt;=N$4)*($G$42:$G$48&gt;=N$4)*$E$42:$E$48)</f>
        <v>0</v>
      </c>
      <c r="O55" s="84" t="n">
        <f aca="false">SUMPRODUCT((($B$42:$B$48="Confirmado")+($B$42:$B$48="Em negociação")*$B$9)*($F$42:$F$48&lt;=O$4)*($G$42:$G$48&gt;=O$4)*$E$42:$E$48)</f>
        <v>0</v>
      </c>
      <c r="P55" s="84" t="n">
        <f aca="false">SUMPRODUCT((($B$42:$B$48="Confirmado")+($B$42:$B$48="Em negociação")*$B$9)*($F$42:$F$48&lt;=P$4)*($G$42:$G$48&gt;=P$4)*$E$42:$E$48)</f>
        <v>0</v>
      </c>
      <c r="Q55" s="84" t="n">
        <f aca="false">SUMPRODUCT((($B$42:$B$48="Confirmado")+($B$42:$B$48="Em negociação")*$B$9)*($F$42:$F$48&lt;=Q$4)*($G$42:$G$48&gt;=Q$4)*$E$42:$E$48)</f>
        <v>0</v>
      </c>
      <c r="R55" s="84" t="n">
        <f aca="false">SUMPRODUCT((($B$42:$B$48="Confirmado")+($B$42:$B$48="Em negociação")*$B$9)*($F$42:$F$48&lt;=R$4)*($G$42:$G$48&gt;=R$4)*$E$42:$E$48)</f>
        <v>0</v>
      </c>
      <c r="S55" s="84" t="n">
        <f aca="false">SUMPRODUCT((($B$42:$B$48="Confirmado")+($B$42:$B$48="Em negociação")*$B$9)*($F$42:$F$48&lt;=S$4)*($G$42:$G$48&gt;=S$4)*$E$42:$E$48)</f>
        <v>5000</v>
      </c>
      <c r="T55" s="84" t="n">
        <f aca="false">SUMPRODUCT((($B$42:$B$48="Confirmado")+($B$42:$B$48="Em negociação")*$B$9)*($F$42:$F$48&lt;=T$4)*($G$42:$G$48&gt;=T$4)*$E$42:$E$48)</f>
        <v>5000</v>
      </c>
      <c r="U55" s="84" t="n">
        <f aca="false">SUMPRODUCT((($B$42:$B$48="Confirmado")+($B$42:$B$48="Em negociação")*$B$9)*($F$42:$F$48&lt;=U$4)*($G$42:$G$48&gt;=U$4)*$E$42:$E$48)</f>
        <v>5000</v>
      </c>
      <c r="V55" s="84" t="n">
        <f aca="false">SUMPRODUCT((($B$42:$B$48="Confirmado")+($B$42:$B$48="Em negociação")*$B$9)*($F$42:$F$48&lt;=V$4)*($G$42:$G$48&gt;=V$4)*$E$42:$E$48)</f>
        <v>5000</v>
      </c>
      <c r="W55" s="84" t="n">
        <f aca="false">SUMPRODUCT((($B$42:$B$48="Confirmado")+($B$42:$B$48="Em negociação")*$B$9)*($F$42:$F$48&lt;=W$4)*($G$42:$G$48&gt;=W$4)*$E$42:$E$48)</f>
        <v>5000</v>
      </c>
      <c r="X55" s="84" t="n">
        <f aca="false">SUMPRODUCT((($B$42:$B$48="Confirmado")+($B$42:$B$48="Em negociação")*$B$9)*($F$42:$F$48&lt;=X$4)*($G$42:$G$48&gt;=X$4)*$E$42:$E$48)</f>
        <v>5000</v>
      </c>
      <c r="Y55" s="84" t="n">
        <f aca="false">SUMPRODUCT((($B$42:$B$48="Confirmado")+($B$42:$B$48="Em negociação")*$B$9)*($F$42:$F$48&lt;=Y$4)*($G$42:$G$48&gt;=Y$4)*$E$42:$E$48)</f>
        <v>5000</v>
      </c>
      <c r="Z55" s="84" t="n">
        <f aca="false">SUMPRODUCT((($B$42:$B$48="Confirmado")+($B$42:$B$48="Em negociação")*$B$9)*($F$42:$F$48&lt;=Z$4)*($G$42:$G$48&gt;=Z$4)*$E$42:$E$48)</f>
        <v>5000</v>
      </c>
      <c r="AA55" s="84" t="n">
        <f aca="false">SUMPRODUCT((($B$42:$B$48="Confirmado")+($B$42:$B$48="Em negociação")*$B$9)*($F$42:$F$48&lt;=AA$4)*($G$42:$G$48&gt;=AA$4)*$E$42:$E$48)</f>
        <v>5000</v>
      </c>
      <c r="AB55" s="84" t="n">
        <f aca="false">SUMPRODUCT((($B$42:$B$48="Confirmado")+($B$42:$B$48="Em negociação")*$B$9)*($F$42:$F$48&lt;=AB$4)*($G$42:$G$48&gt;=AB$4)*$E$42:$E$48)</f>
        <v>5000</v>
      </c>
      <c r="AC55" s="84" t="n">
        <f aca="false">SUMPRODUCT((($B$42:$B$48="Confirmado")+($B$42:$B$48="Em negociação")*$B$9)*($F$42:$F$48&lt;=AC$4)*($G$42:$G$48&gt;=AC$4)*$E$42:$E$48)</f>
        <v>5000</v>
      </c>
      <c r="AD55" s="84" t="n">
        <f aca="false">SUMPRODUCT((($B$42:$B$48="Confirmado")+($B$42:$B$48="Em negociação")*$B$9)*($F$42:$F$48&lt;=AD$4)*($G$42:$G$48&gt;=AD$4)*$E$42:$E$48)</f>
        <v>5000</v>
      </c>
      <c r="AE55" s="84" t="n">
        <f aca="false">SUMPRODUCT((($B$42:$B$48="Confirmado")+($B$42:$B$48="Em negociação")*$B$9)*($F$42:$F$48&lt;=AE$4)*($G$42:$G$48&gt;=AE$4)*$E$42:$E$48)</f>
        <v>5000</v>
      </c>
      <c r="AF55" s="84" t="n">
        <f aca="false">SUMPRODUCT((($B$42:$B$48="Confirmado")+($B$42:$B$48="Em negociação")*$B$9)*($F$42:$F$48&lt;=AF$4)*($G$42:$G$48&gt;=AF$4)*$E$42:$E$48)</f>
        <v>5000</v>
      </c>
      <c r="AG55" s="84" t="n">
        <f aca="false">SUMPRODUCT((($B$42:$B$48="Confirmado")+($B$42:$B$48="Em negociação")*$B$9)*($F$42:$F$48&lt;=AG$4)*($G$42:$G$48&gt;=AG$4)*$E$42:$E$48)</f>
        <v>5000</v>
      </c>
      <c r="AH55" s="84" t="n">
        <f aca="false">SUMPRODUCT((($B$42:$B$48="Confirmado")+($B$42:$B$48="Em negociação")*$B$9)*($F$42:$F$48&lt;=AH$4)*($G$42:$G$48&gt;=AH$4)*$E$42:$E$48)</f>
        <v>5000</v>
      </c>
      <c r="AI55" s="84" t="n">
        <f aca="false">SUMPRODUCT((($B$42:$B$48="Confirmado")+($B$42:$B$48="Em negociação")*$B$9)*($F$42:$F$48&lt;=AI$4)*($G$42:$G$48&gt;=AI$4)*$E$42:$E$48)</f>
        <v>5000</v>
      </c>
      <c r="AJ55" s="84" t="n">
        <f aca="false">SUMPRODUCT((($B$42:$B$48="Confirmado")+($B$42:$B$48="Em negociação")*$B$9)*($F$42:$F$48&lt;=AJ$4)*($G$42:$G$48&gt;=AJ$4)*$E$42:$E$48)</f>
        <v>5000</v>
      </c>
      <c r="AK55" s="84" t="n">
        <f aca="false">SUMPRODUCT((($B$42:$B$48="Confirmado")+($B$42:$B$48="Em negociação")*$B$9)*($F$42:$F$48&lt;=AK$4)*($G$42:$G$48&gt;=AK$4)*$E$42:$E$48)</f>
        <v>5000</v>
      </c>
      <c r="AL55" s="84" t="n">
        <f aca="false">SUMPRODUCT((($B$42:$B$48="Confirmado")+($B$42:$B$48="Em negociação")*$B$9)*($F$42:$F$48&lt;=AL$4)*($G$42:$G$48&gt;=AL$4)*$E$42:$E$48)</f>
        <v>5000</v>
      </c>
      <c r="AM55" s="84" t="n">
        <f aca="false">SUMPRODUCT((($B$42:$B$48="Confirmado")+($B$42:$B$48="Em negociação")*$B$9)*($F$42:$F$48&lt;=AM$4)*($G$42:$G$48&gt;=AM$4)*$E$42:$E$48)</f>
        <v>5000</v>
      </c>
      <c r="AN55" s="84" t="n">
        <f aca="false">SUMPRODUCT((($B$42:$B$48="Confirmado")+($B$42:$B$48="Em negociação")*$B$9)*($F$42:$F$48&lt;=AN$4)*($G$42:$G$48&gt;=AN$4)*$E$42:$E$48)</f>
        <v>5000</v>
      </c>
      <c r="AO55" s="84" t="n">
        <f aca="false">SUMPRODUCT((($B$42:$B$48="Confirmado")+($B$42:$B$48="Em negociação")*$B$9)*($F$42:$F$48&lt;=AO$4)*($G$42:$G$48&gt;=AO$4)*$E$42:$E$48)</f>
        <v>5000</v>
      </c>
      <c r="AP55" s="84" t="n">
        <f aca="false">SUMPRODUCT((($B$42:$B$48="Confirmado")+($B$42:$B$48="Em negociação")*$B$9)*($F$42:$F$48&lt;=AP$4)*($G$42:$G$48&gt;=AP$4)*$E$42:$E$48)</f>
        <v>5000</v>
      </c>
      <c r="AQ55" s="84" t="n">
        <f aca="false">SUMPRODUCT((($B$42:$B$48="Confirmado")+($B$42:$B$48="Em negociação")*$B$9)*($F$42:$F$48&lt;=AQ$4)*($G$42:$G$48&gt;=AQ$4)*$E$42:$E$48)</f>
        <v>5000</v>
      </c>
      <c r="AR55" s="84" t="n">
        <f aca="false">SUMPRODUCT((($B$42:$B$48="Confirmado")+($B$42:$B$48="Em negociação")*$B$9)*($F$42:$F$48&lt;=AR$4)*($G$42:$G$48&gt;=AR$4)*$E$42:$E$48)</f>
        <v>5000</v>
      </c>
      <c r="AS55" s="84" t="n">
        <f aca="false">SUMPRODUCT((($B$42:$B$48="Confirmado")+($B$42:$B$48="Em negociação")*$B$9)*($F$42:$F$48&lt;=AS$4)*($G$42:$G$48&gt;=AS$4)*$E$42:$E$48)</f>
        <v>5000</v>
      </c>
      <c r="AT55" s="84" t="n">
        <f aca="false">SUMPRODUCT((($B$42:$B$48="Confirmado")+($B$42:$B$48="Em negociação")*$B$9)*($F$42:$F$48&lt;=AT$4)*($G$42:$G$48&gt;=AT$4)*$E$42:$E$48)</f>
        <v>5000</v>
      </c>
      <c r="AU55" s="84" t="n">
        <f aca="false">SUMPRODUCT((($B$42:$B$48="Confirmado")+($B$42:$B$48="Em negociação")*$B$9)*($F$42:$F$48&lt;=AU$4)*($G$42:$G$48&gt;=AU$4)*$E$42:$E$48)</f>
        <v>5000</v>
      </c>
      <c r="AV55" s="84" t="n">
        <f aca="false">SUMPRODUCT((($B$42:$B$48="Confirmado")+($B$42:$B$48="Em negociação")*$B$9)*($F$42:$F$48&lt;=AV$4)*($G$42:$G$48&gt;=AV$4)*$E$42:$E$48)</f>
        <v>5000</v>
      </c>
      <c r="AW55" s="84" t="n">
        <f aca="false">SUMPRODUCT((($B$42:$B$48="Confirmado")+($B$42:$B$48="Em negociação")*$B$9)*($F$42:$F$48&lt;=AW$4)*($G$42:$G$48&gt;=AW$4)*$E$42:$E$48)</f>
        <v>5000</v>
      </c>
      <c r="AX55" s="84" t="n">
        <f aca="false">SUMPRODUCT((($B$42:$B$48="Confirmado")+($B$42:$B$48="Em negociação")*$B$9)*($F$42:$F$48&lt;=AX$4)*($G$42:$G$48&gt;=AX$4)*$E$42:$E$48)</f>
        <v>5000</v>
      </c>
      <c r="AY55" s="84" t="n">
        <f aca="false">SUMPRODUCT((($B$42:$B$48="Confirmado")+($B$42:$B$48="Em negociação")*$B$9)*($F$42:$F$48&lt;=AY$4)*($G$42:$G$48&gt;=AY$4)*$E$42:$E$48)</f>
        <v>5000</v>
      </c>
      <c r="AZ55" s="84" t="n">
        <f aca="false">SUMPRODUCT((($B$42:$B$48="Confirmado")+($B$42:$B$48="Em negociação")*$B$9)*($F$42:$F$48&lt;=AZ$4)*($G$42:$G$48&gt;=AZ$4)*$E$42:$E$48)</f>
        <v>5000</v>
      </c>
      <c r="BA55" s="84" t="n">
        <f aca="false">SUMPRODUCT((($B$42:$B$48="Confirmado")+($B$42:$B$48="Em negociação")*$B$9)*($F$42:$F$48&lt;=BA$4)*($G$42:$G$48&gt;=BA$4)*$E$42:$E$48)</f>
        <v>5000</v>
      </c>
      <c r="BB55" s="84" t="n">
        <f aca="false">SUMPRODUCT((($B$42:$B$48="Confirmado")+($B$42:$B$48="Em negociação")*$B$9)*($F$42:$F$48&lt;=BB$4)*($G$42:$G$48&gt;=BB$4)*$E$42:$E$48)</f>
        <v>5000</v>
      </c>
      <c r="BC55" s="84" t="n">
        <f aca="false">SUMPRODUCT((($B$42:$B$48="Confirmado")+($B$42:$B$48="Em negociação")*$B$9)*($F$42:$F$48&lt;=BC$4)*($G$42:$G$48&gt;=BC$4)*$E$42:$E$48)</f>
        <v>5000</v>
      </c>
      <c r="BD55" s="84" t="n">
        <f aca="false">SUMPRODUCT((($B$42:$B$48="Confirmado")+($B$42:$B$48="Em negociação")*$B$9)*($F$42:$F$48&lt;=BD$4)*($G$42:$G$48&gt;=BD$4)*$E$42:$E$48)</f>
        <v>5000</v>
      </c>
      <c r="BE55" s="84" t="n">
        <f aca="false">SUMPRODUCT((($B$42:$B$48="Confirmado")+($B$42:$B$48="Em negociação")*$B$9)*($F$42:$F$48&lt;=BE$4)*($G$42:$G$48&gt;=BE$4)*$E$42:$E$48)</f>
        <v>5000</v>
      </c>
      <c r="BF55" s="84" t="n">
        <f aca="false">SUMPRODUCT((($B$42:$B$48="Confirmado")+($B$42:$B$48="Em negociação")*$B$9)*($F$42:$F$48&lt;=BF$4)*($G$42:$G$48&gt;=BF$4)*$E$42:$E$48)</f>
        <v>5000</v>
      </c>
      <c r="BG55" s="84" t="n">
        <f aca="false">SUMPRODUCT((($B$42:$B$48="Confirmado")+($B$42:$B$48="Em negociação")*$B$9)*($F$42:$F$48&lt;=BG$4)*($G$42:$G$48&gt;=BG$4)*$E$42:$E$48)</f>
        <v>5000</v>
      </c>
      <c r="BH55" s="84" t="n">
        <f aca="false">SUMPRODUCT((($B$42:$B$48="Confirmado")+($B$42:$B$48="Em negociação")*$B$9)*($F$42:$F$48&lt;=BH$4)*($G$42:$G$48&gt;=BH$4)*$E$42:$E$48)</f>
        <v>5000</v>
      </c>
      <c r="BI55" s="84" t="n">
        <f aca="false">SUMPRODUCT((($B$42:$B$48="Confirmado")+($B$42:$B$48="Em negociação")*$B$9)*($F$42:$F$48&lt;=BI$4)*($G$42:$G$48&gt;=BI$4)*$E$42:$E$48)</f>
        <v>5000</v>
      </c>
      <c r="BJ55" s="84" t="n">
        <f aca="false">SUMPRODUCT((($B$42:$B$48="Confirmado")+($B$42:$B$48="Em negociação")*$B$9)*($F$42:$F$48&lt;=BJ$4)*($G$42:$G$48&gt;=BJ$4)*$E$42:$E$48)</f>
        <v>5000</v>
      </c>
      <c r="BK55" s="84" t="n">
        <f aca="false">SUMPRODUCT((($B$42:$B$48="Confirmado")+($B$42:$B$48="Em negociação")*$B$9)*($F$42:$F$48&lt;=BK$4)*($G$42:$G$48&gt;=BK$4)*$E$42:$E$48)</f>
        <v>5000</v>
      </c>
      <c r="BL55" s="84" t="n">
        <f aca="false">SUMPRODUCT((($B$42:$B$48="Confirmado")+($B$42:$B$48="Em negociação")*$B$9)*($F$42:$F$48&lt;=BL$4)*($G$42:$G$48&gt;=BL$4)*$E$42:$E$48)</f>
        <v>5000</v>
      </c>
      <c r="BM55" s="82" t="n">
        <f aca="false">SUM(E55:BL55)</f>
        <v>230000</v>
      </c>
      <c r="BN55" s="35" t="s">
        <v>364</v>
      </c>
    </row>
    <row r="57" customFormat="false" ht="18" hidden="false" customHeight="true" outlineLevel="0" collapsed="false">
      <c r="A57" s="19" t="s">
        <v>365</v>
      </c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</row>
    <row r="58" customFormat="false" ht="15" hidden="false" customHeight="false" outlineLevel="0" collapsed="false">
      <c r="A58" s="29" t="s">
        <v>366</v>
      </c>
      <c r="B58" s="126" t="n">
        <f aca="false">SUMIFS($C$13:$C$37,$D$13:$D$37,"Realizado")</f>
        <v>37000</v>
      </c>
    </row>
    <row r="59" customFormat="false" ht="15" hidden="false" customHeight="false" outlineLevel="0" collapsed="false">
      <c r="A59" s="29" t="s">
        <v>367</v>
      </c>
      <c r="B59" s="126" t="n">
        <f aca="false">SUMIFS($C$13:$C$37,$D$13:$D$37,"Compromisso")</f>
        <v>0</v>
      </c>
    </row>
    <row r="60" customFormat="false" ht="15" hidden="false" customHeight="false" outlineLevel="0" collapsed="false">
      <c r="A60" s="29" t="s">
        <v>368</v>
      </c>
      <c r="B60" s="126" t="n">
        <f aca="false">SUMIFS($C$13:$C$37,$D$13:$D$37,"Previsto")*$B$8</f>
        <v>0</v>
      </c>
    </row>
    <row r="61" customFormat="false" ht="15" hidden="false" customHeight="false" outlineLevel="0" collapsed="false">
      <c r="A61" s="29" t="s">
        <v>369</v>
      </c>
      <c r="B61" s="126" t="n">
        <f aca="false">SUMIFS($C$13:$C$37,$D$13:$D$37,"Em negociação")*$B$9</f>
        <v>80000</v>
      </c>
    </row>
    <row r="62" customFormat="false" ht="15" hidden="false" customHeight="false" outlineLevel="0" collapsed="false">
      <c r="A62" s="29" t="s">
        <v>370</v>
      </c>
      <c r="B62" s="126" t="n">
        <f aca="false">SUMPRODUCT((($B$42:$B$48="Confirmado")+($B$42:$B$48="Em negociação")*$B$9)*$C$42:$C$48)</f>
        <v>200000</v>
      </c>
    </row>
    <row r="63" customFormat="false" ht="15" hidden="false" customHeight="false" outlineLevel="0" collapsed="false">
      <c r="A63" s="24" t="s">
        <v>371</v>
      </c>
      <c r="B63" s="124" t="n">
        <f aca="false">SUM(B58:B62)</f>
        <v>317000</v>
      </c>
    </row>
  </sheetData>
  <mergeCells count="2">
    <mergeCell ref="D8:L8"/>
    <mergeCell ref="D9:L9"/>
  </mergeCells>
  <dataValidations count="3">
    <dataValidation allowBlank="true" errorStyle="stop" operator="between" showDropDown="false" showErrorMessage="false" showInputMessage="false" sqref="D13:D37" type="list">
      <formula1>"Realizado,Compromisso,Previsto,Em negociação"</formula1>
      <formula2>0</formula2>
    </dataValidation>
    <dataValidation allowBlank="true" errorStyle="stop" operator="between" showDropDown="false" showErrorMessage="false" showInputMessage="false" sqref="E13:E37" type="list">
      <formula1>"Fundador,Novo sócio,Investidor estratégico"</formula1>
      <formula2>0</formula2>
    </dataValidation>
    <dataValidation allowBlank="true" errorStyle="stop" operator="between" showDropDown="false" showErrorMessage="false" showInputMessage="false" sqref="B42:B48" type="list">
      <formula1>"Confirmado,Em negociação"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2026-10-12T23:09:33Z</dcterms:created>
  <dc:creator>openpyxl</dc:creator>
  <dc:description/>
  <dc:language>en-US</dc:language>
  <cp:lastModifiedBy/>
  <dcterms:modified xsi:type="dcterms:W3CDTF">2026-10-12T23:09:33Z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