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. Premissas (editável)" sheetId="1" r:id="rId1"/>
    <sheet name="1. Leia-me e Metodologia" sheetId="2" r:id="rId2"/>
    <sheet name="2. Resumo e Cestas" sheetId="3" r:id="rId3"/>
    <sheet name="3. Avaliação por Molécula" sheetId="4" r:id="rId4"/>
    <sheet name="4. Catálogo Completo (SKU)" sheetId="5" r:id="rId5"/>
    <sheet name="5. Cruzamento Histórico NN" sheetId="6" r:id="rId6"/>
    <sheet name="6. Portfólio-Pipeline EMS" sheetId="7" r:id="rId7"/>
    <sheet name="7. Lacunas e Perguntas" sheetId="8" r:id="rId8"/>
    <sheet name="8. Melhorias sugeridas" sheetId="9" r:id="rId9"/>
  </sheets>
  <definedNames>
    <definedName name="_xlnm._FilterDatabase" localSheetId="3" hidden="1">'3. Avaliação por Molécula'!$A$1:$AY$137</definedName>
    <definedName name="_xlnm._FilterDatabase" localSheetId="4" hidden="1">'4. Catálogo Completo (SKU)'!$A$1:$U$322</definedName>
    <definedName name="_xlnm._FilterDatabase" localSheetId="5" hidden="1">'5. Cruzamento Histórico NN'!$A$1:$P$114</definedName>
    <definedName name="_xlnm._FilterDatabase" localSheetId="6" hidden="1">'6. Portfólio-Pipeline EMS'!$A$1:$E$52</definedName>
  </definedNames>
  <calcPr calcId="124519" fullCalcOnLoad="1"/>
</workbook>
</file>

<file path=xl/sharedStrings.xml><?xml version="1.0" encoding="utf-8"?>
<sst xmlns="http://schemas.openxmlformats.org/spreadsheetml/2006/main" count="12507" uniqueCount="2303">
  <si>
    <t>Premissas da avaliação econômica — edite aqui e a aba 3 recalcula sozinha</t>
  </si>
  <si>
    <t>Estas cinco células comandam as colunas verdes da aba "3. Avaliação por Molécula". Troque pelos seus números e a decisão se refaz.</t>
  </si>
  <si>
    <t>Premissa</t>
  </si>
  <si>
    <t>Valor</t>
  </si>
  <si>
    <t>Por que importa</t>
  </si>
  <si>
    <t>Cotação USD → BRL</t>
  </si>
  <si>
    <t>Mesma taxa usada no deck da Comissão (USD = R$ 6,00).</t>
  </si>
  <si>
    <t>Fator de nacionalização do acabado</t>
  </si>
  <si>
    <t>Multiplicador sobre o preço de transferência para chegar ao custo posto no Brasil: frete, seguro, imposto de importação, PIS/COFINS-importação, ICMS, despesas aduaneiras e armazenagem. 1,55 é ponto de partida conservador — calibre com o seu fiscal/logística, porque é a premissa que mais move o resultado.</t>
  </si>
  <si>
    <t>Margem bruta mínima para seguir</t>
  </si>
  <si>
    <t>Abaixo disso o produto acabado importado não paga registro, estoque, força de vendas e risco cambial.</t>
  </si>
  <si>
    <t>Margem bruta de zona cinzenta</t>
  </si>
  <si>
    <t>Entre este valor e o mínimo, a oportunidade só fecha com volume alto ou logística barata.</t>
  </si>
  <si>
    <t>Corte de mercado (R$ MM)</t>
  </si>
  <si>
    <t>Corte que o próprio time usa na lâmina "WarMap | Premissas".</t>
  </si>
  <si>
    <t>Como a decisão é recalculada</t>
  </si>
  <si>
    <t>Custo posto (R$) = Preço de transferência (US$) × cotação × fator de nacionalização.
Margem bruta = (Preço médio NRC − Custo posto) ÷ Preço médio NRC.
Veredito econômico = Viável / Marginal / Inviável conforme as duas faixas de margem acima.
Decisão recalculada = combina o corte de mercado, o veredito econômico e a triagem qualitativa desta análise.</t>
  </si>
  <si>
    <t>Catálogo Hikma de Injetáveis 2025 — Avaliação para Licenciamento de Produto Acabado (EMS Non Retail)</t>
  </si>
  <si>
    <t>O que mudou nesta versão (v2)</t>
  </si>
  <si>
    <t>A v1 tratava "molécula já no pipeline do EMS" como motivo para não seguir. Isso está errado para Novos Negócios: se o Grupo já decidiu que quer a molécula, licenciar o acabado ANTECIPA a entrada em 2 a 5 anos contra desenvolver internamente. Nesta versão a presença em pipeline/gate virou PONTO POSITIVO (eixo E3) e aparece como rota "BRIDGE" — entrar com importado agora e migrar para produção própria depois.
A v1 também subponderava preço. Como o escopo é licenciamento de PRODUTO ACABADO IMPORTADO, o preço unitário é a restrição que manda: paracetamol IV pode ser clinicamente ótimo e ainda assim não pagar frete, imposto e estoque. O eixo econômico virou o de maior peso (0-30) e derrubou paracetamol, clindamicina, milrinona, nicardipino e outros que a v1 recomendava.</t>
  </si>
  <si>
    <t>A tese, em uma frase</t>
  </si>
  <si>
    <t>O catálogo da Hikma é majoritariamente genérico injetável do mercado americano, e essa economia não atravessa para o Brasil. O valor está concentrado em (a) uma dúzia de itens de nicho e alto valor por unidade, (b) a plataforma de apresentação pronta para uso, que é conversa de tecnologia e não de importação, e (c) um CDA já aberto que barateia o custo de descobrir tudo isso.</t>
  </si>
  <si>
    <t>Os cinco eixos do score</t>
  </si>
  <si>
    <t>E1 · Economia do acabado importado (0-30) — faixa de preço unitário no hospital brasileiro. É o eixo que decide.
E2 · Escassez e barreira técnica (0-20) — poucos fornecedores, histórico de falta, complexidade que defende margem.
E3 · Aceleração (0-20) — quantos anos o licenciamento economiza contra desenvolver internamente. Pipeline/gate pontua ALTO.
E4 · Diferenciação de apresentação (0-15) — bolsa pronta para uso, seringa preenchida, condição de RLD.
E5 · Sinal do histórico (−10 a +15) — relação aberta soma; "cemitério de prospecção" subtrai.</t>
  </si>
  <si>
    <t>Decisão por regras, não por nota</t>
  </si>
  <si>
    <t>A recomendação binária não sai de um corte de nota. Ela passa por cinco portas, e basta uma fechada para virar NÃO: mercado inexistente no Brasil; fora do escopo Non Retail; cemitério de prospecção sem diferencial novo; economia do acabado que não fecha; e um piso geral de qualidade. Acima disso ainda existe o veto de especialista, que derruba molécula com nota razoável e tese comercial fraca. Cada porta fechada aparece escrita na linha, então dá para discordar item a item.</t>
  </si>
  <si>
    <t>Cemitério de prospecção</t>
  </si>
  <si>
    <t>Molécula com 4 ou mais parceiros abordados e 70% ou mais dormentes. Não é neutro: é evidência de que o problema nunca foi achar fornecedor, foi fechar preço. Micafungina (7 parceiros, 86% dormentes) e bortezomibe (9 parceiros, 78%) caem por aqui — reabrir sem premissa de custo nova é repetir o ciclo.</t>
  </si>
  <si>
    <t>ATENÇÃO — a faixa de preço é hipótese, não medição</t>
  </si>
  <si>
    <t>Você disse que a base IQVIA Non-Retail não cabia no anexo, então classifiquei as 136 moléculas em cinco faixas de preço por conhecimento de mercado. É a premissa mais frágil de todo o arquivo. As colunas amarelas da aba 3 existem exatamente para você colar o IQVIA por cima: preencheu, as colunas verdes recalculam e a "DECISÃO RECALCULADA" passa a valer mais que a minha.</t>
  </si>
  <si>
    <t>Resumo executivo e desenho do negócio</t>
  </si>
  <si>
    <t>136</t>
  </si>
  <si>
    <t>moléculas</t>
  </si>
  <si>
    <t>321</t>
  </si>
  <si>
    <t>apresentações</t>
  </si>
  <si>
    <t>22</t>
  </si>
  <si>
    <t>passam na triagem</t>
  </si>
  <si>
    <t>5</t>
  </si>
  <si>
    <t>atacar agora</t>
  </si>
  <si>
    <t>84</t>
  </si>
  <si>
    <t>inviáveis como acabado</t>
  </si>
  <si>
    <t>8</t>
  </si>
  <si>
    <t>vetadas por tese fraca</t>
  </si>
  <si>
    <t>2</t>
  </si>
  <si>
    <t>cemitérios</t>
  </si>
  <si>
    <t>1</t>
  </si>
  <si>
    <t>CDA aberto</t>
  </si>
  <si>
    <t>A leitura crítica</t>
  </si>
  <si>
    <t>•</t>
  </si>
  <si>
    <t>Das 136 moléculas, 114 não são negócio de acabado importado. Não por mérito clínico — por preço unitário. 84 delas estão abaixo de R$ 50 por unidade, faixa em que frete, imposto e estoque comem a margem inteira.</t>
  </si>
  <si>
    <t>Você tinha razão sobre o paracetamol: na v1 ele era a segunda maior recomendação. Caiu. Mesmo com a bolsa RLD como diferencial, paracetamol IV é disputado por centavos em licitação. O mesmo veto pegou clindamicina, milrinona, nicardipino, levocarnitina e gluconato férrico.</t>
  </si>
  <si>
    <t>Você também tinha razão sobre o pipeline. Corrigido: dexmedetomidina está em Gate no EMS e virou candidata a BRIDGE — importar da Hikma para entrar agora e migrar para produção própria quando o projeto interno maturar. É o único jeito de transformar um projeto de 4 anos em receita no ano que vem.</t>
  </si>
  <si>
    <t>O padrão que emerge: o dinheiro está em nicho de alto valor e baixo volume — Icatibanto, Regadenoson, Valrubicina, Eribulina, Dantroleno. Preço alto por unidade, poucos competidores, compra por especialidade e não por pregão de menor preço. É o oposto do perfil do catálogo como um todo.</t>
  </si>
  <si>
    <t>Dois "não insista": micafungina (7 parceiros, 86% dormentes) e bortezomibe (9 parceiros, 78%). Quando a casa já bateu nessa porta tantas vezes, o gargalo é preço de origem, e a Hikma não é fornecedor de baixo custo.</t>
  </si>
  <si>
    <t>A Hikma é multinacional, o que pela lâmina WarMap é "caso a discutir". Some a isso o fato de ser um catálogo construído para o mercado americano: o preço de transferência tende a vir ancorado em preço americano, que é o pior ponto de partida possível para competir no não-retail brasileiro. Trate isso como a primeira pergunta, não como detalhe.</t>
  </si>
  <si>
    <t>Como eu desenharia o negócio: 4 cestas</t>
  </si>
  <si>
    <t>Cesta</t>
  </si>
  <si>
    <t>Lógica</t>
  </si>
  <si>
    <t>Moléculas</t>
  </si>
  <si>
    <t>CESTA 1 — Nicho de alto valor</t>
  </si>
  <si>
    <t>Onde a economia de acabado importado realmente fecha. É por aqui que se abre a negociação.</t>
  </si>
  <si>
    <t>Icatibanto, Regadenoson, Valrubicina, Eribulina, Dantroleno, Dexrazoxano, Tiotepa, Cladribina</t>
  </si>
  <si>
    <t>CESTA 2 — Bridge de aceleração</t>
  </si>
  <si>
    <t>O EMS já quer a molécula. Importar antecipa a entrada; a produção própria assume depois.</t>
  </si>
  <si>
    <t>Dexmedetomidina, Vancomicina</t>
  </si>
  <si>
    <t>CESTA 3 — Dossiê, não acabado</t>
  </si>
  <si>
    <t>Produto interessa, importar não fecha. Conversa é de transferência de tecnologia — e não é o seu escopo, é o de P&amp;D.</t>
  </si>
  <si>
    <t>Paracetamol + Ibuprofeno, Paracetamol, Clindamicina, Linezolida</t>
  </si>
  <si>
    <t>CESTA 4 — Não perseguir</t>
  </si>
  <si>
    <t>Commodity que o EMS já produz, mercado inexistente no Brasil, ou cemitério de prospecção.</t>
  </si>
  <si>
    <t>Micafungina, Bortezomibe, Ceftriaxona, Cefazolina, Meropenem, Ondansetrona, e mais 100</t>
  </si>
  <si>
    <t>O que pedir à Hikma na próxima conversa (o CDA já cobre)</t>
  </si>
  <si>
    <t>→</t>
  </si>
  <si>
    <t>Price list CIF Santos das 8 moléculas da Cesta 1, em US$ por unidade. Sem isso nada mais importa — é o número que decide tudo.</t>
  </si>
  <si>
    <t>Brasil está livre? Confirmar se não há distribuidor ou licenciado com direitos na LatAm para esses itens.</t>
  </si>
  <si>
    <t>Certificado de BPF dos sites que fabricam a Cesta 1, e se já foram inspecionados pela Anvisa.</t>
  </si>
  <si>
    <t>Dossiês em CTD e disponibilidade de dados para registro por via abreviada — o que encurta o cronograma.</t>
  </si>
  <si>
    <t>Estabilidade das bolsas pronta-para-uso: shelf life, faixa de temperatura e se suportam transporte marítimo.</t>
  </si>
  <si>
    <t>Disposição para transferência de tecnologia na Cesta 3 — pergunta diferente da de importação, e provavelmente com outro interlocutor lá dentro.</t>
  </si>
  <si>
    <t>Volume mínimo por pedido e lead time: em produto de nicho, MOQ alto mata a operação mesmo com preço bom.</t>
  </si>
  <si>
    <t>Recomendadas — lista completa</t>
  </si>
  <si>
    <t>Prioridade</t>
  </si>
  <si>
    <t>Molécula</t>
  </si>
  <si>
    <t>Faixa de preço</t>
  </si>
  <si>
    <t>Score</t>
  </si>
  <si>
    <t>Rota</t>
  </si>
  <si>
    <t>Sinal do histórico</t>
  </si>
  <si>
    <t>A - Atacar agora</t>
  </si>
  <si>
    <t>Icatibanto</t>
  </si>
  <si>
    <t>A · &gt; R$ 1.000/un</t>
  </si>
  <si>
    <t>Licenciar produto acabado (importar e distribuir)</t>
  </si>
  <si>
    <t>ESPAÇO BRANCO</t>
  </si>
  <si>
    <t>Regadenoson</t>
  </si>
  <si>
    <t>B · R$ 200-1.000/un</t>
  </si>
  <si>
    <t>Eribulina</t>
  </si>
  <si>
    <t>Valrubicina</t>
  </si>
  <si>
    <t>Dantroleno</t>
  </si>
  <si>
    <t>B - Qualificar</t>
  </si>
  <si>
    <t>Dexrazoxano</t>
  </si>
  <si>
    <t>Levotiroxina</t>
  </si>
  <si>
    <t>Tiotepa</t>
  </si>
  <si>
    <t>DORMENTE — candidato a re-acesso</t>
  </si>
  <si>
    <t>Cladribina</t>
  </si>
  <si>
    <t>Calcitonina</t>
  </si>
  <si>
    <t>C · R$ 50-200/un</t>
  </si>
  <si>
    <t>Licenciar acabado — condicionado a teste de preço</t>
  </si>
  <si>
    <t>C - Fila</t>
  </si>
  <si>
    <t>Fulvestranto</t>
  </si>
  <si>
    <t>EM ANDAMENTO com outro parceiro</t>
  </si>
  <si>
    <t>Citrato de cafeína</t>
  </si>
  <si>
    <t>Daptomicina</t>
  </si>
  <si>
    <t>Argatrobana</t>
  </si>
  <si>
    <t>Acetazolamida</t>
  </si>
  <si>
    <t>Alopurinol</t>
  </si>
  <si>
    <t>Colistimetato</t>
  </si>
  <si>
    <t>Doxiciclina</t>
  </si>
  <si>
    <t>Mitomicina</t>
  </si>
  <si>
    <t>Fentolamina</t>
  </si>
  <si>
    <t>Vancomicina</t>
  </si>
  <si>
    <t>D · R$ 10-50/un</t>
  </si>
  <si>
    <t>BRIDGE condicional — testar prêmio de preço da apresentação antes de investir</t>
  </si>
  <si>
    <t>RELAÇÃO ABERTA COM A HIKMA</t>
  </si>
  <si>
    <t>Foscarnete</t>
  </si>
  <si>
    <t>Molécula (PT/DCB)</t>
  </si>
  <si>
    <t>Molécula (EN)</t>
  </si>
  <si>
    <t>Área terapêutica</t>
  </si>
  <si>
    <t>RECOMENDAÇÃO</t>
  </si>
  <si>
    <t>Rota recomendada</t>
  </si>
  <si>
    <t>SCORE TOTAL (0-100)</t>
  </si>
  <si>
    <t>E1 Economia do acabado (0-30)</t>
  </si>
  <si>
    <t>E2 Escassez/barreira (0-20)</t>
  </si>
  <si>
    <t>E3 Aceleração (0-20)</t>
  </si>
  <si>
    <t>E4 Diferenciação (0-15)</t>
  </si>
  <si>
    <t>E5 Sinal do histórico (-10 a 15)</t>
  </si>
  <si>
    <t>Faixa de preço (hipótese)</t>
  </si>
  <si>
    <t>Viabilidade acabado importado</t>
  </si>
  <si>
    <t>Aceleração vs desenv. interno</t>
  </si>
  <si>
    <t>Relevância (hipótese)</t>
  </si>
  <si>
    <t>Override de especialista</t>
  </si>
  <si>
    <t>[IQVIA] Mercado NR Brasil (R$ MM)</t>
  </si>
  <si>
    <t>[IQVIA] Preço médio unitário (R$)</t>
  </si>
  <si>
    <t>[IQVIA] Nº de competidores</t>
  </si>
  <si>
    <t>[HIKMA] Preço de transferência (US$/un)</t>
  </si>
  <si>
    <t>Custo posto no Brasil (R$)</t>
  </si>
  <si>
    <t>Margem bruta estimada</t>
  </si>
  <si>
    <t>Veredito econômico</t>
  </si>
  <si>
    <t>Passa corte de mercado?</t>
  </si>
  <si>
    <t>DECISÃO RECALCULADA</t>
  </si>
  <si>
    <t>Status no Grupo EMS</t>
  </si>
  <si>
    <t>Detalhe EMS</t>
  </si>
  <si>
    <t>Já prospectada pela equipe NN</t>
  </si>
  <si>
    <t>Tipo de match no histórico</t>
  </si>
  <si>
    <t>Situação do histórico</t>
  </si>
  <si>
    <t>Prospectada por VOCÊ (Lucas Medina)</t>
  </si>
  <si>
    <t>Contato prévio com a Hikma</t>
  </si>
  <si>
    <t>Nº parceiros já abordados</t>
  </si>
  <si>
    <t>Nº registros no histórico</t>
  </si>
  <si>
    <t>Parceiros já contatados</t>
  </si>
  <si>
    <t>Responsáveis NN</t>
  </si>
  <si>
    <t>Status no histórico</t>
  </si>
  <si>
    <t>Datas de entrada</t>
  </si>
  <si>
    <t>Forma farmacêutica</t>
  </si>
  <si>
    <t>Nº de apresentações (SKUs)</t>
  </si>
  <si>
    <t>Controlado (Port. 344/98)</t>
  </si>
  <si>
    <t>Referência (comparable to)</t>
  </si>
  <si>
    <t>FDA rating</t>
  </si>
  <si>
    <t>Categoria terapêutica (Hikma)</t>
  </si>
  <si>
    <t>Produtos no catálogo</t>
  </si>
  <si>
    <t>NDCs</t>
  </si>
  <si>
    <t>Páginas no PDF</t>
  </si>
  <si>
    <t>Justificativa</t>
  </si>
  <si>
    <t>Riscos e condicionantes</t>
  </si>
  <si>
    <t>ICATIBANT</t>
  </si>
  <si>
    <t>NR - HOSPITALAR / OUTROS</t>
  </si>
  <si>
    <t>SIM</t>
  </si>
  <si>
    <t>Viável</t>
  </si>
  <si>
    <t>Entrada nova</t>
  </si>
  <si>
    <t>ALTA</t>
  </si>
  <si>
    <t>—</t>
  </si>
  <si>
    <t>LIVRE</t>
  </si>
  <si>
    <t>NÃO</t>
  </si>
  <si>
    <t>SEM HISTÓRICO</t>
  </si>
  <si>
    <t>Solução + Seringa preenchida</t>
  </si>
  <si>
    <t>FIRAZYR®</t>
  </si>
  <si>
    <t>AP</t>
  </si>
  <si>
    <t>Misc Therapeutic Agents, Complement Inhibitors</t>
  </si>
  <si>
    <t>ICATIBANT Injection</t>
  </si>
  <si>
    <t>24201-207-01</t>
  </si>
  <si>
    <t>38</t>
  </si>
  <si>
    <t>Angioedema hereditário. Preço por seringa na casa dos milhares de reais e canal de especialidade/judicialização: é o perfil que melhor absorve custo de importação de acabado. Peptídeo sintético, barreira técnica real. Nenhum registro na base NN — espaço branco. Sem histórico na base NN.</t>
  </si>
  <si>
    <t>Hikma é multinacional: pela lâmina WarMap, "caso a discutir" antes do gate.</t>
  </si>
  <si>
    <t>REGADENOSON</t>
  </si>
  <si>
    <t>LEXISCAN®</t>
  </si>
  <si>
    <t>Diagnostic Imaging Agent</t>
  </si>
  <si>
    <t>REGADENOSON Injection</t>
  </si>
  <si>
    <t>0641-6253-01</t>
  </si>
  <si>
    <t>57</t>
  </si>
  <si>
    <t>Estresse farmacológico em cintilografia miocárdica, em seringa preenchida. Nicho diagnóstico de poucos players, preço alto e uso concentrado em serviços de medicina nuclear — canal estreito e defensável, oposto da lógica de licitação por menor preço. Sem histórico na base NN.</t>
  </si>
  <si>
    <t>ERIBULIN</t>
  </si>
  <si>
    <t>NR - ONCOLOGIA</t>
  </si>
  <si>
    <t>MÉDIA-ALTA</t>
  </si>
  <si>
    <t>Solução</t>
  </si>
  <si>
    <t>HALAVEN®</t>
  </si>
  <si>
    <t>Microtubule Dynamics Inhibitor</t>
  </si>
  <si>
    <t>ERIBULIN MESYLATE Injection</t>
  </si>
  <si>
    <t>0143-9167-01</t>
  </si>
  <si>
    <t>30</t>
  </si>
  <si>
    <t>Oncológico de nicho (mama metastática, lipossarcoma). Preço alto e síntese complexa. Validar situação patentária antes de qualquer contato. Sem histórico na base NN.</t>
  </si>
  <si>
    <t>VALRUBICIN</t>
  </si>
  <si>
    <t>VALSTAR®</t>
  </si>
  <si>
    <t>AO</t>
  </si>
  <si>
    <t>Antineoplastic</t>
  </si>
  <si>
    <t>VALRUBICIN Intravesical Solution, USP</t>
  </si>
  <si>
    <t>24201-101-04</t>
  </si>
  <si>
    <t>62</t>
  </si>
  <si>
    <t>Quimioterápico intravesical para câncer de bexiga BCG-refratário. Conecta diretamente com o WarMap de Urologia de set/26. Nicho, preço alto, sem concorrência local. Sem histórico na base NN.</t>
  </si>
  <si>
    <t>DANTROLENE</t>
  </si>
  <si>
    <t>NR - SNC</t>
  </si>
  <si>
    <t>Pó liofilizado/estéril</t>
  </si>
  <si>
    <t>DANTRIUM®</t>
  </si>
  <si>
    <t>Skeletal Muscle Relaxant</t>
  </si>
  <si>
    <t>DANTROLENE Sodium for Injection, USP</t>
  </si>
  <si>
    <t>0143-9297-01</t>
  </si>
  <si>
    <t>21</t>
  </si>
  <si>
    <t>Antídoto de hipertermia maligna. Item de arsenal obrigatório em centro cirúrgico, oligopólio mundial e histórico de desabastecimento. Volume baixo com preço alto — economia que funciona para importado. Porta de entrada institucional em centro cirúrgico, onde o EMS quer crescer. Sem histórico na base NN.</t>
  </si>
  <si>
    <t>DEXRAZOXANE</t>
  </si>
  <si>
    <t>ZINECARD®</t>
  </si>
  <si>
    <t>Cytoprotective Agent</t>
  </si>
  <si>
    <t>DEXRAZOXANE for Injection</t>
  </si>
  <si>
    <t>0143-9247-01, 0143-9248-01</t>
  </si>
  <si>
    <t>24</t>
  </si>
  <si>
    <t>Cardioproteção em antraciclinas. Nicho de suporte oncológico, poucos fornecedores, preço sustenta importação. Sem histórico na base. Sem histórico na base NN.</t>
  </si>
  <si>
    <t>LEVOTHYROXINE</t>
  </si>
  <si>
    <t>MÉDIA</t>
  </si>
  <si>
    <t>n/a (Hikma é RLD)</t>
  </si>
  <si>
    <t>Hikma is the Reference Listed Drug</t>
  </si>
  <si>
    <t>Treatment of Myxedema Coma</t>
  </si>
  <si>
    <t>LEVOTHYROXINE Sodium Injection</t>
  </si>
  <si>
    <t>24201-002-01</t>
  </si>
  <si>
    <t>42</t>
  </si>
  <si>
    <t>Levotiroxina IV para coma mixedematoso. Escasso no Brasil, preço alto, volume muito baixo — avaliar se o volume paga o registro. Sem histórico na base NN.</t>
  </si>
  <si>
    <t>THIOTEPA</t>
  </si>
  <si>
    <t>PARCIAL/RELACIONADO</t>
  </si>
  <si>
    <t>PASSIVO (dormente)</t>
  </si>
  <si>
    <t>SOLPHARMA/EHUD</t>
  </si>
  <si>
    <t>RAFAEL RUDNYTSKY</t>
  </si>
  <si>
    <t>PASSIVO</t>
  </si>
  <si>
    <t>2021-05-01</t>
  </si>
  <si>
    <t>THIOPLEX®</t>
  </si>
  <si>
    <t>Alkylating Agent</t>
  </si>
  <si>
    <t>THIOTEPA for Injection, USP</t>
  </si>
  <si>
    <t>0143-9565-01, 0143-9292-01</t>
  </si>
  <si>
    <t>Condicionamento pré-transplante de medula. Nicho hospitalar de alto valor, poucos fornecedores. Base NN: 1 parceiro(s), situação passivo (dormente).</t>
  </si>
  <si>
    <t>CLADRIBINE</t>
  </si>
  <si>
    <t>LEUSTATIN®</t>
  </si>
  <si>
    <t>Antimetabolite antineoplastic</t>
  </si>
  <si>
    <t>CLADRIBINE Injection, USP</t>
  </si>
  <si>
    <t>0143-9871-01</t>
  </si>
  <si>
    <t>19</t>
  </si>
  <si>
    <t>Tricoleucemia. Nicho pequeno mas de preço alto e concorrência mínima. Sem histórico na base NN.</t>
  </si>
  <si>
    <t>CALCITONIN</t>
  </si>
  <si>
    <t>Marginal</t>
  </si>
  <si>
    <t>A VALIDAR</t>
  </si>
  <si>
    <t>MIACALCIN®</t>
  </si>
  <si>
    <t>Calcium Regulator</t>
  </si>
  <si>
    <t>CALCITONIN SALMON Injection, USP, Synthetic</t>
  </si>
  <si>
    <t>24201-400-02</t>
  </si>
  <si>
    <t>15</t>
  </si>
  <si>
    <t>Sem histórico na base NN.</t>
  </si>
  <si>
    <t>Preço na fronteira: só fecha com volume ou custo logístico baixo. Hikma é multinacional: pela lâmina WarMap, "caso a discutir" antes do gate.</t>
  </si>
  <si>
    <t>FULVESTRANT</t>
  </si>
  <si>
    <t>BAIXA-MÉDIA</t>
  </si>
  <si>
    <t>TETO C — tese apenas parcial</t>
  </si>
  <si>
    <t>EXATO</t>
  </si>
  <si>
    <t>ATIVO</t>
  </si>
  <si>
    <t>Atossa Therapeutics, BDR Pharma, CHEMO, CIPLA, Hangzhou Jiuyuan, Hetero Pharma, Zentiva</t>
  </si>
  <si>
    <t>DANIELA SOLHA, RAFAEL RUDNYTSKY</t>
  </si>
  <si>
    <t>AV. TÉCNICA INICIAL, PASSIVO, PROSPECÇÃO</t>
  </si>
  <si>
    <t>2017-12-22, 2024-04-09</t>
  </si>
  <si>
    <t>FASLODEX®</t>
  </si>
  <si>
    <t>Estrogen Receptor Antagonist</t>
  </si>
  <si>
    <t>FULVESTRANT Injection</t>
  </si>
  <si>
    <t>0143-9022-02</t>
  </si>
  <si>
    <t>34</t>
  </si>
  <si>
    <t>Seringa preenchida, preço bom, MAS já genericizado no Brasil e com 7 parceiros abordados na base. Chegou tarde. Base NN: 7 parceiro(s), situação ativo.</t>
  </si>
  <si>
    <t>CAFFEINE CITRATE</t>
  </si>
  <si>
    <t>RLD</t>
  </si>
  <si>
    <t>Nervous System</t>
  </si>
  <si>
    <t>CAFFEINE CITRATE Injection, USP</t>
  </si>
  <si>
    <t>0641-6267-10</t>
  </si>
  <si>
    <t>Apneia da prematuridade. Nicho neonatal defensável, mas volume pequeno. Sem histórico na base NN.</t>
  </si>
  <si>
    <t>DAPTOMYCIN</t>
  </si>
  <si>
    <t>NR - ANTI-INFECCIOSOS</t>
  </si>
  <si>
    <t>Reig Jofre, WORKSHARP, XELLIA PHARMACEUTICALS</t>
  </si>
  <si>
    <t>2017-11-01, 2020-02-01, 2020-10-01</t>
  </si>
  <si>
    <t>CUBICIN®</t>
  </si>
  <si>
    <t>AP | RLD/*Hikma is the Reference Listed Drug</t>
  </si>
  <si>
    <t>Anti-infective | Antibiotic</t>
  </si>
  <si>
    <t>DAPTOMYCIN for Injection*</t>
  </si>
  <si>
    <t>70594-066-01, 70594-060-01, 70594-053-01, 70594-034-01</t>
  </si>
  <si>
    <t>21, 22</t>
  </si>
  <si>
    <t>Gram-positivos resistentes, aderente à tese de resistência antimicrobiana do deck. Domínio público com muitos players asiáticos; 3 tentativas anteriores, todas dormentes. A Hikma dificilmente ganha de um indiano no preço. Base NN: 3 parceiro(s), situação passivo (dormente).</t>
  </si>
  <si>
    <t>ARGATROBAN</t>
  </si>
  <si>
    <t>NR - HEMATOLOGIA</t>
  </si>
  <si>
    <t>Mitsubishi Tanabe pharma</t>
  </si>
  <si>
    <t>DANIELA SOLHA</t>
  </si>
  <si>
    <t>AV. TÉCNICA INICIAL</t>
  </si>
  <si>
    <t>2023-09-18</t>
  </si>
  <si>
    <t>Direct Thrombin Inhibitor</t>
  </si>
  <si>
    <t>ARGATROBAN Injection</t>
  </si>
  <si>
    <t>0143-9559-01, 0143-9674-01</t>
  </si>
  <si>
    <t>11</t>
  </si>
  <si>
    <t>Anticoagulante para trombocitopenia induzida por heparina. Nicho sem alternativa direta e apresentação pronta para uso. Preço sustenta importação. Base NN: 1 parceiro(s), situação ativo.</t>
  </si>
  <si>
    <t>ACETAZOLAMIDE</t>
  </si>
  <si>
    <t>Carbonic Anhydrase Inhibitor</t>
  </si>
  <si>
    <t>AcetaZOLAMIDE for Injection, USP</t>
  </si>
  <si>
    <t>0143-9503-01</t>
  </si>
  <si>
    <t>9</t>
  </si>
  <si>
    <t>ALLOPURINOL</t>
  </si>
  <si>
    <t>ALOPRIM®</t>
  </si>
  <si>
    <t>Antihyperuricemic agent</t>
  </si>
  <si>
    <t>ALLOPURINOL Sodium for Injection</t>
  </si>
  <si>
    <t>0143-9533-01</t>
  </si>
  <si>
    <t>10</t>
  </si>
  <si>
    <t>COLISTIMETHATE</t>
  </si>
  <si>
    <t>COLYMYCIN-M®</t>
  </si>
  <si>
    <t>Anti-Infective</t>
  </si>
  <si>
    <t>COLISTIMETHATE for Injection, USP*</t>
  </si>
  <si>
    <t>70594-023-01, 70594-023-04</t>
  </si>
  <si>
    <t>20</t>
  </si>
  <si>
    <t>Resgate para Gram-negativos MDR, aderente à tese de resistência. Preço na fronteira do viável para importado; decide no volume e no custo logístico. Sem histórico na base NN.</t>
  </si>
  <si>
    <t>DOXYCYCLINE</t>
  </si>
  <si>
    <t>VIBRAMYCIN®</t>
  </si>
  <si>
    <t>Antibiotic</t>
  </si>
  <si>
    <t>DOXYCYCLINE for Injection, USP</t>
  </si>
  <si>
    <t>0143-9381-10</t>
  </si>
  <si>
    <t>28</t>
  </si>
  <si>
    <t>MITOMYCIN</t>
  </si>
  <si>
    <t>MUTAMYCIN®</t>
  </si>
  <si>
    <t>Anti-Tumor Antibiotic</t>
  </si>
  <si>
    <t>MITOMYCIN for Injection, USP</t>
  </si>
  <si>
    <t>0143-9279-01, 0143-9280-01</t>
  </si>
  <si>
    <t>49</t>
  </si>
  <si>
    <t>PHENTOLAMINE</t>
  </si>
  <si>
    <t>NR - CARDIOVASCULAR</t>
  </si>
  <si>
    <t>REGITINE®</t>
  </si>
  <si>
    <t>Antihypertensive</t>
  </si>
  <si>
    <t>PHENTOLAMINE Mesylate for Injection, USP</t>
  </si>
  <si>
    <t>0143-9564-01, 0143-9564-10</t>
  </si>
  <si>
    <t>54</t>
  </si>
  <si>
    <t>VANCOMYCIN</t>
  </si>
  <si>
    <t>Inviável</t>
  </si>
  <si>
    <t>Extensão de linha</t>
  </si>
  <si>
    <t>JÁ NO PORTFÓLIO EMS</t>
  </si>
  <si>
    <t>Vancomicina Solução injetável</t>
  </si>
  <si>
    <t>Hikma Pharmaceuticals, XELLIA PHARMACEUTICALS</t>
  </si>
  <si>
    <t>LIVIA SILVA, RAFAEL RUDNYTSKY</t>
  </si>
  <si>
    <t>CDA, PASSIVO</t>
  </si>
  <si>
    <t>2020-10-01, 2026-06-15</t>
  </si>
  <si>
    <t>Pó liofilizado/estéril + Solução + Bolsa pronta para uso (premix)</t>
  </si>
  <si>
    <t>VANCOCIN®</t>
  </si>
  <si>
    <t>AP | Brown, Hikma is the Reference Listed Drug | RLD/*Hikma is the Reference Listed Drug</t>
  </si>
  <si>
    <t>Anti-infective | Antibacterial</t>
  </si>
  <si>
    <t>VANCOMYCIN HCl for Injection, USP | VANCOMYCIN Hydrochloride for Injection | VANCOMYCIN Injection, USP*</t>
  </si>
  <si>
    <t>0143-9161-25, 0143-9162-10, 0143-9163-01, 0143-9164-01, 0143-9357-10, 0143-9152-10, 0143-9153-10, 70594-041-03, 70594-042-03, 70594-043-02, 70594-044-02, 70594-056-03, 70594-057-02, 70594-058-02</t>
  </si>
  <si>
    <t>63, 64</t>
  </si>
  <si>
    <t>A bolsa pronta para uso é um diferencial real de segurança e tempo de enfermagem, e existe CDA vigente com a Hikma. Mas vancomicina é commodity: o prêmio de RTU precisa ser aceito pelo comprador hospitalar, e bolsa premix tem exigência de estabilidade/cadeia fria que encarece a importação. Vale seguir pelo CDA já aberto, com teste de preço antes de qualquer investimento. Status EMS: JÁ NO PORTFÓLIO EMS (Vancomicina Solução injetável) — aceleração estimada: Extensão de linha. CDA vigente com a Hikma nesta molécula (Livia Silva, 15-06-2026).</t>
  </si>
  <si>
    <t>Economia de acabado importado não fecha na faixa de preço estimada. Bolsa premix exige estabilidade/cadeia fria — encarece frete e reduz shelf life útil. Hikma é multinacional: pela lâmina WarMap, "caso a discutir" antes do gate.</t>
  </si>
  <si>
    <t>FOSCARNET</t>
  </si>
  <si>
    <t>CLINIGEN</t>
  </si>
  <si>
    <t>2018-10-18</t>
  </si>
  <si>
    <t>FOSCAVIR®</t>
  </si>
  <si>
    <t>Anti-infective</t>
  </si>
  <si>
    <t>FOSCARNET Sodium Injection</t>
  </si>
  <si>
    <t>0143-9192-01</t>
  </si>
  <si>
    <t>Antiviral de resgate para CMV resistente. Mercado pequeno, mas preço alto e quase sem concorrência. Único registro na base está dormente desde 2019 (Clinigen). Base NN: 1 parceiro(s), situação passivo (dormente).</t>
  </si>
  <si>
    <t>Liraglutida</t>
  </si>
  <si>
    <t>LIRAGLUTIDE</t>
  </si>
  <si>
    <t>NR - SUPORTE / TGI</t>
  </si>
  <si>
    <t>Encaminhar à BU Retail — fora do seu escopo</t>
  </si>
  <si>
    <t>BAIXA</t>
  </si>
  <si>
    <t>VETO — tese fraca</t>
  </si>
  <si>
    <t>VICTOZA®</t>
  </si>
  <si>
    <t>Alimentary Tract and Metabolism</t>
  </si>
  <si>
    <t>LIRAGLUTIDE Injection</t>
  </si>
  <si>
    <t>0143-9144-02, 0143-9144-03</t>
  </si>
  <si>
    <t>44</t>
  </si>
  <si>
    <t>Alto valor, mas é arena Retail e altamente disputada — fora do escopo Non Retail. Sem histórico na base NN. EXCLUSÃO: Fora do escopo Non Retail (canal Retail/especialidade).</t>
  </si>
  <si>
    <t>Octreotida</t>
  </si>
  <si>
    <t>OCTREOTIDE</t>
  </si>
  <si>
    <t>ALEMBIC, Camururs, Molkom, NANOX, Shilpa, Sinopep</t>
  </si>
  <si>
    <t>DANIELA SOLHA, LUCAS MEDINA, RAFAEL RUDNYTSKY, VITORIA CIA</t>
  </si>
  <si>
    <t>AV. MARKETING, AV. TÉCNICA INICIAL, PASSIVO</t>
  </si>
  <si>
    <t>2021-07-01, 2022-06-27, 2022-11-21, 2022-11-28, 2026-05-29</t>
  </si>
  <si>
    <t>SANDOSTATIN®</t>
  </si>
  <si>
    <t>Endocrine and Metabolic Agent</t>
  </si>
  <si>
    <t>OCTREOTIDE Acetate Injection (Preservative Free) | OCTREOTIDE Acetate Injection (Preserved)</t>
  </si>
  <si>
    <t>0641-6177-01, 0641-6178-01, 0641-6174-10, 0641-6175-10, 0641-6176-10</t>
  </si>
  <si>
    <t>52</t>
  </si>
  <si>
    <t>Preço bom, mas 7 parceiros já abordados na base e mercado dominado pelo LAR, que a Hikma não oferece. Base NN: 6 parceiro(s), situação ativo. EXCLUSÃO: Veto de especialista: tese comercial fraca apesar da nota.</t>
  </si>
  <si>
    <t>Nicardipino</t>
  </si>
  <si>
    <t>NICARDIPINE</t>
  </si>
  <si>
    <t>Solução + Bolsa pronta para uso (premix)</t>
  </si>
  <si>
    <t>CARDENE®</t>
  </si>
  <si>
    <t>AP | AP/RLD/RS</t>
  </si>
  <si>
    <t>Calcium Channel Blocker</t>
  </si>
  <si>
    <t>NICARDIPINE HCl Injection | NICARDIPINE HCl in 0.9% NaCl Injection</t>
  </si>
  <si>
    <t>0143-9689-10, 0143-9634-10, 0143-9633-10</t>
  </si>
  <si>
    <t>51</t>
  </si>
  <si>
    <t>Premix em NaCl; mercado brasileiro pequeno e preço baixo. Sem histórico na base NN. EXCLUSÃO: Veto de especialista: tese comercial fraca apesar da nota.</t>
  </si>
  <si>
    <t>Preço na fronteira: só fecha com volume ou custo logístico baixo. Bolsa premix exige estabilidade/cadeia fria — encarece frete e reduz shelf life útil. Hikma é multinacional: pela lâmina WarMap, "caso a discutir" antes do gate.</t>
  </si>
  <si>
    <t>Milrinona</t>
  </si>
  <si>
    <t>MILRINONE</t>
  </si>
  <si>
    <t>PRIMACOR® | PRIMACOR® in Dextrose</t>
  </si>
  <si>
    <t>5% Cardiac Agent | Cardiac Agent</t>
  </si>
  <si>
    <t>MILRINONE Lactate Injection | MILRINONE Lactate in 5% Dextrose Injection</t>
  </si>
  <si>
    <t>0143-9710-10, 0143-9709-10, 0143-9708-01, 0143-9719-10, 0143-9718-10</t>
  </si>
  <si>
    <t>48</t>
  </si>
  <si>
    <t>Premix em dextrose; preço não sustenta importado. Sem histórico na base NN. EXCLUSÃO: Qualidade geral abaixo do piso (score &lt; 50); veto de especialista: tese comercial fraca apesar da nota.</t>
  </si>
  <si>
    <t>Acetilcisteína</t>
  </si>
  <si>
    <t>ACETYLCYSTEINE</t>
  </si>
  <si>
    <t>ACETADOTE®</t>
  </si>
  <si>
    <t>Mucolytic Agent</t>
  </si>
  <si>
    <t>ACETYLCYSTEINE Injection*</t>
  </si>
  <si>
    <t>70594-111-02</t>
  </si>
  <si>
    <t>Sem histórico na base NN. EXCLUSÃO: Qualidade geral abaixo do piso (score &lt; 50).</t>
  </si>
  <si>
    <t>Azacitidina</t>
  </si>
  <si>
    <t>AZACITIDINE</t>
  </si>
  <si>
    <t>MICROSULES ARGENTINA &amp; FINADIET PHARMACEUTICAL LABORATORIES, TAIHO ONCOLOGY</t>
  </si>
  <si>
    <t>PASSIVO, PROSPECÇÃO</t>
  </si>
  <si>
    <t>2019-04-01, 2024-08-30</t>
  </si>
  <si>
    <t>VIDAZA®</t>
  </si>
  <si>
    <t>Cytotoxic Agent</t>
  </si>
  <si>
    <t>AZACITIDINE for Injection</t>
  </si>
  <si>
    <t>0143-9606-01</t>
  </si>
  <si>
    <t>12</t>
  </si>
  <si>
    <t>Base NN: 2 parceiro(s), situação ativo. EXCLUSÃO: Qualidade geral abaixo do piso (score &lt; 50).</t>
  </si>
  <si>
    <t>Carboprosta</t>
  </si>
  <si>
    <t>CARBOPROST</t>
  </si>
  <si>
    <t>HEMABATE®</t>
  </si>
  <si>
    <t>Prostaglandin</t>
  </si>
  <si>
    <t>CARBOPROST TROMETHAMINE Injection, USP*</t>
  </si>
  <si>
    <t>70594-112-02</t>
  </si>
  <si>
    <t>16</t>
  </si>
  <si>
    <t>Decitabina</t>
  </si>
  <si>
    <t>DECITABINE</t>
  </si>
  <si>
    <t>AUXILLA PHARMA, HANSOH PHARMA, TAIHO ONCOLOGY</t>
  </si>
  <si>
    <t>2017-12-17, 2020-06-01, 2024-08-30</t>
  </si>
  <si>
    <t>DACOGEN®</t>
  </si>
  <si>
    <t>Nucleoside Metabolic Inhibitor</t>
  </si>
  <si>
    <t>DECITABINE for Injection</t>
  </si>
  <si>
    <t>0143-9385-01</t>
  </si>
  <si>
    <t>Base NN: 3 parceiro(s), situação ativo. EXCLUSÃO: Qualidade geral abaixo do piso (score &lt; 50).</t>
  </si>
  <si>
    <t>Levocarnitina</t>
  </si>
  <si>
    <t>LEVOCARNITINE</t>
  </si>
  <si>
    <t>CARNITOR®</t>
  </si>
  <si>
    <t>Carnitine Deficiency</t>
  </si>
  <si>
    <t>LEVOCARNITINE Injection, USP</t>
  </si>
  <si>
    <t>0143-9852-10</t>
  </si>
  <si>
    <t>Nicho metabólico pequeno; preço não justifica importação. Sem histórico na base NN. EXCLUSÃO: Qualidade geral abaixo do piso (score &lt; 50); veto de especialista: tese comercial fraca apesar da nota.</t>
  </si>
  <si>
    <t>Tetradecilsulfato de sódio</t>
  </si>
  <si>
    <t>SODIUM TETRADECYL SULFATE</t>
  </si>
  <si>
    <t>SOTRADECOL®</t>
  </si>
  <si>
    <t>Sclerosing Agent</t>
  </si>
  <si>
    <t>SODIUM TETRADECYL Sulfate Injection, 3%</t>
  </si>
  <si>
    <t>24201-201-05</t>
  </si>
  <si>
    <t>59</t>
  </si>
  <si>
    <t>Dexmedetomidina</t>
  </si>
  <si>
    <t>DEXMEDETOMIDINE</t>
  </si>
  <si>
    <t>NR - ANESTESIA / DOR</t>
  </si>
  <si>
    <t>BRIDGE — importar para antecipar lançamento e migrar para produção própria</t>
  </si>
  <si>
    <t>3 a 5 anos</t>
  </si>
  <si>
    <t>EM GATE (0-3) EMS</t>
  </si>
  <si>
    <t>DISCOVERY/HENGRUI, Hengrui</t>
  </si>
  <si>
    <t>2019-07-01, 2021-02-01</t>
  </si>
  <si>
    <t>PRECEDEX®</t>
  </si>
  <si>
    <t>Sedative, Hypnotic</t>
  </si>
  <si>
    <t>DEXMEDETOMIDINE HCl Injection | DEXMEDETOMIDINE HCl in 0.9% NaCl Injection</t>
  </si>
  <si>
    <t>0143-9532-25, 0143-9526-10, 0143-9525-10</t>
  </si>
  <si>
    <t>23</t>
  </si>
  <si>
    <t>Bolsa pronta para uso em NaCl. O EMS já tem projeto interno em Gate, então aqui o licenciamento compra TEMPO: entra com importado agora e migra para produção própria depois. Preço na faixa que aguenta importação no curto prazo. Status EMS: EM GATE (0-3) EMS (Dexmedetomidina) — aceleração estimada: 3 a 5 anos. Base NN: 2 parceiro(s), situação passivo (dormente). EXCLUSÃO: Qualidade geral abaixo do piso (score &lt; 50).</t>
  </si>
  <si>
    <t>Polimixina B</t>
  </si>
  <si>
    <t>POLYMYXIN B</t>
  </si>
  <si>
    <t>VARIANTE DE GRAFIA</t>
  </si>
  <si>
    <t>XELLIA PHARMACEUTICALS</t>
  </si>
  <si>
    <t>2020-10-01</t>
  </si>
  <si>
    <t>AEROSPORIN®</t>
  </si>
  <si>
    <t>POLYMYXIN B for Injection, USP*</t>
  </si>
  <si>
    <t>70594-049-02</t>
  </si>
  <si>
    <t>55</t>
  </si>
  <si>
    <t>Mesma tese de colistimetato, com uso brasileiro relevante frente a KPC/NDM. Registro único na base, dormente desde 2020 (Xellia). Base NN: 1 parceiro(s), situação passivo (dormente). EXCLUSÃO: Qualidade geral abaixo do piso (score &lt; 50).</t>
  </si>
  <si>
    <t>Remifentanil</t>
  </si>
  <si>
    <t>REMIFENTANIL</t>
  </si>
  <si>
    <t>Reig Jofre</t>
  </si>
  <si>
    <t>DÉBORA SILVA, RAFAEL RUDNYTSKY</t>
  </si>
  <si>
    <t>AV. TÉCNICA INICIAL, PASSIVO</t>
  </si>
  <si>
    <t>2019-01-01, 2026-03-02</t>
  </si>
  <si>
    <t>ULTIVA®</t>
  </si>
  <si>
    <t>Analgesic Agent</t>
  </si>
  <si>
    <t>REMIFENTANIL HCl for Injection, C-II</t>
  </si>
  <si>
    <t>0143-9391-10, 0143-9392-10, 0143-9393-10</t>
  </si>
  <si>
    <t>Status EMS: EM GATE (0-3) EMS (Remifentanil) — aceleração estimada: 3 a 5 anos. Base NN: 1 parceiro(s), situação ativo. EXCLUSÃO: Qualidade geral abaixo do piso (score &lt; 50).</t>
  </si>
  <si>
    <t>Preço na fronteira: só fecha com volume ou custo logístico baixo. Portaria 344/98: cota e autorização de importação restringem o acabado. Hikma é multinacional: pela lâmina WarMap, "caso a discutir" antes do gate.</t>
  </si>
  <si>
    <t>Azatioprina</t>
  </si>
  <si>
    <t>AZATHIOPRINE</t>
  </si>
  <si>
    <t>IMURAN®</t>
  </si>
  <si>
    <t>RS</t>
  </si>
  <si>
    <t>Immunosuppressant</t>
  </si>
  <si>
    <t>AZATHIOPRINE Sodium for Injection, USP</t>
  </si>
  <si>
    <t>0143-9566-01</t>
  </si>
  <si>
    <t>13</t>
  </si>
  <si>
    <t>Bleomicina</t>
  </si>
  <si>
    <t>BLEOMYCIN</t>
  </si>
  <si>
    <t>BLENOXANE®</t>
  </si>
  <si>
    <t>Antineoplastic Agent</t>
  </si>
  <si>
    <t>BLEOMYCIN for Injection, USP</t>
  </si>
  <si>
    <t>0143-9240-01, 0143-9241-01</t>
  </si>
  <si>
    <t>Doxapram</t>
  </si>
  <si>
    <t>DOXAPRAM</t>
  </si>
  <si>
    <t>Descartar — sem mercado no Brasil</t>
  </si>
  <si>
    <t>(Hikma is the brand)</t>
  </si>
  <si>
    <t>Respiratory Stimulant</t>
  </si>
  <si>
    <t>DOPRAM® INJECTION (Doxapram HCl Injection, USP)</t>
  </si>
  <si>
    <t>0641-6018-01</t>
  </si>
  <si>
    <t>27</t>
  </si>
  <si>
    <t>Sem histórico na base NN. EXCLUSÃO: Sem mercado relevante no Brasil.</t>
  </si>
  <si>
    <t>Economia de acabado importado não fecha na faixa de preço estimada. Hikma é multinacional: pela lâmina WarMap, "caso a discutir" antes do gate.</t>
  </si>
  <si>
    <t>Ganciclovir</t>
  </si>
  <si>
    <t>GANCICLOVIR</t>
  </si>
  <si>
    <t>CYTOVENE®</t>
  </si>
  <si>
    <t>Anti-viral</t>
  </si>
  <si>
    <t>GANCICLOVIR for Injection, USP</t>
  </si>
  <si>
    <t>0143-9299-10</t>
  </si>
  <si>
    <t>35</t>
  </si>
  <si>
    <t>Linezolida</t>
  </si>
  <si>
    <t>LINEZOLID</t>
  </si>
  <si>
    <t>Aculife, Hypofarma</t>
  </si>
  <si>
    <t>NEGOCIAÇÃO</t>
  </si>
  <si>
    <t>2023-04-18, 2024-05-16</t>
  </si>
  <si>
    <t>ZYVOX®</t>
  </si>
  <si>
    <t>Antibacterial</t>
  </si>
  <si>
    <t>LINEZOLID Injection</t>
  </si>
  <si>
    <t>0143-9534-10</t>
  </si>
  <si>
    <t>43</t>
  </si>
  <si>
    <t>Bolsa IV completa a linha (o EMS tem o sólido oral), mas a IV já é genericizada e disputada por preço. Base NN: 2 parceiro(s), situação ativo. EXCLUSÃO: Qualidade geral abaixo do piso (score &lt; 50).</t>
  </si>
  <si>
    <t>Micafungina</t>
  </si>
  <si>
    <t>MICAFUNGIN</t>
  </si>
  <si>
    <t>CEMITÉRIO — 7 parceiros, 86% dormentes</t>
  </si>
  <si>
    <t>AXXO, GALENICUM, HANSOH PHARMA, MIDAS, NPS, SELECTCHEMIE, XELLIA PHARMACEUTICALS</t>
  </si>
  <si>
    <t>2017-12-22, 2018-06-01, 2018-07-01, 2020-01-01, 2020-06-01, 2020-10-01</t>
  </si>
  <si>
    <t>MYCAMINE®</t>
  </si>
  <si>
    <t>Antifungal</t>
  </si>
  <si>
    <t>MICAFUNGIN for Injection</t>
  </si>
  <si>
    <t>0143-9361-01, 0143-9362-01</t>
  </si>
  <si>
    <t>46</t>
  </si>
  <si>
    <t>Equinocandina para candidemia. Preço sustenta importação, MAS a base mostra 7 parceiros abordados e praticamente todos dormentes — isso é sinal de que o problema não é encontrar fornecedor, é fechar preço. Só reabrir com premissa de custo na mão. Base NN: 7 parceiros abordados, 86% dormentes. EXCLUSÃO: Cemitério de prospecção sem diferencial novo; qualidade geral abaixo do piso (score &lt; 50).</t>
  </si>
  <si>
    <t>7 parceiros já abordados e dormentes — a barreira provável é preço, não sourcing. Hikma é multinacional: pela lâmina WarMap, "caso a discutir" antes do gate.</t>
  </si>
  <si>
    <t>Daunorrubicina</t>
  </si>
  <si>
    <t>DAUNORUBICIN</t>
  </si>
  <si>
    <t>DAUNORUBICIN HCl Injection</t>
  </si>
  <si>
    <t>0143-9551-10, 0143-9550-01</t>
  </si>
  <si>
    <t>Idarrubicina</t>
  </si>
  <si>
    <t>IDARUBICIN</t>
  </si>
  <si>
    <t>IDAMYCIN®</t>
  </si>
  <si>
    <t>Antineoplastic Anthracycline</t>
  </si>
  <si>
    <t>IDARUBICIN HCl Injection, USP</t>
  </si>
  <si>
    <t>0143-9217-01, 0143-9218-01, 0143-9219-01</t>
  </si>
  <si>
    <t>39</t>
  </si>
  <si>
    <t>Levetiracetam</t>
  </si>
  <si>
    <t>LEVETIRACETAM</t>
  </si>
  <si>
    <t>KEPPRA®</t>
  </si>
  <si>
    <t>Anticonvulsant</t>
  </si>
  <si>
    <t>LEVETIRACETAM Injection</t>
  </si>
  <si>
    <t>0143-9673-25</t>
  </si>
  <si>
    <t>41</t>
  </si>
  <si>
    <t>Gluconato férrico de sódio</t>
  </si>
  <si>
    <t>SODIUM FERRIC GLUCONATE COMPLEX</t>
  </si>
  <si>
    <t>FERRLECIT®</t>
  </si>
  <si>
    <t>AB</t>
  </si>
  <si>
    <t>Antianemic</t>
  </si>
  <si>
    <t>SODIUM FERRIC GLUCONATE COMPLEX in Sucrose Injection</t>
  </si>
  <si>
    <t>0143-9570-10</t>
  </si>
  <si>
    <t>58</t>
  </si>
  <si>
    <t>A base mostra prospecção intensa de carboximaltose férrica, que é superior e já está no radar. Cai na regra "já temos molécula melhor". Sem histórico na base NN. EXCLUSÃO: Qualidade geral abaixo do piso (score &lt; 50); veto de especialista: tese comercial fraca apesar da nota.</t>
  </si>
  <si>
    <t>Succinilcolina</t>
  </si>
  <si>
    <t>SUCCINYLCHOLINE</t>
  </si>
  <si>
    <t>Licenciar dossiê / transferência de tecnologia (fora do escopo de acabado)</t>
  </si>
  <si>
    <t>QUELICIN®</t>
  </si>
  <si>
    <t>AP | Hikma is the Reference Listed Drug</t>
  </si>
  <si>
    <t>Neuromuscular Blocking Agent</t>
  </si>
  <si>
    <t>SUCCINYLCHOLINE Chloride Injection, USP</t>
  </si>
  <si>
    <t>0143-9338-25, 0641-6234-10</t>
  </si>
  <si>
    <t>59, 60</t>
  </si>
  <si>
    <t>Sem histórico na base NN. EXCLUSÃO: Preço unitário na faixa D não absorve frete, imposto, estoque e margem de importação de acabado.</t>
  </si>
  <si>
    <t>Ertapenem</t>
  </si>
  <si>
    <t>ERTAPENEM</t>
  </si>
  <si>
    <t>NPS, Qilu Pharma, XELLIA PHARMACEUTICALS</t>
  </si>
  <si>
    <t>2021-06-01, 2021-11-01</t>
  </si>
  <si>
    <t>INVANZ®</t>
  </si>
  <si>
    <t>ERTAPENEM for Injection</t>
  </si>
  <si>
    <t>0143-9398-10</t>
  </si>
  <si>
    <t>31</t>
  </si>
  <si>
    <t>Nicho de OPAT distinto do meropenem, porém genéricos já pressionam o preço e a base tem 3 tentativas anteriores. Base NN: 3 parceiro(s), situação ativo. EXCLUSÃO: Qualidade geral abaixo do piso (score &lt; 50).</t>
  </si>
  <si>
    <t>Levofloxacino</t>
  </si>
  <si>
    <t>LEVOFLOXACIN</t>
  </si>
  <si>
    <t>LEVAQUIN®</t>
  </si>
  <si>
    <t>LEVOFLOXACIN Injection in 5% Dextrose</t>
  </si>
  <si>
    <t>0143-9722-24, 0143-9721-24, 0143-9720-24</t>
  </si>
  <si>
    <t>Hidromorfona</t>
  </si>
  <si>
    <t>HYDROMORPHONE</t>
  </si>
  <si>
    <t>DILAUDID®</t>
  </si>
  <si>
    <t>AP | n/a</t>
  </si>
  <si>
    <t>Narcotic Analgesic</t>
  </si>
  <si>
    <t>HYDROMORPHONE HCl Injection, USP, C-II | HYDROmorphone HCl Injection, USP, C-II</t>
  </si>
  <si>
    <t>0641-6151-25, 0641-6169-10, 0641-6206-10, 0641-6259-10, 0641-2341-41</t>
  </si>
  <si>
    <t>37, 38</t>
  </si>
  <si>
    <t>Economia de acabado importado não fecha na faixa de preço estimada. Portaria 344/98: cota e autorização de importação restringem o acabado. Hikma é multinacional: pela lâmina WarMap, "caso a discutir" antes do gate.</t>
  </si>
  <si>
    <t>Pantoprazol</t>
  </si>
  <si>
    <t>PANTOPRAZOLE</t>
  </si>
  <si>
    <t>Descartar — desenvolvimento interno é mais barato que importar</t>
  </si>
  <si>
    <t>PROTONIX®</t>
  </si>
  <si>
    <t>RS/*Hikma is the Reference Listed Drug</t>
  </si>
  <si>
    <t>Proton Pump Inhibitor</t>
  </si>
  <si>
    <t>PANTOPRAZOLE Sodium for Injection</t>
  </si>
  <si>
    <t>0143-9284-10</t>
  </si>
  <si>
    <t>53</t>
  </si>
  <si>
    <t>Bortezomibe</t>
  </si>
  <si>
    <t>BORTEZOMIB</t>
  </si>
  <si>
    <t>CEMITÉRIO — 9 parceiros, 78% dormentes</t>
  </si>
  <si>
    <t>BERGAMO, EXTROVIS, Ferrer, HANSOH PHARMA, KOREA UNITED PHARMA, KYONGBO (KB) PHARMACEUTICAL, NAPROD, Shilpa, XEINA DRUGS</t>
  </si>
  <si>
    <t>AV. MARKETING, PASSIVO, PROSPECÇÃO</t>
  </si>
  <si>
    <t>2018-07-01, 2018-08-01, 2019-01-31, 2019-03-01, 2021-03-01, 2022-01-22</t>
  </si>
  <si>
    <t>VELCADE®</t>
  </si>
  <si>
    <t>Proteasome Inhibitor / Antineoplastic Agent</t>
  </si>
  <si>
    <t>BORTEZOMIB for Injection</t>
  </si>
  <si>
    <t>0143-9098-01</t>
  </si>
  <si>
    <t>14</t>
  </si>
  <si>
    <t>Base NN: 9 parceiros abordados, 78% dormentes. EXCLUSÃO: Cemitério de prospecção sem diferencial novo; qualidade geral abaixo do piso (score &lt; 50).</t>
  </si>
  <si>
    <t>9 parceiros já abordados e dormentes — a barreira provável é preço, não sourcing. Hikma é multinacional: pela lâmina WarMap, "caso a discutir" antes do gate.</t>
  </si>
  <si>
    <t>Clindamicina</t>
  </si>
  <si>
    <t>CLINDAMYCIN</t>
  </si>
  <si>
    <t>Clindamicina Solução injetável</t>
  </si>
  <si>
    <t>CLEOCIN PHOSPHATE® IV SOLUTION</t>
  </si>
  <si>
    <t>Very AP</t>
  </si>
  <si>
    <t>CLINDAMYCIN in 5% Dextrose Injection</t>
  </si>
  <si>
    <t>0143-9267-01, 0143-9268-01, 0143-9269-01</t>
  </si>
  <si>
    <t>Premix em dextrose é bom conceito, mas clindamicina é commodity de licitação. Como acabado importado não fecha; faria sentido apenas como transferência de tecnologia. Status EMS: JÁ NO PORTFÓLIO EMS (Clindamicina Solução injetável) — aceleração estimada: Extensão de linha. Sem histórico na base NN. EXCLUSÃO: Preço unitário na faixa D não absorve frete, imposto, estoque e margem de importação de acabado.</t>
  </si>
  <si>
    <t>Paracetamol + Ibuprofeno</t>
  </si>
  <si>
    <t>ACETAMINOPHEN + IBUPROFEN</t>
  </si>
  <si>
    <t>AFT PHARMA, CLARIS, QUIMICA LUAR</t>
  </si>
  <si>
    <t>2017-06-23, 2018-11-18, 2020-08-20</t>
  </si>
  <si>
    <t>Non-Narcotic Analgesic</t>
  </si>
  <si>
    <t>(acetaminophen and ibuprofen) injection</t>
  </si>
  <si>
    <t>0143-9150-10</t>
  </si>
  <si>
    <t>COMBOGESIC® IV. O deck cita nominalmente a combinação como oportunidade opioid-sparing e a Hikma é a detentora do RLD — endosso estratégico raro. PORÉM o preço de referência é puxado para baixo pelo paracetamol IV: como acabado importado a conta é apertada. A rota correta é licenciar o DOSSIÊ e fabricar localmente, já que o EMS domina as duas moléculas. Base NN: 3 parceiro(s), situação passivo (dormente). EXCLUSÃO: Qualidade geral abaixo do piso (score &lt; 50).</t>
  </si>
  <si>
    <t>Fosaprepitanto</t>
  </si>
  <si>
    <t>FOSAPREPITANT</t>
  </si>
  <si>
    <t>ACCORD INTAS</t>
  </si>
  <si>
    <t>2020-03-01</t>
  </si>
  <si>
    <t>EMEND®</t>
  </si>
  <si>
    <t>NK1 Receptor Agonist</t>
  </si>
  <si>
    <t>FOSAPREPITANT for Injection</t>
  </si>
  <si>
    <t>0143-9384-01</t>
  </si>
  <si>
    <t>Antiemético NK1. Genericizado, preço em queda, registro anterior dormente (Accord/Intas). Base NN: 1 parceiro(s), situação passivo (dormente). EXCLUSÃO: Qualidade geral abaixo do piso (score &lt; 50).</t>
  </si>
  <si>
    <t>Lorazepam</t>
  </si>
  <si>
    <t>LORAZEPAM</t>
  </si>
  <si>
    <t>(Hikma is the brand) | ATIVAN®</t>
  </si>
  <si>
    <t>Benzodiazepine/Antianxiety</t>
  </si>
  <si>
    <t>ATIVAN® INJECTION (Lorazepam Injection, USP), C-IV | LORAZEPAM Injection, USP, C-IV</t>
  </si>
  <si>
    <t>0641-6001-25, 0641-6000-10, 0641-6003-25, 0641-6002-10, 0641-6044-25, 0641-6046-10, 0641-6045-25, 0641-6047-10</t>
  </si>
  <si>
    <t>12, 44</t>
  </si>
  <si>
    <t>Naloxona</t>
  </si>
  <si>
    <t>NALOXONE</t>
  </si>
  <si>
    <t>NARCAN®</t>
  </si>
  <si>
    <t>Opiod Antagonist</t>
  </si>
  <si>
    <t>NALOXONE HCl Injection, USP</t>
  </si>
  <si>
    <t>0641-6132-25, 0641-6205-10</t>
  </si>
  <si>
    <t>49, 50</t>
  </si>
  <si>
    <t>Docetaxel</t>
  </si>
  <si>
    <t>DOCETAXEL</t>
  </si>
  <si>
    <t>JINA PHARMA, SHILPA MEDICARE</t>
  </si>
  <si>
    <t>LUCAS MEDINA, RAFAEL RUDNYTSKY</t>
  </si>
  <si>
    <t>2021-07-01, 2023-01-12</t>
  </si>
  <si>
    <t>TAXOTERE®</t>
  </si>
  <si>
    <t>DOCETAXEL Injection, USP</t>
  </si>
  <si>
    <t>0143-9204-01, 0143-9205-01</t>
  </si>
  <si>
    <t>Irinotecano</t>
  </si>
  <si>
    <t>IRINOTECAN</t>
  </si>
  <si>
    <t>BDR, CSPC, Hengrui, Jiangsu Hengrui, MNR Therapeutics</t>
  </si>
  <si>
    <t>AV. TÉCNICA INICIAL, NEGOCIAÇÃO, PASSIVO</t>
  </si>
  <si>
    <t>2021-02-01, 2025-07-04, 2026-05-16, 2026-08-18</t>
  </si>
  <si>
    <t>CAMPTOSAR®</t>
  </si>
  <si>
    <t>IRINOTECAN HCl Injection, USP</t>
  </si>
  <si>
    <t>0143-9702-01, 0143-9701-01</t>
  </si>
  <si>
    <t>40</t>
  </si>
  <si>
    <t>Base NN: 5 parceiro(s), situação ativo. EXCLUSÃO: Qualidade geral abaixo do piso (score &lt; 50).</t>
  </si>
  <si>
    <t>Cefoxitina</t>
  </si>
  <si>
    <t>CEFOXITIN</t>
  </si>
  <si>
    <t>MEFOXIN®</t>
  </si>
  <si>
    <t>Cephalosporin</t>
  </si>
  <si>
    <t>CEFOXITIN for Injection, USP</t>
  </si>
  <si>
    <t>0143-9878-25, 0143-9877-25, 0143-9876-10</t>
  </si>
  <si>
    <t>Cefuroxima</t>
  </si>
  <si>
    <t>CEFUROXIME</t>
  </si>
  <si>
    <t>ZINACEF®</t>
  </si>
  <si>
    <t>AP* / AB**</t>
  </si>
  <si>
    <t>CEFUROXIME for Injection, USP</t>
  </si>
  <si>
    <t>0143-9979-22, 0143-9977-22</t>
  </si>
  <si>
    <t>17</t>
  </si>
  <si>
    <t>Dacarbazina</t>
  </si>
  <si>
    <t>DACARBAZINE</t>
  </si>
  <si>
    <t>DTIC-DOME®</t>
  </si>
  <si>
    <t>DACARBAZINE for Injection, USP</t>
  </si>
  <si>
    <t>0143-9245-10</t>
  </si>
  <si>
    <t>Leucovorina (ác. folínico)</t>
  </si>
  <si>
    <t>LEUCOVORIN</t>
  </si>
  <si>
    <t>WELLCOVORIN®</t>
  </si>
  <si>
    <t>LEUCOVORIN Calcium for Injection</t>
  </si>
  <si>
    <t>0143-9555-01, 0143-9554-01, 0143-9553-01, 0143-9552-01</t>
  </si>
  <si>
    <t>Metocarbamol</t>
  </si>
  <si>
    <t>METHOCARBAMOL</t>
  </si>
  <si>
    <t>Yellow Hikma is the Reference Listed Drug</t>
  </si>
  <si>
    <t>Skelatal Muscle Relaxant</t>
  </si>
  <si>
    <t>ROBAXIN® INJECTION (Methocarbamol Injection, USP)</t>
  </si>
  <si>
    <t>0641-6103-10</t>
  </si>
  <si>
    <t>Metilprednisolona</t>
  </si>
  <si>
    <t>METHYLPREDNISOLONE</t>
  </si>
  <si>
    <t>SOLU-MEDROL®</t>
  </si>
  <si>
    <t>Anti-Inflammatory Glucocorticoid</t>
  </si>
  <si>
    <t>methylPREDNISolone Sodium Succinate for Injection, USP</t>
  </si>
  <si>
    <t>0143-9753-25, 0143-9754-25, 0143-9850-01, 0143-9851-01</t>
  </si>
  <si>
    <t>Fenitoína</t>
  </si>
  <si>
    <t>PHENYTOIN</t>
  </si>
  <si>
    <t>AP/RLD/RS Hikma is the Reference Listed Drug</t>
  </si>
  <si>
    <t>PHENYTOIN Sodium Injection, USP</t>
  </si>
  <si>
    <t>0641-0493-25, 0641-2555-10</t>
  </si>
  <si>
    <t>Vecurônio</t>
  </si>
  <si>
    <t>VECURONIUM</t>
  </si>
  <si>
    <t>NOCURON®</t>
  </si>
  <si>
    <t>VECURONIUM Bromide for Injection</t>
  </si>
  <si>
    <t>0143-9234-10, 0143-9232-10</t>
  </si>
  <si>
    <t>64</t>
  </si>
  <si>
    <t>Cetamina</t>
  </si>
  <si>
    <t>KETAMINE</t>
  </si>
  <si>
    <t>2 a 3 anos</t>
  </si>
  <si>
    <t>EM PIPELINE EMS</t>
  </si>
  <si>
    <t>Escetamina (pipeline; Cetamina é a base)</t>
  </si>
  <si>
    <t>KETALAR®</t>
  </si>
  <si>
    <t>Nonbarbiturate Anesthetic</t>
  </si>
  <si>
    <t>KETAMINE HCl Injection, USP C-III</t>
  </si>
  <si>
    <t>0143-9508-10, 0143-9509-10</t>
  </si>
  <si>
    <t>Status EMS: EM PIPELINE EMS (Escetamina (pipeline; Cetamina é a base)) — aceleração estimada: 2 a 3 anos. Sem histórico na base NN. EXCLUSÃO: Preço unitário na faixa D não absorve frete, imposto, estoque e margem de importação de acabado.</t>
  </si>
  <si>
    <t>Midazolam</t>
  </si>
  <si>
    <t>MIDAZOLAM</t>
  </si>
  <si>
    <t>E · &lt; R$ 10/un</t>
  </si>
  <si>
    <t>Solução + Bolsa pronta para uso (premix) + Seringa preenchida</t>
  </si>
  <si>
    <t>VERSED®</t>
  </si>
  <si>
    <t>Benzodiazepine/Sedative (Antianxiety)</t>
  </si>
  <si>
    <t>MIDAZOLAM Injection, USP C-IV | MIDAZOLAM Injection, USP, C-IV | MIDAZOLAM in 0.9% Sodium Chloride Injection, C-IV</t>
  </si>
  <si>
    <t>0641-6057-25, 0641-6059-10, 0641-6056-10, 0641-6061-25, 0641-6063-25, 0641-6060-10, 0143-9379-10, 0143-9380-10, 0641-6220-10, 0641-6218-10, 0641-6219-10</t>
  </si>
  <si>
    <t>47, 48</t>
  </si>
  <si>
    <t>Status EMS: JÁ NO PORTFÓLIO EMS (Midazolam) — aceleração estimada: Extensão de linha. Base NN: 2 parceiro(s), situação ativo. EXCLUSÃO: Preço unitário na faixa E não absorve frete, imposto, estoque e margem de importação de acabado.</t>
  </si>
  <si>
    <t>Economia de acabado importado não fecha na faixa de preço estimada. Bolsa premix exige estabilidade/cadeia fria — encarece frete e reduz shelf life útil. Portaria 344/98: cota e autorização de importação restringem o acabado. Hikma é multinacional: pela lâmina WarMap, "caso a discutir" antes do gate.</t>
  </si>
  <si>
    <t>Cisatracúrio</t>
  </si>
  <si>
    <t>CISATRACURIUM</t>
  </si>
  <si>
    <t>ABL ANTIBIOTICOS, CRISTÁLIA, GLAND PHARMA</t>
  </si>
  <si>
    <t>2018-04-18, 2019-05-01, 2019-07-19</t>
  </si>
  <si>
    <t>NIMBEX®</t>
  </si>
  <si>
    <t>or AP</t>
  </si>
  <si>
    <t>Neuromuscular Blocker</t>
  </si>
  <si>
    <t>CISATRACURIUM Besylate Injection, USP</t>
  </si>
  <si>
    <t>0143-9396-01</t>
  </si>
  <si>
    <t>18</t>
  </si>
  <si>
    <t>Base NN: 3 parceiro(s), situação passivo (dormente). EXCLUSÃO: Qualidade geral abaixo do piso (score &lt; 50).</t>
  </si>
  <si>
    <t>Ifosfamida</t>
  </si>
  <si>
    <t>IFOSFAMIDE</t>
  </si>
  <si>
    <t>Libra</t>
  </si>
  <si>
    <t>2020-12-20</t>
  </si>
  <si>
    <t>IFEX®</t>
  </si>
  <si>
    <t>IFOSFAMIDE Injection</t>
  </si>
  <si>
    <t>0143-9531-01, 0143-9530-01</t>
  </si>
  <si>
    <t>Base NN: 1 parceiro(s), situação passivo (dormente). EXCLUSÃO: Qualidade geral abaixo do piso (score &lt; 50).</t>
  </si>
  <si>
    <t>Diazepam</t>
  </si>
  <si>
    <t>DIAZEPAM</t>
  </si>
  <si>
    <t>VALIUM®</t>
  </si>
  <si>
    <t>Benzodiazepine/Anxiolytic | Benzodiazepine/Sedative</t>
  </si>
  <si>
    <t>DIAZEPAM Injection, USP, C-IV</t>
  </si>
  <si>
    <t>0641-6243-10, 0641-6244-10</t>
  </si>
  <si>
    <t>Sem histórico na base NN. EXCLUSÃO: Preço unitário na faixa E não absorve frete, imposto, estoque e margem de importação de acabado.</t>
  </si>
  <si>
    <t>Doxorrubicina</t>
  </si>
  <si>
    <t>DOXORUBICIN</t>
  </si>
  <si>
    <t>ALEMBIC, Ayana, BLUE PHARMA, CSPC, CYTORI, Celerity (Capstone), EVONIK, Medis, NAPROD, TTY Biopharm, Zydus</t>
  </si>
  <si>
    <t>AV. TÉCNICA INICIAL, NEGOCIAÇÃO, PASSIVO, PROSPECÇÃO</t>
  </si>
  <si>
    <t>2017-07-10, 2021-04-01, 2021-07-01, 2023-01-19, 2023-01-23, 2023-02-15</t>
  </si>
  <si>
    <t>Pó liofilizado/estéril + Solução</t>
  </si>
  <si>
    <t>Anthracycline Topoisomerase Inhibitor</t>
  </si>
  <si>
    <t>DOXOrubicin HCl Injection, USP | DOXOrubicin HCl for Injection, USP</t>
  </si>
  <si>
    <t>0143-9084-01, 0143-9085-01, 0143-9086-01, 0143-9087-01, 0143-9092-01, 0143-9093-01</t>
  </si>
  <si>
    <t>Base NN: 11 parceiro(s), situação ativo. EXCLUSÃO: Preço unitário na faixa D não absorve frete, imposto, estoque e margem de importação de acabado.</t>
  </si>
  <si>
    <t>Efedrina</t>
  </si>
  <si>
    <t>EPHEDRINE</t>
  </si>
  <si>
    <t>AKOVAZ®</t>
  </si>
  <si>
    <t>Alpha and Beta Adrenergic Agonist</t>
  </si>
  <si>
    <t>EPHEDRINE Sulfate Injection, USP | ePHEDrine Sulfate Injection, USP</t>
  </si>
  <si>
    <t>0641-6238-25, 0641-6236-10</t>
  </si>
  <si>
    <t>Morfina</t>
  </si>
  <si>
    <t>MORPHINE</t>
  </si>
  <si>
    <t>AP | Hikma is the Reference Listed Drug | RS/*Hikma is the Reference Listed Drug</t>
  </si>
  <si>
    <t>DURAMORPH® (Morphine Sulfate Injection, USP), C-II | INFUMORPH® 200 &amp; 500 (Preservative-Free Morphine Sulfate Sterile Solution), C-II | MORPHINE Sulfate Injection, USP, C-II</t>
  </si>
  <si>
    <t>0641-6020-10, 0641-6019-10, 0641-6039-01, 0641-6040-01, 0641-6125-25, 0641-6126-25, 0641-6127-25</t>
  </si>
  <si>
    <t>29, 40, 49</t>
  </si>
  <si>
    <t>Neostigmina</t>
  </si>
  <si>
    <t>NEOSTIGMINE</t>
  </si>
  <si>
    <t>BLOXIVERZ®</t>
  </si>
  <si>
    <t>Acetylcholinesterase Inhibitor</t>
  </si>
  <si>
    <t>NEOSTIGMINE Methylsulfate Injection, USP</t>
  </si>
  <si>
    <t>0641-6150-10, 0641-6149-10, 0641-6240-10</t>
  </si>
  <si>
    <t>50</t>
  </si>
  <si>
    <t>Fenilefrina</t>
  </si>
  <si>
    <t>PHENYLEPHRINE</t>
  </si>
  <si>
    <t>Cardiac Agent | Cardiovascular Agent</t>
  </si>
  <si>
    <t>IMMPHENTIV (Phenylephrine HCl Injection, USP) ® | PHENYLEPHRINE HCl Injection, USP</t>
  </si>
  <si>
    <t>0641-6246-10, 0641-6245-10, 0641-6142-25, 0641-6188-10, 0641-6189-10</t>
  </si>
  <si>
    <t>39, 55</t>
  </si>
  <si>
    <t>Paracetamol</t>
  </si>
  <si>
    <t>ACETAMINOPHEN</t>
  </si>
  <si>
    <t>AFT PHARMA, CLARIS</t>
  </si>
  <si>
    <t>2017-06-23, 2018-11-18</t>
  </si>
  <si>
    <t>OFIRMEV®</t>
  </si>
  <si>
    <t>Analgesic</t>
  </si>
  <si>
    <t>ACETAMINOPHEN Injection</t>
  </si>
  <si>
    <t>24201-100-24, 0143-9386-10</t>
  </si>
  <si>
    <t>Paracetamol IV é commodity de preço baixo em licitação hospitalar. Mesmo com a bolsa RLD como diferencial, a margem por unidade não absorve frete, imposto e estoque de importado. Fora do escopo de licenciamento de acabado. Base NN: 2 parceiro(s), situação passivo (dormente). EXCLUSÃO: Preço unitário na faixa E não absorve frete, imposto, estoque e margem de importação de acabado.</t>
  </si>
  <si>
    <t>Amiodarona</t>
  </si>
  <si>
    <t>AMIODARONE</t>
  </si>
  <si>
    <t>CORDARONE®</t>
  </si>
  <si>
    <t>Antiarrythmic Agent</t>
  </si>
  <si>
    <t>AMIODARONE HCl Injection</t>
  </si>
  <si>
    <t>0143-9875-25</t>
  </si>
  <si>
    <t>Benzatropina</t>
  </si>
  <si>
    <t>BENZTROPINE</t>
  </si>
  <si>
    <t>COGENTIN®</t>
  </si>
  <si>
    <t>Anti-parkinsonian</t>
  </si>
  <si>
    <t>BENZTROPINE Mesylate Injection, USP</t>
  </si>
  <si>
    <t>0143-9729-05, 0143-9233-05</t>
  </si>
  <si>
    <t>Bumetanida</t>
  </si>
  <si>
    <t>BUMETANIDE</t>
  </si>
  <si>
    <t>BUMEX®</t>
  </si>
  <si>
    <t>Diuretic</t>
  </si>
  <si>
    <t>BUMETANIDE Injection, USP</t>
  </si>
  <si>
    <t>0641-6008-10, 0641-6007-10</t>
  </si>
  <si>
    <t>Cloroprocaína</t>
  </si>
  <si>
    <t>CHLOROPROCAINE</t>
  </si>
  <si>
    <t>NESACAINE®</t>
  </si>
  <si>
    <t>Anesthetic</t>
  </si>
  <si>
    <t>CHLOROPROCAINE HCl Injection, USP</t>
  </si>
  <si>
    <t>0143-9209-10, 0143-9210-10</t>
  </si>
  <si>
    <t>Clonidina</t>
  </si>
  <si>
    <t>CLONIDINE</t>
  </si>
  <si>
    <t>DURACLON®</t>
  </si>
  <si>
    <t>CLONIDINE HCl Injection</t>
  </si>
  <si>
    <t>0143-9724-01, 0143-9723-01</t>
  </si>
  <si>
    <t>Diciclomina</t>
  </si>
  <si>
    <t>DICYCLOMINE</t>
  </si>
  <si>
    <t>BENTYL®</t>
  </si>
  <si>
    <t>Antispasmodic / Anticholinergic</t>
  </si>
  <si>
    <t>DICYCLOMINE HCl Injection, USP</t>
  </si>
  <si>
    <t>0641-6173-10</t>
  </si>
  <si>
    <t>25</t>
  </si>
  <si>
    <t>Diltiazem</t>
  </si>
  <si>
    <t>DILTIAZEM</t>
  </si>
  <si>
    <t>CARDIZEM®</t>
  </si>
  <si>
    <t>DILTIAZEM HCl Injection</t>
  </si>
  <si>
    <t>0641-6013-10, 0641-6014-10, 0641-6015-10</t>
  </si>
  <si>
    <t>Dipiridamol</t>
  </si>
  <si>
    <t>DIPYRIDAMOLE</t>
  </si>
  <si>
    <t>PERSANTINE®</t>
  </si>
  <si>
    <t>Coronary Vascodilator</t>
  </si>
  <si>
    <t>DIPYRIDAMOLE Injection, USP</t>
  </si>
  <si>
    <t>0641-2569-44</t>
  </si>
  <si>
    <t>26</t>
  </si>
  <si>
    <t>Droperidol</t>
  </si>
  <si>
    <t>DROPERIDOL</t>
  </si>
  <si>
    <t>INAPSINE®</t>
  </si>
  <si>
    <t>Neuroleptic (Tranquilizer) Agent</t>
  </si>
  <si>
    <t>DROPERIDOL Injection, USP</t>
  </si>
  <si>
    <t>0143-9515-25, 0143-9514-25</t>
  </si>
  <si>
    <t>29</t>
  </si>
  <si>
    <t>Enalaprilato</t>
  </si>
  <si>
    <t>ENALAPRILAT</t>
  </si>
  <si>
    <t>VASOTEC®</t>
  </si>
  <si>
    <t>Angiotensin Converting Enzyme Inhibitor</t>
  </si>
  <si>
    <t>ENALAPRILAT Injection, USP</t>
  </si>
  <si>
    <t>0143-9787-10, 0143-9786-10</t>
  </si>
  <si>
    <t>Etomidato</t>
  </si>
  <si>
    <t>ETOMIDATE</t>
  </si>
  <si>
    <t>AMIDATE®</t>
  </si>
  <si>
    <t>General Anesthetic</t>
  </si>
  <si>
    <t>ETOMIDATE Injection, USP</t>
  </si>
  <si>
    <t>0143-9506-10, 0143-9507-10</t>
  </si>
  <si>
    <t>Etoposídeo</t>
  </si>
  <si>
    <t>ETOPOSIDE</t>
  </si>
  <si>
    <t>VEPESID®</t>
  </si>
  <si>
    <t>Anti-Neoplastic Chemotherapy Agent</t>
  </si>
  <si>
    <t>ETOPOSIDE Injection, USP</t>
  </si>
  <si>
    <t>0143-9510-01, 0143-9511-01, 0143-9512-01</t>
  </si>
  <si>
    <t>32</t>
  </si>
  <si>
    <t>Flumazenil</t>
  </si>
  <si>
    <t>FLUMAZENIL</t>
  </si>
  <si>
    <t>ROMAZICON®</t>
  </si>
  <si>
    <t>Benzodiazepine Receptor Antagonist</t>
  </si>
  <si>
    <t>FLUMAZENIL Injection, USP</t>
  </si>
  <si>
    <t>0143-9784-10, 0143-9783-10</t>
  </si>
  <si>
    <t>33</t>
  </si>
  <si>
    <t>Flufenazina</t>
  </si>
  <si>
    <t>FLUPHENAZINE</t>
  </si>
  <si>
    <t>PROLIXIN® Decanoate</t>
  </si>
  <si>
    <t>Antipsychotic</t>
  </si>
  <si>
    <t>FLUPHENAZINE Decanoate Injection, USP</t>
  </si>
  <si>
    <t>0143-9529-01</t>
  </si>
  <si>
    <t>Glicopirrolato</t>
  </si>
  <si>
    <t>GLYCOPYRROLATE</t>
  </si>
  <si>
    <t>ROBINUL®</t>
  </si>
  <si>
    <t>Anticholinergic</t>
  </si>
  <si>
    <t>GLYCOPYRROLATE Injection, USP</t>
  </si>
  <si>
    <t>0143-9682-25, 0143-9681-25, 0143-9680-25, 0143-9679-10</t>
  </si>
  <si>
    <t>36</t>
  </si>
  <si>
    <t>Labetalol</t>
  </si>
  <si>
    <t>LABETALOL</t>
  </si>
  <si>
    <t>TRANDATE®</t>
  </si>
  <si>
    <t>Cardiovascular Agent</t>
  </si>
  <si>
    <t>LABETALOL HCl Injection, USP</t>
  </si>
  <si>
    <t>0143-9622-01, 0143-9623-01</t>
  </si>
  <si>
    <t>Metoprolol</t>
  </si>
  <si>
    <t>METOPROLOL</t>
  </si>
  <si>
    <t>LOPRESSOR®</t>
  </si>
  <si>
    <t>Selective beta1-adrenoreceptor blocking agent</t>
  </si>
  <si>
    <t>METOPROLOL Tartrate Injection, USP</t>
  </si>
  <si>
    <t>0143-9873-25, 0143-9660-10</t>
  </si>
  <si>
    <t>Orfenadrina</t>
  </si>
  <si>
    <t>ORPHENADRINE</t>
  </si>
  <si>
    <t>NORFLEX®</t>
  </si>
  <si>
    <t>Muscle Relaxant</t>
  </si>
  <si>
    <t>ORPHENADRINE Citrate Injection, USP</t>
  </si>
  <si>
    <t>0641-6182-25</t>
  </si>
  <si>
    <t>Pentobarbital</t>
  </si>
  <si>
    <t>PENTOBARBITAL</t>
  </si>
  <si>
    <t>NEMBUTAL® SODIUM</t>
  </si>
  <si>
    <t>Sedative - Hypnotic/Anxiolytic</t>
  </si>
  <si>
    <t>PENTOBARBITAL Sodium Injection, USP, C-II</t>
  </si>
  <si>
    <t>24201-010-20, 24201-010-50</t>
  </si>
  <si>
    <t>Proclorperazina</t>
  </si>
  <si>
    <t>PROCHLORPERAZINE</t>
  </si>
  <si>
    <t>COMPAZINE®</t>
  </si>
  <si>
    <t>Phenothiazines/Antiemetic</t>
  </si>
  <si>
    <t>PROCHLORPERAZINE Edisylate Injection, USP</t>
  </si>
  <si>
    <t>0641-6135-25</t>
  </si>
  <si>
    <t>56</t>
  </si>
  <si>
    <t>Progesterona</t>
  </si>
  <si>
    <t>PROGESTERONE</t>
  </si>
  <si>
    <t>Progestine (Hormone)</t>
  </si>
  <si>
    <t>PROGESTERONE Injection, USP</t>
  </si>
  <si>
    <t>0143-9725-01</t>
  </si>
  <si>
    <t>Sem histórico na base NN. EXCLUSÃO: Fora do escopo Non Retail (canal Retail/especialidade).</t>
  </si>
  <si>
    <t>Sumatriptana</t>
  </si>
  <si>
    <t>SUMATRIPTAN</t>
  </si>
  <si>
    <t>IMITREX®</t>
  </si>
  <si>
    <t>Antimigraine</t>
  </si>
  <si>
    <t>SUMATRIPTAN Injection, USP</t>
  </si>
  <si>
    <t>0143-9638-05</t>
  </si>
  <si>
    <t>60</t>
  </si>
  <si>
    <t>Terbutalina</t>
  </si>
  <si>
    <t>TERBUTALINE</t>
  </si>
  <si>
    <t>BRETHINE®</t>
  </si>
  <si>
    <t>Bronchodilator</t>
  </si>
  <si>
    <t>TERBUTALINE Sulfate Injection, USP</t>
  </si>
  <si>
    <t>0143-9746-10</t>
  </si>
  <si>
    <t>Testosterona</t>
  </si>
  <si>
    <t>TESTOSTERONE</t>
  </si>
  <si>
    <t>DELATESTRYL® | DEPO-TESTOSTERONE®</t>
  </si>
  <si>
    <t>Androgen</t>
  </si>
  <si>
    <t>TESTOSTERONE CYPIONATE Injection, USP, C-III | TESTOSTERONE ENANTHATE Injection, USP, C-III</t>
  </si>
  <si>
    <t>0143-9726-01, 0143-9659-01, 0143-9750-01</t>
  </si>
  <si>
    <t>61</t>
  </si>
  <si>
    <t>Valproato de sódio</t>
  </si>
  <si>
    <t>VALPROATE</t>
  </si>
  <si>
    <t>DEPACON®</t>
  </si>
  <si>
    <t>VALPROATE Sodium Injection, USP</t>
  </si>
  <si>
    <t>0143-9785-10</t>
  </si>
  <si>
    <t>Metotrexato</t>
  </si>
  <si>
    <t>METHOTREXATE</t>
  </si>
  <si>
    <t>Therakind</t>
  </si>
  <si>
    <t>2023-06-15</t>
  </si>
  <si>
    <t>AP | AP/RS</t>
  </si>
  <si>
    <t>Antimetabolite Cytotoxic Agent</t>
  </si>
  <si>
    <t>METHOTREXATE Injection, USP | METHOTREXATE for Injection, USP</t>
  </si>
  <si>
    <t>0143-9830-01, 0143-9519-10</t>
  </si>
  <si>
    <t>45</t>
  </si>
  <si>
    <t>Base NN: 1 parceiro(s), situação ativo. EXCLUSÃO: Preço unitário na faixa D não absorve frete, imposto, estoque e margem de importação de acabado.</t>
  </si>
  <si>
    <t>Heparina</t>
  </si>
  <si>
    <t>HEPARIN</t>
  </si>
  <si>
    <t>ARAP, NISHI &amp; UYEDA ADVOGADOS (VIA MASSAMI), Aculife, Cormedix</t>
  </si>
  <si>
    <t>2018-11-01, 2023-04-26, 2023-06-07</t>
  </si>
  <si>
    <t>Anticoagulant</t>
  </si>
  <si>
    <t>HEPARIN Sodium Injection, USP</t>
  </si>
  <si>
    <t>0641-0391-12, 0641-0400-12, 0641-0410-12, 0641-6199-10, 0641-6204-10</t>
  </si>
  <si>
    <t>36, 37</t>
  </si>
  <si>
    <t>Base NN: 3 parceiro(s), situação ativo. EXCLUSÃO: Preço unitário na faixa E não absorve frete, imposto, estoque e margem de importação de acabado.</t>
  </si>
  <si>
    <t>Fentanil</t>
  </si>
  <si>
    <t>FENTANYL</t>
  </si>
  <si>
    <t>INSYS</t>
  </si>
  <si>
    <t>2017-04-17</t>
  </si>
  <si>
    <t>*RLD/RS **AP/RLD/RS | Hikma is the Reference Listed Drug</t>
  </si>
  <si>
    <t>Opioid Analgesic</t>
  </si>
  <si>
    <t>FENTANYL Citrate Injection, USP, C-II</t>
  </si>
  <si>
    <t>0641-6249-10, 0641-6248-10, 0641-6247-25, 0641-6027-25, 0641-6028-10, 0641-6029-01, 0641-6030-01</t>
  </si>
  <si>
    <t>32, 33</t>
  </si>
  <si>
    <t>Status EMS: JÁ NO PORTFÓLIO EMS (Fentanil) — aceleração estimada: Extensão de linha. Base NN: 1 parceiro(s), situação passivo (dormente). EXCLUSÃO: Preço unitário na faixa E não absorve frete, imposto, estoque e margem de importação de acabado.</t>
  </si>
  <si>
    <t>Furosemida</t>
  </si>
  <si>
    <t>FUROSEMIDE</t>
  </si>
  <si>
    <t>LASIX®</t>
  </si>
  <si>
    <t>*n/a **AP</t>
  </si>
  <si>
    <t>FUROSEMIDE Injection, USP</t>
  </si>
  <si>
    <t>0143-9155-25, 0143-9156-10, 0143-9157-10, 0143-9158-01, 0143-9159-01</t>
  </si>
  <si>
    <t>Prometazina</t>
  </si>
  <si>
    <t>PROMETHAZINE</t>
  </si>
  <si>
    <t>(Hikma is the brand) | PHENERGAN®</t>
  </si>
  <si>
    <t>Phenothiazine Derivative/ Antiemetic</t>
  </si>
  <si>
    <t>PHENERGAN® Injection (Promethazine HCl Injection, USP) | PROMETHAZINE HCl Injection, USP</t>
  </si>
  <si>
    <t>0641-6082-25, 0641-6083-25, 0641-6084-25, 0641-6085-25, 0641-1495-35, 0641-1496-35, 0641-0928-25, 0641-0929-25</t>
  </si>
  <si>
    <t>54, 56</t>
  </si>
  <si>
    <t>Cefazolina</t>
  </si>
  <si>
    <t>CEFAZOLIN</t>
  </si>
  <si>
    <t>Nenhuma</t>
  </si>
  <si>
    <t>Cefazolina Solução injetável</t>
  </si>
  <si>
    <t>ANCEF® / *n/a</t>
  </si>
  <si>
    <t>AP / *Hikma is the Reference Listed Drug</t>
  </si>
  <si>
    <t>CEFAZOLIN for Injection, USP</t>
  </si>
  <si>
    <t>0143-9923-90, 0143-9924-90, 0143-9139-25, 0143-9140-25, 0143-9983-03</t>
  </si>
  <si>
    <t>Status EMS: JÁ NO PORTFÓLIO EMS (Cefazolina Solução injetável) — aceleração estimada: Nenhuma. Sem histórico na base NN. EXCLUSÃO: Preço unitário na faixa D não absorve frete, imposto, estoque e margem de importação de acabado.</t>
  </si>
  <si>
    <t>Economia de acabado importado não fecha na faixa de preço estimada. EMS já produz — importar destrói margem. Hikma é multinacional: pela lâmina WarMap, "caso a discutir" antes do gate.</t>
  </si>
  <si>
    <t>Lidocaína</t>
  </si>
  <si>
    <t>LIDOCAINE</t>
  </si>
  <si>
    <t>Hypofarma</t>
  </si>
  <si>
    <t>2024-05-16</t>
  </si>
  <si>
    <t>XYLOCAINE®</t>
  </si>
  <si>
    <t>Nerve Block / Anesthetic</t>
  </si>
  <si>
    <t>LIDOCAINE HCl Injection, USP (Preservative Free) | LIDOCAINE HCl Injection, USP (Preserved)</t>
  </si>
  <si>
    <t>0143-9595-25, 0143-9594-25, 0143-9577-10, 0143-9575-10</t>
  </si>
  <si>
    <t>Status EMS: EM GATE (0-3) EMS (Lidocaína) — aceleração estimada: 3 a 5 anos. Base NN: 1 parceiro(s), situação ativo. EXCLUSÃO: Preço unitário na faixa E não absorve frete, imposto, estoque e margem de importação de acabado.</t>
  </si>
  <si>
    <t>Atropina</t>
  </si>
  <si>
    <t>ATROPINE</t>
  </si>
  <si>
    <t>ATROPINE Sulfate Injection, USP</t>
  </si>
  <si>
    <t>0641-6251-10</t>
  </si>
  <si>
    <t>Gluconato de cálcio</t>
  </si>
  <si>
    <t>CALCIUM GLUCONATE</t>
  </si>
  <si>
    <t>CALCIUM GLUCONATE Injection, USP</t>
  </si>
  <si>
    <t>0143-9180-25, 0143-9184-25</t>
  </si>
  <si>
    <t>Clorpromazina</t>
  </si>
  <si>
    <t>CHLORPROMAZINE</t>
  </si>
  <si>
    <t>THORAZINE®</t>
  </si>
  <si>
    <t>chlorproMAZINE HCl Injection, USP</t>
  </si>
  <si>
    <t>0641-1397-35, 0641-1398-35</t>
  </si>
  <si>
    <t>Cisplatina</t>
  </si>
  <si>
    <t>CISPLATIN</t>
  </si>
  <si>
    <t>Privo</t>
  </si>
  <si>
    <t>2024-01-25</t>
  </si>
  <si>
    <t>CISPLATIN®</t>
  </si>
  <si>
    <t>CISplatin Injection</t>
  </si>
  <si>
    <t>0143-9504-01, 0143-9505-01</t>
  </si>
  <si>
    <t>Cianocobalamina</t>
  </si>
  <si>
    <t>CYANOCOBALAMIN</t>
  </si>
  <si>
    <t>Vitamin &amp; Nutritional Supplement</t>
  </si>
  <si>
    <t>CYANOCOBALAMIN Injection, USP</t>
  </si>
  <si>
    <t>0143-9621-25, 0143-9620-10</t>
  </si>
  <si>
    <t>Digoxina</t>
  </si>
  <si>
    <t>DIGOXIN</t>
  </si>
  <si>
    <t>LANOXIN®</t>
  </si>
  <si>
    <t>Positive Inotropic Agent</t>
  </si>
  <si>
    <t>DIGOXIN Injection, USP</t>
  </si>
  <si>
    <t>0641-1410-35</t>
  </si>
  <si>
    <t>Difenidramina</t>
  </si>
  <si>
    <t>DIPHENHYDRAMINE</t>
  </si>
  <si>
    <t>BENADRYL®</t>
  </si>
  <si>
    <t>Antihistamine</t>
  </si>
  <si>
    <t>DiphenhydrAMINE HCl Injection, USP</t>
  </si>
  <si>
    <t>0641-0376-25</t>
  </si>
  <si>
    <t>Dobutamina</t>
  </si>
  <si>
    <t>DOBUTAMINE</t>
  </si>
  <si>
    <t>DOBUTREX®</t>
  </si>
  <si>
    <t>Cardiac Inotrpic Agent</t>
  </si>
  <si>
    <t>DOBUTamine Injection, USP</t>
  </si>
  <si>
    <t>0143-9141-10</t>
  </si>
  <si>
    <t>Dopamina</t>
  </si>
  <si>
    <t>DOPAMINE</t>
  </si>
  <si>
    <t>INTROPIN®</t>
  </si>
  <si>
    <t>DOPamine HCl Injection, USP</t>
  </si>
  <si>
    <t>0143-9252-25, 0143-9254-25</t>
  </si>
  <si>
    <t>Estradiol (valerato)</t>
  </si>
  <si>
    <t>ESTRADIOL</t>
  </si>
  <si>
    <t>DÉBORA SILVA</t>
  </si>
  <si>
    <t>2024-11-12</t>
  </si>
  <si>
    <t>DELESTROGEN®</t>
  </si>
  <si>
    <t>Estrogen</t>
  </si>
  <si>
    <t>ESTRADIOL Valerate Injection, USP</t>
  </si>
  <si>
    <t>0143-9289-01, 0143-9290-01, 0143-9291-01</t>
  </si>
  <si>
    <t>Base NN: 0 parceiro(s), situação ativo. EXCLUSÃO: Fora do escopo Non Retail (canal Retail/especialidade).</t>
  </si>
  <si>
    <t>Famotidina</t>
  </si>
  <si>
    <t>FAMOTIDINE</t>
  </si>
  <si>
    <t>PEPCID®</t>
  </si>
  <si>
    <t>H-2 Histamine Receptor Antagonist</t>
  </si>
  <si>
    <t>FAMOTIDINE Injection, USP</t>
  </si>
  <si>
    <t>0641-6022-25, 0641-6023-10, 0641-6021-10</t>
  </si>
  <si>
    <t>Granisetrona</t>
  </si>
  <si>
    <t>GRANISETRON</t>
  </si>
  <si>
    <t>Cumberland Pharmaceuticals</t>
  </si>
  <si>
    <t>BRYAN FERNANDES</t>
  </si>
  <si>
    <t>PROSPECÇÃO</t>
  </si>
  <si>
    <t>2026-05-25</t>
  </si>
  <si>
    <t>KYTRIL®</t>
  </si>
  <si>
    <t>Antiemetic</t>
  </si>
  <si>
    <t>GRANISETRON HCl Injection, USP</t>
  </si>
  <si>
    <t>0143-9744-10, 0143-9745-05</t>
  </si>
  <si>
    <t>Hidralazina</t>
  </si>
  <si>
    <t>HYDRALAZINE</t>
  </si>
  <si>
    <t>APRESOLINE®</t>
  </si>
  <si>
    <t>hydrALAZINE HCl Injection, USP</t>
  </si>
  <si>
    <t>0641-6231-25</t>
  </si>
  <si>
    <t>37</t>
  </si>
  <si>
    <t>Meperidina (petidina)</t>
  </si>
  <si>
    <t>MEPERIDINE</t>
  </si>
  <si>
    <t>DEMEROL®</t>
  </si>
  <si>
    <t>MEPERIDINE HCl Injection, USP, C-II</t>
  </si>
  <si>
    <t>0641-6052-25, 0641-6053-25, 0641-6054-25</t>
  </si>
  <si>
    <t>Meropenem</t>
  </si>
  <si>
    <t>MEROPENEM</t>
  </si>
  <si>
    <t>Meropenem Solução injetável</t>
  </si>
  <si>
    <t>MIDAS, Melinta Therapeutics, Pharmathen</t>
  </si>
  <si>
    <t>NEGOCIAÇÃO, PASSIVO</t>
  </si>
  <si>
    <t>2019-08-01, 2019-08-09, 2024-01-29</t>
  </si>
  <si>
    <t>MERREM®</t>
  </si>
  <si>
    <t>Carbapenem Antibiotic</t>
  </si>
  <si>
    <t>MEROPENEM for Injection, USP</t>
  </si>
  <si>
    <t>0143-9430-10, 0143-9431-10</t>
  </si>
  <si>
    <t>Status EMS: JÁ NO PORTFÓLIO EMS (Meropenem Solução injetável) — aceleração estimada: Nenhuma. Base NN: 3 parceiro(s), situação ativo. EXCLUSÃO: Qualidade geral abaixo do piso (score &lt; 50).</t>
  </si>
  <si>
    <t>Preço na fronteira: só fecha com volume ou custo logístico baixo. EMS já produz — importar destrói margem. Hikma é multinacional: pela lâmina WarMap, "caso a discutir" antes do gate.</t>
  </si>
  <si>
    <t>Noradrenalina</t>
  </si>
  <si>
    <t>NOREPINEPHRINE</t>
  </si>
  <si>
    <t>LEVOPHED®</t>
  </si>
  <si>
    <t>Peripheral Vasoconstrictor</t>
  </si>
  <si>
    <t>NOREPINEPHRINE Bitartrate Injection, USP</t>
  </si>
  <si>
    <t>0143-9318-10</t>
  </si>
  <si>
    <t>Fenobarbital</t>
  </si>
  <si>
    <t>PHENOBARBITAL</t>
  </si>
  <si>
    <t>n/a</t>
  </si>
  <si>
    <t>Barbiturate</t>
  </si>
  <si>
    <t>PHENOBARBITAL Sodium Injection, USP, C-IV</t>
  </si>
  <si>
    <t>0641-0476-25, 0641-0477-25</t>
  </si>
  <si>
    <t>Rocurônio</t>
  </si>
  <si>
    <t>ROCURONIUM</t>
  </si>
  <si>
    <t>Aculife, Viatris</t>
  </si>
  <si>
    <t>AV. MARKETING, NEGOCIAÇÃO</t>
  </si>
  <si>
    <t>2022-04-13, 2023-04-26</t>
  </si>
  <si>
    <t>ZEMURON®</t>
  </si>
  <si>
    <t>Sterile AP</t>
  </si>
  <si>
    <t>ROCURONIUM Bromide Injection</t>
  </si>
  <si>
    <t>0143-9250-10, 0143-9251-10</t>
  </si>
  <si>
    <t>Base NN: 2 parceiro(s), situação ativo. EXCLUSÃO: Preço unitário na faixa D não absorve frete, imposto, estoque e margem de importação de acabado.</t>
  </si>
  <si>
    <t>Acetato de sódio</t>
  </si>
  <si>
    <t>SODIUM ACETATE</t>
  </si>
  <si>
    <t>Blood and Blood Forming Organs</t>
  </si>
  <si>
    <t>SODIUM ACETATE Injection, USP</t>
  </si>
  <si>
    <t>0641-6261-01</t>
  </si>
  <si>
    <t>Água para injeção</t>
  </si>
  <si>
    <t>STERILE WATER</t>
  </si>
  <si>
    <t>Diluent</t>
  </si>
  <si>
    <t>STERILE WATER for Injection, USP</t>
  </si>
  <si>
    <t>0641-6147-10</t>
  </si>
  <si>
    <t>Tiamina</t>
  </si>
  <si>
    <t>THIAMINE</t>
  </si>
  <si>
    <t>Vitamin and Nutritional Supplement</t>
  </si>
  <si>
    <t>THIAMINE HCl Injection, USP</t>
  </si>
  <si>
    <t>0641-6228-25</t>
  </si>
  <si>
    <t>Bupivacaína</t>
  </si>
  <si>
    <t>BUPIVACAINE</t>
  </si>
  <si>
    <t>Heron, Pacira BioSciences</t>
  </si>
  <si>
    <t>DANIELA SOLHA, DÉBORA SILVA</t>
  </si>
  <si>
    <t>AV. MARKETING, PROSPECÇÃO</t>
  </si>
  <si>
    <t>2023-05-18, 2026-02-13</t>
  </si>
  <si>
    <t>MARCAINE®</t>
  </si>
  <si>
    <t>Local Anesthetic</t>
  </si>
  <si>
    <t>BUPIVACAINE HCl Injection, USP</t>
  </si>
  <si>
    <t>0143-9330-10, 0143-9331-10, 0143-9332-10, 0143-9333-10, 0143-9334-10, 0143-9335-10, 0143-9328-10, 0143-9329-10</t>
  </si>
  <si>
    <t>Base NN: 2 parceiro(s), situação ativo. EXCLUSÃO: Preço unitário na faixa E não absorve frete, imposto, estoque e margem de importação de acabado.</t>
  </si>
  <si>
    <t>Ceftriaxona</t>
  </si>
  <si>
    <t>CEFTRIAXONE</t>
  </si>
  <si>
    <t>Ceftriaxona Solução injetável</t>
  </si>
  <si>
    <t>ROCEPHIN®</t>
  </si>
  <si>
    <t>CEFTRIAXONE for Injection, USP</t>
  </si>
  <si>
    <t>0143-9859-25, 0143-9858-25, 0143-9857-25, 0143-9856-25, 0143-9678-01</t>
  </si>
  <si>
    <t>Status EMS: JÁ NO PORTFÓLIO EMS (Ceftriaxona Solução injetável) — aceleração estimada: Nenhuma. Sem histórico na base NN. EXCLUSÃO: Preço unitário na faixa D não absorve frete, imposto, estoque e margem de importação de acabado.</t>
  </si>
  <si>
    <t>Dexametasona</t>
  </si>
  <si>
    <t>DEXAMETHASONE</t>
  </si>
  <si>
    <t>Aculife, Hypofarma, Mitsubishi Tanabe pharma, TLC Bioscience</t>
  </si>
  <si>
    <t>AGUARDANDO INÍCIO, AV. TÉCNICA INICIAL, NEGOCIAÇÃO</t>
  </si>
  <si>
    <t>2023-04-26, 2023-08-10, 2023-09-18, 2024-05-16</t>
  </si>
  <si>
    <t>Corticosteroid</t>
  </si>
  <si>
    <t>DEXAMETHASONE Sodium Phosphate Injection, USP</t>
  </si>
  <si>
    <t>0641-6145-25, 0641-6146-10, 0641-0367-25</t>
  </si>
  <si>
    <t>Base NN: 4 parceiro(s), situação ativo. EXCLUSÃO: Preço unitário na faixa E não absorve frete, imposto, estoque e margem de importação de acabado.</t>
  </si>
  <si>
    <t>Ondansetrona</t>
  </si>
  <si>
    <t>ONDANSETRON</t>
  </si>
  <si>
    <t>ZOFRAN®</t>
  </si>
  <si>
    <t>ONDANSETRON Injection, USP</t>
  </si>
  <si>
    <t>0641-6078-25, 0641-6079-01</t>
  </si>
  <si>
    <t>Amicacina</t>
  </si>
  <si>
    <t>AMIKACIN</t>
  </si>
  <si>
    <t>Amicacina Solução injetável</t>
  </si>
  <si>
    <t>Aminoglycoside Antibiotic</t>
  </si>
  <si>
    <t>AMIKACIN Sulfate Injection, USP</t>
  </si>
  <si>
    <t>0641-6167-10, 0641-6166-10</t>
  </si>
  <si>
    <t>Status EMS: JÁ NO PORTFÓLIO EMS (Amicacina Solução injetável) — aceleração estimada: Nenhuma. Sem histórico na base NN. EXCLUSÃO: Preço unitário na faixa D não absorve frete, imposto, estoque e margem de importação de acabado.</t>
  </si>
  <si>
    <t>Ampicilina + Sulbactam</t>
  </si>
  <si>
    <t>AMPICILLIN AND SULBACTAM</t>
  </si>
  <si>
    <t>Ampicilina + Sulbactam Solução injetável</t>
  </si>
  <si>
    <t>CSPC, Innoviva, Innoviva Specialty Therapeutics, NCPC, Qilu Pharmaceutical, Shanghai Fosun Pharmaceutical / Suzhou Erye Pharmaceutical Co., Ltd</t>
  </si>
  <si>
    <t>DANIELA SOLHA, LIVIA SILVA</t>
  </si>
  <si>
    <t>AV. TÉCNICA INICIAL, PROSPECÇÃO</t>
  </si>
  <si>
    <t>2023-09-22, 2025-08-26, 2026-06-18</t>
  </si>
  <si>
    <t>UNASYN®</t>
  </si>
  <si>
    <t>AMPICILLIN and SULBACTAM for Injection, USP</t>
  </si>
  <si>
    <t>0641-6116-10, 0641-6117-10, 0641-6118-01</t>
  </si>
  <si>
    <t>Status EMS: JÁ NO PORTFÓLIO EMS (Ampicilina + Sulbactam Solução injetável) — aceleração estimada: Nenhuma. Base NN: 6 parceiro(s), situação ativo. EXCLUSÃO: Preço unitário na faixa D não absorve frete, imposto, estoque e margem de importação de acabado.</t>
  </si>
  <si>
    <t>Página PDF</t>
  </si>
  <si>
    <t>Produto (catálogo Hikma)</t>
  </si>
  <si>
    <t>Referência (Comparable To)</t>
  </si>
  <si>
    <t>Descrição do produto</t>
  </si>
  <si>
    <t>FDA Rating</t>
  </si>
  <si>
    <t>NDC</t>
  </si>
  <si>
    <t>Concentração</t>
  </si>
  <si>
    <t>Conteúdo total de fármaco</t>
  </si>
  <si>
    <t>Volume de enchimento</t>
  </si>
  <si>
    <t>Tamanho da unidade</t>
  </si>
  <si>
    <t>Embalagem</t>
  </si>
  <si>
    <t>Fechamento (closure)</t>
  </si>
  <si>
    <t>Forma</t>
  </si>
  <si>
    <t>Bolsa pronta p/ uso</t>
  </si>
  <si>
    <t>Recomendação</t>
  </si>
  <si>
    <t>Clear, Colorless to Faint Yellow Solution</t>
  </si>
  <si>
    <t>0143-9386-10</t>
  </si>
  <si>
    <t>10 mg / mL</t>
  </si>
  <si>
    <t>1,000 mg / 100 mL</t>
  </si>
  <si>
    <t>100 mL</t>
  </si>
  <si>
    <t>10 bags</t>
  </si>
  <si>
    <t>5.2 mm</t>
  </si>
  <si>
    <t>Clear, Colorless to Slightly Yellowish Solution</t>
  </si>
  <si>
    <t>24201-100-24</t>
  </si>
  <si>
    <t>24 vials</t>
  </si>
  <si>
    <t>32 mm</t>
  </si>
  <si>
    <t>White to Pale Yellow Powder</t>
  </si>
  <si>
    <t>Powder</t>
  </si>
  <si>
    <t>500 mg / vial</t>
  </si>
  <si>
    <t>20 mL</t>
  </si>
  <si>
    <t>1 vial</t>
  </si>
  <si>
    <t>20 mm</t>
  </si>
  <si>
    <t>Pó</t>
  </si>
  <si>
    <t>Colorless Solution</t>
  </si>
  <si>
    <t>200 mg / mL</t>
  </si>
  <si>
    <t>6 g / 30 mL</t>
  </si>
  <si>
    <t>30 mL</t>
  </si>
  <si>
    <t>4 vials</t>
  </si>
  <si>
    <t>White Lyophilized Powder</t>
  </si>
  <si>
    <t>50 mL</t>
  </si>
  <si>
    <t>Clear, Colorless to Pale Yellow Liquid</t>
  </si>
  <si>
    <t>0641-6166-10</t>
  </si>
  <si>
    <t>250 mg / mL</t>
  </si>
  <si>
    <t>1 g / 4 mL</t>
  </si>
  <si>
    <t>4 mL</t>
  </si>
  <si>
    <t>5 mL</t>
  </si>
  <si>
    <t>10 vials</t>
  </si>
  <si>
    <t>13 mm</t>
  </si>
  <si>
    <t>0641-6167-10</t>
  </si>
  <si>
    <t>500 mg / 2 mL</t>
  </si>
  <si>
    <t>2 mL</t>
  </si>
  <si>
    <t>Clear, Pale Yellow Solution</t>
  </si>
  <si>
    <t>50 mg / mL</t>
  </si>
  <si>
    <t>150 mg / 3 mL</t>
  </si>
  <si>
    <t>3 mL</t>
  </si>
  <si>
    <t>25 vials</t>
  </si>
  <si>
    <t>Sterile, Off-White Dry Powder</t>
  </si>
  <si>
    <t>0641-6116-10</t>
  </si>
  <si>
    <t>1.5 g / vial</t>
  </si>
  <si>
    <t>0641-6117-10</t>
  </si>
  <si>
    <t>3 g / vial</t>
  </si>
  <si>
    <t>0641-6118-01</t>
  </si>
  <si>
    <t>15 g / vial</t>
  </si>
  <si>
    <t>Clear, Colorless to Pale Yellow Solution</t>
  </si>
  <si>
    <t>0143-9559-01</t>
  </si>
  <si>
    <t>1 mg / mL</t>
  </si>
  <si>
    <t>50 mg / 50 mL</t>
  </si>
  <si>
    <t>0143-9674-01</t>
  </si>
  <si>
    <t>100 mg / mL</t>
  </si>
  <si>
    <t>250 mg / 2.5 mL</t>
  </si>
  <si>
    <t>2.5 mL</t>
  </si>
  <si>
    <t>ATIVAN® INJECTION (Lorazepam Injection, USP), C-IV</t>
  </si>
  <si>
    <t>Clear, Colorless Liquid</t>
  </si>
  <si>
    <t>0641-6000-10</t>
  </si>
  <si>
    <t>2 mg / mL</t>
  </si>
  <si>
    <t>20 mg / 10 mL</t>
  </si>
  <si>
    <t>10 mL</t>
  </si>
  <si>
    <t>0641-6001-25</t>
  </si>
  <si>
    <t>1 mL</t>
  </si>
  <si>
    <t>0641-6002-10</t>
  </si>
  <si>
    <t>4 mg / mL</t>
  </si>
  <si>
    <t>40 mg / 10 mL</t>
  </si>
  <si>
    <t>0641-6003-25</t>
  </si>
  <si>
    <t>0.4 mg / mL</t>
  </si>
  <si>
    <t>8 mg / 20 mL</t>
  </si>
  <si>
    <t>16.5 mm</t>
  </si>
  <si>
    <t>White to Off-White Lyophilized Powder</t>
  </si>
  <si>
    <t>100 mg / vial</t>
  </si>
  <si>
    <t>Sterile Lyophilized Yellow Salt</t>
  </si>
  <si>
    <t>Clear, Colorless Solution</t>
  </si>
  <si>
    <t>0143-9233-05</t>
  </si>
  <si>
    <t>2 mg / 2 mL</t>
  </si>
  <si>
    <t>5 vials</t>
  </si>
  <si>
    <t>0143-9729-05</t>
  </si>
  <si>
    <t>5 ampuls</t>
  </si>
  <si>
    <t>ampul</t>
  </si>
  <si>
    <t>White to Off-White Sterile Powder</t>
  </si>
  <si>
    <t>0143-9240-01</t>
  </si>
  <si>
    <t>15 units / vial</t>
  </si>
  <si>
    <t>6 mL</t>
  </si>
  <si>
    <t>0143-9241-01</t>
  </si>
  <si>
    <t>30 units / vial</t>
  </si>
  <si>
    <t>White to Off White Lyophilized Powder</t>
  </si>
  <si>
    <t>3.5 mg / vial</t>
  </si>
  <si>
    <t>8 mL</t>
  </si>
  <si>
    <t>Clear, Colorless to Slightly Yellow Solution</t>
  </si>
  <si>
    <t>0641-6007-10</t>
  </si>
  <si>
    <t>0.25 mg / mL</t>
  </si>
  <si>
    <t>2.5 mg / 10 mL</t>
  </si>
  <si>
    <t>0641-6008-10</t>
  </si>
  <si>
    <t>1 mg / 4 mL</t>
  </si>
  <si>
    <t>0143-9328-10</t>
  </si>
  <si>
    <t>2.5 mg / mL</t>
  </si>
  <si>
    <t>125 mg / 50 mL</t>
  </si>
  <si>
    <t>0143-9329-10</t>
  </si>
  <si>
    <t>5 mg / mL</t>
  </si>
  <si>
    <t>250 mg / 50 mL</t>
  </si>
  <si>
    <t>0143-9330-10</t>
  </si>
  <si>
    <t>25 mg / 10 mL</t>
  </si>
  <si>
    <t>0143-9331-10</t>
  </si>
  <si>
    <t>50 mg / 10 mL</t>
  </si>
  <si>
    <t>0143-9332-10</t>
  </si>
  <si>
    <t>7.5 mg / mL</t>
  </si>
  <si>
    <t>75 mg / 10 mL</t>
  </si>
  <si>
    <t>0143-9333-10</t>
  </si>
  <si>
    <t>75 mg / 30 mL</t>
  </si>
  <si>
    <t>0143-9334-10</t>
  </si>
  <si>
    <t>150 mg / 30 mL</t>
  </si>
  <si>
    <t>0143-9335-10</t>
  </si>
  <si>
    <t>225 mg / 30 mL</t>
  </si>
  <si>
    <t>20 mg / mL</t>
  </si>
  <si>
    <t>60 mg / 3 mL</t>
  </si>
  <si>
    <t>200 USP units / mL</t>
  </si>
  <si>
    <t>400 USP units / 2 mL</t>
  </si>
  <si>
    <t>0143-9180-25</t>
  </si>
  <si>
    <t>1,000 mg / 10 mL</t>
  </si>
  <si>
    <t>0143-9184-25</t>
  </si>
  <si>
    <t>5,000 mg / 50 mL</t>
  </si>
  <si>
    <t>250 mcg / mL</t>
  </si>
  <si>
    <t>White to Off-White Crystalline Powder</t>
  </si>
  <si>
    <t>0143-9139-25</t>
  </si>
  <si>
    <t>2 g / vial</t>
  </si>
  <si>
    <t>0143-9140-25</t>
  </si>
  <si>
    <t>0143-9923-90</t>
  </si>
  <si>
    <t>0143-9924-90</t>
  </si>
  <si>
    <t>1 g / vial</t>
  </si>
  <si>
    <t>0143-9983-03</t>
  </si>
  <si>
    <t>10 g / vial</t>
  </si>
  <si>
    <t>White to Off-White Powder</t>
  </si>
  <si>
    <t>0143-9876-10</t>
  </si>
  <si>
    <t>0143-9877-25</t>
  </si>
  <si>
    <t>0143-9878-25</t>
  </si>
  <si>
    <t>White to Yellowish-Orange Crystalline Powder</t>
  </si>
  <si>
    <t>0143-9678-01</t>
  </si>
  <si>
    <t>0143-9856-25</t>
  </si>
  <si>
    <t>0143-9857-25</t>
  </si>
  <si>
    <t>0143-9858-25</t>
  </si>
  <si>
    <t>0143-9859-25</t>
  </si>
  <si>
    <t>250 mg / vial</t>
  </si>
  <si>
    <t>0143-9977-22</t>
  </si>
  <si>
    <t>0143-9979-22</t>
  </si>
  <si>
    <t>750 mg / vial</t>
  </si>
  <si>
    <t>Clear, Colorless to Light Yellow Solution</t>
  </si>
  <si>
    <t>0143-9209-10</t>
  </si>
  <si>
    <t>2% 400 mg / 20 mL</t>
  </si>
  <si>
    <t>0143-9210-10</t>
  </si>
  <si>
    <t>30 mg / mL</t>
  </si>
  <si>
    <t>3% 600 mg / 20 mL</t>
  </si>
  <si>
    <t>Colorless to Slightly Yellow Greenish-Yellow Solution</t>
  </si>
  <si>
    <t>10 mg / 5 mL</t>
  </si>
  <si>
    <t>Clear, Colorless Sterile Aqueous Solution</t>
  </si>
  <si>
    <t>0143-9504-01</t>
  </si>
  <si>
    <t>0143-9505-01</t>
  </si>
  <si>
    <t>100 mg / 100 mL</t>
  </si>
  <si>
    <t>Clear, Colorless to Slightly Yellow Liquid</t>
  </si>
  <si>
    <t>0641-1397-35</t>
  </si>
  <si>
    <t>25 mg / mL</t>
  </si>
  <si>
    <t>25 ampuls</t>
  </si>
  <si>
    <t>0641-1398-35</t>
  </si>
  <si>
    <t>50 mg / 2 mL</t>
  </si>
  <si>
    <t>agent Clear, Colorless Sterile Isotonic Solution</t>
  </si>
  <si>
    <t>10 mg / 10 mL</t>
  </si>
  <si>
    <t>Clear, Colorless or Having a Slight Color Liquid</t>
  </si>
  <si>
    <t>0143-9267-01</t>
  </si>
  <si>
    <t>6 mg / mL</t>
  </si>
  <si>
    <t>300 mg / 50 mL</t>
  </si>
  <si>
    <t>0143-9268-01</t>
  </si>
  <si>
    <t>12 mg / mL</t>
  </si>
  <si>
    <t>600 mg / 50 mL</t>
  </si>
  <si>
    <t>0143-9269-01</t>
  </si>
  <si>
    <t>18 mg / mL</t>
  </si>
  <si>
    <t>900 mg / 50 mL</t>
  </si>
  <si>
    <t>Clear, Colorless Sterile Solution</t>
  </si>
  <si>
    <t>0143-9723-01</t>
  </si>
  <si>
    <t>0.5 mg / mL</t>
  </si>
  <si>
    <t>5,000 mcg / 10 mL</t>
  </si>
  <si>
    <t>0143-9724-01</t>
  </si>
  <si>
    <t>0.1 mg / mL</t>
  </si>
  <si>
    <t>1,000 mcg / 10 mL</t>
  </si>
  <si>
    <t>10 mg/3 mg / mL</t>
  </si>
  <si>
    <t>1,000 mg/300 mg / 100mL</t>
  </si>
  <si>
    <t>28 mm</t>
  </si>
  <si>
    <t>White to Slightly Yellow Lyophilized Cake</t>
  </si>
  <si>
    <t>70594-023-01</t>
  </si>
  <si>
    <t>150 mg / vial</t>
  </si>
  <si>
    <t>70594-023-04</t>
  </si>
  <si>
    <t>12 vials</t>
  </si>
  <si>
    <t>Red Liquid</t>
  </si>
  <si>
    <t>0143-9620-10</t>
  </si>
  <si>
    <t>1,000 mcg / mL</t>
  </si>
  <si>
    <t>10,000 mcg / 10 mL</t>
  </si>
  <si>
    <t>0143-9621-25</t>
  </si>
  <si>
    <t>Colorless to Ivory Colored Solid</t>
  </si>
  <si>
    <t>200 mg / vial</t>
  </si>
  <si>
    <t>Orange to Yellowish Sterile Lyophilized Powder</t>
  </si>
  <si>
    <t>20 mg / vial</t>
  </si>
  <si>
    <t>Pale Yellow to Light Brown Lyophilized Cake</t>
  </si>
  <si>
    <t>RLD/*Hikma is the Reference Listed Drug</t>
  </si>
  <si>
    <t>70594-053-01</t>
  </si>
  <si>
    <t>350 mg / vial</t>
  </si>
  <si>
    <t>15 mL</t>
  </si>
  <si>
    <t>70594-060-01</t>
  </si>
  <si>
    <t>70594-066-01</t>
  </si>
  <si>
    <t>70594-034-01</t>
  </si>
  <si>
    <t>Deep Red Sterile Liquid</t>
  </si>
  <si>
    <t>0143-9550-01</t>
  </si>
  <si>
    <t>0143-9551-10</t>
  </si>
  <si>
    <t>20 mg / 4 mL</t>
  </si>
  <si>
    <t>White to Almost-White Lyophilized Powder</t>
  </si>
  <si>
    <t>50 mg / vial</t>
  </si>
  <si>
    <t>0641-0367-25</t>
  </si>
  <si>
    <t>0641-6145-25</t>
  </si>
  <si>
    <t>0641-6146-10</t>
  </si>
  <si>
    <t>20 mg / 5 mL</t>
  </si>
  <si>
    <t>DEXMEDETOMIDINE HCl Injection</t>
  </si>
  <si>
    <t>0143-9532-25</t>
  </si>
  <si>
    <t>100 mcg / mL</t>
  </si>
  <si>
    <t>200 mcg / 2 mL</t>
  </si>
  <si>
    <t>DEXMEDETOMIDINE HCl in 0.9% NaCl Injection</t>
  </si>
  <si>
    <t>0143-9525-10</t>
  </si>
  <si>
    <t>4 mcg / mL</t>
  </si>
  <si>
    <t>400 mcg / 100 mL</t>
  </si>
  <si>
    <t>Twist off 5.2 mm</t>
  </si>
  <si>
    <t>0143-9526-10</t>
  </si>
  <si>
    <t>200 mcg / 50 mL</t>
  </si>
  <si>
    <t>Sterile, Pyrogen-Free Lyophilizate</t>
  </si>
  <si>
    <t>0143-9247-01</t>
  </si>
  <si>
    <t>0143-9248-01</t>
  </si>
  <si>
    <t>Benzodiazepine/Sedative</t>
  </si>
  <si>
    <t>Colorless to Light Yellow Liquid</t>
  </si>
  <si>
    <t>0641-6243-10</t>
  </si>
  <si>
    <t>Benzodiazepine/Anxiolytic</t>
  </si>
  <si>
    <t>0641-6244-10</t>
  </si>
  <si>
    <t>10 mg / 2 mL</t>
  </si>
  <si>
    <t>2.25 mL</t>
  </si>
  <si>
    <t>10 syringes</t>
  </si>
  <si>
    <t>9 mm</t>
  </si>
  <si>
    <t>20 mg / 2 mL</t>
  </si>
  <si>
    <t>500 mcg / 2 mL</t>
  </si>
  <si>
    <t>0641-6013-10</t>
  </si>
  <si>
    <t>25 mg / 5 mL</t>
  </si>
  <si>
    <t>0641-6014-10</t>
  </si>
  <si>
    <t>0641-6015-10</t>
  </si>
  <si>
    <t>125 mg / 25 mL</t>
  </si>
  <si>
    <t>25 mL</t>
  </si>
  <si>
    <t>Clear, Pale Yellow Liquid</t>
  </si>
  <si>
    <t>12.5 mg / mL</t>
  </si>
  <si>
    <t>250 mg / 20 mL</t>
  </si>
  <si>
    <t>Pale Yellow to Brownish Yellow Solution</t>
  </si>
  <si>
    <t>0143-9204-01</t>
  </si>
  <si>
    <t>0143-9205-01</t>
  </si>
  <si>
    <t>80 mg / 4 mL</t>
  </si>
  <si>
    <t>400 mg / 20 mL</t>
  </si>
  <si>
    <t>Clear, Colorless to Slightly Yellow Aqueous Solution</t>
  </si>
  <si>
    <t>0143-9252-25</t>
  </si>
  <si>
    <t>40 mg / mL</t>
  </si>
  <si>
    <t>200 mg / 5 mL</t>
  </si>
  <si>
    <t>0143-9254-25</t>
  </si>
  <si>
    <t>400 mg / 10 mL</t>
  </si>
  <si>
    <t>DOXOrubicin HCl Injection, USP</t>
  </si>
  <si>
    <t>II Red-Orange Solution</t>
  </si>
  <si>
    <t>0143-9084-01</t>
  </si>
  <si>
    <t>2 mg/ mL</t>
  </si>
  <si>
    <t>0143-9085-01</t>
  </si>
  <si>
    <t>0143-9086-01</t>
  </si>
  <si>
    <t>50 mg / 25 mL</t>
  </si>
  <si>
    <t>0143-9087-01</t>
  </si>
  <si>
    <t>200 mg / 100 mL</t>
  </si>
  <si>
    <t>DOXOrubicin HCl for Injection, USP</t>
  </si>
  <si>
    <t>II Sterile Red-Orange Lyophilized Powder</t>
  </si>
  <si>
    <t>0143-9092-01</t>
  </si>
  <si>
    <t>10 mg / vial</t>
  </si>
  <si>
    <t>0143-9093-01</t>
  </si>
  <si>
    <t>Yellow Lyophilized Powder</t>
  </si>
  <si>
    <t>0143-9514-25</t>
  </si>
  <si>
    <t>5 mg / 2 mL</t>
  </si>
  <si>
    <t>0143-9515-25</t>
  </si>
  <si>
    <t>DURAMORPH® (Morphine Sulfate Injection, USP), C-II</t>
  </si>
  <si>
    <t>0641-6019-10</t>
  </si>
  <si>
    <t>10 ampuls</t>
  </si>
  <si>
    <t>0641-6020-10</t>
  </si>
  <si>
    <t>5 mg / 10 mL</t>
  </si>
  <si>
    <t>0143-9786-10</t>
  </si>
  <si>
    <t>1.25 mg / mL</t>
  </si>
  <si>
    <t>2.5 mg / 2 mL</t>
  </si>
  <si>
    <t>0143-9787-10</t>
  </si>
  <si>
    <t>EPHEDRINE Sulfate Injection, USP</t>
  </si>
  <si>
    <t>0641-6238-25</t>
  </si>
  <si>
    <t>1 mg / 2 mL</t>
  </si>
  <si>
    <t>7 mL</t>
  </si>
  <si>
    <t>ePHEDrine Sulfate Injection, USP</t>
  </si>
  <si>
    <t>0641-6236-10</t>
  </si>
  <si>
    <t>White To Off-White Hygroscopic, Weakly Crystalline Powder</t>
  </si>
  <si>
    <t>0143-9289-01</t>
  </si>
  <si>
    <t>50 mg / 5 mL</t>
  </si>
  <si>
    <t>0143-9290-01</t>
  </si>
  <si>
    <t>100 mg / 5 mL</t>
  </si>
  <si>
    <t>0143-9291-01</t>
  </si>
  <si>
    <t>Clear, Colorless Aqueous Solution</t>
  </si>
  <si>
    <t>0143-9506-10</t>
  </si>
  <si>
    <t>0143-9507-10</t>
  </si>
  <si>
    <t>40 mg / 20 mL</t>
  </si>
  <si>
    <t>Clear, Nearly Colorless to Yellow Liquid</t>
  </si>
  <si>
    <t>0143-9510-01</t>
  </si>
  <si>
    <t>0143-9511-01</t>
  </si>
  <si>
    <t>500 mg / 25 mL</t>
  </si>
  <si>
    <t>0143-9512-01</t>
  </si>
  <si>
    <t>1 g / 50 mL</t>
  </si>
  <si>
    <t>0641-6021-10</t>
  </si>
  <si>
    <t>200 mg / 20 mL</t>
  </si>
  <si>
    <t>0641-6022-25</t>
  </si>
  <si>
    <t>0641-6023-10</t>
  </si>
  <si>
    <t>40 mg / 4 mL</t>
  </si>
  <si>
    <t>*RLD/RS **AP/RLD/RS</t>
  </si>
  <si>
    <t>0641-6248-10</t>
  </si>
  <si>
    <t>50 mcg / mL</t>
  </si>
  <si>
    <t>1.25 mL</t>
  </si>
  <si>
    <t>0641-6249-10</t>
  </si>
  <si>
    <t>25 mcg / 0.5 mL</t>
  </si>
  <si>
    <t>0.5 mL</t>
  </si>
  <si>
    <t>0641-6027-25</t>
  </si>
  <si>
    <t>0.05 mg / mL</t>
  </si>
  <si>
    <t>100 mcg / 2 mL</t>
  </si>
  <si>
    <t>0641-6028-10</t>
  </si>
  <si>
    <t>250 mcg / 5 mL</t>
  </si>
  <si>
    <t>0641-6029-01</t>
  </si>
  <si>
    <t>1,000 mcg / 20 mL</t>
  </si>
  <si>
    <t>0641-6030-01</t>
  </si>
  <si>
    <t>2,500 mcg / 50 mL</t>
  </si>
  <si>
    <t>0641-6247-25</t>
  </si>
  <si>
    <t>0143-9783-10</t>
  </si>
  <si>
    <t>1 mg / 10 mL</t>
  </si>
  <si>
    <t>0143-9784-10</t>
  </si>
  <si>
    <t>0.5 mg / 5 mL</t>
  </si>
  <si>
    <t>Pale Yellow Liquid</t>
  </si>
  <si>
    <t>125 mg / 5 mL</t>
  </si>
  <si>
    <t>24 mg / mL</t>
  </si>
  <si>
    <t>6,000 mg / 250 mL</t>
  </si>
  <si>
    <t>250 mL</t>
  </si>
  <si>
    <t>1 bottle</t>
  </si>
  <si>
    <t>Clear, Colorless to Yellow Viscous Solution</t>
  </si>
  <si>
    <t>250 mg / 5 mL</t>
  </si>
  <si>
    <t>2 syringes</t>
  </si>
  <si>
    <t>0143-9155-25</t>
  </si>
  <si>
    <t>0143-9156-10</t>
  </si>
  <si>
    <t>0143-9157-10</t>
  </si>
  <si>
    <t>100 mg / 10 mL</t>
  </si>
  <si>
    <t>0143-9158-01</t>
  </si>
  <si>
    <t>500 mg / 50 mL</t>
  </si>
  <si>
    <t>0143-9159-01</t>
  </si>
  <si>
    <t>0143-9679-10</t>
  </si>
  <si>
    <t>0.2 mg / mL</t>
  </si>
  <si>
    <t>4 mg / 20 mL</t>
  </si>
  <si>
    <t>0143-9680-25</t>
  </si>
  <si>
    <t>1 mg / 5 mL</t>
  </si>
  <si>
    <t>0143-9681-25</t>
  </si>
  <si>
    <t>0.4 mg / 2 mL</t>
  </si>
  <si>
    <t>0143-9682-25</t>
  </si>
  <si>
    <t>0143-9744-10</t>
  </si>
  <si>
    <t>0143-9745-05</t>
  </si>
  <si>
    <t>4 mg / 4 mL</t>
  </si>
  <si>
    <t>0641-0391-12</t>
  </si>
  <si>
    <t>1,000 USP units / mL</t>
  </si>
  <si>
    <t>0641-0400-12</t>
  </si>
  <si>
    <t>5,000 USP units / mL</t>
  </si>
  <si>
    <t>0641-0410-12</t>
  </si>
  <si>
    <t>10,000 USP units / mL</t>
  </si>
  <si>
    <t>0641-6199-10</t>
  </si>
  <si>
    <t>0641-6204-10</t>
  </si>
  <si>
    <t>5,000 USP units / 0.5 mL</t>
  </si>
  <si>
    <t>HYDROmorphone HCl Injection, USP, C-II</t>
  </si>
  <si>
    <t>Clear, Colorless to Nearly Colorless Aqueous Solution</t>
  </si>
  <si>
    <t>0641-6151-25</t>
  </si>
  <si>
    <t>HYDROMORPHONE HCl Injection, USP, C-II</t>
  </si>
  <si>
    <t>0641-2341-41</t>
  </si>
  <si>
    <t>0641-6169-10</t>
  </si>
  <si>
    <t>0641-6206-10</t>
  </si>
  <si>
    <t>0.5 mg / 0.5 mL</t>
  </si>
  <si>
    <t>0641-6259-10</t>
  </si>
  <si>
    <t>30 mg / 3 mL</t>
  </si>
  <si>
    <t>3 mL syringe</t>
  </si>
  <si>
    <t>1 syringe</t>
  </si>
  <si>
    <t>Agent Sterile Red-Orange Isotonic Parenteral Solution</t>
  </si>
  <si>
    <t>0143-9217-01</t>
  </si>
  <si>
    <t>5 mg / 5 mL</t>
  </si>
  <si>
    <t>0143-9218-01</t>
  </si>
  <si>
    <t>0143-9219-01</t>
  </si>
  <si>
    <t>20 mg / 20 mL</t>
  </si>
  <si>
    <t>0143-9530-01</t>
  </si>
  <si>
    <t>3 g / 60 mL</t>
  </si>
  <si>
    <t>60 mL</t>
  </si>
  <si>
    <t>0143-9531-01</t>
  </si>
  <si>
    <t>1 g / 20 mL</t>
  </si>
  <si>
    <t>IMMPHENTIV (Phenylephrine HCl Injection, USP) ®</t>
  </si>
  <si>
    <t>0641-6245-10</t>
  </si>
  <si>
    <t>500 mcg / 5 mL</t>
  </si>
  <si>
    <t>0641-6246-10</t>
  </si>
  <si>
    <t>INFUMORPH® 200 &amp; 500 (Preservative-Free Morphine Sulfate Sterile Solution), C-II</t>
  </si>
  <si>
    <t>0641-6039-01</t>
  </si>
  <si>
    <t>1 ampul</t>
  </si>
  <si>
    <t>0641-6040-01</t>
  </si>
  <si>
    <t>500 mg / 20 mL</t>
  </si>
  <si>
    <t>Pale Yellow, Clear, Aqueous Solution</t>
  </si>
  <si>
    <t>0143-9701-01</t>
  </si>
  <si>
    <t>0143-9702-01</t>
  </si>
  <si>
    <t>40 mg / 2 mL</t>
  </si>
  <si>
    <t>0143-9508-10</t>
  </si>
  <si>
    <t>500 mg / 10 mL</t>
  </si>
  <si>
    <t>0143-9509-10</t>
  </si>
  <si>
    <t>500 mg / 5 mL</t>
  </si>
  <si>
    <t>0143-9622-01</t>
  </si>
  <si>
    <t>100 mg / 20 mL</t>
  </si>
  <si>
    <t>0143-9623-01</t>
  </si>
  <si>
    <t>200 mg / 40 mL</t>
  </si>
  <si>
    <t>40 mL</t>
  </si>
  <si>
    <t>White to Pale Yellow Cake or Powder</t>
  </si>
  <si>
    <t>0143-9552-01</t>
  </si>
  <si>
    <t>0143-9553-01</t>
  </si>
  <si>
    <t>0143-9554-01</t>
  </si>
  <si>
    <t>0143-9555-01</t>
  </si>
  <si>
    <t>1 g / 5 mL</t>
  </si>
  <si>
    <t>Clear, Green to Yellow Solution</t>
  </si>
  <si>
    <t>0143-9720-24</t>
  </si>
  <si>
    <t>750 mg / 150 mL</t>
  </si>
  <si>
    <t>150 mL</t>
  </si>
  <si>
    <t>200 mL</t>
  </si>
  <si>
    <t>24 bags</t>
  </si>
  <si>
    <t>0143-9721-24</t>
  </si>
  <si>
    <t>500 mg / 100 mL</t>
  </si>
  <si>
    <t>0143-9722-24</t>
  </si>
  <si>
    <t>LIDOCAINE HCl Injection, USP (Preservative Free)</t>
  </si>
  <si>
    <t>0143-9594-25</t>
  </si>
  <si>
    <t>2% (100 mg / 5 mL)</t>
  </si>
  <si>
    <t>0143-9595-25</t>
  </si>
  <si>
    <t>1% (50 mg / 5 mL)</t>
  </si>
  <si>
    <t>LIDOCAINE HCl Injection, USP (Preserved)</t>
  </si>
  <si>
    <t>0143-9575-10</t>
  </si>
  <si>
    <t>2% (1,000 mg / 50 mL)</t>
  </si>
  <si>
    <t>0143-9577-10</t>
  </si>
  <si>
    <t>1% (500 mg / 50 mL)</t>
  </si>
  <si>
    <t>Clear, Colorless to Faint Yellow</t>
  </si>
  <si>
    <t>600 mg / 300 mL</t>
  </si>
  <si>
    <t>300 mL</t>
  </si>
  <si>
    <t>0143-9144-02</t>
  </si>
  <si>
    <t>18 mg / 3 mL</t>
  </si>
  <si>
    <t>2 pens</t>
  </si>
  <si>
    <t>10 mm</t>
  </si>
  <si>
    <t>0143-9144-03</t>
  </si>
  <si>
    <t>3 pens</t>
  </si>
  <si>
    <t>LORAZEPAM Injection, USP, C-IV</t>
  </si>
  <si>
    <t>ATIVAN®</t>
  </si>
  <si>
    <t>0641-6044-25</t>
  </si>
  <si>
    <t>0641-6045-25</t>
  </si>
  <si>
    <t>0641-6046-10</t>
  </si>
  <si>
    <t>0641-6047-10</t>
  </si>
  <si>
    <t>0641-6052-25</t>
  </si>
  <si>
    <t>0641-6053-25</t>
  </si>
  <si>
    <t>0641-6054-25</t>
  </si>
  <si>
    <t>White to Pale Yellow Crystalline Powder</t>
  </si>
  <si>
    <t>0143-9430-10</t>
  </si>
  <si>
    <t>0143-9431-10</t>
  </si>
  <si>
    <t>METHOTREXATE Injection, USP</t>
  </si>
  <si>
    <t>Clear, Yellow, Sterile Solution</t>
  </si>
  <si>
    <t>0143-9519-10</t>
  </si>
  <si>
    <t>METHOTREXATE for Injection, USP</t>
  </si>
  <si>
    <t>AP/RS</t>
  </si>
  <si>
    <t>0143-9830-01</t>
  </si>
  <si>
    <t>0143-9660-10</t>
  </si>
  <si>
    <t>0143-9873-25</t>
  </si>
  <si>
    <t>0143-9361-01</t>
  </si>
  <si>
    <t>0143-9362-01</t>
  </si>
  <si>
    <t>White to Nearly White Sterile Lyophilized Powder</t>
  </si>
  <si>
    <t>0143-9753-25</t>
  </si>
  <si>
    <t>40 mg / vial</t>
  </si>
  <si>
    <t>0143-9754-25</t>
  </si>
  <si>
    <t>125 mg / vial</t>
  </si>
  <si>
    <t>0143-9850-01</t>
  </si>
  <si>
    <t>0143-9851-01</t>
  </si>
  <si>
    <t>MIDAZOLAM Injection, USP, C-IV</t>
  </si>
  <si>
    <t>0641-6056-10</t>
  </si>
  <si>
    <t>0641-6057-25</t>
  </si>
  <si>
    <t>0641-6059-10</t>
  </si>
  <si>
    <t>5 mg / 5mL</t>
  </si>
  <si>
    <t>0641-6060-10</t>
  </si>
  <si>
    <t>0641-6061-25</t>
  </si>
  <si>
    <t>0641-6063-25</t>
  </si>
  <si>
    <t>MIDAZOLAM in 0.9% Sodium Chloride Injection, C-IV</t>
  </si>
  <si>
    <t>0143-9379-10</t>
  </si>
  <si>
    <t>0143-9380-10</t>
  </si>
  <si>
    <t>MIDAZOLAM Injection, USP C-IV</t>
  </si>
  <si>
    <t>0641-6218-10</t>
  </si>
  <si>
    <t>0641-6219-10</t>
  </si>
  <si>
    <t>0641-6220-10</t>
  </si>
  <si>
    <t>MILRINONE Lactate Injection</t>
  </si>
  <si>
    <t>Cardiac Agent</t>
  </si>
  <si>
    <t>PRIMACOR®</t>
  </si>
  <si>
    <t>0143-9708-01</t>
  </si>
  <si>
    <t>0143-9709-10</t>
  </si>
  <si>
    <t>0143-9710-10</t>
  </si>
  <si>
    <t>MILRINONE Lactate in 5% Dextrose Injection</t>
  </si>
  <si>
    <t>5% Cardiac Agent</t>
  </si>
  <si>
    <t>PRIMACOR® in Dextrose</t>
  </si>
  <si>
    <t>0143-9718-10</t>
  </si>
  <si>
    <t>40 mg / 200 mL</t>
  </si>
  <si>
    <t>0143-9719-10</t>
  </si>
  <si>
    <t>20 mg / 100 mL</t>
  </si>
  <si>
    <t>0143-9279-01</t>
  </si>
  <si>
    <t>0143-9280-01</t>
  </si>
  <si>
    <t>MORPHINE Sulfate Injection, USP, C-II</t>
  </si>
  <si>
    <t>0641-6125-25</t>
  </si>
  <si>
    <t>0641-6126-25</t>
  </si>
  <si>
    <t>8 mg / mL</t>
  </si>
  <si>
    <t>0641-6127-25</t>
  </si>
  <si>
    <t>0641-6132-25</t>
  </si>
  <si>
    <t>0641-6205-10</t>
  </si>
  <si>
    <t>0641-6149-10</t>
  </si>
  <si>
    <t>0641-6150-10</t>
  </si>
  <si>
    <t>Colorless Liquid</t>
  </si>
  <si>
    <t>0641-6240-10</t>
  </si>
  <si>
    <t>3 mg / 3 mL</t>
  </si>
  <si>
    <t>NICARDIPINE HCl Injection</t>
  </si>
  <si>
    <t>Clear, Yellow Solution</t>
  </si>
  <si>
    <t>0143-9689-10</t>
  </si>
  <si>
    <t>NICARDIPINE HCl in 0.9% NaCl Injection</t>
  </si>
  <si>
    <t>Clear, Yellow Liquid</t>
  </si>
  <si>
    <t>AP/RLD/RS</t>
  </si>
  <si>
    <t>0143-9633-10</t>
  </si>
  <si>
    <t>0143-9634-10</t>
  </si>
  <si>
    <t>20 mg / 200 mL</t>
  </si>
  <si>
    <t>OCTREOTIDE Acetate Injection (Preservative Free)</t>
  </si>
  <si>
    <t>0641-6174-10</t>
  </si>
  <si>
    <t>0641-6175-10</t>
  </si>
  <si>
    <t>0641-6176-10</t>
  </si>
  <si>
    <t>500 mcg / mL</t>
  </si>
  <si>
    <t>OCTREOTIDE Acetate Injection (Preserved)</t>
  </si>
  <si>
    <t>0641-6177-01</t>
  </si>
  <si>
    <t>200 mcg / mL</t>
  </si>
  <si>
    <t>1,000 mcg / 5 mL</t>
  </si>
  <si>
    <t>0641-6178-01</t>
  </si>
  <si>
    <t>5,000 mcg / 5 mL</t>
  </si>
  <si>
    <t>0641-6078-25</t>
  </si>
  <si>
    <t>4 mg / 2 mL</t>
  </si>
  <si>
    <t>0641-6079-01</t>
  </si>
  <si>
    <t>60 mg / 2 mL</t>
  </si>
  <si>
    <t>White to Off White Sterile Lyophilized Powder</t>
  </si>
  <si>
    <t>24201-010-20</t>
  </si>
  <si>
    <t>1,000 mg / 20 mL</t>
  </si>
  <si>
    <t>24201-010-50</t>
  </si>
  <si>
    <t>2,500 mg / 50 mL</t>
  </si>
  <si>
    <t>PHENERGAN® Injection (Promethazine HCl Injection, USP)</t>
  </si>
  <si>
    <t>0641-6082-25</t>
  </si>
  <si>
    <t>0641-6083-25</t>
  </si>
  <si>
    <t>0641-6084-25</t>
  </si>
  <si>
    <t>0641-6085-25</t>
  </si>
  <si>
    <t>0641-0476-25</t>
  </si>
  <si>
    <t>65 mg / mL</t>
  </si>
  <si>
    <t>0641-0477-25</t>
  </si>
  <si>
    <t>130 mg / mL</t>
  </si>
  <si>
    <t>0143-9564-01</t>
  </si>
  <si>
    <t>5 mg / vial</t>
  </si>
  <si>
    <t>0143-9564-10</t>
  </si>
  <si>
    <t>PHENYLEPHRINE HCl Injection, USP</t>
  </si>
  <si>
    <t>0641-6142-25</t>
  </si>
  <si>
    <t>0641-6188-10</t>
  </si>
  <si>
    <t>0641-6189-10</t>
  </si>
  <si>
    <t>0641-0493-25</t>
  </si>
  <si>
    <t>100 mg / 2 mL</t>
  </si>
  <si>
    <t>0641-2555-10</t>
  </si>
  <si>
    <t>500,000 units / vial</t>
  </si>
  <si>
    <t>Colorless to Pale Yellow Sterile Solution</t>
  </si>
  <si>
    <t>Clear, Yellow, Oleaginous Viscous Solution</t>
  </si>
  <si>
    <t>PROMETHAZINE HCl Injection, USP</t>
  </si>
  <si>
    <t>PHENERGAN®</t>
  </si>
  <si>
    <t>0641-0928-25</t>
  </si>
  <si>
    <t>0641-0929-25</t>
  </si>
  <si>
    <t>0641-1495-35</t>
  </si>
  <si>
    <t>0641-1496-35</t>
  </si>
  <si>
    <t>0.08 mg / mL</t>
  </si>
  <si>
    <t>0.4 mg / 5 mL</t>
  </si>
  <si>
    <t>0143-9391-10</t>
  </si>
  <si>
    <t>1 mg / vial</t>
  </si>
  <si>
    <t>0143-9392-10</t>
  </si>
  <si>
    <t>2 mg / vial</t>
  </si>
  <si>
    <t>0143-9393-10</t>
  </si>
  <si>
    <t>Clear, Colorless to Very Pale Liquid</t>
  </si>
  <si>
    <t>Clear, Colorless to Yellow-Orange Solution</t>
  </si>
  <si>
    <t>0143-9250-10</t>
  </si>
  <si>
    <t>0143-9251-10</t>
  </si>
  <si>
    <t>2 mEq / mL</t>
  </si>
  <si>
    <t>40 mEq / 20 mL</t>
  </si>
  <si>
    <t>Clear Brown to Dark Brown Solution</t>
  </si>
  <si>
    <t>62.5 mg elemental iron / 5 mL</t>
  </si>
  <si>
    <t>10 mL / vial</t>
  </si>
  <si>
    <t>0143-9338-25</t>
  </si>
  <si>
    <t>200 mg / 10 mL</t>
  </si>
  <si>
    <t>0641-6234-10</t>
  </si>
  <si>
    <t>6 mg / 0.5 mL</t>
  </si>
  <si>
    <t>TESTOSTERONE CYPIONATE Injection, USP, C-III</t>
  </si>
  <si>
    <t>DEPO-TESTOSTERONE®</t>
  </si>
  <si>
    <t>Clear, Pale Yellow Oleaginous Viscous Solution</t>
  </si>
  <si>
    <t>0143-9659-01</t>
  </si>
  <si>
    <t>1 Vial</t>
  </si>
  <si>
    <t>0143-9726-01</t>
  </si>
  <si>
    <t>2,000 mg / 10 mL</t>
  </si>
  <si>
    <t>TESTOSTERONE ENANTHATE Injection, USP, C-III</t>
  </si>
  <si>
    <t>DELATESTRYL®</t>
  </si>
  <si>
    <t>0143-9750-01</t>
  </si>
  <si>
    <t>1,000 mg / 5 mL</t>
  </si>
  <si>
    <t>200 mg / 2 mL</t>
  </si>
  <si>
    <t>Sterile Lyophilized Powder</t>
  </si>
  <si>
    <t>0143-9292-01</t>
  </si>
  <si>
    <t>0143-9565-01</t>
  </si>
  <si>
    <t>15 mg / vial</t>
  </si>
  <si>
    <t>Clear, Red Solution</t>
  </si>
  <si>
    <t>VANCOMYCIN HCl for Injection, USP</t>
  </si>
  <si>
    <t>Off-White to Tan Lyophilized Powder</t>
  </si>
  <si>
    <t>0143-9152-10</t>
  </si>
  <si>
    <t>1.25 g / vial</t>
  </si>
  <si>
    <t>0143-9153-10</t>
  </si>
  <si>
    <t>0143-9357-10</t>
  </si>
  <si>
    <t>VANCOMYCIN Hydrochloride for Injection</t>
  </si>
  <si>
    <t>White, Almost White to Tan to Sterile Spray-Dried Powder</t>
  </si>
  <si>
    <t>Brown, Hikma is the Reference Listed Drug</t>
  </si>
  <si>
    <t>0143-9161-25</t>
  </si>
  <si>
    <t>0143-9162-10</t>
  </si>
  <si>
    <t>0143-9163-01</t>
  </si>
  <si>
    <t>5 g / vial</t>
  </si>
  <si>
    <t>0143-9164-01</t>
  </si>
  <si>
    <t>VANCOMYCIN Injection, USP*</t>
  </si>
  <si>
    <t>Clear, Colorless to Light Brown Solution</t>
  </si>
  <si>
    <t>70594-041-03</t>
  </si>
  <si>
    <t>12 bags</t>
  </si>
  <si>
    <t>70594-042-03</t>
  </si>
  <si>
    <t>1 g / 200 mL</t>
  </si>
  <si>
    <t>70594-043-02</t>
  </si>
  <si>
    <t>1.5 g / 300 mL</t>
  </si>
  <si>
    <t>6 bags</t>
  </si>
  <si>
    <t>70594-044-02</t>
  </si>
  <si>
    <t>2 g / 400 mL</t>
  </si>
  <si>
    <t>400 mL</t>
  </si>
  <si>
    <t>70594-056-03</t>
  </si>
  <si>
    <t>70594-057-02</t>
  </si>
  <si>
    <t>1.25 g / 250 mL</t>
  </si>
  <si>
    <t>70594-058-02</t>
  </si>
  <si>
    <t>1.75 g / 350 mL</t>
  </si>
  <si>
    <t>350 mL</t>
  </si>
  <si>
    <t>0143-9232-10</t>
  </si>
  <si>
    <t>0143-9234-10</t>
  </si>
  <si>
    <t>Molécula Hikma (PT)</t>
  </si>
  <si>
    <t>Tipo de match</t>
  </si>
  <si>
    <t>Molécula no histórico</t>
  </si>
  <si>
    <t>Fornecedor / Parceiro</t>
  </si>
  <si>
    <t>Status</t>
  </si>
  <si>
    <t>Situação</t>
  </si>
  <si>
    <t>Responsável</t>
  </si>
  <si>
    <t>Categoria</t>
  </si>
  <si>
    <t>Área Terapêutica</t>
  </si>
  <si>
    <t>Data de Entrada</t>
  </si>
  <si>
    <t>Início Prospecção</t>
  </si>
  <si>
    <t>Concl. Prospecção</t>
  </si>
  <si>
    <t>Início CDA</t>
  </si>
  <si>
    <t>Concl. CDA</t>
  </si>
  <si>
    <t>Início Negociações</t>
  </si>
  <si>
    <t>Concl. Negociações</t>
  </si>
  <si>
    <t>Sulbactam + Durlobactam</t>
  </si>
  <si>
    <t>Innoviva</t>
  </si>
  <si>
    <t>INOVADOR RADICAL</t>
  </si>
  <si>
    <t>NON RETAIL</t>
  </si>
  <si>
    <t>2023-09-22</t>
  </si>
  <si>
    <t>2023-11-27</t>
  </si>
  <si>
    <t>None</t>
  </si>
  <si>
    <t>Sulbactam + Cefoperazone (CI_1661)</t>
  </si>
  <si>
    <t>CSPC</t>
  </si>
  <si>
    <t>LIVIA SILVA</t>
  </si>
  <si>
    <t>2025-08-26</t>
  </si>
  <si>
    <t>2025-09-02</t>
  </si>
  <si>
    <t>2025-09-03</t>
  </si>
  <si>
    <t>NCPC</t>
  </si>
  <si>
    <t>2025-09-04</t>
  </si>
  <si>
    <t>Qilu Pharmaceutical</t>
  </si>
  <si>
    <t>2025-08-27</t>
  </si>
  <si>
    <t>Shanghai Fosun Pharmaceutical / Suzhou Erye Pharmaceutical Co., Ltd</t>
  </si>
  <si>
    <t>2025-10-28</t>
  </si>
  <si>
    <t>Innoviva Specialty Therapeutics</t>
  </si>
  <si>
    <t>NR - HOSPITALAR</t>
  </si>
  <si>
    <t>2026-06-18</t>
  </si>
  <si>
    <t>2026-06-23</t>
  </si>
  <si>
    <t>Argatroban</t>
  </si>
  <si>
    <t>CARDIOMETABÓLICA</t>
  </si>
  <si>
    <t>cedazuridine + azacitidine</t>
  </si>
  <si>
    <t>TAIHO ONCOLOGY</t>
  </si>
  <si>
    <t>INOVADOR INCREMENTAL</t>
  </si>
  <si>
    <t>2024-08-30</t>
  </si>
  <si>
    <t>2024-09-09</t>
  </si>
  <si>
    <t>MICROSULES ARGENTINA &amp; FINADIET PHARMACEUTICAL LABORATORIES</t>
  </si>
  <si>
    <t>2019-04-01</t>
  </si>
  <si>
    <t>BORTEZOMIBE</t>
  </si>
  <si>
    <t>BERGAMO</t>
  </si>
  <si>
    <t>SIMILAR / GENÉRICO</t>
  </si>
  <si>
    <t>2021-03-01</t>
  </si>
  <si>
    <t>EXTROVIS</t>
  </si>
  <si>
    <t>CLÍNICA - RESPIRATÓRIO</t>
  </si>
  <si>
    <t>2022-01-22</t>
  </si>
  <si>
    <t>2022-07-02</t>
  </si>
  <si>
    <t>2022-11-02</t>
  </si>
  <si>
    <t>Ferrer</t>
  </si>
  <si>
    <t>2018-07-01</t>
  </si>
  <si>
    <t>HANSOH PHARMA</t>
  </si>
  <si>
    <t>KOREA UNITED PHARMA</t>
  </si>
  <si>
    <t>2018-08-01</t>
  </si>
  <si>
    <t>KYONGBO (KB) PHARMACEUTICAL</t>
  </si>
  <si>
    <t>2019-03-01</t>
  </si>
  <si>
    <t>NAPROD</t>
  </si>
  <si>
    <t>2019-01-31</t>
  </si>
  <si>
    <t>XEINA DRUGS</t>
  </si>
  <si>
    <t>Bortezomib RTU</t>
  </si>
  <si>
    <t>Shilpa</t>
  </si>
  <si>
    <t>AV. MARKETING</t>
  </si>
  <si>
    <t>2024-04-29</t>
  </si>
  <si>
    <t>2024-10-04</t>
  </si>
  <si>
    <t>2024-10-05</t>
  </si>
  <si>
    <t>Bupivacaína + Meloxican</t>
  </si>
  <si>
    <t>Heron</t>
  </si>
  <si>
    <t>2023-05-18</t>
  </si>
  <si>
    <t>2023-05-19</t>
  </si>
  <si>
    <t>2023-07-10</t>
  </si>
  <si>
    <t>Bupivacaína Lipossomal (Exparel)</t>
  </si>
  <si>
    <t>Pacira BioSciences</t>
  </si>
  <si>
    <t>2026-02-13</t>
  </si>
  <si>
    <t>2026-02-05</t>
  </si>
  <si>
    <t>2026-02-09</t>
  </si>
  <si>
    <t>2026-02-25</t>
  </si>
  <si>
    <t>CISATRACURIO</t>
  </si>
  <si>
    <t>ABL ANTIBIOTICOS</t>
  </si>
  <si>
    <t>2019-05-01</t>
  </si>
  <si>
    <t>AZITROMICINA/CISATRACURIO</t>
  </si>
  <si>
    <t>GLAND PHARMA</t>
  </si>
  <si>
    <t>2019-07-19</t>
  </si>
  <si>
    <t>CISATRACURIO E AZITROMICINA</t>
  </si>
  <si>
    <t>CRISTÁLIA</t>
  </si>
  <si>
    <t>2018-04-18</t>
  </si>
  <si>
    <t>CISPLATINA MUCOADESIVA</t>
  </si>
  <si>
    <t>2024-07-25</t>
  </si>
  <si>
    <t>DAPTOMICINA</t>
  </si>
  <si>
    <t>2017-11-01</t>
  </si>
  <si>
    <t>WORKSHARP</t>
  </si>
  <si>
    <t>2020-02-01</t>
  </si>
  <si>
    <t>cedazuridine + decitabine</t>
  </si>
  <si>
    <t>AUXILLA PHARMA</t>
  </si>
  <si>
    <t>2020-06-01</t>
  </si>
  <si>
    <t>2017-12-17</t>
  </si>
  <si>
    <t>2024-07-03</t>
  </si>
  <si>
    <t>Dexamethasone Palmitate</t>
  </si>
  <si>
    <t>OSTEO</t>
  </si>
  <si>
    <t>Dexamethasone sodium phosphate</t>
  </si>
  <si>
    <t>Aculife</t>
  </si>
  <si>
    <t>2023-04-26</t>
  </si>
  <si>
    <t>2023-06-30</t>
  </si>
  <si>
    <t>TLC 399 - dexametasona intravítrea</t>
  </si>
  <si>
    <t>TLC Bioscience</t>
  </si>
  <si>
    <t>AGUARDANDO INÍCIO</t>
  </si>
  <si>
    <t>OFTA - OUTROS</t>
  </si>
  <si>
    <t>2023-08-10</t>
  </si>
  <si>
    <t>2023-10-08</t>
  </si>
  <si>
    <t>DISCOVERY/HENGRUI</t>
  </si>
  <si>
    <t>2019-07-01</t>
  </si>
  <si>
    <t>Dexmedetomidine HCl</t>
  </si>
  <si>
    <t>Hengrui</t>
  </si>
  <si>
    <t>2021-02-01</t>
  </si>
  <si>
    <t>DOCETAXEL LIPOSSOMAL</t>
  </si>
  <si>
    <t>LUCAS MEDINA</t>
  </si>
  <si>
    <t>2023-01-12</t>
  </si>
  <si>
    <t>JINA PHARMA</t>
  </si>
  <si>
    <t>2021-07-01</t>
  </si>
  <si>
    <t>SHILPA MEDICARE</t>
  </si>
  <si>
    <t>DOXORRUBICINA</t>
  </si>
  <si>
    <t>CYTORI</t>
  </si>
  <si>
    <t>2017-07-10</t>
  </si>
  <si>
    <t>Cloridrato de doxorrubicina lipossomal</t>
  </si>
  <si>
    <t>ALEMBIC</t>
  </si>
  <si>
    <t>2023-01-19</t>
  </si>
  <si>
    <t>2023-01-23</t>
  </si>
  <si>
    <t>2023-02-03</t>
  </si>
  <si>
    <t>Ayana</t>
  </si>
  <si>
    <t>2023-01-24</t>
  </si>
  <si>
    <t>2023-01-26</t>
  </si>
  <si>
    <t>2023-02-09</t>
  </si>
  <si>
    <t>2023-03-30</t>
  </si>
  <si>
    <t>2023-10-19</t>
  </si>
  <si>
    <t>2023-11-16</t>
  </si>
  <si>
    <t>Celerity (Capstone)</t>
  </si>
  <si>
    <t>2023-01-25</t>
  </si>
  <si>
    <t>2024-08-06</t>
  </si>
  <si>
    <t>2024-07-30</t>
  </si>
  <si>
    <t>Medis</t>
  </si>
  <si>
    <t>2023-03-03</t>
  </si>
  <si>
    <t>2023-05-30</t>
  </si>
  <si>
    <t>TTY Biopharm</t>
  </si>
  <si>
    <t>2023-02-15</t>
  </si>
  <si>
    <t>2023-06-02</t>
  </si>
  <si>
    <t>Zydus</t>
  </si>
  <si>
    <t>2023-06-12</t>
  </si>
  <si>
    <t>2023-06-13</t>
  </si>
  <si>
    <t>2023-08-03</t>
  </si>
  <si>
    <t>2023-10-23</t>
  </si>
  <si>
    <t>DOXORRUBICINA LIPOSSOMAL</t>
  </si>
  <si>
    <t>BLUE PHARMA</t>
  </si>
  <si>
    <t>DOXORRUBICINA PEG LIPOSSOMAL</t>
  </si>
  <si>
    <t>EVONIK</t>
  </si>
  <si>
    <t>2021-04-01</t>
  </si>
  <si>
    <t>NPS</t>
  </si>
  <si>
    <t>2021-11-01</t>
  </si>
  <si>
    <t>Qilu Pharma</t>
  </si>
  <si>
    <t>2021-06-01</t>
  </si>
  <si>
    <t>Oestradiol Patch (Estradiol)</t>
  </si>
  <si>
    <t>FENTANIL</t>
  </si>
  <si>
    <t>FOSAPREPTANTO</t>
  </si>
  <si>
    <t>FULVESTRANTO</t>
  </si>
  <si>
    <t>CHEMO</t>
  </si>
  <si>
    <t>2017-12-22</t>
  </si>
  <si>
    <t>Fulvestranto ser. preenchida</t>
  </si>
  <si>
    <t>Atossa Therapeutics</t>
  </si>
  <si>
    <t>2024-04-09</t>
  </si>
  <si>
    <t>BDR Pharma</t>
  </si>
  <si>
    <t>2024-06-06</t>
  </si>
  <si>
    <t>CIPLA</t>
  </si>
  <si>
    <t>Hangzhou Jiuyuan</t>
  </si>
  <si>
    <t>Hetero Pharma</t>
  </si>
  <si>
    <t>Zentiva</t>
  </si>
  <si>
    <t>Heparin</t>
  </si>
  <si>
    <t>Heparin + Taurolidine</t>
  </si>
  <si>
    <t>Cormedix</t>
  </si>
  <si>
    <t>2023-06-07</t>
  </si>
  <si>
    <t>2023-04-18</t>
  </si>
  <si>
    <t>2023-07-07</t>
  </si>
  <si>
    <t>HEPARINA PARA FDA</t>
  </si>
  <si>
    <t>ARAP, NISHI &amp; UYEDA ADVOGADOS (VIA MASSAMI)</t>
  </si>
  <si>
    <t>2018-11-01</t>
  </si>
  <si>
    <t>Irinotecan Lipossomal</t>
  </si>
  <si>
    <t>BDR</t>
  </si>
  <si>
    <t>2026-08-18</t>
  </si>
  <si>
    <t>2025-07-04</t>
  </si>
  <si>
    <t>2025-07-07</t>
  </si>
  <si>
    <t>2025-08-21</t>
  </si>
  <si>
    <t>Jiangsu Hengrui</t>
  </si>
  <si>
    <t>2026-01-19</t>
  </si>
  <si>
    <t>2026-01-29</t>
  </si>
  <si>
    <t>MNR Therapeutics</t>
  </si>
  <si>
    <t>2026-05-16</t>
  </si>
  <si>
    <t>Irinotecan Hydrochloride</t>
  </si>
  <si>
    <t>LINEZOLIDA</t>
  </si>
  <si>
    <t>Linezolid</t>
  </si>
  <si>
    <t>2023-04-25</t>
  </si>
  <si>
    <t>2023-08-17</t>
  </si>
  <si>
    <t>MIDAS</t>
  </si>
  <si>
    <t>2019-08-01</t>
  </si>
  <si>
    <t>Pharmathen</t>
  </si>
  <si>
    <t>2019-08-09</t>
  </si>
  <si>
    <t>Meropenem + Vaborbactam (Vabomere)</t>
  </si>
  <si>
    <t>Melinta Therapeutics</t>
  </si>
  <si>
    <t>2024-01-29</t>
  </si>
  <si>
    <t>2023-01-06</t>
  </si>
  <si>
    <t>2024-07-12</t>
  </si>
  <si>
    <t>2024-08-07</t>
  </si>
  <si>
    <t>2024-08-19</t>
  </si>
  <si>
    <t>2024-10-09</t>
  </si>
  <si>
    <t>Metotrexato oral</t>
  </si>
  <si>
    <t>NR - CUIDADOS ESPECIAIS</t>
  </si>
  <si>
    <t>2023-06-22</t>
  </si>
  <si>
    <t>2023-07-13</t>
  </si>
  <si>
    <t>MICAFUNGINA</t>
  </si>
  <si>
    <t>AXXO</t>
  </si>
  <si>
    <t>2020-01-01</t>
  </si>
  <si>
    <t>GALENICUM</t>
  </si>
  <si>
    <t>2018-06-01</t>
  </si>
  <si>
    <t>SELECTCHEMIE</t>
  </si>
  <si>
    <t>Midazolam HCL</t>
  </si>
  <si>
    <t>NOREPINEFRINA</t>
  </si>
  <si>
    <t>Sinopep</t>
  </si>
  <si>
    <t>2026-05-29</t>
  </si>
  <si>
    <t>2026-04-08</t>
  </si>
  <si>
    <t>2026-04-10</t>
  </si>
  <si>
    <t>NANOX</t>
  </si>
  <si>
    <t>VITORIA CIA</t>
  </si>
  <si>
    <t>Octreotida Long Acting</t>
  </si>
  <si>
    <t>2022-11-21</t>
  </si>
  <si>
    <t>2022-11-22</t>
  </si>
  <si>
    <t>Molkom</t>
  </si>
  <si>
    <t>2022-11-28</t>
  </si>
  <si>
    <t>Octreotida Long Acting_CI_8367</t>
  </si>
  <si>
    <t>Camururs</t>
  </si>
  <si>
    <t>CLÍNICA - GASTRO</t>
  </si>
  <si>
    <t>2022-06-27</t>
  </si>
  <si>
    <t>2025-11-24</t>
  </si>
  <si>
    <t>2022-09-08</t>
  </si>
  <si>
    <t>ONDANSETRONA</t>
  </si>
  <si>
    <t>Ondansetron</t>
  </si>
  <si>
    <t>IBUPROFENO + PARACETAMOL</t>
  </si>
  <si>
    <t>AFT PHARMA</t>
  </si>
  <si>
    <t>2018-11-18</t>
  </si>
  <si>
    <t>PARACETAMOL/ TOBRAMICINA</t>
  </si>
  <si>
    <t>CLARIS</t>
  </si>
  <si>
    <t>2017-06-23</t>
  </si>
  <si>
    <t>IBUPROFENO</t>
  </si>
  <si>
    <t>QUIMICA LUAR</t>
  </si>
  <si>
    <t>2020-08-20</t>
  </si>
  <si>
    <t>POLIMIXIN B</t>
  </si>
  <si>
    <t>Remifentanila</t>
  </si>
  <si>
    <t>2026-03-02</t>
  </si>
  <si>
    <t>2019-01-01</t>
  </si>
  <si>
    <t>Viatris</t>
  </si>
  <si>
    <t>2022-04-13</t>
  </si>
  <si>
    <t>2022-09-05</t>
  </si>
  <si>
    <t>Rocuronium Bromide</t>
  </si>
  <si>
    <t>Thiotepa</t>
  </si>
  <si>
    <t>VANCOMICINA</t>
  </si>
  <si>
    <t>Vancomicina Injetável</t>
  </si>
  <si>
    <t>Hikma Pharmaceuticals</t>
  </si>
  <si>
    <t>CDA</t>
  </si>
  <si>
    <t>2026-06-15</t>
  </si>
  <si>
    <t>2026-06-22</t>
  </si>
  <si>
    <t>Bloco</t>
  </si>
  <si>
    <t>Situação no Grupo EMS</t>
  </si>
  <si>
    <t>Molécula / Item</t>
  </si>
  <si>
    <t>No catálogo Hikma?</t>
  </si>
  <si>
    <t>Leitura para Novos Negócios</t>
  </si>
  <si>
    <t>Antibióticos J01 — Non Retail</t>
  </si>
  <si>
    <t>PORTFÓLIO</t>
  </si>
  <si>
    <t>EMS já produz. Importar destrói margem. Descartar.</t>
  </si>
  <si>
    <t>Só interessa pela apresentação diferenciada (bolsa/seringa) — e ainda assim como dossiê, não como importado.</t>
  </si>
  <si>
    <t>Amoxicilina + Ácido Clavulânico</t>
  </si>
  <si>
    <t>Sem correspondente no catálogo Hikma.</t>
  </si>
  <si>
    <t>Teicoplanina</t>
  </si>
  <si>
    <t>Piperacilina + Tazobactam</t>
  </si>
  <si>
    <t>Oxacilina</t>
  </si>
  <si>
    <t>Ceftazidima</t>
  </si>
  <si>
    <t>Gentamicina</t>
  </si>
  <si>
    <t>Cefepima</t>
  </si>
  <si>
    <t>PIPELINE / GATE (0-3)</t>
  </si>
  <si>
    <t>Ceftazidima+Avibactam (PIPELINE, cópia Brasil)</t>
  </si>
  <si>
    <t>Endereçado internamente e a Hikma não cobre — candidato a BRIDGE com OUTRO parceiro.</t>
  </si>
  <si>
    <t>Cefiderocol</t>
  </si>
  <si>
    <t>Sulbactam+Durlobactam</t>
  </si>
  <si>
    <t>Aztreonam+Avibactam</t>
  </si>
  <si>
    <t>Cefepima+Zidebactam</t>
  </si>
  <si>
    <t>Dalbavancina</t>
  </si>
  <si>
    <t>Anestésicos injetáveis (ATC N)</t>
  </si>
  <si>
    <t>EMS já tem. Controlado 344/98. Descartar.</t>
  </si>
  <si>
    <t>PIPELINE</t>
  </si>
  <si>
    <t>Escetamina em pipeline; a Hikma oferece cetamina racêmica (controlada). Não substitui.</t>
  </si>
  <si>
    <t>EM AVALIAÇÃO (GATE 0-3)</t>
  </si>
  <si>
    <t>BRIDGE: licenciar antecipa 3 a 5 anos. Preço baixo enfraquece o caso de importado.</t>
  </si>
  <si>
    <t>BRIDGE: licenciar antecipa 3 a 5 anos. Bolsa pronta para uso reforça o caso.</t>
  </si>
  <si>
    <t>Propofol</t>
  </si>
  <si>
    <t>Em gate interno; Hikma não cobre.</t>
  </si>
  <si>
    <t>Remimazolam</t>
  </si>
  <si>
    <t>Levobupivacaína</t>
  </si>
  <si>
    <t>Suzetrigina</t>
  </si>
  <si>
    <t>Epinefrina+Bupivacaína</t>
  </si>
  <si>
    <t>Mepivacaína</t>
  </si>
  <si>
    <t>Procaína</t>
  </si>
  <si>
    <t>Trimecaína</t>
  </si>
  <si>
    <t>Tiopental</t>
  </si>
  <si>
    <t>Epinefrina+Levobupivacaína</t>
  </si>
  <si>
    <t>PROSPECÇÃO NOVOS NEGÓCIOS</t>
  </si>
  <si>
    <t>Ciprofol</t>
  </si>
  <si>
    <t>Já em prospecção pelo NN.</t>
  </si>
  <si>
    <t>Adamgammadex</t>
  </si>
  <si>
    <t>Antibióticos — decisões do comitê</t>
  </si>
  <si>
    <t>NO GO</t>
  </si>
  <si>
    <t>CEFTOBIPROL</t>
  </si>
  <si>
    <t>NO GO: inviabilidade médica — não reabrir sem fato novo.</t>
  </si>
  <si>
    <t>CEFTOLOZANA+TAZOBACTAM</t>
  </si>
  <si>
    <t>NO GO: desinteresse MKT — não reabrir sem fato novo.</t>
  </si>
  <si>
    <t>ORITAVANCINA</t>
  </si>
  <si>
    <t>NO GO: mercado — não reabrir sem fato novo.</t>
  </si>
  <si>
    <t>TEDIZOLIDA</t>
  </si>
  <si>
    <t>NO GO: medicamento descontinuado — não reabrir sem fato novo.</t>
  </si>
  <si>
    <t>DELAFLOXACINO</t>
  </si>
  <si>
    <t>MEROPENEM+VABORBACTAM</t>
  </si>
  <si>
    <t>NO GO: priorizado ceftazidima+avibactam — não reabrir sem fato novo.</t>
  </si>
  <si>
    <t>PLAZOMICINA</t>
  </si>
  <si>
    <t>ERAVACICLINA</t>
  </si>
  <si>
    <t>OMADACICLINA</t>
  </si>
  <si>
    <t>LEFAMULINA</t>
  </si>
  <si>
    <t>IMIPENEM+CILASTATINA+RELEBACTAM</t>
  </si>
  <si>
    <t>NO GO: desinteresse médico/MKT — não reabrir sem fato novo.</t>
  </si>
  <si>
    <t>CEFEPIME+ENMETAZOBACTAM</t>
  </si>
  <si>
    <t>O que ainda falta para fechar a decisão</t>
  </si>
  <si>
    <t>A aba 3 já tem as colunas amarelas prontas para receber o IQVIA. Estas são as lacunas que nem o IQVIA resolve.</t>
  </si>
  <si>
    <t>Lacuna</t>
  </si>
  <si>
    <t>Por que trava</t>
  </si>
  <si>
    <t>Onde buscar</t>
  </si>
  <si>
    <t>Preço de transferência da Hikma</t>
  </si>
  <si>
    <t>É o número que decide tudo. Sem ele, a coluna de margem fica vazia e toda a priorização continua sendo hipótese minha.</t>
  </si>
  <si>
    <t>Hikma, sob o CDA vigente</t>
  </si>
  <si>
    <t>Fator real de nacionalização</t>
  </si>
  <si>
    <t>Usei 1,55 como ponto de partida. Se o número verdadeiro for 1,8, metade da Cesta 1 morre; se for 1,3, a Cesta 2 revive.</t>
  </si>
  <si>
    <t>Fiscal / Comex / Logística</t>
  </si>
  <si>
    <t>Situação patentária</t>
  </si>
  <si>
    <t>Eribulina e valrubicina podem ter proteção vigente. É o que separa oportunidade de perda de tempo.</t>
  </si>
  <si>
    <t>Cortellis — Marcas e Patentes</t>
  </si>
  <si>
    <t>Registro na Anvisa por molécula</t>
  </si>
  <si>
    <t>Define se é via abreviada, registro novo ou molécula sem precedente no país. Muda o cronograma em anos.</t>
  </si>
  <si>
    <t>Assuntos Regulatórios</t>
  </si>
  <si>
    <t>Volume real do nicho</t>
  </si>
  <si>
    <t>Levotiroxina IV e fentolamina podem ter mercado de poucas centenas de unidades/ano — preço alto não salva volume ínfimo.</t>
  </si>
  <si>
    <t>IQVIA NRC — unidades, não só valor</t>
  </si>
  <si>
    <t>Motivo de perda dos dormentes</t>
  </si>
  <si>
    <t>290 registros PASSIVO sem justificativa. Sem saber se micafungina caiu por preço, prazo ou qualidade, não dá para decidir se reabre.</t>
  </si>
  <si>
    <t>Enriquecer a base de NN</t>
  </si>
  <si>
    <t>Exclusividade e território</t>
  </si>
  <si>
    <t>A Hikma pode já ter compromissos na LatAm para os itens de nicho.</t>
  </si>
  <si>
    <t>Hikma</t>
  </si>
  <si>
    <t>Posição sobre parceiro multinacional</t>
  </si>
  <si>
    <t>A lâmina WarMap prioriza empresas não multinacionais. Precisa de aval antes de investir tempo.</t>
  </si>
  <si>
    <t>Diretoria de Novos Negócios</t>
  </si>
  <si>
    <t>Apetite do hospital pelo RTU</t>
  </si>
  <si>
    <t>Toda a tese de bolsa pronta para uso depende de o comprador aceitar pagar prêmio. Se não aceitar, a Cesta 2 e 3 caem juntas.</t>
  </si>
  <si>
    <t>Pesquisa com farmácia hospitalar</t>
  </si>
  <si>
    <t>Capacidade de fill-finish do EMS</t>
  </si>
  <si>
    <t>Define se a Cesta 3 é transferência de tecnologia viável ou conversa sem lastro.</t>
  </si>
  <si>
    <t>P&amp;D / Industrial</t>
  </si>
  <si>
    <t>Perguntas para você</t>
  </si>
  <si>
    <t>?</t>
  </si>
  <si>
    <t>Oncologia continua no seu escopo? Cesta 1 é metade oncológica (eribulina, valrubicina, tiotepa, cladribina, dexrazoxano) e o deck de set/26 não trouxe oncologia.</t>
  </si>
  <si>
    <t>O CDA da vancomicina é seu para ampliar ou é da Livia? Isso muda quem conduz a conversa das outras 21 moléculas.</t>
  </si>
  <si>
    <t>Existe margem mínima institucional para produto importado? Se for maior que 40%, a Cesta 1 encolhe.</t>
  </si>
  <si>
    <t>Transferência de tecnologia entra no seu mandato ou você passa a Cesta 3 para P&amp;D?</t>
  </si>
  <si>
    <t>Qual o apetite para nicho? Icatibanto e valrubicina são mercados de poucos milhões — alto valor unitário, receita total modesta.</t>
  </si>
  <si>
    <t>Controlados da Portaria 344/98 estão fora por política, ou avaliamos caso a caso?</t>
  </si>
  <si>
    <t>Melhorias para a próxima versão</t>
  </si>
  <si>
    <t>Melhoria</t>
  </si>
  <si>
    <t>Como fazer e o que muda</t>
  </si>
  <si>
    <t>Trocar as faixas de preço pelo IQVIA</t>
  </si>
  <si>
    <t>Colar preço médio NRC nas colunas amarelas. O eixo E1 deixa de ser hipótese e a priorização passa a ser defensável no gate.</t>
  </si>
  <si>
    <t>Campo de motivo de perda na base NN</t>
  </si>
  <si>
    <t>Obrigatório ao mover para PASSIVO. Hoje 290 linhas dormentes sem explicação — é o maior desperdício de inteligência que vocês têm.</t>
  </si>
  <si>
    <t>Marcar parceiro multinacional no cadastro</t>
  </si>
  <si>
    <t>500 parceiros sem porte nem origem. Com o campo, a regra do WarMap vira filtro automático em vez de discussão caso a caso.</t>
  </si>
  <si>
    <t>Padronizar molécula por DCB</t>
  </si>
  <si>
    <t>"Vancomicina Injetável" e "VANCOMICINA" são registros distintos; "POLIMIXIN B", "REMIFENTANILA" e "FOSAPREPTANTO" estão com grafia errada. Um campo DCB único acaba com o retrabalho de cruzamento.</t>
  </si>
  <si>
    <t>Registrar preço proposto no histórico</t>
  </si>
  <si>
    <t>Sem o preço que cada parceiro ofereceu, é impossível saber se a molécula é inviável ou se o parceiro é que era caro.</t>
  </si>
  <si>
    <t>Trazer as decisões do comitê para a base</t>
  </si>
  <si>
    <t>A coluna STATUS GRUPO EMS do deck (NO GO / GATE / PIPELINE) deveria viver dentro do controle de NN — evita prospectar o que já foi vetado.</t>
  </si>
  <si>
    <t>Rotina anual de re-acesso aos dormentes</t>
  </si>
  <si>
    <t>Combogesic parou em 2018 e voltou a ser prioridade em 2026. Sem rotina, oportunidades assim só reaparecem por acaso.</t>
  </si>
  <si>
    <t>Separar "molécula" de "apresentação"</t>
  </si>
  <si>
    <t>O diferencial da Hikma é apresentação, não molécula. Enquanto a base for por molécula, esse tipo de oportunidade continua invisível.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</si>
</sst>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0%"/>
  </numFmts>
  <fonts count="17">
    <font>
      <sz val="11"/>
      <color theme="1"/>
      <name val="Calibri"/>
      <family val="2"/>
      <scheme val="minor"/>
    </font>
    <font>
      <b/>
      <sz val="17"/>
      <color rgb="FF0B3D5C"/>
      <name val="Calibri"/>
      <family val="2"/>
      <scheme val="minor"/>
    </font>
    <font>
      <sz val="10"/>
      <color rgb="FF5A6B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B3D5C"/>
      <name val="Calibri"/>
      <family val="2"/>
      <scheme val="minor"/>
    </font>
    <font>
      <i/>
      <sz val="9"/>
      <color rgb="FF8A1C1C"/>
      <name val="Calibri"/>
      <family val="2"/>
      <scheme val="minor"/>
    </font>
    <font>
      <b/>
      <sz val="20"/>
      <color rgb="FF0B3D5C"/>
      <name val="Calibri"/>
      <family val="2"/>
      <scheme val="minor"/>
    </font>
    <font>
      <sz val="9"/>
      <color rgb="FF5A6B7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0E6B3D"/>
      <name val="Calibri"/>
      <family val="2"/>
      <scheme val="minor"/>
    </font>
    <font>
      <b/>
      <sz val="9"/>
      <color rgb="FF7A4B00"/>
      <name val="Calibri"/>
      <family val="2"/>
      <scheme val="minor"/>
    </font>
    <font>
      <b/>
      <sz val="11"/>
      <color rgb="FF3D2B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8A1C1C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B3D5C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DFF3E6"/>
        <bgColor indexed="64"/>
      </patternFill>
    </fill>
    <fill>
      <patternFill patternType="solid">
        <fgColor rgb="FFFFF0CC"/>
        <bgColor indexed="64"/>
      </patternFill>
    </fill>
    <fill>
      <patternFill patternType="solid">
        <fgColor rgb="FFFFD24D"/>
        <bgColor indexed="64"/>
      </patternFill>
    </fill>
    <fill>
      <patternFill patternType="solid">
        <fgColor rgb="FF1F6F54"/>
        <bgColor indexed="64"/>
      </patternFill>
    </fill>
    <fill>
      <patternFill patternType="solid">
        <fgColor rgb="FFEAF4EF"/>
        <bgColor indexed="64"/>
      </patternFill>
    </fill>
    <fill>
      <patternFill patternType="solid">
        <fgColor rgb="FFFBE4E4"/>
        <bgColor indexed="64"/>
      </patternFill>
    </fill>
  </fills>
  <borders count="8">
    <border>
      <left/>
      <right/>
      <top/>
      <bottom/>
      <diagonal/>
    </border>
    <border>
      <left style="thin">
        <color rgb="FF0B3D5C"/>
      </left>
      <right style="thin">
        <color rgb="FF0B3D5C"/>
      </right>
      <top style="thin">
        <color rgb="FF0B3D5C"/>
      </top>
      <bottom style="thin">
        <color rgb="FF0B3D5C"/>
      </bottom>
      <diagonal/>
    </border>
    <border>
      <left style="thin">
        <color rgb="FFB98F00"/>
      </left>
      <right style="thin">
        <color rgb="FFB98F00"/>
      </right>
      <top style="thin">
        <color rgb="FFB98F00"/>
      </top>
      <bottom style="thin">
        <color rgb="FFB98F00"/>
      </bottom>
      <diagonal/>
    </border>
    <border>
      <left/>
      <right/>
      <top/>
      <bottom style="medium">
        <color rgb="FF0B3D5C"/>
      </bottom>
      <diagonal/>
    </border>
    <border>
      <left style="thin">
        <color rgb="FFC9D6E0"/>
      </left>
      <right style="thin">
        <color rgb="FFC9D6E0"/>
      </right>
      <top style="thin">
        <color rgb="FFC9D6E0"/>
      </top>
      <bottom style="thin">
        <color rgb="FFC9D6E0"/>
      </bottom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1F6F54"/>
      </left>
      <right style="thin">
        <color rgb="FF1F6F54"/>
      </right>
      <top style="thin">
        <color rgb="FF1F6F54"/>
      </top>
      <bottom style="thin">
        <color rgb="FF1F6F54"/>
      </bottom>
      <diagonal/>
    </border>
    <border>
      <left style="thin">
        <color rgb="FF9FC4B5"/>
      </left>
      <right style="thin">
        <color rgb="FF9FC4B5"/>
      </right>
      <top style="thin">
        <color rgb="FF9FC4B5"/>
      </top>
      <bottom style="thin">
        <color rgb="FF9FC4B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164" fontId="5" fillId="3" borderId="2" xfId="0" applyNumberFormat="1" applyFont="1" applyFill="1" applyBorder="1" applyAlignment="1">
      <alignment horizontal="center" vertical="center"/>
    </xf>
    <xf numFmtId="0" fontId="6" fillId="0" borderId="3" xfId="0" applyFont="1" applyBorder="1"/>
    <xf numFmtId="0" fontId="7" fillId="0" borderId="0" xfId="0" applyFont="1" applyAlignment="1">
      <alignment vertical="top" wrapText="1"/>
    </xf>
    <xf numFmtId="0" fontId="8" fillId="4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1" fillId="0" borderId="5" xfId="0" applyFont="1" applyBorder="1" applyAlignment="1">
      <alignment vertical="top" wrapText="1"/>
    </xf>
    <xf numFmtId="0" fontId="12" fillId="5" borderId="5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top"/>
    </xf>
    <xf numFmtId="0" fontId="13" fillId="6" borderId="5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top" wrapText="1"/>
    </xf>
    <xf numFmtId="0" fontId="14" fillId="7" borderId="2" xfId="0" applyFont="1" applyFill="1" applyBorder="1" applyAlignment="1">
      <alignment horizontal="center" vertical="center" wrapText="1"/>
    </xf>
    <xf numFmtId="0" fontId="3" fillId="8" borderId="6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top"/>
    </xf>
    <xf numFmtId="164" fontId="11" fillId="3" borderId="2" xfId="0" applyNumberFormat="1" applyFont="1" applyFill="1" applyBorder="1" applyAlignment="1">
      <alignment horizontal="center" vertical="top"/>
    </xf>
    <xf numFmtId="164" fontId="11" fillId="9" borderId="7" xfId="0" applyNumberFormat="1" applyFont="1" applyFill="1" applyBorder="1" applyAlignment="1">
      <alignment horizontal="center" vertical="top"/>
    </xf>
    <xf numFmtId="165" fontId="11" fillId="9" borderId="7" xfId="0" applyNumberFormat="1" applyFont="1" applyFill="1" applyBorder="1" applyAlignment="1">
      <alignment horizontal="center" vertical="top"/>
    </xf>
    <xf numFmtId="0" fontId="15" fillId="9" borderId="7" xfId="0" applyFont="1" applyFill="1" applyBorder="1" applyAlignment="1">
      <alignment horizontal="center" vertical="top" wrapText="1"/>
    </xf>
    <xf numFmtId="0" fontId="16" fillId="10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D14"/>
  <sheetViews>
    <sheetView tabSelected="1" workbookViewId="0"/>
  </sheetViews>
  <sheetFormatPr defaultRowHeight="15"/>
  <cols>
    <col min="1" max="1" width="3.7109375" customWidth="1"/>
    <col min="2" max="2" width="46.7109375" customWidth="1"/>
    <col min="3" max="3" width="14.7109375" customWidth="1"/>
    <col min="4" max="4" width="72.7109375" customWidth="1"/>
  </cols>
  <sheetData>
    <row r="2" spans="2:4">
      <c r="B2" s="1" t="s">
        <v>0</v>
      </c>
    </row>
    <row r="3" spans="2:4">
      <c r="B3" s="2" t="s">
        <v>1</v>
      </c>
    </row>
    <row r="6" spans="2:4">
      <c r="B6" s="3" t="s">
        <v>2</v>
      </c>
      <c r="C6" s="3" t="s">
        <v>3</v>
      </c>
      <c r="D6" s="3" t="s">
        <v>4</v>
      </c>
    </row>
    <row r="7" spans="2:4" ht="13" customHeight="1">
      <c r="B7" s="4" t="s">
        <v>5</v>
      </c>
      <c r="C7" s="5">
        <v>6</v>
      </c>
      <c r="D7" s="2" t="s">
        <v>6</v>
      </c>
    </row>
    <row r="8" spans="2:4" ht="65" customHeight="1">
      <c r="B8" s="4" t="s">
        <v>7</v>
      </c>
      <c r="C8" s="5">
        <v>1.55</v>
      </c>
      <c r="D8" s="2" t="s">
        <v>8</v>
      </c>
    </row>
    <row r="9" spans="2:4" ht="26" customHeight="1">
      <c r="B9" s="4" t="s">
        <v>9</v>
      </c>
      <c r="C9" s="5">
        <v>0.4</v>
      </c>
      <c r="D9" s="2" t="s">
        <v>10</v>
      </c>
    </row>
    <row r="10" spans="2:4" ht="26" customHeight="1">
      <c r="B10" s="4" t="s">
        <v>11</v>
      </c>
      <c r="C10" s="5">
        <v>0.25</v>
      </c>
      <c r="D10" s="2" t="s">
        <v>12</v>
      </c>
    </row>
    <row r="11" spans="2:4" ht="13" customHeight="1">
      <c r="B11" s="4" t="s">
        <v>13</v>
      </c>
      <c r="C11" s="5">
        <v>10</v>
      </c>
      <c r="D11" s="2" t="s">
        <v>14</v>
      </c>
    </row>
    <row r="13" spans="2:4">
      <c r="B13" s="6" t="s">
        <v>15</v>
      </c>
    </row>
    <row r="14" spans="2:4" ht="58" customHeight="1">
      <c r="B14" s="2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B20"/>
  <sheetViews>
    <sheetView workbookViewId="0"/>
  </sheetViews>
  <sheetFormatPr defaultRowHeight="15"/>
  <cols>
    <col min="1" max="1" width="3.7109375" customWidth="1"/>
    <col min="2" max="2" width="122.7109375" customWidth="1"/>
  </cols>
  <sheetData>
    <row r="2" spans="2:2">
      <c r="B2" s="1" t="s">
        <v>17</v>
      </c>
    </row>
    <row r="4" spans="2:2">
      <c r="B4" s="6" t="s">
        <v>18</v>
      </c>
    </row>
    <row r="5" spans="2:2" ht="108" customHeight="1">
      <c r="B5" s="2" t="s">
        <v>19</v>
      </c>
    </row>
    <row r="7" spans="2:2">
      <c r="B7" s="6" t="s">
        <v>20</v>
      </c>
    </row>
    <row r="8" spans="2:2" ht="54" customHeight="1">
      <c r="B8" s="2" t="s">
        <v>21</v>
      </c>
    </row>
    <row r="10" spans="2:2">
      <c r="B10" s="6" t="s">
        <v>22</v>
      </c>
    </row>
    <row r="11" spans="2:2" ht="121.5" customHeight="1">
      <c r="B11" s="2" t="s">
        <v>23</v>
      </c>
    </row>
    <row r="13" spans="2:2">
      <c r="B13" s="6" t="s">
        <v>24</v>
      </c>
    </row>
    <row r="14" spans="2:2" ht="67.5" customHeight="1">
      <c r="B14" s="2" t="s">
        <v>25</v>
      </c>
    </row>
    <row r="16" spans="2:2">
      <c r="B16" s="6" t="s">
        <v>26</v>
      </c>
    </row>
    <row r="17" spans="2:2" ht="40.5" customHeight="1">
      <c r="B17" s="2" t="s">
        <v>27</v>
      </c>
    </row>
    <row r="19" spans="2:2">
      <c r="B19" s="6" t="s">
        <v>28</v>
      </c>
    </row>
    <row r="20" spans="2:2" ht="54" customHeight="1">
      <c r="B20" s="7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J56"/>
  <sheetViews>
    <sheetView workbookViewId="0"/>
  </sheetViews>
  <sheetFormatPr defaultRowHeight="15"/>
  <cols>
    <col min="1" max="1" width="3.7109375" customWidth="1"/>
    <col min="2" max="2" width="30.7109375" customWidth="1"/>
    <col min="3" max="3" width="22.7109375" customWidth="1"/>
    <col min="4" max="4" width="66.7109375" customWidth="1"/>
    <col min="5" max="9" width="15.7109375" customWidth="1"/>
    <col min="10" max="10" width="70.7109375" customWidth="1"/>
  </cols>
  <sheetData>
    <row r="2" spans="2:10">
      <c r="B2" s="1" t="s">
        <v>30</v>
      </c>
    </row>
    <row r="4" spans="2:10">
      <c r="B4" s="8" t="s">
        <v>31</v>
      </c>
      <c r="C4" s="8" t="s">
        <v>33</v>
      </c>
      <c r="D4" s="8" t="s">
        <v>35</v>
      </c>
      <c r="E4" s="8" t="s">
        <v>37</v>
      </c>
      <c r="F4" s="8" t="s">
        <v>39</v>
      </c>
      <c r="G4" s="8" t="s">
        <v>41</v>
      </c>
      <c r="H4" s="8" t="s">
        <v>43</v>
      </c>
      <c r="I4" s="8" t="s">
        <v>45</v>
      </c>
    </row>
    <row r="5" spans="2:10">
      <c r="B5" s="8"/>
      <c r="C5" s="8"/>
      <c r="D5" s="8"/>
      <c r="E5" s="8"/>
      <c r="F5" s="8"/>
      <c r="G5" s="8"/>
      <c r="H5" s="8"/>
      <c r="I5" s="8"/>
    </row>
    <row r="6" spans="2:10">
      <c r="B6" s="9" t="s">
        <v>32</v>
      </c>
      <c r="C6" s="9" t="s">
        <v>34</v>
      </c>
      <c r="D6" s="9" t="s">
        <v>36</v>
      </c>
      <c r="E6" s="9" t="s">
        <v>38</v>
      </c>
      <c r="F6" s="9" t="s">
        <v>40</v>
      </c>
      <c r="G6" s="9" t="s">
        <v>42</v>
      </c>
      <c r="H6" s="9" t="s">
        <v>44</v>
      </c>
      <c r="I6" s="9" t="s">
        <v>46</v>
      </c>
    </row>
    <row r="7" spans="2:10">
      <c r="B7" s="9"/>
      <c r="C7" s="9"/>
      <c r="D7" s="9"/>
      <c r="E7" s="9"/>
      <c r="F7" s="9"/>
      <c r="G7" s="9"/>
      <c r="H7" s="9"/>
      <c r="I7" s="9"/>
    </row>
    <row r="9" spans="2:10">
      <c r="B9" s="6" t="s">
        <v>47</v>
      </c>
    </row>
    <row r="10" spans="2:10" ht="26" customHeight="1">
      <c r="B10" s="10" t="s">
        <v>48</v>
      </c>
      <c r="C10" s="11" t="s">
        <v>49</v>
      </c>
      <c r="D10" s="11"/>
      <c r="E10" s="11"/>
      <c r="F10" s="11"/>
      <c r="G10" s="11"/>
      <c r="H10" s="11"/>
      <c r="I10" s="11"/>
      <c r="J10" s="11"/>
    </row>
    <row r="11" spans="2:10" ht="39" customHeight="1">
      <c r="B11" s="10" t="s">
        <v>48</v>
      </c>
      <c r="C11" s="11" t="s">
        <v>50</v>
      </c>
      <c r="D11" s="11"/>
      <c r="E11" s="11"/>
      <c r="F11" s="11"/>
      <c r="G11" s="11"/>
      <c r="H11" s="11"/>
      <c r="I11" s="11"/>
      <c r="J11" s="11"/>
    </row>
    <row r="12" spans="2:10" ht="39" customHeight="1">
      <c r="B12" s="10" t="s">
        <v>48</v>
      </c>
      <c r="C12" s="11" t="s">
        <v>51</v>
      </c>
      <c r="D12" s="11"/>
      <c r="E12" s="11"/>
      <c r="F12" s="11"/>
      <c r="G12" s="11"/>
      <c r="H12" s="11"/>
      <c r="I12" s="11"/>
      <c r="J12" s="11"/>
    </row>
    <row r="13" spans="2:10" ht="39" customHeight="1">
      <c r="B13" s="10" t="s">
        <v>48</v>
      </c>
      <c r="C13" s="11" t="s">
        <v>52</v>
      </c>
      <c r="D13" s="11"/>
      <c r="E13" s="11"/>
      <c r="F13" s="11"/>
      <c r="G13" s="11"/>
      <c r="H13" s="11"/>
      <c r="I13" s="11"/>
      <c r="J13" s="11"/>
    </row>
    <row r="14" spans="2:10" ht="26" customHeight="1">
      <c r="B14" s="10" t="s">
        <v>48</v>
      </c>
      <c r="C14" s="11" t="s">
        <v>53</v>
      </c>
      <c r="D14" s="11"/>
      <c r="E14" s="11"/>
      <c r="F14" s="11"/>
      <c r="G14" s="11"/>
      <c r="H14" s="11"/>
      <c r="I14" s="11"/>
      <c r="J14" s="11"/>
    </row>
    <row r="15" spans="2:10" ht="52" customHeight="1">
      <c r="B15" s="10" t="s">
        <v>48</v>
      </c>
      <c r="C15" s="11" t="s">
        <v>54</v>
      </c>
      <c r="D15" s="11"/>
      <c r="E15" s="11"/>
      <c r="F15" s="11"/>
      <c r="G15" s="11"/>
      <c r="H15" s="11"/>
      <c r="I15" s="11"/>
      <c r="J15" s="11"/>
    </row>
    <row r="17" spans="2:10">
      <c r="B17" s="6" t="s">
        <v>55</v>
      </c>
    </row>
    <row r="18" spans="2:10">
      <c r="B18" s="3" t="s">
        <v>56</v>
      </c>
      <c r="C18" s="3" t="s">
        <v>57</v>
      </c>
      <c r="D18" s="3" t="s">
        <v>58</v>
      </c>
    </row>
    <row r="19" spans="2:10" ht="65" customHeight="1">
      <c r="B19" s="10" t="s">
        <v>59</v>
      </c>
      <c r="C19" s="12" t="s">
        <v>60</v>
      </c>
      <c r="D19" s="12" t="s">
        <v>61</v>
      </c>
    </row>
    <row r="20" spans="2:10" ht="65" customHeight="1">
      <c r="B20" s="10" t="s">
        <v>62</v>
      </c>
      <c r="C20" s="12" t="s">
        <v>63</v>
      </c>
      <c r="D20" s="12" t="s">
        <v>64</v>
      </c>
    </row>
    <row r="21" spans="2:10" ht="78" customHeight="1">
      <c r="B21" s="10" t="s">
        <v>65</v>
      </c>
      <c r="C21" s="12" t="s">
        <v>66</v>
      </c>
      <c r="D21" s="12" t="s">
        <v>67</v>
      </c>
    </row>
    <row r="22" spans="2:10" ht="65" customHeight="1">
      <c r="B22" s="10" t="s">
        <v>68</v>
      </c>
      <c r="C22" s="12" t="s">
        <v>69</v>
      </c>
      <c r="D22" s="12" t="s">
        <v>70</v>
      </c>
    </row>
    <row r="24" spans="2:10">
      <c r="B24" s="6" t="s">
        <v>71</v>
      </c>
    </row>
    <row r="25" spans="2:10" ht="26" customHeight="1">
      <c r="B25" s="10" t="s">
        <v>72</v>
      </c>
      <c r="C25" s="11" t="s">
        <v>73</v>
      </c>
      <c r="D25" s="11"/>
      <c r="E25" s="11"/>
      <c r="F25" s="11"/>
      <c r="G25" s="11"/>
      <c r="H25" s="11"/>
      <c r="I25" s="11"/>
      <c r="J25" s="11"/>
    </row>
    <row r="26" spans="2:10" ht="13" customHeight="1">
      <c r="B26" s="10" t="s">
        <v>72</v>
      </c>
      <c r="C26" s="11" t="s">
        <v>74</v>
      </c>
      <c r="D26" s="11"/>
      <c r="E26" s="11"/>
      <c r="F26" s="11"/>
      <c r="G26" s="11"/>
      <c r="H26" s="11"/>
      <c r="I26" s="11"/>
      <c r="J26" s="11"/>
    </row>
    <row r="27" spans="2:10" ht="13" customHeight="1">
      <c r="B27" s="10" t="s">
        <v>72</v>
      </c>
      <c r="C27" s="11" t="s">
        <v>75</v>
      </c>
      <c r="D27" s="11"/>
      <c r="E27" s="11"/>
      <c r="F27" s="11"/>
      <c r="G27" s="11"/>
      <c r="H27" s="11"/>
      <c r="I27" s="11"/>
      <c r="J27" s="11"/>
    </row>
    <row r="28" spans="2:10" ht="13" customHeight="1">
      <c r="B28" s="10" t="s">
        <v>72</v>
      </c>
      <c r="C28" s="11" t="s">
        <v>76</v>
      </c>
      <c r="D28" s="11"/>
      <c r="E28" s="11"/>
      <c r="F28" s="11"/>
      <c r="G28" s="11"/>
      <c r="H28" s="11"/>
      <c r="I28" s="11"/>
      <c r="J28" s="11"/>
    </row>
    <row r="29" spans="2:10" ht="13" customHeight="1">
      <c r="B29" s="10" t="s">
        <v>72</v>
      </c>
      <c r="C29" s="11" t="s">
        <v>77</v>
      </c>
      <c r="D29" s="11"/>
      <c r="E29" s="11"/>
      <c r="F29" s="11"/>
      <c r="G29" s="11"/>
      <c r="H29" s="11"/>
      <c r="I29" s="11"/>
      <c r="J29" s="11"/>
    </row>
    <row r="30" spans="2:10" ht="26" customHeight="1">
      <c r="B30" s="10" t="s">
        <v>72</v>
      </c>
      <c r="C30" s="11" t="s">
        <v>78</v>
      </c>
      <c r="D30" s="11"/>
      <c r="E30" s="11"/>
      <c r="F30" s="11"/>
      <c r="G30" s="11"/>
      <c r="H30" s="11"/>
      <c r="I30" s="11"/>
      <c r="J30" s="11"/>
    </row>
    <row r="31" spans="2:10" ht="13" customHeight="1">
      <c r="B31" s="10" t="s">
        <v>72</v>
      </c>
      <c r="C31" s="11" t="s">
        <v>79</v>
      </c>
      <c r="D31" s="11"/>
      <c r="E31" s="11"/>
      <c r="F31" s="11"/>
      <c r="G31" s="11"/>
      <c r="H31" s="11"/>
      <c r="I31" s="11"/>
      <c r="J31" s="11"/>
    </row>
    <row r="33" spans="2:7">
      <c r="B33" s="6" t="s">
        <v>80</v>
      </c>
    </row>
    <row r="34" spans="2:7">
      <c r="B34" s="3" t="s">
        <v>81</v>
      </c>
      <c r="C34" s="3" t="s">
        <v>82</v>
      </c>
      <c r="D34" s="3" t="s">
        <v>83</v>
      </c>
      <c r="E34" s="3" t="s">
        <v>84</v>
      </c>
      <c r="F34" s="3" t="s">
        <v>85</v>
      </c>
      <c r="G34" s="3" t="s">
        <v>86</v>
      </c>
    </row>
    <row r="35" spans="2:7">
      <c r="B35" s="13" t="s">
        <v>87</v>
      </c>
      <c r="C35" s="12" t="s">
        <v>88</v>
      </c>
      <c r="D35" s="12" t="s">
        <v>89</v>
      </c>
      <c r="E35" s="14">
        <v>78</v>
      </c>
      <c r="F35" s="12" t="s">
        <v>90</v>
      </c>
      <c r="G35" s="12" t="s">
        <v>91</v>
      </c>
    </row>
    <row r="36" spans="2:7">
      <c r="B36" s="13" t="s">
        <v>87</v>
      </c>
      <c r="C36" s="12" t="s">
        <v>92</v>
      </c>
      <c r="D36" s="12" t="s">
        <v>93</v>
      </c>
      <c r="E36" s="14">
        <v>74</v>
      </c>
      <c r="F36" s="12" t="s">
        <v>90</v>
      </c>
      <c r="G36" s="12" t="s">
        <v>91</v>
      </c>
    </row>
    <row r="37" spans="2:7">
      <c r="B37" s="13" t="s">
        <v>87</v>
      </c>
      <c r="C37" s="12" t="s">
        <v>94</v>
      </c>
      <c r="D37" s="12" t="s">
        <v>89</v>
      </c>
      <c r="E37" s="14">
        <v>72</v>
      </c>
      <c r="F37" s="12" t="s">
        <v>90</v>
      </c>
      <c r="G37" s="12" t="s">
        <v>91</v>
      </c>
    </row>
    <row r="38" spans="2:7">
      <c r="B38" s="13" t="s">
        <v>87</v>
      </c>
      <c r="C38" s="12" t="s">
        <v>95</v>
      </c>
      <c r="D38" s="12" t="s">
        <v>89</v>
      </c>
      <c r="E38" s="14">
        <v>72</v>
      </c>
      <c r="F38" s="12" t="s">
        <v>90</v>
      </c>
      <c r="G38" s="12" t="s">
        <v>91</v>
      </c>
    </row>
    <row r="39" spans="2:7">
      <c r="B39" s="13" t="s">
        <v>87</v>
      </c>
      <c r="C39" s="12" t="s">
        <v>96</v>
      </c>
      <c r="D39" s="12" t="s">
        <v>93</v>
      </c>
      <c r="E39" s="14">
        <v>68</v>
      </c>
      <c r="F39" s="12" t="s">
        <v>90</v>
      </c>
      <c r="G39" s="12" t="s">
        <v>91</v>
      </c>
    </row>
    <row r="40" spans="2:7">
      <c r="B40" s="15" t="s">
        <v>97</v>
      </c>
      <c r="C40" s="12" t="s">
        <v>98</v>
      </c>
      <c r="D40" s="12" t="s">
        <v>93</v>
      </c>
      <c r="E40" s="14">
        <v>62</v>
      </c>
      <c r="F40" s="12" t="s">
        <v>90</v>
      </c>
      <c r="G40" s="12" t="s">
        <v>91</v>
      </c>
    </row>
    <row r="41" spans="2:7">
      <c r="B41" s="15" t="s">
        <v>97</v>
      </c>
      <c r="C41" s="12" t="s">
        <v>99</v>
      </c>
      <c r="D41" s="12" t="s">
        <v>93</v>
      </c>
      <c r="E41" s="14">
        <v>62</v>
      </c>
      <c r="F41" s="12" t="s">
        <v>90</v>
      </c>
      <c r="G41" s="12" t="s">
        <v>91</v>
      </c>
    </row>
    <row r="42" spans="2:7">
      <c r="B42" s="15" t="s">
        <v>97</v>
      </c>
      <c r="C42" s="12" t="s">
        <v>100</v>
      </c>
      <c r="D42" s="12" t="s">
        <v>93</v>
      </c>
      <c r="E42" s="14">
        <v>60</v>
      </c>
      <c r="F42" s="12" t="s">
        <v>90</v>
      </c>
      <c r="G42" s="12" t="s">
        <v>101</v>
      </c>
    </row>
    <row r="43" spans="2:7">
      <c r="B43" s="15" t="s">
        <v>97</v>
      </c>
      <c r="C43" s="12" t="s">
        <v>102</v>
      </c>
      <c r="D43" s="12" t="s">
        <v>93</v>
      </c>
      <c r="E43" s="14">
        <v>58</v>
      </c>
      <c r="F43" s="12" t="s">
        <v>90</v>
      </c>
      <c r="G43" s="12" t="s">
        <v>91</v>
      </c>
    </row>
    <row r="44" spans="2:7">
      <c r="B44" s="15" t="s">
        <v>97</v>
      </c>
      <c r="C44" s="12" t="s">
        <v>103</v>
      </c>
      <c r="D44" s="12" t="s">
        <v>104</v>
      </c>
      <c r="E44" s="14">
        <v>57</v>
      </c>
      <c r="F44" s="12" t="s">
        <v>105</v>
      </c>
      <c r="G44" s="12" t="s">
        <v>91</v>
      </c>
    </row>
    <row r="45" spans="2:7">
      <c r="B45" s="16" t="s">
        <v>106</v>
      </c>
      <c r="C45" s="12" t="s">
        <v>107</v>
      </c>
      <c r="D45" s="12" t="s">
        <v>93</v>
      </c>
      <c r="E45" s="14">
        <v>59</v>
      </c>
      <c r="F45" s="12" t="s">
        <v>90</v>
      </c>
      <c r="G45" s="12" t="s">
        <v>108</v>
      </c>
    </row>
    <row r="46" spans="2:7">
      <c r="B46" s="16" t="s">
        <v>106</v>
      </c>
      <c r="C46" s="12" t="s">
        <v>109</v>
      </c>
      <c r="D46" s="12" t="s">
        <v>104</v>
      </c>
      <c r="E46" s="14">
        <v>57</v>
      </c>
      <c r="F46" s="12" t="s">
        <v>105</v>
      </c>
      <c r="G46" s="12" t="s">
        <v>91</v>
      </c>
    </row>
    <row r="47" spans="2:7">
      <c r="B47" s="16" t="s">
        <v>106</v>
      </c>
      <c r="C47" s="12" t="s">
        <v>110</v>
      </c>
      <c r="D47" s="12" t="s">
        <v>93</v>
      </c>
      <c r="E47" s="14">
        <v>54</v>
      </c>
      <c r="F47" s="12" t="s">
        <v>90</v>
      </c>
      <c r="G47" s="12" t="s">
        <v>101</v>
      </c>
    </row>
    <row r="48" spans="2:7">
      <c r="B48" s="16" t="s">
        <v>106</v>
      </c>
      <c r="C48" s="12" t="s">
        <v>111</v>
      </c>
      <c r="D48" s="12" t="s">
        <v>93</v>
      </c>
      <c r="E48" s="14">
        <v>53</v>
      </c>
      <c r="F48" s="12" t="s">
        <v>90</v>
      </c>
      <c r="G48" s="12" t="s">
        <v>108</v>
      </c>
    </row>
    <row r="49" spans="2:7">
      <c r="B49" s="16" t="s">
        <v>106</v>
      </c>
      <c r="C49" s="12" t="s">
        <v>112</v>
      </c>
      <c r="D49" s="12" t="s">
        <v>104</v>
      </c>
      <c r="E49" s="14">
        <v>51</v>
      </c>
      <c r="F49" s="12" t="s">
        <v>105</v>
      </c>
      <c r="G49" s="12" t="s">
        <v>91</v>
      </c>
    </row>
    <row r="50" spans="2:7">
      <c r="B50" s="16" t="s">
        <v>106</v>
      </c>
      <c r="C50" s="12" t="s">
        <v>113</v>
      </c>
      <c r="D50" s="12" t="s">
        <v>104</v>
      </c>
      <c r="E50" s="14">
        <v>51</v>
      </c>
      <c r="F50" s="12" t="s">
        <v>105</v>
      </c>
      <c r="G50" s="12" t="s">
        <v>91</v>
      </c>
    </row>
    <row r="51" spans="2:7">
      <c r="B51" s="16" t="s">
        <v>106</v>
      </c>
      <c r="C51" s="12" t="s">
        <v>114</v>
      </c>
      <c r="D51" s="12" t="s">
        <v>104</v>
      </c>
      <c r="E51" s="14">
        <v>51</v>
      </c>
      <c r="F51" s="12" t="s">
        <v>105</v>
      </c>
      <c r="G51" s="12" t="s">
        <v>91</v>
      </c>
    </row>
    <row r="52" spans="2:7">
      <c r="B52" s="16" t="s">
        <v>106</v>
      </c>
      <c r="C52" s="12" t="s">
        <v>115</v>
      </c>
      <c r="D52" s="12" t="s">
        <v>104</v>
      </c>
      <c r="E52" s="14">
        <v>51</v>
      </c>
      <c r="F52" s="12" t="s">
        <v>105</v>
      </c>
      <c r="G52" s="12" t="s">
        <v>91</v>
      </c>
    </row>
    <row r="53" spans="2:7">
      <c r="B53" s="16" t="s">
        <v>106</v>
      </c>
      <c r="C53" s="12" t="s">
        <v>116</v>
      </c>
      <c r="D53" s="12" t="s">
        <v>104</v>
      </c>
      <c r="E53" s="14">
        <v>51</v>
      </c>
      <c r="F53" s="12" t="s">
        <v>105</v>
      </c>
      <c r="G53" s="12" t="s">
        <v>91</v>
      </c>
    </row>
    <row r="54" spans="2:7">
      <c r="B54" s="16" t="s">
        <v>106</v>
      </c>
      <c r="C54" s="12" t="s">
        <v>117</v>
      </c>
      <c r="D54" s="12" t="s">
        <v>104</v>
      </c>
      <c r="E54" s="14">
        <v>51</v>
      </c>
      <c r="F54" s="12" t="s">
        <v>105</v>
      </c>
      <c r="G54" s="12" t="s">
        <v>91</v>
      </c>
    </row>
    <row r="55" spans="2:7">
      <c r="B55" s="16" t="s">
        <v>106</v>
      </c>
      <c r="C55" s="12" t="s">
        <v>118</v>
      </c>
      <c r="D55" s="12" t="s">
        <v>119</v>
      </c>
      <c r="E55" s="14">
        <v>51</v>
      </c>
      <c r="F55" s="12" t="s">
        <v>120</v>
      </c>
      <c r="G55" s="12" t="s">
        <v>121</v>
      </c>
    </row>
    <row r="56" spans="2:7">
      <c r="B56" s="16" t="s">
        <v>106</v>
      </c>
      <c r="C56" s="12" t="s">
        <v>122</v>
      </c>
      <c r="D56" s="12" t="s">
        <v>93</v>
      </c>
      <c r="E56" s="14">
        <v>50</v>
      </c>
      <c r="F56" s="12" t="s">
        <v>90</v>
      </c>
      <c r="G56" s="12" t="s">
        <v>101</v>
      </c>
    </row>
  </sheetData>
  <mergeCells count="29">
    <mergeCell ref="B4:B5"/>
    <mergeCell ref="B6:B7"/>
    <mergeCell ref="C4:C5"/>
    <mergeCell ref="C6:C7"/>
    <mergeCell ref="D4:D5"/>
    <mergeCell ref="D6:D7"/>
    <mergeCell ref="E4:E5"/>
    <mergeCell ref="E6:E7"/>
    <mergeCell ref="F4:F5"/>
    <mergeCell ref="F6:F7"/>
    <mergeCell ref="G4:G5"/>
    <mergeCell ref="G6:G7"/>
    <mergeCell ref="H4:H5"/>
    <mergeCell ref="H6:H7"/>
    <mergeCell ref="I4:I5"/>
    <mergeCell ref="I6:I7"/>
    <mergeCell ref="C10:J10"/>
    <mergeCell ref="C11:J11"/>
    <mergeCell ref="C12:J12"/>
    <mergeCell ref="C13:J13"/>
    <mergeCell ref="C14:J14"/>
    <mergeCell ref="C15:J15"/>
    <mergeCell ref="C25:J25"/>
    <mergeCell ref="C26:J26"/>
    <mergeCell ref="C27:J27"/>
    <mergeCell ref="C28:J28"/>
    <mergeCell ref="C29:J29"/>
    <mergeCell ref="C30:J30"/>
    <mergeCell ref="C31:J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Y1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6.7109375" customWidth="1"/>
    <col min="2" max="2" width="22.7109375" customWidth="1"/>
    <col min="3" max="3" width="25.7109375" customWidth="1"/>
    <col min="4" max="4" width="14.7109375" customWidth="1"/>
    <col min="5" max="5" width="16.7109375" customWidth="1"/>
    <col min="6" max="6" width="44.7109375" customWidth="1"/>
    <col min="7" max="7" width="9.7109375" customWidth="1"/>
    <col min="8" max="11" width="11.7109375" customWidth="1"/>
    <col min="12" max="12" width="12.7109375" customWidth="1"/>
    <col min="13" max="13" width="20.7109375" customWidth="1"/>
    <col min="14" max="15" width="16.7109375" customWidth="1"/>
    <col min="16" max="16" width="14.7109375" customWidth="1"/>
    <col min="17" max="17" width="20.7109375" customWidth="1"/>
    <col min="18" max="19" width="15.7109375" customWidth="1"/>
    <col min="20" max="20" width="13.7109375" customWidth="1"/>
    <col min="21" max="21" width="16.7109375" customWidth="1"/>
    <col min="22" max="22" width="15.7109375" customWidth="1"/>
    <col min="23" max="23" width="12.7109375" customWidth="1"/>
    <col min="24" max="25" width="14.7109375" customWidth="1"/>
    <col min="26" max="26" width="20.7109375" customWidth="1"/>
    <col min="27" max="27" width="22.7109375" customWidth="1"/>
    <col min="28" max="28" width="32.7109375" customWidth="1"/>
    <col min="29" max="29" width="26.7109375" customWidth="1"/>
    <col min="30" max="30" width="14.7109375" customWidth="1"/>
    <col min="31" max="31" width="16.7109375" customWidth="1"/>
    <col min="32" max="32" width="18.7109375" customWidth="1"/>
    <col min="33" max="34" width="14.7109375" customWidth="1"/>
    <col min="35" max="36" width="11.7109375" customWidth="1"/>
    <col min="37" max="37" width="44.7109375" customWidth="1"/>
    <col min="38" max="38" width="22.7109375" customWidth="1"/>
    <col min="39" max="39" width="26.7109375" customWidth="1"/>
    <col min="40" max="40" width="22.7109375" customWidth="1"/>
    <col min="41" max="41" width="26.7109375" customWidth="1"/>
    <col min="42" max="42" width="10.7109375" customWidth="1"/>
    <col min="43" max="43" width="12.7109375" customWidth="1"/>
    <col min="44" max="44" width="28.7109375" customWidth="1"/>
    <col min="45" max="45" width="26.7109375" customWidth="1"/>
    <col min="46" max="46" width="30.7109375" customWidth="1"/>
    <col min="47" max="47" width="44.7109375" customWidth="1"/>
    <col min="48" max="48" width="38.7109375" customWidth="1"/>
    <col min="49" max="49" width="12.7109375" customWidth="1"/>
    <col min="50" max="50" width="95.7109375" customWidth="1"/>
    <col min="51" max="51" width="80.7109375" customWidth="1"/>
  </cols>
  <sheetData>
    <row r="1" spans="1:51" ht="44" customHeight="1">
      <c r="A1" s="3" t="s">
        <v>123</v>
      </c>
      <c r="B1" s="3" t="s">
        <v>124</v>
      </c>
      <c r="C1" s="3" t="s">
        <v>125</v>
      </c>
      <c r="D1" s="3" t="s">
        <v>126</v>
      </c>
      <c r="E1" s="3" t="s">
        <v>81</v>
      </c>
      <c r="F1" s="3" t="s">
        <v>127</v>
      </c>
      <c r="G1" s="3" t="s">
        <v>128</v>
      </c>
      <c r="H1" s="3" t="s">
        <v>129</v>
      </c>
      <c r="I1" s="3" t="s">
        <v>130</v>
      </c>
      <c r="J1" s="3" t="s">
        <v>131</v>
      </c>
      <c r="K1" s="3" t="s">
        <v>132</v>
      </c>
      <c r="L1" s="3" t="s">
        <v>133</v>
      </c>
      <c r="M1" s="3" t="s">
        <v>134</v>
      </c>
      <c r="N1" s="3" t="s">
        <v>135</v>
      </c>
      <c r="O1" s="3" t="s">
        <v>136</v>
      </c>
      <c r="P1" s="3" t="s">
        <v>137</v>
      </c>
      <c r="Q1" s="3" t="s">
        <v>138</v>
      </c>
      <c r="R1" s="17" t="s">
        <v>139</v>
      </c>
      <c r="S1" s="17" t="s">
        <v>140</v>
      </c>
      <c r="T1" s="17" t="s">
        <v>141</v>
      </c>
      <c r="U1" s="17" t="s">
        <v>142</v>
      </c>
      <c r="V1" s="18" t="s">
        <v>143</v>
      </c>
      <c r="W1" s="18" t="s">
        <v>144</v>
      </c>
      <c r="X1" s="18" t="s">
        <v>145</v>
      </c>
      <c r="Y1" s="18" t="s">
        <v>146</v>
      </c>
      <c r="Z1" s="18" t="s">
        <v>147</v>
      </c>
      <c r="AA1" s="3" t="s">
        <v>148</v>
      </c>
      <c r="AB1" s="3" t="s">
        <v>149</v>
      </c>
      <c r="AC1" s="3" t="s">
        <v>86</v>
      </c>
      <c r="AD1" s="3" t="s">
        <v>150</v>
      </c>
      <c r="AE1" s="3" t="s">
        <v>151</v>
      </c>
      <c r="AF1" s="3" t="s">
        <v>152</v>
      </c>
      <c r="AG1" s="3" t="s">
        <v>153</v>
      </c>
      <c r="AH1" s="3" t="s">
        <v>154</v>
      </c>
      <c r="AI1" s="3" t="s">
        <v>155</v>
      </c>
      <c r="AJ1" s="3" t="s">
        <v>156</v>
      </c>
      <c r="AK1" s="3" t="s">
        <v>157</v>
      </c>
      <c r="AL1" s="3" t="s">
        <v>158</v>
      </c>
      <c r="AM1" s="3" t="s">
        <v>159</v>
      </c>
      <c r="AN1" s="3" t="s">
        <v>160</v>
      </c>
      <c r="AO1" s="3" t="s">
        <v>161</v>
      </c>
      <c r="AP1" s="3" t="s">
        <v>162</v>
      </c>
      <c r="AQ1" s="3" t="s">
        <v>163</v>
      </c>
      <c r="AR1" s="3" t="s">
        <v>164</v>
      </c>
      <c r="AS1" s="3" t="s">
        <v>165</v>
      </c>
      <c r="AT1" s="3" t="s">
        <v>166</v>
      </c>
      <c r="AU1" s="3" t="s">
        <v>167</v>
      </c>
      <c r="AV1" s="3" t="s">
        <v>168</v>
      </c>
      <c r="AW1" s="3" t="s">
        <v>169</v>
      </c>
      <c r="AX1" s="3" t="s">
        <v>170</v>
      </c>
      <c r="AY1" s="3" t="s">
        <v>171</v>
      </c>
    </row>
    <row r="2" spans="1:51">
      <c r="A2" s="12" t="s">
        <v>88</v>
      </c>
      <c r="B2" s="12" t="s">
        <v>172</v>
      </c>
      <c r="C2" s="12" t="s">
        <v>173</v>
      </c>
      <c r="D2" s="13" t="s">
        <v>174</v>
      </c>
      <c r="E2" s="13" t="s">
        <v>87</v>
      </c>
      <c r="F2" s="12" t="s">
        <v>90</v>
      </c>
      <c r="G2" s="14">
        <v>78</v>
      </c>
      <c r="H2" s="14">
        <v>30</v>
      </c>
      <c r="I2" s="14">
        <v>20</v>
      </c>
      <c r="J2" s="14">
        <v>14</v>
      </c>
      <c r="K2" s="14">
        <v>6</v>
      </c>
      <c r="L2" s="14">
        <v>8</v>
      </c>
      <c r="M2" s="12" t="s">
        <v>89</v>
      </c>
      <c r="N2" s="13" t="s">
        <v>175</v>
      </c>
      <c r="O2" s="12" t="s">
        <v>176</v>
      </c>
      <c r="P2" s="12" t="s">
        <v>177</v>
      </c>
      <c r="Q2" s="16" t="s">
        <v>178</v>
      </c>
      <c r="R2" s="19"/>
      <c r="S2" s="20"/>
      <c r="T2" s="20"/>
      <c r="U2" s="20"/>
      <c r="V2" s="21">
        <f>IF(U2="","",U2*'0. Premissas (editável)'!$C$7*'0. Premissas (editável)'!$C$8)</f>
        <v>0</v>
      </c>
      <c r="W2" s="22">
        <f>IF(OR(S2="",V2=""),"",(S2-V2)/S2)</f>
        <v>0</v>
      </c>
      <c r="X2" s="23">
        <f>IF(W2="","preencher",IF(W2&gt;='0. Premissas (editável)'!$C$9,"Viável",IF(W2&gt;='0. Premissas (editável)'!$C$10,"Marginal","Inviável")))</f>
        <v>0</v>
      </c>
      <c r="Y2" s="23">
        <f>IF(R2="","preencher",IF(R2&gt;='0. Premissas (editável)'!$C$11,"PASSA","NÃO PASSA"))</f>
        <v>0</v>
      </c>
      <c r="Z2" s="23">
        <f>IF(AND(R2="",S2=""),"Preencher IQVIA",IF(AND(R2&lt;&gt;"",R2&lt;'0. Premissas (editável)'!$C$11),"NÃO — mercado abaixo do corte",IF(X2="Inviável","NÃO — economia não fecha",IF(D2="NÃO","NÃO — vetada na triagem",IF(X2="Marginal","REAVALIAR — margem apertada","SIM")))))</f>
        <v>0</v>
      </c>
      <c r="AA2" s="12" t="s">
        <v>179</v>
      </c>
      <c r="AB2" s="12"/>
      <c r="AC2" s="12" t="s">
        <v>91</v>
      </c>
      <c r="AD2" s="12" t="s">
        <v>180</v>
      </c>
      <c r="AE2" s="12" t="s">
        <v>178</v>
      </c>
      <c r="AF2" s="12" t="s">
        <v>181</v>
      </c>
      <c r="AG2" s="12" t="s">
        <v>180</v>
      </c>
      <c r="AH2" s="16" t="s">
        <v>180</v>
      </c>
      <c r="AI2" s="14">
        <v>0</v>
      </c>
      <c r="AJ2" s="14">
        <v>0</v>
      </c>
      <c r="AK2" s="12"/>
      <c r="AL2" s="12"/>
      <c r="AM2" s="12"/>
      <c r="AN2" s="12"/>
      <c r="AO2" s="12" t="s">
        <v>182</v>
      </c>
      <c r="AP2" s="14">
        <v>1</v>
      </c>
      <c r="AQ2" s="16" t="s">
        <v>180</v>
      </c>
      <c r="AR2" s="12" t="s">
        <v>183</v>
      </c>
      <c r="AS2" s="12" t="s">
        <v>184</v>
      </c>
      <c r="AT2" s="12" t="s">
        <v>185</v>
      </c>
      <c r="AU2" s="12" t="s">
        <v>186</v>
      </c>
      <c r="AV2" s="12" t="s">
        <v>187</v>
      </c>
      <c r="AW2" s="12" t="s">
        <v>188</v>
      </c>
      <c r="AX2" s="12" t="s">
        <v>189</v>
      </c>
      <c r="AY2" s="12" t="s">
        <v>190</v>
      </c>
    </row>
    <row r="3" spans="1:51">
      <c r="A3" s="12" t="s">
        <v>92</v>
      </c>
      <c r="B3" s="12" t="s">
        <v>191</v>
      </c>
      <c r="C3" s="12" t="s">
        <v>173</v>
      </c>
      <c r="D3" s="13" t="s">
        <v>174</v>
      </c>
      <c r="E3" s="13" t="s">
        <v>87</v>
      </c>
      <c r="F3" s="12" t="s">
        <v>90</v>
      </c>
      <c r="G3" s="14">
        <v>74</v>
      </c>
      <c r="H3" s="14">
        <v>26</v>
      </c>
      <c r="I3" s="14">
        <v>20</v>
      </c>
      <c r="J3" s="14">
        <v>14</v>
      </c>
      <c r="K3" s="14">
        <v>6</v>
      </c>
      <c r="L3" s="14">
        <v>8</v>
      </c>
      <c r="M3" s="12" t="s">
        <v>93</v>
      </c>
      <c r="N3" s="13" t="s">
        <v>175</v>
      </c>
      <c r="O3" s="12" t="s">
        <v>176</v>
      </c>
      <c r="P3" s="12" t="s">
        <v>177</v>
      </c>
      <c r="Q3" s="16" t="s">
        <v>178</v>
      </c>
      <c r="R3" s="19"/>
      <c r="S3" s="20"/>
      <c r="T3" s="20"/>
      <c r="U3" s="20"/>
      <c r="V3" s="21">
        <f>IF(U3="","",U3*'0. Premissas (editável)'!$C$7*'0. Premissas (editável)'!$C$8)</f>
        <v>0</v>
      </c>
      <c r="W3" s="22">
        <f>IF(OR(S3="",V3=""),"",(S3-V3)/S3)</f>
        <v>0</v>
      </c>
      <c r="X3" s="23">
        <f>IF(W3="","preencher",IF(W3&gt;='0. Premissas (editável)'!$C$9,"Viável",IF(W3&gt;='0. Premissas (editável)'!$C$10,"Marginal","Inviável")))</f>
        <v>0</v>
      </c>
      <c r="Y3" s="23">
        <f>IF(R3="","preencher",IF(R3&gt;='0. Premissas (editável)'!$C$11,"PASSA","NÃO PASSA"))</f>
        <v>0</v>
      </c>
      <c r="Z3" s="23">
        <f>IF(AND(R3="",S3=""),"Preencher IQVIA",IF(AND(R3&lt;&gt;"",R3&lt;'0. Premissas (editável)'!$C$11),"NÃO — mercado abaixo do corte",IF(X3="Inviável","NÃO — economia não fecha",IF(D3="NÃO","NÃO — vetada na triagem",IF(X3="Marginal","REAVALIAR — margem apertada","SIM")))))</f>
        <v>0</v>
      </c>
      <c r="AA3" s="12" t="s">
        <v>179</v>
      </c>
      <c r="AB3" s="12"/>
      <c r="AC3" s="12" t="s">
        <v>91</v>
      </c>
      <c r="AD3" s="12" t="s">
        <v>180</v>
      </c>
      <c r="AE3" s="12" t="s">
        <v>178</v>
      </c>
      <c r="AF3" s="12" t="s">
        <v>181</v>
      </c>
      <c r="AG3" s="12" t="s">
        <v>180</v>
      </c>
      <c r="AH3" s="16" t="s">
        <v>180</v>
      </c>
      <c r="AI3" s="14">
        <v>0</v>
      </c>
      <c r="AJ3" s="14">
        <v>0</v>
      </c>
      <c r="AK3" s="12"/>
      <c r="AL3" s="12"/>
      <c r="AM3" s="12"/>
      <c r="AN3" s="12"/>
      <c r="AO3" s="12" t="s">
        <v>182</v>
      </c>
      <c r="AP3" s="14">
        <v>1</v>
      </c>
      <c r="AQ3" s="16" t="s">
        <v>180</v>
      </c>
      <c r="AR3" s="12" t="s">
        <v>192</v>
      </c>
      <c r="AS3" s="12" t="s">
        <v>184</v>
      </c>
      <c r="AT3" s="12" t="s">
        <v>193</v>
      </c>
      <c r="AU3" s="12" t="s">
        <v>194</v>
      </c>
      <c r="AV3" s="12" t="s">
        <v>195</v>
      </c>
      <c r="AW3" s="12" t="s">
        <v>196</v>
      </c>
      <c r="AX3" s="12" t="s">
        <v>197</v>
      </c>
      <c r="AY3" s="12" t="s">
        <v>190</v>
      </c>
    </row>
    <row r="4" spans="1:51">
      <c r="A4" s="12" t="s">
        <v>94</v>
      </c>
      <c r="B4" s="12" t="s">
        <v>198</v>
      </c>
      <c r="C4" s="12" t="s">
        <v>199</v>
      </c>
      <c r="D4" s="13" t="s">
        <v>174</v>
      </c>
      <c r="E4" s="13" t="s">
        <v>87</v>
      </c>
      <c r="F4" s="12" t="s">
        <v>90</v>
      </c>
      <c r="G4" s="14">
        <v>72</v>
      </c>
      <c r="H4" s="14">
        <v>30</v>
      </c>
      <c r="I4" s="14">
        <v>20</v>
      </c>
      <c r="J4" s="14">
        <v>14</v>
      </c>
      <c r="K4" s="14">
        <v>0</v>
      </c>
      <c r="L4" s="14">
        <v>8</v>
      </c>
      <c r="M4" s="12" t="s">
        <v>89</v>
      </c>
      <c r="N4" s="13" t="s">
        <v>175</v>
      </c>
      <c r="O4" s="12" t="s">
        <v>176</v>
      </c>
      <c r="P4" s="12" t="s">
        <v>200</v>
      </c>
      <c r="Q4" s="16" t="s">
        <v>178</v>
      </c>
      <c r="R4" s="19"/>
      <c r="S4" s="20"/>
      <c r="T4" s="20"/>
      <c r="U4" s="20"/>
      <c r="V4" s="21">
        <f>IF(U4="","",U4*'0. Premissas (editável)'!$C$7*'0. Premissas (editável)'!$C$8)</f>
        <v>0</v>
      </c>
      <c r="W4" s="22">
        <f>IF(OR(S4="",V4=""),"",(S4-V4)/S4)</f>
        <v>0</v>
      </c>
      <c r="X4" s="23">
        <f>IF(W4="","preencher",IF(W4&gt;='0. Premissas (editável)'!$C$9,"Viável",IF(W4&gt;='0. Premissas (editável)'!$C$10,"Marginal","Inviável")))</f>
        <v>0</v>
      </c>
      <c r="Y4" s="23">
        <f>IF(R4="","preencher",IF(R4&gt;='0. Premissas (editável)'!$C$11,"PASSA","NÃO PASSA"))</f>
        <v>0</v>
      </c>
      <c r="Z4" s="23">
        <f>IF(AND(R4="",S4=""),"Preencher IQVIA",IF(AND(R4&lt;&gt;"",R4&lt;'0. Premissas (editável)'!$C$11),"NÃO — mercado abaixo do corte",IF(X4="Inviável","NÃO — economia não fecha",IF(D4="NÃO","NÃO — vetada na triagem",IF(X4="Marginal","REAVALIAR — margem apertada","SIM")))))</f>
        <v>0</v>
      </c>
      <c r="AA4" s="12" t="s">
        <v>179</v>
      </c>
      <c r="AB4" s="12"/>
      <c r="AC4" s="12" t="s">
        <v>91</v>
      </c>
      <c r="AD4" s="12" t="s">
        <v>180</v>
      </c>
      <c r="AE4" s="12" t="s">
        <v>178</v>
      </c>
      <c r="AF4" s="12" t="s">
        <v>181</v>
      </c>
      <c r="AG4" s="12" t="s">
        <v>180</v>
      </c>
      <c r="AH4" s="16" t="s">
        <v>180</v>
      </c>
      <c r="AI4" s="14">
        <v>0</v>
      </c>
      <c r="AJ4" s="14">
        <v>0</v>
      </c>
      <c r="AK4" s="12"/>
      <c r="AL4" s="12"/>
      <c r="AM4" s="12"/>
      <c r="AN4" s="12"/>
      <c r="AO4" s="12" t="s">
        <v>201</v>
      </c>
      <c r="AP4" s="14">
        <v>1</v>
      </c>
      <c r="AQ4" s="16" t="s">
        <v>180</v>
      </c>
      <c r="AR4" s="12" t="s">
        <v>202</v>
      </c>
      <c r="AS4" s="12" t="s">
        <v>184</v>
      </c>
      <c r="AT4" s="12" t="s">
        <v>203</v>
      </c>
      <c r="AU4" s="12" t="s">
        <v>204</v>
      </c>
      <c r="AV4" s="12" t="s">
        <v>205</v>
      </c>
      <c r="AW4" s="12" t="s">
        <v>206</v>
      </c>
      <c r="AX4" s="12" t="s">
        <v>207</v>
      </c>
      <c r="AY4" s="12" t="s">
        <v>190</v>
      </c>
    </row>
    <row r="5" spans="1:51">
      <c r="A5" s="12" t="s">
        <v>95</v>
      </c>
      <c r="B5" s="12" t="s">
        <v>208</v>
      </c>
      <c r="C5" s="12" t="s">
        <v>199</v>
      </c>
      <c r="D5" s="13" t="s">
        <v>174</v>
      </c>
      <c r="E5" s="13" t="s">
        <v>87</v>
      </c>
      <c r="F5" s="12" t="s">
        <v>90</v>
      </c>
      <c r="G5" s="14">
        <v>72</v>
      </c>
      <c r="H5" s="14">
        <v>30</v>
      </c>
      <c r="I5" s="14">
        <v>20</v>
      </c>
      <c r="J5" s="14">
        <v>14</v>
      </c>
      <c r="K5" s="14">
        <v>0</v>
      </c>
      <c r="L5" s="14">
        <v>8</v>
      </c>
      <c r="M5" s="12" t="s">
        <v>89</v>
      </c>
      <c r="N5" s="13" t="s">
        <v>175</v>
      </c>
      <c r="O5" s="12" t="s">
        <v>176</v>
      </c>
      <c r="P5" s="12" t="s">
        <v>200</v>
      </c>
      <c r="Q5" s="16" t="s">
        <v>178</v>
      </c>
      <c r="R5" s="19"/>
      <c r="S5" s="20"/>
      <c r="T5" s="20"/>
      <c r="U5" s="20"/>
      <c r="V5" s="21">
        <f>IF(U5="","",U5*'0. Premissas (editável)'!$C$7*'0. Premissas (editável)'!$C$8)</f>
        <v>0</v>
      </c>
      <c r="W5" s="22">
        <f>IF(OR(S5="",V5=""),"",(S5-V5)/S5)</f>
        <v>0</v>
      </c>
      <c r="X5" s="23">
        <f>IF(W5="","preencher",IF(W5&gt;='0. Premissas (editável)'!$C$9,"Viável",IF(W5&gt;='0. Premissas (editável)'!$C$10,"Marginal","Inviável")))</f>
        <v>0</v>
      </c>
      <c r="Y5" s="23">
        <f>IF(R5="","preencher",IF(R5&gt;='0. Premissas (editável)'!$C$11,"PASSA","NÃO PASSA"))</f>
        <v>0</v>
      </c>
      <c r="Z5" s="23">
        <f>IF(AND(R5="",S5=""),"Preencher IQVIA",IF(AND(R5&lt;&gt;"",R5&lt;'0. Premissas (editável)'!$C$11),"NÃO — mercado abaixo do corte",IF(X5="Inviável","NÃO — economia não fecha",IF(D5="NÃO","NÃO — vetada na triagem",IF(X5="Marginal","REAVALIAR — margem apertada","SIM")))))</f>
        <v>0</v>
      </c>
      <c r="AA5" s="12" t="s">
        <v>179</v>
      </c>
      <c r="AB5" s="12"/>
      <c r="AC5" s="12" t="s">
        <v>91</v>
      </c>
      <c r="AD5" s="12" t="s">
        <v>180</v>
      </c>
      <c r="AE5" s="12" t="s">
        <v>178</v>
      </c>
      <c r="AF5" s="12" t="s">
        <v>181</v>
      </c>
      <c r="AG5" s="12" t="s">
        <v>180</v>
      </c>
      <c r="AH5" s="16" t="s">
        <v>180</v>
      </c>
      <c r="AI5" s="14">
        <v>0</v>
      </c>
      <c r="AJ5" s="14">
        <v>0</v>
      </c>
      <c r="AK5" s="12"/>
      <c r="AL5" s="12"/>
      <c r="AM5" s="12"/>
      <c r="AN5" s="12"/>
      <c r="AO5" s="12" t="s">
        <v>201</v>
      </c>
      <c r="AP5" s="14">
        <v>1</v>
      </c>
      <c r="AQ5" s="16" t="s">
        <v>180</v>
      </c>
      <c r="AR5" s="12" t="s">
        <v>209</v>
      </c>
      <c r="AS5" s="12" t="s">
        <v>210</v>
      </c>
      <c r="AT5" s="12" t="s">
        <v>211</v>
      </c>
      <c r="AU5" s="12" t="s">
        <v>212</v>
      </c>
      <c r="AV5" s="12" t="s">
        <v>213</v>
      </c>
      <c r="AW5" s="12" t="s">
        <v>214</v>
      </c>
      <c r="AX5" s="12" t="s">
        <v>215</v>
      </c>
      <c r="AY5" s="12" t="s">
        <v>190</v>
      </c>
    </row>
    <row r="6" spans="1:51">
      <c r="A6" s="12" t="s">
        <v>96</v>
      </c>
      <c r="B6" s="12" t="s">
        <v>216</v>
      </c>
      <c r="C6" s="12" t="s">
        <v>217</v>
      </c>
      <c r="D6" s="13" t="s">
        <v>174</v>
      </c>
      <c r="E6" s="13" t="s">
        <v>87</v>
      </c>
      <c r="F6" s="12" t="s">
        <v>90</v>
      </c>
      <c r="G6" s="14">
        <v>68</v>
      </c>
      <c r="H6" s="14">
        <v>26</v>
      </c>
      <c r="I6" s="14">
        <v>20</v>
      </c>
      <c r="J6" s="14">
        <v>14</v>
      </c>
      <c r="K6" s="14">
        <v>0</v>
      </c>
      <c r="L6" s="14">
        <v>8</v>
      </c>
      <c r="M6" s="12" t="s">
        <v>93</v>
      </c>
      <c r="N6" s="13" t="s">
        <v>175</v>
      </c>
      <c r="O6" s="12" t="s">
        <v>176</v>
      </c>
      <c r="P6" s="12" t="s">
        <v>177</v>
      </c>
      <c r="Q6" s="16" t="s">
        <v>178</v>
      </c>
      <c r="R6" s="19"/>
      <c r="S6" s="20"/>
      <c r="T6" s="20"/>
      <c r="U6" s="20"/>
      <c r="V6" s="21">
        <f>IF(U6="","",U6*'0. Premissas (editável)'!$C$7*'0. Premissas (editável)'!$C$8)</f>
        <v>0</v>
      </c>
      <c r="W6" s="22">
        <f>IF(OR(S6="",V6=""),"",(S6-V6)/S6)</f>
        <v>0</v>
      </c>
      <c r="X6" s="23">
        <f>IF(W6="","preencher",IF(W6&gt;='0. Premissas (editável)'!$C$9,"Viável",IF(W6&gt;='0. Premissas (editável)'!$C$10,"Marginal","Inviável")))</f>
        <v>0</v>
      </c>
      <c r="Y6" s="23">
        <f>IF(R6="","preencher",IF(R6&gt;='0. Premissas (editável)'!$C$11,"PASSA","NÃO PASSA"))</f>
        <v>0</v>
      </c>
      <c r="Z6" s="23">
        <f>IF(AND(R6="",S6=""),"Preencher IQVIA",IF(AND(R6&lt;&gt;"",R6&lt;'0. Premissas (editável)'!$C$11),"NÃO — mercado abaixo do corte",IF(X6="Inviável","NÃO — economia não fecha",IF(D6="NÃO","NÃO — vetada na triagem",IF(X6="Marginal","REAVALIAR — margem apertada","SIM")))))</f>
        <v>0</v>
      </c>
      <c r="AA6" s="12" t="s">
        <v>179</v>
      </c>
      <c r="AB6" s="12"/>
      <c r="AC6" s="12" t="s">
        <v>91</v>
      </c>
      <c r="AD6" s="12" t="s">
        <v>180</v>
      </c>
      <c r="AE6" s="12" t="s">
        <v>178</v>
      </c>
      <c r="AF6" s="12" t="s">
        <v>181</v>
      </c>
      <c r="AG6" s="12" t="s">
        <v>180</v>
      </c>
      <c r="AH6" s="16" t="s">
        <v>180</v>
      </c>
      <c r="AI6" s="14">
        <v>0</v>
      </c>
      <c r="AJ6" s="14">
        <v>0</v>
      </c>
      <c r="AK6" s="12"/>
      <c r="AL6" s="12"/>
      <c r="AM6" s="12"/>
      <c r="AN6" s="12"/>
      <c r="AO6" s="12" t="s">
        <v>218</v>
      </c>
      <c r="AP6" s="14">
        <v>1</v>
      </c>
      <c r="AQ6" s="16" t="s">
        <v>180</v>
      </c>
      <c r="AR6" s="12" t="s">
        <v>219</v>
      </c>
      <c r="AS6" s="12" t="s">
        <v>184</v>
      </c>
      <c r="AT6" s="12" t="s">
        <v>220</v>
      </c>
      <c r="AU6" s="12" t="s">
        <v>221</v>
      </c>
      <c r="AV6" s="12" t="s">
        <v>222</v>
      </c>
      <c r="AW6" s="12" t="s">
        <v>223</v>
      </c>
      <c r="AX6" s="12" t="s">
        <v>224</v>
      </c>
      <c r="AY6" s="12" t="s">
        <v>190</v>
      </c>
    </row>
    <row r="7" spans="1:51">
      <c r="A7" s="12" t="s">
        <v>98</v>
      </c>
      <c r="B7" s="12" t="s">
        <v>225</v>
      </c>
      <c r="C7" s="12" t="s">
        <v>173</v>
      </c>
      <c r="D7" s="13" t="s">
        <v>174</v>
      </c>
      <c r="E7" s="15" t="s">
        <v>97</v>
      </c>
      <c r="F7" s="12" t="s">
        <v>90</v>
      </c>
      <c r="G7" s="14">
        <v>62</v>
      </c>
      <c r="H7" s="14">
        <v>26</v>
      </c>
      <c r="I7" s="14">
        <v>14</v>
      </c>
      <c r="J7" s="14">
        <v>14</v>
      </c>
      <c r="K7" s="14">
        <v>0</v>
      </c>
      <c r="L7" s="14">
        <v>8</v>
      </c>
      <c r="M7" s="12" t="s">
        <v>93</v>
      </c>
      <c r="N7" s="13" t="s">
        <v>175</v>
      </c>
      <c r="O7" s="12" t="s">
        <v>176</v>
      </c>
      <c r="P7" s="12" t="s">
        <v>200</v>
      </c>
      <c r="Q7" s="16" t="s">
        <v>178</v>
      </c>
      <c r="R7" s="19"/>
      <c r="S7" s="20"/>
      <c r="T7" s="20"/>
      <c r="U7" s="20"/>
      <c r="V7" s="21">
        <f>IF(U7="","",U7*'0. Premissas (editável)'!$C$7*'0. Premissas (editável)'!$C$8)</f>
        <v>0</v>
      </c>
      <c r="W7" s="22">
        <f>IF(OR(S7="",V7=""),"",(S7-V7)/S7)</f>
        <v>0</v>
      </c>
      <c r="X7" s="23">
        <f>IF(W7="","preencher",IF(W7&gt;='0. Premissas (editável)'!$C$9,"Viável",IF(W7&gt;='0. Premissas (editável)'!$C$10,"Marginal","Inviável")))</f>
        <v>0</v>
      </c>
      <c r="Y7" s="23">
        <f>IF(R7="","preencher",IF(R7&gt;='0. Premissas (editável)'!$C$11,"PASSA","NÃO PASSA"))</f>
        <v>0</v>
      </c>
      <c r="Z7" s="23">
        <f>IF(AND(R7="",S7=""),"Preencher IQVIA",IF(AND(R7&lt;&gt;"",R7&lt;'0. Premissas (editável)'!$C$11),"NÃO — mercado abaixo do corte",IF(X7="Inviável","NÃO — economia não fecha",IF(D7="NÃO","NÃO — vetada na triagem",IF(X7="Marginal","REAVALIAR — margem apertada","SIM")))))</f>
        <v>0</v>
      </c>
      <c r="AA7" s="12" t="s">
        <v>179</v>
      </c>
      <c r="AB7" s="12"/>
      <c r="AC7" s="12" t="s">
        <v>91</v>
      </c>
      <c r="AD7" s="12" t="s">
        <v>180</v>
      </c>
      <c r="AE7" s="12" t="s">
        <v>178</v>
      </c>
      <c r="AF7" s="12" t="s">
        <v>181</v>
      </c>
      <c r="AG7" s="12" t="s">
        <v>180</v>
      </c>
      <c r="AH7" s="16" t="s">
        <v>180</v>
      </c>
      <c r="AI7" s="14">
        <v>0</v>
      </c>
      <c r="AJ7" s="14">
        <v>0</v>
      </c>
      <c r="AK7" s="12"/>
      <c r="AL7" s="12"/>
      <c r="AM7" s="12"/>
      <c r="AN7" s="12"/>
      <c r="AO7" s="12" t="s">
        <v>218</v>
      </c>
      <c r="AP7" s="14">
        <v>2</v>
      </c>
      <c r="AQ7" s="16" t="s">
        <v>180</v>
      </c>
      <c r="AR7" s="12" t="s">
        <v>226</v>
      </c>
      <c r="AS7" s="12" t="s">
        <v>184</v>
      </c>
      <c r="AT7" s="12" t="s">
        <v>227</v>
      </c>
      <c r="AU7" s="12" t="s">
        <v>228</v>
      </c>
      <c r="AV7" s="12" t="s">
        <v>229</v>
      </c>
      <c r="AW7" s="12" t="s">
        <v>230</v>
      </c>
      <c r="AX7" s="12" t="s">
        <v>231</v>
      </c>
      <c r="AY7" s="12" t="s">
        <v>190</v>
      </c>
    </row>
    <row r="8" spans="1:51">
      <c r="A8" s="12" t="s">
        <v>99</v>
      </c>
      <c r="B8" s="12" t="s">
        <v>232</v>
      </c>
      <c r="C8" s="12" t="s">
        <v>173</v>
      </c>
      <c r="D8" s="13" t="s">
        <v>174</v>
      </c>
      <c r="E8" s="15" t="s">
        <v>97</v>
      </c>
      <c r="F8" s="12" t="s">
        <v>90</v>
      </c>
      <c r="G8" s="14">
        <v>62</v>
      </c>
      <c r="H8" s="14">
        <v>26</v>
      </c>
      <c r="I8" s="14">
        <v>10</v>
      </c>
      <c r="J8" s="14">
        <v>14</v>
      </c>
      <c r="K8" s="14">
        <v>4</v>
      </c>
      <c r="L8" s="14">
        <v>8</v>
      </c>
      <c r="M8" s="12" t="s">
        <v>93</v>
      </c>
      <c r="N8" s="13" t="s">
        <v>175</v>
      </c>
      <c r="O8" s="12" t="s">
        <v>176</v>
      </c>
      <c r="P8" s="12" t="s">
        <v>233</v>
      </c>
      <c r="Q8" s="16" t="s">
        <v>178</v>
      </c>
      <c r="R8" s="19"/>
      <c r="S8" s="20"/>
      <c r="T8" s="20"/>
      <c r="U8" s="20"/>
      <c r="V8" s="21">
        <f>IF(U8="","",U8*'0. Premissas (editável)'!$C$7*'0. Premissas (editável)'!$C$8)</f>
        <v>0</v>
      </c>
      <c r="W8" s="22">
        <f>IF(OR(S8="",V8=""),"",(S8-V8)/S8)</f>
        <v>0</v>
      </c>
      <c r="X8" s="23">
        <f>IF(W8="","preencher",IF(W8&gt;='0. Premissas (editável)'!$C$9,"Viável",IF(W8&gt;='0. Premissas (editável)'!$C$10,"Marginal","Inviável")))</f>
        <v>0</v>
      </c>
      <c r="Y8" s="23">
        <f>IF(R8="","preencher",IF(R8&gt;='0. Premissas (editável)'!$C$11,"PASSA","NÃO PASSA"))</f>
        <v>0</v>
      </c>
      <c r="Z8" s="23">
        <f>IF(AND(R8="",S8=""),"Preencher IQVIA",IF(AND(R8&lt;&gt;"",R8&lt;'0. Premissas (editável)'!$C$11),"NÃO — mercado abaixo do corte",IF(X8="Inviável","NÃO — economia não fecha",IF(D8="NÃO","NÃO — vetada na triagem",IF(X8="Marginal","REAVALIAR — margem apertada","SIM")))))</f>
        <v>0</v>
      </c>
      <c r="AA8" s="12" t="s">
        <v>179</v>
      </c>
      <c r="AB8" s="12"/>
      <c r="AC8" s="12" t="s">
        <v>91</v>
      </c>
      <c r="AD8" s="12" t="s">
        <v>180</v>
      </c>
      <c r="AE8" s="12" t="s">
        <v>178</v>
      </c>
      <c r="AF8" s="12" t="s">
        <v>181</v>
      </c>
      <c r="AG8" s="12" t="s">
        <v>180</v>
      </c>
      <c r="AH8" s="16" t="s">
        <v>180</v>
      </c>
      <c r="AI8" s="14">
        <v>0</v>
      </c>
      <c r="AJ8" s="14">
        <v>0</v>
      </c>
      <c r="AK8" s="12"/>
      <c r="AL8" s="12"/>
      <c r="AM8" s="12"/>
      <c r="AN8" s="12"/>
      <c r="AO8" s="12" t="s">
        <v>201</v>
      </c>
      <c r="AP8" s="14">
        <v>1</v>
      </c>
      <c r="AQ8" s="16" t="s">
        <v>180</v>
      </c>
      <c r="AR8" s="12" t="s">
        <v>234</v>
      </c>
      <c r="AS8" s="12" t="s">
        <v>235</v>
      </c>
      <c r="AT8" s="12" t="s">
        <v>236</v>
      </c>
      <c r="AU8" s="12" t="s">
        <v>237</v>
      </c>
      <c r="AV8" s="12" t="s">
        <v>238</v>
      </c>
      <c r="AW8" s="12" t="s">
        <v>239</v>
      </c>
      <c r="AX8" s="12" t="s">
        <v>240</v>
      </c>
      <c r="AY8" s="12" t="s">
        <v>190</v>
      </c>
    </row>
    <row r="9" spans="1:51">
      <c r="A9" s="12" t="s">
        <v>100</v>
      </c>
      <c r="B9" s="12" t="s">
        <v>241</v>
      </c>
      <c r="C9" s="12" t="s">
        <v>199</v>
      </c>
      <c r="D9" s="13" t="s">
        <v>174</v>
      </c>
      <c r="E9" s="15" t="s">
        <v>97</v>
      </c>
      <c r="F9" s="12" t="s">
        <v>90</v>
      </c>
      <c r="G9" s="14">
        <v>60</v>
      </c>
      <c r="H9" s="14">
        <v>26</v>
      </c>
      <c r="I9" s="14">
        <v>20</v>
      </c>
      <c r="J9" s="14">
        <v>14</v>
      </c>
      <c r="K9" s="14">
        <v>0</v>
      </c>
      <c r="L9" s="14">
        <v>0</v>
      </c>
      <c r="M9" s="12" t="s">
        <v>93</v>
      </c>
      <c r="N9" s="13" t="s">
        <v>175</v>
      </c>
      <c r="O9" s="12" t="s">
        <v>176</v>
      </c>
      <c r="P9" s="12" t="s">
        <v>233</v>
      </c>
      <c r="Q9" s="16" t="s">
        <v>178</v>
      </c>
      <c r="R9" s="19"/>
      <c r="S9" s="20"/>
      <c r="T9" s="20"/>
      <c r="U9" s="20"/>
      <c r="V9" s="21">
        <f>IF(U9="","",U9*'0. Premissas (editável)'!$C$7*'0. Premissas (editável)'!$C$8)</f>
        <v>0</v>
      </c>
      <c r="W9" s="22">
        <f>IF(OR(S9="",V9=""),"",(S9-V9)/S9)</f>
        <v>0</v>
      </c>
      <c r="X9" s="23">
        <f>IF(W9="","preencher",IF(W9&gt;='0. Premissas (editável)'!$C$9,"Viável",IF(W9&gt;='0. Premissas (editável)'!$C$10,"Marginal","Inviável")))</f>
        <v>0</v>
      </c>
      <c r="Y9" s="23">
        <f>IF(R9="","preencher",IF(R9&gt;='0. Premissas (editável)'!$C$11,"PASSA","NÃO PASSA"))</f>
        <v>0</v>
      </c>
      <c r="Z9" s="23">
        <f>IF(AND(R9="",S9=""),"Preencher IQVIA",IF(AND(R9&lt;&gt;"",R9&lt;'0. Premissas (editável)'!$C$11),"NÃO — mercado abaixo do corte",IF(X9="Inviável","NÃO — economia não fecha",IF(D9="NÃO","NÃO — vetada na triagem",IF(X9="Marginal","REAVALIAR — margem apertada","SIM")))))</f>
        <v>0</v>
      </c>
      <c r="AA9" s="12" t="s">
        <v>179</v>
      </c>
      <c r="AB9" s="12"/>
      <c r="AC9" s="12" t="s">
        <v>101</v>
      </c>
      <c r="AD9" s="12" t="s">
        <v>174</v>
      </c>
      <c r="AE9" s="12" t="s">
        <v>242</v>
      </c>
      <c r="AF9" s="12" t="s">
        <v>243</v>
      </c>
      <c r="AG9" s="12" t="s">
        <v>180</v>
      </c>
      <c r="AH9" s="16" t="s">
        <v>180</v>
      </c>
      <c r="AI9" s="14">
        <v>1</v>
      </c>
      <c r="AJ9" s="14">
        <v>1</v>
      </c>
      <c r="AK9" s="12" t="s">
        <v>244</v>
      </c>
      <c r="AL9" s="12" t="s">
        <v>245</v>
      </c>
      <c r="AM9" s="12" t="s">
        <v>246</v>
      </c>
      <c r="AN9" s="12" t="s">
        <v>247</v>
      </c>
      <c r="AO9" s="12" t="s">
        <v>218</v>
      </c>
      <c r="AP9" s="14">
        <v>2</v>
      </c>
      <c r="AQ9" s="16" t="s">
        <v>180</v>
      </c>
      <c r="AR9" s="12" t="s">
        <v>248</v>
      </c>
      <c r="AS9" s="12" t="s">
        <v>184</v>
      </c>
      <c r="AT9" s="12" t="s">
        <v>249</v>
      </c>
      <c r="AU9" s="12" t="s">
        <v>250</v>
      </c>
      <c r="AV9" s="12" t="s">
        <v>251</v>
      </c>
      <c r="AW9" s="12" t="s">
        <v>214</v>
      </c>
      <c r="AX9" s="12" t="s">
        <v>252</v>
      </c>
      <c r="AY9" s="12" t="s">
        <v>190</v>
      </c>
    </row>
    <row r="10" spans="1:51">
      <c r="A10" s="12" t="s">
        <v>102</v>
      </c>
      <c r="B10" s="12" t="s">
        <v>253</v>
      </c>
      <c r="C10" s="12" t="s">
        <v>199</v>
      </c>
      <c r="D10" s="13" t="s">
        <v>174</v>
      </c>
      <c r="E10" s="15" t="s">
        <v>97</v>
      </c>
      <c r="F10" s="12" t="s">
        <v>90</v>
      </c>
      <c r="G10" s="14">
        <v>58</v>
      </c>
      <c r="H10" s="14">
        <v>26</v>
      </c>
      <c r="I10" s="14">
        <v>10</v>
      </c>
      <c r="J10" s="14">
        <v>14</v>
      </c>
      <c r="K10" s="14">
        <v>0</v>
      </c>
      <c r="L10" s="14">
        <v>8</v>
      </c>
      <c r="M10" s="12" t="s">
        <v>93</v>
      </c>
      <c r="N10" s="13" t="s">
        <v>175</v>
      </c>
      <c r="O10" s="12" t="s">
        <v>176</v>
      </c>
      <c r="P10" s="12" t="s">
        <v>233</v>
      </c>
      <c r="Q10" s="16" t="s">
        <v>178</v>
      </c>
      <c r="R10" s="19"/>
      <c r="S10" s="20"/>
      <c r="T10" s="20"/>
      <c r="U10" s="20"/>
      <c r="V10" s="21">
        <f>IF(U10="","",U10*'0. Premissas (editável)'!$C$7*'0. Premissas (editável)'!$C$8)</f>
        <v>0</v>
      </c>
      <c r="W10" s="22">
        <f>IF(OR(S10="",V10=""),"",(S10-V10)/S10)</f>
        <v>0</v>
      </c>
      <c r="X10" s="23">
        <f>IF(W10="","preencher",IF(W10&gt;='0. Premissas (editável)'!$C$9,"Viável",IF(W10&gt;='0. Premissas (editável)'!$C$10,"Marginal","Inviável")))</f>
        <v>0</v>
      </c>
      <c r="Y10" s="23">
        <f>IF(R10="","preencher",IF(R10&gt;='0. Premissas (editável)'!$C$11,"PASSA","NÃO PASSA"))</f>
        <v>0</v>
      </c>
      <c r="Z10" s="23">
        <f>IF(AND(R10="",S10=""),"Preencher IQVIA",IF(AND(R10&lt;&gt;"",R10&lt;'0. Premissas (editável)'!$C$11),"NÃO — mercado abaixo do corte",IF(X10="Inviável","NÃO — economia não fecha",IF(D10="NÃO","NÃO — vetada na triagem",IF(X10="Marginal","REAVALIAR — margem apertada","SIM")))))</f>
        <v>0</v>
      </c>
      <c r="AA10" s="12" t="s">
        <v>179</v>
      </c>
      <c r="AB10" s="12"/>
      <c r="AC10" s="12" t="s">
        <v>91</v>
      </c>
      <c r="AD10" s="12" t="s">
        <v>180</v>
      </c>
      <c r="AE10" s="12" t="s">
        <v>178</v>
      </c>
      <c r="AF10" s="12" t="s">
        <v>181</v>
      </c>
      <c r="AG10" s="12" t="s">
        <v>180</v>
      </c>
      <c r="AH10" s="16" t="s">
        <v>180</v>
      </c>
      <c r="AI10" s="14">
        <v>0</v>
      </c>
      <c r="AJ10" s="14">
        <v>0</v>
      </c>
      <c r="AK10" s="12"/>
      <c r="AL10" s="12"/>
      <c r="AM10" s="12"/>
      <c r="AN10" s="12"/>
      <c r="AO10" s="12" t="s">
        <v>201</v>
      </c>
      <c r="AP10" s="14">
        <v>1</v>
      </c>
      <c r="AQ10" s="16" t="s">
        <v>180</v>
      </c>
      <c r="AR10" s="12" t="s">
        <v>254</v>
      </c>
      <c r="AS10" s="12" t="s">
        <v>184</v>
      </c>
      <c r="AT10" s="12" t="s">
        <v>255</v>
      </c>
      <c r="AU10" s="12" t="s">
        <v>256</v>
      </c>
      <c r="AV10" s="12" t="s">
        <v>257</v>
      </c>
      <c r="AW10" s="12" t="s">
        <v>258</v>
      </c>
      <c r="AX10" s="12" t="s">
        <v>259</v>
      </c>
      <c r="AY10" s="12" t="s">
        <v>190</v>
      </c>
    </row>
    <row r="11" spans="1:51">
      <c r="A11" s="12" t="s">
        <v>103</v>
      </c>
      <c r="B11" s="12" t="s">
        <v>260</v>
      </c>
      <c r="C11" s="12" t="s">
        <v>173</v>
      </c>
      <c r="D11" s="13" t="s">
        <v>174</v>
      </c>
      <c r="E11" s="15" t="s">
        <v>97</v>
      </c>
      <c r="F11" s="12" t="s">
        <v>105</v>
      </c>
      <c r="G11" s="14">
        <v>57</v>
      </c>
      <c r="H11" s="14">
        <v>15</v>
      </c>
      <c r="I11" s="14">
        <v>20</v>
      </c>
      <c r="J11" s="14">
        <v>14</v>
      </c>
      <c r="K11" s="14">
        <v>0</v>
      </c>
      <c r="L11" s="14">
        <v>8</v>
      </c>
      <c r="M11" s="12" t="s">
        <v>104</v>
      </c>
      <c r="N11" s="15" t="s">
        <v>261</v>
      </c>
      <c r="O11" s="12" t="s">
        <v>176</v>
      </c>
      <c r="P11" s="12" t="s">
        <v>262</v>
      </c>
      <c r="Q11" s="16" t="s">
        <v>178</v>
      </c>
      <c r="R11" s="19"/>
      <c r="S11" s="20"/>
      <c r="T11" s="20"/>
      <c r="U11" s="20"/>
      <c r="V11" s="21">
        <f>IF(U11="","",U11*'0. Premissas (editável)'!$C$7*'0. Premissas (editável)'!$C$8)</f>
        <v>0</v>
      </c>
      <c r="W11" s="22">
        <f>IF(OR(S11="",V11=""),"",(S11-V11)/S11)</f>
        <v>0</v>
      </c>
      <c r="X11" s="23">
        <f>IF(W11="","preencher",IF(W11&gt;='0. Premissas (editável)'!$C$9,"Viável",IF(W11&gt;='0. Premissas (editável)'!$C$10,"Marginal","Inviável")))</f>
        <v>0</v>
      </c>
      <c r="Y11" s="23">
        <f>IF(R11="","preencher",IF(R11&gt;='0. Premissas (editável)'!$C$11,"PASSA","NÃO PASSA"))</f>
        <v>0</v>
      </c>
      <c r="Z11" s="23">
        <f>IF(AND(R11="",S11=""),"Preencher IQVIA",IF(AND(R11&lt;&gt;"",R11&lt;'0. Premissas (editável)'!$C$11),"NÃO — mercado abaixo do corte",IF(X11="Inviável","NÃO — economia não fecha",IF(D11="NÃO","NÃO — vetada na triagem",IF(X11="Marginal","REAVALIAR — margem apertada","SIM")))))</f>
        <v>0</v>
      </c>
      <c r="AA11" s="12" t="s">
        <v>179</v>
      </c>
      <c r="AB11" s="12"/>
      <c r="AC11" s="12" t="s">
        <v>91</v>
      </c>
      <c r="AD11" s="12" t="s">
        <v>180</v>
      </c>
      <c r="AE11" s="12" t="s">
        <v>178</v>
      </c>
      <c r="AF11" s="12" t="s">
        <v>181</v>
      </c>
      <c r="AG11" s="12" t="s">
        <v>180</v>
      </c>
      <c r="AH11" s="16" t="s">
        <v>180</v>
      </c>
      <c r="AI11" s="14">
        <v>0</v>
      </c>
      <c r="AJ11" s="14">
        <v>0</v>
      </c>
      <c r="AK11" s="12"/>
      <c r="AL11" s="12"/>
      <c r="AM11" s="12"/>
      <c r="AN11" s="12"/>
      <c r="AO11" s="12" t="s">
        <v>201</v>
      </c>
      <c r="AP11" s="14">
        <v>1</v>
      </c>
      <c r="AQ11" s="16" t="s">
        <v>180</v>
      </c>
      <c r="AR11" s="12" t="s">
        <v>263</v>
      </c>
      <c r="AS11" s="12" t="s">
        <v>184</v>
      </c>
      <c r="AT11" s="12" t="s">
        <v>264</v>
      </c>
      <c r="AU11" s="12" t="s">
        <v>265</v>
      </c>
      <c r="AV11" s="12" t="s">
        <v>266</v>
      </c>
      <c r="AW11" s="12" t="s">
        <v>267</v>
      </c>
      <c r="AX11" s="12" t="s">
        <v>268</v>
      </c>
      <c r="AY11" s="12" t="s">
        <v>269</v>
      </c>
    </row>
    <row r="12" spans="1:51">
      <c r="A12" s="12" t="s">
        <v>107</v>
      </c>
      <c r="B12" s="12" t="s">
        <v>270</v>
      </c>
      <c r="C12" s="12" t="s">
        <v>199</v>
      </c>
      <c r="D12" s="13" t="s">
        <v>174</v>
      </c>
      <c r="E12" s="16" t="s">
        <v>106</v>
      </c>
      <c r="F12" s="12" t="s">
        <v>90</v>
      </c>
      <c r="G12" s="14">
        <v>59</v>
      </c>
      <c r="H12" s="14">
        <v>26</v>
      </c>
      <c r="I12" s="14">
        <v>10</v>
      </c>
      <c r="J12" s="14">
        <v>14</v>
      </c>
      <c r="K12" s="14">
        <v>6</v>
      </c>
      <c r="L12" s="14">
        <v>3</v>
      </c>
      <c r="M12" s="12" t="s">
        <v>93</v>
      </c>
      <c r="N12" s="13" t="s">
        <v>175</v>
      </c>
      <c r="O12" s="12" t="s">
        <v>176</v>
      </c>
      <c r="P12" s="12" t="s">
        <v>271</v>
      </c>
      <c r="Q12" s="16" t="s">
        <v>272</v>
      </c>
      <c r="R12" s="19"/>
      <c r="S12" s="20"/>
      <c r="T12" s="20"/>
      <c r="U12" s="20"/>
      <c r="V12" s="21">
        <f>IF(U12="","",U12*'0. Premissas (editável)'!$C$7*'0. Premissas (editável)'!$C$8)</f>
        <v>0</v>
      </c>
      <c r="W12" s="22">
        <f>IF(OR(S12="",V12=""),"",(S12-V12)/S12)</f>
        <v>0</v>
      </c>
      <c r="X12" s="23">
        <f>IF(W12="","preencher",IF(W12&gt;='0. Premissas (editável)'!$C$9,"Viável",IF(W12&gt;='0. Premissas (editável)'!$C$10,"Marginal","Inviável")))</f>
        <v>0</v>
      </c>
      <c r="Y12" s="23">
        <f>IF(R12="","preencher",IF(R12&gt;='0. Premissas (editável)'!$C$11,"PASSA","NÃO PASSA"))</f>
        <v>0</v>
      </c>
      <c r="Z12" s="23">
        <f>IF(AND(R12="",S12=""),"Preencher IQVIA",IF(AND(R12&lt;&gt;"",R12&lt;'0. Premissas (editável)'!$C$11),"NÃO — mercado abaixo do corte",IF(X12="Inviável","NÃO — economia não fecha",IF(D12="NÃO","NÃO — vetada na triagem",IF(X12="Marginal","REAVALIAR — margem apertada","SIM")))))</f>
        <v>0</v>
      </c>
      <c r="AA12" s="12" t="s">
        <v>179</v>
      </c>
      <c r="AB12" s="12"/>
      <c r="AC12" s="12" t="s">
        <v>108</v>
      </c>
      <c r="AD12" s="12" t="s">
        <v>174</v>
      </c>
      <c r="AE12" s="12" t="s">
        <v>273</v>
      </c>
      <c r="AF12" s="12" t="s">
        <v>274</v>
      </c>
      <c r="AG12" s="12" t="s">
        <v>180</v>
      </c>
      <c r="AH12" s="16" t="s">
        <v>180</v>
      </c>
      <c r="AI12" s="14">
        <v>7</v>
      </c>
      <c r="AJ12" s="14">
        <v>7</v>
      </c>
      <c r="AK12" s="12" t="s">
        <v>275</v>
      </c>
      <c r="AL12" s="12" t="s">
        <v>276</v>
      </c>
      <c r="AM12" s="12" t="s">
        <v>277</v>
      </c>
      <c r="AN12" s="12" t="s">
        <v>278</v>
      </c>
      <c r="AO12" s="12" t="s">
        <v>182</v>
      </c>
      <c r="AP12" s="14">
        <v>1</v>
      </c>
      <c r="AQ12" s="16" t="s">
        <v>180</v>
      </c>
      <c r="AR12" s="12" t="s">
        <v>279</v>
      </c>
      <c r="AS12" s="12" t="s">
        <v>210</v>
      </c>
      <c r="AT12" s="12" t="s">
        <v>280</v>
      </c>
      <c r="AU12" s="12" t="s">
        <v>281</v>
      </c>
      <c r="AV12" s="12" t="s">
        <v>282</v>
      </c>
      <c r="AW12" s="12" t="s">
        <v>283</v>
      </c>
      <c r="AX12" s="12" t="s">
        <v>284</v>
      </c>
      <c r="AY12" s="12" t="s">
        <v>190</v>
      </c>
    </row>
    <row r="13" spans="1:51">
      <c r="A13" s="12" t="s">
        <v>109</v>
      </c>
      <c r="B13" s="12" t="s">
        <v>285</v>
      </c>
      <c r="C13" s="12" t="s">
        <v>217</v>
      </c>
      <c r="D13" s="13" t="s">
        <v>174</v>
      </c>
      <c r="E13" s="16" t="s">
        <v>106</v>
      </c>
      <c r="F13" s="12" t="s">
        <v>105</v>
      </c>
      <c r="G13" s="14">
        <v>57</v>
      </c>
      <c r="H13" s="14">
        <v>15</v>
      </c>
      <c r="I13" s="14">
        <v>20</v>
      </c>
      <c r="J13" s="14">
        <v>14</v>
      </c>
      <c r="K13" s="14">
        <v>0</v>
      </c>
      <c r="L13" s="14">
        <v>8</v>
      </c>
      <c r="M13" s="12" t="s">
        <v>104</v>
      </c>
      <c r="N13" s="15" t="s">
        <v>261</v>
      </c>
      <c r="O13" s="12" t="s">
        <v>176</v>
      </c>
      <c r="P13" s="12" t="s">
        <v>271</v>
      </c>
      <c r="Q13" s="16" t="s">
        <v>272</v>
      </c>
      <c r="R13" s="19"/>
      <c r="S13" s="20"/>
      <c r="T13" s="20"/>
      <c r="U13" s="20"/>
      <c r="V13" s="21">
        <f>IF(U13="","",U13*'0. Premissas (editável)'!$C$7*'0. Premissas (editável)'!$C$8)</f>
        <v>0</v>
      </c>
      <c r="W13" s="22">
        <f>IF(OR(S13="",V13=""),"",(S13-V13)/S13)</f>
        <v>0</v>
      </c>
      <c r="X13" s="23">
        <f>IF(W13="","preencher",IF(W13&gt;='0. Premissas (editável)'!$C$9,"Viável",IF(W13&gt;='0. Premissas (editável)'!$C$10,"Marginal","Inviável")))</f>
        <v>0</v>
      </c>
      <c r="Y13" s="23">
        <f>IF(R13="","preencher",IF(R13&gt;='0. Premissas (editável)'!$C$11,"PASSA","NÃO PASSA"))</f>
        <v>0</v>
      </c>
      <c r="Z13" s="23">
        <f>IF(AND(R13="",S13=""),"Preencher IQVIA",IF(AND(R13&lt;&gt;"",R13&lt;'0. Premissas (editável)'!$C$11),"NÃO — mercado abaixo do corte",IF(X13="Inviável","NÃO — economia não fecha",IF(D13="NÃO","NÃO — vetada na triagem",IF(X13="Marginal","REAVALIAR — margem apertada","SIM")))))</f>
        <v>0</v>
      </c>
      <c r="AA13" s="12" t="s">
        <v>179</v>
      </c>
      <c r="AB13" s="12"/>
      <c r="AC13" s="12" t="s">
        <v>91</v>
      </c>
      <c r="AD13" s="12" t="s">
        <v>180</v>
      </c>
      <c r="AE13" s="12" t="s">
        <v>178</v>
      </c>
      <c r="AF13" s="12" t="s">
        <v>181</v>
      </c>
      <c r="AG13" s="12" t="s">
        <v>180</v>
      </c>
      <c r="AH13" s="16" t="s">
        <v>180</v>
      </c>
      <c r="AI13" s="14">
        <v>0</v>
      </c>
      <c r="AJ13" s="14">
        <v>0</v>
      </c>
      <c r="AK13" s="12"/>
      <c r="AL13" s="12"/>
      <c r="AM13" s="12"/>
      <c r="AN13" s="12"/>
      <c r="AO13" s="12" t="s">
        <v>201</v>
      </c>
      <c r="AP13" s="14">
        <v>1</v>
      </c>
      <c r="AQ13" s="16" t="s">
        <v>180</v>
      </c>
      <c r="AR13" s="12" t="s">
        <v>286</v>
      </c>
      <c r="AS13" s="12" t="s">
        <v>184</v>
      </c>
      <c r="AT13" s="12" t="s">
        <v>287</v>
      </c>
      <c r="AU13" s="12" t="s">
        <v>288</v>
      </c>
      <c r="AV13" s="12" t="s">
        <v>289</v>
      </c>
      <c r="AW13" s="12" t="s">
        <v>267</v>
      </c>
      <c r="AX13" s="12" t="s">
        <v>290</v>
      </c>
      <c r="AY13" s="12" t="s">
        <v>269</v>
      </c>
    </row>
    <row r="14" spans="1:51">
      <c r="A14" s="12" t="s">
        <v>110</v>
      </c>
      <c r="B14" s="12" t="s">
        <v>291</v>
      </c>
      <c r="C14" s="12" t="s">
        <v>292</v>
      </c>
      <c r="D14" s="13" t="s">
        <v>174</v>
      </c>
      <c r="E14" s="16" t="s">
        <v>106</v>
      </c>
      <c r="F14" s="12" t="s">
        <v>90</v>
      </c>
      <c r="G14" s="14">
        <v>54</v>
      </c>
      <c r="H14" s="14">
        <v>26</v>
      </c>
      <c r="I14" s="14">
        <v>10</v>
      </c>
      <c r="J14" s="14">
        <v>14</v>
      </c>
      <c r="K14" s="14">
        <v>4</v>
      </c>
      <c r="L14" s="14">
        <v>0</v>
      </c>
      <c r="M14" s="12" t="s">
        <v>93</v>
      </c>
      <c r="N14" s="13" t="s">
        <v>175</v>
      </c>
      <c r="O14" s="12" t="s">
        <v>176</v>
      </c>
      <c r="P14" s="12" t="s">
        <v>233</v>
      </c>
      <c r="Q14" s="16" t="s">
        <v>178</v>
      </c>
      <c r="R14" s="19"/>
      <c r="S14" s="20"/>
      <c r="T14" s="20"/>
      <c r="U14" s="20"/>
      <c r="V14" s="21">
        <f>IF(U14="","",U14*'0. Premissas (editável)'!$C$7*'0. Premissas (editável)'!$C$8)</f>
        <v>0</v>
      </c>
      <c r="W14" s="22">
        <f>IF(OR(S14="",V14=""),"",(S14-V14)/S14)</f>
        <v>0</v>
      </c>
      <c r="X14" s="23">
        <f>IF(W14="","preencher",IF(W14&gt;='0. Premissas (editável)'!$C$9,"Viável",IF(W14&gt;='0. Premissas (editável)'!$C$10,"Marginal","Inviável")))</f>
        <v>0</v>
      </c>
      <c r="Y14" s="23">
        <f>IF(R14="","preencher",IF(R14&gt;='0. Premissas (editável)'!$C$11,"PASSA","NÃO PASSA"))</f>
        <v>0</v>
      </c>
      <c r="Z14" s="23">
        <f>IF(AND(R14="",S14=""),"Preencher IQVIA",IF(AND(R14&lt;&gt;"",R14&lt;'0. Premissas (editável)'!$C$11),"NÃO — mercado abaixo do corte",IF(X14="Inviável","NÃO — economia não fecha",IF(D14="NÃO","NÃO — vetada na triagem",IF(X14="Marginal","REAVALIAR — margem apertada","SIM")))))</f>
        <v>0</v>
      </c>
      <c r="AA14" s="12" t="s">
        <v>179</v>
      </c>
      <c r="AB14" s="12"/>
      <c r="AC14" s="12" t="s">
        <v>101</v>
      </c>
      <c r="AD14" s="12" t="s">
        <v>174</v>
      </c>
      <c r="AE14" s="12" t="s">
        <v>273</v>
      </c>
      <c r="AF14" s="12" t="s">
        <v>243</v>
      </c>
      <c r="AG14" s="12" t="s">
        <v>180</v>
      </c>
      <c r="AH14" s="16" t="s">
        <v>180</v>
      </c>
      <c r="AI14" s="14">
        <v>3</v>
      </c>
      <c r="AJ14" s="14">
        <v>3</v>
      </c>
      <c r="AK14" s="12" t="s">
        <v>293</v>
      </c>
      <c r="AL14" s="12" t="s">
        <v>245</v>
      </c>
      <c r="AM14" s="12" t="s">
        <v>246</v>
      </c>
      <c r="AN14" s="12" t="s">
        <v>294</v>
      </c>
      <c r="AO14" s="12" t="s">
        <v>218</v>
      </c>
      <c r="AP14" s="14">
        <v>4</v>
      </c>
      <c r="AQ14" s="16" t="s">
        <v>180</v>
      </c>
      <c r="AR14" s="12" t="s">
        <v>295</v>
      </c>
      <c r="AS14" s="12" t="s">
        <v>296</v>
      </c>
      <c r="AT14" s="12" t="s">
        <v>297</v>
      </c>
      <c r="AU14" s="12" t="s">
        <v>298</v>
      </c>
      <c r="AV14" s="12" t="s">
        <v>299</v>
      </c>
      <c r="AW14" s="12" t="s">
        <v>300</v>
      </c>
      <c r="AX14" s="12" t="s">
        <v>301</v>
      </c>
      <c r="AY14" s="12" t="s">
        <v>190</v>
      </c>
    </row>
    <row r="15" spans="1:51">
      <c r="A15" s="12" t="s">
        <v>111</v>
      </c>
      <c r="B15" s="12" t="s">
        <v>302</v>
      </c>
      <c r="C15" s="12" t="s">
        <v>303</v>
      </c>
      <c r="D15" s="13" t="s">
        <v>174</v>
      </c>
      <c r="E15" s="16" t="s">
        <v>106</v>
      </c>
      <c r="F15" s="12" t="s">
        <v>90</v>
      </c>
      <c r="G15" s="14">
        <v>53</v>
      </c>
      <c r="H15" s="14">
        <v>26</v>
      </c>
      <c r="I15" s="14">
        <v>10</v>
      </c>
      <c r="J15" s="14">
        <v>14</v>
      </c>
      <c r="K15" s="14">
        <v>0</v>
      </c>
      <c r="L15" s="14">
        <v>3</v>
      </c>
      <c r="M15" s="12" t="s">
        <v>93</v>
      </c>
      <c r="N15" s="13" t="s">
        <v>175</v>
      </c>
      <c r="O15" s="12" t="s">
        <v>176</v>
      </c>
      <c r="P15" s="12" t="s">
        <v>233</v>
      </c>
      <c r="Q15" s="16" t="s">
        <v>178</v>
      </c>
      <c r="R15" s="19"/>
      <c r="S15" s="20"/>
      <c r="T15" s="20"/>
      <c r="U15" s="20"/>
      <c r="V15" s="21">
        <f>IF(U15="","",U15*'0. Premissas (editável)'!$C$7*'0. Premissas (editável)'!$C$8)</f>
        <v>0</v>
      </c>
      <c r="W15" s="22">
        <f>IF(OR(S15="",V15=""),"",(S15-V15)/S15)</f>
        <v>0</v>
      </c>
      <c r="X15" s="23">
        <f>IF(W15="","preencher",IF(W15&gt;='0. Premissas (editável)'!$C$9,"Viável",IF(W15&gt;='0. Premissas (editável)'!$C$10,"Marginal","Inviável")))</f>
        <v>0</v>
      </c>
      <c r="Y15" s="23">
        <f>IF(R15="","preencher",IF(R15&gt;='0. Premissas (editável)'!$C$11,"PASSA","NÃO PASSA"))</f>
        <v>0</v>
      </c>
      <c r="Z15" s="23">
        <f>IF(AND(R15="",S15=""),"Preencher IQVIA",IF(AND(R15&lt;&gt;"",R15&lt;'0. Premissas (editável)'!$C$11),"NÃO — mercado abaixo do corte",IF(X15="Inviável","NÃO — economia não fecha",IF(D15="NÃO","NÃO — vetada na triagem",IF(X15="Marginal","REAVALIAR — margem apertada","SIM")))))</f>
        <v>0</v>
      </c>
      <c r="AA15" s="12" t="s">
        <v>179</v>
      </c>
      <c r="AB15" s="12"/>
      <c r="AC15" s="12" t="s">
        <v>108</v>
      </c>
      <c r="AD15" s="12" t="s">
        <v>174</v>
      </c>
      <c r="AE15" s="12" t="s">
        <v>242</v>
      </c>
      <c r="AF15" s="12" t="s">
        <v>274</v>
      </c>
      <c r="AG15" s="12" t="s">
        <v>180</v>
      </c>
      <c r="AH15" s="16" t="s">
        <v>180</v>
      </c>
      <c r="AI15" s="14">
        <v>1</v>
      </c>
      <c r="AJ15" s="14">
        <v>1</v>
      </c>
      <c r="AK15" s="12" t="s">
        <v>304</v>
      </c>
      <c r="AL15" s="12" t="s">
        <v>305</v>
      </c>
      <c r="AM15" s="12" t="s">
        <v>306</v>
      </c>
      <c r="AN15" s="12" t="s">
        <v>307</v>
      </c>
      <c r="AO15" s="12" t="s">
        <v>201</v>
      </c>
      <c r="AP15" s="14">
        <v>2</v>
      </c>
      <c r="AQ15" s="16" t="s">
        <v>180</v>
      </c>
      <c r="AR15" s="12" t="s">
        <v>234</v>
      </c>
      <c r="AS15" s="12" t="s">
        <v>184</v>
      </c>
      <c r="AT15" s="12" t="s">
        <v>308</v>
      </c>
      <c r="AU15" s="12" t="s">
        <v>309</v>
      </c>
      <c r="AV15" s="12" t="s">
        <v>310</v>
      </c>
      <c r="AW15" s="12" t="s">
        <v>311</v>
      </c>
      <c r="AX15" s="12" t="s">
        <v>312</v>
      </c>
      <c r="AY15" s="12" t="s">
        <v>190</v>
      </c>
    </row>
    <row r="16" spans="1:51">
      <c r="A16" s="12" t="s">
        <v>112</v>
      </c>
      <c r="B16" s="12" t="s">
        <v>313</v>
      </c>
      <c r="C16" s="12" t="s">
        <v>173</v>
      </c>
      <c r="D16" s="13" t="s">
        <v>174</v>
      </c>
      <c r="E16" s="16" t="s">
        <v>106</v>
      </c>
      <c r="F16" s="12" t="s">
        <v>105</v>
      </c>
      <c r="G16" s="14">
        <v>51</v>
      </c>
      <c r="H16" s="14">
        <v>15</v>
      </c>
      <c r="I16" s="14">
        <v>14</v>
      </c>
      <c r="J16" s="14">
        <v>14</v>
      </c>
      <c r="K16" s="14">
        <v>0</v>
      </c>
      <c r="L16" s="14">
        <v>8</v>
      </c>
      <c r="M16" s="12" t="s">
        <v>104</v>
      </c>
      <c r="N16" s="15" t="s">
        <v>261</v>
      </c>
      <c r="O16" s="12" t="s">
        <v>176</v>
      </c>
      <c r="P16" s="12" t="s">
        <v>262</v>
      </c>
      <c r="Q16" s="16" t="s">
        <v>178</v>
      </c>
      <c r="R16" s="19"/>
      <c r="S16" s="20"/>
      <c r="T16" s="20"/>
      <c r="U16" s="20"/>
      <c r="V16" s="21">
        <f>IF(U16="","",U16*'0. Premissas (editável)'!$C$7*'0. Premissas (editável)'!$C$8)</f>
        <v>0</v>
      </c>
      <c r="W16" s="22">
        <f>IF(OR(S16="",V16=""),"",(S16-V16)/S16)</f>
        <v>0</v>
      </c>
      <c r="X16" s="23">
        <f>IF(W16="","preencher",IF(W16&gt;='0. Premissas (editável)'!$C$9,"Viável",IF(W16&gt;='0. Premissas (editável)'!$C$10,"Marginal","Inviável")))</f>
        <v>0</v>
      </c>
      <c r="Y16" s="23">
        <f>IF(R16="","preencher",IF(R16&gt;='0. Premissas (editável)'!$C$11,"PASSA","NÃO PASSA"))</f>
        <v>0</v>
      </c>
      <c r="Z16" s="23">
        <f>IF(AND(R16="",S16=""),"Preencher IQVIA",IF(AND(R16&lt;&gt;"",R16&lt;'0. Premissas (editável)'!$C$11),"NÃO — mercado abaixo do corte",IF(X16="Inviável","NÃO — economia não fecha",IF(D16="NÃO","NÃO — vetada na triagem",IF(X16="Marginal","REAVALIAR — margem apertada","SIM")))))</f>
        <v>0</v>
      </c>
      <c r="AA16" s="12" t="s">
        <v>179</v>
      </c>
      <c r="AB16" s="12"/>
      <c r="AC16" s="12" t="s">
        <v>91</v>
      </c>
      <c r="AD16" s="12" t="s">
        <v>180</v>
      </c>
      <c r="AE16" s="12" t="s">
        <v>178</v>
      </c>
      <c r="AF16" s="12" t="s">
        <v>181</v>
      </c>
      <c r="AG16" s="12" t="s">
        <v>180</v>
      </c>
      <c r="AH16" s="16" t="s">
        <v>180</v>
      </c>
      <c r="AI16" s="14">
        <v>0</v>
      </c>
      <c r="AJ16" s="14">
        <v>0</v>
      </c>
      <c r="AK16" s="12"/>
      <c r="AL16" s="12"/>
      <c r="AM16" s="12"/>
      <c r="AN16" s="12"/>
      <c r="AO16" s="12" t="s">
        <v>218</v>
      </c>
      <c r="AP16" s="14">
        <v>1</v>
      </c>
      <c r="AQ16" s="16" t="s">
        <v>180</v>
      </c>
      <c r="AR16" s="12" t="s">
        <v>234</v>
      </c>
      <c r="AS16" s="12" t="s">
        <v>184</v>
      </c>
      <c r="AT16" s="12" t="s">
        <v>314</v>
      </c>
      <c r="AU16" s="12" t="s">
        <v>315</v>
      </c>
      <c r="AV16" s="12" t="s">
        <v>316</v>
      </c>
      <c r="AW16" s="12" t="s">
        <v>317</v>
      </c>
      <c r="AX16" s="12" t="s">
        <v>268</v>
      </c>
      <c r="AY16" s="12" t="s">
        <v>269</v>
      </c>
    </row>
    <row r="17" spans="1:51">
      <c r="A17" s="12" t="s">
        <v>113</v>
      </c>
      <c r="B17" s="12" t="s">
        <v>318</v>
      </c>
      <c r="C17" s="12" t="s">
        <v>173</v>
      </c>
      <c r="D17" s="13" t="s">
        <v>174</v>
      </c>
      <c r="E17" s="16" t="s">
        <v>106</v>
      </c>
      <c r="F17" s="12" t="s">
        <v>105</v>
      </c>
      <c r="G17" s="14">
        <v>51</v>
      </c>
      <c r="H17" s="14">
        <v>15</v>
      </c>
      <c r="I17" s="14">
        <v>14</v>
      </c>
      <c r="J17" s="14">
        <v>14</v>
      </c>
      <c r="K17" s="14">
        <v>0</v>
      </c>
      <c r="L17" s="14">
        <v>8</v>
      </c>
      <c r="M17" s="12" t="s">
        <v>104</v>
      </c>
      <c r="N17" s="15" t="s">
        <v>261</v>
      </c>
      <c r="O17" s="12" t="s">
        <v>176</v>
      </c>
      <c r="P17" s="12" t="s">
        <v>262</v>
      </c>
      <c r="Q17" s="16" t="s">
        <v>178</v>
      </c>
      <c r="R17" s="19"/>
      <c r="S17" s="20"/>
      <c r="T17" s="20"/>
      <c r="U17" s="20"/>
      <c r="V17" s="21">
        <f>IF(U17="","",U17*'0. Premissas (editável)'!$C$7*'0. Premissas (editável)'!$C$8)</f>
        <v>0</v>
      </c>
      <c r="W17" s="22">
        <f>IF(OR(S17="",V17=""),"",(S17-V17)/S17)</f>
        <v>0</v>
      </c>
      <c r="X17" s="23">
        <f>IF(W17="","preencher",IF(W17&gt;='0. Premissas (editável)'!$C$9,"Viável",IF(W17&gt;='0. Premissas (editável)'!$C$10,"Marginal","Inviável")))</f>
        <v>0</v>
      </c>
      <c r="Y17" s="23">
        <f>IF(R17="","preencher",IF(R17&gt;='0. Premissas (editável)'!$C$11,"PASSA","NÃO PASSA"))</f>
        <v>0</v>
      </c>
      <c r="Z17" s="23">
        <f>IF(AND(R17="",S17=""),"Preencher IQVIA",IF(AND(R17&lt;&gt;"",R17&lt;'0. Premissas (editável)'!$C$11),"NÃO — mercado abaixo do corte",IF(X17="Inviável","NÃO — economia não fecha",IF(D17="NÃO","NÃO — vetada na triagem",IF(X17="Marginal","REAVALIAR — margem apertada","SIM")))))</f>
        <v>0</v>
      </c>
      <c r="AA17" s="12" t="s">
        <v>179</v>
      </c>
      <c r="AB17" s="12"/>
      <c r="AC17" s="12" t="s">
        <v>91</v>
      </c>
      <c r="AD17" s="12" t="s">
        <v>180</v>
      </c>
      <c r="AE17" s="12" t="s">
        <v>178</v>
      </c>
      <c r="AF17" s="12" t="s">
        <v>181</v>
      </c>
      <c r="AG17" s="12" t="s">
        <v>180</v>
      </c>
      <c r="AH17" s="16" t="s">
        <v>180</v>
      </c>
      <c r="AI17" s="14">
        <v>0</v>
      </c>
      <c r="AJ17" s="14">
        <v>0</v>
      </c>
      <c r="AK17" s="12"/>
      <c r="AL17" s="12"/>
      <c r="AM17" s="12"/>
      <c r="AN17" s="12"/>
      <c r="AO17" s="12" t="s">
        <v>218</v>
      </c>
      <c r="AP17" s="14">
        <v>1</v>
      </c>
      <c r="AQ17" s="16" t="s">
        <v>180</v>
      </c>
      <c r="AR17" s="12" t="s">
        <v>319</v>
      </c>
      <c r="AS17" s="12" t="s">
        <v>184</v>
      </c>
      <c r="AT17" s="12" t="s">
        <v>320</v>
      </c>
      <c r="AU17" s="12" t="s">
        <v>321</v>
      </c>
      <c r="AV17" s="12" t="s">
        <v>322</v>
      </c>
      <c r="AW17" s="12" t="s">
        <v>323</v>
      </c>
      <c r="AX17" s="12" t="s">
        <v>268</v>
      </c>
      <c r="AY17" s="12" t="s">
        <v>269</v>
      </c>
    </row>
    <row r="18" spans="1:51">
      <c r="A18" s="12" t="s">
        <v>114</v>
      </c>
      <c r="B18" s="12" t="s">
        <v>324</v>
      </c>
      <c r="C18" s="12" t="s">
        <v>292</v>
      </c>
      <c r="D18" s="13" t="s">
        <v>174</v>
      </c>
      <c r="E18" s="16" t="s">
        <v>106</v>
      </c>
      <c r="F18" s="12" t="s">
        <v>105</v>
      </c>
      <c r="G18" s="14">
        <v>51</v>
      </c>
      <c r="H18" s="14">
        <v>15</v>
      </c>
      <c r="I18" s="14">
        <v>14</v>
      </c>
      <c r="J18" s="14">
        <v>14</v>
      </c>
      <c r="K18" s="14">
        <v>0</v>
      </c>
      <c r="L18" s="14">
        <v>8</v>
      </c>
      <c r="M18" s="12" t="s">
        <v>104</v>
      </c>
      <c r="N18" s="15" t="s">
        <v>261</v>
      </c>
      <c r="O18" s="12" t="s">
        <v>176</v>
      </c>
      <c r="P18" s="12" t="s">
        <v>233</v>
      </c>
      <c r="Q18" s="16" t="s">
        <v>178</v>
      </c>
      <c r="R18" s="19"/>
      <c r="S18" s="20"/>
      <c r="T18" s="20"/>
      <c r="U18" s="20"/>
      <c r="V18" s="21">
        <f>IF(U18="","",U18*'0. Premissas (editável)'!$C$7*'0. Premissas (editável)'!$C$8)</f>
        <v>0</v>
      </c>
      <c r="W18" s="22">
        <f>IF(OR(S18="",V18=""),"",(S18-V18)/S18)</f>
        <v>0</v>
      </c>
      <c r="X18" s="23">
        <f>IF(W18="","preencher",IF(W18&gt;='0. Premissas (editável)'!$C$9,"Viável",IF(W18&gt;='0. Premissas (editável)'!$C$10,"Marginal","Inviável")))</f>
        <v>0</v>
      </c>
      <c r="Y18" s="23">
        <f>IF(R18="","preencher",IF(R18&gt;='0. Premissas (editável)'!$C$11,"PASSA","NÃO PASSA"))</f>
        <v>0</v>
      </c>
      <c r="Z18" s="23">
        <f>IF(AND(R18="",S18=""),"Preencher IQVIA",IF(AND(R18&lt;&gt;"",R18&lt;'0. Premissas (editável)'!$C$11),"NÃO — mercado abaixo do corte",IF(X18="Inviável","NÃO — economia não fecha",IF(D18="NÃO","NÃO — vetada na triagem",IF(X18="Marginal","REAVALIAR — margem apertada","SIM")))))</f>
        <v>0</v>
      </c>
      <c r="AA18" s="12" t="s">
        <v>179</v>
      </c>
      <c r="AB18" s="12"/>
      <c r="AC18" s="12" t="s">
        <v>91</v>
      </c>
      <c r="AD18" s="12" t="s">
        <v>180</v>
      </c>
      <c r="AE18" s="12" t="s">
        <v>178</v>
      </c>
      <c r="AF18" s="12" t="s">
        <v>181</v>
      </c>
      <c r="AG18" s="12" t="s">
        <v>180</v>
      </c>
      <c r="AH18" s="16" t="s">
        <v>180</v>
      </c>
      <c r="AI18" s="14">
        <v>0</v>
      </c>
      <c r="AJ18" s="14">
        <v>0</v>
      </c>
      <c r="AK18" s="12"/>
      <c r="AL18" s="12"/>
      <c r="AM18" s="12"/>
      <c r="AN18" s="12"/>
      <c r="AO18" s="12" t="s">
        <v>218</v>
      </c>
      <c r="AP18" s="14">
        <v>2</v>
      </c>
      <c r="AQ18" s="16" t="s">
        <v>180</v>
      </c>
      <c r="AR18" s="12" t="s">
        <v>325</v>
      </c>
      <c r="AS18" s="12" t="s">
        <v>184</v>
      </c>
      <c r="AT18" s="12" t="s">
        <v>326</v>
      </c>
      <c r="AU18" s="12" t="s">
        <v>327</v>
      </c>
      <c r="AV18" s="12" t="s">
        <v>328</v>
      </c>
      <c r="AW18" s="12" t="s">
        <v>329</v>
      </c>
      <c r="AX18" s="12" t="s">
        <v>330</v>
      </c>
      <c r="AY18" s="12" t="s">
        <v>269</v>
      </c>
    </row>
    <row r="19" spans="1:51">
      <c r="A19" s="12" t="s">
        <v>115</v>
      </c>
      <c r="B19" s="12" t="s">
        <v>331</v>
      </c>
      <c r="C19" s="12" t="s">
        <v>292</v>
      </c>
      <c r="D19" s="13" t="s">
        <v>174</v>
      </c>
      <c r="E19" s="16" t="s">
        <v>106</v>
      </c>
      <c r="F19" s="12" t="s">
        <v>105</v>
      </c>
      <c r="G19" s="14">
        <v>51</v>
      </c>
      <c r="H19" s="14">
        <v>15</v>
      </c>
      <c r="I19" s="14">
        <v>14</v>
      </c>
      <c r="J19" s="14">
        <v>14</v>
      </c>
      <c r="K19" s="14">
        <v>0</v>
      </c>
      <c r="L19" s="14">
        <v>8</v>
      </c>
      <c r="M19" s="12" t="s">
        <v>104</v>
      </c>
      <c r="N19" s="15" t="s">
        <v>261</v>
      </c>
      <c r="O19" s="12" t="s">
        <v>176</v>
      </c>
      <c r="P19" s="12" t="s">
        <v>262</v>
      </c>
      <c r="Q19" s="16" t="s">
        <v>178</v>
      </c>
      <c r="R19" s="19"/>
      <c r="S19" s="20"/>
      <c r="T19" s="20"/>
      <c r="U19" s="20"/>
      <c r="V19" s="21">
        <f>IF(U19="","",U19*'0. Premissas (editável)'!$C$7*'0. Premissas (editável)'!$C$8)</f>
        <v>0</v>
      </c>
      <c r="W19" s="22">
        <f>IF(OR(S19="",V19=""),"",(S19-V19)/S19)</f>
        <v>0</v>
      </c>
      <c r="X19" s="23">
        <f>IF(W19="","preencher",IF(W19&gt;='0. Premissas (editável)'!$C$9,"Viável",IF(W19&gt;='0. Premissas (editável)'!$C$10,"Marginal","Inviável")))</f>
        <v>0</v>
      </c>
      <c r="Y19" s="23">
        <f>IF(R19="","preencher",IF(R19&gt;='0. Premissas (editável)'!$C$11,"PASSA","NÃO PASSA"))</f>
        <v>0</v>
      </c>
      <c r="Z19" s="23">
        <f>IF(AND(R19="",S19=""),"Preencher IQVIA",IF(AND(R19&lt;&gt;"",R19&lt;'0. Premissas (editável)'!$C$11),"NÃO — mercado abaixo do corte",IF(X19="Inviável","NÃO — economia não fecha",IF(D19="NÃO","NÃO — vetada na triagem",IF(X19="Marginal","REAVALIAR — margem apertada","SIM")))))</f>
        <v>0</v>
      </c>
      <c r="AA19" s="12" t="s">
        <v>179</v>
      </c>
      <c r="AB19" s="12"/>
      <c r="AC19" s="12" t="s">
        <v>91</v>
      </c>
      <c r="AD19" s="12" t="s">
        <v>180</v>
      </c>
      <c r="AE19" s="12" t="s">
        <v>178</v>
      </c>
      <c r="AF19" s="12" t="s">
        <v>181</v>
      </c>
      <c r="AG19" s="12" t="s">
        <v>180</v>
      </c>
      <c r="AH19" s="16" t="s">
        <v>180</v>
      </c>
      <c r="AI19" s="14">
        <v>0</v>
      </c>
      <c r="AJ19" s="14">
        <v>0</v>
      </c>
      <c r="AK19" s="12"/>
      <c r="AL19" s="12"/>
      <c r="AM19" s="12"/>
      <c r="AN19" s="12"/>
      <c r="AO19" s="12" t="s">
        <v>218</v>
      </c>
      <c r="AP19" s="14">
        <v>1</v>
      </c>
      <c r="AQ19" s="16" t="s">
        <v>180</v>
      </c>
      <c r="AR19" s="12" t="s">
        <v>332</v>
      </c>
      <c r="AS19" s="12" t="s">
        <v>184</v>
      </c>
      <c r="AT19" s="12" t="s">
        <v>333</v>
      </c>
      <c r="AU19" s="12" t="s">
        <v>334</v>
      </c>
      <c r="AV19" s="12" t="s">
        <v>335</v>
      </c>
      <c r="AW19" s="12" t="s">
        <v>336</v>
      </c>
      <c r="AX19" s="12" t="s">
        <v>268</v>
      </c>
      <c r="AY19" s="12" t="s">
        <v>269</v>
      </c>
    </row>
    <row r="20" spans="1:51">
      <c r="A20" s="12" t="s">
        <v>116</v>
      </c>
      <c r="B20" s="12" t="s">
        <v>337</v>
      </c>
      <c r="C20" s="12" t="s">
        <v>199</v>
      </c>
      <c r="D20" s="13" t="s">
        <v>174</v>
      </c>
      <c r="E20" s="16" t="s">
        <v>106</v>
      </c>
      <c r="F20" s="12" t="s">
        <v>105</v>
      </c>
      <c r="G20" s="14">
        <v>51</v>
      </c>
      <c r="H20" s="14">
        <v>15</v>
      </c>
      <c r="I20" s="14">
        <v>14</v>
      </c>
      <c r="J20" s="14">
        <v>14</v>
      </c>
      <c r="K20" s="14">
        <v>0</v>
      </c>
      <c r="L20" s="14">
        <v>8</v>
      </c>
      <c r="M20" s="12" t="s">
        <v>104</v>
      </c>
      <c r="N20" s="15" t="s">
        <v>261</v>
      </c>
      <c r="O20" s="12" t="s">
        <v>176</v>
      </c>
      <c r="P20" s="12" t="s">
        <v>262</v>
      </c>
      <c r="Q20" s="16" t="s">
        <v>178</v>
      </c>
      <c r="R20" s="19"/>
      <c r="S20" s="20"/>
      <c r="T20" s="20"/>
      <c r="U20" s="20"/>
      <c r="V20" s="21">
        <f>IF(U20="","",U20*'0. Premissas (editável)'!$C$7*'0. Premissas (editável)'!$C$8)</f>
        <v>0</v>
      </c>
      <c r="W20" s="22">
        <f>IF(OR(S20="",V20=""),"",(S20-V20)/S20)</f>
        <v>0</v>
      </c>
      <c r="X20" s="23">
        <f>IF(W20="","preencher",IF(W20&gt;='0. Premissas (editável)'!$C$9,"Viável",IF(W20&gt;='0. Premissas (editável)'!$C$10,"Marginal","Inviável")))</f>
        <v>0</v>
      </c>
      <c r="Y20" s="23">
        <f>IF(R20="","preencher",IF(R20&gt;='0. Premissas (editável)'!$C$11,"PASSA","NÃO PASSA"))</f>
        <v>0</v>
      </c>
      <c r="Z20" s="23">
        <f>IF(AND(R20="",S20=""),"Preencher IQVIA",IF(AND(R20&lt;&gt;"",R20&lt;'0. Premissas (editável)'!$C$11),"NÃO — mercado abaixo do corte",IF(X20="Inviável","NÃO — economia não fecha",IF(D20="NÃO","NÃO — vetada na triagem",IF(X20="Marginal","REAVALIAR — margem apertada","SIM")))))</f>
        <v>0</v>
      </c>
      <c r="AA20" s="12" t="s">
        <v>179</v>
      </c>
      <c r="AB20" s="12"/>
      <c r="AC20" s="12" t="s">
        <v>91</v>
      </c>
      <c r="AD20" s="12" t="s">
        <v>180</v>
      </c>
      <c r="AE20" s="12" t="s">
        <v>178</v>
      </c>
      <c r="AF20" s="12" t="s">
        <v>181</v>
      </c>
      <c r="AG20" s="12" t="s">
        <v>180</v>
      </c>
      <c r="AH20" s="16" t="s">
        <v>180</v>
      </c>
      <c r="AI20" s="14">
        <v>0</v>
      </c>
      <c r="AJ20" s="14">
        <v>0</v>
      </c>
      <c r="AK20" s="12"/>
      <c r="AL20" s="12"/>
      <c r="AM20" s="12"/>
      <c r="AN20" s="12"/>
      <c r="AO20" s="12" t="s">
        <v>218</v>
      </c>
      <c r="AP20" s="14">
        <v>2</v>
      </c>
      <c r="AQ20" s="16" t="s">
        <v>180</v>
      </c>
      <c r="AR20" s="12" t="s">
        <v>338</v>
      </c>
      <c r="AS20" s="12" t="s">
        <v>184</v>
      </c>
      <c r="AT20" s="12" t="s">
        <v>339</v>
      </c>
      <c r="AU20" s="12" t="s">
        <v>340</v>
      </c>
      <c r="AV20" s="12" t="s">
        <v>341</v>
      </c>
      <c r="AW20" s="12" t="s">
        <v>342</v>
      </c>
      <c r="AX20" s="12" t="s">
        <v>268</v>
      </c>
      <c r="AY20" s="12" t="s">
        <v>269</v>
      </c>
    </row>
    <row r="21" spans="1:51">
      <c r="A21" s="12" t="s">
        <v>117</v>
      </c>
      <c r="B21" s="12" t="s">
        <v>343</v>
      </c>
      <c r="C21" s="12" t="s">
        <v>344</v>
      </c>
      <c r="D21" s="13" t="s">
        <v>174</v>
      </c>
      <c r="E21" s="16" t="s">
        <v>106</v>
      </c>
      <c r="F21" s="12" t="s">
        <v>105</v>
      </c>
      <c r="G21" s="14">
        <v>51</v>
      </c>
      <c r="H21" s="14">
        <v>15</v>
      </c>
      <c r="I21" s="14">
        <v>14</v>
      </c>
      <c r="J21" s="14">
        <v>14</v>
      </c>
      <c r="K21" s="14">
        <v>0</v>
      </c>
      <c r="L21" s="14">
        <v>8</v>
      </c>
      <c r="M21" s="12" t="s">
        <v>104</v>
      </c>
      <c r="N21" s="15" t="s">
        <v>261</v>
      </c>
      <c r="O21" s="12" t="s">
        <v>176</v>
      </c>
      <c r="P21" s="12" t="s">
        <v>262</v>
      </c>
      <c r="Q21" s="16" t="s">
        <v>178</v>
      </c>
      <c r="R21" s="19"/>
      <c r="S21" s="20"/>
      <c r="T21" s="20"/>
      <c r="U21" s="20"/>
      <c r="V21" s="21">
        <f>IF(U21="","",U21*'0. Premissas (editável)'!$C$7*'0. Premissas (editável)'!$C$8)</f>
        <v>0</v>
      </c>
      <c r="W21" s="22">
        <f>IF(OR(S21="",V21=""),"",(S21-V21)/S21)</f>
        <v>0</v>
      </c>
      <c r="X21" s="23">
        <f>IF(W21="","preencher",IF(W21&gt;='0. Premissas (editável)'!$C$9,"Viável",IF(W21&gt;='0. Premissas (editável)'!$C$10,"Marginal","Inviável")))</f>
        <v>0</v>
      </c>
      <c r="Y21" s="23">
        <f>IF(R21="","preencher",IF(R21&gt;='0. Premissas (editável)'!$C$11,"PASSA","NÃO PASSA"))</f>
        <v>0</v>
      </c>
      <c r="Z21" s="23">
        <f>IF(AND(R21="",S21=""),"Preencher IQVIA",IF(AND(R21&lt;&gt;"",R21&lt;'0. Premissas (editável)'!$C$11),"NÃO — mercado abaixo do corte",IF(X21="Inviável","NÃO — economia não fecha",IF(D21="NÃO","NÃO — vetada na triagem",IF(X21="Marginal","REAVALIAR — margem apertada","SIM")))))</f>
        <v>0</v>
      </c>
      <c r="AA21" s="12" t="s">
        <v>179</v>
      </c>
      <c r="AB21" s="12"/>
      <c r="AC21" s="12" t="s">
        <v>91</v>
      </c>
      <c r="AD21" s="12" t="s">
        <v>180</v>
      </c>
      <c r="AE21" s="12" t="s">
        <v>178</v>
      </c>
      <c r="AF21" s="12" t="s">
        <v>181</v>
      </c>
      <c r="AG21" s="12" t="s">
        <v>180</v>
      </c>
      <c r="AH21" s="16" t="s">
        <v>180</v>
      </c>
      <c r="AI21" s="14">
        <v>0</v>
      </c>
      <c r="AJ21" s="14">
        <v>0</v>
      </c>
      <c r="AK21" s="12"/>
      <c r="AL21" s="12"/>
      <c r="AM21" s="12"/>
      <c r="AN21" s="12"/>
      <c r="AO21" s="12" t="s">
        <v>218</v>
      </c>
      <c r="AP21" s="14">
        <v>2</v>
      </c>
      <c r="AQ21" s="16" t="s">
        <v>180</v>
      </c>
      <c r="AR21" s="12" t="s">
        <v>345</v>
      </c>
      <c r="AS21" s="12" t="s">
        <v>184</v>
      </c>
      <c r="AT21" s="12" t="s">
        <v>346</v>
      </c>
      <c r="AU21" s="12" t="s">
        <v>347</v>
      </c>
      <c r="AV21" s="12" t="s">
        <v>348</v>
      </c>
      <c r="AW21" s="12" t="s">
        <v>349</v>
      </c>
      <c r="AX21" s="12" t="s">
        <v>268</v>
      </c>
      <c r="AY21" s="12" t="s">
        <v>269</v>
      </c>
    </row>
    <row r="22" spans="1:51">
      <c r="A22" s="12" t="s">
        <v>118</v>
      </c>
      <c r="B22" s="12" t="s">
        <v>350</v>
      </c>
      <c r="C22" s="12" t="s">
        <v>292</v>
      </c>
      <c r="D22" s="13" t="s">
        <v>174</v>
      </c>
      <c r="E22" s="16" t="s">
        <v>106</v>
      </c>
      <c r="F22" s="12" t="s">
        <v>120</v>
      </c>
      <c r="G22" s="14">
        <v>51</v>
      </c>
      <c r="H22" s="14">
        <v>5</v>
      </c>
      <c r="I22" s="14">
        <v>4</v>
      </c>
      <c r="J22" s="14">
        <v>12</v>
      </c>
      <c r="K22" s="14">
        <v>15</v>
      </c>
      <c r="L22" s="14">
        <v>15</v>
      </c>
      <c r="M22" s="12" t="s">
        <v>119</v>
      </c>
      <c r="N22" s="24" t="s">
        <v>351</v>
      </c>
      <c r="O22" s="12" t="s">
        <v>352</v>
      </c>
      <c r="P22" s="12" t="s">
        <v>271</v>
      </c>
      <c r="Q22" s="16" t="s">
        <v>272</v>
      </c>
      <c r="R22" s="19"/>
      <c r="S22" s="20"/>
      <c r="T22" s="20"/>
      <c r="U22" s="20"/>
      <c r="V22" s="21">
        <f>IF(U22="","",U22*'0. Premissas (editável)'!$C$7*'0. Premissas (editável)'!$C$8)</f>
        <v>0</v>
      </c>
      <c r="W22" s="22">
        <f>IF(OR(S22="",V22=""),"",(S22-V22)/S22)</f>
        <v>0</v>
      </c>
      <c r="X22" s="23">
        <f>IF(W22="","preencher",IF(W22&gt;='0. Premissas (editável)'!$C$9,"Viável",IF(W22&gt;='0. Premissas (editável)'!$C$10,"Marginal","Inviável")))</f>
        <v>0</v>
      </c>
      <c r="Y22" s="23">
        <f>IF(R22="","preencher",IF(R22&gt;='0. Premissas (editável)'!$C$11,"PASSA","NÃO PASSA"))</f>
        <v>0</v>
      </c>
      <c r="Z22" s="23">
        <f>IF(AND(R22="",S22=""),"Preencher IQVIA",IF(AND(R22&lt;&gt;"",R22&lt;'0. Premissas (editável)'!$C$11),"NÃO — mercado abaixo do corte",IF(X22="Inviável","NÃO — economia não fecha",IF(D22="NÃO","NÃO — vetada na triagem",IF(X22="Marginal","REAVALIAR — margem apertada","SIM")))))</f>
        <v>0</v>
      </c>
      <c r="AA22" s="12" t="s">
        <v>353</v>
      </c>
      <c r="AB22" s="12" t="s">
        <v>354</v>
      </c>
      <c r="AC22" s="13" t="s">
        <v>121</v>
      </c>
      <c r="AD22" s="12" t="s">
        <v>174</v>
      </c>
      <c r="AE22" s="12" t="s">
        <v>273</v>
      </c>
      <c r="AF22" s="12" t="s">
        <v>274</v>
      </c>
      <c r="AG22" s="12" t="s">
        <v>180</v>
      </c>
      <c r="AH22" s="13" t="s">
        <v>174</v>
      </c>
      <c r="AI22" s="14">
        <v>2</v>
      </c>
      <c r="AJ22" s="14">
        <v>2</v>
      </c>
      <c r="AK22" s="12" t="s">
        <v>355</v>
      </c>
      <c r="AL22" s="12" t="s">
        <v>356</v>
      </c>
      <c r="AM22" s="12" t="s">
        <v>357</v>
      </c>
      <c r="AN22" s="12" t="s">
        <v>358</v>
      </c>
      <c r="AO22" s="12" t="s">
        <v>359</v>
      </c>
      <c r="AP22" s="14">
        <v>14</v>
      </c>
      <c r="AQ22" s="16" t="s">
        <v>180</v>
      </c>
      <c r="AR22" s="12" t="s">
        <v>360</v>
      </c>
      <c r="AS22" s="12" t="s">
        <v>361</v>
      </c>
      <c r="AT22" s="12" t="s">
        <v>362</v>
      </c>
      <c r="AU22" s="12" t="s">
        <v>363</v>
      </c>
      <c r="AV22" s="12" t="s">
        <v>364</v>
      </c>
      <c r="AW22" s="12" t="s">
        <v>365</v>
      </c>
      <c r="AX22" s="12" t="s">
        <v>366</v>
      </c>
      <c r="AY22" s="12" t="s">
        <v>367</v>
      </c>
    </row>
    <row r="23" spans="1:51">
      <c r="A23" s="12" t="s">
        <v>122</v>
      </c>
      <c r="B23" s="12" t="s">
        <v>368</v>
      </c>
      <c r="C23" s="12" t="s">
        <v>292</v>
      </c>
      <c r="D23" s="13" t="s">
        <v>174</v>
      </c>
      <c r="E23" s="16" t="s">
        <v>106</v>
      </c>
      <c r="F23" s="12" t="s">
        <v>90</v>
      </c>
      <c r="G23" s="14">
        <v>50</v>
      </c>
      <c r="H23" s="14">
        <v>26</v>
      </c>
      <c r="I23" s="14">
        <v>10</v>
      </c>
      <c r="J23" s="14">
        <v>14</v>
      </c>
      <c r="K23" s="14">
        <v>0</v>
      </c>
      <c r="L23" s="14">
        <v>0</v>
      </c>
      <c r="M23" s="12" t="s">
        <v>93</v>
      </c>
      <c r="N23" s="13" t="s">
        <v>175</v>
      </c>
      <c r="O23" s="12" t="s">
        <v>176</v>
      </c>
      <c r="P23" s="12" t="s">
        <v>200</v>
      </c>
      <c r="Q23" s="16" t="s">
        <v>178</v>
      </c>
      <c r="R23" s="19"/>
      <c r="S23" s="20"/>
      <c r="T23" s="20"/>
      <c r="U23" s="20"/>
      <c r="V23" s="21">
        <f>IF(U23="","",U23*'0. Premissas (editável)'!$C$7*'0. Premissas (editável)'!$C$8)</f>
        <v>0</v>
      </c>
      <c r="W23" s="22">
        <f>IF(OR(S23="",V23=""),"",(S23-V23)/S23)</f>
        <v>0</v>
      </c>
      <c r="X23" s="23">
        <f>IF(W23="","preencher",IF(W23&gt;='0. Premissas (editável)'!$C$9,"Viável",IF(W23&gt;='0. Premissas (editável)'!$C$10,"Marginal","Inviável")))</f>
        <v>0</v>
      </c>
      <c r="Y23" s="23">
        <f>IF(R23="","preencher",IF(R23&gt;='0. Premissas (editável)'!$C$11,"PASSA","NÃO PASSA"))</f>
        <v>0</v>
      </c>
      <c r="Z23" s="23">
        <f>IF(AND(R23="",S23=""),"Preencher IQVIA",IF(AND(R23&lt;&gt;"",R23&lt;'0. Premissas (editável)'!$C$11),"NÃO — mercado abaixo do corte",IF(X23="Inviável","NÃO — economia não fecha",IF(D23="NÃO","NÃO — vetada na triagem",IF(X23="Marginal","REAVALIAR — margem apertada","SIM")))))</f>
        <v>0</v>
      </c>
      <c r="AA23" s="12" t="s">
        <v>179</v>
      </c>
      <c r="AB23" s="12"/>
      <c r="AC23" s="12" t="s">
        <v>101</v>
      </c>
      <c r="AD23" s="12" t="s">
        <v>174</v>
      </c>
      <c r="AE23" s="12" t="s">
        <v>242</v>
      </c>
      <c r="AF23" s="12" t="s">
        <v>243</v>
      </c>
      <c r="AG23" s="12" t="s">
        <v>180</v>
      </c>
      <c r="AH23" s="16" t="s">
        <v>180</v>
      </c>
      <c r="AI23" s="14">
        <v>1</v>
      </c>
      <c r="AJ23" s="14">
        <v>1</v>
      </c>
      <c r="AK23" s="12" t="s">
        <v>369</v>
      </c>
      <c r="AL23" s="12" t="s">
        <v>245</v>
      </c>
      <c r="AM23" s="12" t="s">
        <v>246</v>
      </c>
      <c r="AN23" s="12" t="s">
        <v>370</v>
      </c>
      <c r="AO23" s="12" t="s">
        <v>201</v>
      </c>
      <c r="AP23" s="14">
        <v>1</v>
      </c>
      <c r="AQ23" s="16" t="s">
        <v>180</v>
      </c>
      <c r="AR23" s="12" t="s">
        <v>371</v>
      </c>
      <c r="AS23" s="12" t="s">
        <v>184</v>
      </c>
      <c r="AT23" s="12" t="s">
        <v>372</v>
      </c>
      <c r="AU23" s="12" t="s">
        <v>373</v>
      </c>
      <c r="AV23" s="12" t="s">
        <v>374</v>
      </c>
      <c r="AW23" s="12" t="s">
        <v>283</v>
      </c>
      <c r="AX23" s="12" t="s">
        <v>375</v>
      </c>
      <c r="AY23" s="12" t="s">
        <v>190</v>
      </c>
    </row>
    <row r="24" spans="1:51">
      <c r="A24" s="12" t="s">
        <v>376</v>
      </c>
      <c r="B24" s="12" t="s">
        <v>377</v>
      </c>
      <c r="C24" s="12" t="s">
        <v>378</v>
      </c>
      <c r="D24" s="24" t="s">
        <v>180</v>
      </c>
      <c r="E24" s="16" t="s">
        <v>178</v>
      </c>
      <c r="F24" s="12" t="s">
        <v>379</v>
      </c>
      <c r="G24" s="14">
        <v>62</v>
      </c>
      <c r="H24" s="14">
        <v>30</v>
      </c>
      <c r="I24" s="14">
        <v>10</v>
      </c>
      <c r="J24" s="14">
        <v>14</v>
      </c>
      <c r="K24" s="14">
        <v>0</v>
      </c>
      <c r="L24" s="14">
        <v>8</v>
      </c>
      <c r="M24" s="12" t="s">
        <v>89</v>
      </c>
      <c r="N24" s="13" t="s">
        <v>175</v>
      </c>
      <c r="O24" s="12" t="s">
        <v>176</v>
      </c>
      <c r="P24" s="12" t="s">
        <v>380</v>
      </c>
      <c r="Q24" s="24" t="s">
        <v>381</v>
      </c>
      <c r="R24" s="19"/>
      <c r="S24" s="20"/>
      <c r="T24" s="20"/>
      <c r="U24" s="20"/>
      <c r="V24" s="21">
        <f>IF(U24="","",U24*'0. Premissas (editável)'!$C$7*'0. Premissas (editável)'!$C$8)</f>
        <v>0</v>
      </c>
      <c r="W24" s="22">
        <f>IF(OR(S24="",V24=""),"",(S24-V24)/S24)</f>
        <v>0</v>
      </c>
      <c r="X24" s="23">
        <f>IF(W24="","preencher",IF(W24&gt;='0. Premissas (editável)'!$C$9,"Viável",IF(W24&gt;='0. Premissas (editável)'!$C$10,"Marginal","Inviável")))</f>
        <v>0</v>
      </c>
      <c r="Y24" s="23">
        <f>IF(R24="","preencher",IF(R24&gt;='0. Premissas (editável)'!$C$11,"PASSA","NÃO PASSA"))</f>
        <v>0</v>
      </c>
      <c r="Z24" s="23">
        <f>IF(AND(R24="",S24=""),"Preencher IQVIA",IF(AND(R24&lt;&gt;"",R24&lt;'0. Premissas (editável)'!$C$11),"NÃO — mercado abaixo do corte",IF(X24="Inviável","NÃO — economia não fecha",IF(D24="NÃO","NÃO — vetada na triagem",IF(X24="Marginal","REAVALIAR — margem apertada","SIM")))))</f>
        <v>0</v>
      </c>
      <c r="AA24" s="12" t="s">
        <v>179</v>
      </c>
      <c r="AB24" s="12"/>
      <c r="AC24" s="12" t="s">
        <v>91</v>
      </c>
      <c r="AD24" s="12" t="s">
        <v>180</v>
      </c>
      <c r="AE24" s="12" t="s">
        <v>178</v>
      </c>
      <c r="AF24" s="12" t="s">
        <v>181</v>
      </c>
      <c r="AG24" s="12" t="s">
        <v>180</v>
      </c>
      <c r="AH24" s="16" t="s">
        <v>180</v>
      </c>
      <c r="AI24" s="14">
        <v>0</v>
      </c>
      <c r="AJ24" s="14">
        <v>0</v>
      </c>
      <c r="AK24" s="12"/>
      <c r="AL24" s="12"/>
      <c r="AM24" s="12"/>
      <c r="AN24" s="12"/>
      <c r="AO24" s="12" t="s">
        <v>201</v>
      </c>
      <c r="AP24" s="14">
        <v>2</v>
      </c>
      <c r="AQ24" s="16" t="s">
        <v>180</v>
      </c>
      <c r="AR24" s="12" t="s">
        <v>382</v>
      </c>
      <c r="AS24" s="12" t="s">
        <v>184</v>
      </c>
      <c r="AT24" s="12" t="s">
        <v>383</v>
      </c>
      <c r="AU24" s="12" t="s">
        <v>384</v>
      </c>
      <c r="AV24" s="12" t="s">
        <v>385</v>
      </c>
      <c r="AW24" s="12" t="s">
        <v>386</v>
      </c>
      <c r="AX24" s="12" t="s">
        <v>387</v>
      </c>
      <c r="AY24" s="12" t="s">
        <v>190</v>
      </c>
    </row>
    <row r="25" spans="1:51">
      <c r="A25" s="12" t="s">
        <v>388</v>
      </c>
      <c r="B25" s="12" t="s">
        <v>389</v>
      </c>
      <c r="C25" s="12" t="s">
        <v>173</v>
      </c>
      <c r="D25" s="24" t="s">
        <v>180</v>
      </c>
      <c r="E25" s="16" t="s">
        <v>178</v>
      </c>
      <c r="F25" s="12" t="s">
        <v>90</v>
      </c>
      <c r="G25" s="14">
        <v>55</v>
      </c>
      <c r="H25" s="14">
        <v>26</v>
      </c>
      <c r="I25" s="14">
        <v>10</v>
      </c>
      <c r="J25" s="14">
        <v>14</v>
      </c>
      <c r="K25" s="14">
        <v>2</v>
      </c>
      <c r="L25" s="14">
        <v>3</v>
      </c>
      <c r="M25" s="12" t="s">
        <v>93</v>
      </c>
      <c r="N25" s="13" t="s">
        <v>175</v>
      </c>
      <c r="O25" s="12" t="s">
        <v>176</v>
      </c>
      <c r="P25" s="12" t="s">
        <v>380</v>
      </c>
      <c r="Q25" s="24" t="s">
        <v>381</v>
      </c>
      <c r="R25" s="19"/>
      <c r="S25" s="20"/>
      <c r="T25" s="20"/>
      <c r="U25" s="20"/>
      <c r="V25" s="21">
        <f>IF(U25="","",U25*'0. Premissas (editável)'!$C$7*'0. Premissas (editável)'!$C$8)</f>
        <v>0</v>
      </c>
      <c r="W25" s="22">
        <f>IF(OR(S25="",V25=""),"",(S25-V25)/S25)</f>
        <v>0</v>
      </c>
      <c r="X25" s="23">
        <f>IF(W25="","preencher",IF(W25&gt;='0. Premissas (editável)'!$C$9,"Viável",IF(W25&gt;='0. Premissas (editável)'!$C$10,"Marginal","Inviável")))</f>
        <v>0</v>
      </c>
      <c r="Y25" s="23">
        <f>IF(R25="","preencher",IF(R25&gt;='0. Premissas (editável)'!$C$11,"PASSA","NÃO PASSA"))</f>
        <v>0</v>
      </c>
      <c r="Z25" s="23">
        <f>IF(AND(R25="",S25=""),"Preencher IQVIA",IF(AND(R25&lt;&gt;"",R25&lt;'0. Premissas (editável)'!$C$11),"NÃO — mercado abaixo do corte",IF(X25="Inviável","NÃO — economia não fecha",IF(D25="NÃO","NÃO — vetada na triagem",IF(X25="Marginal","REAVALIAR — margem apertada","SIM")))))</f>
        <v>0</v>
      </c>
      <c r="AA25" s="12" t="s">
        <v>179</v>
      </c>
      <c r="AB25" s="12"/>
      <c r="AC25" s="12" t="s">
        <v>108</v>
      </c>
      <c r="AD25" s="12" t="s">
        <v>174</v>
      </c>
      <c r="AE25" s="12" t="s">
        <v>273</v>
      </c>
      <c r="AF25" s="12" t="s">
        <v>274</v>
      </c>
      <c r="AG25" s="12" t="s">
        <v>174</v>
      </c>
      <c r="AH25" s="16" t="s">
        <v>180</v>
      </c>
      <c r="AI25" s="14">
        <v>6</v>
      </c>
      <c r="AJ25" s="14">
        <v>7</v>
      </c>
      <c r="AK25" s="12" t="s">
        <v>390</v>
      </c>
      <c r="AL25" s="12" t="s">
        <v>391</v>
      </c>
      <c r="AM25" s="12" t="s">
        <v>392</v>
      </c>
      <c r="AN25" s="12" t="s">
        <v>393</v>
      </c>
      <c r="AO25" s="12" t="s">
        <v>201</v>
      </c>
      <c r="AP25" s="14">
        <v>5</v>
      </c>
      <c r="AQ25" s="16" t="s">
        <v>180</v>
      </c>
      <c r="AR25" s="12" t="s">
        <v>394</v>
      </c>
      <c r="AS25" s="12" t="s">
        <v>184</v>
      </c>
      <c r="AT25" s="12" t="s">
        <v>395</v>
      </c>
      <c r="AU25" s="12" t="s">
        <v>396</v>
      </c>
      <c r="AV25" s="12" t="s">
        <v>397</v>
      </c>
      <c r="AW25" s="12" t="s">
        <v>398</v>
      </c>
      <c r="AX25" s="12" t="s">
        <v>399</v>
      </c>
      <c r="AY25" s="12" t="s">
        <v>190</v>
      </c>
    </row>
    <row r="26" spans="1:51">
      <c r="A26" s="12" t="s">
        <v>400</v>
      </c>
      <c r="B26" s="12" t="s">
        <v>401</v>
      </c>
      <c r="C26" s="12" t="s">
        <v>344</v>
      </c>
      <c r="D26" s="24" t="s">
        <v>180</v>
      </c>
      <c r="E26" s="16" t="s">
        <v>178</v>
      </c>
      <c r="F26" s="12" t="s">
        <v>105</v>
      </c>
      <c r="G26" s="14">
        <v>50</v>
      </c>
      <c r="H26" s="14">
        <v>15</v>
      </c>
      <c r="I26" s="14">
        <v>0</v>
      </c>
      <c r="J26" s="14">
        <v>14</v>
      </c>
      <c r="K26" s="14">
        <v>13</v>
      </c>
      <c r="L26" s="14">
        <v>8</v>
      </c>
      <c r="M26" s="12" t="s">
        <v>104</v>
      </c>
      <c r="N26" s="15" t="s">
        <v>261</v>
      </c>
      <c r="O26" s="12" t="s">
        <v>176</v>
      </c>
      <c r="P26" s="12" t="s">
        <v>380</v>
      </c>
      <c r="Q26" s="24" t="s">
        <v>381</v>
      </c>
      <c r="R26" s="19"/>
      <c r="S26" s="20"/>
      <c r="T26" s="20"/>
      <c r="U26" s="20"/>
      <c r="V26" s="21">
        <f>IF(U26="","",U26*'0. Premissas (editável)'!$C$7*'0. Premissas (editável)'!$C$8)</f>
        <v>0</v>
      </c>
      <c r="W26" s="22">
        <f>IF(OR(S26="",V26=""),"",(S26-V26)/S26)</f>
        <v>0</v>
      </c>
      <c r="X26" s="23">
        <f>IF(W26="","preencher",IF(W26&gt;='0. Premissas (editável)'!$C$9,"Viável",IF(W26&gt;='0. Premissas (editável)'!$C$10,"Marginal","Inviável")))</f>
        <v>0</v>
      </c>
      <c r="Y26" s="23">
        <f>IF(R26="","preencher",IF(R26&gt;='0. Premissas (editável)'!$C$11,"PASSA","NÃO PASSA"))</f>
        <v>0</v>
      </c>
      <c r="Z26" s="23">
        <f>IF(AND(R26="",S26=""),"Preencher IQVIA",IF(AND(R26&lt;&gt;"",R26&lt;'0. Premissas (editável)'!$C$11),"NÃO — mercado abaixo do corte",IF(X26="Inviável","NÃO — economia não fecha",IF(D26="NÃO","NÃO — vetada na triagem",IF(X26="Marginal","REAVALIAR — margem apertada","SIM")))))</f>
        <v>0</v>
      </c>
      <c r="AA26" s="12" t="s">
        <v>179</v>
      </c>
      <c r="AB26" s="12"/>
      <c r="AC26" s="12" t="s">
        <v>91</v>
      </c>
      <c r="AD26" s="12" t="s">
        <v>180</v>
      </c>
      <c r="AE26" s="12" t="s">
        <v>178</v>
      </c>
      <c r="AF26" s="12" t="s">
        <v>181</v>
      </c>
      <c r="AG26" s="12" t="s">
        <v>180</v>
      </c>
      <c r="AH26" s="16" t="s">
        <v>180</v>
      </c>
      <c r="AI26" s="14">
        <v>0</v>
      </c>
      <c r="AJ26" s="14">
        <v>0</v>
      </c>
      <c r="AK26" s="12"/>
      <c r="AL26" s="12"/>
      <c r="AM26" s="12"/>
      <c r="AN26" s="12"/>
      <c r="AO26" s="12" t="s">
        <v>402</v>
      </c>
      <c r="AP26" s="14">
        <v>3</v>
      </c>
      <c r="AQ26" s="16" t="s">
        <v>180</v>
      </c>
      <c r="AR26" s="12" t="s">
        <v>403</v>
      </c>
      <c r="AS26" s="12" t="s">
        <v>404</v>
      </c>
      <c r="AT26" s="12" t="s">
        <v>405</v>
      </c>
      <c r="AU26" s="12" t="s">
        <v>406</v>
      </c>
      <c r="AV26" s="12" t="s">
        <v>407</v>
      </c>
      <c r="AW26" s="12" t="s">
        <v>408</v>
      </c>
      <c r="AX26" s="12" t="s">
        <v>409</v>
      </c>
      <c r="AY26" s="12" t="s">
        <v>410</v>
      </c>
    </row>
    <row r="27" spans="1:51">
      <c r="A27" s="12" t="s">
        <v>411</v>
      </c>
      <c r="B27" s="12" t="s">
        <v>412</v>
      </c>
      <c r="C27" s="12" t="s">
        <v>344</v>
      </c>
      <c r="D27" s="24" t="s">
        <v>180</v>
      </c>
      <c r="E27" s="16" t="s">
        <v>178</v>
      </c>
      <c r="F27" s="12" t="s">
        <v>105</v>
      </c>
      <c r="G27" s="14">
        <v>48</v>
      </c>
      <c r="H27" s="14">
        <v>15</v>
      </c>
      <c r="I27" s="14">
        <v>0</v>
      </c>
      <c r="J27" s="14">
        <v>14</v>
      </c>
      <c r="K27" s="14">
        <v>11</v>
      </c>
      <c r="L27" s="14">
        <v>8</v>
      </c>
      <c r="M27" s="12" t="s">
        <v>104</v>
      </c>
      <c r="N27" s="15" t="s">
        <v>261</v>
      </c>
      <c r="O27" s="12" t="s">
        <v>176</v>
      </c>
      <c r="P27" s="12" t="s">
        <v>380</v>
      </c>
      <c r="Q27" s="24" t="s">
        <v>381</v>
      </c>
      <c r="R27" s="19"/>
      <c r="S27" s="20"/>
      <c r="T27" s="20"/>
      <c r="U27" s="20"/>
      <c r="V27" s="21">
        <f>IF(U27="","",U27*'0. Premissas (editável)'!$C$7*'0. Premissas (editável)'!$C$8)</f>
        <v>0</v>
      </c>
      <c r="W27" s="22">
        <f>IF(OR(S27="",V27=""),"",(S27-V27)/S27)</f>
        <v>0</v>
      </c>
      <c r="X27" s="23">
        <f>IF(W27="","preencher",IF(W27&gt;='0. Premissas (editável)'!$C$9,"Viável",IF(W27&gt;='0. Premissas (editável)'!$C$10,"Marginal","Inviável")))</f>
        <v>0</v>
      </c>
      <c r="Y27" s="23">
        <f>IF(R27="","preencher",IF(R27&gt;='0. Premissas (editável)'!$C$11,"PASSA","NÃO PASSA"))</f>
        <v>0</v>
      </c>
      <c r="Z27" s="23">
        <f>IF(AND(R27="",S27=""),"Preencher IQVIA",IF(AND(R27&lt;&gt;"",R27&lt;'0. Premissas (editável)'!$C$11),"NÃO — mercado abaixo do corte",IF(X27="Inviável","NÃO — economia não fecha",IF(D27="NÃO","NÃO — vetada na triagem",IF(X27="Marginal","REAVALIAR — margem apertada","SIM")))))</f>
        <v>0</v>
      </c>
      <c r="AA27" s="12" t="s">
        <v>179</v>
      </c>
      <c r="AB27" s="12"/>
      <c r="AC27" s="12" t="s">
        <v>91</v>
      </c>
      <c r="AD27" s="12" t="s">
        <v>180</v>
      </c>
      <c r="AE27" s="12" t="s">
        <v>178</v>
      </c>
      <c r="AF27" s="12" t="s">
        <v>181</v>
      </c>
      <c r="AG27" s="12" t="s">
        <v>180</v>
      </c>
      <c r="AH27" s="16" t="s">
        <v>180</v>
      </c>
      <c r="AI27" s="14">
        <v>0</v>
      </c>
      <c r="AJ27" s="14">
        <v>0</v>
      </c>
      <c r="AK27" s="12"/>
      <c r="AL27" s="12"/>
      <c r="AM27" s="12"/>
      <c r="AN27" s="12"/>
      <c r="AO27" s="12" t="s">
        <v>402</v>
      </c>
      <c r="AP27" s="14">
        <v>5</v>
      </c>
      <c r="AQ27" s="16" t="s">
        <v>180</v>
      </c>
      <c r="AR27" s="12" t="s">
        <v>413</v>
      </c>
      <c r="AS27" s="12" t="s">
        <v>184</v>
      </c>
      <c r="AT27" s="12" t="s">
        <v>414</v>
      </c>
      <c r="AU27" s="12" t="s">
        <v>415</v>
      </c>
      <c r="AV27" s="12" t="s">
        <v>416</v>
      </c>
      <c r="AW27" s="12" t="s">
        <v>417</v>
      </c>
      <c r="AX27" s="12" t="s">
        <v>418</v>
      </c>
      <c r="AY27" s="12" t="s">
        <v>410</v>
      </c>
    </row>
    <row r="28" spans="1:51">
      <c r="A28" s="12" t="s">
        <v>419</v>
      </c>
      <c r="B28" s="12" t="s">
        <v>420</v>
      </c>
      <c r="C28" s="12" t="s">
        <v>378</v>
      </c>
      <c r="D28" s="24" t="s">
        <v>180</v>
      </c>
      <c r="E28" s="16" t="s">
        <v>178</v>
      </c>
      <c r="F28" s="12" t="s">
        <v>105</v>
      </c>
      <c r="G28" s="14">
        <v>47</v>
      </c>
      <c r="H28" s="14">
        <v>15</v>
      </c>
      <c r="I28" s="14">
        <v>10</v>
      </c>
      <c r="J28" s="14">
        <v>14</v>
      </c>
      <c r="K28" s="14">
        <v>0</v>
      </c>
      <c r="L28" s="14">
        <v>8</v>
      </c>
      <c r="M28" s="12" t="s">
        <v>104</v>
      </c>
      <c r="N28" s="15" t="s">
        <v>261</v>
      </c>
      <c r="O28" s="12" t="s">
        <v>176</v>
      </c>
      <c r="P28" s="12" t="s">
        <v>262</v>
      </c>
      <c r="Q28" s="16" t="s">
        <v>178</v>
      </c>
      <c r="R28" s="19"/>
      <c r="S28" s="20"/>
      <c r="T28" s="20"/>
      <c r="U28" s="20"/>
      <c r="V28" s="21">
        <f>IF(U28="","",U28*'0. Premissas (editável)'!$C$7*'0. Premissas (editável)'!$C$8)</f>
        <v>0</v>
      </c>
      <c r="W28" s="22">
        <f>IF(OR(S28="",V28=""),"",(S28-V28)/S28)</f>
        <v>0</v>
      </c>
      <c r="X28" s="23">
        <f>IF(W28="","preencher",IF(W28&gt;='0. Premissas (editável)'!$C$9,"Viável",IF(W28&gt;='0. Premissas (editável)'!$C$10,"Marginal","Inviável")))</f>
        <v>0</v>
      </c>
      <c r="Y28" s="23">
        <f>IF(R28="","preencher",IF(R28&gt;='0. Premissas (editável)'!$C$11,"PASSA","NÃO PASSA"))</f>
        <v>0</v>
      </c>
      <c r="Z28" s="23">
        <f>IF(AND(R28="",S28=""),"Preencher IQVIA",IF(AND(R28&lt;&gt;"",R28&lt;'0. Premissas (editável)'!$C$11),"NÃO — mercado abaixo do corte",IF(X28="Inviável","NÃO — economia não fecha",IF(D28="NÃO","NÃO — vetada na triagem",IF(X28="Marginal","REAVALIAR — margem apertada","SIM")))))</f>
        <v>0</v>
      </c>
      <c r="AA28" s="12" t="s">
        <v>179</v>
      </c>
      <c r="AB28" s="12"/>
      <c r="AC28" s="12" t="s">
        <v>91</v>
      </c>
      <c r="AD28" s="12" t="s">
        <v>180</v>
      </c>
      <c r="AE28" s="12" t="s">
        <v>178</v>
      </c>
      <c r="AF28" s="12" t="s">
        <v>181</v>
      </c>
      <c r="AG28" s="12" t="s">
        <v>180</v>
      </c>
      <c r="AH28" s="16" t="s">
        <v>180</v>
      </c>
      <c r="AI28" s="14">
        <v>0</v>
      </c>
      <c r="AJ28" s="14">
        <v>0</v>
      </c>
      <c r="AK28" s="12"/>
      <c r="AL28" s="12"/>
      <c r="AM28" s="12"/>
      <c r="AN28" s="12"/>
      <c r="AO28" s="12" t="s">
        <v>201</v>
      </c>
      <c r="AP28" s="14">
        <v>1</v>
      </c>
      <c r="AQ28" s="16" t="s">
        <v>180</v>
      </c>
      <c r="AR28" s="12" t="s">
        <v>421</v>
      </c>
      <c r="AS28" s="12" t="s">
        <v>184</v>
      </c>
      <c r="AT28" s="12" t="s">
        <v>422</v>
      </c>
      <c r="AU28" s="12" t="s">
        <v>423</v>
      </c>
      <c r="AV28" s="12" t="s">
        <v>424</v>
      </c>
      <c r="AW28" s="12" t="s">
        <v>323</v>
      </c>
      <c r="AX28" s="12" t="s">
        <v>425</v>
      </c>
      <c r="AY28" s="12" t="s">
        <v>269</v>
      </c>
    </row>
    <row r="29" spans="1:51">
      <c r="A29" s="12" t="s">
        <v>426</v>
      </c>
      <c r="B29" s="12" t="s">
        <v>427</v>
      </c>
      <c r="C29" s="12" t="s">
        <v>199</v>
      </c>
      <c r="D29" s="24" t="s">
        <v>180</v>
      </c>
      <c r="E29" s="16" t="s">
        <v>178</v>
      </c>
      <c r="F29" s="12" t="s">
        <v>90</v>
      </c>
      <c r="G29" s="14">
        <v>47</v>
      </c>
      <c r="H29" s="14">
        <v>26</v>
      </c>
      <c r="I29" s="14">
        <v>4</v>
      </c>
      <c r="J29" s="14">
        <v>14</v>
      </c>
      <c r="K29" s="14">
        <v>0</v>
      </c>
      <c r="L29" s="14">
        <v>3</v>
      </c>
      <c r="M29" s="12" t="s">
        <v>93</v>
      </c>
      <c r="N29" s="13" t="s">
        <v>175</v>
      </c>
      <c r="O29" s="12" t="s">
        <v>176</v>
      </c>
      <c r="P29" s="12" t="s">
        <v>262</v>
      </c>
      <c r="Q29" s="16" t="s">
        <v>178</v>
      </c>
      <c r="R29" s="19"/>
      <c r="S29" s="20"/>
      <c r="T29" s="20"/>
      <c r="U29" s="20"/>
      <c r="V29" s="21">
        <f>IF(U29="","",U29*'0. Premissas (editável)'!$C$7*'0. Premissas (editável)'!$C$8)</f>
        <v>0</v>
      </c>
      <c r="W29" s="22">
        <f>IF(OR(S29="",V29=""),"",(S29-V29)/S29)</f>
        <v>0</v>
      </c>
      <c r="X29" s="23">
        <f>IF(W29="","preencher",IF(W29&gt;='0. Premissas (editável)'!$C$9,"Viável",IF(W29&gt;='0. Premissas (editável)'!$C$10,"Marginal","Inviável")))</f>
        <v>0</v>
      </c>
      <c r="Y29" s="23">
        <f>IF(R29="","preencher",IF(R29&gt;='0. Premissas (editável)'!$C$11,"PASSA","NÃO PASSA"))</f>
        <v>0</v>
      </c>
      <c r="Z29" s="23">
        <f>IF(AND(R29="",S29=""),"Preencher IQVIA",IF(AND(R29&lt;&gt;"",R29&lt;'0. Premissas (editável)'!$C$11),"NÃO — mercado abaixo do corte",IF(X29="Inviável","NÃO — economia não fecha",IF(D29="NÃO","NÃO — vetada na triagem",IF(X29="Marginal","REAVALIAR — margem apertada","SIM")))))</f>
        <v>0</v>
      </c>
      <c r="AA29" s="12" t="s">
        <v>179</v>
      </c>
      <c r="AB29" s="12"/>
      <c r="AC29" s="12" t="s">
        <v>108</v>
      </c>
      <c r="AD29" s="12" t="s">
        <v>174</v>
      </c>
      <c r="AE29" s="12" t="s">
        <v>242</v>
      </c>
      <c r="AF29" s="12" t="s">
        <v>274</v>
      </c>
      <c r="AG29" s="12" t="s">
        <v>180</v>
      </c>
      <c r="AH29" s="16" t="s">
        <v>180</v>
      </c>
      <c r="AI29" s="14">
        <v>2</v>
      </c>
      <c r="AJ29" s="14">
        <v>2</v>
      </c>
      <c r="AK29" s="12" t="s">
        <v>428</v>
      </c>
      <c r="AL29" s="12" t="s">
        <v>276</v>
      </c>
      <c r="AM29" s="12" t="s">
        <v>429</v>
      </c>
      <c r="AN29" s="12" t="s">
        <v>430</v>
      </c>
      <c r="AO29" s="12" t="s">
        <v>218</v>
      </c>
      <c r="AP29" s="14">
        <v>1</v>
      </c>
      <c r="AQ29" s="16" t="s">
        <v>180</v>
      </c>
      <c r="AR29" s="12" t="s">
        <v>431</v>
      </c>
      <c r="AS29" s="12" t="s">
        <v>184</v>
      </c>
      <c r="AT29" s="12" t="s">
        <v>432</v>
      </c>
      <c r="AU29" s="12" t="s">
        <v>433</v>
      </c>
      <c r="AV29" s="12" t="s">
        <v>434</v>
      </c>
      <c r="AW29" s="12" t="s">
        <v>435</v>
      </c>
      <c r="AX29" s="12" t="s">
        <v>436</v>
      </c>
      <c r="AY29" s="12" t="s">
        <v>190</v>
      </c>
    </row>
    <row r="30" spans="1:51">
      <c r="A30" s="12" t="s">
        <v>437</v>
      </c>
      <c r="B30" s="12" t="s">
        <v>438</v>
      </c>
      <c r="C30" s="12" t="s">
        <v>173</v>
      </c>
      <c r="D30" s="24" t="s">
        <v>180</v>
      </c>
      <c r="E30" s="16" t="s">
        <v>178</v>
      </c>
      <c r="F30" s="12" t="s">
        <v>105</v>
      </c>
      <c r="G30" s="14">
        <v>47</v>
      </c>
      <c r="H30" s="14">
        <v>15</v>
      </c>
      <c r="I30" s="14">
        <v>10</v>
      </c>
      <c r="J30" s="14">
        <v>14</v>
      </c>
      <c r="K30" s="14">
        <v>0</v>
      </c>
      <c r="L30" s="14">
        <v>8</v>
      </c>
      <c r="M30" s="12" t="s">
        <v>104</v>
      </c>
      <c r="N30" s="15" t="s">
        <v>261</v>
      </c>
      <c r="O30" s="12" t="s">
        <v>176</v>
      </c>
      <c r="P30" s="12" t="s">
        <v>262</v>
      </c>
      <c r="Q30" s="16" t="s">
        <v>178</v>
      </c>
      <c r="R30" s="19"/>
      <c r="S30" s="20"/>
      <c r="T30" s="20"/>
      <c r="U30" s="20"/>
      <c r="V30" s="21">
        <f>IF(U30="","",U30*'0. Premissas (editável)'!$C$7*'0. Premissas (editável)'!$C$8)</f>
        <v>0</v>
      </c>
      <c r="W30" s="22">
        <f>IF(OR(S30="",V30=""),"",(S30-V30)/S30)</f>
        <v>0</v>
      </c>
      <c r="X30" s="23">
        <f>IF(W30="","preencher",IF(W30&gt;='0. Premissas (editável)'!$C$9,"Viável",IF(W30&gt;='0. Premissas (editável)'!$C$10,"Marginal","Inviável")))</f>
        <v>0</v>
      </c>
      <c r="Y30" s="23">
        <f>IF(R30="","preencher",IF(R30&gt;='0. Premissas (editável)'!$C$11,"PASSA","NÃO PASSA"))</f>
        <v>0</v>
      </c>
      <c r="Z30" s="23">
        <f>IF(AND(R30="",S30=""),"Preencher IQVIA",IF(AND(R30&lt;&gt;"",R30&lt;'0. Premissas (editável)'!$C$11),"NÃO — mercado abaixo do corte",IF(X30="Inviável","NÃO — economia não fecha",IF(D30="NÃO","NÃO — vetada na triagem",IF(X30="Marginal","REAVALIAR — margem apertada","SIM")))))</f>
        <v>0</v>
      </c>
      <c r="AA30" s="12" t="s">
        <v>179</v>
      </c>
      <c r="AB30" s="12"/>
      <c r="AC30" s="12" t="s">
        <v>91</v>
      </c>
      <c r="AD30" s="12" t="s">
        <v>180</v>
      </c>
      <c r="AE30" s="12" t="s">
        <v>178</v>
      </c>
      <c r="AF30" s="12" t="s">
        <v>181</v>
      </c>
      <c r="AG30" s="12" t="s">
        <v>180</v>
      </c>
      <c r="AH30" s="16" t="s">
        <v>180</v>
      </c>
      <c r="AI30" s="14">
        <v>0</v>
      </c>
      <c r="AJ30" s="14">
        <v>0</v>
      </c>
      <c r="AK30" s="12"/>
      <c r="AL30" s="12"/>
      <c r="AM30" s="12"/>
      <c r="AN30" s="12"/>
      <c r="AO30" s="12" t="s">
        <v>201</v>
      </c>
      <c r="AP30" s="14">
        <v>1</v>
      </c>
      <c r="AQ30" s="16" t="s">
        <v>180</v>
      </c>
      <c r="AR30" s="12" t="s">
        <v>439</v>
      </c>
      <c r="AS30" s="12" t="s">
        <v>184</v>
      </c>
      <c r="AT30" s="12" t="s">
        <v>440</v>
      </c>
      <c r="AU30" s="12" t="s">
        <v>441</v>
      </c>
      <c r="AV30" s="12" t="s">
        <v>442</v>
      </c>
      <c r="AW30" s="12" t="s">
        <v>443</v>
      </c>
      <c r="AX30" s="12" t="s">
        <v>425</v>
      </c>
      <c r="AY30" s="12" t="s">
        <v>269</v>
      </c>
    </row>
    <row r="31" spans="1:51">
      <c r="A31" s="12" t="s">
        <v>444</v>
      </c>
      <c r="B31" s="12" t="s">
        <v>445</v>
      </c>
      <c r="C31" s="12" t="s">
        <v>199</v>
      </c>
      <c r="D31" s="24" t="s">
        <v>180</v>
      </c>
      <c r="E31" s="16" t="s">
        <v>178</v>
      </c>
      <c r="F31" s="12" t="s">
        <v>90</v>
      </c>
      <c r="G31" s="14">
        <v>47</v>
      </c>
      <c r="H31" s="14">
        <v>26</v>
      </c>
      <c r="I31" s="14">
        <v>4</v>
      </c>
      <c r="J31" s="14">
        <v>14</v>
      </c>
      <c r="K31" s="14">
        <v>0</v>
      </c>
      <c r="L31" s="14">
        <v>3</v>
      </c>
      <c r="M31" s="12" t="s">
        <v>93</v>
      </c>
      <c r="N31" s="13" t="s">
        <v>175</v>
      </c>
      <c r="O31" s="12" t="s">
        <v>176</v>
      </c>
      <c r="P31" s="12" t="s">
        <v>262</v>
      </c>
      <c r="Q31" s="16" t="s">
        <v>178</v>
      </c>
      <c r="R31" s="19"/>
      <c r="S31" s="20"/>
      <c r="T31" s="20"/>
      <c r="U31" s="20"/>
      <c r="V31" s="21">
        <f>IF(U31="","",U31*'0. Premissas (editável)'!$C$7*'0. Premissas (editável)'!$C$8)</f>
        <v>0</v>
      </c>
      <c r="W31" s="22">
        <f>IF(OR(S31="",V31=""),"",(S31-V31)/S31)</f>
        <v>0</v>
      </c>
      <c r="X31" s="23">
        <f>IF(W31="","preencher",IF(W31&gt;='0. Premissas (editável)'!$C$9,"Viável",IF(W31&gt;='0. Premissas (editável)'!$C$10,"Marginal","Inviável")))</f>
        <v>0</v>
      </c>
      <c r="Y31" s="23">
        <f>IF(R31="","preencher",IF(R31&gt;='0. Premissas (editável)'!$C$11,"PASSA","NÃO PASSA"))</f>
        <v>0</v>
      </c>
      <c r="Z31" s="23">
        <f>IF(AND(R31="",S31=""),"Preencher IQVIA",IF(AND(R31&lt;&gt;"",R31&lt;'0. Premissas (editável)'!$C$11),"NÃO — mercado abaixo do corte",IF(X31="Inviável","NÃO — economia não fecha",IF(D31="NÃO","NÃO — vetada na triagem",IF(X31="Marginal","REAVALIAR — margem apertada","SIM")))))</f>
        <v>0</v>
      </c>
      <c r="AA31" s="12" t="s">
        <v>179</v>
      </c>
      <c r="AB31" s="12"/>
      <c r="AC31" s="12" t="s">
        <v>108</v>
      </c>
      <c r="AD31" s="12" t="s">
        <v>174</v>
      </c>
      <c r="AE31" s="12" t="s">
        <v>242</v>
      </c>
      <c r="AF31" s="12" t="s">
        <v>274</v>
      </c>
      <c r="AG31" s="12" t="s">
        <v>180</v>
      </c>
      <c r="AH31" s="16" t="s">
        <v>180</v>
      </c>
      <c r="AI31" s="14">
        <v>3</v>
      </c>
      <c r="AJ31" s="14">
        <v>3</v>
      </c>
      <c r="AK31" s="12" t="s">
        <v>446</v>
      </c>
      <c r="AL31" s="12" t="s">
        <v>276</v>
      </c>
      <c r="AM31" s="12" t="s">
        <v>429</v>
      </c>
      <c r="AN31" s="12" t="s">
        <v>447</v>
      </c>
      <c r="AO31" s="12" t="s">
        <v>218</v>
      </c>
      <c r="AP31" s="14">
        <v>1</v>
      </c>
      <c r="AQ31" s="16" t="s">
        <v>180</v>
      </c>
      <c r="AR31" s="12" t="s">
        <v>448</v>
      </c>
      <c r="AS31" s="12" t="s">
        <v>184</v>
      </c>
      <c r="AT31" s="12" t="s">
        <v>449</v>
      </c>
      <c r="AU31" s="12" t="s">
        <v>450</v>
      </c>
      <c r="AV31" s="12" t="s">
        <v>451</v>
      </c>
      <c r="AW31" s="12" t="s">
        <v>35</v>
      </c>
      <c r="AX31" s="12" t="s">
        <v>452</v>
      </c>
      <c r="AY31" s="12" t="s">
        <v>190</v>
      </c>
    </row>
    <row r="32" spans="1:51">
      <c r="A32" s="12" t="s">
        <v>453</v>
      </c>
      <c r="B32" s="12" t="s">
        <v>454</v>
      </c>
      <c r="C32" s="12" t="s">
        <v>173</v>
      </c>
      <c r="D32" s="24" t="s">
        <v>180</v>
      </c>
      <c r="E32" s="16" t="s">
        <v>178</v>
      </c>
      <c r="F32" s="12" t="s">
        <v>105</v>
      </c>
      <c r="G32" s="14">
        <v>47</v>
      </c>
      <c r="H32" s="14">
        <v>15</v>
      </c>
      <c r="I32" s="14">
        <v>10</v>
      </c>
      <c r="J32" s="14">
        <v>14</v>
      </c>
      <c r="K32" s="14">
        <v>0</v>
      </c>
      <c r="L32" s="14">
        <v>8</v>
      </c>
      <c r="M32" s="12" t="s">
        <v>104</v>
      </c>
      <c r="N32" s="15" t="s">
        <v>261</v>
      </c>
      <c r="O32" s="12" t="s">
        <v>176</v>
      </c>
      <c r="P32" s="12" t="s">
        <v>380</v>
      </c>
      <c r="Q32" s="24" t="s">
        <v>381</v>
      </c>
      <c r="R32" s="19"/>
      <c r="S32" s="20"/>
      <c r="T32" s="20"/>
      <c r="U32" s="20"/>
      <c r="V32" s="21">
        <f>IF(U32="","",U32*'0. Premissas (editável)'!$C$7*'0. Premissas (editável)'!$C$8)</f>
        <v>0</v>
      </c>
      <c r="W32" s="22">
        <f>IF(OR(S32="",V32=""),"",(S32-V32)/S32)</f>
        <v>0</v>
      </c>
      <c r="X32" s="23">
        <f>IF(W32="","preencher",IF(W32&gt;='0. Premissas (editável)'!$C$9,"Viável",IF(W32&gt;='0. Premissas (editável)'!$C$10,"Marginal","Inviável")))</f>
        <v>0</v>
      </c>
      <c r="Y32" s="23">
        <f>IF(R32="","preencher",IF(R32&gt;='0. Premissas (editável)'!$C$11,"PASSA","NÃO PASSA"))</f>
        <v>0</v>
      </c>
      <c r="Z32" s="23">
        <f>IF(AND(R32="",S32=""),"Preencher IQVIA",IF(AND(R32&lt;&gt;"",R32&lt;'0. Premissas (editável)'!$C$11),"NÃO — mercado abaixo do corte",IF(X32="Inviável","NÃO — economia não fecha",IF(D32="NÃO","NÃO — vetada na triagem",IF(X32="Marginal","REAVALIAR — margem apertada","SIM")))))</f>
        <v>0</v>
      </c>
      <c r="AA32" s="12" t="s">
        <v>179</v>
      </c>
      <c r="AB32" s="12"/>
      <c r="AC32" s="12" t="s">
        <v>91</v>
      </c>
      <c r="AD32" s="12" t="s">
        <v>180</v>
      </c>
      <c r="AE32" s="12" t="s">
        <v>178</v>
      </c>
      <c r="AF32" s="12" t="s">
        <v>181</v>
      </c>
      <c r="AG32" s="12" t="s">
        <v>180</v>
      </c>
      <c r="AH32" s="16" t="s">
        <v>180</v>
      </c>
      <c r="AI32" s="14">
        <v>0</v>
      </c>
      <c r="AJ32" s="14">
        <v>0</v>
      </c>
      <c r="AK32" s="12"/>
      <c r="AL32" s="12"/>
      <c r="AM32" s="12"/>
      <c r="AN32" s="12"/>
      <c r="AO32" s="12" t="s">
        <v>201</v>
      </c>
      <c r="AP32" s="14">
        <v>1</v>
      </c>
      <c r="AQ32" s="16" t="s">
        <v>180</v>
      </c>
      <c r="AR32" s="12" t="s">
        <v>455</v>
      </c>
      <c r="AS32" s="12" t="s">
        <v>184</v>
      </c>
      <c r="AT32" s="12" t="s">
        <v>456</v>
      </c>
      <c r="AU32" s="12" t="s">
        <v>457</v>
      </c>
      <c r="AV32" s="12" t="s">
        <v>458</v>
      </c>
      <c r="AW32" s="12" t="s">
        <v>239</v>
      </c>
      <c r="AX32" s="12" t="s">
        <v>459</v>
      </c>
      <c r="AY32" s="12" t="s">
        <v>269</v>
      </c>
    </row>
    <row r="33" spans="1:51">
      <c r="A33" s="12" t="s">
        <v>460</v>
      </c>
      <c r="B33" s="12" t="s">
        <v>461</v>
      </c>
      <c r="C33" s="12" t="s">
        <v>173</v>
      </c>
      <c r="D33" s="24" t="s">
        <v>180</v>
      </c>
      <c r="E33" s="16" t="s">
        <v>178</v>
      </c>
      <c r="F33" s="12" t="s">
        <v>105</v>
      </c>
      <c r="G33" s="14">
        <v>47</v>
      </c>
      <c r="H33" s="14">
        <v>15</v>
      </c>
      <c r="I33" s="14">
        <v>10</v>
      </c>
      <c r="J33" s="14">
        <v>14</v>
      </c>
      <c r="K33" s="14">
        <v>0</v>
      </c>
      <c r="L33" s="14">
        <v>8</v>
      </c>
      <c r="M33" s="12" t="s">
        <v>104</v>
      </c>
      <c r="N33" s="15" t="s">
        <v>261</v>
      </c>
      <c r="O33" s="12" t="s">
        <v>176</v>
      </c>
      <c r="P33" s="12" t="s">
        <v>262</v>
      </c>
      <c r="Q33" s="16" t="s">
        <v>178</v>
      </c>
      <c r="R33" s="19"/>
      <c r="S33" s="20"/>
      <c r="T33" s="20"/>
      <c r="U33" s="20"/>
      <c r="V33" s="21">
        <f>IF(U33="","",U33*'0. Premissas (editável)'!$C$7*'0. Premissas (editável)'!$C$8)</f>
        <v>0</v>
      </c>
      <c r="W33" s="22">
        <f>IF(OR(S33="",V33=""),"",(S33-V33)/S33)</f>
        <v>0</v>
      </c>
      <c r="X33" s="23">
        <f>IF(W33="","preencher",IF(W33&gt;='0. Premissas (editável)'!$C$9,"Viável",IF(W33&gt;='0. Premissas (editável)'!$C$10,"Marginal","Inviável")))</f>
        <v>0</v>
      </c>
      <c r="Y33" s="23">
        <f>IF(R33="","preencher",IF(R33&gt;='0. Premissas (editável)'!$C$11,"PASSA","NÃO PASSA"))</f>
        <v>0</v>
      </c>
      <c r="Z33" s="23">
        <f>IF(AND(R33="",S33=""),"Preencher IQVIA",IF(AND(R33&lt;&gt;"",R33&lt;'0. Premissas (editável)'!$C$11),"NÃO — mercado abaixo do corte",IF(X33="Inviável","NÃO — economia não fecha",IF(D33="NÃO","NÃO — vetada na triagem",IF(X33="Marginal","REAVALIAR — margem apertada","SIM")))))</f>
        <v>0</v>
      </c>
      <c r="AA33" s="12" t="s">
        <v>179</v>
      </c>
      <c r="AB33" s="12"/>
      <c r="AC33" s="12" t="s">
        <v>91</v>
      </c>
      <c r="AD33" s="12" t="s">
        <v>180</v>
      </c>
      <c r="AE33" s="12" t="s">
        <v>178</v>
      </c>
      <c r="AF33" s="12" t="s">
        <v>181</v>
      </c>
      <c r="AG33" s="12" t="s">
        <v>180</v>
      </c>
      <c r="AH33" s="16" t="s">
        <v>180</v>
      </c>
      <c r="AI33" s="14">
        <v>0</v>
      </c>
      <c r="AJ33" s="14">
        <v>0</v>
      </c>
      <c r="AK33" s="12"/>
      <c r="AL33" s="12"/>
      <c r="AM33" s="12"/>
      <c r="AN33" s="12"/>
      <c r="AO33" s="12" t="s">
        <v>201</v>
      </c>
      <c r="AP33" s="14">
        <v>1</v>
      </c>
      <c r="AQ33" s="16" t="s">
        <v>180</v>
      </c>
      <c r="AR33" s="12" t="s">
        <v>462</v>
      </c>
      <c r="AS33" s="12" t="s">
        <v>184</v>
      </c>
      <c r="AT33" s="12" t="s">
        <v>463</v>
      </c>
      <c r="AU33" s="12" t="s">
        <v>464</v>
      </c>
      <c r="AV33" s="12" t="s">
        <v>465</v>
      </c>
      <c r="AW33" s="12" t="s">
        <v>466</v>
      </c>
      <c r="AX33" s="12" t="s">
        <v>425</v>
      </c>
      <c r="AY33" s="12" t="s">
        <v>269</v>
      </c>
    </row>
    <row r="34" spans="1:51">
      <c r="A34" s="12" t="s">
        <v>467</v>
      </c>
      <c r="B34" s="12" t="s">
        <v>468</v>
      </c>
      <c r="C34" s="12" t="s">
        <v>469</v>
      </c>
      <c r="D34" s="24" t="s">
        <v>180</v>
      </c>
      <c r="E34" s="16" t="s">
        <v>178</v>
      </c>
      <c r="F34" s="12" t="s">
        <v>470</v>
      </c>
      <c r="G34" s="14">
        <v>44</v>
      </c>
      <c r="H34" s="14">
        <v>15</v>
      </c>
      <c r="I34" s="14">
        <v>0</v>
      </c>
      <c r="J34" s="14">
        <v>20</v>
      </c>
      <c r="K34" s="14">
        <v>9</v>
      </c>
      <c r="L34" s="14">
        <v>0</v>
      </c>
      <c r="M34" s="12" t="s">
        <v>104</v>
      </c>
      <c r="N34" s="15" t="s">
        <v>261</v>
      </c>
      <c r="O34" s="12" t="s">
        <v>471</v>
      </c>
      <c r="P34" s="12" t="s">
        <v>233</v>
      </c>
      <c r="Q34" s="16" t="s">
        <v>178</v>
      </c>
      <c r="R34" s="19"/>
      <c r="S34" s="20"/>
      <c r="T34" s="20"/>
      <c r="U34" s="20"/>
      <c r="V34" s="21">
        <f>IF(U34="","",U34*'0. Premissas (editável)'!$C$7*'0. Premissas (editável)'!$C$8)</f>
        <v>0</v>
      </c>
      <c r="W34" s="22">
        <f>IF(OR(S34="",V34=""),"",(S34-V34)/S34)</f>
        <v>0</v>
      </c>
      <c r="X34" s="23">
        <f>IF(W34="","preencher",IF(W34&gt;='0. Premissas (editável)'!$C$9,"Viável",IF(W34&gt;='0. Premissas (editável)'!$C$10,"Marginal","Inviável")))</f>
        <v>0</v>
      </c>
      <c r="Y34" s="23">
        <f>IF(R34="","preencher",IF(R34&gt;='0. Premissas (editável)'!$C$11,"PASSA","NÃO PASSA"))</f>
        <v>0</v>
      </c>
      <c r="Z34" s="23">
        <f>IF(AND(R34="",S34=""),"Preencher IQVIA",IF(AND(R34&lt;&gt;"",R34&lt;'0. Premissas (editável)'!$C$11),"NÃO — mercado abaixo do corte",IF(X34="Inviável","NÃO — economia não fecha",IF(D34="NÃO","NÃO — vetada na triagem",IF(X34="Marginal","REAVALIAR — margem apertada","SIM")))))</f>
        <v>0</v>
      </c>
      <c r="AA34" s="12" t="s">
        <v>472</v>
      </c>
      <c r="AB34" s="12" t="s">
        <v>467</v>
      </c>
      <c r="AC34" s="12" t="s">
        <v>101</v>
      </c>
      <c r="AD34" s="12" t="s">
        <v>174</v>
      </c>
      <c r="AE34" s="12" t="s">
        <v>242</v>
      </c>
      <c r="AF34" s="12" t="s">
        <v>243</v>
      </c>
      <c r="AG34" s="12" t="s">
        <v>180</v>
      </c>
      <c r="AH34" s="16" t="s">
        <v>180</v>
      </c>
      <c r="AI34" s="14">
        <v>2</v>
      </c>
      <c r="AJ34" s="14">
        <v>2</v>
      </c>
      <c r="AK34" s="12" t="s">
        <v>473</v>
      </c>
      <c r="AL34" s="12" t="s">
        <v>245</v>
      </c>
      <c r="AM34" s="12" t="s">
        <v>246</v>
      </c>
      <c r="AN34" s="12" t="s">
        <v>474</v>
      </c>
      <c r="AO34" s="12" t="s">
        <v>402</v>
      </c>
      <c r="AP34" s="14">
        <v>3</v>
      </c>
      <c r="AQ34" s="16" t="s">
        <v>180</v>
      </c>
      <c r="AR34" s="12" t="s">
        <v>475</v>
      </c>
      <c r="AS34" s="12" t="s">
        <v>184</v>
      </c>
      <c r="AT34" s="12" t="s">
        <v>476</v>
      </c>
      <c r="AU34" s="12" t="s">
        <v>477</v>
      </c>
      <c r="AV34" s="12" t="s">
        <v>478</v>
      </c>
      <c r="AW34" s="12" t="s">
        <v>479</v>
      </c>
      <c r="AX34" s="12" t="s">
        <v>480</v>
      </c>
      <c r="AY34" s="12" t="s">
        <v>410</v>
      </c>
    </row>
    <row r="35" spans="1:51">
      <c r="A35" s="12" t="s">
        <v>481</v>
      </c>
      <c r="B35" s="12" t="s">
        <v>482</v>
      </c>
      <c r="C35" s="12" t="s">
        <v>292</v>
      </c>
      <c r="D35" s="24" t="s">
        <v>180</v>
      </c>
      <c r="E35" s="16" t="s">
        <v>178</v>
      </c>
      <c r="F35" s="12" t="s">
        <v>105</v>
      </c>
      <c r="G35" s="14">
        <v>43</v>
      </c>
      <c r="H35" s="14">
        <v>15</v>
      </c>
      <c r="I35" s="14">
        <v>14</v>
      </c>
      <c r="J35" s="14">
        <v>14</v>
      </c>
      <c r="K35" s="14">
        <v>0</v>
      </c>
      <c r="L35" s="14">
        <v>0</v>
      </c>
      <c r="M35" s="12" t="s">
        <v>104</v>
      </c>
      <c r="N35" s="15" t="s">
        <v>261</v>
      </c>
      <c r="O35" s="12" t="s">
        <v>176</v>
      </c>
      <c r="P35" s="12" t="s">
        <v>233</v>
      </c>
      <c r="Q35" s="16" t="s">
        <v>178</v>
      </c>
      <c r="R35" s="19"/>
      <c r="S35" s="20"/>
      <c r="T35" s="20"/>
      <c r="U35" s="20"/>
      <c r="V35" s="21">
        <f>IF(U35="","",U35*'0. Premissas (editável)'!$C$7*'0. Premissas (editável)'!$C$8)</f>
        <v>0</v>
      </c>
      <c r="W35" s="22">
        <f>IF(OR(S35="",V35=""),"",(S35-V35)/S35)</f>
        <v>0</v>
      </c>
      <c r="X35" s="23">
        <f>IF(W35="","preencher",IF(W35&gt;='0. Premissas (editável)'!$C$9,"Viável",IF(W35&gt;='0. Premissas (editável)'!$C$10,"Marginal","Inviável")))</f>
        <v>0</v>
      </c>
      <c r="Y35" s="23">
        <f>IF(R35="","preencher",IF(R35&gt;='0. Premissas (editável)'!$C$11,"PASSA","NÃO PASSA"))</f>
        <v>0</v>
      </c>
      <c r="Z35" s="23">
        <f>IF(AND(R35="",S35=""),"Preencher IQVIA",IF(AND(R35&lt;&gt;"",R35&lt;'0. Premissas (editável)'!$C$11),"NÃO — mercado abaixo do corte",IF(X35="Inviável","NÃO — economia não fecha",IF(D35="NÃO","NÃO — vetada na triagem",IF(X35="Marginal","REAVALIAR — margem apertada","SIM")))))</f>
        <v>0</v>
      </c>
      <c r="AA35" s="12" t="s">
        <v>179</v>
      </c>
      <c r="AB35" s="12"/>
      <c r="AC35" s="12" t="s">
        <v>101</v>
      </c>
      <c r="AD35" s="12" t="s">
        <v>174</v>
      </c>
      <c r="AE35" s="12" t="s">
        <v>483</v>
      </c>
      <c r="AF35" s="12" t="s">
        <v>243</v>
      </c>
      <c r="AG35" s="12" t="s">
        <v>180</v>
      </c>
      <c r="AH35" s="16" t="s">
        <v>180</v>
      </c>
      <c r="AI35" s="14">
        <v>1</v>
      </c>
      <c r="AJ35" s="14">
        <v>1</v>
      </c>
      <c r="AK35" s="12" t="s">
        <v>484</v>
      </c>
      <c r="AL35" s="12" t="s">
        <v>245</v>
      </c>
      <c r="AM35" s="12" t="s">
        <v>246</v>
      </c>
      <c r="AN35" s="12" t="s">
        <v>485</v>
      </c>
      <c r="AO35" s="12" t="s">
        <v>218</v>
      </c>
      <c r="AP35" s="14">
        <v>1</v>
      </c>
      <c r="AQ35" s="16" t="s">
        <v>180</v>
      </c>
      <c r="AR35" s="12" t="s">
        <v>486</v>
      </c>
      <c r="AS35" s="12" t="s">
        <v>184</v>
      </c>
      <c r="AT35" s="12" t="s">
        <v>372</v>
      </c>
      <c r="AU35" s="12" t="s">
        <v>487</v>
      </c>
      <c r="AV35" s="12" t="s">
        <v>488</v>
      </c>
      <c r="AW35" s="12" t="s">
        <v>489</v>
      </c>
      <c r="AX35" s="12" t="s">
        <v>490</v>
      </c>
      <c r="AY35" s="12" t="s">
        <v>269</v>
      </c>
    </row>
    <row r="36" spans="1:51">
      <c r="A36" s="12" t="s">
        <v>491</v>
      </c>
      <c r="B36" s="12" t="s">
        <v>492</v>
      </c>
      <c r="C36" s="12" t="s">
        <v>469</v>
      </c>
      <c r="D36" s="24" t="s">
        <v>180</v>
      </c>
      <c r="E36" s="16" t="s">
        <v>178</v>
      </c>
      <c r="F36" s="12" t="s">
        <v>470</v>
      </c>
      <c r="G36" s="14">
        <v>42</v>
      </c>
      <c r="H36" s="14">
        <v>15</v>
      </c>
      <c r="I36" s="14">
        <v>4</v>
      </c>
      <c r="J36" s="14">
        <v>20</v>
      </c>
      <c r="K36" s="14">
        <v>0</v>
      </c>
      <c r="L36" s="14">
        <v>3</v>
      </c>
      <c r="M36" s="12" t="s">
        <v>104</v>
      </c>
      <c r="N36" s="15" t="s">
        <v>261</v>
      </c>
      <c r="O36" s="12" t="s">
        <v>471</v>
      </c>
      <c r="P36" s="12" t="s">
        <v>262</v>
      </c>
      <c r="Q36" s="16" t="s">
        <v>178</v>
      </c>
      <c r="R36" s="19"/>
      <c r="S36" s="20"/>
      <c r="T36" s="20"/>
      <c r="U36" s="20"/>
      <c r="V36" s="21">
        <f>IF(U36="","",U36*'0. Premissas (editável)'!$C$7*'0. Premissas (editável)'!$C$8)</f>
        <v>0</v>
      </c>
      <c r="W36" s="22">
        <f>IF(OR(S36="",V36=""),"",(S36-V36)/S36)</f>
        <v>0</v>
      </c>
      <c r="X36" s="23">
        <f>IF(W36="","preencher",IF(W36&gt;='0. Premissas (editável)'!$C$9,"Viável",IF(W36&gt;='0. Premissas (editável)'!$C$10,"Marginal","Inviável")))</f>
        <v>0</v>
      </c>
      <c r="Y36" s="23">
        <f>IF(R36="","preencher",IF(R36&gt;='0. Premissas (editável)'!$C$11,"PASSA","NÃO PASSA"))</f>
        <v>0</v>
      </c>
      <c r="Z36" s="23">
        <f>IF(AND(R36="",S36=""),"Preencher IQVIA",IF(AND(R36&lt;&gt;"",R36&lt;'0. Premissas (editável)'!$C$11),"NÃO — mercado abaixo do corte",IF(X36="Inviável","NÃO — economia não fecha",IF(D36="NÃO","NÃO — vetada na triagem",IF(X36="Marginal","REAVALIAR — margem apertada","SIM")))))</f>
        <v>0</v>
      </c>
      <c r="AA36" s="12" t="s">
        <v>472</v>
      </c>
      <c r="AB36" s="12" t="s">
        <v>491</v>
      </c>
      <c r="AC36" s="12" t="s">
        <v>108</v>
      </c>
      <c r="AD36" s="12" t="s">
        <v>174</v>
      </c>
      <c r="AE36" s="12" t="s">
        <v>483</v>
      </c>
      <c r="AF36" s="12" t="s">
        <v>274</v>
      </c>
      <c r="AG36" s="12" t="s">
        <v>180</v>
      </c>
      <c r="AH36" s="16" t="s">
        <v>180</v>
      </c>
      <c r="AI36" s="14">
        <v>1</v>
      </c>
      <c r="AJ36" s="14">
        <v>2</v>
      </c>
      <c r="AK36" s="12" t="s">
        <v>493</v>
      </c>
      <c r="AL36" s="12" t="s">
        <v>494</v>
      </c>
      <c r="AM36" s="12" t="s">
        <v>495</v>
      </c>
      <c r="AN36" s="12" t="s">
        <v>496</v>
      </c>
      <c r="AO36" s="12" t="s">
        <v>218</v>
      </c>
      <c r="AP36" s="14">
        <v>3</v>
      </c>
      <c r="AQ36" s="15" t="s">
        <v>174</v>
      </c>
      <c r="AR36" s="12" t="s">
        <v>497</v>
      </c>
      <c r="AS36" s="12" t="s">
        <v>184</v>
      </c>
      <c r="AT36" s="12" t="s">
        <v>498</v>
      </c>
      <c r="AU36" s="12" t="s">
        <v>499</v>
      </c>
      <c r="AV36" s="12" t="s">
        <v>500</v>
      </c>
      <c r="AW36" s="12" t="s">
        <v>196</v>
      </c>
      <c r="AX36" s="12" t="s">
        <v>501</v>
      </c>
      <c r="AY36" s="12" t="s">
        <v>502</v>
      </c>
    </row>
    <row r="37" spans="1:51">
      <c r="A37" s="12" t="s">
        <v>503</v>
      </c>
      <c r="B37" s="12" t="s">
        <v>504</v>
      </c>
      <c r="C37" s="12" t="s">
        <v>173</v>
      </c>
      <c r="D37" s="24" t="s">
        <v>180</v>
      </c>
      <c r="E37" s="16" t="s">
        <v>178</v>
      </c>
      <c r="F37" s="12" t="s">
        <v>105</v>
      </c>
      <c r="G37" s="14">
        <v>41</v>
      </c>
      <c r="H37" s="14">
        <v>15</v>
      </c>
      <c r="I37" s="14">
        <v>4</v>
      </c>
      <c r="J37" s="14">
        <v>14</v>
      </c>
      <c r="K37" s="14">
        <v>0</v>
      </c>
      <c r="L37" s="14">
        <v>8</v>
      </c>
      <c r="M37" s="12" t="s">
        <v>104</v>
      </c>
      <c r="N37" s="15" t="s">
        <v>261</v>
      </c>
      <c r="O37" s="12" t="s">
        <v>176</v>
      </c>
      <c r="P37" s="12" t="s">
        <v>262</v>
      </c>
      <c r="Q37" s="16" t="s">
        <v>178</v>
      </c>
      <c r="R37" s="19"/>
      <c r="S37" s="20"/>
      <c r="T37" s="20"/>
      <c r="U37" s="20"/>
      <c r="V37" s="21">
        <f>IF(U37="","",U37*'0. Premissas (editável)'!$C$7*'0. Premissas (editável)'!$C$8)</f>
        <v>0</v>
      </c>
      <c r="W37" s="22">
        <f>IF(OR(S37="",V37=""),"",(S37-V37)/S37)</f>
        <v>0</v>
      </c>
      <c r="X37" s="23">
        <f>IF(W37="","preencher",IF(W37&gt;='0. Premissas (editável)'!$C$9,"Viável",IF(W37&gt;='0. Premissas (editável)'!$C$10,"Marginal","Inviável")))</f>
        <v>0</v>
      </c>
      <c r="Y37" s="23">
        <f>IF(R37="","preencher",IF(R37&gt;='0. Premissas (editável)'!$C$11,"PASSA","NÃO PASSA"))</f>
        <v>0</v>
      </c>
      <c r="Z37" s="23">
        <f>IF(AND(R37="",S37=""),"Preencher IQVIA",IF(AND(R37&lt;&gt;"",R37&lt;'0. Premissas (editável)'!$C$11),"NÃO — mercado abaixo do corte",IF(X37="Inviável","NÃO — economia não fecha",IF(D37="NÃO","NÃO — vetada na triagem",IF(X37="Marginal","REAVALIAR — margem apertada","SIM")))))</f>
        <v>0</v>
      </c>
      <c r="AA37" s="12" t="s">
        <v>179</v>
      </c>
      <c r="AB37" s="12"/>
      <c r="AC37" s="12" t="s">
        <v>91</v>
      </c>
      <c r="AD37" s="12" t="s">
        <v>180</v>
      </c>
      <c r="AE37" s="12" t="s">
        <v>178</v>
      </c>
      <c r="AF37" s="12" t="s">
        <v>181</v>
      </c>
      <c r="AG37" s="12" t="s">
        <v>180</v>
      </c>
      <c r="AH37" s="16" t="s">
        <v>180</v>
      </c>
      <c r="AI37" s="14">
        <v>0</v>
      </c>
      <c r="AJ37" s="14">
        <v>0</v>
      </c>
      <c r="AK37" s="12"/>
      <c r="AL37" s="12"/>
      <c r="AM37" s="12"/>
      <c r="AN37" s="12"/>
      <c r="AO37" s="12" t="s">
        <v>218</v>
      </c>
      <c r="AP37" s="14">
        <v>1</v>
      </c>
      <c r="AQ37" s="16" t="s">
        <v>180</v>
      </c>
      <c r="AR37" s="12" t="s">
        <v>505</v>
      </c>
      <c r="AS37" s="12" t="s">
        <v>506</v>
      </c>
      <c r="AT37" s="12" t="s">
        <v>507</v>
      </c>
      <c r="AU37" s="12" t="s">
        <v>508</v>
      </c>
      <c r="AV37" s="12" t="s">
        <v>509</v>
      </c>
      <c r="AW37" s="12" t="s">
        <v>510</v>
      </c>
      <c r="AX37" s="12" t="s">
        <v>425</v>
      </c>
      <c r="AY37" s="12" t="s">
        <v>269</v>
      </c>
    </row>
    <row r="38" spans="1:51">
      <c r="A38" s="12" t="s">
        <v>511</v>
      </c>
      <c r="B38" s="12" t="s">
        <v>512</v>
      </c>
      <c r="C38" s="12" t="s">
        <v>199</v>
      </c>
      <c r="D38" s="24" t="s">
        <v>180</v>
      </c>
      <c r="E38" s="16" t="s">
        <v>178</v>
      </c>
      <c r="F38" s="12" t="s">
        <v>105</v>
      </c>
      <c r="G38" s="14">
        <v>41</v>
      </c>
      <c r="H38" s="14">
        <v>15</v>
      </c>
      <c r="I38" s="14">
        <v>4</v>
      </c>
      <c r="J38" s="14">
        <v>14</v>
      </c>
      <c r="K38" s="14">
        <v>0</v>
      </c>
      <c r="L38" s="14">
        <v>8</v>
      </c>
      <c r="M38" s="12" t="s">
        <v>104</v>
      </c>
      <c r="N38" s="15" t="s">
        <v>261</v>
      </c>
      <c r="O38" s="12" t="s">
        <v>176</v>
      </c>
      <c r="P38" s="12" t="s">
        <v>262</v>
      </c>
      <c r="Q38" s="16" t="s">
        <v>178</v>
      </c>
      <c r="R38" s="19"/>
      <c r="S38" s="20"/>
      <c r="T38" s="20"/>
      <c r="U38" s="20"/>
      <c r="V38" s="21">
        <f>IF(U38="","",U38*'0. Premissas (editável)'!$C$7*'0. Premissas (editável)'!$C$8)</f>
        <v>0</v>
      </c>
      <c r="W38" s="22">
        <f>IF(OR(S38="",V38=""),"",(S38-V38)/S38)</f>
        <v>0</v>
      </c>
      <c r="X38" s="23">
        <f>IF(W38="","preencher",IF(W38&gt;='0. Premissas (editável)'!$C$9,"Viável",IF(W38&gt;='0. Premissas (editável)'!$C$10,"Marginal","Inviável")))</f>
        <v>0</v>
      </c>
      <c r="Y38" s="23">
        <f>IF(R38="","preencher",IF(R38&gt;='0. Premissas (editável)'!$C$11,"PASSA","NÃO PASSA"))</f>
        <v>0</v>
      </c>
      <c r="Z38" s="23">
        <f>IF(AND(R38="",S38=""),"Preencher IQVIA",IF(AND(R38&lt;&gt;"",R38&lt;'0. Premissas (editável)'!$C$11),"NÃO — mercado abaixo do corte",IF(X38="Inviável","NÃO — economia não fecha",IF(D38="NÃO","NÃO — vetada na triagem",IF(X38="Marginal","REAVALIAR — margem apertada","SIM")))))</f>
        <v>0</v>
      </c>
      <c r="AA38" s="12" t="s">
        <v>179</v>
      </c>
      <c r="AB38" s="12"/>
      <c r="AC38" s="12" t="s">
        <v>91</v>
      </c>
      <c r="AD38" s="12" t="s">
        <v>180</v>
      </c>
      <c r="AE38" s="12" t="s">
        <v>178</v>
      </c>
      <c r="AF38" s="12" t="s">
        <v>181</v>
      </c>
      <c r="AG38" s="12" t="s">
        <v>180</v>
      </c>
      <c r="AH38" s="16" t="s">
        <v>180</v>
      </c>
      <c r="AI38" s="14">
        <v>0</v>
      </c>
      <c r="AJ38" s="14">
        <v>0</v>
      </c>
      <c r="AK38" s="12"/>
      <c r="AL38" s="12"/>
      <c r="AM38" s="12"/>
      <c r="AN38" s="12"/>
      <c r="AO38" s="12" t="s">
        <v>218</v>
      </c>
      <c r="AP38" s="14">
        <v>2</v>
      </c>
      <c r="AQ38" s="16" t="s">
        <v>180</v>
      </c>
      <c r="AR38" s="12" t="s">
        <v>513</v>
      </c>
      <c r="AS38" s="12" t="s">
        <v>184</v>
      </c>
      <c r="AT38" s="12" t="s">
        <v>514</v>
      </c>
      <c r="AU38" s="12" t="s">
        <v>515</v>
      </c>
      <c r="AV38" s="12" t="s">
        <v>516</v>
      </c>
      <c r="AW38" s="12" t="s">
        <v>510</v>
      </c>
      <c r="AX38" s="12" t="s">
        <v>425</v>
      </c>
      <c r="AY38" s="12" t="s">
        <v>269</v>
      </c>
    </row>
    <row r="39" spans="1:51">
      <c r="A39" s="12" t="s">
        <v>517</v>
      </c>
      <c r="B39" s="12" t="s">
        <v>518</v>
      </c>
      <c r="C39" s="12" t="s">
        <v>217</v>
      </c>
      <c r="D39" s="24" t="s">
        <v>180</v>
      </c>
      <c r="E39" s="16" t="s">
        <v>178</v>
      </c>
      <c r="F39" s="12" t="s">
        <v>519</v>
      </c>
      <c r="G39" s="14">
        <v>41</v>
      </c>
      <c r="H39" s="14">
        <v>5</v>
      </c>
      <c r="I39" s="14">
        <v>10</v>
      </c>
      <c r="J39" s="14">
        <v>14</v>
      </c>
      <c r="K39" s="14">
        <v>4</v>
      </c>
      <c r="L39" s="14">
        <v>8</v>
      </c>
      <c r="M39" s="12" t="s">
        <v>119</v>
      </c>
      <c r="N39" s="24" t="s">
        <v>351</v>
      </c>
      <c r="O39" s="12" t="s">
        <v>176</v>
      </c>
      <c r="P39" s="12" t="s">
        <v>380</v>
      </c>
      <c r="Q39" s="16" t="s">
        <v>178</v>
      </c>
      <c r="R39" s="19"/>
      <c r="S39" s="20"/>
      <c r="T39" s="20"/>
      <c r="U39" s="20"/>
      <c r="V39" s="21">
        <f>IF(U39="","",U39*'0. Premissas (editável)'!$C$7*'0. Premissas (editável)'!$C$8)</f>
        <v>0</v>
      </c>
      <c r="W39" s="22">
        <f>IF(OR(S39="",V39=""),"",(S39-V39)/S39)</f>
        <v>0</v>
      </c>
      <c r="X39" s="23">
        <f>IF(W39="","preencher",IF(W39&gt;='0. Premissas (editável)'!$C$9,"Viável",IF(W39&gt;='0. Premissas (editável)'!$C$10,"Marginal","Inviável")))</f>
        <v>0</v>
      </c>
      <c r="Y39" s="23">
        <f>IF(R39="","preencher",IF(R39&gt;='0. Premissas (editável)'!$C$11,"PASSA","NÃO PASSA"))</f>
        <v>0</v>
      </c>
      <c r="Z39" s="23">
        <f>IF(AND(R39="",S39=""),"Preencher IQVIA",IF(AND(R39&lt;&gt;"",R39&lt;'0. Premissas (editável)'!$C$11),"NÃO — mercado abaixo do corte",IF(X39="Inviável","NÃO — economia não fecha",IF(D39="NÃO","NÃO — vetada na triagem",IF(X39="Marginal","REAVALIAR — margem apertada","SIM")))))</f>
        <v>0</v>
      </c>
      <c r="AA39" s="12" t="s">
        <v>179</v>
      </c>
      <c r="AB39" s="12"/>
      <c r="AC39" s="12" t="s">
        <v>91</v>
      </c>
      <c r="AD39" s="12" t="s">
        <v>180</v>
      </c>
      <c r="AE39" s="12" t="s">
        <v>178</v>
      </c>
      <c r="AF39" s="12" t="s">
        <v>181</v>
      </c>
      <c r="AG39" s="12" t="s">
        <v>180</v>
      </c>
      <c r="AH39" s="16" t="s">
        <v>180</v>
      </c>
      <c r="AI39" s="14">
        <v>0</v>
      </c>
      <c r="AJ39" s="14">
        <v>0</v>
      </c>
      <c r="AK39" s="12"/>
      <c r="AL39" s="12"/>
      <c r="AM39" s="12"/>
      <c r="AN39" s="12"/>
      <c r="AO39" s="12" t="s">
        <v>201</v>
      </c>
      <c r="AP39" s="14">
        <v>1</v>
      </c>
      <c r="AQ39" s="16" t="s">
        <v>180</v>
      </c>
      <c r="AR39" s="12" t="s">
        <v>520</v>
      </c>
      <c r="AS39" s="12" t="s">
        <v>235</v>
      </c>
      <c r="AT39" s="12" t="s">
        <v>521</v>
      </c>
      <c r="AU39" s="12" t="s">
        <v>522</v>
      </c>
      <c r="AV39" s="12" t="s">
        <v>523</v>
      </c>
      <c r="AW39" s="12" t="s">
        <v>524</v>
      </c>
      <c r="AX39" s="12" t="s">
        <v>525</v>
      </c>
      <c r="AY39" s="12" t="s">
        <v>526</v>
      </c>
    </row>
    <row r="40" spans="1:51">
      <c r="A40" s="12" t="s">
        <v>527</v>
      </c>
      <c r="B40" s="12" t="s">
        <v>528</v>
      </c>
      <c r="C40" s="12" t="s">
        <v>292</v>
      </c>
      <c r="D40" s="24" t="s">
        <v>180</v>
      </c>
      <c r="E40" s="16" t="s">
        <v>178</v>
      </c>
      <c r="F40" s="12" t="s">
        <v>105</v>
      </c>
      <c r="G40" s="14">
        <v>41</v>
      </c>
      <c r="H40" s="14">
        <v>15</v>
      </c>
      <c r="I40" s="14">
        <v>4</v>
      </c>
      <c r="J40" s="14">
        <v>14</v>
      </c>
      <c r="K40" s="14">
        <v>0</v>
      </c>
      <c r="L40" s="14">
        <v>8</v>
      </c>
      <c r="M40" s="12" t="s">
        <v>104</v>
      </c>
      <c r="N40" s="15" t="s">
        <v>261</v>
      </c>
      <c r="O40" s="12" t="s">
        <v>176</v>
      </c>
      <c r="P40" s="12" t="s">
        <v>262</v>
      </c>
      <c r="Q40" s="16" t="s">
        <v>178</v>
      </c>
      <c r="R40" s="19"/>
      <c r="S40" s="20"/>
      <c r="T40" s="20"/>
      <c r="U40" s="20"/>
      <c r="V40" s="21">
        <f>IF(U40="","",U40*'0. Premissas (editável)'!$C$7*'0. Premissas (editável)'!$C$8)</f>
        <v>0</v>
      </c>
      <c r="W40" s="22">
        <f>IF(OR(S40="",V40=""),"",(S40-V40)/S40)</f>
        <v>0</v>
      </c>
      <c r="X40" s="23">
        <f>IF(W40="","preencher",IF(W40&gt;='0. Premissas (editável)'!$C$9,"Viável",IF(W40&gt;='0. Premissas (editável)'!$C$10,"Marginal","Inviável")))</f>
        <v>0</v>
      </c>
      <c r="Y40" s="23">
        <f>IF(R40="","preencher",IF(R40&gt;='0. Premissas (editável)'!$C$11,"PASSA","NÃO PASSA"))</f>
        <v>0</v>
      </c>
      <c r="Z40" s="23">
        <f>IF(AND(R40="",S40=""),"Preencher IQVIA",IF(AND(R40&lt;&gt;"",R40&lt;'0. Premissas (editável)'!$C$11),"NÃO — mercado abaixo do corte",IF(X40="Inviável","NÃO — economia não fecha",IF(D40="NÃO","NÃO — vetada na triagem",IF(X40="Marginal","REAVALIAR — margem apertada","SIM")))))</f>
        <v>0</v>
      </c>
      <c r="AA40" s="12" t="s">
        <v>179</v>
      </c>
      <c r="AB40" s="12"/>
      <c r="AC40" s="12" t="s">
        <v>91</v>
      </c>
      <c r="AD40" s="12" t="s">
        <v>180</v>
      </c>
      <c r="AE40" s="12" t="s">
        <v>178</v>
      </c>
      <c r="AF40" s="12" t="s">
        <v>181</v>
      </c>
      <c r="AG40" s="12" t="s">
        <v>180</v>
      </c>
      <c r="AH40" s="16" t="s">
        <v>180</v>
      </c>
      <c r="AI40" s="14">
        <v>0</v>
      </c>
      <c r="AJ40" s="14">
        <v>0</v>
      </c>
      <c r="AK40" s="12"/>
      <c r="AL40" s="12"/>
      <c r="AM40" s="12"/>
      <c r="AN40" s="12"/>
      <c r="AO40" s="12" t="s">
        <v>218</v>
      </c>
      <c r="AP40" s="14">
        <v>1</v>
      </c>
      <c r="AQ40" s="16" t="s">
        <v>180</v>
      </c>
      <c r="AR40" s="12" t="s">
        <v>529</v>
      </c>
      <c r="AS40" s="12" t="s">
        <v>184</v>
      </c>
      <c r="AT40" s="12" t="s">
        <v>530</v>
      </c>
      <c r="AU40" s="12" t="s">
        <v>531</v>
      </c>
      <c r="AV40" s="12" t="s">
        <v>532</v>
      </c>
      <c r="AW40" s="12" t="s">
        <v>533</v>
      </c>
      <c r="AX40" s="12" t="s">
        <v>425</v>
      </c>
      <c r="AY40" s="12" t="s">
        <v>269</v>
      </c>
    </row>
    <row r="41" spans="1:51">
      <c r="A41" s="12" t="s">
        <v>534</v>
      </c>
      <c r="B41" s="12" t="s">
        <v>535</v>
      </c>
      <c r="C41" s="12" t="s">
        <v>292</v>
      </c>
      <c r="D41" s="24" t="s">
        <v>180</v>
      </c>
      <c r="E41" s="16" t="s">
        <v>178</v>
      </c>
      <c r="F41" s="12" t="s">
        <v>105</v>
      </c>
      <c r="G41" s="14">
        <v>41</v>
      </c>
      <c r="H41" s="14">
        <v>15</v>
      </c>
      <c r="I41" s="14">
        <v>0</v>
      </c>
      <c r="J41" s="14">
        <v>14</v>
      </c>
      <c r="K41" s="14">
        <v>9</v>
      </c>
      <c r="L41" s="14">
        <v>3</v>
      </c>
      <c r="M41" s="12" t="s">
        <v>104</v>
      </c>
      <c r="N41" s="15" t="s">
        <v>261</v>
      </c>
      <c r="O41" s="12" t="s">
        <v>176</v>
      </c>
      <c r="P41" s="12" t="s">
        <v>271</v>
      </c>
      <c r="Q41" s="16" t="s">
        <v>272</v>
      </c>
      <c r="R41" s="19"/>
      <c r="S41" s="20"/>
      <c r="T41" s="20"/>
      <c r="U41" s="20"/>
      <c r="V41" s="21">
        <f>IF(U41="","",U41*'0. Premissas (editável)'!$C$7*'0. Premissas (editável)'!$C$8)</f>
        <v>0</v>
      </c>
      <c r="W41" s="22">
        <f>IF(OR(S41="",V41=""),"",(S41-V41)/S41)</f>
        <v>0</v>
      </c>
      <c r="X41" s="23">
        <f>IF(W41="","preencher",IF(W41&gt;='0. Premissas (editável)'!$C$9,"Viável",IF(W41&gt;='0. Premissas (editável)'!$C$10,"Marginal","Inviável")))</f>
        <v>0</v>
      </c>
      <c r="Y41" s="23">
        <f>IF(R41="","preencher",IF(R41&gt;='0. Premissas (editável)'!$C$11,"PASSA","NÃO PASSA"))</f>
        <v>0</v>
      </c>
      <c r="Z41" s="23">
        <f>IF(AND(R41="",S41=""),"Preencher IQVIA",IF(AND(R41&lt;&gt;"",R41&lt;'0. Premissas (editável)'!$C$11),"NÃO — mercado abaixo do corte",IF(X41="Inviável","NÃO — economia não fecha",IF(D41="NÃO","NÃO — vetada na triagem",IF(X41="Marginal","REAVALIAR — margem apertada","SIM")))))</f>
        <v>0</v>
      </c>
      <c r="AA41" s="12" t="s">
        <v>179</v>
      </c>
      <c r="AB41" s="12"/>
      <c r="AC41" s="12" t="s">
        <v>108</v>
      </c>
      <c r="AD41" s="12" t="s">
        <v>174</v>
      </c>
      <c r="AE41" s="12" t="s">
        <v>273</v>
      </c>
      <c r="AF41" s="12" t="s">
        <v>274</v>
      </c>
      <c r="AG41" s="12" t="s">
        <v>180</v>
      </c>
      <c r="AH41" s="16" t="s">
        <v>180</v>
      </c>
      <c r="AI41" s="14">
        <v>2</v>
      </c>
      <c r="AJ41" s="14">
        <v>2</v>
      </c>
      <c r="AK41" s="12" t="s">
        <v>536</v>
      </c>
      <c r="AL41" s="12" t="s">
        <v>305</v>
      </c>
      <c r="AM41" s="12" t="s">
        <v>537</v>
      </c>
      <c r="AN41" s="12" t="s">
        <v>538</v>
      </c>
      <c r="AO41" s="12" t="s">
        <v>402</v>
      </c>
      <c r="AP41" s="14">
        <v>1</v>
      </c>
      <c r="AQ41" s="16" t="s">
        <v>180</v>
      </c>
      <c r="AR41" s="12" t="s">
        <v>539</v>
      </c>
      <c r="AS41" s="12" t="s">
        <v>184</v>
      </c>
      <c r="AT41" s="12" t="s">
        <v>540</v>
      </c>
      <c r="AU41" s="12" t="s">
        <v>541</v>
      </c>
      <c r="AV41" s="12" t="s">
        <v>542</v>
      </c>
      <c r="AW41" s="12" t="s">
        <v>543</v>
      </c>
      <c r="AX41" s="12" t="s">
        <v>544</v>
      </c>
      <c r="AY41" s="12" t="s">
        <v>410</v>
      </c>
    </row>
    <row r="42" spans="1:51">
      <c r="A42" s="12" t="s">
        <v>545</v>
      </c>
      <c r="B42" s="12" t="s">
        <v>546</v>
      </c>
      <c r="C42" s="12" t="s">
        <v>292</v>
      </c>
      <c r="D42" s="24" t="s">
        <v>180</v>
      </c>
      <c r="E42" s="16" t="s">
        <v>178</v>
      </c>
      <c r="F42" s="12" t="s">
        <v>90</v>
      </c>
      <c r="G42" s="14">
        <v>40</v>
      </c>
      <c r="H42" s="14">
        <v>26</v>
      </c>
      <c r="I42" s="14">
        <v>10</v>
      </c>
      <c r="J42" s="14">
        <v>14</v>
      </c>
      <c r="K42" s="14">
        <v>0</v>
      </c>
      <c r="L42" s="14">
        <v>-10</v>
      </c>
      <c r="M42" s="12" t="s">
        <v>93</v>
      </c>
      <c r="N42" s="13" t="s">
        <v>175</v>
      </c>
      <c r="O42" s="12" t="s">
        <v>176</v>
      </c>
      <c r="P42" s="12" t="s">
        <v>233</v>
      </c>
      <c r="Q42" s="16" t="s">
        <v>178</v>
      </c>
      <c r="R42" s="19"/>
      <c r="S42" s="20"/>
      <c r="T42" s="20"/>
      <c r="U42" s="20"/>
      <c r="V42" s="21">
        <f>IF(U42="","",U42*'0. Premissas (editável)'!$C$7*'0. Premissas (editável)'!$C$8)</f>
        <v>0</v>
      </c>
      <c r="W42" s="22">
        <f>IF(OR(S42="",V42=""),"",(S42-V42)/S42)</f>
        <v>0</v>
      </c>
      <c r="X42" s="23">
        <f>IF(W42="","preencher",IF(W42&gt;='0. Premissas (editável)'!$C$9,"Viável",IF(W42&gt;='0. Premissas (editável)'!$C$10,"Marginal","Inviável")))</f>
        <v>0</v>
      </c>
      <c r="Y42" s="23">
        <f>IF(R42="","preencher",IF(R42&gt;='0. Premissas (editável)'!$C$11,"PASSA","NÃO PASSA"))</f>
        <v>0</v>
      </c>
      <c r="Z42" s="23">
        <f>IF(AND(R42="",S42=""),"Preencher IQVIA",IF(AND(R42&lt;&gt;"",R42&lt;'0. Premissas (editável)'!$C$11),"NÃO — mercado abaixo do corte",IF(X42="Inviável","NÃO — economia não fecha",IF(D42="NÃO","NÃO — vetada na triagem",IF(X42="Marginal","REAVALIAR — margem apertada","SIM")))))</f>
        <v>0</v>
      </c>
      <c r="AA42" s="12" t="s">
        <v>179</v>
      </c>
      <c r="AB42" s="12"/>
      <c r="AC42" s="24" t="s">
        <v>547</v>
      </c>
      <c r="AD42" s="12" t="s">
        <v>174</v>
      </c>
      <c r="AE42" s="12" t="s">
        <v>273</v>
      </c>
      <c r="AF42" s="12" t="s">
        <v>274</v>
      </c>
      <c r="AG42" s="12" t="s">
        <v>180</v>
      </c>
      <c r="AH42" s="16" t="s">
        <v>180</v>
      </c>
      <c r="AI42" s="14">
        <v>7</v>
      </c>
      <c r="AJ42" s="14">
        <v>7</v>
      </c>
      <c r="AK42" s="12" t="s">
        <v>548</v>
      </c>
      <c r="AL42" s="12" t="s">
        <v>276</v>
      </c>
      <c r="AM42" s="12" t="s">
        <v>429</v>
      </c>
      <c r="AN42" s="12" t="s">
        <v>549</v>
      </c>
      <c r="AO42" s="12" t="s">
        <v>218</v>
      </c>
      <c r="AP42" s="14">
        <v>2</v>
      </c>
      <c r="AQ42" s="16" t="s">
        <v>180</v>
      </c>
      <c r="AR42" s="12" t="s">
        <v>550</v>
      </c>
      <c r="AS42" s="12" t="s">
        <v>184</v>
      </c>
      <c r="AT42" s="12" t="s">
        <v>551</v>
      </c>
      <c r="AU42" s="12" t="s">
        <v>552</v>
      </c>
      <c r="AV42" s="12" t="s">
        <v>553</v>
      </c>
      <c r="AW42" s="12" t="s">
        <v>554</v>
      </c>
      <c r="AX42" s="12" t="s">
        <v>555</v>
      </c>
      <c r="AY42" s="12" t="s">
        <v>556</v>
      </c>
    </row>
    <row r="43" spans="1:51">
      <c r="A43" s="12" t="s">
        <v>557</v>
      </c>
      <c r="B43" s="12" t="s">
        <v>558</v>
      </c>
      <c r="C43" s="12" t="s">
        <v>199</v>
      </c>
      <c r="D43" s="24" t="s">
        <v>180</v>
      </c>
      <c r="E43" s="16" t="s">
        <v>178</v>
      </c>
      <c r="F43" s="12" t="s">
        <v>105</v>
      </c>
      <c r="G43" s="14">
        <v>37</v>
      </c>
      <c r="H43" s="14">
        <v>15</v>
      </c>
      <c r="I43" s="14">
        <v>0</v>
      </c>
      <c r="J43" s="14">
        <v>14</v>
      </c>
      <c r="K43" s="14">
        <v>0</v>
      </c>
      <c r="L43" s="14">
        <v>8</v>
      </c>
      <c r="M43" s="12" t="s">
        <v>104</v>
      </c>
      <c r="N43" s="15" t="s">
        <v>261</v>
      </c>
      <c r="O43" s="12" t="s">
        <v>176</v>
      </c>
      <c r="P43" s="12" t="s">
        <v>262</v>
      </c>
      <c r="Q43" s="16" t="s">
        <v>178</v>
      </c>
      <c r="R43" s="19"/>
      <c r="S43" s="20"/>
      <c r="T43" s="20"/>
      <c r="U43" s="20"/>
      <c r="V43" s="21">
        <f>IF(U43="","",U43*'0. Premissas (editável)'!$C$7*'0. Premissas (editável)'!$C$8)</f>
        <v>0</v>
      </c>
      <c r="W43" s="22">
        <f>IF(OR(S43="",V43=""),"",(S43-V43)/S43)</f>
        <v>0</v>
      </c>
      <c r="X43" s="23">
        <f>IF(W43="","preencher",IF(W43&gt;='0. Premissas (editável)'!$C$9,"Viável",IF(W43&gt;='0. Premissas (editável)'!$C$10,"Marginal","Inviável")))</f>
        <v>0</v>
      </c>
      <c r="Y43" s="23">
        <f>IF(R43="","preencher",IF(R43&gt;='0. Premissas (editável)'!$C$11,"PASSA","NÃO PASSA"))</f>
        <v>0</v>
      </c>
      <c r="Z43" s="23">
        <f>IF(AND(R43="",S43=""),"Preencher IQVIA",IF(AND(R43&lt;&gt;"",R43&lt;'0. Premissas (editável)'!$C$11),"NÃO — mercado abaixo do corte",IF(X43="Inviável","NÃO — economia não fecha",IF(D43="NÃO","NÃO — vetada na triagem",IF(X43="Marginal","REAVALIAR — margem apertada","SIM")))))</f>
        <v>0</v>
      </c>
      <c r="AA43" s="12" t="s">
        <v>179</v>
      </c>
      <c r="AB43" s="12"/>
      <c r="AC43" s="12" t="s">
        <v>91</v>
      </c>
      <c r="AD43" s="12" t="s">
        <v>180</v>
      </c>
      <c r="AE43" s="12" t="s">
        <v>178</v>
      </c>
      <c r="AF43" s="12" t="s">
        <v>181</v>
      </c>
      <c r="AG43" s="12" t="s">
        <v>180</v>
      </c>
      <c r="AH43" s="16" t="s">
        <v>180</v>
      </c>
      <c r="AI43" s="14">
        <v>0</v>
      </c>
      <c r="AJ43" s="14">
        <v>0</v>
      </c>
      <c r="AK43" s="12"/>
      <c r="AL43" s="12"/>
      <c r="AM43" s="12"/>
      <c r="AN43" s="12"/>
      <c r="AO43" s="12" t="s">
        <v>201</v>
      </c>
      <c r="AP43" s="14">
        <v>2</v>
      </c>
      <c r="AQ43" s="16" t="s">
        <v>180</v>
      </c>
      <c r="AR43" s="12" t="s">
        <v>234</v>
      </c>
      <c r="AS43" s="12" t="s">
        <v>184</v>
      </c>
      <c r="AT43" s="12" t="s">
        <v>514</v>
      </c>
      <c r="AU43" s="12" t="s">
        <v>559</v>
      </c>
      <c r="AV43" s="12" t="s">
        <v>560</v>
      </c>
      <c r="AW43" s="12" t="s">
        <v>35</v>
      </c>
      <c r="AX43" s="12" t="s">
        <v>425</v>
      </c>
      <c r="AY43" s="12" t="s">
        <v>269</v>
      </c>
    </row>
    <row r="44" spans="1:51">
      <c r="A44" s="12" t="s">
        <v>561</v>
      </c>
      <c r="B44" s="12" t="s">
        <v>562</v>
      </c>
      <c r="C44" s="12" t="s">
        <v>199</v>
      </c>
      <c r="D44" s="24" t="s">
        <v>180</v>
      </c>
      <c r="E44" s="16" t="s">
        <v>178</v>
      </c>
      <c r="F44" s="12" t="s">
        <v>105</v>
      </c>
      <c r="G44" s="14">
        <v>37</v>
      </c>
      <c r="H44" s="14">
        <v>15</v>
      </c>
      <c r="I44" s="14">
        <v>0</v>
      </c>
      <c r="J44" s="14">
        <v>14</v>
      </c>
      <c r="K44" s="14">
        <v>0</v>
      </c>
      <c r="L44" s="14">
        <v>8</v>
      </c>
      <c r="M44" s="12" t="s">
        <v>104</v>
      </c>
      <c r="N44" s="15" t="s">
        <v>261</v>
      </c>
      <c r="O44" s="12" t="s">
        <v>176</v>
      </c>
      <c r="P44" s="12" t="s">
        <v>262</v>
      </c>
      <c r="Q44" s="16" t="s">
        <v>178</v>
      </c>
      <c r="R44" s="19"/>
      <c r="S44" s="20"/>
      <c r="T44" s="20"/>
      <c r="U44" s="20"/>
      <c r="V44" s="21">
        <f>IF(U44="","",U44*'0. Premissas (editável)'!$C$7*'0. Premissas (editável)'!$C$8)</f>
        <v>0</v>
      </c>
      <c r="W44" s="22">
        <f>IF(OR(S44="",V44=""),"",(S44-V44)/S44)</f>
        <v>0</v>
      </c>
      <c r="X44" s="23">
        <f>IF(W44="","preencher",IF(W44&gt;='0. Premissas (editável)'!$C$9,"Viável",IF(W44&gt;='0. Premissas (editável)'!$C$10,"Marginal","Inviável")))</f>
        <v>0</v>
      </c>
      <c r="Y44" s="23">
        <f>IF(R44="","preencher",IF(R44&gt;='0. Premissas (editável)'!$C$11,"PASSA","NÃO PASSA"))</f>
        <v>0</v>
      </c>
      <c r="Z44" s="23">
        <f>IF(AND(R44="",S44=""),"Preencher IQVIA",IF(AND(R44&lt;&gt;"",R44&lt;'0. Premissas (editável)'!$C$11),"NÃO — mercado abaixo do corte",IF(X44="Inviável","NÃO — economia não fecha",IF(D44="NÃO","NÃO — vetada na triagem",IF(X44="Marginal","REAVALIAR — margem apertada","SIM")))))</f>
        <v>0</v>
      </c>
      <c r="AA44" s="12" t="s">
        <v>179</v>
      </c>
      <c r="AB44" s="12"/>
      <c r="AC44" s="12" t="s">
        <v>91</v>
      </c>
      <c r="AD44" s="12" t="s">
        <v>180</v>
      </c>
      <c r="AE44" s="12" t="s">
        <v>178</v>
      </c>
      <c r="AF44" s="12" t="s">
        <v>181</v>
      </c>
      <c r="AG44" s="12" t="s">
        <v>180</v>
      </c>
      <c r="AH44" s="16" t="s">
        <v>180</v>
      </c>
      <c r="AI44" s="14">
        <v>0</v>
      </c>
      <c r="AJ44" s="14">
        <v>0</v>
      </c>
      <c r="AK44" s="12"/>
      <c r="AL44" s="12"/>
      <c r="AM44" s="12"/>
      <c r="AN44" s="12"/>
      <c r="AO44" s="12" t="s">
        <v>201</v>
      </c>
      <c r="AP44" s="14">
        <v>3</v>
      </c>
      <c r="AQ44" s="16" t="s">
        <v>180</v>
      </c>
      <c r="AR44" s="12" t="s">
        <v>563</v>
      </c>
      <c r="AS44" s="12" t="s">
        <v>184</v>
      </c>
      <c r="AT44" s="12" t="s">
        <v>564</v>
      </c>
      <c r="AU44" s="12" t="s">
        <v>565</v>
      </c>
      <c r="AV44" s="12" t="s">
        <v>566</v>
      </c>
      <c r="AW44" s="12" t="s">
        <v>567</v>
      </c>
      <c r="AX44" s="12" t="s">
        <v>425</v>
      </c>
      <c r="AY44" s="12" t="s">
        <v>269</v>
      </c>
    </row>
    <row r="45" spans="1:51">
      <c r="A45" s="12" t="s">
        <v>568</v>
      </c>
      <c r="B45" s="12" t="s">
        <v>569</v>
      </c>
      <c r="C45" s="12" t="s">
        <v>217</v>
      </c>
      <c r="D45" s="24" t="s">
        <v>180</v>
      </c>
      <c r="E45" s="16" t="s">
        <v>178</v>
      </c>
      <c r="F45" s="12" t="s">
        <v>105</v>
      </c>
      <c r="G45" s="14">
        <v>37</v>
      </c>
      <c r="H45" s="14">
        <v>15</v>
      </c>
      <c r="I45" s="14">
        <v>0</v>
      </c>
      <c r="J45" s="14">
        <v>14</v>
      </c>
      <c r="K45" s="14">
        <v>0</v>
      </c>
      <c r="L45" s="14">
        <v>8</v>
      </c>
      <c r="M45" s="12" t="s">
        <v>104</v>
      </c>
      <c r="N45" s="15" t="s">
        <v>261</v>
      </c>
      <c r="O45" s="12" t="s">
        <v>176</v>
      </c>
      <c r="P45" s="12" t="s">
        <v>262</v>
      </c>
      <c r="Q45" s="16" t="s">
        <v>178</v>
      </c>
      <c r="R45" s="19"/>
      <c r="S45" s="20"/>
      <c r="T45" s="20"/>
      <c r="U45" s="20"/>
      <c r="V45" s="21">
        <f>IF(U45="","",U45*'0. Premissas (editável)'!$C$7*'0. Premissas (editável)'!$C$8)</f>
        <v>0</v>
      </c>
      <c r="W45" s="22">
        <f>IF(OR(S45="",V45=""),"",(S45-V45)/S45)</f>
        <v>0</v>
      </c>
      <c r="X45" s="23">
        <f>IF(W45="","preencher",IF(W45&gt;='0. Premissas (editável)'!$C$9,"Viável",IF(W45&gt;='0. Premissas (editável)'!$C$10,"Marginal","Inviável")))</f>
        <v>0</v>
      </c>
      <c r="Y45" s="23">
        <f>IF(R45="","preencher",IF(R45&gt;='0. Premissas (editável)'!$C$11,"PASSA","NÃO PASSA"))</f>
        <v>0</v>
      </c>
      <c r="Z45" s="23">
        <f>IF(AND(R45="",S45=""),"Preencher IQVIA",IF(AND(R45&lt;&gt;"",R45&lt;'0. Premissas (editável)'!$C$11),"NÃO — mercado abaixo do corte",IF(X45="Inviável","NÃO — economia não fecha",IF(D45="NÃO","NÃO — vetada na triagem",IF(X45="Marginal","REAVALIAR — margem apertada","SIM")))))</f>
        <v>0</v>
      </c>
      <c r="AA45" s="12" t="s">
        <v>179</v>
      </c>
      <c r="AB45" s="12"/>
      <c r="AC45" s="12" t="s">
        <v>91</v>
      </c>
      <c r="AD45" s="12" t="s">
        <v>180</v>
      </c>
      <c r="AE45" s="12" t="s">
        <v>178</v>
      </c>
      <c r="AF45" s="12" t="s">
        <v>181</v>
      </c>
      <c r="AG45" s="12" t="s">
        <v>180</v>
      </c>
      <c r="AH45" s="16" t="s">
        <v>180</v>
      </c>
      <c r="AI45" s="14">
        <v>0</v>
      </c>
      <c r="AJ45" s="14">
        <v>0</v>
      </c>
      <c r="AK45" s="12"/>
      <c r="AL45" s="12"/>
      <c r="AM45" s="12"/>
      <c r="AN45" s="12"/>
      <c r="AO45" s="12" t="s">
        <v>201</v>
      </c>
      <c r="AP45" s="14">
        <v>1</v>
      </c>
      <c r="AQ45" s="16" t="s">
        <v>180</v>
      </c>
      <c r="AR45" s="12" t="s">
        <v>570</v>
      </c>
      <c r="AS45" s="12" t="s">
        <v>184</v>
      </c>
      <c r="AT45" s="12" t="s">
        <v>571</v>
      </c>
      <c r="AU45" s="12" t="s">
        <v>572</v>
      </c>
      <c r="AV45" s="12" t="s">
        <v>573</v>
      </c>
      <c r="AW45" s="12" t="s">
        <v>574</v>
      </c>
      <c r="AX45" s="12" t="s">
        <v>425</v>
      </c>
      <c r="AY45" s="12" t="s">
        <v>269</v>
      </c>
    </row>
    <row r="46" spans="1:51">
      <c r="A46" s="12" t="s">
        <v>575</v>
      </c>
      <c r="B46" s="12" t="s">
        <v>576</v>
      </c>
      <c r="C46" s="12" t="s">
        <v>303</v>
      </c>
      <c r="D46" s="24" t="s">
        <v>180</v>
      </c>
      <c r="E46" s="16" t="s">
        <v>178</v>
      </c>
      <c r="F46" s="12" t="s">
        <v>105</v>
      </c>
      <c r="G46" s="14">
        <v>37</v>
      </c>
      <c r="H46" s="14">
        <v>15</v>
      </c>
      <c r="I46" s="14">
        <v>0</v>
      </c>
      <c r="J46" s="14">
        <v>14</v>
      </c>
      <c r="K46" s="14">
        <v>0</v>
      </c>
      <c r="L46" s="14">
        <v>8</v>
      </c>
      <c r="M46" s="12" t="s">
        <v>104</v>
      </c>
      <c r="N46" s="15" t="s">
        <v>261</v>
      </c>
      <c r="O46" s="12" t="s">
        <v>176</v>
      </c>
      <c r="P46" s="12" t="s">
        <v>380</v>
      </c>
      <c r="Q46" s="24" t="s">
        <v>381</v>
      </c>
      <c r="R46" s="19"/>
      <c r="S46" s="20"/>
      <c r="T46" s="20"/>
      <c r="U46" s="20"/>
      <c r="V46" s="21">
        <f>IF(U46="","",U46*'0. Premissas (editável)'!$C$7*'0. Premissas (editável)'!$C$8)</f>
        <v>0</v>
      </c>
      <c r="W46" s="22">
        <f>IF(OR(S46="",V46=""),"",(S46-V46)/S46)</f>
        <v>0</v>
      </c>
      <c r="X46" s="23">
        <f>IF(W46="","preencher",IF(W46&gt;='0. Premissas (editável)'!$C$9,"Viável",IF(W46&gt;='0. Premissas (editável)'!$C$10,"Marginal","Inviável")))</f>
        <v>0</v>
      </c>
      <c r="Y46" s="23">
        <f>IF(R46="","preencher",IF(R46&gt;='0. Premissas (editável)'!$C$11,"PASSA","NÃO PASSA"))</f>
        <v>0</v>
      </c>
      <c r="Z46" s="23">
        <f>IF(AND(R46="",S46=""),"Preencher IQVIA",IF(AND(R46&lt;&gt;"",R46&lt;'0. Premissas (editável)'!$C$11),"NÃO — mercado abaixo do corte",IF(X46="Inviável","NÃO — economia não fecha",IF(D46="NÃO","NÃO — vetada na triagem",IF(X46="Marginal","REAVALIAR — margem apertada","SIM")))))</f>
        <v>0</v>
      </c>
      <c r="AA46" s="12" t="s">
        <v>179</v>
      </c>
      <c r="AB46" s="12"/>
      <c r="AC46" s="12" t="s">
        <v>91</v>
      </c>
      <c r="AD46" s="12" t="s">
        <v>180</v>
      </c>
      <c r="AE46" s="12" t="s">
        <v>178</v>
      </c>
      <c r="AF46" s="12" t="s">
        <v>181</v>
      </c>
      <c r="AG46" s="12" t="s">
        <v>180</v>
      </c>
      <c r="AH46" s="16" t="s">
        <v>180</v>
      </c>
      <c r="AI46" s="14">
        <v>0</v>
      </c>
      <c r="AJ46" s="14">
        <v>0</v>
      </c>
      <c r="AK46" s="12"/>
      <c r="AL46" s="12"/>
      <c r="AM46" s="12"/>
      <c r="AN46" s="12"/>
      <c r="AO46" s="12" t="s">
        <v>201</v>
      </c>
      <c r="AP46" s="14">
        <v>1</v>
      </c>
      <c r="AQ46" s="16" t="s">
        <v>180</v>
      </c>
      <c r="AR46" s="12" t="s">
        <v>577</v>
      </c>
      <c r="AS46" s="12" t="s">
        <v>578</v>
      </c>
      <c r="AT46" s="12" t="s">
        <v>579</v>
      </c>
      <c r="AU46" s="12" t="s">
        <v>580</v>
      </c>
      <c r="AV46" s="12" t="s">
        <v>581</v>
      </c>
      <c r="AW46" s="12" t="s">
        <v>582</v>
      </c>
      <c r="AX46" s="12" t="s">
        <v>583</v>
      </c>
      <c r="AY46" s="12" t="s">
        <v>269</v>
      </c>
    </row>
    <row r="47" spans="1:51">
      <c r="A47" s="12" t="s">
        <v>584</v>
      </c>
      <c r="B47" s="12" t="s">
        <v>585</v>
      </c>
      <c r="C47" s="12" t="s">
        <v>469</v>
      </c>
      <c r="D47" s="24" t="s">
        <v>180</v>
      </c>
      <c r="E47" s="16" t="s">
        <v>178</v>
      </c>
      <c r="F47" s="12" t="s">
        <v>586</v>
      </c>
      <c r="G47" s="14">
        <v>37</v>
      </c>
      <c r="H47" s="14">
        <v>5</v>
      </c>
      <c r="I47" s="14">
        <v>0</v>
      </c>
      <c r="J47" s="14">
        <v>14</v>
      </c>
      <c r="K47" s="14">
        <v>10</v>
      </c>
      <c r="L47" s="14">
        <v>8</v>
      </c>
      <c r="M47" s="12" t="s">
        <v>119</v>
      </c>
      <c r="N47" s="24" t="s">
        <v>351</v>
      </c>
      <c r="O47" s="12" t="s">
        <v>176</v>
      </c>
      <c r="P47" s="12" t="s">
        <v>380</v>
      </c>
      <c r="Q47" s="16" t="s">
        <v>178</v>
      </c>
      <c r="R47" s="19"/>
      <c r="S47" s="20"/>
      <c r="T47" s="20"/>
      <c r="U47" s="20"/>
      <c r="V47" s="21">
        <f>IF(U47="","",U47*'0. Premissas (editável)'!$C$7*'0. Premissas (editável)'!$C$8)</f>
        <v>0</v>
      </c>
      <c r="W47" s="22">
        <f>IF(OR(S47="",V47=""),"",(S47-V47)/S47)</f>
        <v>0</v>
      </c>
      <c r="X47" s="23">
        <f>IF(W47="","preencher",IF(W47&gt;='0. Premissas (editável)'!$C$9,"Viável",IF(W47&gt;='0. Premissas (editável)'!$C$10,"Marginal","Inviável")))</f>
        <v>0</v>
      </c>
      <c r="Y47" s="23">
        <f>IF(R47="","preencher",IF(R47&gt;='0. Premissas (editável)'!$C$11,"PASSA","NÃO PASSA"))</f>
        <v>0</v>
      </c>
      <c r="Z47" s="23">
        <f>IF(AND(R47="",S47=""),"Preencher IQVIA",IF(AND(R47&lt;&gt;"",R47&lt;'0. Premissas (editável)'!$C$11),"NÃO — mercado abaixo do corte",IF(X47="Inviável","NÃO — economia não fecha",IF(D47="NÃO","NÃO — vetada na triagem",IF(X47="Marginal","REAVALIAR — margem apertada","SIM")))))</f>
        <v>0</v>
      </c>
      <c r="AA47" s="12" t="s">
        <v>179</v>
      </c>
      <c r="AB47" s="12"/>
      <c r="AC47" s="12" t="s">
        <v>91</v>
      </c>
      <c r="AD47" s="12" t="s">
        <v>180</v>
      </c>
      <c r="AE47" s="12" t="s">
        <v>178</v>
      </c>
      <c r="AF47" s="12" t="s">
        <v>181</v>
      </c>
      <c r="AG47" s="12" t="s">
        <v>180</v>
      </c>
      <c r="AH47" s="16" t="s">
        <v>180</v>
      </c>
      <c r="AI47" s="14">
        <v>0</v>
      </c>
      <c r="AJ47" s="14">
        <v>0</v>
      </c>
      <c r="AK47" s="12"/>
      <c r="AL47" s="12"/>
      <c r="AM47" s="12"/>
      <c r="AN47" s="12"/>
      <c r="AO47" s="12" t="s">
        <v>182</v>
      </c>
      <c r="AP47" s="14">
        <v>2</v>
      </c>
      <c r="AQ47" s="16" t="s">
        <v>180</v>
      </c>
      <c r="AR47" s="12" t="s">
        <v>587</v>
      </c>
      <c r="AS47" s="12" t="s">
        <v>588</v>
      </c>
      <c r="AT47" s="12" t="s">
        <v>589</v>
      </c>
      <c r="AU47" s="12" t="s">
        <v>590</v>
      </c>
      <c r="AV47" s="12" t="s">
        <v>591</v>
      </c>
      <c r="AW47" s="12" t="s">
        <v>592</v>
      </c>
      <c r="AX47" s="12" t="s">
        <v>593</v>
      </c>
      <c r="AY47" s="12" t="s">
        <v>526</v>
      </c>
    </row>
    <row r="48" spans="1:51">
      <c r="A48" s="12" t="s">
        <v>594</v>
      </c>
      <c r="B48" s="12" t="s">
        <v>595</v>
      </c>
      <c r="C48" s="12" t="s">
        <v>292</v>
      </c>
      <c r="D48" s="24" t="s">
        <v>180</v>
      </c>
      <c r="E48" s="16" t="s">
        <v>178</v>
      </c>
      <c r="F48" s="12" t="s">
        <v>105</v>
      </c>
      <c r="G48" s="14">
        <v>36</v>
      </c>
      <c r="H48" s="14">
        <v>15</v>
      </c>
      <c r="I48" s="14">
        <v>4</v>
      </c>
      <c r="J48" s="14">
        <v>14</v>
      </c>
      <c r="K48" s="14">
        <v>0</v>
      </c>
      <c r="L48" s="14">
        <v>3</v>
      </c>
      <c r="M48" s="12" t="s">
        <v>104</v>
      </c>
      <c r="N48" s="15" t="s">
        <v>261</v>
      </c>
      <c r="O48" s="12" t="s">
        <v>176</v>
      </c>
      <c r="P48" s="12" t="s">
        <v>271</v>
      </c>
      <c r="Q48" s="16" t="s">
        <v>272</v>
      </c>
      <c r="R48" s="19"/>
      <c r="S48" s="20"/>
      <c r="T48" s="20"/>
      <c r="U48" s="20"/>
      <c r="V48" s="21">
        <f>IF(U48="","",U48*'0. Premissas (editável)'!$C$7*'0. Premissas (editável)'!$C$8)</f>
        <v>0</v>
      </c>
      <c r="W48" s="22">
        <f>IF(OR(S48="",V48=""),"",(S48-V48)/S48)</f>
        <v>0</v>
      </c>
      <c r="X48" s="23">
        <f>IF(W48="","preencher",IF(W48&gt;='0. Premissas (editável)'!$C$9,"Viável",IF(W48&gt;='0. Premissas (editável)'!$C$10,"Marginal","Inviável")))</f>
        <v>0</v>
      </c>
      <c r="Y48" s="23">
        <f>IF(R48="","preencher",IF(R48&gt;='0. Premissas (editável)'!$C$11,"PASSA","NÃO PASSA"))</f>
        <v>0</v>
      </c>
      <c r="Z48" s="23">
        <f>IF(AND(R48="",S48=""),"Preencher IQVIA",IF(AND(R48&lt;&gt;"",R48&lt;'0. Premissas (editável)'!$C$11),"NÃO — mercado abaixo do corte",IF(X48="Inviável","NÃO — economia não fecha",IF(D48="NÃO","NÃO — vetada na triagem",IF(X48="Marginal","REAVALIAR — margem apertada","SIM")))))</f>
        <v>0</v>
      </c>
      <c r="AA48" s="12" t="s">
        <v>179</v>
      </c>
      <c r="AB48" s="12"/>
      <c r="AC48" s="12" t="s">
        <v>108</v>
      </c>
      <c r="AD48" s="12" t="s">
        <v>174</v>
      </c>
      <c r="AE48" s="12" t="s">
        <v>273</v>
      </c>
      <c r="AF48" s="12" t="s">
        <v>274</v>
      </c>
      <c r="AG48" s="12" t="s">
        <v>180</v>
      </c>
      <c r="AH48" s="16" t="s">
        <v>180</v>
      </c>
      <c r="AI48" s="14">
        <v>3</v>
      </c>
      <c r="AJ48" s="14">
        <v>3</v>
      </c>
      <c r="AK48" s="12" t="s">
        <v>596</v>
      </c>
      <c r="AL48" s="12" t="s">
        <v>276</v>
      </c>
      <c r="AM48" s="12" t="s">
        <v>429</v>
      </c>
      <c r="AN48" s="12" t="s">
        <v>597</v>
      </c>
      <c r="AO48" s="12" t="s">
        <v>218</v>
      </c>
      <c r="AP48" s="14">
        <v>1</v>
      </c>
      <c r="AQ48" s="16" t="s">
        <v>180</v>
      </c>
      <c r="AR48" s="12" t="s">
        <v>598</v>
      </c>
      <c r="AS48" s="12" t="s">
        <v>184</v>
      </c>
      <c r="AT48" s="12" t="s">
        <v>326</v>
      </c>
      <c r="AU48" s="12" t="s">
        <v>599</v>
      </c>
      <c r="AV48" s="12" t="s">
        <v>600</v>
      </c>
      <c r="AW48" s="12" t="s">
        <v>601</v>
      </c>
      <c r="AX48" s="12" t="s">
        <v>602</v>
      </c>
      <c r="AY48" s="12" t="s">
        <v>269</v>
      </c>
    </row>
    <row r="49" spans="1:51">
      <c r="A49" s="12" t="s">
        <v>603</v>
      </c>
      <c r="B49" s="12" t="s">
        <v>604</v>
      </c>
      <c r="C49" s="12" t="s">
        <v>292</v>
      </c>
      <c r="D49" s="24" t="s">
        <v>180</v>
      </c>
      <c r="E49" s="16" t="s">
        <v>178</v>
      </c>
      <c r="F49" s="12" t="s">
        <v>586</v>
      </c>
      <c r="G49" s="14">
        <v>36</v>
      </c>
      <c r="H49" s="14">
        <v>5</v>
      </c>
      <c r="I49" s="14">
        <v>0</v>
      </c>
      <c r="J49" s="14">
        <v>14</v>
      </c>
      <c r="K49" s="14">
        <v>9</v>
      </c>
      <c r="L49" s="14">
        <v>8</v>
      </c>
      <c r="M49" s="12" t="s">
        <v>119</v>
      </c>
      <c r="N49" s="24" t="s">
        <v>351</v>
      </c>
      <c r="O49" s="12" t="s">
        <v>176</v>
      </c>
      <c r="P49" s="12" t="s">
        <v>380</v>
      </c>
      <c r="Q49" s="16" t="s">
        <v>178</v>
      </c>
      <c r="R49" s="19"/>
      <c r="S49" s="20"/>
      <c r="T49" s="20"/>
      <c r="U49" s="20"/>
      <c r="V49" s="21">
        <f>IF(U49="","",U49*'0. Premissas (editável)'!$C$7*'0. Premissas (editável)'!$C$8)</f>
        <v>0</v>
      </c>
      <c r="W49" s="22">
        <f>IF(OR(S49="",V49=""),"",(S49-V49)/S49)</f>
        <v>0</v>
      </c>
      <c r="X49" s="23">
        <f>IF(W49="","preencher",IF(W49&gt;='0. Premissas (editável)'!$C$9,"Viável",IF(W49&gt;='0. Premissas (editável)'!$C$10,"Marginal","Inviável")))</f>
        <v>0</v>
      </c>
      <c r="Y49" s="23">
        <f>IF(R49="","preencher",IF(R49&gt;='0. Premissas (editável)'!$C$11,"PASSA","NÃO PASSA"))</f>
        <v>0</v>
      </c>
      <c r="Z49" s="23">
        <f>IF(AND(R49="",S49=""),"Preencher IQVIA",IF(AND(R49&lt;&gt;"",R49&lt;'0. Premissas (editável)'!$C$11),"NÃO — mercado abaixo do corte",IF(X49="Inviável","NÃO — economia não fecha",IF(D49="NÃO","NÃO — vetada na triagem",IF(X49="Marginal","REAVALIAR — margem apertada","SIM")))))</f>
        <v>0</v>
      </c>
      <c r="AA49" s="12" t="s">
        <v>179</v>
      </c>
      <c r="AB49" s="12"/>
      <c r="AC49" s="12" t="s">
        <v>91</v>
      </c>
      <c r="AD49" s="12" t="s">
        <v>180</v>
      </c>
      <c r="AE49" s="12" t="s">
        <v>178</v>
      </c>
      <c r="AF49" s="12" t="s">
        <v>181</v>
      </c>
      <c r="AG49" s="12" t="s">
        <v>180</v>
      </c>
      <c r="AH49" s="16" t="s">
        <v>180</v>
      </c>
      <c r="AI49" s="14">
        <v>0</v>
      </c>
      <c r="AJ49" s="14">
        <v>0</v>
      </c>
      <c r="AK49" s="12"/>
      <c r="AL49" s="12"/>
      <c r="AM49" s="12"/>
      <c r="AN49" s="12"/>
      <c r="AO49" s="12" t="s">
        <v>402</v>
      </c>
      <c r="AP49" s="14">
        <v>3</v>
      </c>
      <c r="AQ49" s="16" t="s">
        <v>180</v>
      </c>
      <c r="AR49" s="12" t="s">
        <v>605</v>
      </c>
      <c r="AS49" s="12" t="s">
        <v>184</v>
      </c>
      <c r="AT49" s="12" t="s">
        <v>540</v>
      </c>
      <c r="AU49" s="12" t="s">
        <v>606</v>
      </c>
      <c r="AV49" s="12" t="s">
        <v>607</v>
      </c>
      <c r="AW49" s="12" t="s">
        <v>239</v>
      </c>
      <c r="AX49" s="12" t="s">
        <v>593</v>
      </c>
      <c r="AY49" s="12" t="s">
        <v>367</v>
      </c>
    </row>
    <row r="50" spans="1:51">
      <c r="A50" s="12" t="s">
        <v>608</v>
      </c>
      <c r="B50" s="12" t="s">
        <v>609</v>
      </c>
      <c r="C50" s="12" t="s">
        <v>469</v>
      </c>
      <c r="D50" s="24" t="s">
        <v>180</v>
      </c>
      <c r="E50" s="16" t="s">
        <v>178</v>
      </c>
      <c r="F50" s="12" t="s">
        <v>586</v>
      </c>
      <c r="G50" s="14">
        <v>35</v>
      </c>
      <c r="H50" s="14">
        <v>5</v>
      </c>
      <c r="I50" s="14">
        <v>0</v>
      </c>
      <c r="J50" s="14">
        <v>14</v>
      </c>
      <c r="K50" s="14">
        <v>8</v>
      </c>
      <c r="L50" s="14">
        <v>8</v>
      </c>
      <c r="M50" s="12" t="s">
        <v>119</v>
      </c>
      <c r="N50" s="24" t="s">
        <v>351</v>
      </c>
      <c r="O50" s="12" t="s">
        <v>176</v>
      </c>
      <c r="P50" s="12" t="s">
        <v>380</v>
      </c>
      <c r="Q50" s="16" t="s">
        <v>178</v>
      </c>
      <c r="R50" s="19"/>
      <c r="S50" s="20"/>
      <c r="T50" s="20"/>
      <c r="U50" s="20"/>
      <c r="V50" s="21">
        <f>IF(U50="","",U50*'0. Premissas (editável)'!$C$7*'0. Premissas (editável)'!$C$8)</f>
        <v>0</v>
      </c>
      <c r="W50" s="22">
        <f>IF(OR(S50="",V50=""),"",(S50-V50)/S50)</f>
        <v>0</v>
      </c>
      <c r="X50" s="23">
        <f>IF(W50="","preencher",IF(W50&gt;='0. Premissas (editável)'!$C$9,"Viável",IF(W50&gt;='0. Premissas (editável)'!$C$10,"Marginal","Inviável")))</f>
        <v>0</v>
      </c>
      <c r="Y50" s="23">
        <f>IF(R50="","preencher",IF(R50&gt;='0. Premissas (editável)'!$C$11,"PASSA","NÃO PASSA"))</f>
        <v>0</v>
      </c>
      <c r="Z50" s="23">
        <f>IF(AND(R50="",S50=""),"Preencher IQVIA",IF(AND(R50&lt;&gt;"",R50&lt;'0. Premissas (editável)'!$C$11),"NÃO — mercado abaixo do corte",IF(X50="Inviável","NÃO — economia não fecha",IF(D50="NÃO","NÃO — vetada na triagem",IF(X50="Marginal","REAVALIAR — margem apertada","SIM")))))</f>
        <v>0</v>
      </c>
      <c r="AA50" s="12" t="s">
        <v>179</v>
      </c>
      <c r="AB50" s="12"/>
      <c r="AC50" s="12" t="s">
        <v>91</v>
      </c>
      <c r="AD50" s="12" t="s">
        <v>180</v>
      </c>
      <c r="AE50" s="12" t="s">
        <v>178</v>
      </c>
      <c r="AF50" s="12" t="s">
        <v>181</v>
      </c>
      <c r="AG50" s="12" t="s">
        <v>180</v>
      </c>
      <c r="AH50" s="16" t="s">
        <v>180</v>
      </c>
      <c r="AI50" s="14">
        <v>0</v>
      </c>
      <c r="AJ50" s="14">
        <v>0</v>
      </c>
      <c r="AK50" s="12"/>
      <c r="AL50" s="12"/>
      <c r="AM50" s="12"/>
      <c r="AN50" s="12"/>
      <c r="AO50" s="12" t="s">
        <v>182</v>
      </c>
      <c r="AP50" s="14">
        <v>5</v>
      </c>
      <c r="AQ50" s="15" t="s">
        <v>174</v>
      </c>
      <c r="AR50" s="12" t="s">
        <v>610</v>
      </c>
      <c r="AS50" s="12" t="s">
        <v>611</v>
      </c>
      <c r="AT50" s="12" t="s">
        <v>612</v>
      </c>
      <c r="AU50" s="12" t="s">
        <v>613</v>
      </c>
      <c r="AV50" s="12" t="s">
        <v>614</v>
      </c>
      <c r="AW50" s="12" t="s">
        <v>615</v>
      </c>
      <c r="AX50" s="12" t="s">
        <v>593</v>
      </c>
      <c r="AY50" s="12" t="s">
        <v>616</v>
      </c>
    </row>
    <row r="51" spans="1:51">
      <c r="A51" s="12" t="s">
        <v>617</v>
      </c>
      <c r="B51" s="12" t="s">
        <v>618</v>
      </c>
      <c r="C51" s="12" t="s">
        <v>378</v>
      </c>
      <c r="D51" s="24" t="s">
        <v>180</v>
      </c>
      <c r="E51" s="16" t="s">
        <v>178</v>
      </c>
      <c r="F51" s="12" t="s">
        <v>619</v>
      </c>
      <c r="G51" s="14">
        <v>35</v>
      </c>
      <c r="H51" s="14">
        <v>5</v>
      </c>
      <c r="I51" s="14">
        <v>4</v>
      </c>
      <c r="J51" s="14">
        <v>14</v>
      </c>
      <c r="K51" s="14">
        <v>4</v>
      </c>
      <c r="L51" s="14">
        <v>8</v>
      </c>
      <c r="M51" s="12" t="s">
        <v>119</v>
      </c>
      <c r="N51" s="24" t="s">
        <v>351</v>
      </c>
      <c r="O51" s="12" t="s">
        <v>176</v>
      </c>
      <c r="P51" s="12" t="s">
        <v>380</v>
      </c>
      <c r="Q51" s="16" t="s">
        <v>178</v>
      </c>
      <c r="R51" s="19"/>
      <c r="S51" s="20"/>
      <c r="T51" s="20"/>
      <c r="U51" s="20"/>
      <c r="V51" s="21">
        <f>IF(U51="","",U51*'0. Premissas (editável)'!$C$7*'0. Premissas (editável)'!$C$8)</f>
        <v>0</v>
      </c>
      <c r="W51" s="22">
        <f>IF(OR(S51="",V51=""),"",(S51-V51)/S51)</f>
        <v>0</v>
      </c>
      <c r="X51" s="23">
        <f>IF(W51="","preencher",IF(W51&gt;='0. Premissas (editável)'!$C$9,"Viável",IF(W51&gt;='0. Premissas (editável)'!$C$10,"Marginal","Inviável")))</f>
        <v>0</v>
      </c>
      <c r="Y51" s="23">
        <f>IF(R51="","preencher",IF(R51&gt;='0. Premissas (editável)'!$C$11,"PASSA","NÃO PASSA"))</f>
        <v>0</v>
      </c>
      <c r="Z51" s="23">
        <f>IF(AND(R51="",S51=""),"Preencher IQVIA",IF(AND(R51&lt;&gt;"",R51&lt;'0. Premissas (editável)'!$C$11),"NÃO — mercado abaixo do corte",IF(X51="Inviável","NÃO — economia não fecha",IF(D51="NÃO","NÃO — vetada na triagem",IF(X51="Marginal","REAVALIAR — margem apertada","SIM")))))</f>
        <v>0</v>
      </c>
      <c r="AA51" s="12" t="s">
        <v>179</v>
      </c>
      <c r="AB51" s="12"/>
      <c r="AC51" s="12" t="s">
        <v>91</v>
      </c>
      <c r="AD51" s="12" t="s">
        <v>180</v>
      </c>
      <c r="AE51" s="12" t="s">
        <v>178</v>
      </c>
      <c r="AF51" s="12" t="s">
        <v>181</v>
      </c>
      <c r="AG51" s="12" t="s">
        <v>180</v>
      </c>
      <c r="AH51" s="16" t="s">
        <v>180</v>
      </c>
      <c r="AI51" s="14">
        <v>0</v>
      </c>
      <c r="AJ51" s="14">
        <v>0</v>
      </c>
      <c r="AK51" s="12"/>
      <c r="AL51" s="12"/>
      <c r="AM51" s="12"/>
      <c r="AN51" s="12"/>
      <c r="AO51" s="12" t="s">
        <v>218</v>
      </c>
      <c r="AP51" s="14">
        <v>1</v>
      </c>
      <c r="AQ51" s="16" t="s">
        <v>180</v>
      </c>
      <c r="AR51" s="12" t="s">
        <v>620</v>
      </c>
      <c r="AS51" s="12" t="s">
        <v>621</v>
      </c>
      <c r="AT51" s="12" t="s">
        <v>622</v>
      </c>
      <c r="AU51" s="12" t="s">
        <v>623</v>
      </c>
      <c r="AV51" s="12" t="s">
        <v>624</v>
      </c>
      <c r="AW51" s="12" t="s">
        <v>625</v>
      </c>
      <c r="AX51" s="12" t="s">
        <v>593</v>
      </c>
      <c r="AY51" s="12" t="s">
        <v>526</v>
      </c>
    </row>
    <row r="52" spans="1:51">
      <c r="A52" s="12" t="s">
        <v>626</v>
      </c>
      <c r="B52" s="12" t="s">
        <v>627</v>
      </c>
      <c r="C52" s="12" t="s">
        <v>199</v>
      </c>
      <c r="D52" s="24" t="s">
        <v>180</v>
      </c>
      <c r="E52" s="16" t="s">
        <v>178</v>
      </c>
      <c r="F52" s="12" t="s">
        <v>90</v>
      </c>
      <c r="G52" s="14">
        <v>34</v>
      </c>
      <c r="H52" s="14">
        <v>26</v>
      </c>
      <c r="I52" s="14">
        <v>4</v>
      </c>
      <c r="J52" s="14">
        <v>14</v>
      </c>
      <c r="K52" s="14">
        <v>0</v>
      </c>
      <c r="L52" s="14">
        <v>-10</v>
      </c>
      <c r="M52" s="12" t="s">
        <v>93</v>
      </c>
      <c r="N52" s="13" t="s">
        <v>175</v>
      </c>
      <c r="O52" s="12" t="s">
        <v>176</v>
      </c>
      <c r="P52" s="12" t="s">
        <v>262</v>
      </c>
      <c r="Q52" s="16" t="s">
        <v>178</v>
      </c>
      <c r="R52" s="19"/>
      <c r="S52" s="20"/>
      <c r="T52" s="20"/>
      <c r="U52" s="20"/>
      <c r="V52" s="21">
        <f>IF(U52="","",U52*'0. Premissas (editável)'!$C$7*'0. Premissas (editável)'!$C$8)</f>
        <v>0</v>
      </c>
      <c r="W52" s="22">
        <f>IF(OR(S52="",V52=""),"",(S52-V52)/S52)</f>
        <v>0</v>
      </c>
      <c r="X52" s="23">
        <f>IF(W52="","preencher",IF(W52&gt;='0. Premissas (editável)'!$C$9,"Viável",IF(W52&gt;='0. Premissas (editável)'!$C$10,"Marginal","Inviável")))</f>
        <v>0</v>
      </c>
      <c r="Y52" s="23">
        <f>IF(R52="","preencher",IF(R52&gt;='0. Premissas (editável)'!$C$11,"PASSA","NÃO PASSA"))</f>
        <v>0</v>
      </c>
      <c r="Z52" s="23">
        <f>IF(AND(R52="",S52=""),"Preencher IQVIA",IF(AND(R52&lt;&gt;"",R52&lt;'0. Premissas (editável)'!$C$11),"NÃO — mercado abaixo do corte",IF(X52="Inviável","NÃO — economia não fecha",IF(D52="NÃO","NÃO — vetada na triagem",IF(X52="Marginal","REAVALIAR — margem apertada","SIM")))))</f>
        <v>0</v>
      </c>
      <c r="AA52" s="12" t="s">
        <v>179</v>
      </c>
      <c r="AB52" s="12"/>
      <c r="AC52" s="24" t="s">
        <v>628</v>
      </c>
      <c r="AD52" s="12" t="s">
        <v>174</v>
      </c>
      <c r="AE52" s="12" t="s">
        <v>273</v>
      </c>
      <c r="AF52" s="12" t="s">
        <v>274</v>
      </c>
      <c r="AG52" s="12" t="s">
        <v>180</v>
      </c>
      <c r="AH52" s="16" t="s">
        <v>180</v>
      </c>
      <c r="AI52" s="14">
        <v>9</v>
      </c>
      <c r="AJ52" s="14">
        <v>9</v>
      </c>
      <c r="AK52" s="12" t="s">
        <v>629</v>
      </c>
      <c r="AL52" s="12" t="s">
        <v>276</v>
      </c>
      <c r="AM52" s="12" t="s">
        <v>630</v>
      </c>
      <c r="AN52" s="12" t="s">
        <v>631</v>
      </c>
      <c r="AO52" s="12" t="s">
        <v>218</v>
      </c>
      <c r="AP52" s="14">
        <v>1</v>
      </c>
      <c r="AQ52" s="16" t="s">
        <v>180</v>
      </c>
      <c r="AR52" s="12" t="s">
        <v>632</v>
      </c>
      <c r="AS52" s="12" t="s">
        <v>184</v>
      </c>
      <c r="AT52" s="12" t="s">
        <v>633</v>
      </c>
      <c r="AU52" s="12" t="s">
        <v>634</v>
      </c>
      <c r="AV52" s="12" t="s">
        <v>635</v>
      </c>
      <c r="AW52" s="12" t="s">
        <v>636</v>
      </c>
      <c r="AX52" s="12" t="s">
        <v>637</v>
      </c>
      <c r="AY52" s="12" t="s">
        <v>638</v>
      </c>
    </row>
    <row r="53" spans="1:51">
      <c r="A53" s="12" t="s">
        <v>639</v>
      </c>
      <c r="B53" s="12" t="s">
        <v>640</v>
      </c>
      <c r="C53" s="12" t="s">
        <v>292</v>
      </c>
      <c r="D53" s="24" t="s">
        <v>180</v>
      </c>
      <c r="E53" s="16" t="s">
        <v>178</v>
      </c>
      <c r="F53" s="12" t="s">
        <v>586</v>
      </c>
      <c r="G53" s="14">
        <v>34</v>
      </c>
      <c r="H53" s="14">
        <v>5</v>
      </c>
      <c r="I53" s="14">
        <v>0</v>
      </c>
      <c r="J53" s="14">
        <v>12</v>
      </c>
      <c r="K53" s="14">
        <v>9</v>
      </c>
      <c r="L53" s="14">
        <v>8</v>
      </c>
      <c r="M53" s="12" t="s">
        <v>119</v>
      </c>
      <c r="N53" s="24" t="s">
        <v>351</v>
      </c>
      <c r="O53" s="12" t="s">
        <v>352</v>
      </c>
      <c r="P53" s="12" t="s">
        <v>380</v>
      </c>
      <c r="Q53" s="24" t="s">
        <v>381</v>
      </c>
      <c r="R53" s="19"/>
      <c r="S53" s="20"/>
      <c r="T53" s="20"/>
      <c r="U53" s="20"/>
      <c r="V53" s="21">
        <f>IF(U53="","",U53*'0. Premissas (editável)'!$C$7*'0. Premissas (editável)'!$C$8)</f>
        <v>0</v>
      </c>
      <c r="W53" s="22">
        <f>IF(OR(S53="",V53=""),"",(S53-V53)/S53)</f>
        <v>0</v>
      </c>
      <c r="X53" s="23">
        <f>IF(W53="","preencher",IF(W53&gt;='0. Premissas (editável)'!$C$9,"Viável",IF(W53&gt;='0. Premissas (editável)'!$C$10,"Marginal","Inviável")))</f>
        <v>0</v>
      </c>
      <c r="Y53" s="23">
        <f>IF(R53="","preencher",IF(R53&gt;='0. Premissas (editável)'!$C$11,"PASSA","NÃO PASSA"))</f>
        <v>0</v>
      </c>
      <c r="Z53" s="23">
        <f>IF(AND(R53="",S53=""),"Preencher IQVIA",IF(AND(R53&lt;&gt;"",R53&lt;'0. Premissas (editável)'!$C$11),"NÃO — mercado abaixo do corte",IF(X53="Inviável","NÃO — economia não fecha",IF(D53="NÃO","NÃO — vetada na triagem",IF(X53="Marginal","REAVALIAR — margem apertada","SIM")))))</f>
        <v>0</v>
      </c>
      <c r="AA53" s="12" t="s">
        <v>353</v>
      </c>
      <c r="AB53" s="12" t="s">
        <v>641</v>
      </c>
      <c r="AC53" s="12" t="s">
        <v>91</v>
      </c>
      <c r="AD53" s="12" t="s">
        <v>180</v>
      </c>
      <c r="AE53" s="12" t="s">
        <v>178</v>
      </c>
      <c r="AF53" s="12" t="s">
        <v>181</v>
      </c>
      <c r="AG53" s="12" t="s">
        <v>180</v>
      </c>
      <c r="AH53" s="16" t="s">
        <v>180</v>
      </c>
      <c r="AI53" s="14">
        <v>0</v>
      </c>
      <c r="AJ53" s="14">
        <v>0</v>
      </c>
      <c r="AK53" s="12"/>
      <c r="AL53" s="12"/>
      <c r="AM53" s="12"/>
      <c r="AN53" s="12"/>
      <c r="AO53" s="12" t="s">
        <v>402</v>
      </c>
      <c r="AP53" s="14">
        <v>3</v>
      </c>
      <c r="AQ53" s="16" t="s">
        <v>180</v>
      </c>
      <c r="AR53" s="12" t="s">
        <v>642</v>
      </c>
      <c r="AS53" s="12" t="s">
        <v>643</v>
      </c>
      <c r="AT53" s="12" t="s">
        <v>333</v>
      </c>
      <c r="AU53" s="12" t="s">
        <v>644</v>
      </c>
      <c r="AV53" s="12" t="s">
        <v>645</v>
      </c>
      <c r="AW53" s="12" t="s">
        <v>258</v>
      </c>
      <c r="AX53" s="12" t="s">
        <v>646</v>
      </c>
      <c r="AY53" s="12" t="s">
        <v>367</v>
      </c>
    </row>
    <row r="54" spans="1:51">
      <c r="A54" s="12" t="s">
        <v>647</v>
      </c>
      <c r="B54" s="12" t="s">
        <v>648</v>
      </c>
      <c r="C54" s="12" t="s">
        <v>469</v>
      </c>
      <c r="D54" s="24" t="s">
        <v>180</v>
      </c>
      <c r="E54" s="16" t="s">
        <v>178</v>
      </c>
      <c r="F54" s="12" t="s">
        <v>105</v>
      </c>
      <c r="G54" s="14">
        <v>33</v>
      </c>
      <c r="H54" s="14">
        <v>15</v>
      </c>
      <c r="I54" s="14">
        <v>0</v>
      </c>
      <c r="J54" s="14">
        <v>14</v>
      </c>
      <c r="K54" s="14">
        <v>4</v>
      </c>
      <c r="L54" s="14">
        <v>0</v>
      </c>
      <c r="M54" s="12" t="s">
        <v>104</v>
      </c>
      <c r="N54" s="15" t="s">
        <v>261</v>
      </c>
      <c r="O54" s="12" t="s">
        <v>176</v>
      </c>
      <c r="P54" s="12" t="s">
        <v>233</v>
      </c>
      <c r="Q54" s="16" t="s">
        <v>178</v>
      </c>
      <c r="R54" s="19"/>
      <c r="S54" s="20"/>
      <c r="T54" s="20"/>
      <c r="U54" s="20"/>
      <c r="V54" s="21">
        <f>IF(U54="","",U54*'0. Premissas (editável)'!$C$7*'0. Premissas (editável)'!$C$8)</f>
        <v>0</v>
      </c>
      <c r="W54" s="22">
        <f>IF(OR(S54="",V54=""),"",(S54-V54)/S54)</f>
        <v>0</v>
      </c>
      <c r="X54" s="23">
        <f>IF(W54="","preencher",IF(W54&gt;='0. Premissas (editável)'!$C$9,"Viável",IF(W54&gt;='0. Premissas (editável)'!$C$10,"Marginal","Inviável")))</f>
        <v>0</v>
      </c>
      <c r="Y54" s="23">
        <f>IF(R54="","preencher",IF(R54&gt;='0. Premissas (editável)'!$C$11,"PASSA","NÃO PASSA"))</f>
        <v>0</v>
      </c>
      <c r="Z54" s="23">
        <f>IF(AND(R54="",S54=""),"Preencher IQVIA",IF(AND(R54&lt;&gt;"",R54&lt;'0. Premissas (editável)'!$C$11),"NÃO — mercado abaixo do corte",IF(X54="Inviável","NÃO — economia não fecha",IF(D54="NÃO","NÃO — vetada na triagem",IF(X54="Marginal","REAVALIAR — margem apertada","SIM")))))</f>
        <v>0</v>
      </c>
      <c r="AA54" s="12" t="s">
        <v>179</v>
      </c>
      <c r="AB54" s="12"/>
      <c r="AC54" s="12" t="s">
        <v>101</v>
      </c>
      <c r="AD54" s="12" t="s">
        <v>174</v>
      </c>
      <c r="AE54" s="12" t="s">
        <v>273</v>
      </c>
      <c r="AF54" s="12" t="s">
        <v>243</v>
      </c>
      <c r="AG54" s="12" t="s">
        <v>180</v>
      </c>
      <c r="AH54" s="16" t="s">
        <v>180</v>
      </c>
      <c r="AI54" s="14">
        <v>3</v>
      </c>
      <c r="AJ54" s="14">
        <v>3</v>
      </c>
      <c r="AK54" s="12" t="s">
        <v>649</v>
      </c>
      <c r="AL54" s="12" t="s">
        <v>245</v>
      </c>
      <c r="AM54" s="12" t="s">
        <v>246</v>
      </c>
      <c r="AN54" s="12" t="s">
        <v>650</v>
      </c>
      <c r="AO54" s="12" t="s">
        <v>201</v>
      </c>
      <c r="AP54" s="14">
        <v>1</v>
      </c>
      <c r="AQ54" s="16" t="s">
        <v>180</v>
      </c>
      <c r="AR54" s="12" t="s">
        <v>520</v>
      </c>
      <c r="AS54" s="12" t="s">
        <v>235</v>
      </c>
      <c r="AT54" s="12" t="s">
        <v>651</v>
      </c>
      <c r="AU54" s="12" t="s">
        <v>652</v>
      </c>
      <c r="AV54" s="12" t="s">
        <v>653</v>
      </c>
      <c r="AW54" s="12" t="s">
        <v>329</v>
      </c>
      <c r="AX54" s="12" t="s">
        <v>654</v>
      </c>
      <c r="AY54" s="12" t="s">
        <v>269</v>
      </c>
    </row>
    <row r="55" spans="1:51">
      <c r="A55" s="12" t="s">
        <v>655</v>
      </c>
      <c r="B55" s="12" t="s">
        <v>656</v>
      </c>
      <c r="C55" s="12" t="s">
        <v>378</v>
      </c>
      <c r="D55" s="24" t="s">
        <v>180</v>
      </c>
      <c r="E55" s="16" t="s">
        <v>178</v>
      </c>
      <c r="F55" s="12" t="s">
        <v>105</v>
      </c>
      <c r="G55" s="14">
        <v>33</v>
      </c>
      <c r="H55" s="14">
        <v>15</v>
      </c>
      <c r="I55" s="14">
        <v>4</v>
      </c>
      <c r="J55" s="14">
        <v>14</v>
      </c>
      <c r="K55" s="14">
        <v>0</v>
      </c>
      <c r="L55" s="14">
        <v>0</v>
      </c>
      <c r="M55" s="12" t="s">
        <v>104</v>
      </c>
      <c r="N55" s="15" t="s">
        <v>261</v>
      </c>
      <c r="O55" s="12" t="s">
        <v>176</v>
      </c>
      <c r="P55" s="12" t="s">
        <v>271</v>
      </c>
      <c r="Q55" s="16" t="s">
        <v>272</v>
      </c>
      <c r="R55" s="19"/>
      <c r="S55" s="20"/>
      <c r="T55" s="20"/>
      <c r="U55" s="20"/>
      <c r="V55" s="21">
        <f>IF(U55="","",U55*'0. Premissas (editável)'!$C$7*'0. Premissas (editável)'!$C$8)</f>
        <v>0</v>
      </c>
      <c r="W55" s="22">
        <f>IF(OR(S55="",V55=""),"",(S55-V55)/S55)</f>
        <v>0</v>
      </c>
      <c r="X55" s="23">
        <f>IF(W55="","preencher",IF(W55&gt;='0. Premissas (editável)'!$C$9,"Viável",IF(W55&gt;='0. Premissas (editável)'!$C$10,"Marginal","Inviável")))</f>
        <v>0</v>
      </c>
      <c r="Y55" s="23">
        <f>IF(R55="","preencher",IF(R55&gt;='0. Premissas (editável)'!$C$11,"PASSA","NÃO PASSA"))</f>
        <v>0</v>
      </c>
      <c r="Z55" s="23">
        <f>IF(AND(R55="",S55=""),"Preencher IQVIA",IF(AND(R55&lt;&gt;"",R55&lt;'0. Premissas (editável)'!$C$11),"NÃO — mercado abaixo do corte",IF(X55="Inviável","NÃO — economia não fecha",IF(D55="NÃO","NÃO — vetada na triagem",IF(X55="Marginal","REAVALIAR — margem apertada","SIM")))))</f>
        <v>0</v>
      </c>
      <c r="AA55" s="12" t="s">
        <v>179</v>
      </c>
      <c r="AB55" s="12"/>
      <c r="AC55" s="12" t="s">
        <v>101</v>
      </c>
      <c r="AD55" s="12" t="s">
        <v>174</v>
      </c>
      <c r="AE55" s="12" t="s">
        <v>483</v>
      </c>
      <c r="AF55" s="12" t="s">
        <v>243</v>
      </c>
      <c r="AG55" s="12" t="s">
        <v>180</v>
      </c>
      <c r="AH55" s="16" t="s">
        <v>180</v>
      </c>
      <c r="AI55" s="14">
        <v>1</v>
      </c>
      <c r="AJ55" s="14">
        <v>1</v>
      </c>
      <c r="AK55" s="12" t="s">
        <v>657</v>
      </c>
      <c r="AL55" s="12" t="s">
        <v>245</v>
      </c>
      <c r="AM55" s="12" t="s">
        <v>246</v>
      </c>
      <c r="AN55" s="12" t="s">
        <v>658</v>
      </c>
      <c r="AO55" s="12" t="s">
        <v>218</v>
      </c>
      <c r="AP55" s="14">
        <v>1</v>
      </c>
      <c r="AQ55" s="16" t="s">
        <v>180</v>
      </c>
      <c r="AR55" s="12" t="s">
        <v>659</v>
      </c>
      <c r="AS55" s="12" t="s">
        <v>184</v>
      </c>
      <c r="AT55" s="12" t="s">
        <v>660</v>
      </c>
      <c r="AU55" s="12" t="s">
        <v>661</v>
      </c>
      <c r="AV55" s="12" t="s">
        <v>662</v>
      </c>
      <c r="AW55" s="12" t="s">
        <v>283</v>
      </c>
      <c r="AX55" s="12" t="s">
        <v>663</v>
      </c>
      <c r="AY55" s="12" t="s">
        <v>269</v>
      </c>
    </row>
    <row r="56" spans="1:51">
      <c r="A56" s="12" t="s">
        <v>664</v>
      </c>
      <c r="B56" s="12" t="s">
        <v>665</v>
      </c>
      <c r="C56" s="12" t="s">
        <v>469</v>
      </c>
      <c r="D56" s="24" t="s">
        <v>180</v>
      </c>
      <c r="E56" s="16" t="s">
        <v>178</v>
      </c>
      <c r="F56" s="12" t="s">
        <v>519</v>
      </c>
      <c r="G56" s="14">
        <v>33</v>
      </c>
      <c r="H56" s="14">
        <v>5</v>
      </c>
      <c r="I56" s="14">
        <v>0</v>
      </c>
      <c r="J56" s="14">
        <v>14</v>
      </c>
      <c r="K56" s="14">
        <v>6</v>
      </c>
      <c r="L56" s="14">
        <v>8</v>
      </c>
      <c r="M56" s="12" t="s">
        <v>119</v>
      </c>
      <c r="N56" s="24" t="s">
        <v>351</v>
      </c>
      <c r="O56" s="12" t="s">
        <v>176</v>
      </c>
      <c r="P56" s="12" t="s">
        <v>380</v>
      </c>
      <c r="Q56" s="16" t="s">
        <v>178</v>
      </c>
      <c r="R56" s="19"/>
      <c r="S56" s="20"/>
      <c r="T56" s="20"/>
      <c r="U56" s="20"/>
      <c r="V56" s="21">
        <f>IF(U56="","",U56*'0. Premissas (editável)'!$C$7*'0. Premissas (editável)'!$C$8)</f>
        <v>0</v>
      </c>
      <c r="W56" s="22">
        <f>IF(OR(S56="",V56=""),"",(S56-V56)/S56)</f>
        <v>0</v>
      </c>
      <c r="X56" s="23">
        <f>IF(W56="","preencher",IF(W56&gt;='0. Premissas (editável)'!$C$9,"Viável",IF(W56&gt;='0. Premissas (editável)'!$C$10,"Marginal","Inviável")))</f>
        <v>0</v>
      </c>
      <c r="Y56" s="23">
        <f>IF(R56="","preencher",IF(R56&gt;='0. Premissas (editável)'!$C$11,"PASSA","NÃO PASSA"))</f>
        <v>0</v>
      </c>
      <c r="Z56" s="23">
        <f>IF(AND(R56="",S56=""),"Preencher IQVIA",IF(AND(R56&lt;&gt;"",R56&lt;'0. Premissas (editável)'!$C$11),"NÃO — mercado abaixo do corte",IF(X56="Inviável","NÃO — economia não fecha",IF(D56="NÃO","NÃO — vetada na triagem",IF(X56="Marginal","REAVALIAR — margem apertada","SIM")))))</f>
        <v>0</v>
      </c>
      <c r="AA56" s="12" t="s">
        <v>179</v>
      </c>
      <c r="AB56" s="12"/>
      <c r="AC56" s="12" t="s">
        <v>91</v>
      </c>
      <c r="AD56" s="12" t="s">
        <v>180</v>
      </c>
      <c r="AE56" s="12" t="s">
        <v>178</v>
      </c>
      <c r="AF56" s="12" t="s">
        <v>181</v>
      </c>
      <c r="AG56" s="12" t="s">
        <v>180</v>
      </c>
      <c r="AH56" s="16" t="s">
        <v>180</v>
      </c>
      <c r="AI56" s="14">
        <v>0</v>
      </c>
      <c r="AJ56" s="14">
        <v>0</v>
      </c>
      <c r="AK56" s="12"/>
      <c r="AL56" s="12"/>
      <c r="AM56" s="12"/>
      <c r="AN56" s="12"/>
      <c r="AO56" s="12" t="s">
        <v>201</v>
      </c>
      <c r="AP56" s="14">
        <v>8</v>
      </c>
      <c r="AQ56" s="15" t="s">
        <v>174</v>
      </c>
      <c r="AR56" s="12" t="s">
        <v>666</v>
      </c>
      <c r="AS56" s="12" t="s">
        <v>588</v>
      </c>
      <c r="AT56" s="12" t="s">
        <v>667</v>
      </c>
      <c r="AU56" s="12" t="s">
        <v>668</v>
      </c>
      <c r="AV56" s="12" t="s">
        <v>669</v>
      </c>
      <c r="AW56" s="12" t="s">
        <v>670</v>
      </c>
      <c r="AX56" s="12" t="s">
        <v>525</v>
      </c>
      <c r="AY56" s="12" t="s">
        <v>616</v>
      </c>
    </row>
    <row r="57" spans="1:51">
      <c r="A57" s="12" t="s">
        <v>671</v>
      </c>
      <c r="B57" s="12" t="s">
        <v>672</v>
      </c>
      <c r="C57" s="12" t="s">
        <v>469</v>
      </c>
      <c r="D57" s="24" t="s">
        <v>180</v>
      </c>
      <c r="E57" s="16" t="s">
        <v>178</v>
      </c>
      <c r="F57" s="12" t="s">
        <v>586</v>
      </c>
      <c r="G57" s="14">
        <v>33</v>
      </c>
      <c r="H57" s="14">
        <v>5</v>
      </c>
      <c r="I57" s="14">
        <v>0</v>
      </c>
      <c r="J57" s="14">
        <v>14</v>
      </c>
      <c r="K57" s="14">
        <v>6</v>
      </c>
      <c r="L57" s="14">
        <v>8</v>
      </c>
      <c r="M57" s="12" t="s">
        <v>119</v>
      </c>
      <c r="N57" s="24" t="s">
        <v>351</v>
      </c>
      <c r="O57" s="12" t="s">
        <v>176</v>
      </c>
      <c r="P57" s="12" t="s">
        <v>380</v>
      </c>
      <c r="Q57" s="16" t="s">
        <v>178</v>
      </c>
      <c r="R57" s="19"/>
      <c r="S57" s="20"/>
      <c r="T57" s="20"/>
      <c r="U57" s="20"/>
      <c r="V57" s="21">
        <f>IF(U57="","",U57*'0. Premissas (editável)'!$C$7*'0. Premissas (editável)'!$C$8)</f>
        <v>0</v>
      </c>
      <c r="W57" s="22">
        <f>IF(OR(S57="",V57=""),"",(S57-V57)/S57)</f>
        <v>0</v>
      </c>
      <c r="X57" s="23">
        <f>IF(W57="","preencher",IF(W57&gt;='0. Premissas (editável)'!$C$9,"Viável",IF(W57&gt;='0. Premissas (editável)'!$C$10,"Marginal","Inviável")))</f>
        <v>0</v>
      </c>
      <c r="Y57" s="23">
        <f>IF(R57="","preencher",IF(R57&gt;='0. Premissas (editável)'!$C$11,"PASSA","NÃO PASSA"))</f>
        <v>0</v>
      </c>
      <c r="Z57" s="23">
        <f>IF(AND(R57="",S57=""),"Preencher IQVIA",IF(AND(R57&lt;&gt;"",R57&lt;'0. Premissas (editável)'!$C$11),"NÃO — mercado abaixo do corte",IF(X57="Inviável","NÃO — economia não fecha",IF(D57="NÃO","NÃO — vetada na triagem",IF(X57="Marginal","REAVALIAR — margem apertada","SIM")))))</f>
        <v>0</v>
      </c>
      <c r="AA57" s="12" t="s">
        <v>179</v>
      </c>
      <c r="AB57" s="12"/>
      <c r="AC57" s="12" t="s">
        <v>91</v>
      </c>
      <c r="AD57" s="12" t="s">
        <v>180</v>
      </c>
      <c r="AE57" s="12" t="s">
        <v>178</v>
      </c>
      <c r="AF57" s="12" t="s">
        <v>181</v>
      </c>
      <c r="AG57" s="12" t="s">
        <v>180</v>
      </c>
      <c r="AH57" s="16" t="s">
        <v>180</v>
      </c>
      <c r="AI57" s="14">
        <v>0</v>
      </c>
      <c r="AJ57" s="14">
        <v>0</v>
      </c>
      <c r="AK57" s="12"/>
      <c r="AL57" s="12"/>
      <c r="AM57" s="12"/>
      <c r="AN57" s="12"/>
      <c r="AO57" s="12" t="s">
        <v>182</v>
      </c>
      <c r="AP57" s="14">
        <v>2</v>
      </c>
      <c r="AQ57" s="16" t="s">
        <v>180</v>
      </c>
      <c r="AR57" s="12" t="s">
        <v>673</v>
      </c>
      <c r="AS57" s="12" t="s">
        <v>184</v>
      </c>
      <c r="AT57" s="12" t="s">
        <v>674</v>
      </c>
      <c r="AU57" s="12" t="s">
        <v>675</v>
      </c>
      <c r="AV57" s="12" t="s">
        <v>676</v>
      </c>
      <c r="AW57" s="12" t="s">
        <v>677</v>
      </c>
      <c r="AX57" s="12" t="s">
        <v>593</v>
      </c>
      <c r="AY57" s="12" t="s">
        <v>526</v>
      </c>
    </row>
    <row r="58" spans="1:51">
      <c r="A58" s="12" t="s">
        <v>678</v>
      </c>
      <c r="B58" s="12" t="s">
        <v>679</v>
      </c>
      <c r="C58" s="12" t="s">
        <v>199</v>
      </c>
      <c r="D58" s="24" t="s">
        <v>180</v>
      </c>
      <c r="E58" s="16" t="s">
        <v>178</v>
      </c>
      <c r="F58" s="12" t="s">
        <v>105</v>
      </c>
      <c r="G58" s="14">
        <v>32</v>
      </c>
      <c r="H58" s="14">
        <v>15</v>
      </c>
      <c r="I58" s="14">
        <v>0</v>
      </c>
      <c r="J58" s="14">
        <v>14</v>
      </c>
      <c r="K58" s="14">
        <v>0</v>
      </c>
      <c r="L58" s="14">
        <v>3</v>
      </c>
      <c r="M58" s="12" t="s">
        <v>104</v>
      </c>
      <c r="N58" s="15" t="s">
        <v>261</v>
      </c>
      <c r="O58" s="12" t="s">
        <v>176</v>
      </c>
      <c r="P58" s="12" t="s">
        <v>262</v>
      </c>
      <c r="Q58" s="16" t="s">
        <v>178</v>
      </c>
      <c r="R58" s="19"/>
      <c r="S58" s="20"/>
      <c r="T58" s="20"/>
      <c r="U58" s="20"/>
      <c r="V58" s="21">
        <f>IF(U58="","",U58*'0. Premissas (editável)'!$C$7*'0. Premissas (editável)'!$C$8)</f>
        <v>0</v>
      </c>
      <c r="W58" s="22">
        <f>IF(OR(S58="",V58=""),"",(S58-V58)/S58)</f>
        <v>0</v>
      </c>
      <c r="X58" s="23">
        <f>IF(W58="","preencher",IF(W58&gt;='0. Premissas (editável)'!$C$9,"Viável",IF(W58&gt;='0. Premissas (editável)'!$C$10,"Marginal","Inviável")))</f>
        <v>0</v>
      </c>
      <c r="Y58" s="23">
        <f>IF(R58="","preencher",IF(R58&gt;='0. Premissas (editável)'!$C$11,"PASSA","NÃO PASSA"))</f>
        <v>0</v>
      </c>
      <c r="Z58" s="23">
        <f>IF(AND(R58="",S58=""),"Preencher IQVIA",IF(AND(R58&lt;&gt;"",R58&lt;'0. Premissas (editável)'!$C$11),"NÃO — mercado abaixo do corte",IF(X58="Inviável","NÃO — economia não fecha",IF(D58="NÃO","NÃO — vetada na triagem",IF(X58="Marginal","REAVALIAR — margem apertada","SIM")))))</f>
        <v>0</v>
      </c>
      <c r="AA58" s="12" t="s">
        <v>179</v>
      </c>
      <c r="AB58" s="12"/>
      <c r="AC58" s="12" t="s">
        <v>108</v>
      </c>
      <c r="AD58" s="12" t="s">
        <v>174</v>
      </c>
      <c r="AE58" s="12" t="s">
        <v>242</v>
      </c>
      <c r="AF58" s="12" t="s">
        <v>274</v>
      </c>
      <c r="AG58" s="12" t="s">
        <v>174</v>
      </c>
      <c r="AH58" s="16" t="s">
        <v>180</v>
      </c>
      <c r="AI58" s="14">
        <v>2</v>
      </c>
      <c r="AJ58" s="14">
        <v>3</v>
      </c>
      <c r="AK58" s="12" t="s">
        <v>680</v>
      </c>
      <c r="AL58" s="12" t="s">
        <v>681</v>
      </c>
      <c r="AM58" s="12" t="s">
        <v>495</v>
      </c>
      <c r="AN58" s="12" t="s">
        <v>682</v>
      </c>
      <c r="AO58" s="12" t="s">
        <v>201</v>
      </c>
      <c r="AP58" s="14">
        <v>2</v>
      </c>
      <c r="AQ58" s="16" t="s">
        <v>180</v>
      </c>
      <c r="AR58" s="12" t="s">
        <v>683</v>
      </c>
      <c r="AS58" s="12" t="s">
        <v>184</v>
      </c>
      <c r="AT58" s="12" t="s">
        <v>432</v>
      </c>
      <c r="AU58" s="12" t="s">
        <v>684</v>
      </c>
      <c r="AV58" s="12" t="s">
        <v>685</v>
      </c>
      <c r="AW58" s="12" t="s">
        <v>524</v>
      </c>
      <c r="AX58" s="12" t="s">
        <v>436</v>
      </c>
      <c r="AY58" s="12" t="s">
        <v>269</v>
      </c>
    </row>
    <row r="59" spans="1:51">
      <c r="A59" s="12" t="s">
        <v>686</v>
      </c>
      <c r="B59" s="12" t="s">
        <v>687</v>
      </c>
      <c r="C59" s="12" t="s">
        <v>199</v>
      </c>
      <c r="D59" s="24" t="s">
        <v>180</v>
      </c>
      <c r="E59" s="16" t="s">
        <v>178</v>
      </c>
      <c r="F59" s="12" t="s">
        <v>105</v>
      </c>
      <c r="G59" s="14">
        <v>32</v>
      </c>
      <c r="H59" s="14">
        <v>15</v>
      </c>
      <c r="I59" s="14">
        <v>0</v>
      </c>
      <c r="J59" s="14">
        <v>14</v>
      </c>
      <c r="K59" s="14">
        <v>0</v>
      </c>
      <c r="L59" s="14">
        <v>3</v>
      </c>
      <c r="M59" s="12" t="s">
        <v>104</v>
      </c>
      <c r="N59" s="15" t="s">
        <v>261</v>
      </c>
      <c r="O59" s="12" t="s">
        <v>176</v>
      </c>
      <c r="P59" s="12" t="s">
        <v>262</v>
      </c>
      <c r="Q59" s="16" t="s">
        <v>178</v>
      </c>
      <c r="R59" s="19"/>
      <c r="S59" s="20"/>
      <c r="T59" s="20"/>
      <c r="U59" s="20"/>
      <c r="V59" s="21">
        <f>IF(U59="","",U59*'0. Premissas (editável)'!$C$7*'0. Premissas (editável)'!$C$8)</f>
        <v>0</v>
      </c>
      <c r="W59" s="22">
        <f>IF(OR(S59="",V59=""),"",(S59-V59)/S59)</f>
        <v>0</v>
      </c>
      <c r="X59" s="23">
        <f>IF(W59="","preencher",IF(W59&gt;='0. Premissas (editável)'!$C$9,"Viável",IF(W59&gt;='0. Premissas (editável)'!$C$10,"Marginal","Inviável")))</f>
        <v>0</v>
      </c>
      <c r="Y59" s="23">
        <f>IF(R59="","preencher",IF(R59&gt;='0. Premissas (editável)'!$C$11,"PASSA","NÃO PASSA"))</f>
        <v>0</v>
      </c>
      <c r="Z59" s="23">
        <f>IF(AND(R59="",S59=""),"Preencher IQVIA",IF(AND(R59&lt;&gt;"",R59&lt;'0. Premissas (editável)'!$C$11),"NÃO — mercado abaixo do corte",IF(X59="Inviável","NÃO — economia não fecha",IF(D59="NÃO","NÃO — vetada na triagem",IF(X59="Marginal","REAVALIAR — margem apertada","SIM")))))</f>
        <v>0</v>
      </c>
      <c r="AA59" s="12" t="s">
        <v>179</v>
      </c>
      <c r="AB59" s="12"/>
      <c r="AC59" s="12" t="s">
        <v>108</v>
      </c>
      <c r="AD59" s="12" t="s">
        <v>174</v>
      </c>
      <c r="AE59" s="12" t="s">
        <v>242</v>
      </c>
      <c r="AF59" s="12" t="s">
        <v>274</v>
      </c>
      <c r="AG59" s="12" t="s">
        <v>180</v>
      </c>
      <c r="AH59" s="16" t="s">
        <v>180</v>
      </c>
      <c r="AI59" s="14">
        <v>5</v>
      </c>
      <c r="AJ59" s="14">
        <v>5</v>
      </c>
      <c r="AK59" s="12" t="s">
        <v>688</v>
      </c>
      <c r="AL59" s="12" t="s">
        <v>356</v>
      </c>
      <c r="AM59" s="12" t="s">
        <v>689</v>
      </c>
      <c r="AN59" s="12" t="s">
        <v>690</v>
      </c>
      <c r="AO59" s="12" t="s">
        <v>201</v>
      </c>
      <c r="AP59" s="14">
        <v>2</v>
      </c>
      <c r="AQ59" s="16" t="s">
        <v>180</v>
      </c>
      <c r="AR59" s="12" t="s">
        <v>691</v>
      </c>
      <c r="AS59" s="12" t="s">
        <v>184</v>
      </c>
      <c r="AT59" s="12" t="s">
        <v>514</v>
      </c>
      <c r="AU59" s="12" t="s">
        <v>692</v>
      </c>
      <c r="AV59" s="12" t="s">
        <v>693</v>
      </c>
      <c r="AW59" s="12" t="s">
        <v>694</v>
      </c>
      <c r="AX59" s="12" t="s">
        <v>695</v>
      </c>
      <c r="AY59" s="12" t="s">
        <v>269</v>
      </c>
    </row>
    <row r="60" spans="1:51">
      <c r="A60" s="12" t="s">
        <v>696</v>
      </c>
      <c r="B60" s="12" t="s">
        <v>697</v>
      </c>
      <c r="C60" s="12" t="s">
        <v>292</v>
      </c>
      <c r="D60" s="24" t="s">
        <v>180</v>
      </c>
      <c r="E60" s="16" t="s">
        <v>178</v>
      </c>
      <c r="F60" s="12" t="s">
        <v>619</v>
      </c>
      <c r="G60" s="14">
        <v>31</v>
      </c>
      <c r="H60" s="14">
        <v>5</v>
      </c>
      <c r="I60" s="14">
        <v>4</v>
      </c>
      <c r="J60" s="14">
        <v>14</v>
      </c>
      <c r="K60" s="14">
        <v>0</v>
      </c>
      <c r="L60" s="14">
        <v>8</v>
      </c>
      <c r="M60" s="12" t="s">
        <v>119</v>
      </c>
      <c r="N60" s="24" t="s">
        <v>351</v>
      </c>
      <c r="O60" s="12" t="s">
        <v>176</v>
      </c>
      <c r="P60" s="12" t="s">
        <v>380</v>
      </c>
      <c r="Q60" s="16" t="s">
        <v>178</v>
      </c>
      <c r="R60" s="19"/>
      <c r="S60" s="20"/>
      <c r="T60" s="20"/>
      <c r="U60" s="20"/>
      <c r="V60" s="21">
        <f>IF(U60="","",U60*'0. Premissas (editável)'!$C$7*'0. Premissas (editável)'!$C$8)</f>
        <v>0</v>
      </c>
      <c r="W60" s="22">
        <f>IF(OR(S60="",V60=""),"",(S60-V60)/S60)</f>
        <v>0</v>
      </c>
      <c r="X60" s="23">
        <f>IF(W60="","preencher",IF(W60&gt;='0. Premissas (editável)'!$C$9,"Viável",IF(W60&gt;='0. Premissas (editável)'!$C$10,"Marginal","Inviável")))</f>
        <v>0</v>
      </c>
      <c r="Y60" s="23">
        <f>IF(R60="","preencher",IF(R60&gt;='0. Premissas (editável)'!$C$11,"PASSA","NÃO PASSA"))</f>
        <v>0</v>
      </c>
      <c r="Z60" s="23">
        <f>IF(AND(R60="",S60=""),"Preencher IQVIA",IF(AND(R60&lt;&gt;"",R60&lt;'0. Premissas (editável)'!$C$11),"NÃO — mercado abaixo do corte",IF(X60="Inviável","NÃO — economia não fecha",IF(D60="NÃO","NÃO — vetada na triagem",IF(X60="Marginal","REAVALIAR — margem apertada","SIM")))))</f>
        <v>0</v>
      </c>
      <c r="AA60" s="12" t="s">
        <v>179</v>
      </c>
      <c r="AB60" s="12"/>
      <c r="AC60" s="12" t="s">
        <v>91</v>
      </c>
      <c r="AD60" s="12" t="s">
        <v>180</v>
      </c>
      <c r="AE60" s="12" t="s">
        <v>178</v>
      </c>
      <c r="AF60" s="12" t="s">
        <v>181</v>
      </c>
      <c r="AG60" s="12" t="s">
        <v>180</v>
      </c>
      <c r="AH60" s="16" t="s">
        <v>180</v>
      </c>
      <c r="AI60" s="14">
        <v>0</v>
      </c>
      <c r="AJ60" s="14">
        <v>0</v>
      </c>
      <c r="AK60" s="12"/>
      <c r="AL60" s="12"/>
      <c r="AM60" s="12"/>
      <c r="AN60" s="12"/>
      <c r="AO60" s="12" t="s">
        <v>218</v>
      </c>
      <c r="AP60" s="14">
        <v>3</v>
      </c>
      <c r="AQ60" s="16" t="s">
        <v>180</v>
      </c>
      <c r="AR60" s="12" t="s">
        <v>698</v>
      </c>
      <c r="AS60" s="12" t="s">
        <v>184</v>
      </c>
      <c r="AT60" s="12" t="s">
        <v>699</v>
      </c>
      <c r="AU60" s="12" t="s">
        <v>700</v>
      </c>
      <c r="AV60" s="12" t="s">
        <v>701</v>
      </c>
      <c r="AW60" s="12" t="s">
        <v>443</v>
      </c>
      <c r="AX60" s="12" t="s">
        <v>593</v>
      </c>
      <c r="AY60" s="12" t="s">
        <v>526</v>
      </c>
    </row>
    <row r="61" spans="1:51">
      <c r="A61" s="12" t="s">
        <v>702</v>
      </c>
      <c r="B61" s="12" t="s">
        <v>703</v>
      </c>
      <c r="C61" s="12" t="s">
        <v>292</v>
      </c>
      <c r="D61" s="24" t="s">
        <v>180</v>
      </c>
      <c r="E61" s="16" t="s">
        <v>178</v>
      </c>
      <c r="F61" s="12" t="s">
        <v>619</v>
      </c>
      <c r="G61" s="14">
        <v>31</v>
      </c>
      <c r="H61" s="14">
        <v>5</v>
      </c>
      <c r="I61" s="14">
        <v>4</v>
      </c>
      <c r="J61" s="14">
        <v>14</v>
      </c>
      <c r="K61" s="14">
        <v>0</v>
      </c>
      <c r="L61" s="14">
        <v>8</v>
      </c>
      <c r="M61" s="12" t="s">
        <v>119</v>
      </c>
      <c r="N61" s="24" t="s">
        <v>351</v>
      </c>
      <c r="O61" s="12" t="s">
        <v>176</v>
      </c>
      <c r="P61" s="12" t="s">
        <v>380</v>
      </c>
      <c r="Q61" s="16" t="s">
        <v>178</v>
      </c>
      <c r="R61" s="19"/>
      <c r="S61" s="20"/>
      <c r="T61" s="20"/>
      <c r="U61" s="20"/>
      <c r="V61" s="21">
        <f>IF(U61="","",U61*'0. Premissas (editável)'!$C$7*'0. Premissas (editável)'!$C$8)</f>
        <v>0</v>
      </c>
      <c r="W61" s="22">
        <f>IF(OR(S61="",V61=""),"",(S61-V61)/S61)</f>
        <v>0</v>
      </c>
      <c r="X61" s="23">
        <f>IF(W61="","preencher",IF(W61&gt;='0. Premissas (editável)'!$C$9,"Viável",IF(W61&gt;='0. Premissas (editável)'!$C$10,"Marginal","Inviável")))</f>
        <v>0</v>
      </c>
      <c r="Y61" s="23">
        <f>IF(R61="","preencher",IF(R61&gt;='0. Premissas (editável)'!$C$11,"PASSA","NÃO PASSA"))</f>
        <v>0</v>
      </c>
      <c r="Z61" s="23">
        <f>IF(AND(R61="",S61=""),"Preencher IQVIA",IF(AND(R61&lt;&gt;"",R61&lt;'0. Premissas (editável)'!$C$11),"NÃO — mercado abaixo do corte",IF(X61="Inviável","NÃO — economia não fecha",IF(D61="NÃO","NÃO — vetada na triagem",IF(X61="Marginal","REAVALIAR — margem apertada","SIM")))))</f>
        <v>0</v>
      </c>
      <c r="AA61" s="12" t="s">
        <v>179</v>
      </c>
      <c r="AB61" s="12"/>
      <c r="AC61" s="12" t="s">
        <v>91</v>
      </c>
      <c r="AD61" s="12" t="s">
        <v>180</v>
      </c>
      <c r="AE61" s="12" t="s">
        <v>178</v>
      </c>
      <c r="AF61" s="12" t="s">
        <v>181</v>
      </c>
      <c r="AG61" s="12" t="s">
        <v>180</v>
      </c>
      <c r="AH61" s="16" t="s">
        <v>180</v>
      </c>
      <c r="AI61" s="14">
        <v>0</v>
      </c>
      <c r="AJ61" s="14">
        <v>0</v>
      </c>
      <c r="AK61" s="12"/>
      <c r="AL61" s="12"/>
      <c r="AM61" s="12"/>
      <c r="AN61" s="12"/>
      <c r="AO61" s="12" t="s">
        <v>218</v>
      </c>
      <c r="AP61" s="14">
        <v>2</v>
      </c>
      <c r="AQ61" s="16" t="s">
        <v>180</v>
      </c>
      <c r="AR61" s="12" t="s">
        <v>704</v>
      </c>
      <c r="AS61" s="12" t="s">
        <v>705</v>
      </c>
      <c r="AT61" s="12" t="s">
        <v>699</v>
      </c>
      <c r="AU61" s="12" t="s">
        <v>706</v>
      </c>
      <c r="AV61" s="12" t="s">
        <v>707</v>
      </c>
      <c r="AW61" s="12" t="s">
        <v>708</v>
      </c>
      <c r="AX61" s="12" t="s">
        <v>593</v>
      </c>
      <c r="AY61" s="12" t="s">
        <v>526</v>
      </c>
    </row>
    <row r="62" spans="1:51">
      <c r="A62" s="12" t="s">
        <v>709</v>
      </c>
      <c r="B62" s="12" t="s">
        <v>710</v>
      </c>
      <c r="C62" s="12" t="s">
        <v>199</v>
      </c>
      <c r="D62" s="24" t="s">
        <v>180</v>
      </c>
      <c r="E62" s="16" t="s">
        <v>178</v>
      </c>
      <c r="F62" s="12" t="s">
        <v>619</v>
      </c>
      <c r="G62" s="14">
        <v>31</v>
      </c>
      <c r="H62" s="14">
        <v>5</v>
      </c>
      <c r="I62" s="14">
        <v>4</v>
      </c>
      <c r="J62" s="14">
        <v>14</v>
      </c>
      <c r="K62" s="14">
        <v>0</v>
      </c>
      <c r="L62" s="14">
        <v>8</v>
      </c>
      <c r="M62" s="12" t="s">
        <v>119</v>
      </c>
      <c r="N62" s="24" t="s">
        <v>351</v>
      </c>
      <c r="O62" s="12" t="s">
        <v>176</v>
      </c>
      <c r="P62" s="12" t="s">
        <v>380</v>
      </c>
      <c r="Q62" s="16" t="s">
        <v>178</v>
      </c>
      <c r="R62" s="19"/>
      <c r="S62" s="20"/>
      <c r="T62" s="20"/>
      <c r="U62" s="20"/>
      <c r="V62" s="21">
        <f>IF(U62="","",U62*'0. Premissas (editável)'!$C$7*'0. Premissas (editável)'!$C$8)</f>
        <v>0</v>
      </c>
      <c r="W62" s="22">
        <f>IF(OR(S62="",V62=""),"",(S62-V62)/S62)</f>
        <v>0</v>
      </c>
      <c r="X62" s="23">
        <f>IF(W62="","preencher",IF(W62&gt;='0. Premissas (editável)'!$C$9,"Viável",IF(W62&gt;='0. Premissas (editável)'!$C$10,"Marginal","Inviável")))</f>
        <v>0</v>
      </c>
      <c r="Y62" s="23">
        <f>IF(R62="","preencher",IF(R62&gt;='0. Premissas (editável)'!$C$11,"PASSA","NÃO PASSA"))</f>
        <v>0</v>
      </c>
      <c r="Z62" s="23">
        <f>IF(AND(R62="",S62=""),"Preencher IQVIA",IF(AND(R62&lt;&gt;"",R62&lt;'0. Premissas (editável)'!$C$11),"NÃO — mercado abaixo do corte",IF(X62="Inviável","NÃO — economia não fecha",IF(D62="NÃO","NÃO — vetada na triagem",IF(X62="Marginal","REAVALIAR — margem apertada","SIM")))))</f>
        <v>0</v>
      </c>
      <c r="AA62" s="12" t="s">
        <v>179</v>
      </c>
      <c r="AB62" s="12"/>
      <c r="AC62" s="12" t="s">
        <v>91</v>
      </c>
      <c r="AD62" s="12" t="s">
        <v>180</v>
      </c>
      <c r="AE62" s="12" t="s">
        <v>178</v>
      </c>
      <c r="AF62" s="12" t="s">
        <v>181</v>
      </c>
      <c r="AG62" s="12" t="s">
        <v>180</v>
      </c>
      <c r="AH62" s="16" t="s">
        <v>180</v>
      </c>
      <c r="AI62" s="14">
        <v>0</v>
      </c>
      <c r="AJ62" s="14">
        <v>0</v>
      </c>
      <c r="AK62" s="12"/>
      <c r="AL62" s="12"/>
      <c r="AM62" s="12"/>
      <c r="AN62" s="12"/>
      <c r="AO62" s="12" t="s">
        <v>218</v>
      </c>
      <c r="AP62" s="14">
        <v>1</v>
      </c>
      <c r="AQ62" s="16" t="s">
        <v>180</v>
      </c>
      <c r="AR62" s="12" t="s">
        <v>711</v>
      </c>
      <c r="AS62" s="12" t="s">
        <v>184</v>
      </c>
      <c r="AT62" s="12" t="s">
        <v>432</v>
      </c>
      <c r="AU62" s="12" t="s">
        <v>712</v>
      </c>
      <c r="AV62" s="12" t="s">
        <v>713</v>
      </c>
      <c r="AW62" s="12" t="s">
        <v>223</v>
      </c>
      <c r="AX62" s="12" t="s">
        <v>593</v>
      </c>
      <c r="AY62" s="12" t="s">
        <v>526</v>
      </c>
    </row>
    <row r="63" spans="1:51">
      <c r="A63" s="12" t="s">
        <v>714</v>
      </c>
      <c r="B63" s="12" t="s">
        <v>715</v>
      </c>
      <c r="C63" s="12" t="s">
        <v>173</v>
      </c>
      <c r="D63" s="24" t="s">
        <v>180</v>
      </c>
      <c r="E63" s="16" t="s">
        <v>178</v>
      </c>
      <c r="F63" s="12" t="s">
        <v>619</v>
      </c>
      <c r="G63" s="14">
        <v>31</v>
      </c>
      <c r="H63" s="14">
        <v>5</v>
      </c>
      <c r="I63" s="14">
        <v>4</v>
      </c>
      <c r="J63" s="14">
        <v>14</v>
      </c>
      <c r="K63" s="14">
        <v>0</v>
      </c>
      <c r="L63" s="14">
        <v>8</v>
      </c>
      <c r="M63" s="12" t="s">
        <v>119</v>
      </c>
      <c r="N63" s="24" t="s">
        <v>351</v>
      </c>
      <c r="O63" s="12" t="s">
        <v>176</v>
      </c>
      <c r="P63" s="12" t="s">
        <v>380</v>
      </c>
      <c r="Q63" s="16" t="s">
        <v>178</v>
      </c>
      <c r="R63" s="19"/>
      <c r="S63" s="20"/>
      <c r="T63" s="20"/>
      <c r="U63" s="20"/>
      <c r="V63" s="21">
        <f>IF(U63="","",U63*'0. Premissas (editável)'!$C$7*'0. Premissas (editável)'!$C$8)</f>
        <v>0</v>
      </c>
      <c r="W63" s="22">
        <f>IF(OR(S63="",V63=""),"",(S63-V63)/S63)</f>
        <v>0</v>
      </c>
      <c r="X63" s="23">
        <f>IF(W63="","preencher",IF(W63&gt;='0. Premissas (editável)'!$C$9,"Viável",IF(W63&gt;='0. Premissas (editável)'!$C$10,"Marginal","Inviável")))</f>
        <v>0</v>
      </c>
      <c r="Y63" s="23">
        <f>IF(R63="","preencher",IF(R63&gt;='0. Premissas (editável)'!$C$11,"PASSA","NÃO PASSA"))</f>
        <v>0</v>
      </c>
      <c r="Z63" s="23">
        <f>IF(AND(R63="",S63=""),"Preencher IQVIA",IF(AND(R63&lt;&gt;"",R63&lt;'0. Premissas (editável)'!$C$11),"NÃO — mercado abaixo do corte",IF(X63="Inviável","NÃO — economia não fecha",IF(D63="NÃO","NÃO — vetada na triagem",IF(X63="Marginal","REAVALIAR — margem apertada","SIM")))))</f>
        <v>0</v>
      </c>
      <c r="AA63" s="12" t="s">
        <v>179</v>
      </c>
      <c r="AB63" s="12"/>
      <c r="AC63" s="12" t="s">
        <v>91</v>
      </c>
      <c r="AD63" s="12" t="s">
        <v>180</v>
      </c>
      <c r="AE63" s="12" t="s">
        <v>178</v>
      </c>
      <c r="AF63" s="12" t="s">
        <v>181</v>
      </c>
      <c r="AG63" s="12" t="s">
        <v>180</v>
      </c>
      <c r="AH63" s="16" t="s">
        <v>180</v>
      </c>
      <c r="AI63" s="14">
        <v>0</v>
      </c>
      <c r="AJ63" s="14">
        <v>0</v>
      </c>
      <c r="AK63" s="12"/>
      <c r="AL63" s="12"/>
      <c r="AM63" s="12"/>
      <c r="AN63" s="12"/>
      <c r="AO63" s="12" t="s">
        <v>218</v>
      </c>
      <c r="AP63" s="14">
        <v>4</v>
      </c>
      <c r="AQ63" s="16" t="s">
        <v>180</v>
      </c>
      <c r="AR63" s="12" t="s">
        <v>716</v>
      </c>
      <c r="AS63" s="12" t="s">
        <v>184</v>
      </c>
      <c r="AT63" s="12" t="s">
        <v>227</v>
      </c>
      <c r="AU63" s="12" t="s">
        <v>717</v>
      </c>
      <c r="AV63" s="12" t="s">
        <v>718</v>
      </c>
      <c r="AW63" s="12" t="s">
        <v>574</v>
      </c>
      <c r="AX63" s="12" t="s">
        <v>593</v>
      </c>
      <c r="AY63" s="12" t="s">
        <v>526</v>
      </c>
    </row>
    <row r="64" spans="1:51">
      <c r="A64" s="12" t="s">
        <v>719</v>
      </c>
      <c r="B64" s="12" t="s">
        <v>720</v>
      </c>
      <c r="C64" s="12" t="s">
        <v>217</v>
      </c>
      <c r="D64" s="24" t="s">
        <v>180</v>
      </c>
      <c r="E64" s="16" t="s">
        <v>178</v>
      </c>
      <c r="F64" s="12" t="s">
        <v>519</v>
      </c>
      <c r="G64" s="14">
        <v>31</v>
      </c>
      <c r="H64" s="14">
        <v>5</v>
      </c>
      <c r="I64" s="14">
        <v>0</v>
      </c>
      <c r="J64" s="14">
        <v>14</v>
      </c>
      <c r="K64" s="14">
        <v>4</v>
      </c>
      <c r="L64" s="14">
        <v>8</v>
      </c>
      <c r="M64" s="12" t="s">
        <v>119</v>
      </c>
      <c r="N64" s="24" t="s">
        <v>351</v>
      </c>
      <c r="O64" s="12" t="s">
        <v>176</v>
      </c>
      <c r="P64" s="12" t="s">
        <v>380</v>
      </c>
      <c r="Q64" s="16" t="s">
        <v>178</v>
      </c>
      <c r="R64" s="19"/>
      <c r="S64" s="20"/>
      <c r="T64" s="20"/>
      <c r="U64" s="20"/>
      <c r="V64" s="21">
        <f>IF(U64="","",U64*'0. Premissas (editável)'!$C$7*'0. Premissas (editável)'!$C$8)</f>
        <v>0</v>
      </c>
      <c r="W64" s="22">
        <f>IF(OR(S64="",V64=""),"",(S64-V64)/S64)</f>
        <v>0</v>
      </c>
      <c r="X64" s="23">
        <f>IF(W64="","preencher",IF(W64&gt;='0. Premissas (editável)'!$C$9,"Viável",IF(W64&gt;='0. Premissas (editável)'!$C$10,"Marginal","Inviável")))</f>
        <v>0</v>
      </c>
      <c r="Y64" s="23">
        <f>IF(R64="","preencher",IF(R64&gt;='0. Premissas (editável)'!$C$11,"PASSA","NÃO PASSA"))</f>
        <v>0</v>
      </c>
      <c r="Z64" s="23">
        <f>IF(AND(R64="",S64=""),"Preencher IQVIA",IF(AND(R64&lt;&gt;"",R64&lt;'0. Premissas (editável)'!$C$11),"NÃO — mercado abaixo do corte",IF(X64="Inviável","NÃO — economia não fecha",IF(D64="NÃO","NÃO — vetada na triagem",IF(X64="Marginal","REAVALIAR — margem apertada","SIM")))))</f>
        <v>0</v>
      </c>
      <c r="AA64" s="12" t="s">
        <v>179</v>
      </c>
      <c r="AB64" s="12"/>
      <c r="AC64" s="12" t="s">
        <v>91</v>
      </c>
      <c r="AD64" s="12" t="s">
        <v>180</v>
      </c>
      <c r="AE64" s="12" t="s">
        <v>178</v>
      </c>
      <c r="AF64" s="12" t="s">
        <v>181</v>
      </c>
      <c r="AG64" s="12" t="s">
        <v>180</v>
      </c>
      <c r="AH64" s="16" t="s">
        <v>180</v>
      </c>
      <c r="AI64" s="14">
        <v>0</v>
      </c>
      <c r="AJ64" s="14">
        <v>0</v>
      </c>
      <c r="AK64" s="12"/>
      <c r="AL64" s="12"/>
      <c r="AM64" s="12"/>
      <c r="AN64" s="12"/>
      <c r="AO64" s="12" t="s">
        <v>201</v>
      </c>
      <c r="AP64" s="14">
        <v>1</v>
      </c>
      <c r="AQ64" s="16" t="s">
        <v>180</v>
      </c>
      <c r="AR64" s="12" t="s">
        <v>520</v>
      </c>
      <c r="AS64" s="12" t="s">
        <v>721</v>
      </c>
      <c r="AT64" s="12" t="s">
        <v>722</v>
      </c>
      <c r="AU64" s="12" t="s">
        <v>723</v>
      </c>
      <c r="AV64" s="12" t="s">
        <v>724</v>
      </c>
      <c r="AW64" s="12" t="s">
        <v>196</v>
      </c>
      <c r="AX64" s="12" t="s">
        <v>525</v>
      </c>
      <c r="AY64" s="12" t="s">
        <v>526</v>
      </c>
    </row>
    <row r="65" spans="1:51">
      <c r="A65" s="12" t="s">
        <v>725</v>
      </c>
      <c r="B65" s="12" t="s">
        <v>726</v>
      </c>
      <c r="C65" s="12" t="s">
        <v>173</v>
      </c>
      <c r="D65" s="24" t="s">
        <v>180</v>
      </c>
      <c r="E65" s="16" t="s">
        <v>178</v>
      </c>
      <c r="F65" s="12" t="s">
        <v>619</v>
      </c>
      <c r="G65" s="14">
        <v>31</v>
      </c>
      <c r="H65" s="14">
        <v>5</v>
      </c>
      <c r="I65" s="14">
        <v>4</v>
      </c>
      <c r="J65" s="14">
        <v>14</v>
      </c>
      <c r="K65" s="14">
        <v>0</v>
      </c>
      <c r="L65" s="14">
        <v>8</v>
      </c>
      <c r="M65" s="12" t="s">
        <v>119</v>
      </c>
      <c r="N65" s="24" t="s">
        <v>351</v>
      </c>
      <c r="O65" s="12" t="s">
        <v>176</v>
      </c>
      <c r="P65" s="12" t="s">
        <v>380</v>
      </c>
      <c r="Q65" s="16" t="s">
        <v>178</v>
      </c>
      <c r="R65" s="19"/>
      <c r="S65" s="20"/>
      <c r="T65" s="20"/>
      <c r="U65" s="20"/>
      <c r="V65" s="21">
        <f>IF(U65="","",U65*'0. Premissas (editável)'!$C$7*'0. Premissas (editável)'!$C$8)</f>
        <v>0</v>
      </c>
      <c r="W65" s="22">
        <f>IF(OR(S65="",V65=""),"",(S65-V65)/S65)</f>
        <v>0</v>
      </c>
      <c r="X65" s="23">
        <f>IF(W65="","preencher",IF(W65&gt;='0. Premissas (editável)'!$C$9,"Viável",IF(W65&gt;='0. Premissas (editável)'!$C$10,"Marginal","Inviável")))</f>
        <v>0</v>
      </c>
      <c r="Y65" s="23">
        <f>IF(R65="","preencher",IF(R65&gt;='0. Premissas (editável)'!$C$11,"PASSA","NÃO PASSA"))</f>
        <v>0</v>
      </c>
      <c r="Z65" s="23">
        <f>IF(AND(R65="",S65=""),"Preencher IQVIA",IF(AND(R65&lt;&gt;"",R65&lt;'0. Premissas (editável)'!$C$11),"NÃO — mercado abaixo do corte",IF(X65="Inviável","NÃO — economia não fecha",IF(D65="NÃO","NÃO — vetada na triagem",IF(X65="Marginal","REAVALIAR — margem apertada","SIM")))))</f>
        <v>0</v>
      </c>
      <c r="AA65" s="12" t="s">
        <v>179</v>
      </c>
      <c r="AB65" s="12"/>
      <c r="AC65" s="12" t="s">
        <v>91</v>
      </c>
      <c r="AD65" s="12" t="s">
        <v>180</v>
      </c>
      <c r="AE65" s="12" t="s">
        <v>178</v>
      </c>
      <c r="AF65" s="12" t="s">
        <v>181</v>
      </c>
      <c r="AG65" s="12" t="s">
        <v>180</v>
      </c>
      <c r="AH65" s="16" t="s">
        <v>180</v>
      </c>
      <c r="AI65" s="14">
        <v>0</v>
      </c>
      <c r="AJ65" s="14">
        <v>0</v>
      </c>
      <c r="AK65" s="12"/>
      <c r="AL65" s="12"/>
      <c r="AM65" s="12"/>
      <c r="AN65" s="12"/>
      <c r="AO65" s="12" t="s">
        <v>218</v>
      </c>
      <c r="AP65" s="14">
        <v>4</v>
      </c>
      <c r="AQ65" s="16" t="s">
        <v>180</v>
      </c>
      <c r="AR65" s="12" t="s">
        <v>727</v>
      </c>
      <c r="AS65" s="12" t="s">
        <v>184</v>
      </c>
      <c r="AT65" s="12" t="s">
        <v>728</v>
      </c>
      <c r="AU65" s="12" t="s">
        <v>729</v>
      </c>
      <c r="AV65" s="12" t="s">
        <v>730</v>
      </c>
      <c r="AW65" s="12" t="s">
        <v>554</v>
      </c>
      <c r="AX65" s="12" t="s">
        <v>593</v>
      </c>
      <c r="AY65" s="12" t="s">
        <v>526</v>
      </c>
    </row>
    <row r="66" spans="1:51">
      <c r="A66" s="12" t="s">
        <v>731</v>
      </c>
      <c r="B66" s="12" t="s">
        <v>732</v>
      </c>
      <c r="C66" s="12" t="s">
        <v>217</v>
      </c>
      <c r="D66" s="24" t="s">
        <v>180</v>
      </c>
      <c r="E66" s="16" t="s">
        <v>178</v>
      </c>
      <c r="F66" s="12" t="s">
        <v>619</v>
      </c>
      <c r="G66" s="14">
        <v>31</v>
      </c>
      <c r="H66" s="14">
        <v>5</v>
      </c>
      <c r="I66" s="14">
        <v>0</v>
      </c>
      <c r="J66" s="14">
        <v>14</v>
      </c>
      <c r="K66" s="14">
        <v>4</v>
      </c>
      <c r="L66" s="14">
        <v>8</v>
      </c>
      <c r="M66" s="12" t="s">
        <v>119</v>
      </c>
      <c r="N66" s="24" t="s">
        <v>351</v>
      </c>
      <c r="O66" s="12" t="s">
        <v>176</v>
      </c>
      <c r="P66" s="12" t="s">
        <v>380</v>
      </c>
      <c r="Q66" s="16" t="s">
        <v>178</v>
      </c>
      <c r="R66" s="19"/>
      <c r="S66" s="20"/>
      <c r="T66" s="20"/>
      <c r="U66" s="20"/>
      <c r="V66" s="21">
        <f>IF(U66="","",U66*'0. Premissas (editável)'!$C$7*'0. Premissas (editável)'!$C$8)</f>
        <v>0</v>
      </c>
      <c r="W66" s="22">
        <f>IF(OR(S66="",V66=""),"",(S66-V66)/S66)</f>
        <v>0</v>
      </c>
      <c r="X66" s="23">
        <f>IF(W66="","preencher",IF(W66&gt;='0. Premissas (editável)'!$C$9,"Viável",IF(W66&gt;='0. Premissas (editável)'!$C$10,"Marginal","Inviável")))</f>
        <v>0</v>
      </c>
      <c r="Y66" s="23">
        <f>IF(R66="","preencher",IF(R66&gt;='0. Premissas (editável)'!$C$11,"PASSA","NÃO PASSA"))</f>
        <v>0</v>
      </c>
      <c r="Z66" s="23">
        <f>IF(AND(R66="",S66=""),"Preencher IQVIA",IF(AND(R66&lt;&gt;"",R66&lt;'0. Premissas (editável)'!$C$11),"NÃO — mercado abaixo do corte",IF(X66="Inviável","NÃO — economia não fecha",IF(D66="NÃO","NÃO — vetada na triagem",IF(X66="Marginal","REAVALIAR — margem apertada","SIM")))))</f>
        <v>0</v>
      </c>
      <c r="AA66" s="12" t="s">
        <v>179</v>
      </c>
      <c r="AB66" s="12"/>
      <c r="AC66" s="12" t="s">
        <v>91</v>
      </c>
      <c r="AD66" s="12" t="s">
        <v>180</v>
      </c>
      <c r="AE66" s="12" t="s">
        <v>178</v>
      </c>
      <c r="AF66" s="12" t="s">
        <v>181</v>
      </c>
      <c r="AG66" s="12" t="s">
        <v>180</v>
      </c>
      <c r="AH66" s="16" t="s">
        <v>180</v>
      </c>
      <c r="AI66" s="14">
        <v>0</v>
      </c>
      <c r="AJ66" s="14">
        <v>0</v>
      </c>
      <c r="AK66" s="12"/>
      <c r="AL66" s="12"/>
      <c r="AM66" s="12"/>
      <c r="AN66" s="12"/>
      <c r="AO66" s="12" t="s">
        <v>201</v>
      </c>
      <c r="AP66" s="14">
        <v>2</v>
      </c>
      <c r="AQ66" s="16" t="s">
        <v>180</v>
      </c>
      <c r="AR66" s="12" t="s">
        <v>234</v>
      </c>
      <c r="AS66" s="12" t="s">
        <v>733</v>
      </c>
      <c r="AT66" s="12" t="s">
        <v>571</v>
      </c>
      <c r="AU66" s="12" t="s">
        <v>734</v>
      </c>
      <c r="AV66" s="12" t="s">
        <v>735</v>
      </c>
      <c r="AW66" s="12" t="s">
        <v>489</v>
      </c>
      <c r="AX66" s="12" t="s">
        <v>593</v>
      </c>
      <c r="AY66" s="12" t="s">
        <v>526</v>
      </c>
    </row>
    <row r="67" spans="1:51">
      <c r="A67" s="12" t="s">
        <v>736</v>
      </c>
      <c r="B67" s="12" t="s">
        <v>737</v>
      </c>
      <c r="C67" s="12" t="s">
        <v>469</v>
      </c>
      <c r="D67" s="24" t="s">
        <v>180</v>
      </c>
      <c r="E67" s="16" t="s">
        <v>178</v>
      </c>
      <c r="F67" s="12" t="s">
        <v>619</v>
      </c>
      <c r="G67" s="14">
        <v>31</v>
      </c>
      <c r="H67" s="14">
        <v>5</v>
      </c>
      <c r="I67" s="14">
        <v>4</v>
      </c>
      <c r="J67" s="14">
        <v>14</v>
      </c>
      <c r="K67" s="14">
        <v>0</v>
      </c>
      <c r="L67" s="14">
        <v>8</v>
      </c>
      <c r="M67" s="12" t="s">
        <v>119</v>
      </c>
      <c r="N67" s="24" t="s">
        <v>351</v>
      </c>
      <c r="O67" s="12" t="s">
        <v>176</v>
      </c>
      <c r="P67" s="12" t="s">
        <v>380</v>
      </c>
      <c r="Q67" s="16" t="s">
        <v>178</v>
      </c>
      <c r="R67" s="19"/>
      <c r="S67" s="20"/>
      <c r="T67" s="20"/>
      <c r="U67" s="20"/>
      <c r="V67" s="21">
        <f>IF(U67="","",U67*'0. Premissas (editável)'!$C$7*'0. Premissas (editável)'!$C$8)</f>
        <v>0</v>
      </c>
      <c r="W67" s="22">
        <f>IF(OR(S67="",V67=""),"",(S67-V67)/S67)</f>
        <v>0</v>
      </c>
      <c r="X67" s="23">
        <f>IF(W67="","preencher",IF(W67&gt;='0. Premissas (editável)'!$C$9,"Viável",IF(W67&gt;='0. Premissas (editável)'!$C$10,"Marginal","Inviável")))</f>
        <v>0</v>
      </c>
      <c r="Y67" s="23">
        <f>IF(R67="","preencher",IF(R67&gt;='0. Premissas (editável)'!$C$11,"PASSA","NÃO PASSA"))</f>
        <v>0</v>
      </c>
      <c r="Z67" s="23">
        <f>IF(AND(R67="",S67=""),"Preencher IQVIA",IF(AND(R67&lt;&gt;"",R67&lt;'0. Premissas (editável)'!$C$11),"NÃO — mercado abaixo do corte",IF(X67="Inviável","NÃO — economia não fecha",IF(D67="NÃO","NÃO — vetada na triagem",IF(X67="Marginal","REAVALIAR — margem apertada","SIM")))))</f>
        <v>0</v>
      </c>
      <c r="AA67" s="12" t="s">
        <v>179</v>
      </c>
      <c r="AB67" s="12"/>
      <c r="AC67" s="12" t="s">
        <v>91</v>
      </c>
      <c r="AD67" s="12" t="s">
        <v>180</v>
      </c>
      <c r="AE67" s="12" t="s">
        <v>178</v>
      </c>
      <c r="AF67" s="12" t="s">
        <v>181</v>
      </c>
      <c r="AG67" s="12" t="s">
        <v>180</v>
      </c>
      <c r="AH67" s="16" t="s">
        <v>180</v>
      </c>
      <c r="AI67" s="14">
        <v>0</v>
      </c>
      <c r="AJ67" s="14">
        <v>0</v>
      </c>
      <c r="AK67" s="12"/>
      <c r="AL67" s="12"/>
      <c r="AM67" s="12"/>
      <c r="AN67" s="12"/>
      <c r="AO67" s="12" t="s">
        <v>218</v>
      </c>
      <c r="AP67" s="14">
        <v>2</v>
      </c>
      <c r="AQ67" s="16" t="s">
        <v>180</v>
      </c>
      <c r="AR67" s="12" t="s">
        <v>738</v>
      </c>
      <c r="AS67" s="12" t="s">
        <v>184</v>
      </c>
      <c r="AT67" s="12" t="s">
        <v>589</v>
      </c>
      <c r="AU67" s="12" t="s">
        <v>739</v>
      </c>
      <c r="AV67" s="12" t="s">
        <v>740</v>
      </c>
      <c r="AW67" s="12" t="s">
        <v>741</v>
      </c>
      <c r="AX67" s="12" t="s">
        <v>593</v>
      </c>
      <c r="AY67" s="12" t="s">
        <v>526</v>
      </c>
    </row>
    <row r="68" spans="1:51">
      <c r="A68" s="12" t="s">
        <v>742</v>
      </c>
      <c r="B68" s="12" t="s">
        <v>743</v>
      </c>
      <c r="C68" s="12" t="s">
        <v>469</v>
      </c>
      <c r="D68" s="24" t="s">
        <v>180</v>
      </c>
      <c r="E68" s="16" t="s">
        <v>178</v>
      </c>
      <c r="F68" s="12" t="s">
        <v>619</v>
      </c>
      <c r="G68" s="14">
        <v>30</v>
      </c>
      <c r="H68" s="14">
        <v>5</v>
      </c>
      <c r="I68" s="14">
        <v>0</v>
      </c>
      <c r="J68" s="14">
        <v>17</v>
      </c>
      <c r="K68" s="14">
        <v>0</v>
      </c>
      <c r="L68" s="14">
        <v>8</v>
      </c>
      <c r="M68" s="12" t="s">
        <v>119</v>
      </c>
      <c r="N68" s="24" t="s">
        <v>351</v>
      </c>
      <c r="O68" s="12" t="s">
        <v>744</v>
      </c>
      <c r="P68" s="12" t="s">
        <v>380</v>
      </c>
      <c r="Q68" s="16" t="s">
        <v>178</v>
      </c>
      <c r="R68" s="19"/>
      <c r="S68" s="20"/>
      <c r="T68" s="20"/>
      <c r="U68" s="20"/>
      <c r="V68" s="21">
        <f>IF(U68="","",U68*'0. Premissas (editável)'!$C$7*'0. Premissas (editável)'!$C$8)</f>
        <v>0</v>
      </c>
      <c r="W68" s="22">
        <f>IF(OR(S68="",V68=""),"",(S68-V68)/S68)</f>
        <v>0</v>
      </c>
      <c r="X68" s="23">
        <f>IF(W68="","preencher",IF(W68&gt;='0. Premissas (editável)'!$C$9,"Viável",IF(W68&gt;='0. Premissas (editável)'!$C$10,"Marginal","Inviável")))</f>
        <v>0</v>
      </c>
      <c r="Y68" s="23">
        <f>IF(R68="","preencher",IF(R68&gt;='0. Premissas (editável)'!$C$11,"PASSA","NÃO PASSA"))</f>
        <v>0</v>
      </c>
      <c r="Z68" s="23">
        <f>IF(AND(R68="",S68=""),"Preencher IQVIA",IF(AND(R68&lt;&gt;"",R68&lt;'0. Premissas (editável)'!$C$11),"NÃO — mercado abaixo do corte",IF(X68="Inviável","NÃO — economia não fecha",IF(D68="NÃO","NÃO — vetada na triagem",IF(X68="Marginal","REAVALIAR — margem apertada","SIM")))))</f>
        <v>0</v>
      </c>
      <c r="AA68" s="12" t="s">
        <v>745</v>
      </c>
      <c r="AB68" s="12" t="s">
        <v>746</v>
      </c>
      <c r="AC68" s="12" t="s">
        <v>91</v>
      </c>
      <c r="AD68" s="12" t="s">
        <v>180</v>
      </c>
      <c r="AE68" s="12" t="s">
        <v>178</v>
      </c>
      <c r="AF68" s="12" t="s">
        <v>181</v>
      </c>
      <c r="AG68" s="12" t="s">
        <v>180</v>
      </c>
      <c r="AH68" s="16" t="s">
        <v>180</v>
      </c>
      <c r="AI68" s="14">
        <v>0</v>
      </c>
      <c r="AJ68" s="14">
        <v>0</v>
      </c>
      <c r="AK68" s="12"/>
      <c r="AL68" s="12"/>
      <c r="AM68" s="12"/>
      <c r="AN68" s="12"/>
      <c r="AO68" s="12" t="s">
        <v>201</v>
      </c>
      <c r="AP68" s="14">
        <v>2</v>
      </c>
      <c r="AQ68" s="15" t="s">
        <v>174</v>
      </c>
      <c r="AR68" s="12" t="s">
        <v>747</v>
      </c>
      <c r="AS68" s="12" t="s">
        <v>184</v>
      </c>
      <c r="AT68" s="12" t="s">
        <v>748</v>
      </c>
      <c r="AU68" s="12" t="s">
        <v>749</v>
      </c>
      <c r="AV68" s="12" t="s">
        <v>750</v>
      </c>
      <c r="AW68" s="12" t="s">
        <v>694</v>
      </c>
      <c r="AX68" s="12" t="s">
        <v>751</v>
      </c>
      <c r="AY68" s="12" t="s">
        <v>616</v>
      </c>
    </row>
    <row r="69" spans="1:51">
      <c r="A69" s="12" t="s">
        <v>752</v>
      </c>
      <c r="B69" s="12" t="s">
        <v>753</v>
      </c>
      <c r="C69" s="12" t="s">
        <v>469</v>
      </c>
      <c r="D69" s="24" t="s">
        <v>180</v>
      </c>
      <c r="E69" s="16" t="s">
        <v>178</v>
      </c>
      <c r="F69" s="12" t="s">
        <v>586</v>
      </c>
      <c r="G69" s="14">
        <v>30</v>
      </c>
      <c r="H69" s="14">
        <v>0</v>
      </c>
      <c r="I69" s="14">
        <v>0</v>
      </c>
      <c r="J69" s="14">
        <v>12</v>
      </c>
      <c r="K69" s="14">
        <v>15</v>
      </c>
      <c r="L69" s="14">
        <v>3</v>
      </c>
      <c r="M69" s="12" t="s">
        <v>754</v>
      </c>
      <c r="N69" s="24" t="s">
        <v>351</v>
      </c>
      <c r="O69" s="12" t="s">
        <v>352</v>
      </c>
      <c r="P69" s="12" t="s">
        <v>380</v>
      </c>
      <c r="Q69" s="16" t="s">
        <v>178</v>
      </c>
      <c r="R69" s="19"/>
      <c r="S69" s="20"/>
      <c r="T69" s="20"/>
      <c r="U69" s="20"/>
      <c r="V69" s="21">
        <f>IF(U69="","",U69*'0. Premissas (editável)'!$C$7*'0. Premissas (editável)'!$C$8)</f>
        <v>0</v>
      </c>
      <c r="W69" s="22">
        <f>IF(OR(S69="",V69=""),"",(S69-V69)/S69)</f>
        <v>0</v>
      </c>
      <c r="X69" s="23">
        <f>IF(W69="","preencher",IF(W69&gt;='0. Premissas (editável)'!$C$9,"Viável",IF(W69&gt;='0. Premissas (editável)'!$C$10,"Marginal","Inviável")))</f>
        <v>0</v>
      </c>
      <c r="Y69" s="23">
        <f>IF(R69="","preencher",IF(R69&gt;='0. Premissas (editável)'!$C$11,"PASSA","NÃO PASSA"))</f>
        <v>0</v>
      </c>
      <c r="Z69" s="23">
        <f>IF(AND(R69="",S69=""),"Preencher IQVIA",IF(AND(R69&lt;&gt;"",R69&lt;'0. Premissas (editável)'!$C$11),"NÃO — mercado abaixo do corte",IF(X69="Inviável","NÃO — economia não fecha",IF(D69="NÃO","NÃO — vetada na triagem",IF(X69="Marginal","REAVALIAR — margem apertada","SIM")))))</f>
        <v>0</v>
      </c>
      <c r="AA69" s="12" t="s">
        <v>353</v>
      </c>
      <c r="AB69" s="12" t="s">
        <v>752</v>
      </c>
      <c r="AC69" s="12" t="s">
        <v>108</v>
      </c>
      <c r="AD69" s="12" t="s">
        <v>174</v>
      </c>
      <c r="AE69" s="12" t="s">
        <v>273</v>
      </c>
      <c r="AF69" s="12" t="s">
        <v>274</v>
      </c>
      <c r="AG69" s="12" t="s">
        <v>180</v>
      </c>
      <c r="AH69" s="16" t="s">
        <v>180</v>
      </c>
      <c r="AI69" s="14">
        <v>2</v>
      </c>
      <c r="AJ69" s="14">
        <v>2</v>
      </c>
      <c r="AK69" s="12" t="s">
        <v>536</v>
      </c>
      <c r="AL69" s="12" t="s">
        <v>305</v>
      </c>
      <c r="AM69" s="12" t="s">
        <v>537</v>
      </c>
      <c r="AN69" s="12" t="s">
        <v>538</v>
      </c>
      <c r="AO69" s="12" t="s">
        <v>755</v>
      </c>
      <c r="AP69" s="14">
        <v>11</v>
      </c>
      <c r="AQ69" s="15" t="s">
        <v>174</v>
      </c>
      <c r="AR69" s="12" t="s">
        <v>756</v>
      </c>
      <c r="AS69" s="12" t="s">
        <v>184</v>
      </c>
      <c r="AT69" s="12" t="s">
        <v>757</v>
      </c>
      <c r="AU69" s="12" t="s">
        <v>758</v>
      </c>
      <c r="AV69" s="12" t="s">
        <v>759</v>
      </c>
      <c r="AW69" s="12" t="s">
        <v>760</v>
      </c>
      <c r="AX69" s="12" t="s">
        <v>761</v>
      </c>
      <c r="AY69" s="12" t="s">
        <v>762</v>
      </c>
    </row>
    <row r="70" spans="1:51">
      <c r="A70" s="12" t="s">
        <v>763</v>
      </c>
      <c r="B70" s="12" t="s">
        <v>764</v>
      </c>
      <c r="C70" s="12" t="s">
        <v>469</v>
      </c>
      <c r="D70" s="24" t="s">
        <v>180</v>
      </c>
      <c r="E70" s="16" t="s">
        <v>178</v>
      </c>
      <c r="F70" s="12" t="s">
        <v>105</v>
      </c>
      <c r="G70" s="14">
        <v>29</v>
      </c>
      <c r="H70" s="14">
        <v>15</v>
      </c>
      <c r="I70" s="14">
        <v>0</v>
      </c>
      <c r="J70" s="14">
        <v>14</v>
      </c>
      <c r="K70" s="14">
        <v>0</v>
      </c>
      <c r="L70" s="14">
        <v>0</v>
      </c>
      <c r="M70" s="12" t="s">
        <v>104</v>
      </c>
      <c r="N70" s="15" t="s">
        <v>261</v>
      </c>
      <c r="O70" s="12" t="s">
        <v>176</v>
      </c>
      <c r="P70" s="12" t="s">
        <v>262</v>
      </c>
      <c r="Q70" s="16" t="s">
        <v>178</v>
      </c>
      <c r="R70" s="19"/>
      <c r="S70" s="20"/>
      <c r="T70" s="20"/>
      <c r="U70" s="20"/>
      <c r="V70" s="21">
        <f>IF(U70="","",U70*'0. Premissas (editável)'!$C$7*'0. Premissas (editável)'!$C$8)</f>
        <v>0</v>
      </c>
      <c r="W70" s="22">
        <f>IF(OR(S70="",V70=""),"",(S70-V70)/S70)</f>
        <v>0</v>
      </c>
      <c r="X70" s="23">
        <f>IF(W70="","preencher",IF(W70&gt;='0. Premissas (editável)'!$C$9,"Viável",IF(W70&gt;='0. Premissas (editável)'!$C$10,"Marginal","Inviável")))</f>
        <v>0</v>
      </c>
      <c r="Y70" s="23">
        <f>IF(R70="","preencher",IF(R70&gt;='0. Premissas (editável)'!$C$11,"PASSA","NÃO PASSA"))</f>
        <v>0</v>
      </c>
      <c r="Z70" s="23">
        <f>IF(AND(R70="",S70=""),"Preencher IQVIA",IF(AND(R70&lt;&gt;"",R70&lt;'0. Premissas (editável)'!$C$11),"NÃO — mercado abaixo do corte",IF(X70="Inviável","NÃO — economia não fecha",IF(D70="NÃO","NÃO — vetada na triagem",IF(X70="Marginal","REAVALIAR — margem apertada","SIM")))))</f>
        <v>0</v>
      </c>
      <c r="AA70" s="12" t="s">
        <v>179</v>
      </c>
      <c r="AB70" s="12"/>
      <c r="AC70" s="12" t="s">
        <v>101</v>
      </c>
      <c r="AD70" s="12" t="s">
        <v>174</v>
      </c>
      <c r="AE70" s="12" t="s">
        <v>273</v>
      </c>
      <c r="AF70" s="12" t="s">
        <v>243</v>
      </c>
      <c r="AG70" s="12" t="s">
        <v>180</v>
      </c>
      <c r="AH70" s="16" t="s">
        <v>180</v>
      </c>
      <c r="AI70" s="14">
        <v>3</v>
      </c>
      <c r="AJ70" s="14">
        <v>3</v>
      </c>
      <c r="AK70" s="12" t="s">
        <v>765</v>
      </c>
      <c r="AL70" s="12" t="s">
        <v>245</v>
      </c>
      <c r="AM70" s="12" t="s">
        <v>246</v>
      </c>
      <c r="AN70" s="12" t="s">
        <v>766</v>
      </c>
      <c r="AO70" s="12" t="s">
        <v>201</v>
      </c>
      <c r="AP70" s="14">
        <v>1</v>
      </c>
      <c r="AQ70" s="16" t="s">
        <v>180</v>
      </c>
      <c r="AR70" s="12" t="s">
        <v>767</v>
      </c>
      <c r="AS70" s="12" t="s">
        <v>768</v>
      </c>
      <c r="AT70" s="12" t="s">
        <v>769</v>
      </c>
      <c r="AU70" s="12" t="s">
        <v>770</v>
      </c>
      <c r="AV70" s="12" t="s">
        <v>771</v>
      </c>
      <c r="AW70" s="12" t="s">
        <v>772</v>
      </c>
      <c r="AX70" s="12" t="s">
        <v>773</v>
      </c>
      <c r="AY70" s="12" t="s">
        <v>269</v>
      </c>
    </row>
    <row r="71" spans="1:51">
      <c r="A71" s="12" t="s">
        <v>774</v>
      </c>
      <c r="B71" s="12" t="s">
        <v>775</v>
      </c>
      <c r="C71" s="12" t="s">
        <v>199</v>
      </c>
      <c r="D71" s="24" t="s">
        <v>180</v>
      </c>
      <c r="E71" s="16" t="s">
        <v>178</v>
      </c>
      <c r="F71" s="12" t="s">
        <v>105</v>
      </c>
      <c r="G71" s="14">
        <v>29</v>
      </c>
      <c r="H71" s="14">
        <v>15</v>
      </c>
      <c r="I71" s="14">
        <v>0</v>
      </c>
      <c r="J71" s="14">
        <v>14</v>
      </c>
      <c r="K71" s="14">
        <v>0</v>
      </c>
      <c r="L71" s="14">
        <v>0</v>
      </c>
      <c r="M71" s="12" t="s">
        <v>104</v>
      </c>
      <c r="N71" s="15" t="s">
        <v>261</v>
      </c>
      <c r="O71" s="12" t="s">
        <v>176</v>
      </c>
      <c r="P71" s="12" t="s">
        <v>262</v>
      </c>
      <c r="Q71" s="16" t="s">
        <v>178</v>
      </c>
      <c r="R71" s="19"/>
      <c r="S71" s="20"/>
      <c r="T71" s="20"/>
      <c r="U71" s="20"/>
      <c r="V71" s="21">
        <f>IF(U71="","",U71*'0. Premissas (editável)'!$C$7*'0. Premissas (editável)'!$C$8)</f>
        <v>0</v>
      </c>
      <c r="W71" s="22">
        <f>IF(OR(S71="",V71=""),"",(S71-V71)/S71)</f>
        <v>0</v>
      </c>
      <c r="X71" s="23">
        <f>IF(W71="","preencher",IF(W71&gt;='0. Premissas (editável)'!$C$9,"Viável",IF(W71&gt;='0. Premissas (editável)'!$C$10,"Marginal","Inviável")))</f>
        <v>0</v>
      </c>
      <c r="Y71" s="23">
        <f>IF(R71="","preencher",IF(R71&gt;='0. Premissas (editável)'!$C$11,"PASSA","NÃO PASSA"))</f>
        <v>0</v>
      </c>
      <c r="Z71" s="23">
        <f>IF(AND(R71="",S71=""),"Preencher IQVIA",IF(AND(R71&lt;&gt;"",R71&lt;'0. Premissas (editável)'!$C$11),"NÃO — mercado abaixo do corte",IF(X71="Inviável","NÃO — economia não fecha",IF(D71="NÃO","NÃO — vetada na triagem",IF(X71="Marginal","REAVALIAR — margem apertada","SIM")))))</f>
        <v>0</v>
      </c>
      <c r="AA71" s="12" t="s">
        <v>179</v>
      </c>
      <c r="AB71" s="12"/>
      <c r="AC71" s="12" t="s">
        <v>101</v>
      </c>
      <c r="AD71" s="12" t="s">
        <v>174</v>
      </c>
      <c r="AE71" s="12" t="s">
        <v>273</v>
      </c>
      <c r="AF71" s="12" t="s">
        <v>243</v>
      </c>
      <c r="AG71" s="12" t="s">
        <v>180</v>
      </c>
      <c r="AH71" s="16" t="s">
        <v>180</v>
      </c>
      <c r="AI71" s="14">
        <v>1</v>
      </c>
      <c r="AJ71" s="14">
        <v>1</v>
      </c>
      <c r="AK71" s="12" t="s">
        <v>776</v>
      </c>
      <c r="AL71" s="12" t="s">
        <v>245</v>
      </c>
      <c r="AM71" s="12" t="s">
        <v>246</v>
      </c>
      <c r="AN71" s="12" t="s">
        <v>777</v>
      </c>
      <c r="AO71" s="12" t="s">
        <v>201</v>
      </c>
      <c r="AP71" s="14">
        <v>2</v>
      </c>
      <c r="AQ71" s="16" t="s">
        <v>180</v>
      </c>
      <c r="AR71" s="12" t="s">
        <v>778</v>
      </c>
      <c r="AS71" s="12" t="s">
        <v>184</v>
      </c>
      <c r="AT71" s="12" t="s">
        <v>432</v>
      </c>
      <c r="AU71" s="12" t="s">
        <v>779</v>
      </c>
      <c r="AV71" s="12" t="s">
        <v>780</v>
      </c>
      <c r="AW71" s="12" t="s">
        <v>567</v>
      </c>
      <c r="AX71" s="12" t="s">
        <v>781</v>
      </c>
      <c r="AY71" s="12" t="s">
        <v>269</v>
      </c>
    </row>
    <row r="72" spans="1:51">
      <c r="A72" s="12" t="s">
        <v>782</v>
      </c>
      <c r="B72" s="12" t="s">
        <v>783</v>
      </c>
      <c r="C72" s="12" t="s">
        <v>469</v>
      </c>
      <c r="D72" s="24" t="s">
        <v>180</v>
      </c>
      <c r="E72" s="16" t="s">
        <v>178</v>
      </c>
      <c r="F72" s="12" t="s">
        <v>586</v>
      </c>
      <c r="G72" s="14">
        <v>28</v>
      </c>
      <c r="H72" s="14">
        <v>0</v>
      </c>
      <c r="I72" s="14">
        <v>0</v>
      </c>
      <c r="J72" s="14">
        <v>14</v>
      </c>
      <c r="K72" s="14">
        <v>6</v>
      </c>
      <c r="L72" s="14">
        <v>8</v>
      </c>
      <c r="M72" s="12" t="s">
        <v>754</v>
      </c>
      <c r="N72" s="24" t="s">
        <v>351</v>
      </c>
      <c r="O72" s="12" t="s">
        <v>176</v>
      </c>
      <c r="P72" s="12" t="s">
        <v>380</v>
      </c>
      <c r="Q72" s="16" t="s">
        <v>178</v>
      </c>
      <c r="R72" s="19"/>
      <c r="S72" s="20"/>
      <c r="T72" s="20"/>
      <c r="U72" s="20"/>
      <c r="V72" s="21">
        <f>IF(U72="","",U72*'0. Premissas (editável)'!$C$7*'0. Premissas (editável)'!$C$8)</f>
        <v>0</v>
      </c>
      <c r="W72" s="22">
        <f>IF(OR(S72="",V72=""),"",(S72-V72)/S72)</f>
        <v>0</v>
      </c>
      <c r="X72" s="23">
        <f>IF(W72="","preencher",IF(W72&gt;='0. Premissas (editável)'!$C$9,"Viável",IF(W72&gt;='0. Premissas (editável)'!$C$10,"Marginal","Inviável")))</f>
        <v>0</v>
      </c>
      <c r="Y72" s="23">
        <f>IF(R72="","preencher",IF(R72&gt;='0. Premissas (editável)'!$C$11,"PASSA","NÃO PASSA"))</f>
        <v>0</v>
      </c>
      <c r="Z72" s="23">
        <f>IF(AND(R72="",S72=""),"Preencher IQVIA",IF(AND(R72&lt;&gt;"",R72&lt;'0. Premissas (editável)'!$C$11),"NÃO — mercado abaixo do corte",IF(X72="Inviável","NÃO — economia não fecha",IF(D72="NÃO","NÃO — vetada na triagem",IF(X72="Marginal","REAVALIAR — margem apertada","SIM")))))</f>
        <v>0</v>
      </c>
      <c r="AA72" s="12" t="s">
        <v>179</v>
      </c>
      <c r="AB72" s="12"/>
      <c r="AC72" s="12" t="s">
        <v>91</v>
      </c>
      <c r="AD72" s="12" t="s">
        <v>180</v>
      </c>
      <c r="AE72" s="12" t="s">
        <v>178</v>
      </c>
      <c r="AF72" s="12" t="s">
        <v>181</v>
      </c>
      <c r="AG72" s="12" t="s">
        <v>180</v>
      </c>
      <c r="AH72" s="16" t="s">
        <v>180</v>
      </c>
      <c r="AI72" s="14">
        <v>0</v>
      </c>
      <c r="AJ72" s="14">
        <v>0</v>
      </c>
      <c r="AK72" s="12"/>
      <c r="AL72" s="12"/>
      <c r="AM72" s="12"/>
      <c r="AN72" s="12"/>
      <c r="AO72" s="12" t="s">
        <v>182</v>
      </c>
      <c r="AP72" s="14">
        <v>2</v>
      </c>
      <c r="AQ72" s="15" t="s">
        <v>174</v>
      </c>
      <c r="AR72" s="12" t="s">
        <v>784</v>
      </c>
      <c r="AS72" s="12" t="s">
        <v>184</v>
      </c>
      <c r="AT72" s="12" t="s">
        <v>785</v>
      </c>
      <c r="AU72" s="12" t="s">
        <v>786</v>
      </c>
      <c r="AV72" s="12" t="s">
        <v>787</v>
      </c>
      <c r="AW72" s="12" t="s">
        <v>230</v>
      </c>
      <c r="AX72" s="12" t="s">
        <v>788</v>
      </c>
      <c r="AY72" s="12" t="s">
        <v>616</v>
      </c>
    </row>
    <row r="73" spans="1:51">
      <c r="A73" s="12" t="s">
        <v>789</v>
      </c>
      <c r="B73" s="12" t="s">
        <v>790</v>
      </c>
      <c r="C73" s="12" t="s">
        <v>199</v>
      </c>
      <c r="D73" s="24" t="s">
        <v>180</v>
      </c>
      <c r="E73" s="16" t="s">
        <v>178</v>
      </c>
      <c r="F73" s="12" t="s">
        <v>619</v>
      </c>
      <c r="G73" s="14">
        <v>28</v>
      </c>
      <c r="H73" s="14">
        <v>5</v>
      </c>
      <c r="I73" s="14">
        <v>4</v>
      </c>
      <c r="J73" s="14">
        <v>14</v>
      </c>
      <c r="K73" s="14">
        <v>2</v>
      </c>
      <c r="L73" s="14">
        <v>3</v>
      </c>
      <c r="M73" s="12" t="s">
        <v>119</v>
      </c>
      <c r="N73" s="24" t="s">
        <v>351</v>
      </c>
      <c r="O73" s="12" t="s">
        <v>176</v>
      </c>
      <c r="P73" s="12" t="s">
        <v>380</v>
      </c>
      <c r="Q73" s="16" t="s">
        <v>178</v>
      </c>
      <c r="R73" s="19"/>
      <c r="S73" s="20"/>
      <c r="T73" s="20"/>
      <c r="U73" s="20"/>
      <c r="V73" s="21">
        <f>IF(U73="","",U73*'0. Premissas (editável)'!$C$7*'0. Premissas (editável)'!$C$8)</f>
        <v>0</v>
      </c>
      <c r="W73" s="22">
        <f>IF(OR(S73="",V73=""),"",(S73-V73)/S73)</f>
        <v>0</v>
      </c>
      <c r="X73" s="23">
        <f>IF(W73="","preencher",IF(W73&gt;='0. Premissas (editável)'!$C$9,"Viável",IF(W73&gt;='0. Premissas (editável)'!$C$10,"Marginal","Inviável")))</f>
        <v>0</v>
      </c>
      <c r="Y73" s="23">
        <f>IF(R73="","preencher",IF(R73&gt;='0. Premissas (editável)'!$C$11,"PASSA","NÃO PASSA"))</f>
        <v>0</v>
      </c>
      <c r="Z73" s="23">
        <f>IF(AND(R73="",S73=""),"Preencher IQVIA",IF(AND(R73&lt;&gt;"",R73&lt;'0. Premissas (editável)'!$C$11),"NÃO — mercado abaixo do corte",IF(X73="Inviável","NÃO — economia não fecha",IF(D73="NÃO","NÃO — vetada na triagem",IF(X73="Marginal","REAVALIAR — margem apertada","SIM")))))</f>
        <v>0</v>
      </c>
      <c r="AA73" s="12" t="s">
        <v>179</v>
      </c>
      <c r="AB73" s="12"/>
      <c r="AC73" s="12" t="s">
        <v>108</v>
      </c>
      <c r="AD73" s="12" t="s">
        <v>174</v>
      </c>
      <c r="AE73" s="12" t="s">
        <v>273</v>
      </c>
      <c r="AF73" s="12" t="s">
        <v>274</v>
      </c>
      <c r="AG73" s="12" t="s">
        <v>180</v>
      </c>
      <c r="AH73" s="16" t="s">
        <v>180</v>
      </c>
      <c r="AI73" s="14">
        <v>11</v>
      </c>
      <c r="AJ73" s="14">
        <v>11</v>
      </c>
      <c r="AK73" s="12" t="s">
        <v>791</v>
      </c>
      <c r="AL73" s="12" t="s">
        <v>276</v>
      </c>
      <c r="AM73" s="12" t="s">
        <v>792</v>
      </c>
      <c r="AN73" s="12" t="s">
        <v>793</v>
      </c>
      <c r="AO73" s="12" t="s">
        <v>794</v>
      </c>
      <c r="AP73" s="14">
        <v>6</v>
      </c>
      <c r="AQ73" s="16" t="s">
        <v>180</v>
      </c>
      <c r="AR73" s="12" t="s">
        <v>234</v>
      </c>
      <c r="AS73" s="12" t="s">
        <v>184</v>
      </c>
      <c r="AT73" s="12" t="s">
        <v>795</v>
      </c>
      <c r="AU73" s="12" t="s">
        <v>796</v>
      </c>
      <c r="AV73" s="12" t="s">
        <v>797</v>
      </c>
      <c r="AW73" s="12" t="s">
        <v>336</v>
      </c>
      <c r="AX73" s="12" t="s">
        <v>798</v>
      </c>
      <c r="AY73" s="12" t="s">
        <v>526</v>
      </c>
    </row>
    <row r="74" spans="1:51">
      <c r="A74" s="12" t="s">
        <v>799</v>
      </c>
      <c r="B74" s="12" t="s">
        <v>800</v>
      </c>
      <c r="C74" s="12" t="s">
        <v>344</v>
      </c>
      <c r="D74" s="24" t="s">
        <v>180</v>
      </c>
      <c r="E74" s="16" t="s">
        <v>178</v>
      </c>
      <c r="F74" s="12" t="s">
        <v>586</v>
      </c>
      <c r="G74" s="14">
        <v>28</v>
      </c>
      <c r="H74" s="14">
        <v>0</v>
      </c>
      <c r="I74" s="14">
        <v>0</v>
      </c>
      <c r="J74" s="14">
        <v>14</v>
      </c>
      <c r="K74" s="14">
        <v>6</v>
      </c>
      <c r="L74" s="14">
        <v>8</v>
      </c>
      <c r="M74" s="12" t="s">
        <v>754</v>
      </c>
      <c r="N74" s="24" t="s">
        <v>351</v>
      </c>
      <c r="O74" s="12" t="s">
        <v>176</v>
      </c>
      <c r="P74" s="12" t="s">
        <v>380</v>
      </c>
      <c r="Q74" s="16" t="s">
        <v>178</v>
      </c>
      <c r="R74" s="19"/>
      <c r="S74" s="20"/>
      <c r="T74" s="20"/>
      <c r="U74" s="20"/>
      <c r="V74" s="21">
        <f>IF(U74="","",U74*'0. Premissas (editável)'!$C$7*'0. Premissas (editável)'!$C$8)</f>
        <v>0</v>
      </c>
      <c r="W74" s="22">
        <f>IF(OR(S74="",V74=""),"",(S74-V74)/S74)</f>
        <v>0</v>
      </c>
      <c r="X74" s="23">
        <f>IF(W74="","preencher",IF(W74&gt;='0. Premissas (editável)'!$C$9,"Viável",IF(W74&gt;='0. Premissas (editável)'!$C$10,"Marginal","Inviável")))</f>
        <v>0</v>
      </c>
      <c r="Y74" s="23">
        <f>IF(R74="","preencher",IF(R74&gt;='0. Premissas (editável)'!$C$11,"PASSA","NÃO PASSA"))</f>
        <v>0</v>
      </c>
      <c r="Z74" s="23">
        <f>IF(AND(R74="",S74=""),"Preencher IQVIA",IF(AND(R74&lt;&gt;"",R74&lt;'0. Premissas (editável)'!$C$11),"NÃO — mercado abaixo do corte",IF(X74="Inviável","NÃO — economia não fecha",IF(D74="NÃO","NÃO — vetada na triagem",IF(X74="Marginal","REAVALIAR — margem apertada","SIM")))))</f>
        <v>0</v>
      </c>
      <c r="AA74" s="12" t="s">
        <v>179</v>
      </c>
      <c r="AB74" s="12"/>
      <c r="AC74" s="12" t="s">
        <v>91</v>
      </c>
      <c r="AD74" s="12" t="s">
        <v>180</v>
      </c>
      <c r="AE74" s="12" t="s">
        <v>178</v>
      </c>
      <c r="AF74" s="12" t="s">
        <v>181</v>
      </c>
      <c r="AG74" s="12" t="s">
        <v>180</v>
      </c>
      <c r="AH74" s="16" t="s">
        <v>180</v>
      </c>
      <c r="AI74" s="14">
        <v>0</v>
      </c>
      <c r="AJ74" s="14">
        <v>0</v>
      </c>
      <c r="AK74" s="12"/>
      <c r="AL74" s="12"/>
      <c r="AM74" s="12"/>
      <c r="AN74" s="12"/>
      <c r="AO74" s="12" t="s">
        <v>182</v>
      </c>
      <c r="AP74" s="14">
        <v>2</v>
      </c>
      <c r="AQ74" s="16" t="s">
        <v>180</v>
      </c>
      <c r="AR74" s="12" t="s">
        <v>801</v>
      </c>
      <c r="AS74" s="12" t="s">
        <v>184</v>
      </c>
      <c r="AT74" s="12" t="s">
        <v>802</v>
      </c>
      <c r="AU74" s="12" t="s">
        <v>803</v>
      </c>
      <c r="AV74" s="12" t="s">
        <v>804</v>
      </c>
      <c r="AW74" s="12" t="s">
        <v>206</v>
      </c>
      <c r="AX74" s="12" t="s">
        <v>788</v>
      </c>
      <c r="AY74" s="12" t="s">
        <v>526</v>
      </c>
    </row>
    <row r="75" spans="1:51">
      <c r="A75" s="12" t="s">
        <v>805</v>
      </c>
      <c r="B75" s="12" t="s">
        <v>806</v>
      </c>
      <c r="C75" s="12" t="s">
        <v>469</v>
      </c>
      <c r="D75" s="24" t="s">
        <v>180</v>
      </c>
      <c r="E75" s="16" t="s">
        <v>178</v>
      </c>
      <c r="F75" s="12" t="s">
        <v>619</v>
      </c>
      <c r="G75" s="14">
        <v>28</v>
      </c>
      <c r="H75" s="14">
        <v>0</v>
      </c>
      <c r="I75" s="14">
        <v>0</v>
      </c>
      <c r="J75" s="14">
        <v>14</v>
      </c>
      <c r="K75" s="14">
        <v>6</v>
      </c>
      <c r="L75" s="14">
        <v>8</v>
      </c>
      <c r="M75" s="12" t="s">
        <v>754</v>
      </c>
      <c r="N75" s="24" t="s">
        <v>351</v>
      </c>
      <c r="O75" s="12" t="s">
        <v>176</v>
      </c>
      <c r="P75" s="12" t="s">
        <v>380</v>
      </c>
      <c r="Q75" s="16" t="s">
        <v>178</v>
      </c>
      <c r="R75" s="19"/>
      <c r="S75" s="20"/>
      <c r="T75" s="20"/>
      <c r="U75" s="20"/>
      <c r="V75" s="21">
        <f>IF(U75="","",U75*'0. Premissas (editável)'!$C$7*'0. Premissas (editável)'!$C$8)</f>
        <v>0</v>
      </c>
      <c r="W75" s="22">
        <f>IF(OR(S75="",V75=""),"",(S75-V75)/S75)</f>
        <v>0</v>
      </c>
      <c r="X75" s="23">
        <f>IF(W75="","preencher",IF(W75&gt;='0. Premissas (editável)'!$C$9,"Viável",IF(W75&gt;='0. Premissas (editável)'!$C$10,"Marginal","Inviável")))</f>
        <v>0</v>
      </c>
      <c r="Y75" s="23">
        <f>IF(R75="","preencher",IF(R75&gt;='0. Premissas (editável)'!$C$11,"PASSA","NÃO PASSA"))</f>
        <v>0</v>
      </c>
      <c r="Z75" s="23">
        <f>IF(AND(R75="",S75=""),"Preencher IQVIA",IF(AND(R75&lt;&gt;"",R75&lt;'0. Premissas (editável)'!$C$11),"NÃO — mercado abaixo do corte",IF(X75="Inviável","NÃO — economia não fecha",IF(D75="NÃO","NÃO — vetada na triagem",IF(X75="Marginal","REAVALIAR — margem apertada","SIM")))))</f>
        <v>0</v>
      </c>
      <c r="AA75" s="12" t="s">
        <v>179</v>
      </c>
      <c r="AB75" s="12"/>
      <c r="AC75" s="12" t="s">
        <v>91</v>
      </c>
      <c r="AD75" s="12" t="s">
        <v>180</v>
      </c>
      <c r="AE75" s="12" t="s">
        <v>178</v>
      </c>
      <c r="AF75" s="12" t="s">
        <v>181</v>
      </c>
      <c r="AG75" s="12" t="s">
        <v>180</v>
      </c>
      <c r="AH75" s="16" t="s">
        <v>180</v>
      </c>
      <c r="AI75" s="14">
        <v>0</v>
      </c>
      <c r="AJ75" s="14">
        <v>0</v>
      </c>
      <c r="AK75" s="12"/>
      <c r="AL75" s="12"/>
      <c r="AM75" s="12"/>
      <c r="AN75" s="12"/>
      <c r="AO75" s="12" t="s">
        <v>201</v>
      </c>
      <c r="AP75" s="14">
        <v>7</v>
      </c>
      <c r="AQ75" s="15" t="s">
        <v>174</v>
      </c>
      <c r="AR75" s="12" t="s">
        <v>520</v>
      </c>
      <c r="AS75" s="12" t="s">
        <v>807</v>
      </c>
      <c r="AT75" s="12" t="s">
        <v>612</v>
      </c>
      <c r="AU75" s="12" t="s">
        <v>808</v>
      </c>
      <c r="AV75" s="12" t="s">
        <v>809</v>
      </c>
      <c r="AW75" s="12" t="s">
        <v>810</v>
      </c>
      <c r="AX75" s="12" t="s">
        <v>788</v>
      </c>
      <c r="AY75" s="12" t="s">
        <v>616</v>
      </c>
    </row>
    <row r="76" spans="1:51">
      <c r="A76" s="12" t="s">
        <v>811</v>
      </c>
      <c r="B76" s="12" t="s">
        <v>812</v>
      </c>
      <c r="C76" s="12" t="s">
        <v>217</v>
      </c>
      <c r="D76" s="24" t="s">
        <v>180</v>
      </c>
      <c r="E76" s="16" t="s">
        <v>178</v>
      </c>
      <c r="F76" s="12" t="s">
        <v>586</v>
      </c>
      <c r="G76" s="14">
        <v>28</v>
      </c>
      <c r="H76" s="14">
        <v>0</v>
      </c>
      <c r="I76" s="14">
        <v>0</v>
      </c>
      <c r="J76" s="14">
        <v>14</v>
      </c>
      <c r="K76" s="14">
        <v>6</v>
      </c>
      <c r="L76" s="14">
        <v>8</v>
      </c>
      <c r="M76" s="12" t="s">
        <v>754</v>
      </c>
      <c r="N76" s="24" t="s">
        <v>351</v>
      </c>
      <c r="O76" s="12" t="s">
        <v>176</v>
      </c>
      <c r="P76" s="12" t="s">
        <v>380</v>
      </c>
      <c r="Q76" s="16" t="s">
        <v>178</v>
      </c>
      <c r="R76" s="19"/>
      <c r="S76" s="20"/>
      <c r="T76" s="20"/>
      <c r="U76" s="20"/>
      <c r="V76" s="21">
        <f>IF(U76="","",U76*'0. Premissas (editável)'!$C$7*'0. Premissas (editável)'!$C$8)</f>
        <v>0</v>
      </c>
      <c r="W76" s="22">
        <f>IF(OR(S76="",V76=""),"",(S76-V76)/S76)</f>
        <v>0</v>
      </c>
      <c r="X76" s="23">
        <f>IF(W76="","preencher",IF(W76&gt;='0. Premissas (editável)'!$C$9,"Viável",IF(W76&gt;='0. Premissas (editável)'!$C$10,"Marginal","Inviável")))</f>
        <v>0</v>
      </c>
      <c r="Y76" s="23">
        <f>IF(R76="","preencher",IF(R76&gt;='0. Premissas (editável)'!$C$11,"PASSA","NÃO PASSA"))</f>
        <v>0</v>
      </c>
      <c r="Z76" s="23">
        <f>IF(AND(R76="",S76=""),"Preencher IQVIA",IF(AND(R76&lt;&gt;"",R76&lt;'0. Premissas (editável)'!$C$11),"NÃO — mercado abaixo do corte",IF(X76="Inviável","NÃO — economia não fecha",IF(D76="NÃO","NÃO — vetada na triagem",IF(X76="Marginal","REAVALIAR — margem apertada","SIM")))))</f>
        <v>0</v>
      </c>
      <c r="AA76" s="12" t="s">
        <v>179</v>
      </c>
      <c r="AB76" s="12"/>
      <c r="AC76" s="12" t="s">
        <v>91</v>
      </c>
      <c r="AD76" s="12" t="s">
        <v>180</v>
      </c>
      <c r="AE76" s="12" t="s">
        <v>178</v>
      </c>
      <c r="AF76" s="12" t="s">
        <v>181</v>
      </c>
      <c r="AG76" s="12" t="s">
        <v>180</v>
      </c>
      <c r="AH76" s="16" t="s">
        <v>180</v>
      </c>
      <c r="AI76" s="14">
        <v>0</v>
      </c>
      <c r="AJ76" s="14">
        <v>0</v>
      </c>
      <c r="AK76" s="12"/>
      <c r="AL76" s="12"/>
      <c r="AM76" s="12"/>
      <c r="AN76" s="12"/>
      <c r="AO76" s="12" t="s">
        <v>182</v>
      </c>
      <c r="AP76" s="14">
        <v>3</v>
      </c>
      <c r="AQ76" s="16" t="s">
        <v>180</v>
      </c>
      <c r="AR76" s="12" t="s">
        <v>813</v>
      </c>
      <c r="AS76" s="12" t="s">
        <v>184</v>
      </c>
      <c r="AT76" s="12" t="s">
        <v>814</v>
      </c>
      <c r="AU76" s="12" t="s">
        <v>815</v>
      </c>
      <c r="AV76" s="12" t="s">
        <v>816</v>
      </c>
      <c r="AW76" s="12" t="s">
        <v>817</v>
      </c>
      <c r="AX76" s="12" t="s">
        <v>788</v>
      </c>
      <c r="AY76" s="12" t="s">
        <v>526</v>
      </c>
    </row>
    <row r="77" spans="1:51">
      <c r="A77" s="12" t="s">
        <v>818</v>
      </c>
      <c r="B77" s="12" t="s">
        <v>819</v>
      </c>
      <c r="C77" s="12" t="s">
        <v>344</v>
      </c>
      <c r="D77" s="24" t="s">
        <v>180</v>
      </c>
      <c r="E77" s="16" t="s">
        <v>178</v>
      </c>
      <c r="F77" s="12" t="s">
        <v>619</v>
      </c>
      <c r="G77" s="14">
        <v>28</v>
      </c>
      <c r="H77" s="14">
        <v>0</v>
      </c>
      <c r="I77" s="14">
        <v>0</v>
      </c>
      <c r="J77" s="14">
        <v>14</v>
      </c>
      <c r="K77" s="14">
        <v>6</v>
      </c>
      <c r="L77" s="14">
        <v>8</v>
      </c>
      <c r="M77" s="12" t="s">
        <v>754</v>
      </c>
      <c r="N77" s="24" t="s">
        <v>351</v>
      </c>
      <c r="O77" s="12" t="s">
        <v>176</v>
      </c>
      <c r="P77" s="12" t="s">
        <v>380</v>
      </c>
      <c r="Q77" s="16" t="s">
        <v>178</v>
      </c>
      <c r="R77" s="19"/>
      <c r="S77" s="20"/>
      <c r="T77" s="20"/>
      <c r="U77" s="20"/>
      <c r="V77" s="21">
        <f>IF(U77="","",U77*'0. Premissas (editável)'!$C$7*'0. Premissas (editável)'!$C$8)</f>
        <v>0</v>
      </c>
      <c r="W77" s="22">
        <f>IF(OR(S77="",V77=""),"",(S77-V77)/S77)</f>
        <v>0</v>
      </c>
      <c r="X77" s="23">
        <f>IF(W77="","preencher",IF(W77&gt;='0. Premissas (editável)'!$C$9,"Viável",IF(W77&gt;='0. Premissas (editável)'!$C$10,"Marginal","Inviável")))</f>
        <v>0</v>
      </c>
      <c r="Y77" s="23">
        <f>IF(R77="","preencher",IF(R77&gt;='0. Premissas (editável)'!$C$11,"PASSA","NÃO PASSA"))</f>
        <v>0</v>
      </c>
      <c r="Z77" s="23">
        <f>IF(AND(R77="",S77=""),"Preencher IQVIA",IF(AND(R77&lt;&gt;"",R77&lt;'0. Premissas (editável)'!$C$11),"NÃO — mercado abaixo do corte",IF(X77="Inviável","NÃO — economia não fecha",IF(D77="NÃO","NÃO — vetada na triagem",IF(X77="Marginal","REAVALIAR — margem apertada","SIM")))))</f>
        <v>0</v>
      </c>
      <c r="AA77" s="12" t="s">
        <v>179</v>
      </c>
      <c r="AB77" s="12"/>
      <c r="AC77" s="12" t="s">
        <v>91</v>
      </c>
      <c r="AD77" s="12" t="s">
        <v>180</v>
      </c>
      <c r="AE77" s="12" t="s">
        <v>178</v>
      </c>
      <c r="AF77" s="12" t="s">
        <v>181</v>
      </c>
      <c r="AG77" s="12" t="s">
        <v>180</v>
      </c>
      <c r="AH77" s="16" t="s">
        <v>180</v>
      </c>
      <c r="AI77" s="14">
        <v>0</v>
      </c>
      <c r="AJ77" s="14">
        <v>0</v>
      </c>
      <c r="AK77" s="12"/>
      <c r="AL77" s="12"/>
      <c r="AM77" s="12"/>
      <c r="AN77" s="12"/>
      <c r="AO77" s="12" t="s">
        <v>201</v>
      </c>
      <c r="AP77" s="14">
        <v>5</v>
      </c>
      <c r="AQ77" s="16" t="s">
        <v>180</v>
      </c>
      <c r="AR77" s="12" t="s">
        <v>520</v>
      </c>
      <c r="AS77" s="12" t="s">
        <v>235</v>
      </c>
      <c r="AT77" s="12" t="s">
        <v>820</v>
      </c>
      <c r="AU77" s="12" t="s">
        <v>821</v>
      </c>
      <c r="AV77" s="12" t="s">
        <v>822</v>
      </c>
      <c r="AW77" s="12" t="s">
        <v>823</v>
      </c>
      <c r="AX77" s="12" t="s">
        <v>788</v>
      </c>
      <c r="AY77" s="12" t="s">
        <v>526</v>
      </c>
    </row>
    <row r="78" spans="1:51">
      <c r="A78" s="12" t="s">
        <v>824</v>
      </c>
      <c r="B78" s="12" t="s">
        <v>825</v>
      </c>
      <c r="C78" s="12" t="s">
        <v>469</v>
      </c>
      <c r="D78" s="24" t="s">
        <v>180</v>
      </c>
      <c r="E78" s="16" t="s">
        <v>178</v>
      </c>
      <c r="F78" s="12" t="s">
        <v>586</v>
      </c>
      <c r="G78" s="14">
        <v>27</v>
      </c>
      <c r="H78" s="14">
        <v>0</v>
      </c>
      <c r="I78" s="14">
        <v>0</v>
      </c>
      <c r="J78" s="14">
        <v>14</v>
      </c>
      <c r="K78" s="14">
        <v>13</v>
      </c>
      <c r="L78" s="14">
        <v>0</v>
      </c>
      <c r="M78" s="12" t="s">
        <v>754</v>
      </c>
      <c r="N78" s="24" t="s">
        <v>351</v>
      </c>
      <c r="O78" s="12" t="s">
        <v>176</v>
      </c>
      <c r="P78" s="12" t="s">
        <v>380</v>
      </c>
      <c r="Q78" s="24" t="s">
        <v>381</v>
      </c>
      <c r="R78" s="19"/>
      <c r="S78" s="20"/>
      <c r="T78" s="20"/>
      <c r="U78" s="20"/>
      <c r="V78" s="21">
        <f>IF(U78="","",U78*'0. Premissas (editável)'!$C$7*'0. Premissas (editável)'!$C$8)</f>
        <v>0</v>
      </c>
      <c r="W78" s="22">
        <f>IF(OR(S78="",V78=""),"",(S78-V78)/S78)</f>
        <v>0</v>
      </c>
      <c r="X78" s="23">
        <f>IF(W78="","preencher",IF(W78&gt;='0. Premissas (editável)'!$C$9,"Viável",IF(W78&gt;='0. Premissas (editável)'!$C$10,"Marginal","Inviável")))</f>
        <v>0</v>
      </c>
      <c r="Y78" s="23">
        <f>IF(R78="","preencher",IF(R78&gt;='0. Premissas (editável)'!$C$11,"PASSA","NÃO PASSA"))</f>
        <v>0</v>
      </c>
      <c r="Z78" s="23">
        <f>IF(AND(R78="",S78=""),"Preencher IQVIA",IF(AND(R78&lt;&gt;"",R78&lt;'0. Premissas (editável)'!$C$11),"NÃO — mercado abaixo do corte",IF(X78="Inviável","NÃO — economia não fecha",IF(D78="NÃO","NÃO — vetada na triagem",IF(X78="Marginal","REAVALIAR — margem apertada","SIM")))))</f>
        <v>0</v>
      </c>
      <c r="AA78" s="12" t="s">
        <v>179</v>
      </c>
      <c r="AB78" s="12"/>
      <c r="AC78" s="12" t="s">
        <v>101</v>
      </c>
      <c r="AD78" s="12" t="s">
        <v>174</v>
      </c>
      <c r="AE78" s="12" t="s">
        <v>242</v>
      </c>
      <c r="AF78" s="12" t="s">
        <v>243</v>
      </c>
      <c r="AG78" s="12" t="s">
        <v>180</v>
      </c>
      <c r="AH78" s="16" t="s">
        <v>180</v>
      </c>
      <c r="AI78" s="14">
        <v>2</v>
      </c>
      <c r="AJ78" s="14">
        <v>2</v>
      </c>
      <c r="AK78" s="12" t="s">
        <v>826</v>
      </c>
      <c r="AL78" s="12" t="s">
        <v>245</v>
      </c>
      <c r="AM78" s="12" t="s">
        <v>246</v>
      </c>
      <c r="AN78" s="12" t="s">
        <v>827</v>
      </c>
      <c r="AO78" s="12" t="s">
        <v>402</v>
      </c>
      <c r="AP78" s="14">
        <v>2</v>
      </c>
      <c r="AQ78" s="16" t="s">
        <v>180</v>
      </c>
      <c r="AR78" s="12" t="s">
        <v>828</v>
      </c>
      <c r="AS78" s="12" t="s">
        <v>588</v>
      </c>
      <c r="AT78" s="12" t="s">
        <v>829</v>
      </c>
      <c r="AU78" s="12" t="s">
        <v>830</v>
      </c>
      <c r="AV78" s="12" t="s">
        <v>831</v>
      </c>
      <c r="AW78" s="12" t="s">
        <v>317</v>
      </c>
      <c r="AX78" s="12" t="s">
        <v>832</v>
      </c>
      <c r="AY78" s="12" t="s">
        <v>367</v>
      </c>
    </row>
    <row r="79" spans="1:51">
      <c r="A79" s="12" t="s">
        <v>833</v>
      </c>
      <c r="B79" s="12" t="s">
        <v>834</v>
      </c>
      <c r="C79" s="12" t="s">
        <v>344</v>
      </c>
      <c r="D79" s="24" t="s">
        <v>180</v>
      </c>
      <c r="E79" s="16" t="s">
        <v>178</v>
      </c>
      <c r="F79" s="12" t="s">
        <v>619</v>
      </c>
      <c r="G79" s="14">
        <v>27</v>
      </c>
      <c r="H79" s="14">
        <v>5</v>
      </c>
      <c r="I79" s="14">
        <v>0</v>
      </c>
      <c r="J79" s="14">
        <v>14</v>
      </c>
      <c r="K79" s="14">
        <v>0</v>
      </c>
      <c r="L79" s="14">
        <v>8</v>
      </c>
      <c r="M79" s="12" t="s">
        <v>119</v>
      </c>
      <c r="N79" s="24" t="s">
        <v>351</v>
      </c>
      <c r="O79" s="12" t="s">
        <v>176</v>
      </c>
      <c r="P79" s="12" t="s">
        <v>380</v>
      </c>
      <c r="Q79" s="16" t="s">
        <v>178</v>
      </c>
      <c r="R79" s="19"/>
      <c r="S79" s="20"/>
      <c r="T79" s="20"/>
      <c r="U79" s="20"/>
      <c r="V79" s="21">
        <f>IF(U79="","",U79*'0. Premissas (editável)'!$C$7*'0. Premissas (editável)'!$C$8)</f>
        <v>0</v>
      </c>
      <c r="W79" s="22">
        <f>IF(OR(S79="",V79=""),"",(S79-V79)/S79)</f>
        <v>0</v>
      </c>
      <c r="X79" s="23">
        <f>IF(W79="","preencher",IF(W79&gt;='0. Premissas (editável)'!$C$9,"Viável",IF(W79&gt;='0. Premissas (editável)'!$C$10,"Marginal","Inviável")))</f>
        <v>0</v>
      </c>
      <c r="Y79" s="23">
        <f>IF(R79="","preencher",IF(R79&gt;='0. Premissas (editável)'!$C$11,"PASSA","NÃO PASSA"))</f>
        <v>0</v>
      </c>
      <c r="Z79" s="23">
        <f>IF(AND(R79="",S79=""),"Preencher IQVIA",IF(AND(R79&lt;&gt;"",R79&lt;'0. Premissas (editável)'!$C$11),"NÃO — mercado abaixo do corte",IF(X79="Inviável","NÃO — economia não fecha",IF(D79="NÃO","NÃO — vetada na triagem",IF(X79="Marginal","REAVALIAR — margem apertada","SIM")))))</f>
        <v>0</v>
      </c>
      <c r="AA79" s="12" t="s">
        <v>179</v>
      </c>
      <c r="AB79" s="12"/>
      <c r="AC79" s="12" t="s">
        <v>91</v>
      </c>
      <c r="AD79" s="12" t="s">
        <v>180</v>
      </c>
      <c r="AE79" s="12" t="s">
        <v>178</v>
      </c>
      <c r="AF79" s="12" t="s">
        <v>181</v>
      </c>
      <c r="AG79" s="12" t="s">
        <v>180</v>
      </c>
      <c r="AH79" s="16" t="s">
        <v>180</v>
      </c>
      <c r="AI79" s="14">
        <v>0</v>
      </c>
      <c r="AJ79" s="14">
        <v>0</v>
      </c>
      <c r="AK79" s="12"/>
      <c r="AL79" s="12"/>
      <c r="AM79" s="12"/>
      <c r="AN79" s="12"/>
      <c r="AO79" s="12" t="s">
        <v>201</v>
      </c>
      <c r="AP79" s="14">
        <v>1</v>
      </c>
      <c r="AQ79" s="16" t="s">
        <v>180</v>
      </c>
      <c r="AR79" s="12" t="s">
        <v>835</v>
      </c>
      <c r="AS79" s="12" t="s">
        <v>184</v>
      </c>
      <c r="AT79" s="12" t="s">
        <v>836</v>
      </c>
      <c r="AU79" s="12" t="s">
        <v>837</v>
      </c>
      <c r="AV79" s="12" t="s">
        <v>838</v>
      </c>
      <c r="AW79" s="12" t="s">
        <v>311</v>
      </c>
      <c r="AX79" s="12" t="s">
        <v>593</v>
      </c>
      <c r="AY79" s="12" t="s">
        <v>526</v>
      </c>
    </row>
    <row r="80" spans="1:51">
      <c r="A80" s="12" t="s">
        <v>839</v>
      </c>
      <c r="B80" s="12" t="s">
        <v>840</v>
      </c>
      <c r="C80" s="12" t="s">
        <v>217</v>
      </c>
      <c r="D80" s="24" t="s">
        <v>180</v>
      </c>
      <c r="E80" s="16" t="s">
        <v>178</v>
      </c>
      <c r="F80" s="12" t="s">
        <v>519</v>
      </c>
      <c r="G80" s="14">
        <v>27</v>
      </c>
      <c r="H80" s="14">
        <v>5</v>
      </c>
      <c r="I80" s="14">
        <v>0</v>
      </c>
      <c r="J80" s="14">
        <v>14</v>
      </c>
      <c r="K80" s="14">
        <v>0</v>
      </c>
      <c r="L80" s="14">
        <v>8</v>
      </c>
      <c r="M80" s="12" t="s">
        <v>119</v>
      </c>
      <c r="N80" s="24" t="s">
        <v>351</v>
      </c>
      <c r="O80" s="12" t="s">
        <v>176</v>
      </c>
      <c r="P80" s="12" t="s">
        <v>380</v>
      </c>
      <c r="Q80" s="16" t="s">
        <v>178</v>
      </c>
      <c r="R80" s="19"/>
      <c r="S80" s="20"/>
      <c r="T80" s="20"/>
      <c r="U80" s="20"/>
      <c r="V80" s="21">
        <f>IF(U80="","",U80*'0. Premissas (editável)'!$C$7*'0. Premissas (editável)'!$C$8)</f>
        <v>0</v>
      </c>
      <c r="W80" s="22">
        <f>IF(OR(S80="",V80=""),"",(S80-V80)/S80)</f>
        <v>0</v>
      </c>
      <c r="X80" s="23">
        <f>IF(W80="","preencher",IF(W80&gt;='0. Premissas (editável)'!$C$9,"Viável",IF(W80&gt;='0. Premissas (editável)'!$C$10,"Marginal","Inviável")))</f>
        <v>0</v>
      </c>
      <c r="Y80" s="23">
        <f>IF(R80="","preencher",IF(R80&gt;='0. Premissas (editável)'!$C$11,"PASSA","NÃO PASSA"))</f>
        <v>0</v>
      </c>
      <c r="Z80" s="23">
        <f>IF(AND(R80="",S80=""),"Preencher IQVIA",IF(AND(R80&lt;&gt;"",R80&lt;'0. Premissas (editável)'!$C$11),"NÃO — mercado abaixo do corte",IF(X80="Inviável","NÃO — economia não fecha",IF(D80="NÃO","NÃO — vetada na triagem",IF(X80="Marginal","REAVALIAR — margem apertada","SIM")))))</f>
        <v>0</v>
      </c>
      <c r="AA80" s="12" t="s">
        <v>179</v>
      </c>
      <c r="AB80" s="12"/>
      <c r="AC80" s="12" t="s">
        <v>91</v>
      </c>
      <c r="AD80" s="12" t="s">
        <v>180</v>
      </c>
      <c r="AE80" s="12" t="s">
        <v>178</v>
      </c>
      <c r="AF80" s="12" t="s">
        <v>181</v>
      </c>
      <c r="AG80" s="12" t="s">
        <v>180</v>
      </c>
      <c r="AH80" s="16" t="s">
        <v>180</v>
      </c>
      <c r="AI80" s="14">
        <v>0</v>
      </c>
      <c r="AJ80" s="14">
        <v>0</v>
      </c>
      <c r="AK80" s="12"/>
      <c r="AL80" s="12"/>
      <c r="AM80" s="12"/>
      <c r="AN80" s="12"/>
      <c r="AO80" s="12" t="s">
        <v>201</v>
      </c>
      <c r="AP80" s="14">
        <v>2</v>
      </c>
      <c r="AQ80" s="16" t="s">
        <v>180</v>
      </c>
      <c r="AR80" s="12" t="s">
        <v>841</v>
      </c>
      <c r="AS80" s="12" t="s">
        <v>184</v>
      </c>
      <c r="AT80" s="12" t="s">
        <v>842</v>
      </c>
      <c r="AU80" s="12" t="s">
        <v>843</v>
      </c>
      <c r="AV80" s="12" t="s">
        <v>844</v>
      </c>
      <c r="AW80" s="12" t="s">
        <v>510</v>
      </c>
      <c r="AX80" s="12" t="s">
        <v>525</v>
      </c>
      <c r="AY80" s="12" t="s">
        <v>526</v>
      </c>
    </row>
    <row r="81" spans="1:51">
      <c r="A81" s="12" t="s">
        <v>845</v>
      </c>
      <c r="B81" s="12" t="s">
        <v>846</v>
      </c>
      <c r="C81" s="12" t="s">
        <v>173</v>
      </c>
      <c r="D81" s="24" t="s">
        <v>180</v>
      </c>
      <c r="E81" s="16" t="s">
        <v>178</v>
      </c>
      <c r="F81" s="12" t="s">
        <v>619</v>
      </c>
      <c r="G81" s="14">
        <v>27</v>
      </c>
      <c r="H81" s="14">
        <v>5</v>
      </c>
      <c r="I81" s="14">
        <v>0</v>
      </c>
      <c r="J81" s="14">
        <v>14</v>
      </c>
      <c r="K81" s="14">
        <v>0</v>
      </c>
      <c r="L81" s="14">
        <v>8</v>
      </c>
      <c r="M81" s="12" t="s">
        <v>119</v>
      </c>
      <c r="N81" s="24" t="s">
        <v>351</v>
      </c>
      <c r="O81" s="12" t="s">
        <v>176</v>
      </c>
      <c r="P81" s="12" t="s">
        <v>380</v>
      </c>
      <c r="Q81" s="16" t="s">
        <v>178</v>
      </c>
      <c r="R81" s="19"/>
      <c r="S81" s="20"/>
      <c r="T81" s="20"/>
      <c r="U81" s="20"/>
      <c r="V81" s="21">
        <f>IF(U81="","",U81*'0. Premissas (editável)'!$C$7*'0. Premissas (editável)'!$C$8)</f>
        <v>0</v>
      </c>
      <c r="W81" s="22">
        <f>IF(OR(S81="",V81=""),"",(S81-V81)/S81)</f>
        <v>0</v>
      </c>
      <c r="X81" s="23">
        <f>IF(W81="","preencher",IF(W81&gt;='0. Premissas (editável)'!$C$9,"Viável",IF(W81&gt;='0. Premissas (editável)'!$C$10,"Marginal","Inviável")))</f>
        <v>0</v>
      </c>
      <c r="Y81" s="23">
        <f>IF(R81="","preencher",IF(R81&gt;='0. Premissas (editável)'!$C$11,"PASSA","NÃO PASSA"))</f>
        <v>0</v>
      </c>
      <c r="Z81" s="23">
        <f>IF(AND(R81="",S81=""),"Preencher IQVIA",IF(AND(R81&lt;&gt;"",R81&lt;'0. Premissas (editável)'!$C$11),"NÃO — mercado abaixo do corte",IF(X81="Inviável","NÃO — economia não fecha",IF(D81="NÃO","NÃO — vetada na triagem",IF(X81="Marginal","REAVALIAR — margem apertada","SIM")))))</f>
        <v>0</v>
      </c>
      <c r="AA81" s="12" t="s">
        <v>179</v>
      </c>
      <c r="AB81" s="12"/>
      <c r="AC81" s="12" t="s">
        <v>91</v>
      </c>
      <c r="AD81" s="12" t="s">
        <v>180</v>
      </c>
      <c r="AE81" s="12" t="s">
        <v>178</v>
      </c>
      <c r="AF81" s="12" t="s">
        <v>181</v>
      </c>
      <c r="AG81" s="12" t="s">
        <v>180</v>
      </c>
      <c r="AH81" s="16" t="s">
        <v>180</v>
      </c>
      <c r="AI81" s="14">
        <v>0</v>
      </c>
      <c r="AJ81" s="14">
        <v>0</v>
      </c>
      <c r="AK81" s="12"/>
      <c r="AL81" s="12"/>
      <c r="AM81" s="12"/>
      <c r="AN81" s="12"/>
      <c r="AO81" s="12" t="s">
        <v>201</v>
      </c>
      <c r="AP81" s="14">
        <v>2</v>
      </c>
      <c r="AQ81" s="16" t="s">
        <v>180</v>
      </c>
      <c r="AR81" s="12" t="s">
        <v>847</v>
      </c>
      <c r="AS81" s="12" t="s">
        <v>184</v>
      </c>
      <c r="AT81" s="12" t="s">
        <v>848</v>
      </c>
      <c r="AU81" s="12" t="s">
        <v>849</v>
      </c>
      <c r="AV81" s="12" t="s">
        <v>850</v>
      </c>
      <c r="AW81" s="12" t="s">
        <v>636</v>
      </c>
      <c r="AX81" s="12" t="s">
        <v>593</v>
      </c>
      <c r="AY81" s="12" t="s">
        <v>526</v>
      </c>
    </row>
    <row r="82" spans="1:51">
      <c r="A82" s="12" t="s">
        <v>851</v>
      </c>
      <c r="B82" s="12" t="s">
        <v>852</v>
      </c>
      <c r="C82" s="12" t="s">
        <v>469</v>
      </c>
      <c r="D82" s="24" t="s">
        <v>180</v>
      </c>
      <c r="E82" s="16" t="s">
        <v>178</v>
      </c>
      <c r="F82" s="12" t="s">
        <v>519</v>
      </c>
      <c r="G82" s="14">
        <v>27</v>
      </c>
      <c r="H82" s="14">
        <v>5</v>
      </c>
      <c r="I82" s="14">
        <v>0</v>
      </c>
      <c r="J82" s="14">
        <v>14</v>
      </c>
      <c r="K82" s="14">
        <v>0</v>
      </c>
      <c r="L82" s="14">
        <v>8</v>
      </c>
      <c r="M82" s="12" t="s">
        <v>119</v>
      </c>
      <c r="N82" s="24" t="s">
        <v>351</v>
      </c>
      <c r="O82" s="12" t="s">
        <v>176</v>
      </c>
      <c r="P82" s="12" t="s">
        <v>380</v>
      </c>
      <c r="Q82" s="16" t="s">
        <v>178</v>
      </c>
      <c r="R82" s="19"/>
      <c r="S82" s="20"/>
      <c r="T82" s="20"/>
      <c r="U82" s="20"/>
      <c r="V82" s="21">
        <f>IF(U82="","",U82*'0. Premissas (editável)'!$C$7*'0. Premissas (editável)'!$C$8)</f>
        <v>0</v>
      </c>
      <c r="W82" s="22">
        <f>IF(OR(S82="",V82=""),"",(S82-V82)/S82)</f>
        <v>0</v>
      </c>
      <c r="X82" s="23">
        <f>IF(W82="","preencher",IF(W82&gt;='0. Premissas (editável)'!$C$9,"Viável",IF(W82&gt;='0. Premissas (editável)'!$C$10,"Marginal","Inviável")))</f>
        <v>0</v>
      </c>
      <c r="Y82" s="23">
        <f>IF(R82="","preencher",IF(R82&gt;='0. Premissas (editável)'!$C$11,"PASSA","NÃO PASSA"))</f>
        <v>0</v>
      </c>
      <c r="Z82" s="23">
        <f>IF(AND(R82="",S82=""),"Preencher IQVIA",IF(AND(R82&lt;&gt;"",R82&lt;'0. Premissas (editável)'!$C$11),"NÃO — mercado abaixo do corte",IF(X82="Inviável","NÃO — economia não fecha",IF(D82="NÃO","NÃO — vetada na triagem",IF(X82="Marginal","REAVALIAR — margem apertada","SIM")))))</f>
        <v>0</v>
      </c>
      <c r="AA82" s="12" t="s">
        <v>179</v>
      </c>
      <c r="AB82" s="12"/>
      <c r="AC82" s="12" t="s">
        <v>91</v>
      </c>
      <c r="AD82" s="12" t="s">
        <v>180</v>
      </c>
      <c r="AE82" s="12" t="s">
        <v>178</v>
      </c>
      <c r="AF82" s="12" t="s">
        <v>181</v>
      </c>
      <c r="AG82" s="12" t="s">
        <v>180</v>
      </c>
      <c r="AH82" s="16" t="s">
        <v>180</v>
      </c>
      <c r="AI82" s="14">
        <v>0</v>
      </c>
      <c r="AJ82" s="14">
        <v>0</v>
      </c>
      <c r="AK82" s="12"/>
      <c r="AL82" s="12"/>
      <c r="AM82" s="12"/>
      <c r="AN82" s="12"/>
      <c r="AO82" s="12" t="s">
        <v>201</v>
      </c>
      <c r="AP82" s="14">
        <v>2</v>
      </c>
      <c r="AQ82" s="16" t="s">
        <v>180</v>
      </c>
      <c r="AR82" s="12" t="s">
        <v>853</v>
      </c>
      <c r="AS82" s="12" t="s">
        <v>184</v>
      </c>
      <c r="AT82" s="12" t="s">
        <v>854</v>
      </c>
      <c r="AU82" s="12" t="s">
        <v>855</v>
      </c>
      <c r="AV82" s="12" t="s">
        <v>856</v>
      </c>
      <c r="AW82" s="12" t="s">
        <v>708</v>
      </c>
      <c r="AX82" s="12" t="s">
        <v>525</v>
      </c>
      <c r="AY82" s="12" t="s">
        <v>526</v>
      </c>
    </row>
    <row r="83" spans="1:51">
      <c r="A83" s="12" t="s">
        <v>857</v>
      </c>
      <c r="B83" s="12" t="s">
        <v>858</v>
      </c>
      <c r="C83" s="12" t="s">
        <v>344</v>
      </c>
      <c r="D83" s="24" t="s">
        <v>180</v>
      </c>
      <c r="E83" s="16" t="s">
        <v>178</v>
      </c>
      <c r="F83" s="12" t="s">
        <v>619</v>
      </c>
      <c r="G83" s="14">
        <v>27</v>
      </c>
      <c r="H83" s="14">
        <v>5</v>
      </c>
      <c r="I83" s="14">
        <v>0</v>
      </c>
      <c r="J83" s="14">
        <v>14</v>
      </c>
      <c r="K83" s="14">
        <v>0</v>
      </c>
      <c r="L83" s="14">
        <v>8</v>
      </c>
      <c r="M83" s="12" t="s">
        <v>119</v>
      </c>
      <c r="N83" s="24" t="s">
        <v>351</v>
      </c>
      <c r="O83" s="12" t="s">
        <v>176</v>
      </c>
      <c r="P83" s="12" t="s">
        <v>380</v>
      </c>
      <c r="Q83" s="16" t="s">
        <v>178</v>
      </c>
      <c r="R83" s="19"/>
      <c r="S83" s="20"/>
      <c r="T83" s="20"/>
      <c r="U83" s="20"/>
      <c r="V83" s="21">
        <f>IF(U83="","",U83*'0. Premissas (editável)'!$C$7*'0. Premissas (editável)'!$C$8)</f>
        <v>0</v>
      </c>
      <c r="W83" s="22">
        <f>IF(OR(S83="",V83=""),"",(S83-V83)/S83)</f>
        <v>0</v>
      </c>
      <c r="X83" s="23">
        <f>IF(W83="","preencher",IF(W83&gt;='0. Premissas (editável)'!$C$9,"Viável",IF(W83&gt;='0. Premissas (editável)'!$C$10,"Marginal","Inviável")))</f>
        <v>0</v>
      </c>
      <c r="Y83" s="23">
        <f>IF(R83="","preencher",IF(R83&gt;='0. Premissas (editável)'!$C$11,"PASSA","NÃO PASSA"))</f>
        <v>0</v>
      </c>
      <c r="Z83" s="23">
        <f>IF(AND(R83="",S83=""),"Preencher IQVIA",IF(AND(R83&lt;&gt;"",R83&lt;'0. Premissas (editável)'!$C$11),"NÃO — mercado abaixo do corte",IF(X83="Inviável","NÃO — economia não fecha",IF(D83="NÃO","NÃO — vetada na triagem",IF(X83="Marginal","REAVALIAR — margem apertada","SIM")))))</f>
        <v>0</v>
      </c>
      <c r="AA83" s="12" t="s">
        <v>179</v>
      </c>
      <c r="AB83" s="12"/>
      <c r="AC83" s="12" t="s">
        <v>91</v>
      </c>
      <c r="AD83" s="12" t="s">
        <v>180</v>
      </c>
      <c r="AE83" s="12" t="s">
        <v>178</v>
      </c>
      <c r="AF83" s="12" t="s">
        <v>181</v>
      </c>
      <c r="AG83" s="12" t="s">
        <v>180</v>
      </c>
      <c r="AH83" s="16" t="s">
        <v>180</v>
      </c>
      <c r="AI83" s="14">
        <v>0</v>
      </c>
      <c r="AJ83" s="14">
        <v>0</v>
      </c>
      <c r="AK83" s="12"/>
      <c r="AL83" s="12"/>
      <c r="AM83" s="12"/>
      <c r="AN83" s="12"/>
      <c r="AO83" s="12" t="s">
        <v>201</v>
      </c>
      <c r="AP83" s="14">
        <v>2</v>
      </c>
      <c r="AQ83" s="16" t="s">
        <v>180</v>
      </c>
      <c r="AR83" s="12" t="s">
        <v>859</v>
      </c>
      <c r="AS83" s="12" t="s">
        <v>184</v>
      </c>
      <c r="AT83" s="12" t="s">
        <v>346</v>
      </c>
      <c r="AU83" s="12" t="s">
        <v>860</v>
      </c>
      <c r="AV83" s="12" t="s">
        <v>861</v>
      </c>
      <c r="AW83" s="12" t="s">
        <v>258</v>
      </c>
      <c r="AX83" s="12" t="s">
        <v>593</v>
      </c>
      <c r="AY83" s="12" t="s">
        <v>526</v>
      </c>
    </row>
    <row r="84" spans="1:51">
      <c r="A84" s="12" t="s">
        <v>862</v>
      </c>
      <c r="B84" s="12" t="s">
        <v>863</v>
      </c>
      <c r="C84" s="12" t="s">
        <v>378</v>
      </c>
      <c r="D84" s="24" t="s">
        <v>180</v>
      </c>
      <c r="E84" s="16" t="s">
        <v>178</v>
      </c>
      <c r="F84" s="12" t="s">
        <v>519</v>
      </c>
      <c r="G84" s="14">
        <v>27</v>
      </c>
      <c r="H84" s="14">
        <v>5</v>
      </c>
      <c r="I84" s="14">
        <v>0</v>
      </c>
      <c r="J84" s="14">
        <v>14</v>
      </c>
      <c r="K84" s="14">
        <v>0</v>
      </c>
      <c r="L84" s="14">
        <v>8</v>
      </c>
      <c r="M84" s="12" t="s">
        <v>119</v>
      </c>
      <c r="N84" s="24" t="s">
        <v>351</v>
      </c>
      <c r="O84" s="12" t="s">
        <v>176</v>
      </c>
      <c r="P84" s="12" t="s">
        <v>380</v>
      </c>
      <c r="Q84" s="16" t="s">
        <v>178</v>
      </c>
      <c r="R84" s="19"/>
      <c r="S84" s="20"/>
      <c r="T84" s="20"/>
      <c r="U84" s="20"/>
      <c r="V84" s="21">
        <f>IF(U84="","",U84*'0. Premissas (editável)'!$C$7*'0. Premissas (editável)'!$C$8)</f>
        <v>0</v>
      </c>
      <c r="W84" s="22">
        <f>IF(OR(S84="",V84=""),"",(S84-V84)/S84)</f>
        <v>0</v>
      </c>
      <c r="X84" s="23">
        <f>IF(W84="","preencher",IF(W84&gt;='0. Premissas (editável)'!$C$9,"Viável",IF(W84&gt;='0. Premissas (editável)'!$C$10,"Marginal","Inviável")))</f>
        <v>0</v>
      </c>
      <c r="Y84" s="23">
        <f>IF(R84="","preencher",IF(R84&gt;='0. Premissas (editável)'!$C$11,"PASSA","NÃO PASSA"))</f>
        <v>0</v>
      </c>
      <c r="Z84" s="23">
        <f>IF(AND(R84="",S84=""),"Preencher IQVIA",IF(AND(R84&lt;&gt;"",R84&lt;'0. Premissas (editável)'!$C$11),"NÃO — mercado abaixo do corte",IF(X84="Inviável","NÃO — economia não fecha",IF(D84="NÃO","NÃO — vetada na triagem",IF(X84="Marginal","REAVALIAR — margem apertada","SIM")))))</f>
        <v>0</v>
      </c>
      <c r="AA84" s="12" t="s">
        <v>179</v>
      </c>
      <c r="AB84" s="12"/>
      <c r="AC84" s="12" t="s">
        <v>91</v>
      </c>
      <c r="AD84" s="12" t="s">
        <v>180</v>
      </c>
      <c r="AE84" s="12" t="s">
        <v>178</v>
      </c>
      <c r="AF84" s="12" t="s">
        <v>181</v>
      </c>
      <c r="AG84" s="12" t="s">
        <v>180</v>
      </c>
      <c r="AH84" s="16" t="s">
        <v>180</v>
      </c>
      <c r="AI84" s="14">
        <v>0</v>
      </c>
      <c r="AJ84" s="14">
        <v>0</v>
      </c>
      <c r="AK84" s="12"/>
      <c r="AL84" s="12"/>
      <c r="AM84" s="12"/>
      <c r="AN84" s="12"/>
      <c r="AO84" s="12" t="s">
        <v>201</v>
      </c>
      <c r="AP84" s="14">
        <v>1</v>
      </c>
      <c r="AQ84" s="16" t="s">
        <v>180</v>
      </c>
      <c r="AR84" s="12" t="s">
        <v>864</v>
      </c>
      <c r="AS84" s="12" t="s">
        <v>184</v>
      </c>
      <c r="AT84" s="12" t="s">
        <v>865</v>
      </c>
      <c r="AU84" s="12" t="s">
        <v>866</v>
      </c>
      <c r="AV84" s="12" t="s">
        <v>867</v>
      </c>
      <c r="AW84" s="12" t="s">
        <v>868</v>
      </c>
      <c r="AX84" s="12" t="s">
        <v>525</v>
      </c>
      <c r="AY84" s="12" t="s">
        <v>526</v>
      </c>
    </row>
    <row r="85" spans="1:51">
      <c r="A85" s="12" t="s">
        <v>869</v>
      </c>
      <c r="B85" s="12" t="s">
        <v>870</v>
      </c>
      <c r="C85" s="12" t="s">
        <v>344</v>
      </c>
      <c r="D85" s="24" t="s">
        <v>180</v>
      </c>
      <c r="E85" s="16" t="s">
        <v>178</v>
      </c>
      <c r="F85" s="12" t="s">
        <v>619</v>
      </c>
      <c r="G85" s="14">
        <v>27</v>
      </c>
      <c r="H85" s="14">
        <v>5</v>
      </c>
      <c r="I85" s="14">
        <v>0</v>
      </c>
      <c r="J85" s="14">
        <v>14</v>
      </c>
      <c r="K85" s="14">
        <v>0</v>
      </c>
      <c r="L85" s="14">
        <v>8</v>
      </c>
      <c r="M85" s="12" t="s">
        <v>119</v>
      </c>
      <c r="N85" s="24" t="s">
        <v>351</v>
      </c>
      <c r="O85" s="12" t="s">
        <v>176</v>
      </c>
      <c r="P85" s="12" t="s">
        <v>380</v>
      </c>
      <c r="Q85" s="16" t="s">
        <v>178</v>
      </c>
      <c r="R85" s="19"/>
      <c r="S85" s="20"/>
      <c r="T85" s="20"/>
      <c r="U85" s="20"/>
      <c r="V85" s="21">
        <f>IF(U85="","",U85*'0. Premissas (editável)'!$C$7*'0. Premissas (editável)'!$C$8)</f>
        <v>0</v>
      </c>
      <c r="W85" s="22">
        <f>IF(OR(S85="",V85=""),"",(S85-V85)/S85)</f>
        <v>0</v>
      </c>
      <c r="X85" s="23">
        <f>IF(W85="","preencher",IF(W85&gt;='0. Premissas (editável)'!$C$9,"Viável",IF(W85&gt;='0. Premissas (editável)'!$C$10,"Marginal","Inviável")))</f>
        <v>0</v>
      </c>
      <c r="Y85" s="23">
        <f>IF(R85="","preencher",IF(R85&gt;='0. Premissas (editável)'!$C$11,"PASSA","NÃO PASSA"))</f>
        <v>0</v>
      </c>
      <c r="Z85" s="23">
        <f>IF(AND(R85="",S85=""),"Preencher IQVIA",IF(AND(R85&lt;&gt;"",R85&lt;'0. Premissas (editável)'!$C$11),"NÃO — mercado abaixo do corte",IF(X85="Inviável","NÃO — economia não fecha",IF(D85="NÃO","NÃO — vetada na triagem",IF(X85="Marginal","REAVALIAR — margem apertada","SIM")))))</f>
        <v>0</v>
      </c>
      <c r="AA85" s="12" t="s">
        <v>179</v>
      </c>
      <c r="AB85" s="12"/>
      <c r="AC85" s="12" t="s">
        <v>91</v>
      </c>
      <c r="AD85" s="12" t="s">
        <v>180</v>
      </c>
      <c r="AE85" s="12" t="s">
        <v>178</v>
      </c>
      <c r="AF85" s="12" t="s">
        <v>181</v>
      </c>
      <c r="AG85" s="12" t="s">
        <v>180</v>
      </c>
      <c r="AH85" s="16" t="s">
        <v>180</v>
      </c>
      <c r="AI85" s="14">
        <v>0</v>
      </c>
      <c r="AJ85" s="14">
        <v>0</v>
      </c>
      <c r="AK85" s="12"/>
      <c r="AL85" s="12"/>
      <c r="AM85" s="12"/>
      <c r="AN85" s="12"/>
      <c r="AO85" s="12" t="s">
        <v>201</v>
      </c>
      <c r="AP85" s="14">
        <v>3</v>
      </c>
      <c r="AQ85" s="16" t="s">
        <v>180</v>
      </c>
      <c r="AR85" s="12" t="s">
        <v>871</v>
      </c>
      <c r="AS85" s="12" t="s">
        <v>184</v>
      </c>
      <c r="AT85" s="12" t="s">
        <v>405</v>
      </c>
      <c r="AU85" s="12" t="s">
        <v>872</v>
      </c>
      <c r="AV85" s="12" t="s">
        <v>873</v>
      </c>
      <c r="AW85" s="12" t="s">
        <v>868</v>
      </c>
      <c r="AX85" s="12" t="s">
        <v>593</v>
      </c>
      <c r="AY85" s="12" t="s">
        <v>526</v>
      </c>
    </row>
    <row r="86" spans="1:51">
      <c r="A86" s="12" t="s">
        <v>874</v>
      </c>
      <c r="B86" s="12" t="s">
        <v>875</v>
      </c>
      <c r="C86" s="12" t="s">
        <v>344</v>
      </c>
      <c r="D86" s="24" t="s">
        <v>180</v>
      </c>
      <c r="E86" s="16" t="s">
        <v>178</v>
      </c>
      <c r="F86" s="12" t="s">
        <v>619</v>
      </c>
      <c r="G86" s="14">
        <v>27</v>
      </c>
      <c r="H86" s="14">
        <v>5</v>
      </c>
      <c r="I86" s="14">
        <v>0</v>
      </c>
      <c r="J86" s="14">
        <v>14</v>
      </c>
      <c r="K86" s="14">
        <v>0</v>
      </c>
      <c r="L86" s="14">
        <v>8</v>
      </c>
      <c r="M86" s="12" t="s">
        <v>119</v>
      </c>
      <c r="N86" s="24" t="s">
        <v>351</v>
      </c>
      <c r="O86" s="12" t="s">
        <v>176</v>
      </c>
      <c r="P86" s="12" t="s">
        <v>380</v>
      </c>
      <c r="Q86" s="16" t="s">
        <v>178</v>
      </c>
      <c r="R86" s="19"/>
      <c r="S86" s="20"/>
      <c r="T86" s="20"/>
      <c r="U86" s="20"/>
      <c r="V86" s="21">
        <f>IF(U86="","",U86*'0. Premissas (editável)'!$C$7*'0. Premissas (editável)'!$C$8)</f>
        <v>0</v>
      </c>
      <c r="W86" s="22">
        <f>IF(OR(S86="",V86=""),"",(S86-V86)/S86)</f>
        <v>0</v>
      </c>
      <c r="X86" s="23">
        <f>IF(W86="","preencher",IF(W86&gt;='0. Premissas (editável)'!$C$9,"Viável",IF(W86&gt;='0. Premissas (editável)'!$C$10,"Marginal","Inviável")))</f>
        <v>0</v>
      </c>
      <c r="Y86" s="23">
        <f>IF(R86="","preencher",IF(R86&gt;='0. Premissas (editável)'!$C$11,"PASSA","NÃO PASSA"))</f>
        <v>0</v>
      </c>
      <c r="Z86" s="23">
        <f>IF(AND(R86="",S86=""),"Preencher IQVIA",IF(AND(R86&lt;&gt;"",R86&lt;'0. Premissas (editável)'!$C$11),"NÃO — mercado abaixo do corte",IF(X86="Inviável","NÃO — economia não fecha",IF(D86="NÃO","NÃO — vetada na triagem",IF(X86="Marginal","REAVALIAR — margem apertada","SIM")))))</f>
        <v>0</v>
      </c>
      <c r="AA86" s="12" t="s">
        <v>179</v>
      </c>
      <c r="AB86" s="12"/>
      <c r="AC86" s="12" t="s">
        <v>91</v>
      </c>
      <c r="AD86" s="12" t="s">
        <v>180</v>
      </c>
      <c r="AE86" s="12" t="s">
        <v>178</v>
      </c>
      <c r="AF86" s="12" t="s">
        <v>181</v>
      </c>
      <c r="AG86" s="12" t="s">
        <v>180</v>
      </c>
      <c r="AH86" s="16" t="s">
        <v>180</v>
      </c>
      <c r="AI86" s="14">
        <v>0</v>
      </c>
      <c r="AJ86" s="14">
        <v>0</v>
      </c>
      <c r="AK86" s="12"/>
      <c r="AL86" s="12"/>
      <c r="AM86" s="12"/>
      <c r="AN86" s="12"/>
      <c r="AO86" s="12" t="s">
        <v>201</v>
      </c>
      <c r="AP86" s="14">
        <v>1</v>
      </c>
      <c r="AQ86" s="16" t="s">
        <v>180</v>
      </c>
      <c r="AR86" s="12" t="s">
        <v>876</v>
      </c>
      <c r="AS86" s="12" t="s">
        <v>184</v>
      </c>
      <c r="AT86" s="12" t="s">
        <v>877</v>
      </c>
      <c r="AU86" s="12" t="s">
        <v>878</v>
      </c>
      <c r="AV86" s="12" t="s">
        <v>879</v>
      </c>
      <c r="AW86" s="12" t="s">
        <v>880</v>
      </c>
      <c r="AX86" s="12" t="s">
        <v>593</v>
      </c>
      <c r="AY86" s="12" t="s">
        <v>526</v>
      </c>
    </row>
    <row r="87" spans="1:51">
      <c r="A87" s="12" t="s">
        <v>881</v>
      </c>
      <c r="B87" s="12" t="s">
        <v>882</v>
      </c>
      <c r="C87" s="12" t="s">
        <v>217</v>
      </c>
      <c r="D87" s="24" t="s">
        <v>180</v>
      </c>
      <c r="E87" s="16" t="s">
        <v>178</v>
      </c>
      <c r="F87" s="12" t="s">
        <v>519</v>
      </c>
      <c r="G87" s="14">
        <v>27</v>
      </c>
      <c r="H87" s="14">
        <v>5</v>
      </c>
      <c r="I87" s="14">
        <v>0</v>
      </c>
      <c r="J87" s="14">
        <v>14</v>
      </c>
      <c r="K87" s="14">
        <v>0</v>
      </c>
      <c r="L87" s="14">
        <v>8</v>
      </c>
      <c r="M87" s="12" t="s">
        <v>119</v>
      </c>
      <c r="N87" s="24" t="s">
        <v>351</v>
      </c>
      <c r="O87" s="12" t="s">
        <v>176</v>
      </c>
      <c r="P87" s="12" t="s">
        <v>380</v>
      </c>
      <c r="Q87" s="16" t="s">
        <v>178</v>
      </c>
      <c r="R87" s="19"/>
      <c r="S87" s="20"/>
      <c r="T87" s="20"/>
      <c r="U87" s="20"/>
      <c r="V87" s="21">
        <f>IF(U87="","",U87*'0. Premissas (editável)'!$C$7*'0. Premissas (editável)'!$C$8)</f>
        <v>0</v>
      </c>
      <c r="W87" s="22">
        <f>IF(OR(S87="",V87=""),"",(S87-V87)/S87)</f>
        <v>0</v>
      </c>
      <c r="X87" s="23">
        <f>IF(W87="","preencher",IF(W87&gt;='0. Premissas (editável)'!$C$9,"Viável",IF(W87&gt;='0. Premissas (editável)'!$C$10,"Marginal","Inviável")))</f>
        <v>0</v>
      </c>
      <c r="Y87" s="23">
        <f>IF(R87="","preencher",IF(R87&gt;='0. Premissas (editável)'!$C$11,"PASSA","NÃO PASSA"))</f>
        <v>0</v>
      </c>
      <c r="Z87" s="23">
        <f>IF(AND(R87="",S87=""),"Preencher IQVIA",IF(AND(R87&lt;&gt;"",R87&lt;'0. Premissas (editável)'!$C$11),"NÃO — mercado abaixo do corte",IF(X87="Inviável","NÃO — economia não fecha",IF(D87="NÃO","NÃO — vetada na triagem",IF(X87="Marginal","REAVALIAR — margem apertada","SIM")))))</f>
        <v>0</v>
      </c>
      <c r="AA87" s="12" t="s">
        <v>179</v>
      </c>
      <c r="AB87" s="12"/>
      <c r="AC87" s="12" t="s">
        <v>91</v>
      </c>
      <c r="AD87" s="12" t="s">
        <v>180</v>
      </c>
      <c r="AE87" s="12" t="s">
        <v>178</v>
      </c>
      <c r="AF87" s="12" t="s">
        <v>181</v>
      </c>
      <c r="AG87" s="12" t="s">
        <v>180</v>
      </c>
      <c r="AH87" s="16" t="s">
        <v>180</v>
      </c>
      <c r="AI87" s="14">
        <v>0</v>
      </c>
      <c r="AJ87" s="14">
        <v>0</v>
      </c>
      <c r="AK87" s="12"/>
      <c r="AL87" s="12"/>
      <c r="AM87" s="12"/>
      <c r="AN87" s="12"/>
      <c r="AO87" s="12" t="s">
        <v>201</v>
      </c>
      <c r="AP87" s="14">
        <v>2</v>
      </c>
      <c r="AQ87" s="16" t="s">
        <v>180</v>
      </c>
      <c r="AR87" s="12" t="s">
        <v>883</v>
      </c>
      <c r="AS87" s="12" t="s">
        <v>184</v>
      </c>
      <c r="AT87" s="12" t="s">
        <v>884</v>
      </c>
      <c r="AU87" s="12" t="s">
        <v>885</v>
      </c>
      <c r="AV87" s="12" t="s">
        <v>886</v>
      </c>
      <c r="AW87" s="12" t="s">
        <v>887</v>
      </c>
      <c r="AX87" s="12" t="s">
        <v>525</v>
      </c>
      <c r="AY87" s="12" t="s">
        <v>526</v>
      </c>
    </row>
    <row r="88" spans="1:51">
      <c r="A88" s="12" t="s">
        <v>888</v>
      </c>
      <c r="B88" s="12" t="s">
        <v>889</v>
      </c>
      <c r="C88" s="12" t="s">
        <v>344</v>
      </c>
      <c r="D88" s="24" t="s">
        <v>180</v>
      </c>
      <c r="E88" s="16" t="s">
        <v>178</v>
      </c>
      <c r="F88" s="12" t="s">
        <v>519</v>
      </c>
      <c r="G88" s="14">
        <v>27</v>
      </c>
      <c r="H88" s="14">
        <v>5</v>
      </c>
      <c r="I88" s="14">
        <v>0</v>
      </c>
      <c r="J88" s="14">
        <v>14</v>
      </c>
      <c r="K88" s="14">
        <v>0</v>
      </c>
      <c r="L88" s="14">
        <v>8</v>
      </c>
      <c r="M88" s="12" t="s">
        <v>119</v>
      </c>
      <c r="N88" s="24" t="s">
        <v>351</v>
      </c>
      <c r="O88" s="12" t="s">
        <v>176</v>
      </c>
      <c r="P88" s="12" t="s">
        <v>380</v>
      </c>
      <c r="Q88" s="16" t="s">
        <v>178</v>
      </c>
      <c r="R88" s="19"/>
      <c r="S88" s="20"/>
      <c r="T88" s="20"/>
      <c r="U88" s="20"/>
      <c r="V88" s="21">
        <f>IF(U88="","",U88*'0. Premissas (editável)'!$C$7*'0. Premissas (editável)'!$C$8)</f>
        <v>0</v>
      </c>
      <c r="W88" s="22">
        <f>IF(OR(S88="",V88=""),"",(S88-V88)/S88)</f>
        <v>0</v>
      </c>
      <c r="X88" s="23">
        <f>IF(W88="","preencher",IF(W88&gt;='0. Premissas (editável)'!$C$9,"Viável",IF(W88&gt;='0. Premissas (editável)'!$C$10,"Marginal","Inviável")))</f>
        <v>0</v>
      </c>
      <c r="Y88" s="23">
        <f>IF(R88="","preencher",IF(R88&gt;='0. Premissas (editável)'!$C$11,"PASSA","NÃO PASSA"))</f>
        <v>0</v>
      </c>
      <c r="Z88" s="23">
        <f>IF(AND(R88="",S88=""),"Preencher IQVIA",IF(AND(R88&lt;&gt;"",R88&lt;'0. Premissas (editável)'!$C$11),"NÃO — mercado abaixo do corte",IF(X88="Inviável","NÃO — economia não fecha",IF(D88="NÃO","NÃO — vetada na triagem",IF(X88="Marginal","REAVALIAR — margem apertada","SIM")))))</f>
        <v>0</v>
      </c>
      <c r="AA88" s="12" t="s">
        <v>179</v>
      </c>
      <c r="AB88" s="12"/>
      <c r="AC88" s="12" t="s">
        <v>91</v>
      </c>
      <c r="AD88" s="12" t="s">
        <v>180</v>
      </c>
      <c r="AE88" s="12" t="s">
        <v>178</v>
      </c>
      <c r="AF88" s="12" t="s">
        <v>181</v>
      </c>
      <c r="AG88" s="12" t="s">
        <v>180</v>
      </c>
      <c r="AH88" s="16" t="s">
        <v>180</v>
      </c>
      <c r="AI88" s="14">
        <v>0</v>
      </c>
      <c r="AJ88" s="14">
        <v>0</v>
      </c>
      <c r="AK88" s="12"/>
      <c r="AL88" s="12"/>
      <c r="AM88" s="12"/>
      <c r="AN88" s="12"/>
      <c r="AO88" s="12" t="s">
        <v>201</v>
      </c>
      <c r="AP88" s="14">
        <v>2</v>
      </c>
      <c r="AQ88" s="16" t="s">
        <v>180</v>
      </c>
      <c r="AR88" s="12" t="s">
        <v>890</v>
      </c>
      <c r="AS88" s="12" t="s">
        <v>184</v>
      </c>
      <c r="AT88" s="12" t="s">
        <v>891</v>
      </c>
      <c r="AU88" s="12" t="s">
        <v>892</v>
      </c>
      <c r="AV88" s="12" t="s">
        <v>893</v>
      </c>
      <c r="AW88" s="12" t="s">
        <v>887</v>
      </c>
      <c r="AX88" s="12" t="s">
        <v>525</v>
      </c>
      <c r="AY88" s="12" t="s">
        <v>526</v>
      </c>
    </row>
    <row r="89" spans="1:51">
      <c r="A89" s="12" t="s">
        <v>894</v>
      </c>
      <c r="B89" s="12" t="s">
        <v>895</v>
      </c>
      <c r="C89" s="12" t="s">
        <v>469</v>
      </c>
      <c r="D89" s="24" t="s">
        <v>180</v>
      </c>
      <c r="E89" s="16" t="s">
        <v>178</v>
      </c>
      <c r="F89" s="12" t="s">
        <v>619</v>
      </c>
      <c r="G89" s="14">
        <v>27</v>
      </c>
      <c r="H89" s="14">
        <v>5</v>
      </c>
      <c r="I89" s="14">
        <v>0</v>
      </c>
      <c r="J89" s="14">
        <v>14</v>
      </c>
      <c r="K89" s="14">
        <v>0</v>
      </c>
      <c r="L89" s="14">
        <v>8</v>
      </c>
      <c r="M89" s="12" t="s">
        <v>119</v>
      </c>
      <c r="N89" s="24" t="s">
        <v>351</v>
      </c>
      <c r="O89" s="12" t="s">
        <v>176</v>
      </c>
      <c r="P89" s="12" t="s">
        <v>380</v>
      </c>
      <c r="Q89" s="16" t="s">
        <v>178</v>
      </c>
      <c r="R89" s="19"/>
      <c r="S89" s="20"/>
      <c r="T89" s="20"/>
      <c r="U89" s="20"/>
      <c r="V89" s="21">
        <f>IF(U89="","",U89*'0. Premissas (editável)'!$C$7*'0. Premissas (editável)'!$C$8)</f>
        <v>0</v>
      </c>
      <c r="W89" s="22">
        <f>IF(OR(S89="",V89=""),"",(S89-V89)/S89)</f>
        <v>0</v>
      </c>
      <c r="X89" s="23">
        <f>IF(W89="","preencher",IF(W89&gt;='0. Premissas (editável)'!$C$9,"Viável",IF(W89&gt;='0. Premissas (editável)'!$C$10,"Marginal","Inviável")))</f>
        <v>0</v>
      </c>
      <c r="Y89" s="23">
        <f>IF(R89="","preencher",IF(R89&gt;='0. Premissas (editável)'!$C$11,"PASSA","NÃO PASSA"))</f>
        <v>0</v>
      </c>
      <c r="Z89" s="23">
        <f>IF(AND(R89="",S89=""),"Preencher IQVIA",IF(AND(R89&lt;&gt;"",R89&lt;'0. Premissas (editável)'!$C$11),"NÃO — mercado abaixo do corte",IF(X89="Inviável","NÃO — economia não fecha",IF(D89="NÃO","NÃO — vetada na triagem",IF(X89="Marginal","REAVALIAR — margem apertada","SIM")))))</f>
        <v>0</v>
      </c>
      <c r="AA89" s="12" t="s">
        <v>179</v>
      </c>
      <c r="AB89" s="12"/>
      <c r="AC89" s="12" t="s">
        <v>91</v>
      </c>
      <c r="AD89" s="12" t="s">
        <v>180</v>
      </c>
      <c r="AE89" s="12" t="s">
        <v>178</v>
      </c>
      <c r="AF89" s="12" t="s">
        <v>181</v>
      </c>
      <c r="AG89" s="12" t="s">
        <v>180</v>
      </c>
      <c r="AH89" s="16" t="s">
        <v>180</v>
      </c>
      <c r="AI89" s="14">
        <v>0</v>
      </c>
      <c r="AJ89" s="14">
        <v>0</v>
      </c>
      <c r="AK89" s="12"/>
      <c r="AL89" s="12"/>
      <c r="AM89" s="12"/>
      <c r="AN89" s="12"/>
      <c r="AO89" s="12" t="s">
        <v>201</v>
      </c>
      <c r="AP89" s="14">
        <v>2</v>
      </c>
      <c r="AQ89" s="16" t="s">
        <v>180</v>
      </c>
      <c r="AR89" s="12" t="s">
        <v>896</v>
      </c>
      <c r="AS89" s="12" t="s">
        <v>184</v>
      </c>
      <c r="AT89" s="12" t="s">
        <v>897</v>
      </c>
      <c r="AU89" s="12" t="s">
        <v>898</v>
      </c>
      <c r="AV89" s="12" t="s">
        <v>899</v>
      </c>
      <c r="AW89" s="12" t="s">
        <v>601</v>
      </c>
      <c r="AX89" s="12" t="s">
        <v>593</v>
      </c>
      <c r="AY89" s="12" t="s">
        <v>526</v>
      </c>
    </row>
    <row r="90" spans="1:51">
      <c r="A90" s="12" t="s">
        <v>900</v>
      </c>
      <c r="B90" s="12" t="s">
        <v>901</v>
      </c>
      <c r="C90" s="12" t="s">
        <v>173</v>
      </c>
      <c r="D90" s="24" t="s">
        <v>180</v>
      </c>
      <c r="E90" s="16" t="s">
        <v>178</v>
      </c>
      <c r="F90" s="12" t="s">
        <v>619</v>
      </c>
      <c r="G90" s="14">
        <v>27</v>
      </c>
      <c r="H90" s="14">
        <v>5</v>
      </c>
      <c r="I90" s="14">
        <v>0</v>
      </c>
      <c r="J90" s="14">
        <v>14</v>
      </c>
      <c r="K90" s="14">
        <v>0</v>
      </c>
      <c r="L90" s="14">
        <v>8</v>
      </c>
      <c r="M90" s="12" t="s">
        <v>119</v>
      </c>
      <c r="N90" s="24" t="s">
        <v>351</v>
      </c>
      <c r="O90" s="12" t="s">
        <v>176</v>
      </c>
      <c r="P90" s="12" t="s">
        <v>380</v>
      </c>
      <c r="Q90" s="16" t="s">
        <v>178</v>
      </c>
      <c r="R90" s="19"/>
      <c r="S90" s="20"/>
      <c r="T90" s="20"/>
      <c r="U90" s="20"/>
      <c r="V90" s="21">
        <f>IF(U90="","",U90*'0. Premissas (editável)'!$C$7*'0. Premissas (editável)'!$C$8)</f>
        <v>0</v>
      </c>
      <c r="W90" s="22">
        <f>IF(OR(S90="",V90=""),"",(S90-V90)/S90)</f>
        <v>0</v>
      </c>
      <c r="X90" s="23">
        <f>IF(W90="","preencher",IF(W90&gt;='0. Premissas (editável)'!$C$9,"Viável",IF(W90&gt;='0. Premissas (editável)'!$C$10,"Marginal","Inviável")))</f>
        <v>0</v>
      </c>
      <c r="Y90" s="23">
        <f>IF(R90="","preencher",IF(R90&gt;='0. Premissas (editável)'!$C$11,"PASSA","NÃO PASSA"))</f>
        <v>0</v>
      </c>
      <c r="Z90" s="23">
        <f>IF(AND(R90="",S90=""),"Preencher IQVIA",IF(AND(R90&lt;&gt;"",R90&lt;'0. Premissas (editável)'!$C$11),"NÃO — mercado abaixo do corte",IF(X90="Inviável","NÃO — economia não fecha",IF(D90="NÃO","NÃO — vetada na triagem",IF(X90="Marginal","REAVALIAR — margem apertada","SIM")))))</f>
        <v>0</v>
      </c>
      <c r="AA90" s="12" t="s">
        <v>179</v>
      </c>
      <c r="AB90" s="12"/>
      <c r="AC90" s="12" t="s">
        <v>91</v>
      </c>
      <c r="AD90" s="12" t="s">
        <v>180</v>
      </c>
      <c r="AE90" s="12" t="s">
        <v>178</v>
      </c>
      <c r="AF90" s="12" t="s">
        <v>181</v>
      </c>
      <c r="AG90" s="12" t="s">
        <v>180</v>
      </c>
      <c r="AH90" s="16" t="s">
        <v>180</v>
      </c>
      <c r="AI90" s="14">
        <v>0</v>
      </c>
      <c r="AJ90" s="14">
        <v>0</v>
      </c>
      <c r="AK90" s="12"/>
      <c r="AL90" s="12"/>
      <c r="AM90" s="12"/>
      <c r="AN90" s="12"/>
      <c r="AO90" s="12" t="s">
        <v>201</v>
      </c>
      <c r="AP90" s="14">
        <v>3</v>
      </c>
      <c r="AQ90" s="16" t="s">
        <v>180</v>
      </c>
      <c r="AR90" s="12" t="s">
        <v>902</v>
      </c>
      <c r="AS90" s="12" t="s">
        <v>184</v>
      </c>
      <c r="AT90" s="12" t="s">
        <v>903</v>
      </c>
      <c r="AU90" s="12" t="s">
        <v>904</v>
      </c>
      <c r="AV90" s="12" t="s">
        <v>905</v>
      </c>
      <c r="AW90" s="12" t="s">
        <v>906</v>
      </c>
      <c r="AX90" s="12" t="s">
        <v>593</v>
      </c>
      <c r="AY90" s="12" t="s">
        <v>526</v>
      </c>
    </row>
    <row r="91" spans="1:51">
      <c r="A91" s="12" t="s">
        <v>907</v>
      </c>
      <c r="B91" s="12" t="s">
        <v>908</v>
      </c>
      <c r="C91" s="12" t="s">
        <v>469</v>
      </c>
      <c r="D91" s="24" t="s">
        <v>180</v>
      </c>
      <c r="E91" s="16" t="s">
        <v>178</v>
      </c>
      <c r="F91" s="12" t="s">
        <v>619</v>
      </c>
      <c r="G91" s="14">
        <v>27</v>
      </c>
      <c r="H91" s="14">
        <v>5</v>
      </c>
      <c r="I91" s="14">
        <v>0</v>
      </c>
      <c r="J91" s="14">
        <v>14</v>
      </c>
      <c r="K91" s="14">
        <v>0</v>
      </c>
      <c r="L91" s="14">
        <v>8</v>
      </c>
      <c r="M91" s="12" t="s">
        <v>119</v>
      </c>
      <c r="N91" s="24" t="s">
        <v>351</v>
      </c>
      <c r="O91" s="12" t="s">
        <v>176</v>
      </c>
      <c r="P91" s="12" t="s">
        <v>380</v>
      </c>
      <c r="Q91" s="16" t="s">
        <v>178</v>
      </c>
      <c r="R91" s="19"/>
      <c r="S91" s="20"/>
      <c r="T91" s="20"/>
      <c r="U91" s="20"/>
      <c r="V91" s="21">
        <f>IF(U91="","",U91*'0. Premissas (editável)'!$C$7*'0. Premissas (editável)'!$C$8)</f>
        <v>0</v>
      </c>
      <c r="W91" s="22">
        <f>IF(OR(S91="",V91=""),"",(S91-V91)/S91)</f>
        <v>0</v>
      </c>
      <c r="X91" s="23">
        <f>IF(W91="","preencher",IF(W91&gt;='0. Premissas (editável)'!$C$9,"Viável",IF(W91&gt;='0. Premissas (editável)'!$C$10,"Marginal","Inviável")))</f>
        <v>0</v>
      </c>
      <c r="Y91" s="23">
        <f>IF(R91="","preencher",IF(R91&gt;='0. Premissas (editável)'!$C$11,"PASSA","NÃO PASSA"))</f>
        <v>0</v>
      </c>
      <c r="Z91" s="23">
        <f>IF(AND(R91="",S91=""),"Preencher IQVIA",IF(AND(R91&lt;&gt;"",R91&lt;'0. Premissas (editável)'!$C$11),"NÃO — mercado abaixo do corte",IF(X91="Inviável","NÃO — economia não fecha",IF(D91="NÃO","NÃO — vetada na triagem",IF(X91="Marginal","REAVALIAR — margem apertada","SIM")))))</f>
        <v>0</v>
      </c>
      <c r="AA91" s="12" t="s">
        <v>179</v>
      </c>
      <c r="AB91" s="12"/>
      <c r="AC91" s="12" t="s">
        <v>91</v>
      </c>
      <c r="AD91" s="12" t="s">
        <v>180</v>
      </c>
      <c r="AE91" s="12" t="s">
        <v>178</v>
      </c>
      <c r="AF91" s="12" t="s">
        <v>181</v>
      </c>
      <c r="AG91" s="12" t="s">
        <v>180</v>
      </c>
      <c r="AH91" s="16" t="s">
        <v>180</v>
      </c>
      <c r="AI91" s="14">
        <v>0</v>
      </c>
      <c r="AJ91" s="14">
        <v>0</v>
      </c>
      <c r="AK91" s="12"/>
      <c r="AL91" s="12"/>
      <c r="AM91" s="12"/>
      <c r="AN91" s="12"/>
      <c r="AO91" s="12" t="s">
        <v>201</v>
      </c>
      <c r="AP91" s="14">
        <v>2</v>
      </c>
      <c r="AQ91" s="16" t="s">
        <v>180</v>
      </c>
      <c r="AR91" s="12" t="s">
        <v>909</v>
      </c>
      <c r="AS91" s="12" t="s">
        <v>184</v>
      </c>
      <c r="AT91" s="12" t="s">
        <v>910</v>
      </c>
      <c r="AU91" s="12" t="s">
        <v>911</v>
      </c>
      <c r="AV91" s="12" t="s">
        <v>912</v>
      </c>
      <c r="AW91" s="12" t="s">
        <v>913</v>
      </c>
      <c r="AX91" s="12" t="s">
        <v>593</v>
      </c>
      <c r="AY91" s="12" t="s">
        <v>526</v>
      </c>
    </row>
    <row r="92" spans="1:51">
      <c r="A92" s="12" t="s">
        <v>914</v>
      </c>
      <c r="B92" s="12" t="s">
        <v>915</v>
      </c>
      <c r="C92" s="12" t="s">
        <v>217</v>
      </c>
      <c r="D92" s="24" t="s">
        <v>180</v>
      </c>
      <c r="E92" s="16" t="s">
        <v>178</v>
      </c>
      <c r="F92" s="12" t="s">
        <v>619</v>
      </c>
      <c r="G92" s="14">
        <v>27</v>
      </c>
      <c r="H92" s="14">
        <v>5</v>
      </c>
      <c r="I92" s="14">
        <v>0</v>
      </c>
      <c r="J92" s="14">
        <v>14</v>
      </c>
      <c r="K92" s="14">
        <v>0</v>
      </c>
      <c r="L92" s="14">
        <v>8</v>
      </c>
      <c r="M92" s="12" t="s">
        <v>119</v>
      </c>
      <c r="N92" s="24" t="s">
        <v>351</v>
      </c>
      <c r="O92" s="12" t="s">
        <v>176</v>
      </c>
      <c r="P92" s="12" t="s">
        <v>380</v>
      </c>
      <c r="Q92" s="16" t="s">
        <v>178</v>
      </c>
      <c r="R92" s="19"/>
      <c r="S92" s="20"/>
      <c r="T92" s="20"/>
      <c r="U92" s="20"/>
      <c r="V92" s="21">
        <f>IF(U92="","",U92*'0. Premissas (editável)'!$C$7*'0. Premissas (editável)'!$C$8)</f>
        <v>0</v>
      </c>
      <c r="W92" s="22">
        <f>IF(OR(S92="",V92=""),"",(S92-V92)/S92)</f>
        <v>0</v>
      </c>
      <c r="X92" s="23">
        <f>IF(W92="","preencher",IF(W92&gt;='0. Premissas (editável)'!$C$9,"Viável",IF(W92&gt;='0. Premissas (editável)'!$C$10,"Marginal","Inviável")))</f>
        <v>0</v>
      </c>
      <c r="Y92" s="23">
        <f>IF(R92="","preencher",IF(R92&gt;='0. Premissas (editável)'!$C$11,"PASSA","NÃO PASSA"))</f>
        <v>0</v>
      </c>
      <c r="Z92" s="23">
        <f>IF(AND(R92="",S92=""),"Preencher IQVIA",IF(AND(R92&lt;&gt;"",R92&lt;'0. Premissas (editável)'!$C$11),"NÃO — mercado abaixo do corte",IF(X92="Inviável","NÃO — economia não fecha",IF(D92="NÃO","NÃO — vetada na triagem",IF(X92="Marginal","REAVALIAR — margem apertada","SIM")))))</f>
        <v>0</v>
      </c>
      <c r="AA92" s="12" t="s">
        <v>179</v>
      </c>
      <c r="AB92" s="12"/>
      <c r="AC92" s="12" t="s">
        <v>91</v>
      </c>
      <c r="AD92" s="12" t="s">
        <v>180</v>
      </c>
      <c r="AE92" s="12" t="s">
        <v>178</v>
      </c>
      <c r="AF92" s="12" t="s">
        <v>181</v>
      </c>
      <c r="AG92" s="12" t="s">
        <v>180</v>
      </c>
      <c r="AH92" s="16" t="s">
        <v>180</v>
      </c>
      <c r="AI92" s="14">
        <v>0</v>
      </c>
      <c r="AJ92" s="14">
        <v>0</v>
      </c>
      <c r="AK92" s="12"/>
      <c r="AL92" s="12"/>
      <c r="AM92" s="12"/>
      <c r="AN92" s="12"/>
      <c r="AO92" s="12" t="s">
        <v>201</v>
      </c>
      <c r="AP92" s="14">
        <v>1</v>
      </c>
      <c r="AQ92" s="16" t="s">
        <v>180</v>
      </c>
      <c r="AR92" s="12" t="s">
        <v>916</v>
      </c>
      <c r="AS92" s="12" t="s">
        <v>210</v>
      </c>
      <c r="AT92" s="12" t="s">
        <v>917</v>
      </c>
      <c r="AU92" s="12" t="s">
        <v>918</v>
      </c>
      <c r="AV92" s="12" t="s">
        <v>919</v>
      </c>
      <c r="AW92" s="12" t="s">
        <v>913</v>
      </c>
      <c r="AX92" s="12" t="s">
        <v>593</v>
      </c>
      <c r="AY92" s="12" t="s">
        <v>526</v>
      </c>
    </row>
    <row r="93" spans="1:51">
      <c r="A93" s="12" t="s">
        <v>920</v>
      </c>
      <c r="B93" s="12" t="s">
        <v>921</v>
      </c>
      <c r="C93" s="12" t="s">
        <v>378</v>
      </c>
      <c r="D93" s="24" t="s">
        <v>180</v>
      </c>
      <c r="E93" s="16" t="s">
        <v>178</v>
      </c>
      <c r="F93" s="12" t="s">
        <v>619</v>
      </c>
      <c r="G93" s="14">
        <v>27</v>
      </c>
      <c r="H93" s="14">
        <v>5</v>
      </c>
      <c r="I93" s="14">
        <v>0</v>
      </c>
      <c r="J93" s="14">
        <v>14</v>
      </c>
      <c r="K93" s="14">
        <v>0</v>
      </c>
      <c r="L93" s="14">
        <v>8</v>
      </c>
      <c r="M93" s="12" t="s">
        <v>119</v>
      </c>
      <c r="N93" s="24" t="s">
        <v>351</v>
      </c>
      <c r="O93" s="12" t="s">
        <v>176</v>
      </c>
      <c r="P93" s="12" t="s">
        <v>380</v>
      </c>
      <c r="Q93" s="16" t="s">
        <v>178</v>
      </c>
      <c r="R93" s="19"/>
      <c r="S93" s="20"/>
      <c r="T93" s="20"/>
      <c r="U93" s="20"/>
      <c r="V93" s="21">
        <f>IF(U93="","",U93*'0. Premissas (editável)'!$C$7*'0. Premissas (editável)'!$C$8)</f>
        <v>0</v>
      </c>
      <c r="W93" s="22">
        <f>IF(OR(S93="",V93=""),"",(S93-V93)/S93)</f>
        <v>0</v>
      </c>
      <c r="X93" s="23">
        <f>IF(W93="","preencher",IF(W93&gt;='0. Premissas (editável)'!$C$9,"Viável",IF(W93&gt;='0. Premissas (editável)'!$C$10,"Marginal","Inviável")))</f>
        <v>0</v>
      </c>
      <c r="Y93" s="23">
        <f>IF(R93="","preencher",IF(R93&gt;='0. Premissas (editável)'!$C$11,"PASSA","NÃO PASSA"))</f>
        <v>0</v>
      </c>
      <c r="Z93" s="23">
        <f>IF(AND(R93="",S93=""),"Preencher IQVIA",IF(AND(R93&lt;&gt;"",R93&lt;'0. Premissas (editável)'!$C$11),"NÃO — mercado abaixo do corte",IF(X93="Inviável","NÃO — economia não fecha",IF(D93="NÃO","NÃO — vetada na triagem",IF(X93="Marginal","REAVALIAR — margem apertada","SIM")))))</f>
        <v>0</v>
      </c>
      <c r="AA93" s="12" t="s">
        <v>179</v>
      </c>
      <c r="AB93" s="12"/>
      <c r="AC93" s="12" t="s">
        <v>91</v>
      </c>
      <c r="AD93" s="12" t="s">
        <v>180</v>
      </c>
      <c r="AE93" s="12" t="s">
        <v>178</v>
      </c>
      <c r="AF93" s="12" t="s">
        <v>181</v>
      </c>
      <c r="AG93" s="12" t="s">
        <v>180</v>
      </c>
      <c r="AH93" s="16" t="s">
        <v>180</v>
      </c>
      <c r="AI93" s="14">
        <v>0</v>
      </c>
      <c r="AJ93" s="14">
        <v>0</v>
      </c>
      <c r="AK93" s="12"/>
      <c r="AL93" s="12"/>
      <c r="AM93" s="12"/>
      <c r="AN93" s="12"/>
      <c r="AO93" s="12" t="s">
        <v>201</v>
      </c>
      <c r="AP93" s="14">
        <v>4</v>
      </c>
      <c r="AQ93" s="16" t="s">
        <v>180</v>
      </c>
      <c r="AR93" s="12" t="s">
        <v>922</v>
      </c>
      <c r="AS93" s="12" t="s">
        <v>184</v>
      </c>
      <c r="AT93" s="12" t="s">
        <v>923</v>
      </c>
      <c r="AU93" s="12" t="s">
        <v>924</v>
      </c>
      <c r="AV93" s="12" t="s">
        <v>925</v>
      </c>
      <c r="AW93" s="12" t="s">
        <v>926</v>
      </c>
      <c r="AX93" s="12" t="s">
        <v>593</v>
      </c>
      <c r="AY93" s="12" t="s">
        <v>526</v>
      </c>
    </row>
    <row r="94" spans="1:51">
      <c r="A94" s="12" t="s">
        <v>927</v>
      </c>
      <c r="B94" s="12" t="s">
        <v>928</v>
      </c>
      <c r="C94" s="12" t="s">
        <v>344</v>
      </c>
      <c r="D94" s="24" t="s">
        <v>180</v>
      </c>
      <c r="E94" s="16" t="s">
        <v>178</v>
      </c>
      <c r="F94" s="12" t="s">
        <v>619</v>
      </c>
      <c r="G94" s="14">
        <v>27</v>
      </c>
      <c r="H94" s="14">
        <v>5</v>
      </c>
      <c r="I94" s="14">
        <v>0</v>
      </c>
      <c r="J94" s="14">
        <v>14</v>
      </c>
      <c r="K94" s="14">
        <v>0</v>
      </c>
      <c r="L94" s="14">
        <v>8</v>
      </c>
      <c r="M94" s="12" t="s">
        <v>119</v>
      </c>
      <c r="N94" s="24" t="s">
        <v>351</v>
      </c>
      <c r="O94" s="12" t="s">
        <v>176</v>
      </c>
      <c r="P94" s="12" t="s">
        <v>380</v>
      </c>
      <c r="Q94" s="16" t="s">
        <v>178</v>
      </c>
      <c r="R94" s="19"/>
      <c r="S94" s="20"/>
      <c r="T94" s="20"/>
      <c r="U94" s="20"/>
      <c r="V94" s="21">
        <f>IF(U94="","",U94*'0. Premissas (editável)'!$C$7*'0. Premissas (editável)'!$C$8)</f>
        <v>0</v>
      </c>
      <c r="W94" s="22">
        <f>IF(OR(S94="",V94=""),"",(S94-V94)/S94)</f>
        <v>0</v>
      </c>
      <c r="X94" s="23">
        <f>IF(W94="","preencher",IF(W94&gt;='0. Premissas (editável)'!$C$9,"Viável",IF(W94&gt;='0. Premissas (editável)'!$C$10,"Marginal","Inviável")))</f>
        <v>0</v>
      </c>
      <c r="Y94" s="23">
        <f>IF(R94="","preencher",IF(R94&gt;='0. Premissas (editável)'!$C$11,"PASSA","NÃO PASSA"))</f>
        <v>0</v>
      </c>
      <c r="Z94" s="23">
        <f>IF(AND(R94="",S94=""),"Preencher IQVIA",IF(AND(R94&lt;&gt;"",R94&lt;'0. Premissas (editável)'!$C$11),"NÃO — mercado abaixo do corte",IF(X94="Inviável","NÃO — economia não fecha",IF(D94="NÃO","NÃO — vetada na triagem",IF(X94="Marginal","REAVALIAR — margem apertada","SIM")))))</f>
        <v>0</v>
      </c>
      <c r="AA94" s="12" t="s">
        <v>179</v>
      </c>
      <c r="AB94" s="12"/>
      <c r="AC94" s="12" t="s">
        <v>91</v>
      </c>
      <c r="AD94" s="12" t="s">
        <v>180</v>
      </c>
      <c r="AE94" s="12" t="s">
        <v>178</v>
      </c>
      <c r="AF94" s="12" t="s">
        <v>181</v>
      </c>
      <c r="AG94" s="12" t="s">
        <v>180</v>
      </c>
      <c r="AH94" s="16" t="s">
        <v>180</v>
      </c>
      <c r="AI94" s="14">
        <v>0</v>
      </c>
      <c r="AJ94" s="14">
        <v>0</v>
      </c>
      <c r="AK94" s="12"/>
      <c r="AL94" s="12"/>
      <c r="AM94" s="12"/>
      <c r="AN94" s="12"/>
      <c r="AO94" s="12" t="s">
        <v>201</v>
      </c>
      <c r="AP94" s="14">
        <v>2</v>
      </c>
      <c r="AQ94" s="16" t="s">
        <v>180</v>
      </c>
      <c r="AR94" s="12" t="s">
        <v>929</v>
      </c>
      <c r="AS94" s="12" t="s">
        <v>184</v>
      </c>
      <c r="AT94" s="12" t="s">
        <v>930</v>
      </c>
      <c r="AU94" s="12" t="s">
        <v>931</v>
      </c>
      <c r="AV94" s="12" t="s">
        <v>932</v>
      </c>
      <c r="AW94" s="12" t="s">
        <v>574</v>
      </c>
      <c r="AX94" s="12" t="s">
        <v>593</v>
      </c>
      <c r="AY94" s="12" t="s">
        <v>526</v>
      </c>
    </row>
    <row r="95" spans="1:51">
      <c r="A95" s="12" t="s">
        <v>933</v>
      </c>
      <c r="B95" s="12" t="s">
        <v>934</v>
      </c>
      <c r="C95" s="12" t="s">
        <v>344</v>
      </c>
      <c r="D95" s="24" t="s">
        <v>180</v>
      </c>
      <c r="E95" s="16" t="s">
        <v>178</v>
      </c>
      <c r="F95" s="12" t="s">
        <v>619</v>
      </c>
      <c r="G95" s="14">
        <v>27</v>
      </c>
      <c r="H95" s="14">
        <v>5</v>
      </c>
      <c r="I95" s="14">
        <v>0</v>
      </c>
      <c r="J95" s="14">
        <v>14</v>
      </c>
      <c r="K95" s="14">
        <v>0</v>
      </c>
      <c r="L95" s="14">
        <v>8</v>
      </c>
      <c r="M95" s="12" t="s">
        <v>119</v>
      </c>
      <c r="N95" s="24" t="s">
        <v>351</v>
      </c>
      <c r="O95" s="12" t="s">
        <v>176</v>
      </c>
      <c r="P95" s="12" t="s">
        <v>380</v>
      </c>
      <c r="Q95" s="16" t="s">
        <v>178</v>
      </c>
      <c r="R95" s="19"/>
      <c r="S95" s="20"/>
      <c r="T95" s="20"/>
      <c r="U95" s="20"/>
      <c r="V95" s="21">
        <f>IF(U95="","",U95*'0. Premissas (editável)'!$C$7*'0. Premissas (editável)'!$C$8)</f>
        <v>0</v>
      </c>
      <c r="W95" s="22">
        <f>IF(OR(S95="",V95=""),"",(S95-V95)/S95)</f>
        <v>0</v>
      </c>
      <c r="X95" s="23">
        <f>IF(W95="","preencher",IF(W95&gt;='0. Premissas (editável)'!$C$9,"Viável",IF(W95&gt;='0. Premissas (editável)'!$C$10,"Marginal","Inviável")))</f>
        <v>0</v>
      </c>
      <c r="Y95" s="23">
        <f>IF(R95="","preencher",IF(R95&gt;='0. Premissas (editável)'!$C$11,"PASSA","NÃO PASSA"))</f>
        <v>0</v>
      </c>
      <c r="Z95" s="23">
        <f>IF(AND(R95="",S95=""),"Preencher IQVIA",IF(AND(R95&lt;&gt;"",R95&lt;'0. Premissas (editável)'!$C$11),"NÃO — mercado abaixo do corte",IF(X95="Inviável","NÃO — economia não fecha",IF(D95="NÃO","NÃO — vetada na triagem",IF(X95="Marginal","REAVALIAR — margem apertada","SIM")))))</f>
        <v>0</v>
      </c>
      <c r="AA95" s="12" t="s">
        <v>179</v>
      </c>
      <c r="AB95" s="12"/>
      <c r="AC95" s="12" t="s">
        <v>91</v>
      </c>
      <c r="AD95" s="12" t="s">
        <v>180</v>
      </c>
      <c r="AE95" s="12" t="s">
        <v>178</v>
      </c>
      <c r="AF95" s="12" t="s">
        <v>181</v>
      </c>
      <c r="AG95" s="12" t="s">
        <v>180</v>
      </c>
      <c r="AH95" s="16" t="s">
        <v>180</v>
      </c>
      <c r="AI95" s="14">
        <v>0</v>
      </c>
      <c r="AJ95" s="14">
        <v>0</v>
      </c>
      <c r="AK95" s="12"/>
      <c r="AL95" s="12"/>
      <c r="AM95" s="12"/>
      <c r="AN95" s="12"/>
      <c r="AO95" s="12" t="s">
        <v>201</v>
      </c>
      <c r="AP95" s="14">
        <v>2</v>
      </c>
      <c r="AQ95" s="16" t="s">
        <v>180</v>
      </c>
      <c r="AR95" s="12" t="s">
        <v>935</v>
      </c>
      <c r="AS95" s="12" t="s">
        <v>184</v>
      </c>
      <c r="AT95" s="12" t="s">
        <v>936</v>
      </c>
      <c r="AU95" s="12" t="s">
        <v>937</v>
      </c>
      <c r="AV95" s="12" t="s">
        <v>938</v>
      </c>
      <c r="AW95" s="12" t="s">
        <v>554</v>
      </c>
      <c r="AX95" s="12" t="s">
        <v>593</v>
      </c>
      <c r="AY95" s="12" t="s">
        <v>526</v>
      </c>
    </row>
    <row r="96" spans="1:51">
      <c r="A96" s="12" t="s">
        <v>939</v>
      </c>
      <c r="B96" s="12" t="s">
        <v>940</v>
      </c>
      <c r="C96" s="12" t="s">
        <v>217</v>
      </c>
      <c r="D96" s="24" t="s">
        <v>180</v>
      </c>
      <c r="E96" s="16" t="s">
        <v>178</v>
      </c>
      <c r="F96" s="12" t="s">
        <v>519</v>
      </c>
      <c r="G96" s="14">
        <v>27</v>
      </c>
      <c r="H96" s="14">
        <v>5</v>
      </c>
      <c r="I96" s="14">
        <v>0</v>
      </c>
      <c r="J96" s="14">
        <v>14</v>
      </c>
      <c r="K96" s="14">
        <v>0</v>
      </c>
      <c r="L96" s="14">
        <v>8</v>
      </c>
      <c r="M96" s="12" t="s">
        <v>119</v>
      </c>
      <c r="N96" s="24" t="s">
        <v>351</v>
      </c>
      <c r="O96" s="12" t="s">
        <v>176</v>
      </c>
      <c r="P96" s="12" t="s">
        <v>380</v>
      </c>
      <c r="Q96" s="16" t="s">
        <v>178</v>
      </c>
      <c r="R96" s="19"/>
      <c r="S96" s="20"/>
      <c r="T96" s="20"/>
      <c r="U96" s="20"/>
      <c r="V96" s="21">
        <f>IF(U96="","",U96*'0. Premissas (editável)'!$C$7*'0. Premissas (editável)'!$C$8)</f>
        <v>0</v>
      </c>
      <c r="W96" s="22">
        <f>IF(OR(S96="",V96=""),"",(S96-V96)/S96)</f>
        <v>0</v>
      </c>
      <c r="X96" s="23">
        <f>IF(W96="","preencher",IF(W96&gt;='0. Premissas (editável)'!$C$9,"Viável",IF(W96&gt;='0. Premissas (editável)'!$C$10,"Marginal","Inviável")))</f>
        <v>0</v>
      </c>
      <c r="Y96" s="23">
        <f>IF(R96="","preencher",IF(R96&gt;='0. Premissas (editável)'!$C$11,"PASSA","NÃO PASSA"))</f>
        <v>0</v>
      </c>
      <c r="Z96" s="23">
        <f>IF(AND(R96="",S96=""),"Preencher IQVIA",IF(AND(R96&lt;&gt;"",R96&lt;'0. Premissas (editável)'!$C$11),"NÃO — mercado abaixo do corte",IF(X96="Inviável","NÃO — economia não fecha",IF(D96="NÃO","NÃO — vetada na triagem",IF(X96="Marginal","REAVALIAR — margem apertada","SIM")))))</f>
        <v>0</v>
      </c>
      <c r="AA96" s="12" t="s">
        <v>179</v>
      </c>
      <c r="AB96" s="12"/>
      <c r="AC96" s="12" t="s">
        <v>91</v>
      </c>
      <c r="AD96" s="12" t="s">
        <v>180</v>
      </c>
      <c r="AE96" s="12" t="s">
        <v>178</v>
      </c>
      <c r="AF96" s="12" t="s">
        <v>181</v>
      </c>
      <c r="AG96" s="12" t="s">
        <v>180</v>
      </c>
      <c r="AH96" s="16" t="s">
        <v>180</v>
      </c>
      <c r="AI96" s="14">
        <v>0</v>
      </c>
      <c r="AJ96" s="14">
        <v>0</v>
      </c>
      <c r="AK96" s="12"/>
      <c r="AL96" s="12"/>
      <c r="AM96" s="12"/>
      <c r="AN96" s="12"/>
      <c r="AO96" s="12" t="s">
        <v>201</v>
      </c>
      <c r="AP96" s="14">
        <v>1</v>
      </c>
      <c r="AQ96" s="16" t="s">
        <v>180</v>
      </c>
      <c r="AR96" s="12" t="s">
        <v>941</v>
      </c>
      <c r="AS96" s="12" t="s">
        <v>184</v>
      </c>
      <c r="AT96" s="12" t="s">
        <v>942</v>
      </c>
      <c r="AU96" s="12" t="s">
        <v>943</v>
      </c>
      <c r="AV96" s="12" t="s">
        <v>944</v>
      </c>
      <c r="AW96" s="12" t="s">
        <v>625</v>
      </c>
      <c r="AX96" s="12" t="s">
        <v>525</v>
      </c>
      <c r="AY96" s="12" t="s">
        <v>526</v>
      </c>
    </row>
    <row r="97" spans="1:51">
      <c r="A97" s="12" t="s">
        <v>945</v>
      </c>
      <c r="B97" s="12" t="s">
        <v>946</v>
      </c>
      <c r="C97" s="12" t="s">
        <v>469</v>
      </c>
      <c r="D97" s="24" t="s">
        <v>180</v>
      </c>
      <c r="E97" s="16" t="s">
        <v>178</v>
      </c>
      <c r="F97" s="12" t="s">
        <v>519</v>
      </c>
      <c r="G97" s="14">
        <v>27</v>
      </c>
      <c r="H97" s="14">
        <v>5</v>
      </c>
      <c r="I97" s="14">
        <v>0</v>
      </c>
      <c r="J97" s="14">
        <v>14</v>
      </c>
      <c r="K97" s="14">
        <v>0</v>
      </c>
      <c r="L97" s="14">
        <v>8</v>
      </c>
      <c r="M97" s="12" t="s">
        <v>119</v>
      </c>
      <c r="N97" s="24" t="s">
        <v>351</v>
      </c>
      <c r="O97" s="12" t="s">
        <v>176</v>
      </c>
      <c r="P97" s="12" t="s">
        <v>380</v>
      </c>
      <c r="Q97" s="16" t="s">
        <v>178</v>
      </c>
      <c r="R97" s="19"/>
      <c r="S97" s="20"/>
      <c r="T97" s="20"/>
      <c r="U97" s="20"/>
      <c r="V97" s="21">
        <f>IF(U97="","",U97*'0. Premissas (editável)'!$C$7*'0. Premissas (editável)'!$C$8)</f>
        <v>0</v>
      </c>
      <c r="W97" s="22">
        <f>IF(OR(S97="",V97=""),"",(S97-V97)/S97)</f>
        <v>0</v>
      </c>
      <c r="X97" s="23">
        <f>IF(W97="","preencher",IF(W97&gt;='0. Premissas (editável)'!$C$9,"Viável",IF(W97&gt;='0. Premissas (editável)'!$C$10,"Marginal","Inviável")))</f>
        <v>0</v>
      </c>
      <c r="Y97" s="23">
        <f>IF(R97="","preencher",IF(R97&gt;='0. Premissas (editável)'!$C$11,"PASSA","NÃO PASSA"))</f>
        <v>0</v>
      </c>
      <c r="Z97" s="23">
        <f>IF(AND(R97="",S97=""),"Preencher IQVIA",IF(AND(R97&lt;&gt;"",R97&lt;'0. Premissas (editável)'!$C$11),"NÃO — mercado abaixo do corte",IF(X97="Inviável","NÃO — economia não fecha",IF(D97="NÃO","NÃO — vetada na triagem",IF(X97="Marginal","REAVALIAR — margem apertada","SIM")))))</f>
        <v>0</v>
      </c>
      <c r="AA97" s="12" t="s">
        <v>179</v>
      </c>
      <c r="AB97" s="12"/>
      <c r="AC97" s="12" t="s">
        <v>91</v>
      </c>
      <c r="AD97" s="12" t="s">
        <v>180</v>
      </c>
      <c r="AE97" s="12" t="s">
        <v>178</v>
      </c>
      <c r="AF97" s="12" t="s">
        <v>181</v>
      </c>
      <c r="AG97" s="12" t="s">
        <v>180</v>
      </c>
      <c r="AH97" s="16" t="s">
        <v>180</v>
      </c>
      <c r="AI97" s="14">
        <v>0</v>
      </c>
      <c r="AJ97" s="14">
        <v>0</v>
      </c>
      <c r="AK97" s="12"/>
      <c r="AL97" s="12"/>
      <c r="AM97" s="12"/>
      <c r="AN97" s="12"/>
      <c r="AO97" s="12" t="s">
        <v>201</v>
      </c>
      <c r="AP97" s="14">
        <v>2</v>
      </c>
      <c r="AQ97" s="15" t="s">
        <v>174</v>
      </c>
      <c r="AR97" s="12" t="s">
        <v>947</v>
      </c>
      <c r="AS97" s="12" t="s">
        <v>184</v>
      </c>
      <c r="AT97" s="12" t="s">
        <v>948</v>
      </c>
      <c r="AU97" s="12" t="s">
        <v>949</v>
      </c>
      <c r="AV97" s="12" t="s">
        <v>950</v>
      </c>
      <c r="AW97" s="12" t="s">
        <v>625</v>
      </c>
      <c r="AX97" s="12" t="s">
        <v>525</v>
      </c>
      <c r="AY97" s="12" t="s">
        <v>616</v>
      </c>
    </row>
    <row r="98" spans="1:51">
      <c r="A98" s="12" t="s">
        <v>951</v>
      </c>
      <c r="B98" s="12" t="s">
        <v>952</v>
      </c>
      <c r="C98" s="12" t="s">
        <v>378</v>
      </c>
      <c r="D98" s="24" t="s">
        <v>180</v>
      </c>
      <c r="E98" s="16" t="s">
        <v>178</v>
      </c>
      <c r="F98" s="12" t="s">
        <v>519</v>
      </c>
      <c r="G98" s="14">
        <v>27</v>
      </c>
      <c r="H98" s="14">
        <v>5</v>
      </c>
      <c r="I98" s="14">
        <v>0</v>
      </c>
      <c r="J98" s="14">
        <v>14</v>
      </c>
      <c r="K98" s="14">
        <v>0</v>
      </c>
      <c r="L98" s="14">
        <v>8</v>
      </c>
      <c r="M98" s="12" t="s">
        <v>119</v>
      </c>
      <c r="N98" s="24" t="s">
        <v>351</v>
      </c>
      <c r="O98" s="12" t="s">
        <v>176</v>
      </c>
      <c r="P98" s="12" t="s">
        <v>380</v>
      </c>
      <c r="Q98" s="16" t="s">
        <v>178</v>
      </c>
      <c r="R98" s="19"/>
      <c r="S98" s="20"/>
      <c r="T98" s="20"/>
      <c r="U98" s="20"/>
      <c r="V98" s="21">
        <f>IF(U98="","",U98*'0. Premissas (editável)'!$C$7*'0. Premissas (editável)'!$C$8)</f>
        <v>0</v>
      </c>
      <c r="W98" s="22">
        <f>IF(OR(S98="",V98=""),"",(S98-V98)/S98)</f>
        <v>0</v>
      </c>
      <c r="X98" s="23">
        <f>IF(W98="","preencher",IF(W98&gt;='0. Premissas (editável)'!$C$9,"Viável",IF(W98&gt;='0. Premissas (editável)'!$C$10,"Marginal","Inviável")))</f>
        <v>0</v>
      </c>
      <c r="Y98" s="23">
        <f>IF(R98="","preencher",IF(R98&gt;='0. Premissas (editável)'!$C$11,"PASSA","NÃO PASSA"))</f>
        <v>0</v>
      </c>
      <c r="Z98" s="23">
        <f>IF(AND(R98="",S98=""),"Preencher IQVIA",IF(AND(R98&lt;&gt;"",R98&lt;'0. Premissas (editável)'!$C$11),"NÃO — mercado abaixo do corte",IF(X98="Inviável","NÃO — economia não fecha",IF(D98="NÃO","NÃO — vetada na triagem",IF(X98="Marginal","REAVALIAR — margem apertada","SIM")))))</f>
        <v>0</v>
      </c>
      <c r="AA98" s="12" t="s">
        <v>179</v>
      </c>
      <c r="AB98" s="12"/>
      <c r="AC98" s="12" t="s">
        <v>91</v>
      </c>
      <c r="AD98" s="12" t="s">
        <v>180</v>
      </c>
      <c r="AE98" s="12" t="s">
        <v>178</v>
      </c>
      <c r="AF98" s="12" t="s">
        <v>181</v>
      </c>
      <c r="AG98" s="12" t="s">
        <v>180</v>
      </c>
      <c r="AH98" s="16" t="s">
        <v>180</v>
      </c>
      <c r="AI98" s="14">
        <v>0</v>
      </c>
      <c r="AJ98" s="14">
        <v>0</v>
      </c>
      <c r="AK98" s="12"/>
      <c r="AL98" s="12"/>
      <c r="AM98" s="12"/>
      <c r="AN98" s="12"/>
      <c r="AO98" s="12" t="s">
        <v>201</v>
      </c>
      <c r="AP98" s="14">
        <v>1</v>
      </c>
      <c r="AQ98" s="16" t="s">
        <v>180</v>
      </c>
      <c r="AR98" s="12" t="s">
        <v>953</v>
      </c>
      <c r="AS98" s="12" t="s">
        <v>184</v>
      </c>
      <c r="AT98" s="12" t="s">
        <v>954</v>
      </c>
      <c r="AU98" s="12" t="s">
        <v>955</v>
      </c>
      <c r="AV98" s="12" t="s">
        <v>956</v>
      </c>
      <c r="AW98" s="12" t="s">
        <v>957</v>
      </c>
      <c r="AX98" s="12" t="s">
        <v>525</v>
      </c>
      <c r="AY98" s="12" t="s">
        <v>526</v>
      </c>
    </row>
    <row r="99" spans="1:51">
      <c r="A99" s="12" t="s">
        <v>958</v>
      </c>
      <c r="B99" s="12" t="s">
        <v>959</v>
      </c>
      <c r="C99" s="12" t="s">
        <v>173</v>
      </c>
      <c r="D99" s="24" t="s">
        <v>180</v>
      </c>
      <c r="E99" s="16" t="s">
        <v>178</v>
      </c>
      <c r="F99" s="12" t="s">
        <v>379</v>
      </c>
      <c r="G99" s="14">
        <v>27</v>
      </c>
      <c r="H99" s="14">
        <v>5</v>
      </c>
      <c r="I99" s="14">
        <v>0</v>
      </c>
      <c r="J99" s="14">
        <v>14</v>
      </c>
      <c r="K99" s="14">
        <v>0</v>
      </c>
      <c r="L99" s="14">
        <v>8</v>
      </c>
      <c r="M99" s="12" t="s">
        <v>119</v>
      </c>
      <c r="N99" s="24" t="s">
        <v>351</v>
      </c>
      <c r="O99" s="12" t="s">
        <v>176</v>
      </c>
      <c r="P99" s="12" t="s">
        <v>380</v>
      </c>
      <c r="Q99" s="16" t="s">
        <v>178</v>
      </c>
      <c r="R99" s="19"/>
      <c r="S99" s="20"/>
      <c r="T99" s="20"/>
      <c r="U99" s="20"/>
      <c r="V99" s="21">
        <f>IF(U99="","",U99*'0. Premissas (editável)'!$C$7*'0. Premissas (editável)'!$C$8)</f>
        <v>0</v>
      </c>
      <c r="W99" s="22">
        <f>IF(OR(S99="",V99=""),"",(S99-V99)/S99)</f>
        <v>0</v>
      </c>
      <c r="X99" s="23">
        <f>IF(W99="","preencher",IF(W99&gt;='0. Premissas (editável)'!$C$9,"Viável",IF(W99&gt;='0. Premissas (editável)'!$C$10,"Marginal","Inviável")))</f>
        <v>0</v>
      </c>
      <c r="Y99" s="23">
        <f>IF(R99="","preencher",IF(R99&gt;='0. Premissas (editável)'!$C$11,"PASSA","NÃO PASSA"))</f>
        <v>0</v>
      </c>
      <c r="Z99" s="23">
        <f>IF(AND(R99="",S99=""),"Preencher IQVIA",IF(AND(R99&lt;&gt;"",R99&lt;'0. Premissas (editável)'!$C$11),"NÃO — mercado abaixo do corte",IF(X99="Inviável","NÃO — economia não fecha",IF(D99="NÃO","NÃO — vetada na triagem",IF(X99="Marginal","REAVALIAR — margem apertada","SIM")))))</f>
        <v>0</v>
      </c>
      <c r="AA99" s="12" t="s">
        <v>179</v>
      </c>
      <c r="AB99" s="12"/>
      <c r="AC99" s="12" t="s">
        <v>91</v>
      </c>
      <c r="AD99" s="12" t="s">
        <v>180</v>
      </c>
      <c r="AE99" s="12" t="s">
        <v>178</v>
      </c>
      <c r="AF99" s="12" t="s">
        <v>181</v>
      </c>
      <c r="AG99" s="12" t="s">
        <v>180</v>
      </c>
      <c r="AH99" s="16" t="s">
        <v>180</v>
      </c>
      <c r="AI99" s="14">
        <v>0</v>
      </c>
      <c r="AJ99" s="14">
        <v>0</v>
      </c>
      <c r="AK99" s="12"/>
      <c r="AL99" s="12"/>
      <c r="AM99" s="12"/>
      <c r="AN99" s="12"/>
      <c r="AO99" s="12" t="s">
        <v>201</v>
      </c>
      <c r="AP99" s="14">
        <v>1</v>
      </c>
      <c r="AQ99" s="16" t="s">
        <v>180</v>
      </c>
      <c r="AR99" s="12" t="s">
        <v>234</v>
      </c>
      <c r="AS99" s="12" t="s">
        <v>210</v>
      </c>
      <c r="AT99" s="12" t="s">
        <v>960</v>
      </c>
      <c r="AU99" s="12" t="s">
        <v>961</v>
      </c>
      <c r="AV99" s="12" t="s">
        <v>962</v>
      </c>
      <c r="AW99" s="12" t="s">
        <v>957</v>
      </c>
      <c r="AX99" s="12" t="s">
        <v>963</v>
      </c>
      <c r="AY99" s="12" t="s">
        <v>526</v>
      </c>
    </row>
    <row r="100" spans="1:51">
      <c r="A100" s="12" t="s">
        <v>964</v>
      </c>
      <c r="B100" s="12" t="s">
        <v>965</v>
      </c>
      <c r="C100" s="12" t="s">
        <v>217</v>
      </c>
      <c r="D100" s="24" t="s">
        <v>180</v>
      </c>
      <c r="E100" s="16" t="s">
        <v>178</v>
      </c>
      <c r="F100" s="12" t="s">
        <v>379</v>
      </c>
      <c r="G100" s="14">
        <v>27</v>
      </c>
      <c r="H100" s="14">
        <v>5</v>
      </c>
      <c r="I100" s="14">
        <v>0</v>
      </c>
      <c r="J100" s="14">
        <v>14</v>
      </c>
      <c r="K100" s="14">
        <v>0</v>
      </c>
      <c r="L100" s="14">
        <v>8</v>
      </c>
      <c r="M100" s="12" t="s">
        <v>119</v>
      </c>
      <c r="N100" s="24" t="s">
        <v>351</v>
      </c>
      <c r="O100" s="12" t="s">
        <v>176</v>
      </c>
      <c r="P100" s="12" t="s">
        <v>380</v>
      </c>
      <c r="Q100" s="16" t="s">
        <v>178</v>
      </c>
      <c r="R100" s="19"/>
      <c r="S100" s="20"/>
      <c r="T100" s="20"/>
      <c r="U100" s="20"/>
      <c r="V100" s="21">
        <f>IF(U100="","",U100*'0. Premissas (editável)'!$C$7*'0. Premissas (editável)'!$C$8)</f>
        <v>0</v>
      </c>
      <c r="W100" s="22">
        <f>IF(OR(S100="",V100=""),"",(S100-V100)/S100)</f>
        <v>0</v>
      </c>
      <c r="X100" s="23">
        <f>IF(W100="","preencher",IF(W100&gt;='0. Premissas (editável)'!$C$9,"Viável",IF(W100&gt;='0. Premissas (editável)'!$C$10,"Marginal","Inviável")))</f>
        <v>0</v>
      </c>
      <c r="Y100" s="23">
        <f>IF(R100="","preencher",IF(R100&gt;='0. Premissas (editável)'!$C$11,"PASSA","NÃO PASSA"))</f>
        <v>0</v>
      </c>
      <c r="Z100" s="23">
        <f>IF(AND(R100="",S100=""),"Preencher IQVIA",IF(AND(R100&lt;&gt;"",R100&lt;'0. Premissas (editável)'!$C$11),"NÃO — mercado abaixo do corte",IF(X100="Inviável","NÃO — economia não fecha",IF(D100="NÃO","NÃO — vetada na triagem",IF(X100="Marginal","REAVALIAR — margem apertada","SIM")))))</f>
        <v>0</v>
      </c>
      <c r="AA100" s="12" t="s">
        <v>179</v>
      </c>
      <c r="AB100" s="12"/>
      <c r="AC100" s="12" t="s">
        <v>91</v>
      </c>
      <c r="AD100" s="12" t="s">
        <v>180</v>
      </c>
      <c r="AE100" s="12" t="s">
        <v>178</v>
      </c>
      <c r="AF100" s="12" t="s">
        <v>181</v>
      </c>
      <c r="AG100" s="12" t="s">
        <v>180</v>
      </c>
      <c r="AH100" s="16" t="s">
        <v>180</v>
      </c>
      <c r="AI100" s="14">
        <v>0</v>
      </c>
      <c r="AJ100" s="14">
        <v>0</v>
      </c>
      <c r="AK100" s="12"/>
      <c r="AL100" s="12"/>
      <c r="AM100" s="12"/>
      <c r="AN100" s="12"/>
      <c r="AO100" s="12" t="s">
        <v>201</v>
      </c>
      <c r="AP100" s="14">
        <v>1</v>
      </c>
      <c r="AQ100" s="16" t="s">
        <v>180</v>
      </c>
      <c r="AR100" s="12" t="s">
        <v>966</v>
      </c>
      <c r="AS100" s="12" t="s">
        <v>184</v>
      </c>
      <c r="AT100" s="12" t="s">
        <v>967</v>
      </c>
      <c r="AU100" s="12" t="s">
        <v>968</v>
      </c>
      <c r="AV100" s="12" t="s">
        <v>969</v>
      </c>
      <c r="AW100" s="12" t="s">
        <v>970</v>
      </c>
      <c r="AX100" s="12" t="s">
        <v>963</v>
      </c>
      <c r="AY100" s="12" t="s">
        <v>526</v>
      </c>
    </row>
    <row r="101" spans="1:51">
      <c r="A101" s="12" t="s">
        <v>971</v>
      </c>
      <c r="B101" s="12" t="s">
        <v>972</v>
      </c>
      <c r="C101" s="12" t="s">
        <v>173</v>
      </c>
      <c r="D101" s="24" t="s">
        <v>180</v>
      </c>
      <c r="E101" s="16" t="s">
        <v>178</v>
      </c>
      <c r="F101" s="12" t="s">
        <v>619</v>
      </c>
      <c r="G101" s="14">
        <v>27</v>
      </c>
      <c r="H101" s="14">
        <v>5</v>
      </c>
      <c r="I101" s="14">
        <v>0</v>
      </c>
      <c r="J101" s="14">
        <v>14</v>
      </c>
      <c r="K101" s="14">
        <v>0</v>
      </c>
      <c r="L101" s="14">
        <v>8</v>
      </c>
      <c r="M101" s="12" t="s">
        <v>119</v>
      </c>
      <c r="N101" s="24" t="s">
        <v>351</v>
      </c>
      <c r="O101" s="12" t="s">
        <v>176</v>
      </c>
      <c r="P101" s="12" t="s">
        <v>380</v>
      </c>
      <c r="Q101" s="16" t="s">
        <v>178</v>
      </c>
      <c r="R101" s="19"/>
      <c r="S101" s="20"/>
      <c r="T101" s="20"/>
      <c r="U101" s="20"/>
      <c r="V101" s="21">
        <f>IF(U101="","",U101*'0. Premissas (editável)'!$C$7*'0. Premissas (editável)'!$C$8)</f>
        <v>0</v>
      </c>
      <c r="W101" s="22">
        <f>IF(OR(S101="",V101=""),"",(S101-V101)/S101)</f>
        <v>0</v>
      </c>
      <c r="X101" s="23">
        <f>IF(W101="","preencher",IF(W101&gt;='0. Premissas (editável)'!$C$9,"Viável",IF(W101&gt;='0. Premissas (editável)'!$C$10,"Marginal","Inviável")))</f>
        <v>0</v>
      </c>
      <c r="Y101" s="23">
        <f>IF(R101="","preencher",IF(R101&gt;='0. Premissas (editável)'!$C$11,"PASSA","NÃO PASSA"))</f>
        <v>0</v>
      </c>
      <c r="Z101" s="23">
        <f>IF(AND(R101="",S101=""),"Preencher IQVIA",IF(AND(R101&lt;&gt;"",R101&lt;'0. Premissas (editável)'!$C$11),"NÃO — mercado abaixo do corte",IF(X101="Inviável","NÃO — economia não fecha",IF(D101="NÃO","NÃO — vetada na triagem",IF(X101="Marginal","REAVALIAR — margem apertada","SIM")))))</f>
        <v>0</v>
      </c>
      <c r="AA101" s="12" t="s">
        <v>179</v>
      </c>
      <c r="AB101" s="12"/>
      <c r="AC101" s="12" t="s">
        <v>91</v>
      </c>
      <c r="AD101" s="12" t="s">
        <v>180</v>
      </c>
      <c r="AE101" s="12" t="s">
        <v>178</v>
      </c>
      <c r="AF101" s="12" t="s">
        <v>181</v>
      </c>
      <c r="AG101" s="12" t="s">
        <v>180</v>
      </c>
      <c r="AH101" s="16" t="s">
        <v>180</v>
      </c>
      <c r="AI101" s="14">
        <v>0</v>
      </c>
      <c r="AJ101" s="14">
        <v>0</v>
      </c>
      <c r="AK101" s="12"/>
      <c r="AL101" s="12"/>
      <c r="AM101" s="12"/>
      <c r="AN101" s="12"/>
      <c r="AO101" s="12" t="s">
        <v>201</v>
      </c>
      <c r="AP101" s="14">
        <v>1</v>
      </c>
      <c r="AQ101" s="16" t="s">
        <v>180</v>
      </c>
      <c r="AR101" s="12" t="s">
        <v>973</v>
      </c>
      <c r="AS101" s="12" t="s">
        <v>184</v>
      </c>
      <c r="AT101" s="12" t="s">
        <v>974</v>
      </c>
      <c r="AU101" s="12" t="s">
        <v>975</v>
      </c>
      <c r="AV101" s="12" t="s">
        <v>976</v>
      </c>
      <c r="AW101" s="12" t="s">
        <v>970</v>
      </c>
      <c r="AX101" s="12" t="s">
        <v>593</v>
      </c>
      <c r="AY101" s="12" t="s">
        <v>526</v>
      </c>
    </row>
    <row r="102" spans="1:51">
      <c r="A102" s="12" t="s">
        <v>977</v>
      </c>
      <c r="B102" s="12" t="s">
        <v>978</v>
      </c>
      <c r="C102" s="12" t="s">
        <v>173</v>
      </c>
      <c r="D102" s="24" t="s">
        <v>180</v>
      </c>
      <c r="E102" s="16" t="s">
        <v>178</v>
      </c>
      <c r="F102" s="12" t="s">
        <v>379</v>
      </c>
      <c r="G102" s="14">
        <v>27</v>
      </c>
      <c r="H102" s="14">
        <v>5</v>
      </c>
      <c r="I102" s="14">
        <v>0</v>
      </c>
      <c r="J102" s="14">
        <v>14</v>
      </c>
      <c r="K102" s="14">
        <v>0</v>
      </c>
      <c r="L102" s="14">
        <v>8</v>
      </c>
      <c r="M102" s="12" t="s">
        <v>119</v>
      </c>
      <c r="N102" s="24" t="s">
        <v>351</v>
      </c>
      <c r="O102" s="12" t="s">
        <v>176</v>
      </c>
      <c r="P102" s="12" t="s">
        <v>380</v>
      </c>
      <c r="Q102" s="16" t="s">
        <v>178</v>
      </c>
      <c r="R102" s="19"/>
      <c r="S102" s="20"/>
      <c r="T102" s="20"/>
      <c r="U102" s="20"/>
      <c r="V102" s="21">
        <f>IF(U102="","",U102*'0. Premissas (editável)'!$C$7*'0. Premissas (editável)'!$C$8)</f>
        <v>0</v>
      </c>
      <c r="W102" s="22">
        <f>IF(OR(S102="",V102=""),"",(S102-V102)/S102)</f>
        <v>0</v>
      </c>
      <c r="X102" s="23">
        <f>IF(W102="","preencher",IF(W102&gt;='0. Premissas (editável)'!$C$9,"Viável",IF(W102&gt;='0. Premissas (editável)'!$C$10,"Marginal","Inviável")))</f>
        <v>0</v>
      </c>
      <c r="Y102" s="23">
        <f>IF(R102="","preencher",IF(R102&gt;='0. Premissas (editável)'!$C$11,"PASSA","NÃO PASSA"))</f>
        <v>0</v>
      </c>
      <c r="Z102" s="23">
        <f>IF(AND(R102="",S102=""),"Preencher IQVIA",IF(AND(R102&lt;&gt;"",R102&lt;'0. Premissas (editável)'!$C$11),"NÃO — mercado abaixo do corte",IF(X102="Inviável","NÃO — economia não fecha",IF(D102="NÃO","NÃO — vetada na triagem",IF(X102="Marginal","REAVALIAR — margem apertada","SIM")))))</f>
        <v>0</v>
      </c>
      <c r="AA102" s="12" t="s">
        <v>179</v>
      </c>
      <c r="AB102" s="12"/>
      <c r="AC102" s="12" t="s">
        <v>91</v>
      </c>
      <c r="AD102" s="12" t="s">
        <v>180</v>
      </c>
      <c r="AE102" s="12" t="s">
        <v>178</v>
      </c>
      <c r="AF102" s="12" t="s">
        <v>181</v>
      </c>
      <c r="AG102" s="12" t="s">
        <v>180</v>
      </c>
      <c r="AH102" s="16" t="s">
        <v>180</v>
      </c>
      <c r="AI102" s="14">
        <v>0</v>
      </c>
      <c r="AJ102" s="14">
        <v>0</v>
      </c>
      <c r="AK102" s="12"/>
      <c r="AL102" s="12"/>
      <c r="AM102" s="12"/>
      <c r="AN102" s="12"/>
      <c r="AO102" s="12" t="s">
        <v>201</v>
      </c>
      <c r="AP102" s="14">
        <v>3</v>
      </c>
      <c r="AQ102" s="15" t="s">
        <v>174</v>
      </c>
      <c r="AR102" s="12" t="s">
        <v>979</v>
      </c>
      <c r="AS102" s="12" t="s">
        <v>210</v>
      </c>
      <c r="AT102" s="12" t="s">
        <v>980</v>
      </c>
      <c r="AU102" s="12" t="s">
        <v>981</v>
      </c>
      <c r="AV102" s="12" t="s">
        <v>982</v>
      </c>
      <c r="AW102" s="12" t="s">
        <v>983</v>
      </c>
      <c r="AX102" s="12" t="s">
        <v>963</v>
      </c>
      <c r="AY102" s="12" t="s">
        <v>616</v>
      </c>
    </row>
    <row r="103" spans="1:51">
      <c r="A103" s="12" t="s">
        <v>984</v>
      </c>
      <c r="B103" s="12" t="s">
        <v>985</v>
      </c>
      <c r="C103" s="12" t="s">
        <v>217</v>
      </c>
      <c r="D103" s="24" t="s">
        <v>180</v>
      </c>
      <c r="E103" s="16" t="s">
        <v>178</v>
      </c>
      <c r="F103" s="12" t="s">
        <v>619</v>
      </c>
      <c r="G103" s="14">
        <v>27</v>
      </c>
      <c r="H103" s="14">
        <v>5</v>
      </c>
      <c r="I103" s="14">
        <v>0</v>
      </c>
      <c r="J103" s="14">
        <v>14</v>
      </c>
      <c r="K103" s="14">
        <v>0</v>
      </c>
      <c r="L103" s="14">
        <v>8</v>
      </c>
      <c r="M103" s="12" t="s">
        <v>119</v>
      </c>
      <c r="N103" s="24" t="s">
        <v>351</v>
      </c>
      <c r="O103" s="12" t="s">
        <v>176</v>
      </c>
      <c r="P103" s="12" t="s">
        <v>380</v>
      </c>
      <c r="Q103" s="16" t="s">
        <v>178</v>
      </c>
      <c r="R103" s="19"/>
      <c r="S103" s="20"/>
      <c r="T103" s="20"/>
      <c r="U103" s="20"/>
      <c r="V103" s="21">
        <f>IF(U103="","",U103*'0. Premissas (editável)'!$C$7*'0. Premissas (editável)'!$C$8)</f>
        <v>0</v>
      </c>
      <c r="W103" s="22">
        <f>IF(OR(S103="",V103=""),"",(S103-V103)/S103)</f>
        <v>0</v>
      </c>
      <c r="X103" s="23">
        <f>IF(W103="","preencher",IF(W103&gt;='0. Premissas (editável)'!$C$9,"Viável",IF(W103&gt;='0. Premissas (editável)'!$C$10,"Marginal","Inviável")))</f>
        <v>0</v>
      </c>
      <c r="Y103" s="23">
        <f>IF(R103="","preencher",IF(R103&gt;='0. Premissas (editável)'!$C$11,"PASSA","NÃO PASSA"))</f>
        <v>0</v>
      </c>
      <c r="Z103" s="23">
        <f>IF(AND(R103="",S103=""),"Preencher IQVIA",IF(AND(R103&lt;&gt;"",R103&lt;'0. Premissas (editável)'!$C$11),"NÃO — mercado abaixo do corte",IF(X103="Inviável","NÃO — economia não fecha",IF(D103="NÃO","NÃO — vetada na triagem",IF(X103="Marginal","REAVALIAR — margem apertada","SIM")))))</f>
        <v>0</v>
      </c>
      <c r="AA103" s="12" t="s">
        <v>179</v>
      </c>
      <c r="AB103" s="12"/>
      <c r="AC103" s="12" t="s">
        <v>91</v>
      </c>
      <c r="AD103" s="12" t="s">
        <v>180</v>
      </c>
      <c r="AE103" s="12" t="s">
        <v>178</v>
      </c>
      <c r="AF103" s="12" t="s">
        <v>181</v>
      </c>
      <c r="AG103" s="12" t="s">
        <v>180</v>
      </c>
      <c r="AH103" s="16" t="s">
        <v>180</v>
      </c>
      <c r="AI103" s="14">
        <v>0</v>
      </c>
      <c r="AJ103" s="14">
        <v>0</v>
      </c>
      <c r="AK103" s="12"/>
      <c r="AL103" s="12"/>
      <c r="AM103" s="12"/>
      <c r="AN103" s="12"/>
      <c r="AO103" s="12" t="s">
        <v>201</v>
      </c>
      <c r="AP103" s="14">
        <v>1</v>
      </c>
      <c r="AQ103" s="16" t="s">
        <v>180</v>
      </c>
      <c r="AR103" s="12" t="s">
        <v>986</v>
      </c>
      <c r="AS103" s="12" t="s">
        <v>184</v>
      </c>
      <c r="AT103" s="12" t="s">
        <v>571</v>
      </c>
      <c r="AU103" s="12" t="s">
        <v>987</v>
      </c>
      <c r="AV103" s="12" t="s">
        <v>988</v>
      </c>
      <c r="AW103" s="12" t="s">
        <v>214</v>
      </c>
      <c r="AX103" s="12" t="s">
        <v>593</v>
      </c>
      <c r="AY103" s="12" t="s">
        <v>526</v>
      </c>
    </row>
    <row r="104" spans="1:51">
      <c r="A104" s="12" t="s">
        <v>989</v>
      </c>
      <c r="B104" s="12" t="s">
        <v>990</v>
      </c>
      <c r="C104" s="12" t="s">
        <v>199</v>
      </c>
      <c r="D104" s="24" t="s">
        <v>180</v>
      </c>
      <c r="E104" s="16" t="s">
        <v>178</v>
      </c>
      <c r="F104" s="12" t="s">
        <v>619</v>
      </c>
      <c r="G104" s="14">
        <v>26</v>
      </c>
      <c r="H104" s="14">
        <v>5</v>
      </c>
      <c r="I104" s="14">
        <v>4</v>
      </c>
      <c r="J104" s="14">
        <v>14</v>
      </c>
      <c r="K104" s="14">
        <v>0</v>
      </c>
      <c r="L104" s="14">
        <v>3</v>
      </c>
      <c r="M104" s="12" t="s">
        <v>119</v>
      </c>
      <c r="N104" s="24" t="s">
        <v>351</v>
      </c>
      <c r="O104" s="12" t="s">
        <v>176</v>
      </c>
      <c r="P104" s="12" t="s">
        <v>380</v>
      </c>
      <c r="Q104" s="16" t="s">
        <v>178</v>
      </c>
      <c r="R104" s="19"/>
      <c r="S104" s="20"/>
      <c r="T104" s="20"/>
      <c r="U104" s="20"/>
      <c r="V104" s="21">
        <f>IF(U104="","",U104*'0. Premissas (editável)'!$C$7*'0. Premissas (editável)'!$C$8)</f>
        <v>0</v>
      </c>
      <c r="W104" s="22">
        <f>IF(OR(S104="",V104=""),"",(S104-V104)/S104)</f>
        <v>0</v>
      </c>
      <c r="X104" s="23">
        <f>IF(W104="","preencher",IF(W104&gt;='0. Premissas (editável)'!$C$9,"Viável",IF(W104&gt;='0. Premissas (editável)'!$C$10,"Marginal","Inviável")))</f>
        <v>0</v>
      </c>
      <c r="Y104" s="23">
        <f>IF(R104="","preencher",IF(R104&gt;='0. Premissas (editável)'!$C$11,"PASSA","NÃO PASSA"))</f>
        <v>0</v>
      </c>
      <c r="Z104" s="23">
        <f>IF(AND(R104="",S104=""),"Preencher IQVIA",IF(AND(R104&lt;&gt;"",R104&lt;'0. Premissas (editável)'!$C$11),"NÃO — mercado abaixo do corte",IF(X104="Inviável","NÃO — economia não fecha",IF(D104="NÃO","NÃO — vetada na triagem",IF(X104="Marginal","REAVALIAR — margem apertada","SIM")))))</f>
        <v>0</v>
      </c>
      <c r="AA104" s="12" t="s">
        <v>179</v>
      </c>
      <c r="AB104" s="12"/>
      <c r="AC104" s="12" t="s">
        <v>108</v>
      </c>
      <c r="AD104" s="12" t="s">
        <v>174</v>
      </c>
      <c r="AE104" s="12" t="s">
        <v>242</v>
      </c>
      <c r="AF104" s="12" t="s">
        <v>274</v>
      </c>
      <c r="AG104" s="12" t="s">
        <v>180</v>
      </c>
      <c r="AH104" s="16" t="s">
        <v>180</v>
      </c>
      <c r="AI104" s="14">
        <v>1</v>
      </c>
      <c r="AJ104" s="14">
        <v>1</v>
      </c>
      <c r="AK104" s="12" t="s">
        <v>991</v>
      </c>
      <c r="AL104" s="12" t="s">
        <v>245</v>
      </c>
      <c r="AM104" s="12" t="s">
        <v>306</v>
      </c>
      <c r="AN104" s="12" t="s">
        <v>992</v>
      </c>
      <c r="AO104" s="12" t="s">
        <v>794</v>
      </c>
      <c r="AP104" s="14">
        <v>2</v>
      </c>
      <c r="AQ104" s="16" t="s">
        <v>180</v>
      </c>
      <c r="AR104" s="12" t="s">
        <v>234</v>
      </c>
      <c r="AS104" s="12" t="s">
        <v>993</v>
      </c>
      <c r="AT104" s="12" t="s">
        <v>994</v>
      </c>
      <c r="AU104" s="12" t="s">
        <v>995</v>
      </c>
      <c r="AV104" s="12" t="s">
        <v>996</v>
      </c>
      <c r="AW104" s="12" t="s">
        <v>997</v>
      </c>
      <c r="AX104" s="12" t="s">
        <v>998</v>
      </c>
      <c r="AY104" s="12" t="s">
        <v>526</v>
      </c>
    </row>
    <row r="105" spans="1:51">
      <c r="A105" s="12" t="s">
        <v>999</v>
      </c>
      <c r="B105" s="12" t="s">
        <v>1000</v>
      </c>
      <c r="C105" s="12" t="s">
        <v>303</v>
      </c>
      <c r="D105" s="24" t="s">
        <v>180</v>
      </c>
      <c r="E105" s="16" t="s">
        <v>178</v>
      </c>
      <c r="F105" s="12" t="s">
        <v>586</v>
      </c>
      <c r="G105" s="14">
        <v>25</v>
      </c>
      <c r="H105" s="14">
        <v>0</v>
      </c>
      <c r="I105" s="14">
        <v>0</v>
      </c>
      <c r="J105" s="14">
        <v>14</v>
      </c>
      <c r="K105" s="14">
        <v>8</v>
      </c>
      <c r="L105" s="14">
        <v>3</v>
      </c>
      <c r="M105" s="12" t="s">
        <v>754</v>
      </c>
      <c r="N105" s="24" t="s">
        <v>351</v>
      </c>
      <c r="O105" s="12" t="s">
        <v>176</v>
      </c>
      <c r="P105" s="12" t="s">
        <v>380</v>
      </c>
      <c r="Q105" s="16" t="s">
        <v>178</v>
      </c>
      <c r="R105" s="19"/>
      <c r="S105" s="20"/>
      <c r="T105" s="20"/>
      <c r="U105" s="20"/>
      <c r="V105" s="21">
        <f>IF(U105="","",U105*'0. Premissas (editável)'!$C$7*'0. Premissas (editável)'!$C$8)</f>
        <v>0</v>
      </c>
      <c r="W105" s="22">
        <f>IF(OR(S105="",V105=""),"",(S105-V105)/S105)</f>
        <v>0</v>
      </c>
      <c r="X105" s="23">
        <f>IF(W105="","preencher",IF(W105&gt;='0. Premissas (editável)'!$C$9,"Viável",IF(W105&gt;='0. Premissas (editável)'!$C$10,"Marginal","Inviável")))</f>
        <v>0</v>
      </c>
      <c r="Y105" s="23">
        <f>IF(R105="","preencher",IF(R105&gt;='0. Premissas (editável)'!$C$11,"PASSA","NÃO PASSA"))</f>
        <v>0</v>
      </c>
      <c r="Z105" s="23">
        <f>IF(AND(R105="",S105=""),"Preencher IQVIA",IF(AND(R105&lt;&gt;"",R105&lt;'0. Premissas (editável)'!$C$11),"NÃO — mercado abaixo do corte",IF(X105="Inviável","NÃO — economia não fecha",IF(D105="NÃO","NÃO — vetada na triagem",IF(X105="Marginal","REAVALIAR — margem apertada","SIM")))))</f>
        <v>0</v>
      </c>
      <c r="AA105" s="12" t="s">
        <v>179</v>
      </c>
      <c r="AB105" s="12"/>
      <c r="AC105" s="12" t="s">
        <v>108</v>
      </c>
      <c r="AD105" s="12" t="s">
        <v>174</v>
      </c>
      <c r="AE105" s="12" t="s">
        <v>242</v>
      </c>
      <c r="AF105" s="12" t="s">
        <v>274</v>
      </c>
      <c r="AG105" s="12" t="s">
        <v>180</v>
      </c>
      <c r="AH105" s="16" t="s">
        <v>180</v>
      </c>
      <c r="AI105" s="14">
        <v>3</v>
      </c>
      <c r="AJ105" s="14">
        <v>3</v>
      </c>
      <c r="AK105" s="12" t="s">
        <v>1001</v>
      </c>
      <c r="AL105" s="12" t="s">
        <v>276</v>
      </c>
      <c r="AM105" s="12" t="s">
        <v>689</v>
      </c>
      <c r="AN105" s="12" t="s">
        <v>1002</v>
      </c>
      <c r="AO105" s="12" t="s">
        <v>182</v>
      </c>
      <c r="AP105" s="14">
        <v>5</v>
      </c>
      <c r="AQ105" s="16" t="s">
        <v>180</v>
      </c>
      <c r="AR105" s="12" t="s">
        <v>234</v>
      </c>
      <c r="AS105" s="12" t="s">
        <v>184</v>
      </c>
      <c r="AT105" s="12" t="s">
        <v>1003</v>
      </c>
      <c r="AU105" s="12" t="s">
        <v>1004</v>
      </c>
      <c r="AV105" s="12" t="s">
        <v>1005</v>
      </c>
      <c r="AW105" s="12" t="s">
        <v>1006</v>
      </c>
      <c r="AX105" s="12" t="s">
        <v>1007</v>
      </c>
      <c r="AY105" s="12" t="s">
        <v>526</v>
      </c>
    </row>
    <row r="106" spans="1:51">
      <c r="A106" s="12" t="s">
        <v>1008</v>
      </c>
      <c r="B106" s="12" t="s">
        <v>1009</v>
      </c>
      <c r="C106" s="12" t="s">
        <v>469</v>
      </c>
      <c r="D106" s="24" t="s">
        <v>180</v>
      </c>
      <c r="E106" s="16" t="s">
        <v>178</v>
      </c>
      <c r="F106" s="12" t="s">
        <v>586</v>
      </c>
      <c r="G106" s="14">
        <v>24</v>
      </c>
      <c r="H106" s="14">
        <v>0</v>
      </c>
      <c r="I106" s="14">
        <v>0</v>
      </c>
      <c r="J106" s="14">
        <v>12</v>
      </c>
      <c r="K106" s="14">
        <v>12</v>
      </c>
      <c r="L106" s="14">
        <v>0</v>
      </c>
      <c r="M106" s="12" t="s">
        <v>754</v>
      </c>
      <c r="N106" s="24" t="s">
        <v>351</v>
      </c>
      <c r="O106" s="12" t="s">
        <v>352</v>
      </c>
      <c r="P106" s="12" t="s">
        <v>380</v>
      </c>
      <c r="Q106" s="16" t="s">
        <v>178</v>
      </c>
      <c r="R106" s="19"/>
      <c r="S106" s="20"/>
      <c r="T106" s="20"/>
      <c r="U106" s="20"/>
      <c r="V106" s="21">
        <f>IF(U106="","",U106*'0. Premissas (editável)'!$C$7*'0. Premissas (editável)'!$C$8)</f>
        <v>0</v>
      </c>
      <c r="W106" s="22">
        <f>IF(OR(S106="",V106=""),"",(S106-V106)/S106)</f>
        <v>0</v>
      </c>
      <c r="X106" s="23">
        <f>IF(W106="","preencher",IF(W106&gt;='0. Premissas (editável)'!$C$9,"Viável",IF(W106&gt;='0. Premissas (editável)'!$C$10,"Marginal","Inviável")))</f>
        <v>0</v>
      </c>
      <c r="Y106" s="23">
        <f>IF(R106="","preencher",IF(R106&gt;='0. Premissas (editável)'!$C$11,"PASSA","NÃO PASSA"))</f>
        <v>0</v>
      </c>
      <c r="Z106" s="23">
        <f>IF(AND(R106="",S106=""),"Preencher IQVIA",IF(AND(R106&lt;&gt;"",R106&lt;'0. Premissas (editável)'!$C$11),"NÃO — mercado abaixo do corte",IF(X106="Inviável","NÃO — economia não fecha",IF(D106="NÃO","NÃO — vetada na triagem",IF(X106="Marginal","REAVALIAR — margem apertada","SIM")))))</f>
        <v>0</v>
      </c>
      <c r="AA106" s="12" t="s">
        <v>353</v>
      </c>
      <c r="AB106" s="12" t="s">
        <v>1008</v>
      </c>
      <c r="AC106" s="12" t="s">
        <v>101</v>
      </c>
      <c r="AD106" s="12" t="s">
        <v>174</v>
      </c>
      <c r="AE106" s="12" t="s">
        <v>273</v>
      </c>
      <c r="AF106" s="12" t="s">
        <v>243</v>
      </c>
      <c r="AG106" s="12" t="s">
        <v>180</v>
      </c>
      <c r="AH106" s="16" t="s">
        <v>180</v>
      </c>
      <c r="AI106" s="14">
        <v>1</v>
      </c>
      <c r="AJ106" s="14">
        <v>1</v>
      </c>
      <c r="AK106" s="12" t="s">
        <v>1010</v>
      </c>
      <c r="AL106" s="12" t="s">
        <v>245</v>
      </c>
      <c r="AM106" s="12" t="s">
        <v>246</v>
      </c>
      <c r="AN106" s="12" t="s">
        <v>1011</v>
      </c>
      <c r="AO106" s="12" t="s">
        <v>182</v>
      </c>
      <c r="AP106" s="14">
        <v>7</v>
      </c>
      <c r="AQ106" s="15" t="s">
        <v>174</v>
      </c>
      <c r="AR106" s="12" t="s">
        <v>234</v>
      </c>
      <c r="AS106" s="12" t="s">
        <v>1012</v>
      </c>
      <c r="AT106" s="12" t="s">
        <v>1013</v>
      </c>
      <c r="AU106" s="12" t="s">
        <v>1014</v>
      </c>
      <c r="AV106" s="12" t="s">
        <v>1015</v>
      </c>
      <c r="AW106" s="12" t="s">
        <v>1016</v>
      </c>
      <c r="AX106" s="12" t="s">
        <v>1017</v>
      </c>
      <c r="AY106" s="12" t="s">
        <v>616</v>
      </c>
    </row>
    <row r="107" spans="1:51">
      <c r="A107" s="12" t="s">
        <v>1018</v>
      </c>
      <c r="B107" s="12" t="s">
        <v>1019</v>
      </c>
      <c r="C107" s="12" t="s">
        <v>173</v>
      </c>
      <c r="D107" s="24" t="s">
        <v>180</v>
      </c>
      <c r="E107" s="16" t="s">
        <v>178</v>
      </c>
      <c r="F107" s="12" t="s">
        <v>619</v>
      </c>
      <c r="G107" s="14">
        <v>24</v>
      </c>
      <c r="H107" s="14">
        <v>0</v>
      </c>
      <c r="I107" s="14">
        <v>0</v>
      </c>
      <c r="J107" s="14">
        <v>14</v>
      </c>
      <c r="K107" s="14">
        <v>2</v>
      </c>
      <c r="L107" s="14">
        <v>8</v>
      </c>
      <c r="M107" s="12" t="s">
        <v>754</v>
      </c>
      <c r="N107" s="24" t="s">
        <v>351</v>
      </c>
      <c r="O107" s="12" t="s">
        <v>176</v>
      </c>
      <c r="P107" s="12" t="s">
        <v>380</v>
      </c>
      <c r="Q107" s="16" t="s">
        <v>178</v>
      </c>
      <c r="R107" s="19"/>
      <c r="S107" s="20"/>
      <c r="T107" s="20"/>
      <c r="U107" s="20"/>
      <c r="V107" s="21">
        <f>IF(U107="","",U107*'0. Premissas (editável)'!$C$7*'0. Premissas (editável)'!$C$8)</f>
        <v>0</v>
      </c>
      <c r="W107" s="22">
        <f>IF(OR(S107="",V107=""),"",(S107-V107)/S107)</f>
        <v>0</v>
      </c>
      <c r="X107" s="23">
        <f>IF(W107="","preencher",IF(W107&gt;='0. Premissas (editável)'!$C$9,"Viável",IF(W107&gt;='0. Premissas (editável)'!$C$10,"Marginal","Inviável")))</f>
        <v>0</v>
      </c>
      <c r="Y107" s="23">
        <f>IF(R107="","preencher",IF(R107&gt;='0. Premissas (editável)'!$C$11,"PASSA","NÃO PASSA"))</f>
        <v>0</v>
      </c>
      <c r="Z107" s="23">
        <f>IF(AND(R107="",S107=""),"Preencher IQVIA",IF(AND(R107&lt;&gt;"",R107&lt;'0. Premissas (editável)'!$C$11),"NÃO — mercado abaixo do corte",IF(X107="Inviável","NÃO — economia não fecha",IF(D107="NÃO","NÃO — vetada na triagem",IF(X107="Marginal","REAVALIAR — margem apertada","SIM")))))</f>
        <v>0</v>
      </c>
      <c r="AA107" s="12" t="s">
        <v>179</v>
      </c>
      <c r="AB107" s="12"/>
      <c r="AC107" s="12" t="s">
        <v>91</v>
      </c>
      <c r="AD107" s="12" t="s">
        <v>180</v>
      </c>
      <c r="AE107" s="12" t="s">
        <v>178</v>
      </c>
      <c r="AF107" s="12" t="s">
        <v>181</v>
      </c>
      <c r="AG107" s="12" t="s">
        <v>180</v>
      </c>
      <c r="AH107" s="16" t="s">
        <v>180</v>
      </c>
      <c r="AI107" s="14">
        <v>0</v>
      </c>
      <c r="AJ107" s="14">
        <v>0</v>
      </c>
      <c r="AK107" s="12"/>
      <c r="AL107" s="12"/>
      <c r="AM107" s="12"/>
      <c r="AN107" s="12"/>
      <c r="AO107" s="12" t="s">
        <v>201</v>
      </c>
      <c r="AP107" s="14">
        <v>5</v>
      </c>
      <c r="AQ107" s="16" t="s">
        <v>180</v>
      </c>
      <c r="AR107" s="12" t="s">
        <v>1020</v>
      </c>
      <c r="AS107" s="12" t="s">
        <v>1021</v>
      </c>
      <c r="AT107" s="12" t="s">
        <v>848</v>
      </c>
      <c r="AU107" s="12" t="s">
        <v>1022</v>
      </c>
      <c r="AV107" s="12" t="s">
        <v>1023</v>
      </c>
      <c r="AW107" s="12" t="s">
        <v>533</v>
      </c>
      <c r="AX107" s="12" t="s">
        <v>788</v>
      </c>
      <c r="AY107" s="12" t="s">
        <v>526</v>
      </c>
    </row>
    <row r="108" spans="1:51">
      <c r="A108" s="12" t="s">
        <v>1024</v>
      </c>
      <c r="B108" s="12" t="s">
        <v>1025</v>
      </c>
      <c r="C108" s="12" t="s">
        <v>378</v>
      </c>
      <c r="D108" s="24" t="s">
        <v>180</v>
      </c>
      <c r="E108" s="16" t="s">
        <v>178</v>
      </c>
      <c r="F108" s="12" t="s">
        <v>619</v>
      </c>
      <c r="G108" s="14">
        <v>24</v>
      </c>
      <c r="H108" s="14">
        <v>0</v>
      </c>
      <c r="I108" s="14">
        <v>0</v>
      </c>
      <c r="J108" s="14">
        <v>14</v>
      </c>
      <c r="K108" s="14">
        <v>2</v>
      </c>
      <c r="L108" s="14">
        <v>8</v>
      </c>
      <c r="M108" s="12" t="s">
        <v>754</v>
      </c>
      <c r="N108" s="24" t="s">
        <v>351</v>
      </c>
      <c r="O108" s="12" t="s">
        <v>176</v>
      </c>
      <c r="P108" s="12" t="s">
        <v>380</v>
      </c>
      <c r="Q108" s="16" t="s">
        <v>178</v>
      </c>
      <c r="R108" s="19"/>
      <c r="S108" s="20"/>
      <c r="T108" s="20"/>
      <c r="U108" s="20"/>
      <c r="V108" s="21">
        <f>IF(U108="","",U108*'0. Premissas (editável)'!$C$7*'0. Premissas (editável)'!$C$8)</f>
        <v>0</v>
      </c>
      <c r="W108" s="22">
        <f>IF(OR(S108="",V108=""),"",(S108-V108)/S108)</f>
        <v>0</v>
      </c>
      <c r="X108" s="23">
        <f>IF(W108="","preencher",IF(W108&gt;='0. Premissas (editável)'!$C$9,"Viável",IF(W108&gt;='0. Premissas (editável)'!$C$10,"Marginal","Inviável")))</f>
        <v>0</v>
      </c>
      <c r="Y108" s="23">
        <f>IF(R108="","preencher",IF(R108&gt;='0. Premissas (editável)'!$C$11,"PASSA","NÃO PASSA"))</f>
        <v>0</v>
      </c>
      <c r="Z108" s="23">
        <f>IF(AND(R108="",S108=""),"Preencher IQVIA",IF(AND(R108&lt;&gt;"",R108&lt;'0. Premissas (editável)'!$C$11),"NÃO — mercado abaixo do corte",IF(X108="Inviável","NÃO — economia não fecha",IF(D108="NÃO","NÃO — vetada na triagem",IF(X108="Marginal","REAVALIAR — margem apertada","SIM")))))</f>
        <v>0</v>
      </c>
      <c r="AA108" s="12" t="s">
        <v>179</v>
      </c>
      <c r="AB108" s="12"/>
      <c r="AC108" s="12" t="s">
        <v>91</v>
      </c>
      <c r="AD108" s="12" t="s">
        <v>180</v>
      </c>
      <c r="AE108" s="12" t="s">
        <v>178</v>
      </c>
      <c r="AF108" s="12" t="s">
        <v>181</v>
      </c>
      <c r="AG108" s="12" t="s">
        <v>180</v>
      </c>
      <c r="AH108" s="16" t="s">
        <v>180</v>
      </c>
      <c r="AI108" s="14">
        <v>0</v>
      </c>
      <c r="AJ108" s="14">
        <v>0</v>
      </c>
      <c r="AK108" s="12"/>
      <c r="AL108" s="12"/>
      <c r="AM108" s="12"/>
      <c r="AN108" s="12"/>
      <c r="AO108" s="12" t="s">
        <v>201</v>
      </c>
      <c r="AP108" s="14">
        <v>8</v>
      </c>
      <c r="AQ108" s="16" t="s">
        <v>180</v>
      </c>
      <c r="AR108" s="12" t="s">
        <v>1026</v>
      </c>
      <c r="AS108" s="12" t="s">
        <v>184</v>
      </c>
      <c r="AT108" s="12" t="s">
        <v>1027</v>
      </c>
      <c r="AU108" s="12" t="s">
        <v>1028</v>
      </c>
      <c r="AV108" s="12" t="s">
        <v>1029</v>
      </c>
      <c r="AW108" s="12" t="s">
        <v>1030</v>
      </c>
      <c r="AX108" s="12" t="s">
        <v>788</v>
      </c>
      <c r="AY108" s="12" t="s">
        <v>526</v>
      </c>
    </row>
    <row r="109" spans="1:51">
      <c r="A109" s="12" t="s">
        <v>1031</v>
      </c>
      <c r="B109" s="12" t="s">
        <v>1032</v>
      </c>
      <c r="C109" s="12" t="s">
        <v>292</v>
      </c>
      <c r="D109" s="24" t="s">
        <v>180</v>
      </c>
      <c r="E109" s="16" t="s">
        <v>178</v>
      </c>
      <c r="F109" s="12" t="s">
        <v>619</v>
      </c>
      <c r="G109" s="14">
        <v>23</v>
      </c>
      <c r="H109" s="14">
        <v>5</v>
      </c>
      <c r="I109" s="14">
        <v>4</v>
      </c>
      <c r="J109" s="14">
        <v>0</v>
      </c>
      <c r="K109" s="14">
        <v>6</v>
      </c>
      <c r="L109" s="14">
        <v>8</v>
      </c>
      <c r="M109" s="12" t="s">
        <v>119</v>
      </c>
      <c r="N109" s="24" t="s">
        <v>351</v>
      </c>
      <c r="O109" s="12" t="s">
        <v>1033</v>
      </c>
      <c r="P109" s="12" t="s">
        <v>380</v>
      </c>
      <c r="Q109" s="16" t="s">
        <v>178</v>
      </c>
      <c r="R109" s="19"/>
      <c r="S109" s="20"/>
      <c r="T109" s="20"/>
      <c r="U109" s="20"/>
      <c r="V109" s="21">
        <f>IF(U109="","",U109*'0. Premissas (editável)'!$C$7*'0. Premissas (editável)'!$C$8)</f>
        <v>0</v>
      </c>
      <c r="W109" s="22">
        <f>IF(OR(S109="",V109=""),"",(S109-V109)/S109)</f>
        <v>0</v>
      </c>
      <c r="X109" s="23">
        <f>IF(W109="","preencher",IF(W109&gt;='0. Premissas (editável)'!$C$9,"Viável",IF(W109&gt;='0. Premissas (editável)'!$C$10,"Marginal","Inviável")))</f>
        <v>0</v>
      </c>
      <c r="Y109" s="23">
        <f>IF(R109="","preencher",IF(R109&gt;='0. Premissas (editável)'!$C$11,"PASSA","NÃO PASSA"))</f>
        <v>0</v>
      </c>
      <c r="Z109" s="23">
        <f>IF(AND(R109="",S109=""),"Preencher IQVIA",IF(AND(R109&lt;&gt;"",R109&lt;'0. Premissas (editável)'!$C$11),"NÃO — mercado abaixo do corte",IF(X109="Inviável","NÃO — economia não fecha",IF(D109="NÃO","NÃO — vetada na triagem",IF(X109="Marginal","REAVALIAR — margem apertada","SIM")))))</f>
        <v>0</v>
      </c>
      <c r="AA109" s="12" t="s">
        <v>353</v>
      </c>
      <c r="AB109" s="12" t="s">
        <v>1034</v>
      </c>
      <c r="AC109" s="12" t="s">
        <v>91</v>
      </c>
      <c r="AD109" s="12" t="s">
        <v>180</v>
      </c>
      <c r="AE109" s="12" t="s">
        <v>178</v>
      </c>
      <c r="AF109" s="12" t="s">
        <v>181</v>
      </c>
      <c r="AG109" s="12" t="s">
        <v>180</v>
      </c>
      <c r="AH109" s="16" t="s">
        <v>180</v>
      </c>
      <c r="AI109" s="14">
        <v>0</v>
      </c>
      <c r="AJ109" s="14">
        <v>0</v>
      </c>
      <c r="AK109" s="12"/>
      <c r="AL109" s="12"/>
      <c r="AM109" s="12"/>
      <c r="AN109" s="12"/>
      <c r="AO109" s="12" t="s">
        <v>218</v>
      </c>
      <c r="AP109" s="14">
        <v>5</v>
      </c>
      <c r="AQ109" s="16" t="s">
        <v>180</v>
      </c>
      <c r="AR109" s="12" t="s">
        <v>1035</v>
      </c>
      <c r="AS109" s="12" t="s">
        <v>1036</v>
      </c>
      <c r="AT109" s="12" t="s">
        <v>699</v>
      </c>
      <c r="AU109" s="12" t="s">
        <v>1037</v>
      </c>
      <c r="AV109" s="12" t="s">
        <v>1038</v>
      </c>
      <c r="AW109" s="12" t="s">
        <v>443</v>
      </c>
      <c r="AX109" s="12" t="s">
        <v>1039</v>
      </c>
      <c r="AY109" s="12" t="s">
        <v>1040</v>
      </c>
    </row>
    <row r="110" spans="1:51">
      <c r="A110" s="12" t="s">
        <v>1041</v>
      </c>
      <c r="B110" s="12" t="s">
        <v>1042</v>
      </c>
      <c r="C110" s="12" t="s">
        <v>469</v>
      </c>
      <c r="D110" s="24" t="s">
        <v>180</v>
      </c>
      <c r="E110" s="16" t="s">
        <v>178</v>
      </c>
      <c r="F110" s="12" t="s">
        <v>619</v>
      </c>
      <c r="G110" s="14">
        <v>23</v>
      </c>
      <c r="H110" s="14">
        <v>0</v>
      </c>
      <c r="I110" s="14">
        <v>0</v>
      </c>
      <c r="J110" s="14">
        <v>20</v>
      </c>
      <c r="K110" s="14">
        <v>0</v>
      </c>
      <c r="L110" s="14">
        <v>3</v>
      </c>
      <c r="M110" s="12" t="s">
        <v>754</v>
      </c>
      <c r="N110" s="24" t="s">
        <v>351</v>
      </c>
      <c r="O110" s="12" t="s">
        <v>471</v>
      </c>
      <c r="P110" s="12" t="s">
        <v>380</v>
      </c>
      <c r="Q110" s="16" t="s">
        <v>178</v>
      </c>
      <c r="R110" s="19"/>
      <c r="S110" s="20"/>
      <c r="T110" s="20"/>
      <c r="U110" s="20"/>
      <c r="V110" s="21">
        <f>IF(U110="","",U110*'0. Premissas (editável)'!$C$7*'0. Premissas (editável)'!$C$8)</f>
        <v>0</v>
      </c>
      <c r="W110" s="22">
        <f>IF(OR(S110="",V110=""),"",(S110-V110)/S110)</f>
        <v>0</v>
      </c>
      <c r="X110" s="23">
        <f>IF(W110="","preencher",IF(W110&gt;='0. Premissas (editável)'!$C$9,"Viável",IF(W110&gt;='0. Premissas (editável)'!$C$10,"Marginal","Inviável")))</f>
        <v>0</v>
      </c>
      <c r="Y110" s="23">
        <f>IF(R110="","preencher",IF(R110&gt;='0. Premissas (editável)'!$C$11,"PASSA","NÃO PASSA"))</f>
        <v>0</v>
      </c>
      <c r="Z110" s="23">
        <f>IF(AND(R110="",S110=""),"Preencher IQVIA",IF(AND(R110&lt;&gt;"",R110&lt;'0. Premissas (editável)'!$C$11),"NÃO — mercado abaixo do corte",IF(X110="Inviável","NÃO — economia não fecha",IF(D110="NÃO","NÃO — vetada na triagem",IF(X110="Marginal","REAVALIAR — margem apertada","SIM")))))</f>
        <v>0</v>
      </c>
      <c r="AA110" s="12" t="s">
        <v>472</v>
      </c>
      <c r="AB110" s="12" t="s">
        <v>1041</v>
      </c>
      <c r="AC110" s="12" t="s">
        <v>108</v>
      </c>
      <c r="AD110" s="12" t="s">
        <v>174</v>
      </c>
      <c r="AE110" s="12" t="s">
        <v>273</v>
      </c>
      <c r="AF110" s="12" t="s">
        <v>274</v>
      </c>
      <c r="AG110" s="12" t="s">
        <v>180</v>
      </c>
      <c r="AH110" s="16" t="s">
        <v>180</v>
      </c>
      <c r="AI110" s="14">
        <v>1</v>
      </c>
      <c r="AJ110" s="14">
        <v>1</v>
      </c>
      <c r="AK110" s="12" t="s">
        <v>1043</v>
      </c>
      <c r="AL110" s="12" t="s">
        <v>305</v>
      </c>
      <c r="AM110" s="12" t="s">
        <v>537</v>
      </c>
      <c r="AN110" s="12" t="s">
        <v>1044</v>
      </c>
      <c r="AO110" s="12" t="s">
        <v>201</v>
      </c>
      <c r="AP110" s="14">
        <v>4</v>
      </c>
      <c r="AQ110" s="16" t="s">
        <v>180</v>
      </c>
      <c r="AR110" s="12" t="s">
        <v>1045</v>
      </c>
      <c r="AS110" s="12" t="s">
        <v>184</v>
      </c>
      <c r="AT110" s="12" t="s">
        <v>1046</v>
      </c>
      <c r="AU110" s="12" t="s">
        <v>1047</v>
      </c>
      <c r="AV110" s="12" t="s">
        <v>1048</v>
      </c>
      <c r="AW110" s="12" t="s">
        <v>543</v>
      </c>
      <c r="AX110" s="12" t="s">
        <v>1049</v>
      </c>
      <c r="AY110" s="12" t="s">
        <v>526</v>
      </c>
    </row>
    <row r="111" spans="1:51">
      <c r="A111" s="12" t="s">
        <v>1050</v>
      </c>
      <c r="B111" s="12" t="s">
        <v>1051</v>
      </c>
      <c r="C111" s="12" t="s">
        <v>378</v>
      </c>
      <c r="D111" s="24" t="s">
        <v>180</v>
      </c>
      <c r="E111" s="16" t="s">
        <v>178</v>
      </c>
      <c r="F111" s="12" t="s">
        <v>619</v>
      </c>
      <c r="G111" s="14">
        <v>22</v>
      </c>
      <c r="H111" s="14">
        <v>0</v>
      </c>
      <c r="I111" s="14">
        <v>0</v>
      </c>
      <c r="J111" s="14">
        <v>14</v>
      </c>
      <c r="K111" s="14">
        <v>0</v>
      </c>
      <c r="L111" s="14">
        <v>8</v>
      </c>
      <c r="M111" s="12" t="s">
        <v>754</v>
      </c>
      <c r="N111" s="24" t="s">
        <v>351</v>
      </c>
      <c r="O111" s="12" t="s">
        <v>176</v>
      </c>
      <c r="P111" s="12" t="s">
        <v>380</v>
      </c>
      <c r="Q111" s="16" t="s">
        <v>178</v>
      </c>
      <c r="R111" s="19"/>
      <c r="S111" s="20"/>
      <c r="T111" s="20"/>
      <c r="U111" s="20"/>
      <c r="V111" s="21">
        <f>IF(U111="","",U111*'0. Premissas (editável)'!$C$7*'0. Premissas (editável)'!$C$8)</f>
        <v>0</v>
      </c>
      <c r="W111" s="22">
        <f>IF(OR(S111="",V111=""),"",(S111-V111)/S111)</f>
        <v>0</v>
      </c>
      <c r="X111" s="23">
        <f>IF(W111="","preencher",IF(W111&gt;='0. Premissas (editável)'!$C$9,"Viável",IF(W111&gt;='0. Premissas (editável)'!$C$10,"Marginal","Inviável")))</f>
        <v>0</v>
      </c>
      <c r="Y111" s="23">
        <f>IF(R111="","preencher",IF(R111&gt;='0. Premissas (editável)'!$C$11,"PASSA","NÃO PASSA"))</f>
        <v>0</v>
      </c>
      <c r="Z111" s="23">
        <f>IF(AND(R111="",S111=""),"Preencher IQVIA",IF(AND(R111&lt;&gt;"",R111&lt;'0. Premissas (editável)'!$C$11),"NÃO — mercado abaixo do corte",IF(X111="Inviável","NÃO — economia não fecha",IF(D111="NÃO","NÃO — vetada na triagem",IF(X111="Marginal","REAVALIAR — margem apertada","SIM")))))</f>
        <v>0</v>
      </c>
      <c r="AA111" s="12" t="s">
        <v>179</v>
      </c>
      <c r="AB111" s="12"/>
      <c r="AC111" s="12" t="s">
        <v>91</v>
      </c>
      <c r="AD111" s="12" t="s">
        <v>180</v>
      </c>
      <c r="AE111" s="12" t="s">
        <v>178</v>
      </c>
      <c r="AF111" s="12" t="s">
        <v>181</v>
      </c>
      <c r="AG111" s="12" t="s">
        <v>180</v>
      </c>
      <c r="AH111" s="16" t="s">
        <v>180</v>
      </c>
      <c r="AI111" s="14">
        <v>0</v>
      </c>
      <c r="AJ111" s="14">
        <v>0</v>
      </c>
      <c r="AK111" s="12"/>
      <c r="AL111" s="12"/>
      <c r="AM111" s="12"/>
      <c r="AN111" s="12"/>
      <c r="AO111" s="12" t="s">
        <v>201</v>
      </c>
      <c r="AP111" s="14">
        <v>1</v>
      </c>
      <c r="AQ111" s="16" t="s">
        <v>180</v>
      </c>
      <c r="AR111" s="12" t="s">
        <v>234</v>
      </c>
      <c r="AS111" s="12" t="s">
        <v>184</v>
      </c>
      <c r="AT111" s="12" t="s">
        <v>923</v>
      </c>
      <c r="AU111" s="12" t="s">
        <v>1052</v>
      </c>
      <c r="AV111" s="12" t="s">
        <v>1053</v>
      </c>
      <c r="AW111" s="12" t="s">
        <v>435</v>
      </c>
      <c r="AX111" s="12" t="s">
        <v>788</v>
      </c>
      <c r="AY111" s="12" t="s">
        <v>526</v>
      </c>
    </row>
    <row r="112" spans="1:51">
      <c r="A112" s="12" t="s">
        <v>1054</v>
      </c>
      <c r="B112" s="12" t="s">
        <v>1055</v>
      </c>
      <c r="C112" s="12" t="s">
        <v>378</v>
      </c>
      <c r="D112" s="24" t="s">
        <v>180</v>
      </c>
      <c r="E112" s="16" t="s">
        <v>178</v>
      </c>
      <c r="F112" s="12" t="s">
        <v>619</v>
      </c>
      <c r="G112" s="14">
        <v>22</v>
      </c>
      <c r="H112" s="14">
        <v>0</v>
      </c>
      <c r="I112" s="14">
        <v>0</v>
      </c>
      <c r="J112" s="14">
        <v>14</v>
      </c>
      <c r="K112" s="14">
        <v>0</v>
      </c>
      <c r="L112" s="14">
        <v>8</v>
      </c>
      <c r="M112" s="12" t="s">
        <v>754</v>
      </c>
      <c r="N112" s="24" t="s">
        <v>351</v>
      </c>
      <c r="O112" s="12" t="s">
        <v>176</v>
      </c>
      <c r="P112" s="12" t="s">
        <v>380</v>
      </c>
      <c r="Q112" s="16" t="s">
        <v>178</v>
      </c>
      <c r="R112" s="19"/>
      <c r="S112" s="20"/>
      <c r="T112" s="20"/>
      <c r="U112" s="20"/>
      <c r="V112" s="21">
        <f>IF(U112="","",U112*'0. Premissas (editável)'!$C$7*'0. Premissas (editável)'!$C$8)</f>
        <v>0</v>
      </c>
      <c r="W112" s="22">
        <f>IF(OR(S112="",V112=""),"",(S112-V112)/S112)</f>
        <v>0</v>
      </c>
      <c r="X112" s="23">
        <f>IF(W112="","preencher",IF(W112&gt;='0. Premissas (editável)'!$C$9,"Viável",IF(W112&gt;='0. Premissas (editável)'!$C$10,"Marginal","Inviável")))</f>
        <v>0</v>
      </c>
      <c r="Y112" s="23">
        <f>IF(R112="","preencher",IF(R112&gt;='0. Premissas (editável)'!$C$11,"PASSA","NÃO PASSA"))</f>
        <v>0</v>
      </c>
      <c r="Z112" s="23">
        <f>IF(AND(R112="",S112=""),"Preencher IQVIA",IF(AND(R112&lt;&gt;"",R112&lt;'0. Premissas (editável)'!$C$11),"NÃO — mercado abaixo do corte",IF(X112="Inviável","NÃO — economia não fecha",IF(D112="NÃO","NÃO — vetada na triagem",IF(X112="Marginal","REAVALIAR — margem apertada","SIM")))))</f>
        <v>0</v>
      </c>
      <c r="AA112" s="12" t="s">
        <v>179</v>
      </c>
      <c r="AB112" s="12"/>
      <c r="AC112" s="12" t="s">
        <v>91</v>
      </c>
      <c r="AD112" s="12" t="s">
        <v>180</v>
      </c>
      <c r="AE112" s="12" t="s">
        <v>178</v>
      </c>
      <c r="AF112" s="12" t="s">
        <v>181</v>
      </c>
      <c r="AG112" s="12" t="s">
        <v>180</v>
      </c>
      <c r="AH112" s="16" t="s">
        <v>180</v>
      </c>
      <c r="AI112" s="14">
        <v>0</v>
      </c>
      <c r="AJ112" s="14">
        <v>0</v>
      </c>
      <c r="AK112" s="12"/>
      <c r="AL112" s="12"/>
      <c r="AM112" s="12"/>
      <c r="AN112" s="12"/>
      <c r="AO112" s="12" t="s">
        <v>201</v>
      </c>
      <c r="AP112" s="14">
        <v>2</v>
      </c>
      <c r="AQ112" s="16" t="s">
        <v>180</v>
      </c>
      <c r="AR112" s="12" t="s">
        <v>234</v>
      </c>
      <c r="AS112" s="12" t="s">
        <v>184</v>
      </c>
      <c r="AT112" s="12" t="s">
        <v>383</v>
      </c>
      <c r="AU112" s="12" t="s">
        <v>1056</v>
      </c>
      <c r="AV112" s="12" t="s">
        <v>1057</v>
      </c>
      <c r="AW112" s="12" t="s">
        <v>267</v>
      </c>
      <c r="AX112" s="12" t="s">
        <v>788</v>
      </c>
      <c r="AY112" s="12" t="s">
        <v>526</v>
      </c>
    </row>
    <row r="113" spans="1:51">
      <c r="A113" s="12" t="s">
        <v>1058</v>
      </c>
      <c r="B113" s="12" t="s">
        <v>1059</v>
      </c>
      <c r="C113" s="12" t="s">
        <v>217</v>
      </c>
      <c r="D113" s="24" t="s">
        <v>180</v>
      </c>
      <c r="E113" s="16" t="s">
        <v>178</v>
      </c>
      <c r="F113" s="12" t="s">
        <v>619</v>
      </c>
      <c r="G113" s="14">
        <v>22</v>
      </c>
      <c r="H113" s="14">
        <v>0</v>
      </c>
      <c r="I113" s="14">
        <v>0</v>
      </c>
      <c r="J113" s="14">
        <v>14</v>
      </c>
      <c r="K113" s="14">
        <v>0</v>
      </c>
      <c r="L113" s="14">
        <v>8</v>
      </c>
      <c r="M113" s="12" t="s">
        <v>754</v>
      </c>
      <c r="N113" s="24" t="s">
        <v>351</v>
      </c>
      <c r="O113" s="12" t="s">
        <v>176</v>
      </c>
      <c r="P113" s="12" t="s">
        <v>380</v>
      </c>
      <c r="Q113" s="16" t="s">
        <v>178</v>
      </c>
      <c r="R113" s="19"/>
      <c r="S113" s="20"/>
      <c r="T113" s="20"/>
      <c r="U113" s="20"/>
      <c r="V113" s="21">
        <f>IF(U113="","",U113*'0. Premissas (editável)'!$C$7*'0. Premissas (editável)'!$C$8)</f>
        <v>0</v>
      </c>
      <c r="W113" s="22">
        <f>IF(OR(S113="",V113=""),"",(S113-V113)/S113)</f>
        <v>0</v>
      </c>
      <c r="X113" s="23">
        <f>IF(W113="","preencher",IF(W113&gt;='0. Premissas (editável)'!$C$9,"Viável",IF(W113&gt;='0. Premissas (editável)'!$C$10,"Marginal","Inviável")))</f>
        <v>0</v>
      </c>
      <c r="Y113" s="23">
        <f>IF(R113="","preencher",IF(R113&gt;='0. Premissas (editável)'!$C$11,"PASSA","NÃO PASSA"))</f>
        <v>0</v>
      </c>
      <c r="Z113" s="23">
        <f>IF(AND(R113="",S113=""),"Preencher IQVIA",IF(AND(R113&lt;&gt;"",R113&lt;'0. Premissas (editável)'!$C$11),"NÃO — mercado abaixo do corte",IF(X113="Inviável","NÃO — economia não fecha",IF(D113="NÃO","NÃO — vetada na triagem",IF(X113="Marginal","REAVALIAR — margem apertada","SIM")))))</f>
        <v>0</v>
      </c>
      <c r="AA113" s="12" t="s">
        <v>179</v>
      </c>
      <c r="AB113" s="12"/>
      <c r="AC113" s="12" t="s">
        <v>91</v>
      </c>
      <c r="AD113" s="12" t="s">
        <v>180</v>
      </c>
      <c r="AE113" s="12" t="s">
        <v>178</v>
      </c>
      <c r="AF113" s="12" t="s">
        <v>181</v>
      </c>
      <c r="AG113" s="12" t="s">
        <v>180</v>
      </c>
      <c r="AH113" s="16" t="s">
        <v>180</v>
      </c>
      <c r="AI113" s="14">
        <v>0</v>
      </c>
      <c r="AJ113" s="14">
        <v>0</v>
      </c>
      <c r="AK113" s="12"/>
      <c r="AL113" s="12"/>
      <c r="AM113" s="12"/>
      <c r="AN113" s="12"/>
      <c r="AO113" s="12" t="s">
        <v>201</v>
      </c>
      <c r="AP113" s="14">
        <v>2</v>
      </c>
      <c r="AQ113" s="16" t="s">
        <v>180</v>
      </c>
      <c r="AR113" s="12" t="s">
        <v>1060</v>
      </c>
      <c r="AS113" s="12" t="s">
        <v>184</v>
      </c>
      <c r="AT113" s="12" t="s">
        <v>917</v>
      </c>
      <c r="AU113" s="12" t="s">
        <v>1061</v>
      </c>
      <c r="AV113" s="12" t="s">
        <v>1062</v>
      </c>
      <c r="AW113" s="12" t="s">
        <v>772</v>
      </c>
      <c r="AX113" s="12" t="s">
        <v>788</v>
      </c>
      <c r="AY113" s="12" t="s">
        <v>526</v>
      </c>
    </row>
    <row r="114" spans="1:51">
      <c r="A114" s="12" t="s">
        <v>1063</v>
      </c>
      <c r="B114" s="12" t="s">
        <v>1064</v>
      </c>
      <c r="C114" s="12" t="s">
        <v>173</v>
      </c>
      <c r="D114" s="24" t="s">
        <v>180</v>
      </c>
      <c r="E114" s="16" t="s">
        <v>178</v>
      </c>
      <c r="F114" s="12" t="s">
        <v>619</v>
      </c>
      <c r="G114" s="14">
        <v>22</v>
      </c>
      <c r="H114" s="14">
        <v>5</v>
      </c>
      <c r="I114" s="14">
        <v>0</v>
      </c>
      <c r="J114" s="14">
        <v>14</v>
      </c>
      <c r="K114" s="14">
        <v>0</v>
      </c>
      <c r="L114" s="14">
        <v>3</v>
      </c>
      <c r="M114" s="12" t="s">
        <v>119</v>
      </c>
      <c r="N114" s="24" t="s">
        <v>351</v>
      </c>
      <c r="O114" s="12" t="s">
        <v>176</v>
      </c>
      <c r="P114" s="12" t="s">
        <v>380</v>
      </c>
      <c r="Q114" s="16" t="s">
        <v>178</v>
      </c>
      <c r="R114" s="19"/>
      <c r="S114" s="20"/>
      <c r="T114" s="20"/>
      <c r="U114" s="20"/>
      <c r="V114" s="21">
        <f>IF(U114="","",U114*'0. Premissas (editável)'!$C$7*'0. Premissas (editável)'!$C$8)</f>
        <v>0</v>
      </c>
      <c r="W114" s="22">
        <f>IF(OR(S114="",V114=""),"",(S114-V114)/S114)</f>
        <v>0</v>
      </c>
      <c r="X114" s="23">
        <f>IF(W114="","preencher",IF(W114&gt;='0. Premissas (editável)'!$C$9,"Viável",IF(W114&gt;='0. Premissas (editável)'!$C$10,"Marginal","Inviável")))</f>
        <v>0</v>
      </c>
      <c r="Y114" s="23">
        <f>IF(R114="","preencher",IF(R114&gt;='0. Premissas (editável)'!$C$11,"PASSA","NÃO PASSA"))</f>
        <v>0</v>
      </c>
      <c r="Z114" s="23">
        <f>IF(AND(R114="",S114=""),"Preencher IQVIA",IF(AND(R114&lt;&gt;"",R114&lt;'0. Premissas (editável)'!$C$11),"NÃO — mercado abaixo do corte",IF(X114="Inviável","NÃO — economia não fecha",IF(D114="NÃO","NÃO — vetada na triagem",IF(X114="Marginal","REAVALIAR — margem apertada","SIM")))))</f>
        <v>0</v>
      </c>
      <c r="AA114" s="12" t="s">
        <v>179</v>
      </c>
      <c r="AB114" s="12"/>
      <c r="AC114" s="12" t="s">
        <v>108</v>
      </c>
      <c r="AD114" s="12" t="s">
        <v>174</v>
      </c>
      <c r="AE114" s="12" t="s">
        <v>242</v>
      </c>
      <c r="AF114" s="12" t="s">
        <v>274</v>
      </c>
      <c r="AG114" s="12" t="s">
        <v>180</v>
      </c>
      <c r="AH114" s="16" t="s">
        <v>180</v>
      </c>
      <c r="AI114" s="14">
        <v>1</v>
      </c>
      <c r="AJ114" s="14">
        <v>1</v>
      </c>
      <c r="AK114" s="12" t="s">
        <v>1065</v>
      </c>
      <c r="AL114" s="12" t="s">
        <v>305</v>
      </c>
      <c r="AM114" s="12" t="s">
        <v>306</v>
      </c>
      <c r="AN114" s="12" t="s">
        <v>1066</v>
      </c>
      <c r="AO114" s="12" t="s">
        <v>201</v>
      </c>
      <c r="AP114" s="14">
        <v>2</v>
      </c>
      <c r="AQ114" s="16" t="s">
        <v>180</v>
      </c>
      <c r="AR114" s="12" t="s">
        <v>1067</v>
      </c>
      <c r="AS114" s="12" t="s">
        <v>184</v>
      </c>
      <c r="AT114" s="12" t="s">
        <v>903</v>
      </c>
      <c r="AU114" s="12" t="s">
        <v>1068</v>
      </c>
      <c r="AV114" s="12" t="s">
        <v>1069</v>
      </c>
      <c r="AW114" s="12" t="s">
        <v>772</v>
      </c>
      <c r="AX114" s="12" t="s">
        <v>998</v>
      </c>
      <c r="AY114" s="12" t="s">
        <v>526</v>
      </c>
    </row>
    <row r="115" spans="1:51">
      <c r="A115" s="12" t="s">
        <v>1070</v>
      </c>
      <c r="B115" s="12" t="s">
        <v>1071</v>
      </c>
      <c r="C115" s="12" t="s">
        <v>173</v>
      </c>
      <c r="D115" s="24" t="s">
        <v>180</v>
      </c>
      <c r="E115" s="16" t="s">
        <v>178</v>
      </c>
      <c r="F115" s="12" t="s">
        <v>619</v>
      </c>
      <c r="G115" s="14">
        <v>22</v>
      </c>
      <c r="H115" s="14">
        <v>0</v>
      </c>
      <c r="I115" s="14">
        <v>0</v>
      </c>
      <c r="J115" s="14">
        <v>14</v>
      </c>
      <c r="K115" s="14">
        <v>0</v>
      </c>
      <c r="L115" s="14">
        <v>8</v>
      </c>
      <c r="M115" s="12" t="s">
        <v>754</v>
      </c>
      <c r="N115" s="24" t="s">
        <v>351</v>
      </c>
      <c r="O115" s="12" t="s">
        <v>176</v>
      </c>
      <c r="P115" s="12" t="s">
        <v>380</v>
      </c>
      <c r="Q115" s="16" t="s">
        <v>178</v>
      </c>
      <c r="R115" s="19"/>
      <c r="S115" s="20"/>
      <c r="T115" s="20"/>
      <c r="U115" s="20"/>
      <c r="V115" s="21">
        <f>IF(U115="","",U115*'0. Premissas (editável)'!$C$7*'0. Premissas (editável)'!$C$8)</f>
        <v>0</v>
      </c>
      <c r="W115" s="22">
        <f>IF(OR(S115="",V115=""),"",(S115-V115)/S115)</f>
        <v>0</v>
      </c>
      <c r="X115" s="23">
        <f>IF(W115="","preencher",IF(W115&gt;='0. Premissas (editável)'!$C$9,"Viável",IF(W115&gt;='0. Premissas (editável)'!$C$10,"Marginal","Inviável")))</f>
        <v>0</v>
      </c>
      <c r="Y115" s="23">
        <f>IF(R115="","preencher",IF(R115&gt;='0. Premissas (editável)'!$C$11,"PASSA","NÃO PASSA"))</f>
        <v>0</v>
      </c>
      <c r="Z115" s="23">
        <f>IF(AND(R115="",S115=""),"Preencher IQVIA",IF(AND(R115&lt;&gt;"",R115&lt;'0. Premissas (editável)'!$C$11),"NÃO — mercado abaixo do corte",IF(X115="Inviável","NÃO — economia não fecha",IF(D115="NÃO","NÃO — vetada na triagem",IF(X115="Marginal","REAVALIAR — margem apertada","SIM")))))</f>
        <v>0</v>
      </c>
      <c r="AA115" s="12" t="s">
        <v>179</v>
      </c>
      <c r="AB115" s="12"/>
      <c r="AC115" s="12" t="s">
        <v>91</v>
      </c>
      <c r="AD115" s="12" t="s">
        <v>180</v>
      </c>
      <c r="AE115" s="12" t="s">
        <v>178</v>
      </c>
      <c r="AF115" s="12" t="s">
        <v>181</v>
      </c>
      <c r="AG115" s="12" t="s">
        <v>180</v>
      </c>
      <c r="AH115" s="16" t="s">
        <v>180</v>
      </c>
      <c r="AI115" s="14">
        <v>0</v>
      </c>
      <c r="AJ115" s="14">
        <v>0</v>
      </c>
      <c r="AK115" s="12"/>
      <c r="AL115" s="12"/>
      <c r="AM115" s="12"/>
      <c r="AN115" s="12"/>
      <c r="AO115" s="12" t="s">
        <v>201</v>
      </c>
      <c r="AP115" s="14">
        <v>2</v>
      </c>
      <c r="AQ115" s="16" t="s">
        <v>180</v>
      </c>
      <c r="AR115" s="12" t="s">
        <v>234</v>
      </c>
      <c r="AS115" s="12" t="s">
        <v>184</v>
      </c>
      <c r="AT115" s="12" t="s">
        <v>1072</v>
      </c>
      <c r="AU115" s="12" t="s">
        <v>1073</v>
      </c>
      <c r="AV115" s="12" t="s">
        <v>1074</v>
      </c>
      <c r="AW115" s="12" t="s">
        <v>329</v>
      </c>
      <c r="AX115" s="12" t="s">
        <v>788</v>
      </c>
      <c r="AY115" s="12" t="s">
        <v>526</v>
      </c>
    </row>
    <row r="116" spans="1:51">
      <c r="A116" s="12" t="s">
        <v>1075</v>
      </c>
      <c r="B116" s="12" t="s">
        <v>1076</v>
      </c>
      <c r="C116" s="12" t="s">
        <v>344</v>
      </c>
      <c r="D116" s="24" t="s">
        <v>180</v>
      </c>
      <c r="E116" s="16" t="s">
        <v>178</v>
      </c>
      <c r="F116" s="12" t="s">
        <v>619</v>
      </c>
      <c r="G116" s="14">
        <v>22</v>
      </c>
      <c r="H116" s="14">
        <v>0</v>
      </c>
      <c r="I116" s="14">
        <v>0</v>
      </c>
      <c r="J116" s="14">
        <v>14</v>
      </c>
      <c r="K116" s="14">
        <v>0</v>
      </c>
      <c r="L116" s="14">
        <v>8</v>
      </c>
      <c r="M116" s="12" t="s">
        <v>754</v>
      </c>
      <c r="N116" s="24" t="s">
        <v>351</v>
      </c>
      <c r="O116" s="12" t="s">
        <v>176</v>
      </c>
      <c r="P116" s="12" t="s">
        <v>380</v>
      </c>
      <c r="Q116" s="16" t="s">
        <v>178</v>
      </c>
      <c r="R116" s="19"/>
      <c r="S116" s="20"/>
      <c r="T116" s="20"/>
      <c r="U116" s="20"/>
      <c r="V116" s="21">
        <f>IF(U116="","",U116*'0. Premissas (editável)'!$C$7*'0. Premissas (editável)'!$C$8)</f>
        <v>0</v>
      </c>
      <c r="W116" s="22">
        <f>IF(OR(S116="",V116=""),"",(S116-V116)/S116)</f>
        <v>0</v>
      </c>
      <c r="X116" s="23">
        <f>IF(W116="","preencher",IF(W116&gt;='0. Premissas (editável)'!$C$9,"Viável",IF(W116&gt;='0. Premissas (editável)'!$C$10,"Marginal","Inviável")))</f>
        <v>0</v>
      </c>
      <c r="Y116" s="23">
        <f>IF(R116="","preencher",IF(R116&gt;='0. Premissas (editável)'!$C$11,"PASSA","NÃO PASSA"))</f>
        <v>0</v>
      </c>
      <c r="Z116" s="23">
        <f>IF(AND(R116="",S116=""),"Preencher IQVIA",IF(AND(R116&lt;&gt;"",R116&lt;'0. Premissas (editável)'!$C$11),"NÃO — mercado abaixo do corte",IF(X116="Inviável","NÃO — economia não fecha",IF(D116="NÃO","NÃO — vetada na triagem",IF(X116="Marginal","REAVALIAR — margem apertada","SIM")))))</f>
        <v>0</v>
      </c>
      <c r="AA116" s="12" t="s">
        <v>179</v>
      </c>
      <c r="AB116" s="12"/>
      <c r="AC116" s="12" t="s">
        <v>91</v>
      </c>
      <c r="AD116" s="12" t="s">
        <v>180</v>
      </c>
      <c r="AE116" s="12" t="s">
        <v>178</v>
      </c>
      <c r="AF116" s="12" t="s">
        <v>181</v>
      </c>
      <c r="AG116" s="12" t="s">
        <v>180</v>
      </c>
      <c r="AH116" s="16" t="s">
        <v>180</v>
      </c>
      <c r="AI116" s="14">
        <v>0</v>
      </c>
      <c r="AJ116" s="14">
        <v>0</v>
      </c>
      <c r="AK116" s="12"/>
      <c r="AL116" s="12"/>
      <c r="AM116" s="12"/>
      <c r="AN116" s="12"/>
      <c r="AO116" s="12" t="s">
        <v>201</v>
      </c>
      <c r="AP116" s="14">
        <v>1</v>
      </c>
      <c r="AQ116" s="16" t="s">
        <v>180</v>
      </c>
      <c r="AR116" s="12" t="s">
        <v>1077</v>
      </c>
      <c r="AS116" s="12" t="s">
        <v>184</v>
      </c>
      <c r="AT116" s="12" t="s">
        <v>1078</v>
      </c>
      <c r="AU116" s="12" t="s">
        <v>1079</v>
      </c>
      <c r="AV116" s="12" t="s">
        <v>1080</v>
      </c>
      <c r="AW116" s="12" t="s">
        <v>868</v>
      </c>
      <c r="AX116" s="12" t="s">
        <v>788</v>
      </c>
      <c r="AY116" s="12" t="s">
        <v>526</v>
      </c>
    </row>
    <row r="117" spans="1:51">
      <c r="A117" s="12" t="s">
        <v>1081</v>
      </c>
      <c r="B117" s="12" t="s">
        <v>1082</v>
      </c>
      <c r="C117" s="12" t="s">
        <v>378</v>
      </c>
      <c r="D117" s="24" t="s">
        <v>180</v>
      </c>
      <c r="E117" s="16" t="s">
        <v>178</v>
      </c>
      <c r="F117" s="12" t="s">
        <v>619</v>
      </c>
      <c r="G117" s="14">
        <v>22</v>
      </c>
      <c r="H117" s="14">
        <v>0</v>
      </c>
      <c r="I117" s="14">
        <v>0</v>
      </c>
      <c r="J117" s="14">
        <v>14</v>
      </c>
      <c r="K117" s="14">
        <v>0</v>
      </c>
      <c r="L117" s="14">
        <v>8</v>
      </c>
      <c r="M117" s="12" t="s">
        <v>754</v>
      </c>
      <c r="N117" s="24" t="s">
        <v>351</v>
      </c>
      <c r="O117" s="12" t="s">
        <v>176</v>
      </c>
      <c r="P117" s="12" t="s">
        <v>380</v>
      </c>
      <c r="Q117" s="16" t="s">
        <v>178</v>
      </c>
      <c r="R117" s="19"/>
      <c r="S117" s="20"/>
      <c r="T117" s="20"/>
      <c r="U117" s="20"/>
      <c r="V117" s="21">
        <f>IF(U117="","",U117*'0. Premissas (editável)'!$C$7*'0. Premissas (editável)'!$C$8)</f>
        <v>0</v>
      </c>
      <c r="W117" s="22">
        <f>IF(OR(S117="",V117=""),"",(S117-V117)/S117)</f>
        <v>0</v>
      </c>
      <c r="X117" s="23">
        <f>IF(W117="","preencher",IF(W117&gt;='0. Premissas (editável)'!$C$9,"Viável",IF(W117&gt;='0. Premissas (editável)'!$C$10,"Marginal","Inviável")))</f>
        <v>0</v>
      </c>
      <c r="Y117" s="23">
        <f>IF(R117="","preencher",IF(R117&gt;='0. Premissas (editável)'!$C$11,"PASSA","NÃO PASSA"))</f>
        <v>0</v>
      </c>
      <c r="Z117" s="23">
        <f>IF(AND(R117="",S117=""),"Preencher IQVIA",IF(AND(R117&lt;&gt;"",R117&lt;'0. Premissas (editável)'!$C$11),"NÃO — mercado abaixo do corte",IF(X117="Inviável","NÃO — economia não fecha",IF(D117="NÃO","NÃO — vetada na triagem",IF(X117="Marginal","REAVALIAR — margem apertada","SIM")))))</f>
        <v>0</v>
      </c>
      <c r="AA117" s="12" t="s">
        <v>179</v>
      </c>
      <c r="AB117" s="12"/>
      <c r="AC117" s="12" t="s">
        <v>91</v>
      </c>
      <c r="AD117" s="12" t="s">
        <v>180</v>
      </c>
      <c r="AE117" s="12" t="s">
        <v>178</v>
      </c>
      <c r="AF117" s="12" t="s">
        <v>181</v>
      </c>
      <c r="AG117" s="12" t="s">
        <v>180</v>
      </c>
      <c r="AH117" s="16" t="s">
        <v>180</v>
      </c>
      <c r="AI117" s="14">
        <v>0</v>
      </c>
      <c r="AJ117" s="14">
        <v>0</v>
      </c>
      <c r="AK117" s="12"/>
      <c r="AL117" s="12"/>
      <c r="AM117" s="12"/>
      <c r="AN117" s="12"/>
      <c r="AO117" s="12" t="s">
        <v>201</v>
      </c>
      <c r="AP117" s="14">
        <v>1</v>
      </c>
      <c r="AQ117" s="16" t="s">
        <v>180</v>
      </c>
      <c r="AR117" s="12" t="s">
        <v>1083</v>
      </c>
      <c r="AS117" s="12" t="s">
        <v>184</v>
      </c>
      <c r="AT117" s="12" t="s">
        <v>1084</v>
      </c>
      <c r="AU117" s="12" t="s">
        <v>1085</v>
      </c>
      <c r="AV117" s="12" t="s">
        <v>1086</v>
      </c>
      <c r="AW117" s="12" t="s">
        <v>880</v>
      </c>
      <c r="AX117" s="12" t="s">
        <v>788</v>
      </c>
      <c r="AY117" s="12" t="s">
        <v>526</v>
      </c>
    </row>
    <row r="118" spans="1:51">
      <c r="A118" s="12" t="s">
        <v>1087</v>
      </c>
      <c r="B118" s="12" t="s">
        <v>1088</v>
      </c>
      <c r="C118" s="12" t="s">
        <v>344</v>
      </c>
      <c r="D118" s="24" t="s">
        <v>180</v>
      </c>
      <c r="E118" s="16" t="s">
        <v>178</v>
      </c>
      <c r="F118" s="12" t="s">
        <v>619</v>
      </c>
      <c r="G118" s="14">
        <v>22</v>
      </c>
      <c r="H118" s="14">
        <v>0</v>
      </c>
      <c r="I118" s="14">
        <v>0</v>
      </c>
      <c r="J118" s="14">
        <v>14</v>
      </c>
      <c r="K118" s="14">
        <v>0</v>
      </c>
      <c r="L118" s="14">
        <v>8</v>
      </c>
      <c r="M118" s="12" t="s">
        <v>754</v>
      </c>
      <c r="N118" s="24" t="s">
        <v>351</v>
      </c>
      <c r="O118" s="12" t="s">
        <v>176</v>
      </c>
      <c r="P118" s="12" t="s">
        <v>380</v>
      </c>
      <c r="Q118" s="16" t="s">
        <v>178</v>
      </c>
      <c r="R118" s="19"/>
      <c r="S118" s="20"/>
      <c r="T118" s="20"/>
      <c r="U118" s="20"/>
      <c r="V118" s="21">
        <f>IF(U118="","",U118*'0. Premissas (editável)'!$C$7*'0. Premissas (editável)'!$C$8)</f>
        <v>0</v>
      </c>
      <c r="W118" s="22">
        <f>IF(OR(S118="",V118=""),"",(S118-V118)/S118)</f>
        <v>0</v>
      </c>
      <c r="X118" s="23">
        <f>IF(W118="","preencher",IF(W118&gt;='0. Premissas (editável)'!$C$9,"Viável",IF(W118&gt;='0. Premissas (editável)'!$C$10,"Marginal","Inviável")))</f>
        <v>0</v>
      </c>
      <c r="Y118" s="23">
        <f>IF(R118="","preencher",IF(R118&gt;='0. Premissas (editável)'!$C$11,"PASSA","NÃO PASSA"))</f>
        <v>0</v>
      </c>
      <c r="Z118" s="23">
        <f>IF(AND(R118="",S118=""),"Preencher IQVIA",IF(AND(R118&lt;&gt;"",R118&lt;'0. Premissas (editável)'!$C$11),"NÃO — mercado abaixo do corte",IF(X118="Inviável","NÃO — economia não fecha",IF(D118="NÃO","NÃO — vetada na triagem",IF(X118="Marginal","REAVALIAR — margem apertada","SIM")))))</f>
        <v>0</v>
      </c>
      <c r="AA118" s="12" t="s">
        <v>179</v>
      </c>
      <c r="AB118" s="12"/>
      <c r="AC118" s="12" t="s">
        <v>91</v>
      </c>
      <c r="AD118" s="12" t="s">
        <v>180</v>
      </c>
      <c r="AE118" s="12" t="s">
        <v>178</v>
      </c>
      <c r="AF118" s="12" t="s">
        <v>181</v>
      </c>
      <c r="AG118" s="12" t="s">
        <v>180</v>
      </c>
      <c r="AH118" s="16" t="s">
        <v>180</v>
      </c>
      <c r="AI118" s="14">
        <v>0</v>
      </c>
      <c r="AJ118" s="14">
        <v>0</v>
      </c>
      <c r="AK118" s="12"/>
      <c r="AL118" s="12"/>
      <c r="AM118" s="12"/>
      <c r="AN118" s="12"/>
      <c r="AO118" s="12" t="s">
        <v>201</v>
      </c>
      <c r="AP118" s="14">
        <v>1</v>
      </c>
      <c r="AQ118" s="16" t="s">
        <v>180</v>
      </c>
      <c r="AR118" s="12" t="s">
        <v>1089</v>
      </c>
      <c r="AS118" s="12" t="s">
        <v>184</v>
      </c>
      <c r="AT118" s="12" t="s">
        <v>1090</v>
      </c>
      <c r="AU118" s="12" t="s">
        <v>1091</v>
      </c>
      <c r="AV118" s="12" t="s">
        <v>1092</v>
      </c>
      <c r="AW118" s="12" t="s">
        <v>880</v>
      </c>
      <c r="AX118" s="12" t="s">
        <v>788</v>
      </c>
      <c r="AY118" s="12" t="s">
        <v>526</v>
      </c>
    </row>
    <row r="119" spans="1:51">
      <c r="A119" s="12" t="s">
        <v>1093</v>
      </c>
      <c r="B119" s="12" t="s">
        <v>1094</v>
      </c>
      <c r="C119" s="12" t="s">
        <v>344</v>
      </c>
      <c r="D119" s="24" t="s">
        <v>180</v>
      </c>
      <c r="E119" s="16" t="s">
        <v>178</v>
      </c>
      <c r="F119" s="12" t="s">
        <v>619</v>
      </c>
      <c r="G119" s="14">
        <v>22</v>
      </c>
      <c r="H119" s="14">
        <v>0</v>
      </c>
      <c r="I119" s="14">
        <v>0</v>
      </c>
      <c r="J119" s="14">
        <v>14</v>
      </c>
      <c r="K119" s="14">
        <v>0</v>
      </c>
      <c r="L119" s="14">
        <v>8</v>
      </c>
      <c r="M119" s="12" t="s">
        <v>754</v>
      </c>
      <c r="N119" s="24" t="s">
        <v>351</v>
      </c>
      <c r="O119" s="12" t="s">
        <v>176</v>
      </c>
      <c r="P119" s="12" t="s">
        <v>380</v>
      </c>
      <c r="Q119" s="16" t="s">
        <v>178</v>
      </c>
      <c r="R119" s="19"/>
      <c r="S119" s="20"/>
      <c r="T119" s="20"/>
      <c r="U119" s="20"/>
      <c r="V119" s="21">
        <f>IF(U119="","",U119*'0. Premissas (editável)'!$C$7*'0. Premissas (editável)'!$C$8)</f>
        <v>0</v>
      </c>
      <c r="W119" s="22">
        <f>IF(OR(S119="",V119=""),"",(S119-V119)/S119)</f>
        <v>0</v>
      </c>
      <c r="X119" s="23">
        <f>IF(W119="","preencher",IF(W119&gt;='0. Premissas (editável)'!$C$9,"Viável",IF(W119&gt;='0. Premissas (editável)'!$C$10,"Marginal","Inviável")))</f>
        <v>0</v>
      </c>
      <c r="Y119" s="23">
        <f>IF(R119="","preencher",IF(R119&gt;='0. Premissas (editável)'!$C$11,"PASSA","NÃO PASSA"))</f>
        <v>0</v>
      </c>
      <c r="Z119" s="23">
        <f>IF(AND(R119="",S119=""),"Preencher IQVIA",IF(AND(R119&lt;&gt;"",R119&lt;'0. Premissas (editável)'!$C$11),"NÃO — mercado abaixo do corte",IF(X119="Inviável","NÃO — economia não fecha",IF(D119="NÃO","NÃO — vetada na triagem",IF(X119="Marginal","REAVALIAR — margem apertada","SIM")))))</f>
        <v>0</v>
      </c>
      <c r="AA119" s="12" t="s">
        <v>179</v>
      </c>
      <c r="AB119" s="12"/>
      <c r="AC119" s="12" t="s">
        <v>91</v>
      </c>
      <c r="AD119" s="12" t="s">
        <v>180</v>
      </c>
      <c r="AE119" s="12" t="s">
        <v>178</v>
      </c>
      <c r="AF119" s="12" t="s">
        <v>181</v>
      </c>
      <c r="AG119" s="12" t="s">
        <v>180</v>
      </c>
      <c r="AH119" s="16" t="s">
        <v>180</v>
      </c>
      <c r="AI119" s="14">
        <v>0</v>
      </c>
      <c r="AJ119" s="14">
        <v>0</v>
      </c>
      <c r="AK119" s="12"/>
      <c r="AL119" s="12"/>
      <c r="AM119" s="12"/>
      <c r="AN119" s="12"/>
      <c r="AO119" s="12" t="s">
        <v>201</v>
      </c>
      <c r="AP119" s="14">
        <v>2</v>
      </c>
      <c r="AQ119" s="16" t="s">
        <v>180</v>
      </c>
      <c r="AR119" s="12" t="s">
        <v>1095</v>
      </c>
      <c r="AS119" s="12" t="s">
        <v>184</v>
      </c>
      <c r="AT119" s="12" t="s">
        <v>930</v>
      </c>
      <c r="AU119" s="12" t="s">
        <v>1096</v>
      </c>
      <c r="AV119" s="12" t="s">
        <v>1097</v>
      </c>
      <c r="AW119" s="12" t="s">
        <v>524</v>
      </c>
      <c r="AX119" s="12" t="s">
        <v>788</v>
      </c>
      <c r="AY119" s="12" t="s">
        <v>526</v>
      </c>
    </row>
    <row r="120" spans="1:51">
      <c r="A120" s="12" t="s">
        <v>1098</v>
      </c>
      <c r="B120" s="12" t="s">
        <v>1099</v>
      </c>
      <c r="C120" s="12" t="s">
        <v>173</v>
      </c>
      <c r="D120" s="24" t="s">
        <v>180</v>
      </c>
      <c r="E120" s="16" t="s">
        <v>178</v>
      </c>
      <c r="F120" s="12" t="s">
        <v>379</v>
      </c>
      <c r="G120" s="14">
        <v>22</v>
      </c>
      <c r="H120" s="14">
        <v>5</v>
      </c>
      <c r="I120" s="14">
        <v>0</v>
      </c>
      <c r="J120" s="14">
        <v>14</v>
      </c>
      <c r="K120" s="14">
        <v>0</v>
      </c>
      <c r="L120" s="14">
        <v>3</v>
      </c>
      <c r="M120" s="12" t="s">
        <v>119</v>
      </c>
      <c r="N120" s="24" t="s">
        <v>351</v>
      </c>
      <c r="O120" s="12" t="s">
        <v>176</v>
      </c>
      <c r="P120" s="12" t="s">
        <v>380</v>
      </c>
      <c r="Q120" s="16" t="s">
        <v>178</v>
      </c>
      <c r="R120" s="19"/>
      <c r="S120" s="20"/>
      <c r="T120" s="20"/>
      <c r="U120" s="20"/>
      <c r="V120" s="21">
        <f>IF(U120="","",U120*'0. Premissas (editável)'!$C$7*'0. Premissas (editável)'!$C$8)</f>
        <v>0</v>
      </c>
      <c r="W120" s="22">
        <f>IF(OR(S120="",V120=""),"",(S120-V120)/S120)</f>
        <v>0</v>
      </c>
      <c r="X120" s="23">
        <f>IF(W120="","preencher",IF(W120&gt;='0. Premissas (editável)'!$C$9,"Viável",IF(W120&gt;='0. Premissas (editável)'!$C$10,"Marginal","Inviável")))</f>
        <v>0</v>
      </c>
      <c r="Y120" s="23">
        <f>IF(R120="","preencher",IF(R120&gt;='0. Premissas (editável)'!$C$11,"PASSA","NÃO PASSA"))</f>
        <v>0</v>
      </c>
      <c r="Z120" s="23">
        <f>IF(AND(R120="",S120=""),"Preencher IQVIA",IF(AND(R120&lt;&gt;"",R120&lt;'0. Premissas (editável)'!$C$11),"NÃO — mercado abaixo do corte",IF(X120="Inviável","NÃO — economia não fecha",IF(D120="NÃO","NÃO — vetada na triagem",IF(X120="Marginal","REAVALIAR — margem apertada","SIM")))))</f>
        <v>0</v>
      </c>
      <c r="AA120" s="12" t="s">
        <v>179</v>
      </c>
      <c r="AB120" s="12"/>
      <c r="AC120" s="12" t="s">
        <v>108</v>
      </c>
      <c r="AD120" s="12" t="s">
        <v>174</v>
      </c>
      <c r="AE120" s="12" t="s">
        <v>242</v>
      </c>
      <c r="AF120" s="12" t="s">
        <v>274</v>
      </c>
      <c r="AG120" s="12" t="s">
        <v>180</v>
      </c>
      <c r="AH120" s="16" t="s">
        <v>180</v>
      </c>
      <c r="AI120" s="14">
        <v>0</v>
      </c>
      <c r="AJ120" s="14">
        <v>1</v>
      </c>
      <c r="AK120" s="12"/>
      <c r="AL120" s="12" t="s">
        <v>1100</v>
      </c>
      <c r="AM120" s="12" t="s">
        <v>306</v>
      </c>
      <c r="AN120" s="12" t="s">
        <v>1101</v>
      </c>
      <c r="AO120" s="12" t="s">
        <v>201</v>
      </c>
      <c r="AP120" s="14">
        <v>3</v>
      </c>
      <c r="AQ120" s="16" t="s">
        <v>180</v>
      </c>
      <c r="AR120" s="12" t="s">
        <v>1102</v>
      </c>
      <c r="AS120" s="12" t="s">
        <v>210</v>
      </c>
      <c r="AT120" s="12" t="s">
        <v>1103</v>
      </c>
      <c r="AU120" s="12" t="s">
        <v>1104</v>
      </c>
      <c r="AV120" s="12" t="s">
        <v>1105</v>
      </c>
      <c r="AW120" s="12" t="s">
        <v>601</v>
      </c>
      <c r="AX120" s="12" t="s">
        <v>1106</v>
      </c>
      <c r="AY120" s="12" t="s">
        <v>526</v>
      </c>
    </row>
    <row r="121" spans="1:51">
      <c r="A121" s="12" t="s">
        <v>1107</v>
      </c>
      <c r="B121" s="12" t="s">
        <v>1108</v>
      </c>
      <c r="C121" s="12" t="s">
        <v>378</v>
      </c>
      <c r="D121" s="24" t="s">
        <v>180</v>
      </c>
      <c r="E121" s="16" t="s">
        <v>178</v>
      </c>
      <c r="F121" s="12" t="s">
        <v>619</v>
      </c>
      <c r="G121" s="14">
        <v>22</v>
      </c>
      <c r="H121" s="14">
        <v>0</v>
      </c>
      <c r="I121" s="14">
        <v>0</v>
      </c>
      <c r="J121" s="14">
        <v>14</v>
      </c>
      <c r="K121" s="14">
        <v>0</v>
      </c>
      <c r="L121" s="14">
        <v>8</v>
      </c>
      <c r="M121" s="12" t="s">
        <v>754</v>
      </c>
      <c r="N121" s="24" t="s">
        <v>351</v>
      </c>
      <c r="O121" s="12" t="s">
        <v>176</v>
      </c>
      <c r="P121" s="12" t="s">
        <v>380</v>
      </c>
      <c r="Q121" s="16" t="s">
        <v>178</v>
      </c>
      <c r="R121" s="19"/>
      <c r="S121" s="20"/>
      <c r="T121" s="20"/>
      <c r="U121" s="20"/>
      <c r="V121" s="21">
        <f>IF(U121="","",U121*'0. Premissas (editável)'!$C$7*'0. Premissas (editável)'!$C$8)</f>
        <v>0</v>
      </c>
      <c r="W121" s="22">
        <f>IF(OR(S121="",V121=""),"",(S121-V121)/S121)</f>
        <v>0</v>
      </c>
      <c r="X121" s="23">
        <f>IF(W121="","preencher",IF(W121&gt;='0. Premissas (editável)'!$C$9,"Viável",IF(W121&gt;='0. Premissas (editável)'!$C$10,"Marginal","Inviável")))</f>
        <v>0</v>
      </c>
      <c r="Y121" s="23">
        <f>IF(R121="","preencher",IF(R121&gt;='0. Premissas (editável)'!$C$11,"PASSA","NÃO PASSA"))</f>
        <v>0</v>
      </c>
      <c r="Z121" s="23">
        <f>IF(AND(R121="",S121=""),"Preencher IQVIA",IF(AND(R121&lt;&gt;"",R121&lt;'0. Premissas (editável)'!$C$11),"NÃO — mercado abaixo do corte",IF(X121="Inviável","NÃO — economia não fecha",IF(D121="NÃO","NÃO — vetada na triagem",IF(X121="Marginal","REAVALIAR — margem apertada","SIM")))))</f>
        <v>0</v>
      </c>
      <c r="AA121" s="12" t="s">
        <v>179</v>
      </c>
      <c r="AB121" s="12"/>
      <c r="AC121" s="12" t="s">
        <v>91</v>
      </c>
      <c r="AD121" s="12" t="s">
        <v>180</v>
      </c>
      <c r="AE121" s="12" t="s">
        <v>178</v>
      </c>
      <c r="AF121" s="12" t="s">
        <v>181</v>
      </c>
      <c r="AG121" s="12" t="s">
        <v>180</v>
      </c>
      <c r="AH121" s="16" t="s">
        <v>180</v>
      </c>
      <c r="AI121" s="14">
        <v>0</v>
      </c>
      <c r="AJ121" s="14">
        <v>0</v>
      </c>
      <c r="AK121" s="12"/>
      <c r="AL121" s="12"/>
      <c r="AM121" s="12"/>
      <c r="AN121" s="12"/>
      <c r="AO121" s="12" t="s">
        <v>201</v>
      </c>
      <c r="AP121" s="14">
        <v>3</v>
      </c>
      <c r="AQ121" s="16" t="s">
        <v>180</v>
      </c>
      <c r="AR121" s="12" t="s">
        <v>1109</v>
      </c>
      <c r="AS121" s="12" t="s">
        <v>184</v>
      </c>
      <c r="AT121" s="12" t="s">
        <v>1110</v>
      </c>
      <c r="AU121" s="12" t="s">
        <v>1111</v>
      </c>
      <c r="AV121" s="12" t="s">
        <v>1112</v>
      </c>
      <c r="AW121" s="12" t="s">
        <v>906</v>
      </c>
      <c r="AX121" s="12" t="s">
        <v>788</v>
      </c>
      <c r="AY121" s="12" t="s">
        <v>526</v>
      </c>
    </row>
    <row r="122" spans="1:51">
      <c r="A122" s="12" t="s">
        <v>1113</v>
      </c>
      <c r="B122" s="12" t="s">
        <v>1114</v>
      </c>
      <c r="C122" s="12" t="s">
        <v>378</v>
      </c>
      <c r="D122" s="24" t="s">
        <v>180</v>
      </c>
      <c r="E122" s="16" t="s">
        <v>178</v>
      </c>
      <c r="F122" s="12" t="s">
        <v>619</v>
      </c>
      <c r="G122" s="14">
        <v>22</v>
      </c>
      <c r="H122" s="14">
        <v>5</v>
      </c>
      <c r="I122" s="14">
        <v>0</v>
      </c>
      <c r="J122" s="14">
        <v>14</v>
      </c>
      <c r="K122" s="14">
        <v>0</v>
      </c>
      <c r="L122" s="14">
        <v>3</v>
      </c>
      <c r="M122" s="12" t="s">
        <v>119</v>
      </c>
      <c r="N122" s="24" t="s">
        <v>351</v>
      </c>
      <c r="O122" s="12" t="s">
        <v>176</v>
      </c>
      <c r="P122" s="12" t="s">
        <v>380</v>
      </c>
      <c r="Q122" s="16" t="s">
        <v>178</v>
      </c>
      <c r="R122" s="19"/>
      <c r="S122" s="20"/>
      <c r="T122" s="20"/>
      <c r="U122" s="20"/>
      <c r="V122" s="21">
        <f>IF(U122="","",U122*'0. Premissas (editável)'!$C$7*'0. Premissas (editável)'!$C$8)</f>
        <v>0</v>
      </c>
      <c r="W122" s="22">
        <f>IF(OR(S122="",V122=""),"",(S122-V122)/S122)</f>
        <v>0</v>
      </c>
      <c r="X122" s="23">
        <f>IF(W122="","preencher",IF(W122&gt;='0. Premissas (editável)'!$C$9,"Viável",IF(W122&gt;='0. Premissas (editável)'!$C$10,"Marginal","Inviável")))</f>
        <v>0</v>
      </c>
      <c r="Y122" s="23">
        <f>IF(R122="","preencher",IF(R122&gt;='0. Premissas (editável)'!$C$11,"PASSA","NÃO PASSA"))</f>
        <v>0</v>
      </c>
      <c r="Z122" s="23">
        <f>IF(AND(R122="",S122=""),"Preencher IQVIA",IF(AND(R122&lt;&gt;"",R122&lt;'0. Premissas (editável)'!$C$11),"NÃO — mercado abaixo do corte",IF(X122="Inviável","NÃO — economia não fecha",IF(D122="NÃO","NÃO — vetada na triagem",IF(X122="Marginal","REAVALIAR — margem apertada","SIM")))))</f>
        <v>0</v>
      </c>
      <c r="AA122" s="12" t="s">
        <v>179</v>
      </c>
      <c r="AB122" s="12"/>
      <c r="AC122" s="12" t="s">
        <v>108</v>
      </c>
      <c r="AD122" s="12" t="s">
        <v>174</v>
      </c>
      <c r="AE122" s="12" t="s">
        <v>273</v>
      </c>
      <c r="AF122" s="12" t="s">
        <v>274</v>
      </c>
      <c r="AG122" s="12" t="s">
        <v>180</v>
      </c>
      <c r="AH122" s="16" t="s">
        <v>180</v>
      </c>
      <c r="AI122" s="14">
        <v>1</v>
      </c>
      <c r="AJ122" s="14">
        <v>1</v>
      </c>
      <c r="AK122" s="12" t="s">
        <v>1115</v>
      </c>
      <c r="AL122" s="12" t="s">
        <v>1116</v>
      </c>
      <c r="AM122" s="12" t="s">
        <v>1117</v>
      </c>
      <c r="AN122" s="12" t="s">
        <v>1118</v>
      </c>
      <c r="AO122" s="12" t="s">
        <v>201</v>
      </c>
      <c r="AP122" s="14">
        <v>2</v>
      </c>
      <c r="AQ122" s="16" t="s">
        <v>180</v>
      </c>
      <c r="AR122" s="12" t="s">
        <v>1119</v>
      </c>
      <c r="AS122" s="12" t="s">
        <v>184</v>
      </c>
      <c r="AT122" s="12" t="s">
        <v>1120</v>
      </c>
      <c r="AU122" s="12" t="s">
        <v>1121</v>
      </c>
      <c r="AV122" s="12" t="s">
        <v>1122</v>
      </c>
      <c r="AW122" s="12" t="s">
        <v>926</v>
      </c>
      <c r="AX122" s="12" t="s">
        <v>998</v>
      </c>
      <c r="AY122" s="12" t="s">
        <v>526</v>
      </c>
    </row>
    <row r="123" spans="1:51">
      <c r="A123" s="12" t="s">
        <v>1123</v>
      </c>
      <c r="B123" s="12" t="s">
        <v>1124</v>
      </c>
      <c r="C123" s="12" t="s">
        <v>344</v>
      </c>
      <c r="D123" s="24" t="s">
        <v>180</v>
      </c>
      <c r="E123" s="16" t="s">
        <v>178</v>
      </c>
      <c r="F123" s="12" t="s">
        <v>619</v>
      </c>
      <c r="G123" s="14">
        <v>22</v>
      </c>
      <c r="H123" s="14">
        <v>0</v>
      </c>
      <c r="I123" s="14">
        <v>0</v>
      </c>
      <c r="J123" s="14">
        <v>14</v>
      </c>
      <c r="K123" s="14">
        <v>0</v>
      </c>
      <c r="L123" s="14">
        <v>8</v>
      </c>
      <c r="M123" s="12" t="s">
        <v>754</v>
      </c>
      <c r="N123" s="24" t="s">
        <v>351</v>
      </c>
      <c r="O123" s="12" t="s">
        <v>176</v>
      </c>
      <c r="P123" s="12" t="s">
        <v>380</v>
      </c>
      <c r="Q123" s="16" t="s">
        <v>178</v>
      </c>
      <c r="R123" s="19"/>
      <c r="S123" s="20"/>
      <c r="T123" s="20"/>
      <c r="U123" s="20"/>
      <c r="V123" s="21">
        <f>IF(U123="","",U123*'0. Premissas (editável)'!$C$7*'0. Premissas (editável)'!$C$8)</f>
        <v>0</v>
      </c>
      <c r="W123" s="22">
        <f>IF(OR(S123="",V123=""),"",(S123-V123)/S123)</f>
        <v>0</v>
      </c>
      <c r="X123" s="23">
        <f>IF(W123="","preencher",IF(W123&gt;='0. Premissas (editável)'!$C$9,"Viável",IF(W123&gt;='0. Premissas (editável)'!$C$10,"Marginal","Inviável")))</f>
        <v>0</v>
      </c>
      <c r="Y123" s="23">
        <f>IF(R123="","preencher",IF(R123&gt;='0. Premissas (editável)'!$C$11,"PASSA","NÃO PASSA"))</f>
        <v>0</v>
      </c>
      <c r="Z123" s="23">
        <f>IF(AND(R123="",S123=""),"Preencher IQVIA",IF(AND(R123&lt;&gt;"",R123&lt;'0. Premissas (editável)'!$C$11),"NÃO — mercado abaixo do corte",IF(X123="Inviável","NÃO — economia não fecha",IF(D123="NÃO","NÃO — vetada na triagem",IF(X123="Marginal","REAVALIAR — margem apertada","SIM")))))</f>
        <v>0</v>
      </c>
      <c r="AA123" s="12" t="s">
        <v>179</v>
      </c>
      <c r="AB123" s="12"/>
      <c r="AC123" s="12" t="s">
        <v>91</v>
      </c>
      <c r="AD123" s="12" t="s">
        <v>180</v>
      </c>
      <c r="AE123" s="12" t="s">
        <v>178</v>
      </c>
      <c r="AF123" s="12" t="s">
        <v>181</v>
      </c>
      <c r="AG123" s="12" t="s">
        <v>180</v>
      </c>
      <c r="AH123" s="16" t="s">
        <v>180</v>
      </c>
      <c r="AI123" s="14">
        <v>0</v>
      </c>
      <c r="AJ123" s="14">
        <v>0</v>
      </c>
      <c r="AK123" s="12"/>
      <c r="AL123" s="12"/>
      <c r="AM123" s="12"/>
      <c r="AN123" s="12"/>
      <c r="AO123" s="12" t="s">
        <v>201</v>
      </c>
      <c r="AP123" s="14">
        <v>1</v>
      </c>
      <c r="AQ123" s="16" t="s">
        <v>180</v>
      </c>
      <c r="AR123" s="12" t="s">
        <v>1125</v>
      </c>
      <c r="AS123" s="12" t="s">
        <v>184</v>
      </c>
      <c r="AT123" s="12" t="s">
        <v>346</v>
      </c>
      <c r="AU123" s="12" t="s">
        <v>1126</v>
      </c>
      <c r="AV123" s="12" t="s">
        <v>1127</v>
      </c>
      <c r="AW123" s="12" t="s">
        <v>1128</v>
      </c>
      <c r="AX123" s="12" t="s">
        <v>788</v>
      </c>
      <c r="AY123" s="12" t="s">
        <v>526</v>
      </c>
    </row>
    <row r="124" spans="1:51">
      <c r="A124" s="12" t="s">
        <v>1129</v>
      </c>
      <c r="B124" s="12" t="s">
        <v>1130</v>
      </c>
      <c r="C124" s="12" t="s">
        <v>469</v>
      </c>
      <c r="D124" s="24" t="s">
        <v>180</v>
      </c>
      <c r="E124" s="16" t="s">
        <v>178</v>
      </c>
      <c r="F124" s="12" t="s">
        <v>619</v>
      </c>
      <c r="G124" s="14">
        <v>22</v>
      </c>
      <c r="H124" s="14">
        <v>0</v>
      </c>
      <c r="I124" s="14">
        <v>0</v>
      </c>
      <c r="J124" s="14">
        <v>14</v>
      </c>
      <c r="K124" s="14">
        <v>0</v>
      </c>
      <c r="L124" s="14">
        <v>8</v>
      </c>
      <c r="M124" s="12" t="s">
        <v>754</v>
      </c>
      <c r="N124" s="24" t="s">
        <v>351</v>
      </c>
      <c r="O124" s="12" t="s">
        <v>176</v>
      </c>
      <c r="P124" s="12" t="s">
        <v>380</v>
      </c>
      <c r="Q124" s="16" t="s">
        <v>178</v>
      </c>
      <c r="R124" s="19"/>
      <c r="S124" s="20"/>
      <c r="T124" s="20"/>
      <c r="U124" s="20"/>
      <c r="V124" s="21">
        <f>IF(U124="","",U124*'0. Premissas (editável)'!$C$7*'0. Premissas (editável)'!$C$8)</f>
        <v>0</v>
      </c>
      <c r="W124" s="22">
        <f>IF(OR(S124="",V124=""),"",(S124-V124)/S124)</f>
        <v>0</v>
      </c>
      <c r="X124" s="23">
        <f>IF(W124="","preencher",IF(W124&gt;='0. Premissas (editável)'!$C$9,"Viável",IF(W124&gt;='0. Premissas (editável)'!$C$10,"Marginal","Inviável")))</f>
        <v>0</v>
      </c>
      <c r="Y124" s="23">
        <f>IF(R124="","preencher",IF(R124&gt;='0. Premissas (editável)'!$C$11,"PASSA","NÃO PASSA"))</f>
        <v>0</v>
      </c>
      <c r="Z124" s="23">
        <f>IF(AND(R124="",S124=""),"Preencher IQVIA",IF(AND(R124&lt;&gt;"",R124&lt;'0. Premissas (editável)'!$C$11),"NÃO — mercado abaixo do corte",IF(X124="Inviável","NÃO — economia não fecha",IF(D124="NÃO","NÃO — vetada na triagem",IF(X124="Marginal","REAVALIAR — margem apertada","SIM")))))</f>
        <v>0</v>
      </c>
      <c r="AA124" s="12" t="s">
        <v>179</v>
      </c>
      <c r="AB124" s="12"/>
      <c r="AC124" s="12" t="s">
        <v>91</v>
      </c>
      <c r="AD124" s="12" t="s">
        <v>180</v>
      </c>
      <c r="AE124" s="12" t="s">
        <v>178</v>
      </c>
      <c r="AF124" s="12" t="s">
        <v>181</v>
      </c>
      <c r="AG124" s="12" t="s">
        <v>180</v>
      </c>
      <c r="AH124" s="16" t="s">
        <v>180</v>
      </c>
      <c r="AI124" s="14">
        <v>0</v>
      </c>
      <c r="AJ124" s="14">
        <v>0</v>
      </c>
      <c r="AK124" s="12"/>
      <c r="AL124" s="12"/>
      <c r="AM124" s="12"/>
      <c r="AN124" s="12"/>
      <c r="AO124" s="12" t="s">
        <v>201</v>
      </c>
      <c r="AP124" s="14">
        <v>3</v>
      </c>
      <c r="AQ124" s="15" t="s">
        <v>174</v>
      </c>
      <c r="AR124" s="12" t="s">
        <v>1131</v>
      </c>
      <c r="AS124" s="12" t="s">
        <v>184</v>
      </c>
      <c r="AT124" s="12" t="s">
        <v>612</v>
      </c>
      <c r="AU124" s="12" t="s">
        <v>1132</v>
      </c>
      <c r="AV124" s="12" t="s">
        <v>1133</v>
      </c>
      <c r="AW124" s="12" t="s">
        <v>386</v>
      </c>
      <c r="AX124" s="12" t="s">
        <v>788</v>
      </c>
      <c r="AY124" s="12" t="s">
        <v>616</v>
      </c>
    </row>
    <row r="125" spans="1:51">
      <c r="A125" s="12" t="s">
        <v>1134</v>
      </c>
      <c r="B125" s="12" t="s">
        <v>1135</v>
      </c>
      <c r="C125" s="12" t="s">
        <v>292</v>
      </c>
      <c r="D125" s="24" t="s">
        <v>180</v>
      </c>
      <c r="E125" s="16" t="s">
        <v>178</v>
      </c>
      <c r="F125" s="12" t="s">
        <v>105</v>
      </c>
      <c r="G125" s="14">
        <v>22</v>
      </c>
      <c r="H125" s="14">
        <v>15</v>
      </c>
      <c r="I125" s="14">
        <v>4</v>
      </c>
      <c r="J125" s="14">
        <v>0</v>
      </c>
      <c r="K125" s="14">
        <v>0</v>
      </c>
      <c r="L125" s="14">
        <v>3</v>
      </c>
      <c r="M125" s="12" t="s">
        <v>104</v>
      </c>
      <c r="N125" s="15" t="s">
        <v>261</v>
      </c>
      <c r="O125" s="12" t="s">
        <v>1033</v>
      </c>
      <c r="P125" s="12" t="s">
        <v>262</v>
      </c>
      <c r="Q125" s="16" t="s">
        <v>178</v>
      </c>
      <c r="R125" s="19"/>
      <c r="S125" s="20"/>
      <c r="T125" s="20"/>
      <c r="U125" s="20"/>
      <c r="V125" s="21">
        <f>IF(U125="","",U125*'0. Premissas (editável)'!$C$7*'0. Premissas (editável)'!$C$8)</f>
        <v>0</v>
      </c>
      <c r="W125" s="22">
        <f>IF(OR(S125="",V125=""),"",(S125-V125)/S125)</f>
        <v>0</v>
      </c>
      <c r="X125" s="23">
        <f>IF(W125="","preencher",IF(W125&gt;='0. Premissas (editável)'!$C$9,"Viável",IF(W125&gt;='0. Premissas (editável)'!$C$10,"Marginal","Inviável")))</f>
        <v>0</v>
      </c>
      <c r="Y125" s="23">
        <f>IF(R125="","preencher",IF(R125&gt;='0. Premissas (editável)'!$C$11,"PASSA","NÃO PASSA"))</f>
        <v>0</v>
      </c>
      <c r="Z125" s="23">
        <f>IF(AND(R125="",S125=""),"Preencher IQVIA",IF(AND(R125&lt;&gt;"",R125&lt;'0. Premissas (editável)'!$C$11),"NÃO — mercado abaixo do corte",IF(X125="Inviável","NÃO — economia não fecha",IF(D125="NÃO","NÃO — vetada na triagem",IF(X125="Marginal","REAVALIAR — margem apertada","SIM")))))</f>
        <v>0</v>
      </c>
      <c r="AA125" s="12" t="s">
        <v>353</v>
      </c>
      <c r="AB125" s="12" t="s">
        <v>1136</v>
      </c>
      <c r="AC125" s="12" t="s">
        <v>108</v>
      </c>
      <c r="AD125" s="12" t="s">
        <v>174</v>
      </c>
      <c r="AE125" s="12" t="s">
        <v>273</v>
      </c>
      <c r="AF125" s="12" t="s">
        <v>274</v>
      </c>
      <c r="AG125" s="12" t="s">
        <v>180</v>
      </c>
      <c r="AH125" s="16" t="s">
        <v>180</v>
      </c>
      <c r="AI125" s="14">
        <v>3</v>
      </c>
      <c r="AJ125" s="14">
        <v>3</v>
      </c>
      <c r="AK125" s="12" t="s">
        <v>1137</v>
      </c>
      <c r="AL125" s="12" t="s">
        <v>494</v>
      </c>
      <c r="AM125" s="12" t="s">
        <v>1138</v>
      </c>
      <c r="AN125" s="12" t="s">
        <v>1139</v>
      </c>
      <c r="AO125" s="12" t="s">
        <v>218</v>
      </c>
      <c r="AP125" s="14">
        <v>2</v>
      </c>
      <c r="AQ125" s="16" t="s">
        <v>180</v>
      </c>
      <c r="AR125" s="12" t="s">
        <v>1140</v>
      </c>
      <c r="AS125" s="12" t="s">
        <v>184</v>
      </c>
      <c r="AT125" s="12" t="s">
        <v>1141</v>
      </c>
      <c r="AU125" s="12" t="s">
        <v>1142</v>
      </c>
      <c r="AV125" s="12" t="s">
        <v>1143</v>
      </c>
      <c r="AW125" s="12" t="s">
        <v>997</v>
      </c>
      <c r="AX125" s="12" t="s">
        <v>1144</v>
      </c>
      <c r="AY125" s="12" t="s">
        <v>1145</v>
      </c>
    </row>
    <row r="126" spans="1:51">
      <c r="A126" s="12" t="s">
        <v>1146</v>
      </c>
      <c r="B126" s="12" t="s">
        <v>1147</v>
      </c>
      <c r="C126" s="12" t="s">
        <v>344</v>
      </c>
      <c r="D126" s="24" t="s">
        <v>180</v>
      </c>
      <c r="E126" s="16" t="s">
        <v>178</v>
      </c>
      <c r="F126" s="12" t="s">
        <v>619</v>
      </c>
      <c r="G126" s="14">
        <v>22</v>
      </c>
      <c r="H126" s="14">
        <v>5</v>
      </c>
      <c r="I126" s="14">
        <v>0</v>
      </c>
      <c r="J126" s="14">
        <v>14</v>
      </c>
      <c r="K126" s="14">
        <v>0</v>
      </c>
      <c r="L126" s="14">
        <v>3</v>
      </c>
      <c r="M126" s="12" t="s">
        <v>119</v>
      </c>
      <c r="N126" s="24" t="s">
        <v>351</v>
      </c>
      <c r="O126" s="12" t="s">
        <v>176</v>
      </c>
      <c r="P126" s="12" t="s">
        <v>380</v>
      </c>
      <c r="Q126" s="16" t="s">
        <v>178</v>
      </c>
      <c r="R126" s="19"/>
      <c r="S126" s="20"/>
      <c r="T126" s="20"/>
      <c r="U126" s="20"/>
      <c r="V126" s="21">
        <f>IF(U126="","",U126*'0. Premissas (editável)'!$C$7*'0. Premissas (editável)'!$C$8)</f>
        <v>0</v>
      </c>
      <c r="W126" s="22">
        <f>IF(OR(S126="",V126=""),"",(S126-V126)/S126)</f>
        <v>0</v>
      </c>
      <c r="X126" s="23">
        <f>IF(W126="","preencher",IF(W126&gt;='0. Premissas (editável)'!$C$9,"Viável",IF(W126&gt;='0. Premissas (editável)'!$C$10,"Marginal","Inviável")))</f>
        <v>0</v>
      </c>
      <c r="Y126" s="23">
        <f>IF(R126="","preencher",IF(R126&gt;='0. Premissas (editável)'!$C$11,"PASSA","NÃO PASSA"))</f>
        <v>0</v>
      </c>
      <c r="Z126" s="23">
        <f>IF(AND(R126="",S126=""),"Preencher IQVIA",IF(AND(R126&lt;&gt;"",R126&lt;'0. Premissas (editável)'!$C$11),"NÃO — mercado abaixo do corte",IF(X126="Inviável","NÃO — economia não fecha",IF(D126="NÃO","NÃO — vetada na triagem",IF(X126="Marginal","REAVALIAR — margem apertada","SIM")))))</f>
        <v>0</v>
      </c>
      <c r="AA126" s="12" t="s">
        <v>179</v>
      </c>
      <c r="AB126" s="12"/>
      <c r="AC126" s="12" t="s">
        <v>108</v>
      </c>
      <c r="AD126" s="12" t="s">
        <v>174</v>
      </c>
      <c r="AE126" s="12" t="s">
        <v>483</v>
      </c>
      <c r="AF126" s="12" t="s">
        <v>274</v>
      </c>
      <c r="AG126" s="12" t="s">
        <v>180</v>
      </c>
      <c r="AH126" s="16" t="s">
        <v>180</v>
      </c>
      <c r="AI126" s="14">
        <v>1</v>
      </c>
      <c r="AJ126" s="14">
        <v>1</v>
      </c>
      <c r="AK126" s="12" t="s">
        <v>1043</v>
      </c>
      <c r="AL126" s="12" t="s">
        <v>305</v>
      </c>
      <c r="AM126" s="12" t="s">
        <v>537</v>
      </c>
      <c r="AN126" s="12" t="s">
        <v>1044</v>
      </c>
      <c r="AO126" s="12" t="s">
        <v>201</v>
      </c>
      <c r="AP126" s="14">
        <v>1</v>
      </c>
      <c r="AQ126" s="16" t="s">
        <v>180</v>
      </c>
      <c r="AR126" s="12" t="s">
        <v>1148</v>
      </c>
      <c r="AS126" s="12" t="s">
        <v>184</v>
      </c>
      <c r="AT126" s="12" t="s">
        <v>1149</v>
      </c>
      <c r="AU126" s="12" t="s">
        <v>1150</v>
      </c>
      <c r="AV126" s="12" t="s">
        <v>1151</v>
      </c>
      <c r="AW126" s="12" t="s">
        <v>408</v>
      </c>
      <c r="AX126" s="12" t="s">
        <v>998</v>
      </c>
      <c r="AY126" s="12" t="s">
        <v>526</v>
      </c>
    </row>
    <row r="127" spans="1:51">
      <c r="A127" s="12" t="s">
        <v>1152</v>
      </c>
      <c r="B127" s="12" t="s">
        <v>1153</v>
      </c>
      <c r="C127" s="12" t="s">
        <v>217</v>
      </c>
      <c r="D127" s="24" t="s">
        <v>180</v>
      </c>
      <c r="E127" s="16" t="s">
        <v>178</v>
      </c>
      <c r="F127" s="12" t="s">
        <v>619</v>
      </c>
      <c r="G127" s="14">
        <v>22</v>
      </c>
      <c r="H127" s="14">
        <v>0</v>
      </c>
      <c r="I127" s="14">
        <v>0</v>
      </c>
      <c r="J127" s="14">
        <v>14</v>
      </c>
      <c r="K127" s="14">
        <v>0</v>
      </c>
      <c r="L127" s="14">
        <v>8</v>
      </c>
      <c r="M127" s="12" t="s">
        <v>754</v>
      </c>
      <c r="N127" s="24" t="s">
        <v>351</v>
      </c>
      <c r="O127" s="12" t="s">
        <v>176</v>
      </c>
      <c r="P127" s="12" t="s">
        <v>380</v>
      </c>
      <c r="Q127" s="16" t="s">
        <v>178</v>
      </c>
      <c r="R127" s="19"/>
      <c r="S127" s="20"/>
      <c r="T127" s="20"/>
      <c r="U127" s="20"/>
      <c r="V127" s="21">
        <f>IF(U127="","",U127*'0. Premissas (editável)'!$C$7*'0. Premissas (editável)'!$C$8)</f>
        <v>0</v>
      </c>
      <c r="W127" s="22">
        <f>IF(OR(S127="",V127=""),"",(S127-V127)/S127)</f>
        <v>0</v>
      </c>
      <c r="X127" s="23">
        <f>IF(W127="","preencher",IF(W127&gt;='0. Premissas (editável)'!$C$9,"Viável",IF(W127&gt;='0. Premissas (editável)'!$C$10,"Marginal","Inviável")))</f>
        <v>0</v>
      </c>
      <c r="Y127" s="23">
        <f>IF(R127="","preencher",IF(R127&gt;='0. Premissas (editável)'!$C$11,"PASSA","NÃO PASSA"))</f>
        <v>0</v>
      </c>
      <c r="Z127" s="23">
        <f>IF(AND(R127="",S127=""),"Preencher IQVIA",IF(AND(R127&lt;&gt;"",R127&lt;'0. Premissas (editável)'!$C$11),"NÃO — mercado abaixo do corte",IF(X127="Inviável","NÃO — economia não fecha",IF(D127="NÃO","NÃO — vetada na triagem",IF(X127="Marginal","REAVALIAR — margem apertada","SIM")))))</f>
        <v>0</v>
      </c>
      <c r="AA127" s="12" t="s">
        <v>179</v>
      </c>
      <c r="AB127" s="12"/>
      <c r="AC127" s="12" t="s">
        <v>91</v>
      </c>
      <c r="AD127" s="12" t="s">
        <v>180</v>
      </c>
      <c r="AE127" s="12" t="s">
        <v>178</v>
      </c>
      <c r="AF127" s="12" t="s">
        <v>181</v>
      </c>
      <c r="AG127" s="12" t="s">
        <v>180</v>
      </c>
      <c r="AH127" s="16" t="s">
        <v>180</v>
      </c>
      <c r="AI127" s="14">
        <v>0</v>
      </c>
      <c r="AJ127" s="14">
        <v>0</v>
      </c>
      <c r="AK127" s="12"/>
      <c r="AL127" s="12"/>
      <c r="AM127" s="12"/>
      <c r="AN127" s="12"/>
      <c r="AO127" s="12" t="s">
        <v>201</v>
      </c>
      <c r="AP127" s="14">
        <v>2</v>
      </c>
      <c r="AQ127" s="15" t="s">
        <v>174</v>
      </c>
      <c r="AR127" s="12" t="s">
        <v>234</v>
      </c>
      <c r="AS127" s="12" t="s">
        <v>1154</v>
      </c>
      <c r="AT127" s="12" t="s">
        <v>1155</v>
      </c>
      <c r="AU127" s="12" t="s">
        <v>1156</v>
      </c>
      <c r="AV127" s="12" t="s">
        <v>1157</v>
      </c>
      <c r="AW127" s="12" t="s">
        <v>349</v>
      </c>
      <c r="AX127" s="12" t="s">
        <v>788</v>
      </c>
      <c r="AY127" s="12" t="s">
        <v>616</v>
      </c>
    </row>
    <row r="128" spans="1:51">
      <c r="A128" s="12" t="s">
        <v>1158</v>
      </c>
      <c r="B128" s="12" t="s">
        <v>1159</v>
      </c>
      <c r="C128" s="12" t="s">
        <v>469</v>
      </c>
      <c r="D128" s="24" t="s">
        <v>180</v>
      </c>
      <c r="E128" s="16" t="s">
        <v>178</v>
      </c>
      <c r="F128" s="12" t="s">
        <v>619</v>
      </c>
      <c r="G128" s="14">
        <v>22</v>
      </c>
      <c r="H128" s="14">
        <v>5</v>
      </c>
      <c r="I128" s="14">
        <v>0</v>
      </c>
      <c r="J128" s="14">
        <v>14</v>
      </c>
      <c r="K128" s="14">
        <v>0</v>
      </c>
      <c r="L128" s="14">
        <v>3</v>
      </c>
      <c r="M128" s="12" t="s">
        <v>119</v>
      </c>
      <c r="N128" s="24" t="s">
        <v>351</v>
      </c>
      <c r="O128" s="12" t="s">
        <v>176</v>
      </c>
      <c r="P128" s="12" t="s">
        <v>380</v>
      </c>
      <c r="Q128" s="16" t="s">
        <v>178</v>
      </c>
      <c r="R128" s="19"/>
      <c r="S128" s="20"/>
      <c r="T128" s="20"/>
      <c r="U128" s="20"/>
      <c r="V128" s="21">
        <f>IF(U128="","",U128*'0. Premissas (editável)'!$C$7*'0. Premissas (editável)'!$C$8)</f>
        <v>0</v>
      </c>
      <c r="W128" s="22">
        <f>IF(OR(S128="",V128=""),"",(S128-V128)/S128)</f>
        <v>0</v>
      </c>
      <c r="X128" s="23">
        <f>IF(W128="","preencher",IF(W128&gt;='0. Premissas (editável)'!$C$9,"Viável",IF(W128&gt;='0. Premissas (editável)'!$C$10,"Marginal","Inviável")))</f>
        <v>0</v>
      </c>
      <c r="Y128" s="23">
        <f>IF(R128="","preencher",IF(R128&gt;='0. Premissas (editável)'!$C$11,"PASSA","NÃO PASSA"))</f>
        <v>0</v>
      </c>
      <c r="Z128" s="23">
        <f>IF(AND(R128="",S128=""),"Preencher IQVIA",IF(AND(R128&lt;&gt;"",R128&lt;'0. Premissas (editável)'!$C$11),"NÃO — mercado abaixo do corte",IF(X128="Inviável","NÃO — economia não fecha",IF(D128="NÃO","NÃO — vetada na triagem",IF(X128="Marginal","REAVALIAR — margem apertada","SIM")))))</f>
        <v>0</v>
      </c>
      <c r="AA128" s="12" t="s">
        <v>179</v>
      </c>
      <c r="AB128" s="12"/>
      <c r="AC128" s="12" t="s">
        <v>108</v>
      </c>
      <c r="AD128" s="12" t="s">
        <v>174</v>
      </c>
      <c r="AE128" s="12" t="s">
        <v>273</v>
      </c>
      <c r="AF128" s="12" t="s">
        <v>274</v>
      </c>
      <c r="AG128" s="12" t="s">
        <v>180</v>
      </c>
      <c r="AH128" s="16" t="s">
        <v>180</v>
      </c>
      <c r="AI128" s="14">
        <v>2</v>
      </c>
      <c r="AJ128" s="14">
        <v>2</v>
      </c>
      <c r="AK128" s="12" t="s">
        <v>1160</v>
      </c>
      <c r="AL128" s="12" t="s">
        <v>276</v>
      </c>
      <c r="AM128" s="12" t="s">
        <v>1161</v>
      </c>
      <c r="AN128" s="12" t="s">
        <v>1162</v>
      </c>
      <c r="AO128" s="12" t="s">
        <v>201</v>
      </c>
      <c r="AP128" s="14">
        <v>2</v>
      </c>
      <c r="AQ128" s="16" t="s">
        <v>180</v>
      </c>
      <c r="AR128" s="12" t="s">
        <v>1163</v>
      </c>
      <c r="AS128" s="12" t="s">
        <v>1164</v>
      </c>
      <c r="AT128" s="12" t="s">
        <v>769</v>
      </c>
      <c r="AU128" s="12" t="s">
        <v>1165</v>
      </c>
      <c r="AV128" s="12" t="s">
        <v>1166</v>
      </c>
      <c r="AW128" s="12" t="s">
        <v>582</v>
      </c>
      <c r="AX128" s="12" t="s">
        <v>1167</v>
      </c>
      <c r="AY128" s="12" t="s">
        <v>526</v>
      </c>
    </row>
    <row r="129" spans="1:51">
      <c r="A129" s="12" t="s">
        <v>1168</v>
      </c>
      <c r="B129" s="12" t="s">
        <v>1169</v>
      </c>
      <c r="C129" s="12" t="s">
        <v>303</v>
      </c>
      <c r="D129" s="24" t="s">
        <v>180</v>
      </c>
      <c r="E129" s="16" t="s">
        <v>178</v>
      </c>
      <c r="F129" s="12" t="s">
        <v>619</v>
      </c>
      <c r="G129" s="14">
        <v>22</v>
      </c>
      <c r="H129" s="14">
        <v>0</v>
      </c>
      <c r="I129" s="14">
        <v>0</v>
      </c>
      <c r="J129" s="14">
        <v>14</v>
      </c>
      <c r="K129" s="14">
        <v>0</v>
      </c>
      <c r="L129" s="14">
        <v>8</v>
      </c>
      <c r="M129" s="12" t="s">
        <v>754</v>
      </c>
      <c r="N129" s="24" t="s">
        <v>351</v>
      </c>
      <c r="O129" s="12" t="s">
        <v>176</v>
      </c>
      <c r="P129" s="12" t="s">
        <v>380</v>
      </c>
      <c r="Q129" s="16" t="s">
        <v>178</v>
      </c>
      <c r="R129" s="19"/>
      <c r="S129" s="20"/>
      <c r="T129" s="20"/>
      <c r="U129" s="20"/>
      <c r="V129" s="21">
        <f>IF(U129="","",U129*'0. Premissas (editável)'!$C$7*'0. Premissas (editável)'!$C$8)</f>
        <v>0</v>
      </c>
      <c r="W129" s="22">
        <f>IF(OR(S129="",V129=""),"",(S129-V129)/S129)</f>
        <v>0</v>
      </c>
      <c r="X129" s="23">
        <f>IF(W129="","preencher",IF(W129&gt;='0. Premissas (editável)'!$C$9,"Viável",IF(W129&gt;='0. Premissas (editável)'!$C$10,"Marginal","Inviável")))</f>
        <v>0</v>
      </c>
      <c r="Y129" s="23">
        <f>IF(R129="","preencher",IF(R129&gt;='0. Premissas (editável)'!$C$11,"PASSA","NÃO PASSA"))</f>
        <v>0</v>
      </c>
      <c r="Z129" s="23">
        <f>IF(AND(R129="",S129=""),"Preencher IQVIA",IF(AND(R129&lt;&gt;"",R129&lt;'0. Premissas (editável)'!$C$11),"NÃO — mercado abaixo do corte",IF(X129="Inviável","NÃO — economia não fecha",IF(D129="NÃO","NÃO — vetada na triagem",IF(X129="Marginal","REAVALIAR — margem apertada","SIM")))))</f>
        <v>0</v>
      </c>
      <c r="AA129" s="12" t="s">
        <v>179</v>
      </c>
      <c r="AB129" s="12"/>
      <c r="AC129" s="12" t="s">
        <v>91</v>
      </c>
      <c r="AD129" s="12" t="s">
        <v>180</v>
      </c>
      <c r="AE129" s="12" t="s">
        <v>178</v>
      </c>
      <c r="AF129" s="12" t="s">
        <v>181</v>
      </c>
      <c r="AG129" s="12" t="s">
        <v>180</v>
      </c>
      <c r="AH129" s="16" t="s">
        <v>180</v>
      </c>
      <c r="AI129" s="14">
        <v>0</v>
      </c>
      <c r="AJ129" s="14">
        <v>0</v>
      </c>
      <c r="AK129" s="12"/>
      <c r="AL129" s="12"/>
      <c r="AM129" s="12"/>
      <c r="AN129" s="12"/>
      <c r="AO129" s="12" t="s">
        <v>201</v>
      </c>
      <c r="AP129" s="14">
        <v>1</v>
      </c>
      <c r="AQ129" s="16" t="s">
        <v>180</v>
      </c>
      <c r="AR129" s="12" t="s">
        <v>234</v>
      </c>
      <c r="AS129" s="12" t="s">
        <v>184</v>
      </c>
      <c r="AT129" s="12" t="s">
        <v>1170</v>
      </c>
      <c r="AU129" s="12" t="s">
        <v>1171</v>
      </c>
      <c r="AV129" s="12" t="s">
        <v>1172</v>
      </c>
      <c r="AW129" s="12" t="s">
        <v>582</v>
      </c>
      <c r="AX129" s="12" t="s">
        <v>788</v>
      </c>
      <c r="AY129" s="12" t="s">
        <v>526</v>
      </c>
    </row>
    <row r="130" spans="1:51">
      <c r="A130" s="12" t="s">
        <v>1173</v>
      </c>
      <c r="B130" s="12" t="s">
        <v>1174</v>
      </c>
      <c r="C130" s="12" t="s">
        <v>173</v>
      </c>
      <c r="D130" s="24" t="s">
        <v>180</v>
      </c>
      <c r="E130" s="16" t="s">
        <v>178</v>
      </c>
      <c r="F130" s="12" t="s">
        <v>619</v>
      </c>
      <c r="G130" s="14">
        <v>22</v>
      </c>
      <c r="H130" s="14">
        <v>0</v>
      </c>
      <c r="I130" s="14">
        <v>0</v>
      </c>
      <c r="J130" s="14">
        <v>14</v>
      </c>
      <c r="K130" s="14">
        <v>0</v>
      </c>
      <c r="L130" s="14">
        <v>8</v>
      </c>
      <c r="M130" s="12" t="s">
        <v>754</v>
      </c>
      <c r="N130" s="24" t="s">
        <v>351</v>
      </c>
      <c r="O130" s="12" t="s">
        <v>176</v>
      </c>
      <c r="P130" s="12" t="s">
        <v>380</v>
      </c>
      <c r="Q130" s="16" t="s">
        <v>178</v>
      </c>
      <c r="R130" s="19"/>
      <c r="S130" s="20"/>
      <c r="T130" s="20"/>
      <c r="U130" s="20"/>
      <c r="V130" s="21">
        <f>IF(U130="","",U130*'0. Premissas (editável)'!$C$7*'0. Premissas (editável)'!$C$8)</f>
        <v>0</v>
      </c>
      <c r="W130" s="22">
        <f>IF(OR(S130="",V130=""),"",(S130-V130)/S130)</f>
        <v>0</v>
      </c>
      <c r="X130" s="23">
        <f>IF(W130="","preencher",IF(W130&gt;='0. Premissas (editável)'!$C$9,"Viável",IF(W130&gt;='0. Premissas (editável)'!$C$10,"Marginal","Inviável")))</f>
        <v>0</v>
      </c>
      <c r="Y130" s="23">
        <f>IF(R130="","preencher",IF(R130&gt;='0. Premissas (editável)'!$C$11,"PASSA","NÃO PASSA"))</f>
        <v>0</v>
      </c>
      <c r="Z130" s="23">
        <f>IF(AND(R130="",S130=""),"Preencher IQVIA",IF(AND(R130&lt;&gt;"",R130&lt;'0. Premissas (editável)'!$C$11),"NÃO — mercado abaixo do corte",IF(X130="Inviável","NÃO — economia não fecha",IF(D130="NÃO","NÃO — vetada na triagem",IF(X130="Marginal","REAVALIAR — margem apertada","SIM")))))</f>
        <v>0</v>
      </c>
      <c r="AA130" s="12" t="s">
        <v>179</v>
      </c>
      <c r="AB130" s="12"/>
      <c r="AC130" s="12" t="s">
        <v>91</v>
      </c>
      <c r="AD130" s="12" t="s">
        <v>180</v>
      </c>
      <c r="AE130" s="12" t="s">
        <v>178</v>
      </c>
      <c r="AF130" s="12" t="s">
        <v>181</v>
      </c>
      <c r="AG130" s="12" t="s">
        <v>180</v>
      </c>
      <c r="AH130" s="16" t="s">
        <v>180</v>
      </c>
      <c r="AI130" s="14">
        <v>0</v>
      </c>
      <c r="AJ130" s="14">
        <v>0</v>
      </c>
      <c r="AK130" s="12"/>
      <c r="AL130" s="12"/>
      <c r="AM130" s="12"/>
      <c r="AN130" s="12"/>
      <c r="AO130" s="12" t="s">
        <v>201</v>
      </c>
      <c r="AP130" s="14">
        <v>1</v>
      </c>
      <c r="AQ130" s="16" t="s">
        <v>180</v>
      </c>
      <c r="AR130" s="12" t="s">
        <v>234</v>
      </c>
      <c r="AS130" s="12" t="s">
        <v>184</v>
      </c>
      <c r="AT130" s="12" t="s">
        <v>1175</v>
      </c>
      <c r="AU130" s="12" t="s">
        <v>1176</v>
      </c>
      <c r="AV130" s="12" t="s">
        <v>1177</v>
      </c>
      <c r="AW130" s="12" t="s">
        <v>466</v>
      </c>
      <c r="AX130" s="12" t="s">
        <v>788</v>
      </c>
      <c r="AY130" s="12" t="s">
        <v>526</v>
      </c>
    </row>
    <row r="131" spans="1:51">
      <c r="A131" s="12" t="s">
        <v>1178</v>
      </c>
      <c r="B131" s="12" t="s">
        <v>1179</v>
      </c>
      <c r="C131" s="12" t="s">
        <v>173</v>
      </c>
      <c r="D131" s="24" t="s">
        <v>180</v>
      </c>
      <c r="E131" s="16" t="s">
        <v>178</v>
      </c>
      <c r="F131" s="12" t="s">
        <v>619</v>
      </c>
      <c r="G131" s="14">
        <v>22</v>
      </c>
      <c r="H131" s="14">
        <v>0</v>
      </c>
      <c r="I131" s="14">
        <v>0</v>
      </c>
      <c r="J131" s="14">
        <v>14</v>
      </c>
      <c r="K131" s="14">
        <v>0</v>
      </c>
      <c r="L131" s="14">
        <v>8</v>
      </c>
      <c r="M131" s="12" t="s">
        <v>754</v>
      </c>
      <c r="N131" s="24" t="s">
        <v>351</v>
      </c>
      <c r="O131" s="12" t="s">
        <v>176</v>
      </c>
      <c r="P131" s="12" t="s">
        <v>380</v>
      </c>
      <c r="Q131" s="16" t="s">
        <v>178</v>
      </c>
      <c r="R131" s="19"/>
      <c r="S131" s="20"/>
      <c r="T131" s="20"/>
      <c r="U131" s="20"/>
      <c r="V131" s="21">
        <f>IF(U131="","",U131*'0. Premissas (editável)'!$C$7*'0. Premissas (editável)'!$C$8)</f>
        <v>0</v>
      </c>
      <c r="W131" s="22">
        <f>IF(OR(S131="",V131=""),"",(S131-V131)/S131)</f>
        <v>0</v>
      </c>
      <c r="X131" s="23">
        <f>IF(W131="","preencher",IF(W131&gt;='0. Premissas (editável)'!$C$9,"Viável",IF(W131&gt;='0. Premissas (editável)'!$C$10,"Marginal","Inviável")))</f>
        <v>0</v>
      </c>
      <c r="Y131" s="23">
        <f>IF(R131="","preencher",IF(R131&gt;='0. Premissas (editável)'!$C$11,"PASSA","NÃO PASSA"))</f>
        <v>0</v>
      </c>
      <c r="Z131" s="23">
        <f>IF(AND(R131="",S131=""),"Preencher IQVIA",IF(AND(R131&lt;&gt;"",R131&lt;'0. Premissas (editável)'!$C$11),"NÃO — mercado abaixo do corte",IF(X131="Inviável","NÃO — economia não fecha",IF(D131="NÃO","NÃO — vetada na triagem",IF(X131="Marginal","REAVALIAR — margem apertada","SIM")))))</f>
        <v>0</v>
      </c>
      <c r="AA131" s="12" t="s">
        <v>179</v>
      </c>
      <c r="AB131" s="12"/>
      <c r="AC131" s="12" t="s">
        <v>91</v>
      </c>
      <c r="AD131" s="12" t="s">
        <v>180</v>
      </c>
      <c r="AE131" s="12" t="s">
        <v>178</v>
      </c>
      <c r="AF131" s="12" t="s">
        <v>181</v>
      </c>
      <c r="AG131" s="12" t="s">
        <v>180</v>
      </c>
      <c r="AH131" s="16" t="s">
        <v>180</v>
      </c>
      <c r="AI131" s="14">
        <v>0</v>
      </c>
      <c r="AJ131" s="14">
        <v>0</v>
      </c>
      <c r="AK131" s="12"/>
      <c r="AL131" s="12"/>
      <c r="AM131" s="12"/>
      <c r="AN131" s="12"/>
      <c r="AO131" s="12" t="s">
        <v>201</v>
      </c>
      <c r="AP131" s="14">
        <v>1</v>
      </c>
      <c r="AQ131" s="16" t="s">
        <v>180</v>
      </c>
      <c r="AR131" s="12" t="s">
        <v>234</v>
      </c>
      <c r="AS131" s="12" t="s">
        <v>184</v>
      </c>
      <c r="AT131" s="12" t="s">
        <v>1180</v>
      </c>
      <c r="AU131" s="12" t="s">
        <v>1181</v>
      </c>
      <c r="AV131" s="12" t="s">
        <v>1182</v>
      </c>
      <c r="AW131" s="12" t="s">
        <v>983</v>
      </c>
      <c r="AX131" s="12" t="s">
        <v>788</v>
      </c>
      <c r="AY131" s="12" t="s">
        <v>526</v>
      </c>
    </row>
    <row r="132" spans="1:51">
      <c r="A132" s="12" t="s">
        <v>1183</v>
      </c>
      <c r="B132" s="12" t="s">
        <v>1184</v>
      </c>
      <c r="C132" s="12" t="s">
        <v>469</v>
      </c>
      <c r="D132" s="24" t="s">
        <v>180</v>
      </c>
      <c r="E132" s="16" t="s">
        <v>178</v>
      </c>
      <c r="F132" s="12" t="s">
        <v>619</v>
      </c>
      <c r="G132" s="14">
        <v>19</v>
      </c>
      <c r="H132" s="14">
        <v>0</v>
      </c>
      <c r="I132" s="14">
        <v>0</v>
      </c>
      <c r="J132" s="14">
        <v>14</v>
      </c>
      <c r="K132" s="14">
        <v>2</v>
      </c>
      <c r="L132" s="14">
        <v>3</v>
      </c>
      <c r="M132" s="12" t="s">
        <v>754</v>
      </c>
      <c r="N132" s="24" t="s">
        <v>351</v>
      </c>
      <c r="O132" s="12" t="s">
        <v>176</v>
      </c>
      <c r="P132" s="12" t="s">
        <v>380</v>
      </c>
      <c r="Q132" s="16" t="s">
        <v>178</v>
      </c>
      <c r="R132" s="19"/>
      <c r="S132" s="20"/>
      <c r="T132" s="20"/>
      <c r="U132" s="20"/>
      <c r="V132" s="21">
        <f>IF(U132="","",U132*'0. Premissas (editável)'!$C$7*'0. Premissas (editável)'!$C$8)</f>
        <v>0</v>
      </c>
      <c r="W132" s="22">
        <f>IF(OR(S132="",V132=""),"",(S132-V132)/S132)</f>
        <v>0</v>
      </c>
      <c r="X132" s="23">
        <f>IF(W132="","preencher",IF(W132&gt;='0. Premissas (editável)'!$C$9,"Viável",IF(W132&gt;='0. Premissas (editável)'!$C$10,"Marginal","Inviável")))</f>
        <v>0</v>
      </c>
      <c r="Y132" s="23">
        <f>IF(R132="","preencher",IF(R132&gt;='0. Premissas (editável)'!$C$11,"PASSA","NÃO PASSA"))</f>
        <v>0</v>
      </c>
      <c r="Z132" s="23">
        <f>IF(AND(R132="",S132=""),"Preencher IQVIA",IF(AND(R132&lt;&gt;"",R132&lt;'0. Premissas (editável)'!$C$11),"NÃO — mercado abaixo do corte",IF(X132="Inviável","NÃO — economia não fecha",IF(D132="NÃO","NÃO — vetada na triagem",IF(X132="Marginal","REAVALIAR — margem apertada","SIM")))))</f>
        <v>0</v>
      </c>
      <c r="AA132" s="12" t="s">
        <v>179</v>
      </c>
      <c r="AB132" s="12"/>
      <c r="AC132" s="12" t="s">
        <v>108</v>
      </c>
      <c r="AD132" s="12" t="s">
        <v>174</v>
      </c>
      <c r="AE132" s="12" t="s">
        <v>242</v>
      </c>
      <c r="AF132" s="12" t="s">
        <v>274</v>
      </c>
      <c r="AG132" s="12" t="s">
        <v>180</v>
      </c>
      <c r="AH132" s="16" t="s">
        <v>180</v>
      </c>
      <c r="AI132" s="14">
        <v>2</v>
      </c>
      <c r="AJ132" s="14">
        <v>2</v>
      </c>
      <c r="AK132" s="12" t="s">
        <v>1185</v>
      </c>
      <c r="AL132" s="12" t="s">
        <v>1186</v>
      </c>
      <c r="AM132" s="12" t="s">
        <v>1187</v>
      </c>
      <c r="AN132" s="12" t="s">
        <v>1188</v>
      </c>
      <c r="AO132" s="12" t="s">
        <v>201</v>
      </c>
      <c r="AP132" s="14">
        <v>8</v>
      </c>
      <c r="AQ132" s="16" t="s">
        <v>180</v>
      </c>
      <c r="AR132" s="12" t="s">
        <v>1189</v>
      </c>
      <c r="AS132" s="12" t="s">
        <v>184</v>
      </c>
      <c r="AT132" s="12" t="s">
        <v>1190</v>
      </c>
      <c r="AU132" s="12" t="s">
        <v>1191</v>
      </c>
      <c r="AV132" s="12" t="s">
        <v>1192</v>
      </c>
      <c r="AW132" s="12" t="s">
        <v>636</v>
      </c>
      <c r="AX132" s="12" t="s">
        <v>1193</v>
      </c>
      <c r="AY132" s="12" t="s">
        <v>526</v>
      </c>
    </row>
    <row r="133" spans="1:51">
      <c r="A133" s="12" t="s">
        <v>1194</v>
      </c>
      <c r="B133" s="12" t="s">
        <v>1195</v>
      </c>
      <c r="C133" s="12" t="s">
        <v>292</v>
      </c>
      <c r="D133" s="24" t="s">
        <v>180</v>
      </c>
      <c r="E133" s="16" t="s">
        <v>178</v>
      </c>
      <c r="F133" s="12" t="s">
        <v>619</v>
      </c>
      <c r="G133" s="14">
        <v>19</v>
      </c>
      <c r="H133" s="14">
        <v>5</v>
      </c>
      <c r="I133" s="14">
        <v>4</v>
      </c>
      <c r="J133" s="14">
        <v>0</v>
      </c>
      <c r="K133" s="14">
        <v>2</v>
      </c>
      <c r="L133" s="14">
        <v>8</v>
      </c>
      <c r="M133" s="12" t="s">
        <v>119</v>
      </c>
      <c r="N133" s="24" t="s">
        <v>351</v>
      </c>
      <c r="O133" s="12" t="s">
        <v>1033</v>
      </c>
      <c r="P133" s="12" t="s">
        <v>380</v>
      </c>
      <c r="Q133" s="16" t="s">
        <v>178</v>
      </c>
      <c r="R133" s="19"/>
      <c r="S133" s="20"/>
      <c r="T133" s="20"/>
      <c r="U133" s="20"/>
      <c r="V133" s="21">
        <f>IF(U133="","",U133*'0. Premissas (editável)'!$C$7*'0. Premissas (editável)'!$C$8)</f>
        <v>0</v>
      </c>
      <c r="W133" s="22">
        <f>IF(OR(S133="",V133=""),"",(S133-V133)/S133)</f>
        <v>0</v>
      </c>
      <c r="X133" s="23">
        <f>IF(W133="","preencher",IF(W133&gt;='0. Premissas (editável)'!$C$9,"Viável",IF(W133&gt;='0. Premissas (editável)'!$C$10,"Marginal","Inviável")))</f>
        <v>0</v>
      </c>
      <c r="Y133" s="23">
        <f>IF(R133="","preencher",IF(R133&gt;='0. Premissas (editável)'!$C$11,"PASSA","NÃO PASSA"))</f>
        <v>0</v>
      </c>
      <c r="Z133" s="23">
        <f>IF(AND(R133="",S133=""),"Preencher IQVIA",IF(AND(R133&lt;&gt;"",R133&lt;'0. Premissas (editável)'!$C$11),"NÃO — mercado abaixo do corte",IF(X133="Inviável","NÃO — economia não fecha",IF(D133="NÃO","NÃO — vetada na triagem",IF(X133="Marginal","REAVALIAR — margem apertada","SIM")))))</f>
        <v>0</v>
      </c>
      <c r="AA133" s="12" t="s">
        <v>353</v>
      </c>
      <c r="AB133" s="12" t="s">
        <v>1196</v>
      </c>
      <c r="AC133" s="12" t="s">
        <v>91</v>
      </c>
      <c r="AD133" s="12" t="s">
        <v>180</v>
      </c>
      <c r="AE133" s="12" t="s">
        <v>178</v>
      </c>
      <c r="AF133" s="12" t="s">
        <v>181</v>
      </c>
      <c r="AG133" s="12" t="s">
        <v>180</v>
      </c>
      <c r="AH133" s="16" t="s">
        <v>180</v>
      </c>
      <c r="AI133" s="14">
        <v>0</v>
      </c>
      <c r="AJ133" s="14">
        <v>0</v>
      </c>
      <c r="AK133" s="12"/>
      <c r="AL133" s="12"/>
      <c r="AM133" s="12"/>
      <c r="AN133" s="12"/>
      <c r="AO133" s="12" t="s">
        <v>218</v>
      </c>
      <c r="AP133" s="14">
        <v>5</v>
      </c>
      <c r="AQ133" s="16" t="s">
        <v>180</v>
      </c>
      <c r="AR133" s="12" t="s">
        <v>1197</v>
      </c>
      <c r="AS133" s="12" t="s">
        <v>184</v>
      </c>
      <c r="AT133" s="12" t="s">
        <v>699</v>
      </c>
      <c r="AU133" s="12" t="s">
        <v>1198</v>
      </c>
      <c r="AV133" s="12" t="s">
        <v>1199</v>
      </c>
      <c r="AW133" s="12" t="s">
        <v>708</v>
      </c>
      <c r="AX133" s="12" t="s">
        <v>1200</v>
      </c>
      <c r="AY133" s="12" t="s">
        <v>1040</v>
      </c>
    </row>
    <row r="134" spans="1:51">
      <c r="A134" s="12" t="s">
        <v>1201</v>
      </c>
      <c r="B134" s="12" t="s">
        <v>1202</v>
      </c>
      <c r="C134" s="12" t="s">
        <v>173</v>
      </c>
      <c r="D134" s="24" t="s">
        <v>180</v>
      </c>
      <c r="E134" s="16" t="s">
        <v>178</v>
      </c>
      <c r="F134" s="12" t="s">
        <v>619</v>
      </c>
      <c r="G134" s="14">
        <v>17</v>
      </c>
      <c r="H134" s="14">
        <v>0</v>
      </c>
      <c r="I134" s="14">
        <v>0</v>
      </c>
      <c r="J134" s="14">
        <v>14</v>
      </c>
      <c r="K134" s="14">
        <v>0</v>
      </c>
      <c r="L134" s="14">
        <v>3</v>
      </c>
      <c r="M134" s="12" t="s">
        <v>754</v>
      </c>
      <c r="N134" s="24" t="s">
        <v>351</v>
      </c>
      <c r="O134" s="12" t="s">
        <v>176</v>
      </c>
      <c r="P134" s="12" t="s">
        <v>380</v>
      </c>
      <c r="Q134" s="16" t="s">
        <v>178</v>
      </c>
      <c r="R134" s="19"/>
      <c r="S134" s="20"/>
      <c r="T134" s="20"/>
      <c r="U134" s="20"/>
      <c r="V134" s="21">
        <f>IF(U134="","",U134*'0. Premissas (editável)'!$C$7*'0. Premissas (editável)'!$C$8)</f>
        <v>0</v>
      </c>
      <c r="W134" s="22">
        <f>IF(OR(S134="",V134=""),"",(S134-V134)/S134)</f>
        <v>0</v>
      </c>
      <c r="X134" s="23">
        <f>IF(W134="","preencher",IF(W134&gt;='0. Premissas (editável)'!$C$9,"Viável",IF(W134&gt;='0. Premissas (editável)'!$C$10,"Marginal","Inviável")))</f>
        <v>0</v>
      </c>
      <c r="Y134" s="23">
        <f>IF(R134="","preencher",IF(R134&gt;='0. Premissas (editável)'!$C$11,"PASSA","NÃO PASSA"))</f>
        <v>0</v>
      </c>
      <c r="Z134" s="23">
        <f>IF(AND(R134="",S134=""),"Preencher IQVIA",IF(AND(R134&lt;&gt;"",R134&lt;'0. Premissas (editável)'!$C$11),"NÃO — mercado abaixo do corte",IF(X134="Inviável","NÃO — economia não fecha",IF(D134="NÃO","NÃO — vetada na triagem",IF(X134="Marginal","REAVALIAR — margem apertada","SIM")))))</f>
        <v>0</v>
      </c>
      <c r="AA134" s="12" t="s">
        <v>179</v>
      </c>
      <c r="AB134" s="12"/>
      <c r="AC134" s="12" t="s">
        <v>108</v>
      </c>
      <c r="AD134" s="12" t="s">
        <v>174</v>
      </c>
      <c r="AE134" s="12" t="s">
        <v>242</v>
      </c>
      <c r="AF134" s="12" t="s">
        <v>274</v>
      </c>
      <c r="AG134" s="12" t="s">
        <v>180</v>
      </c>
      <c r="AH134" s="16" t="s">
        <v>180</v>
      </c>
      <c r="AI134" s="14">
        <v>4</v>
      </c>
      <c r="AJ134" s="14">
        <v>4</v>
      </c>
      <c r="AK134" s="12" t="s">
        <v>1203</v>
      </c>
      <c r="AL134" s="12" t="s">
        <v>305</v>
      </c>
      <c r="AM134" s="12" t="s">
        <v>1204</v>
      </c>
      <c r="AN134" s="12" t="s">
        <v>1205</v>
      </c>
      <c r="AO134" s="12" t="s">
        <v>201</v>
      </c>
      <c r="AP134" s="14">
        <v>3</v>
      </c>
      <c r="AQ134" s="16" t="s">
        <v>180</v>
      </c>
      <c r="AR134" s="12" t="s">
        <v>234</v>
      </c>
      <c r="AS134" s="12" t="s">
        <v>184</v>
      </c>
      <c r="AT134" s="12" t="s">
        <v>1206</v>
      </c>
      <c r="AU134" s="12" t="s">
        <v>1207</v>
      </c>
      <c r="AV134" s="12" t="s">
        <v>1208</v>
      </c>
      <c r="AW134" s="12" t="s">
        <v>479</v>
      </c>
      <c r="AX134" s="12" t="s">
        <v>1209</v>
      </c>
      <c r="AY134" s="12" t="s">
        <v>526</v>
      </c>
    </row>
    <row r="135" spans="1:51">
      <c r="A135" s="12" t="s">
        <v>1210</v>
      </c>
      <c r="B135" s="12" t="s">
        <v>1211</v>
      </c>
      <c r="C135" s="12" t="s">
        <v>378</v>
      </c>
      <c r="D135" s="24" t="s">
        <v>180</v>
      </c>
      <c r="E135" s="16" t="s">
        <v>178</v>
      </c>
      <c r="F135" s="12" t="s">
        <v>619</v>
      </c>
      <c r="G135" s="14">
        <v>17</v>
      </c>
      <c r="H135" s="14">
        <v>0</v>
      </c>
      <c r="I135" s="14">
        <v>0</v>
      </c>
      <c r="J135" s="14">
        <v>14</v>
      </c>
      <c r="K135" s="14">
        <v>0</v>
      </c>
      <c r="L135" s="14">
        <v>3</v>
      </c>
      <c r="M135" s="12" t="s">
        <v>754</v>
      </c>
      <c r="N135" s="24" t="s">
        <v>351</v>
      </c>
      <c r="O135" s="12" t="s">
        <v>176</v>
      </c>
      <c r="P135" s="12" t="s">
        <v>380</v>
      </c>
      <c r="Q135" s="16" t="s">
        <v>178</v>
      </c>
      <c r="R135" s="19"/>
      <c r="S135" s="20"/>
      <c r="T135" s="20"/>
      <c r="U135" s="20"/>
      <c r="V135" s="21">
        <f>IF(U135="","",U135*'0. Premissas (editável)'!$C$7*'0. Premissas (editável)'!$C$8)</f>
        <v>0</v>
      </c>
      <c r="W135" s="22">
        <f>IF(OR(S135="",V135=""),"",(S135-V135)/S135)</f>
        <v>0</v>
      </c>
      <c r="X135" s="23">
        <f>IF(W135="","preencher",IF(W135&gt;='0. Premissas (editável)'!$C$9,"Viável",IF(W135&gt;='0. Premissas (editável)'!$C$10,"Marginal","Inviável")))</f>
        <v>0</v>
      </c>
      <c r="Y135" s="23">
        <f>IF(R135="","preencher",IF(R135&gt;='0. Premissas (editável)'!$C$11,"PASSA","NÃO PASSA"))</f>
        <v>0</v>
      </c>
      <c r="Z135" s="23">
        <f>IF(AND(R135="",S135=""),"Preencher IQVIA",IF(AND(R135&lt;&gt;"",R135&lt;'0. Premissas (editável)'!$C$11),"NÃO — mercado abaixo do corte",IF(X135="Inviável","NÃO — economia não fecha",IF(D135="NÃO","NÃO — vetada na triagem",IF(X135="Marginal","REAVALIAR — margem apertada","SIM")))))</f>
        <v>0</v>
      </c>
      <c r="AA135" s="12" t="s">
        <v>179</v>
      </c>
      <c r="AB135" s="12"/>
      <c r="AC135" s="12" t="s">
        <v>108</v>
      </c>
      <c r="AD135" s="12" t="s">
        <v>174</v>
      </c>
      <c r="AE135" s="12" t="s">
        <v>273</v>
      </c>
      <c r="AF135" s="12" t="s">
        <v>274</v>
      </c>
      <c r="AG135" s="12" t="s">
        <v>180</v>
      </c>
      <c r="AH135" s="16" t="s">
        <v>180</v>
      </c>
      <c r="AI135" s="14">
        <v>2</v>
      </c>
      <c r="AJ135" s="14">
        <v>2</v>
      </c>
      <c r="AK135" s="12" t="s">
        <v>536</v>
      </c>
      <c r="AL135" s="12" t="s">
        <v>305</v>
      </c>
      <c r="AM135" s="12" t="s">
        <v>537</v>
      </c>
      <c r="AN135" s="12" t="s">
        <v>538</v>
      </c>
      <c r="AO135" s="12" t="s">
        <v>201</v>
      </c>
      <c r="AP135" s="14">
        <v>2</v>
      </c>
      <c r="AQ135" s="16" t="s">
        <v>180</v>
      </c>
      <c r="AR135" s="12" t="s">
        <v>1212</v>
      </c>
      <c r="AS135" s="12" t="s">
        <v>184</v>
      </c>
      <c r="AT135" s="12" t="s">
        <v>1120</v>
      </c>
      <c r="AU135" s="12" t="s">
        <v>1213</v>
      </c>
      <c r="AV135" s="12" t="s">
        <v>1214</v>
      </c>
      <c r="AW135" s="12" t="s">
        <v>398</v>
      </c>
      <c r="AX135" s="12" t="s">
        <v>1193</v>
      </c>
      <c r="AY135" s="12" t="s">
        <v>526</v>
      </c>
    </row>
    <row r="136" spans="1:51">
      <c r="A136" s="12" t="s">
        <v>1215</v>
      </c>
      <c r="B136" s="12" t="s">
        <v>1216</v>
      </c>
      <c r="C136" s="12" t="s">
        <v>292</v>
      </c>
      <c r="D136" s="24" t="s">
        <v>180</v>
      </c>
      <c r="E136" s="16" t="s">
        <v>178</v>
      </c>
      <c r="F136" s="12" t="s">
        <v>619</v>
      </c>
      <c r="G136" s="14">
        <v>13</v>
      </c>
      <c r="H136" s="14">
        <v>5</v>
      </c>
      <c r="I136" s="14">
        <v>0</v>
      </c>
      <c r="J136" s="14">
        <v>0</v>
      </c>
      <c r="K136" s="14">
        <v>0</v>
      </c>
      <c r="L136" s="14">
        <v>8</v>
      </c>
      <c r="M136" s="12" t="s">
        <v>119</v>
      </c>
      <c r="N136" s="24" t="s">
        <v>351</v>
      </c>
      <c r="O136" s="12" t="s">
        <v>1033</v>
      </c>
      <c r="P136" s="12" t="s">
        <v>380</v>
      </c>
      <c r="Q136" s="16" t="s">
        <v>178</v>
      </c>
      <c r="R136" s="19"/>
      <c r="S136" s="20"/>
      <c r="T136" s="20"/>
      <c r="U136" s="20"/>
      <c r="V136" s="21">
        <f>IF(U136="","",U136*'0. Premissas (editável)'!$C$7*'0. Premissas (editável)'!$C$8)</f>
        <v>0</v>
      </c>
      <c r="W136" s="22">
        <f>IF(OR(S136="",V136=""),"",(S136-V136)/S136)</f>
        <v>0</v>
      </c>
      <c r="X136" s="23">
        <f>IF(W136="","preencher",IF(W136&gt;='0. Premissas (editável)'!$C$9,"Viável",IF(W136&gt;='0. Premissas (editável)'!$C$10,"Marginal","Inviável")))</f>
        <v>0</v>
      </c>
      <c r="Y136" s="23">
        <f>IF(R136="","preencher",IF(R136&gt;='0. Premissas (editável)'!$C$11,"PASSA","NÃO PASSA"))</f>
        <v>0</v>
      </c>
      <c r="Z136" s="23">
        <f>IF(AND(R136="",S136=""),"Preencher IQVIA",IF(AND(R136&lt;&gt;"",R136&lt;'0. Premissas (editável)'!$C$11),"NÃO — mercado abaixo do corte",IF(X136="Inviável","NÃO — economia não fecha",IF(D136="NÃO","NÃO — vetada na triagem",IF(X136="Marginal","REAVALIAR — margem apertada","SIM")))))</f>
        <v>0</v>
      </c>
      <c r="AA136" s="12" t="s">
        <v>353</v>
      </c>
      <c r="AB136" s="12" t="s">
        <v>1217</v>
      </c>
      <c r="AC136" s="12" t="s">
        <v>91</v>
      </c>
      <c r="AD136" s="12" t="s">
        <v>180</v>
      </c>
      <c r="AE136" s="12" t="s">
        <v>178</v>
      </c>
      <c r="AF136" s="12" t="s">
        <v>181</v>
      </c>
      <c r="AG136" s="12" t="s">
        <v>180</v>
      </c>
      <c r="AH136" s="16" t="s">
        <v>180</v>
      </c>
      <c r="AI136" s="14">
        <v>0</v>
      </c>
      <c r="AJ136" s="14">
        <v>0</v>
      </c>
      <c r="AK136" s="12"/>
      <c r="AL136" s="12"/>
      <c r="AM136" s="12"/>
      <c r="AN136" s="12"/>
      <c r="AO136" s="12" t="s">
        <v>201</v>
      </c>
      <c r="AP136" s="14">
        <v>2</v>
      </c>
      <c r="AQ136" s="16" t="s">
        <v>180</v>
      </c>
      <c r="AR136" s="12" t="s">
        <v>234</v>
      </c>
      <c r="AS136" s="12" t="s">
        <v>184</v>
      </c>
      <c r="AT136" s="12" t="s">
        <v>1218</v>
      </c>
      <c r="AU136" s="12" t="s">
        <v>1219</v>
      </c>
      <c r="AV136" s="12" t="s">
        <v>1220</v>
      </c>
      <c r="AW136" s="12" t="s">
        <v>323</v>
      </c>
      <c r="AX136" s="12" t="s">
        <v>1221</v>
      </c>
      <c r="AY136" s="12" t="s">
        <v>1040</v>
      </c>
    </row>
    <row r="137" spans="1:51">
      <c r="A137" s="12" t="s">
        <v>1222</v>
      </c>
      <c r="B137" s="12" t="s">
        <v>1223</v>
      </c>
      <c r="C137" s="12" t="s">
        <v>292</v>
      </c>
      <c r="D137" s="24" t="s">
        <v>180</v>
      </c>
      <c r="E137" s="16" t="s">
        <v>178</v>
      </c>
      <c r="F137" s="12" t="s">
        <v>619</v>
      </c>
      <c r="G137" s="14">
        <v>12</v>
      </c>
      <c r="H137" s="14">
        <v>5</v>
      </c>
      <c r="I137" s="14">
        <v>4</v>
      </c>
      <c r="J137" s="14">
        <v>0</v>
      </c>
      <c r="K137" s="14">
        <v>0</v>
      </c>
      <c r="L137" s="14">
        <v>3</v>
      </c>
      <c r="M137" s="12" t="s">
        <v>119</v>
      </c>
      <c r="N137" s="24" t="s">
        <v>351</v>
      </c>
      <c r="O137" s="12" t="s">
        <v>1033</v>
      </c>
      <c r="P137" s="12" t="s">
        <v>380</v>
      </c>
      <c r="Q137" s="16" t="s">
        <v>178</v>
      </c>
      <c r="R137" s="19"/>
      <c r="S137" s="20"/>
      <c r="T137" s="20"/>
      <c r="U137" s="20"/>
      <c r="V137" s="21">
        <f>IF(U137="","",U137*'0. Premissas (editável)'!$C$7*'0. Premissas (editável)'!$C$8)</f>
        <v>0</v>
      </c>
      <c r="W137" s="22">
        <f>IF(OR(S137="",V137=""),"",(S137-V137)/S137)</f>
        <v>0</v>
      </c>
      <c r="X137" s="23">
        <f>IF(W137="","preencher",IF(W137&gt;='0. Premissas (editável)'!$C$9,"Viável",IF(W137&gt;='0. Premissas (editável)'!$C$10,"Marginal","Inviável")))</f>
        <v>0</v>
      </c>
      <c r="Y137" s="23">
        <f>IF(R137="","preencher",IF(R137&gt;='0. Premissas (editável)'!$C$11,"PASSA","NÃO PASSA"))</f>
        <v>0</v>
      </c>
      <c r="Z137" s="23">
        <f>IF(AND(R137="",S137=""),"Preencher IQVIA",IF(AND(R137&lt;&gt;"",R137&lt;'0. Premissas (editável)'!$C$11),"NÃO — mercado abaixo do corte",IF(X137="Inviável","NÃO — economia não fecha",IF(D137="NÃO","NÃO — vetada na triagem",IF(X137="Marginal","REAVALIAR — margem apertada","SIM")))))</f>
        <v>0</v>
      </c>
      <c r="AA137" s="12" t="s">
        <v>353</v>
      </c>
      <c r="AB137" s="12" t="s">
        <v>1224</v>
      </c>
      <c r="AC137" s="12" t="s">
        <v>108</v>
      </c>
      <c r="AD137" s="12" t="s">
        <v>174</v>
      </c>
      <c r="AE137" s="12" t="s">
        <v>242</v>
      </c>
      <c r="AF137" s="12" t="s">
        <v>274</v>
      </c>
      <c r="AG137" s="12" t="s">
        <v>180</v>
      </c>
      <c r="AH137" s="16" t="s">
        <v>180</v>
      </c>
      <c r="AI137" s="14">
        <v>6</v>
      </c>
      <c r="AJ137" s="14">
        <v>6</v>
      </c>
      <c r="AK137" s="12" t="s">
        <v>1225</v>
      </c>
      <c r="AL137" s="12" t="s">
        <v>1226</v>
      </c>
      <c r="AM137" s="12" t="s">
        <v>1227</v>
      </c>
      <c r="AN137" s="12" t="s">
        <v>1228</v>
      </c>
      <c r="AO137" s="12" t="s">
        <v>218</v>
      </c>
      <c r="AP137" s="14">
        <v>3</v>
      </c>
      <c r="AQ137" s="16" t="s">
        <v>180</v>
      </c>
      <c r="AR137" s="12" t="s">
        <v>1229</v>
      </c>
      <c r="AS137" s="12" t="s">
        <v>184</v>
      </c>
      <c r="AT137" s="12" t="s">
        <v>540</v>
      </c>
      <c r="AU137" s="12" t="s">
        <v>1230</v>
      </c>
      <c r="AV137" s="12" t="s">
        <v>1231</v>
      </c>
      <c r="AW137" s="12" t="s">
        <v>311</v>
      </c>
      <c r="AX137" s="12" t="s">
        <v>1232</v>
      </c>
      <c r="AY137" s="12" t="s">
        <v>1040</v>
      </c>
    </row>
  </sheetData>
  <autoFilter ref="A1:AY137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U32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9.7109375" customWidth="1"/>
    <col min="2" max="2" width="46.7109375" customWidth="1"/>
    <col min="3" max="3" width="22.7109375" customWidth="1"/>
    <col min="4" max="4" width="24.7109375" customWidth="1"/>
    <col min="5" max="5" width="25.7109375" customWidth="1"/>
    <col min="6" max="6" width="30.7109375" customWidth="1"/>
    <col min="7" max="7" width="24.7109375" customWidth="1"/>
    <col min="8" max="8" width="34.7109375" customWidth="1"/>
    <col min="9" max="9" width="26.7109375" customWidth="1"/>
    <col min="10" max="10" width="15.7109375" customWidth="1"/>
    <col min="11" max="11" width="20.7109375" customWidth="1"/>
    <col min="12" max="12" width="22.7109375" customWidth="1"/>
    <col min="13" max="14" width="16.7109375" customWidth="1"/>
    <col min="15" max="16" width="14.7109375" customWidth="1"/>
    <col min="17" max="17" width="10.7109375" customWidth="1"/>
    <col min="18" max="18" width="11.7109375" customWidth="1"/>
    <col min="19" max="19" width="20.7109375" customWidth="1"/>
    <col min="20" max="20" width="44.7109375" customWidth="1"/>
    <col min="21" max="21" width="13.7109375" customWidth="1"/>
  </cols>
  <sheetData>
    <row r="1" spans="1:21" ht="34" customHeight="1">
      <c r="A1" s="3" t="s">
        <v>1233</v>
      </c>
      <c r="B1" s="3" t="s">
        <v>1234</v>
      </c>
      <c r="C1" s="3" t="s">
        <v>124</v>
      </c>
      <c r="D1" s="3" t="s">
        <v>123</v>
      </c>
      <c r="E1" s="3" t="s">
        <v>125</v>
      </c>
      <c r="F1" s="3" t="s">
        <v>166</v>
      </c>
      <c r="G1" s="3" t="s">
        <v>1235</v>
      </c>
      <c r="H1" s="3" t="s">
        <v>1236</v>
      </c>
      <c r="I1" s="3" t="s">
        <v>1237</v>
      </c>
      <c r="J1" s="3" t="s">
        <v>1238</v>
      </c>
      <c r="K1" s="3" t="s">
        <v>1239</v>
      </c>
      <c r="L1" s="3" t="s">
        <v>1240</v>
      </c>
      <c r="M1" s="3" t="s">
        <v>1241</v>
      </c>
      <c r="N1" s="3" t="s">
        <v>1242</v>
      </c>
      <c r="O1" s="3" t="s">
        <v>1243</v>
      </c>
      <c r="P1" s="3" t="s">
        <v>1244</v>
      </c>
      <c r="Q1" s="3" t="s">
        <v>1245</v>
      </c>
      <c r="R1" s="3" t="s">
        <v>1246</v>
      </c>
      <c r="S1" s="3" t="s">
        <v>83</v>
      </c>
      <c r="T1" s="3" t="s">
        <v>127</v>
      </c>
      <c r="U1" s="3" t="s">
        <v>1247</v>
      </c>
    </row>
    <row r="2" spans="1:21">
      <c r="A2" s="14">
        <v>9</v>
      </c>
      <c r="B2" s="12" t="s">
        <v>830</v>
      </c>
      <c r="C2" s="12" t="s">
        <v>825</v>
      </c>
      <c r="D2" s="12" t="s">
        <v>824</v>
      </c>
      <c r="E2" s="12" t="s">
        <v>469</v>
      </c>
      <c r="F2" s="12" t="s">
        <v>829</v>
      </c>
      <c r="G2" s="12" t="s">
        <v>1154</v>
      </c>
      <c r="H2" s="12" t="s">
        <v>1248</v>
      </c>
      <c r="I2" s="12" t="s">
        <v>235</v>
      </c>
      <c r="J2" s="12" t="s">
        <v>1249</v>
      </c>
      <c r="K2" s="12" t="s">
        <v>1250</v>
      </c>
      <c r="L2" s="12" t="s">
        <v>1251</v>
      </c>
      <c r="M2" s="12" t="s">
        <v>1252</v>
      </c>
      <c r="N2" s="12" t="s">
        <v>1252</v>
      </c>
      <c r="O2" s="12" t="s">
        <v>1253</v>
      </c>
      <c r="P2" s="12" t="s">
        <v>1254</v>
      </c>
      <c r="Q2" s="16" t="s">
        <v>201</v>
      </c>
      <c r="R2" s="13" t="s">
        <v>174</v>
      </c>
      <c r="S2" s="12" t="s">
        <v>754</v>
      </c>
      <c r="T2" s="12" t="s">
        <v>586</v>
      </c>
      <c r="U2" s="24" t="s">
        <v>180</v>
      </c>
    </row>
    <row r="3" spans="1:21">
      <c r="A3" s="14">
        <v>9</v>
      </c>
      <c r="B3" s="12" t="s">
        <v>830</v>
      </c>
      <c r="C3" s="12" t="s">
        <v>825</v>
      </c>
      <c r="D3" s="12" t="s">
        <v>824</v>
      </c>
      <c r="E3" s="12" t="s">
        <v>469</v>
      </c>
      <c r="F3" s="12" t="s">
        <v>829</v>
      </c>
      <c r="G3" s="12" t="s">
        <v>828</v>
      </c>
      <c r="H3" s="12" t="s">
        <v>1255</v>
      </c>
      <c r="I3" s="12" t="s">
        <v>184</v>
      </c>
      <c r="J3" s="12" t="s">
        <v>1256</v>
      </c>
      <c r="K3" s="12" t="s">
        <v>1250</v>
      </c>
      <c r="L3" s="12" t="s">
        <v>1251</v>
      </c>
      <c r="M3" s="12" t="s">
        <v>1252</v>
      </c>
      <c r="N3" s="12" t="s">
        <v>1252</v>
      </c>
      <c r="O3" s="12" t="s">
        <v>1257</v>
      </c>
      <c r="P3" s="12" t="s">
        <v>1258</v>
      </c>
      <c r="Q3" s="16" t="s">
        <v>201</v>
      </c>
      <c r="R3" s="16" t="s">
        <v>180</v>
      </c>
      <c r="S3" s="12" t="s">
        <v>754</v>
      </c>
      <c r="T3" s="12" t="s">
        <v>586</v>
      </c>
      <c r="U3" s="24" t="s">
        <v>180</v>
      </c>
    </row>
    <row r="4" spans="1:21">
      <c r="A4" s="14">
        <v>9</v>
      </c>
      <c r="B4" s="12" t="s">
        <v>315</v>
      </c>
      <c r="C4" s="12" t="s">
        <v>313</v>
      </c>
      <c r="D4" s="12" t="s">
        <v>112</v>
      </c>
      <c r="E4" s="12" t="s">
        <v>173</v>
      </c>
      <c r="F4" s="12" t="s">
        <v>314</v>
      </c>
      <c r="G4" s="12" t="s">
        <v>1154</v>
      </c>
      <c r="H4" s="12" t="s">
        <v>1259</v>
      </c>
      <c r="I4" s="12" t="s">
        <v>184</v>
      </c>
      <c r="J4" s="12" t="s">
        <v>316</v>
      </c>
      <c r="K4" s="12" t="s">
        <v>1260</v>
      </c>
      <c r="L4" s="12" t="s">
        <v>1261</v>
      </c>
      <c r="M4" s="12" t="s">
        <v>1260</v>
      </c>
      <c r="N4" s="12" t="s">
        <v>1262</v>
      </c>
      <c r="O4" s="12" t="s">
        <v>1263</v>
      </c>
      <c r="P4" s="12" t="s">
        <v>1264</v>
      </c>
      <c r="Q4" s="16" t="s">
        <v>1265</v>
      </c>
      <c r="R4" s="16" t="s">
        <v>180</v>
      </c>
      <c r="S4" s="12" t="s">
        <v>104</v>
      </c>
      <c r="T4" s="12" t="s">
        <v>105</v>
      </c>
      <c r="U4" s="13" t="s">
        <v>174</v>
      </c>
    </row>
    <row r="5" spans="1:21">
      <c r="A5" s="14">
        <v>10</v>
      </c>
      <c r="B5" s="12" t="s">
        <v>423</v>
      </c>
      <c r="C5" s="12" t="s">
        <v>420</v>
      </c>
      <c r="D5" s="12" t="s">
        <v>419</v>
      </c>
      <c r="E5" s="12" t="s">
        <v>378</v>
      </c>
      <c r="F5" s="12" t="s">
        <v>422</v>
      </c>
      <c r="G5" s="12" t="s">
        <v>421</v>
      </c>
      <c r="H5" s="12" t="s">
        <v>1266</v>
      </c>
      <c r="I5" s="12" t="s">
        <v>184</v>
      </c>
      <c r="J5" s="12" t="s">
        <v>424</v>
      </c>
      <c r="K5" s="12" t="s">
        <v>1267</v>
      </c>
      <c r="L5" s="12" t="s">
        <v>1268</v>
      </c>
      <c r="M5" s="12" t="s">
        <v>1269</v>
      </c>
      <c r="N5" s="12" t="s">
        <v>1269</v>
      </c>
      <c r="O5" s="12" t="s">
        <v>1270</v>
      </c>
      <c r="P5" s="12" t="s">
        <v>1264</v>
      </c>
      <c r="Q5" s="16" t="s">
        <v>201</v>
      </c>
      <c r="R5" s="16" t="s">
        <v>180</v>
      </c>
      <c r="S5" s="12" t="s">
        <v>104</v>
      </c>
      <c r="T5" s="12" t="s">
        <v>105</v>
      </c>
      <c r="U5" s="24" t="s">
        <v>180</v>
      </c>
    </row>
    <row r="6" spans="1:21">
      <c r="A6" s="14">
        <v>10</v>
      </c>
      <c r="B6" s="12" t="s">
        <v>321</v>
      </c>
      <c r="C6" s="12" t="s">
        <v>318</v>
      </c>
      <c r="D6" s="12" t="s">
        <v>113</v>
      </c>
      <c r="E6" s="12" t="s">
        <v>173</v>
      </c>
      <c r="F6" s="12" t="s">
        <v>320</v>
      </c>
      <c r="G6" s="12" t="s">
        <v>319</v>
      </c>
      <c r="H6" s="12" t="s">
        <v>1271</v>
      </c>
      <c r="I6" s="12" t="s">
        <v>184</v>
      </c>
      <c r="J6" s="12" t="s">
        <v>322</v>
      </c>
      <c r="K6" s="12" t="s">
        <v>1260</v>
      </c>
      <c r="L6" s="12" t="s">
        <v>1261</v>
      </c>
      <c r="M6" s="12" t="s">
        <v>1260</v>
      </c>
      <c r="N6" s="12" t="s">
        <v>1272</v>
      </c>
      <c r="O6" s="12" t="s">
        <v>1263</v>
      </c>
      <c r="P6" s="12" t="s">
        <v>1264</v>
      </c>
      <c r="Q6" s="16" t="s">
        <v>1265</v>
      </c>
      <c r="R6" s="16" t="s">
        <v>180</v>
      </c>
      <c r="S6" s="12" t="s">
        <v>104</v>
      </c>
      <c r="T6" s="12" t="s">
        <v>105</v>
      </c>
      <c r="U6" s="13" t="s">
        <v>174</v>
      </c>
    </row>
    <row r="7" spans="1:21">
      <c r="A7" s="14">
        <v>10</v>
      </c>
      <c r="B7" s="12" t="s">
        <v>1219</v>
      </c>
      <c r="C7" s="12" t="s">
        <v>1216</v>
      </c>
      <c r="D7" s="12" t="s">
        <v>1215</v>
      </c>
      <c r="E7" s="12" t="s">
        <v>292</v>
      </c>
      <c r="F7" s="12" t="s">
        <v>1218</v>
      </c>
      <c r="G7" s="12" t="s">
        <v>1154</v>
      </c>
      <c r="H7" s="12" t="s">
        <v>1273</v>
      </c>
      <c r="I7" s="12" t="s">
        <v>184</v>
      </c>
      <c r="J7" s="12" t="s">
        <v>1274</v>
      </c>
      <c r="K7" s="12" t="s">
        <v>1275</v>
      </c>
      <c r="L7" s="12" t="s">
        <v>1276</v>
      </c>
      <c r="M7" s="12" t="s">
        <v>1277</v>
      </c>
      <c r="N7" s="12" t="s">
        <v>1278</v>
      </c>
      <c r="O7" s="12" t="s">
        <v>1279</v>
      </c>
      <c r="P7" s="12" t="s">
        <v>1280</v>
      </c>
      <c r="Q7" s="16" t="s">
        <v>201</v>
      </c>
      <c r="R7" s="16" t="s">
        <v>180</v>
      </c>
      <c r="S7" s="12" t="s">
        <v>119</v>
      </c>
      <c r="T7" s="12" t="s">
        <v>619</v>
      </c>
      <c r="U7" s="24" t="s">
        <v>180</v>
      </c>
    </row>
    <row r="8" spans="1:21">
      <c r="A8" s="14">
        <v>10</v>
      </c>
      <c r="B8" s="12" t="s">
        <v>1219</v>
      </c>
      <c r="C8" s="12" t="s">
        <v>1216</v>
      </c>
      <c r="D8" s="12" t="s">
        <v>1215</v>
      </c>
      <c r="E8" s="12" t="s">
        <v>292</v>
      </c>
      <c r="F8" s="12" t="s">
        <v>1218</v>
      </c>
      <c r="G8" s="12" t="s">
        <v>1154</v>
      </c>
      <c r="H8" s="12" t="s">
        <v>1273</v>
      </c>
      <c r="I8" s="12" t="s">
        <v>184</v>
      </c>
      <c r="J8" s="12" t="s">
        <v>1281</v>
      </c>
      <c r="K8" s="12" t="s">
        <v>1275</v>
      </c>
      <c r="L8" s="12" t="s">
        <v>1282</v>
      </c>
      <c r="M8" s="12" t="s">
        <v>1283</v>
      </c>
      <c r="N8" s="12" t="s">
        <v>1283</v>
      </c>
      <c r="O8" s="12" t="s">
        <v>1279</v>
      </c>
      <c r="P8" s="12" t="s">
        <v>1280</v>
      </c>
      <c r="Q8" s="16" t="s">
        <v>201</v>
      </c>
      <c r="R8" s="16" t="s">
        <v>180</v>
      </c>
      <c r="S8" s="12" t="s">
        <v>119</v>
      </c>
      <c r="T8" s="12" t="s">
        <v>619</v>
      </c>
      <c r="U8" s="24" t="s">
        <v>180</v>
      </c>
    </row>
    <row r="9" spans="1:21">
      <c r="A9" s="14">
        <v>11</v>
      </c>
      <c r="B9" s="12" t="s">
        <v>837</v>
      </c>
      <c r="C9" s="12" t="s">
        <v>834</v>
      </c>
      <c r="D9" s="12" t="s">
        <v>833</v>
      </c>
      <c r="E9" s="12" t="s">
        <v>344</v>
      </c>
      <c r="F9" s="12" t="s">
        <v>836</v>
      </c>
      <c r="G9" s="12" t="s">
        <v>835</v>
      </c>
      <c r="H9" s="12" t="s">
        <v>1284</v>
      </c>
      <c r="I9" s="12" t="s">
        <v>184</v>
      </c>
      <c r="J9" s="12" t="s">
        <v>838</v>
      </c>
      <c r="K9" s="12" t="s">
        <v>1285</v>
      </c>
      <c r="L9" s="12" t="s">
        <v>1286</v>
      </c>
      <c r="M9" s="12" t="s">
        <v>1287</v>
      </c>
      <c r="N9" s="12" t="s">
        <v>1277</v>
      </c>
      <c r="O9" s="12" t="s">
        <v>1288</v>
      </c>
      <c r="P9" s="12" t="s">
        <v>1280</v>
      </c>
      <c r="Q9" s="16" t="s">
        <v>201</v>
      </c>
      <c r="R9" s="16" t="s">
        <v>180</v>
      </c>
      <c r="S9" s="12" t="s">
        <v>119</v>
      </c>
      <c r="T9" s="12" t="s">
        <v>619</v>
      </c>
      <c r="U9" s="24" t="s">
        <v>180</v>
      </c>
    </row>
    <row r="10" spans="1:21">
      <c r="A10" s="14">
        <v>11</v>
      </c>
      <c r="B10" s="12" t="s">
        <v>1230</v>
      </c>
      <c r="C10" s="12" t="s">
        <v>1223</v>
      </c>
      <c r="D10" s="12" t="s">
        <v>1222</v>
      </c>
      <c r="E10" s="12" t="s">
        <v>292</v>
      </c>
      <c r="F10" s="12" t="s">
        <v>540</v>
      </c>
      <c r="G10" s="12" t="s">
        <v>1229</v>
      </c>
      <c r="H10" s="12" t="s">
        <v>1289</v>
      </c>
      <c r="I10" s="12" t="s">
        <v>184</v>
      </c>
      <c r="J10" s="12" t="s">
        <v>1290</v>
      </c>
      <c r="K10" s="12" t="s">
        <v>1260</v>
      </c>
      <c r="L10" s="12" t="s">
        <v>1291</v>
      </c>
      <c r="M10" s="12" t="s">
        <v>1260</v>
      </c>
      <c r="N10" s="12" t="s">
        <v>1262</v>
      </c>
      <c r="O10" s="12" t="s">
        <v>1279</v>
      </c>
      <c r="P10" s="12" t="s">
        <v>1264</v>
      </c>
      <c r="Q10" s="16" t="s">
        <v>1265</v>
      </c>
      <c r="R10" s="16" t="s">
        <v>180</v>
      </c>
      <c r="S10" s="12" t="s">
        <v>119</v>
      </c>
      <c r="T10" s="12" t="s">
        <v>619</v>
      </c>
      <c r="U10" s="24" t="s">
        <v>180</v>
      </c>
    </row>
    <row r="11" spans="1:21">
      <c r="A11" s="14">
        <v>11</v>
      </c>
      <c r="B11" s="12" t="s">
        <v>1230</v>
      </c>
      <c r="C11" s="12" t="s">
        <v>1223</v>
      </c>
      <c r="D11" s="12" t="s">
        <v>1222</v>
      </c>
      <c r="E11" s="12" t="s">
        <v>292</v>
      </c>
      <c r="F11" s="12" t="s">
        <v>540</v>
      </c>
      <c r="G11" s="12" t="s">
        <v>1229</v>
      </c>
      <c r="H11" s="12" t="s">
        <v>1289</v>
      </c>
      <c r="I11" s="12" t="s">
        <v>184</v>
      </c>
      <c r="J11" s="12" t="s">
        <v>1292</v>
      </c>
      <c r="K11" s="12" t="s">
        <v>1260</v>
      </c>
      <c r="L11" s="12" t="s">
        <v>1293</v>
      </c>
      <c r="M11" s="12" t="s">
        <v>1260</v>
      </c>
      <c r="N11" s="12" t="s">
        <v>1262</v>
      </c>
      <c r="O11" s="12" t="s">
        <v>1279</v>
      </c>
      <c r="P11" s="12" t="s">
        <v>1264</v>
      </c>
      <c r="Q11" s="16" t="s">
        <v>1265</v>
      </c>
      <c r="R11" s="16" t="s">
        <v>180</v>
      </c>
      <c r="S11" s="12" t="s">
        <v>119</v>
      </c>
      <c r="T11" s="12" t="s">
        <v>619</v>
      </c>
      <c r="U11" s="24" t="s">
        <v>180</v>
      </c>
    </row>
    <row r="12" spans="1:21">
      <c r="A12" s="14">
        <v>11</v>
      </c>
      <c r="B12" s="12" t="s">
        <v>1230</v>
      </c>
      <c r="C12" s="12" t="s">
        <v>1223</v>
      </c>
      <c r="D12" s="12" t="s">
        <v>1222</v>
      </c>
      <c r="E12" s="12" t="s">
        <v>292</v>
      </c>
      <c r="F12" s="12" t="s">
        <v>540</v>
      </c>
      <c r="G12" s="12" t="s">
        <v>1229</v>
      </c>
      <c r="H12" s="12" t="s">
        <v>1289</v>
      </c>
      <c r="I12" s="12" t="s">
        <v>184</v>
      </c>
      <c r="J12" s="12" t="s">
        <v>1294</v>
      </c>
      <c r="K12" s="12" t="s">
        <v>1260</v>
      </c>
      <c r="L12" s="12" t="s">
        <v>1295</v>
      </c>
      <c r="M12" s="12" t="s">
        <v>1260</v>
      </c>
      <c r="N12" s="12" t="s">
        <v>1252</v>
      </c>
      <c r="O12" s="12" t="s">
        <v>1263</v>
      </c>
      <c r="P12" s="12" t="s">
        <v>1258</v>
      </c>
      <c r="Q12" s="16" t="s">
        <v>1265</v>
      </c>
      <c r="R12" s="16" t="s">
        <v>180</v>
      </c>
      <c r="S12" s="12" t="s">
        <v>119</v>
      </c>
      <c r="T12" s="12" t="s">
        <v>619</v>
      </c>
      <c r="U12" s="24" t="s">
        <v>180</v>
      </c>
    </row>
    <row r="13" spans="1:21">
      <c r="A13" s="14">
        <v>11</v>
      </c>
      <c r="B13" s="12" t="s">
        <v>309</v>
      </c>
      <c r="C13" s="12" t="s">
        <v>302</v>
      </c>
      <c r="D13" s="12" t="s">
        <v>111</v>
      </c>
      <c r="E13" s="12" t="s">
        <v>303</v>
      </c>
      <c r="F13" s="12" t="s">
        <v>308</v>
      </c>
      <c r="G13" s="12" t="s">
        <v>1154</v>
      </c>
      <c r="H13" s="12" t="s">
        <v>1296</v>
      </c>
      <c r="I13" s="12" t="s">
        <v>184</v>
      </c>
      <c r="J13" s="12" t="s">
        <v>1297</v>
      </c>
      <c r="K13" s="12" t="s">
        <v>1298</v>
      </c>
      <c r="L13" s="12" t="s">
        <v>1299</v>
      </c>
      <c r="M13" s="12" t="s">
        <v>1272</v>
      </c>
      <c r="N13" s="12" t="s">
        <v>1272</v>
      </c>
      <c r="O13" s="12" t="s">
        <v>1263</v>
      </c>
      <c r="P13" s="12" t="s">
        <v>1264</v>
      </c>
      <c r="Q13" s="16" t="s">
        <v>201</v>
      </c>
      <c r="R13" s="16" t="s">
        <v>180</v>
      </c>
      <c r="S13" s="12" t="s">
        <v>93</v>
      </c>
      <c r="T13" s="12" t="s">
        <v>90</v>
      </c>
      <c r="U13" s="13" t="s">
        <v>174</v>
      </c>
    </row>
    <row r="14" spans="1:21">
      <c r="A14" s="14">
        <v>11</v>
      </c>
      <c r="B14" s="12" t="s">
        <v>309</v>
      </c>
      <c r="C14" s="12" t="s">
        <v>302</v>
      </c>
      <c r="D14" s="12" t="s">
        <v>111</v>
      </c>
      <c r="E14" s="12" t="s">
        <v>303</v>
      </c>
      <c r="F14" s="12" t="s">
        <v>308</v>
      </c>
      <c r="G14" s="12" t="s">
        <v>1154</v>
      </c>
      <c r="H14" s="12" t="s">
        <v>1296</v>
      </c>
      <c r="I14" s="12" t="s">
        <v>184</v>
      </c>
      <c r="J14" s="12" t="s">
        <v>1300</v>
      </c>
      <c r="K14" s="12" t="s">
        <v>1301</v>
      </c>
      <c r="L14" s="12" t="s">
        <v>1302</v>
      </c>
      <c r="M14" s="12" t="s">
        <v>1303</v>
      </c>
      <c r="N14" s="12" t="s">
        <v>1303</v>
      </c>
      <c r="O14" s="12" t="s">
        <v>1263</v>
      </c>
      <c r="P14" s="12" t="s">
        <v>1264</v>
      </c>
      <c r="Q14" s="16" t="s">
        <v>201</v>
      </c>
      <c r="R14" s="16" t="s">
        <v>180</v>
      </c>
      <c r="S14" s="12" t="s">
        <v>93</v>
      </c>
      <c r="T14" s="12" t="s">
        <v>90</v>
      </c>
      <c r="U14" s="13" t="s">
        <v>174</v>
      </c>
    </row>
    <row r="15" spans="1:21">
      <c r="A15" s="14">
        <v>12</v>
      </c>
      <c r="B15" s="12" t="s">
        <v>1304</v>
      </c>
      <c r="C15" s="12" t="s">
        <v>665</v>
      </c>
      <c r="D15" s="12" t="s">
        <v>664</v>
      </c>
      <c r="E15" s="12" t="s">
        <v>469</v>
      </c>
      <c r="F15" s="12" t="s">
        <v>667</v>
      </c>
      <c r="G15" s="12" t="s">
        <v>520</v>
      </c>
      <c r="H15" s="12" t="s">
        <v>1305</v>
      </c>
      <c r="I15" s="12" t="s">
        <v>184</v>
      </c>
      <c r="J15" s="12" t="s">
        <v>1306</v>
      </c>
      <c r="K15" s="12" t="s">
        <v>1307</v>
      </c>
      <c r="L15" s="12" t="s">
        <v>1308</v>
      </c>
      <c r="M15" s="12" t="s">
        <v>1309</v>
      </c>
      <c r="N15" s="12" t="s">
        <v>1309</v>
      </c>
      <c r="O15" s="12" t="s">
        <v>1279</v>
      </c>
      <c r="P15" s="12" t="s">
        <v>1280</v>
      </c>
      <c r="Q15" s="16" t="s">
        <v>201</v>
      </c>
      <c r="R15" s="16" t="s">
        <v>180</v>
      </c>
      <c r="S15" s="12" t="s">
        <v>119</v>
      </c>
      <c r="T15" s="12" t="s">
        <v>519</v>
      </c>
      <c r="U15" s="24" t="s">
        <v>180</v>
      </c>
    </row>
    <row r="16" spans="1:21">
      <c r="A16" s="14">
        <v>12</v>
      </c>
      <c r="B16" s="12" t="s">
        <v>1304</v>
      </c>
      <c r="C16" s="12" t="s">
        <v>665</v>
      </c>
      <c r="D16" s="12" t="s">
        <v>664</v>
      </c>
      <c r="E16" s="12" t="s">
        <v>469</v>
      </c>
      <c r="F16" s="12" t="s">
        <v>667</v>
      </c>
      <c r="G16" s="12" t="s">
        <v>520</v>
      </c>
      <c r="H16" s="12" t="s">
        <v>1305</v>
      </c>
      <c r="I16" s="12" t="s">
        <v>184</v>
      </c>
      <c r="J16" s="12" t="s">
        <v>1310</v>
      </c>
      <c r="K16" s="12" t="s">
        <v>1307</v>
      </c>
      <c r="L16" s="12" t="s">
        <v>1307</v>
      </c>
      <c r="M16" s="12" t="s">
        <v>1311</v>
      </c>
      <c r="N16" s="12" t="s">
        <v>1283</v>
      </c>
      <c r="O16" s="12" t="s">
        <v>1288</v>
      </c>
      <c r="P16" s="12" t="s">
        <v>1280</v>
      </c>
      <c r="Q16" s="16" t="s">
        <v>201</v>
      </c>
      <c r="R16" s="16" t="s">
        <v>180</v>
      </c>
      <c r="S16" s="12" t="s">
        <v>119</v>
      </c>
      <c r="T16" s="12" t="s">
        <v>519</v>
      </c>
      <c r="U16" s="24" t="s">
        <v>180</v>
      </c>
    </row>
    <row r="17" spans="1:21">
      <c r="A17" s="14">
        <v>12</v>
      </c>
      <c r="B17" s="12" t="s">
        <v>1304</v>
      </c>
      <c r="C17" s="12" t="s">
        <v>665</v>
      </c>
      <c r="D17" s="12" t="s">
        <v>664</v>
      </c>
      <c r="E17" s="12" t="s">
        <v>469</v>
      </c>
      <c r="F17" s="12" t="s">
        <v>667</v>
      </c>
      <c r="G17" s="12" t="s">
        <v>520</v>
      </c>
      <c r="H17" s="12" t="s">
        <v>1305</v>
      </c>
      <c r="I17" s="12" t="s">
        <v>184</v>
      </c>
      <c r="J17" s="12" t="s">
        <v>1312</v>
      </c>
      <c r="K17" s="12" t="s">
        <v>1313</v>
      </c>
      <c r="L17" s="12" t="s">
        <v>1314</v>
      </c>
      <c r="M17" s="12" t="s">
        <v>1309</v>
      </c>
      <c r="N17" s="12" t="s">
        <v>1309</v>
      </c>
      <c r="O17" s="12" t="s">
        <v>1279</v>
      </c>
      <c r="P17" s="12" t="s">
        <v>1280</v>
      </c>
      <c r="Q17" s="16" t="s">
        <v>201</v>
      </c>
      <c r="R17" s="16" t="s">
        <v>180</v>
      </c>
      <c r="S17" s="12" t="s">
        <v>119</v>
      </c>
      <c r="T17" s="12" t="s">
        <v>519</v>
      </c>
      <c r="U17" s="24" t="s">
        <v>180</v>
      </c>
    </row>
    <row r="18" spans="1:21">
      <c r="A18" s="14">
        <v>12</v>
      </c>
      <c r="B18" s="12" t="s">
        <v>1304</v>
      </c>
      <c r="C18" s="12" t="s">
        <v>665</v>
      </c>
      <c r="D18" s="12" t="s">
        <v>664</v>
      </c>
      <c r="E18" s="12" t="s">
        <v>469</v>
      </c>
      <c r="F18" s="12" t="s">
        <v>667</v>
      </c>
      <c r="G18" s="12" t="s">
        <v>520</v>
      </c>
      <c r="H18" s="12" t="s">
        <v>1305</v>
      </c>
      <c r="I18" s="12" t="s">
        <v>184</v>
      </c>
      <c r="J18" s="12" t="s">
        <v>1315</v>
      </c>
      <c r="K18" s="12" t="s">
        <v>1313</v>
      </c>
      <c r="L18" s="12" t="s">
        <v>1313</v>
      </c>
      <c r="M18" s="12" t="s">
        <v>1311</v>
      </c>
      <c r="N18" s="12" t="s">
        <v>1283</v>
      </c>
      <c r="O18" s="12" t="s">
        <v>1288</v>
      </c>
      <c r="P18" s="12" t="s">
        <v>1280</v>
      </c>
      <c r="Q18" s="16" t="s">
        <v>201</v>
      </c>
      <c r="R18" s="16" t="s">
        <v>180</v>
      </c>
      <c r="S18" s="12" t="s">
        <v>119</v>
      </c>
      <c r="T18" s="12" t="s">
        <v>519</v>
      </c>
      <c r="U18" s="24" t="s">
        <v>180</v>
      </c>
    </row>
    <row r="19" spans="1:21">
      <c r="A19" s="14">
        <v>12</v>
      </c>
      <c r="B19" s="12" t="s">
        <v>1052</v>
      </c>
      <c r="C19" s="12" t="s">
        <v>1051</v>
      </c>
      <c r="D19" s="12" t="s">
        <v>1050</v>
      </c>
      <c r="E19" s="12" t="s">
        <v>378</v>
      </c>
      <c r="F19" s="12" t="s">
        <v>923</v>
      </c>
      <c r="G19" s="12" t="s">
        <v>1154</v>
      </c>
      <c r="H19" s="12" t="s">
        <v>1305</v>
      </c>
      <c r="I19" s="12" t="s">
        <v>184</v>
      </c>
      <c r="J19" s="12" t="s">
        <v>1053</v>
      </c>
      <c r="K19" s="12" t="s">
        <v>1316</v>
      </c>
      <c r="L19" s="12" t="s">
        <v>1317</v>
      </c>
      <c r="M19" s="12" t="s">
        <v>1262</v>
      </c>
      <c r="N19" s="12" t="s">
        <v>1262</v>
      </c>
      <c r="O19" s="12" t="s">
        <v>1279</v>
      </c>
      <c r="P19" s="12" t="s">
        <v>1318</v>
      </c>
      <c r="Q19" s="16" t="s">
        <v>201</v>
      </c>
      <c r="R19" s="16" t="s">
        <v>180</v>
      </c>
      <c r="S19" s="12" t="s">
        <v>754</v>
      </c>
      <c r="T19" s="12" t="s">
        <v>619</v>
      </c>
      <c r="U19" s="24" t="s">
        <v>180</v>
      </c>
    </row>
    <row r="20" spans="1:21">
      <c r="A20" s="14">
        <v>12</v>
      </c>
      <c r="B20" s="12" t="s">
        <v>433</v>
      </c>
      <c r="C20" s="12" t="s">
        <v>427</v>
      </c>
      <c r="D20" s="12" t="s">
        <v>426</v>
      </c>
      <c r="E20" s="12" t="s">
        <v>199</v>
      </c>
      <c r="F20" s="12" t="s">
        <v>432</v>
      </c>
      <c r="G20" s="12" t="s">
        <v>431</v>
      </c>
      <c r="H20" s="12" t="s">
        <v>1319</v>
      </c>
      <c r="I20" s="12" t="s">
        <v>184</v>
      </c>
      <c r="J20" s="12" t="s">
        <v>434</v>
      </c>
      <c r="K20" s="12" t="s">
        <v>1260</v>
      </c>
      <c r="L20" s="12" t="s">
        <v>1320</v>
      </c>
      <c r="M20" s="12" t="s">
        <v>1260</v>
      </c>
      <c r="N20" s="12" t="s">
        <v>1272</v>
      </c>
      <c r="O20" s="12" t="s">
        <v>1263</v>
      </c>
      <c r="P20" s="12" t="s">
        <v>1264</v>
      </c>
      <c r="Q20" s="16" t="s">
        <v>1265</v>
      </c>
      <c r="R20" s="16" t="s">
        <v>180</v>
      </c>
      <c r="S20" s="12" t="s">
        <v>93</v>
      </c>
      <c r="T20" s="12" t="s">
        <v>90</v>
      </c>
      <c r="U20" s="24" t="s">
        <v>180</v>
      </c>
    </row>
    <row r="21" spans="1:21">
      <c r="A21" s="14">
        <v>13</v>
      </c>
      <c r="B21" s="12" t="s">
        <v>508</v>
      </c>
      <c r="C21" s="12" t="s">
        <v>504</v>
      </c>
      <c r="D21" s="12" t="s">
        <v>503</v>
      </c>
      <c r="E21" s="12" t="s">
        <v>173</v>
      </c>
      <c r="F21" s="12" t="s">
        <v>507</v>
      </c>
      <c r="G21" s="12" t="s">
        <v>505</v>
      </c>
      <c r="H21" s="12" t="s">
        <v>1321</v>
      </c>
      <c r="I21" s="12" t="s">
        <v>506</v>
      </c>
      <c r="J21" s="12" t="s">
        <v>509</v>
      </c>
      <c r="K21" s="12" t="s">
        <v>1260</v>
      </c>
      <c r="L21" s="12" t="s">
        <v>1320</v>
      </c>
      <c r="M21" s="12" t="s">
        <v>1260</v>
      </c>
      <c r="N21" s="12" t="s">
        <v>1262</v>
      </c>
      <c r="O21" s="12" t="s">
        <v>1263</v>
      </c>
      <c r="P21" s="12" t="s">
        <v>1264</v>
      </c>
      <c r="Q21" s="16" t="s">
        <v>1265</v>
      </c>
      <c r="R21" s="16" t="s">
        <v>180</v>
      </c>
      <c r="S21" s="12" t="s">
        <v>104</v>
      </c>
      <c r="T21" s="12" t="s">
        <v>105</v>
      </c>
      <c r="U21" s="24" t="s">
        <v>180</v>
      </c>
    </row>
    <row r="22" spans="1:21">
      <c r="A22" s="14">
        <v>13</v>
      </c>
      <c r="B22" s="12" t="s">
        <v>843</v>
      </c>
      <c r="C22" s="12" t="s">
        <v>840</v>
      </c>
      <c r="D22" s="12" t="s">
        <v>839</v>
      </c>
      <c r="E22" s="12" t="s">
        <v>217</v>
      </c>
      <c r="F22" s="12" t="s">
        <v>842</v>
      </c>
      <c r="G22" s="12" t="s">
        <v>841</v>
      </c>
      <c r="H22" s="12" t="s">
        <v>1322</v>
      </c>
      <c r="I22" s="12" t="s">
        <v>184</v>
      </c>
      <c r="J22" s="12" t="s">
        <v>1323</v>
      </c>
      <c r="K22" s="12" t="s">
        <v>1298</v>
      </c>
      <c r="L22" s="12" t="s">
        <v>1324</v>
      </c>
      <c r="M22" s="12" t="s">
        <v>1283</v>
      </c>
      <c r="N22" s="12" t="s">
        <v>1283</v>
      </c>
      <c r="O22" s="12" t="s">
        <v>1325</v>
      </c>
      <c r="P22" s="12" t="s">
        <v>1280</v>
      </c>
      <c r="Q22" s="16" t="s">
        <v>201</v>
      </c>
      <c r="R22" s="16" t="s">
        <v>180</v>
      </c>
      <c r="S22" s="12" t="s">
        <v>119</v>
      </c>
      <c r="T22" s="12" t="s">
        <v>519</v>
      </c>
      <c r="U22" s="24" t="s">
        <v>180</v>
      </c>
    </row>
    <row r="23" spans="1:21">
      <c r="A23" s="14">
        <v>13</v>
      </c>
      <c r="B23" s="12" t="s">
        <v>843</v>
      </c>
      <c r="C23" s="12" t="s">
        <v>840</v>
      </c>
      <c r="D23" s="12" t="s">
        <v>839</v>
      </c>
      <c r="E23" s="12" t="s">
        <v>217</v>
      </c>
      <c r="F23" s="12" t="s">
        <v>842</v>
      </c>
      <c r="G23" s="12" t="s">
        <v>841</v>
      </c>
      <c r="H23" s="12" t="s">
        <v>1322</v>
      </c>
      <c r="I23" s="12" t="s">
        <v>184</v>
      </c>
      <c r="J23" s="12" t="s">
        <v>1326</v>
      </c>
      <c r="K23" s="12" t="s">
        <v>1298</v>
      </c>
      <c r="L23" s="12" t="s">
        <v>1324</v>
      </c>
      <c r="M23" s="12" t="s">
        <v>1283</v>
      </c>
      <c r="N23" s="12" t="s">
        <v>1283</v>
      </c>
      <c r="O23" s="12" t="s">
        <v>1327</v>
      </c>
      <c r="P23" s="12" t="s">
        <v>1328</v>
      </c>
      <c r="Q23" s="16" t="s">
        <v>201</v>
      </c>
      <c r="R23" s="16" t="s">
        <v>180</v>
      </c>
      <c r="S23" s="12" t="s">
        <v>119</v>
      </c>
      <c r="T23" s="12" t="s">
        <v>519</v>
      </c>
      <c r="U23" s="24" t="s">
        <v>180</v>
      </c>
    </row>
    <row r="24" spans="1:21">
      <c r="A24" s="14">
        <v>13</v>
      </c>
      <c r="B24" s="12" t="s">
        <v>515</v>
      </c>
      <c r="C24" s="12" t="s">
        <v>512</v>
      </c>
      <c r="D24" s="12" t="s">
        <v>511</v>
      </c>
      <c r="E24" s="12" t="s">
        <v>199</v>
      </c>
      <c r="F24" s="12" t="s">
        <v>514</v>
      </c>
      <c r="G24" s="12" t="s">
        <v>513</v>
      </c>
      <c r="H24" s="12" t="s">
        <v>1329</v>
      </c>
      <c r="I24" s="12" t="s">
        <v>184</v>
      </c>
      <c r="J24" s="12" t="s">
        <v>1330</v>
      </c>
      <c r="K24" s="12" t="s">
        <v>1331</v>
      </c>
      <c r="L24" s="12" t="s">
        <v>1331</v>
      </c>
      <c r="M24" s="12" t="s">
        <v>1260</v>
      </c>
      <c r="N24" s="12" t="s">
        <v>1332</v>
      </c>
      <c r="O24" s="12" t="s">
        <v>1263</v>
      </c>
      <c r="P24" s="12" t="s">
        <v>1264</v>
      </c>
      <c r="Q24" s="16" t="s">
        <v>1265</v>
      </c>
      <c r="R24" s="16" t="s">
        <v>180</v>
      </c>
      <c r="S24" s="12" t="s">
        <v>104</v>
      </c>
      <c r="T24" s="12" t="s">
        <v>105</v>
      </c>
      <c r="U24" s="24" t="s">
        <v>180</v>
      </c>
    </row>
    <row r="25" spans="1:21">
      <c r="A25" s="14">
        <v>13</v>
      </c>
      <c r="B25" s="12" t="s">
        <v>515</v>
      </c>
      <c r="C25" s="12" t="s">
        <v>512</v>
      </c>
      <c r="D25" s="12" t="s">
        <v>511</v>
      </c>
      <c r="E25" s="12" t="s">
        <v>199</v>
      </c>
      <c r="F25" s="12" t="s">
        <v>514</v>
      </c>
      <c r="G25" s="12" t="s">
        <v>513</v>
      </c>
      <c r="H25" s="12" t="s">
        <v>1329</v>
      </c>
      <c r="I25" s="12" t="s">
        <v>184</v>
      </c>
      <c r="J25" s="12" t="s">
        <v>1333</v>
      </c>
      <c r="K25" s="12" t="s">
        <v>1334</v>
      </c>
      <c r="L25" s="12" t="s">
        <v>1334</v>
      </c>
      <c r="M25" s="12" t="s">
        <v>1260</v>
      </c>
      <c r="N25" s="12" t="s">
        <v>1309</v>
      </c>
      <c r="O25" s="12" t="s">
        <v>1263</v>
      </c>
      <c r="P25" s="12" t="s">
        <v>1264</v>
      </c>
      <c r="Q25" s="16" t="s">
        <v>1265</v>
      </c>
      <c r="R25" s="16" t="s">
        <v>180</v>
      </c>
      <c r="S25" s="12" t="s">
        <v>104</v>
      </c>
      <c r="T25" s="12" t="s">
        <v>105</v>
      </c>
      <c r="U25" s="24" t="s">
        <v>180</v>
      </c>
    </row>
    <row r="26" spans="1:21">
      <c r="A26" s="14">
        <v>14</v>
      </c>
      <c r="B26" s="12" t="s">
        <v>634</v>
      </c>
      <c r="C26" s="12" t="s">
        <v>627</v>
      </c>
      <c r="D26" s="12" t="s">
        <v>626</v>
      </c>
      <c r="E26" s="12" t="s">
        <v>199</v>
      </c>
      <c r="F26" s="12" t="s">
        <v>633</v>
      </c>
      <c r="G26" s="12" t="s">
        <v>632</v>
      </c>
      <c r="H26" s="12" t="s">
        <v>1335</v>
      </c>
      <c r="I26" s="12" t="s">
        <v>184</v>
      </c>
      <c r="J26" s="12" t="s">
        <v>635</v>
      </c>
      <c r="K26" s="12" t="s">
        <v>1260</v>
      </c>
      <c r="L26" s="12" t="s">
        <v>1336</v>
      </c>
      <c r="M26" s="12" t="s">
        <v>1260</v>
      </c>
      <c r="N26" s="12" t="s">
        <v>1337</v>
      </c>
      <c r="O26" s="12" t="s">
        <v>1263</v>
      </c>
      <c r="P26" s="12" t="s">
        <v>1264</v>
      </c>
      <c r="Q26" s="16" t="s">
        <v>1265</v>
      </c>
      <c r="R26" s="16" t="s">
        <v>180</v>
      </c>
      <c r="S26" s="12" t="s">
        <v>93</v>
      </c>
      <c r="T26" s="12" t="s">
        <v>90</v>
      </c>
      <c r="U26" s="24" t="s">
        <v>180</v>
      </c>
    </row>
    <row r="27" spans="1:21">
      <c r="A27" s="14">
        <v>14</v>
      </c>
      <c r="B27" s="12" t="s">
        <v>849</v>
      </c>
      <c r="C27" s="12" t="s">
        <v>846</v>
      </c>
      <c r="D27" s="12" t="s">
        <v>845</v>
      </c>
      <c r="E27" s="12" t="s">
        <v>173</v>
      </c>
      <c r="F27" s="12" t="s">
        <v>848</v>
      </c>
      <c r="G27" s="12" t="s">
        <v>847</v>
      </c>
      <c r="H27" s="12" t="s">
        <v>1338</v>
      </c>
      <c r="I27" s="12" t="s">
        <v>184</v>
      </c>
      <c r="J27" s="12" t="s">
        <v>1339</v>
      </c>
      <c r="K27" s="12" t="s">
        <v>1340</v>
      </c>
      <c r="L27" s="12" t="s">
        <v>1341</v>
      </c>
      <c r="M27" s="12" t="s">
        <v>1309</v>
      </c>
      <c r="N27" s="12" t="s">
        <v>1309</v>
      </c>
      <c r="O27" s="12" t="s">
        <v>1279</v>
      </c>
      <c r="P27" s="12" t="s">
        <v>1280</v>
      </c>
      <c r="Q27" s="16" t="s">
        <v>201</v>
      </c>
      <c r="R27" s="16" t="s">
        <v>180</v>
      </c>
      <c r="S27" s="12" t="s">
        <v>119</v>
      </c>
      <c r="T27" s="12" t="s">
        <v>619</v>
      </c>
      <c r="U27" s="24" t="s">
        <v>180</v>
      </c>
    </row>
    <row r="28" spans="1:21">
      <c r="A28" s="14">
        <v>14</v>
      </c>
      <c r="B28" s="12" t="s">
        <v>849</v>
      </c>
      <c r="C28" s="12" t="s">
        <v>846</v>
      </c>
      <c r="D28" s="12" t="s">
        <v>845</v>
      </c>
      <c r="E28" s="12" t="s">
        <v>173</v>
      </c>
      <c r="F28" s="12" t="s">
        <v>848</v>
      </c>
      <c r="G28" s="12" t="s">
        <v>847</v>
      </c>
      <c r="H28" s="12" t="s">
        <v>1338</v>
      </c>
      <c r="I28" s="12" t="s">
        <v>184</v>
      </c>
      <c r="J28" s="12" t="s">
        <v>1342</v>
      </c>
      <c r="K28" s="12" t="s">
        <v>1340</v>
      </c>
      <c r="L28" s="12" t="s">
        <v>1343</v>
      </c>
      <c r="M28" s="12" t="s">
        <v>1277</v>
      </c>
      <c r="N28" s="12" t="s">
        <v>1278</v>
      </c>
      <c r="O28" s="12" t="s">
        <v>1279</v>
      </c>
      <c r="P28" s="12" t="s">
        <v>1280</v>
      </c>
      <c r="Q28" s="16" t="s">
        <v>201</v>
      </c>
      <c r="R28" s="16" t="s">
        <v>180</v>
      </c>
      <c r="S28" s="12" t="s">
        <v>119</v>
      </c>
      <c r="T28" s="12" t="s">
        <v>619</v>
      </c>
      <c r="U28" s="24" t="s">
        <v>180</v>
      </c>
    </row>
    <row r="29" spans="1:21">
      <c r="A29" s="14">
        <v>14</v>
      </c>
      <c r="B29" s="12" t="s">
        <v>1191</v>
      </c>
      <c r="C29" s="12" t="s">
        <v>1184</v>
      </c>
      <c r="D29" s="12" t="s">
        <v>1183</v>
      </c>
      <c r="E29" s="12" t="s">
        <v>469</v>
      </c>
      <c r="F29" s="12" t="s">
        <v>1190</v>
      </c>
      <c r="G29" s="12" t="s">
        <v>1189</v>
      </c>
      <c r="H29" s="12" t="s">
        <v>1305</v>
      </c>
      <c r="I29" s="12" t="s">
        <v>184</v>
      </c>
      <c r="J29" s="12" t="s">
        <v>1344</v>
      </c>
      <c r="K29" s="12" t="s">
        <v>1345</v>
      </c>
      <c r="L29" s="12" t="s">
        <v>1346</v>
      </c>
      <c r="M29" s="12" t="s">
        <v>1272</v>
      </c>
      <c r="N29" s="12" t="s">
        <v>1272</v>
      </c>
      <c r="O29" s="12" t="s">
        <v>1279</v>
      </c>
      <c r="P29" s="12" t="s">
        <v>1264</v>
      </c>
      <c r="Q29" s="16" t="s">
        <v>201</v>
      </c>
      <c r="R29" s="16" t="s">
        <v>180</v>
      </c>
      <c r="S29" s="12" t="s">
        <v>754</v>
      </c>
      <c r="T29" s="12" t="s">
        <v>619</v>
      </c>
      <c r="U29" s="24" t="s">
        <v>180</v>
      </c>
    </row>
    <row r="30" spans="1:21">
      <c r="A30" s="14">
        <v>14</v>
      </c>
      <c r="B30" s="12" t="s">
        <v>1191</v>
      </c>
      <c r="C30" s="12" t="s">
        <v>1184</v>
      </c>
      <c r="D30" s="12" t="s">
        <v>1183</v>
      </c>
      <c r="E30" s="12" t="s">
        <v>469</v>
      </c>
      <c r="F30" s="12" t="s">
        <v>1190</v>
      </c>
      <c r="G30" s="12" t="s">
        <v>1189</v>
      </c>
      <c r="H30" s="12" t="s">
        <v>1305</v>
      </c>
      <c r="I30" s="12" t="s">
        <v>184</v>
      </c>
      <c r="J30" s="12" t="s">
        <v>1347</v>
      </c>
      <c r="K30" s="12" t="s">
        <v>1348</v>
      </c>
      <c r="L30" s="12" t="s">
        <v>1349</v>
      </c>
      <c r="M30" s="12" t="s">
        <v>1272</v>
      </c>
      <c r="N30" s="12" t="s">
        <v>1272</v>
      </c>
      <c r="O30" s="12" t="s">
        <v>1279</v>
      </c>
      <c r="P30" s="12" t="s">
        <v>1264</v>
      </c>
      <c r="Q30" s="16" t="s">
        <v>201</v>
      </c>
      <c r="R30" s="16" t="s">
        <v>180</v>
      </c>
      <c r="S30" s="12" t="s">
        <v>754</v>
      </c>
      <c r="T30" s="12" t="s">
        <v>619</v>
      </c>
      <c r="U30" s="24" t="s">
        <v>180</v>
      </c>
    </row>
    <row r="31" spans="1:21">
      <c r="A31" s="14">
        <v>14</v>
      </c>
      <c r="B31" s="12" t="s">
        <v>1191</v>
      </c>
      <c r="C31" s="12" t="s">
        <v>1184</v>
      </c>
      <c r="D31" s="12" t="s">
        <v>1183</v>
      </c>
      <c r="E31" s="12" t="s">
        <v>469</v>
      </c>
      <c r="F31" s="12" t="s">
        <v>1190</v>
      </c>
      <c r="G31" s="12" t="s">
        <v>1189</v>
      </c>
      <c r="H31" s="12" t="s">
        <v>1305</v>
      </c>
      <c r="I31" s="12" t="s">
        <v>184</v>
      </c>
      <c r="J31" s="12" t="s">
        <v>1350</v>
      </c>
      <c r="K31" s="12" t="s">
        <v>1345</v>
      </c>
      <c r="L31" s="12" t="s">
        <v>1351</v>
      </c>
      <c r="M31" s="12" t="s">
        <v>1309</v>
      </c>
      <c r="N31" s="12" t="s">
        <v>1309</v>
      </c>
      <c r="O31" s="12" t="s">
        <v>1279</v>
      </c>
      <c r="P31" s="12" t="s">
        <v>1264</v>
      </c>
      <c r="Q31" s="16" t="s">
        <v>201</v>
      </c>
      <c r="R31" s="16" t="s">
        <v>180</v>
      </c>
      <c r="S31" s="12" t="s">
        <v>754</v>
      </c>
      <c r="T31" s="12" t="s">
        <v>619</v>
      </c>
      <c r="U31" s="24" t="s">
        <v>180</v>
      </c>
    </row>
    <row r="32" spans="1:21">
      <c r="A32" s="14">
        <v>14</v>
      </c>
      <c r="B32" s="12" t="s">
        <v>1191</v>
      </c>
      <c r="C32" s="12" t="s">
        <v>1184</v>
      </c>
      <c r="D32" s="12" t="s">
        <v>1183</v>
      </c>
      <c r="E32" s="12" t="s">
        <v>469</v>
      </c>
      <c r="F32" s="12" t="s">
        <v>1190</v>
      </c>
      <c r="G32" s="12" t="s">
        <v>1189</v>
      </c>
      <c r="H32" s="12" t="s">
        <v>1305</v>
      </c>
      <c r="I32" s="12" t="s">
        <v>184</v>
      </c>
      <c r="J32" s="12" t="s">
        <v>1352</v>
      </c>
      <c r="K32" s="12" t="s">
        <v>1348</v>
      </c>
      <c r="L32" s="12" t="s">
        <v>1353</v>
      </c>
      <c r="M32" s="12" t="s">
        <v>1309</v>
      </c>
      <c r="N32" s="12" t="s">
        <v>1309</v>
      </c>
      <c r="O32" s="12" t="s">
        <v>1279</v>
      </c>
      <c r="P32" s="12" t="s">
        <v>1264</v>
      </c>
      <c r="Q32" s="16" t="s">
        <v>201</v>
      </c>
      <c r="R32" s="16" t="s">
        <v>180</v>
      </c>
      <c r="S32" s="12" t="s">
        <v>754</v>
      </c>
      <c r="T32" s="12" t="s">
        <v>619</v>
      </c>
      <c r="U32" s="24" t="s">
        <v>180</v>
      </c>
    </row>
    <row r="33" spans="1:21">
      <c r="A33" s="14">
        <v>14</v>
      </c>
      <c r="B33" s="12" t="s">
        <v>1191</v>
      </c>
      <c r="C33" s="12" t="s">
        <v>1184</v>
      </c>
      <c r="D33" s="12" t="s">
        <v>1183</v>
      </c>
      <c r="E33" s="12" t="s">
        <v>469</v>
      </c>
      <c r="F33" s="12" t="s">
        <v>1190</v>
      </c>
      <c r="G33" s="12" t="s">
        <v>1189</v>
      </c>
      <c r="H33" s="12" t="s">
        <v>1305</v>
      </c>
      <c r="I33" s="12" t="s">
        <v>184</v>
      </c>
      <c r="J33" s="12" t="s">
        <v>1354</v>
      </c>
      <c r="K33" s="12" t="s">
        <v>1355</v>
      </c>
      <c r="L33" s="12" t="s">
        <v>1356</v>
      </c>
      <c r="M33" s="12" t="s">
        <v>1309</v>
      </c>
      <c r="N33" s="12" t="s">
        <v>1309</v>
      </c>
      <c r="O33" s="12" t="s">
        <v>1279</v>
      </c>
      <c r="P33" s="12" t="s">
        <v>1264</v>
      </c>
      <c r="Q33" s="16" t="s">
        <v>201</v>
      </c>
      <c r="R33" s="16" t="s">
        <v>180</v>
      </c>
      <c r="S33" s="12" t="s">
        <v>754</v>
      </c>
      <c r="T33" s="12" t="s">
        <v>619</v>
      </c>
      <c r="U33" s="24" t="s">
        <v>180</v>
      </c>
    </row>
    <row r="34" spans="1:21">
      <c r="A34" s="14">
        <v>14</v>
      </c>
      <c r="B34" s="12" t="s">
        <v>1191</v>
      </c>
      <c r="C34" s="12" t="s">
        <v>1184</v>
      </c>
      <c r="D34" s="12" t="s">
        <v>1183</v>
      </c>
      <c r="E34" s="12" t="s">
        <v>469</v>
      </c>
      <c r="F34" s="12" t="s">
        <v>1190</v>
      </c>
      <c r="G34" s="12" t="s">
        <v>1189</v>
      </c>
      <c r="H34" s="12" t="s">
        <v>1305</v>
      </c>
      <c r="I34" s="12" t="s">
        <v>184</v>
      </c>
      <c r="J34" s="12" t="s">
        <v>1357</v>
      </c>
      <c r="K34" s="12" t="s">
        <v>1345</v>
      </c>
      <c r="L34" s="12" t="s">
        <v>1358</v>
      </c>
      <c r="M34" s="12" t="s">
        <v>1269</v>
      </c>
      <c r="N34" s="12" t="s">
        <v>1269</v>
      </c>
      <c r="O34" s="12" t="s">
        <v>1279</v>
      </c>
      <c r="P34" s="12" t="s">
        <v>1264</v>
      </c>
      <c r="Q34" s="16" t="s">
        <v>201</v>
      </c>
      <c r="R34" s="16" t="s">
        <v>180</v>
      </c>
      <c r="S34" s="12" t="s">
        <v>754</v>
      </c>
      <c r="T34" s="12" t="s">
        <v>619</v>
      </c>
      <c r="U34" s="24" t="s">
        <v>180</v>
      </c>
    </row>
    <row r="35" spans="1:21">
      <c r="A35" s="14">
        <v>14</v>
      </c>
      <c r="B35" s="12" t="s">
        <v>1191</v>
      </c>
      <c r="C35" s="12" t="s">
        <v>1184</v>
      </c>
      <c r="D35" s="12" t="s">
        <v>1183</v>
      </c>
      <c r="E35" s="12" t="s">
        <v>469</v>
      </c>
      <c r="F35" s="12" t="s">
        <v>1190</v>
      </c>
      <c r="G35" s="12" t="s">
        <v>1189</v>
      </c>
      <c r="H35" s="12" t="s">
        <v>1305</v>
      </c>
      <c r="I35" s="12" t="s">
        <v>184</v>
      </c>
      <c r="J35" s="12" t="s">
        <v>1359</v>
      </c>
      <c r="K35" s="12" t="s">
        <v>1348</v>
      </c>
      <c r="L35" s="12" t="s">
        <v>1360</v>
      </c>
      <c r="M35" s="12" t="s">
        <v>1269</v>
      </c>
      <c r="N35" s="12" t="s">
        <v>1269</v>
      </c>
      <c r="O35" s="12" t="s">
        <v>1279</v>
      </c>
      <c r="P35" s="12" t="s">
        <v>1264</v>
      </c>
      <c r="Q35" s="16" t="s">
        <v>201</v>
      </c>
      <c r="R35" s="16" t="s">
        <v>180</v>
      </c>
      <c r="S35" s="12" t="s">
        <v>754</v>
      </c>
      <c r="T35" s="12" t="s">
        <v>619</v>
      </c>
      <c r="U35" s="24" t="s">
        <v>180</v>
      </c>
    </row>
    <row r="36" spans="1:21">
      <c r="A36" s="14">
        <v>14</v>
      </c>
      <c r="B36" s="12" t="s">
        <v>1191</v>
      </c>
      <c r="C36" s="12" t="s">
        <v>1184</v>
      </c>
      <c r="D36" s="12" t="s">
        <v>1183</v>
      </c>
      <c r="E36" s="12" t="s">
        <v>469</v>
      </c>
      <c r="F36" s="12" t="s">
        <v>1190</v>
      </c>
      <c r="G36" s="12" t="s">
        <v>1189</v>
      </c>
      <c r="H36" s="12" t="s">
        <v>1305</v>
      </c>
      <c r="I36" s="12" t="s">
        <v>184</v>
      </c>
      <c r="J36" s="12" t="s">
        <v>1361</v>
      </c>
      <c r="K36" s="12" t="s">
        <v>1355</v>
      </c>
      <c r="L36" s="12" t="s">
        <v>1362</v>
      </c>
      <c r="M36" s="12" t="s">
        <v>1269</v>
      </c>
      <c r="N36" s="12" t="s">
        <v>1269</v>
      </c>
      <c r="O36" s="12" t="s">
        <v>1279</v>
      </c>
      <c r="P36" s="12" t="s">
        <v>1264</v>
      </c>
      <c r="Q36" s="16" t="s">
        <v>201</v>
      </c>
      <c r="R36" s="16" t="s">
        <v>180</v>
      </c>
      <c r="S36" s="12" t="s">
        <v>754</v>
      </c>
      <c r="T36" s="12" t="s">
        <v>619</v>
      </c>
      <c r="U36" s="24" t="s">
        <v>180</v>
      </c>
    </row>
    <row r="37" spans="1:21">
      <c r="A37" s="14">
        <v>15</v>
      </c>
      <c r="B37" s="12" t="s">
        <v>288</v>
      </c>
      <c r="C37" s="12" t="s">
        <v>285</v>
      </c>
      <c r="D37" s="12" t="s">
        <v>109</v>
      </c>
      <c r="E37" s="12" t="s">
        <v>217</v>
      </c>
      <c r="F37" s="12" t="s">
        <v>287</v>
      </c>
      <c r="G37" s="12" t="s">
        <v>286</v>
      </c>
      <c r="H37" s="12" t="s">
        <v>1305</v>
      </c>
      <c r="I37" s="12" t="s">
        <v>184</v>
      </c>
      <c r="J37" s="12" t="s">
        <v>289</v>
      </c>
      <c r="K37" s="12" t="s">
        <v>1363</v>
      </c>
      <c r="L37" s="12" t="s">
        <v>1364</v>
      </c>
      <c r="M37" s="12" t="s">
        <v>1287</v>
      </c>
      <c r="N37" s="12" t="s">
        <v>1278</v>
      </c>
      <c r="O37" s="12" t="s">
        <v>1279</v>
      </c>
      <c r="P37" s="12" t="s">
        <v>1264</v>
      </c>
      <c r="Q37" s="16" t="s">
        <v>201</v>
      </c>
      <c r="R37" s="16" t="s">
        <v>180</v>
      </c>
      <c r="S37" s="12" t="s">
        <v>104</v>
      </c>
      <c r="T37" s="12" t="s">
        <v>105</v>
      </c>
      <c r="U37" s="13" t="s">
        <v>174</v>
      </c>
    </row>
    <row r="38" spans="1:21">
      <c r="A38" s="14">
        <v>15</v>
      </c>
      <c r="B38" s="12" t="s">
        <v>265</v>
      </c>
      <c r="C38" s="12" t="s">
        <v>260</v>
      </c>
      <c r="D38" s="12" t="s">
        <v>103</v>
      </c>
      <c r="E38" s="12" t="s">
        <v>173</v>
      </c>
      <c r="F38" s="12" t="s">
        <v>264</v>
      </c>
      <c r="G38" s="12" t="s">
        <v>263</v>
      </c>
      <c r="H38" s="12" t="s">
        <v>1322</v>
      </c>
      <c r="I38" s="12" t="s">
        <v>184</v>
      </c>
      <c r="J38" s="12" t="s">
        <v>266</v>
      </c>
      <c r="K38" s="12" t="s">
        <v>1365</v>
      </c>
      <c r="L38" s="12" t="s">
        <v>1366</v>
      </c>
      <c r="M38" s="12" t="s">
        <v>1283</v>
      </c>
      <c r="N38" s="12" t="s">
        <v>1283</v>
      </c>
      <c r="O38" s="12" t="s">
        <v>1263</v>
      </c>
      <c r="P38" s="12" t="s">
        <v>1280</v>
      </c>
      <c r="Q38" s="16" t="s">
        <v>201</v>
      </c>
      <c r="R38" s="16" t="s">
        <v>180</v>
      </c>
      <c r="S38" s="12" t="s">
        <v>104</v>
      </c>
      <c r="T38" s="12" t="s">
        <v>105</v>
      </c>
      <c r="U38" s="13" t="s">
        <v>174</v>
      </c>
    </row>
    <row r="39" spans="1:21">
      <c r="A39" s="14">
        <v>15</v>
      </c>
      <c r="B39" s="12" t="s">
        <v>1056</v>
      </c>
      <c r="C39" s="12" t="s">
        <v>1055</v>
      </c>
      <c r="D39" s="12" t="s">
        <v>1054</v>
      </c>
      <c r="E39" s="12" t="s">
        <v>378</v>
      </c>
      <c r="F39" s="12" t="s">
        <v>383</v>
      </c>
      <c r="G39" s="12" t="s">
        <v>1154</v>
      </c>
      <c r="H39" s="12" t="s">
        <v>1338</v>
      </c>
      <c r="I39" s="12" t="s">
        <v>184</v>
      </c>
      <c r="J39" s="12" t="s">
        <v>1367</v>
      </c>
      <c r="K39" s="12" t="s">
        <v>1301</v>
      </c>
      <c r="L39" s="12" t="s">
        <v>1368</v>
      </c>
      <c r="M39" s="12" t="s">
        <v>1309</v>
      </c>
      <c r="N39" s="12" t="s">
        <v>1309</v>
      </c>
      <c r="O39" s="12" t="s">
        <v>1288</v>
      </c>
      <c r="P39" s="12" t="s">
        <v>1264</v>
      </c>
      <c r="Q39" s="16" t="s">
        <v>201</v>
      </c>
      <c r="R39" s="16" t="s">
        <v>180</v>
      </c>
      <c r="S39" s="12" t="s">
        <v>754</v>
      </c>
      <c r="T39" s="12" t="s">
        <v>619</v>
      </c>
      <c r="U39" s="24" t="s">
        <v>180</v>
      </c>
    </row>
    <row r="40" spans="1:21">
      <c r="A40" s="14">
        <v>15</v>
      </c>
      <c r="B40" s="12" t="s">
        <v>1056</v>
      </c>
      <c r="C40" s="12" t="s">
        <v>1055</v>
      </c>
      <c r="D40" s="12" t="s">
        <v>1054</v>
      </c>
      <c r="E40" s="12" t="s">
        <v>378</v>
      </c>
      <c r="F40" s="12" t="s">
        <v>383</v>
      </c>
      <c r="G40" s="12" t="s">
        <v>1154</v>
      </c>
      <c r="H40" s="12" t="s">
        <v>1338</v>
      </c>
      <c r="I40" s="12" t="s">
        <v>184</v>
      </c>
      <c r="J40" s="12" t="s">
        <v>1369</v>
      </c>
      <c r="K40" s="12" t="s">
        <v>1301</v>
      </c>
      <c r="L40" s="12" t="s">
        <v>1370</v>
      </c>
      <c r="M40" s="12" t="s">
        <v>1272</v>
      </c>
      <c r="N40" s="12" t="s">
        <v>1272</v>
      </c>
      <c r="O40" s="12" t="s">
        <v>1288</v>
      </c>
      <c r="P40" s="12" t="s">
        <v>1264</v>
      </c>
      <c r="Q40" s="16" t="s">
        <v>201</v>
      </c>
      <c r="R40" s="16" t="s">
        <v>180</v>
      </c>
      <c r="S40" s="12" t="s">
        <v>754</v>
      </c>
      <c r="T40" s="12" t="s">
        <v>619</v>
      </c>
      <c r="U40" s="24" t="s">
        <v>180</v>
      </c>
    </row>
    <row r="41" spans="1:21">
      <c r="A41" s="14">
        <v>16</v>
      </c>
      <c r="B41" s="12" t="s">
        <v>441</v>
      </c>
      <c r="C41" s="12" t="s">
        <v>438</v>
      </c>
      <c r="D41" s="12" t="s">
        <v>437</v>
      </c>
      <c r="E41" s="12" t="s">
        <v>173</v>
      </c>
      <c r="F41" s="12" t="s">
        <v>440</v>
      </c>
      <c r="G41" s="12" t="s">
        <v>439</v>
      </c>
      <c r="H41" s="12" t="s">
        <v>1322</v>
      </c>
      <c r="I41" s="12" t="s">
        <v>184</v>
      </c>
      <c r="J41" s="12" t="s">
        <v>442</v>
      </c>
      <c r="K41" s="12" t="s">
        <v>1371</v>
      </c>
      <c r="L41" s="12" t="s">
        <v>1371</v>
      </c>
      <c r="M41" s="12" t="s">
        <v>1311</v>
      </c>
      <c r="N41" s="12" t="s">
        <v>1311</v>
      </c>
      <c r="O41" s="12" t="s">
        <v>1279</v>
      </c>
      <c r="P41" s="12" t="s">
        <v>1280</v>
      </c>
      <c r="Q41" s="16" t="s">
        <v>201</v>
      </c>
      <c r="R41" s="16" t="s">
        <v>180</v>
      </c>
      <c r="S41" s="12" t="s">
        <v>104</v>
      </c>
      <c r="T41" s="12" t="s">
        <v>105</v>
      </c>
      <c r="U41" s="24" t="s">
        <v>180</v>
      </c>
    </row>
    <row r="42" spans="1:21">
      <c r="A42" s="14">
        <v>16</v>
      </c>
      <c r="B42" s="12" t="s">
        <v>1037</v>
      </c>
      <c r="C42" s="12" t="s">
        <v>1032</v>
      </c>
      <c r="D42" s="12" t="s">
        <v>1031</v>
      </c>
      <c r="E42" s="12" t="s">
        <v>292</v>
      </c>
      <c r="F42" s="12" t="s">
        <v>699</v>
      </c>
      <c r="G42" s="12" t="s">
        <v>1035</v>
      </c>
      <c r="H42" s="12" t="s">
        <v>1372</v>
      </c>
      <c r="I42" s="12" t="s">
        <v>1036</v>
      </c>
      <c r="J42" s="12" t="s">
        <v>1373</v>
      </c>
      <c r="K42" s="12" t="s">
        <v>1260</v>
      </c>
      <c r="L42" s="12" t="s">
        <v>1374</v>
      </c>
      <c r="M42" s="12" t="s">
        <v>1260</v>
      </c>
      <c r="N42" s="12" t="s">
        <v>1262</v>
      </c>
      <c r="O42" s="12" t="s">
        <v>1288</v>
      </c>
      <c r="P42" s="12" t="s">
        <v>1264</v>
      </c>
      <c r="Q42" s="16" t="s">
        <v>1265</v>
      </c>
      <c r="R42" s="16" t="s">
        <v>180</v>
      </c>
      <c r="S42" s="12" t="s">
        <v>119</v>
      </c>
      <c r="T42" s="12" t="s">
        <v>619</v>
      </c>
      <c r="U42" s="24" t="s">
        <v>180</v>
      </c>
    </row>
    <row r="43" spans="1:21">
      <c r="A43" s="14">
        <v>16</v>
      </c>
      <c r="B43" s="12" t="s">
        <v>1037</v>
      </c>
      <c r="C43" s="12" t="s">
        <v>1032</v>
      </c>
      <c r="D43" s="12" t="s">
        <v>1031</v>
      </c>
      <c r="E43" s="12" t="s">
        <v>292</v>
      </c>
      <c r="F43" s="12" t="s">
        <v>699</v>
      </c>
      <c r="G43" s="12" t="s">
        <v>1035</v>
      </c>
      <c r="H43" s="12" t="s">
        <v>1372</v>
      </c>
      <c r="I43" s="12" t="s">
        <v>1036</v>
      </c>
      <c r="J43" s="12" t="s">
        <v>1375</v>
      </c>
      <c r="K43" s="12" t="s">
        <v>1260</v>
      </c>
      <c r="L43" s="12" t="s">
        <v>1293</v>
      </c>
      <c r="M43" s="12" t="s">
        <v>1260</v>
      </c>
      <c r="N43" s="12" t="s">
        <v>1262</v>
      </c>
      <c r="O43" s="12" t="s">
        <v>1288</v>
      </c>
      <c r="P43" s="12" t="s">
        <v>1264</v>
      </c>
      <c r="Q43" s="16" t="s">
        <v>1265</v>
      </c>
      <c r="R43" s="16" t="s">
        <v>180</v>
      </c>
      <c r="S43" s="12" t="s">
        <v>119</v>
      </c>
      <c r="T43" s="12" t="s">
        <v>619</v>
      </c>
      <c r="U43" s="24" t="s">
        <v>180</v>
      </c>
    </row>
    <row r="44" spans="1:21">
      <c r="A44" s="14">
        <v>16</v>
      </c>
      <c r="B44" s="12" t="s">
        <v>1037</v>
      </c>
      <c r="C44" s="12" t="s">
        <v>1032</v>
      </c>
      <c r="D44" s="12" t="s">
        <v>1031</v>
      </c>
      <c r="E44" s="12" t="s">
        <v>292</v>
      </c>
      <c r="F44" s="12" t="s">
        <v>699</v>
      </c>
      <c r="G44" s="12" t="s">
        <v>1035</v>
      </c>
      <c r="H44" s="12" t="s">
        <v>1372</v>
      </c>
      <c r="I44" s="12" t="s">
        <v>1036</v>
      </c>
      <c r="J44" s="12" t="s">
        <v>1376</v>
      </c>
      <c r="K44" s="12" t="s">
        <v>1260</v>
      </c>
      <c r="L44" s="12" t="s">
        <v>1261</v>
      </c>
      <c r="M44" s="12" t="s">
        <v>1260</v>
      </c>
      <c r="N44" s="12" t="s">
        <v>1309</v>
      </c>
      <c r="O44" s="12" t="s">
        <v>1288</v>
      </c>
      <c r="P44" s="12" t="s">
        <v>1264</v>
      </c>
      <c r="Q44" s="16" t="s">
        <v>1265</v>
      </c>
      <c r="R44" s="16" t="s">
        <v>180</v>
      </c>
      <c r="S44" s="12" t="s">
        <v>119</v>
      </c>
      <c r="T44" s="12" t="s">
        <v>619</v>
      </c>
      <c r="U44" s="24" t="s">
        <v>180</v>
      </c>
    </row>
    <row r="45" spans="1:21">
      <c r="A45" s="14">
        <v>16</v>
      </c>
      <c r="B45" s="12" t="s">
        <v>1037</v>
      </c>
      <c r="C45" s="12" t="s">
        <v>1032</v>
      </c>
      <c r="D45" s="12" t="s">
        <v>1031</v>
      </c>
      <c r="E45" s="12" t="s">
        <v>292</v>
      </c>
      <c r="F45" s="12" t="s">
        <v>699</v>
      </c>
      <c r="G45" s="12" t="s">
        <v>1035</v>
      </c>
      <c r="H45" s="12" t="s">
        <v>1372</v>
      </c>
      <c r="I45" s="12" t="s">
        <v>1036</v>
      </c>
      <c r="J45" s="12" t="s">
        <v>1377</v>
      </c>
      <c r="K45" s="12" t="s">
        <v>1260</v>
      </c>
      <c r="L45" s="12" t="s">
        <v>1378</v>
      </c>
      <c r="M45" s="12" t="s">
        <v>1260</v>
      </c>
      <c r="N45" s="12" t="s">
        <v>1309</v>
      </c>
      <c r="O45" s="12" t="s">
        <v>1288</v>
      </c>
      <c r="P45" s="12" t="s">
        <v>1264</v>
      </c>
      <c r="Q45" s="16" t="s">
        <v>1265</v>
      </c>
      <c r="R45" s="16" t="s">
        <v>180</v>
      </c>
      <c r="S45" s="12" t="s">
        <v>119</v>
      </c>
      <c r="T45" s="12" t="s">
        <v>619</v>
      </c>
      <c r="U45" s="24" t="s">
        <v>180</v>
      </c>
    </row>
    <row r="46" spans="1:21">
      <c r="A46" s="14">
        <v>16</v>
      </c>
      <c r="B46" s="12" t="s">
        <v>1037</v>
      </c>
      <c r="C46" s="12" t="s">
        <v>1032</v>
      </c>
      <c r="D46" s="12" t="s">
        <v>1031</v>
      </c>
      <c r="E46" s="12" t="s">
        <v>292</v>
      </c>
      <c r="F46" s="12" t="s">
        <v>699</v>
      </c>
      <c r="G46" s="12" t="s">
        <v>1035</v>
      </c>
      <c r="H46" s="12" t="s">
        <v>1372</v>
      </c>
      <c r="I46" s="12" t="s">
        <v>1036</v>
      </c>
      <c r="J46" s="12" t="s">
        <v>1379</v>
      </c>
      <c r="K46" s="12" t="s">
        <v>1260</v>
      </c>
      <c r="L46" s="12" t="s">
        <v>1380</v>
      </c>
      <c r="M46" s="12" t="s">
        <v>1260</v>
      </c>
      <c r="N46" s="12" t="s">
        <v>1252</v>
      </c>
      <c r="O46" s="12" t="s">
        <v>1279</v>
      </c>
      <c r="P46" s="12" t="s">
        <v>1258</v>
      </c>
      <c r="Q46" s="16" t="s">
        <v>1265</v>
      </c>
      <c r="R46" s="16" t="s">
        <v>180</v>
      </c>
      <c r="S46" s="12" t="s">
        <v>119</v>
      </c>
      <c r="T46" s="12" t="s">
        <v>619</v>
      </c>
      <c r="U46" s="24" t="s">
        <v>180</v>
      </c>
    </row>
    <row r="47" spans="1:21">
      <c r="A47" s="14">
        <v>16</v>
      </c>
      <c r="B47" s="12" t="s">
        <v>700</v>
      </c>
      <c r="C47" s="12" t="s">
        <v>697</v>
      </c>
      <c r="D47" s="12" t="s">
        <v>696</v>
      </c>
      <c r="E47" s="12" t="s">
        <v>292</v>
      </c>
      <c r="F47" s="12" t="s">
        <v>699</v>
      </c>
      <c r="G47" s="12" t="s">
        <v>698</v>
      </c>
      <c r="H47" s="12" t="s">
        <v>1381</v>
      </c>
      <c r="I47" s="12" t="s">
        <v>184</v>
      </c>
      <c r="J47" s="12" t="s">
        <v>1382</v>
      </c>
      <c r="K47" s="12" t="s">
        <v>1260</v>
      </c>
      <c r="L47" s="12" t="s">
        <v>1380</v>
      </c>
      <c r="M47" s="12" t="s">
        <v>1260</v>
      </c>
      <c r="N47" s="12" t="s">
        <v>1252</v>
      </c>
      <c r="O47" s="12" t="s">
        <v>1279</v>
      </c>
      <c r="P47" s="12" t="s">
        <v>1258</v>
      </c>
      <c r="Q47" s="16" t="s">
        <v>1265</v>
      </c>
      <c r="R47" s="16" t="s">
        <v>180</v>
      </c>
      <c r="S47" s="12" t="s">
        <v>119</v>
      </c>
      <c r="T47" s="12" t="s">
        <v>619</v>
      </c>
      <c r="U47" s="24" t="s">
        <v>180</v>
      </c>
    </row>
    <row r="48" spans="1:21">
      <c r="A48" s="14">
        <v>16</v>
      </c>
      <c r="B48" s="12" t="s">
        <v>700</v>
      </c>
      <c r="C48" s="12" t="s">
        <v>697</v>
      </c>
      <c r="D48" s="12" t="s">
        <v>696</v>
      </c>
      <c r="E48" s="12" t="s">
        <v>292</v>
      </c>
      <c r="F48" s="12" t="s">
        <v>699</v>
      </c>
      <c r="G48" s="12" t="s">
        <v>698</v>
      </c>
      <c r="H48" s="12" t="s">
        <v>1381</v>
      </c>
      <c r="I48" s="12" t="s">
        <v>184</v>
      </c>
      <c r="J48" s="12" t="s">
        <v>1383</v>
      </c>
      <c r="K48" s="12" t="s">
        <v>1260</v>
      </c>
      <c r="L48" s="12" t="s">
        <v>1374</v>
      </c>
      <c r="M48" s="12" t="s">
        <v>1260</v>
      </c>
      <c r="N48" s="12" t="s">
        <v>1262</v>
      </c>
      <c r="O48" s="12" t="s">
        <v>1288</v>
      </c>
      <c r="P48" s="12" t="s">
        <v>1264</v>
      </c>
      <c r="Q48" s="16" t="s">
        <v>1265</v>
      </c>
      <c r="R48" s="16" t="s">
        <v>180</v>
      </c>
      <c r="S48" s="12" t="s">
        <v>119</v>
      </c>
      <c r="T48" s="12" t="s">
        <v>619</v>
      </c>
      <c r="U48" s="24" t="s">
        <v>180</v>
      </c>
    </row>
    <row r="49" spans="1:21">
      <c r="A49" s="14">
        <v>16</v>
      </c>
      <c r="B49" s="12" t="s">
        <v>700</v>
      </c>
      <c r="C49" s="12" t="s">
        <v>697</v>
      </c>
      <c r="D49" s="12" t="s">
        <v>696</v>
      </c>
      <c r="E49" s="12" t="s">
        <v>292</v>
      </c>
      <c r="F49" s="12" t="s">
        <v>699</v>
      </c>
      <c r="G49" s="12" t="s">
        <v>698</v>
      </c>
      <c r="H49" s="12" t="s">
        <v>1381</v>
      </c>
      <c r="I49" s="12" t="s">
        <v>184</v>
      </c>
      <c r="J49" s="12" t="s">
        <v>1384</v>
      </c>
      <c r="K49" s="12" t="s">
        <v>1260</v>
      </c>
      <c r="L49" s="12" t="s">
        <v>1378</v>
      </c>
      <c r="M49" s="12" t="s">
        <v>1260</v>
      </c>
      <c r="N49" s="12" t="s">
        <v>1309</v>
      </c>
      <c r="O49" s="12" t="s">
        <v>1288</v>
      </c>
      <c r="P49" s="12" t="s">
        <v>1264</v>
      </c>
      <c r="Q49" s="16" t="s">
        <v>1265</v>
      </c>
      <c r="R49" s="16" t="s">
        <v>180</v>
      </c>
      <c r="S49" s="12" t="s">
        <v>119</v>
      </c>
      <c r="T49" s="12" t="s">
        <v>619</v>
      </c>
      <c r="U49" s="24" t="s">
        <v>180</v>
      </c>
    </row>
    <row r="50" spans="1:21">
      <c r="A50" s="14">
        <v>17</v>
      </c>
      <c r="B50" s="12" t="s">
        <v>1198</v>
      </c>
      <c r="C50" s="12" t="s">
        <v>1195</v>
      </c>
      <c r="D50" s="12" t="s">
        <v>1194</v>
      </c>
      <c r="E50" s="12" t="s">
        <v>292</v>
      </c>
      <c r="F50" s="12" t="s">
        <v>699</v>
      </c>
      <c r="G50" s="12" t="s">
        <v>1197</v>
      </c>
      <c r="H50" s="12" t="s">
        <v>1385</v>
      </c>
      <c r="I50" s="12" t="s">
        <v>184</v>
      </c>
      <c r="J50" s="12" t="s">
        <v>1386</v>
      </c>
      <c r="K50" s="12" t="s">
        <v>1260</v>
      </c>
      <c r="L50" s="12" t="s">
        <v>1380</v>
      </c>
      <c r="M50" s="12" t="s">
        <v>1260</v>
      </c>
      <c r="N50" s="12" t="s">
        <v>1252</v>
      </c>
      <c r="O50" s="12" t="s">
        <v>1263</v>
      </c>
      <c r="P50" s="12" t="s">
        <v>1258</v>
      </c>
      <c r="Q50" s="16" t="s">
        <v>1265</v>
      </c>
      <c r="R50" s="16" t="s">
        <v>180</v>
      </c>
      <c r="S50" s="12" t="s">
        <v>119</v>
      </c>
      <c r="T50" s="12" t="s">
        <v>619</v>
      </c>
      <c r="U50" s="24" t="s">
        <v>180</v>
      </c>
    </row>
    <row r="51" spans="1:21">
      <c r="A51" s="14">
        <v>17</v>
      </c>
      <c r="B51" s="12" t="s">
        <v>1198</v>
      </c>
      <c r="C51" s="12" t="s">
        <v>1195</v>
      </c>
      <c r="D51" s="12" t="s">
        <v>1194</v>
      </c>
      <c r="E51" s="12" t="s">
        <v>292</v>
      </c>
      <c r="F51" s="12" t="s">
        <v>699</v>
      </c>
      <c r="G51" s="12" t="s">
        <v>1197</v>
      </c>
      <c r="H51" s="12" t="s">
        <v>1385</v>
      </c>
      <c r="I51" s="12" t="s">
        <v>184</v>
      </c>
      <c r="J51" s="12" t="s">
        <v>1387</v>
      </c>
      <c r="K51" s="12" t="s">
        <v>1260</v>
      </c>
      <c r="L51" s="12" t="s">
        <v>1374</v>
      </c>
      <c r="M51" s="12" t="s">
        <v>1260</v>
      </c>
      <c r="N51" s="12" t="s">
        <v>1262</v>
      </c>
      <c r="O51" s="12" t="s">
        <v>1288</v>
      </c>
      <c r="P51" s="12" t="s">
        <v>1264</v>
      </c>
      <c r="Q51" s="16" t="s">
        <v>1265</v>
      </c>
      <c r="R51" s="16" t="s">
        <v>180</v>
      </c>
      <c r="S51" s="12" t="s">
        <v>119</v>
      </c>
      <c r="T51" s="12" t="s">
        <v>619</v>
      </c>
      <c r="U51" s="24" t="s">
        <v>180</v>
      </c>
    </row>
    <row r="52" spans="1:21">
      <c r="A52" s="14">
        <v>17</v>
      </c>
      <c r="B52" s="12" t="s">
        <v>1198</v>
      </c>
      <c r="C52" s="12" t="s">
        <v>1195</v>
      </c>
      <c r="D52" s="12" t="s">
        <v>1194</v>
      </c>
      <c r="E52" s="12" t="s">
        <v>292</v>
      </c>
      <c r="F52" s="12" t="s">
        <v>699</v>
      </c>
      <c r="G52" s="12" t="s">
        <v>1197</v>
      </c>
      <c r="H52" s="12" t="s">
        <v>1385</v>
      </c>
      <c r="I52" s="12" t="s">
        <v>184</v>
      </c>
      <c r="J52" s="12" t="s">
        <v>1388</v>
      </c>
      <c r="K52" s="12" t="s">
        <v>1260</v>
      </c>
      <c r="L52" s="12" t="s">
        <v>1378</v>
      </c>
      <c r="M52" s="12" t="s">
        <v>1260</v>
      </c>
      <c r="N52" s="12" t="s">
        <v>1309</v>
      </c>
      <c r="O52" s="12" t="s">
        <v>1288</v>
      </c>
      <c r="P52" s="12" t="s">
        <v>1264</v>
      </c>
      <c r="Q52" s="16" t="s">
        <v>1265</v>
      </c>
      <c r="R52" s="16" t="s">
        <v>180</v>
      </c>
      <c r="S52" s="12" t="s">
        <v>119</v>
      </c>
      <c r="T52" s="12" t="s">
        <v>619</v>
      </c>
      <c r="U52" s="24" t="s">
        <v>180</v>
      </c>
    </row>
    <row r="53" spans="1:21">
      <c r="A53" s="14">
        <v>17</v>
      </c>
      <c r="B53" s="12" t="s">
        <v>1198</v>
      </c>
      <c r="C53" s="12" t="s">
        <v>1195</v>
      </c>
      <c r="D53" s="12" t="s">
        <v>1194</v>
      </c>
      <c r="E53" s="12" t="s">
        <v>292</v>
      </c>
      <c r="F53" s="12" t="s">
        <v>699</v>
      </c>
      <c r="G53" s="12" t="s">
        <v>1197</v>
      </c>
      <c r="H53" s="12" t="s">
        <v>1385</v>
      </c>
      <c r="I53" s="12" t="s">
        <v>184</v>
      </c>
      <c r="J53" s="12" t="s">
        <v>1389</v>
      </c>
      <c r="K53" s="12" t="s">
        <v>1260</v>
      </c>
      <c r="L53" s="12" t="s">
        <v>1261</v>
      </c>
      <c r="M53" s="12" t="s">
        <v>1260</v>
      </c>
      <c r="N53" s="12" t="s">
        <v>1309</v>
      </c>
      <c r="O53" s="12" t="s">
        <v>1288</v>
      </c>
      <c r="P53" s="12" t="s">
        <v>1264</v>
      </c>
      <c r="Q53" s="16" t="s">
        <v>1265</v>
      </c>
      <c r="R53" s="16" t="s">
        <v>180</v>
      </c>
      <c r="S53" s="12" t="s">
        <v>119</v>
      </c>
      <c r="T53" s="12" t="s">
        <v>619</v>
      </c>
      <c r="U53" s="24" t="s">
        <v>180</v>
      </c>
    </row>
    <row r="54" spans="1:21">
      <c r="A54" s="14">
        <v>17</v>
      </c>
      <c r="B54" s="12" t="s">
        <v>1198</v>
      </c>
      <c r="C54" s="12" t="s">
        <v>1195</v>
      </c>
      <c r="D54" s="12" t="s">
        <v>1194</v>
      </c>
      <c r="E54" s="12" t="s">
        <v>292</v>
      </c>
      <c r="F54" s="12" t="s">
        <v>699</v>
      </c>
      <c r="G54" s="12" t="s">
        <v>1197</v>
      </c>
      <c r="H54" s="12" t="s">
        <v>1385</v>
      </c>
      <c r="I54" s="12" t="s">
        <v>184</v>
      </c>
      <c r="J54" s="12" t="s">
        <v>1390</v>
      </c>
      <c r="K54" s="12" t="s">
        <v>1260</v>
      </c>
      <c r="L54" s="12" t="s">
        <v>1391</v>
      </c>
      <c r="M54" s="12" t="s">
        <v>1260</v>
      </c>
      <c r="N54" s="12" t="s">
        <v>1309</v>
      </c>
      <c r="O54" s="12" t="s">
        <v>1288</v>
      </c>
      <c r="P54" s="12" t="s">
        <v>1264</v>
      </c>
      <c r="Q54" s="16" t="s">
        <v>1265</v>
      </c>
      <c r="R54" s="16" t="s">
        <v>180</v>
      </c>
      <c r="S54" s="12" t="s">
        <v>119</v>
      </c>
      <c r="T54" s="12" t="s">
        <v>619</v>
      </c>
      <c r="U54" s="24" t="s">
        <v>180</v>
      </c>
    </row>
    <row r="55" spans="1:21">
      <c r="A55" s="14">
        <v>17</v>
      </c>
      <c r="B55" s="12" t="s">
        <v>706</v>
      </c>
      <c r="C55" s="12" t="s">
        <v>703</v>
      </c>
      <c r="D55" s="12" t="s">
        <v>702</v>
      </c>
      <c r="E55" s="12" t="s">
        <v>292</v>
      </c>
      <c r="F55" s="12" t="s">
        <v>699</v>
      </c>
      <c r="G55" s="12" t="s">
        <v>704</v>
      </c>
      <c r="H55" s="12" t="s">
        <v>1381</v>
      </c>
      <c r="I55" s="12" t="s">
        <v>705</v>
      </c>
      <c r="J55" s="12" t="s">
        <v>1392</v>
      </c>
      <c r="K55" s="12" t="s">
        <v>1260</v>
      </c>
      <c r="L55" s="12" t="s">
        <v>1291</v>
      </c>
      <c r="M55" s="12" t="s">
        <v>1260</v>
      </c>
      <c r="N55" s="12" t="s">
        <v>1262</v>
      </c>
      <c r="O55" s="12" t="s">
        <v>1288</v>
      </c>
      <c r="P55" s="12" t="s">
        <v>1264</v>
      </c>
      <c r="Q55" s="16" t="s">
        <v>1265</v>
      </c>
      <c r="R55" s="16" t="s">
        <v>180</v>
      </c>
      <c r="S55" s="12" t="s">
        <v>119</v>
      </c>
      <c r="T55" s="12" t="s">
        <v>619</v>
      </c>
      <c r="U55" s="24" t="s">
        <v>180</v>
      </c>
    </row>
    <row r="56" spans="1:21">
      <c r="A56" s="14">
        <v>17</v>
      </c>
      <c r="B56" s="12" t="s">
        <v>706</v>
      </c>
      <c r="C56" s="12" t="s">
        <v>703</v>
      </c>
      <c r="D56" s="12" t="s">
        <v>702</v>
      </c>
      <c r="E56" s="12" t="s">
        <v>292</v>
      </c>
      <c r="F56" s="12" t="s">
        <v>699</v>
      </c>
      <c r="G56" s="12" t="s">
        <v>704</v>
      </c>
      <c r="H56" s="12" t="s">
        <v>1381</v>
      </c>
      <c r="I56" s="12" t="s">
        <v>705</v>
      </c>
      <c r="J56" s="12" t="s">
        <v>1393</v>
      </c>
      <c r="K56" s="12" t="s">
        <v>1260</v>
      </c>
      <c r="L56" s="12" t="s">
        <v>1394</v>
      </c>
      <c r="M56" s="12" t="s">
        <v>1260</v>
      </c>
      <c r="N56" s="12" t="s">
        <v>1309</v>
      </c>
      <c r="O56" s="12" t="s">
        <v>1288</v>
      </c>
      <c r="P56" s="12" t="s">
        <v>1264</v>
      </c>
      <c r="Q56" s="16" t="s">
        <v>1265</v>
      </c>
      <c r="R56" s="16" t="s">
        <v>180</v>
      </c>
      <c r="S56" s="12" t="s">
        <v>119</v>
      </c>
      <c r="T56" s="12" t="s">
        <v>619</v>
      </c>
      <c r="U56" s="24" t="s">
        <v>180</v>
      </c>
    </row>
    <row r="57" spans="1:21">
      <c r="A57" s="14">
        <v>17</v>
      </c>
      <c r="B57" s="12" t="s">
        <v>855</v>
      </c>
      <c r="C57" s="12" t="s">
        <v>852</v>
      </c>
      <c r="D57" s="12" t="s">
        <v>851</v>
      </c>
      <c r="E57" s="12" t="s">
        <v>469</v>
      </c>
      <c r="F57" s="12" t="s">
        <v>854</v>
      </c>
      <c r="G57" s="12" t="s">
        <v>853</v>
      </c>
      <c r="H57" s="12" t="s">
        <v>1395</v>
      </c>
      <c r="I57" s="12" t="s">
        <v>184</v>
      </c>
      <c r="J57" s="12" t="s">
        <v>1396</v>
      </c>
      <c r="K57" s="12" t="s">
        <v>1363</v>
      </c>
      <c r="L57" s="12" t="s">
        <v>1397</v>
      </c>
      <c r="M57" s="12" t="s">
        <v>1262</v>
      </c>
      <c r="N57" s="12" t="s">
        <v>1262</v>
      </c>
      <c r="O57" s="12" t="s">
        <v>1279</v>
      </c>
      <c r="P57" s="12" t="s">
        <v>1264</v>
      </c>
      <c r="Q57" s="16" t="s">
        <v>201</v>
      </c>
      <c r="R57" s="16" t="s">
        <v>180</v>
      </c>
      <c r="S57" s="12" t="s">
        <v>119</v>
      </c>
      <c r="T57" s="12" t="s">
        <v>519</v>
      </c>
      <c r="U57" s="24" t="s">
        <v>180</v>
      </c>
    </row>
    <row r="58" spans="1:21">
      <c r="A58" s="14">
        <v>17</v>
      </c>
      <c r="B58" s="12" t="s">
        <v>855</v>
      </c>
      <c r="C58" s="12" t="s">
        <v>852</v>
      </c>
      <c r="D58" s="12" t="s">
        <v>851</v>
      </c>
      <c r="E58" s="12" t="s">
        <v>469</v>
      </c>
      <c r="F58" s="12" t="s">
        <v>854</v>
      </c>
      <c r="G58" s="12" t="s">
        <v>853</v>
      </c>
      <c r="H58" s="12" t="s">
        <v>1395</v>
      </c>
      <c r="I58" s="12" t="s">
        <v>184</v>
      </c>
      <c r="J58" s="12" t="s">
        <v>1398</v>
      </c>
      <c r="K58" s="12" t="s">
        <v>1399</v>
      </c>
      <c r="L58" s="12" t="s">
        <v>1400</v>
      </c>
      <c r="M58" s="12" t="s">
        <v>1262</v>
      </c>
      <c r="N58" s="12" t="s">
        <v>1262</v>
      </c>
      <c r="O58" s="12" t="s">
        <v>1279</v>
      </c>
      <c r="P58" s="12" t="s">
        <v>1264</v>
      </c>
      <c r="Q58" s="16" t="s">
        <v>201</v>
      </c>
      <c r="R58" s="16" t="s">
        <v>180</v>
      </c>
      <c r="S58" s="12" t="s">
        <v>119</v>
      </c>
      <c r="T58" s="12" t="s">
        <v>519</v>
      </c>
      <c r="U58" s="24" t="s">
        <v>180</v>
      </c>
    </row>
    <row r="59" spans="1:21">
      <c r="A59" s="14">
        <v>18</v>
      </c>
      <c r="B59" s="12" t="s">
        <v>770</v>
      </c>
      <c r="C59" s="12" t="s">
        <v>764</v>
      </c>
      <c r="D59" s="12" t="s">
        <v>763</v>
      </c>
      <c r="E59" s="12" t="s">
        <v>469</v>
      </c>
      <c r="F59" s="12" t="s">
        <v>769</v>
      </c>
      <c r="G59" s="12" t="s">
        <v>767</v>
      </c>
      <c r="H59" s="12" t="s">
        <v>1401</v>
      </c>
      <c r="I59" s="12" t="s">
        <v>768</v>
      </c>
      <c r="J59" s="12" t="s">
        <v>771</v>
      </c>
      <c r="K59" s="12" t="s">
        <v>1307</v>
      </c>
      <c r="L59" s="12" t="s">
        <v>1402</v>
      </c>
      <c r="M59" s="12" t="s">
        <v>1278</v>
      </c>
      <c r="N59" s="12" t="s">
        <v>1278</v>
      </c>
      <c r="O59" s="12" t="s">
        <v>1263</v>
      </c>
      <c r="P59" s="12" t="s">
        <v>1264</v>
      </c>
      <c r="Q59" s="16" t="s">
        <v>201</v>
      </c>
      <c r="R59" s="16" t="s">
        <v>180</v>
      </c>
      <c r="S59" s="12" t="s">
        <v>104</v>
      </c>
      <c r="T59" s="12" t="s">
        <v>105</v>
      </c>
      <c r="U59" s="24" t="s">
        <v>180</v>
      </c>
    </row>
    <row r="60" spans="1:21">
      <c r="A60" s="14">
        <v>18</v>
      </c>
      <c r="B60" s="12" t="s">
        <v>1068</v>
      </c>
      <c r="C60" s="12" t="s">
        <v>1064</v>
      </c>
      <c r="D60" s="12" t="s">
        <v>1063</v>
      </c>
      <c r="E60" s="12" t="s">
        <v>173</v>
      </c>
      <c r="F60" s="12" t="s">
        <v>903</v>
      </c>
      <c r="G60" s="12" t="s">
        <v>1067</v>
      </c>
      <c r="H60" s="12" t="s">
        <v>1403</v>
      </c>
      <c r="I60" s="12" t="s">
        <v>184</v>
      </c>
      <c r="J60" s="12" t="s">
        <v>1404</v>
      </c>
      <c r="K60" s="12" t="s">
        <v>1298</v>
      </c>
      <c r="L60" s="12" t="s">
        <v>1299</v>
      </c>
      <c r="M60" s="12" t="s">
        <v>1272</v>
      </c>
      <c r="N60" s="12" t="s">
        <v>1272</v>
      </c>
      <c r="O60" s="12" t="s">
        <v>1263</v>
      </c>
      <c r="P60" s="12" t="s">
        <v>1264</v>
      </c>
      <c r="Q60" s="16" t="s">
        <v>201</v>
      </c>
      <c r="R60" s="16" t="s">
        <v>180</v>
      </c>
      <c r="S60" s="12" t="s">
        <v>119</v>
      </c>
      <c r="T60" s="12" t="s">
        <v>619</v>
      </c>
      <c r="U60" s="24" t="s">
        <v>180</v>
      </c>
    </row>
    <row r="61" spans="1:21">
      <c r="A61" s="14">
        <v>18</v>
      </c>
      <c r="B61" s="12" t="s">
        <v>1068</v>
      </c>
      <c r="C61" s="12" t="s">
        <v>1064</v>
      </c>
      <c r="D61" s="12" t="s">
        <v>1063</v>
      </c>
      <c r="E61" s="12" t="s">
        <v>173</v>
      </c>
      <c r="F61" s="12" t="s">
        <v>903</v>
      </c>
      <c r="G61" s="12" t="s">
        <v>1067</v>
      </c>
      <c r="H61" s="12" t="s">
        <v>1403</v>
      </c>
      <c r="I61" s="12" t="s">
        <v>184</v>
      </c>
      <c r="J61" s="12" t="s">
        <v>1405</v>
      </c>
      <c r="K61" s="12" t="s">
        <v>1298</v>
      </c>
      <c r="L61" s="12" t="s">
        <v>1406</v>
      </c>
      <c r="M61" s="12" t="s">
        <v>1252</v>
      </c>
      <c r="N61" s="12" t="s">
        <v>1252</v>
      </c>
      <c r="O61" s="12" t="s">
        <v>1263</v>
      </c>
      <c r="P61" s="12" t="s">
        <v>1264</v>
      </c>
      <c r="Q61" s="16" t="s">
        <v>201</v>
      </c>
      <c r="R61" s="16" t="s">
        <v>180</v>
      </c>
      <c r="S61" s="12" t="s">
        <v>119</v>
      </c>
      <c r="T61" s="12" t="s">
        <v>619</v>
      </c>
      <c r="U61" s="24" t="s">
        <v>180</v>
      </c>
    </row>
    <row r="62" spans="1:21">
      <c r="A62" s="14">
        <v>18</v>
      </c>
      <c r="B62" s="12" t="s">
        <v>1061</v>
      </c>
      <c r="C62" s="12" t="s">
        <v>1059</v>
      </c>
      <c r="D62" s="12" t="s">
        <v>1058</v>
      </c>
      <c r="E62" s="12" t="s">
        <v>217</v>
      </c>
      <c r="F62" s="12" t="s">
        <v>917</v>
      </c>
      <c r="G62" s="12" t="s">
        <v>1060</v>
      </c>
      <c r="H62" s="12" t="s">
        <v>1407</v>
      </c>
      <c r="I62" s="12" t="s">
        <v>184</v>
      </c>
      <c r="J62" s="12" t="s">
        <v>1408</v>
      </c>
      <c r="K62" s="12" t="s">
        <v>1409</v>
      </c>
      <c r="L62" s="12" t="s">
        <v>1409</v>
      </c>
      <c r="M62" s="12" t="s">
        <v>1311</v>
      </c>
      <c r="N62" s="12" t="s">
        <v>1311</v>
      </c>
      <c r="O62" s="12" t="s">
        <v>1410</v>
      </c>
      <c r="P62" s="12" t="s">
        <v>1328</v>
      </c>
      <c r="Q62" s="16" t="s">
        <v>201</v>
      </c>
      <c r="R62" s="16" t="s">
        <v>180</v>
      </c>
      <c r="S62" s="12" t="s">
        <v>754</v>
      </c>
      <c r="T62" s="12" t="s">
        <v>619</v>
      </c>
      <c r="U62" s="24" t="s">
        <v>180</v>
      </c>
    </row>
    <row r="63" spans="1:21">
      <c r="A63" s="14">
        <v>18</v>
      </c>
      <c r="B63" s="12" t="s">
        <v>1061</v>
      </c>
      <c r="C63" s="12" t="s">
        <v>1059</v>
      </c>
      <c r="D63" s="12" t="s">
        <v>1058</v>
      </c>
      <c r="E63" s="12" t="s">
        <v>217</v>
      </c>
      <c r="F63" s="12" t="s">
        <v>917</v>
      </c>
      <c r="G63" s="12" t="s">
        <v>1060</v>
      </c>
      <c r="H63" s="12" t="s">
        <v>1407</v>
      </c>
      <c r="I63" s="12" t="s">
        <v>184</v>
      </c>
      <c r="J63" s="12" t="s">
        <v>1411</v>
      </c>
      <c r="K63" s="12" t="s">
        <v>1409</v>
      </c>
      <c r="L63" s="12" t="s">
        <v>1412</v>
      </c>
      <c r="M63" s="12" t="s">
        <v>1283</v>
      </c>
      <c r="N63" s="12" t="s">
        <v>1283</v>
      </c>
      <c r="O63" s="12" t="s">
        <v>1410</v>
      </c>
      <c r="P63" s="12" t="s">
        <v>1328</v>
      </c>
      <c r="Q63" s="16" t="s">
        <v>201</v>
      </c>
      <c r="R63" s="16" t="s">
        <v>180</v>
      </c>
      <c r="S63" s="12" t="s">
        <v>754</v>
      </c>
      <c r="T63" s="12" t="s">
        <v>619</v>
      </c>
      <c r="U63" s="24" t="s">
        <v>180</v>
      </c>
    </row>
    <row r="64" spans="1:21">
      <c r="A64" s="14">
        <v>19</v>
      </c>
      <c r="B64" s="12" t="s">
        <v>256</v>
      </c>
      <c r="C64" s="12" t="s">
        <v>253</v>
      </c>
      <c r="D64" s="12" t="s">
        <v>102</v>
      </c>
      <c r="E64" s="12" t="s">
        <v>199</v>
      </c>
      <c r="F64" s="12" t="s">
        <v>255</v>
      </c>
      <c r="G64" s="12" t="s">
        <v>254</v>
      </c>
      <c r="H64" s="12" t="s">
        <v>1413</v>
      </c>
      <c r="I64" s="12" t="s">
        <v>184</v>
      </c>
      <c r="J64" s="12" t="s">
        <v>257</v>
      </c>
      <c r="K64" s="12" t="s">
        <v>1298</v>
      </c>
      <c r="L64" s="12" t="s">
        <v>1414</v>
      </c>
      <c r="M64" s="12" t="s">
        <v>1309</v>
      </c>
      <c r="N64" s="12" t="s">
        <v>1262</v>
      </c>
      <c r="O64" s="12" t="s">
        <v>1263</v>
      </c>
      <c r="P64" s="12" t="s">
        <v>1264</v>
      </c>
      <c r="Q64" s="16" t="s">
        <v>201</v>
      </c>
      <c r="R64" s="16" t="s">
        <v>180</v>
      </c>
      <c r="S64" s="12" t="s">
        <v>93</v>
      </c>
      <c r="T64" s="12" t="s">
        <v>90</v>
      </c>
      <c r="U64" s="13" t="s">
        <v>174</v>
      </c>
    </row>
    <row r="65" spans="1:21">
      <c r="A65" s="14">
        <v>19</v>
      </c>
      <c r="B65" s="12" t="s">
        <v>644</v>
      </c>
      <c r="C65" s="12" t="s">
        <v>640</v>
      </c>
      <c r="D65" s="12" t="s">
        <v>639</v>
      </c>
      <c r="E65" s="12" t="s">
        <v>292</v>
      </c>
      <c r="F65" s="12" t="s">
        <v>333</v>
      </c>
      <c r="G65" s="12" t="s">
        <v>642</v>
      </c>
      <c r="H65" s="12" t="s">
        <v>1415</v>
      </c>
      <c r="I65" s="12" t="s">
        <v>643</v>
      </c>
      <c r="J65" s="12" t="s">
        <v>1416</v>
      </c>
      <c r="K65" s="12" t="s">
        <v>1417</v>
      </c>
      <c r="L65" s="12" t="s">
        <v>1418</v>
      </c>
      <c r="M65" s="12" t="s">
        <v>1272</v>
      </c>
      <c r="N65" s="12" t="s">
        <v>1272</v>
      </c>
      <c r="O65" s="12" t="s">
        <v>1263</v>
      </c>
      <c r="P65" s="12" t="s">
        <v>1264</v>
      </c>
      <c r="Q65" s="16" t="s">
        <v>201</v>
      </c>
      <c r="R65" s="13" t="s">
        <v>174</v>
      </c>
      <c r="S65" s="12" t="s">
        <v>119</v>
      </c>
      <c r="T65" s="12" t="s">
        <v>586</v>
      </c>
      <c r="U65" s="24" t="s">
        <v>180</v>
      </c>
    </row>
    <row r="66" spans="1:21">
      <c r="A66" s="14">
        <v>19</v>
      </c>
      <c r="B66" s="12" t="s">
        <v>644</v>
      </c>
      <c r="C66" s="12" t="s">
        <v>640</v>
      </c>
      <c r="D66" s="12" t="s">
        <v>639</v>
      </c>
      <c r="E66" s="12" t="s">
        <v>292</v>
      </c>
      <c r="F66" s="12" t="s">
        <v>333</v>
      </c>
      <c r="G66" s="12" t="s">
        <v>642</v>
      </c>
      <c r="H66" s="12" t="s">
        <v>1415</v>
      </c>
      <c r="I66" s="12" t="s">
        <v>643</v>
      </c>
      <c r="J66" s="12" t="s">
        <v>1419</v>
      </c>
      <c r="K66" s="12" t="s">
        <v>1420</v>
      </c>
      <c r="L66" s="12" t="s">
        <v>1421</v>
      </c>
      <c r="M66" s="12" t="s">
        <v>1272</v>
      </c>
      <c r="N66" s="12" t="s">
        <v>1272</v>
      </c>
      <c r="O66" s="12" t="s">
        <v>1263</v>
      </c>
      <c r="P66" s="12" t="s">
        <v>1264</v>
      </c>
      <c r="Q66" s="16" t="s">
        <v>201</v>
      </c>
      <c r="R66" s="13" t="s">
        <v>174</v>
      </c>
      <c r="S66" s="12" t="s">
        <v>119</v>
      </c>
      <c r="T66" s="12" t="s">
        <v>586</v>
      </c>
      <c r="U66" s="24" t="s">
        <v>180</v>
      </c>
    </row>
    <row r="67" spans="1:21">
      <c r="A67" s="14">
        <v>19</v>
      </c>
      <c r="B67" s="12" t="s">
        <v>644</v>
      </c>
      <c r="C67" s="12" t="s">
        <v>640</v>
      </c>
      <c r="D67" s="12" t="s">
        <v>639</v>
      </c>
      <c r="E67" s="12" t="s">
        <v>292</v>
      </c>
      <c r="F67" s="12" t="s">
        <v>333</v>
      </c>
      <c r="G67" s="12" t="s">
        <v>642</v>
      </c>
      <c r="H67" s="12" t="s">
        <v>1415</v>
      </c>
      <c r="I67" s="12" t="s">
        <v>643</v>
      </c>
      <c r="J67" s="12" t="s">
        <v>1422</v>
      </c>
      <c r="K67" s="12" t="s">
        <v>1423</v>
      </c>
      <c r="L67" s="12" t="s">
        <v>1424</v>
      </c>
      <c r="M67" s="12" t="s">
        <v>1272</v>
      </c>
      <c r="N67" s="12" t="s">
        <v>1272</v>
      </c>
      <c r="O67" s="12" t="s">
        <v>1263</v>
      </c>
      <c r="P67" s="12" t="s">
        <v>1264</v>
      </c>
      <c r="Q67" s="16" t="s">
        <v>201</v>
      </c>
      <c r="R67" s="13" t="s">
        <v>174</v>
      </c>
      <c r="S67" s="12" t="s">
        <v>119</v>
      </c>
      <c r="T67" s="12" t="s">
        <v>586</v>
      </c>
      <c r="U67" s="24" t="s">
        <v>180</v>
      </c>
    </row>
    <row r="68" spans="1:21">
      <c r="A68" s="14">
        <v>19</v>
      </c>
      <c r="B68" s="12" t="s">
        <v>860</v>
      </c>
      <c r="C68" s="12" t="s">
        <v>858</v>
      </c>
      <c r="D68" s="12" t="s">
        <v>857</v>
      </c>
      <c r="E68" s="12" t="s">
        <v>344</v>
      </c>
      <c r="F68" s="12" t="s">
        <v>346</v>
      </c>
      <c r="G68" s="12" t="s">
        <v>859</v>
      </c>
      <c r="H68" s="12" t="s">
        <v>1425</v>
      </c>
      <c r="I68" s="12" t="s">
        <v>184</v>
      </c>
      <c r="J68" s="12" t="s">
        <v>1426</v>
      </c>
      <c r="K68" s="12" t="s">
        <v>1427</v>
      </c>
      <c r="L68" s="12" t="s">
        <v>1428</v>
      </c>
      <c r="M68" s="12" t="s">
        <v>1309</v>
      </c>
      <c r="N68" s="12" t="s">
        <v>1309</v>
      </c>
      <c r="O68" s="12" t="s">
        <v>1263</v>
      </c>
      <c r="P68" s="12" t="s">
        <v>1264</v>
      </c>
      <c r="Q68" s="16" t="s">
        <v>201</v>
      </c>
      <c r="R68" s="16" t="s">
        <v>180</v>
      </c>
      <c r="S68" s="12" t="s">
        <v>119</v>
      </c>
      <c r="T68" s="12" t="s">
        <v>619</v>
      </c>
      <c r="U68" s="24" t="s">
        <v>180</v>
      </c>
    </row>
    <row r="69" spans="1:21">
      <c r="A69" s="14">
        <v>19</v>
      </c>
      <c r="B69" s="12" t="s">
        <v>860</v>
      </c>
      <c r="C69" s="12" t="s">
        <v>858</v>
      </c>
      <c r="D69" s="12" t="s">
        <v>857</v>
      </c>
      <c r="E69" s="12" t="s">
        <v>344</v>
      </c>
      <c r="F69" s="12" t="s">
        <v>346</v>
      </c>
      <c r="G69" s="12" t="s">
        <v>859</v>
      </c>
      <c r="H69" s="12" t="s">
        <v>1425</v>
      </c>
      <c r="I69" s="12" t="s">
        <v>184</v>
      </c>
      <c r="J69" s="12" t="s">
        <v>1429</v>
      </c>
      <c r="K69" s="12" t="s">
        <v>1430</v>
      </c>
      <c r="L69" s="12" t="s">
        <v>1431</v>
      </c>
      <c r="M69" s="12" t="s">
        <v>1309</v>
      </c>
      <c r="N69" s="12" t="s">
        <v>1309</v>
      </c>
      <c r="O69" s="12" t="s">
        <v>1263</v>
      </c>
      <c r="P69" s="12" t="s">
        <v>1264</v>
      </c>
      <c r="Q69" s="16" t="s">
        <v>201</v>
      </c>
      <c r="R69" s="16" t="s">
        <v>180</v>
      </c>
      <c r="S69" s="12" t="s">
        <v>119</v>
      </c>
      <c r="T69" s="12" t="s">
        <v>619</v>
      </c>
      <c r="U69" s="24" t="s">
        <v>180</v>
      </c>
    </row>
    <row r="70" spans="1:21">
      <c r="A70" s="14">
        <v>20</v>
      </c>
      <c r="B70" s="12" t="s">
        <v>652</v>
      </c>
      <c r="C70" s="12" t="s">
        <v>648</v>
      </c>
      <c r="D70" s="12" t="s">
        <v>647</v>
      </c>
      <c r="E70" s="12" t="s">
        <v>469</v>
      </c>
      <c r="F70" s="12" t="s">
        <v>651</v>
      </c>
      <c r="G70" s="12" t="s">
        <v>520</v>
      </c>
      <c r="H70" s="12" t="s">
        <v>1322</v>
      </c>
      <c r="I70" s="12" t="s">
        <v>235</v>
      </c>
      <c r="J70" s="12" t="s">
        <v>653</v>
      </c>
      <c r="K70" s="12" t="s">
        <v>1432</v>
      </c>
      <c r="L70" s="12" t="s">
        <v>1433</v>
      </c>
      <c r="M70" s="12" t="s">
        <v>1252</v>
      </c>
      <c r="N70" s="12" t="s">
        <v>1252</v>
      </c>
      <c r="O70" s="12" t="s">
        <v>1279</v>
      </c>
      <c r="P70" s="12" t="s">
        <v>1434</v>
      </c>
      <c r="Q70" s="16" t="s">
        <v>201</v>
      </c>
      <c r="R70" s="16" t="s">
        <v>180</v>
      </c>
      <c r="S70" s="12" t="s">
        <v>104</v>
      </c>
      <c r="T70" s="12" t="s">
        <v>105</v>
      </c>
      <c r="U70" s="24" t="s">
        <v>180</v>
      </c>
    </row>
    <row r="71" spans="1:21">
      <c r="A71" s="14">
        <v>20</v>
      </c>
      <c r="B71" s="12" t="s">
        <v>327</v>
      </c>
      <c r="C71" s="12" t="s">
        <v>324</v>
      </c>
      <c r="D71" s="12" t="s">
        <v>114</v>
      </c>
      <c r="E71" s="12" t="s">
        <v>292</v>
      </c>
      <c r="F71" s="12" t="s">
        <v>326</v>
      </c>
      <c r="G71" s="12" t="s">
        <v>325</v>
      </c>
      <c r="H71" s="12" t="s">
        <v>1435</v>
      </c>
      <c r="I71" s="12" t="s">
        <v>184</v>
      </c>
      <c r="J71" s="12" t="s">
        <v>1436</v>
      </c>
      <c r="K71" s="12" t="s">
        <v>1260</v>
      </c>
      <c r="L71" s="12" t="s">
        <v>1437</v>
      </c>
      <c r="M71" s="12" t="s">
        <v>1260</v>
      </c>
      <c r="N71" s="12" t="s">
        <v>1309</v>
      </c>
      <c r="O71" s="12" t="s">
        <v>1263</v>
      </c>
      <c r="P71" s="12" t="s">
        <v>1264</v>
      </c>
      <c r="Q71" s="16" t="s">
        <v>1265</v>
      </c>
      <c r="R71" s="16" t="s">
        <v>180</v>
      </c>
      <c r="S71" s="12" t="s">
        <v>104</v>
      </c>
      <c r="T71" s="12" t="s">
        <v>105</v>
      </c>
      <c r="U71" s="13" t="s">
        <v>174</v>
      </c>
    </row>
    <row r="72" spans="1:21">
      <c r="A72" s="14">
        <v>20</v>
      </c>
      <c r="B72" s="12" t="s">
        <v>327</v>
      </c>
      <c r="C72" s="12" t="s">
        <v>324</v>
      </c>
      <c r="D72" s="12" t="s">
        <v>114</v>
      </c>
      <c r="E72" s="12" t="s">
        <v>292</v>
      </c>
      <c r="F72" s="12" t="s">
        <v>326</v>
      </c>
      <c r="G72" s="12" t="s">
        <v>325</v>
      </c>
      <c r="H72" s="12" t="s">
        <v>1435</v>
      </c>
      <c r="I72" s="12" t="s">
        <v>184</v>
      </c>
      <c r="J72" s="12" t="s">
        <v>1438</v>
      </c>
      <c r="K72" s="12" t="s">
        <v>1260</v>
      </c>
      <c r="L72" s="12" t="s">
        <v>1437</v>
      </c>
      <c r="M72" s="12" t="s">
        <v>1260</v>
      </c>
      <c r="N72" s="12" t="s">
        <v>1309</v>
      </c>
      <c r="O72" s="12" t="s">
        <v>1439</v>
      </c>
      <c r="P72" s="12" t="s">
        <v>1264</v>
      </c>
      <c r="Q72" s="16" t="s">
        <v>1265</v>
      </c>
      <c r="R72" s="16" t="s">
        <v>180</v>
      </c>
      <c r="S72" s="12" t="s">
        <v>104</v>
      </c>
      <c r="T72" s="12" t="s">
        <v>105</v>
      </c>
      <c r="U72" s="13" t="s">
        <v>174</v>
      </c>
    </row>
    <row r="73" spans="1:21">
      <c r="A73" s="14">
        <v>20</v>
      </c>
      <c r="B73" s="12" t="s">
        <v>1073</v>
      </c>
      <c r="C73" s="12" t="s">
        <v>1071</v>
      </c>
      <c r="D73" s="12" t="s">
        <v>1070</v>
      </c>
      <c r="E73" s="12" t="s">
        <v>173</v>
      </c>
      <c r="F73" s="12" t="s">
        <v>1072</v>
      </c>
      <c r="G73" s="12" t="s">
        <v>1154</v>
      </c>
      <c r="H73" s="12" t="s">
        <v>1440</v>
      </c>
      <c r="I73" s="12" t="s">
        <v>184</v>
      </c>
      <c r="J73" s="12" t="s">
        <v>1441</v>
      </c>
      <c r="K73" s="12" t="s">
        <v>1442</v>
      </c>
      <c r="L73" s="12" t="s">
        <v>1443</v>
      </c>
      <c r="M73" s="12" t="s">
        <v>1309</v>
      </c>
      <c r="N73" s="12" t="s">
        <v>1309</v>
      </c>
      <c r="O73" s="12" t="s">
        <v>1279</v>
      </c>
      <c r="P73" s="12" t="s">
        <v>1264</v>
      </c>
      <c r="Q73" s="16" t="s">
        <v>201</v>
      </c>
      <c r="R73" s="16" t="s">
        <v>180</v>
      </c>
      <c r="S73" s="12" t="s">
        <v>754</v>
      </c>
      <c r="T73" s="12" t="s">
        <v>619</v>
      </c>
      <c r="U73" s="24" t="s">
        <v>180</v>
      </c>
    </row>
    <row r="74" spans="1:21">
      <c r="A74" s="14">
        <v>20</v>
      </c>
      <c r="B74" s="12" t="s">
        <v>1073</v>
      </c>
      <c r="C74" s="12" t="s">
        <v>1071</v>
      </c>
      <c r="D74" s="12" t="s">
        <v>1070</v>
      </c>
      <c r="E74" s="12" t="s">
        <v>173</v>
      </c>
      <c r="F74" s="12" t="s">
        <v>1072</v>
      </c>
      <c r="G74" s="12" t="s">
        <v>1154</v>
      </c>
      <c r="H74" s="12" t="s">
        <v>1440</v>
      </c>
      <c r="I74" s="12" t="s">
        <v>184</v>
      </c>
      <c r="J74" s="12" t="s">
        <v>1444</v>
      </c>
      <c r="K74" s="12" t="s">
        <v>1442</v>
      </c>
      <c r="L74" s="12" t="s">
        <v>1442</v>
      </c>
      <c r="M74" s="12" t="s">
        <v>1311</v>
      </c>
      <c r="N74" s="12" t="s">
        <v>1283</v>
      </c>
      <c r="O74" s="12" t="s">
        <v>1288</v>
      </c>
      <c r="P74" s="12" t="s">
        <v>1280</v>
      </c>
      <c r="Q74" s="16" t="s">
        <v>201</v>
      </c>
      <c r="R74" s="16" t="s">
        <v>180</v>
      </c>
      <c r="S74" s="12" t="s">
        <v>754</v>
      </c>
      <c r="T74" s="12" t="s">
        <v>619</v>
      </c>
      <c r="U74" s="24" t="s">
        <v>180</v>
      </c>
    </row>
    <row r="75" spans="1:21">
      <c r="A75" s="14">
        <v>21</v>
      </c>
      <c r="B75" s="12" t="s">
        <v>712</v>
      </c>
      <c r="C75" s="12" t="s">
        <v>710</v>
      </c>
      <c r="D75" s="12" t="s">
        <v>709</v>
      </c>
      <c r="E75" s="12" t="s">
        <v>199</v>
      </c>
      <c r="F75" s="12" t="s">
        <v>432</v>
      </c>
      <c r="G75" s="12" t="s">
        <v>711</v>
      </c>
      <c r="H75" s="12" t="s">
        <v>1445</v>
      </c>
      <c r="I75" s="12" t="s">
        <v>184</v>
      </c>
      <c r="J75" s="12" t="s">
        <v>713</v>
      </c>
      <c r="K75" s="12" t="s">
        <v>1260</v>
      </c>
      <c r="L75" s="12" t="s">
        <v>1446</v>
      </c>
      <c r="M75" s="12" t="s">
        <v>1260</v>
      </c>
      <c r="N75" s="12" t="s">
        <v>1262</v>
      </c>
      <c r="O75" s="12" t="s">
        <v>1279</v>
      </c>
      <c r="P75" s="12" t="s">
        <v>1264</v>
      </c>
      <c r="Q75" s="16" t="s">
        <v>1265</v>
      </c>
      <c r="R75" s="16" t="s">
        <v>180</v>
      </c>
      <c r="S75" s="12" t="s">
        <v>119</v>
      </c>
      <c r="T75" s="12" t="s">
        <v>619</v>
      </c>
      <c r="U75" s="24" t="s">
        <v>180</v>
      </c>
    </row>
    <row r="76" spans="1:21">
      <c r="A76" s="14">
        <v>21</v>
      </c>
      <c r="B76" s="12" t="s">
        <v>221</v>
      </c>
      <c r="C76" s="12" t="s">
        <v>216</v>
      </c>
      <c r="D76" s="12" t="s">
        <v>96</v>
      </c>
      <c r="E76" s="12" t="s">
        <v>217</v>
      </c>
      <c r="F76" s="12" t="s">
        <v>220</v>
      </c>
      <c r="G76" s="12" t="s">
        <v>219</v>
      </c>
      <c r="H76" s="12" t="s">
        <v>1447</v>
      </c>
      <c r="I76" s="12" t="s">
        <v>184</v>
      </c>
      <c r="J76" s="12" t="s">
        <v>222</v>
      </c>
      <c r="K76" s="12" t="s">
        <v>1260</v>
      </c>
      <c r="L76" s="12" t="s">
        <v>1448</v>
      </c>
      <c r="M76" s="12" t="s">
        <v>1260</v>
      </c>
      <c r="N76" s="12" t="s">
        <v>1252</v>
      </c>
      <c r="O76" s="12" t="s">
        <v>1263</v>
      </c>
      <c r="P76" s="12" t="s">
        <v>1264</v>
      </c>
      <c r="Q76" s="16" t="s">
        <v>1265</v>
      </c>
      <c r="R76" s="16" t="s">
        <v>180</v>
      </c>
      <c r="S76" s="12" t="s">
        <v>93</v>
      </c>
      <c r="T76" s="12" t="s">
        <v>90</v>
      </c>
      <c r="U76" s="13" t="s">
        <v>174</v>
      </c>
    </row>
    <row r="77" spans="1:21">
      <c r="A77" s="14">
        <v>21</v>
      </c>
      <c r="B77" s="12" t="s">
        <v>298</v>
      </c>
      <c r="C77" s="12" t="s">
        <v>291</v>
      </c>
      <c r="D77" s="12" t="s">
        <v>110</v>
      </c>
      <c r="E77" s="12" t="s">
        <v>292</v>
      </c>
      <c r="F77" s="12" t="s">
        <v>333</v>
      </c>
      <c r="G77" s="12" t="s">
        <v>1154</v>
      </c>
      <c r="H77" s="12" t="s">
        <v>1449</v>
      </c>
      <c r="I77" s="12" t="s">
        <v>1450</v>
      </c>
      <c r="J77" s="12" t="s">
        <v>1451</v>
      </c>
      <c r="K77" s="12" t="s">
        <v>1260</v>
      </c>
      <c r="L77" s="12" t="s">
        <v>1452</v>
      </c>
      <c r="M77" s="12" t="s">
        <v>1260</v>
      </c>
      <c r="N77" s="12" t="s">
        <v>1453</v>
      </c>
      <c r="O77" s="12" t="s">
        <v>1263</v>
      </c>
      <c r="P77" s="12" t="s">
        <v>1264</v>
      </c>
      <c r="Q77" s="16" t="s">
        <v>1265</v>
      </c>
      <c r="R77" s="16" t="s">
        <v>180</v>
      </c>
      <c r="S77" s="12" t="s">
        <v>93</v>
      </c>
      <c r="T77" s="12" t="s">
        <v>90</v>
      </c>
      <c r="U77" s="13" t="s">
        <v>174</v>
      </c>
    </row>
    <row r="78" spans="1:21">
      <c r="A78" s="14">
        <v>21</v>
      </c>
      <c r="B78" s="12" t="s">
        <v>298</v>
      </c>
      <c r="C78" s="12" t="s">
        <v>291</v>
      </c>
      <c r="D78" s="12" t="s">
        <v>110</v>
      </c>
      <c r="E78" s="12" t="s">
        <v>292</v>
      </c>
      <c r="F78" s="12" t="s">
        <v>333</v>
      </c>
      <c r="G78" s="12" t="s">
        <v>1154</v>
      </c>
      <c r="H78" s="12" t="s">
        <v>1449</v>
      </c>
      <c r="I78" s="12" t="s">
        <v>1450</v>
      </c>
      <c r="J78" s="12" t="s">
        <v>1454</v>
      </c>
      <c r="K78" s="12" t="s">
        <v>1260</v>
      </c>
      <c r="L78" s="12" t="s">
        <v>1261</v>
      </c>
      <c r="M78" s="12" t="s">
        <v>1260</v>
      </c>
      <c r="N78" s="12" t="s">
        <v>1262</v>
      </c>
      <c r="O78" s="12" t="s">
        <v>1263</v>
      </c>
      <c r="P78" s="12" t="s">
        <v>1264</v>
      </c>
      <c r="Q78" s="16" t="s">
        <v>1265</v>
      </c>
      <c r="R78" s="16" t="s">
        <v>180</v>
      </c>
      <c r="S78" s="12" t="s">
        <v>93</v>
      </c>
      <c r="T78" s="12" t="s">
        <v>90</v>
      </c>
      <c r="U78" s="13" t="s">
        <v>174</v>
      </c>
    </row>
    <row r="79" spans="1:21">
      <c r="A79" s="14">
        <v>21</v>
      </c>
      <c r="B79" s="12" t="s">
        <v>298</v>
      </c>
      <c r="C79" s="12" t="s">
        <v>291</v>
      </c>
      <c r="D79" s="12" t="s">
        <v>110</v>
      </c>
      <c r="E79" s="12" t="s">
        <v>292</v>
      </c>
      <c r="F79" s="12" t="s">
        <v>333</v>
      </c>
      <c r="G79" s="12" t="s">
        <v>1154</v>
      </c>
      <c r="H79" s="12" t="s">
        <v>1449</v>
      </c>
      <c r="I79" s="12" t="s">
        <v>1450</v>
      </c>
      <c r="J79" s="12" t="s">
        <v>1455</v>
      </c>
      <c r="K79" s="12" t="s">
        <v>1260</v>
      </c>
      <c r="L79" s="12" t="s">
        <v>1452</v>
      </c>
      <c r="M79" s="12" t="s">
        <v>1260</v>
      </c>
      <c r="N79" s="12" t="s">
        <v>1262</v>
      </c>
      <c r="O79" s="12" t="s">
        <v>1263</v>
      </c>
      <c r="P79" s="12" t="s">
        <v>1264</v>
      </c>
      <c r="Q79" s="16" t="s">
        <v>1265</v>
      </c>
      <c r="R79" s="16" t="s">
        <v>180</v>
      </c>
      <c r="S79" s="12" t="s">
        <v>93</v>
      </c>
      <c r="T79" s="12" t="s">
        <v>90</v>
      </c>
      <c r="U79" s="13" t="s">
        <v>174</v>
      </c>
    </row>
    <row r="80" spans="1:21">
      <c r="A80" s="14">
        <v>22</v>
      </c>
      <c r="B80" s="12" t="s">
        <v>298</v>
      </c>
      <c r="C80" s="12" t="s">
        <v>291</v>
      </c>
      <c r="D80" s="12" t="s">
        <v>110</v>
      </c>
      <c r="E80" s="12" t="s">
        <v>292</v>
      </c>
      <c r="F80" s="12" t="s">
        <v>372</v>
      </c>
      <c r="G80" s="12" t="s">
        <v>295</v>
      </c>
      <c r="H80" s="12" t="s">
        <v>1449</v>
      </c>
      <c r="I80" s="12" t="s">
        <v>184</v>
      </c>
      <c r="J80" s="12" t="s">
        <v>1456</v>
      </c>
      <c r="K80" s="12" t="s">
        <v>1260</v>
      </c>
      <c r="L80" s="12" t="s">
        <v>1261</v>
      </c>
      <c r="M80" s="12" t="s">
        <v>1260</v>
      </c>
      <c r="N80" s="12" t="s">
        <v>1453</v>
      </c>
      <c r="O80" s="12" t="s">
        <v>1263</v>
      </c>
      <c r="P80" s="12" t="s">
        <v>1264</v>
      </c>
      <c r="Q80" s="16" t="s">
        <v>1265</v>
      </c>
      <c r="R80" s="16" t="s">
        <v>180</v>
      </c>
      <c r="S80" s="12" t="s">
        <v>93</v>
      </c>
      <c r="T80" s="12" t="s">
        <v>90</v>
      </c>
      <c r="U80" s="13" t="s">
        <v>174</v>
      </c>
    </row>
    <row r="81" spans="1:21">
      <c r="A81" s="14">
        <v>22</v>
      </c>
      <c r="B81" s="12" t="s">
        <v>559</v>
      </c>
      <c r="C81" s="12" t="s">
        <v>558</v>
      </c>
      <c r="D81" s="12" t="s">
        <v>557</v>
      </c>
      <c r="E81" s="12" t="s">
        <v>199</v>
      </c>
      <c r="F81" s="12" t="s">
        <v>514</v>
      </c>
      <c r="G81" s="12" t="s">
        <v>1154</v>
      </c>
      <c r="H81" s="12" t="s">
        <v>1457</v>
      </c>
      <c r="I81" s="12" t="s">
        <v>184</v>
      </c>
      <c r="J81" s="12" t="s">
        <v>1458</v>
      </c>
      <c r="K81" s="12" t="s">
        <v>1348</v>
      </c>
      <c r="L81" s="12" t="s">
        <v>1353</v>
      </c>
      <c r="M81" s="12" t="s">
        <v>1309</v>
      </c>
      <c r="N81" s="12" t="s">
        <v>1262</v>
      </c>
      <c r="O81" s="12" t="s">
        <v>1263</v>
      </c>
      <c r="P81" s="12" t="s">
        <v>1264</v>
      </c>
      <c r="Q81" s="16" t="s">
        <v>201</v>
      </c>
      <c r="R81" s="16" t="s">
        <v>180</v>
      </c>
      <c r="S81" s="12" t="s">
        <v>104</v>
      </c>
      <c r="T81" s="12" t="s">
        <v>105</v>
      </c>
      <c r="U81" s="24" t="s">
        <v>180</v>
      </c>
    </row>
    <row r="82" spans="1:21">
      <c r="A82" s="14">
        <v>22</v>
      </c>
      <c r="B82" s="12" t="s">
        <v>559</v>
      </c>
      <c r="C82" s="12" t="s">
        <v>558</v>
      </c>
      <c r="D82" s="12" t="s">
        <v>557</v>
      </c>
      <c r="E82" s="12" t="s">
        <v>199</v>
      </c>
      <c r="F82" s="12" t="s">
        <v>514</v>
      </c>
      <c r="G82" s="12" t="s">
        <v>1154</v>
      </c>
      <c r="H82" s="12" t="s">
        <v>1457</v>
      </c>
      <c r="I82" s="12" t="s">
        <v>184</v>
      </c>
      <c r="J82" s="12" t="s">
        <v>1459</v>
      </c>
      <c r="K82" s="12" t="s">
        <v>1348</v>
      </c>
      <c r="L82" s="12" t="s">
        <v>1460</v>
      </c>
      <c r="M82" s="12" t="s">
        <v>1277</v>
      </c>
      <c r="N82" s="12" t="s">
        <v>1332</v>
      </c>
      <c r="O82" s="12" t="s">
        <v>1279</v>
      </c>
      <c r="P82" s="12" t="s">
        <v>1264</v>
      </c>
      <c r="Q82" s="16" t="s">
        <v>201</v>
      </c>
      <c r="R82" s="16" t="s">
        <v>180</v>
      </c>
      <c r="S82" s="12" t="s">
        <v>104</v>
      </c>
      <c r="T82" s="12" t="s">
        <v>105</v>
      </c>
      <c r="U82" s="24" t="s">
        <v>180</v>
      </c>
    </row>
    <row r="83" spans="1:21">
      <c r="A83" s="14">
        <v>22</v>
      </c>
      <c r="B83" s="12" t="s">
        <v>450</v>
      </c>
      <c r="C83" s="12" t="s">
        <v>445</v>
      </c>
      <c r="D83" s="12" t="s">
        <v>444</v>
      </c>
      <c r="E83" s="12" t="s">
        <v>199</v>
      </c>
      <c r="F83" s="12" t="s">
        <v>449</v>
      </c>
      <c r="G83" s="12" t="s">
        <v>448</v>
      </c>
      <c r="H83" s="12" t="s">
        <v>1461</v>
      </c>
      <c r="I83" s="12" t="s">
        <v>184</v>
      </c>
      <c r="J83" s="12" t="s">
        <v>451</v>
      </c>
      <c r="K83" s="12" t="s">
        <v>1260</v>
      </c>
      <c r="L83" s="12" t="s">
        <v>1462</v>
      </c>
      <c r="M83" s="12" t="s">
        <v>1260</v>
      </c>
      <c r="N83" s="12" t="s">
        <v>1272</v>
      </c>
      <c r="O83" s="12" t="s">
        <v>1263</v>
      </c>
      <c r="P83" s="12" t="s">
        <v>1264</v>
      </c>
      <c r="Q83" s="16" t="s">
        <v>1265</v>
      </c>
      <c r="R83" s="16" t="s">
        <v>180</v>
      </c>
      <c r="S83" s="12" t="s">
        <v>93</v>
      </c>
      <c r="T83" s="12" t="s">
        <v>90</v>
      </c>
      <c r="U83" s="24" t="s">
        <v>180</v>
      </c>
    </row>
    <row r="84" spans="1:21">
      <c r="A84" s="14">
        <v>23</v>
      </c>
      <c r="B84" s="12" t="s">
        <v>1207</v>
      </c>
      <c r="C84" s="12" t="s">
        <v>1202</v>
      </c>
      <c r="D84" s="12" t="s">
        <v>1201</v>
      </c>
      <c r="E84" s="12" t="s">
        <v>173</v>
      </c>
      <c r="F84" s="12" t="s">
        <v>1206</v>
      </c>
      <c r="G84" s="12" t="s">
        <v>1154</v>
      </c>
      <c r="H84" s="12" t="s">
        <v>1305</v>
      </c>
      <c r="I84" s="12" t="s">
        <v>184</v>
      </c>
      <c r="J84" s="12" t="s">
        <v>1463</v>
      </c>
      <c r="K84" s="12" t="s">
        <v>1250</v>
      </c>
      <c r="L84" s="12" t="s">
        <v>1250</v>
      </c>
      <c r="M84" s="12" t="s">
        <v>1311</v>
      </c>
      <c r="N84" s="12" t="s">
        <v>1283</v>
      </c>
      <c r="O84" s="12" t="s">
        <v>1288</v>
      </c>
      <c r="P84" s="12" t="s">
        <v>1280</v>
      </c>
      <c r="Q84" s="16" t="s">
        <v>201</v>
      </c>
      <c r="R84" s="16" t="s">
        <v>180</v>
      </c>
      <c r="S84" s="12" t="s">
        <v>754</v>
      </c>
      <c r="T84" s="12" t="s">
        <v>619</v>
      </c>
      <c r="U84" s="24" t="s">
        <v>180</v>
      </c>
    </row>
    <row r="85" spans="1:21">
      <c r="A85" s="14">
        <v>23</v>
      </c>
      <c r="B85" s="12" t="s">
        <v>1207</v>
      </c>
      <c r="C85" s="12" t="s">
        <v>1202</v>
      </c>
      <c r="D85" s="12" t="s">
        <v>1201</v>
      </c>
      <c r="E85" s="12" t="s">
        <v>173</v>
      </c>
      <c r="F85" s="12" t="s">
        <v>1206</v>
      </c>
      <c r="G85" s="12" t="s">
        <v>1154</v>
      </c>
      <c r="H85" s="12" t="s">
        <v>1305</v>
      </c>
      <c r="I85" s="12" t="s">
        <v>184</v>
      </c>
      <c r="J85" s="12" t="s">
        <v>1464</v>
      </c>
      <c r="K85" s="12" t="s">
        <v>1313</v>
      </c>
      <c r="L85" s="12" t="s">
        <v>1313</v>
      </c>
      <c r="M85" s="12" t="s">
        <v>1311</v>
      </c>
      <c r="N85" s="12" t="s">
        <v>1283</v>
      </c>
      <c r="O85" s="12" t="s">
        <v>1288</v>
      </c>
      <c r="P85" s="12" t="s">
        <v>1280</v>
      </c>
      <c r="Q85" s="16" t="s">
        <v>201</v>
      </c>
      <c r="R85" s="16" t="s">
        <v>180</v>
      </c>
      <c r="S85" s="12" t="s">
        <v>754</v>
      </c>
      <c r="T85" s="12" t="s">
        <v>619</v>
      </c>
      <c r="U85" s="24" t="s">
        <v>180</v>
      </c>
    </row>
    <row r="86" spans="1:21">
      <c r="A86" s="14">
        <v>23</v>
      </c>
      <c r="B86" s="12" t="s">
        <v>1207</v>
      </c>
      <c r="C86" s="12" t="s">
        <v>1202</v>
      </c>
      <c r="D86" s="12" t="s">
        <v>1201</v>
      </c>
      <c r="E86" s="12" t="s">
        <v>173</v>
      </c>
      <c r="F86" s="12" t="s">
        <v>1206</v>
      </c>
      <c r="G86" s="12" t="s">
        <v>1154</v>
      </c>
      <c r="H86" s="12" t="s">
        <v>1305</v>
      </c>
      <c r="I86" s="12" t="s">
        <v>184</v>
      </c>
      <c r="J86" s="12" t="s">
        <v>1465</v>
      </c>
      <c r="K86" s="12" t="s">
        <v>1313</v>
      </c>
      <c r="L86" s="12" t="s">
        <v>1466</v>
      </c>
      <c r="M86" s="12" t="s">
        <v>1278</v>
      </c>
      <c r="N86" s="12" t="s">
        <v>1278</v>
      </c>
      <c r="O86" s="12" t="s">
        <v>1279</v>
      </c>
      <c r="P86" s="12" t="s">
        <v>1280</v>
      </c>
      <c r="Q86" s="16" t="s">
        <v>201</v>
      </c>
      <c r="R86" s="16" t="s">
        <v>180</v>
      </c>
      <c r="S86" s="12" t="s">
        <v>754</v>
      </c>
      <c r="T86" s="12" t="s">
        <v>619</v>
      </c>
      <c r="U86" s="24" t="s">
        <v>180</v>
      </c>
    </row>
    <row r="87" spans="1:21">
      <c r="A87" s="14">
        <v>23</v>
      </c>
      <c r="B87" s="12" t="s">
        <v>1467</v>
      </c>
      <c r="C87" s="12" t="s">
        <v>468</v>
      </c>
      <c r="D87" s="12" t="s">
        <v>467</v>
      </c>
      <c r="E87" s="12" t="s">
        <v>469</v>
      </c>
      <c r="F87" s="12" t="s">
        <v>476</v>
      </c>
      <c r="G87" s="12" t="s">
        <v>475</v>
      </c>
      <c r="H87" s="12" t="s">
        <v>1305</v>
      </c>
      <c r="I87" s="12" t="s">
        <v>184</v>
      </c>
      <c r="J87" s="12" t="s">
        <v>1468</v>
      </c>
      <c r="K87" s="12" t="s">
        <v>1469</v>
      </c>
      <c r="L87" s="12" t="s">
        <v>1470</v>
      </c>
      <c r="M87" s="12" t="s">
        <v>1283</v>
      </c>
      <c r="N87" s="12" t="s">
        <v>1283</v>
      </c>
      <c r="O87" s="12" t="s">
        <v>1288</v>
      </c>
      <c r="P87" s="12" t="s">
        <v>1280</v>
      </c>
      <c r="Q87" s="16" t="s">
        <v>201</v>
      </c>
      <c r="R87" s="16" t="s">
        <v>180</v>
      </c>
      <c r="S87" s="12" t="s">
        <v>104</v>
      </c>
      <c r="T87" s="12" t="s">
        <v>470</v>
      </c>
      <c r="U87" s="24" t="s">
        <v>180</v>
      </c>
    </row>
    <row r="88" spans="1:21">
      <c r="A88" s="14">
        <v>23</v>
      </c>
      <c r="B88" s="12" t="s">
        <v>1471</v>
      </c>
      <c r="C88" s="12" t="s">
        <v>468</v>
      </c>
      <c r="D88" s="12" t="s">
        <v>467</v>
      </c>
      <c r="E88" s="12" t="s">
        <v>469</v>
      </c>
      <c r="F88" s="12" t="s">
        <v>476</v>
      </c>
      <c r="G88" s="12" t="s">
        <v>475</v>
      </c>
      <c r="H88" s="12" t="s">
        <v>1305</v>
      </c>
      <c r="I88" s="12" t="s">
        <v>184</v>
      </c>
      <c r="J88" s="12" t="s">
        <v>1472</v>
      </c>
      <c r="K88" s="12" t="s">
        <v>1473</v>
      </c>
      <c r="L88" s="12" t="s">
        <v>1474</v>
      </c>
      <c r="M88" s="12" t="s">
        <v>1252</v>
      </c>
      <c r="N88" s="12" t="s">
        <v>1252</v>
      </c>
      <c r="O88" s="12" t="s">
        <v>1253</v>
      </c>
      <c r="P88" s="12" t="s">
        <v>1475</v>
      </c>
      <c r="Q88" s="16" t="s">
        <v>201</v>
      </c>
      <c r="R88" s="13" t="s">
        <v>174</v>
      </c>
      <c r="S88" s="12" t="s">
        <v>104</v>
      </c>
      <c r="T88" s="12" t="s">
        <v>470</v>
      </c>
      <c r="U88" s="24" t="s">
        <v>180</v>
      </c>
    </row>
    <row r="89" spans="1:21">
      <c r="A89" s="14">
        <v>23</v>
      </c>
      <c r="B89" s="12" t="s">
        <v>1471</v>
      </c>
      <c r="C89" s="12" t="s">
        <v>468</v>
      </c>
      <c r="D89" s="12" t="s">
        <v>467</v>
      </c>
      <c r="E89" s="12" t="s">
        <v>469</v>
      </c>
      <c r="F89" s="12" t="s">
        <v>476</v>
      </c>
      <c r="G89" s="12" t="s">
        <v>475</v>
      </c>
      <c r="H89" s="12" t="s">
        <v>1305</v>
      </c>
      <c r="I89" s="12" t="s">
        <v>184</v>
      </c>
      <c r="J89" s="12" t="s">
        <v>1476</v>
      </c>
      <c r="K89" s="12" t="s">
        <v>1473</v>
      </c>
      <c r="L89" s="12" t="s">
        <v>1477</v>
      </c>
      <c r="M89" s="12" t="s">
        <v>1272</v>
      </c>
      <c r="N89" s="12" t="s">
        <v>1272</v>
      </c>
      <c r="O89" s="12" t="s">
        <v>1253</v>
      </c>
      <c r="P89" s="12" t="s">
        <v>1475</v>
      </c>
      <c r="Q89" s="16" t="s">
        <v>201</v>
      </c>
      <c r="R89" s="13" t="s">
        <v>174</v>
      </c>
      <c r="S89" s="12" t="s">
        <v>104</v>
      </c>
      <c r="T89" s="12" t="s">
        <v>470</v>
      </c>
      <c r="U89" s="24" t="s">
        <v>180</v>
      </c>
    </row>
    <row r="90" spans="1:21">
      <c r="A90" s="14">
        <v>24</v>
      </c>
      <c r="B90" s="12" t="s">
        <v>228</v>
      </c>
      <c r="C90" s="12" t="s">
        <v>225</v>
      </c>
      <c r="D90" s="12" t="s">
        <v>98</v>
      </c>
      <c r="E90" s="12" t="s">
        <v>173</v>
      </c>
      <c r="F90" s="12" t="s">
        <v>227</v>
      </c>
      <c r="G90" s="12" t="s">
        <v>226</v>
      </c>
      <c r="H90" s="12" t="s">
        <v>1478</v>
      </c>
      <c r="I90" s="12" t="s">
        <v>184</v>
      </c>
      <c r="J90" s="12" t="s">
        <v>1479</v>
      </c>
      <c r="K90" s="12" t="s">
        <v>1260</v>
      </c>
      <c r="L90" s="12" t="s">
        <v>1391</v>
      </c>
      <c r="M90" s="12" t="s">
        <v>1260</v>
      </c>
      <c r="N90" s="12" t="s">
        <v>1269</v>
      </c>
      <c r="O90" s="12" t="s">
        <v>1263</v>
      </c>
      <c r="P90" s="12" t="s">
        <v>1264</v>
      </c>
      <c r="Q90" s="16" t="s">
        <v>1265</v>
      </c>
      <c r="R90" s="16" t="s">
        <v>180</v>
      </c>
      <c r="S90" s="12" t="s">
        <v>93</v>
      </c>
      <c r="T90" s="12" t="s">
        <v>90</v>
      </c>
      <c r="U90" s="13" t="s">
        <v>174</v>
      </c>
    </row>
    <row r="91" spans="1:21">
      <c r="A91" s="14">
        <v>24</v>
      </c>
      <c r="B91" s="12" t="s">
        <v>228</v>
      </c>
      <c r="C91" s="12" t="s">
        <v>225</v>
      </c>
      <c r="D91" s="12" t="s">
        <v>98</v>
      </c>
      <c r="E91" s="12" t="s">
        <v>173</v>
      </c>
      <c r="F91" s="12" t="s">
        <v>227</v>
      </c>
      <c r="G91" s="12" t="s">
        <v>226</v>
      </c>
      <c r="H91" s="12" t="s">
        <v>1478</v>
      </c>
      <c r="I91" s="12" t="s">
        <v>184</v>
      </c>
      <c r="J91" s="12" t="s">
        <v>1480</v>
      </c>
      <c r="K91" s="12" t="s">
        <v>1260</v>
      </c>
      <c r="L91" s="12" t="s">
        <v>1261</v>
      </c>
      <c r="M91" s="12" t="s">
        <v>1260</v>
      </c>
      <c r="N91" s="12" t="s">
        <v>1272</v>
      </c>
      <c r="O91" s="12" t="s">
        <v>1263</v>
      </c>
      <c r="P91" s="12" t="s">
        <v>1264</v>
      </c>
      <c r="Q91" s="16" t="s">
        <v>1265</v>
      </c>
      <c r="R91" s="16" t="s">
        <v>180</v>
      </c>
      <c r="S91" s="12" t="s">
        <v>93</v>
      </c>
      <c r="T91" s="12" t="s">
        <v>90</v>
      </c>
      <c r="U91" s="13" t="s">
        <v>174</v>
      </c>
    </row>
    <row r="92" spans="1:21">
      <c r="A92" s="14">
        <v>24</v>
      </c>
      <c r="B92" s="12" t="s">
        <v>786</v>
      </c>
      <c r="C92" s="12" t="s">
        <v>783</v>
      </c>
      <c r="D92" s="12" t="s">
        <v>782</v>
      </c>
      <c r="E92" s="12" t="s">
        <v>469</v>
      </c>
      <c r="F92" s="12" t="s">
        <v>1481</v>
      </c>
      <c r="G92" s="12" t="s">
        <v>784</v>
      </c>
      <c r="H92" s="12" t="s">
        <v>1482</v>
      </c>
      <c r="I92" s="12" t="s">
        <v>184</v>
      </c>
      <c r="J92" s="12" t="s">
        <v>1483</v>
      </c>
      <c r="K92" s="12" t="s">
        <v>1348</v>
      </c>
      <c r="L92" s="12" t="s">
        <v>1353</v>
      </c>
      <c r="M92" s="12" t="s">
        <v>1309</v>
      </c>
      <c r="N92" s="12" t="s">
        <v>1309</v>
      </c>
      <c r="O92" s="12" t="s">
        <v>1279</v>
      </c>
      <c r="P92" s="12" t="s">
        <v>1280</v>
      </c>
      <c r="Q92" s="16" t="s">
        <v>201</v>
      </c>
      <c r="R92" s="16" t="s">
        <v>180</v>
      </c>
      <c r="S92" s="12" t="s">
        <v>754</v>
      </c>
      <c r="T92" s="12" t="s">
        <v>586</v>
      </c>
      <c r="U92" s="24" t="s">
        <v>180</v>
      </c>
    </row>
    <row r="93" spans="1:21">
      <c r="A93" s="14">
        <v>24</v>
      </c>
      <c r="B93" s="12" t="s">
        <v>786</v>
      </c>
      <c r="C93" s="12" t="s">
        <v>783</v>
      </c>
      <c r="D93" s="12" t="s">
        <v>782</v>
      </c>
      <c r="E93" s="12" t="s">
        <v>469</v>
      </c>
      <c r="F93" s="12" t="s">
        <v>1484</v>
      </c>
      <c r="G93" s="12" t="s">
        <v>784</v>
      </c>
      <c r="H93" s="12" t="s">
        <v>1482</v>
      </c>
      <c r="I93" s="12" t="s">
        <v>184</v>
      </c>
      <c r="J93" s="12" t="s">
        <v>1485</v>
      </c>
      <c r="K93" s="12" t="s">
        <v>1348</v>
      </c>
      <c r="L93" s="12" t="s">
        <v>1486</v>
      </c>
      <c r="M93" s="12" t="s">
        <v>1283</v>
      </c>
      <c r="N93" s="12" t="s">
        <v>1487</v>
      </c>
      <c r="O93" s="12" t="s">
        <v>1488</v>
      </c>
      <c r="P93" s="12" t="s">
        <v>1489</v>
      </c>
      <c r="Q93" s="16" t="s">
        <v>201</v>
      </c>
      <c r="R93" s="16" t="s">
        <v>180</v>
      </c>
      <c r="S93" s="12" t="s">
        <v>754</v>
      </c>
      <c r="T93" s="12" t="s">
        <v>586</v>
      </c>
      <c r="U93" s="24" t="s">
        <v>180</v>
      </c>
    </row>
    <row r="94" spans="1:21">
      <c r="A94" s="14">
        <v>25</v>
      </c>
      <c r="B94" s="12" t="s">
        <v>866</v>
      </c>
      <c r="C94" s="12" t="s">
        <v>863</v>
      </c>
      <c r="D94" s="12" t="s">
        <v>862</v>
      </c>
      <c r="E94" s="12" t="s">
        <v>378</v>
      </c>
      <c r="F94" s="12" t="s">
        <v>865</v>
      </c>
      <c r="G94" s="12" t="s">
        <v>864</v>
      </c>
      <c r="H94" s="12" t="s">
        <v>1305</v>
      </c>
      <c r="I94" s="12" t="s">
        <v>184</v>
      </c>
      <c r="J94" s="12" t="s">
        <v>867</v>
      </c>
      <c r="K94" s="12" t="s">
        <v>1250</v>
      </c>
      <c r="L94" s="12" t="s">
        <v>1490</v>
      </c>
      <c r="M94" s="12" t="s">
        <v>1283</v>
      </c>
      <c r="N94" s="12" t="s">
        <v>1283</v>
      </c>
      <c r="O94" s="12" t="s">
        <v>1279</v>
      </c>
      <c r="P94" s="12" t="s">
        <v>1280</v>
      </c>
      <c r="Q94" s="16" t="s">
        <v>201</v>
      </c>
      <c r="R94" s="16" t="s">
        <v>180</v>
      </c>
      <c r="S94" s="12" t="s">
        <v>119</v>
      </c>
      <c r="T94" s="12" t="s">
        <v>519</v>
      </c>
      <c r="U94" s="24" t="s">
        <v>180</v>
      </c>
    </row>
    <row r="95" spans="1:21">
      <c r="A95" s="14">
        <v>25</v>
      </c>
      <c r="B95" s="12" t="s">
        <v>1079</v>
      </c>
      <c r="C95" s="12" t="s">
        <v>1076</v>
      </c>
      <c r="D95" s="12" t="s">
        <v>1075</v>
      </c>
      <c r="E95" s="12" t="s">
        <v>344</v>
      </c>
      <c r="F95" s="12" t="s">
        <v>1078</v>
      </c>
      <c r="G95" s="12" t="s">
        <v>1077</v>
      </c>
      <c r="H95" s="12" t="s">
        <v>1305</v>
      </c>
      <c r="I95" s="12" t="s">
        <v>184</v>
      </c>
      <c r="J95" s="12" t="s">
        <v>1080</v>
      </c>
      <c r="K95" s="12" t="s">
        <v>1371</v>
      </c>
      <c r="L95" s="12" t="s">
        <v>1491</v>
      </c>
      <c r="M95" s="12" t="s">
        <v>1283</v>
      </c>
      <c r="N95" s="12" t="s">
        <v>1283</v>
      </c>
      <c r="O95" s="12" t="s">
        <v>1410</v>
      </c>
      <c r="P95" s="12" t="s">
        <v>1328</v>
      </c>
      <c r="Q95" s="16" t="s">
        <v>201</v>
      </c>
      <c r="R95" s="16" t="s">
        <v>180</v>
      </c>
      <c r="S95" s="12" t="s">
        <v>754</v>
      </c>
      <c r="T95" s="12" t="s">
        <v>619</v>
      </c>
      <c r="U95" s="24" t="s">
        <v>180</v>
      </c>
    </row>
    <row r="96" spans="1:21">
      <c r="A96" s="14">
        <v>25</v>
      </c>
      <c r="B96" s="12" t="s">
        <v>872</v>
      </c>
      <c r="C96" s="12" t="s">
        <v>870</v>
      </c>
      <c r="D96" s="12" t="s">
        <v>869</v>
      </c>
      <c r="E96" s="12" t="s">
        <v>344</v>
      </c>
      <c r="F96" s="12" t="s">
        <v>405</v>
      </c>
      <c r="G96" s="12" t="s">
        <v>871</v>
      </c>
      <c r="H96" s="12" t="s">
        <v>1305</v>
      </c>
      <c r="I96" s="12" t="s">
        <v>184</v>
      </c>
      <c r="J96" s="12" t="s">
        <v>1492</v>
      </c>
      <c r="K96" s="12" t="s">
        <v>1348</v>
      </c>
      <c r="L96" s="12" t="s">
        <v>1493</v>
      </c>
      <c r="M96" s="12" t="s">
        <v>1278</v>
      </c>
      <c r="N96" s="12" t="s">
        <v>1278</v>
      </c>
      <c r="O96" s="12" t="s">
        <v>1279</v>
      </c>
      <c r="P96" s="12" t="s">
        <v>1280</v>
      </c>
      <c r="Q96" s="16" t="s">
        <v>201</v>
      </c>
      <c r="R96" s="16" t="s">
        <v>180</v>
      </c>
      <c r="S96" s="12" t="s">
        <v>119</v>
      </c>
      <c r="T96" s="12" t="s">
        <v>619</v>
      </c>
      <c r="U96" s="24" t="s">
        <v>180</v>
      </c>
    </row>
    <row r="97" spans="1:21">
      <c r="A97" s="14">
        <v>25</v>
      </c>
      <c r="B97" s="12" t="s">
        <v>872</v>
      </c>
      <c r="C97" s="12" t="s">
        <v>870</v>
      </c>
      <c r="D97" s="12" t="s">
        <v>869</v>
      </c>
      <c r="E97" s="12" t="s">
        <v>344</v>
      </c>
      <c r="F97" s="12" t="s">
        <v>405</v>
      </c>
      <c r="G97" s="12" t="s">
        <v>871</v>
      </c>
      <c r="H97" s="12" t="s">
        <v>1305</v>
      </c>
      <c r="I97" s="12" t="s">
        <v>184</v>
      </c>
      <c r="J97" s="12" t="s">
        <v>1494</v>
      </c>
      <c r="K97" s="12" t="s">
        <v>1348</v>
      </c>
      <c r="L97" s="12" t="s">
        <v>1353</v>
      </c>
      <c r="M97" s="12" t="s">
        <v>1309</v>
      </c>
      <c r="N97" s="12" t="s">
        <v>1309</v>
      </c>
      <c r="O97" s="12" t="s">
        <v>1279</v>
      </c>
      <c r="P97" s="12" t="s">
        <v>1280</v>
      </c>
      <c r="Q97" s="16" t="s">
        <v>201</v>
      </c>
      <c r="R97" s="16" t="s">
        <v>180</v>
      </c>
      <c r="S97" s="12" t="s">
        <v>119</v>
      </c>
      <c r="T97" s="12" t="s">
        <v>619</v>
      </c>
      <c r="U97" s="24" t="s">
        <v>180</v>
      </c>
    </row>
    <row r="98" spans="1:21">
      <c r="A98" s="14">
        <v>25</v>
      </c>
      <c r="B98" s="12" t="s">
        <v>872</v>
      </c>
      <c r="C98" s="12" t="s">
        <v>870</v>
      </c>
      <c r="D98" s="12" t="s">
        <v>869</v>
      </c>
      <c r="E98" s="12" t="s">
        <v>344</v>
      </c>
      <c r="F98" s="12" t="s">
        <v>405</v>
      </c>
      <c r="G98" s="12" t="s">
        <v>871</v>
      </c>
      <c r="H98" s="12" t="s">
        <v>1305</v>
      </c>
      <c r="I98" s="12" t="s">
        <v>184</v>
      </c>
      <c r="J98" s="12" t="s">
        <v>1495</v>
      </c>
      <c r="K98" s="12" t="s">
        <v>1348</v>
      </c>
      <c r="L98" s="12" t="s">
        <v>1496</v>
      </c>
      <c r="M98" s="12" t="s">
        <v>1497</v>
      </c>
      <c r="N98" s="12" t="s">
        <v>1269</v>
      </c>
      <c r="O98" s="12" t="s">
        <v>1279</v>
      </c>
      <c r="P98" s="12" t="s">
        <v>1264</v>
      </c>
      <c r="Q98" s="16" t="s">
        <v>201</v>
      </c>
      <c r="R98" s="16" t="s">
        <v>180</v>
      </c>
      <c r="S98" s="12" t="s">
        <v>119</v>
      </c>
      <c r="T98" s="12" t="s">
        <v>619</v>
      </c>
      <c r="U98" s="24" t="s">
        <v>180</v>
      </c>
    </row>
    <row r="99" spans="1:21">
      <c r="A99" s="14">
        <v>26</v>
      </c>
      <c r="B99" s="12" t="s">
        <v>878</v>
      </c>
      <c r="C99" s="12" t="s">
        <v>875</v>
      </c>
      <c r="D99" s="12" t="s">
        <v>874</v>
      </c>
      <c r="E99" s="12" t="s">
        <v>344</v>
      </c>
      <c r="F99" s="12" t="s">
        <v>877</v>
      </c>
      <c r="G99" s="12" t="s">
        <v>876</v>
      </c>
      <c r="H99" s="12" t="s">
        <v>1498</v>
      </c>
      <c r="I99" s="12" t="s">
        <v>184</v>
      </c>
      <c r="J99" s="12" t="s">
        <v>879</v>
      </c>
      <c r="K99" s="12" t="s">
        <v>1348</v>
      </c>
      <c r="L99" s="12" t="s">
        <v>1353</v>
      </c>
      <c r="M99" s="12" t="s">
        <v>1309</v>
      </c>
      <c r="N99" s="12" t="s">
        <v>1309</v>
      </c>
      <c r="O99" s="12" t="s">
        <v>1325</v>
      </c>
      <c r="P99" s="12" t="s">
        <v>1264</v>
      </c>
      <c r="Q99" s="16" t="s">
        <v>201</v>
      </c>
      <c r="R99" s="16" t="s">
        <v>180</v>
      </c>
      <c r="S99" s="12" t="s">
        <v>119</v>
      </c>
      <c r="T99" s="12" t="s">
        <v>619</v>
      </c>
      <c r="U99" s="24" t="s">
        <v>180</v>
      </c>
    </row>
    <row r="100" spans="1:21">
      <c r="A100" s="14">
        <v>26</v>
      </c>
      <c r="B100" s="12" t="s">
        <v>1091</v>
      </c>
      <c r="C100" s="12" t="s">
        <v>1088</v>
      </c>
      <c r="D100" s="12" t="s">
        <v>1087</v>
      </c>
      <c r="E100" s="12" t="s">
        <v>344</v>
      </c>
      <c r="F100" s="12" t="s">
        <v>1090</v>
      </c>
      <c r="G100" s="12" t="s">
        <v>1089</v>
      </c>
      <c r="H100" s="12" t="s">
        <v>1322</v>
      </c>
      <c r="I100" s="12" t="s">
        <v>184</v>
      </c>
      <c r="J100" s="12" t="s">
        <v>1092</v>
      </c>
      <c r="K100" s="12" t="s">
        <v>1499</v>
      </c>
      <c r="L100" s="12" t="s">
        <v>1500</v>
      </c>
      <c r="M100" s="12" t="s">
        <v>1262</v>
      </c>
      <c r="N100" s="12" t="s">
        <v>1262</v>
      </c>
      <c r="O100" s="12" t="s">
        <v>1279</v>
      </c>
      <c r="P100" s="12" t="s">
        <v>1264</v>
      </c>
      <c r="Q100" s="16" t="s">
        <v>201</v>
      </c>
      <c r="R100" s="16" t="s">
        <v>180</v>
      </c>
      <c r="S100" s="12" t="s">
        <v>754</v>
      </c>
      <c r="T100" s="12" t="s">
        <v>619</v>
      </c>
      <c r="U100" s="24" t="s">
        <v>180</v>
      </c>
    </row>
    <row r="101" spans="1:21">
      <c r="A101" s="14">
        <v>26</v>
      </c>
      <c r="B101" s="12" t="s">
        <v>1085</v>
      </c>
      <c r="C101" s="12" t="s">
        <v>1082</v>
      </c>
      <c r="D101" s="12" t="s">
        <v>1081</v>
      </c>
      <c r="E101" s="12" t="s">
        <v>378</v>
      </c>
      <c r="F101" s="12" t="s">
        <v>1084</v>
      </c>
      <c r="G101" s="12" t="s">
        <v>1083</v>
      </c>
      <c r="H101" s="12" t="s">
        <v>1305</v>
      </c>
      <c r="I101" s="12" t="s">
        <v>184</v>
      </c>
      <c r="J101" s="12" t="s">
        <v>1086</v>
      </c>
      <c r="K101" s="12" t="s">
        <v>1285</v>
      </c>
      <c r="L101" s="12" t="s">
        <v>1285</v>
      </c>
      <c r="M101" s="12" t="s">
        <v>1311</v>
      </c>
      <c r="N101" s="12" t="s">
        <v>1283</v>
      </c>
      <c r="O101" s="12" t="s">
        <v>1288</v>
      </c>
      <c r="P101" s="12" t="s">
        <v>1280</v>
      </c>
      <c r="Q101" s="16" t="s">
        <v>201</v>
      </c>
      <c r="R101" s="16" t="s">
        <v>180</v>
      </c>
      <c r="S101" s="12" t="s">
        <v>754</v>
      </c>
      <c r="T101" s="12" t="s">
        <v>619</v>
      </c>
      <c r="U101" s="24" t="s">
        <v>180</v>
      </c>
    </row>
    <row r="102" spans="1:21">
      <c r="A102" s="14">
        <v>27</v>
      </c>
      <c r="B102" s="12" t="s">
        <v>684</v>
      </c>
      <c r="C102" s="12" t="s">
        <v>679</v>
      </c>
      <c r="D102" s="12" t="s">
        <v>678</v>
      </c>
      <c r="E102" s="12" t="s">
        <v>199</v>
      </c>
      <c r="F102" s="12" t="s">
        <v>432</v>
      </c>
      <c r="G102" s="12" t="s">
        <v>683</v>
      </c>
      <c r="H102" s="12" t="s">
        <v>1501</v>
      </c>
      <c r="I102" s="12" t="s">
        <v>184</v>
      </c>
      <c r="J102" s="12" t="s">
        <v>1502</v>
      </c>
      <c r="K102" s="12" t="s">
        <v>1363</v>
      </c>
      <c r="L102" s="12" t="s">
        <v>1363</v>
      </c>
      <c r="M102" s="12" t="s">
        <v>1311</v>
      </c>
      <c r="N102" s="12" t="s">
        <v>1278</v>
      </c>
      <c r="O102" s="12" t="s">
        <v>1263</v>
      </c>
      <c r="P102" s="12" t="s">
        <v>1264</v>
      </c>
      <c r="Q102" s="16" t="s">
        <v>201</v>
      </c>
      <c r="R102" s="16" t="s">
        <v>180</v>
      </c>
      <c r="S102" s="12" t="s">
        <v>104</v>
      </c>
      <c r="T102" s="12" t="s">
        <v>105</v>
      </c>
      <c r="U102" s="24" t="s">
        <v>180</v>
      </c>
    </row>
    <row r="103" spans="1:21">
      <c r="A103" s="14">
        <v>27</v>
      </c>
      <c r="B103" s="12" t="s">
        <v>684</v>
      </c>
      <c r="C103" s="12" t="s">
        <v>679</v>
      </c>
      <c r="D103" s="12" t="s">
        <v>678</v>
      </c>
      <c r="E103" s="12" t="s">
        <v>199</v>
      </c>
      <c r="F103" s="12" t="s">
        <v>432</v>
      </c>
      <c r="G103" s="12" t="s">
        <v>683</v>
      </c>
      <c r="H103" s="12" t="s">
        <v>1501</v>
      </c>
      <c r="I103" s="12" t="s">
        <v>184</v>
      </c>
      <c r="J103" s="12" t="s">
        <v>1503</v>
      </c>
      <c r="K103" s="12" t="s">
        <v>1363</v>
      </c>
      <c r="L103" s="12" t="s">
        <v>1504</v>
      </c>
      <c r="M103" s="12" t="s">
        <v>1277</v>
      </c>
      <c r="N103" s="12" t="s">
        <v>1278</v>
      </c>
      <c r="O103" s="12" t="s">
        <v>1263</v>
      </c>
      <c r="P103" s="12" t="s">
        <v>1264</v>
      </c>
      <c r="Q103" s="16" t="s">
        <v>201</v>
      </c>
      <c r="R103" s="16" t="s">
        <v>180</v>
      </c>
      <c r="S103" s="12" t="s">
        <v>104</v>
      </c>
      <c r="T103" s="12" t="s">
        <v>105</v>
      </c>
      <c r="U103" s="24" t="s">
        <v>180</v>
      </c>
    </row>
    <row r="104" spans="1:21">
      <c r="A104" s="14">
        <v>27</v>
      </c>
      <c r="B104" s="12" t="s">
        <v>522</v>
      </c>
      <c r="C104" s="12" t="s">
        <v>518</v>
      </c>
      <c r="D104" s="12" t="s">
        <v>517</v>
      </c>
      <c r="E104" s="12" t="s">
        <v>217</v>
      </c>
      <c r="F104" s="12" t="s">
        <v>521</v>
      </c>
      <c r="G104" s="12" t="s">
        <v>520</v>
      </c>
      <c r="H104" s="12" t="s">
        <v>1305</v>
      </c>
      <c r="I104" s="12" t="s">
        <v>235</v>
      </c>
      <c r="J104" s="12" t="s">
        <v>523</v>
      </c>
      <c r="K104" s="12" t="s">
        <v>1363</v>
      </c>
      <c r="L104" s="12" t="s">
        <v>1505</v>
      </c>
      <c r="M104" s="12" t="s">
        <v>1262</v>
      </c>
      <c r="N104" s="12" t="s">
        <v>1262</v>
      </c>
      <c r="O104" s="12" t="s">
        <v>1263</v>
      </c>
      <c r="P104" s="12" t="s">
        <v>1264</v>
      </c>
      <c r="Q104" s="16" t="s">
        <v>201</v>
      </c>
      <c r="R104" s="16" t="s">
        <v>180</v>
      </c>
      <c r="S104" s="12" t="s">
        <v>119</v>
      </c>
      <c r="T104" s="12" t="s">
        <v>519</v>
      </c>
      <c r="U104" s="24" t="s">
        <v>180</v>
      </c>
    </row>
    <row r="105" spans="1:21">
      <c r="A105" s="14">
        <v>27</v>
      </c>
      <c r="B105" s="12" t="s">
        <v>1096</v>
      </c>
      <c r="C105" s="12" t="s">
        <v>1094</v>
      </c>
      <c r="D105" s="12" t="s">
        <v>1093</v>
      </c>
      <c r="E105" s="12" t="s">
        <v>344</v>
      </c>
      <c r="F105" s="12" t="s">
        <v>930</v>
      </c>
      <c r="G105" s="12" t="s">
        <v>1095</v>
      </c>
      <c r="H105" s="12" t="s">
        <v>1506</v>
      </c>
      <c r="I105" s="12" t="s">
        <v>184</v>
      </c>
      <c r="J105" s="12" t="s">
        <v>1507</v>
      </c>
      <c r="K105" s="12" t="s">
        <v>1508</v>
      </c>
      <c r="L105" s="12" t="s">
        <v>1509</v>
      </c>
      <c r="M105" s="12" t="s">
        <v>1278</v>
      </c>
      <c r="N105" s="12" t="s">
        <v>1278</v>
      </c>
      <c r="O105" s="12" t="s">
        <v>1288</v>
      </c>
      <c r="P105" s="12" t="s">
        <v>1264</v>
      </c>
      <c r="Q105" s="16" t="s">
        <v>201</v>
      </c>
      <c r="R105" s="16" t="s">
        <v>180</v>
      </c>
      <c r="S105" s="12" t="s">
        <v>754</v>
      </c>
      <c r="T105" s="12" t="s">
        <v>619</v>
      </c>
      <c r="U105" s="24" t="s">
        <v>180</v>
      </c>
    </row>
    <row r="106" spans="1:21">
      <c r="A106" s="14">
        <v>27</v>
      </c>
      <c r="B106" s="12" t="s">
        <v>1096</v>
      </c>
      <c r="C106" s="12" t="s">
        <v>1094</v>
      </c>
      <c r="D106" s="12" t="s">
        <v>1093</v>
      </c>
      <c r="E106" s="12" t="s">
        <v>344</v>
      </c>
      <c r="F106" s="12" t="s">
        <v>930</v>
      </c>
      <c r="G106" s="12" t="s">
        <v>1095</v>
      </c>
      <c r="H106" s="12" t="s">
        <v>1506</v>
      </c>
      <c r="I106" s="12" t="s">
        <v>184</v>
      </c>
      <c r="J106" s="12" t="s">
        <v>1510</v>
      </c>
      <c r="K106" s="12" t="s">
        <v>1508</v>
      </c>
      <c r="L106" s="12" t="s">
        <v>1511</v>
      </c>
      <c r="M106" s="12" t="s">
        <v>1309</v>
      </c>
      <c r="N106" s="12" t="s">
        <v>1309</v>
      </c>
      <c r="O106" s="12" t="s">
        <v>1288</v>
      </c>
      <c r="P106" s="12" t="s">
        <v>1264</v>
      </c>
      <c r="Q106" s="16" t="s">
        <v>201</v>
      </c>
      <c r="R106" s="16" t="s">
        <v>180</v>
      </c>
      <c r="S106" s="12" t="s">
        <v>754</v>
      </c>
      <c r="T106" s="12" t="s">
        <v>619</v>
      </c>
      <c r="U106" s="24" t="s">
        <v>180</v>
      </c>
    </row>
    <row r="107" spans="1:21">
      <c r="A107" s="14">
        <v>28</v>
      </c>
      <c r="B107" s="12" t="s">
        <v>1512</v>
      </c>
      <c r="C107" s="12" t="s">
        <v>790</v>
      </c>
      <c r="D107" s="12" t="s">
        <v>789</v>
      </c>
      <c r="E107" s="12" t="s">
        <v>199</v>
      </c>
      <c r="F107" s="12" t="s">
        <v>795</v>
      </c>
      <c r="G107" s="12" t="s">
        <v>1154</v>
      </c>
      <c r="H107" s="12" t="s">
        <v>1513</v>
      </c>
      <c r="I107" s="12" t="s">
        <v>184</v>
      </c>
      <c r="J107" s="12" t="s">
        <v>1514</v>
      </c>
      <c r="K107" s="12" t="s">
        <v>1515</v>
      </c>
      <c r="L107" s="12" t="s">
        <v>1402</v>
      </c>
      <c r="M107" s="12" t="s">
        <v>1278</v>
      </c>
      <c r="N107" s="12" t="s">
        <v>1278</v>
      </c>
      <c r="O107" s="12" t="s">
        <v>1263</v>
      </c>
      <c r="P107" s="12" t="s">
        <v>1264</v>
      </c>
      <c r="Q107" s="16" t="s">
        <v>201</v>
      </c>
      <c r="R107" s="16" t="s">
        <v>180</v>
      </c>
      <c r="S107" s="12" t="s">
        <v>119</v>
      </c>
      <c r="T107" s="12" t="s">
        <v>619</v>
      </c>
      <c r="U107" s="24" t="s">
        <v>180</v>
      </c>
    </row>
    <row r="108" spans="1:21">
      <c r="A108" s="14">
        <v>28</v>
      </c>
      <c r="B108" s="12" t="s">
        <v>1512</v>
      </c>
      <c r="C108" s="12" t="s">
        <v>790</v>
      </c>
      <c r="D108" s="12" t="s">
        <v>789</v>
      </c>
      <c r="E108" s="12" t="s">
        <v>199</v>
      </c>
      <c r="F108" s="12" t="s">
        <v>795</v>
      </c>
      <c r="G108" s="12" t="s">
        <v>1154</v>
      </c>
      <c r="H108" s="12" t="s">
        <v>1513</v>
      </c>
      <c r="I108" s="12" t="s">
        <v>184</v>
      </c>
      <c r="J108" s="12" t="s">
        <v>1516</v>
      </c>
      <c r="K108" s="12" t="s">
        <v>1515</v>
      </c>
      <c r="L108" s="12" t="s">
        <v>1308</v>
      </c>
      <c r="M108" s="12" t="s">
        <v>1309</v>
      </c>
      <c r="N108" s="12" t="s">
        <v>1309</v>
      </c>
      <c r="O108" s="12" t="s">
        <v>1263</v>
      </c>
      <c r="P108" s="12" t="s">
        <v>1264</v>
      </c>
      <c r="Q108" s="16" t="s">
        <v>201</v>
      </c>
      <c r="R108" s="16" t="s">
        <v>180</v>
      </c>
      <c r="S108" s="12" t="s">
        <v>119</v>
      </c>
      <c r="T108" s="12" t="s">
        <v>619</v>
      </c>
      <c r="U108" s="24" t="s">
        <v>180</v>
      </c>
    </row>
    <row r="109" spans="1:21">
      <c r="A109" s="14">
        <v>28</v>
      </c>
      <c r="B109" s="12" t="s">
        <v>1512</v>
      </c>
      <c r="C109" s="12" t="s">
        <v>790</v>
      </c>
      <c r="D109" s="12" t="s">
        <v>789</v>
      </c>
      <c r="E109" s="12" t="s">
        <v>199</v>
      </c>
      <c r="F109" s="12" t="s">
        <v>795</v>
      </c>
      <c r="G109" s="12" t="s">
        <v>1154</v>
      </c>
      <c r="H109" s="12" t="s">
        <v>1513</v>
      </c>
      <c r="I109" s="12" t="s">
        <v>184</v>
      </c>
      <c r="J109" s="12" t="s">
        <v>1517</v>
      </c>
      <c r="K109" s="12" t="s">
        <v>1515</v>
      </c>
      <c r="L109" s="12" t="s">
        <v>1518</v>
      </c>
      <c r="M109" s="12" t="s">
        <v>1497</v>
      </c>
      <c r="N109" s="12" t="s">
        <v>1497</v>
      </c>
      <c r="O109" s="12" t="s">
        <v>1263</v>
      </c>
      <c r="P109" s="12" t="s">
        <v>1264</v>
      </c>
      <c r="Q109" s="16" t="s">
        <v>201</v>
      </c>
      <c r="R109" s="16" t="s">
        <v>180</v>
      </c>
      <c r="S109" s="12" t="s">
        <v>119</v>
      </c>
      <c r="T109" s="12" t="s">
        <v>619</v>
      </c>
      <c r="U109" s="24" t="s">
        <v>180</v>
      </c>
    </row>
    <row r="110" spans="1:21">
      <c r="A110" s="14">
        <v>28</v>
      </c>
      <c r="B110" s="12" t="s">
        <v>1512</v>
      </c>
      <c r="C110" s="12" t="s">
        <v>790</v>
      </c>
      <c r="D110" s="12" t="s">
        <v>789</v>
      </c>
      <c r="E110" s="12" t="s">
        <v>199</v>
      </c>
      <c r="F110" s="12" t="s">
        <v>795</v>
      </c>
      <c r="G110" s="12" t="s">
        <v>1154</v>
      </c>
      <c r="H110" s="12" t="s">
        <v>1513</v>
      </c>
      <c r="I110" s="12" t="s">
        <v>184</v>
      </c>
      <c r="J110" s="12" t="s">
        <v>1519</v>
      </c>
      <c r="K110" s="12" t="s">
        <v>1515</v>
      </c>
      <c r="L110" s="12" t="s">
        <v>1520</v>
      </c>
      <c r="M110" s="12" t="s">
        <v>1252</v>
      </c>
      <c r="N110" s="12" t="s">
        <v>1252</v>
      </c>
      <c r="O110" s="12" t="s">
        <v>1263</v>
      </c>
      <c r="P110" s="12" t="s">
        <v>1264</v>
      </c>
      <c r="Q110" s="16" t="s">
        <v>201</v>
      </c>
      <c r="R110" s="16" t="s">
        <v>180</v>
      </c>
      <c r="S110" s="12" t="s">
        <v>119</v>
      </c>
      <c r="T110" s="12" t="s">
        <v>619</v>
      </c>
      <c r="U110" s="24" t="s">
        <v>180</v>
      </c>
    </row>
    <row r="111" spans="1:21">
      <c r="A111" s="14">
        <v>28</v>
      </c>
      <c r="B111" s="12" t="s">
        <v>1521</v>
      </c>
      <c r="C111" s="12" t="s">
        <v>790</v>
      </c>
      <c r="D111" s="12" t="s">
        <v>789</v>
      </c>
      <c r="E111" s="12" t="s">
        <v>199</v>
      </c>
      <c r="F111" s="12" t="s">
        <v>795</v>
      </c>
      <c r="G111" s="12" t="s">
        <v>1154</v>
      </c>
      <c r="H111" s="12" t="s">
        <v>1522</v>
      </c>
      <c r="I111" s="12" t="s">
        <v>184</v>
      </c>
      <c r="J111" s="12" t="s">
        <v>1523</v>
      </c>
      <c r="K111" s="12" t="s">
        <v>1260</v>
      </c>
      <c r="L111" s="12" t="s">
        <v>1524</v>
      </c>
      <c r="M111" s="12" t="s">
        <v>1260</v>
      </c>
      <c r="N111" s="12" t="s">
        <v>1278</v>
      </c>
      <c r="O111" s="12" t="s">
        <v>1263</v>
      </c>
      <c r="P111" s="12" t="s">
        <v>1264</v>
      </c>
      <c r="Q111" s="16" t="s">
        <v>1265</v>
      </c>
      <c r="R111" s="16" t="s">
        <v>180</v>
      </c>
      <c r="S111" s="12" t="s">
        <v>119</v>
      </c>
      <c r="T111" s="12" t="s">
        <v>619</v>
      </c>
      <c r="U111" s="24" t="s">
        <v>180</v>
      </c>
    </row>
    <row r="112" spans="1:21">
      <c r="A112" s="14">
        <v>28</v>
      </c>
      <c r="B112" s="12" t="s">
        <v>1521</v>
      </c>
      <c r="C112" s="12" t="s">
        <v>790</v>
      </c>
      <c r="D112" s="12" t="s">
        <v>789</v>
      </c>
      <c r="E112" s="12" t="s">
        <v>199</v>
      </c>
      <c r="F112" s="12" t="s">
        <v>795</v>
      </c>
      <c r="G112" s="12" t="s">
        <v>1154</v>
      </c>
      <c r="H112" s="12" t="s">
        <v>1522</v>
      </c>
      <c r="I112" s="12" t="s">
        <v>184</v>
      </c>
      <c r="J112" s="12" t="s">
        <v>1525</v>
      </c>
      <c r="K112" s="12" t="s">
        <v>1260</v>
      </c>
      <c r="L112" s="12" t="s">
        <v>1462</v>
      </c>
      <c r="M112" s="12" t="s">
        <v>1260</v>
      </c>
      <c r="N112" s="12" t="s">
        <v>1272</v>
      </c>
      <c r="O112" s="12" t="s">
        <v>1263</v>
      </c>
      <c r="P112" s="12" t="s">
        <v>1264</v>
      </c>
      <c r="Q112" s="16" t="s">
        <v>1265</v>
      </c>
      <c r="R112" s="16" t="s">
        <v>180</v>
      </c>
      <c r="S112" s="12" t="s">
        <v>119</v>
      </c>
      <c r="T112" s="12" t="s">
        <v>619</v>
      </c>
      <c r="U112" s="24" t="s">
        <v>180</v>
      </c>
    </row>
    <row r="113" spans="1:21">
      <c r="A113" s="14">
        <v>28</v>
      </c>
      <c r="B113" s="12" t="s">
        <v>334</v>
      </c>
      <c r="C113" s="12" t="s">
        <v>331</v>
      </c>
      <c r="D113" s="12" t="s">
        <v>115</v>
      </c>
      <c r="E113" s="12" t="s">
        <v>292</v>
      </c>
      <c r="F113" s="12" t="s">
        <v>333</v>
      </c>
      <c r="G113" s="12" t="s">
        <v>332</v>
      </c>
      <c r="H113" s="12" t="s">
        <v>1526</v>
      </c>
      <c r="I113" s="12" t="s">
        <v>184</v>
      </c>
      <c r="J113" s="12" t="s">
        <v>335</v>
      </c>
      <c r="K113" s="12" t="s">
        <v>1260</v>
      </c>
      <c r="L113" s="12" t="s">
        <v>1320</v>
      </c>
      <c r="M113" s="12" t="s">
        <v>1260</v>
      </c>
      <c r="N113" s="12" t="s">
        <v>1262</v>
      </c>
      <c r="O113" s="12" t="s">
        <v>1279</v>
      </c>
      <c r="P113" s="12" t="s">
        <v>1264</v>
      </c>
      <c r="Q113" s="16" t="s">
        <v>1265</v>
      </c>
      <c r="R113" s="16" t="s">
        <v>180</v>
      </c>
      <c r="S113" s="12" t="s">
        <v>104</v>
      </c>
      <c r="T113" s="12" t="s">
        <v>105</v>
      </c>
      <c r="U113" s="13" t="s">
        <v>174</v>
      </c>
    </row>
    <row r="114" spans="1:21">
      <c r="A114" s="14">
        <v>29</v>
      </c>
      <c r="B114" s="12" t="s">
        <v>885</v>
      </c>
      <c r="C114" s="12" t="s">
        <v>882</v>
      </c>
      <c r="D114" s="12" t="s">
        <v>881</v>
      </c>
      <c r="E114" s="12" t="s">
        <v>217</v>
      </c>
      <c r="F114" s="12" t="s">
        <v>884</v>
      </c>
      <c r="G114" s="12" t="s">
        <v>883</v>
      </c>
      <c r="H114" s="12" t="s">
        <v>1322</v>
      </c>
      <c r="I114" s="12" t="s">
        <v>184</v>
      </c>
      <c r="J114" s="12" t="s">
        <v>1527</v>
      </c>
      <c r="K114" s="12" t="s">
        <v>1345</v>
      </c>
      <c r="L114" s="12" t="s">
        <v>1528</v>
      </c>
      <c r="M114" s="12" t="s">
        <v>1283</v>
      </c>
      <c r="N114" s="12" t="s">
        <v>1283</v>
      </c>
      <c r="O114" s="12" t="s">
        <v>1288</v>
      </c>
      <c r="P114" s="12" t="s">
        <v>1280</v>
      </c>
      <c r="Q114" s="16" t="s">
        <v>201</v>
      </c>
      <c r="R114" s="16" t="s">
        <v>180</v>
      </c>
      <c r="S114" s="12" t="s">
        <v>119</v>
      </c>
      <c r="T114" s="12" t="s">
        <v>519</v>
      </c>
      <c r="U114" s="24" t="s">
        <v>180</v>
      </c>
    </row>
    <row r="115" spans="1:21">
      <c r="A115" s="14">
        <v>29</v>
      </c>
      <c r="B115" s="12" t="s">
        <v>885</v>
      </c>
      <c r="C115" s="12" t="s">
        <v>882</v>
      </c>
      <c r="D115" s="12" t="s">
        <v>881</v>
      </c>
      <c r="E115" s="12" t="s">
        <v>217</v>
      </c>
      <c r="F115" s="12" t="s">
        <v>884</v>
      </c>
      <c r="G115" s="12" t="s">
        <v>883</v>
      </c>
      <c r="H115" s="12" t="s">
        <v>1322</v>
      </c>
      <c r="I115" s="12" t="s">
        <v>184</v>
      </c>
      <c r="J115" s="12" t="s">
        <v>1529</v>
      </c>
      <c r="K115" s="12" t="s">
        <v>1345</v>
      </c>
      <c r="L115" s="12" t="s">
        <v>1345</v>
      </c>
      <c r="M115" s="12" t="s">
        <v>1311</v>
      </c>
      <c r="N115" s="12" t="s">
        <v>1283</v>
      </c>
      <c r="O115" s="12" t="s">
        <v>1288</v>
      </c>
      <c r="P115" s="12" t="s">
        <v>1280</v>
      </c>
      <c r="Q115" s="16" t="s">
        <v>201</v>
      </c>
      <c r="R115" s="16" t="s">
        <v>180</v>
      </c>
      <c r="S115" s="12" t="s">
        <v>119</v>
      </c>
      <c r="T115" s="12" t="s">
        <v>519</v>
      </c>
      <c r="U115" s="24" t="s">
        <v>180</v>
      </c>
    </row>
    <row r="116" spans="1:21">
      <c r="A116" s="14">
        <v>29</v>
      </c>
      <c r="B116" s="12" t="s">
        <v>1530</v>
      </c>
      <c r="C116" s="12" t="s">
        <v>806</v>
      </c>
      <c r="D116" s="12" t="s">
        <v>805</v>
      </c>
      <c r="E116" s="12" t="s">
        <v>469</v>
      </c>
      <c r="F116" s="12" t="s">
        <v>612</v>
      </c>
      <c r="G116" s="12" t="s">
        <v>520</v>
      </c>
      <c r="H116" s="12" t="s">
        <v>1305</v>
      </c>
      <c r="I116" s="12" t="s">
        <v>621</v>
      </c>
      <c r="J116" s="12" t="s">
        <v>1531</v>
      </c>
      <c r="K116" s="12" t="s">
        <v>1298</v>
      </c>
      <c r="L116" s="12" t="s">
        <v>1414</v>
      </c>
      <c r="M116" s="12" t="s">
        <v>1309</v>
      </c>
      <c r="N116" s="12" t="s">
        <v>1309</v>
      </c>
      <c r="O116" s="12" t="s">
        <v>1532</v>
      </c>
      <c r="P116" s="12" t="s">
        <v>1328</v>
      </c>
      <c r="Q116" s="16" t="s">
        <v>201</v>
      </c>
      <c r="R116" s="16" t="s">
        <v>180</v>
      </c>
      <c r="S116" s="12" t="s">
        <v>754</v>
      </c>
      <c r="T116" s="12" t="s">
        <v>619</v>
      </c>
      <c r="U116" s="24" t="s">
        <v>180</v>
      </c>
    </row>
    <row r="117" spans="1:21">
      <c r="A117" s="14">
        <v>29</v>
      </c>
      <c r="B117" s="12" t="s">
        <v>1530</v>
      </c>
      <c r="C117" s="12" t="s">
        <v>806</v>
      </c>
      <c r="D117" s="12" t="s">
        <v>805</v>
      </c>
      <c r="E117" s="12" t="s">
        <v>469</v>
      </c>
      <c r="F117" s="12" t="s">
        <v>612</v>
      </c>
      <c r="G117" s="12" t="s">
        <v>520</v>
      </c>
      <c r="H117" s="12" t="s">
        <v>1305</v>
      </c>
      <c r="I117" s="12" t="s">
        <v>621</v>
      </c>
      <c r="J117" s="12" t="s">
        <v>1533</v>
      </c>
      <c r="K117" s="12" t="s">
        <v>1427</v>
      </c>
      <c r="L117" s="12" t="s">
        <v>1534</v>
      </c>
      <c r="M117" s="12" t="s">
        <v>1309</v>
      </c>
      <c r="N117" s="12" t="s">
        <v>1309</v>
      </c>
      <c r="O117" s="12" t="s">
        <v>1532</v>
      </c>
      <c r="P117" s="12" t="s">
        <v>1328</v>
      </c>
      <c r="Q117" s="16" t="s">
        <v>201</v>
      </c>
      <c r="R117" s="16" t="s">
        <v>180</v>
      </c>
      <c r="S117" s="12" t="s">
        <v>754</v>
      </c>
      <c r="T117" s="12" t="s">
        <v>619</v>
      </c>
      <c r="U117" s="24" t="s">
        <v>180</v>
      </c>
    </row>
    <row r="118" spans="1:21">
      <c r="A118" s="14">
        <v>29</v>
      </c>
      <c r="B118" s="12" t="s">
        <v>892</v>
      </c>
      <c r="C118" s="12" t="s">
        <v>889</v>
      </c>
      <c r="D118" s="12" t="s">
        <v>888</v>
      </c>
      <c r="E118" s="12" t="s">
        <v>344</v>
      </c>
      <c r="F118" s="12" t="s">
        <v>891</v>
      </c>
      <c r="G118" s="12" t="s">
        <v>890</v>
      </c>
      <c r="H118" s="12" t="s">
        <v>1322</v>
      </c>
      <c r="I118" s="12" t="s">
        <v>184</v>
      </c>
      <c r="J118" s="12" t="s">
        <v>1535</v>
      </c>
      <c r="K118" s="12" t="s">
        <v>1536</v>
      </c>
      <c r="L118" s="12" t="s">
        <v>1537</v>
      </c>
      <c r="M118" s="12" t="s">
        <v>1283</v>
      </c>
      <c r="N118" s="12" t="s">
        <v>1283</v>
      </c>
      <c r="O118" s="12" t="s">
        <v>1279</v>
      </c>
      <c r="P118" s="12" t="s">
        <v>1280</v>
      </c>
      <c r="Q118" s="16" t="s">
        <v>201</v>
      </c>
      <c r="R118" s="16" t="s">
        <v>180</v>
      </c>
      <c r="S118" s="12" t="s">
        <v>119</v>
      </c>
      <c r="T118" s="12" t="s">
        <v>519</v>
      </c>
      <c r="U118" s="24" t="s">
        <v>180</v>
      </c>
    </row>
    <row r="119" spans="1:21">
      <c r="A119" s="14">
        <v>29</v>
      </c>
      <c r="B119" s="12" t="s">
        <v>892</v>
      </c>
      <c r="C119" s="12" t="s">
        <v>889</v>
      </c>
      <c r="D119" s="12" t="s">
        <v>888</v>
      </c>
      <c r="E119" s="12" t="s">
        <v>344</v>
      </c>
      <c r="F119" s="12" t="s">
        <v>891</v>
      </c>
      <c r="G119" s="12" t="s">
        <v>890</v>
      </c>
      <c r="H119" s="12" t="s">
        <v>1322</v>
      </c>
      <c r="I119" s="12" t="s">
        <v>184</v>
      </c>
      <c r="J119" s="12" t="s">
        <v>1538</v>
      </c>
      <c r="K119" s="12" t="s">
        <v>1536</v>
      </c>
      <c r="L119" s="12" t="s">
        <v>1536</v>
      </c>
      <c r="M119" s="12" t="s">
        <v>1311</v>
      </c>
      <c r="N119" s="12" t="s">
        <v>1283</v>
      </c>
      <c r="O119" s="12" t="s">
        <v>1279</v>
      </c>
      <c r="P119" s="12" t="s">
        <v>1280</v>
      </c>
      <c r="Q119" s="16" t="s">
        <v>201</v>
      </c>
      <c r="R119" s="16" t="s">
        <v>180</v>
      </c>
      <c r="S119" s="12" t="s">
        <v>119</v>
      </c>
      <c r="T119" s="12" t="s">
        <v>519</v>
      </c>
      <c r="U119" s="24" t="s">
        <v>180</v>
      </c>
    </row>
    <row r="120" spans="1:21">
      <c r="A120" s="14">
        <v>30</v>
      </c>
      <c r="B120" s="12" t="s">
        <v>1539</v>
      </c>
      <c r="C120" s="12" t="s">
        <v>800</v>
      </c>
      <c r="D120" s="12" t="s">
        <v>799</v>
      </c>
      <c r="E120" s="12" t="s">
        <v>344</v>
      </c>
      <c r="F120" s="12" t="s">
        <v>802</v>
      </c>
      <c r="G120" s="12" t="s">
        <v>801</v>
      </c>
      <c r="H120" s="12" t="s">
        <v>1322</v>
      </c>
      <c r="I120" s="12" t="s">
        <v>184</v>
      </c>
      <c r="J120" s="12" t="s">
        <v>1540</v>
      </c>
      <c r="K120" s="12" t="s">
        <v>1285</v>
      </c>
      <c r="L120" s="12" t="s">
        <v>1285</v>
      </c>
      <c r="M120" s="12" t="s">
        <v>1311</v>
      </c>
      <c r="N120" s="12" t="s">
        <v>1283</v>
      </c>
      <c r="O120" s="12" t="s">
        <v>1288</v>
      </c>
      <c r="P120" s="12" t="s">
        <v>1280</v>
      </c>
      <c r="Q120" s="16" t="s">
        <v>201</v>
      </c>
      <c r="R120" s="16" t="s">
        <v>180</v>
      </c>
      <c r="S120" s="12" t="s">
        <v>754</v>
      </c>
      <c r="T120" s="12" t="s">
        <v>586</v>
      </c>
      <c r="U120" s="24" t="s">
        <v>180</v>
      </c>
    </row>
    <row r="121" spans="1:21">
      <c r="A121" s="14">
        <v>30</v>
      </c>
      <c r="B121" s="12" t="s">
        <v>204</v>
      </c>
      <c r="C121" s="12" t="s">
        <v>198</v>
      </c>
      <c r="D121" s="12" t="s">
        <v>94</v>
      </c>
      <c r="E121" s="12" t="s">
        <v>199</v>
      </c>
      <c r="F121" s="12" t="s">
        <v>203</v>
      </c>
      <c r="G121" s="12" t="s">
        <v>202</v>
      </c>
      <c r="H121" s="12" t="s">
        <v>1322</v>
      </c>
      <c r="I121" s="12" t="s">
        <v>184</v>
      </c>
      <c r="J121" s="12" t="s">
        <v>205</v>
      </c>
      <c r="K121" s="12" t="s">
        <v>1427</v>
      </c>
      <c r="L121" s="12" t="s">
        <v>1541</v>
      </c>
      <c r="M121" s="12" t="s">
        <v>1283</v>
      </c>
      <c r="N121" s="12" t="s">
        <v>1542</v>
      </c>
      <c r="O121" s="12" t="s">
        <v>1263</v>
      </c>
      <c r="P121" s="12" t="s">
        <v>1280</v>
      </c>
      <c r="Q121" s="16" t="s">
        <v>201</v>
      </c>
      <c r="R121" s="16" t="s">
        <v>180</v>
      </c>
      <c r="S121" s="12" t="s">
        <v>89</v>
      </c>
      <c r="T121" s="12" t="s">
        <v>90</v>
      </c>
      <c r="U121" s="13" t="s">
        <v>174</v>
      </c>
    </row>
    <row r="122" spans="1:21">
      <c r="A122" s="14">
        <v>30</v>
      </c>
      <c r="B122" s="12" t="s">
        <v>1543</v>
      </c>
      <c r="C122" s="12" t="s">
        <v>800</v>
      </c>
      <c r="D122" s="12" t="s">
        <v>799</v>
      </c>
      <c r="E122" s="12" t="s">
        <v>344</v>
      </c>
      <c r="F122" s="12" t="s">
        <v>802</v>
      </c>
      <c r="G122" s="12" t="s">
        <v>801</v>
      </c>
      <c r="H122" s="12" t="s">
        <v>1322</v>
      </c>
      <c r="I122" s="12" t="s">
        <v>184</v>
      </c>
      <c r="J122" s="12" t="s">
        <v>1544</v>
      </c>
      <c r="K122" s="12" t="s">
        <v>1348</v>
      </c>
      <c r="L122" s="12" t="s">
        <v>1493</v>
      </c>
      <c r="M122" s="12" t="s">
        <v>1278</v>
      </c>
      <c r="N122" s="12" t="s">
        <v>1278</v>
      </c>
      <c r="O122" s="12" t="s">
        <v>1488</v>
      </c>
      <c r="P122" s="12" t="s">
        <v>1280</v>
      </c>
      <c r="Q122" s="16" t="s">
        <v>201</v>
      </c>
      <c r="R122" s="16" t="s">
        <v>180</v>
      </c>
      <c r="S122" s="12" t="s">
        <v>754</v>
      </c>
      <c r="T122" s="12" t="s">
        <v>586</v>
      </c>
      <c r="U122" s="24" t="s">
        <v>180</v>
      </c>
    </row>
    <row r="123" spans="1:21">
      <c r="A123" s="14">
        <v>31</v>
      </c>
      <c r="B123" s="12" t="s">
        <v>599</v>
      </c>
      <c r="C123" s="12" t="s">
        <v>595</v>
      </c>
      <c r="D123" s="12" t="s">
        <v>594</v>
      </c>
      <c r="E123" s="12" t="s">
        <v>292</v>
      </c>
      <c r="F123" s="12" t="s">
        <v>326</v>
      </c>
      <c r="G123" s="12" t="s">
        <v>598</v>
      </c>
      <c r="H123" s="12" t="s">
        <v>1545</v>
      </c>
      <c r="I123" s="12" t="s">
        <v>184</v>
      </c>
      <c r="J123" s="12" t="s">
        <v>600</v>
      </c>
      <c r="K123" s="12" t="s">
        <v>1260</v>
      </c>
      <c r="L123" s="12" t="s">
        <v>1378</v>
      </c>
      <c r="M123" s="12" t="s">
        <v>1260</v>
      </c>
      <c r="N123" s="12" t="s">
        <v>1262</v>
      </c>
      <c r="O123" s="12" t="s">
        <v>1279</v>
      </c>
      <c r="P123" s="12" t="s">
        <v>1264</v>
      </c>
      <c r="Q123" s="16" t="s">
        <v>1265</v>
      </c>
      <c r="R123" s="16" t="s">
        <v>180</v>
      </c>
      <c r="S123" s="12" t="s">
        <v>104</v>
      </c>
      <c r="T123" s="12" t="s">
        <v>105</v>
      </c>
      <c r="U123" s="24" t="s">
        <v>180</v>
      </c>
    </row>
    <row r="124" spans="1:21">
      <c r="A124" s="14">
        <v>31</v>
      </c>
      <c r="B124" s="12" t="s">
        <v>1104</v>
      </c>
      <c r="C124" s="12" t="s">
        <v>1099</v>
      </c>
      <c r="D124" s="12" t="s">
        <v>1098</v>
      </c>
      <c r="E124" s="12" t="s">
        <v>173</v>
      </c>
      <c r="F124" s="12" t="s">
        <v>1103</v>
      </c>
      <c r="G124" s="12" t="s">
        <v>1102</v>
      </c>
      <c r="H124" s="12" t="s">
        <v>1273</v>
      </c>
      <c r="I124" s="12" t="s">
        <v>210</v>
      </c>
      <c r="J124" s="12" t="s">
        <v>1546</v>
      </c>
      <c r="K124" s="12" t="s">
        <v>1250</v>
      </c>
      <c r="L124" s="12" t="s">
        <v>1547</v>
      </c>
      <c r="M124" s="12" t="s">
        <v>1278</v>
      </c>
      <c r="N124" s="12" t="s">
        <v>1332</v>
      </c>
      <c r="O124" s="12" t="s">
        <v>1263</v>
      </c>
      <c r="P124" s="12" t="s">
        <v>1280</v>
      </c>
      <c r="Q124" s="16" t="s">
        <v>201</v>
      </c>
      <c r="R124" s="16" t="s">
        <v>180</v>
      </c>
      <c r="S124" s="12" t="s">
        <v>119</v>
      </c>
      <c r="T124" s="12" t="s">
        <v>379</v>
      </c>
      <c r="U124" s="24" t="s">
        <v>180</v>
      </c>
    </row>
    <row r="125" spans="1:21">
      <c r="A125" s="14">
        <v>31</v>
      </c>
      <c r="B125" s="12" t="s">
        <v>1104</v>
      </c>
      <c r="C125" s="12" t="s">
        <v>1099</v>
      </c>
      <c r="D125" s="12" t="s">
        <v>1098</v>
      </c>
      <c r="E125" s="12" t="s">
        <v>173</v>
      </c>
      <c r="F125" s="12" t="s">
        <v>1103</v>
      </c>
      <c r="G125" s="12" t="s">
        <v>1102</v>
      </c>
      <c r="H125" s="12" t="s">
        <v>1273</v>
      </c>
      <c r="I125" s="12" t="s">
        <v>210</v>
      </c>
      <c r="J125" s="12" t="s">
        <v>1548</v>
      </c>
      <c r="K125" s="12" t="s">
        <v>1363</v>
      </c>
      <c r="L125" s="12" t="s">
        <v>1549</v>
      </c>
      <c r="M125" s="12" t="s">
        <v>1278</v>
      </c>
      <c r="N125" s="12" t="s">
        <v>1332</v>
      </c>
      <c r="O125" s="12" t="s">
        <v>1263</v>
      </c>
      <c r="P125" s="12" t="s">
        <v>1280</v>
      </c>
      <c r="Q125" s="16" t="s">
        <v>201</v>
      </c>
      <c r="R125" s="16" t="s">
        <v>180</v>
      </c>
      <c r="S125" s="12" t="s">
        <v>119</v>
      </c>
      <c r="T125" s="12" t="s">
        <v>379</v>
      </c>
      <c r="U125" s="24" t="s">
        <v>180</v>
      </c>
    </row>
    <row r="126" spans="1:21">
      <c r="A126" s="14">
        <v>31</v>
      </c>
      <c r="B126" s="12" t="s">
        <v>1104</v>
      </c>
      <c r="C126" s="12" t="s">
        <v>1099</v>
      </c>
      <c r="D126" s="12" t="s">
        <v>1098</v>
      </c>
      <c r="E126" s="12" t="s">
        <v>173</v>
      </c>
      <c r="F126" s="12" t="s">
        <v>1103</v>
      </c>
      <c r="G126" s="12" t="s">
        <v>1102</v>
      </c>
      <c r="H126" s="12" t="s">
        <v>1273</v>
      </c>
      <c r="I126" s="12" t="s">
        <v>210</v>
      </c>
      <c r="J126" s="12" t="s">
        <v>1550</v>
      </c>
      <c r="K126" s="12" t="s">
        <v>1508</v>
      </c>
      <c r="L126" s="12" t="s">
        <v>1509</v>
      </c>
      <c r="M126" s="12" t="s">
        <v>1278</v>
      </c>
      <c r="N126" s="12" t="s">
        <v>1332</v>
      </c>
      <c r="O126" s="12" t="s">
        <v>1263</v>
      </c>
      <c r="P126" s="12" t="s">
        <v>1280</v>
      </c>
      <c r="Q126" s="16" t="s">
        <v>201</v>
      </c>
      <c r="R126" s="16" t="s">
        <v>180</v>
      </c>
      <c r="S126" s="12" t="s">
        <v>119</v>
      </c>
      <c r="T126" s="12" t="s">
        <v>379</v>
      </c>
      <c r="U126" s="24" t="s">
        <v>180</v>
      </c>
    </row>
    <row r="127" spans="1:21">
      <c r="A127" s="14">
        <v>31</v>
      </c>
      <c r="B127" s="12" t="s">
        <v>898</v>
      </c>
      <c r="C127" s="12" t="s">
        <v>895</v>
      </c>
      <c r="D127" s="12" t="s">
        <v>894</v>
      </c>
      <c r="E127" s="12" t="s">
        <v>469</v>
      </c>
      <c r="F127" s="12" t="s">
        <v>897</v>
      </c>
      <c r="G127" s="12" t="s">
        <v>896</v>
      </c>
      <c r="H127" s="12" t="s">
        <v>1551</v>
      </c>
      <c r="I127" s="12" t="s">
        <v>184</v>
      </c>
      <c r="J127" s="12" t="s">
        <v>1552</v>
      </c>
      <c r="K127" s="12" t="s">
        <v>1307</v>
      </c>
      <c r="L127" s="12" t="s">
        <v>1308</v>
      </c>
      <c r="M127" s="12" t="s">
        <v>1309</v>
      </c>
      <c r="N127" s="12" t="s">
        <v>1309</v>
      </c>
      <c r="O127" s="12" t="s">
        <v>1279</v>
      </c>
      <c r="P127" s="12" t="s">
        <v>1264</v>
      </c>
      <c r="Q127" s="16" t="s">
        <v>201</v>
      </c>
      <c r="R127" s="16" t="s">
        <v>180</v>
      </c>
      <c r="S127" s="12" t="s">
        <v>119</v>
      </c>
      <c r="T127" s="12" t="s">
        <v>619</v>
      </c>
      <c r="U127" s="24" t="s">
        <v>180</v>
      </c>
    </row>
    <row r="128" spans="1:21">
      <c r="A128" s="14">
        <v>31</v>
      </c>
      <c r="B128" s="12" t="s">
        <v>898</v>
      </c>
      <c r="C128" s="12" t="s">
        <v>895</v>
      </c>
      <c r="D128" s="12" t="s">
        <v>894</v>
      </c>
      <c r="E128" s="12" t="s">
        <v>469</v>
      </c>
      <c r="F128" s="12" t="s">
        <v>897</v>
      </c>
      <c r="G128" s="12" t="s">
        <v>896</v>
      </c>
      <c r="H128" s="12" t="s">
        <v>1551</v>
      </c>
      <c r="I128" s="12" t="s">
        <v>184</v>
      </c>
      <c r="J128" s="12" t="s">
        <v>1553</v>
      </c>
      <c r="K128" s="12" t="s">
        <v>1307</v>
      </c>
      <c r="L128" s="12" t="s">
        <v>1554</v>
      </c>
      <c r="M128" s="12" t="s">
        <v>1262</v>
      </c>
      <c r="N128" s="12" t="s">
        <v>1262</v>
      </c>
      <c r="O128" s="12" t="s">
        <v>1279</v>
      </c>
      <c r="P128" s="12" t="s">
        <v>1264</v>
      </c>
      <c r="Q128" s="16" t="s">
        <v>201</v>
      </c>
      <c r="R128" s="16" t="s">
        <v>180</v>
      </c>
      <c r="S128" s="12" t="s">
        <v>119</v>
      </c>
      <c r="T128" s="12" t="s">
        <v>619</v>
      </c>
      <c r="U128" s="24" t="s">
        <v>180</v>
      </c>
    </row>
    <row r="129" spans="1:21">
      <c r="A129" s="14">
        <v>32</v>
      </c>
      <c r="B129" s="12" t="s">
        <v>904</v>
      </c>
      <c r="C129" s="12" t="s">
        <v>901</v>
      </c>
      <c r="D129" s="12" t="s">
        <v>900</v>
      </c>
      <c r="E129" s="12" t="s">
        <v>173</v>
      </c>
      <c r="F129" s="12" t="s">
        <v>903</v>
      </c>
      <c r="G129" s="12" t="s">
        <v>902</v>
      </c>
      <c r="H129" s="12" t="s">
        <v>1555</v>
      </c>
      <c r="I129" s="12" t="s">
        <v>184</v>
      </c>
      <c r="J129" s="12" t="s">
        <v>1556</v>
      </c>
      <c r="K129" s="12" t="s">
        <v>1363</v>
      </c>
      <c r="L129" s="12" t="s">
        <v>1549</v>
      </c>
      <c r="M129" s="12" t="s">
        <v>1278</v>
      </c>
      <c r="N129" s="12" t="s">
        <v>1332</v>
      </c>
      <c r="O129" s="12" t="s">
        <v>1263</v>
      </c>
      <c r="P129" s="12" t="s">
        <v>1264</v>
      </c>
      <c r="Q129" s="16" t="s">
        <v>201</v>
      </c>
      <c r="R129" s="16" t="s">
        <v>180</v>
      </c>
      <c r="S129" s="12" t="s">
        <v>119</v>
      </c>
      <c r="T129" s="12" t="s">
        <v>619</v>
      </c>
      <c r="U129" s="24" t="s">
        <v>180</v>
      </c>
    </row>
    <row r="130" spans="1:21">
      <c r="A130" s="14">
        <v>32</v>
      </c>
      <c r="B130" s="12" t="s">
        <v>904</v>
      </c>
      <c r="C130" s="12" t="s">
        <v>901</v>
      </c>
      <c r="D130" s="12" t="s">
        <v>900</v>
      </c>
      <c r="E130" s="12" t="s">
        <v>173</v>
      </c>
      <c r="F130" s="12" t="s">
        <v>903</v>
      </c>
      <c r="G130" s="12" t="s">
        <v>902</v>
      </c>
      <c r="H130" s="12" t="s">
        <v>1555</v>
      </c>
      <c r="I130" s="12" t="s">
        <v>184</v>
      </c>
      <c r="J130" s="12" t="s">
        <v>1557</v>
      </c>
      <c r="K130" s="12" t="s">
        <v>1363</v>
      </c>
      <c r="L130" s="12" t="s">
        <v>1558</v>
      </c>
      <c r="M130" s="12" t="s">
        <v>1497</v>
      </c>
      <c r="N130" s="12" t="s">
        <v>1269</v>
      </c>
      <c r="O130" s="12" t="s">
        <v>1263</v>
      </c>
      <c r="P130" s="12" t="s">
        <v>1264</v>
      </c>
      <c r="Q130" s="16" t="s">
        <v>201</v>
      </c>
      <c r="R130" s="16" t="s">
        <v>180</v>
      </c>
      <c r="S130" s="12" t="s">
        <v>119</v>
      </c>
      <c r="T130" s="12" t="s">
        <v>619</v>
      </c>
      <c r="U130" s="24" t="s">
        <v>180</v>
      </c>
    </row>
    <row r="131" spans="1:21">
      <c r="A131" s="14">
        <v>32</v>
      </c>
      <c r="B131" s="12" t="s">
        <v>904</v>
      </c>
      <c r="C131" s="12" t="s">
        <v>901</v>
      </c>
      <c r="D131" s="12" t="s">
        <v>900</v>
      </c>
      <c r="E131" s="12" t="s">
        <v>173</v>
      </c>
      <c r="F131" s="12" t="s">
        <v>903</v>
      </c>
      <c r="G131" s="12" t="s">
        <v>902</v>
      </c>
      <c r="H131" s="12" t="s">
        <v>1555</v>
      </c>
      <c r="I131" s="12" t="s">
        <v>184</v>
      </c>
      <c r="J131" s="12" t="s">
        <v>1559</v>
      </c>
      <c r="K131" s="12" t="s">
        <v>1363</v>
      </c>
      <c r="L131" s="12" t="s">
        <v>1560</v>
      </c>
      <c r="M131" s="12" t="s">
        <v>1272</v>
      </c>
      <c r="N131" s="12" t="s">
        <v>1272</v>
      </c>
      <c r="O131" s="12" t="s">
        <v>1263</v>
      </c>
      <c r="P131" s="12" t="s">
        <v>1264</v>
      </c>
      <c r="Q131" s="16" t="s">
        <v>201</v>
      </c>
      <c r="R131" s="16" t="s">
        <v>180</v>
      </c>
      <c r="S131" s="12" t="s">
        <v>119</v>
      </c>
      <c r="T131" s="12" t="s">
        <v>619</v>
      </c>
      <c r="U131" s="24" t="s">
        <v>180</v>
      </c>
    </row>
    <row r="132" spans="1:21">
      <c r="A132" s="14">
        <v>32</v>
      </c>
      <c r="B132" s="12" t="s">
        <v>1111</v>
      </c>
      <c r="C132" s="12" t="s">
        <v>1108</v>
      </c>
      <c r="D132" s="12" t="s">
        <v>1107</v>
      </c>
      <c r="E132" s="12" t="s">
        <v>378</v>
      </c>
      <c r="F132" s="12" t="s">
        <v>1110</v>
      </c>
      <c r="G132" s="12" t="s">
        <v>1109</v>
      </c>
      <c r="H132" s="12" t="s">
        <v>1305</v>
      </c>
      <c r="I132" s="12" t="s">
        <v>184</v>
      </c>
      <c r="J132" s="12" t="s">
        <v>1561</v>
      </c>
      <c r="K132" s="12" t="s">
        <v>1250</v>
      </c>
      <c r="L132" s="12" t="s">
        <v>1562</v>
      </c>
      <c r="M132" s="12" t="s">
        <v>1262</v>
      </c>
      <c r="N132" s="12" t="s">
        <v>1262</v>
      </c>
      <c r="O132" s="12" t="s">
        <v>1279</v>
      </c>
      <c r="P132" s="12" t="s">
        <v>1264</v>
      </c>
      <c r="Q132" s="16" t="s">
        <v>201</v>
      </c>
      <c r="R132" s="16" t="s">
        <v>180</v>
      </c>
      <c r="S132" s="12" t="s">
        <v>754</v>
      </c>
      <c r="T132" s="12" t="s">
        <v>619</v>
      </c>
      <c r="U132" s="24" t="s">
        <v>180</v>
      </c>
    </row>
    <row r="133" spans="1:21">
      <c r="A133" s="14">
        <v>32</v>
      </c>
      <c r="B133" s="12" t="s">
        <v>1111</v>
      </c>
      <c r="C133" s="12" t="s">
        <v>1108</v>
      </c>
      <c r="D133" s="12" t="s">
        <v>1107</v>
      </c>
      <c r="E133" s="12" t="s">
        <v>378</v>
      </c>
      <c r="F133" s="12" t="s">
        <v>1110</v>
      </c>
      <c r="G133" s="12" t="s">
        <v>1109</v>
      </c>
      <c r="H133" s="12" t="s">
        <v>1305</v>
      </c>
      <c r="I133" s="12" t="s">
        <v>184</v>
      </c>
      <c r="J133" s="12" t="s">
        <v>1563</v>
      </c>
      <c r="K133" s="12" t="s">
        <v>1250</v>
      </c>
      <c r="L133" s="12" t="s">
        <v>1490</v>
      </c>
      <c r="M133" s="12" t="s">
        <v>1283</v>
      </c>
      <c r="N133" s="12" t="s">
        <v>1283</v>
      </c>
      <c r="O133" s="12" t="s">
        <v>1288</v>
      </c>
      <c r="P133" s="12" t="s">
        <v>1280</v>
      </c>
      <c r="Q133" s="16" t="s">
        <v>201</v>
      </c>
      <c r="R133" s="16" t="s">
        <v>180</v>
      </c>
      <c r="S133" s="12" t="s">
        <v>754</v>
      </c>
      <c r="T133" s="12" t="s">
        <v>619</v>
      </c>
      <c r="U133" s="24" t="s">
        <v>180</v>
      </c>
    </row>
    <row r="134" spans="1:21">
      <c r="A134" s="14">
        <v>32</v>
      </c>
      <c r="B134" s="12" t="s">
        <v>1111</v>
      </c>
      <c r="C134" s="12" t="s">
        <v>1108</v>
      </c>
      <c r="D134" s="12" t="s">
        <v>1107</v>
      </c>
      <c r="E134" s="12" t="s">
        <v>378</v>
      </c>
      <c r="F134" s="12" t="s">
        <v>1110</v>
      </c>
      <c r="G134" s="12" t="s">
        <v>1109</v>
      </c>
      <c r="H134" s="12" t="s">
        <v>1305</v>
      </c>
      <c r="I134" s="12" t="s">
        <v>184</v>
      </c>
      <c r="J134" s="12" t="s">
        <v>1564</v>
      </c>
      <c r="K134" s="12" t="s">
        <v>1250</v>
      </c>
      <c r="L134" s="12" t="s">
        <v>1565</v>
      </c>
      <c r="M134" s="12" t="s">
        <v>1277</v>
      </c>
      <c r="N134" s="12" t="s">
        <v>1278</v>
      </c>
      <c r="O134" s="12" t="s">
        <v>1279</v>
      </c>
      <c r="P134" s="12" t="s">
        <v>1280</v>
      </c>
      <c r="Q134" s="16" t="s">
        <v>201</v>
      </c>
      <c r="R134" s="16" t="s">
        <v>180</v>
      </c>
      <c r="S134" s="12" t="s">
        <v>754</v>
      </c>
      <c r="T134" s="12" t="s">
        <v>619</v>
      </c>
      <c r="U134" s="24" t="s">
        <v>180</v>
      </c>
    </row>
    <row r="135" spans="1:21">
      <c r="A135" s="14">
        <v>32</v>
      </c>
      <c r="B135" s="12" t="s">
        <v>1014</v>
      </c>
      <c r="C135" s="12" t="s">
        <v>1009</v>
      </c>
      <c r="D135" s="12" t="s">
        <v>1008</v>
      </c>
      <c r="E135" s="12" t="s">
        <v>469</v>
      </c>
      <c r="F135" s="12" t="s">
        <v>1013</v>
      </c>
      <c r="G135" s="12" t="s">
        <v>1154</v>
      </c>
      <c r="H135" s="12" t="s">
        <v>1305</v>
      </c>
      <c r="I135" s="12" t="s">
        <v>1566</v>
      </c>
      <c r="J135" s="12" t="s">
        <v>1567</v>
      </c>
      <c r="K135" s="12" t="s">
        <v>1568</v>
      </c>
      <c r="L135" s="12" t="s">
        <v>1568</v>
      </c>
      <c r="M135" s="12" t="s">
        <v>1311</v>
      </c>
      <c r="N135" s="12" t="s">
        <v>1569</v>
      </c>
      <c r="O135" s="12" t="s">
        <v>1488</v>
      </c>
      <c r="P135" s="12" t="s">
        <v>1489</v>
      </c>
      <c r="Q135" s="16" t="s">
        <v>201</v>
      </c>
      <c r="R135" s="16" t="s">
        <v>180</v>
      </c>
      <c r="S135" s="12" t="s">
        <v>754</v>
      </c>
      <c r="T135" s="12" t="s">
        <v>586</v>
      </c>
      <c r="U135" s="24" t="s">
        <v>180</v>
      </c>
    </row>
    <row r="136" spans="1:21">
      <c r="A136" s="14">
        <v>32</v>
      </c>
      <c r="B136" s="12" t="s">
        <v>1014</v>
      </c>
      <c r="C136" s="12" t="s">
        <v>1009</v>
      </c>
      <c r="D136" s="12" t="s">
        <v>1008</v>
      </c>
      <c r="E136" s="12" t="s">
        <v>469</v>
      </c>
      <c r="F136" s="12" t="s">
        <v>1013</v>
      </c>
      <c r="G136" s="12" t="s">
        <v>1154</v>
      </c>
      <c r="H136" s="12" t="s">
        <v>1305</v>
      </c>
      <c r="I136" s="12" t="s">
        <v>1566</v>
      </c>
      <c r="J136" s="12" t="s">
        <v>1570</v>
      </c>
      <c r="K136" s="12" t="s">
        <v>1568</v>
      </c>
      <c r="L136" s="12" t="s">
        <v>1571</v>
      </c>
      <c r="M136" s="12" t="s">
        <v>1572</v>
      </c>
      <c r="N136" s="12" t="s">
        <v>1569</v>
      </c>
      <c r="O136" s="12" t="s">
        <v>1488</v>
      </c>
      <c r="P136" s="12" t="s">
        <v>1489</v>
      </c>
      <c r="Q136" s="16" t="s">
        <v>201</v>
      </c>
      <c r="R136" s="16" t="s">
        <v>180</v>
      </c>
      <c r="S136" s="12" t="s">
        <v>754</v>
      </c>
      <c r="T136" s="12" t="s">
        <v>586</v>
      </c>
      <c r="U136" s="24" t="s">
        <v>180</v>
      </c>
    </row>
    <row r="137" spans="1:21">
      <c r="A137" s="14">
        <v>33</v>
      </c>
      <c r="B137" s="12" t="s">
        <v>1014</v>
      </c>
      <c r="C137" s="12" t="s">
        <v>1009</v>
      </c>
      <c r="D137" s="12" t="s">
        <v>1008</v>
      </c>
      <c r="E137" s="12" t="s">
        <v>469</v>
      </c>
      <c r="F137" s="12" t="s">
        <v>1013</v>
      </c>
      <c r="G137" s="12" t="s">
        <v>1154</v>
      </c>
      <c r="H137" s="12" t="s">
        <v>1305</v>
      </c>
      <c r="I137" s="12" t="s">
        <v>235</v>
      </c>
      <c r="J137" s="12" t="s">
        <v>1573</v>
      </c>
      <c r="K137" s="12" t="s">
        <v>1574</v>
      </c>
      <c r="L137" s="12" t="s">
        <v>1575</v>
      </c>
      <c r="M137" s="12" t="s">
        <v>1283</v>
      </c>
      <c r="N137" s="12" t="s">
        <v>1283</v>
      </c>
      <c r="O137" s="12" t="s">
        <v>1288</v>
      </c>
      <c r="P137" s="12" t="s">
        <v>1280</v>
      </c>
      <c r="Q137" s="16" t="s">
        <v>201</v>
      </c>
      <c r="R137" s="16" t="s">
        <v>180</v>
      </c>
      <c r="S137" s="12" t="s">
        <v>754</v>
      </c>
      <c r="T137" s="12" t="s">
        <v>586</v>
      </c>
      <c r="U137" s="24" t="s">
        <v>180</v>
      </c>
    </row>
    <row r="138" spans="1:21">
      <c r="A138" s="14">
        <v>33</v>
      </c>
      <c r="B138" s="12" t="s">
        <v>1014</v>
      </c>
      <c r="C138" s="12" t="s">
        <v>1009</v>
      </c>
      <c r="D138" s="12" t="s">
        <v>1008</v>
      </c>
      <c r="E138" s="12" t="s">
        <v>469</v>
      </c>
      <c r="F138" s="12" t="s">
        <v>1013</v>
      </c>
      <c r="G138" s="12" t="s">
        <v>1154</v>
      </c>
      <c r="H138" s="12" t="s">
        <v>1305</v>
      </c>
      <c r="I138" s="12" t="s">
        <v>235</v>
      </c>
      <c r="J138" s="12" t="s">
        <v>1576</v>
      </c>
      <c r="K138" s="12" t="s">
        <v>1574</v>
      </c>
      <c r="L138" s="12" t="s">
        <v>1577</v>
      </c>
      <c r="M138" s="12" t="s">
        <v>1278</v>
      </c>
      <c r="N138" s="12" t="s">
        <v>1278</v>
      </c>
      <c r="O138" s="12" t="s">
        <v>1279</v>
      </c>
      <c r="P138" s="12" t="s">
        <v>1280</v>
      </c>
      <c r="Q138" s="16" t="s">
        <v>201</v>
      </c>
      <c r="R138" s="16" t="s">
        <v>180</v>
      </c>
      <c r="S138" s="12" t="s">
        <v>754</v>
      </c>
      <c r="T138" s="12" t="s">
        <v>586</v>
      </c>
      <c r="U138" s="24" t="s">
        <v>180</v>
      </c>
    </row>
    <row r="139" spans="1:21">
      <c r="A139" s="14">
        <v>33</v>
      </c>
      <c r="B139" s="12" t="s">
        <v>1014</v>
      </c>
      <c r="C139" s="12" t="s">
        <v>1009</v>
      </c>
      <c r="D139" s="12" t="s">
        <v>1008</v>
      </c>
      <c r="E139" s="12" t="s">
        <v>469</v>
      </c>
      <c r="F139" s="12" t="s">
        <v>1013</v>
      </c>
      <c r="G139" s="12" t="s">
        <v>1154</v>
      </c>
      <c r="H139" s="12" t="s">
        <v>1305</v>
      </c>
      <c r="I139" s="12" t="s">
        <v>235</v>
      </c>
      <c r="J139" s="12" t="s">
        <v>1578</v>
      </c>
      <c r="K139" s="12" t="s">
        <v>1574</v>
      </c>
      <c r="L139" s="12" t="s">
        <v>1579</v>
      </c>
      <c r="M139" s="12" t="s">
        <v>1262</v>
      </c>
      <c r="N139" s="12" t="s">
        <v>1262</v>
      </c>
      <c r="O139" s="12" t="s">
        <v>1263</v>
      </c>
      <c r="P139" s="12" t="s">
        <v>1264</v>
      </c>
      <c r="Q139" s="16" t="s">
        <v>201</v>
      </c>
      <c r="R139" s="16" t="s">
        <v>180</v>
      </c>
      <c r="S139" s="12" t="s">
        <v>754</v>
      </c>
      <c r="T139" s="12" t="s">
        <v>586</v>
      </c>
      <c r="U139" s="24" t="s">
        <v>180</v>
      </c>
    </row>
    <row r="140" spans="1:21">
      <c r="A140" s="14">
        <v>33</v>
      </c>
      <c r="B140" s="12" t="s">
        <v>1014</v>
      </c>
      <c r="C140" s="12" t="s">
        <v>1009</v>
      </c>
      <c r="D140" s="12" t="s">
        <v>1008</v>
      </c>
      <c r="E140" s="12" t="s">
        <v>469</v>
      </c>
      <c r="F140" s="12" t="s">
        <v>1013</v>
      </c>
      <c r="G140" s="12" t="s">
        <v>1154</v>
      </c>
      <c r="H140" s="12" t="s">
        <v>1305</v>
      </c>
      <c r="I140" s="12" t="s">
        <v>235</v>
      </c>
      <c r="J140" s="12" t="s">
        <v>1580</v>
      </c>
      <c r="K140" s="12" t="s">
        <v>1574</v>
      </c>
      <c r="L140" s="12" t="s">
        <v>1581</v>
      </c>
      <c r="M140" s="12" t="s">
        <v>1272</v>
      </c>
      <c r="N140" s="12" t="s">
        <v>1272</v>
      </c>
      <c r="O140" s="12" t="s">
        <v>1263</v>
      </c>
      <c r="P140" s="12" t="s">
        <v>1264</v>
      </c>
      <c r="Q140" s="16" t="s">
        <v>201</v>
      </c>
      <c r="R140" s="16" t="s">
        <v>180</v>
      </c>
      <c r="S140" s="12" t="s">
        <v>754</v>
      </c>
      <c r="T140" s="12" t="s">
        <v>586</v>
      </c>
      <c r="U140" s="24" t="s">
        <v>180</v>
      </c>
    </row>
    <row r="141" spans="1:21">
      <c r="A141" s="14">
        <v>33</v>
      </c>
      <c r="B141" s="12" t="s">
        <v>1014</v>
      </c>
      <c r="C141" s="12" t="s">
        <v>1009</v>
      </c>
      <c r="D141" s="12" t="s">
        <v>1008</v>
      </c>
      <c r="E141" s="12" t="s">
        <v>469</v>
      </c>
      <c r="F141" s="12" t="s">
        <v>1013</v>
      </c>
      <c r="G141" s="12" t="s">
        <v>1154</v>
      </c>
      <c r="H141" s="12" t="s">
        <v>1305</v>
      </c>
      <c r="I141" s="12" t="s">
        <v>235</v>
      </c>
      <c r="J141" s="12" t="s">
        <v>1582</v>
      </c>
      <c r="K141" s="12" t="s">
        <v>1574</v>
      </c>
      <c r="L141" s="12" t="s">
        <v>1568</v>
      </c>
      <c r="M141" s="12" t="s">
        <v>1311</v>
      </c>
      <c r="N141" s="12" t="s">
        <v>1283</v>
      </c>
      <c r="O141" s="12" t="s">
        <v>1288</v>
      </c>
      <c r="P141" s="12" t="s">
        <v>1280</v>
      </c>
      <c r="Q141" s="16" t="s">
        <v>201</v>
      </c>
      <c r="R141" s="16" t="s">
        <v>180</v>
      </c>
      <c r="S141" s="12" t="s">
        <v>754</v>
      </c>
      <c r="T141" s="12" t="s">
        <v>586</v>
      </c>
      <c r="U141" s="24" t="s">
        <v>180</v>
      </c>
    </row>
    <row r="142" spans="1:21">
      <c r="A142" s="14">
        <v>33</v>
      </c>
      <c r="B142" s="12" t="s">
        <v>911</v>
      </c>
      <c r="C142" s="12" t="s">
        <v>908</v>
      </c>
      <c r="D142" s="12" t="s">
        <v>907</v>
      </c>
      <c r="E142" s="12" t="s">
        <v>469</v>
      </c>
      <c r="F142" s="12" t="s">
        <v>910</v>
      </c>
      <c r="G142" s="12" t="s">
        <v>909</v>
      </c>
      <c r="H142" s="12" t="s">
        <v>1305</v>
      </c>
      <c r="I142" s="12" t="s">
        <v>184</v>
      </c>
      <c r="J142" s="12" t="s">
        <v>1583</v>
      </c>
      <c r="K142" s="12" t="s">
        <v>1430</v>
      </c>
      <c r="L142" s="12" t="s">
        <v>1584</v>
      </c>
      <c r="M142" s="12" t="s">
        <v>1309</v>
      </c>
      <c r="N142" s="12" t="s">
        <v>1309</v>
      </c>
      <c r="O142" s="12" t="s">
        <v>1279</v>
      </c>
      <c r="P142" s="12" t="s">
        <v>1264</v>
      </c>
      <c r="Q142" s="16" t="s">
        <v>201</v>
      </c>
      <c r="R142" s="16" t="s">
        <v>180</v>
      </c>
      <c r="S142" s="12" t="s">
        <v>119</v>
      </c>
      <c r="T142" s="12" t="s">
        <v>619</v>
      </c>
      <c r="U142" s="24" t="s">
        <v>180</v>
      </c>
    </row>
    <row r="143" spans="1:21">
      <c r="A143" s="14">
        <v>33</v>
      </c>
      <c r="B143" s="12" t="s">
        <v>911</v>
      </c>
      <c r="C143" s="12" t="s">
        <v>908</v>
      </c>
      <c r="D143" s="12" t="s">
        <v>907</v>
      </c>
      <c r="E143" s="12" t="s">
        <v>469</v>
      </c>
      <c r="F143" s="12" t="s">
        <v>910</v>
      </c>
      <c r="G143" s="12" t="s">
        <v>909</v>
      </c>
      <c r="H143" s="12" t="s">
        <v>1305</v>
      </c>
      <c r="I143" s="12" t="s">
        <v>184</v>
      </c>
      <c r="J143" s="12" t="s">
        <v>1585</v>
      </c>
      <c r="K143" s="12" t="s">
        <v>1430</v>
      </c>
      <c r="L143" s="12" t="s">
        <v>1586</v>
      </c>
      <c r="M143" s="12" t="s">
        <v>1278</v>
      </c>
      <c r="N143" s="12" t="s">
        <v>1309</v>
      </c>
      <c r="O143" s="12" t="s">
        <v>1279</v>
      </c>
      <c r="P143" s="12" t="s">
        <v>1264</v>
      </c>
      <c r="Q143" s="16" t="s">
        <v>201</v>
      </c>
      <c r="R143" s="16" t="s">
        <v>180</v>
      </c>
      <c r="S143" s="12" t="s">
        <v>119</v>
      </c>
      <c r="T143" s="12" t="s">
        <v>619</v>
      </c>
      <c r="U143" s="24" t="s">
        <v>180</v>
      </c>
    </row>
    <row r="144" spans="1:21">
      <c r="A144" s="14">
        <v>33</v>
      </c>
      <c r="B144" s="12" t="s">
        <v>918</v>
      </c>
      <c r="C144" s="12" t="s">
        <v>915</v>
      </c>
      <c r="D144" s="12" t="s">
        <v>914</v>
      </c>
      <c r="E144" s="12" t="s">
        <v>217</v>
      </c>
      <c r="F144" s="12" t="s">
        <v>917</v>
      </c>
      <c r="G144" s="12" t="s">
        <v>916</v>
      </c>
      <c r="H144" s="12" t="s">
        <v>1587</v>
      </c>
      <c r="I144" s="12" t="s">
        <v>210</v>
      </c>
      <c r="J144" s="12" t="s">
        <v>919</v>
      </c>
      <c r="K144" s="12" t="s">
        <v>1409</v>
      </c>
      <c r="L144" s="12" t="s">
        <v>1588</v>
      </c>
      <c r="M144" s="12" t="s">
        <v>1278</v>
      </c>
      <c r="N144" s="12" t="s">
        <v>1332</v>
      </c>
      <c r="O144" s="12" t="s">
        <v>1263</v>
      </c>
      <c r="P144" s="12" t="s">
        <v>1280</v>
      </c>
      <c r="Q144" s="16" t="s">
        <v>201</v>
      </c>
      <c r="R144" s="16" t="s">
        <v>180</v>
      </c>
      <c r="S144" s="12" t="s">
        <v>119</v>
      </c>
      <c r="T144" s="12" t="s">
        <v>619</v>
      </c>
      <c r="U144" s="24" t="s">
        <v>180</v>
      </c>
    </row>
    <row r="145" spans="1:21">
      <c r="A145" s="14">
        <v>34</v>
      </c>
      <c r="B145" s="12" t="s">
        <v>661</v>
      </c>
      <c r="C145" s="12" t="s">
        <v>656</v>
      </c>
      <c r="D145" s="12" t="s">
        <v>655</v>
      </c>
      <c r="E145" s="12" t="s">
        <v>378</v>
      </c>
      <c r="F145" s="12" t="s">
        <v>660</v>
      </c>
      <c r="G145" s="12" t="s">
        <v>659</v>
      </c>
      <c r="H145" s="12" t="s">
        <v>1319</v>
      </c>
      <c r="I145" s="12" t="s">
        <v>184</v>
      </c>
      <c r="J145" s="12" t="s">
        <v>662</v>
      </c>
      <c r="K145" s="12" t="s">
        <v>1260</v>
      </c>
      <c r="L145" s="12" t="s">
        <v>1437</v>
      </c>
      <c r="M145" s="12" t="s">
        <v>1260</v>
      </c>
      <c r="N145" s="12" t="s">
        <v>1309</v>
      </c>
      <c r="O145" s="12" t="s">
        <v>1263</v>
      </c>
      <c r="P145" s="12" t="s">
        <v>1280</v>
      </c>
      <c r="Q145" s="16" t="s">
        <v>1265</v>
      </c>
      <c r="R145" s="16" t="s">
        <v>180</v>
      </c>
      <c r="S145" s="12" t="s">
        <v>104</v>
      </c>
      <c r="T145" s="12" t="s">
        <v>105</v>
      </c>
      <c r="U145" s="24" t="s">
        <v>180</v>
      </c>
    </row>
    <row r="146" spans="1:21">
      <c r="A146" s="14">
        <v>34</v>
      </c>
      <c r="B146" s="12" t="s">
        <v>373</v>
      </c>
      <c r="C146" s="12" t="s">
        <v>368</v>
      </c>
      <c r="D146" s="12" t="s">
        <v>122</v>
      </c>
      <c r="E146" s="12" t="s">
        <v>292</v>
      </c>
      <c r="F146" s="12" t="s">
        <v>372</v>
      </c>
      <c r="G146" s="12" t="s">
        <v>371</v>
      </c>
      <c r="H146" s="12" t="s">
        <v>1551</v>
      </c>
      <c r="I146" s="12" t="s">
        <v>184</v>
      </c>
      <c r="J146" s="12" t="s">
        <v>374</v>
      </c>
      <c r="K146" s="12" t="s">
        <v>1589</v>
      </c>
      <c r="L146" s="12" t="s">
        <v>1590</v>
      </c>
      <c r="M146" s="12" t="s">
        <v>1591</v>
      </c>
      <c r="N146" s="12" t="s">
        <v>1591</v>
      </c>
      <c r="O146" s="12" t="s">
        <v>1592</v>
      </c>
      <c r="P146" s="12" t="s">
        <v>1258</v>
      </c>
      <c r="Q146" s="16" t="s">
        <v>201</v>
      </c>
      <c r="R146" s="16" t="s">
        <v>180</v>
      </c>
      <c r="S146" s="12" t="s">
        <v>93</v>
      </c>
      <c r="T146" s="12" t="s">
        <v>90</v>
      </c>
      <c r="U146" s="13" t="s">
        <v>174</v>
      </c>
    </row>
    <row r="147" spans="1:21">
      <c r="A147" s="14">
        <v>34</v>
      </c>
      <c r="B147" s="12" t="s">
        <v>281</v>
      </c>
      <c r="C147" s="12" t="s">
        <v>270</v>
      </c>
      <c r="D147" s="12" t="s">
        <v>107</v>
      </c>
      <c r="E147" s="12" t="s">
        <v>199</v>
      </c>
      <c r="F147" s="12" t="s">
        <v>280</v>
      </c>
      <c r="G147" s="12" t="s">
        <v>279</v>
      </c>
      <c r="H147" s="12" t="s">
        <v>1593</v>
      </c>
      <c r="I147" s="12" t="s">
        <v>210</v>
      </c>
      <c r="J147" s="12" t="s">
        <v>282</v>
      </c>
      <c r="K147" s="12" t="s">
        <v>1285</v>
      </c>
      <c r="L147" s="12" t="s">
        <v>1594</v>
      </c>
      <c r="M147" s="12" t="s">
        <v>1278</v>
      </c>
      <c r="N147" s="12" t="s">
        <v>1278</v>
      </c>
      <c r="O147" s="12" t="s">
        <v>1595</v>
      </c>
      <c r="P147" s="12" t="s">
        <v>1154</v>
      </c>
      <c r="Q147" s="16" t="s">
        <v>201</v>
      </c>
      <c r="R147" s="16" t="s">
        <v>180</v>
      </c>
      <c r="S147" s="12" t="s">
        <v>93</v>
      </c>
      <c r="T147" s="12" t="s">
        <v>90</v>
      </c>
      <c r="U147" s="13" t="s">
        <v>174</v>
      </c>
    </row>
    <row r="148" spans="1:21">
      <c r="A148" s="14">
        <v>35</v>
      </c>
      <c r="B148" s="12" t="s">
        <v>1022</v>
      </c>
      <c r="C148" s="12" t="s">
        <v>1019</v>
      </c>
      <c r="D148" s="12" t="s">
        <v>1018</v>
      </c>
      <c r="E148" s="12" t="s">
        <v>173</v>
      </c>
      <c r="F148" s="12" t="s">
        <v>848</v>
      </c>
      <c r="G148" s="12" t="s">
        <v>1020</v>
      </c>
      <c r="H148" s="12" t="s">
        <v>1266</v>
      </c>
      <c r="I148" s="12" t="s">
        <v>1021</v>
      </c>
      <c r="J148" s="12" t="s">
        <v>1596</v>
      </c>
      <c r="K148" s="12" t="s">
        <v>1250</v>
      </c>
      <c r="L148" s="12" t="s">
        <v>1490</v>
      </c>
      <c r="M148" s="12" t="s">
        <v>1283</v>
      </c>
      <c r="N148" s="12" t="s">
        <v>1283</v>
      </c>
      <c r="O148" s="12" t="s">
        <v>1288</v>
      </c>
      <c r="P148" s="12" t="s">
        <v>1280</v>
      </c>
      <c r="Q148" s="16" t="s">
        <v>201</v>
      </c>
      <c r="R148" s="16" t="s">
        <v>180</v>
      </c>
      <c r="S148" s="12" t="s">
        <v>754</v>
      </c>
      <c r="T148" s="12" t="s">
        <v>619</v>
      </c>
      <c r="U148" s="24" t="s">
        <v>180</v>
      </c>
    </row>
    <row r="149" spans="1:21">
      <c r="A149" s="14">
        <v>35</v>
      </c>
      <c r="B149" s="12" t="s">
        <v>1022</v>
      </c>
      <c r="C149" s="12" t="s">
        <v>1019</v>
      </c>
      <c r="D149" s="12" t="s">
        <v>1018</v>
      </c>
      <c r="E149" s="12" t="s">
        <v>173</v>
      </c>
      <c r="F149" s="12" t="s">
        <v>848</v>
      </c>
      <c r="G149" s="12" t="s">
        <v>1020</v>
      </c>
      <c r="H149" s="12" t="s">
        <v>1266</v>
      </c>
      <c r="I149" s="12" t="s">
        <v>1021</v>
      </c>
      <c r="J149" s="12" t="s">
        <v>1597</v>
      </c>
      <c r="K149" s="12" t="s">
        <v>1250</v>
      </c>
      <c r="L149" s="12" t="s">
        <v>1565</v>
      </c>
      <c r="M149" s="12" t="s">
        <v>1277</v>
      </c>
      <c r="N149" s="12" t="s">
        <v>1278</v>
      </c>
      <c r="O149" s="12" t="s">
        <v>1279</v>
      </c>
      <c r="P149" s="12" t="s">
        <v>1280</v>
      </c>
      <c r="Q149" s="16" t="s">
        <v>201</v>
      </c>
      <c r="R149" s="16" t="s">
        <v>180</v>
      </c>
      <c r="S149" s="12" t="s">
        <v>754</v>
      </c>
      <c r="T149" s="12" t="s">
        <v>619</v>
      </c>
      <c r="U149" s="24" t="s">
        <v>180</v>
      </c>
    </row>
    <row r="150" spans="1:21">
      <c r="A150" s="14">
        <v>35</v>
      </c>
      <c r="B150" s="12" t="s">
        <v>1022</v>
      </c>
      <c r="C150" s="12" t="s">
        <v>1019</v>
      </c>
      <c r="D150" s="12" t="s">
        <v>1018</v>
      </c>
      <c r="E150" s="12" t="s">
        <v>173</v>
      </c>
      <c r="F150" s="12" t="s">
        <v>848</v>
      </c>
      <c r="G150" s="12" t="s">
        <v>1020</v>
      </c>
      <c r="H150" s="12" t="s">
        <v>1266</v>
      </c>
      <c r="I150" s="12" t="s">
        <v>1021</v>
      </c>
      <c r="J150" s="12" t="s">
        <v>1598</v>
      </c>
      <c r="K150" s="12" t="s">
        <v>1250</v>
      </c>
      <c r="L150" s="12" t="s">
        <v>1599</v>
      </c>
      <c r="M150" s="12" t="s">
        <v>1309</v>
      </c>
      <c r="N150" s="12" t="s">
        <v>1309</v>
      </c>
      <c r="O150" s="12" t="s">
        <v>1279</v>
      </c>
      <c r="P150" s="12" t="s">
        <v>1264</v>
      </c>
      <c r="Q150" s="16" t="s">
        <v>201</v>
      </c>
      <c r="R150" s="16" t="s">
        <v>180</v>
      </c>
      <c r="S150" s="12" t="s">
        <v>754</v>
      </c>
      <c r="T150" s="12" t="s">
        <v>619</v>
      </c>
      <c r="U150" s="24" t="s">
        <v>180</v>
      </c>
    </row>
    <row r="151" spans="1:21">
      <c r="A151" s="14">
        <v>35</v>
      </c>
      <c r="B151" s="12" t="s">
        <v>1022</v>
      </c>
      <c r="C151" s="12" t="s">
        <v>1019</v>
      </c>
      <c r="D151" s="12" t="s">
        <v>1018</v>
      </c>
      <c r="E151" s="12" t="s">
        <v>173</v>
      </c>
      <c r="F151" s="12" t="s">
        <v>848</v>
      </c>
      <c r="G151" s="12" t="s">
        <v>1020</v>
      </c>
      <c r="H151" s="12" t="s">
        <v>1266</v>
      </c>
      <c r="I151" s="12" t="s">
        <v>1021</v>
      </c>
      <c r="J151" s="12" t="s">
        <v>1600</v>
      </c>
      <c r="K151" s="12" t="s">
        <v>1250</v>
      </c>
      <c r="L151" s="12" t="s">
        <v>1601</v>
      </c>
      <c r="M151" s="12" t="s">
        <v>1272</v>
      </c>
      <c r="N151" s="12" t="s">
        <v>1272</v>
      </c>
      <c r="O151" s="12" t="s">
        <v>1263</v>
      </c>
      <c r="P151" s="12" t="s">
        <v>1264</v>
      </c>
      <c r="Q151" s="16" t="s">
        <v>201</v>
      </c>
      <c r="R151" s="16" t="s">
        <v>180</v>
      </c>
      <c r="S151" s="12" t="s">
        <v>754</v>
      </c>
      <c r="T151" s="12" t="s">
        <v>619</v>
      </c>
      <c r="U151" s="24" t="s">
        <v>180</v>
      </c>
    </row>
    <row r="152" spans="1:21">
      <c r="A152" s="14">
        <v>35</v>
      </c>
      <c r="B152" s="12" t="s">
        <v>1022</v>
      </c>
      <c r="C152" s="12" t="s">
        <v>1019</v>
      </c>
      <c r="D152" s="12" t="s">
        <v>1018</v>
      </c>
      <c r="E152" s="12" t="s">
        <v>173</v>
      </c>
      <c r="F152" s="12" t="s">
        <v>848</v>
      </c>
      <c r="G152" s="12" t="s">
        <v>1020</v>
      </c>
      <c r="H152" s="12" t="s">
        <v>1266</v>
      </c>
      <c r="I152" s="12" t="s">
        <v>1021</v>
      </c>
      <c r="J152" s="12" t="s">
        <v>1602</v>
      </c>
      <c r="K152" s="12" t="s">
        <v>1250</v>
      </c>
      <c r="L152" s="12" t="s">
        <v>1251</v>
      </c>
      <c r="M152" s="12" t="s">
        <v>1252</v>
      </c>
      <c r="N152" s="12" t="s">
        <v>1252</v>
      </c>
      <c r="O152" s="12" t="s">
        <v>1263</v>
      </c>
      <c r="P152" s="12" t="s">
        <v>1264</v>
      </c>
      <c r="Q152" s="16" t="s">
        <v>201</v>
      </c>
      <c r="R152" s="16" t="s">
        <v>180</v>
      </c>
      <c r="S152" s="12" t="s">
        <v>754</v>
      </c>
      <c r="T152" s="12" t="s">
        <v>619</v>
      </c>
      <c r="U152" s="24" t="s">
        <v>180</v>
      </c>
    </row>
    <row r="153" spans="1:21">
      <c r="A153" s="14">
        <v>35</v>
      </c>
      <c r="B153" s="12" t="s">
        <v>531</v>
      </c>
      <c r="C153" s="12" t="s">
        <v>528</v>
      </c>
      <c r="D153" s="12" t="s">
        <v>527</v>
      </c>
      <c r="E153" s="12" t="s">
        <v>292</v>
      </c>
      <c r="F153" s="12" t="s">
        <v>530</v>
      </c>
      <c r="G153" s="12" t="s">
        <v>529</v>
      </c>
      <c r="H153" s="12" t="s">
        <v>1319</v>
      </c>
      <c r="I153" s="12" t="s">
        <v>184</v>
      </c>
      <c r="J153" s="12" t="s">
        <v>532</v>
      </c>
      <c r="K153" s="12" t="s">
        <v>1260</v>
      </c>
      <c r="L153" s="12" t="s">
        <v>1261</v>
      </c>
      <c r="M153" s="12" t="s">
        <v>1260</v>
      </c>
      <c r="N153" s="12" t="s">
        <v>1262</v>
      </c>
      <c r="O153" s="12" t="s">
        <v>1279</v>
      </c>
      <c r="P153" s="12" t="s">
        <v>1264</v>
      </c>
      <c r="Q153" s="16" t="s">
        <v>1265</v>
      </c>
      <c r="R153" s="16" t="s">
        <v>180</v>
      </c>
      <c r="S153" s="12" t="s">
        <v>104</v>
      </c>
      <c r="T153" s="12" t="s">
        <v>105</v>
      </c>
      <c r="U153" s="24" t="s">
        <v>180</v>
      </c>
    </row>
    <row r="154" spans="1:21">
      <c r="A154" s="14">
        <v>36</v>
      </c>
      <c r="B154" s="12" t="s">
        <v>924</v>
      </c>
      <c r="C154" s="12" t="s">
        <v>921</v>
      </c>
      <c r="D154" s="12" t="s">
        <v>920</v>
      </c>
      <c r="E154" s="12" t="s">
        <v>378</v>
      </c>
      <c r="F154" s="12" t="s">
        <v>923</v>
      </c>
      <c r="G154" s="12" t="s">
        <v>922</v>
      </c>
      <c r="H154" s="12" t="s">
        <v>1305</v>
      </c>
      <c r="I154" s="12" t="s">
        <v>184</v>
      </c>
      <c r="J154" s="12" t="s">
        <v>1603</v>
      </c>
      <c r="K154" s="12" t="s">
        <v>1604</v>
      </c>
      <c r="L154" s="12" t="s">
        <v>1605</v>
      </c>
      <c r="M154" s="12" t="s">
        <v>1262</v>
      </c>
      <c r="N154" s="12" t="s">
        <v>1262</v>
      </c>
      <c r="O154" s="12" t="s">
        <v>1279</v>
      </c>
      <c r="P154" s="12" t="s">
        <v>1264</v>
      </c>
      <c r="Q154" s="16" t="s">
        <v>201</v>
      </c>
      <c r="R154" s="16" t="s">
        <v>180</v>
      </c>
      <c r="S154" s="12" t="s">
        <v>119</v>
      </c>
      <c r="T154" s="12" t="s">
        <v>619</v>
      </c>
      <c r="U154" s="24" t="s">
        <v>180</v>
      </c>
    </row>
    <row r="155" spans="1:21">
      <c r="A155" s="14">
        <v>36</v>
      </c>
      <c r="B155" s="12" t="s">
        <v>924</v>
      </c>
      <c r="C155" s="12" t="s">
        <v>921</v>
      </c>
      <c r="D155" s="12" t="s">
        <v>920</v>
      </c>
      <c r="E155" s="12" t="s">
        <v>378</v>
      </c>
      <c r="F155" s="12" t="s">
        <v>923</v>
      </c>
      <c r="G155" s="12" t="s">
        <v>922</v>
      </c>
      <c r="H155" s="12" t="s">
        <v>1305</v>
      </c>
      <c r="I155" s="12" t="s">
        <v>184</v>
      </c>
      <c r="J155" s="12" t="s">
        <v>1606</v>
      </c>
      <c r="K155" s="12" t="s">
        <v>1604</v>
      </c>
      <c r="L155" s="12" t="s">
        <v>1607</v>
      </c>
      <c r="M155" s="12" t="s">
        <v>1278</v>
      </c>
      <c r="N155" s="12" t="s">
        <v>1278</v>
      </c>
      <c r="O155" s="12" t="s">
        <v>1288</v>
      </c>
      <c r="P155" s="12" t="s">
        <v>1280</v>
      </c>
      <c r="Q155" s="16" t="s">
        <v>201</v>
      </c>
      <c r="R155" s="16" t="s">
        <v>180</v>
      </c>
      <c r="S155" s="12" t="s">
        <v>119</v>
      </c>
      <c r="T155" s="12" t="s">
        <v>619</v>
      </c>
      <c r="U155" s="24" t="s">
        <v>180</v>
      </c>
    </row>
    <row r="156" spans="1:21">
      <c r="A156" s="14">
        <v>36</v>
      </c>
      <c r="B156" s="12" t="s">
        <v>924</v>
      </c>
      <c r="C156" s="12" t="s">
        <v>921</v>
      </c>
      <c r="D156" s="12" t="s">
        <v>920</v>
      </c>
      <c r="E156" s="12" t="s">
        <v>378</v>
      </c>
      <c r="F156" s="12" t="s">
        <v>923</v>
      </c>
      <c r="G156" s="12" t="s">
        <v>922</v>
      </c>
      <c r="H156" s="12" t="s">
        <v>1305</v>
      </c>
      <c r="I156" s="12" t="s">
        <v>184</v>
      </c>
      <c r="J156" s="12" t="s">
        <v>1608</v>
      </c>
      <c r="K156" s="12" t="s">
        <v>1604</v>
      </c>
      <c r="L156" s="12" t="s">
        <v>1609</v>
      </c>
      <c r="M156" s="12" t="s">
        <v>1283</v>
      </c>
      <c r="N156" s="12" t="s">
        <v>1283</v>
      </c>
      <c r="O156" s="12" t="s">
        <v>1288</v>
      </c>
      <c r="P156" s="12" t="s">
        <v>1280</v>
      </c>
      <c r="Q156" s="16" t="s">
        <v>201</v>
      </c>
      <c r="R156" s="16" t="s">
        <v>180</v>
      </c>
      <c r="S156" s="12" t="s">
        <v>119</v>
      </c>
      <c r="T156" s="12" t="s">
        <v>619</v>
      </c>
      <c r="U156" s="24" t="s">
        <v>180</v>
      </c>
    </row>
    <row r="157" spans="1:21">
      <c r="A157" s="14">
        <v>36</v>
      </c>
      <c r="B157" s="12" t="s">
        <v>924</v>
      </c>
      <c r="C157" s="12" t="s">
        <v>921</v>
      </c>
      <c r="D157" s="12" t="s">
        <v>920</v>
      </c>
      <c r="E157" s="12" t="s">
        <v>378</v>
      </c>
      <c r="F157" s="12" t="s">
        <v>923</v>
      </c>
      <c r="G157" s="12" t="s">
        <v>922</v>
      </c>
      <c r="H157" s="12" t="s">
        <v>1305</v>
      </c>
      <c r="I157" s="12" t="s">
        <v>184</v>
      </c>
      <c r="J157" s="12" t="s">
        <v>1610</v>
      </c>
      <c r="K157" s="12" t="s">
        <v>1604</v>
      </c>
      <c r="L157" s="12" t="s">
        <v>1604</v>
      </c>
      <c r="M157" s="12" t="s">
        <v>1311</v>
      </c>
      <c r="N157" s="12" t="s">
        <v>1283</v>
      </c>
      <c r="O157" s="12" t="s">
        <v>1288</v>
      </c>
      <c r="P157" s="12" t="s">
        <v>1280</v>
      </c>
      <c r="Q157" s="16" t="s">
        <v>201</v>
      </c>
      <c r="R157" s="16" t="s">
        <v>180</v>
      </c>
      <c r="S157" s="12" t="s">
        <v>119</v>
      </c>
      <c r="T157" s="12" t="s">
        <v>619</v>
      </c>
      <c r="U157" s="24" t="s">
        <v>180</v>
      </c>
    </row>
    <row r="158" spans="1:21">
      <c r="A158" s="14">
        <v>36</v>
      </c>
      <c r="B158" s="12" t="s">
        <v>1121</v>
      </c>
      <c r="C158" s="12" t="s">
        <v>1114</v>
      </c>
      <c r="D158" s="12" t="s">
        <v>1113</v>
      </c>
      <c r="E158" s="12" t="s">
        <v>378</v>
      </c>
      <c r="F158" s="12" t="s">
        <v>1120</v>
      </c>
      <c r="G158" s="12" t="s">
        <v>1119</v>
      </c>
      <c r="H158" s="12" t="s">
        <v>1322</v>
      </c>
      <c r="I158" s="12" t="s">
        <v>184</v>
      </c>
      <c r="J158" s="12" t="s">
        <v>1611</v>
      </c>
      <c r="K158" s="12" t="s">
        <v>1298</v>
      </c>
      <c r="L158" s="12" t="s">
        <v>1298</v>
      </c>
      <c r="M158" s="12" t="s">
        <v>1311</v>
      </c>
      <c r="N158" s="12" t="s">
        <v>1283</v>
      </c>
      <c r="O158" s="12" t="s">
        <v>1279</v>
      </c>
      <c r="P158" s="12" t="s">
        <v>1280</v>
      </c>
      <c r="Q158" s="16" t="s">
        <v>201</v>
      </c>
      <c r="R158" s="16" t="s">
        <v>180</v>
      </c>
      <c r="S158" s="12" t="s">
        <v>119</v>
      </c>
      <c r="T158" s="12" t="s">
        <v>619</v>
      </c>
      <c r="U158" s="24" t="s">
        <v>180</v>
      </c>
    </row>
    <row r="159" spans="1:21">
      <c r="A159" s="14">
        <v>36</v>
      </c>
      <c r="B159" s="12" t="s">
        <v>1121</v>
      </c>
      <c r="C159" s="12" t="s">
        <v>1114</v>
      </c>
      <c r="D159" s="12" t="s">
        <v>1113</v>
      </c>
      <c r="E159" s="12" t="s">
        <v>378</v>
      </c>
      <c r="F159" s="12" t="s">
        <v>1120</v>
      </c>
      <c r="G159" s="12" t="s">
        <v>1119</v>
      </c>
      <c r="H159" s="12" t="s">
        <v>1322</v>
      </c>
      <c r="I159" s="12" t="s">
        <v>184</v>
      </c>
      <c r="J159" s="12" t="s">
        <v>1612</v>
      </c>
      <c r="K159" s="12" t="s">
        <v>1298</v>
      </c>
      <c r="L159" s="12" t="s">
        <v>1613</v>
      </c>
      <c r="M159" s="12" t="s">
        <v>1277</v>
      </c>
      <c r="N159" s="12" t="s">
        <v>1277</v>
      </c>
      <c r="O159" s="12" t="s">
        <v>1325</v>
      </c>
      <c r="P159" s="12" t="s">
        <v>1280</v>
      </c>
      <c r="Q159" s="16" t="s">
        <v>201</v>
      </c>
      <c r="R159" s="16" t="s">
        <v>180</v>
      </c>
      <c r="S159" s="12" t="s">
        <v>119</v>
      </c>
      <c r="T159" s="12" t="s">
        <v>619</v>
      </c>
      <c r="U159" s="24" t="s">
        <v>180</v>
      </c>
    </row>
    <row r="160" spans="1:21">
      <c r="A160" s="14">
        <v>36</v>
      </c>
      <c r="B160" s="12" t="s">
        <v>1004</v>
      </c>
      <c r="C160" s="12" t="s">
        <v>1000</v>
      </c>
      <c r="D160" s="12" t="s">
        <v>999</v>
      </c>
      <c r="E160" s="12" t="s">
        <v>303</v>
      </c>
      <c r="F160" s="12" t="s">
        <v>1003</v>
      </c>
      <c r="G160" s="12" t="s">
        <v>1154</v>
      </c>
      <c r="H160" s="12" t="s">
        <v>1273</v>
      </c>
      <c r="I160" s="12" t="s">
        <v>184</v>
      </c>
      <c r="J160" s="12" t="s">
        <v>1614</v>
      </c>
      <c r="K160" s="12" t="s">
        <v>1615</v>
      </c>
      <c r="L160" s="12" t="s">
        <v>1615</v>
      </c>
      <c r="M160" s="12" t="s">
        <v>1311</v>
      </c>
      <c r="N160" s="12" t="s">
        <v>1283</v>
      </c>
      <c r="O160" s="12" t="s">
        <v>1288</v>
      </c>
      <c r="P160" s="12" t="s">
        <v>1280</v>
      </c>
      <c r="Q160" s="16" t="s">
        <v>201</v>
      </c>
      <c r="R160" s="16" t="s">
        <v>180</v>
      </c>
      <c r="S160" s="12" t="s">
        <v>754</v>
      </c>
      <c r="T160" s="12" t="s">
        <v>586</v>
      </c>
      <c r="U160" s="24" t="s">
        <v>180</v>
      </c>
    </row>
    <row r="161" spans="1:21">
      <c r="A161" s="14">
        <v>36</v>
      </c>
      <c r="B161" s="12" t="s">
        <v>1004</v>
      </c>
      <c r="C161" s="12" t="s">
        <v>1000</v>
      </c>
      <c r="D161" s="12" t="s">
        <v>999</v>
      </c>
      <c r="E161" s="12" t="s">
        <v>303</v>
      </c>
      <c r="F161" s="12" t="s">
        <v>1003</v>
      </c>
      <c r="G161" s="12" t="s">
        <v>1154</v>
      </c>
      <c r="H161" s="12" t="s">
        <v>1273</v>
      </c>
      <c r="I161" s="12" t="s">
        <v>184</v>
      </c>
      <c r="J161" s="12" t="s">
        <v>1616</v>
      </c>
      <c r="K161" s="12" t="s">
        <v>1617</v>
      </c>
      <c r="L161" s="12" t="s">
        <v>1617</v>
      </c>
      <c r="M161" s="12" t="s">
        <v>1311</v>
      </c>
      <c r="N161" s="12" t="s">
        <v>1283</v>
      </c>
      <c r="O161" s="12" t="s">
        <v>1288</v>
      </c>
      <c r="P161" s="12" t="s">
        <v>1280</v>
      </c>
      <c r="Q161" s="16" t="s">
        <v>201</v>
      </c>
      <c r="R161" s="16" t="s">
        <v>180</v>
      </c>
      <c r="S161" s="12" t="s">
        <v>754</v>
      </c>
      <c r="T161" s="12" t="s">
        <v>586</v>
      </c>
      <c r="U161" s="24" t="s">
        <v>180</v>
      </c>
    </row>
    <row r="162" spans="1:21">
      <c r="A162" s="14">
        <v>36</v>
      </c>
      <c r="B162" s="12" t="s">
        <v>1004</v>
      </c>
      <c r="C162" s="12" t="s">
        <v>1000</v>
      </c>
      <c r="D162" s="12" t="s">
        <v>999</v>
      </c>
      <c r="E162" s="12" t="s">
        <v>303</v>
      </c>
      <c r="F162" s="12" t="s">
        <v>1003</v>
      </c>
      <c r="G162" s="12" t="s">
        <v>1154</v>
      </c>
      <c r="H162" s="12" t="s">
        <v>1273</v>
      </c>
      <c r="I162" s="12" t="s">
        <v>184</v>
      </c>
      <c r="J162" s="12" t="s">
        <v>1618</v>
      </c>
      <c r="K162" s="12" t="s">
        <v>1619</v>
      </c>
      <c r="L162" s="12" t="s">
        <v>1619</v>
      </c>
      <c r="M162" s="12" t="s">
        <v>1311</v>
      </c>
      <c r="N162" s="12" t="s">
        <v>1283</v>
      </c>
      <c r="O162" s="12" t="s">
        <v>1288</v>
      </c>
      <c r="P162" s="12" t="s">
        <v>1280</v>
      </c>
      <c r="Q162" s="16" t="s">
        <v>201</v>
      </c>
      <c r="R162" s="16" t="s">
        <v>180</v>
      </c>
      <c r="S162" s="12" t="s">
        <v>754</v>
      </c>
      <c r="T162" s="12" t="s">
        <v>586</v>
      </c>
      <c r="U162" s="24" t="s">
        <v>180</v>
      </c>
    </row>
    <row r="163" spans="1:21">
      <c r="A163" s="14">
        <v>37</v>
      </c>
      <c r="B163" s="12" t="s">
        <v>1004</v>
      </c>
      <c r="C163" s="12" t="s">
        <v>1000</v>
      </c>
      <c r="D163" s="12" t="s">
        <v>999</v>
      </c>
      <c r="E163" s="12" t="s">
        <v>303</v>
      </c>
      <c r="F163" s="12" t="s">
        <v>1003</v>
      </c>
      <c r="G163" s="12" t="s">
        <v>1154</v>
      </c>
      <c r="H163" s="12" t="s">
        <v>1273</v>
      </c>
      <c r="I163" s="12" t="s">
        <v>184</v>
      </c>
      <c r="J163" s="12" t="s">
        <v>1620</v>
      </c>
      <c r="K163" s="12" t="s">
        <v>1617</v>
      </c>
      <c r="L163" s="12" t="s">
        <v>1617</v>
      </c>
      <c r="M163" s="12" t="s">
        <v>1311</v>
      </c>
      <c r="N163" s="12" t="s">
        <v>1569</v>
      </c>
      <c r="O163" s="12" t="s">
        <v>1488</v>
      </c>
      <c r="P163" s="12" t="s">
        <v>1489</v>
      </c>
      <c r="Q163" s="16" t="s">
        <v>201</v>
      </c>
      <c r="R163" s="16" t="s">
        <v>180</v>
      </c>
      <c r="S163" s="12" t="s">
        <v>754</v>
      </c>
      <c r="T163" s="12" t="s">
        <v>586</v>
      </c>
      <c r="U163" s="24" t="s">
        <v>180</v>
      </c>
    </row>
    <row r="164" spans="1:21">
      <c r="A164" s="14">
        <v>37</v>
      </c>
      <c r="B164" s="12" t="s">
        <v>1004</v>
      </c>
      <c r="C164" s="12" t="s">
        <v>1000</v>
      </c>
      <c r="D164" s="12" t="s">
        <v>999</v>
      </c>
      <c r="E164" s="12" t="s">
        <v>303</v>
      </c>
      <c r="F164" s="12" t="s">
        <v>1003</v>
      </c>
      <c r="G164" s="12" t="s">
        <v>1154</v>
      </c>
      <c r="H164" s="12" t="s">
        <v>1273</v>
      </c>
      <c r="I164" s="12" t="s">
        <v>184</v>
      </c>
      <c r="J164" s="12" t="s">
        <v>1621</v>
      </c>
      <c r="K164" s="12" t="s">
        <v>1622</v>
      </c>
      <c r="L164" s="12" t="s">
        <v>1622</v>
      </c>
      <c r="M164" s="12" t="s">
        <v>1572</v>
      </c>
      <c r="N164" s="12" t="s">
        <v>1569</v>
      </c>
      <c r="O164" s="12" t="s">
        <v>1488</v>
      </c>
      <c r="P164" s="12" t="s">
        <v>1489</v>
      </c>
      <c r="Q164" s="16" t="s">
        <v>201</v>
      </c>
      <c r="R164" s="16" t="s">
        <v>180</v>
      </c>
      <c r="S164" s="12" t="s">
        <v>754</v>
      </c>
      <c r="T164" s="12" t="s">
        <v>586</v>
      </c>
      <c r="U164" s="24" t="s">
        <v>180</v>
      </c>
    </row>
    <row r="165" spans="1:21">
      <c r="A165" s="14">
        <v>37</v>
      </c>
      <c r="B165" s="12" t="s">
        <v>1623</v>
      </c>
      <c r="C165" s="12" t="s">
        <v>609</v>
      </c>
      <c r="D165" s="12" t="s">
        <v>608</v>
      </c>
      <c r="E165" s="12" t="s">
        <v>469</v>
      </c>
      <c r="F165" s="12" t="s">
        <v>612</v>
      </c>
      <c r="G165" s="12" t="s">
        <v>610</v>
      </c>
      <c r="H165" s="12" t="s">
        <v>1624</v>
      </c>
      <c r="I165" s="12" t="s">
        <v>184</v>
      </c>
      <c r="J165" s="12" t="s">
        <v>1625</v>
      </c>
      <c r="K165" s="12" t="s">
        <v>1307</v>
      </c>
      <c r="L165" s="12" t="s">
        <v>1307</v>
      </c>
      <c r="M165" s="12" t="s">
        <v>1311</v>
      </c>
      <c r="N165" s="12" t="s">
        <v>1283</v>
      </c>
      <c r="O165" s="12" t="s">
        <v>1288</v>
      </c>
      <c r="P165" s="12" t="s">
        <v>1280</v>
      </c>
      <c r="Q165" s="16" t="s">
        <v>201</v>
      </c>
      <c r="R165" s="16" t="s">
        <v>180</v>
      </c>
      <c r="S165" s="12" t="s">
        <v>119</v>
      </c>
      <c r="T165" s="12" t="s">
        <v>586</v>
      </c>
      <c r="U165" s="24" t="s">
        <v>180</v>
      </c>
    </row>
    <row r="166" spans="1:21">
      <c r="A166" s="14">
        <v>37</v>
      </c>
      <c r="B166" s="12" t="s">
        <v>1126</v>
      </c>
      <c r="C166" s="12" t="s">
        <v>1124</v>
      </c>
      <c r="D166" s="12" t="s">
        <v>1123</v>
      </c>
      <c r="E166" s="12" t="s">
        <v>344</v>
      </c>
      <c r="F166" s="12" t="s">
        <v>346</v>
      </c>
      <c r="G166" s="12" t="s">
        <v>1125</v>
      </c>
      <c r="H166" s="12" t="s">
        <v>1305</v>
      </c>
      <c r="I166" s="12" t="s">
        <v>184</v>
      </c>
      <c r="J166" s="12" t="s">
        <v>1127</v>
      </c>
      <c r="K166" s="12" t="s">
        <v>1363</v>
      </c>
      <c r="L166" s="12" t="s">
        <v>1363</v>
      </c>
      <c r="M166" s="12" t="s">
        <v>1311</v>
      </c>
      <c r="N166" s="12" t="s">
        <v>1283</v>
      </c>
      <c r="O166" s="12" t="s">
        <v>1288</v>
      </c>
      <c r="P166" s="12" t="s">
        <v>1280</v>
      </c>
      <c r="Q166" s="16" t="s">
        <v>201</v>
      </c>
      <c r="R166" s="16" t="s">
        <v>180</v>
      </c>
      <c r="S166" s="12" t="s">
        <v>754</v>
      </c>
      <c r="T166" s="12" t="s">
        <v>619</v>
      </c>
      <c r="U166" s="24" t="s">
        <v>180</v>
      </c>
    </row>
    <row r="167" spans="1:21">
      <c r="A167" s="14">
        <v>38</v>
      </c>
      <c r="B167" s="12" t="s">
        <v>1626</v>
      </c>
      <c r="C167" s="12" t="s">
        <v>609</v>
      </c>
      <c r="D167" s="12" t="s">
        <v>608</v>
      </c>
      <c r="E167" s="12" t="s">
        <v>469</v>
      </c>
      <c r="F167" s="12" t="s">
        <v>612</v>
      </c>
      <c r="G167" s="12" t="s">
        <v>1154</v>
      </c>
      <c r="H167" s="12" t="s">
        <v>1305</v>
      </c>
      <c r="I167" s="12" t="s">
        <v>1154</v>
      </c>
      <c r="J167" s="12" t="s">
        <v>1627</v>
      </c>
      <c r="K167" s="12" t="s">
        <v>1307</v>
      </c>
      <c r="L167" s="12" t="s">
        <v>1554</v>
      </c>
      <c r="M167" s="12" t="s">
        <v>1262</v>
      </c>
      <c r="N167" s="12" t="s">
        <v>1262</v>
      </c>
      <c r="O167" s="12" t="s">
        <v>1263</v>
      </c>
      <c r="P167" s="12" t="s">
        <v>1264</v>
      </c>
      <c r="Q167" s="16" t="s">
        <v>201</v>
      </c>
      <c r="R167" s="16" t="s">
        <v>180</v>
      </c>
      <c r="S167" s="12" t="s">
        <v>119</v>
      </c>
      <c r="T167" s="12" t="s">
        <v>586</v>
      </c>
      <c r="U167" s="24" t="s">
        <v>180</v>
      </c>
    </row>
    <row r="168" spans="1:21">
      <c r="A168" s="14">
        <v>38</v>
      </c>
      <c r="B168" s="12" t="s">
        <v>1623</v>
      </c>
      <c r="C168" s="12" t="s">
        <v>609</v>
      </c>
      <c r="D168" s="12" t="s">
        <v>608</v>
      </c>
      <c r="E168" s="12" t="s">
        <v>469</v>
      </c>
      <c r="F168" s="12" t="s">
        <v>612</v>
      </c>
      <c r="G168" s="12" t="s">
        <v>610</v>
      </c>
      <c r="H168" s="12" t="s">
        <v>1407</v>
      </c>
      <c r="I168" s="12" t="s">
        <v>184</v>
      </c>
      <c r="J168" s="12" t="s">
        <v>1628</v>
      </c>
      <c r="K168" s="12" t="s">
        <v>1298</v>
      </c>
      <c r="L168" s="12" t="s">
        <v>1298</v>
      </c>
      <c r="M168" s="12" t="s">
        <v>1311</v>
      </c>
      <c r="N168" s="12" t="s">
        <v>1569</v>
      </c>
      <c r="O168" s="12" t="s">
        <v>1488</v>
      </c>
      <c r="P168" s="12" t="s">
        <v>1489</v>
      </c>
      <c r="Q168" s="16" t="s">
        <v>201</v>
      </c>
      <c r="R168" s="16" t="s">
        <v>180</v>
      </c>
      <c r="S168" s="12" t="s">
        <v>119</v>
      </c>
      <c r="T168" s="12" t="s">
        <v>586</v>
      </c>
      <c r="U168" s="24" t="s">
        <v>180</v>
      </c>
    </row>
    <row r="169" spans="1:21">
      <c r="A169" s="14">
        <v>38</v>
      </c>
      <c r="B169" s="12" t="s">
        <v>1623</v>
      </c>
      <c r="C169" s="12" t="s">
        <v>609</v>
      </c>
      <c r="D169" s="12" t="s">
        <v>608</v>
      </c>
      <c r="E169" s="12" t="s">
        <v>469</v>
      </c>
      <c r="F169" s="12" t="s">
        <v>612</v>
      </c>
      <c r="G169" s="12" t="s">
        <v>610</v>
      </c>
      <c r="H169" s="12" t="s">
        <v>1407</v>
      </c>
      <c r="I169" s="12" t="s">
        <v>184</v>
      </c>
      <c r="J169" s="12" t="s">
        <v>1629</v>
      </c>
      <c r="K169" s="12" t="s">
        <v>1630</v>
      </c>
      <c r="L169" s="12" t="s">
        <v>1630</v>
      </c>
      <c r="M169" s="12" t="s">
        <v>1572</v>
      </c>
      <c r="N169" s="12" t="s">
        <v>1569</v>
      </c>
      <c r="O169" s="12" t="s">
        <v>1488</v>
      </c>
      <c r="P169" s="12" t="s">
        <v>1489</v>
      </c>
      <c r="Q169" s="16" t="s">
        <v>201</v>
      </c>
      <c r="R169" s="16" t="s">
        <v>180</v>
      </c>
      <c r="S169" s="12" t="s">
        <v>119</v>
      </c>
      <c r="T169" s="12" t="s">
        <v>586</v>
      </c>
      <c r="U169" s="24" t="s">
        <v>180</v>
      </c>
    </row>
    <row r="170" spans="1:21">
      <c r="A170" s="14">
        <v>38</v>
      </c>
      <c r="B170" s="12" t="s">
        <v>1623</v>
      </c>
      <c r="C170" s="12" t="s">
        <v>609</v>
      </c>
      <c r="D170" s="12" t="s">
        <v>608</v>
      </c>
      <c r="E170" s="12" t="s">
        <v>469</v>
      </c>
      <c r="F170" s="12" t="s">
        <v>612</v>
      </c>
      <c r="G170" s="12" t="s">
        <v>610</v>
      </c>
      <c r="H170" s="12" t="s">
        <v>1407</v>
      </c>
      <c r="I170" s="12" t="s">
        <v>184</v>
      </c>
      <c r="J170" s="12" t="s">
        <v>1631</v>
      </c>
      <c r="K170" s="12" t="s">
        <v>1604</v>
      </c>
      <c r="L170" s="12" t="s">
        <v>1604</v>
      </c>
      <c r="M170" s="12" t="s">
        <v>1311</v>
      </c>
      <c r="N170" s="12" t="s">
        <v>1569</v>
      </c>
      <c r="O170" s="12" t="s">
        <v>1488</v>
      </c>
      <c r="P170" s="12" t="s">
        <v>1489</v>
      </c>
      <c r="Q170" s="16" t="s">
        <v>201</v>
      </c>
      <c r="R170" s="16" t="s">
        <v>180</v>
      </c>
      <c r="S170" s="12" t="s">
        <v>119</v>
      </c>
      <c r="T170" s="12" t="s">
        <v>586</v>
      </c>
      <c r="U170" s="24" t="s">
        <v>180</v>
      </c>
    </row>
    <row r="171" spans="1:21">
      <c r="A171" s="14">
        <v>38</v>
      </c>
      <c r="B171" s="12" t="s">
        <v>186</v>
      </c>
      <c r="C171" s="12" t="s">
        <v>172</v>
      </c>
      <c r="D171" s="12" t="s">
        <v>88</v>
      </c>
      <c r="E171" s="12" t="s">
        <v>173</v>
      </c>
      <c r="F171" s="12" t="s">
        <v>185</v>
      </c>
      <c r="G171" s="12" t="s">
        <v>183</v>
      </c>
      <c r="H171" s="12" t="s">
        <v>1322</v>
      </c>
      <c r="I171" s="12" t="s">
        <v>184</v>
      </c>
      <c r="J171" s="12" t="s">
        <v>187</v>
      </c>
      <c r="K171" s="12" t="s">
        <v>1250</v>
      </c>
      <c r="L171" s="12" t="s">
        <v>1632</v>
      </c>
      <c r="M171" s="12" t="s">
        <v>1287</v>
      </c>
      <c r="N171" s="12" t="s">
        <v>1633</v>
      </c>
      <c r="O171" s="12" t="s">
        <v>1634</v>
      </c>
      <c r="P171" s="12" t="s">
        <v>1154</v>
      </c>
      <c r="Q171" s="16" t="s">
        <v>201</v>
      </c>
      <c r="R171" s="16" t="s">
        <v>180</v>
      </c>
      <c r="S171" s="12" t="s">
        <v>89</v>
      </c>
      <c r="T171" s="12" t="s">
        <v>90</v>
      </c>
      <c r="U171" s="13" t="s">
        <v>174</v>
      </c>
    </row>
    <row r="172" spans="1:21">
      <c r="A172" s="14">
        <v>39</v>
      </c>
      <c r="B172" s="12" t="s">
        <v>565</v>
      </c>
      <c r="C172" s="12" t="s">
        <v>562</v>
      </c>
      <c r="D172" s="12" t="s">
        <v>561</v>
      </c>
      <c r="E172" s="12" t="s">
        <v>199</v>
      </c>
      <c r="F172" s="12" t="s">
        <v>564</v>
      </c>
      <c r="G172" s="12" t="s">
        <v>563</v>
      </c>
      <c r="H172" s="12" t="s">
        <v>1635</v>
      </c>
      <c r="I172" s="12" t="s">
        <v>184</v>
      </c>
      <c r="J172" s="12" t="s">
        <v>1636</v>
      </c>
      <c r="K172" s="12" t="s">
        <v>1298</v>
      </c>
      <c r="L172" s="12" t="s">
        <v>1637</v>
      </c>
      <c r="M172" s="12" t="s">
        <v>1278</v>
      </c>
      <c r="N172" s="12" t="s">
        <v>1278</v>
      </c>
      <c r="O172" s="12" t="s">
        <v>1263</v>
      </c>
      <c r="P172" s="12" t="s">
        <v>1264</v>
      </c>
      <c r="Q172" s="16" t="s">
        <v>201</v>
      </c>
      <c r="R172" s="16" t="s">
        <v>180</v>
      </c>
      <c r="S172" s="12" t="s">
        <v>104</v>
      </c>
      <c r="T172" s="12" t="s">
        <v>105</v>
      </c>
      <c r="U172" s="24" t="s">
        <v>180</v>
      </c>
    </row>
    <row r="173" spans="1:21">
      <c r="A173" s="14">
        <v>39</v>
      </c>
      <c r="B173" s="12" t="s">
        <v>565</v>
      </c>
      <c r="C173" s="12" t="s">
        <v>562</v>
      </c>
      <c r="D173" s="12" t="s">
        <v>561</v>
      </c>
      <c r="E173" s="12" t="s">
        <v>199</v>
      </c>
      <c r="F173" s="12" t="s">
        <v>564</v>
      </c>
      <c r="G173" s="12" t="s">
        <v>563</v>
      </c>
      <c r="H173" s="12" t="s">
        <v>1635</v>
      </c>
      <c r="I173" s="12" t="s">
        <v>184</v>
      </c>
      <c r="J173" s="12" t="s">
        <v>1638</v>
      </c>
      <c r="K173" s="12" t="s">
        <v>1298</v>
      </c>
      <c r="L173" s="12" t="s">
        <v>1414</v>
      </c>
      <c r="M173" s="12" t="s">
        <v>1309</v>
      </c>
      <c r="N173" s="12" t="s">
        <v>1309</v>
      </c>
      <c r="O173" s="12" t="s">
        <v>1263</v>
      </c>
      <c r="P173" s="12" t="s">
        <v>1264</v>
      </c>
      <c r="Q173" s="16" t="s">
        <v>201</v>
      </c>
      <c r="R173" s="16" t="s">
        <v>180</v>
      </c>
      <c r="S173" s="12" t="s">
        <v>104</v>
      </c>
      <c r="T173" s="12" t="s">
        <v>105</v>
      </c>
      <c r="U173" s="24" t="s">
        <v>180</v>
      </c>
    </row>
    <row r="174" spans="1:21">
      <c r="A174" s="14">
        <v>39</v>
      </c>
      <c r="B174" s="12" t="s">
        <v>565</v>
      </c>
      <c r="C174" s="12" t="s">
        <v>562</v>
      </c>
      <c r="D174" s="12" t="s">
        <v>561</v>
      </c>
      <c r="E174" s="12" t="s">
        <v>199</v>
      </c>
      <c r="F174" s="12" t="s">
        <v>564</v>
      </c>
      <c r="G174" s="12" t="s">
        <v>563</v>
      </c>
      <c r="H174" s="12" t="s">
        <v>1635</v>
      </c>
      <c r="I174" s="12" t="s">
        <v>184</v>
      </c>
      <c r="J174" s="12" t="s">
        <v>1639</v>
      </c>
      <c r="K174" s="12" t="s">
        <v>1298</v>
      </c>
      <c r="L174" s="12" t="s">
        <v>1640</v>
      </c>
      <c r="M174" s="12" t="s">
        <v>1262</v>
      </c>
      <c r="N174" s="12" t="s">
        <v>1262</v>
      </c>
      <c r="O174" s="12" t="s">
        <v>1263</v>
      </c>
      <c r="P174" s="12" t="s">
        <v>1264</v>
      </c>
      <c r="Q174" s="16" t="s">
        <v>201</v>
      </c>
      <c r="R174" s="16" t="s">
        <v>180</v>
      </c>
      <c r="S174" s="12" t="s">
        <v>104</v>
      </c>
      <c r="T174" s="12" t="s">
        <v>105</v>
      </c>
      <c r="U174" s="24" t="s">
        <v>180</v>
      </c>
    </row>
    <row r="175" spans="1:21">
      <c r="A175" s="14">
        <v>39</v>
      </c>
      <c r="B175" s="12" t="s">
        <v>779</v>
      </c>
      <c r="C175" s="12" t="s">
        <v>775</v>
      </c>
      <c r="D175" s="12" t="s">
        <v>774</v>
      </c>
      <c r="E175" s="12" t="s">
        <v>199</v>
      </c>
      <c r="F175" s="12" t="s">
        <v>432</v>
      </c>
      <c r="G175" s="12" t="s">
        <v>778</v>
      </c>
      <c r="H175" s="12" t="s">
        <v>1305</v>
      </c>
      <c r="I175" s="12" t="s">
        <v>184</v>
      </c>
      <c r="J175" s="12" t="s">
        <v>1641</v>
      </c>
      <c r="K175" s="12" t="s">
        <v>1285</v>
      </c>
      <c r="L175" s="12" t="s">
        <v>1642</v>
      </c>
      <c r="M175" s="12" t="s">
        <v>1643</v>
      </c>
      <c r="N175" s="12" t="s">
        <v>1252</v>
      </c>
      <c r="O175" s="12" t="s">
        <v>1263</v>
      </c>
      <c r="P175" s="12" t="s">
        <v>1264</v>
      </c>
      <c r="Q175" s="16" t="s">
        <v>201</v>
      </c>
      <c r="R175" s="16" t="s">
        <v>180</v>
      </c>
      <c r="S175" s="12" t="s">
        <v>104</v>
      </c>
      <c r="T175" s="12" t="s">
        <v>105</v>
      </c>
      <c r="U175" s="24" t="s">
        <v>180</v>
      </c>
    </row>
    <row r="176" spans="1:21">
      <c r="A176" s="14">
        <v>39</v>
      </c>
      <c r="B176" s="12" t="s">
        <v>779</v>
      </c>
      <c r="C176" s="12" t="s">
        <v>775</v>
      </c>
      <c r="D176" s="12" t="s">
        <v>774</v>
      </c>
      <c r="E176" s="12" t="s">
        <v>199</v>
      </c>
      <c r="F176" s="12" t="s">
        <v>432</v>
      </c>
      <c r="G176" s="12" t="s">
        <v>778</v>
      </c>
      <c r="H176" s="12" t="s">
        <v>1305</v>
      </c>
      <c r="I176" s="12" t="s">
        <v>184</v>
      </c>
      <c r="J176" s="12" t="s">
        <v>1644</v>
      </c>
      <c r="K176" s="12" t="s">
        <v>1285</v>
      </c>
      <c r="L176" s="12" t="s">
        <v>1645</v>
      </c>
      <c r="M176" s="12" t="s">
        <v>1262</v>
      </c>
      <c r="N176" s="12" t="s">
        <v>1262</v>
      </c>
      <c r="O176" s="12" t="s">
        <v>1263</v>
      </c>
      <c r="P176" s="12" t="s">
        <v>1264</v>
      </c>
      <c r="Q176" s="16" t="s">
        <v>201</v>
      </c>
      <c r="R176" s="16" t="s">
        <v>180</v>
      </c>
      <c r="S176" s="12" t="s">
        <v>104</v>
      </c>
      <c r="T176" s="12" t="s">
        <v>105</v>
      </c>
      <c r="U176" s="24" t="s">
        <v>180</v>
      </c>
    </row>
    <row r="177" spans="1:21">
      <c r="A177" s="14">
        <v>39</v>
      </c>
      <c r="B177" s="12" t="s">
        <v>1646</v>
      </c>
      <c r="C177" s="12" t="s">
        <v>819</v>
      </c>
      <c r="D177" s="12" t="s">
        <v>818</v>
      </c>
      <c r="E177" s="12" t="s">
        <v>344</v>
      </c>
      <c r="F177" s="12" t="s">
        <v>930</v>
      </c>
      <c r="G177" s="12" t="s">
        <v>520</v>
      </c>
      <c r="H177" s="12" t="s">
        <v>1305</v>
      </c>
      <c r="I177" s="12" t="s">
        <v>235</v>
      </c>
      <c r="J177" s="12" t="s">
        <v>1647</v>
      </c>
      <c r="K177" s="12" t="s">
        <v>1469</v>
      </c>
      <c r="L177" s="12" t="s">
        <v>1648</v>
      </c>
      <c r="M177" s="12" t="s">
        <v>1278</v>
      </c>
      <c r="N177" s="12" t="s">
        <v>1278</v>
      </c>
      <c r="O177" s="12" t="s">
        <v>1279</v>
      </c>
      <c r="P177" s="12" t="s">
        <v>1280</v>
      </c>
      <c r="Q177" s="16" t="s">
        <v>201</v>
      </c>
      <c r="R177" s="16" t="s">
        <v>180</v>
      </c>
      <c r="S177" s="12" t="s">
        <v>754</v>
      </c>
      <c r="T177" s="12" t="s">
        <v>619</v>
      </c>
      <c r="U177" s="24" t="s">
        <v>180</v>
      </c>
    </row>
    <row r="178" spans="1:21">
      <c r="A178" s="14">
        <v>39</v>
      </c>
      <c r="B178" s="12" t="s">
        <v>1646</v>
      </c>
      <c r="C178" s="12" t="s">
        <v>819</v>
      </c>
      <c r="D178" s="12" t="s">
        <v>818</v>
      </c>
      <c r="E178" s="12" t="s">
        <v>344</v>
      </c>
      <c r="F178" s="12" t="s">
        <v>930</v>
      </c>
      <c r="G178" s="12" t="s">
        <v>520</v>
      </c>
      <c r="H178" s="12" t="s">
        <v>1305</v>
      </c>
      <c r="I178" s="12" t="s">
        <v>235</v>
      </c>
      <c r="J178" s="12" t="s">
        <v>1649</v>
      </c>
      <c r="K178" s="12" t="s">
        <v>1469</v>
      </c>
      <c r="L178" s="12" t="s">
        <v>1431</v>
      </c>
      <c r="M178" s="12" t="s">
        <v>1309</v>
      </c>
      <c r="N178" s="12" t="s">
        <v>1309</v>
      </c>
      <c r="O178" s="12" t="s">
        <v>1279</v>
      </c>
      <c r="P178" s="12" t="s">
        <v>1264</v>
      </c>
      <c r="Q178" s="16" t="s">
        <v>201</v>
      </c>
      <c r="R178" s="16" t="s">
        <v>180</v>
      </c>
      <c r="S178" s="12" t="s">
        <v>754</v>
      </c>
      <c r="T178" s="12" t="s">
        <v>619</v>
      </c>
      <c r="U178" s="24" t="s">
        <v>180</v>
      </c>
    </row>
    <row r="179" spans="1:21">
      <c r="A179" s="14">
        <v>40</v>
      </c>
      <c r="B179" s="12" t="s">
        <v>1650</v>
      </c>
      <c r="C179" s="12" t="s">
        <v>806</v>
      </c>
      <c r="D179" s="12" t="s">
        <v>805</v>
      </c>
      <c r="E179" s="12" t="s">
        <v>469</v>
      </c>
      <c r="F179" s="12" t="s">
        <v>612</v>
      </c>
      <c r="G179" s="12" t="s">
        <v>520</v>
      </c>
      <c r="H179" s="12" t="s">
        <v>1273</v>
      </c>
      <c r="I179" s="12" t="s">
        <v>235</v>
      </c>
      <c r="J179" s="12" t="s">
        <v>1651</v>
      </c>
      <c r="K179" s="12" t="s">
        <v>1250</v>
      </c>
      <c r="L179" s="12" t="s">
        <v>1562</v>
      </c>
      <c r="M179" s="12" t="s">
        <v>1262</v>
      </c>
      <c r="N179" s="12" t="s">
        <v>1262</v>
      </c>
      <c r="O179" s="12" t="s">
        <v>1652</v>
      </c>
      <c r="P179" s="12" t="s">
        <v>1328</v>
      </c>
      <c r="Q179" s="16" t="s">
        <v>201</v>
      </c>
      <c r="R179" s="16" t="s">
        <v>180</v>
      </c>
      <c r="S179" s="12" t="s">
        <v>754</v>
      </c>
      <c r="T179" s="12" t="s">
        <v>619</v>
      </c>
      <c r="U179" s="24" t="s">
        <v>180</v>
      </c>
    </row>
    <row r="180" spans="1:21">
      <c r="A180" s="14">
        <v>40</v>
      </c>
      <c r="B180" s="12" t="s">
        <v>1650</v>
      </c>
      <c r="C180" s="12" t="s">
        <v>806</v>
      </c>
      <c r="D180" s="12" t="s">
        <v>805</v>
      </c>
      <c r="E180" s="12" t="s">
        <v>469</v>
      </c>
      <c r="F180" s="12" t="s">
        <v>612</v>
      </c>
      <c r="G180" s="12" t="s">
        <v>520</v>
      </c>
      <c r="H180" s="12" t="s">
        <v>1273</v>
      </c>
      <c r="I180" s="12" t="s">
        <v>235</v>
      </c>
      <c r="J180" s="12" t="s">
        <v>1653</v>
      </c>
      <c r="K180" s="12" t="s">
        <v>1409</v>
      </c>
      <c r="L180" s="12" t="s">
        <v>1654</v>
      </c>
      <c r="M180" s="12" t="s">
        <v>1262</v>
      </c>
      <c r="N180" s="12" t="s">
        <v>1262</v>
      </c>
      <c r="O180" s="12" t="s">
        <v>1652</v>
      </c>
      <c r="P180" s="12" t="s">
        <v>1328</v>
      </c>
      <c r="Q180" s="16" t="s">
        <v>201</v>
      </c>
      <c r="R180" s="16" t="s">
        <v>180</v>
      </c>
      <c r="S180" s="12" t="s">
        <v>754</v>
      </c>
      <c r="T180" s="12" t="s">
        <v>619</v>
      </c>
      <c r="U180" s="24" t="s">
        <v>180</v>
      </c>
    </row>
    <row r="181" spans="1:21">
      <c r="A181" s="14">
        <v>40</v>
      </c>
      <c r="B181" s="12" t="s">
        <v>692</v>
      </c>
      <c r="C181" s="12" t="s">
        <v>687</v>
      </c>
      <c r="D181" s="12" t="s">
        <v>686</v>
      </c>
      <c r="E181" s="12" t="s">
        <v>199</v>
      </c>
      <c r="F181" s="12" t="s">
        <v>514</v>
      </c>
      <c r="G181" s="12" t="s">
        <v>691</v>
      </c>
      <c r="H181" s="12" t="s">
        <v>1655</v>
      </c>
      <c r="I181" s="12" t="s">
        <v>184</v>
      </c>
      <c r="J181" s="12" t="s">
        <v>1656</v>
      </c>
      <c r="K181" s="12" t="s">
        <v>1363</v>
      </c>
      <c r="L181" s="12" t="s">
        <v>1549</v>
      </c>
      <c r="M181" s="12" t="s">
        <v>1278</v>
      </c>
      <c r="N181" s="12" t="s">
        <v>1332</v>
      </c>
      <c r="O181" s="12" t="s">
        <v>1263</v>
      </c>
      <c r="P181" s="12" t="s">
        <v>1264</v>
      </c>
      <c r="Q181" s="16" t="s">
        <v>201</v>
      </c>
      <c r="R181" s="16" t="s">
        <v>180</v>
      </c>
      <c r="S181" s="12" t="s">
        <v>104</v>
      </c>
      <c r="T181" s="12" t="s">
        <v>105</v>
      </c>
      <c r="U181" s="24" t="s">
        <v>180</v>
      </c>
    </row>
    <row r="182" spans="1:21">
      <c r="A182" s="14">
        <v>40</v>
      </c>
      <c r="B182" s="12" t="s">
        <v>692</v>
      </c>
      <c r="C182" s="12" t="s">
        <v>687</v>
      </c>
      <c r="D182" s="12" t="s">
        <v>686</v>
      </c>
      <c r="E182" s="12" t="s">
        <v>199</v>
      </c>
      <c r="F182" s="12" t="s">
        <v>514</v>
      </c>
      <c r="G182" s="12" t="s">
        <v>691</v>
      </c>
      <c r="H182" s="12" t="s">
        <v>1655</v>
      </c>
      <c r="I182" s="12" t="s">
        <v>184</v>
      </c>
      <c r="J182" s="12" t="s">
        <v>1657</v>
      </c>
      <c r="K182" s="12" t="s">
        <v>1363</v>
      </c>
      <c r="L182" s="12" t="s">
        <v>1658</v>
      </c>
      <c r="M182" s="12" t="s">
        <v>1283</v>
      </c>
      <c r="N182" s="12" t="s">
        <v>1287</v>
      </c>
      <c r="O182" s="12" t="s">
        <v>1263</v>
      </c>
      <c r="P182" s="12" t="s">
        <v>1264</v>
      </c>
      <c r="Q182" s="16" t="s">
        <v>201</v>
      </c>
      <c r="R182" s="16" t="s">
        <v>180</v>
      </c>
      <c r="S182" s="12" t="s">
        <v>104</v>
      </c>
      <c r="T182" s="12" t="s">
        <v>105</v>
      </c>
      <c r="U182" s="24" t="s">
        <v>180</v>
      </c>
    </row>
    <row r="183" spans="1:21">
      <c r="A183" s="14">
        <v>40</v>
      </c>
      <c r="B183" s="12" t="s">
        <v>749</v>
      </c>
      <c r="C183" s="12" t="s">
        <v>743</v>
      </c>
      <c r="D183" s="12" t="s">
        <v>742</v>
      </c>
      <c r="E183" s="12" t="s">
        <v>469</v>
      </c>
      <c r="F183" s="12" t="s">
        <v>748</v>
      </c>
      <c r="G183" s="12" t="s">
        <v>747</v>
      </c>
      <c r="H183" s="12" t="s">
        <v>1255</v>
      </c>
      <c r="I183" s="12" t="s">
        <v>184</v>
      </c>
      <c r="J183" s="12" t="s">
        <v>1659</v>
      </c>
      <c r="K183" s="12" t="s">
        <v>1285</v>
      </c>
      <c r="L183" s="12" t="s">
        <v>1660</v>
      </c>
      <c r="M183" s="12" t="s">
        <v>1309</v>
      </c>
      <c r="N183" s="12" t="s">
        <v>1309</v>
      </c>
      <c r="O183" s="12" t="s">
        <v>1279</v>
      </c>
      <c r="P183" s="12" t="s">
        <v>1280</v>
      </c>
      <c r="Q183" s="16" t="s">
        <v>201</v>
      </c>
      <c r="R183" s="16" t="s">
        <v>180</v>
      </c>
      <c r="S183" s="12" t="s">
        <v>119</v>
      </c>
      <c r="T183" s="12" t="s">
        <v>619</v>
      </c>
      <c r="U183" s="24" t="s">
        <v>180</v>
      </c>
    </row>
    <row r="184" spans="1:21">
      <c r="A184" s="14">
        <v>40</v>
      </c>
      <c r="B184" s="12" t="s">
        <v>749</v>
      </c>
      <c r="C184" s="12" t="s">
        <v>743</v>
      </c>
      <c r="D184" s="12" t="s">
        <v>742</v>
      </c>
      <c r="E184" s="12" t="s">
        <v>469</v>
      </c>
      <c r="F184" s="12" t="s">
        <v>748</v>
      </c>
      <c r="G184" s="12" t="s">
        <v>747</v>
      </c>
      <c r="H184" s="12" t="s">
        <v>1255</v>
      </c>
      <c r="I184" s="12" t="s">
        <v>184</v>
      </c>
      <c r="J184" s="12" t="s">
        <v>1661</v>
      </c>
      <c r="K184" s="12" t="s">
        <v>1301</v>
      </c>
      <c r="L184" s="12" t="s">
        <v>1662</v>
      </c>
      <c r="M184" s="12" t="s">
        <v>1278</v>
      </c>
      <c r="N184" s="12" t="s">
        <v>1278</v>
      </c>
      <c r="O184" s="12" t="s">
        <v>1279</v>
      </c>
      <c r="P184" s="12" t="s">
        <v>1280</v>
      </c>
      <c r="Q184" s="16" t="s">
        <v>201</v>
      </c>
      <c r="R184" s="16" t="s">
        <v>180</v>
      </c>
      <c r="S184" s="12" t="s">
        <v>119</v>
      </c>
      <c r="T184" s="12" t="s">
        <v>619</v>
      </c>
      <c r="U184" s="24" t="s">
        <v>180</v>
      </c>
    </row>
    <row r="185" spans="1:21">
      <c r="A185" s="14">
        <v>41</v>
      </c>
      <c r="B185" s="12" t="s">
        <v>931</v>
      </c>
      <c r="C185" s="12" t="s">
        <v>928</v>
      </c>
      <c r="D185" s="12" t="s">
        <v>927</v>
      </c>
      <c r="E185" s="12" t="s">
        <v>344</v>
      </c>
      <c r="F185" s="12" t="s">
        <v>930</v>
      </c>
      <c r="G185" s="12" t="s">
        <v>929</v>
      </c>
      <c r="H185" s="12" t="s">
        <v>1506</v>
      </c>
      <c r="I185" s="12" t="s">
        <v>184</v>
      </c>
      <c r="J185" s="12" t="s">
        <v>1663</v>
      </c>
      <c r="K185" s="12" t="s">
        <v>1348</v>
      </c>
      <c r="L185" s="12" t="s">
        <v>1664</v>
      </c>
      <c r="M185" s="12" t="s">
        <v>1262</v>
      </c>
      <c r="N185" s="12" t="s">
        <v>1262</v>
      </c>
      <c r="O185" s="12" t="s">
        <v>1263</v>
      </c>
      <c r="P185" s="12" t="s">
        <v>1264</v>
      </c>
      <c r="Q185" s="16" t="s">
        <v>201</v>
      </c>
      <c r="R185" s="16" t="s">
        <v>180</v>
      </c>
      <c r="S185" s="12" t="s">
        <v>119</v>
      </c>
      <c r="T185" s="12" t="s">
        <v>619</v>
      </c>
      <c r="U185" s="24" t="s">
        <v>180</v>
      </c>
    </row>
    <row r="186" spans="1:21">
      <c r="A186" s="14">
        <v>41</v>
      </c>
      <c r="B186" s="12" t="s">
        <v>931</v>
      </c>
      <c r="C186" s="12" t="s">
        <v>928</v>
      </c>
      <c r="D186" s="12" t="s">
        <v>927</v>
      </c>
      <c r="E186" s="12" t="s">
        <v>344</v>
      </c>
      <c r="F186" s="12" t="s">
        <v>930</v>
      </c>
      <c r="G186" s="12" t="s">
        <v>929</v>
      </c>
      <c r="H186" s="12" t="s">
        <v>1506</v>
      </c>
      <c r="I186" s="12" t="s">
        <v>184</v>
      </c>
      <c r="J186" s="12" t="s">
        <v>1665</v>
      </c>
      <c r="K186" s="12" t="s">
        <v>1348</v>
      </c>
      <c r="L186" s="12" t="s">
        <v>1666</v>
      </c>
      <c r="M186" s="12" t="s">
        <v>1667</v>
      </c>
      <c r="N186" s="12" t="s">
        <v>1272</v>
      </c>
      <c r="O186" s="12" t="s">
        <v>1263</v>
      </c>
      <c r="P186" s="12" t="s">
        <v>1264</v>
      </c>
      <c r="Q186" s="16" t="s">
        <v>201</v>
      </c>
      <c r="R186" s="16" t="s">
        <v>180</v>
      </c>
      <c r="S186" s="12" t="s">
        <v>119</v>
      </c>
      <c r="T186" s="12" t="s">
        <v>619</v>
      </c>
      <c r="U186" s="24" t="s">
        <v>180</v>
      </c>
    </row>
    <row r="187" spans="1:21">
      <c r="A187" s="14">
        <v>41</v>
      </c>
      <c r="B187" s="12" t="s">
        <v>717</v>
      </c>
      <c r="C187" s="12" t="s">
        <v>715</v>
      </c>
      <c r="D187" s="12" t="s">
        <v>714</v>
      </c>
      <c r="E187" s="12" t="s">
        <v>173</v>
      </c>
      <c r="F187" s="12" t="s">
        <v>227</v>
      </c>
      <c r="G187" s="12" t="s">
        <v>716</v>
      </c>
      <c r="H187" s="12" t="s">
        <v>1668</v>
      </c>
      <c r="I187" s="12" t="s">
        <v>184</v>
      </c>
      <c r="J187" s="12" t="s">
        <v>1669</v>
      </c>
      <c r="K187" s="12" t="s">
        <v>1260</v>
      </c>
      <c r="L187" s="12" t="s">
        <v>1452</v>
      </c>
      <c r="M187" s="12" t="s">
        <v>1260</v>
      </c>
      <c r="N187" s="12" t="s">
        <v>1272</v>
      </c>
      <c r="O187" s="12" t="s">
        <v>1263</v>
      </c>
      <c r="P187" s="12" t="s">
        <v>1264</v>
      </c>
      <c r="Q187" s="16" t="s">
        <v>1265</v>
      </c>
      <c r="R187" s="16" t="s">
        <v>180</v>
      </c>
      <c r="S187" s="12" t="s">
        <v>119</v>
      </c>
      <c r="T187" s="12" t="s">
        <v>619</v>
      </c>
      <c r="U187" s="24" t="s">
        <v>180</v>
      </c>
    </row>
    <row r="188" spans="1:21">
      <c r="A188" s="14">
        <v>41</v>
      </c>
      <c r="B188" s="12" t="s">
        <v>717</v>
      </c>
      <c r="C188" s="12" t="s">
        <v>715</v>
      </c>
      <c r="D188" s="12" t="s">
        <v>714</v>
      </c>
      <c r="E188" s="12" t="s">
        <v>173</v>
      </c>
      <c r="F188" s="12" t="s">
        <v>227</v>
      </c>
      <c r="G188" s="12" t="s">
        <v>716</v>
      </c>
      <c r="H188" s="12" t="s">
        <v>1668</v>
      </c>
      <c r="I188" s="12" t="s">
        <v>184</v>
      </c>
      <c r="J188" s="12" t="s">
        <v>1670</v>
      </c>
      <c r="K188" s="12" t="s">
        <v>1260</v>
      </c>
      <c r="L188" s="12" t="s">
        <v>1446</v>
      </c>
      <c r="M188" s="12" t="s">
        <v>1260</v>
      </c>
      <c r="N188" s="12" t="s">
        <v>1269</v>
      </c>
      <c r="O188" s="12" t="s">
        <v>1263</v>
      </c>
      <c r="P188" s="12" t="s">
        <v>1264</v>
      </c>
      <c r="Q188" s="16" t="s">
        <v>1265</v>
      </c>
      <c r="R188" s="16" t="s">
        <v>180</v>
      </c>
      <c r="S188" s="12" t="s">
        <v>119</v>
      </c>
      <c r="T188" s="12" t="s">
        <v>619</v>
      </c>
      <c r="U188" s="24" t="s">
        <v>180</v>
      </c>
    </row>
    <row r="189" spans="1:21">
      <c r="A189" s="14">
        <v>41</v>
      </c>
      <c r="B189" s="12" t="s">
        <v>717</v>
      </c>
      <c r="C189" s="12" t="s">
        <v>715</v>
      </c>
      <c r="D189" s="12" t="s">
        <v>714</v>
      </c>
      <c r="E189" s="12" t="s">
        <v>173</v>
      </c>
      <c r="F189" s="12" t="s">
        <v>227</v>
      </c>
      <c r="G189" s="12" t="s">
        <v>716</v>
      </c>
      <c r="H189" s="12" t="s">
        <v>1668</v>
      </c>
      <c r="I189" s="12" t="s">
        <v>184</v>
      </c>
      <c r="J189" s="12" t="s">
        <v>1671</v>
      </c>
      <c r="K189" s="12" t="s">
        <v>1260</v>
      </c>
      <c r="L189" s="12" t="s">
        <v>1320</v>
      </c>
      <c r="M189" s="12" t="s">
        <v>1260</v>
      </c>
      <c r="N189" s="12" t="s">
        <v>1262</v>
      </c>
      <c r="O189" s="12" t="s">
        <v>1263</v>
      </c>
      <c r="P189" s="12" t="s">
        <v>1264</v>
      </c>
      <c r="Q189" s="16" t="s">
        <v>1265</v>
      </c>
      <c r="R189" s="16" t="s">
        <v>180</v>
      </c>
      <c r="S189" s="12" t="s">
        <v>119</v>
      </c>
      <c r="T189" s="12" t="s">
        <v>619</v>
      </c>
      <c r="U189" s="24" t="s">
        <v>180</v>
      </c>
    </row>
    <row r="190" spans="1:21">
      <c r="A190" s="14">
        <v>41</v>
      </c>
      <c r="B190" s="12" t="s">
        <v>717</v>
      </c>
      <c r="C190" s="12" t="s">
        <v>715</v>
      </c>
      <c r="D190" s="12" t="s">
        <v>714</v>
      </c>
      <c r="E190" s="12" t="s">
        <v>173</v>
      </c>
      <c r="F190" s="12" t="s">
        <v>227</v>
      </c>
      <c r="G190" s="12" t="s">
        <v>716</v>
      </c>
      <c r="H190" s="12" t="s">
        <v>1668</v>
      </c>
      <c r="I190" s="12" t="s">
        <v>184</v>
      </c>
      <c r="J190" s="12" t="s">
        <v>1672</v>
      </c>
      <c r="K190" s="12" t="s">
        <v>1260</v>
      </c>
      <c r="L190" s="12" t="s">
        <v>1462</v>
      </c>
      <c r="M190" s="12" t="s">
        <v>1260</v>
      </c>
      <c r="N190" s="12" t="s">
        <v>1309</v>
      </c>
      <c r="O190" s="12" t="s">
        <v>1263</v>
      </c>
      <c r="P190" s="12" t="s">
        <v>1264</v>
      </c>
      <c r="Q190" s="16" t="s">
        <v>1265</v>
      </c>
      <c r="R190" s="16" t="s">
        <v>180</v>
      </c>
      <c r="S190" s="12" t="s">
        <v>119</v>
      </c>
      <c r="T190" s="12" t="s">
        <v>619</v>
      </c>
      <c r="U190" s="24" t="s">
        <v>180</v>
      </c>
    </row>
    <row r="191" spans="1:21">
      <c r="A191" s="14">
        <v>41</v>
      </c>
      <c r="B191" s="12" t="s">
        <v>572</v>
      </c>
      <c r="C191" s="12" t="s">
        <v>569</v>
      </c>
      <c r="D191" s="12" t="s">
        <v>568</v>
      </c>
      <c r="E191" s="12" t="s">
        <v>217</v>
      </c>
      <c r="F191" s="12" t="s">
        <v>571</v>
      </c>
      <c r="G191" s="12" t="s">
        <v>570</v>
      </c>
      <c r="H191" s="12" t="s">
        <v>1305</v>
      </c>
      <c r="I191" s="12" t="s">
        <v>184</v>
      </c>
      <c r="J191" s="12" t="s">
        <v>573</v>
      </c>
      <c r="K191" s="12" t="s">
        <v>1301</v>
      </c>
      <c r="L191" s="12" t="s">
        <v>1662</v>
      </c>
      <c r="M191" s="12" t="s">
        <v>1278</v>
      </c>
      <c r="N191" s="12" t="s">
        <v>1278</v>
      </c>
      <c r="O191" s="12" t="s">
        <v>1288</v>
      </c>
      <c r="P191" s="12" t="s">
        <v>1264</v>
      </c>
      <c r="Q191" s="16" t="s">
        <v>201</v>
      </c>
      <c r="R191" s="16" t="s">
        <v>180</v>
      </c>
      <c r="S191" s="12" t="s">
        <v>104</v>
      </c>
      <c r="T191" s="12" t="s">
        <v>105</v>
      </c>
      <c r="U191" s="24" t="s">
        <v>180</v>
      </c>
    </row>
    <row r="192" spans="1:21">
      <c r="A192" s="14">
        <v>42</v>
      </c>
      <c r="B192" s="12" t="s">
        <v>457</v>
      </c>
      <c r="C192" s="12" t="s">
        <v>454</v>
      </c>
      <c r="D192" s="12" t="s">
        <v>453</v>
      </c>
      <c r="E192" s="12" t="s">
        <v>173</v>
      </c>
      <c r="F192" s="12" t="s">
        <v>456</v>
      </c>
      <c r="G192" s="12" t="s">
        <v>455</v>
      </c>
      <c r="H192" s="12" t="s">
        <v>1338</v>
      </c>
      <c r="I192" s="12" t="s">
        <v>184</v>
      </c>
      <c r="J192" s="12" t="s">
        <v>458</v>
      </c>
      <c r="K192" s="12" t="s">
        <v>1267</v>
      </c>
      <c r="L192" s="12" t="s">
        <v>1673</v>
      </c>
      <c r="M192" s="12" t="s">
        <v>1278</v>
      </c>
      <c r="N192" s="12" t="s">
        <v>1332</v>
      </c>
      <c r="O192" s="12" t="s">
        <v>1279</v>
      </c>
      <c r="P192" s="12" t="s">
        <v>1280</v>
      </c>
      <c r="Q192" s="16" t="s">
        <v>201</v>
      </c>
      <c r="R192" s="16" t="s">
        <v>180</v>
      </c>
      <c r="S192" s="12" t="s">
        <v>104</v>
      </c>
      <c r="T192" s="12" t="s">
        <v>105</v>
      </c>
      <c r="U192" s="24" t="s">
        <v>180</v>
      </c>
    </row>
    <row r="193" spans="1:21">
      <c r="A193" s="14">
        <v>42</v>
      </c>
      <c r="B193" s="12" t="s">
        <v>606</v>
      </c>
      <c r="C193" s="12" t="s">
        <v>604</v>
      </c>
      <c r="D193" s="12" t="s">
        <v>603</v>
      </c>
      <c r="E193" s="12" t="s">
        <v>292</v>
      </c>
      <c r="F193" s="12" t="s">
        <v>540</v>
      </c>
      <c r="G193" s="12" t="s">
        <v>605</v>
      </c>
      <c r="H193" s="12" t="s">
        <v>1674</v>
      </c>
      <c r="I193" s="12" t="s">
        <v>184</v>
      </c>
      <c r="J193" s="12" t="s">
        <v>1675</v>
      </c>
      <c r="K193" s="12" t="s">
        <v>1348</v>
      </c>
      <c r="L193" s="12" t="s">
        <v>1676</v>
      </c>
      <c r="M193" s="12" t="s">
        <v>1677</v>
      </c>
      <c r="N193" s="12" t="s">
        <v>1678</v>
      </c>
      <c r="O193" s="12" t="s">
        <v>1679</v>
      </c>
      <c r="P193" s="12" t="s">
        <v>1254</v>
      </c>
      <c r="Q193" s="16" t="s">
        <v>201</v>
      </c>
      <c r="R193" s="13" t="s">
        <v>174</v>
      </c>
      <c r="S193" s="12" t="s">
        <v>119</v>
      </c>
      <c r="T193" s="12" t="s">
        <v>586</v>
      </c>
      <c r="U193" s="24" t="s">
        <v>180</v>
      </c>
    </row>
    <row r="194" spans="1:21">
      <c r="A194" s="14">
        <v>42</v>
      </c>
      <c r="B194" s="12" t="s">
        <v>606</v>
      </c>
      <c r="C194" s="12" t="s">
        <v>604</v>
      </c>
      <c r="D194" s="12" t="s">
        <v>603</v>
      </c>
      <c r="E194" s="12" t="s">
        <v>292</v>
      </c>
      <c r="F194" s="12" t="s">
        <v>540</v>
      </c>
      <c r="G194" s="12" t="s">
        <v>605</v>
      </c>
      <c r="H194" s="12" t="s">
        <v>1674</v>
      </c>
      <c r="I194" s="12" t="s">
        <v>184</v>
      </c>
      <c r="J194" s="12" t="s">
        <v>1680</v>
      </c>
      <c r="K194" s="12" t="s">
        <v>1348</v>
      </c>
      <c r="L194" s="12" t="s">
        <v>1681</v>
      </c>
      <c r="M194" s="12" t="s">
        <v>1252</v>
      </c>
      <c r="N194" s="12" t="s">
        <v>1252</v>
      </c>
      <c r="O194" s="12" t="s">
        <v>1679</v>
      </c>
      <c r="P194" s="12" t="s">
        <v>1254</v>
      </c>
      <c r="Q194" s="16" t="s">
        <v>201</v>
      </c>
      <c r="R194" s="13" t="s">
        <v>174</v>
      </c>
      <c r="S194" s="12" t="s">
        <v>119</v>
      </c>
      <c r="T194" s="12" t="s">
        <v>586</v>
      </c>
      <c r="U194" s="24" t="s">
        <v>180</v>
      </c>
    </row>
    <row r="195" spans="1:21">
      <c r="A195" s="14">
        <v>42</v>
      </c>
      <c r="B195" s="12" t="s">
        <v>606</v>
      </c>
      <c r="C195" s="12" t="s">
        <v>604</v>
      </c>
      <c r="D195" s="12" t="s">
        <v>603</v>
      </c>
      <c r="E195" s="12" t="s">
        <v>292</v>
      </c>
      <c r="F195" s="12" t="s">
        <v>540</v>
      </c>
      <c r="G195" s="12" t="s">
        <v>605</v>
      </c>
      <c r="H195" s="12" t="s">
        <v>1674</v>
      </c>
      <c r="I195" s="12" t="s">
        <v>184</v>
      </c>
      <c r="J195" s="12" t="s">
        <v>1682</v>
      </c>
      <c r="K195" s="12" t="s">
        <v>1348</v>
      </c>
      <c r="L195" s="12" t="s">
        <v>1349</v>
      </c>
      <c r="M195" s="12" t="s">
        <v>1272</v>
      </c>
      <c r="N195" s="12" t="s">
        <v>1272</v>
      </c>
      <c r="O195" s="12" t="s">
        <v>1679</v>
      </c>
      <c r="P195" s="12" t="s">
        <v>1254</v>
      </c>
      <c r="Q195" s="16" t="s">
        <v>201</v>
      </c>
      <c r="R195" s="13" t="s">
        <v>174</v>
      </c>
      <c r="S195" s="12" t="s">
        <v>119</v>
      </c>
      <c r="T195" s="12" t="s">
        <v>586</v>
      </c>
      <c r="U195" s="24" t="s">
        <v>180</v>
      </c>
    </row>
    <row r="196" spans="1:21">
      <c r="A196" s="14">
        <v>42</v>
      </c>
      <c r="B196" s="12" t="s">
        <v>237</v>
      </c>
      <c r="C196" s="12" t="s">
        <v>232</v>
      </c>
      <c r="D196" s="12" t="s">
        <v>99</v>
      </c>
      <c r="E196" s="12" t="s">
        <v>173</v>
      </c>
      <c r="F196" s="12" t="s">
        <v>236</v>
      </c>
      <c r="G196" s="12" t="s">
        <v>1154</v>
      </c>
      <c r="H196" s="12" t="s">
        <v>1338</v>
      </c>
      <c r="I196" s="12" t="s">
        <v>235</v>
      </c>
      <c r="J196" s="12" t="s">
        <v>238</v>
      </c>
      <c r="K196" s="12" t="s">
        <v>1469</v>
      </c>
      <c r="L196" s="12" t="s">
        <v>1469</v>
      </c>
      <c r="M196" s="12" t="s">
        <v>1311</v>
      </c>
      <c r="N196" s="12" t="s">
        <v>1283</v>
      </c>
      <c r="O196" s="12" t="s">
        <v>1263</v>
      </c>
      <c r="P196" s="12" t="s">
        <v>1280</v>
      </c>
      <c r="Q196" s="16" t="s">
        <v>201</v>
      </c>
      <c r="R196" s="16" t="s">
        <v>180</v>
      </c>
      <c r="S196" s="12" t="s">
        <v>93</v>
      </c>
      <c r="T196" s="12" t="s">
        <v>90</v>
      </c>
      <c r="U196" s="13" t="s">
        <v>174</v>
      </c>
    </row>
    <row r="197" spans="1:21">
      <c r="A197" s="14">
        <v>43</v>
      </c>
      <c r="B197" s="12" t="s">
        <v>1683</v>
      </c>
      <c r="C197" s="12" t="s">
        <v>1042</v>
      </c>
      <c r="D197" s="12" t="s">
        <v>1041</v>
      </c>
      <c r="E197" s="12" t="s">
        <v>469</v>
      </c>
      <c r="F197" s="12" t="s">
        <v>1046</v>
      </c>
      <c r="G197" s="12" t="s">
        <v>1045</v>
      </c>
      <c r="H197" s="12" t="s">
        <v>1322</v>
      </c>
      <c r="I197" s="12" t="s">
        <v>184</v>
      </c>
      <c r="J197" s="12" t="s">
        <v>1684</v>
      </c>
      <c r="K197" s="12" t="s">
        <v>1363</v>
      </c>
      <c r="L197" s="12" t="s">
        <v>1685</v>
      </c>
      <c r="M197" s="12" t="s">
        <v>1278</v>
      </c>
      <c r="N197" s="12" t="s">
        <v>1278</v>
      </c>
      <c r="O197" s="12" t="s">
        <v>1288</v>
      </c>
      <c r="P197" s="12" t="s">
        <v>1264</v>
      </c>
      <c r="Q197" s="16" t="s">
        <v>201</v>
      </c>
      <c r="R197" s="16" t="s">
        <v>180</v>
      </c>
      <c r="S197" s="12" t="s">
        <v>754</v>
      </c>
      <c r="T197" s="12" t="s">
        <v>619</v>
      </c>
      <c r="U197" s="24" t="s">
        <v>180</v>
      </c>
    </row>
    <row r="198" spans="1:21">
      <c r="A198" s="14">
        <v>43</v>
      </c>
      <c r="B198" s="12" t="s">
        <v>1683</v>
      </c>
      <c r="C198" s="12" t="s">
        <v>1042</v>
      </c>
      <c r="D198" s="12" t="s">
        <v>1041</v>
      </c>
      <c r="E198" s="12" t="s">
        <v>469</v>
      </c>
      <c r="F198" s="12" t="s">
        <v>1046</v>
      </c>
      <c r="G198" s="12" t="s">
        <v>1045</v>
      </c>
      <c r="H198" s="12" t="s">
        <v>1322</v>
      </c>
      <c r="I198" s="12" t="s">
        <v>184</v>
      </c>
      <c r="J198" s="12" t="s">
        <v>1686</v>
      </c>
      <c r="K198" s="12" t="s">
        <v>1250</v>
      </c>
      <c r="L198" s="12" t="s">
        <v>1687</v>
      </c>
      <c r="M198" s="12" t="s">
        <v>1278</v>
      </c>
      <c r="N198" s="12" t="s">
        <v>1278</v>
      </c>
      <c r="O198" s="12" t="s">
        <v>1288</v>
      </c>
      <c r="P198" s="12" t="s">
        <v>1264</v>
      </c>
      <c r="Q198" s="16" t="s">
        <v>201</v>
      </c>
      <c r="R198" s="16" t="s">
        <v>180</v>
      </c>
      <c r="S198" s="12" t="s">
        <v>754</v>
      </c>
      <c r="T198" s="12" t="s">
        <v>619</v>
      </c>
      <c r="U198" s="24" t="s">
        <v>180</v>
      </c>
    </row>
    <row r="199" spans="1:21">
      <c r="A199" s="14">
        <v>43</v>
      </c>
      <c r="B199" s="12" t="s">
        <v>1688</v>
      </c>
      <c r="C199" s="12" t="s">
        <v>1042</v>
      </c>
      <c r="D199" s="12" t="s">
        <v>1041</v>
      </c>
      <c r="E199" s="12" t="s">
        <v>469</v>
      </c>
      <c r="F199" s="12" t="s">
        <v>1046</v>
      </c>
      <c r="G199" s="12" t="s">
        <v>1045</v>
      </c>
      <c r="H199" s="12" t="s">
        <v>1322</v>
      </c>
      <c r="I199" s="12" t="s">
        <v>184</v>
      </c>
      <c r="J199" s="12" t="s">
        <v>1689</v>
      </c>
      <c r="K199" s="12" t="s">
        <v>1363</v>
      </c>
      <c r="L199" s="12" t="s">
        <v>1690</v>
      </c>
      <c r="M199" s="12" t="s">
        <v>1272</v>
      </c>
      <c r="N199" s="12" t="s">
        <v>1272</v>
      </c>
      <c r="O199" s="12" t="s">
        <v>1279</v>
      </c>
      <c r="P199" s="12" t="s">
        <v>1264</v>
      </c>
      <c r="Q199" s="16" t="s">
        <v>201</v>
      </c>
      <c r="R199" s="16" t="s">
        <v>180</v>
      </c>
      <c r="S199" s="12" t="s">
        <v>754</v>
      </c>
      <c r="T199" s="12" t="s">
        <v>619</v>
      </c>
      <c r="U199" s="24" t="s">
        <v>180</v>
      </c>
    </row>
    <row r="200" spans="1:21">
      <c r="A200" s="14">
        <v>43</v>
      </c>
      <c r="B200" s="12" t="s">
        <v>1688</v>
      </c>
      <c r="C200" s="12" t="s">
        <v>1042</v>
      </c>
      <c r="D200" s="12" t="s">
        <v>1041</v>
      </c>
      <c r="E200" s="12" t="s">
        <v>469</v>
      </c>
      <c r="F200" s="12" t="s">
        <v>1046</v>
      </c>
      <c r="G200" s="12" t="s">
        <v>1045</v>
      </c>
      <c r="H200" s="12" t="s">
        <v>1322</v>
      </c>
      <c r="I200" s="12" t="s">
        <v>184</v>
      </c>
      <c r="J200" s="12" t="s">
        <v>1691</v>
      </c>
      <c r="K200" s="12" t="s">
        <v>1250</v>
      </c>
      <c r="L200" s="12" t="s">
        <v>1692</v>
      </c>
      <c r="M200" s="12" t="s">
        <v>1272</v>
      </c>
      <c r="N200" s="12" t="s">
        <v>1272</v>
      </c>
      <c r="O200" s="12" t="s">
        <v>1279</v>
      </c>
      <c r="P200" s="12" t="s">
        <v>1264</v>
      </c>
      <c r="Q200" s="16" t="s">
        <v>201</v>
      </c>
      <c r="R200" s="16" t="s">
        <v>180</v>
      </c>
      <c r="S200" s="12" t="s">
        <v>754</v>
      </c>
      <c r="T200" s="12" t="s">
        <v>619</v>
      </c>
      <c r="U200" s="24" t="s">
        <v>180</v>
      </c>
    </row>
    <row r="201" spans="1:21">
      <c r="A201" s="14">
        <v>43</v>
      </c>
      <c r="B201" s="12" t="s">
        <v>541</v>
      </c>
      <c r="C201" s="12" t="s">
        <v>535</v>
      </c>
      <c r="D201" s="12" t="s">
        <v>534</v>
      </c>
      <c r="E201" s="12" t="s">
        <v>292</v>
      </c>
      <c r="F201" s="12" t="s">
        <v>540</v>
      </c>
      <c r="G201" s="12" t="s">
        <v>539</v>
      </c>
      <c r="H201" s="12" t="s">
        <v>1693</v>
      </c>
      <c r="I201" s="12" t="s">
        <v>184</v>
      </c>
      <c r="J201" s="12" t="s">
        <v>542</v>
      </c>
      <c r="K201" s="12" t="s">
        <v>1307</v>
      </c>
      <c r="L201" s="12" t="s">
        <v>1694</v>
      </c>
      <c r="M201" s="12" t="s">
        <v>1695</v>
      </c>
      <c r="N201" s="12" t="s">
        <v>1695</v>
      </c>
      <c r="O201" s="12" t="s">
        <v>1253</v>
      </c>
      <c r="P201" s="12" t="s">
        <v>1154</v>
      </c>
      <c r="Q201" s="16" t="s">
        <v>201</v>
      </c>
      <c r="R201" s="13" t="s">
        <v>174</v>
      </c>
      <c r="S201" s="12" t="s">
        <v>104</v>
      </c>
      <c r="T201" s="12" t="s">
        <v>105</v>
      </c>
      <c r="U201" s="24" t="s">
        <v>180</v>
      </c>
    </row>
    <row r="202" spans="1:21">
      <c r="A202" s="14">
        <v>44</v>
      </c>
      <c r="B202" s="12" t="s">
        <v>384</v>
      </c>
      <c r="C202" s="12" t="s">
        <v>377</v>
      </c>
      <c r="D202" s="12" t="s">
        <v>376</v>
      </c>
      <c r="E202" s="12" t="s">
        <v>378</v>
      </c>
      <c r="F202" s="12" t="s">
        <v>383</v>
      </c>
      <c r="G202" s="12" t="s">
        <v>382</v>
      </c>
      <c r="H202" s="12" t="s">
        <v>1322</v>
      </c>
      <c r="I202" s="12" t="s">
        <v>184</v>
      </c>
      <c r="J202" s="12" t="s">
        <v>1696</v>
      </c>
      <c r="K202" s="12" t="s">
        <v>1417</v>
      </c>
      <c r="L202" s="12" t="s">
        <v>1697</v>
      </c>
      <c r="M202" s="12" t="s">
        <v>1287</v>
      </c>
      <c r="N202" s="12" t="s">
        <v>1287</v>
      </c>
      <c r="O202" s="12" t="s">
        <v>1698</v>
      </c>
      <c r="P202" s="12" t="s">
        <v>1699</v>
      </c>
      <c r="Q202" s="16" t="s">
        <v>201</v>
      </c>
      <c r="R202" s="16" t="s">
        <v>180</v>
      </c>
      <c r="S202" s="12" t="s">
        <v>89</v>
      </c>
      <c r="T202" s="12" t="s">
        <v>379</v>
      </c>
      <c r="U202" s="24" t="s">
        <v>180</v>
      </c>
    </row>
    <row r="203" spans="1:21">
      <c r="A203" s="14">
        <v>44</v>
      </c>
      <c r="B203" s="12" t="s">
        <v>384</v>
      </c>
      <c r="C203" s="12" t="s">
        <v>377</v>
      </c>
      <c r="D203" s="12" t="s">
        <v>376</v>
      </c>
      <c r="E203" s="12" t="s">
        <v>378</v>
      </c>
      <c r="F203" s="12" t="s">
        <v>383</v>
      </c>
      <c r="G203" s="12" t="s">
        <v>382</v>
      </c>
      <c r="H203" s="12" t="s">
        <v>1322</v>
      </c>
      <c r="I203" s="12" t="s">
        <v>184</v>
      </c>
      <c r="J203" s="12" t="s">
        <v>1700</v>
      </c>
      <c r="K203" s="12" t="s">
        <v>1417</v>
      </c>
      <c r="L203" s="12" t="s">
        <v>1697</v>
      </c>
      <c r="M203" s="12" t="s">
        <v>1287</v>
      </c>
      <c r="N203" s="12" t="s">
        <v>1287</v>
      </c>
      <c r="O203" s="12" t="s">
        <v>1701</v>
      </c>
      <c r="P203" s="12" t="s">
        <v>1699</v>
      </c>
      <c r="Q203" s="16" t="s">
        <v>201</v>
      </c>
      <c r="R203" s="16" t="s">
        <v>180</v>
      </c>
      <c r="S203" s="12" t="s">
        <v>89</v>
      </c>
      <c r="T203" s="12" t="s">
        <v>379</v>
      </c>
      <c r="U203" s="24" t="s">
        <v>180</v>
      </c>
    </row>
    <row r="204" spans="1:21">
      <c r="A204" s="14">
        <v>44</v>
      </c>
      <c r="B204" s="12" t="s">
        <v>1702</v>
      </c>
      <c r="C204" s="12" t="s">
        <v>665</v>
      </c>
      <c r="D204" s="12" t="s">
        <v>664</v>
      </c>
      <c r="E204" s="12" t="s">
        <v>469</v>
      </c>
      <c r="F204" s="12" t="s">
        <v>667</v>
      </c>
      <c r="G204" s="12" t="s">
        <v>1703</v>
      </c>
      <c r="H204" s="12" t="s">
        <v>1305</v>
      </c>
      <c r="I204" s="12" t="s">
        <v>235</v>
      </c>
      <c r="J204" s="12" t="s">
        <v>1704</v>
      </c>
      <c r="K204" s="12" t="s">
        <v>1307</v>
      </c>
      <c r="L204" s="12" t="s">
        <v>1307</v>
      </c>
      <c r="M204" s="12" t="s">
        <v>1311</v>
      </c>
      <c r="N204" s="12" t="s">
        <v>1283</v>
      </c>
      <c r="O204" s="12" t="s">
        <v>1288</v>
      </c>
      <c r="P204" s="12" t="s">
        <v>1280</v>
      </c>
      <c r="Q204" s="16" t="s">
        <v>201</v>
      </c>
      <c r="R204" s="16" t="s">
        <v>180</v>
      </c>
      <c r="S204" s="12" t="s">
        <v>119</v>
      </c>
      <c r="T204" s="12" t="s">
        <v>519</v>
      </c>
      <c r="U204" s="24" t="s">
        <v>180</v>
      </c>
    </row>
    <row r="205" spans="1:21">
      <c r="A205" s="14">
        <v>44</v>
      </c>
      <c r="B205" s="12" t="s">
        <v>1702</v>
      </c>
      <c r="C205" s="12" t="s">
        <v>665</v>
      </c>
      <c r="D205" s="12" t="s">
        <v>664</v>
      </c>
      <c r="E205" s="12" t="s">
        <v>469</v>
      </c>
      <c r="F205" s="12" t="s">
        <v>667</v>
      </c>
      <c r="G205" s="12" t="s">
        <v>1703</v>
      </c>
      <c r="H205" s="12" t="s">
        <v>1305</v>
      </c>
      <c r="I205" s="12" t="s">
        <v>235</v>
      </c>
      <c r="J205" s="12" t="s">
        <v>1705</v>
      </c>
      <c r="K205" s="12" t="s">
        <v>1313</v>
      </c>
      <c r="L205" s="12" t="s">
        <v>1313</v>
      </c>
      <c r="M205" s="12" t="s">
        <v>1311</v>
      </c>
      <c r="N205" s="12" t="s">
        <v>1283</v>
      </c>
      <c r="O205" s="12" t="s">
        <v>1288</v>
      </c>
      <c r="P205" s="12" t="s">
        <v>1280</v>
      </c>
      <c r="Q205" s="16" t="s">
        <v>201</v>
      </c>
      <c r="R205" s="16" t="s">
        <v>180</v>
      </c>
      <c r="S205" s="12" t="s">
        <v>119</v>
      </c>
      <c r="T205" s="12" t="s">
        <v>519</v>
      </c>
      <c r="U205" s="24" t="s">
        <v>180</v>
      </c>
    </row>
    <row r="206" spans="1:21">
      <c r="A206" s="14">
        <v>44</v>
      </c>
      <c r="B206" s="12" t="s">
        <v>1702</v>
      </c>
      <c r="C206" s="12" t="s">
        <v>665</v>
      </c>
      <c r="D206" s="12" t="s">
        <v>664</v>
      </c>
      <c r="E206" s="12" t="s">
        <v>469</v>
      </c>
      <c r="F206" s="12" t="s">
        <v>667</v>
      </c>
      <c r="G206" s="12" t="s">
        <v>1703</v>
      </c>
      <c r="H206" s="12" t="s">
        <v>1305</v>
      </c>
      <c r="I206" s="12" t="s">
        <v>235</v>
      </c>
      <c r="J206" s="12" t="s">
        <v>1706</v>
      </c>
      <c r="K206" s="12" t="s">
        <v>1307</v>
      </c>
      <c r="L206" s="12" t="s">
        <v>1308</v>
      </c>
      <c r="M206" s="12" t="s">
        <v>1309</v>
      </c>
      <c r="N206" s="12" t="s">
        <v>1309</v>
      </c>
      <c r="O206" s="12" t="s">
        <v>1279</v>
      </c>
      <c r="P206" s="12" t="s">
        <v>1280</v>
      </c>
      <c r="Q206" s="16" t="s">
        <v>201</v>
      </c>
      <c r="R206" s="16" t="s">
        <v>180</v>
      </c>
      <c r="S206" s="12" t="s">
        <v>119</v>
      </c>
      <c r="T206" s="12" t="s">
        <v>519</v>
      </c>
      <c r="U206" s="24" t="s">
        <v>180</v>
      </c>
    </row>
    <row r="207" spans="1:21">
      <c r="A207" s="14">
        <v>44</v>
      </c>
      <c r="B207" s="12" t="s">
        <v>1702</v>
      </c>
      <c r="C207" s="12" t="s">
        <v>665</v>
      </c>
      <c r="D207" s="12" t="s">
        <v>664</v>
      </c>
      <c r="E207" s="12" t="s">
        <v>469</v>
      </c>
      <c r="F207" s="12" t="s">
        <v>667</v>
      </c>
      <c r="G207" s="12" t="s">
        <v>1703</v>
      </c>
      <c r="H207" s="12" t="s">
        <v>1305</v>
      </c>
      <c r="I207" s="12" t="s">
        <v>235</v>
      </c>
      <c r="J207" s="12" t="s">
        <v>1707</v>
      </c>
      <c r="K207" s="12" t="s">
        <v>1313</v>
      </c>
      <c r="L207" s="12" t="s">
        <v>1314</v>
      </c>
      <c r="M207" s="12" t="s">
        <v>1309</v>
      </c>
      <c r="N207" s="12" t="s">
        <v>1309</v>
      </c>
      <c r="O207" s="12" t="s">
        <v>1279</v>
      </c>
      <c r="P207" s="12" t="s">
        <v>1280</v>
      </c>
      <c r="Q207" s="16" t="s">
        <v>201</v>
      </c>
      <c r="R207" s="16" t="s">
        <v>180</v>
      </c>
      <c r="S207" s="12" t="s">
        <v>119</v>
      </c>
      <c r="T207" s="12" t="s">
        <v>519</v>
      </c>
      <c r="U207" s="24" t="s">
        <v>180</v>
      </c>
    </row>
    <row r="208" spans="1:21">
      <c r="A208" s="14">
        <v>44</v>
      </c>
      <c r="B208" s="12" t="s">
        <v>1132</v>
      </c>
      <c r="C208" s="12" t="s">
        <v>1130</v>
      </c>
      <c r="D208" s="12" t="s">
        <v>1129</v>
      </c>
      <c r="E208" s="12" t="s">
        <v>469</v>
      </c>
      <c r="F208" s="12" t="s">
        <v>612</v>
      </c>
      <c r="G208" s="12" t="s">
        <v>1131</v>
      </c>
      <c r="H208" s="12" t="s">
        <v>1305</v>
      </c>
      <c r="I208" s="12" t="s">
        <v>184</v>
      </c>
      <c r="J208" s="12" t="s">
        <v>1708</v>
      </c>
      <c r="K208" s="12" t="s">
        <v>1409</v>
      </c>
      <c r="L208" s="12" t="s">
        <v>1409</v>
      </c>
      <c r="M208" s="12" t="s">
        <v>1311</v>
      </c>
      <c r="N208" s="12" t="s">
        <v>1283</v>
      </c>
      <c r="O208" s="12" t="s">
        <v>1288</v>
      </c>
      <c r="P208" s="12" t="s">
        <v>1280</v>
      </c>
      <c r="Q208" s="16" t="s">
        <v>201</v>
      </c>
      <c r="R208" s="16" t="s">
        <v>180</v>
      </c>
      <c r="S208" s="12" t="s">
        <v>754</v>
      </c>
      <c r="T208" s="12" t="s">
        <v>619</v>
      </c>
      <c r="U208" s="24" t="s">
        <v>180</v>
      </c>
    </row>
    <row r="209" spans="1:21">
      <c r="A209" s="14">
        <v>44</v>
      </c>
      <c r="B209" s="12" t="s">
        <v>1132</v>
      </c>
      <c r="C209" s="12" t="s">
        <v>1130</v>
      </c>
      <c r="D209" s="12" t="s">
        <v>1129</v>
      </c>
      <c r="E209" s="12" t="s">
        <v>469</v>
      </c>
      <c r="F209" s="12" t="s">
        <v>612</v>
      </c>
      <c r="G209" s="12" t="s">
        <v>1131</v>
      </c>
      <c r="H209" s="12" t="s">
        <v>1305</v>
      </c>
      <c r="I209" s="12" t="s">
        <v>184</v>
      </c>
      <c r="J209" s="12" t="s">
        <v>1709</v>
      </c>
      <c r="K209" s="12" t="s">
        <v>1285</v>
      </c>
      <c r="L209" s="12" t="s">
        <v>1285</v>
      </c>
      <c r="M209" s="12" t="s">
        <v>1311</v>
      </c>
      <c r="N209" s="12" t="s">
        <v>1283</v>
      </c>
      <c r="O209" s="12" t="s">
        <v>1288</v>
      </c>
      <c r="P209" s="12" t="s">
        <v>1280</v>
      </c>
      <c r="Q209" s="16" t="s">
        <v>201</v>
      </c>
      <c r="R209" s="16" t="s">
        <v>180</v>
      </c>
      <c r="S209" s="12" t="s">
        <v>754</v>
      </c>
      <c r="T209" s="12" t="s">
        <v>619</v>
      </c>
      <c r="U209" s="24" t="s">
        <v>180</v>
      </c>
    </row>
    <row r="210" spans="1:21">
      <c r="A210" s="14">
        <v>44</v>
      </c>
      <c r="B210" s="12" t="s">
        <v>1132</v>
      </c>
      <c r="C210" s="12" t="s">
        <v>1130</v>
      </c>
      <c r="D210" s="12" t="s">
        <v>1129</v>
      </c>
      <c r="E210" s="12" t="s">
        <v>469</v>
      </c>
      <c r="F210" s="12" t="s">
        <v>612</v>
      </c>
      <c r="G210" s="12" t="s">
        <v>1131</v>
      </c>
      <c r="H210" s="12" t="s">
        <v>1305</v>
      </c>
      <c r="I210" s="12" t="s">
        <v>184</v>
      </c>
      <c r="J210" s="12" t="s">
        <v>1710</v>
      </c>
      <c r="K210" s="12" t="s">
        <v>1301</v>
      </c>
      <c r="L210" s="12" t="s">
        <v>1301</v>
      </c>
      <c r="M210" s="12" t="s">
        <v>1311</v>
      </c>
      <c r="N210" s="12" t="s">
        <v>1283</v>
      </c>
      <c r="O210" s="12" t="s">
        <v>1288</v>
      </c>
      <c r="P210" s="12" t="s">
        <v>1280</v>
      </c>
      <c r="Q210" s="16" t="s">
        <v>201</v>
      </c>
      <c r="R210" s="16" t="s">
        <v>180</v>
      </c>
      <c r="S210" s="12" t="s">
        <v>754</v>
      </c>
      <c r="T210" s="12" t="s">
        <v>619</v>
      </c>
      <c r="U210" s="24" t="s">
        <v>180</v>
      </c>
    </row>
    <row r="211" spans="1:21">
      <c r="A211" s="14">
        <v>45</v>
      </c>
      <c r="B211" s="12" t="s">
        <v>1142</v>
      </c>
      <c r="C211" s="12" t="s">
        <v>1135</v>
      </c>
      <c r="D211" s="12" t="s">
        <v>1134</v>
      </c>
      <c r="E211" s="12" t="s">
        <v>292</v>
      </c>
      <c r="F211" s="12" t="s">
        <v>1141</v>
      </c>
      <c r="G211" s="12" t="s">
        <v>1140</v>
      </c>
      <c r="H211" s="12" t="s">
        <v>1711</v>
      </c>
      <c r="I211" s="12" t="s">
        <v>184</v>
      </c>
      <c r="J211" s="12" t="s">
        <v>1712</v>
      </c>
      <c r="K211" s="12" t="s">
        <v>1260</v>
      </c>
      <c r="L211" s="12" t="s">
        <v>1261</v>
      </c>
      <c r="M211" s="12" t="s">
        <v>1260</v>
      </c>
      <c r="N211" s="12" t="s">
        <v>1262</v>
      </c>
      <c r="O211" s="12" t="s">
        <v>1279</v>
      </c>
      <c r="P211" s="12" t="s">
        <v>1264</v>
      </c>
      <c r="Q211" s="16" t="s">
        <v>1265</v>
      </c>
      <c r="R211" s="16" t="s">
        <v>180</v>
      </c>
      <c r="S211" s="12" t="s">
        <v>104</v>
      </c>
      <c r="T211" s="12" t="s">
        <v>105</v>
      </c>
      <c r="U211" s="24" t="s">
        <v>180</v>
      </c>
    </row>
    <row r="212" spans="1:21">
      <c r="A212" s="14">
        <v>45</v>
      </c>
      <c r="B212" s="12" t="s">
        <v>1142</v>
      </c>
      <c r="C212" s="12" t="s">
        <v>1135</v>
      </c>
      <c r="D212" s="12" t="s">
        <v>1134</v>
      </c>
      <c r="E212" s="12" t="s">
        <v>292</v>
      </c>
      <c r="F212" s="12" t="s">
        <v>1141</v>
      </c>
      <c r="G212" s="12" t="s">
        <v>1140</v>
      </c>
      <c r="H212" s="12" t="s">
        <v>1711</v>
      </c>
      <c r="I212" s="12" t="s">
        <v>184</v>
      </c>
      <c r="J212" s="12" t="s">
        <v>1713</v>
      </c>
      <c r="K212" s="12" t="s">
        <v>1260</v>
      </c>
      <c r="L212" s="12" t="s">
        <v>1378</v>
      </c>
      <c r="M212" s="12" t="s">
        <v>1260</v>
      </c>
      <c r="N212" s="12" t="s">
        <v>1269</v>
      </c>
      <c r="O212" s="12" t="s">
        <v>1279</v>
      </c>
      <c r="P212" s="12" t="s">
        <v>1264</v>
      </c>
      <c r="Q212" s="16" t="s">
        <v>1265</v>
      </c>
      <c r="R212" s="16" t="s">
        <v>180</v>
      </c>
      <c r="S212" s="12" t="s">
        <v>104</v>
      </c>
      <c r="T212" s="12" t="s">
        <v>105</v>
      </c>
      <c r="U212" s="24" t="s">
        <v>180</v>
      </c>
    </row>
    <row r="213" spans="1:21">
      <c r="A213" s="14">
        <v>45</v>
      </c>
      <c r="B213" s="12" t="s">
        <v>1714</v>
      </c>
      <c r="C213" s="12" t="s">
        <v>990</v>
      </c>
      <c r="D213" s="12" t="s">
        <v>989</v>
      </c>
      <c r="E213" s="12" t="s">
        <v>199</v>
      </c>
      <c r="F213" s="12" t="s">
        <v>994</v>
      </c>
      <c r="G213" s="12" t="s">
        <v>1154</v>
      </c>
      <c r="H213" s="12" t="s">
        <v>1715</v>
      </c>
      <c r="I213" s="12" t="s">
        <v>184</v>
      </c>
      <c r="J213" s="12" t="s">
        <v>1716</v>
      </c>
      <c r="K213" s="12" t="s">
        <v>1409</v>
      </c>
      <c r="L213" s="12" t="s">
        <v>1412</v>
      </c>
      <c r="M213" s="12" t="s">
        <v>1283</v>
      </c>
      <c r="N213" s="12" t="s">
        <v>1278</v>
      </c>
      <c r="O213" s="12" t="s">
        <v>1279</v>
      </c>
      <c r="P213" s="12" t="s">
        <v>1264</v>
      </c>
      <c r="Q213" s="16" t="s">
        <v>201</v>
      </c>
      <c r="R213" s="16" t="s">
        <v>180</v>
      </c>
      <c r="S213" s="12" t="s">
        <v>119</v>
      </c>
      <c r="T213" s="12" t="s">
        <v>619</v>
      </c>
      <c r="U213" s="24" t="s">
        <v>180</v>
      </c>
    </row>
    <row r="214" spans="1:21">
      <c r="A214" s="14">
        <v>45</v>
      </c>
      <c r="B214" s="12" t="s">
        <v>1717</v>
      </c>
      <c r="C214" s="12" t="s">
        <v>990</v>
      </c>
      <c r="D214" s="12" t="s">
        <v>989</v>
      </c>
      <c r="E214" s="12" t="s">
        <v>199</v>
      </c>
      <c r="F214" s="12" t="s">
        <v>994</v>
      </c>
      <c r="G214" s="12" t="s">
        <v>1154</v>
      </c>
      <c r="H214" s="12" t="s">
        <v>1319</v>
      </c>
      <c r="I214" s="12" t="s">
        <v>1718</v>
      </c>
      <c r="J214" s="12" t="s">
        <v>1719</v>
      </c>
      <c r="K214" s="12" t="s">
        <v>1260</v>
      </c>
      <c r="L214" s="12" t="s">
        <v>1378</v>
      </c>
      <c r="M214" s="12" t="s">
        <v>1260</v>
      </c>
      <c r="N214" s="12" t="s">
        <v>1309</v>
      </c>
      <c r="O214" s="12" t="s">
        <v>1263</v>
      </c>
      <c r="P214" s="12" t="s">
        <v>1264</v>
      </c>
      <c r="Q214" s="16" t="s">
        <v>1265</v>
      </c>
      <c r="R214" s="16" t="s">
        <v>180</v>
      </c>
      <c r="S214" s="12" t="s">
        <v>119</v>
      </c>
      <c r="T214" s="12" t="s">
        <v>619</v>
      </c>
      <c r="U214" s="24" t="s">
        <v>180</v>
      </c>
    </row>
    <row r="215" spans="1:21">
      <c r="A215" s="14">
        <v>46</v>
      </c>
      <c r="B215" s="12" t="s">
        <v>937</v>
      </c>
      <c r="C215" s="12" t="s">
        <v>934</v>
      </c>
      <c r="D215" s="12" t="s">
        <v>933</v>
      </c>
      <c r="E215" s="12" t="s">
        <v>344</v>
      </c>
      <c r="F215" s="12" t="s">
        <v>936</v>
      </c>
      <c r="G215" s="12" t="s">
        <v>935</v>
      </c>
      <c r="H215" s="12" t="s">
        <v>1322</v>
      </c>
      <c r="I215" s="12" t="s">
        <v>184</v>
      </c>
      <c r="J215" s="12" t="s">
        <v>1720</v>
      </c>
      <c r="K215" s="12" t="s">
        <v>1298</v>
      </c>
      <c r="L215" s="12" t="s">
        <v>1637</v>
      </c>
      <c r="M215" s="12" t="s">
        <v>1278</v>
      </c>
      <c r="N215" s="12" t="s">
        <v>1309</v>
      </c>
      <c r="O215" s="12" t="s">
        <v>1279</v>
      </c>
      <c r="P215" s="12" t="s">
        <v>1264</v>
      </c>
      <c r="Q215" s="16" t="s">
        <v>201</v>
      </c>
      <c r="R215" s="16" t="s">
        <v>180</v>
      </c>
      <c r="S215" s="12" t="s">
        <v>119</v>
      </c>
      <c r="T215" s="12" t="s">
        <v>619</v>
      </c>
      <c r="U215" s="24" t="s">
        <v>180</v>
      </c>
    </row>
    <row r="216" spans="1:21">
      <c r="A216" s="14">
        <v>46</v>
      </c>
      <c r="B216" s="12" t="s">
        <v>937</v>
      </c>
      <c r="C216" s="12" t="s">
        <v>934</v>
      </c>
      <c r="D216" s="12" t="s">
        <v>933</v>
      </c>
      <c r="E216" s="12" t="s">
        <v>344</v>
      </c>
      <c r="F216" s="12" t="s">
        <v>936</v>
      </c>
      <c r="G216" s="12" t="s">
        <v>935</v>
      </c>
      <c r="H216" s="12" t="s">
        <v>1322</v>
      </c>
      <c r="I216" s="12" t="s">
        <v>184</v>
      </c>
      <c r="J216" s="12" t="s">
        <v>1721</v>
      </c>
      <c r="K216" s="12" t="s">
        <v>1298</v>
      </c>
      <c r="L216" s="12" t="s">
        <v>1637</v>
      </c>
      <c r="M216" s="12" t="s">
        <v>1278</v>
      </c>
      <c r="N216" s="12" t="s">
        <v>1332</v>
      </c>
      <c r="O216" s="12" t="s">
        <v>1288</v>
      </c>
      <c r="P216" s="12" t="s">
        <v>1280</v>
      </c>
      <c r="Q216" s="16" t="s">
        <v>201</v>
      </c>
      <c r="R216" s="16" t="s">
        <v>180</v>
      </c>
      <c r="S216" s="12" t="s">
        <v>119</v>
      </c>
      <c r="T216" s="12" t="s">
        <v>619</v>
      </c>
      <c r="U216" s="24" t="s">
        <v>180</v>
      </c>
    </row>
    <row r="217" spans="1:21">
      <c r="A217" s="14">
        <v>46</v>
      </c>
      <c r="B217" s="12" t="s">
        <v>552</v>
      </c>
      <c r="C217" s="12" t="s">
        <v>546</v>
      </c>
      <c r="D217" s="12" t="s">
        <v>545</v>
      </c>
      <c r="E217" s="12" t="s">
        <v>292</v>
      </c>
      <c r="F217" s="12" t="s">
        <v>551</v>
      </c>
      <c r="G217" s="12" t="s">
        <v>550</v>
      </c>
      <c r="H217" s="12" t="s">
        <v>1271</v>
      </c>
      <c r="I217" s="12" t="s">
        <v>184</v>
      </c>
      <c r="J217" s="12" t="s">
        <v>1722</v>
      </c>
      <c r="K217" s="12" t="s">
        <v>1260</v>
      </c>
      <c r="L217" s="12" t="s">
        <v>1462</v>
      </c>
      <c r="M217" s="12" t="s">
        <v>1260</v>
      </c>
      <c r="N217" s="12" t="s">
        <v>1309</v>
      </c>
      <c r="O217" s="12" t="s">
        <v>1263</v>
      </c>
      <c r="P217" s="12" t="s">
        <v>1264</v>
      </c>
      <c r="Q217" s="16" t="s">
        <v>1265</v>
      </c>
      <c r="R217" s="16" t="s">
        <v>180</v>
      </c>
      <c r="S217" s="12" t="s">
        <v>93</v>
      </c>
      <c r="T217" s="12" t="s">
        <v>90</v>
      </c>
      <c r="U217" s="24" t="s">
        <v>180</v>
      </c>
    </row>
    <row r="218" spans="1:21">
      <c r="A218" s="14">
        <v>46</v>
      </c>
      <c r="B218" s="12" t="s">
        <v>552</v>
      </c>
      <c r="C218" s="12" t="s">
        <v>546</v>
      </c>
      <c r="D218" s="12" t="s">
        <v>545</v>
      </c>
      <c r="E218" s="12" t="s">
        <v>292</v>
      </c>
      <c r="F218" s="12" t="s">
        <v>551</v>
      </c>
      <c r="G218" s="12" t="s">
        <v>550</v>
      </c>
      <c r="H218" s="12" t="s">
        <v>1271</v>
      </c>
      <c r="I218" s="12" t="s">
        <v>184</v>
      </c>
      <c r="J218" s="12" t="s">
        <v>1723</v>
      </c>
      <c r="K218" s="12" t="s">
        <v>1260</v>
      </c>
      <c r="L218" s="12" t="s">
        <v>1320</v>
      </c>
      <c r="M218" s="12" t="s">
        <v>1260</v>
      </c>
      <c r="N218" s="12" t="s">
        <v>1309</v>
      </c>
      <c r="O218" s="12" t="s">
        <v>1263</v>
      </c>
      <c r="P218" s="12" t="s">
        <v>1264</v>
      </c>
      <c r="Q218" s="16" t="s">
        <v>1265</v>
      </c>
      <c r="R218" s="16" t="s">
        <v>180</v>
      </c>
      <c r="S218" s="12" t="s">
        <v>93</v>
      </c>
      <c r="T218" s="12" t="s">
        <v>90</v>
      </c>
      <c r="U218" s="24" t="s">
        <v>180</v>
      </c>
    </row>
    <row r="219" spans="1:21">
      <c r="A219" s="14">
        <v>46</v>
      </c>
      <c r="B219" s="12" t="s">
        <v>729</v>
      </c>
      <c r="C219" s="12" t="s">
        <v>726</v>
      </c>
      <c r="D219" s="12" t="s">
        <v>725</v>
      </c>
      <c r="E219" s="12" t="s">
        <v>173</v>
      </c>
      <c r="F219" s="12" t="s">
        <v>728</v>
      </c>
      <c r="G219" s="12" t="s">
        <v>727</v>
      </c>
      <c r="H219" s="12" t="s">
        <v>1724</v>
      </c>
      <c r="I219" s="12" t="s">
        <v>184</v>
      </c>
      <c r="J219" s="12" t="s">
        <v>1725</v>
      </c>
      <c r="K219" s="12" t="s">
        <v>1260</v>
      </c>
      <c r="L219" s="12" t="s">
        <v>1726</v>
      </c>
      <c r="M219" s="12" t="s">
        <v>1260</v>
      </c>
      <c r="N219" s="12" t="s">
        <v>1277</v>
      </c>
      <c r="O219" s="12" t="s">
        <v>1288</v>
      </c>
      <c r="P219" s="12" t="s">
        <v>1280</v>
      </c>
      <c r="Q219" s="16" t="s">
        <v>1265</v>
      </c>
      <c r="R219" s="16" t="s">
        <v>180</v>
      </c>
      <c r="S219" s="12" t="s">
        <v>119</v>
      </c>
      <c r="T219" s="12" t="s">
        <v>619</v>
      </c>
      <c r="U219" s="24" t="s">
        <v>180</v>
      </c>
    </row>
    <row r="220" spans="1:21">
      <c r="A220" s="14">
        <v>46</v>
      </c>
      <c r="B220" s="12" t="s">
        <v>729</v>
      </c>
      <c r="C220" s="12" t="s">
        <v>726</v>
      </c>
      <c r="D220" s="12" t="s">
        <v>725</v>
      </c>
      <c r="E220" s="12" t="s">
        <v>173</v>
      </c>
      <c r="F220" s="12" t="s">
        <v>728</v>
      </c>
      <c r="G220" s="12" t="s">
        <v>727</v>
      </c>
      <c r="H220" s="12" t="s">
        <v>1724</v>
      </c>
      <c r="I220" s="12" t="s">
        <v>184</v>
      </c>
      <c r="J220" s="12" t="s">
        <v>1727</v>
      </c>
      <c r="K220" s="12" t="s">
        <v>1260</v>
      </c>
      <c r="L220" s="12" t="s">
        <v>1728</v>
      </c>
      <c r="M220" s="12" t="s">
        <v>1260</v>
      </c>
      <c r="N220" s="12" t="s">
        <v>1277</v>
      </c>
      <c r="O220" s="12" t="s">
        <v>1288</v>
      </c>
      <c r="P220" s="12" t="s">
        <v>1280</v>
      </c>
      <c r="Q220" s="16" t="s">
        <v>1265</v>
      </c>
      <c r="R220" s="16" t="s">
        <v>180</v>
      </c>
      <c r="S220" s="12" t="s">
        <v>119</v>
      </c>
      <c r="T220" s="12" t="s">
        <v>619</v>
      </c>
      <c r="U220" s="24" t="s">
        <v>180</v>
      </c>
    </row>
    <row r="221" spans="1:21">
      <c r="A221" s="14">
        <v>46</v>
      </c>
      <c r="B221" s="12" t="s">
        <v>729</v>
      </c>
      <c r="C221" s="12" t="s">
        <v>726</v>
      </c>
      <c r="D221" s="12" t="s">
        <v>725</v>
      </c>
      <c r="E221" s="12" t="s">
        <v>173</v>
      </c>
      <c r="F221" s="12" t="s">
        <v>728</v>
      </c>
      <c r="G221" s="12" t="s">
        <v>727</v>
      </c>
      <c r="H221" s="12" t="s">
        <v>1724</v>
      </c>
      <c r="I221" s="12" t="s">
        <v>184</v>
      </c>
      <c r="J221" s="12" t="s">
        <v>1729</v>
      </c>
      <c r="K221" s="12" t="s">
        <v>1260</v>
      </c>
      <c r="L221" s="12" t="s">
        <v>1261</v>
      </c>
      <c r="M221" s="12" t="s">
        <v>1260</v>
      </c>
      <c r="N221" s="12" t="s">
        <v>1262</v>
      </c>
      <c r="O221" s="12" t="s">
        <v>1263</v>
      </c>
      <c r="P221" s="12" t="s">
        <v>1264</v>
      </c>
      <c r="Q221" s="16" t="s">
        <v>1265</v>
      </c>
      <c r="R221" s="16" t="s">
        <v>180</v>
      </c>
      <c r="S221" s="12" t="s">
        <v>119</v>
      </c>
      <c r="T221" s="12" t="s">
        <v>619</v>
      </c>
      <c r="U221" s="24" t="s">
        <v>180</v>
      </c>
    </row>
    <row r="222" spans="1:21">
      <c r="A222" s="14">
        <v>46</v>
      </c>
      <c r="B222" s="12" t="s">
        <v>729</v>
      </c>
      <c r="C222" s="12" t="s">
        <v>726</v>
      </c>
      <c r="D222" s="12" t="s">
        <v>725</v>
      </c>
      <c r="E222" s="12" t="s">
        <v>173</v>
      </c>
      <c r="F222" s="12" t="s">
        <v>728</v>
      </c>
      <c r="G222" s="12" t="s">
        <v>727</v>
      </c>
      <c r="H222" s="12" t="s">
        <v>1724</v>
      </c>
      <c r="I222" s="12" t="s">
        <v>184</v>
      </c>
      <c r="J222" s="12" t="s">
        <v>1730</v>
      </c>
      <c r="K222" s="12" t="s">
        <v>1260</v>
      </c>
      <c r="L222" s="12" t="s">
        <v>1378</v>
      </c>
      <c r="M222" s="12" t="s">
        <v>1260</v>
      </c>
      <c r="N222" s="12" t="s">
        <v>1269</v>
      </c>
      <c r="O222" s="12" t="s">
        <v>1263</v>
      </c>
      <c r="P222" s="12" t="s">
        <v>1264</v>
      </c>
      <c r="Q222" s="16" t="s">
        <v>1265</v>
      </c>
      <c r="R222" s="16" t="s">
        <v>180</v>
      </c>
      <c r="S222" s="12" t="s">
        <v>119</v>
      </c>
      <c r="T222" s="12" t="s">
        <v>619</v>
      </c>
      <c r="U222" s="24" t="s">
        <v>180</v>
      </c>
    </row>
    <row r="223" spans="1:21">
      <c r="A223" s="14">
        <v>47</v>
      </c>
      <c r="B223" s="12" t="s">
        <v>1731</v>
      </c>
      <c r="C223" s="12" t="s">
        <v>753</v>
      </c>
      <c r="D223" s="12" t="s">
        <v>752</v>
      </c>
      <c r="E223" s="12" t="s">
        <v>469</v>
      </c>
      <c r="F223" s="12" t="s">
        <v>757</v>
      </c>
      <c r="G223" s="12" t="s">
        <v>756</v>
      </c>
      <c r="H223" s="12" t="s">
        <v>1407</v>
      </c>
      <c r="I223" s="12" t="s">
        <v>184</v>
      </c>
      <c r="J223" s="12" t="s">
        <v>1732</v>
      </c>
      <c r="K223" s="12" t="s">
        <v>1298</v>
      </c>
      <c r="L223" s="12" t="s">
        <v>1414</v>
      </c>
      <c r="M223" s="12" t="s">
        <v>1309</v>
      </c>
      <c r="N223" s="12" t="s">
        <v>1309</v>
      </c>
      <c r="O223" s="12" t="s">
        <v>1279</v>
      </c>
      <c r="P223" s="12" t="s">
        <v>1280</v>
      </c>
      <c r="Q223" s="16" t="s">
        <v>201</v>
      </c>
      <c r="R223" s="16" t="s">
        <v>180</v>
      </c>
      <c r="S223" s="12" t="s">
        <v>754</v>
      </c>
      <c r="T223" s="12" t="s">
        <v>586</v>
      </c>
      <c r="U223" s="24" t="s">
        <v>180</v>
      </c>
    </row>
    <row r="224" spans="1:21">
      <c r="A224" s="14">
        <v>47</v>
      </c>
      <c r="B224" s="12" t="s">
        <v>1731</v>
      </c>
      <c r="C224" s="12" t="s">
        <v>753</v>
      </c>
      <c r="D224" s="12" t="s">
        <v>752</v>
      </c>
      <c r="E224" s="12" t="s">
        <v>469</v>
      </c>
      <c r="F224" s="12" t="s">
        <v>757</v>
      </c>
      <c r="G224" s="12" t="s">
        <v>756</v>
      </c>
      <c r="H224" s="12" t="s">
        <v>1407</v>
      </c>
      <c r="I224" s="12" t="s">
        <v>184</v>
      </c>
      <c r="J224" s="12" t="s">
        <v>1733</v>
      </c>
      <c r="K224" s="12" t="s">
        <v>1298</v>
      </c>
      <c r="L224" s="12" t="s">
        <v>1324</v>
      </c>
      <c r="M224" s="12" t="s">
        <v>1283</v>
      </c>
      <c r="N224" s="12" t="s">
        <v>1283</v>
      </c>
      <c r="O224" s="12" t="s">
        <v>1288</v>
      </c>
      <c r="P224" s="12" t="s">
        <v>1280</v>
      </c>
      <c r="Q224" s="16" t="s">
        <v>201</v>
      </c>
      <c r="R224" s="16" t="s">
        <v>180</v>
      </c>
      <c r="S224" s="12" t="s">
        <v>754</v>
      </c>
      <c r="T224" s="12" t="s">
        <v>586</v>
      </c>
      <c r="U224" s="24" t="s">
        <v>180</v>
      </c>
    </row>
    <row r="225" spans="1:21">
      <c r="A225" s="14">
        <v>47</v>
      </c>
      <c r="B225" s="12" t="s">
        <v>1731</v>
      </c>
      <c r="C225" s="12" t="s">
        <v>753</v>
      </c>
      <c r="D225" s="12" t="s">
        <v>752</v>
      </c>
      <c r="E225" s="12" t="s">
        <v>469</v>
      </c>
      <c r="F225" s="12" t="s">
        <v>757</v>
      </c>
      <c r="G225" s="12" t="s">
        <v>756</v>
      </c>
      <c r="H225" s="12" t="s">
        <v>1407</v>
      </c>
      <c r="I225" s="12" t="s">
        <v>184</v>
      </c>
      <c r="J225" s="12" t="s">
        <v>1734</v>
      </c>
      <c r="K225" s="12" t="s">
        <v>1298</v>
      </c>
      <c r="L225" s="12" t="s">
        <v>1735</v>
      </c>
      <c r="M225" s="12" t="s">
        <v>1278</v>
      </c>
      <c r="N225" s="12" t="s">
        <v>1278</v>
      </c>
      <c r="O225" s="12" t="s">
        <v>1279</v>
      </c>
      <c r="P225" s="12" t="s">
        <v>1280</v>
      </c>
      <c r="Q225" s="16" t="s">
        <v>201</v>
      </c>
      <c r="R225" s="16" t="s">
        <v>180</v>
      </c>
      <c r="S225" s="12" t="s">
        <v>754</v>
      </c>
      <c r="T225" s="12" t="s">
        <v>586</v>
      </c>
      <c r="U225" s="24" t="s">
        <v>180</v>
      </c>
    </row>
    <row r="226" spans="1:21">
      <c r="A226" s="14">
        <v>47</v>
      </c>
      <c r="B226" s="12" t="s">
        <v>1731</v>
      </c>
      <c r="C226" s="12" t="s">
        <v>753</v>
      </c>
      <c r="D226" s="12" t="s">
        <v>752</v>
      </c>
      <c r="E226" s="12" t="s">
        <v>469</v>
      </c>
      <c r="F226" s="12" t="s">
        <v>757</v>
      </c>
      <c r="G226" s="12" t="s">
        <v>756</v>
      </c>
      <c r="H226" s="12" t="s">
        <v>1407</v>
      </c>
      <c r="I226" s="12" t="s">
        <v>184</v>
      </c>
      <c r="J226" s="12" t="s">
        <v>1736</v>
      </c>
      <c r="K226" s="12" t="s">
        <v>1348</v>
      </c>
      <c r="L226" s="12" t="s">
        <v>1353</v>
      </c>
      <c r="M226" s="12" t="s">
        <v>1309</v>
      </c>
      <c r="N226" s="12" t="s">
        <v>1309</v>
      </c>
      <c r="O226" s="12" t="s">
        <v>1279</v>
      </c>
      <c r="P226" s="12" t="s">
        <v>1280</v>
      </c>
      <c r="Q226" s="16" t="s">
        <v>201</v>
      </c>
      <c r="R226" s="16" t="s">
        <v>180</v>
      </c>
      <c r="S226" s="12" t="s">
        <v>754</v>
      </c>
      <c r="T226" s="12" t="s">
        <v>586</v>
      </c>
      <c r="U226" s="24" t="s">
        <v>180</v>
      </c>
    </row>
    <row r="227" spans="1:21">
      <c r="A227" s="14">
        <v>47</v>
      </c>
      <c r="B227" s="12" t="s">
        <v>1731</v>
      </c>
      <c r="C227" s="12" t="s">
        <v>753</v>
      </c>
      <c r="D227" s="12" t="s">
        <v>752</v>
      </c>
      <c r="E227" s="12" t="s">
        <v>469</v>
      </c>
      <c r="F227" s="12" t="s">
        <v>757</v>
      </c>
      <c r="G227" s="12" t="s">
        <v>756</v>
      </c>
      <c r="H227" s="12" t="s">
        <v>1407</v>
      </c>
      <c r="I227" s="12" t="s">
        <v>184</v>
      </c>
      <c r="J227" s="12" t="s">
        <v>1737</v>
      </c>
      <c r="K227" s="12" t="s">
        <v>1348</v>
      </c>
      <c r="L227" s="12" t="s">
        <v>1348</v>
      </c>
      <c r="M227" s="12" t="s">
        <v>1311</v>
      </c>
      <c r="N227" s="12" t="s">
        <v>1283</v>
      </c>
      <c r="O227" s="12" t="s">
        <v>1288</v>
      </c>
      <c r="P227" s="12" t="s">
        <v>1280</v>
      </c>
      <c r="Q227" s="16" t="s">
        <v>201</v>
      </c>
      <c r="R227" s="16" t="s">
        <v>180</v>
      </c>
      <c r="S227" s="12" t="s">
        <v>754</v>
      </c>
      <c r="T227" s="12" t="s">
        <v>586</v>
      </c>
      <c r="U227" s="24" t="s">
        <v>180</v>
      </c>
    </row>
    <row r="228" spans="1:21">
      <c r="A228" s="14">
        <v>47</v>
      </c>
      <c r="B228" s="12" t="s">
        <v>1731</v>
      </c>
      <c r="C228" s="12" t="s">
        <v>753</v>
      </c>
      <c r="D228" s="12" t="s">
        <v>752</v>
      </c>
      <c r="E228" s="12" t="s">
        <v>469</v>
      </c>
      <c r="F228" s="12" t="s">
        <v>757</v>
      </c>
      <c r="G228" s="12" t="s">
        <v>756</v>
      </c>
      <c r="H228" s="12" t="s">
        <v>1407</v>
      </c>
      <c r="I228" s="12" t="s">
        <v>184</v>
      </c>
      <c r="J228" s="12" t="s">
        <v>1738</v>
      </c>
      <c r="K228" s="12" t="s">
        <v>1348</v>
      </c>
      <c r="L228" s="12" t="s">
        <v>1486</v>
      </c>
      <c r="M228" s="12" t="s">
        <v>1283</v>
      </c>
      <c r="N228" s="12" t="s">
        <v>1283</v>
      </c>
      <c r="O228" s="12" t="s">
        <v>1288</v>
      </c>
      <c r="P228" s="12" t="s">
        <v>1280</v>
      </c>
      <c r="Q228" s="16" t="s">
        <v>201</v>
      </c>
      <c r="R228" s="16" t="s">
        <v>180</v>
      </c>
      <c r="S228" s="12" t="s">
        <v>754</v>
      </c>
      <c r="T228" s="12" t="s">
        <v>586</v>
      </c>
      <c r="U228" s="24" t="s">
        <v>180</v>
      </c>
    </row>
    <row r="229" spans="1:21">
      <c r="A229" s="14">
        <v>47</v>
      </c>
      <c r="B229" s="12" t="s">
        <v>1739</v>
      </c>
      <c r="C229" s="12" t="s">
        <v>753</v>
      </c>
      <c r="D229" s="12" t="s">
        <v>752</v>
      </c>
      <c r="E229" s="12" t="s">
        <v>469</v>
      </c>
      <c r="F229" s="12" t="s">
        <v>757</v>
      </c>
      <c r="G229" s="12" t="s">
        <v>1154</v>
      </c>
      <c r="H229" s="12" t="s">
        <v>1322</v>
      </c>
      <c r="I229" s="12" t="s">
        <v>184</v>
      </c>
      <c r="J229" s="12" t="s">
        <v>1740</v>
      </c>
      <c r="K229" s="12" t="s">
        <v>1298</v>
      </c>
      <c r="L229" s="12" t="s">
        <v>1299</v>
      </c>
      <c r="M229" s="12" t="s">
        <v>1272</v>
      </c>
      <c r="N229" s="12" t="s">
        <v>1272</v>
      </c>
      <c r="O229" s="12" t="s">
        <v>1253</v>
      </c>
      <c r="P229" s="12" t="s">
        <v>1154</v>
      </c>
      <c r="Q229" s="16" t="s">
        <v>201</v>
      </c>
      <c r="R229" s="13" t="s">
        <v>174</v>
      </c>
      <c r="S229" s="12" t="s">
        <v>754</v>
      </c>
      <c r="T229" s="12" t="s">
        <v>586</v>
      </c>
      <c r="U229" s="24" t="s">
        <v>180</v>
      </c>
    </row>
    <row r="230" spans="1:21">
      <c r="A230" s="14">
        <v>47</v>
      </c>
      <c r="B230" s="12" t="s">
        <v>1739</v>
      </c>
      <c r="C230" s="12" t="s">
        <v>753</v>
      </c>
      <c r="D230" s="12" t="s">
        <v>752</v>
      </c>
      <c r="E230" s="12" t="s">
        <v>469</v>
      </c>
      <c r="F230" s="12" t="s">
        <v>757</v>
      </c>
      <c r="G230" s="12" t="s">
        <v>1154</v>
      </c>
      <c r="H230" s="12" t="s">
        <v>1322</v>
      </c>
      <c r="I230" s="12" t="s">
        <v>184</v>
      </c>
      <c r="J230" s="12" t="s">
        <v>1741</v>
      </c>
      <c r="K230" s="12" t="s">
        <v>1298</v>
      </c>
      <c r="L230" s="12" t="s">
        <v>1406</v>
      </c>
      <c r="M230" s="12" t="s">
        <v>1252</v>
      </c>
      <c r="N230" s="12" t="s">
        <v>1252</v>
      </c>
      <c r="O230" s="12" t="s">
        <v>1253</v>
      </c>
      <c r="P230" s="12" t="s">
        <v>1154</v>
      </c>
      <c r="Q230" s="16" t="s">
        <v>201</v>
      </c>
      <c r="R230" s="13" t="s">
        <v>174</v>
      </c>
      <c r="S230" s="12" t="s">
        <v>754</v>
      </c>
      <c r="T230" s="12" t="s">
        <v>586</v>
      </c>
      <c r="U230" s="24" t="s">
        <v>180</v>
      </c>
    </row>
    <row r="231" spans="1:21">
      <c r="A231" s="14">
        <v>48</v>
      </c>
      <c r="B231" s="12" t="s">
        <v>1742</v>
      </c>
      <c r="C231" s="12" t="s">
        <v>753</v>
      </c>
      <c r="D231" s="12" t="s">
        <v>752</v>
      </c>
      <c r="E231" s="12" t="s">
        <v>469</v>
      </c>
      <c r="F231" s="12" t="s">
        <v>757</v>
      </c>
      <c r="G231" s="12" t="s">
        <v>756</v>
      </c>
      <c r="H231" s="12" t="s">
        <v>1305</v>
      </c>
      <c r="I231" s="12" t="s">
        <v>184</v>
      </c>
      <c r="J231" s="12" t="s">
        <v>1743</v>
      </c>
      <c r="K231" s="12" t="s">
        <v>1348</v>
      </c>
      <c r="L231" s="12" t="s">
        <v>1348</v>
      </c>
      <c r="M231" s="12" t="s">
        <v>1311</v>
      </c>
      <c r="N231" s="12" t="s">
        <v>1569</v>
      </c>
      <c r="O231" s="12" t="s">
        <v>1488</v>
      </c>
      <c r="P231" s="12" t="s">
        <v>1489</v>
      </c>
      <c r="Q231" s="16" t="s">
        <v>201</v>
      </c>
      <c r="R231" s="16" t="s">
        <v>180</v>
      </c>
      <c r="S231" s="12" t="s">
        <v>754</v>
      </c>
      <c r="T231" s="12" t="s">
        <v>586</v>
      </c>
      <c r="U231" s="24" t="s">
        <v>180</v>
      </c>
    </row>
    <row r="232" spans="1:21">
      <c r="A232" s="14">
        <v>48</v>
      </c>
      <c r="B232" s="12" t="s">
        <v>1742</v>
      </c>
      <c r="C232" s="12" t="s">
        <v>753</v>
      </c>
      <c r="D232" s="12" t="s">
        <v>752</v>
      </c>
      <c r="E232" s="12" t="s">
        <v>469</v>
      </c>
      <c r="F232" s="12" t="s">
        <v>757</v>
      </c>
      <c r="G232" s="12" t="s">
        <v>756</v>
      </c>
      <c r="H232" s="12" t="s">
        <v>1305</v>
      </c>
      <c r="I232" s="12" t="s">
        <v>184</v>
      </c>
      <c r="J232" s="12" t="s">
        <v>1744</v>
      </c>
      <c r="K232" s="12" t="s">
        <v>1348</v>
      </c>
      <c r="L232" s="12" t="s">
        <v>1486</v>
      </c>
      <c r="M232" s="12" t="s">
        <v>1283</v>
      </c>
      <c r="N232" s="12" t="s">
        <v>1487</v>
      </c>
      <c r="O232" s="12" t="s">
        <v>1488</v>
      </c>
      <c r="P232" s="12" t="s">
        <v>1489</v>
      </c>
      <c r="Q232" s="16" t="s">
        <v>201</v>
      </c>
      <c r="R232" s="16" t="s">
        <v>180</v>
      </c>
      <c r="S232" s="12" t="s">
        <v>754</v>
      </c>
      <c r="T232" s="12" t="s">
        <v>586</v>
      </c>
      <c r="U232" s="24" t="s">
        <v>180</v>
      </c>
    </row>
    <row r="233" spans="1:21">
      <c r="A233" s="14">
        <v>48</v>
      </c>
      <c r="B233" s="12" t="s">
        <v>1742</v>
      </c>
      <c r="C233" s="12" t="s">
        <v>753</v>
      </c>
      <c r="D233" s="12" t="s">
        <v>752</v>
      </c>
      <c r="E233" s="12" t="s">
        <v>469</v>
      </c>
      <c r="F233" s="12" t="s">
        <v>757</v>
      </c>
      <c r="G233" s="12" t="s">
        <v>756</v>
      </c>
      <c r="H233" s="12" t="s">
        <v>1305</v>
      </c>
      <c r="I233" s="12" t="s">
        <v>184</v>
      </c>
      <c r="J233" s="12" t="s">
        <v>1745</v>
      </c>
      <c r="K233" s="12" t="s">
        <v>1298</v>
      </c>
      <c r="L233" s="12" t="s">
        <v>1324</v>
      </c>
      <c r="M233" s="12" t="s">
        <v>1283</v>
      </c>
      <c r="N233" s="12" t="s">
        <v>1487</v>
      </c>
      <c r="O233" s="12" t="s">
        <v>1488</v>
      </c>
      <c r="P233" s="12" t="s">
        <v>1489</v>
      </c>
      <c r="Q233" s="16" t="s">
        <v>201</v>
      </c>
      <c r="R233" s="16" t="s">
        <v>180</v>
      </c>
      <c r="S233" s="12" t="s">
        <v>754</v>
      </c>
      <c r="T233" s="12" t="s">
        <v>586</v>
      </c>
      <c r="U233" s="24" t="s">
        <v>180</v>
      </c>
    </row>
    <row r="234" spans="1:21">
      <c r="A234" s="14">
        <v>48</v>
      </c>
      <c r="B234" s="12" t="s">
        <v>1746</v>
      </c>
      <c r="C234" s="12" t="s">
        <v>412</v>
      </c>
      <c r="D234" s="12" t="s">
        <v>411</v>
      </c>
      <c r="E234" s="12" t="s">
        <v>344</v>
      </c>
      <c r="F234" s="12" t="s">
        <v>1747</v>
      </c>
      <c r="G234" s="12" t="s">
        <v>1748</v>
      </c>
      <c r="H234" s="12" t="s">
        <v>1296</v>
      </c>
      <c r="I234" s="12" t="s">
        <v>184</v>
      </c>
      <c r="J234" s="12" t="s">
        <v>1749</v>
      </c>
      <c r="K234" s="12" t="s">
        <v>1298</v>
      </c>
      <c r="L234" s="12" t="s">
        <v>1299</v>
      </c>
      <c r="M234" s="12" t="s">
        <v>1272</v>
      </c>
      <c r="N234" s="12" t="s">
        <v>1272</v>
      </c>
      <c r="O234" s="12" t="s">
        <v>1263</v>
      </c>
      <c r="P234" s="12" t="s">
        <v>1264</v>
      </c>
      <c r="Q234" s="16" t="s">
        <v>201</v>
      </c>
      <c r="R234" s="16" t="s">
        <v>180</v>
      </c>
      <c r="S234" s="12" t="s">
        <v>104</v>
      </c>
      <c r="T234" s="12" t="s">
        <v>105</v>
      </c>
      <c r="U234" s="24" t="s">
        <v>180</v>
      </c>
    </row>
    <row r="235" spans="1:21">
      <c r="A235" s="14">
        <v>48</v>
      </c>
      <c r="B235" s="12" t="s">
        <v>1746</v>
      </c>
      <c r="C235" s="12" t="s">
        <v>412</v>
      </c>
      <c r="D235" s="12" t="s">
        <v>411</v>
      </c>
      <c r="E235" s="12" t="s">
        <v>344</v>
      </c>
      <c r="F235" s="12" t="s">
        <v>1747</v>
      </c>
      <c r="G235" s="12" t="s">
        <v>1748</v>
      </c>
      <c r="H235" s="12" t="s">
        <v>1296</v>
      </c>
      <c r="I235" s="12" t="s">
        <v>184</v>
      </c>
      <c r="J235" s="12" t="s">
        <v>1750</v>
      </c>
      <c r="K235" s="12" t="s">
        <v>1298</v>
      </c>
      <c r="L235" s="12" t="s">
        <v>1640</v>
      </c>
      <c r="M235" s="12" t="s">
        <v>1262</v>
      </c>
      <c r="N235" s="12" t="s">
        <v>1262</v>
      </c>
      <c r="O235" s="12" t="s">
        <v>1279</v>
      </c>
      <c r="P235" s="12" t="s">
        <v>1264</v>
      </c>
      <c r="Q235" s="16" t="s">
        <v>201</v>
      </c>
      <c r="R235" s="16" t="s">
        <v>180</v>
      </c>
      <c r="S235" s="12" t="s">
        <v>104</v>
      </c>
      <c r="T235" s="12" t="s">
        <v>105</v>
      </c>
      <c r="U235" s="24" t="s">
        <v>180</v>
      </c>
    </row>
    <row r="236" spans="1:21">
      <c r="A236" s="14">
        <v>48</v>
      </c>
      <c r="B236" s="12" t="s">
        <v>1746</v>
      </c>
      <c r="C236" s="12" t="s">
        <v>412</v>
      </c>
      <c r="D236" s="12" t="s">
        <v>411</v>
      </c>
      <c r="E236" s="12" t="s">
        <v>344</v>
      </c>
      <c r="F236" s="12" t="s">
        <v>1747</v>
      </c>
      <c r="G236" s="12" t="s">
        <v>1748</v>
      </c>
      <c r="H236" s="12" t="s">
        <v>1296</v>
      </c>
      <c r="I236" s="12" t="s">
        <v>184</v>
      </c>
      <c r="J236" s="12" t="s">
        <v>1751</v>
      </c>
      <c r="K236" s="12" t="s">
        <v>1298</v>
      </c>
      <c r="L236" s="12" t="s">
        <v>1414</v>
      </c>
      <c r="M236" s="12" t="s">
        <v>1309</v>
      </c>
      <c r="N236" s="12" t="s">
        <v>1309</v>
      </c>
      <c r="O236" s="12" t="s">
        <v>1279</v>
      </c>
      <c r="P236" s="12" t="s">
        <v>1264</v>
      </c>
      <c r="Q236" s="16" t="s">
        <v>201</v>
      </c>
      <c r="R236" s="16" t="s">
        <v>180</v>
      </c>
      <c r="S236" s="12" t="s">
        <v>104</v>
      </c>
      <c r="T236" s="12" t="s">
        <v>105</v>
      </c>
      <c r="U236" s="24" t="s">
        <v>180</v>
      </c>
    </row>
    <row r="237" spans="1:21">
      <c r="A237" s="14">
        <v>48</v>
      </c>
      <c r="B237" s="12" t="s">
        <v>1752</v>
      </c>
      <c r="C237" s="12" t="s">
        <v>412</v>
      </c>
      <c r="D237" s="12" t="s">
        <v>411</v>
      </c>
      <c r="E237" s="12" t="s">
        <v>344</v>
      </c>
      <c r="F237" s="12" t="s">
        <v>1753</v>
      </c>
      <c r="G237" s="12" t="s">
        <v>1754</v>
      </c>
      <c r="H237" s="12" t="s">
        <v>1296</v>
      </c>
      <c r="I237" s="12" t="s">
        <v>184</v>
      </c>
      <c r="J237" s="12" t="s">
        <v>1755</v>
      </c>
      <c r="K237" s="12" t="s">
        <v>1604</v>
      </c>
      <c r="L237" s="12" t="s">
        <v>1756</v>
      </c>
      <c r="M237" s="12" t="s">
        <v>1678</v>
      </c>
      <c r="N237" s="12" t="s">
        <v>1678</v>
      </c>
      <c r="O237" s="12" t="s">
        <v>1253</v>
      </c>
      <c r="P237" s="12" t="s">
        <v>1254</v>
      </c>
      <c r="Q237" s="16" t="s">
        <v>201</v>
      </c>
      <c r="R237" s="13" t="s">
        <v>174</v>
      </c>
      <c r="S237" s="12" t="s">
        <v>104</v>
      </c>
      <c r="T237" s="12" t="s">
        <v>105</v>
      </c>
      <c r="U237" s="24" t="s">
        <v>180</v>
      </c>
    </row>
    <row r="238" spans="1:21">
      <c r="A238" s="14">
        <v>48</v>
      </c>
      <c r="B238" s="12" t="s">
        <v>1752</v>
      </c>
      <c r="C238" s="12" t="s">
        <v>412</v>
      </c>
      <c r="D238" s="12" t="s">
        <v>411</v>
      </c>
      <c r="E238" s="12" t="s">
        <v>344</v>
      </c>
      <c r="F238" s="12" t="s">
        <v>1753</v>
      </c>
      <c r="G238" s="12" t="s">
        <v>1754</v>
      </c>
      <c r="H238" s="12" t="s">
        <v>1296</v>
      </c>
      <c r="I238" s="12" t="s">
        <v>184</v>
      </c>
      <c r="J238" s="12" t="s">
        <v>1757</v>
      </c>
      <c r="K238" s="12" t="s">
        <v>1604</v>
      </c>
      <c r="L238" s="12" t="s">
        <v>1758</v>
      </c>
      <c r="M238" s="12" t="s">
        <v>1252</v>
      </c>
      <c r="N238" s="12" t="s">
        <v>1252</v>
      </c>
      <c r="O238" s="12" t="s">
        <v>1253</v>
      </c>
      <c r="P238" s="12" t="s">
        <v>1254</v>
      </c>
      <c r="Q238" s="16" t="s">
        <v>201</v>
      </c>
      <c r="R238" s="13" t="s">
        <v>174</v>
      </c>
      <c r="S238" s="12" t="s">
        <v>104</v>
      </c>
      <c r="T238" s="12" t="s">
        <v>105</v>
      </c>
      <c r="U238" s="24" t="s">
        <v>180</v>
      </c>
    </row>
    <row r="239" spans="1:21">
      <c r="A239" s="14">
        <v>49</v>
      </c>
      <c r="B239" s="12" t="s">
        <v>340</v>
      </c>
      <c r="C239" s="12" t="s">
        <v>337</v>
      </c>
      <c r="D239" s="12" t="s">
        <v>116</v>
      </c>
      <c r="E239" s="12" t="s">
        <v>199</v>
      </c>
      <c r="F239" s="12" t="s">
        <v>339</v>
      </c>
      <c r="G239" s="12" t="s">
        <v>338</v>
      </c>
      <c r="H239" s="12" t="s">
        <v>1319</v>
      </c>
      <c r="I239" s="12" t="s">
        <v>184</v>
      </c>
      <c r="J239" s="12" t="s">
        <v>1759</v>
      </c>
      <c r="K239" s="12" t="s">
        <v>1260</v>
      </c>
      <c r="L239" s="12" t="s">
        <v>1448</v>
      </c>
      <c r="M239" s="12" t="s">
        <v>1260</v>
      </c>
      <c r="N239" s="12" t="s">
        <v>1272</v>
      </c>
      <c r="O239" s="12" t="s">
        <v>1263</v>
      </c>
      <c r="P239" s="12" t="s">
        <v>1264</v>
      </c>
      <c r="Q239" s="16" t="s">
        <v>1265</v>
      </c>
      <c r="R239" s="16" t="s">
        <v>180</v>
      </c>
      <c r="S239" s="12" t="s">
        <v>104</v>
      </c>
      <c r="T239" s="12" t="s">
        <v>105</v>
      </c>
      <c r="U239" s="13" t="s">
        <v>174</v>
      </c>
    </row>
    <row r="240" spans="1:21">
      <c r="A240" s="14">
        <v>49</v>
      </c>
      <c r="B240" s="12" t="s">
        <v>340</v>
      </c>
      <c r="C240" s="12" t="s">
        <v>337</v>
      </c>
      <c r="D240" s="12" t="s">
        <v>116</v>
      </c>
      <c r="E240" s="12" t="s">
        <v>199</v>
      </c>
      <c r="F240" s="12" t="s">
        <v>339</v>
      </c>
      <c r="G240" s="12" t="s">
        <v>338</v>
      </c>
      <c r="H240" s="12" t="s">
        <v>1319</v>
      </c>
      <c r="I240" s="12" t="s">
        <v>184</v>
      </c>
      <c r="J240" s="12" t="s">
        <v>1760</v>
      </c>
      <c r="K240" s="12" t="s">
        <v>1260</v>
      </c>
      <c r="L240" s="12" t="s">
        <v>1726</v>
      </c>
      <c r="M240" s="12" t="s">
        <v>1260</v>
      </c>
      <c r="N240" s="12" t="s">
        <v>1252</v>
      </c>
      <c r="O240" s="12" t="s">
        <v>1263</v>
      </c>
      <c r="P240" s="12" t="s">
        <v>1264</v>
      </c>
      <c r="Q240" s="16" t="s">
        <v>1265</v>
      </c>
      <c r="R240" s="16" t="s">
        <v>180</v>
      </c>
      <c r="S240" s="12" t="s">
        <v>104</v>
      </c>
      <c r="T240" s="12" t="s">
        <v>105</v>
      </c>
      <c r="U240" s="13" t="s">
        <v>174</v>
      </c>
    </row>
    <row r="241" spans="1:21">
      <c r="A241" s="14">
        <v>49</v>
      </c>
      <c r="B241" s="12" t="s">
        <v>1761</v>
      </c>
      <c r="C241" s="12" t="s">
        <v>806</v>
      </c>
      <c r="D241" s="12" t="s">
        <v>805</v>
      </c>
      <c r="E241" s="12" t="s">
        <v>469</v>
      </c>
      <c r="F241" s="12" t="s">
        <v>612</v>
      </c>
      <c r="G241" s="12" t="s">
        <v>1154</v>
      </c>
      <c r="H241" s="12" t="s">
        <v>1273</v>
      </c>
      <c r="I241" s="12" t="s">
        <v>184</v>
      </c>
      <c r="J241" s="12" t="s">
        <v>1762</v>
      </c>
      <c r="K241" s="12" t="s">
        <v>1313</v>
      </c>
      <c r="L241" s="12" t="s">
        <v>1313</v>
      </c>
      <c r="M241" s="12" t="s">
        <v>1311</v>
      </c>
      <c r="N241" s="12" t="s">
        <v>1283</v>
      </c>
      <c r="O241" s="12" t="s">
        <v>1288</v>
      </c>
      <c r="P241" s="12" t="s">
        <v>1280</v>
      </c>
      <c r="Q241" s="16" t="s">
        <v>201</v>
      </c>
      <c r="R241" s="16" t="s">
        <v>180</v>
      </c>
      <c r="S241" s="12" t="s">
        <v>754</v>
      </c>
      <c r="T241" s="12" t="s">
        <v>619</v>
      </c>
      <c r="U241" s="24" t="s">
        <v>180</v>
      </c>
    </row>
    <row r="242" spans="1:21">
      <c r="A242" s="14">
        <v>49</v>
      </c>
      <c r="B242" s="12" t="s">
        <v>1761</v>
      </c>
      <c r="C242" s="12" t="s">
        <v>806</v>
      </c>
      <c r="D242" s="12" t="s">
        <v>805</v>
      </c>
      <c r="E242" s="12" t="s">
        <v>469</v>
      </c>
      <c r="F242" s="12" t="s">
        <v>612</v>
      </c>
      <c r="G242" s="12" t="s">
        <v>1154</v>
      </c>
      <c r="H242" s="12" t="s">
        <v>1273</v>
      </c>
      <c r="I242" s="12" t="s">
        <v>184</v>
      </c>
      <c r="J242" s="12" t="s">
        <v>1763</v>
      </c>
      <c r="K242" s="12" t="s">
        <v>1764</v>
      </c>
      <c r="L242" s="12" t="s">
        <v>1764</v>
      </c>
      <c r="M242" s="12" t="s">
        <v>1311</v>
      </c>
      <c r="N242" s="12" t="s">
        <v>1283</v>
      </c>
      <c r="O242" s="12" t="s">
        <v>1288</v>
      </c>
      <c r="P242" s="12" t="s">
        <v>1280</v>
      </c>
      <c r="Q242" s="16" t="s">
        <v>201</v>
      </c>
      <c r="R242" s="16" t="s">
        <v>180</v>
      </c>
      <c r="S242" s="12" t="s">
        <v>754</v>
      </c>
      <c r="T242" s="12" t="s">
        <v>619</v>
      </c>
      <c r="U242" s="24" t="s">
        <v>180</v>
      </c>
    </row>
    <row r="243" spans="1:21">
      <c r="A243" s="14">
        <v>49</v>
      </c>
      <c r="B243" s="12" t="s">
        <v>1761</v>
      </c>
      <c r="C243" s="12" t="s">
        <v>806</v>
      </c>
      <c r="D243" s="12" t="s">
        <v>805</v>
      </c>
      <c r="E243" s="12" t="s">
        <v>469</v>
      </c>
      <c r="F243" s="12" t="s">
        <v>612</v>
      </c>
      <c r="G243" s="12" t="s">
        <v>1154</v>
      </c>
      <c r="H243" s="12" t="s">
        <v>1273</v>
      </c>
      <c r="I243" s="12" t="s">
        <v>184</v>
      </c>
      <c r="J243" s="12" t="s">
        <v>1765</v>
      </c>
      <c r="K243" s="12" t="s">
        <v>1250</v>
      </c>
      <c r="L243" s="12" t="s">
        <v>1250</v>
      </c>
      <c r="M243" s="12" t="s">
        <v>1311</v>
      </c>
      <c r="N243" s="12" t="s">
        <v>1283</v>
      </c>
      <c r="O243" s="12" t="s">
        <v>1288</v>
      </c>
      <c r="P243" s="12" t="s">
        <v>1280</v>
      </c>
      <c r="Q243" s="16" t="s">
        <v>201</v>
      </c>
      <c r="R243" s="16" t="s">
        <v>180</v>
      </c>
      <c r="S243" s="12" t="s">
        <v>754</v>
      </c>
      <c r="T243" s="12" t="s">
        <v>619</v>
      </c>
      <c r="U243" s="24" t="s">
        <v>180</v>
      </c>
    </row>
    <row r="244" spans="1:21">
      <c r="A244" s="14">
        <v>49</v>
      </c>
      <c r="B244" s="12" t="s">
        <v>675</v>
      </c>
      <c r="C244" s="12" t="s">
        <v>672</v>
      </c>
      <c r="D244" s="12" t="s">
        <v>671</v>
      </c>
      <c r="E244" s="12" t="s">
        <v>469</v>
      </c>
      <c r="F244" s="12" t="s">
        <v>674</v>
      </c>
      <c r="G244" s="12" t="s">
        <v>673</v>
      </c>
      <c r="H244" s="12" t="s">
        <v>1305</v>
      </c>
      <c r="I244" s="12" t="s">
        <v>184</v>
      </c>
      <c r="J244" s="12" t="s">
        <v>1766</v>
      </c>
      <c r="K244" s="12" t="s">
        <v>1316</v>
      </c>
      <c r="L244" s="12" t="s">
        <v>1316</v>
      </c>
      <c r="M244" s="12" t="s">
        <v>1311</v>
      </c>
      <c r="N244" s="12" t="s">
        <v>1283</v>
      </c>
      <c r="O244" s="12" t="s">
        <v>1288</v>
      </c>
      <c r="P244" s="12" t="s">
        <v>1280</v>
      </c>
      <c r="Q244" s="16" t="s">
        <v>201</v>
      </c>
      <c r="R244" s="16" t="s">
        <v>180</v>
      </c>
      <c r="S244" s="12" t="s">
        <v>119</v>
      </c>
      <c r="T244" s="12" t="s">
        <v>586</v>
      </c>
      <c r="U244" s="24" t="s">
        <v>180</v>
      </c>
    </row>
    <row r="245" spans="1:21">
      <c r="A245" s="14">
        <v>50</v>
      </c>
      <c r="B245" s="12" t="s">
        <v>675</v>
      </c>
      <c r="C245" s="12" t="s">
        <v>672</v>
      </c>
      <c r="D245" s="12" t="s">
        <v>671</v>
      </c>
      <c r="E245" s="12" t="s">
        <v>469</v>
      </c>
      <c r="F245" s="12" t="s">
        <v>674</v>
      </c>
      <c r="G245" s="12" t="s">
        <v>673</v>
      </c>
      <c r="H245" s="12" t="s">
        <v>1305</v>
      </c>
      <c r="I245" s="12" t="s">
        <v>184</v>
      </c>
      <c r="J245" s="12" t="s">
        <v>1767</v>
      </c>
      <c r="K245" s="12" t="s">
        <v>1298</v>
      </c>
      <c r="L245" s="12" t="s">
        <v>1324</v>
      </c>
      <c r="M245" s="12" t="s">
        <v>1283</v>
      </c>
      <c r="N245" s="12" t="s">
        <v>1487</v>
      </c>
      <c r="O245" s="12" t="s">
        <v>1488</v>
      </c>
      <c r="P245" s="12" t="s">
        <v>1489</v>
      </c>
      <c r="Q245" s="16" t="s">
        <v>201</v>
      </c>
      <c r="R245" s="16" t="s">
        <v>180</v>
      </c>
      <c r="S245" s="12" t="s">
        <v>119</v>
      </c>
      <c r="T245" s="12" t="s">
        <v>586</v>
      </c>
      <c r="U245" s="24" t="s">
        <v>180</v>
      </c>
    </row>
    <row r="246" spans="1:21">
      <c r="A246" s="14">
        <v>50</v>
      </c>
      <c r="B246" s="12" t="s">
        <v>815</v>
      </c>
      <c r="C246" s="12" t="s">
        <v>812</v>
      </c>
      <c r="D246" s="12" t="s">
        <v>811</v>
      </c>
      <c r="E246" s="12" t="s">
        <v>217</v>
      </c>
      <c r="F246" s="12" t="s">
        <v>814</v>
      </c>
      <c r="G246" s="12" t="s">
        <v>813</v>
      </c>
      <c r="H246" s="12" t="s">
        <v>1305</v>
      </c>
      <c r="I246" s="12" t="s">
        <v>184</v>
      </c>
      <c r="J246" s="12" t="s">
        <v>1768</v>
      </c>
      <c r="K246" s="12" t="s">
        <v>1298</v>
      </c>
      <c r="L246" s="12" t="s">
        <v>1414</v>
      </c>
      <c r="M246" s="12" t="s">
        <v>1309</v>
      </c>
      <c r="N246" s="12" t="s">
        <v>1309</v>
      </c>
      <c r="O246" s="12" t="s">
        <v>1279</v>
      </c>
      <c r="P246" s="12" t="s">
        <v>1280</v>
      </c>
      <c r="Q246" s="16" t="s">
        <v>201</v>
      </c>
      <c r="R246" s="16" t="s">
        <v>180</v>
      </c>
      <c r="S246" s="12" t="s">
        <v>754</v>
      </c>
      <c r="T246" s="12" t="s">
        <v>586</v>
      </c>
      <c r="U246" s="24" t="s">
        <v>180</v>
      </c>
    </row>
    <row r="247" spans="1:21">
      <c r="A247" s="14">
        <v>50</v>
      </c>
      <c r="B247" s="12" t="s">
        <v>815</v>
      </c>
      <c r="C247" s="12" t="s">
        <v>812</v>
      </c>
      <c r="D247" s="12" t="s">
        <v>811</v>
      </c>
      <c r="E247" s="12" t="s">
        <v>217</v>
      </c>
      <c r="F247" s="12" t="s">
        <v>814</v>
      </c>
      <c r="G247" s="12" t="s">
        <v>813</v>
      </c>
      <c r="H247" s="12" t="s">
        <v>1305</v>
      </c>
      <c r="I247" s="12" t="s">
        <v>184</v>
      </c>
      <c r="J247" s="12" t="s">
        <v>1769</v>
      </c>
      <c r="K247" s="12" t="s">
        <v>1427</v>
      </c>
      <c r="L247" s="12" t="s">
        <v>1534</v>
      </c>
      <c r="M247" s="12" t="s">
        <v>1309</v>
      </c>
      <c r="N247" s="12" t="s">
        <v>1309</v>
      </c>
      <c r="O247" s="12" t="s">
        <v>1279</v>
      </c>
      <c r="P247" s="12" t="s">
        <v>1280</v>
      </c>
      <c r="Q247" s="16" t="s">
        <v>201</v>
      </c>
      <c r="R247" s="16" t="s">
        <v>180</v>
      </c>
      <c r="S247" s="12" t="s">
        <v>754</v>
      </c>
      <c r="T247" s="12" t="s">
        <v>586</v>
      </c>
      <c r="U247" s="24" t="s">
        <v>180</v>
      </c>
    </row>
    <row r="248" spans="1:21">
      <c r="A248" s="14">
        <v>50</v>
      </c>
      <c r="B248" s="12" t="s">
        <v>815</v>
      </c>
      <c r="C248" s="12" t="s">
        <v>812</v>
      </c>
      <c r="D248" s="12" t="s">
        <v>811</v>
      </c>
      <c r="E248" s="12" t="s">
        <v>217</v>
      </c>
      <c r="F248" s="12" t="s">
        <v>814</v>
      </c>
      <c r="G248" s="12" t="s">
        <v>1154</v>
      </c>
      <c r="H248" s="12" t="s">
        <v>1770</v>
      </c>
      <c r="I248" s="12" t="s">
        <v>184</v>
      </c>
      <c r="J248" s="12" t="s">
        <v>1771</v>
      </c>
      <c r="K248" s="12" t="s">
        <v>1298</v>
      </c>
      <c r="L248" s="12" t="s">
        <v>1772</v>
      </c>
      <c r="M248" s="12" t="s">
        <v>1287</v>
      </c>
      <c r="N248" s="12" t="s">
        <v>1278</v>
      </c>
      <c r="O248" s="12" t="s">
        <v>1488</v>
      </c>
      <c r="P248" s="12" t="s">
        <v>1280</v>
      </c>
      <c r="Q248" s="16" t="s">
        <v>201</v>
      </c>
      <c r="R248" s="16" t="s">
        <v>180</v>
      </c>
      <c r="S248" s="12" t="s">
        <v>754</v>
      </c>
      <c r="T248" s="12" t="s">
        <v>586</v>
      </c>
      <c r="U248" s="24" t="s">
        <v>180</v>
      </c>
    </row>
    <row r="249" spans="1:21">
      <c r="A249" s="14">
        <v>51</v>
      </c>
      <c r="B249" s="12" t="s">
        <v>1773</v>
      </c>
      <c r="C249" s="12" t="s">
        <v>401</v>
      </c>
      <c r="D249" s="12" t="s">
        <v>400</v>
      </c>
      <c r="E249" s="12" t="s">
        <v>344</v>
      </c>
      <c r="F249" s="12" t="s">
        <v>405</v>
      </c>
      <c r="G249" s="12" t="s">
        <v>403</v>
      </c>
      <c r="H249" s="12" t="s">
        <v>1774</v>
      </c>
      <c r="I249" s="12" t="s">
        <v>184</v>
      </c>
      <c r="J249" s="12" t="s">
        <v>1775</v>
      </c>
      <c r="K249" s="12" t="s">
        <v>1345</v>
      </c>
      <c r="L249" s="12" t="s">
        <v>1351</v>
      </c>
      <c r="M249" s="12" t="s">
        <v>1309</v>
      </c>
      <c r="N249" s="12" t="s">
        <v>1309</v>
      </c>
      <c r="O249" s="12" t="s">
        <v>1279</v>
      </c>
      <c r="P249" s="12" t="s">
        <v>1264</v>
      </c>
      <c r="Q249" s="16" t="s">
        <v>201</v>
      </c>
      <c r="R249" s="16" t="s">
        <v>180</v>
      </c>
      <c r="S249" s="12" t="s">
        <v>104</v>
      </c>
      <c r="T249" s="12" t="s">
        <v>105</v>
      </c>
      <c r="U249" s="24" t="s">
        <v>180</v>
      </c>
    </row>
    <row r="250" spans="1:21">
      <c r="A250" s="14">
        <v>51</v>
      </c>
      <c r="B250" s="12" t="s">
        <v>1776</v>
      </c>
      <c r="C250" s="12" t="s">
        <v>401</v>
      </c>
      <c r="D250" s="12" t="s">
        <v>400</v>
      </c>
      <c r="E250" s="12" t="s">
        <v>344</v>
      </c>
      <c r="F250" s="12" t="s">
        <v>405</v>
      </c>
      <c r="G250" s="12" t="s">
        <v>403</v>
      </c>
      <c r="H250" s="12" t="s">
        <v>1777</v>
      </c>
      <c r="I250" s="12" t="s">
        <v>1778</v>
      </c>
      <c r="J250" s="12" t="s">
        <v>1779</v>
      </c>
      <c r="K250" s="12" t="s">
        <v>1604</v>
      </c>
      <c r="L250" s="12" t="s">
        <v>1756</v>
      </c>
      <c r="M250" s="12" t="s">
        <v>1678</v>
      </c>
      <c r="N250" s="12" t="s">
        <v>1591</v>
      </c>
      <c r="O250" s="12" t="s">
        <v>1253</v>
      </c>
      <c r="P250" s="12" t="s">
        <v>1475</v>
      </c>
      <c r="Q250" s="16" t="s">
        <v>201</v>
      </c>
      <c r="R250" s="13" t="s">
        <v>174</v>
      </c>
      <c r="S250" s="12" t="s">
        <v>104</v>
      </c>
      <c r="T250" s="12" t="s">
        <v>105</v>
      </c>
      <c r="U250" s="24" t="s">
        <v>180</v>
      </c>
    </row>
    <row r="251" spans="1:21">
      <c r="A251" s="14">
        <v>51</v>
      </c>
      <c r="B251" s="12" t="s">
        <v>1776</v>
      </c>
      <c r="C251" s="12" t="s">
        <v>401</v>
      </c>
      <c r="D251" s="12" t="s">
        <v>400</v>
      </c>
      <c r="E251" s="12" t="s">
        <v>344</v>
      </c>
      <c r="F251" s="12" t="s">
        <v>405</v>
      </c>
      <c r="G251" s="12" t="s">
        <v>403</v>
      </c>
      <c r="H251" s="12" t="s">
        <v>1777</v>
      </c>
      <c r="I251" s="12" t="s">
        <v>1778</v>
      </c>
      <c r="J251" s="12" t="s">
        <v>1780</v>
      </c>
      <c r="K251" s="12" t="s">
        <v>1430</v>
      </c>
      <c r="L251" s="12" t="s">
        <v>1781</v>
      </c>
      <c r="M251" s="12" t="s">
        <v>1678</v>
      </c>
      <c r="N251" s="12" t="s">
        <v>1591</v>
      </c>
      <c r="O251" s="12" t="s">
        <v>1253</v>
      </c>
      <c r="P251" s="12" t="s">
        <v>1475</v>
      </c>
      <c r="Q251" s="16" t="s">
        <v>201</v>
      </c>
      <c r="R251" s="13" t="s">
        <v>174</v>
      </c>
      <c r="S251" s="12" t="s">
        <v>104</v>
      </c>
      <c r="T251" s="12" t="s">
        <v>105</v>
      </c>
      <c r="U251" s="24" t="s">
        <v>180</v>
      </c>
    </row>
    <row r="252" spans="1:21">
      <c r="A252" s="14">
        <v>51</v>
      </c>
      <c r="B252" s="12" t="s">
        <v>1150</v>
      </c>
      <c r="C252" s="12" t="s">
        <v>1147</v>
      </c>
      <c r="D252" s="12" t="s">
        <v>1146</v>
      </c>
      <c r="E252" s="12" t="s">
        <v>344</v>
      </c>
      <c r="F252" s="12" t="s">
        <v>1149</v>
      </c>
      <c r="G252" s="12" t="s">
        <v>1148</v>
      </c>
      <c r="H252" s="12" t="s">
        <v>1305</v>
      </c>
      <c r="I252" s="12" t="s">
        <v>184</v>
      </c>
      <c r="J252" s="12" t="s">
        <v>1151</v>
      </c>
      <c r="K252" s="12" t="s">
        <v>1298</v>
      </c>
      <c r="L252" s="12" t="s">
        <v>1613</v>
      </c>
      <c r="M252" s="12" t="s">
        <v>1277</v>
      </c>
      <c r="N252" s="12" t="s">
        <v>1278</v>
      </c>
      <c r="O252" s="12" t="s">
        <v>1279</v>
      </c>
      <c r="P252" s="12" t="s">
        <v>1280</v>
      </c>
      <c r="Q252" s="16" t="s">
        <v>201</v>
      </c>
      <c r="R252" s="16" t="s">
        <v>180</v>
      </c>
      <c r="S252" s="12" t="s">
        <v>119</v>
      </c>
      <c r="T252" s="12" t="s">
        <v>619</v>
      </c>
      <c r="U252" s="24" t="s">
        <v>180</v>
      </c>
    </row>
    <row r="253" spans="1:21">
      <c r="A253" s="14">
        <v>52</v>
      </c>
      <c r="B253" s="12" t="s">
        <v>1782</v>
      </c>
      <c r="C253" s="12" t="s">
        <v>389</v>
      </c>
      <c r="D253" s="12" t="s">
        <v>388</v>
      </c>
      <c r="E253" s="12" t="s">
        <v>173</v>
      </c>
      <c r="F253" s="12" t="s">
        <v>395</v>
      </c>
      <c r="G253" s="12" t="s">
        <v>394</v>
      </c>
      <c r="H253" s="12" t="s">
        <v>1425</v>
      </c>
      <c r="I253" s="12" t="s">
        <v>184</v>
      </c>
      <c r="J253" s="12" t="s">
        <v>1783</v>
      </c>
      <c r="K253" s="12" t="s">
        <v>1568</v>
      </c>
      <c r="L253" s="12" t="s">
        <v>1568</v>
      </c>
      <c r="M253" s="12" t="s">
        <v>1311</v>
      </c>
      <c r="N253" s="12" t="s">
        <v>1283</v>
      </c>
      <c r="O253" s="12" t="s">
        <v>1279</v>
      </c>
      <c r="P253" s="12" t="s">
        <v>1280</v>
      </c>
      <c r="Q253" s="16" t="s">
        <v>201</v>
      </c>
      <c r="R253" s="16" t="s">
        <v>180</v>
      </c>
      <c r="S253" s="12" t="s">
        <v>93</v>
      </c>
      <c r="T253" s="12" t="s">
        <v>90</v>
      </c>
      <c r="U253" s="24" t="s">
        <v>180</v>
      </c>
    </row>
    <row r="254" spans="1:21">
      <c r="A254" s="14">
        <v>52</v>
      </c>
      <c r="B254" s="12" t="s">
        <v>1782</v>
      </c>
      <c r="C254" s="12" t="s">
        <v>389</v>
      </c>
      <c r="D254" s="12" t="s">
        <v>388</v>
      </c>
      <c r="E254" s="12" t="s">
        <v>173</v>
      </c>
      <c r="F254" s="12" t="s">
        <v>395</v>
      </c>
      <c r="G254" s="12" t="s">
        <v>394</v>
      </c>
      <c r="H254" s="12" t="s">
        <v>1425</v>
      </c>
      <c r="I254" s="12" t="s">
        <v>184</v>
      </c>
      <c r="J254" s="12" t="s">
        <v>1784</v>
      </c>
      <c r="K254" s="12" t="s">
        <v>1469</v>
      </c>
      <c r="L254" s="12" t="s">
        <v>1469</v>
      </c>
      <c r="M254" s="12" t="s">
        <v>1311</v>
      </c>
      <c r="N254" s="12" t="s">
        <v>1283</v>
      </c>
      <c r="O254" s="12" t="s">
        <v>1279</v>
      </c>
      <c r="P254" s="12" t="s">
        <v>1280</v>
      </c>
      <c r="Q254" s="16" t="s">
        <v>201</v>
      </c>
      <c r="R254" s="16" t="s">
        <v>180</v>
      </c>
      <c r="S254" s="12" t="s">
        <v>93</v>
      </c>
      <c r="T254" s="12" t="s">
        <v>90</v>
      </c>
      <c r="U254" s="24" t="s">
        <v>180</v>
      </c>
    </row>
    <row r="255" spans="1:21">
      <c r="A255" s="14">
        <v>52</v>
      </c>
      <c r="B255" s="12" t="s">
        <v>1782</v>
      </c>
      <c r="C255" s="12" t="s">
        <v>389</v>
      </c>
      <c r="D255" s="12" t="s">
        <v>388</v>
      </c>
      <c r="E255" s="12" t="s">
        <v>173</v>
      </c>
      <c r="F255" s="12" t="s">
        <v>395</v>
      </c>
      <c r="G255" s="12" t="s">
        <v>394</v>
      </c>
      <c r="H255" s="12" t="s">
        <v>1425</v>
      </c>
      <c r="I255" s="12" t="s">
        <v>184</v>
      </c>
      <c r="J255" s="12" t="s">
        <v>1785</v>
      </c>
      <c r="K255" s="12" t="s">
        <v>1786</v>
      </c>
      <c r="L255" s="12" t="s">
        <v>1786</v>
      </c>
      <c r="M255" s="12" t="s">
        <v>1311</v>
      </c>
      <c r="N255" s="12" t="s">
        <v>1283</v>
      </c>
      <c r="O255" s="12" t="s">
        <v>1279</v>
      </c>
      <c r="P255" s="12" t="s">
        <v>1280</v>
      </c>
      <c r="Q255" s="16" t="s">
        <v>201</v>
      </c>
      <c r="R255" s="16" t="s">
        <v>180</v>
      </c>
      <c r="S255" s="12" t="s">
        <v>93</v>
      </c>
      <c r="T255" s="12" t="s">
        <v>90</v>
      </c>
      <c r="U255" s="24" t="s">
        <v>180</v>
      </c>
    </row>
    <row r="256" spans="1:21">
      <c r="A256" s="14">
        <v>52</v>
      </c>
      <c r="B256" s="12" t="s">
        <v>1787</v>
      </c>
      <c r="C256" s="12" t="s">
        <v>389</v>
      </c>
      <c r="D256" s="12" t="s">
        <v>388</v>
      </c>
      <c r="E256" s="12" t="s">
        <v>173</v>
      </c>
      <c r="F256" s="12" t="s">
        <v>395</v>
      </c>
      <c r="G256" s="12" t="s">
        <v>394</v>
      </c>
      <c r="H256" s="12" t="s">
        <v>1425</v>
      </c>
      <c r="I256" s="12" t="s">
        <v>184</v>
      </c>
      <c r="J256" s="12" t="s">
        <v>1788</v>
      </c>
      <c r="K256" s="12" t="s">
        <v>1789</v>
      </c>
      <c r="L256" s="12" t="s">
        <v>1790</v>
      </c>
      <c r="M256" s="12" t="s">
        <v>1278</v>
      </c>
      <c r="N256" s="12" t="s">
        <v>1278</v>
      </c>
      <c r="O256" s="12" t="s">
        <v>1263</v>
      </c>
      <c r="P256" s="12" t="s">
        <v>1280</v>
      </c>
      <c r="Q256" s="16" t="s">
        <v>201</v>
      </c>
      <c r="R256" s="16" t="s">
        <v>180</v>
      </c>
      <c r="S256" s="12" t="s">
        <v>93</v>
      </c>
      <c r="T256" s="12" t="s">
        <v>90</v>
      </c>
      <c r="U256" s="24" t="s">
        <v>180</v>
      </c>
    </row>
    <row r="257" spans="1:21">
      <c r="A257" s="14">
        <v>52</v>
      </c>
      <c r="B257" s="12" t="s">
        <v>1787</v>
      </c>
      <c r="C257" s="12" t="s">
        <v>389</v>
      </c>
      <c r="D257" s="12" t="s">
        <v>388</v>
      </c>
      <c r="E257" s="12" t="s">
        <v>173</v>
      </c>
      <c r="F257" s="12" t="s">
        <v>395</v>
      </c>
      <c r="G257" s="12" t="s">
        <v>394</v>
      </c>
      <c r="H257" s="12" t="s">
        <v>1425</v>
      </c>
      <c r="I257" s="12" t="s">
        <v>184</v>
      </c>
      <c r="J257" s="12" t="s">
        <v>1791</v>
      </c>
      <c r="K257" s="12" t="s">
        <v>1442</v>
      </c>
      <c r="L257" s="12" t="s">
        <v>1792</v>
      </c>
      <c r="M257" s="12" t="s">
        <v>1278</v>
      </c>
      <c r="N257" s="12" t="s">
        <v>1278</v>
      </c>
      <c r="O257" s="12" t="s">
        <v>1263</v>
      </c>
      <c r="P257" s="12" t="s">
        <v>1280</v>
      </c>
      <c r="Q257" s="16" t="s">
        <v>201</v>
      </c>
      <c r="R257" s="16" t="s">
        <v>180</v>
      </c>
      <c r="S257" s="12" t="s">
        <v>93</v>
      </c>
      <c r="T257" s="12" t="s">
        <v>90</v>
      </c>
      <c r="U257" s="24" t="s">
        <v>180</v>
      </c>
    </row>
    <row r="258" spans="1:21">
      <c r="A258" s="14">
        <v>52</v>
      </c>
      <c r="B258" s="12" t="s">
        <v>1213</v>
      </c>
      <c r="C258" s="12" t="s">
        <v>1211</v>
      </c>
      <c r="D258" s="12" t="s">
        <v>1210</v>
      </c>
      <c r="E258" s="12" t="s">
        <v>378</v>
      </c>
      <c r="F258" s="12" t="s">
        <v>1120</v>
      </c>
      <c r="G258" s="12" t="s">
        <v>1212</v>
      </c>
      <c r="H258" s="12" t="s">
        <v>1305</v>
      </c>
      <c r="I258" s="12" t="s">
        <v>184</v>
      </c>
      <c r="J258" s="12" t="s">
        <v>1793</v>
      </c>
      <c r="K258" s="12" t="s">
        <v>1307</v>
      </c>
      <c r="L258" s="12" t="s">
        <v>1794</v>
      </c>
      <c r="M258" s="12" t="s">
        <v>1283</v>
      </c>
      <c r="N258" s="12" t="s">
        <v>1283</v>
      </c>
      <c r="O258" s="12" t="s">
        <v>1288</v>
      </c>
      <c r="P258" s="12" t="s">
        <v>1280</v>
      </c>
      <c r="Q258" s="16" t="s">
        <v>201</v>
      </c>
      <c r="R258" s="16" t="s">
        <v>180</v>
      </c>
      <c r="S258" s="12" t="s">
        <v>754</v>
      </c>
      <c r="T258" s="12" t="s">
        <v>619</v>
      </c>
      <c r="U258" s="24" t="s">
        <v>180</v>
      </c>
    </row>
    <row r="259" spans="1:21">
      <c r="A259" s="14">
        <v>52</v>
      </c>
      <c r="B259" s="12" t="s">
        <v>1213</v>
      </c>
      <c r="C259" s="12" t="s">
        <v>1211</v>
      </c>
      <c r="D259" s="12" t="s">
        <v>1210</v>
      </c>
      <c r="E259" s="12" t="s">
        <v>378</v>
      </c>
      <c r="F259" s="12" t="s">
        <v>1120</v>
      </c>
      <c r="G259" s="12" t="s">
        <v>1212</v>
      </c>
      <c r="H259" s="12" t="s">
        <v>1305</v>
      </c>
      <c r="I259" s="12" t="s">
        <v>184</v>
      </c>
      <c r="J259" s="12" t="s">
        <v>1795</v>
      </c>
      <c r="K259" s="12" t="s">
        <v>1307</v>
      </c>
      <c r="L259" s="12" t="s">
        <v>1554</v>
      </c>
      <c r="M259" s="12" t="s">
        <v>1262</v>
      </c>
      <c r="N259" s="12" t="s">
        <v>1262</v>
      </c>
      <c r="O259" s="12" t="s">
        <v>1263</v>
      </c>
      <c r="P259" s="12" t="s">
        <v>1264</v>
      </c>
      <c r="Q259" s="16" t="s">
        <v>201</v>
      </c>
      <c r="R259" s="16" t="s">
        <v>180</v>
      </c>
      <c r="S259" s="12" t="s">
        <v>754</v>
      </c>
      <c r="T259" s="12" t="s">
        <v>619</v>
      </c>
      <c r="U259" s="24" t="s">
        <v>180</v>
      </c>
    </row>
    <row r="260" spans="1:21">
      <c r="A260" s="14">
        <v>53</v>
      </c>
      <c r="B260" s="12" t="s">
        <v>943</v>
      </c>
      <c r="C260" s="12" t="s">
        <v>940</v>
      </c>
      <c r="D260" s="12" t="s">
        <v>939</v>
      </c>
      <c r="E260" s="12" t="s">
        <v>217</v>
      </c>
      <c r="F260" s="12" t="s">
        <v>942</v>
      </c>
      <c r="G260" s="12" t="s">
        <v>941</v>
      </c>
      <c r="H260" s="12" t="s">
        <v>1305</v>
      </c>
      <c r="I260" s="12" t="s">
        <v>184</v>
      </c>
      <c r="J260" s="12" t="s">
        <v>944</v>
      </c>
      <c r="K260" s="12" t="s">
        <v>1399</v>
      </c>
      <c r="L260" s="12" t="s">
        <v>1796</v>
      </c>
      <c r="M260" s="12" t="s">
        <v>1283</v>
      </c>
      <c r="N260" s="12" t="s">
        <v>1283</v>
      </c>
      <c r="O260" s="12" t="s">
        <v>1288</v>
      </c>
      <c r="P260" s="12" t="s">
        <v>1280</v>
      </c>
      <c r="Q260" s="16" t="s">
        <v>201</v>
      </c>
      <c r="R260" s="16" t="s">
        <v>180</v>
      </c>
      <c r="S260" s="12" t="s">
        <v>119</v>
      </c>
      <c r="T260" s="12" t="s">
        <v>519</v>
      </c>
      <c r="U260" s="24" t="s">
        <v>180</v>
      </c>
    </row>
    <row r="261" spans="1:21">
      <c r="A261" s="14">
        <v>53</v>
      </c>
      <c r="B261" s="12" t="s">
        <v>623</v>
      </c>
      <c r="C261" s="12" t="s">
        <v>618</v>
      </c>
      <c r="D261" s="12" t="s">
        <v>617</v>
      </c>
      <c r="E261" s="12" t="s">
        <v>378</v>
      </c>
      <c r="F261" s="12" t="s">
        <v>622</v>
      </c>
      <c r="G261" s="12" t="s">
        <v>620</v>
      </c>
      <c r="H261" s="12" t="s">
        <v>1797</v>
      </c>
      <c r="I261" s="12" t="s">
        <v>621</v>
      </c>
      <c r="J261" s="12" t="s">
        <v>624</v>
      </c>
      <c r="K261" s="12" t="s">
        <v>1260</v>
      </c>
      <c r="L261" s="12" t="s">
        <v>1726</v>
      </c>
      <c r="M261" s="12" t="s">
        <v>1260</v>
      </c>
      <c r="N261" s="12" t="s">
        <v>1309</v>
      </c>
      <c r="O261" s="12" t="s">
        <v>1279</v>
      </c>
      <c r="P261" s="12" t="s">
        <v>1264</v>
      </c>
      <c r="Q261" s="16" t="s">
        <v>1265</v>
      </c>
      <c r="R261" s="16" t="s">
        <v>180</v>
      </c>
      <c r="S261" s="12" t="s">
        <v>119</v>
      </c>
      <c r="T261" s="12" t="s">
        <v>619</v>
      </c>
      <c r="U261" s="24" t="s">
        <v>180</v>
      </c>
    </row>
    <row r="262" spans="1:21">
      <c r="A262" s="14">
        <v>53</v>
      </c>
      <c r="B262" s="12" t="s">
        <v>949</v>
      </c>
      <c r="C262" s="12" t="s">
        <v>946</v>
      </c>
      <c r="D262" s="12" t="s">
        <v>945</v>
      </c>
      <c r="E262" s="12" t="s">
        <v>469</v>
      </c>
      <c r="F262" s="12" t="s">
        <v>948</v>
      </c>
      <c r="G262" s="12" t="s">
        <v>947</v>
      </c>
      <c r="H262" s="12" t="s">
        <v>1322</v>
      </c>
      <c r="I262" s="12" t="s">
        <v>184</v>
      </c>
      <c r="J262" s="12" t="s">
        <v>1798</v>
      </c>
      <c r="K262" s="12" t="s">
        <v>1285</v>
      </c>
      <c r="L262" s="12" t="s">
        <v>1799</v>
      </c>
      <c r="M262" s="12" t="s">
        <v>1262</v>
      </c>
      <c r="N262" s="12" t="s">
        <v>1262</v>
      </c>
      <c r="O262" s="12" t="s">
        <v>1263</v>
      </c>
      <c r="P262" s="12" t="s">
        <v>1264</v>
      </c>
      <c r="Q262" s="16" t="s">
        <v>201</v>
      </c>
      <c r="R262" s="16" t="s">
        <v>180</v>
      </c>
      <c r="S262" s="12" t="s">
        <v>119</v>
      </c>
      <c r="T262" s="12" t="s">
        <v>519</v>
      </c>
      <c r="U262" s="24" t="s">
        <v>180</v>
      </c>
    </row>
    <row r="263" spans="1:21">
      <c r="A263" s="14">
        <v>53</v>
      </c>
      <c r="B263" s="12" t="s">
        <v>949</v>
      </c>
      <c r="C263" s="12" t="s">
        <v>946</v>
      </c>
      <c r="D263" s="12" t="s">
        <v>945</v>
      </c>
      <c r="E263" s="12" t="s">
        <v>469</v>
      </c>
      <c r="F263" s="12" t="s">
        <v>948</v>
      </c>
      <c r="G263" s="12" t="s">
        <v>947</v>
      </c>
      <c r="H263" s="12" t="s">
        <v>1322</v>
      </c>
      <c r="I263" s="12" t="s">
        <v>184</v>
      </c>
      <c r="J263" s="12" t="s">
        <v>1800</v>
      </c>
      <c r="K263" s="12" t="s">
        <v>1285</v>
      </c>
      <c r="L263" s="12" t="s">
        <v>1801</v>
      </c>
      <c r="M263" s="12" t="s">
        <v>1272</v>
      </c>
      <c r="N263" s="12" t="s">
        <v>1272</v>
      </c>
      <c r="O263" s="12" t="s">
        <v>1263</v>
      </c>
      <c r="P263" s="12" t="s">
        <v>1264</v>
      </c>
      <c r="Q263" s="16" t="s">
        <v>201</v>
      </c>
      <c r="R263" s="16" t="s">
        <v>180</v>
      </c>
      <c r="S263" s="12" t="s">
        <v>119</v>
      </c>
      <c r="T263" s="12" t="s">
        <v>519</v>
      </c>
      <c r="U263" s="24" t="s">
        <v>180</v>
      </c>
    </row>
    <row r="264" spans="1:21">
      <c r="A264" s="14">
        <v>54</v>
      </c>
      <c r="B264" s="12" t="s">
        <v>1802</v>
      </c>
      <c r="C264" s="12" t="s">
        <v>1025</v>
      </c>
      <c r="D264" s="12" t="s">
        <v>1024</v>
      </c>
      <c r="E264" s="12" t="s">
        <v>378</v>
      </c>
      <c r="F264" s="12" t="s">
        <v>1027</v>
      </c>
      <c r="G264" s="12" t="s">
        <v>520</v>
      </c>
      <c r="H264" s="12" t="s">
        <v>1305</v>
      </c>
      <c r="I264" s="12" t="s">
        <v>184</v>
      </c>
      <c r="J264" s="12" t="s">
        <v>1803</v>
      </c>
      <c r="K264" s="12" t="s">
        <v>1409</v>
      </c>
      <c r="L264" s="12" t="s">
        <v>1409</v>
      </c>
      <c r="M264" s="12" t="s">
        <v>1311</v>
      </c>
      <c r="N264" s="12" t="s">
        <v>1311</v>
      </c>
      <c r="O264" s="12" t="s">
        <v>1410</v>
      </c>
      <c r="P264" s="12" t="s">
        <v>1328</v>
      </c>
      <c r="Q264" s="16" t="s">
        <v>201</v>
      </c>
      <c r="R264" s="16" t="s">
        <v>180</v>
      </c>
      <c r="S264" s="12" t="s">
        <v>754</v>
      </c>
      <c r="T264" s="12" t="s">
        <v>619</v>
      </c>
      <c r="U264" s="24" t="s">
        <v>180</v>
      </c>
    </row>
    <row r="265" spans="1:21">
      <c r="A265" s="14">
        <v>54</v>
      </c>
      <c r="B265" s="12" t="s">
        <v>1802</v>
      </c>
      <c r="C265" s="12" t="s">
        <v>1025</v>
      </c>
      <c r="D265" s="12" t="s">
        <v>1024</v>
      </c>
      <c r="E265" s="12" t="s">
        <v>378</v>
      </c>
      <c r="F265" s="12" t="s">
        <v>1027</v>
      </c>
      <c r="G265" s="12" t="s">
        <v>520</v>
      </c>
      <c r="H265" s="12" t="s">
        <v>1305</v>
      </c>
      <c r="I265" s="12" t="s">
        <v>184</v>
      </c>
      <c r="J265" s="12" t="s">
        <v>1804</v>
      </c>
      <c r="K265" s="12" t="s">
        <v>1285</v>
      </c>
      <c r="L265" s="12" t="s">
        <v>1285</v>
      </c>
      <c r="M265" s="12" t="s">
        <v>1311</v>
      </c>
      <c r="N265" s="12" t="s">
        <v>1311</v>
      </c>
      <c r="O265" s="12" t="s">
        <v>1410</v>
      </c>
      <c r="P265" s="12" t="s">
        <v>1328</v>
      </c>
      <c r="Q265" s="16" t="s">
        <v>201</v>
      </c>
      <c r="R265" s="16" t="s">
        <v>180</v>
      </c>
      <c r="S265" s="12" t="s">
        <v>754</v>
      </c>
      <c r="T265" s="12" t="s">
        <v>619</v>
      </c>
      <c r="U265" s="24" t="s">
        <v>180</v>
      </c>
    </row>
    <row r="266" spans="1:21">
      <c r="A266" s="14">
        <v>54</v>
      </c>
      <c r="B266" s="12" t="s">
        <v>1802</v>
      </c>
      <c r="C266" s="12" t="s">
        <v>1025</v>
      </c>
      <c r="D266" s="12" t="s">
        <v>1024</v>
      </c>
      <c r="E266" s="12" t="s">
        <v>378</v>
      </c>
      <c r="F266" s="12" t="s">
        <v>1027</v>
      </c>
      <c r="G266" s="12" t="s">
        <v>520</v>
      </c>
      <c r="H266" s="12" t="s">
        <v>1305</v>
      </c>
      <c r="I266" s="12" t="s">
        <v>184</v>
      </c>
      <c r="J266" s="12" t="s">
        <v>1805</v>
      </c>
      <c r="K266" s="12" t="s">
        <v>1409</v>
      </c>
      <c r="L266" s="12" t="s">
        <v>1409</v>
      </c>
      <c r="M266" s="12" t="s">
        <v>1311</v>
      </c>
      <c r="N266" s="12" t="s">
        <v>1283</v>
      </c>
      <c r="O266" s="12" t="s">
        <v>1288</v>
      </c>
      <c r="P266" s="12" t="s">
        <v>1280</v>
      </c>
      <c r="Q266" s="16" t="s">
        <v>201</v>
      </c>
      <c r="R266" s="16" t="s">
        <v>180</v>
      </c>
      <c r="S266" s="12" t="s">
        <v>754</v>
      </c>
      <c r="T266" s="12" t="s">
        <v>619</v>
      </c>
      <c r="U266" s="24" t="s">
        <v>180</v>
      </c>
    </row>
    <row r="267" spans="1:21">
      <c r="A267" s="14">
        <v>54</v>
      </c>
      <c r="B267" s="12" t="s">
        <v>1802</v>
      </c>
      <c r="C267" s="12" t="s">
        <v>1025</v>
      </c>
      <c r="D267" s="12" t="s">
        <v>1024</v>
      </c>
      <c r="E267" s="12" t="s">
        <v>378</v>
      </c>
      <c r="F267" s="12" t="s">
        <v>1027</v>
      </c>
      <c r="G267" s="12" t="s">
        <v>520</v>
      </c>
      <c r="H267" s="12" t="s">
        <v>1305</v>
      </c>
      <c r="I267" s="12" t="s">
        <v>184</v>
      </c>
      <c r="J267" s="12" t="s">
        <v>1806</v>
      </c>
      <c r="K267" s="12" t="s">
        <v>1285</v>
      </c>
      <c r="L267" s="12" t="s">
        <v>1285</v>
      </c>
      <c r="M267" s="12" t="s">
        <v>1311</v>
      </c>
      <c r="N267" s="12" t="s">
        <v>1283</v>
      </c>
      <c r="O267" s="12" t="s">
        <v>1288</v>
      </c>
      <c r="P267" s="12" t="s">
        <v>1280</v>
      </c>
      <c r="Q267" s="16" t="s">
        <v>201</v>
      </c>
      <c r="R267" s="16" t="s">
        <v>180</v>
      </c>
      <c r="S267" s="12" t="s">
        <v>754</v>
      </c>
      <c r="T267" s="12" t="s">
        <v>619</v>
      </c>
      <c r="U267" s="24" t="s">
        <v>180</v>
      </c>
    </row>
    <row r="268" spans="1:21">
      <c r="A268" s="14">
        <v>54</v>
      </c>
      <c r="B268" s="12" t="s">
        <v>1156</v>
      </c>
      <c r="C268" s="12" t="s">
        <v>1153</v>
      </c>
      <c r="D268" s="12" t="s">
        <v>1152</v>
      </c>
      <c r="E268" s="12" t="s">
        <v>217</v>
      </c>
      <c r="F268" s="12" t="s">
        <v>1155</v>
      </c>
      <c r="G268" s="12" t="s">
        <v>1154</v>
      </c>
      <c r="H268" s="12" t="s">
        <v>1305</v>
      </c>
      <c r="I268" s="12" t="s">
        <v>1154</v>
      </c>
      <c r="J268" s="12" t="s">
        <v>1807</v>
      </c>
      <c r="K268" s="12" t="s">
        <v>1808</v>
      </c>
      <c r="L268" s="12" t="s">
        <v>1808</v>
      </c>
      <c r="M268" s="12" t="s">
        <v>1311</v>
      </c>
      <c r="N268" s="12" t="s">
        <v>1283</v>
      </c>
      <c r="O268" s="12" t="s">
        <v>1288</v>
      </c>
      <c r="P268" s="12" t="s">
        <v>1280</v>
      </c>
      <c r="Q268" s="16" t="s">
        <v>201</v>
      </c>
      <c r="R268" s="16" t="s">
        <v>180</v>
      </c>
      <c r="S268" s="12" t="s">
        <v>754</v>
      </c>
      <c r="T268" s="12" t="s">
        <v>619</v>
      </c>
      <c r="U268" s="24" t="s">
        <v>180</v>
      </c>
    </row>
    <row r="269" spans="1:21">
      <c r="A269" s="14">
        <v>54</v>
      </c>
      <c r="B269" s="12" t="s">
        <v>1156</v>
      </c>
      <c r="C269" s="12" t="s">
        <v>1153</v>
      </c>
      <c r="D269" s="12" t="s">
        <v>1152</v>
      </c>
      <c r="E269" s="12" t="s">
        <v>217</v>
      </c>
      <c r="F269" s="12" t="s">
        <v>1155</v>
      </c>
      <c r="G269" s="12" t="s">
        <v>1154</v>
      </c>
      <c r="H269" s="12" t="s">
        <v>1305</v>
      </c>
      <c r="I269" s="12" t="s">
        <v>1154</v>
      </c>
      <c r="J269" s="12" t="s">
        <v>1809</v>
      </c>
      <c r="K269" s="12" t="s">
        <v>1810</v>
      </c>
      <c r="L269" s="12" t="s">
        <v>1810</v>
      </c>
      <c r="M269" s="12" t="s">
        <v>1311</v>
      </c>
      <c r="N269" s="12" t="s">
        <v>1283</v>
      </c>
      <c r="O269" s="12" t="s">
        <v>1288</v>
      </c>
      <c r="P269" s="12" t="s">
        <v>1280</v>
      </c>
      <c r="Q269" s="16" t="s">
        <v>201</v>
      </c>
      <c r="R269" s="16" t="s">
        <v>180</v>
      </c>
      <c r="S269" s="12" t="s">
        <v>754</v>
      </c>
      <c r="T269" s="12" t="s">
        <v>619</v>
      </c>
      <c r="U269" s="24" t="s">
        <v>180</v>
      </c>
    </row>
    <row r="270" spans="1:21">
      <c r="A270" s="14">
        <v>54</v>
      </c>
      <c r="B270" s="12" t="s">
        <v>347</v>
      </c>
      <c r="C270" s="12" t="s">
        <v>343</v>
      </c>
      <c r="D270" s="12" t="s">
        <v>117</v>
      </c>
      <c r="E270" s="12" t="s">
        <v>344</v>
      </c>
      <c r="F270" s="12" t="s">
        <v>346</v>
      </c>
      <c r="G270" s="12" t="s">
        <v>345</v>
      </c>
      <c r="H270" s="12" t="s">
        <v>1381</v>
      </c>
      <c r="I270" s="12" t="s">
        <v>184</v>
      </c>
      <c r="J270" s="12" t="s">
        <v>1811</v>
      </c>
      <c r="K270" s="12" t="s">
        <v>1260</v>
      </c>
      <c r="L270" s="12" t="s">
        <v>1812</v>
      </c>
      <c r="M270" s="12" t="s">
        <v>1260</v>
      </c>
      <c r="N270" s="12" t="s">
        <v>1283</v>
      </c>
      <c r="O270" s="12" t="s">
        <v>1263</v>
      </c>
      <c r="P270" s="12" t="s">
        <v>1280</v>
      </c>
      <c r="Q270" s="16" t="s">
        <v>1265</v>
      </c>
      <c r="R270" s="16" t="s">
        <v>180</v>
      </c>
      <c r="S270" s="12" t="s">
        <v>104</v>
      </c>
      <c r="T270" s="12" t="s">
        <v>105</v>
      </c>
      <c r="U270" s="13" t="s">
        <v>174</v>
      </c>
    </row>
    <row r="271" spans="1:21">
      <c r="A271" s="14">
        <v>54</v>
      </c>
      <c r="B271" s="12" t="s">
        <v>347</v>
      </c>
      <c r="C271" s="12" t="s">
        <v>343</v>
      </c>
      <c r="D271" s="12" t="s">
        <v>117</v>
      </c>
      <c r="E271" s="12" t="s">
        <v>344</v>
      </c>
      <c r="F271" s="12" t="s">
        <v>346</v>
      </c>
      <c r="G271" s="12" t="s">
        <v>345</v>
      </c>
      <c r="H271" s="12" t="s">
        <v>1381</v>
      </c>
      <c r="I271" s="12" t="s">
        <v>184</v>
      </c>
      <c r="J271" s="12" t="s">
        <v>1813</v>
      </c>
      <c r="K271" s="12" t="s">
        <v>1260</v>
      </c>
      <c r="L271" s="12" t="s">
        <v>1812</v>
      </c>
      <c r="M271" s="12" t="s">
        <v>1260</v>
      </c>
      <c r="N271" s="12" t="s">
        <v>1283</v>
      </c>
      <c r="O271" s="12" t="s">
        <v>1279</v>
      </c>
      <c r="P271" s="12" t="s">
        <v>1280</v>
      </c>
      <c r="Q271" s="16" t="s">
        <v>1265</v>
      </c>
      <c r="R271" s="16" t="s">
        <v>180</v>
      </c>
      <c r="S271" s="12" t="s">
        <v>104</v>
      </c>
      <c r="T271" s="12" t="s">
        <v>105</v>
      </c>
      <c r="U271" s="13" t="s">
        <v>174</v>
      </c>
    </row>
    <row r="272" spans="1:21">
      <c r="A272" s="14">
        <v>55</v>
      </c>
      <c r="B272" s="12" t="s">
        <v>1814</v>
      </c>
      <c r="C272" s="12" t="s">
        <v>819</v>
      </c>
      <c r="D272" s="12" t="s">
        <v>818</v>
      </c>
      <c r="E272" s="12" t="s">
        <v>344</v>
      </c>
      <c r="F272" s="12" t="s">
        <v>1747</v>
      </c>
      <c r="G272" s="12" t="s">
        <v>520</v>
      </c>
      <c r="H272" s="12" t="s">
        <v>1305</v>
      </c>
      <c r="I272" s="12" t="s">
        <v>235</v>
      </c>
      <c r="J272" s="12" t="s">
        <v>1815</v>
      </c>
      <c r="K272" s="12" t="s">
        <v>1250</v>
      </c>
      <c r="L272" s="12" t="s">
        <v>1250</v>
      </c>
      <c r="M272" s="12" t="s">
        <v>1311</v>
      </c>
      <c r="N272" s="12" t="s">
        <v>1283</v>
      </c>
      <c r="O272" s="12" t="s">
        <v>1288</v>
      </c>
      <c r="P272" s="12" t="s">
        <v>1280</v>
      </c>
      <c r="Q272" s="16" t="s">
        <v>201</v>
      </c>
      <c r="R272" s="16" t="s">
        <v>180</v>
      </c>
      <c r="S272" s="12" t="s">
        <v>754</v>
      </c>
      <c r="T272" s="12" t="s">
        <v>619</v>
      </c>
      <c r="U272" s="24" t="s">
        <v>180</v>
      </c>
    </row>
    <row r="273" spans="1:21">
      <c r="A273" s="14">
        <v>55</v>
      </c>
      <c r="B273" s="12" t="s">
        <v>1814</v>
      </c>
      <c r="C273" s="12" t="s">
        <v>819</v>
      </c>
      <c r="D273" s="12" t="s">
        <v>818</v>
      </c>
      <c r="E273" s="12" t="s">
        <v>344</v>
      </c>
      <c r="F273" s="12" t="s">
        <v>1747</v>
      </c>
      <c r="G273" s="12" t="s">
        <v>520</v>
      </c>
      <c r="H273" s="12" t="s">
        <v>1305</v>
      </c>
      <c r="I273" s="12" t="s">
        <v>235</v>
      </c>
      <c r="J273" s="12" t="s">
        <v>1816</v>
      </c>
      <c r="K273" s="12" t="s">
        <v>1250</v>
      </c>
      <c r="L273" s="12" t="s">
        <v>1547</v>
      </c>
      <c r="M273" s="12" t="s">
        <v>1278</v>
      </c>
      <c r="N273" s="12" t="s">
        <v>1278</v>
      </c>
      <c r="O273" s="12" t="s">
        <v>1279</v>
      </c>
      <c r="P273" s="12" t="s">
        <v>1280</v>
      </c>
      <c r="Q273" s="16" t="s">
        <v>201</v>
      </c>
      <c r="R273" s="16" t="s">
        <v>180</v>
      </c>
      <c r="S273" s="12" t="s">
        <v>754</v>
      </c>
      <c r="T273" s="12" t="s">
        <v>619</v>
      </c>
      <c r="U273" s="24" t="s">
        <v>180</v>
      </c>
    </row>
    <row r="274" spans="1:21">
      <c r="A274" s="14">
        <v>55</v>
      </c>
      <c r="B274" s="12" t="s">
        <v>1814</v>
      </c>
      <c r="C274" s="12" t="s">
        <v>819</v>
      </c>
      <c r="D274" s="12" t="s">
        <v>818</v>
      </c>
      <c r="E274" s="12" t="s">
        <v>344</v>
      </c>
      <c r="F274" s="12" t="s">
        <v>1747</v>
      </c>
      <c r="G274" s="12" t="s">
        <v>520</v>
      </c>
      <c r="H274" s="12" t="s">
        <v>1305</v>
      </c>
      <c r="I274" s="12" t="s">
        <v>235</v>
      </c>
      <c r="J274" s="12" t="s">
        <v>1817</v>
      </c>
      <c r="K274" s="12" t="s">
        <v>1250</v>
      </c>
      <c r="L274" s="12" t="s">
        <v>1599</v>
      </c>
      <c r="M274" s="12" t="s">
        <v>1309</v>
      </c>
      <c r="N274" s="12" t="s">
        <v>1309</v>
      </c>
      <c r="O274" s="12" t="s">
        <v>1279</v>
      </c>
      <c r="P274" s="12" t="s">
        <v>1280</v>
      </c>
      <c r="Q274" s="16" t="s">
        <v>201</v>
      </c>
      <c r="R274" s="16" t="s">
        <v>180</v>
      </c>
      <c r="S274" s="12" t="s">
        <v>754</v>
      </c>
      <c r="T274" s="12" t="s">
        <v>619</v>
      </c>
      <c r="U274" s="24" t="s">
        <v>180</v>
      </c>
    </row>
    <row r="275" spans="1:21">
      <c r="A275" s="14">
        <v>55</v>
      </c>
      <c r="B275" s="12" t="s">
        <v>734</v>
      </c>
      <c r="C275" s="12" t="s">
        <v>732</v>
      </c>
      <c r="D275" s="12" t="s">
        <v>731</v>
      </c>
      <c r="E275" s="12" t="s">
        <v>217</v>
      </c>
      <c r="F275" s="12" t="s">
        <v>571</v>
      </c>
      <c r="G275" s="12" t="s">
        <v>1154</v>
      </c>
      <c r="H275" s="12" t="s">
        <v>1305</v>
      </c>
      <c r="I275" s="12" t="s">
        <v>733</v>
      </c>
      <c r="J275" s="12" t="s">
        <v>1818</v>
      </c>
      <c r="K275" s="12" t="s">
        <v>1285</v>
      </c>
      <c r="L275" s="12" t="s">
        <v>1819</v>
      </c>
      <c r="M275" s="12" t="s">
        <v>1283</v>
      </c>
      <c r="N275" s="12" t="s">
        <v>1283</v>
      </c>
      <c r="O275" s="12" t="s">
        <v>1288</v>
      </c>
      <c r="P275" s="12" t="s">
        <v>1280</v>
      </c>
      <c r="Q275" s="16" t="s">
        <v>201</v>
      </c>
      <c r="R275" s="16" t="s">
        <v>180</v>
      </c>
      <c r="S275" s="12" t="s">
        <v>119</v>
      </c>
      <c r="T275" s="12" t="s">
        <v>619</v>
      </c>
      <c r="U275" s="24" t="s">
        <v>180</v>
      </c>
    </row>
    <row r="276" spans="1:21">
      <c r="A276" s="14">
        <v>55</v>
      </c>
      <c r="B276" s="12" t="s">
        <v>734</v>
      </c>
      <c r="C276" s="12" t="s">
        <v>732</v>
      </c>
      <c r="D276" s="12" t="s">
        <v>731</v>
      </c>
      <c r="E276" s="12" t="s">
        <v>217</v>
      </c>
      <c r="F276" s="12" t="s">
        <v>571</v>
      </c>
      <c r="G276" s="12" t="s">
        <v>1154</v>
      </c>
      <c r="H276" s="12" t="s">
        <v>1305</v>
      </c>
      <c r="I276" s="12" t="s">
        <v>733</v>
      </c>
      <c r="J276" s="12" t="s">
        <v>1820</v>
      </c>
      <c r="K276" s="12" t="s">
        <v>1285</v>
      </c>
      <c r="L276" s="12" t="s">
        <v>1594</v>
      </c>
      <c r="M276" s="12" t="s">
        <v>1278</v>
      </c>
      <c r="N276" s="12" t="s">
        <v>1278</v>
      </c>
      <c r="O276" s="12" t="s">
        <v>1279</v>
      </c>
      <c r="P276" s="12" t="s">
        <v>1280</v>
      </c>
      <c r="Q276" s="16" t="s">
        <v>201</v>
      </c>
      <c r="R276" s="16" t="s">
        <v>180</v>
      </c>
      <c r="S276" s="12" t="s">
        <v>119</v>
      </c>
      <c r="T276" s="12" t="s">
        <v>619</v>
      </c>
      <c r="U276" s="24" t="s">
        <v>180</v>
      </c>
    </row>
    <row r="277" spans="1:21">
      <c r="A277" s="14">
        <v>55</v>
      </c>
      <c r="B277" s="12" t="s">
        <v>487</v>
      </c>
      <c r="C277" s="12" t="s">
        <v>482</v>
      </c>
      <c r="D277" s="12" t="s">
        <v>481</v>
      </c>
      <c r="E277" s="12" t="s">
        <v>292</v>
      </c>
      <c r="F277" s="12" t="s">
        <v>372</v>
      </c>
      <c r="G277" s="12" t="s">
        <v>486</v>
      </c>
      <c r="H277" s="12" t="s">
        <v>1381</v>
      </c>
      <c r="I277" s="12" t="s">
        <v>184</v>
      </c>
      <c r="J277" s="12" t="s">
        <v>488</v>
      </c>
      <c r="K277" s="12" t="s">
        <v>1260</v>
      </c>
      <c r="L277" s="12" t="s">
        <v>1821</v>
      </c>
      <c r="M277" s="12" t="s">
        <v>1260</v>
      </c>
      <c r="N277" s="12" t="s">
        <v>1309</v>
      </c>
      <c r="O277" s="12" t="s">
        <v>1279</v>
      </c>
      <c r="P277" s="12" t="s">
        <v>1264</v>
      </c>
      <c r="Q277" s="16" t="s">
        <v>1265</v>
      </c>
      <c r="R277" s="16" t="s">
        <v>180</v>
      </c>
      <c r="S277" s="12" t="s">
        <v>104</v>
      </c>
      <c r="T277" s="12" t="s">
        <v>105</v>
      </c>
      <c r="U277" s="24" t="s">
        <v>180</v>
      </c>
    </row>
    <row r="278" spans="1:21">
      <c r="A278" s="14">
        <v>56</v>
      </c>
      <c r="B278" s="12" t="s">
        <v>955</v>
      </c>
      <c r="C278" s="12" t="s">
        <v>952</v>
      </c>
      <c r="D278" s="12" t="s">
        <v>951</v>
      </c>
      <c r="E278" s="12" t="s">
        <v>378</v>
      </c>
      <c r="F278" s="12" t="s">
        <v>954</v>
      </c>
      <c r="G278" s="12" t="s">
        <v>953</v>
      </c>
      <c r="H278" s="12" t="s">
        <v>1822</v>
      </c>
      <c r="I278" s="12" t="s">
        <v>184</v>
      </c>
      <c r="J278" s="12" t="s">
        <v>956</v>
      </c>
      <c r="K278" s="12" t="s">
        <v>1348</v>
      </c>
      <c r="L278" s="12" t="s">
        <v>1486</v>
      </c>
      <c r="M278" s="12" t="s">
        <v>1283</v>
      </c>
      <c r="N278" s="12" t="s">
        <v>1283</v>
      </c>
      <c r="O278" s="12" t="s">
        <v>1288</v>
      </c>
      <c r="P278" s="12" t="s">
        <v>1280</v>
      </c>
      <c r="Q278" s="16" t="s">
        <v>201</v>
      </c>
      <c r="R278" s="16" t="s">
        <v>180</v>
      </c>
      <c r="S278" s="12" t="s">
        <v>119</v>
      </c>
      <c r="T278" s="12" t="s">
        <v>519</v>
      </c>
      <c r="U278" s="24" t="s">
        <v>180</v>
      </c>
    </row>
    <row r="279" spans="1:21">
      <c r="A279" s="14">
        <v>56</v>
      </c>
      <c r="B279" s="12" t="s">
        <v>961</v>
      </c>
      <c r="C279" s="12" t="s">
        <v>959</v>
      </c>
      <c r="D279" s="12" t="s">
        <v>958</v>
      </c>
      <c r="E279" s="12" t="s">
        <v>173</v>
      </c>
      <c r="F279" s="12" t="s">
        <v>960</v>
      </c>
      <c r="G279" s="12" t="s">
        <v>1154</v>
      </c>
      <c r="H279" s="12" t="s">
        <v>1823</v>
      </c>
      <c r="I279" s="12" t="s">
        <v>210</v>
      </c>
      <c r="J279" s="12" t="s">
        <v>962</v>
      </c>
      <c r="K279" s="12" t="s">
        <v>1285</v>
      </c>
      <c r="L279" s="12" t="s">
        <v>1660</v>
      </c>
      <c r="M279" s="12" t="s">
        <v>1309</v>
      </c>
      <c r="N279" s="12" t="s">
        <v>1309</v>
      </c>
      <c r="O279" s="12" t="s">
        <v>1263</v>
      </c>
      <c r="P279" s="12" t="s">
        <v>1264</v>
      </c>
      <c r="Q279" s="16" t="s">
        <v>201</v>
      </c>
      <c r="R279" s="16" t="s">
        <v>180</v>
      </c>
      <c r="S279" s="12" t="s">
        <v>119</v>
      </c>
      <c r="T279" s="12" t="s">
        <v>379</v>
      </c>
      <c r="U279" s="24" t="s">
        <v>180</v>
      </c>
    </row>
    <row r="280" spans="1:21">
      <c r="A280" s="14">
        <v>56</v>
      </c>
      <c r="B280" s="12" t="s">
        <v>1824</v>
      </c>
      <c r="C280" s="12" t="s">
        <v>1025</v>
      </c>
      <c r="D280" s="12" t="s">
        <v>1024</v>
      </c>
      <c r="E280" s="12" t="s">
        <v>378</v>
      </c>
      <c r="F280" s="12" t="s">
        <v>1027</v>
      </c>
      <c r="G280" s="12" t="s">
        <v>1825</v>
      </c>
      <c r="H280" s="12" t="s">
        <v>1305</v>
      </c>
      <c r="I280" s="12" t="s">
        <v>184</v>
      </c>
      <c r="J280" s="12" t="s">
        <v>1826</v>
      </c>
      <c r="K280" s="12" t="s">
        <v>1409</v>
      </c>
      <c r="L280" s="12" t="s">
        <v>1409</v>
      </c>
      <c r="M280" s="12" t="s">
        <v>1311</v>
      </c>
      <c r="N280" s="12" t="s">
        <v>1283</v>
      </c>
      <c r="O280" s="12" t="s">
        <v>1288</v>
      </c>
      <c r="P280" s="12" t="s">
        <v>1280</v>
      </c>
      <c r="Q280" s="16" t="s">
        <v>201</v>
      </c>
      <c r="R280" s="16" t="s">
        <v>180</v>
      </c>
      <c r="S280" s="12" t="s">
        <v>754</v>
      </c>
      <c r="T280" s="12" t="s">
        <v>619</v>
      </c>
      <c r="U280" s="24" t="s">
        <v>180</v>
      </c>
    </row>
    <row r="281" spans="1:21">
      <c r="A281" s="14">
        <v>56</v>
      </c>
      <c r="B281" s="12" t="s">
        <v>1824</v>
      </c>
      <c r="C281" s="12" t="s">
        <v>1025</v>
      </c>
      <c r="D281" s="12" t="s">
        <v>1024</v>
      </c>
      <c r="E281" s="12" t="s">
        <v>378</v>
      </c>
      <c r="F281" s="12" t="s">
        <v>1027</v>
      </c>
      <c r="G281" s="12" t="s">
        <v>1825</v>
      </c>
      <c r="H281" s="12" t="s">
        <v>1305</v>
      </c>
      <c r="I281" s="12" t="s">
        <v>184</v>
      </c>
      <c r="J281" s="12" t="s">
        <v>1827</v>
      </c>
      <c r="K281" s="12" t="s">
        <v>1285</v>
      </c>
      <c r="L281" s="12" t="s">
        <v>1285</v>
      </c>
      <c r="M281" s="12" t="s">
        <v>1311</v>
      </c>
      <c r="N281" s="12" t="s">
        <v>1283</v>
      </c>
      <c r="O281" s="12" t="s">
        <v>1288</v>
      </c>
      <c r="P281" s="12" t="s">
        <v>1280</v>
      </c>
      <c r="Q281" s="16" t="s">
        <v>201</v>
      </c>
      <c r="R281" s="16" t="s">
        <v>180</v>
      </c>
      <c r="S281" s="12" t="s">
        <v>754</v>
      </c>
      <c r="T281" s="12" t="s">
        <v>619</v>
      </c>
      <c r="U281" s="24" t="s">
        <v>180</v>
      </c>
    </row>
    <row r="282" spans="1:21">
      <c r="A282" s="14">
        <v>56</v>
      </c>
      <c r="B282" s="12" t="s">
        <v>1824</v>
      </c>
      <c r="C282" s="12" t="s">
        <v>1025</v>
      </c>
      <c r="D282" s="12" t="s">
        <v>1024</v>
      </c>
      <c r="E282" s="12" t="s">
        <v>378</v>
      </c>
      <c r="F282" s="12" t="s">
        <v>1027</v>
      </c>
      <c r="G282" s="12" t="s">
        <v>1825</v>
      </c>
      <c r="H282" s="12" t="s">
        <v>1305</v>
      </c>
      <c r="I282" s="12" t="s">
        <v>184</v>
      </c>
      <c r="J282" s="12" t="s">
        <v>1828</v>
      </c>
      <c r="K282" s="12" t="s">
        <v>1409</v>
      </c>
      <c r="L282" s="12" t="s">
        <v>1409</v>
      </c>
      <c r="M282" s="12" t="s">
        <v>1311</v>
      </c>
      <c r="N282" s="12" t="s">
        <v>1311</v>
      </c>
      <c r="O282" s="12" t="s">
        <v>1410</v>
      </c>
      <c r="P282" s="12" t="s">
        <v>1328</v>
      </c>
      <c r="Q282" s="16" t="s">
        <v>201</v>
      </c>
      <c r="R282" s="16" t="s">
        <v>180</v>
      </c>
      <c r="S282" s="12" t="s">
        <v>754</v>
      </c>
      <c r="T282" s="12" t="s">
        <v>619</v>
      </c>
      <c r="U282" s="24" t="s">
        <v>180</v>
      </c>
    </row>
    <row r="283" spans="1:21">
      <c r="A283" s="14">
        <v>56</v>
      </c>
      <c r="B283" s="12" t="s">
        <v>1824</v>
      </c>
      <c r="C283" s="12" t="s">
        <v>1025</v>
      </c>
      <c r="D283" s="12" t="s">
        <v>1024</v>
      </c>
      <c r="E283" s="12" t="s">
        <v>378</v>
      </c>
      <c r="F283" s="12" t="s">
        <v>1027</v>
      </c>
      <c r="G283" s="12" t="s">
        <v>1825</v>
      </c>
      <c r="H283" s="12" t="s">
        <v>1305</v>
      </c>
      <c r="I283" s="12" t="s">
        <v>184</v>
      </c>
      <c r="J283" s="12" t="s">
        <v>1829</v>
      </c>
      <c r="K283" s="12" t="s">
        <v>1285</v>
      </c>
      <c r="L283" s="12" t="s">
        <v>1285</v>
      </c>
      <c r="M283" s="12" t="s">
        <v>1311</v>
      </c>
      <c r="N283" s="12" t="s">
        <v>1311</v>
      </c>
      <c r="O283" s="12" t="s">
        <v>1410</v>
      </c>
      <c r="P283" s="12" t="s">
        <v>1328</v>
      </c>
      <c r="Q283" s="16" t="s">
        <v>201</v>
      </c>
      <c r="R283" s="16" t="s">
        <v>180</v>
      </c>
      <c r="S283" s="12" t="s">
        <v>754</v>
      </c>
      <c r="T283" s="12" t="s">
        <v>619</v>
      </c>
      <c r="U283" s="24" t="s">
        <v>180</v>
      </c>
    </row>
    <row r="284" spans="1:21">
      <c r="A284" s="14">
        <v>57</v>
      </c>
      <c r="B284" s="12" t="s">
        <v>194</v>
      </c>
      <c r="C284" s="12" t="s">
        <v>191</v>
      </c>
      <c r="D284" s="12" t="s">
        <v>92</v>
      </c>
      <c r="E284" s="12" t="s">
        <v>173</v>
      </c>
      <c r="F284" s="12" t="s">
        <v>193</v>
      </c>
      <c r="G284" s="12" t="s">
        <v>192</v>
      </c>
      <c r="H284" s="12" t="s">
        <v>1322</v>
      </c>
      <c r="I284" s="12" t="s">
        <v>184</v>
      </c>
      <c r="J284" s="12" t="s">
        <v>195</v>
      </c>
      <c r="K284" s="12" t="s">
        <v>1830</v>
      </c>
      <c r="L284" s="12" t="s">
        <v>1831</v>
      </c>
      <c r="M284" s="12" t="s">
        <v>1278</v>
      </c>
      <c r="N284" s="12" t="s">
        <v>1278</v>
      </c>
      <c r="O284" s="12" t="s">
        <v>1634</v>
      </c>
      <c r="P284" s="12" t="s">
        <v>1280</v>
      </c>
      <c r="Q284" s="16" t="s">
        <v>201</v>
      </c>
      <c r="R284" s="16" t="s">
        <v>180</v>
      </c>
      <c r="S284" s="12" t="s">
        <v>93</v>
      </c>
      <c r="T284" s="12" t="s">
        <v>90</v>
      </c>
      <c r="U284" s="13" t="s">
        <v>174</v>
      </c>
    </row>
    <row r="285" spans="1:21">
      <c r="A285" s="14">
        <v>57</v>
      </c>
      <c r="B285" s="12" t="s">
        <v>499</v>
      </c>
      <c r="C285" s="12" t="s">
        <v>492</v>
      </c>
      <c r="D285" s="12" t="s">
        <v>491</v>
      </c>
      <c r="E285" s="12" t="s">
        <v>469</v>
      </c>
      <c r="F285" s="12" t="s">
        <v>498</v>
      </c>
      <c r="G285" s="12" t="s">
        <v>497</v>
      </c>
      <c r="H285" s="12" t="s">
        <v>1319</v>
      </c>
      <c r="I285" s="12" t="s">
        <v>184</v>
      </c>
      <c r="J285" s="12" t="s">
        <v>1832</v>
      </c>
      <c r="K285" s="12" t="s">
        <v>1260</v>
      </c>
      <c r="L285" s="12" t="s">
        <v>1833</v>
      </c>
      <c r="M285" s="12" t="s">
        <v>1260</v>
      </c>
      <c r="N285" s="12" t="s">
        <v>1287</v>
      </c>
      <c r="O285" s="12" t="s">
        <v>1279</v>
      </c>
      <c r="P285" s="12" t="s">
        <v>1280</v>
      </c>
      <c r="Q285" s="16" t="s">
        <v>1265</v>
      </c>
      <c r="R285" s="16" t="s">
        <v>180</v>
      </c>
      <c r="S285" s="12" t="s">
        <v>104</v>
      </c>
      <c r="T285" s="12" t="s">
        <v>470</v>
      </c>
      <c r="U285" s="24" t="s">
        <v>180</v>
      </c>
    </row>
    <row r="286" spans="1:21">
      <c r="A286" s="14">
        <v>57</v>
      </c>
      <c r="B286" s="12" t="s">
        <v>499</v>
      </c>
      <c r="C286" s="12" t="s">
        <v>492</v>
      </c>
      <c r="D286" s="12" t="s">
        <v>491</v>
      </c>
      <c r="E286" s="12" t="s">
        <v>469</v>
      </c>
      <c r="F286" s="12" t="s">
        <v>498</v>
      </c>
      <c r="G286" s="12" t="s">
        <v>497</v>
      </c>
      <c r="H286" s="12" t="s">
        <v>1319</v>
      </c>
      <c r="I286" s="12" t="s">
        <v>184</v>
      </c>
      <c r="J286" s="12" t="s">
        <v>1834</v>
      </c>
      <c r="K286" s="12" t="s">
        <v>1260</v>
      </c>
      <c r="L286" s="12" t="s">
        <v>1835</v>
      </c>
      <c r="M286" s="12" t="s">
        <v>1260</v>
      </c>
      <c r="N286" s="12" t="s">
        <v>1278</v>
      </c>
      <c r="O286" s="12" t="s">
        <v>1279</v>
      </c>
      <c r="P286" s="12" t="s">
        <v>1280</v>
      </c>
      <c r="Q286" s="16" t="s">
        <v>1265</v>
      </c>
      <c r="R286" s="16" t="s">
        <v>180</v>
      </c>
      <c r="S286" s="12" t="s">
        <v>104</v>
      </c>
      <c r="T286" s="12" t="s">
        <v>470</v>
      </c>
      <c r="U286" s="24" t="s">
        <v>180</v>
      </c>
    </row>
    <row r="287" spans="1:21">
      <c r="A287" s="14">
        <v>57</v>
      </c>
      <c r="B287" s="12" t="s">
        <v>499</v>
      </c>
      <c r="C287" s="12" t="s">
        <v>492</v>
      </c>
      <c r="D287" s="12" t="s">
        <v>491</v>
      </c>
      <c r="E287" s="12" t="s">
        <v>469</v>
      </c>
      <c r="F287" s="12" t="s">
        <v>498</v>
      </c>
      <c r="G287" s="12" t="s">
        <v>497</v>
      </c>
      <c r="H287" s="12" t="s">
        <v>1319</v>
      </c>
      <c r="I287" s="12" t="s">
        <v>184</v>
      </c>
      <c r="J287" s="12" t="s">
        <v>1836</v>
      </c>
      <c r="K287" s="12" t="s">
        <v>1260</v>
      </c>
      <c r="L287" s="12" t="s">
        <v>1812</v>
      </c>
      <c r="M287" s="12" t="s">
        <v>1260</v>
      </c>
      <c r="N287" s="12" t="s">
        <v>1309</v>
      </c>
      <c r="O287" s="12" t="s">
        <v>1279</v>
      </c>
      <c r="P287" s="12" t="s">
        <v>1280</v>
      </c>
      <c r="Q287" s="16" t="s">
        <v>1265</v>
      </c>
      <c r="R287" s="16" t="s">
        <v>180</v>
      </c>
      <c r="S287" s="12" t="s">
        <v>104</v>
      </c>
      <c r="T287" s="12" t="s">
        <v>470</v>
      </c>
      <c r="U287" s="24" t="s">
        <v>180</v>
      </c>
    </row>
    <row r="288" spans="1:21">
      <c r="A288" s="14">
        <v>57</v>
      </c>
      <c r="B288" s="12" t="s">
        <v>723</v>
      </c>
      <c r="C288" s="12" t="s">
        <v>720</v>
      </c>
      <c r="D288" s="12" t="s">
        <v>719</v>
      </c>
      <c r="E288" s="12" t="s">
        <v>217</v>
      </c>
      <c r="F288" s="12" t="s">
        <v>722</v>
      </c>
      <c r="G288" s="12" t="s">
        <v>520</v>
      </c>
      <c r="H288" s="12" t="s">
        <v>1837</v>
      </c>
      <c r="I288" s="12" t="s">
        <v>721</v>
      </c>
      <c r="J288" s="12" t="s">
        <v>724</v>
      </c>
      <c r="K288" s="12" t="s">
        <v>1301</v>
      </c>
      <c r="L288" s="12" t="s">
        <v>1368</v>
      </c>
      <c r="M288" s="12" t="s">
        <v>1309</v>
      </c>
      <c r="N288" s="12" t="s">
        <v>1309</v>
      </c>
      <c r="O288" s="12" t="s">
        <v>1279</v>
      </c>
      <c r="P288" s="12" t="s">
        <v>1280</v>
      </c>
      <c r="Q288" s="16" t="s">
        <v>201</v>
      </c>
      <c r="R288" s="16" t="s">
        <v>180</v>
      </c>
      <c r="S288" s="12" t="s">
        <v>119</v>
      </c>
      <c r="T288" s="12" t="s">
        <v>519</v>
      </c>
      <c r="U288" s="24" t="s">
        <v>180</v>
      </c>
    </row>
    <row r="289" spans="1:21">
      <c r="A289" s="14">
        <v>58</v>
      </c>
      <c r="B289" s="12" t="s">
        <v>1165</v>
      </c>
      <c r="C289" s="12" t="s">
        <v>1159</v>
      </c>
      <c r="D289" s="12" t="s">
        <v>1158</v>
      </c>
      <c r="E289" s="12" t="s">
        <v>469</v>
      </c>
      <c r="F289" s="12" t="s">
        <v>769</v>
      </c>
      <c r="G289" s="12" t="s">
        <v>1163</v>
      </c>
      <c r="H289" s="12" t="s">
        <v>1838</v>
      </c>
      <c r="I289" s="12" t="s">
        <v>1164</v>
      </c>
      <c r="J289" s="12" t="s">
        <v>1839</v>
      </c>
      <c r="K289" s="12" t="s">
        <v>1250</v>
      </c>
      <c r="L289" s="12" t="s">
        <v>1547</v>
      </c>
      <c r="M289" s="12" t="s">
        <v>1278</v>
      </c>
      <c r="N289" s="12" t="s">
        <v>1278</v>
      </c>
      <c r="O289" s="12" t="s">
        <v>1279</v>
      </c>
      <c r="P289" s="12" t="s">
        <v>1264</v>
      </c>
      <c r="Q289" s="16" t="s">
        <v>201</v>
      </c>
      <c r="R289" s="16" t="s">
        <v>180</v>
      </c>
      <c r="S289" s="12" t="s">
        <v>119</v>
      </c>
      <c r="T289" s="12" t="s">
        <v>619</v>
      </c>
      <c r="U289" s="24" t="s">
        <v>180</v>
      </c>
    </row>
    <row r="290" spans="1:21">
      <c r="A290" s="14">
        <v>58</v>
      </c>
      <c r="B290" s="12" t="s">
        <v>1165</v>
      </c>
      <c r="C290" s="12" t="s">
        <v>1159</v>
      </c>
      <c r="D290" s="12" t="s">
        <v>1158</v>
      </c>
      <c r="E290" s="12" t="s">
        <v>469</v>
      </c>
      <c r="F290" s="12" t="s">
        <v>769</v>
      </c>
      <c r="G290" s="12" t="s">
        <v>1163</v>
      </c>
      <c r="H290" s="12" t="s">
        <v>1838</v>
      </c>
      <c r="I290" s="12" t="s">
        <v>1164</v>
      </c>
      <c r="J290" s="12" t="s">
        <v>1840</v>
      </c>
      <c r="K290" s="12" t="s">
        <v>1250</v>
      </c>
      <c r="L290" s="12" t="s">
        <v>1599</v>
      </c>
      <c r="M290" s="12" t="s">
        <v>1309</v>
      </c>
      <c r="N290" s="12" t="s">
        <v>1309</v>
      </c>
      <c r="O290" s="12" t="s">
        <v>1279</v>
      </c>
      <c r="P290" s="12" t="s">
        <v>1264</v>
      </c>
      <c r="Q290" s="16" t="s">
        <v>201</v>
      </c>
      <c r="R290" s="16" t="s">
        <v>180</v>
      </c>
      <c r="S290" s="12" t="s">
        <v>119</v>
      </c>
      <c r="T290" s="12" t="s">
        <v>619</v>
      </c>
      <c r="U290" s="24" t="s">
        <v>180</v>
      </c>
    </row>
    <row r="291" spans="1:21">
      <c r="A291" s="14">
        <v>58</v>
      </c>
      <c r="B291" s="12" t="s">
        <v>1171</v>
      </c>
      <c r="C291" s="12" t="s">
        <v>1169</v>
      </c>
      <c r="D291" s="12" t="s">
        <v>1168</v>
      </c>
      <c r="E291" s="12" t="s">
        <v>303</v>
      </c>
      <c r="F291" s="12" t="s">
        <v>1170</v>
      </c>
      <c r="G291" s="12" t="s">
        <v>1154</v>
      </c>
      <c r="H291" s="12" t="s">
        <v>1305</v>
      </c>
      <c r="I291" s="12" t="s">
        <v>184</v>
      </c>
      <c r="J291" s="12" t="s">
        <v>1172</v>
      </c>
      <c r="K291" s="12" t="s">
        <v>1841</v>
      </c>
      <c r="L291" s="12" t="s">
        <v>1842</v>
      </c>
      <c r="M291" s="12" t="s">
        <v>1262</v>
      </c>
      <c r="N291" s="12" t="s">
        <v>1262</v>
      </c>
      <c r="O291" s="12" t="s">
        <v>1263</v>
      </c>
      <c r="P291" s="12" t="s">
        <v>1264</v>
      </c>
      <c r="Q291" s="16" t="s">
        <v>201</v>
      </c>
      <c r="R291" s="16" t="s">
        <v>180</v>
      </c>
      <c r="S291" s="12" t="s">
        <v>754</v>
      </c>
      <c r="T291" s="12" t="s">
        <v>619</v>
      </c>
      <c r="U291" s="24" t="s">
        <v>180</v>
      </c>
    </row>
    <row r="292" spans="1:21">
      <c r="A292" s="14">
        <v>58</v>
      </c>
      <c r="B292" s="12" t="s">
        <v>580</v>
      </c>
      <c r="C292" s="12" t="s">
        <v>576</v>
      </c>
      <c r="D292" s="12" t="s">
        <v>575</v>
      </c>
      <c r="E292" s="12" t="s">
        <v>303</v>
      </c>
      <c r="F292" s="12" t="s">
        <v>579</v>
      </c>
      <c r="G292" s="12" t="s">
        <v>577</v>
      </c>
      <c r="H292" s="12" t="s">
        <v>1843</v>
      </c>
      <c r="I292" s="12" t="s">
        <v>578</v>
      </c>
      <c r="J292" s="12" t="s">
        <v>581</v>
      </c>
      <c r="K292" s="12" t="s">
        <v>1499</v>
      </c>
      <c r="L292" s="12" t="s">
        <v>1844</v>
      </c>
      <c r="M292" s="12" t="s">
        <v>1278</v>
      </c>
      <c r="N292" s="12" t="s">
        <v>1278</v>
      </c>
      <c r="O292" s="12" t="s">
        <v>1279</v>
      </c>
      <c r="P292" s="12" t="s">
        <v>1280</v>
      </c>
      <c r="Q292" s="16" t="s">
        <v>201</v>
      </c>
      <c r="R292" s="16" t="s">
        <v>180</v>
      </c>
      <c r="S292" s="12" t="s">
        <v>104</v>
      </c>
      <c r="T292" s="12" t="s">
        <v>105</v>
      </c>
      <c r="U292" s="24" t="s">
        <v>180</v>
      </c>
    </row>
    <row r="293" spans="1:21">
      <c r="A293" s="14">
        <v>59</v>
      </c>
      <c r="B293" s="12" t="s">
        <v>464</v>
      </c>
      <c r="C293" s="12" t="s">
        <v>461</v>
      </c>
      <c r="D293" s="12" t="s">
        <v>460</v>
      </c>
      <c r="E293" s="12" t="s">
        <v>173</v>
      </c>
      <c r="F293" s="12" t="s">
        <v>463</v>
      </c>
      <c r="G293" s="12" t="s">
        <v>462</v>
      </c>
      <c r="H293" s="12" t="s">
        <v>1322</v>
      </c>
      <c r="I293" s="12" t="s">
        <v>184</v>
      </c>
      <c r="J293" s="12" t="s">
        <v>465</v>
      </c>
      <c r="K293" s="12" t="s">
        <v>1399</v>
      </c>
      <c r="L293" s="12" t="s">
        <v>1796</v>
      </c>
      <c r="M293" s="12" t="s">
        <v>1283</v>
      </c>
      <c r="N293" s="12" t="s">
        <v>1283</v>
      </c>
      <c r="O293" s="12" t="s">
        <v>1325</v>
      </c>
      <c r="P293" s="12" t="s">
        <v>1280</v>
      </c>
      <c r="Q293" s="16" t="s">
        <v>201</v>
      </c>
      <c r="R293" s="16" t="s">
        <v>180</v>
      </c>
      <c r="S293" s="12" t="s">
        <v>104</v>
      </c>
      <c r="T293" s="12" t="s">
        <v>105</v>
      </c>
      <c r="U293" s="24" t="s">
        <v>180</v>
      </c>
    </row>
    <row r="294" spans="1:21">
      <c r="A294" s="14">
        <v>59</v>
      </c>
      <c r="B294" s="12" t="s">
        <v>1176</v>
      </c>
      <c r="C294" s="12" t="s">
        <v>1174</v>
      </c>
      <c r="D294" s="12" t="s">
        <v>1173</v>
      </c>
      <c r="E294" s="12" t="s">
        <v>173</v>
      </c>
      <c r="F294" s="12" t="s">
        <v>1175</v>
      </c>
      <c r="G294" s="12" t="s">
        <v>1154</v>
      </c>
      <c r="H294" s="12" t="s">
        <v>1305</v>
      </c>
      <c r="I294" s="12" t="s">
        <v>184</v>
      </c>
      <c r="J294" s="12" t="s">
        <v>1177</v>
      </c>
      <c r="K294" s="12" t="s">
        <v>1845</v>
      </c>
      <c r="L294" s="12" t="s">
        <v>1845</v>
      </c>
      <c r="M294" s="12" t="s">
        <v>1309</v>
      </c>
      <c r="N294" s="12" t="s">
        <v>1309</v>
      </c>
      <c r="O294" s="12" t="s">
        <v>1279</v>
      </c>
      <c r="P294" s="12" t="s">
        <v>1280</v>
      </c>
      <c r="Q294" s="16" t="s">
        <v>201</v>
      </c>
      <c r="R294" s="16" t="s">
        <v>180</v>
      </c>
      <c r="S294" s="12" t="s">
        <v>754</v>
      </c>
      <c r="T294" s="12" t="s">
        <v>619</v>
      </c>
      <c r="U294" s="24" t="s">
        <v>180</v>
      </c>
    </row>
    <row r="295" spans="1:21">
      <c r="A295" s="14">
        <v>59</v>
      </c>
      <c r="B295" s="12" t="s">
        <v>590</v>
      </c>
      <c r="C295" s="12" t="s">
        <v>585</v>
      </c>
      <c r="D295" s="12" t="s">
        <v>584</v>
      </c>
      <c r="E295" s="12" t="s">
        <v>469</v>
      </c>
      <c r="F295" s="12" t="s">
        <v>589</v>
      </c>
      <c r="G295" s="12" t="s">
        <v>587</v>
      </c>
      <c r="H295" s="12" t="s">
        <v>1322</v>
      </c>
      <c r="I295" s="12" t="s">
        <v>184</v>
      </c>
      <c r="J295" s="12" t="s">
        <v>1846</v>
      </c>
      <c r="K295" s="12" t="s">
        <v>1363</v>
      </c>
      <c r="L295" s="12" t="s">
        <v>1847</v>
      </c>
      <c r="M295" s="12" t="s">
        <v>1309</v>
      </c>
      <c r="N295" s="12" t="s">
        <v>1309</v>
      </c>
      <c r="O295" s="12" t="s">
        <v>1288</v>
      </c>
      <c r="P295" s="12" t="s">
        <v>1264</v>
      </c>
      <c r="Q295" s="16" t="s">
        <v>201</v>
      </c>
      <c r="R295" s="16" t="s">
        <v>180</v>
      </c>
      <c r="S295" s="12" t="s">
        <v>119</v>
      </c>
      <c r="T295" s="12" t="s">
        <v>586</v>
      </c>
      <c r="U295" s="24" t="s">
        <v>180</v>
      </c>
    </row>
    <row r="296" spans="1:21">
      <c r="A296" s="14">
        <v>60</v>
      </c>
      <c r="B296" s="12" t="s">
        <v>590</v>
      </c>
      <c r="C296" s="12" t="s">
        <v>585</v>
      </c>
      <c r="D296" s="12" t="s">
        <v>584</v>
      </c>
      <c r="E296" s="12" t="s">
        <v>469</v>
      </c>
      <c r="F296" s="12" t="s">
        <v>589</v>
      </c>
      <c r="G296" s="12" t="s">
        <v>1154</v>
      </c>
      <c r="H296" s="12" t="s">
        <v>1322</v>
      </c>
      <c r="I296" s="12" t="s">
        <v>235</v>
      </c>
      <c r="J296" s="12" t="s">
        <v>1848</v>
      </c>
      <c r="K296" s="12" t="s">
        <v>1363</v>
      </c>
      <c r="L296" s="12" t="s">
        <v>1549</v>
      </c>
      <c r="M296" s="12" t="s">
        <v>1278</v>
      </c>
      <c r="N296" s="12" t="s">
        <v>1278</v>
      </c>
      <c r="O296" s="12" t="s">
        <v>1488</v>
      </c>
      <c r="P296" s="12" t="s">
        <v>1280</v>
      </c>
      <c r="Q296" s="16" t="s">
        <v>201</v>
      </c>
      <c r="R296" s="16" t="s">
        <v>180</v>
      </c>
      <c r="S296" s="12" t="s">
        <v>119</v>
      </c>
      <c r="T296" s="12" t="s">
        <v>586</v>
      </c>
      <c r="U296" s="24" t="s">
        <v>180</v>
      </c>
    </row>
    <row r="297" spans="1:21">
      <c r="A297" s="14">
        <v>60</v>
      </c>
      <c r="B297" s="12" t="s">
        <v>968</v>
      </c>
      <c r="C297" s="12" t="s">
        <v>965</v>
      </c>
      <c r="D297" s="12" t="s">
        <v>964</v>
      </c>
      <c r="E297" s="12" t="s">
        <v>217</v>
      </c>
      <c r="F297" s="12" t="s">
        <v>967</v>
      </c>
      <c r="G297" s="12" t="s">
        <v>966</v>
      </c>
      <c r="H297" s="12" t="s">
        <v>1296</v>
      </c>
      <c r="I297" s="12" t="s">
        <v>184</v>
      </c>
      <c r="J297" s="12" t="s">
        <v>969</v>
      </c>
      <c r="K297" s="12" t="s">
        <v>1420</v>
      </c>
      <c r="L297" s="12" t="s">
        <v>1849</v>
      </c>
      <c r="M297" s="12" t="s">
        <v>1572</v>
      </c>
      <c r="N297" s="12" t="s">
        <v>1283</v>
      </c>
      <c r="O297" s="12" t="s">
        <v>1325</v>
      </c>
      <c r="P297" s="12" t="s">
        <v>1280</v>
      </c>
      <c r="Q297" s="16" t="s">
        <v>201</v>
      </c>
      <c r="R297" s="16" t="s">
        <v>180</v>
      </c>
      <c r="S297" s="12" t="s">
        <v>119</v>
      </c>
      <c r="T297" s="12" t="s">
        <v>379</v>
      </c>
      <c r="U297" s="24" t="s">
        <v>180</v>
      </c>
    </row>
    <row r="298" spans="1:21">
      <c r="A298" s="14">
        <v>60</v>
      </c>
      <c r="B298" s="12" t="s">
        <v>975</v>
      </c>
      <c r="C298" s="12" t="s">
        <v>972</v>
      </c>
      <c r="D298" s="12" t="s">
        <v>971</v>
      </c>
      <c r="E298" s="12" t="s">
        <v>173</v>
      </c>
      <c r="F298" s="12" t="s">
        <v>974</v>
      </c>
      <c r="G298" s="12" t="s">
        <v>973</v>
      </c>
      <c r="H298" s="12" t="s">
        <v>1322</v>
      </c>
      <c r="I298" s="12" t="s">
        <v>184</v>
      </c>
      <c r="J298" s="12" t="s">
        <v>976</v>
      </c>
      <c r="K298" s="12" t="s">
        <v>1298</v>
      </c>
      <c r="L298" s="12" t="s">
        <v>1298</v>
      </c>
      <c r="M298" s="12" t="s">
        <v>1311</v>
      </c>
      <c r="N298" s="12" t="s">
        <v>1283</v>
      </c>
      <c r="O298" s="12" t="s">
        <v>1279</v>
      </c>
      <c r="P298" s="12" t="s">
        <v>1280</v>
      </c>
      <c r="Q298" s="16" t="s">
        <v>201</v>
      </c>
      <c r="R298" s="16" t="s">
        <v>180</v>
      </c>
      <c r="S298" s="12" t="s">
        <v>119</v>
      </c>
      <c r="T298" s="12" t="s">
        <v>619</v>
      </c>
      <c r="U298" s="24" t="s">
        <v>180</v>
      </c>
    </row>
    <row r="299" spans="1:21">
      <c r="A299" s="14">
        <v>61</v>
      </c>
      <c r="B299" s="12" t="s">
        <v>1850</v>
      </c>
      <c r="C299" s="12" t="s">
        <v>978</v>
      </c>
      <c r="D299" s="12" t="s">
        <v>977</v>
      </c>
      <c r="E299" s="12" t="s">
        <v>173</v>
      </c>
      <c r="F299" s="12" t="s">
        <v>980</v>
      </c>
      <c r="G299" s="12" t="s">
        <v>1851</v>
      </c>
      <c r="H299" s="12" t="s">
        <v>1852</v>
      </c>
      <c r="I299" s="12" t="s">
        <v>210</v>
      </c>
      <c r="J299" s="12" t="s">
        <v>1853</v>
      </c>
      <c r="K299" s="12" t="s">
        <v>1267</v>
      </c>
      <c r="L299" s="12" t="s">
        <v>1267</v>
      </c>
      <c r="M299" s="12" t="s">
        <v>1311</v>
      </c>
      <c r="N299" s="12" t="s">
        <v>1283</v>
      </c>
      <c r="O299" s="12" t="s">
        <v>1854</v>
      </c>
      <c r="P299" s="12" t="s">
        <v>1280</v>
      </c>
      <c r="Q299" s="16" t="s">
        <v>201</v>
      </c>
      <c r="R299" s="16" t="s">
        <v>180</v>
      </c>
      <c r="S299" s="12" t="s">
        <v>119</v>
      </c>
      <c r="T299" s="12" t="s">
        <v>379</v>
      </c>
      <c r="U299" s="24" t="s">
        <v>180</v>
      </c>
    </row>
    <row r="300" spans="1:21">
      <c r="A300" s="14">
        <v>61</v>
      </c>
      <c r="B300" s="12" t="s">
        <v>1850</v>
      </c>
      <c r="C300" s="12" t="s">
        <v>978</v>
      </c>
      <c r="D300" s="12" t="s">
        <v>977</v>
      </c>
      <c r="E300" s="12" t="s">
        <v>173</v>
      </c>
      <c r="F300" s="12" t="s">
        <v>980</v>
      </c>
      <c r="G300" s="12" t="s">
        <v>1851</v>
      </c>
      <c r="H300" s="12" t="s">
        <v>1852</v>
      </c>
      <c r="I300" s="12" t="s">
        <v>210</v>
      </c>
      <c r="J300" s="12" t="s">
        <v>1855</v>
      </c>
      <c r="K300" s="12" t="s">
        <v>1267</v>
      </c>
      <c r="L300" s="12" t="s">
        <v>1856</v>
      </c>
      <c r="M300" s="12" t="s">
        <v>1309</v>
      </c>
      <c r="N300" s="12" t="s">
        <v>1309</v>
      </c>
      <c r="O300" s="12" t="s">
        <v>1263</v>
      </c>
      <c r="P300" s="12" t="s">
        <v>1264</v>
      </c>
      <c r="Q300" s="16" t="s">
        <v>201</v>
      </c>
      <c r="R300" s="16" t="s">
        <v>180</v>
      </c>
      <c r="S300" s="12" t="s">
        <v>119</v>
      </c>
      <c r="T300" s="12" t="s">
        <v>379</v>
      </c>
      <c r="U300" s="24" t="s">
        <v>180</v>
      </c>
    </row>
    <row r="301" spans="1:21">
      <c r="A301" s="14">
        <v>61</v>
      </c>
      <c r="B301" s="12" t="s">
        <v>1857</v>
      </c>
      <c r="C301" s="12" t="s">
        <v>978</v>
      </c>
      <c r="D301" s="12" t="s">
        <v>977</v>
      </c>
      <c r="E301" s="12" t="s">
        <v>173</v>
      </c>
      <c r="F301" s="12" t="s">
        <v>980</v>
      </c>
      <c r="G301" s="12" t="s">
        <v>1858</v>
      </c>
      <c r="H301" s="12" t="s">
        <v>1823</v>
      </c>
      <c r="I301" s="12" t="s">
        <v>210</v>
      </c>
      <c r="J301" s="12" t="s">
        <v>1859</v>
      </c>
      <c r="K301" s="12" t="s">
        <v>1267</v>
      </c>
      <c r="L301" s="12" t="s">
        <v>1860</v>
      </c>
      <c r="M301" s="12" t="s">
        <v>1278</v>
      </c>
      <c r="N301" s="12" t="s">
        <v>1278</v>
      </c>
      <c r="O301" s="12" t="s">
        <v>1263</v>
      </c>
      <c r="P301" s="12" t="s">
        <v>1264</v>
      </c>
      <c r="Q301" s="16" t="s">
        <v>201</v>
      </c>
      <c r="R301" s="16" t="s">
        <v>180</v>
      </c>
      <c r="S301" s="12" t="s">
        <v>119</v>
      </c>
      <c r="T301" s="12" t="s">
        <v>379</v>
      </c>
      <c r="U301" s="24" t="s">
        <v>180</v>
      </c>
    </row>
    <row r="302" spans="1:21">
      <c r="A302" s="14">
        <v>61</v>
      </c>
      <c r="B302" s="12" t="s">
        <v>1181</v>
      </c>
      <c r="C302" s="12" t="s">
        <v>1179</v>
      </c>
      <c r="D302" s="12" t="s">
        <v>1178</v>
      </c>
      <c r="E302" s="12" t="s">
        <v>173</v>
      </c>
      <c r="F302" s="12" t="s">
        <v>1180</v>
      </c>
      <c r="G302" s="12" t="s">
        <v>1154</v>
      </c>
      <c r="H302" s="12" t="s">
        <v>1322</v>
      </c>
      <c r="I302" s="12" t="s">
        <v>184</v>
      </c>
      <c r="J302" s="12" t="s">
        <v>1182</v>
      </c>
      <c r="K302" s="12" t="s">
        <v>1301</v>
      </c>
      <c r="L302" s="12" t="s">
        <v>1861</v>
      </c>
      <c r="M302" s="12" t="s">
        <v>1283</v>
      </c>
      <c r="N302" s="12" t="s">
        <v>1283</v>
      </c>
      <c r="O302" s="12" t="s">
        <v>1288</v>
      </c>
      <c r="P302" s="12" t="s">
        <v>1280</v>
      </c>
      <c r="Q302" s="16" t="s">
        <v>201</v>
      </c>
      <c r="R302" s="16" t="s">
        <v>180</v>
      </c>
      <c r="S302" s="12" t="s">
        <v>754</v>
      </c>
      <c r="T302" s="12" t="s">
        <v>619</v>
      </c>
      <c r="U302" s="24" t="s">
        <v>180</v>
      </c>
    </row>
    <row r="303" spans="1:21">
      <c r="A303" s="14">
        <v>62</v>
      </c>
      <c r="B303" s="12" t="s">
        <v>250</v>
      </c>
      <c r="C303" s="12" t="s">
        <v>241</v>
      </c>
      <c r="D303" s="12" t="s">
        <v>100</v>
      </c>
      <c r="E303" s="12" t="s">
        <v>199</v>
      </c>
      <c r="F303" s="12" t="s">
        <v>249</v>
      </c>
      <c r="G303" s="12" t="s">
        <v>248</v>
      </c>
      <c r="H303" s="12" t="s">
        <v>1862</v>
      </c>
      <c r="I303" s="12" t="s">
        <v>184</v>
      </c>
      <c r="J303" s="12" t="s">
        <v>1863</v>
      </c>
      <c r="K303" s="12" t="s">
        <v>1260</v>
      </c>
      <c r="L303" s="12" t="s">
        <v>1320</v>
      </c>
      <c r="M303" s="12" t="s">
        <v>1260</v>
      </c>
      <c r="N303" s="12" t="s">
        <v>1262</v>
      </c>
      <c r="O303" s="12" t="s">
        <v>1263</v>
      </c>
      <c r="P303" s="12" t="s">
        <v>1264</v>
      </c>
      <c r="Q303" s="16" t="s">
        <v>1265</v>
      </c>
      <c r="R303" s="16" t="s">
        <v>180</v>
      </c>
      <c r="S303" s="12" t="s">
        <v>93</v>
      </c>
      <c r="T303" s="12" t="s">
        <v>90</v>
      </c>
      <c r="U303" s="13" t="s">
        <v>174</v>
      </c>
    </row>
    <row r="304" spans="1:21">
      <c r="A304" s="14">
        <v>62</v>
      </c>
      <c r="B304" s="12" t="s">
        <v>250</v>
      </c>
      <c r="C304" s="12" t="s">
        <v>241</v>
      </c>
      <c r="D304" s="12" t="s">
        <v>100</v>
      </c>
      <c r="E304" s="12" t="s">
        <v>199</v>
      </c>
      <c r="F304" s="12" t="s">
        <v>249</v>
      </c>
      <c r="G304" s="12" t="s">
        <v>248</v>
      </c>
      <c r="H304" s="12" t="s">
        <v>1862</v>
      </c>
      <c r="I304" s="12" t="s">
        <v>184</v>
      </c>
      <c r="J304" s="12" t="s">
        <v>1864</v>
      </c>
      <c r="K304" s="12" t="s">
        <v>1260</v>
      </c>
      <c r="L304" s="12" t="s">
        <v>1865</v>
      </c>
      <c r="M304" s="12" t="s">
        <v>1260</v>
      </c>
      <c r="N304" s="12" t="s">
        <v>1283</v>
      </c>
      <c r="O304" s="12" t="s">
        <v>1263</v>
      </c>
      <c r="P304" s="12" t="s">
        <v>1280</v>
      </c>
      <c r="Q304" s="16" t="s">
        <v>1265</v>
      </c>
      <c r="R304" s="16" t="s">
        <v>180</v>
      </c>
      <c r="S304" s="12" t="s">
        <v>93</v>
      </c>
      <c r="T304" s="12" t="s">
        <v>90</v>
      </c>
      <c r="U304" s="13" t="s">
        <v>174</v>
      </c>
    </row>
    <row r="305" spans="1:21">
      <c r="A305" s="14">
        <v>62</v>
      </c>
      <c r="B305" s="12" t="s">
        <v>987</v>
      </c>
      <c r="C305" s="12" t="s">
        <v>985</v>
      </c>
      <c r="D305" s="12" t="s">
        <v>984</v>
      </c>
      <c r="E305" s="12" t="s">
        <v>217</v>
      </c>
      <c r="F305" s="12" t="s">
        <v>571</v>
      </c>
      <c r="G305" s="12" t="s">
        <v>986</v>
      </c>
      <c r="H305" s="12" t="s">
        <v>1322</v>
      </c>
      <c r="I305" s="12" t="s">
        <v>184</v>
      </c>
      <c r="J305" s="12" t="s">
        <v>988</v>
      </c>
      <c r="K305" s="12" t="s">
        <v>1301</v>
      </c>
      <c r="L305" s="12" t="s">
        <v>1662</v>
      </c>
      <c r="M305" s="12" t="s">
        <v>1278</v>
      </c>
      <c r="N305" s="12" t="s">
        <v>1309</v>
      </c>
      <c r="O305" s="12" t="s">
        <v>1279</v>
      </c>
      <c r="P305" s="12" t="s">
        <v>1264</v>
      </c>
      <c r="Q305" s="16" t="s">
        <v>201</v>
      </c>
      <c r="R305" s="16" t="s">
        <v>180</v>
      </c>
      <c r="S305" s="12" t="s">
        <v>119</v>
      </c>
      <c r="T305" s="12" t="s">
        <v>619</v>
      </c>
      <c r="U305" s="24" t="s">
        <v>180</v>
      </c>
    </row>
    <row r="306" spans="1:21">
      <c r="A306" s="14">
        <v>62</v>
      </c>
      <c r="B306" s="12" t="s">
        <v>212</v>
      </c>
      <c r="C306" s="12" t="s">
        <v>208</v>
      </c>
      <c r="D306" s="12" t="s">
        <v>95</v>
      </c>
      <c r="E306" s="12" t="s">
        <v>199</v>
      </c>
      <c r="F306" s="12" t="s">
        <v>211</v>
      </c>
      <c r="G306" s="12" t="s">
        <v>209</v>
      </c>
      <c r="H306" s="12" t="s">
        <v>1866</v>
      </c>
      <c r="I306" s="12" t="s">
        <v>210</v>
      </c>
      <c r="J306" s="12" t="s">
        <v>213</v>
      </c>
      <c r="K306" s="12" t="s">
        <v>1508</v>
      </c>
      <c r="L306" s="12" t="s">
        <v>1509</v>
      </c>
      <c r="M306" s="12" t="s">
        <v>1278</v>
      </c>
      <c r="N306" s="12" t="s">
        <v>1278</v>
      </c>
      <c r="O306" s="12" t="s">
        <v>1270</v>
      </c>
      <c r="P306" s="12" t="s">
        <v>1264</v>
      </c>
      <c r="Q306" s="16" t="s">
        <v>201</v>
      </c>
      <c r="R306" s="16" t="s">
        <v>180</v>
      </c>
      <c r="S306" s="12" t="s">
        <v>89</v>
      </c>
      <c r="T306" s="12" t="s">
        <v>90</v>
      </c>
      <c r="U306" s="13" t="s">
        <v>174</v>
      </c>
    </row>
    <row r="307" spans="1:21">
      <c r="A307" s="14">
        <v>63</v>
      </c>
      <c r="B307" s="12" t="s">
        <v>1867</v>
      </c>
      <c r="C307" s="12" t="s">
        <v>350</v>
      </c>
      <c r="D307" s="12" t="s">
        <v>118</v>
      </c>
      <c r="E307" s="12" t="s">
        <v>292</v>
      </c>
      <c r="F307" s="12" t="s">
        <v>540</v>
      </c>
      <c r="G307" s="12" t="s">
        <v>360</v>
      </c>
      <c r="H307" s="12" t="s">
        <v>1868</v>
      </c>
      <c r="I307" s="12" t="s">
        <v>184</v>
      </c>
      <c r="J307" s="12" t="s">
        <v>1869</v>
      </c>
      <c r="K307" s="12" t="s">
        <v>1260</v>
      </c>
      <c r="L307" s="12" t="s">
        <v>1870</v>
      </c>
      <c r="M307" s="12" t="s">
        <v>1260</v>
      </c>
      <c r="N307" s="12" t="s">
        <v>1272</v>
      </c>
      <c r="O307" s="12" t="s">
        <v>1279</v>
      </c>
      <c r="P307" s="12" t="s">
        <v>1264</v>
      </c>
      <c r="Q307" s="16" t="s">
        <v>1265</v>
      </c>
      <c r="R307" s="16" t="s">
        <v>180</v>
      </c>
      <c r="S307" s="12" t="s">
        <v>119</v>
      </c>
      <c r="T307" s="12" t="s">
        <v>120</v>
      </c>
      <c r="U307" s="13" t="s">
        <v>174</v>
      </c>
    </row>
    <row r="308" spans="1:21">
      <c r="A308" s="14">
        <v>63</v>
      </c>
      <c r="B308" s="12" t="s">
        <v>1867</v>
      </c>
      <c r="C308" s="12" t="s">
        <v>350</v>
      </c>
      <c r="D308" s="12" t="s">
        <v>118</v>
      </c>
      <c r="E308" s="12" t="s">
        <v>292</v>
      </c>
      <c r="F308" s="12" t="s">
        <v>540</v>
      </c>
      <c r="G308" s="12" t="s">
        <v>360</v>
      </c>
      <c r="H308" s="12" t="s">
        <v>1868</v>
      </c>
      <c r="I308" s="12" t="s">
        <v>184</v>
      </c>
      <c r="J308" s="12" t="s">
        <v>1871</v>
      </c>
      <c r="K308" s="12" t="s">
        <v>1260</v>
      </c>
      <c r="L308" s="12" t="s">
        <v>1291</v>
      </c>
      <c r="M308" s="12" t="s">
        <v>1260</v>
      </c>
      <c r="N308" s="12" t="s">
        <v>1272</v>
      </c>
      <c r="O308" s="12" t="s">
        <v>1279</v>
      </c>
      <c r="P308" s="12" t="s">
        <v>1264</v>
      </c>
      <c r="Q308" s="16" t="s">
        <v>1265</v>
      </c>
      <c r="R308" s="16" t="s">
        <v>180</v>
      </c>
      <c r="S308" s="12" t="s">
        <v>119</v>
      </c>
      <c r="T308" s="12" t="s">
        <v>120</v>
      </c>
      <c r="U308" s="13" t="s">
        <v>174</v>
      </c>
    </row>
    <row r="309" spans="1:21">
      <c r="A309" s="14">
        <v>63</v>
      </c>
      <c r="B309" s="12" t="s">
        <v>1867</v>
      </c>
      <c r="C309" s="12" t="s">
        <v>350</v>
      </c>
      <c r="D309" s="12" t="s">
        <v>118</v>
      </c>
      <c r="E309" s="12" t="s">
        <v>292</v>
      </c>
      <c r="F309" s="12" t="s">
        <v>540</v>
      </c>
      <c r="G309" s="12" t="s">
        <v>360</v>
      </c>
      <c r="H309" s="12" t="s">
        <v>1868</v>
      </c>
      <c r="I309" s="12" t="s">
        <v>184</v>
      </c>
      <c r="J309" s="12" t="s">
        <v>1872</v>
      </c>
      <c r="K309" s="12" t="s">
        <v>1260</v>
      </c>
      <c r="L309" s="12" t="s">
        <v>1378</v>
      </c>
      <c r="M309" s="12" t="s">
        <v>1260</v>
      </c>
      <c r="N309" s="12" t="s">
        <v>1262</v>
      </c>
      <c r="O309" s="12" t="s">
        <v>1279</v>
      </c>
      <c r="P309" s="12" t="s">
        <v>1264</v>
      </c>
      <c r="Q309" s="16" t="s">
        <v>1265</v>
      </c>
      <c r="R309" s="16" t="s">
        <v>180</v>
      </c>
      <c r="S309" s="12" t="s">
        <v>119</v>
      </c>
      <c r="T309" s="12" t="s">
        <v>120</v>
      </c>
      <c r="U309" s="13" t="s">
        <v>174</v>
      </c>
    </row>
    <row r="310" spans="1:21">
      <c r="A310" s="14">
        <v>63</v>
      </c>
      <c r="B310" s="12" t="s">
        <v>1873</v>
      </c>
      <c r="C310" s="12" t="s">
        <v>350</v>
      </c>
      <c r="D310" s="12" t="s">
        <v>118</v>
      </c>
      <c r="E310" s="12" t="s">
        <v>292</v>
      </c>
      <c r="F310" s="12" t="s">
        <v>540</v>
      </c>
      <c r="G310" s="12" t="s">
        <v>1154</v>
      </c>
      <c r="H310" s="12" t="s">
        <v>1874</v>
      </c>
      <c r="I310" s="12" t="s">
        <v>1875</v>
      </c>
      <c r="J310" s="12" t="s">
        <v>1876</v>
      </c>
      <c r="K310" s="12" t="s">
        <v>1260</v>
      </c>
      <c r="L310" s="12" t="s">
        <v>1261</v>
      </c>
      <c r="M310" s="12" t="s">
        <v>1260</v>
      </c>
      <c r="N310" s="12" t="s">
        <v>1453</v>
      </c>
      <c r="O310" s="12" t="s">
        <v>1288</v>
      </c>
      <c r="P310" s="12" t="s">
        <v>1264</v>
      </c>
      <c r="Q310" s="16" t="s">
        <v>1265</v>
      </c>
      <c r="R310" s="16" t="s">
        <v>180</v>
      </c>
      <c r="S310" s="12" t="s">
        <v>119</v>
      </c>
      <c r="T310" s="12" t="s">
        <v>120</v>
      </c>
      <c r="U310" s="13" t="s">
        <v>174</v>
      </c>
    </row>
    <row r="311" spans="1:21">
      <c r="A311" s="14">
        <v>63</v>
      </c>
      <c r="B311" s="12" t="s">
        <v>1873</v>
      </c>
      <c r="C311" s="12" t="s">
        <v>350</v>
      </c>
      <c r="D311" s="12" t="s">
        <v>118</v>
      </c>
      <c r="E311" s="12" t="s">
        <v>292</v>
      </c>
      <c r="F311" s="12" t="s">
        <v>540</v>
      </c>
      <c r="G311" s="12" t="s">
        <v>1154</v>
      </c>
      <c r="H311" s="12" t="s">
        <v>1874</v>
      </c>
      <c r="I311" s="12" t="s">
        <v>1875</v>
      </c>
      <c r="J311" s="12" t="s">
        <v>1877</v>
      </c>
      <c r="K311" s="12" t="s">
        <v>1260</v>
      </c>
      <c r="L311" s="12" t="s">
        <v>1378</v>
      </c>
      <c r="M311" s="12" t="s">
        <v>1260</v>
      </c>
      <c r="N311" s="12" t="s">
        <v>1262</v>
      </c>
      <c r="O311" s="12" t="s">
        <v>1279</v>
      </c>
      <c r="P311" s="12" t="s">
        <v>1264</v>
      </c>
      <c r="Q311" s="16" t="s">
        <v>1265</v>
      </c>
      <c r="R311" s="16" t="s">
        <v>180</v>
      </c>
      <c r="S311" s="12" t="s">
        <v>119</v>
      </c>
      <c r="T311" s="12" t="s">
        <v>120</v>
      </c>
      <c r="U311" s="13" t="s">
        <v>174</v>
      </c>
    </row>
    <row r="312" spans="1:21">
      <c r="A312" s="14">
        <v>63</v>
      </c>
      <c r="B312" s="12" t="s">
        <v>1873</v>
      </c>
      <c r="C312" s="12" t="s">
        <v>350</v>
      </c>
      <c r="D312" s="12" t="s">
        <v>118</v>
      </c>
      <c r="E312" s="12" t="s">
        <v>292</v>
      </c>
      <c r="F312" s="12" t="s">
        <v>540</v>
      </c>
      <c r="G312" s="12" t="s">
        <v>1154</v>
      </c>
      <c r="H312" s="12" t="s">
        <v>1874</v>
      </c>
      <c r="I312" s="12" t="s">
        <v>1875</v>
      </c>
      <c r="J312" s="12" t="s">
        <v>1878</v>
      </c>
      <c r="K312" s="12" t="s">
        <v>1260</v>
      </c>
      <c r="L312" s="12" t="s">
        <v>1879</v>
      </c>
      <c r="M312" s="12" t="s">
        <v>1260</v>
      </c>
      <c r="N312" s="12" t="s">
        <v>1272</v>
      </c>
      <c r="O312" s="12" t="s">
        <v>1263</v>
      </c>
      <c r="P312" s="12" t="s">
        <v>1264</v>
      </c>
      <c r="Q312" s="16" t="s">
        <v>1265</v>
      </c>
      <c r="R312" s="16" t="s">
        <v>180</v>
      </c>
      <c r="S312" s="12" t="s">
        <v>119</v>
      </c>
      <c r="T312" s="12" t="s">
        <v>120</v>
      </c>
      <c r="U312" s="13" t="s">
        <v>174</v>
      </c>
    </row>
    <row r="313" spans="1:21">
      <c r="A313" s="14">
        <v>63</v>
      </c>
      <c r="B313" s="12" t="s">
        <v>1873</v>
      </c>
      <c r="C313" s="12" t="s">
        <v>350</v>
      </c>
      <c r="D313" s="12" t="s">
        <v>118</v>
      </c>
      <c r="E313" s="12" t="s">
        <v>292</v>
      </c>
      <c r="F313" s="12" t="s">
        <v>540</v>
      </c>
      <c r="G313" s="12" t="s">
        <v>1154</v>
      </c>
      <c r="H313" s="12" t="s">
        <v>1874</v>
      </c>
      <c r="I313" s="12" t="s">
        <v>1875</v>
      </c>
      <c r="J313" s="12" t="s">
        <v>1880</v>
      </c>
      <c r="K313" s="12" t="s">
        <v>1260</v>
      </c>
      <c r="L313" s="12" t="s">
        <v>1380</v>
      </c>
      <c r="M313" s="12" t="s">
        <v>1260</v>
      </c>
      <c r="N313" s="12" t="s">
        <v>1252</v>
      </c>
      <c r="O313" s="12" t="s">
        <v>1263</v>
      </c>
      <c r="P313" s="12" t="s">
        <v>1264</v>
      </c>
      <c r="Q313" s="16" t="s">
        <v>1265</v>
      </c>
      <c r="R313" s="16" t="s">
        <v>180</v>
      </c>
      <c r="S313" s="12" t="s">
        <v>119</v>
      </c>
      <c r="T313" s="12" t="s">
        <v>120</v>
      </c>
      <c r="U313" s="13" t="s">
        <v>174</v>
      </c>
    </row>
    <row r="314" spans="1:21">
      <c r="A314" s="14">
        <v>64</v>
      </c>
      <c r="B314" s="12" t="s">
        <v>1881</v>
      </c>
      <c r="C314" s="12" t="s">
        <v>350</v>
      </c>
      <c r="D314" s="12" t="s">
        <v>118</v>
      </c>
      <c r="E314" s="12" t="s">
        <v>292</v>
      </c>
      <c r="F314" s="12" t="s">
        <v>372</v>
      </c>
      <c r="G314" s="12" t="s">
        <v>1154</v>
      </c>
      <c r="H314" s="12" t="s">
        <v>1882</v>
      </c>
      <c r="I314" s="12" t="s">
        <v>1450</v>
      </c>
      <c r="J314" s="12" t="s">
        <v>1883</v>
      </c>
      <c r="K314" s="12" t="s">
        <v>1348</v>
      </c>
      <c r="L314" s="12" t="s">
        <v>1681</v>
      </c>
      <c r="M314" s="12" t="s">
        <v>1252</v>
      </c>
      <c r="N314" s="12" t="s">
        <v>1252</v>
      </c>
      <c r="O314" s="12" t="s">
        <v>1884</v>
      </c>
      <c r="P314" s="12" t="s">
        <v>1154</v>
      </c>
      <c r="Q314" s="16" t="s">
        <v>201</v>
      </c>
      <c r="R314" s="13" t="s">
        <v>174</v>
      </c>
      <c r="S314" s="12" t="s">
        <v>119</v>
      </c>
      <c r="T314" s="12" t="s">
        <v>120</v>
      </c>
      <c r="U314" s="13" t="s">
        <v>174</v>
      </c>
    </row>
    <row r="315" spans="1:21">
      <c r="A315" s="14">
        <v>64</v>
      </c>
      <c r="B315" s="12" t="s">
        <v>1881</v>
      </c>
      <c r="C315" s="12" t="s">
        <v>350</v>
      </c>
      <c r="D315" s="12" t="s">
        <v>118</v>
      </c>
      <c r="E315" s="12" t="s">
        <v>292</v>
      </c>
      <c r="F315" s="12" t="s">
        <v>372</v>
      </c>
      <c r="G315" s="12" t="s">
        <v>1154</v>
      </c>
      <c r="H315" s="12" t="s">
        <v>1882</v>
      </c>
      <c r="I315" s="12" t="s">
        <v>1450</v>
      </c>
      <c r="J315" s="12" t="s">
        <v>1885</v>
      </c>
      <c r="K315" s="12" t="s">
        <v>1348</v>
      </c>
      <c r="L315" s="12" t="s">
        <v>1886</v>
      </c>
      <c r="M315" s="12" t="s">
        <v>1678</v>
      </c>
      <c r="N315" s="12" t="s">
        <v>1678</v>
      </c>
      <c r="O315" s="12" t="s">
        <v>1884</v>
      </c>
      <c r="P315" s="12" t="s">
        <v>1154</v>
      </c>
      <c r="Q315" s="16" t="s">
        <v>201</v>
      </c>
      <c r="R315" s="13" t="s">
        <v>174</v>
      </c>
      <c r="S315" s="12" t="s">
        <v>119</v>
      </c>
      <c r="T315" s="12" t="s">
        <v>120</v>
      </c>
      <c r="U315" s="13" t="s">
        <v>174</v>
      </c>
    </row>
    <row r="316" spans="1:21">
      <c r="A316" s="14">
        <v>64</v>
      </c>
      <c r="B316" s="12" t="s">
        <v>1881</v>
      </c>
      <c r="C316" s="12" t="s">
        <v>350</v>
      </c>
      <c r="D316" s="12" t="s">
        <v>118</v>
      </c>
      <c r="E316" s="12" t="s">
        <v>292</v>
      </c>
      <c r="F316" s="12" t="s">
        <v>372</v>
      </c>
      <c r="G316" s="12" t="s">
        <v>1154</v>
      </c>
      <c r="H316" s="12" t="s">
        <v>1882</v>
      </c>
      <c r="I316" s="12" t="s">
        <v>1450</v>
      </c>
      <c r="J316" s="12" t="s">
        <v>1887</v>
      </c>
      <c r="K316" s="12" t="s">
        <v>1348</v>
      </c>
      <c r="L316" s="12" t="s">
        <v>1888</v>
      </c>
      <c r="M316" s="12" t="s">
        <v>1695</v>
      </c>
      <c r="N316" s="12" t="s">
        <v>1695</v>
      </c>
      <c r="O316" s="12" t="s">
        <v>1889</v>
      </c>
      <c r="P316" s="12" t="s">
        <v>1154</v>
      </c>
      <c r="Q316" s="16" t="s">
        <v>201</v>
      </c>
      <c r="R316" s="13" t="s">
        <v>174</v>
      </c>
      <c r="S316" s="12" t="s">
        <v>119</v>
      </c>
      <c r="T316" s="12" t="s">
        <v>120</v>
      </c>
      <c r="U316" s="13" t="s">
        <v>174</v>
      </c>
    </row>
    <row r="317" spans="1:21">
      <c r="A317" s="14">
        <v>64</v>
      </c>
      <c r="B317" s="12" t="s">
        <v>1881</v>
      </c>
      <c r="C317" s="12" t="s">
        <v>350</v>
      </c>
      <c r="D317" s="12" t="s">
        <v>118</v>
      </c>
      <c r="E317" s="12" t="s">
        <v>292</v>
      </c>
      <c r="F317" s="12" t="s">
        <v>372</v>
      </c>
      <c r="G317" s="12" t="s">
        <v>1154</v>
      </c>
      <c r="H317" s="12" t="s">
        <v>1882</v>
      </c>
      <c r="I317" s="12" t="s">
        <v>1450</v>
      </c>
      <c r="J317" s="12" t="s">
        <v>1890</v>
      </c>
      <c r="K317" s="12" t="s">
        <v>1348</v>
      </c>
      <c r="L317" s="12" t="s">
        <v>1891</v>
      </c>
      <c r="M317" s="12" t="s">
        <v>1892</v>
      </c>
      <c r="N317" s="12" t="s">
        <v>1892</v>
      </c>
      <c r="O317" s="12" t="s">
        <v>1889</v>
      </c>
      <c r="P317" s="12" t="s">
        <v>1154</v>
      </c>
      <c r="Q317" s="16" t="s">
        <v>201</v>
      </c>
      <c r="R317" s="13" t="s">
        <v>174</v>
      </c>
      <c r="S317" s="12" t="s">
        <v>119</v>
      </c>
      <c r="T317" s="12" t="s">
        <v>120</v>
      </c>
      <c r="U317" s="13" t="s">
        <v>174</v>
      </c>
    </row>
    <row r="318" spans="1:21">
      <c r="A318" s="14">
        <v>64</v>
      </c>
      <c r="B318" s="12" t="s">
        <v>1881</v>
      </c>
      <c r="C318" s="12" t="s">
        <v>350</v>
      </c>
      <c r="D318" s="12" t="s">
        <v>118</v>
      </c>
      <c r="E318" s="12" t="s">
        <v>292</v>
      </c>
      <c r="F318" s="12" t="s">
        <v>372</v>
      </c>
      <c r="G318" s="12" t="s">
        <v>1154</v>
      </c>
      <c r="H318" s="12" t="s">
        <v>1882</v>
      </c>
      <c r="I318" s="12" t="s">
        <v>1450</v>
      </c>
      <c r="J318" s="12" t="s">
        <v>1893</v>
      </c>
      <c r="K318" s="12" t="s">
        <v>1348</v>
      </c>
      <c r="L318" s="12" t="s">
        <v>1676</v>
      </c>
      <c r="M318" s="12" t="s">
        <v>1677</v>
      </c>
      <c r="N318" s="12" t="s">
        <v>1678</v>
      </c>
      <c r="O318" s="12" t="s">
        <v>1884</v>
      </c>
      <c r="P318" s="12" t="s">
        <v>1154</v>
      </c>
      <c r="Q318" s="16" t="s">
        <v>201</v>
      </c>
      <c r="R318" s="13" t="s">
        <v>174</v>
      </c>
      <c r="S318" s="12" t="s">
        <v>119</v>
      </c>
      <c r="T318" s="12" t="s">
        <v>120</v>
      </c>
      <c r="U318" s="13" t="s">
        <v>174</v>
      </c>
    </row>
    <row r="319" spans="1:21">
      <c r="A319" s="14">
        <v>64</v>
      </c>
      <c r="B319" s="12" t="s">
        <v>1881</v>
      </c>
      <c r="C319" s="12" t="s">
        <v>350</v>
      </c>
      <c r="D319" s="12" t="s">
        <v>118</v>
      </c>
      <c r="E319" s="12" t="s">
        <v>292</v>
      </c>
      <c r="F319" s="12" t="s">
        <v>372</v>
      </c>
      <c r="G319" s="12" t="s">
        <v>1154</v>
      </c>
      <c r="H319" s="12" t="s">
        <v>1882</v>
      </c>
      <c r="I319" s="12" t="s">
        <v>1450</v>
      </c>
      <c r="J319" s="12" t="s">
        <v>1894</v>
      </c>
      <c r="K319" s="12" t="s">
        <v>1348</v>
      </c>
      <c r="L319" s="12" t="s">
        <v>1895</v>
      </c>
      <c r="M319" s="12" t="s">
        <v>1591</v>
      </c>
      <c r="N319" s="12" t="s">
        <v>1695</v>
      </c>
      <c r="O319" s="12" t="s">
        <v>1889</v>
      </c>
      <c r="P319" s="12" t="s">
        <v>1154</v>
      </c>
      <c r="Q319" s="16" t="s">
        <v>201</v>
      </c>
      <c r="R319" s="13" t="s">
        <v>174</v>
      </c>
      <c r="S319" s="12" t="s">
        <v>119</v>
      </c>
      <c r="T319" s="12" t="s">
        <v>120</v>
      </c>
      <c r="U319" s="13" t="s">
        <v>174</v>
      </c>
    </row>
    <row r="320" spans="1:21">
      <c r="A320" s="14">
        <v>64</v>
      </c>
      <c r="B320" s="12" t="s">
        <v>1881</v>
      </c>
      <c r="C320" s="12" t="s">
        <v>350</v>
      </c>
      <c r="D320" s="12" t="s">
        <v>118</v>
      </c>
      <c r="E320" s="12" t="s">
        <v>292</v>
      </c>
      <c r="F320" s="12" t="s">
        <v>372</v>
      </c>
      <c r="G320" s="12" t="s">
        <v>1154</v>
      </c>
      <c r="H320" s="12" t="s">
        <v>1882</v>
      </c>
      <c r="I320" s="12" t="s">
        <v>1450</v>
      </c>
      <c r="J320" s="12" t="s">
        <v>1896</v>
      </c>
      <c r="K320" s="12" t="s">
        <v>1348</v>
      </c>
      <c r="L320" s="12" t="s">
        <v>1897</v>
      </c>
      <c r="M320" s="12" t="s">
        <v>1898</v>
      </c>
      <c r="N320" s="12" t="s">
        <v>1892</v>
      </c>
      <c r="O320" s="12" t="s">
        <v>1889</v>
      </c>
      <c r="P320" s="12" t="s">
        <v>1154</v>
      </c>
      <c r="Q320" s="16" t="s">
        <v>201</v>
      </c>
      <c r="R320" s="13" t="s">
        <v>174</v>
      </c>
      <c r="S320" s="12" t="s">
        <v>119</v>
      </c>
      <c r="T320" s="12" t="s">
        <v>120</v>
      </c>
      <c r="U320" s="13" t="s">
        <v>174</v>
      </c>
    </row>
    <row r="321" spans="1:21">
      <c r="A321" s="14">
        <v>64</v>
      </c>
      <c r="B321" s="12" t="s">
        <v>739</v>
      </c>
      <c r="C321" s="12" t="s">
        <v>737</v>
      </c>
      <c r="D321" s="12" t="s">
        <v>736</v>
      </c>
      <c r="E321" s="12" t="s">
        <v>469</v>
      </c>
      <c r="F321" s="12" t="s">
        <v>589</v>
      </c>
      <c r="G321" s="12" t="s">
        <v>738</v>
      </c>
      <c r="H321" s="12" t="s">
        <v>1381</v>
      </c>
      <c r="I321" s="12" t="s">
        <v>184</v>
      </c>
      <c r="J321" s="12" t="s">
        <v>1899</v>
      </c>
      <c r="K321" s="12" t="s">
        <v>1260</v>
      </c>
      <c r="L321" s="12" t="s">
        <v>1448</v>
      </c>
      <c r="M321" s="12" t="s">
        <v>1260</v>
      </c>
      <c r="N321" s="12" t="s">
        <v>1262</v>
      </c>
      <c r="O321" s="12" t="s">
        <v>1279</v>
      </c>
      <c r="P321" s="12" t="s">
        <v>1264</v>
      </c>
      <c r="Q321" s="16" t="s">
        <v>1265</v>
      </c>
      <c r="R321" s="16" t="s">
        <v>180</v>
      </c>
      <c r="S321" s="12" t="s">
        <v>119</v>
      </c>
      <c r="T321" s="12" t="s">
        <v>619</v>
      </c>
      <c r="U321" s="24" t="s">
        <v>180</v>
      </c>
    </row>
    <row r="322" spans="1:21">
      <c r="A322" s="14">
        <v>64</v>
      </c>
      <c r="B322" s="12" t="s">
        <v>739</v>
      </c>
      <c r="C322" s="12" t="s">
        <v>737</v>
      </c>
      <c r="D322" s="12" t="s">
        <v>736</v>
      </c>
      <c r="E322" s="12" t="s">
        <v>469</v>
      </c>
      <c r="F322" s="12" t="s">
        <v>589</v>
      </c>
      <c r="G322" s="12" t="s">
        <v>738</v>
      </c>
      <c r="H322" s="12" t="s">
        <v>1381</v>
      </c>
      <c r="I322" s="12" t="s">
        <v>184</v>
      </c>
      <c r="J322" s="12" t="s">
        <v>1900</v>
      </c>
      <c r="K322" s="12" t="s">
        <v>1260</v>
      </c>
      <c r="L322" s="12" t="s">
        <v>1524</v>
      </c>
      <c r="M322" s="12" t="s">
        <v>1260</v>
      </c>
      <c r="N322" s="12" t="s">
        <v>1309</v>
      </c>
      <c r="O322" s="12" t="s">
        <v>1279</v>
      </c>
      <c r="P322" s="12" t="s">
        <v>1264</v>
      </c>
      <c r="Q322" s="16" t="s">
        <v>1265</v>
      </c>
      <c r="R322" s="16" t="s">
        <v>180</v>
      </c>
      <c r="S322" s="12" t="s">
        <v>119</v>
      </c>
      <c r="T322" s="12" t="s">
        <v>619</v>
      </c>
      <c r="U322" s="24" t="s">
        <v>180</v>
      </c>
    </row>
  </sheetData>
  <autoFilter ref="A1:U32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1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6.7109375" customWidth="1"/>
    <col min="2" max="2" width="20.7109375" customWidth="1"/>
    <col min="3" max="3" width="34.7109375" customWidth="1"/>
    <col min="4" max="4" width="32.7109375" customWidth="1"/>
    <col min="5" max="5" width="20.7109375" customWidth="1"/>
    <col min="6" max="6" width="18.7109375" customWidth="1"/>
    <col min="7" max="7" width="20.7109375" customWidth="1"/>
    <col min="8" max="8" width="22.7109375" customWidth="1"/>
    <col min="9" max="9" width="24.7109375" customWidth="1"/>
    <col min="10" max="16" width="14.7109375" customWidth="1"/>
  </cols>
  <sheetData>
    <row r="1" spans="1:16" ht="34" customHeight="1">
      <c r="A1" s="3" t="s">
        <v>1901</v>
      </c>
      <c r="B1" s="3" t="s">
        <v>1902</v>
      </c>
      <c r="C1" s="3" t="s">
        <v>1903</v>
      </c>
      <c r="D1" s="3" t="s">
        <v>1904</v>
      </c>
      <c r="E1" s="3" t="s">
        <v>1905</v>
      </c>
      <c r="F1" s="3" t="s">
        <v>1906</v>
      </c>
      <c r="G1" s="3" t="s">
        <v>1907</v>
      </c>
      <c r="H1" s="3" t="s">
        <v>1908</v>
      </c>
      <c r="I1" s="3" t="s">
        <v>1909</v>
      </c>
      <c r="J1" s="3" t="s">
        <v>1910</v>
      </c>
      <c r="K1" s="3" t="s">
        <v>1911</v>
      </c>
      <c r="L1" s="3" t="s">
        <v>1912</v>
      </c>
      <c r="M1" s="3" t="s">
        <v>1913</v>
      </c>
      <c r="N1" s="3" t="s">
        <v>1914</v>
      </c>
      <c r="O1" s="3" t="s">
        <v>1915</v>
      </c>
      <c r="P1" s="3" t="s">
        <v>1916</v>
      </c>
    </row>
    <row r="2" spans="1:16">
      <c r="A2" s="12" t="s">
        <v>1222</v>
      </c>
      <c r="B2" s="16" t="s">
        <v>242</v>
      </c>
      <c r="C2" s="12" t="s">
        <v>1917</v>
      </c>
      <c r="D2" s="12" t="s">
        <v>1918</v>
      </c>
      <c r="E2" s="12" t="s">
        <v>1117</v>
      </c>
      <c r="F2" s="16" t="s">
        <v>274</v>
      </c>
      <c r="G2" s="12" t="s">
        <v>305</v>
      </c>
      <c r="H2" s="12" t="s">
        <v>1919</v>
      </c>
      <c r="I2" s="12" t="s">
        <v>1920</v>
      </c>
      <c r="J2" s="12" t="s">
        <v>1921</v>
      </c>
      <c r="K2" s="12" t="s">
        <v>1922</v>
      </c>
      <c r="L2" s="12"/>
      <c r="M2" s="12" t="s">
        <v>1923</v>
      </c>
      <c r="N2" s="12"/>
      <c r="O2" s="12" t="s">
        <v>1923</v>
      </c>
      <c r="P2" s="12"/>
    </row>
    <row r="3" spans="1:16">
      <c r="A3" s="12" t="s">
        <v>1222</v>
      </c>
      <c r="B3" s="16" t="s">
        <v>242</v>
      </c>
      <c r="C3" s="12" t="s">
        <v>1924</v>
      </c>
      <c r="D3" s="12" t="s">
        <v>1925</v>
      </c>
      <c r="E3" s="12" t="s">
        <v>306</v>
      </c>
      <c r="F3" s="16" t="s">
        <v>274</v>
      </c>
      <c r="G3" s="12" t="s">
        <v>1926</v>
      </c>
      <c r="H3" s="12" t="s">
        <v>1919</v>
      </c>
      <c r="I3" s="12" t="s">
        <v>303</v>
      </c>
      <c r="J3" s="12" t="s">
        <v>1927</v>
      </c>
      <c r="K3" s="12" t="s">
        <v>1928</v>
      </c>
      <c r="L3" s="12" t="s">
        <v>1929</v>
      </c>
      <c r="M3" s="12" t="s">
        <v>1923</v>
      </c>
      <c r="N3" s="12"/>
      <c r="O3" s="12" t="s">
        <v>1923</v>
      </c>
      <c r="P3" s="12"/>
    </row>
    <row r="4" spans="1:16">
      <c r="A4" s="12" t="s">
        <v>1222</v>
      </c>
      <c r="B4" s="16" t="s">
        <v>242</v>
      </c>
      <c r="C4" s="12" t="s">
        <v>1924</v>
      </c>
      <c r="D4" s="12" t="s">
        <v>1930</v>
      </c>
      <c r="E4" s="12" t="s">
        <v>306</v>
      </c>
      <c r="F4" s="16" t="s">
        <v>274</v>
      </c>
      <c r="G4" s="12" t="s">
        <v>1926</v>
      </c>
      <c r="H4" s="12" t="s">
        <v>1919</v>
      </c>
      <c r="I4" s="12" t="s">
        <v>303</v>
      </c>
      <c r="J4" s="12" t="s">
        <v>1927</v>
      </c>
      <c r="K4" s="12" t="s">
        <v>1931</v>
      </c>
      <c r="L4" s="12"/>
      <c r="M4" s="12" t="s">
        <v>1923</v>
      </c>
      <c r="N4" s="12"/>
      <c r="O4" s="12" t="s">
        <v>1923</v>
      </c>
      <c r="P4" s="12"/>
    </row>
    <row r="5" spans="1:16">
      <c r="A5" s="12" t="s">
        <v>1222</v>
      </c>
      <c r="B5" s="16" t="s">
        <v>242</v>
      </c>
      <c r="C5" s="12" t="s">
        <v>1924</v>
      </c>
      <c r="D5" s="12" t="s">
        <v>1932</v>
      </c>
      <c r="E5" s="12" t="s">
        <v>1117</v>
      </c>
      <c r="F5" s="16" t="s">
        <v>274</v>
      </c>
      <c r="G5" s="12" t="s">
        <v>1926</v>
      </c>
      <c r="H5" s="12" t="s">
        <v>1919</v>
      </c>
      <c r="I5" s="12" t="s">
        <v>303</v>
      </c>
      <c r="J5" s="12" t="s">
        <v>1927</v>
      </c>
      <c r="K5" s="12" t="s">
        <v>1933</v>
      </c>
      <c r="L5" s="12"/>
      <c r="M5" s="12" t="s">
        <v>1923</v>
      </c>
      <c r="N5" s="12"/>
      <c r="O5" s="12" t="s">
        <v>1923</v>
      </c>
      <c r="P5" s="12"/>
    </row>
    <row r="6" spans="1:16">
      <c r="A6" s="12" t="s">
        <v>1222</v>
      </c>
      <c r="B6" s="16" t="s">
        <v>242</v>
      </c>
      <c r="C6" s="12" t="s">
        <v>1924</v>
      </c>
      <c r="D6" s="12" t="s">
        <v>1934</v>
      </c>
      <c r="E6" s="12" t="s">
        <v>306</v>
      </c>
      <c r="F6" s="16" t="s">
        <v>274</v>
      </c>
      <c r="G6" s="12" t="s">
        <v>1926</v>
      </c>
      <c r="H6" s="12" t="s">
        <v>1919</v>
      </c>
      <c r="I6" s="12" t="s">
        <v>303</v>
      </c>
      <c r="J6" s="12" t="s">
        <v>1927</v>
      </c>
      <c r="K6" s="12" t="s">
        <v>1928</v>
      </c>
      <c r="L6" s="12" t="s">
        <v>1935</v>
      </c>
      <c r="M6" s="12" t="s">
        <v>1923</v>
      </c>
      <c r="N6" s="12"/>
      <c r="O6" s="12" t="s">
        <v>1923</v>
      </c>
      <c r="P6" s="12"/>
    </row>
    <row r="7" spans="1:16">
      <c r="A7" s="12" t="s">
        <v>1222</v>
      </c>
      <c r="B7" s="16" t="s">
        <v>242</v>
      </c>
      <c r="C7" s="12" t="s">
        <v>1917</v>
      </c>
      <c r="D7" s="12" t="s">
        <v>1936</v>
      </c>
      <c r="E7" s="12" t="s">
        <v>1117</v>
      </c>
      <c r="F7" s="16" t="s">
        <v>274</v>
      </c>
      <c r="G7" s="12" t="s">
        <v>1926</v>
      </c>
      <c r="H7" s="12" t="s">
        <v>1919</v>
      </c>
      <c r="I7" s="12" t="s">
        <v>1937</v>
      </c>
      <c r="J7" s="12" t="s">
        <v>1938</v>
      </c>
      <c r="K7" s="12" t="s">
        <v>1939</v>
      </c>
      <c r="L7" s="12"/>
      <c r="M7" s="12" t="s">
        <v>1923</v>
      </c>
      <c r="N7" s="12"/>
      <c r="O7" s="12" t="s">
        <v>1923</v>
      </c>
      <c r="P7" s="12"/>
    </row>
    <row r="8" spans="1:16">
      <c r="A8" s="12" t="s">
        <v>111</v>
      </c>
      <c r="B8" s="16" t="s">
        <v>242</v>
      </c>
      <c r="C8" s="12" t="s">
        <v>1940</v>
      </c>
      <c r="D8" s="12" t="s">
        <v>304</v>
      </c>
      <c r="E8" s="12" t="s">
        <v>306</v>
      </c>
      <c r="F8" s="16" t="s">
        <v>274</v>
      </c>
      <c r="G8" s="12" t="s">
        <v>305</v>
      </c>
      <c r="H8" s="12" t="s">
        <v>1919</v>
      </c>
      <c r="I8" s="12" t="s">
        <v>1941</v>
      </c>
      <c r="J8" s="12" t="s">
        <v>307</v>
      </c>
      <c r="K8" s="12" t="s">
        <v>307</v>
      </c>
      <c r="L8" s="12" t="s">
        <v>307</v>
      </c>
      <c r="M8" s="12" t="s">
        <v>1921</v>
      </c>
      <c r="N8" s="12"/>
      <c r="O8" s="12" t="s">
        <v>1923</v>
      </c>
      <c r="P8" s="12"/>
    </row>
    <row r="9" spans="1:16">
      <c r="A9" s="12" t="s">
        <v>426</v>
      </c>
      <c r="B9" s="16" t="s">
        <v>242</v>
      </c>
      <c r="C9" s="12" t="s">
        <v>1942</v>
      </c>
      <c r="D9" s="12" t="s">
        <v>1943</v>
      </c>
      <c r="E9" s="12" t="s">
        <v>1117</v>
      </c>
      <c r="F9" s="16" t="s">
        <v>274</v>
      </c>
      <c r="G9" s="12" t="s">
        <v>305</v>
      </c>
      <c r="H9" s="12" t="s">
        <v>1944</v>
      </c>
      <c r="I9" s="12" t="s">
        <v>1937</v>
      </c>
      <c r="J9" s="12" t="s">
        <v>1945</v>
      </c>
      <c r="K9" s="12" t="s">
        <v>1945</v>
      </c>
      <c r="L9" s="12" t="s">
        <v>1946</v>
      </c>
      <c r="M9" s="12" t="s">
        <v>1923</v>
      </c>
      <c r="N9" s="12"/>
      <c r="O9" s="12" t="s">
        <v>1923</v>
      </c>
      <c r="P9" s="12"/>
    </row>
    <row r="10" spans="1:16">
      <c r="A10" s="12" t="s">
        <v>426</v>
      </c>
      <c r="B10" s="16" t="s">
        <v>242</v>
      </c>
      <c r="C10" s="12" t="s">
        <v>427</v>
      </c>
      <c r="D10" s="12" t="s">
        <v>1947</v>
      </c>
      <c r="E10" s="12" t="s">
        <v>246</v>
      </c>
      <c r="F10" s="15" t="s">
        <v>243</v>
      </c>
      <c r="G10" s="12" t="s">
        <v>245</v>
      </c>
      <c r="H10" s="12" t="s">
        <v>1944</v>
      </c>
      <c r="I10" s="12" t="s">
        <v>303</v>
      </c>
      <c r="J10" s="12" t="s">
        <v>1948</v>
      </c>
      <c r="K10" s="12" t="s">
        <v>1923</v>
      </c>
      <c r="L10" s="12"/>
      <c r="M10" s="12" t="s">
        <v>1923</v>
      </c>
      <c r="N10" s="12"/>
      <c r="O10" s="12" t="s">
        <v>1923</v>
      </c>
      <c r="P10" s="12"/>
    </row>
    <row r="11" spans="1:16">
      <c r="A11" s="12" t="s">
        <v>626</v>
      </c>
      <c r="B11" s="13" t="s">
        <v>273</v>
      </c>
      <c r="C11" s="12" t="s">
        <v>1949</v>
      </c>
      <c r="D11" s="12" t="s">
        <v>1950</v>
      </c>
      <c r="E11" s="12" t="s">
        <v>246</v>
      </c>
      <c r="F11" s="15" t="s">
        <v>243</v>
      </c>
      <c r="G11" s="12" t="s">
        <v>245</v>
      </c>
      <c r="H11" s="12" t="s">
        <v>1951</v>
      </c>
      <c r="I11" s="12" t="s">
        <v>303</v>
      </c>
      <c r="J11" s="12" t="s">
        <v>1952</v>
      </c>
      <c r="K11" s="12" t="s">
        <v>1923</v>
      </c>
      <c r="L11" s="12"/>
      <c r="M11" s="12" t="s">
        <v>1923</v>
      </c>
      <c r="N11" s="12"/>
      <c r="O11" s="12" t="s">
        <v>1923</v>
      </c>
      <c r="P11" s="12"/>
    </row>
    <row r="12" spans="1:16">
      <c r="A12" s="12" t="s">
        <v>626</v>
      </c>
      <c r="B12" s="13" t="s">
        <v>273</v>
      </c>
      <c r="C12" s="12" t="s">
        <v>1949</v>
      </c>
      <c r="D12" s="12" t="s">
        <v>1953</v>
      </c>
      <c r="E12" s="12" t="s">
        <v>1117</v>
      </c>
      <c r="F12" s="16" t="s">
        <v>274</v>
      </c>
      <c r="G12" s="12" t="s">
        <v>245</v>
      </c>
      <c r="H12" s="12" t="s">
        <v>1944</v>
      </c>
      <c r="I12" s="12" t="s">
        <v>1954</v>
      </c>
      <c r="J12" s="12" t="s">
        <v>1955</v>
      </c>
      <c r="K12" s="12" t="s">
        <v>1923</v>
      </c>
      <c r="L12" s="12"/>
      <c r="M12" s="12" t="s">
        <v>1956</v>
      </c>
      <c r="N12" s="12" t="s">
        <v>1957</v>
      </c>
      <c r="O12" s="12" t="s">
        <v>1923</v>
      </c>
      <c r="P12" s="12"/>
    </row>
    <row r="13" spans="1:16">
      <c r="A13" s="12" t="s">
        <v>626</v>
      </c>
      <c r="B13" s="13" t="s">
        <v>273</v>
      </c>
      <c r="C13" s="12" t="s">
        <v>1949</v>
      </c>
      <c r="D13" s="12" t="s">
        <v>1958</v>
      </c>
      <c r="E13" s="12" t="s">
        <v>246</v>
      </c>
      <c r="F13" s="15" t="s">
        <v>243</v>
      </c>
      <c r="G13" s="12" t="s">
        <v>245</v>
      </c>
      <c r="H13" s="12" t="s">
        <v>1951</v>
      </c>
      <c r="I13" s="12" t="s">
        <v>199</v>
      </c>
      <c r="J13" s="12" t="s">
        <v>1959</v>
      </c>
      <c r="K13" s="12" t="s">
        <v>1923</v>
      </c>
      <c r="L13" s="12"/>
      <c r="M13" s="12" t="s">
        <v>1923</v>
      </c>
      <c r="N13" s="12"/>
      <c r="O13" s="12" t="s">
        <v>1923</v>
      </c>
      <c r="P13" s="12"/>
    </row>
    <row r="14" spans="1:16">
      <c r="A14" s="12" t="s">
        <v>626</v>
      </c>
      <c r="B14" s="13" t="s">
        <v>273</v>
      </c>
      <c r="C14" s="12" t="s">
        <v>1949</v>
      </c>
      <c r="D14" s="12" t="s">
        <v>1960</v>
      </c>
      <c r="E14" s="12" t="s">
        <v>246</v>
      </c>
      <c r="F14" s="15" t="s">
        <v>243</v>
      </c>
      <c r="G14" s="12" t="s">
        <v>245</v>
      </c>
      <c r="H14" s="12" t="s">
        <v>1951</v>
      </c>
      <c r="I14" s="12" t="s">
        <v>199</v>
      </c>
      <c r="J14" s="12" t="s">
        <v>1959</v>
      </c>
      <c r="K14" s="12" t="s">
        <v>1923</v>
      </c>
      <c r="L14" s="12"/>
      <c r="M14" s="12" t="s">
        <v>1923</v>
      </c>
      <c r="N14" s="12"/>
      <c r="O14" s="12" t="s">
        <v>1923</v>
      </c>
      <c r="P14" s="12"/>
    </row>
    <row r="15" spans="1:16">
      <c r="A15" s="12" t="s">
        <v>626</v>
      </c>
      <c r="B15" s="13" t="s">
        <v>273</v>
      </c>
      <c r="C15" s="12" t="s">
        <v>1949</v>
      </c>
      <c r="D15" s="12" t="s">
        <v>1961</v>
      </c>
      <c r="E15" s="12" t="s">
        <v>246</v>
      </c>
      <c r="F15" s="15" t="s">
        <v>243</v>
      </c>
      <c r="G15" s="12" t="s">
        <v>245</v>
      </c>
      <c r="H15" s="12" t="s">
        <v>1951</v>
      </c>
      <c r="I15" s="12" t="s">
        <v>199</v>
      </c>
      <c r="J15" s="12" t="s">
        <v>1962</v>
      </c>
      <c r="K15" s="12" t="s">
        <v>1923</v>
      </c>
      <c r="L15" s="12"/>
      <c r="M15" s="12" t="s">
        <v>1923</v>
      </c>
      <c r="N15" s="12"/>
      <c r="O15" s="12" t="s">
        <v>1923</v>
      </c>
      <c r="P15" s="12"/>
    </row>
    <row r="16" spans="1:16">
      <c r="A16" s="12" t="s">
        <v>626</v>
      </c>
      <c r="B16" s="13" t="s">
        <v>273</v>
      </c>
      <c r="C16" s="12" t="s">
        <v>1949</v>
      </c>
      <c r="D16" s="12" t="s">
        <v>1963</v>
      </c>
      <c r="E16" s="12" t="s">
        <v>246</v>
      </c>
      <c r="F16" s="15" t="s">
        <v>243</v>
      </c>
      <c r="G16" s="12" t="s">
        <v>245</v>
      </c>
      <c r="H16" s="12" t="s">
        <v>1951</v>
      </c>
      <c r="I16" s="12" t="s">
        <v>303</v>
      </c>
      <c r="J16" s="12" t="s">
        <v>1964</v>
      </c>
      <c r="K16" s="12" t="s">
        <v>1923</v>
      </c>
      <c r="L16" s="12"/>
      <c r="M16" s="12" t="s">
        <v>1923</v>
      </c>
      <c r="N16" s="12"/>
      <c r="O16" s="12" t="s">
        <v>1923</v>
      </c>
      <c r="P16" s="12"/>
    </row>
    <row r="17" spans="1:16">
      <c r="A17" s="12" t="s">
        <v>626</v>
      </c>
      <c r="B17" s="13" t="s">
        <v>273</v>
      </c>
      <c r="C17" s="12" t="s">
        <v>1949</v>
      </c>
      <c r="D17" s="12" t="s">
        <v>1965</v>
      </c>
      <c r="E17" s="12" t="s">
        <v>246</v>
      </c>
      <c r="F17" s="15" t="s">
        <v>243</v>
      </c>
      <c r="G17" s="12" t="s">
        <v>245</v>
      </c>
      <c r="H17" s="12" t="s">
        <v>1951</v>
      </c>
      <c r="I17" s="12" t="s">
        <v>303</v>
      </c>
      <c r="J17" s="12" t="s">
        <v>1966</v>
      </c>
      <c r="K17" s="12" t="s">
        <v>1923</v>
      </c>
      <c r="L17" s="12"/>
      <c r="M17" s="12" t="s">
        <v>1923</v>
      </c>
      <c r="N17" s="12"/>
      <c r="O17" s="12" t="s">
        <v>1923</v>
      </c>
      <c r="P17" s="12"/>
    </row>
    <row r="18" spans="1:16">
      <c r="A18" s="12" t="s">
        <v>626</v>
      </c>
      <c r="B18" s="13" t="s">
        <v>273</v>
      </c>
      <c r="C18" s="12" t="s">
        <v>1949</v>
      </c>
      <c r="D18" s="12" t="s">
        <v>1967</v>
      </c>
      <c r="E18" s="12" t="s">
        <v>246</v>
      </c>
      <c r="F18" s="15" t="s">
        <v>243</v>
      </c>
      <c r="G18" s="12" t="s">
        <v>245</v>
      </c>
      <c r="H18" s="12" t="s">
        <v>1951</v>
      </c>
      <c r="I18" s="12" t="s">
        <v>303</v>
      </c>
      <c r="J18" s="12" t="s">
        <v>1964</v>
      </c>
      <c r="K18" s="12" t="s">
        <v>1923</v>
      </c>
      <c r="L18" s="12"/>
      <c r="M18" s="12" t="s">
        <v>1923</v>
      </c>
      <c r="N18" s="12"/>
      <c r="O18" s="12" t="s">
        <v>1923</v>
      </c>
      <c r="P18" s="12"/>
    </row>
    <row r="19" spans="1:16">
      <c r="A19" s="12" t="s">
        <v>626</v>
      </c>
      <c r="B19" s="16" t="s">
        <v>242</v>
      </c>
      <c r="C19" s="12" t="s">
        <v>1968</v>
      </c>
      <c r="D19" s="12" t="s">
        <v>1969</v>
      </c>
      <c r="E19" s="12" t="s">
        <v>1970</v>
      </c>
      <c r="F19" s="16" t="s">
        <v>274</v>
      </c>
      <c r="G19" s="12" t="s">
        <v>305</v>
      </c>
      <c r="H19" s="12" t="s">
        <v>1944</v>
      </c>
      <c r="I19" s="12" t="s">
        <v>199</v>
      </c>
      <c r="J19" s="12" t="s">
        <v>1971</v>
      </c>
      <c r="K19" s="12" t="s">
        <v>1972</v>
      </c>
      <c r="L19" s="12" t="s">
        <v>1973</v>
      </c>
      <c r="M19" s="12" t="s">
        <v>1923</v>
      </c>
      <c r="N19" s="12"/>
      <c r="O19" s="12" t="s">
        <v>1923</v>
      </c>
      <c r="P19" s="12"/>
    </row>
    <row r="20" spans="1:16">
      <c r="A20" s="12" t="s">
        <v>1183</v>
      </c>
      <c r="B20" s="16" t="s">
        <v>242</v>
      </c>
      <c r="C20" s="12" t="s">
        <v>1974</v>
      </c>
      <c r="D20" s="12" t="s">
        <v>1975</v>
      </c>
      <c r="E20" s="12" t="s">
        <v>1117</v>
      </c>
      <c r="F20" s="16" t="s">
        <v>274</v>
      </c>
      <c r="G20" s="12" t="s">
        <v>305</v>
      </c>
      <c r="H20" s="12" t="s">
        <v>1944</v>
      </c>
      <c r="I20" s="12" t="s">
        <v>1937</v>
      </c>
      <c r="J20" s="12" t="s">
        <v>1976</v>
      </c>
      <c r="K20" s="12" t="s">
        <v>1977</v>
      </c>
      <c r="L20" s="12" t="s">
        <v>1978</v>
      </c>
      <c r="M20" s="12" t="s">
        <v>1923</v>
      </c>
      <c r="N20" s="12"/>
      <c r="O20" s="12" t="s">
        <v>1923</v>
      </c>
      <c r="P20" s="12"/>
    </row>
    <row r="21" spans="1:16">
      <c r="A21" s="12" t="s">
        <v>1183</v>
      </c>
      <c r="B21" s="16" t="s">
        <v>242</v>
      </c>
      <c r="C21" s="12" t="s">
        <v>1979</v>
      </c>
      <c r="D21" s="12" t="s">
        <v>1980</v>
      </c>
      <c r="E21" s="12" t="s">
        <v>1970</v>
      </c>
      <c r="F21" s="16" t="s">
        <v>274</v>
      </c>
      <c r="G21" s="12" t="s">
        <v>1100</v>
      </c>
      <c r="H21" s="12" t="s">
        <v>1944</v>
      </c>
      <c r="I21" s="12" t="s">
        <v>1937</v>
      </c>
      <c r="J21" s="12" t="s">
        <v>1981</v>
      </c>
      <c r="K21" s="12" t="s">
        <v>1982</v>
      </c>
      <c r="L21" s="12" t="s">
        <v>1983</v>
      </c>
      <c r="M21" s="12" t="s">
        <v>1984</v>
      </c>
      <c r="N21" s="12"/>
      <c r="O21" s="12" t="s">
        <v>1923</v>
      </c>
      <c r="P21" s="12"/>
    </row>
    <row r="22" spans="1:16">
      <c r="A22" s="12" t="s">
        <v>763</v>
      </c>
      <c r="B22" s="13" t="s">
        <v>273</v>
      </c>
      <c r="C22" s="12" t="s">
        <v>1985</v>
      </c>
      <c r="D22" s="12" t="s">
        <v>1986</v>
      </c>
      <c r="E22" s="12" t="s">
        <v>246</v>
      </c>
      <c r="F22" s="15" t="s">
        <v>243</v>
      </c>
      <c r="G22" s="12" t="s">
        <v>245</v>
      </c>
      <c r="H22" s="12" t="s">
        <v>1951</v>
      </c>
      <c r="I22" s="12"/>
      <c r="J22" s="12" t="s">
        <v>1987</v>
      </c>
      <c r="K22" s="12" t="s">
        <v>1923</v>
      </c>
      <c r="L22" s="12"/>
      <c r="M22" s="12" t="s">
        <v>1923</v>
      </c>
      <c r="N22" s="12"/>
      <c r="O22" s="12" t="s">
        <v>1923</v>
      </c>
      <c r="P22" s="12"/>
    </row>
    <row r="23" spans="1:16">
      <c r="A23" s="12" t="s">
        <v>763</v>
      </c>
      <c r="B23" s="16" t="s">
        <v>242</v>
      </c>
      <c r="C23" s="12" t="s">
        <v>1988</v>
      </c>
      <c r="D23" s="12" t="s">
        <v>1989</v>
      </c>
      <c r="E23" s="12" t="s">
        <v>246</v>
      </c>
      <c r="F23" s="15" t="s">
        <v>243</v>
      </c>
      <c r="G23" s="12" t="s">
        <v>245</v>
      </c>
      <c r="H23" s="12" t="s">
        <v>1951</v>
      </c>
      <c r="I23" s="12"/>
      <c r="J23" s="12" t="s">
        <v>1990</v>
      </c>
      <c r="K23" s="12" t="s">
        <v>1923</v>
      </c>
      <c r="L23" s="12"/>
      <c r="M23" s="12" t="s">
        <v>1923</v>
      </c>
      <c r="N23" s="12"/>
      <c r="O23" s="12" t="s">
        <v>1923</v>
      </c>
      <c r="P23" s="12"/>
    </row>
    <row r="24" spans="1:16">
      <c r="A24" s="12" t="s">
        <v>763</v>
      </c>
      <c r="B24" s="16" t="s">
        <v>242</v>
      </c>
      <c r="C24" s="12" t="s">
        <v>1991</v>
      </c>
      <c r="D24" s="12" t="s">
        <v>1992</v>
      </c>
      <c r="E24" s="12" t="s">
        <v>246</v>
      </c>
      <c r="F24" s="15" t="s">
        <v>243</v>
      </c>
      <c r="G24" s="12" t="s">
        <v>245</v>
      </c>
      <c r="H24" s="12" t="s">
        <v>1951</v>
      </c>
      <c r="I24" s="12" t="s">
        <v>1937</v>
      </c>
      <c r="J24" s="12" t="s">
        <v>1993</v>
      </c>
      <c r="K24" s="12" t="s">
        <v>1923</v>
      </c>
      <c r="L24" s="12"/>
      <c r="M24" s="12" t="s">
        <v>1923</v>
      </c>
      <c r="N24" s="12"/>
      <c r="O24" s="12" t="s">
        <v>1923</v>
      </c>
      <c r="P24" s="12"/>
    </row>
    <row r="25" spans="1:16">
      <c r="A25" s="12" t="s">
        <v>1063</v>
      </c>
      <c r="B25" s="16" t="s">
        <v>242</v>
      </c>
      <c r="C25" s="12" t="s">
        <v>1994</v>
      </c>
      <c r="D25" s="12" t="s">
        <v>1065</v>
      </c>
      <c r="E25" s="12" t="s">
        <v>306</v>
      </c>
      <c r="F25" s="16" t="s">
        <v>274</v>
      </c>
      <c r="G25" s="12" t="s">
        <v>305</v>
      </c>
      <c r="H25" s="12" t="s">
        <v>1944</v>
      </c>
      <c r="I25" s="12" t="s">
        <v>199</v>
      </c>
      <c r="J25" s="12" t="s">
        <v>1066</v>
      </c>
      <c r="K25" s="12" t="s">
        <v>1995</v>
      </c>
      <c r="L25" s="12" t="s">
        <v>1995</v>
      </c>
      <c r="M25" s="12" t="s">
        <v>1923</v>
      </c>
      <c r="N25" s="12"/>
      <c r="O25" s="12" t="s">
        <v>1923</v>
      </c>
      <c r="P25" s="12"/>
    </row>
    <row r="26" spans="1:16">
      <c r="A26" s="12" t="s">
        <v>110</v>
      </c>
      <c r="B26" s="13" t="s">
        <v>273</v>
      </c>
      <c r="C26" s="12" t="s">
        <v>1996</v>
      </c>
      <c r="D26" s="12" t="s">
        <v>493</v>
      </c>
      <c r="E26" s="12" t="s">
        <v>246</v>
      </c>
      <c r="F26" s="15" t="s">
        <v>243</v>
      </c>
      <c r="G26" s="12" t="s">
        <v>245</v>
      </c>
      <c r="H26" s="12" t="s">
        <v>1951</v>
      </c>
      <c r="I26" s="12"/>
      <c r="J26" s="12" t="s">
        <v>1997</v>
      </c>
      <c r="K26" s="12" t="s">
        <v>1923</v>
      </c>
      <c r="L26" s="12"/>
      <c r="M26" s="12" t="s">
        <v>1923</v>
      </c>
      <c r="N26" s="12"/>
      <c r="O26" s="12" t="s">
        <v>1923</v>
      </c>
      <c r="P26" s="12"/>
    </row>
    <row r="27" spans="1:16">
      <c r="A27" s="12" t="s">
        <v>110</v>
      </c>
      <c r="B27" s="13" t="s">
        <v>273</v>
      </c>
      <c r="C27" s="12" t="s">
        <v>1996</v>
      </c>
      <c r="D27" s="12" t="s">
        <v>1998</v>
      </c>
      <c r="E27" s="12" t="s">
        <v>246</v>
      </c>
      <c r="F27" s="15" t="s">
        <v>243</v>
      </c>
      <c r="G27" s="12" t="s">
        <v>245</v>
      </c>
      <c r="H27" s="12" t="s">
        <v>1951</v>
      </c>
      <c r="I27" s="12"/>
      <c r="J27" s="12" t="s">
        <v>1999</v>
      </c>
      <c r="K27" s="12" t="s">
        <v>1923</v>
      </c>
      <c r="L27" s="12"/>
      <c r="M27" s="12" t="s">
        <v>1923</v>
      </c>
      <c r="N27" s="12"/>
      <c r="O27" s="12" t="s">
        <v>1923</v>
      </c>
      <c r="P27" s="12"/>
    </row>
    <row r="28" spans="1:16">
      <c r="A28" s="12" t="s">
        <v>110</v>
      </c>
      <c r="B28" s="13" t="s">
        <v>273</v>
      </c>
      <c r="C28" s="12" t="s">
        <v>1996</v>
      </c>
      <c r="D28" s="12" t="s">
        <v>484</v>
      </c>
      <c r="E28" s="12" t="s">
        <v>246</v>
      </c>
      <c r="F28" s="15" t="s">
        <v>243</v>
      </c>
      <c r="G28" s="12" t="s">
        <v>245</v>
      </c>
      <c r="H28" s="12" t="s">
        <v>1951</v>
      </c>
      <c r="I28" s="12" t="s">
        <v>1937</v>
      </c>
      <c r="J28" s="12" t="s">
        <v>485</v>
      </c>
      <c r="K28" s="12" t="s">
        <v>1923</v>
      </c>
      <c r="L28" s="12"/>
      <c r="M28" s="12" t="s">
        <v>1923</v>
      </c>
      <c r="N28" s="12"/>
      <c r="O28" s="12" t="s">
        <v>1923</v>
      </c>
      <c r="P28" s="12"/>
    </row>
    <row r="29" spans="1:16">
      <c r="A29" s="12" t="s">
        <v>444</v>
      </c>
      <c r="B29" s="16" t="s">
        <v>242</v>
      </c>
      <c r="C29" s="12" t="s">
        <v>2000</v>
      </c>
      <c r="D29" s="12" t="s">
        <v>1943</v>
      </c>
      <c r="E29" s="12" t="s">
        <v>1117</v>
      </c>
      <c r="F29" s="16" t="s">
        <v>274</v>
      </c>
      <c r="G29" s="12" t="s">
        <v>305</v>
      </c>
      <c r="H29" s="12" t="s">
        <v>1944</v>
      </c>
      <c r="I29" s="12" t="s">
        <v>1937</v>
      </c>
      <c r="J29" s="12" t="s">
        <v>1945</v>
      </c>
      <c r="K29" s="12" t="s">
        <v>1945</v>
      </c>
      <c r="L29" s="12" t="s">
        <v>1946</v>
      </c>
      <c r="M29" s="12" t="s">
        <v>1923</v>
      </c>
      <c r="N29" s="12"/>
      <c r="O29" s="12" t="s">
        <v>1923</v>
      </c>
      <c r="P29" s="12"/>
    </row>
    <row r="30" spans="1:16">
      <c r="A30" s="12" t="s">
        <v>444</v>
      </c>
      <c r="B30" s="16" t="s">
        <v>242</v>
      </c>
      <c r="C30" s="12" t="s">
        <v>445</v>
      </c>
      <c r="D30" s="12" t="s">
        <v>2001</v>
      </c>
      <c r="E30" s="12" t="s">
        <v>246</v>
      </c>
      <c r="F30" s="15" t="s">
        <v>243</v>
      </c>
      <c r="G30" s="12" t="s">
        <v>245</v>
      </c>
      <c r="H30" s="12" t="s">
        <v>1951</v>
      </c>
      <c r="I30" s="12" t="s">
        <v>199</v>
      </c>
      <c r="J30" s="12" t="s">
        <v>2002</v>
      </c>
      <c r="K30" s="12" t="s">
        <v>1923</v>
      </c>
      <c r="L30" s="12"/>
      <c r="M30" s="12" t="s">
        <v>1923</v>
      </c>
      <c r="N30" s="12"/>
      <c r="O30" s="12" t="s">
        <v>1923</v>
      </c>
      <c r="P30" s="12"/>
    </row>
    <row r="31" spans="1:16">
      <c r="A31" s="12" t="s">
        <v>444</v>
      </c>
      <c r="B31" s="16" t="s">
        <v>242</v>
      </c>
      <c r="C31" s="12" t="s">
        <v>445</v>
      </c>
      <c r="D31" s="12" t="s">
        <v>1960</v>
      </c>
      <c r="E31" s="12" t="s">
        <v>246</v>
      </c>
      <c r="F31" s="15" t="s">
        <v>243</v>
      </c>
      <c r="G31" s="12" t="s">
        <v>245</v>
      </c>
      <c r="H31" s="12" t="s">
        <v>1951</v>
      </c>
      <c r="I31" s="12"/>
      <c r="J31" s="12" t="s">
        <v>2003</v>
      </c>
      <c r="K31" s="12" t="s">
        <v>1923</v>
      </c>
      <c r="L31" s="12"/>
      <c r="M31" s="12" t="s">
        <v>1923</v>
      </c>
      <c r="N31" s="12"/>
      <c r="O31" s="12" t="s">
        <v>1923</v>
      </c>
      <c r="P31" s="12"/>
    </row>
    <row r="32" spans="1:16">
      <c r="A32" s="12" t="s">
        <v>1201</v>
      </c>
      <c r="B32" s="16" t="s">
        <v>242</v>
      </c>
      <c r="C32" s="12" t="s">
        <v>1202</v>
      </c>
      <c r="D32" s="12" t="s">
        <v>1043</v>
      </c>
      <c r="E32" s="12" t="s">
        <v>537</v>
      </c>
      <c r="F32" s="16" t="s">
        <v>274</v>
      </c>
      <c r="G32" s="12" t="s">
        <v>305</v>
      </c>
      <c r="H32" s="12" t="s">
        <v>1951</v>
      </c>
      <c r="I32" s="12" t="s">
        <v>1937</v>
      </c>
      <c r="J32" s="12" t="s">
        <v>1044</v>
      </c>
      <c r="K32" s="12" t="s">
        <v>1044</v>
      </c>
      <c r="L32" s="12" t="s">
        <v>1044</v>
      </c>
      <c r="M32" s="12" t="s">
        <v>1044</v>
      </c>
      <c r="N32" s="12" t="s">
        <v>2004</v>
      </c>
      <c r="O32" s="12" t="s">
        <v>1995</v>
      </c>
      <c r="P32" s="12"/>
    </row>
    <row r="33" spans="1:16">
      <c r="A33" s="12" t="s">
        <v>1201</v>
      </c>
      <c r="B33" s="16" t="s">
        <v>242</v>
      </c>
      <c r="C33" s="12" t="s">
        <v>2005</v>
      </c>
      <c r="D33" s="12" t="s">
        <v>304</v>
      </c>
      <c r="E33" s="12" t="s">
        <v>306</v>
      </c>
      <c r="F33" s="16" t="s">
        <v>274</v>
      </c>
      <c r="G33" s="12" t="s">
        <v>305</v>
      </c>
      <c r="H33" s="12" t="s">
        <v>1919</v>
      </c>
      <c r="I33" s="12" t="s">
        <v>2006</v>
      </c>
      <c r="J33" s="12" t="s">
        <v>307</v>
      </c>
      <c r="K33" s="12" t="s">
        <v>307</v>
      </c>
      <c r="L33" s="12" t="s">
        <v>307</v>
      </c>
      <c r="M33" s="12" t="s">
        <v>1921</v>
      </c>
      <c r="N33" s="12"/>
      <c r="O33" s="12" t="s">
        <v>1923</v>
      </c>
      <c r="P33" s="12"/>
    </row>
    <row r="34" spans="1:16">
      <c r="A34" s="12" t="s">
        <v>1201</v>
      </c>
      <c r="B34" s="16" t="s">
        <v>242</v>
      </c>
      <c r="C34" s="12" t="s">
        <v>2007</v>
      </c>
      <c r="D34" s="12" t="s">
        <v>2008</v>
      </c>
      <c r="E34" s="12" t="s">
        <v>537</v>
      </c>
      <c r="F34" s="16" t="s">
        <v>274</v>
      </c>
      <c r="G34" s="12" t="s">
        <v>305</v>
      </c>
      <c r="H34" s="12" t="s">
        <v>1951</v>
      </c>
      <c r="I34" s="12" t="s">
        <v>1937</v>
      </c>
      <c r="J34" s="12" t="s">
        <v>2009</v>
      </c>
      <c r="K34" s="12" t="s">
        <v>2010</v>
      </c>
      <c r="L34" s="12"/>
      <c r="M34" s="12" t="s">
        <v>1923</v>
      </c>
      <c r="N34" s="12"/>
      <c r="O34" s="12" t="s">
        <v>1923</v>
      </c>
      <c r="P34" s="12"/>
    </row>
    <row r="35" spans="1:16">
      <c r="A35" s="12" t="s">
        <v>1201</v>
      </c>
      <c r="B35" s="16" t="s">
        <v>242</v>
      </c>
      <c r="C35" s="12" t="s">
        <v>2011</v>
      </c>
      <c r="D35" s="12" t="s">
        <v>2012</v>
      </c>
      <c r="E35" s="12" t="s">
        <v>2013</v>
      </c>
      <c r="F35" s="16" t="s">
        <v>274</v>
      </c>
      <c r="G35" s="12" t="s">
        <v>305</v>
      </c>
      <c r="H35" s="12" t="s">
        <v>1944</v>
      </c>
      <c r="I35" s="12" t="s">
        <v>2014</v>
      </c>
      <c r="J35" s="12" t="s">
        <v>2015</v>
      </c>
      <c r="K35" s="12" t="s">
        <v>2016</v>
      </c>
      <c r="L35" s="12"/>
      <c r="M35" s="12" t="s">
        <v>1923</v>
      </c>
      <c r="N35" s="12"/>
      <c r="O35" s="12" t="s">
        <v>1923</v>
      </c>
      <c r="P35" s="12"/>
    </row>
    <row r="36" spans="1:16">
      <c r="A36" s="12" t="s">
        <v>467</v>
      </c>
      <c r="B36" s="16" t="s">
        <v>242</v>
      </c>
      <c r="C36" s="12" t="s">
        <v>468</v>
      </c>
      <c r="D36" s="12" t="s">
        <v>2017</v>
      </c>
      <c r="E36" s="12" t="s">
        <v>246</v>
      </c>
      <c r="F36" s="15" t="s">
        <v>243</v>
      </c>
      <c r="G36" s="12" t="s">
        <v>245</v>
      </c>
      <c r="H36" s="12" t="s">
        <v>1951</v>
      </c>
      <c r="I36" s="12"/>
      <c r="J36" s="12" t="s">
        <v>2018</v>
      </c>
      <c r="K36" s="12" t="s">
        <v>1923</v>
      </c>
      <c r="L36" s="12"/>
      <c r="M36" s="12" t="s">
        <v>1923</v>
      </c>
      <c r="N36" s="12"/>
      <c r="O36" s="12" t="s">
        <v>1923</v>
      </c>
      <c r="P36" s="12"/>
    </row>
    <row r="37" spans="1:16">
      <c r="A37" s="12" t="s">
        <v>467</v>
      </c>
      <c r="B37" s="16" t="s">
        <v>242</v>
      </c>
      <c r="C37" s="12" t="s">
        <v>2019</v>
      </c>
      <c r="D37" s="12" t="s">
        <v>2020</v>
      </c>
      <c r="E37" s="12" t="s">
        <v>246</v>
      </c>
      <c r="F37" s="15" t="s">
        <v>243</v>
      </c>
      <c r="G37" s="12" t="s">
        <v>245</v>
      </c>
      <c r="H37" s="12" t="s">
        <v>1944</v>
      </c>
      <c r="I37" s="12" t="s">
        <v>1937</v>
      </c>
      <c r="J37" s="12" t="s">
        <v>2021</v>
      </c>
      <c r="K37" s="12" t="s">
        <v>1923</v>
      </c>
      <c r="L37" s="12"/>
      <c r="M37" s="12" t="s">
        <v>1923</v>
      </c>
      <c r="N37" s="12"/>
      <c r="O37" s="12" t="s">
        <v>1923</v>
      </c>
      <c r="P37" s="12"/>
    </row>
    <row r="38" spans="1:16">
      <c r="A38" s="12" t="s">
        <v>678</v>
      </c>
      <c r="B38" s="16" t="s">
        <v>242</v>
      </c>
      <c r="C38" s="12" t="s">
        <v>2022</v>
      </c>
      <c r="D38" s="12"/>
      <c r="E38" s="12" t="s">
        <v>306</v>
      </c>
      <c r="F38" s="16" t="s">
        <v>274</v>
      </c>
      <c r="G38" s="12" t="s">
        <v>2023</v>
      </c>
      <c r="H38" s="12" t="s">
        <v>1944</v>
      </c>
      <c r="I38" s="12" t="s">
        <v>199</v>
      </c>
      <c r="J38" s="12" t="s">
        <v>2024</v>
      </c>
      <c r="K38" s="12" t="s">
        <v>1923</v>
      </c>
      <c r="L38" s="12"/>
      <c r="M38" s="12" t="s">
        <v>1923</v>
      </c>
      <c r="N38" s="12"/>
      <c r="O38" s="12" t="s">
        <v>1923</v>
      </c>
      <c r="P38" s="12"/>
    </row>
    <row r="39" spans="1:16">
      <c r="A39" s="12" t="s">
        <v>678</v>
      </c>
      <c r="B39" s="16" t="s">
        <v>242</v>
      </c>
      <c r="C39" s="12" t="s">
        <v>2022</v>
      </c>
      <c r="D39" s="12" t="s">
        <v>2025</v>
      </c>
      <c r="E39" s="12" t="s">
        <v>246</v>
      </c>
      <c r="F39" s="15" t="s">
        <v>243</v>
      </c>
      <c r="G39" s="12" t="s">
        <v>245</v>
      </c>
      <c r="H39" s="12" t="s">
        <v>1944</v>
      </c>
      <c r="I39" s="12" t="s">
        <v>199</v>
      </c>
      <c r="J39" s="12" t="s">
        <v>2026</v>
      </c>
      <c r="K39" s="12" t="s">
        <v>1923</v>
      </c>
      <c r="L39" s="12"/>
      <c r="M39" s="12" t="s">
        <v>1923</v>
      </c>
      <c r="N39" s="12"/>
      <c r="O39" s="12" t="s">
        <v>1923</v>
      </c>
      <c r="P39" s="12"/>
    </row>
    <row r="40" spans="1:16">
      <c r="A40" s="12" t="s">
        <v>678</v>
      </c>
      <c r="B40" s="16" t="s">
        <v>242</v>
      </c>
      <c r="C40" s="12" t="s">
        <v>2022</v>
      </c>
      <c r="D40" s="12" t="s">
        <v>2027</v>
      </c>
      <c r="E40" s="12" t="s">
        <v>246</v>
      </c>
      <c r="F40" s="15" t="s">
        <v>243</v>
      </c>
      <c r="G40" s="12" t="s">
        <v>245</v>
      </c>
      <c r="H40" s="12" t="s">
        <v>1951</v>
      </c>
      <c r="I40" s="12" t="s">
        <v>199</v>
      </c>
      <c r="J40" s="12" t="s">
        <v>2026</v>
      </c>
      <c r="K40" s="12" t="s">
        <v>1923</v>
      </c>
      <c r="L40" s="12"/>
      <c r="M40" s="12" t="s">
        <v>1923</v>
      </c>
      <c r="N40" s="12"/>
      <c r="O40" s="12" t="s">
        <v>1923</v>
      </c>
      <c r="P40" s="12"/>
    </row>
    <row r="41" spans="1:16">
      <c r="A41" s="12" t="s">
        <v>789</v>
      </c>
      <c r="B41" s="13" t="s">
        <v>273</v>
      </c>
      <c r="C41" s="12" t="s">
        <v>2028</v>
      </c>
      <c r="D41" s="12" t="s">
        <v>2029</v>
      </c>
      <c r="E41" s="12" t="s">
        <v>246</v>
      </c>
      <c r="F41" s="15" t="s">
        <v>243</v>
      </c>
      <c r="G41" s="12" t="s">
        <v>245</v>
      </c>
      <c r="H41" s="12" t="s">
        <v>1951</v>
      </c>
      <c r="I41" s="12"/>
      <c r="J41" s="12" t="s">
        <v>2030</v>
      </c>
      <c r="K41" s="12" t="s">
        <v>1923</v>
      </c>
      <c r="L41" s="12"/>
      <c r="M41" s="12" t="s">
        <v>1923</v>
      </c>
      <c r="N41" s="12"/>
      <c r="O41" s="12" t="s">
        <v>1923</v>
      </c>
      <c r="P41" s="12"/>
    </row>
    <row r="42" spans="1:16">
      <c r="A42" s="12" t="s">
        <v>789</v>
      </c>
      <c r="B42" s="16" t="s">
        <v>242</v>
      </c>
      <c r="C42" s="12" t="s">
        <v>2031</v>
      </c>
      <c r="D42" s="12" t="s">
        <v>2032</v>
      </c>
      <c r="E42" s="12" t="s">
        <v>1117</v>
      </c>
      <c r="F42" s="16" t="s">
        <v>274</v>
      </c>
      <c r="G42" s="12" t="s">
        <v>305</v>
      </c>
      <c r="H42" s="12" t="s">
        <v>1951</v>
      </c>
      <c r="I42" s="12" t="s">
        <v>199</v>
      </c>
      <c r="J42" s="12" t="s">
        <v>2033</v>
      </c>
      <c r="K42" s="12" t="s">
        <v>2034</v>
      </c>
      <c r="L42" s="12" t="s">
        <v>2035</v>
      </c>
      <c r="M42" s="12"/>
      <c r="N42" s="12" t="s">
        <v>1923</v>
      </c>
      <c r="O42" s="12"/>
      <c r="P42" s="12" t="s">
        <v>1923</v>
      </c>
    </row>
    <row r="43" spans="1:16">
      <c r="A43" s="12" t="s">
        <v>789</v>
      </c>
      <c r="B43" s="16" t="s">
        <v>242</v>
      </c>
      <c r="C43" s="12" t="s">
        <v>2031</v>
      </c>
      <c r="D43" s="12" t="s">
        <v>2036</v>
      </c>
      <c r="E43" s="12" t="s">
        <v>537</v>
      </c>
      <c r="F43" s="16" t="s">
        <v>274</v>
      </c>
      <c r="G43" s="12" t="s">
        <v>305</v>
      </c>
      <c r="H43" s="12" t="s">
        <v>1951</v>
      </c>
      <c r="I43" s="12" t="s">
        <v>199</v>
      </c>
      <c r="J43" s="12" t="s">
        <v>2034</v>
      </c>
      <c r="K43" s="12" t="s">
        <v>2037</v>
      </c>
      <c r="L43" s="12" t="s">
        <v>2038</v>
      </c>
      <c r="M43" s="12" t="s">
        <v>2039</v>
      </c>
      <c r="N43" s="12" t="s">
        <v>2040</v>
      </c>
      <c r="O43" s="12" t="s">
        <v>2041</v>
      </c>
      <c r="P43" s="12" t="s">
        <v>2042</v>
      </c>
    </row>
    <row r="44" spans="1:16">
      <c r="A44" s="12" t="s">
        <v>789</v>
      </c>
      <c r="B44" s="16" t="s">
        <v>242</v>
      </c>
      <c r="C44" s="12" t="s">
        <v>2031</v>
      </c>
      <c r="D44" s="12" t="s">
        <v>2043</v>
      </c>
      <c r="E44" s="12" t="s">
        <v>1117</v>
      </c>
      <c r="F44" s="16" t="s">
        <v>274</v>
      </c>
      <c r="G44" s="12" t="s">
        <v>305</v>
      </c>
      <c r="H44" s="12" t="s">
        <v>1944</v>
      </c>
      <c r="I44" s="12" t="s">
        <v>199</v>
      </c>
      <c r="J44" s="12" t="s">
        <v>2034</v>
      </c>
      <c r="K44" s="12" t="s">
        <v>2044</v>
      </c>
      <c r="L44" s="12" t="s">
        <v>2038</v>
      </c>
      <c r="M44" s="12"/>
      <c r="N44" s="12" t="s">
        <v>1923</v>
      </c>
      <c r="O44" s="12"/>
      <c r="P44" s="12" t="s">
        <v>1923</v>
      </c>
    </row>
    <row r="45" spans="1:16">
      <c r="A45" s="12" t="s">
        <v>789</v>
      </c>
      <c r="B45" s="16" t="s">
        <v>242</v>
      </c>
      <c r="C45" s="12" t="s">
        <v>2031</v>
      </c>
      <c r="D45" s="12" t="s">
        <v>1925</v>
      </c>
      <c r="E45" s="12" t="s">
        <v>306</v>
      </c>
      <c r="F45" s="16" t="s">
        <v>274</v>
      </c>
      <c r="G45" s="12" t="s">
        <v>305</v>
      </c>
      <c r="H45" s="12" t="s">
        <v>1951</v>
      </c>
      <c r="I45" s="12" t="s">
        <v>199</v>
      </c>
      <c r="J45" s="12" t="s">
        <v>2045</v>
      </c>
      <c r="K45" s="12" t="s">
        <v>1995</v>
      </c>
      <c r="L45" s="12" t="s">
        <v>2046</v>
      </c>
      <c r="M45" s="12"/>
      <c r="N45" s="12" t="s">
        <v>1923</v>
      </c>
      <c r="O45" s="12"/>
      <c r="P45" s="12" t="s">
        <v>1923</v>
      </c>
    </row>
    <row r="46" spans="1:16">
      <c r="A46" s="12" t="s">
        <v>789</v>
      </c>
      <c r="B46" s="16" t="s">
        <v>242</v>
      </c>
      <c r="C46" s="12" t="s">
        <v>2031</v>
      </c>
      <c r="D46" s="12" t="s">
        <v>2047</v>
      </c>
      <c r="E46" s="12" t="s">
        <v>1117</v>
      </c>
      <c r="F46" s="16" t="s">
        <v>274</v>
      </c>
      <c r="G46" s="12" t="s">
        <v>305</v>
      </c>
      <c r="H46" s="12" t="s">
        <v>1944</v>
      </c>
      <c r="I46" s="12" t="s">
        <v>199</v>
      </c>
      <c r="J46" s="12" t="s">
        <v>2034</v>
      </c>
      <c r="K46" s="12" t="s">
        <v>2034</v>
      </c>
      <c r="L46" s="12" t="s">
        <v>2034</v>
      </c>
      <c r="M46" s="12"/>
      <c r="N46" s="12" t="s">
        <v>1923</v>
      </c>
      <c r="O46" s="12"/>
      <c r="P46" s="12" t="s">
        <v>1923</v>
      </c>
    </row>
    <row r="47" spans="1:16">
      <c r="A47" s="12" t="s">
        <v>789</v>
      </c>
      <c r="B47" s="16" t="s">
        <v>242</v>
      </c>
      <c r="C47" s="12" t="s">
        <v>2031</v>
      </c>
      <c r="D47" s="12" t="s">
        <v>1965</v>
      </c>
      <c r="E47" s="12" t="s">
        <v>1117</v>
      </c>
      <c r="F47" s="16" t="s">
        <v>274</v>
      </c>
      <c r="G47" s="12" t="s">
        <v>305</v>
      </c>
      <c r="H47" s="12" t="s">
        <v>1944</v>
      </c>
      <c r="I47" s="12" t="s">
        <v>199</v>
      </c>
      <c r="J47" s="12" t="s">
        <v>2048</v>
      </c>
      <c r="K47" s="12" t="s">
        <v>2048</v>
      </c>
      <c r="L47" s="12" t="s">
        <v>2049</v>
      </c>
      <c r="M47" s="12"/>
      <c r="N47" s="12" t="s">
        <v>1923</v>
      </c>
      <c r="O47" s="12"/>
      <c r="P47" s="12" t="s">
        <v>1923</v>
      </c>
    </row>
    <row r="48" spans="1:16">
      <c r="A48" s="12" t="s">
        <v>789</v>
      </c>
      <c r="B48" s="16" t="s">
        <v>242</v>
      </c>
      <c r="C48" s="12" t="s">
        <v>2031</v>
      </c>
      <c r="D48" s="12" t="s">
        <v>2050</v>
      </c>
      <c r="E48" s="12" t="s">
        <v>1117</v>
      </c>
      <c r="F48" s="16" t="s">
        <v>274</v>
      </c>
      <c r="G48" s="12" t="s">
        <v>305</v>
      </c>
      <c r="H48" s="12" t="s">
        <v>1944</v>
      </c>
      <c r="I48" s="12" t="s">
        <v>199</v>
      </c>
      <c r="J48" s="12" t="s">
        <v>2051</v>
      </c>
      <c r="K48" s="12" t="s">
        <v>2051</v>
      </c>
      <c r="L48" s="12" t="s">
        <v>2052</v>
      </c>
      <c r="M48" s="12"/>
      <c r="N48" s="12" t="s">
        <v>1923</v>
      </c>
      <c r="O48" s="12"/>
      <c r="P48" s="12" t="s">
        <v>1923</v>
      </c>
    </row>
    <row r="49" spans="1:16">
      <c r="A49" s="12" t="s">
        <v>789</v>
      </c>
      <c r="B49" s="16" t="s">
        <v>242</v>
      </c>
      <c r="C49" s="12" t="s">
        <v>2031</v>
      </c>
      <c r="D49" s="12" t="s">
        <v>2053</v>
      </c>
      <c r="E49" s="12" t="s">
        <v>537</v>
      </c>
      <c r="F49" s="16" t="s">
        <v>274</v>
      </c>
      <c r="G49" s="12" t="s">
        <v>305</v>
      </c>
      <c r="H49" s="12" t="s">
        <v>1944</v>
      </c>
      <c r="I49" s="12" t="s">
        <v>199</v>
      </c>
      <c r="J49" s="12" t="s">
        <v>2054</v>
      </c>
      <c r="K49" s="12" t="s">
        <v>2054</v>
      </c>
      <c r="L49" s="12" t="s">
        <v>2055</v>
      </c>
      <c r="M49" s="12"/>
      <c r="N49" s="12" t="s">
        <v>1923</v>
      </c>
      <c r="O49" s="12" t="s">
        <v>2056</v>
      </c>
      <c r="P49" s="12" t="s">
        <v>2057</v>
      </c>
    </row>
    <row r="50" spans="1:16">
      <c r="A50" s="12" t="s">
        <v>789</v>
      </c>
      <c r="B50" s="16" t="s">
        <v>242</v>
      </c>
      <c r="C50" s="12" t="s">
        <v>2058</v>
      </c>
      <c r="D50" s="12" t="s">
        <v>2059</v>
      </c>
      <c r="E50" s="12" t="s">
        <v>246</v>
      </c>
      <c r="F50" s="15" t="s">
        <v>243</v>
      </c>
      <c r="G50" s="12" t="s">
        <v>245</v>
      </c>
      <c r="H50" s="12" t="s">
        <v>1951</v>
      </c>
      <c r="I50" s="12" t="s">
        <v>199</v>
      </c>
      <c r="J50" s="12" t="s">
        <v>2026</v>
      </c>
      <c r="K50" s="12" t="s">
        <v>1923</v>
      </c>
      <c r="L50" s="12"/>
      <c r="M50" s="12" t="s">
        <v>1923</v>
      </c>
      <c r="N50" s="12"/>
      <c r="O50" s="12" t="s">
        <v>1923</v>
      </c>
      <c r="P50" s="12"/>
    </row>
    <row r="51" spans="1:16">
      <c r="A51" s="12" t="s">
        <v>789</v>
      </c>
      <c r="B51" s="16" t="s">
        <v>242</v>
      </c>
      <c r="C51" s="12" t="s">
        <v>2060</v>
      </c>
      <c r="D51" s="12" t="s">
        <v>2061</v>
      </c>
      <c r="E51" s="12" t="s">
        <v>246</v>
      </c>
      <c r="F51" s="15" t="s">
        <v>243</v>
      </c>
      <c r="G51" s="12" t="s">
        <v>245</v>
      </c>
      <c r="H51" s="12" t="s">
        <v>1944</v>
      </c>
      <c r="I51" s="12" t="s">
        <v>199</v>
      </c>
      <c r="J51" s="12" t="s">
        <v>2062</v>
      </c>
      <c r="K51" s="12" t="s">
        <v>1923</v>
      </c>
      <c r="L51" s="12"/>
      <c r="M51" s="12" t="s">
        <v>1923</v>
      </c>
      <c r="N51" s="12"/>
      <c r="O51" s="12" t="s">
        <v>1923</v>
      </c>
      <c r="P51" s="12"/>
    </row>
    <row r="52" spans="1:16">
      <c r="A52" s="12" t="s">
        <v>594</v>
      </c>
      <c r="B52" s="13" t="s">
        <v>273</v>
      </c>
      <c r="C52" s="12" t="s">
        <v>595</v>
      </c>
      <c r="D52" s="12" t="s">
        <v>2063</v>
      </c>
      <c r="E52" s="12" t="s">
        <v>1117</v>
      </c>
      <c r="F52" s="16" t="s">
        <v>274</v>
      </c>
      <c r="G52" s="12" t="s">
        <v>305</v>
      </c>
      <c r="H52" s="12" t="s">
        <v>1951</v>
      </c>
      <c r="I52" s="12" t="s">
        <v>199</v>
      </c>
      <c r="J52" s="12" t="s">
        <v>2064</v>
      </c>
      <c r="K52" s="12" t="s">
        <v>2064</v>
      </c>
      <c r="L52" s="12"/>
      <c r="M52" s="12" t="s">
        <v>1923</v>
      </c>
      <c r="N52" s="12"/>
      <c r="O52" s="12" t="s">
        <v>1923</v>
      </c>
      <c r="P52" s="12"/>
    </row>
    <row r="53" spans="1:16">
      <c r="A53" s="12" t="s">
        <v>594</v>
      </c>
      <c r="B53" s="13" t="s">
        <v>273</v>
      </c>
      <c r="C53" s="12" t="s">
        <v>595</v>
      </c>
      <c r="D53" s="12" t="s">
        <v>2065</v>
      </c>
      <c r="E53" s="12" t="s">
        <v>246</v>
      </c>
      <c r="F53" s="15" t="s">
        <v>243</v>
      </c>
      <c r="G53" s="12" t="s">
        <v>245</v>
      </c>
      <c r="H53" s="12" t="s">
        <v>1951</v>
      </c>
      <c r="I53" s="12" t="s">
        <v>1937</v>
      </c>
      <c r="J53" s="12" t="s">
        <v>2066</v>
      </c>
      <c r="K53" s="12" t="s">
        <v>1923</v>
      </c>
      <c r="L53" s="12"/>
      <c r="M53" s="12" t="s">
        <v>1923</v>
      </c>
      <c r="N53" s="12"/>
      <c r="O53" s="12" t="s">
        <v>1923</v>
      </c>
      <c r="P53" s="12"/>
    </row>
    <row r="54" spans="1:16">
      <c r="A54" s="12" t="s">
        <v>594</v>
      </c>
      <c r="B54" s="13" t="s">
        <v>273</v>
      </c>
      <c r="C54" s="12" t="s">
        <v>595</v>
      </c>
      <c r="D54" s="12" t="s">
        <v>484</v>
      </c>
      <c r="E54" s="12" t="s">
        <v>246</v>
      </c>
      <c r="F54" s="15" t="s">
        <v>243</v>
      </c>
      <c r="G54" s="12" t="s">
        <v>245</v>
      </c>
      <c r="H54" s="12" t="s">
        <v>1951</v>
      </c>
      <c r="I54" s="12" t="s">
        <v>1937</v>
      </c>
      <c r="J54" s="12" t="s">
        <v>2066</v>
      </c>
      <c r="K54" s="12" t="s">
        <v>1923</v>
      </c>
      <c r="L54" s="12"/>
      <c r="M54" s="12" t="s">
        <v>1923</v>
      </c>
      <c r="N54" s="12"/>
      <c r="O54" s="12" t="s">
        <v>1923</v>
      </c>
      <c r="P54" s="12"/>
    </row>
    <row r="55" spans="1:16">
      <c r="A55" s="12" t="s">
        <v>1098</v>
      </c>
      <c r="B55" s="16" t="s">
        <v>242</v>
      </c>
      <c r="C55" s="12" t="s">
        <v>2067</v>
      </c>
      <c r="D55" s="12"/>
      <c r="E55" s="12" t="s">
        <v>306</v>
      </c>
      <c r="F55" s="16" t="s">
        <v>274</v>
      </c>
      <c r="G55" s="12" t="s">
        <v>1100</v>
      </c>
      <c r="H55" s="12" t="s">
        <v>1944</v>
      </c>
      <c r="I55" s="12" t="s">
        <v>199</v>
      </c>
      <c r="J55" s="12" t="s">
        <v>1101</v>
      </c>
      <c r="K55" s="12" t="s">
        <v>1923</v>
      </c>
      <c r="L55" s="12"/>
      <c r="M55" s="12" t="s">
        <v>1923</v>
      </c>
      <c r="N55" s="12"/>
      <c r="O55" s="12" t="s">
        <v>1923</v>
      </c>
      <c r="P55" s="12"/>
    </row>
    <row r="56" spans="1:16">
      <c r="A56" s="12" t="s">
        <v>1008</v>
      </c>
      <c r="B56" s="13" t="s">
        <v>273</v>
      </c>
      <c r="C56" s="12" t="s">
        <v>2068</v>
      </c>
      <c r="D56" s="12" t="s">
        <v>1010</v>
      </c>
      <c r="E56" s="12" t="s">
        <v>246</v>
      </c>
      <c r="F56" s="15" t="s">
        <v>243</v>
      </c>
      <c r="G56" s="12" t="s">
        <v>245</v>
      </c>
      <c r="H56" s="12" t="s">
        <v>1951</v>
      </c>
      <c r="I56" s="12"/>
      <c r="J56" s="12" t="s">
        <v>1011</v>
      </c>
      <c r="K56" s="12" t="s">
        <v>1923</v>
      </c>
      <c r="L56" s="12"/>
      <c r="M56" s="12" t="s">
        <v>1923</v>
      </c>
      <c r="N56" s="12"/>
      <c r="O56" s="12" t="s">
        <v>1923</v>
      </c>
      <c r="P56" s="12"/>
    </row>
    <row r="57" spans="1:16">
      <c r="A57" s="12" t="s">
        <v>655</v>
      </c>
      <c r="B57" s="16" t="s">
        <v>483</v>
      </c>
      <c r="C57" s="12" t="s">
        <v>2069</v>
      </c>
      <c r="D57" s="12" t="s">
        <v>657</v>
      </c>
      <c r="E57" s="12" t="s">
        <v>246</v>
      </c>
      <c r="F57" s="15" t="s">
        <v>243</v>
      </c>
      <c r="G57" s="12" t="s">
        <v>245</v>
      </c>
      <c r="H57" s="12" t="s">
        <v>1951</v>
      </c>
      <c r="I57" s="12"/>
      <c r="J57" s="12" t="s">
        <v>658</v>
      </c>
      <c r="K57" s="12" t="s">
        <v>1923</v>
      </c>
      <c r="L57" s="12"/>
      <c r="M57" s="12" t="s">
        <v>1923</v>
      </c>
      <c r="N57" s="12"/>
      <c r="O57" s="12" t="s">
        <v>1923</v>
      </c>
      <c r="P57" s="12"/>
    </row>
    <row r="58" spans="1:16">
      <c r="A58" s="12" t="s">
        <v>122</v>
      </c>
      <c r="B58" s="16" t="s">
        <v>242</v>
      </c>
      <c r="C58" s="12" t="s">
        <v>368</v>
      </c>
      <c r="D58" s="12" t="s">
        <v>369</v>
      </c>
      <c r="E58" s="12" t="s">
        <v>246</v>
      </c>
      <c r="F58" s="15" t="s">
        <v>243</v>
      </c>
      <c r="G58" s="12" t="s">
        <v>245</v>
      </c>
      <c r="H58" s="12" t="s">
        <v>1919</v>
      </c>
      <c r="I58" s="12"/>
      <c r="J58" s="12" t="s">
        <v>370</v>
      </c>
      <c r="K58" s="12" t="s">
        <v>1923</v>
      </c>
      <c r="L58" s="12"/>
      <c r="M58" s="12" t="s">
        <v>1923</v>
      </c>
      <c r="N58" s="12"/>
      <c r="O58" s="12" t="s">
        <v>1923</v>
      </c>
      <c r="P58" s="12"/>
    </row>
    <row r="59" spans="1:16">
      <c r="A59" s="12" t="s">
        <v>107</v>
      </c>
      <c r="B59" s="13" t="s">
        <v>273</v>
      </c>
      <c r="C59" s="12" t="s">
        <v>2070</v>
      </c>
      <c r="D59" s="12" t="s">
        <v>2071</v>
      </c>
      <c r="E59" s="12" t="s">
        <v>246</v>
      </c>
      <c r="F59" s="15" t="s">
        <v>243</v>
      </c>
      <c r="G59" s="12" t="s">
        <v>245</v>
      </c>
      <c r="H59" s="12" t="s">
        <v>1951</v>
      </c>
      <c r="I59" s="12"/>
      <c r="J59" s="12" t="s">
        <v>2072</v>
      </c>
      <c r="K59" s="12" t="s">
        <v>1923</v>
      </c>
      <c r="L59" s="12"/>
      <c r="M59" s="12" t="s">
        <v>1923</v>
      </c>
      <c r="N59" s="12"/>
      <c r="O59" s="12" t="s">
        <v>1923</v>
      </c>
      <c r="P59" s="12"/>
    </row>
    <row r="60" spans="1:16">
      <c r="A60" s="12" t="s">
        <v>107</v>
      </c>
      <c r="B60" s="16" t="s">
        <v>242</v>
      </c>
      <c r="C60" s="12" t="s">
        <v>2073</v>
      </c>
      <c r="D60" s="12" t="s">
        <v>2074</v>
      </c>
      <c r="E60" s="12" t="s">
        <v>1117</v>
      </c>
      <c r="F60" s="16" t="s">
        <v>274</v>
      </c>
      <c r="G60" s="12" t="s">
        <v>305</v>
      </c>
      <c r="H60" s="12" t="s">
        <v>1951</v>
      </c>
      <c r="I60" s="12"/>
      <c r="J60" s="12" t="s">
        <v>2075</v>
      </c>
      <c r="K60" s="12" t="s">
        <v>1923</v>
      </c>
      <c r="L60" s="12"/>
      <c r="M60" s="12" t="s">
        <v>1923</v>
      </c>
      <c r="N60" s="12"/>
      <c r="O60" s="12" t="s">
        <v>1923</v>
      </c>
      <c r="P60" s="12"/>
    </row>
    <row r="61" spans="1:16">
      <c r="A61" s="12" t="s">
        <v>107</v>
      </c>
      <c r="B61" s="16" t="s">
        <v>242</v>
      </c>
      <c r="C61" s="12" t="s">
        <v>2073</v>
      </c>
      <c r="D61" s="12" t="s">
        <v>2076</v>
      </c>
      <c r="E61" s="12" t="s">
        <v>306</v>
      </c>
      <c r="F61" s="16" t="s">
        <v>274</v>
      </c>
      <c r="G61" s="12" t="s">
        <v>305</v>
      </c>
      <c r="H61" s="12" t="s">
        <v>1951</v>
      </c>
      <c r="I61" s="12"/>
      <c r="J61" s="12" t="s">
        <v>2075</v>
      </c>
      <c r="K61" s="12" t="s">
        <v>2077</v>
      </c>
      <c r="L61" s="12"/>
      <c r="M61" s="12" t="s">
        <v>1923</v>
      </c>
      <c r="N61" s="12"/>
      <c r="O61" s="12" t="s">
        <v>1923</v>
      </c>
      <c r="P61" s="12"/>
    </row>
    <row r="62" spans="1:16">
      <c r="A62" s="12" t="s">
        <v>107</v>
      </c>
      <c r="B62" s="16" t="s">
        <v>242</v>
      </c>
      <c r="C62" s="12" t="s">
        <v>2073</v>
      </c>
      <c r="D62" s="12" t="s">
        <v>2078</v>
      </c>
      <c r="E62" s="12" t="s">
        <v>1117</v>
      </c>
      <c r="F62" s="16" t="s">
        <v>274</v>
      </c>
      <c r="G62" s="12" t="s">
        <v>305</v>
      </c>
      <c r="H62" s="12" t="s">
        <v>1951</v>
      </c>
      <c r="I62" s="12"/>
      <c r="J62" s="12" t="s">
        <v>2075</v>
      </c>
      <c r="K62" s="12" t="s">
        <v>2077</v>
      </c>
      <c r="L62" s="12"/>
      <c r="M62" s="12" t="s">
        <v>1923</v>
      </c>
      <c r="N62" s="12"/>
      <c r="O62" s="12" t="s">
        <v>1923</v>
      </c>
      <c r="P62" s="12"/>
    </row>
    <row r="63" spans="1:16">
      <c r="A63" s="12" t="s">
        <v>107</v>
      </c>
      <c r="B63" s="16" t="s">
        <v>242</v>
      </c>
      <c r="C63" s="12" t="s">
        <v>2073</v>
      </c>
      <c r="D63" s="12" t="s">
        <v>2079</v>
      </c>
      <c r="E63" s="12" t="s">
        <v>306</v>
      </c>
      <c r="F63" s="16" t="s">
        <v>274</v>
      </c>
      <c r="G63" s="12" t="s">
        <v>305</v>
      </c>
      <c r="H63" s="12" t="s">
        <v>1951</v>
      </c>
      <c r="I63" s="12"/>
      <c r="J63" s="12" t="s">
        <v>2075</v>
      </c>
      <c r="K63" s="12" t="s">
        <v>1923</v>
      </c>
      <c r="L63" s="12"/>
      <c r="M63" s="12" t="s">
        <v>1923</v>
      </c>
      <c r="N63" s="12"/>
      <c r="O63" s="12" t="s">
        <v>1923</v>
      </c>
      <c r="P63" s="12"/>
    </row>
    <row r="64" spans="1:16">
      <c r="A64" s="12" t="s">
        <v>107</v>
      </c>
      <c r="B64" s="16" t="s">
        <v>242</v>
      </c>
      <c r="C64" s="12" t="s">
        <v>2073</v>
      </c>
      <c r="D64" s="12" t="s">
        <v>2080</v>
      </c>
      <c r="E64" s="12" t="s">
        <v>306</v>
      </c>
      <c r="F64" s="16" t="s">
        <v>274</v>
      </c>
      <c r="G64" s="12" t="s">
        <v>305</v>
      </c>
      <c r="H64" s="12" t="s">
        <v>1951</v>
      </c>
      <c r="I64" s="12"/>
      <c r="J64" s="12" t="s">
        <v>2075</v>
      </c>
      <c r="K64" s="12" t="s">
        <v>2077</v>
      </c>
      <c r="L64" s="12"/>
      <c r="M64" s="12" t="s">
        <v>1923</v>
      </c>
      <c r="N64" s="12"/>
      <c r="O64" s="12" t="s">
        <v>1923</v>
      </c>
      <c r="P64" s="12"/>
    </row>
    <row r="65" spans="1:16">
      <c r="A65" s="12" t="s">
        <v>107</v>
      </c>
      <c r="B65" s="16" t="s">
        <v>242</v>
      </c>
      <c r="C65" s="12" t="s">
        <v>2073</v>
      </c>
      <c r="D65" s="12" t="s">
        <v>2081</v>
      </c>
      <c r="E65" s="12" t="s">
        <v>1117</v>
      </c>
      <c r="F65" s="16" t="s">
        <v>274</v>
      </c>
      <c r="G65" s="12" t="s">
        <v>305</v>
      </c>
      <c r="H65" s="12" t="s">
        <v>1951</v>
      </c>
      <c r="I65" s="12"/>
      <c r="J65" s="12" t="s">
        <v>2075</v>
      </c>
      <c r="K65" s="12" t="s">
        <v>2077</v>
      </c>
      <c r="L65" s="12"/>
      <c r="M65" s="12" t="s">
        <v>1923</v>
      </c>
      <c r="N65" s="12"/>
      <c r="O65" s="12" t="s">
        <v>1923</v>
      </c>
      <c r="P65" s="12"/>
    </row>
    <row r="66" spans="1:16">
      <c r="A66" s="12" t="s">
        <v>1113</v>
      </c>
      <c r="B66" s="13" t="s">
        <v>273</v>
      </c>
      <c r="C66" s="12" t="s">
        <v>1113</v>
      </c>
      <c r="D66" s="12" t="s">
        <v>1115</v>
      </c>
      <c r="E66" s="12" t="s">
        <v>1117</v>
      </c>
      <c r="F66" s="16" t="s">
        <v>274</v>
      </c>
      <c r="G66" s="12" t="s">
        <v>1116</v>
      </c>
      <c r="H66" s="12" t="s">
        <v>1944</v>
      </c>
      <c r="I66" s="12" t="s">
        <v>199</v>
      </c>
      <c r="J66" s="12" t="s">
        <v>1118</v>
      </c>
      <c r="K66" s="12" t="s">
        <v>1923</v>
      </c>
      <c r="L66" s="12"/>
      <c r="M66" s="12" t="s">
        <v>1923</v>
      </c>
      <c r="N66" s="12"/>
      <c r="O66" s="12" t="s">
        <v>1923</v>
      </c>
      <c r="P66" s="12"/>
    </row>
    <row r="67" spans="1:16">
      <c r="A67" s="12" t="s">
        <v>999</v>
      </c>
      <c r="B67" s="16" t="s">
        <v>242</v>
      </c>
      <c r="C67" s="12" t="s">
        <v>2082</v>
      </c>
      <c r="D67" s="12" t="s">
        <v>2008</v>
      </c>
      <c r="E67" s="12" t="s">
        <v>537</v>
      </c>
      <c r="F67" s="16" t="s">
        <v>274</v>
      </c>
      <c r="G67" s="12" t="s">
        <v>305</v>
      </c>
      <c r="H67" s="12" t="s">
        <v>1951</v>
      </c>
      <c r="I67" s="12" t="s">
        <v>1937</v>
      </c>
      <c r="J67" s="12" t="s">
        <v>2009</v>
      </c>
      <c r="K67" s="12" t="s">
        <v>2010</v>
      </c>
      <c r="L67" s="12"/>
      <c r="M67" s="12" t="s">
        <v>1923</v>
      </c>
      <c r="N67" s="12"/>
      <c r="O67" s="12" t="s">
        <v>1923</v>
      </c>
      <c r="P67" s="12"/>
    </row>
    <row r="68" spans="1:16">
      <c r="A68" s="12" t="s">
        <v>999</v>
      </c>
      <c r="B68" s="16" t="s">
        <v>242</v>
      </c>
      <c r="C68" s="12" t="s">
        <v>2083</v>
      </c>
      <c r="D68" s="12" t="s">
        <v>2084</v>
      </c>
      <c r="E68" s="12" t="s">
        <v>306</v>
      </c>
      <c r="F68" s="16" t="s">
        <v>274</v>
      </c>
      <c r="G68" s="12" t="s">
        <v>305</v>
      </c>
      <c r="H68" s="12" t="s">
        <v>1919</v>
      </c>
      <c r="I68" s="12" t="s">
        <v>1937</v>
      </c>
      <c r="J68" s="12" t="s">
        <v>2085</v>
      </c>
      <c r="K68" s="12" t="s">
        <v>2086</v>
      </c>
      <c r="L68" s="12" t="s">
        <v>2086</v>
      </c>
      <c r="M68" s="12" t="s">
        <v>2087</v>
      </c>
      <c r="N68" s="12" t="s">
        <v>1923</v>
      </c>
      <c r="O68" s="12"/>
      <c r="P68" s="12" t="s">
        <v>1923</v>
      </c>
    </row>
    <row r="69" spans="1:16">
      <c r="A69" s="12" t="s">
        <v>999</v>
      </c>
      <c r="B69" s="16" t="s">
        <v>242</v>
      </c>
      <c r="C69" s="12" t="s">
        <v>2088</v>
      </c>
      <c r="D69" s="12" t="s">
        <v>2089</v>
      </c>
      <c r="E69" s="12" t="s">
        <v>246</v>
      </c>
      <c r="F69" s="15" t="s">
        <v>243</v>
      </c>
      <c r="G69" s="12" t="s">
        <v>245</v>
      </c>
      <c r="H69" s="12" t="s">
        <v>1951</v>
      </c>
      <c r="I69" s="12"/>
      <c r="J69" s="12" t="s">
        <v>2090</v>
      </c>
      <c r="K69" s="12" t="s">
        <v>1923</v>
      </c>
      <c r="L69" s="12"/>
      <c r="M69" s="12" t="s">
        <v>1923</v>
      </c>
      <c r="N69" s="12"/>
      <c r="O69" s="12" t="s">
        <v>1923</v>
      </c>
      <c r="P69" s="12"/>
    </row>
    <row r="70" spans="1:16">
      <c r="A70" s="12" t="s">
        <v>774</v>
      </c>
      <c r="B70" s="13" t="s">
        <v>273</v>
      </c>
      <c r="C70" s="12" t="s">
        <v>774</v>
      </c>
      <c r="D70" s="12" t="s">
        <v>776</v>
      </c>
      <c r="E70" s="12" t="s">
        <v>246</v>
      </c>
      <c r="F70" s="15" t="s">
        <v>243</v>
      </c>
      <c r="G70" s="12" t="s">
        <v>245</v>
      </c>
      <c r="H70" s="12" t="s">
        <v>1951</v>
      </c>
      <c r="I70" s="12" t="s">
        <v>199</v>
      </c>
      <c r="J70" s="12" t="s">
        <v>777</v>
      </c>
      <c r="K70" s="12" t="s">
        <v>1923</v>
      </c>
      <c r="L70" s="12"/>
      <c r="M70" s="12" t="s">
        <v>1923</v>
      </c>
      <c r="N70" s="12"/>
      <c r="O70" s="12" t="s">
        <v>1923</v>
      </c>
      <c r="P70" s="12"/>
    </row>
    <row r="71" spans="1:16">
      <c r="A71" s="12" t="s">
        <v>686</v>
      </c>
      <c r="B71" s="16" t="s">
        <v>242</v>
      </c>
      <c r="C71" s="12" t="s">
        <v>2091</v>
      </c>
      <c r="D71" s="12" t="s">
        <v>2092</v>
      </c>
      <c r="E71" s="12" t="s">
        <v>306</v>
      </c>
      <c r="F71" s="16" t="s">
        <v>274</v>
      </c>
      <c r="G71" s="12" t="s">
        <v>1926</v>
      </c>
      <c r="H71" s="12" t="s">
        <v>1951</v>
      </c>
      <c r="I71" s="12" t="s">
        <v>199</v>
      </c>
      <c r="J71" s="12" t="s">
        <v>2093</v>
      </c>
      <c r="K71" s="12" t="s">
        <v>2093</v>
      </c>
      <c r="L71" s="12" t="s">
        <v>2093</v>
      </c>
      <c r="M71" s="12" t="s">
        <v>1923</v>
      </c>
      <c r="N71" s="12"/>
      <c r="O71" s="12" t="s">
        <v>1923</v>
      </c>
      <c r="P71" s="12"/>
    </row>
    <row r="72" spans="1:16">
      <c r="A72" s="12" t="s">
        <v>686</v>
      </c>
      <c r="B72" s="16" t="s">
        <v>242</v>
      </c>
      <c r="C72" s="12" t="s">
        <v>2091</v>
      </c>
      <c r="D72" s="12" t="s">
        <v>1925</v>
      </c>
      <c r="E72" s="12" t="s">
        <v>537</v>
      </c>
      <c r="F72" s="16" t="s">
        <v>274</v>
      </c>
      <c r="G72" s="12" t="s">
        <v>1926</v>
      </c>
      <c r="H72" s="12" t="s">
        <v>1951</v>
      </c>
      <c r="I72" s="12" t="s">
        <v>199</v>
      </c>
      <c r="J72" s="12" t="s">
        <v>2094</v>
      </c>
      <c r="K72" s="12" t="s">
        <v>2095</v>
      </c>
      <c r="L72" s="12" t="s">
        <v>2096</v>
      </c>
      <c r="M72" s="12" t="s">
        <v>1923</v>
      </c>
      <c r="N72" s="12"/>
      <c r="O72" s="12" t="s">
        <v>1923</v>
      </c>
      <c r="P72" s="12"/>
    </row>
    <row r="73" spans="1:16">
      <c r="A73" s="12" t="s">
        <v>686</v>
      </c>
      <c r="B73" s="16" t="s">
        <v>242</v>
      </c>
      <c r="C73" s="12" t="s">
        <v>2091</v>
      </c>
      <c r="D73" s="12" t="s">
        <v>2097</v>
      </c>
      <c r="E73" s="12" t="s">
        <v>306</v>
      </c>
      <c r="F73" s="16" t="s">
        <v>274</v>
      </c>
      <c r="G73" s="12" t="s">
        <v>1926</v>
      </c>
      <c r="H73" s="12" t="s">
        <v>1951</v>
      </c>
      <c r="I73" s="12" t="s">
        <v>199</v>
      </c>
      <c r="J73" s="12" t="s">
        <v>2094</v>
      </c>
      <c r="K73" s="12" t="s">
        <v>2098</v>
      </c>
      <c r="L73" s="12" t="s">
        <v>2099</v>
      </c>
      <c r="M73" s="12" t="s">
        <v>1923</v>
      </c>
      <c r="N73" s="12"/>
      <c r="O73" s="12" t="s">
        <v>1923</v>
      </c>
      <c r="P73" s="12"/>
    </row>
    <row r="74" spans="1:16">
      <c r="A74" s="12" t="s">
        <v>686</v>
      </c>
      <c r="B74" s="16" t="s">
        <v>242</v>
      </c>
      <c r="C74" s="12" t="s">
        <v>2091</v>
      </c>
      <c r="D74" s="12" t="s">
        <v>2100</v>
      </c>
      <c r="E74" s="12" t="s">
        <v>306</v>
      </c>
      <c r="F74" s="16" t="s">
        <v>274</v>
      </c>
      <c r="G74" s="12" t="s">
        <v>1926</v>
      </c>
      <c r="H74" s="12" t="s">
        <v>1951</v>
      </c>
      <c r="I74" s="12" t="s">
        <v>199</v>
      </c>
      <c r="J74" s="12" t="s">
        <v>2101</v>
      </c>
      <c r="K74" s="12" t="s">
        <v>2101</v>
      </c>
      <c r="L74" s="12" t="s">
        <v>2101</v>
      </c>
      <c r="M74" s="12" t="s">
        <v>1923</v>
      </c>
      <c r="N74" s="12"/>
      <c r="O74" s="12" t="s">
        <v>1923</v>
      </c>
      <c r="P74" s="12"/>
    </row>
    <row r="75" spans="1:16">
      <c r="A75" s="12" t="s">
        <v>686</v>
      </c>
      <c r="B75" s="16" t="s">
        <v>242</v>
      </c>
      <c r="C75" s="12" t="s">
        <v>2102</v>
      </c>
      <c r="D75" s="12" t="s">
        <v>2020</v>
      </c>
      <c r="E75" s="12" t="s">
        <v>246</v>
      </c>
      <c r="F75" s="15" t="s">
        <v>243</v>
      </c>
      <c r="G75" s="12" t="s">
        <v>245</v>
      </c>
      <c r="H75" s="12" t="s">
        <v>1944</v>
      </c>
      <c r="I75" s="12" t="s">
        <v>199</v>
      </c>
      <c r="J75" s="12" t="s">
        <v>2021</v>
      </c>
      <c r="K75" s="12" t="s">
        <v>1923</v>
      </c>
      <c r="L75" s="12"/>
      <c r="M75" s="12" t="s">
        <v>1923</v>
      </c>
      <c r="N75" s="12"/>
      <c r="O75" s="12" t="s">
        <v>1923</v>
      </c>
      <c r="P75" s="12"/>
    </row>
    <row r="76" spans="1:16">
      <c r="A76" s="12" t="s">
        <v>1041</v>
      </c>
      <c r="B76" s="13" t="s">
        <v>273</v>
      </c>
      <c r="C76" s="12" t="s">
        <v>1041</v>
      </c>
      <c r="D76" s="12" t="s">
        <v>1043</v>
      </c>
      <c r="E76" s="12" t="s">
        <v>537</v>
      </c>
      <c r="F76" s="16" t="s">
        <v>274</v>
      </c>
      <c r="G76" s="12" t="s">
        <v>305</v>
      </c>
      <c r="H76" s="12" t="s">
        <v>1951</v>
      </c>
      <c r="I76" s="12" t="s">
        <v>1937</v>
      </c>
      <c r="J76" s="12" t="s">
        <v>1044</v>
      </c>
      <c r="K76" s="12" t="s">
        <v>1044</v>
      </c>
      <c r="L76" s="12" t="s">
        <v>1044</v>
      </c>
      <c r="M76" s="12" t="s">
        <v>1044</v>
      </c>
      <c r="N76" s="12" t="s">
        <v>2004</v>
      </c>
      <c r="O76" s="12" t="s">
        <v>1995</v>
      </c>
      <c r="P76" s="12"/>
    </row>
    <row r="77" spans="1:16">
      <c r="A77" s="12" t="s">
        <v>534</v>
      </c>
      <c r="B77" s="13" t="s">
        <v>273</v>
      </c>
      <c r="C77" s="12" t="s">
        <v>2103</v>
      </c>
      <c r="D77" s="12" t="s">
        <v>1043</v>
      </c>
      <c r="E77" s="12" t="s">
        <v>537</v>
      </c>
      <c r="F77" s="16" t="s">
        <v>274</v>
      </c>
      <c r="G77" s="12" t="s">
        <v>305</v>
      </c>
      <c r="H77" s="12" t="s">
        <v>1951</v>
      </c>
      <c r="I77" s="12" t="s">
        <v>1937</v>
      </c>
      <c r="J77" s="12" t="s">
        <v>1044</v>
      </c>
      <c r="K77" s="12" t="s">
        <v>1044</v>
      </c>
      <c r="L77" s="12" t="s">
        <v>1044</v>
      </c>
      <c r="M77" s="12" t="s">
        <v>1044</v>
      </c>
      <c r="N77" s="12" t="s">
        <v>2004</v>
      </c>
      <c r="O77" s="12" t="s">
        <v>1995</v>
      </c>
      <c r="P77" s="12"/>
    </row>
    <row r="78" spans="1:16">
      <c r="A78" s="12" t="s">
        <v>534</v>
      </c>
      <c r="B78" s="16" t="s">
        <v>242</v>
      </c>
      <c r="C78" s="12" t="s">
        <v>2104</v>
      </c>
      <c r="D78" s="12" t="s">
        <v>2008</v>
      </c>
      <c r="E78" s="12" t="s">
        <v>537</v>
      </c>
      <c r="F78" s="16" t="s">
        <v>274</v>
      </c>
      <c r="G78" s="12" t="s">
        <v>305</v>
      </c>
      <c r="H78" s="12" t="s">
        <v>1951</v>
      </c>
      <c r="I78" s="12" t="s">
        <v>1937</v>
      </c>
      <c r="J78" s="12" t="s">
        <v>2086</v>
      </c>
      <c r="K78" s="12" t="s">
        <v>2086</v>
      </c>
      <c r="L78" s="12" t="s">
        <v>2105</v>
      </c>
      <c r="M78" s="12" t="s">
        <v>1923</v>
      </c>
      <c r="N78" s="12"/>
      <c r="O78" s="12" t="s">
        <v>2106</v>
      </c>
      <c r="P78" s="12"/>
    </row>
    <row r="79" spans="1:16">
      <c r="A79" s="12" t="s">
        <v>1134</v>
      </c>
      <c r="B79" s="13" t="s">
        <v>273</v>
      </c>
      <c r="C79" s="12" t="s">
        <v>1135</v>
      </c>
      <c r="D79" s="12" t="s">
        <v>2107</v>
      </c>
      <c r="E79" s="12" t="s">
        <v>246</v>
      </c>
      <c r="F79" s="15" t="s">
        <v>243</v>
      </c>
      <c r="G79" s="12" t="s">
        <v>245</v>
      </c>
      <c r="H79" s="12" t="s">
        <v>1951</v>
      </c>
      <c r="I79" s="12"/>
      <c r="J79" s="12" t="s">
        <v>2108</v>
      </c>
      <c r="K79" s="12" t="s">
        <v>1923</v>
      </c>
      <c r="L79" s="12"/>
      <c r="M79" s="12" t="s">
        <v>1923</v>
      </c>
      <c r="N79" s="12"/>
      <c r="O79" s="12" t="s">
        <v>1923</v>
      </c>
      <c r="P79" s="12"/>
    </row>
    <row r="80" spans="1:16">
      <c r="A80" s="12" t="s">
        <v>1134</v>
      </c>
      <c r="B80" s="13" t="s">
        <v>273</v>
      </c>
      <c r="C80" s="12" t="s">
        <v>1135</v>
      </c>
      <c r="D80" s="12" t="s">
        <v>2109</v>
      </c>
      <c r="E80" s="12" t="s">
        <v>246</v>
      </c>
      <c r="F80" s="15" t="s">
        <v>243</v>
      </c>
      <c r="G80" s="12" t="s">
        <v>245</v>
      </c>
      <c r="H80" s="12" t="s">
        <v>1951</v>
      </c>
      <c r="I80" s="12"/>
      <c r="J80" s="12" t="s">
        <v>2110</v>
      </c>
      <c r="K80" s="12" t="s">
        <v>1923</v>
      </c>
      <c r="L80" s="12"/>
      <c r="M80" s="12" t="s">
        <v>1923</v>
      </c>
      <c r="N80" s="12"/>
      <c r="O80" s="12" t="s">
        <v>1923</v>
      </c>
      <c r="P80" s="12"/>
    </row>
    <row r="81" spans="1:16">
      <c r="A81" s="12" t="s">
        <v>1134</v>
      </c>
      <c r="B81" s="16" t="s">
        <v>242</v>
      </c>
      <c r="C81" s="12" t="s">
        <v>2111</v>
      </c>
      <c r="D81" s="12" t="s">
        <v>2112</v>
      </c>
      <c r="E81" s="12" t="s">
        <v>537</v>
      </c>
      <c r="F81" s="16" t="s">
        <v>274</v>
      </c>
      <c r="G81" s="12" t="s">
        <v>1100</v>
      </c>
      <c r="H81" s="12" t="s">
        <v>1944</v>
      </c>
      <c r="I81" s="12" t="s">
        <v>1937</v>
      </c>
      <c r="J81" s="12" t="s">
        <v>2113</v>
      </c>
      <c r="K81" s="12" t="s">
        <v>2114</v>
      </c>
      <c r="L81" s="12" t="s">
        <v>2113</v>
      </c>
      <c r="M81" s="12" t="s">
        <v>2115</v>
      </c>
      <c r="N81" s="12" t="s">
        <v>2116</v>
      </c>
      <c r="O81" s="12" t="s">
        <v>2117</v>
      </c>
      <c r="P81" s="12" t="s">
        <v>2118</v>
      </c>
    </row>
    <row r="82" spans="1:16">
      <c r="A82" s="12" t="s">
        <v>989</v>
      </c>
      <c r="B82" s="16" t="s">
        <v>242</v>
      </c>
      <c r="C82" s="12" t="s">
        <v>2119</v>
      </c>
      <c r="D82" s="12" t="s">
        <v>991</v>
      </c>
      <c r="E82" s="12" t="s">
        <v>306</v>
      </c>
      <c r="F82" s="16" t="s">
        <v>274</v>
      </c>
      <c r="G82" s="12" t="s">
        <v>245</v>
      </c>
      <c r="H82" s="12" t="s">
        <v>1944</v>
      </c>
      <c r="I82" s="12" t="s">
        <v>2120</v>
      </c>
      <c r="J82" s="12" t="s">
        <v>992</v>
      </c>
      <c r="K82" s="12" t="s">
        <v>2121</v>
      </c>
      <c r="L82" s="12" t="s">
        <v>2122</v>
      </c>
      <c r="M82" s="12" t="s">
        <v>2121</v>
      </c>
      <c r="N82" s="12"/>
      <c r="O82" s="12" t="s">
        <v>1923</v>
      </c>
      <c r="P82" s="12"/>
    </row>
    <row r="83" spans="1:16">
      <c r="A83" s="12" t="s">
        <v>545</v>
      </c>
      <c r="B83" s="13" t="s">
        <v>273</v>
      </c>
      <c r="C83" s="12" t="s">
        <v>2123</v>
      </c>
      <c r="D83" s="12" t="s">
        <v>2063</v>
      </c>
      <c r="E83" s="12" t="s">
        <v>1117</v>
      </c>
      <c r="F83" s="16" t="s">
        <v>274</v>
      </c>
      <c r="G83" s="12" t="s">
        <v>305</v>
      </c>
      <c r="H83" s="12" t="s">
        <v>1951</v>
      </c>
      <c r="I83" s="12" t="s">
        <v>199</v>
      </c>
      <c r="J83" s="12" t="s">
        <v>2064</v>
      </c>
      <c r="K83" s="12" t="s">
        <v>2064</v>
      </c>
      <c r="L83" s="12"/>
      <c r="M83" s="12" t="s">
        <v>1923</v>
      </c>
      <c r="N83" s="12"/>
      <c r="O83" s="12" t="s">
        <v>1923</v>
      </c>
      <c r="P83" s="12"/>
    </row>
    <row r="84" spans="1:16">
      <c r="A84" s="12" t="s">
        <v>545</v>
      </c>
      <c r="B84" s="13" t="s">
        <v>273</v>
      </c>
      <c r="C84" s="12" t="s">
        <v>2123</v>
      </c>
      <c r="D84" s="12" t="s">
        <v>2124</v>
      </c>
      <c r="E84" s="12" t="s">
        <v>246</v>
      </c>
      <c r="F84" s="15" t="s">
        <v>243</v>
      </c>
      <c r="G84" s="12" t="s">
        <v>245</v>
      </c>
      <c r="H84" s="12" t="s">
        <v>1951</v>
      </c>
      <c r="I84" s="12"/>
      <c r="J84" s="12" t="s">
        <v>2125</v>
      </c>
      <c r="K84" s="12" t="s">
        <v>1923</v>
      </c>
      <c r="L84" s="12"/>
      <c r="M84" s="12" t="s">
        <v>1923</v>
      </c>
      <c r="N84" s="12"/>
      <c r="O84" s="12" t="s">
        <v>1923</v>
      </c>
      <c r="P84" s="12"/>
    </row>
    <row r="85" spans="1:16">
      <c r="A85" s="12" t="s">
        <v>545</v>
      </c>
      <c r="B85" s="13" t="s">
        <v>273</v>
      </c>
      <c r="C85" s="12" t="s">
        <v>2123</v>
      </c>
      <c r="D85" s="12" t="s">
        <v>2126</v>
      </c>
      <c r="E85" s="12" t="s">
        <v>246</v>
      </c>
      <c r="F85" s="15" t="s">
        <v>243</v>
      </c>
      <c r="G85" s="12" t="s">
        <v>245</v>
      </c>
      <c r="H85" s="12" t="s">
        <v>1951</v>
      </c>
      <c r="I85" s="12"/>
      <c r="J85" s="12" t="s">
        <v>2002</v>
      </c>
      <c r="K85" s="12" t="s">
        <v>1923</v>
      </c>
      <c r="L85" s="12"/>
      <c r="M85" s="12" t="s">
        <v>1923</v>
      </c>
      <c r="N85" s="12"/>
      <c r="O85" s="12" t="s">
        <v>1923</v>
      </c>
      <c r="P85" s="12"/>
    </row>
    <row r="86" spans="1:16">
      <c r="A86" s="12" t="s">
        <v>545</v>
      </c>
      <c r="B86" s="13" t="s">
        <v>273</v>
      </c>
      <c r="C86" s="12" t="s">
        <v>2123</v>
      </c>
      <c r="D86" s="12" t="s">
        <v>1960</v>
      </c>
      <c r="E86" s="12" t="s">
        <v>246</v>
      </c>
      <c r="F86" s="15" t="s">
        <v>243</v>
      </c>
      <c r="G86" s="12" t="s">
        <v>245</v>
      </c>
      <c r="H86" s="12" t="s">
        <v>1951</v>
      </c>
      <c r="I86" s="12"/>
      <c r="J86" s="12" t="s">
        <v>2072</v>
      </c>
      <c r="K86" s="12" t="s">
        <v>1923</v>
      </c>
      <c r="L86" s="12"/>
      <c r="M86" s="12" t="s">
        <v>1923</v>
      </c>
      <c r="N86" s="12"/>
      <c r="O86" s="12" t="s">
        <v>1923</v>
      </c>
      <c r="P86" s="12"/>
    </row>
    <row r="87" spans="1:16">
      <c r="A87" s="12" t="s">
        <v>545</v>
      </c>
      <c r="B87" s="13" t="s">
        <v>273</v>
      </c>
      <c r="C87" s="12" t="s">
        <v>2123</v>
      </c>
      <c r="D87" s="12" t="s">
        <v>2107</v>
      </c>
      <c r="E87" s="12" t="s">
        <v>246</v>
      </c>
      <c r="F87" s="15" t="s">
        <v>243</v>
      </c>
      <c r="G87" s="12" t="s">
        <v>245</v>
      </c>
      <c r="H87" s="12" t="s">
        <v>1951</v>
      </c>
      <c r="I87" s="12"/>
      <c r="J87" s="12" t="s">
        <v>2127</v>
      </c>
      <c r="K87" s="12" t="s">
        <v>1923</v>
      </c>
      <c r="L87" s="12"/>
      <c r="M87" s="12" t="s">
        <v>1923</v>
      </c>
      <c r="N87" s="12"/>
      <c r="O87" s="12" t="s">
        <v>1923</v>
      </c>
      <c r="P87" s="12"/>
    </row>
    <row r="88" spans="1:16">
      <c r="A88" s="12" t="s">
        <v>545</v>
      </c>
      <c r="B88" s="13" t="s">
        <v>273</v>
      </c>
      <c r="C88" s="12" t="s">
        <v>2123</v>
      </c>
      <c r="D88" s="12" t="s">
        <v>2128</v>
      </c>
      <c r="E88" s="12" t="s">
        <v>246</v>
      </c>
      <c r="F88" s="15" t="s">
        <v>243</v>
      </c>
      <c r="G88" s="12" t="s">
        <v>245</v>
      </c>
      <c r="H88" s="12" t="s">
        <v>1951</v>
      </c>
      <c r="I88" s="12"/>
      <c r="J88" s="12" t="s">
        <v>1959</v>
      </c>
      <c r="K88" s="12" t="s">
        <v>1923</v>
      </c>
      <c r="L88" s="12"/>
      <c r="M88" s="12" t="s">
        <v>1923</v>
      </c>
      <c r="N88" s="12"/>
      <c r="O88" s="12" t="s">
        <v>1923</v>
      </c>
      <c r="P88" s="12"/>
    </row>
    <row r="89" spans="1:16">
      <c r="A89" s="12" t="s">
        <v>545</v>
      </c>
      <c r="B89" s="13" t="s">
        <v>273</v>
      </c>
      <c r="C89" s="12" t="s">
        <v>2123</v>
      </c>
      <c r="D89" s="12" t="s">
        <v>484</v>
      </c>
      <c r="E89" s="12" t="s">
        <v>246</v>
      </c>
      <c r="F89" s="15" t="s">
        <v>243</v>
      </c>
      <c r="G89" s="12" t="s">
        <v>245</v>
      </c>
      <c r="H89" s="12" t="s">
        <v>1951</v>
      </c>
      <c r="I89" s="12" t="s">
        <v>1937</v>
      </c>
      <c r="J89" s="12" t="s">
        <v>485</v>
      </c>
      <c r="K89" s="12" t="s">
        <v>1923</v>
      </c>
      <c r="L89" s="12"/>
      <c r="M89" s="12" t="s">
        <v>1923</v>
      </c>
      <c r="N89" s="12"/>
      <c r="O89" s="12" t="s">
        <v>1923</v>
      </c>
      <c r="P89" s="12"/>
    </row>
    <row r="90" spans="1:16">
      <c r="A90" s="12" t="s">
        <v>752</v>
      </c>
      <c r="B90" s="13" t="s">
        <v>273</v>
      </c>
      <c r="C90" s="12" t="s">
        <v>752</v>
      </c>
      <c r="D90" s="12" t="s">
        <v>1043</v>
      </c>
      <c r="E90" s="12" t="s">
        <v>537</v>
      </c>
      <c r="F90" s="16" t="s">
        <v>274</v>
      </c>
      <c r="G90" s="12" t="s">
        <v>305</v>
      </c>
      <c r="H90" s="12" t="s">
        <v>1951</v>
      </c>
      <c r="I90" s="12" t="s">
        <v>1937</v>
      </c>
      <c r="J90" s="12" t="s">
        <v>1044</v>
      </c>
      <c r="K90" s="12" t="s">
        <v>1044</v>
      </c>
      <c r="L90" s="12" t="s">
        <v>1044</v>
      </c>
      <c r="M90" s="12" t="s">
        <v>1044</v>
      </c>
      <c r="N90" s="12" t="s">
        <v>2004</v>
      </c>
      <c r="O90" s="12" t="s">
        <v>1995</v>
      </c>
      <c r="P90" s="12"/>
    </row>
    <row r="91" spans="1:16">
      <c r="A91" s="12" t="s">
        <v>752</v>
      </c>
      <c r="B91" s="13" t="s">
        <v>273</v>
      </c>
      <c r="C91" s="12" t="s">
        <v>2129</v>
      </c>
      <c r="D91" s="12" t="s">
        <v>2008</v>
      </c>
      <c r="E91" s="12" t="s">
        <v>537</v>
      </c>
      <c r="F91" s="16" t="s">
        <v>274</v>
      </c>
      <c r="G91" s="12" t="s">
        <v>305</v>
      </c>
      <c r="H91" s="12" t="s">
        <v>1951</v>
      </c>
      <c r="I91" s="12" t="s">
        <v>1937</v>
      </c>
      <c r="J91" s="12" t="s">
        <v>2086</v>
      </c>
      <c r="K91" s="12" t="s">
        <v>2086</v>
      </c>
      <c r="L91" s="12" t="s">
        <v>2105</v>
      </c>
      <c r="M91" s="12" t="s">
        <v>1923</v>
      </c>
      <c r="N91" s="12"/>
      <c r="O91" s="12" t="s">
        <v>2106</v>
      </c>
      <c r="P91" s="12"/>
    </row>
    <row r="92" spans="1:16">
      <c r="A92" s="12" t="s">
        <v>1146</v>
      </c>
      <c r="B92" s="16" t="s">
        <v>483</v>
      </c>
      <c r="C92" s="12" t="s">
        <v>2130</v>
      </c>
      <c r="D92" s="12" t="s">
        <v>1043</v>
      </c>
      <c r="E92" s="12" t="s">
        <v>537</v>
      </c>
      <c r="F92" s="16" t="s">
        <v>274</v>
      </c>
      <c r="G92" s="12" t="s">
        <v>305</v>
      </c>
      <c r="H92" s="12" t="s">
        <v>1951</v>
      </c>
      <c r="I92" s="12" t="s">
        <v>1937</v>
      </c>
      <c r="J92" s="12" t="s">
        <v>1044</v>
      </c>
      <c r="K92" s="12" t="s">
        <v>1044</v>
      </c>
      <c r="L92" s="12" t="s">
        <v>1044</v>
      </c>
      <c r="M92" s="12" t="s">
        <v>1044</v>
      </c>
      <c r="N92" s="12" t="s">
        <v>2004</v>
      </c>
      <c r="O92" s="12" t="s">
        <v>1995</v>
      </c>
      <c r="P92" s="12"/>
    </row>
    <row r="93" spans="1:16">
      <c r="A93" s="12" t="s">
        <v>388</v>
      </c>
      <c r="B93" s="13" t="s">
        <v>273</v>
      </c>
      <c r="C93" s="12" t="s">
        <v>388</v>
      </c>
      <c r="D93" s="12" t="s">
        <v>2131</v>
      </c>
      <c r="E93" s="12" t="s">
        <v>306</v>
      </c>
      <c r="F93" s="16" t="s">
        <v>274</v>
      </c>
      <c r="G93" s="12" t="s">
        <v>2023</v>
      </c>
      <c r="H93" s="12" t="s">
        <v>1951</v>
      </c>
      <c r="I93" s="12" t="s">
        <v>2120</v>
      </c>
      <c r="J93" s="12" t="s">
        <v>2132</v>
      </c>
      <c r="K93" s="12" t="s">
        <v>2133</v>
      </c>
      <c r="L93" s="12" t="s">
        <v>2134</v>
      </c>
      <c r="M93" s="12" t="s">
        <v>1923</v>
      </c>
      <c r="N93" s="12"/>
      <c r="O93" s="12" t="s">
        <v>1923</v>
      </c>
      <c r="P93" s="12"/>
    </row>
    <row r="94" spans="1:16">
      <c r="A94" s="12" t="s">
        <v>388</v>
      </c>
      <c r="B94" s="13" t="s">
        <v>273</v>
      </c>
      <c r="C94" s="12" t="s">
        <v>388</v>
      </c>
      <c r="D94" s="12" t="s">
        <v>2135</v>
      </c>
      <c r="E94" s="12" t="s">
        <v>246</v>
      </c>
      <c r="F94" s="15" t="s">
        <v>243</v>
      </c>
      <c r="G94" s="12" t="s">
        <v>245</v>
      </c>
      <c r="H94" s="12" t="s">
        <v>1951</v>
      </c>
      <c r="I94" s="12" t="s">
        <v>2120</v>
      </c>
      <c r="J94" s="12" t="s">
        <v>2026</v>
      </c>
      <c r="K94" s="12" t="s">
        <v>1923</v>
      </c>
      <c r="L94" s="12"/>
      <c r="M94" s="12" t="s">
        <v>1923</v>
      </c>
      <c r="N94" s="12"/>
      <c r="O94" s="12" t="s">
        <v>1923</v>
      </c>
      <c r="P94" s="12"/>
    </row>
    <row r="95" spans="1:16">
      <c r="A95" s="12" t="s">
        <v>388</v>
      </c>
      <c r="B95" s="13" t="s">
        <v>273</v>
      </c>
      <c r="C95" s="12" t="s">
        <v>388</v>
      </c>
      <c r="D95" s="12" t="s">
        <v>2131</v>
      </c>
      <c r="E95" s="12" t="s">
        <v>306</v>
      </c>
      <c r="F95" s="16" t="s">
        <v>274</v>
      </c>
      <c r="G95" s="12" t="s">
        <v>2136</v>
      </c>
      <c r="H95" s="12" t="s">
        <v>1951</v>
      </c>
      <c r="I95" s="12" t="s">
        <v>2120</v>
      </c>
      <c r="J95" s="12" t="s">
        <v>2132</v>
      </c>
      <c r="K95" s="12" t="s">
        <v>2133</v>
      </c>
      <c r="L95" s="12" t="s">
        <v>2134</v>
      </c>
      <c r="M95" s="12" t="s">
        <v>1923</v>
      </c>
      <c r="N95" s="12"/>
      <c r="O95" s="12" t="s">
        <v>1923</v>
      </c>
      <c r="P95" s="12"/>
    </row>
    <row r="96" spans="1:16">
      <c r="A96" s="12" t="s">
        <v>388</v>
      </c>
      <c r="B96" s="16" t="s">
        <v>242</v>
      </c>
      <c r="C96" s="12" t="s">
        <v>2137</v>
      </c>
      <c r="D96" s="12" t="s">
        <v>2032</v>
      </c>
      <c r="E96" s="12" t="s">
        <v>1970</v>
      </c>
      <c r="F96" s="16" t="s">
        <v>274</v>
      </c>
      <c r="G96" s="12" t="s">
        <v>305</v>
      </c>
      <c r="H96" s="12" t="s">
        <v>1951</v>
      </c>
      <c r="I96" s="12" t="s">
        <v>1937</v>
      </c>
      <c r="J96" s="12" t="s">
        <v>2138</v>
      </c>
      <c r="K96" s="12" t="s">
        <v>2139</v>
      </c>
      <c r="L96" s="12"/>
      <c r="M96" s="12" t="s">
        <v>1923</v>
      </c>
      <c r="N96" s="12"/>
      <c r="O96" s="12" t="s">
        <v>1923</v>
      </c>
      <c r="P96" s="12"/>
    </row>
    <row r="97" spans="1:16">
      <c r="A97" s="12" t="s">
        <v>388</v>
      </c>
      <c r="B97" s="16" t="s">
        <v>242</v>
      </c>
      <c r="C97" s="12" t="s">
        <v>2137</v>
      </c>
      <c r="D97" s="12" t="s">
        <v>2140</v>
      </c>
      <c r="E97" s="12" t="s">
        <v>1970</v>
      </c>
      <c r="F97" s="16" t="s">
        <v>274</v>
      </c>
      <c r="G97" s="12" t="s">
        <v>305</v>
      </c>
      <c r="H97" s="12" t="s">
        <v>1951</v>
      </c>
      <c r="I97" s="12" t="s">
        <v>1937</v>
      </c>
      <c r="J97" s="12" t="s">
        <v>2141</v>
      </c>
      <c r="K97" s="12" t="s">
        <v>2141</v>
      </c>
      <c r="L97" s="12"/>
      <c r="M97" s="12" t="s">
        <v>1923</v>
      </c>
      <c r="N97" s="12"/>
      <c r="O97" s="12" t="s">
        <v>1923</v>
      </c>
      <c r="P97" s="12"/>
    </row>
    <row r="98" spans="1:16">
      <c r="A98" s="12" t="s">
        <v>388</v>
      </c>
      <c r="B98" s="16" t="s">
        <v>242</v>
      </c>
      <c r="C98" s="12" t="s">
        <v>2137</v>
      </c>
      <c r="D98" s="12" t="s">
        <v>1969</v>
      </c>
      <c r="E98" s="12" t="s">
        <v>1970</v>
      </c>
      <c r="F98" s="16" t="s">
        <v>274</v>
      </c>
      <c r="G98" s="12" t="s">
        <v>305</v>
      </c>
      <c r="H98" s="12" t="s">
        <v>1951</v>
      </c>
      <c r="I98" s="12" t="s">
        <v>1937</v>
      </c>
      <c r="J98" s="12" t="s">
        <v>2138</v>
      </c>
      <c r="K98" s="12" t="s">
        <v>2139</v>
      </c>
      <c r="L98" s="12"/>
      <c r="M98" s="12" t="s">
        <v>1923</v>
      </c>
      <c r="N98" s="12"/>
      <c r="O98" s="12" t="s">
        <v>1923</v>
      </c>
      <c r="P98" s="12"/>
    </row>
    <row r="99" spans="1:16">
      <c r="A99" s="12" t="s">
        <v>388</v>
      </c>
      <c r="B99" s="16" t="s">
        <v>242</v>
      </c>
      <c r="C99" s="12" t="s">
        <v>2142</v>
      </c>
      <c r="D99" s="12" t="s">
        <v>2143</v>
      </c>
      <c r="E99" s="12" t="s">
        <v>1970</v>
      </c>
      <c r="F99" s="16" t="s">
        <v>274</v>
      </c>
      <c r="G99" s="12" t="s">
        <v>305</v>
      </c>
      <c r="H99" s="12" t="s">
        <v>1919</v>
      </c>
      <c r="I99" s="12" t="s">
        <v>2144</v>
      </c>
      <c r="J99" s="12" t="s">
        <v>2145</v>
      </c>
      <c r="K99" s="12" t="s">
        <v>2146</v>
      </c>
      <c r="L99" s="12"/>
      <c r="M99" s="12" t="s">
        <v>2145</v>
      </c>
      <c r="N99" s="12" t="s">
        <v>2147</v>
      </c>
      <c r="O99" s="12" t="s">
        <v>1923</v>
      </c>
      <c r="P99" s="12"/>
    </row>
    <row r="100" spans="1:16">
      <c r="A100" s="12" t="s">
        <v>1210</v>
      </c>
      <c r="B100" s="13" t="s">
        <v>273</v>
      </c>
      <c r="C100" s="12" t="s">
        <v>2148</v>
      </c>
      <c r="D100" s="12" t="s">
        <v>1043</v>
      </c>
      <c r="E100" s="12" t="s">
        <v>537</v>
      </c>
      <c r="F100" s="16" t="s">
        <v>274</v>
      </c>
      <c r="G100" s="12" t="s">
        <v>305</v>
      </c>
      <c r="H100" s="12" t="s">
        <v>1951</v>
      </c>
      <c r="I100" s="12" t="s">
        <v>1937</v>
      </c>
      <c r="J100" s="12" t="s">
        <v>1044</v>
      </c>
      <c r="K100" s="12" t="s">
        <v>1044</v>
      </c>
      <c r="L100" s="12" t="s">
        <v>1044</v>
      </c>
      <c r="M100" s="12" t="s">
        <v>1044</v>
      </c>
      <c r="N100" s="12" t="s">
        <v>2004</v>
      </c>
      <c r="O100" s="12" t="s">
        <v>1995</v>
      </c>
      <c r="P100" s="12"/>
    </row>
    <row r="101" spans="1:16">
      <c r="A101" s="12" t="s">
        <v>1210</v>
      </c>
      <c r="B101" s="16" t="s">
        <v>242</v>
      </c>
      <c r="C101" s="12" t="s">
        <v>2149</v>
      </c>
      <c r="D101" s="12" t="s">
        <v>2008</v>
      </c>
      <c r="E101" s="12" t="s">
        <v>537</v>
      </c>
      <c r="F101" s="16" t="s">
        <v>274</v>
      </c>
      <c r="G101" s="12" t="s">
        <v>305</v>
      </c>
      <c r="H101" s="12" t="s">
        <v>1951</v>
      </c>
      <c r="I101" s="12" t="s">
        <v>1937</v>
      </c>
      <c r="J101" s="12" t="s">
        <v>2086</v>
      </c>
      <c r="K101" s="12" t="s">
        <v>2086</v>
      </c>
      <c r="L101" s="12" t="s">
        <v>2105</v>
      </c>
      <c r="M101" s="12" t="s">
        <v>1923</v>
      </c>
      <c r="N101" s="12"/>
      <c r="O101" s="12" t="s">
        <v>2106</v>
      </c>
      <c r="P101" s="12"/>
    </row>
    <row r="102" spans="1:16">
      <c r="A102" s="12" t="s">
        <v>824</v>
      </c>
      <c r="B102" s="16" t="s">
        <v>242</v>
      </c>
      <c r="C102" s="12" t="s">
        <v>2150</v>
      </c>
      <c r="D102" s="12" t="s">
        <v>2151</v>
      </c>
      <c r="E102" s="12" t="s">
        <v>246</v>
      </c>
      <c r="F102" s="15" t="s">
        <v>243</v>
      </c>
      <c r="G102" s="12" t="s">
        <v>245</v>
      </c>
      <c r="H102" s="12" t="s">
        <v>1944</v>
      </c>
      <c r="I102" s="12"/>
      <c r="J102" s="12" t="s">
        <v>2152</v>
      </c>
      <c r="K102" s="12" t="s">
        <v>1923</v>
      </c>
      <c r="L102" s="12"/>
      <c r="M102" s="12" t="s">
        <v>1923</v>
      </c>
      <c r="N102" s="12"/>
      <c r="O102" s="12" t="s">
        <v>1923</v>
      </c>
      <c r="P102" s="12"/>
    </row>
    <row r="103" spans="1:16">
      <c r="A103" s="12" t="s">
        <v>824</v>
      </c>
      <c r="B103" s="16" t="s">
        <v>242</v>
      </c>
      <c r="C103" s="12" t="s">
        <v>2153</v>
      </c>
      <c r="D103" s="12" t="s">
        <v>2154</v>
      </c>
      <c r="E103" s="12" t="s">
        <v>246</v>
      </c>
      <c r="F103" s="15" t="s">
        <v>243</v>
      </c>
      <c r="G103" s="12" t="s">
        <v>245</v>
      </c>
      <c r="H103" s="12" t="s">
        <v>1951</v>
      </c>
      <c r="I103" s="12"/>
      <c r="J103" s="12" t="s">
        <v>2155</v>
      </c>
      <c r="K103" s="12" t="s">
        <v>1923</v>
      </c>
      <c r="L103" s="12"/>
      <c r="M103" s="12" t="s">
        <v>1923</v>
      </c>
      <c r="N103" s="12"/>
      <c r="O103" s="12" t="s">
        <v>1923</v>
      </c>
      <c r="P103" s="12"/>
    </row>
    <row r="104" spans="1:16">
      <c r="A104" s="12" t="s">
        <v>647</v>
      </c>
      <c r="B104" s="13" t="s">
        <v>273</v>
      </c>
      <c r="C104" s="12" t="s">
        <v>2150</v>
      </c>
      <c r="D104" s="12" t="s">
        <v>2151</v>
      </c>
      <c r="E104" s="12" t="s">
        <v>246</v>
      </c>
      <c r="F104" s="15" t="s">
        <v>243</v>
      </c>
      <c r="G104" s="12" t="s">
        <v>245</v>
      </c>
      <c r="H104" s="12" t="s">
        <v>1944</v>
      </c>
      <c r="I104" s="12"/>
      <c r="J104" s="12" t="s">
        <v>2152</v>
      </c>
      <c r="K104" s="12" t="s">
        <v>1923</v>
      </c>
      <c r="L104" s="12"/>
      <c r="M104" s="12" t="s">
        <v>1923</v>
      </c>
      <c r="N104" s="12"/>
      <c r="O104" s="12" t="s">
        <v>1923</v>
      </c>
      <c r="P104" s="12"/>
    </row>
    <row r="105" spans="1:16">
      <c r="A105" s="12" t="s">
        <v>647</v>
      </c>
      <c r="B105" s="16" t="s">
        <v>242</v>
      </c>
      <c r="C105" s="12" t="s">
        <v>2156</v>
      </c>
      <c r="D105" s="12" t="s">
        <v>2157</v>
      </c>
      <c r="E105" s="12" t="s">
        <v>246</v>
      </c>
      <c r="F105" s="15" t="s">
        <v>243</v>
      </c>
      <c r="G105" s="12" t="s">
        <v>245</v>
      </c>
      <c r="H105" s="12" t="s">
        <v>1944</v>
      </c>
      <c r="I105" s="12"/>
      <c r="J105" s="12" t="s">
        <v>2158</v>
      </c>
      <c r="K105" s="12" t="s">
        <v>1923</v>
      </c>
      <c r="L105" s="12"/>
      <c r="M105" s="12" t="s">
        <v>1923</v>
      </c>
      <c r="N105" s="12"/>
      <c r="O105" s="12" t="s">
        <v>1923</v>
      </c>
      <c r="P105" s="12"/>
    </row>
    <row r="106" spans="1:16">
      <c r="A106" s="12" t="s">
        <v>647</v>
      </c>
      <c r="B106" s="16" t="s">
        <v>242</v>
      </c>
      <c r="C106" s="12" t="s">
        <v>2153</v>
      </c>
      <c r="D106" s="12" t="s">
        <v>2154</v>
      </c>
      <c r="E106" s="12" t="s">
        <v>246</v>
      </c>
      <c r="F106" s="15" t="s">
        <v>243</v>
      </c>
      <c r="G106" s="12" t="s">
        <v>245</v>
      </c>
      <c r="H106" s="12" t="s">
        <v>1951</v>
      </c>
      <c r="I106" s="12"/>
      <c r="J106" s="12" t="s">
        <v>2155</v>
      </c>
      <c r="K106" s="12" t="s">
        <v>1923</v>
      </c>
      <c r="L106" s="12"/>
      <c r="M106" s="12" t="s">
        <v>1923</v>
      </c>
      <c r="N106" s="12"/>
      <c r="O106" s="12" t="s">
        <v>1923</v>
      </c>
      <c r="P106" s="12"/>
    </row>
    <row r="107" spans="1:16">
      <c r="A107" s="12" t="s">
        <v>481</v>
      </c>
      <c r="B107" s="16" t="s">
        <v>483</v>
      </c>
      <c r="C107" s="12" t="s">
        <v>2159</v>
      </c>
      <c r="D107" s="12" t="s">
        <v>484</v>
      </c>
      <c r="E107" s="12" t="s">
        <v>246</v>
      </c>
      <c r="F107" s="15" t="s">
        <v>243</v>
      </c>
      <c r="G107" s="12" t="s">
        <v>245</v>
      </c>
      <c r="H107" s="12" t="s">
        <v>1951</v>
      </c>
      <c r="I107" s="12" t="s">
        <v>1937</v>
      </c>
      <c r="J107" s="12" t="s">
        <v>485</v>
      </c>
      <c r="K107" s="12" t="s">
        <v>1923</v>
      </c>
      <c r="L107" s="12"/>
      <c r="M107" s="12" t="s">
        <v>1923</v>
      </c>
      <c r="N107" s="12"/>
      <c r="O107" s="12" t="s">
        <v>1923</v>
      </c>
      <c r="P107" s="12"/>
    </row>
    <row r="108" spans="1:16">
      <c r="A108" s="12" t="s">
        <v>491</v>
      </c>
      <c r="B108" s="16" t="s">
        <v>483</v>
      </c>
      <c r="C108" s="12" t="s">
        <v>2160</v>
      </c>
      <c r="D108" s="12" t="s">
        <v>493</v>
      </c>
      <c r="E108" s="12" t="s">
        <v>306</v>
      </c>
      <c r="F108" s="16" t="s">
        <v>274</v>
      </c>
      <c r="G108" s="12" t="s">
        <v>1100</v>
      </c>
      <c r="H108" s="12" t="s">
        <v>1951</v>
      </c>
      <c r="I108" s="12" t="s">
        <v>1937</v>
      </c>
      <c r="J108" s="12" t="s">
        <v>2161</v>
      </c>
      <c r="K108" s="12" t="s">
        <v>2161</v>
      </c>
      <c r="L108" s="12" t="s">
        <v>2161</v>
      </c>
      <c r="M108" s="12" t="s">
        <v>1923</v>
      </c>
      <c r="N108" s="12"/>
      <c r="O108" s="12" t="s">
        <v>1923</v>
      </c>
      <c r="P108" s="12"/>
    </row>
    <row r="109" spans="1:16">
      <c r="A109" s="12" t="s">
        <v>491</v>
      </c>
      <c r="B109" s="16" t="s">
        <v>483</v>
      </c>
      <c r="C109" s="12" t="s">
        <v>2160</v>
      </c>
      <c r="D109" s="12" t="s">
        <v>493</v>
      </c>
      <c r="E109" s="12" t="s">
        <v>246</v>
      </c>
      <c r="F109" s="15" t="s">
        <v>243</v>
      </c>
      <c r="G109" s="12" t="s">
        <v>245</v>
      </c>
      <c r="H109" s="12" t="s">
        <v>1951</v>
      </c>
      <c r="I109" s="12"/>
      <c r="J109" s="12" t="s">
        <v>2162</v>
      </c>
      <c r="K109" s="12" t="s">
        <v>1923</v>
      </c>
      <c r="L109" s="12"/>
      <c r="M109" s="12" t="s">
        <v>1923</v>
      </c>
      <c r="N109" s="12"/>
      <c r="O109" s="12" t="s">
        <v>1923</v>
      </c>
      <c r="P109" s="12"/>
    </row>
    <row r="110" spans="1:16">
      <c r="A110" s="12" t="s">
        <v>1158</v>
      </c>
      <c r="B110" s="13" t="s">
        <v>273</v>
      </c>
      <c r="C110" s="12" t="s">
        <v>1158</v>
      </c>
      <c r="D110" s="12" t="s">
        <v>2163</v>
      </c>
      <c r="E110" s="12" t="s">
        <v>1970</v>
      </c>
      <c r="F110" s="16" t="s">
        <v>274</v>
      </c>
      <c r="G110" s="12" t="s">
        <v>245</v>
      </c>
      <c r="H110" s="12" t="s">
        <v>1951</v>
      </c>
      <c r="I110" s="12" t="s">
        <v>1937</v>
      </c>
      <c r="J110" s="12" t="s">
        <v>2164</v>
      </c>
      <c r="K110" s="12" t="s">
        <v>1923</v>
      </c>
      <c r="L110" s="12"/>
      <c r="M110" s="12" t="s">
        <v>2165</v>
      </c>
      <c r="N110" s="12"/>
      <c r="O110" s="12" t="s">
        <v>2033</v>
      </c>
      <c r="P110" s="12"/>
    </row>
    <row r="111" spans="1:16">
      <c r="A111" s="12" t="s">
        <v>1158</v>
      </c>
      <c r="B111" s="16" t="s">
        <v>242</v>
      </c>
      <c r="C111" s="12" t="s">
        <v>2166</v>
      </c>
      <c r="D111" s="12" t="s">
        <v>2008</v>
      </c>
      <c r="E111" s="12" t="s">
        <v>537</v>
      </c>
      <c r="F111" s="16" t="s">
        <v>274</v>
      </c>
      <c r="G111" s="12" t="s">
        <v>305</v>
      </c>
      <c r="H111" s="12" t="s">
        <v>1951</v>
      </c>
      <c r="I111" s="12" t="s">
        <v>1937</v>
      </c>
      <c r="J111" s="12" t="s">
        <v>2009</v>
      </c>
      <c r="K111" s="12" t="s">
        <v>2010</v>
      </c>
      <c r="L111" s="12"/>
      <c r="M111" s="12" t="s">
        <v>1923</v>
      </c>
      <c r="N111" s="12"/>
      <c r="O111" s="12" t="s">
        <v>1923</v>
      </c>
      <c r="P111" s="12"/>
    </row>
    <row r="112" spans="1:16">
      <c r="A112" s="12" t="s">
        <v>100</v>
      </c>
      <c r="B112" s="16" t="s">
        <v>242</v>
      </c>
      <c r="C112" s="12" t="s">
        <v>2167</v>
      </c>
      <c r="D112" s="12" t="s">
        <v>244</v>
      </c>
      <c r="E112" s="12" t="s">
        <v>246</v>
      </c>
      <c r="F112" s="15" t="s">
        <v>243</v>
      </c>
      <c r="G112" s="12" t="s">
        <v>245</v>
      </c>
      <c r="H112" s="12" t="s">
        <v>1951</v>
      </c>
      <c r="I112" s="12" t="s">
        <v>199</v>
      </c>
      <c r="J112" s="12" t="s">
        <v>247</v>
      </c>
      <c r="K112" s="12" t="s">
        <v>1923</v>
      </c>
      <c r="L112" s="12"/>
      <c r="M112" s="12" t="s">
        <v>1923</v>
      </c>
      <c r="N112" s="12"/>
      <c r="O112" s="12" t="s">
        <v>1923</v>
      </c>
      <c r="P112" s="12"/>
    </row>
    <row r="113" spans="1:16">
      <c r="A113" s="12" t="s">
        <v>118</v>
      </c>
      <c r="B113" s="13" t="s">
        <v>273</v>
      </c>
      <c r="C113" s="12" t="s">
        <v>2168</v>
      </c>
      <c r="D113" s="12" t="s">
        <v>484</v>
      </c>
      <c r="E113" s="12" t="s">
        <v>246</v>
      </c>
      <c r="F113" s="15" t="s">
        <v>243</v>
      </c>
      <c r="G113" s="12" t="s">
        <v>245</v>
      </c>
      <c r="H113" s="12" t="s">
        <v>1951</v>
      </c>
      <c r="I113" s="12" t="s">
        <v>1937</v>
      </c>
      <c r="J113" s="12" t="s">
        <v>485</v>
      </c>
      <c r="K113" s="12" t="s">
        <v>1923</v>
      </c>
      <c r="L113" s="12"/>
      <c r="M113" s="12" t="s">
        <v>1923</v>
      </c>
      <c r="N113" s="12"/>
      <c r="O113" s="12" t="s">
        <v>1923</v>
      </c>
      <c r="P113" s="12"/>
    </row>
    <row r="114" spans="1:16">
      <c r="A114" s="12" t="s">
        <v>118</v>
      </c>
      <c r="B114" s="16" t="s">
        <v>242</v>
      </c>
      <c r="C114" s="12" t="s">
        <v>2169</v>
      </c>
      <c r="D114" s="12" t="s">
        <v>2170</v>
      </c>
      <c r="E114" s="12" t="s">
        <v>2171</v>
      </c>
      <c r="F114" s="16" t="s">
        <v>274</v>
      </c>
      <c r="G114" s="12" t="s">
        <v>1926</v>
      </c>
      <c r="H114" s="12" t="s">
        <v>1919</v>
      </c>
      <c r="I114" s="12" t="s">
        <v>1937</v>
      </c>
      <c r="J114" s="12" t="s">
        <v>2172</v>
      </c>
      <c r="K114" s="12" t="s">
        <v>2172</v>
      </c>
      <c r="L114" s="12" t="s">
        <v>2172</v>
      </c>
      <c r="M114" s="12" t="s">
        <v>2173</v>
      </c>
      <c r="N114" s="12"/>
      <c r="O114" s="12" t="s">
        <v>1923</v>
      </c>
      <c r="P114" s="12"/>
    </row>
  </sheetData>
  <autoFilter ref="A1:P11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28.7109375" customWidth="1"/>
    <col min="3" max="3" width="44.7109375" customWidth="1"/>
    <col min="4" max="4" width="18.7109375" customWidth="1"/>
    <col min="5" max="5" width="80.7109375" customWidth="1"/>
  </cols>
  <sheetData>
    <row r="1" spans="1:5" ht="34" customHeight="1">
      <c r="A1" s="3" t="s">
        <v>2174</v>
      </c>
      <c r="B1" s="3" t="s">
        <v>2175</v>
      </c>
      <c r="C1" s="3" t="s">
        <v>2176</v>
      </c>
      <c r="D1" s="3" t="s">
        <v>2177</v>
      </c>
      <c r="E1" s="3" t="s">
        <v>2178</v>
      </c>
    </row>
    <row r="2" spans="1:5">
      <c r="A2" s="12" t="s">
        <v>2179</v>
      </c>
      <c r="B2" s="12" t="s">
        <v>2180</v>
      </c>
      <c r="C2" s="12" t="s">
        <v>1222</v>
      </c>
      <c r="D2" s="15" t="s">
        <v>174</v>
      </c>
      <c r="E2" s="12" t="s">
        <v>2181</v>
      </c>
    </row>
    <row r="3" spans="1:5">
      <c r="A3" s="12" t="s">
        <v>2179</v>
      </c>
      <c r="B3" s="12" t="s">
        <v>2180</v>
      </c>
      <c r="C3" s="12" t="s">
        <v>1194</v>
      </c>
      <c r="D3" s="15" t="s">
        <v>174</v>
      </c>
      <c r="E3" s="12" t="s">
        <v>2181</v>
      </c>
    </row>
    <row r="4" spans="1:5">
      <c r="A4" s="12" t="s">
        <v>2179</v>
      </c>
      <c r="B4" s="12" t="s">
        <v>2180</v>
      </c>
      <c r="C4" s="12" t="s">
        <v>1134</v>
      </c>
      <c r="D4" s="15" t="s">
        <v>174</v>
      </c>
      <c r="E4" s="12" t="s">
        <v>2181</v>
      </c>
    </row>
    <row r="5" spans="1:5">
      <c r="A5" s="12" t="s">
        <v>2179</v>
      </c>
      <c r="B5" s="12" t="s">
        <v>2180</v>
      </c>
      <c r="C5" s="12" t="s">
        <v>118</v>
      </c>
      <c r="D5" s="15" t="s">
        <v>174</v>
      </c>
      <c r="E5" s="12" t="s">
        <v>2182</v>
      </c>
    </row>
    <row r="6" spans="1:5">
      <c r="A6" s="12" t="s">
        <v>2179</v>
      </c>
      <c r="B6" s="12" t="s">
        <v>2180</v>
      </c>
      <c r="C6" s="12" t="s">
        <v>1031</v>
      </c>
      <c r="D6" s="15" t="s">
        <v>174</v>
      </c>
      <c r="E6" s="12" t="s">
        <v>2181</v>
      </c>
    </row>
    <row r="7" spans="1:5">
      <c r="A7" s="12" t="s">
        <v>2179</v>
      </c>
      <c r="B7" s="12" t="s">
        <v>2180</v>
      </c>
      <c r="C7" s="12" t="s">
        <v>1215</v>
      </c>
      <c r="D7" s="15" t="s">
        <v>174</v>
      </c>
      <c r="E7" s="12" t="s">
        <v>2181</v>
      </c>
    </row>
    <row r="8" spans="1:5">
      <c r="A8" s="12" t="s">
        <v>2179</v>
      </c>
      <c r="B8" s="12" t="s">
        <v>2180</v>
      </c>
      <c r="C8" s="12" t="s">
        <v>639</v>
      </c>
      <c r="D8" s="15" t="s">
        <v>174</v>
      </c>
      <c r="E8" s="12" t="s">
        <v>2182</v>
      </c>
    </row>
    <row r="9" spans="1:5">
      <c r="A9" s="12" t="s">
        <v>2179</v>
      </c>
      <c r="B9" s="12" t="s">
        <v>2180</v>
      </c>
      <c r="C9" s="12" t="s">
        <v>2183</v>
      </c>
      <c r="D9" s="12" t="s">
        <v>180</v>
      </c>
      <c r="E9" s="12" t="s">
        <v>2184</v>
      </c>
    </row>
    <row r="10" spans="1:5">
      <c r="A10" s="12" t="s">
        <v>2179</v>
      </c>
      <c r="B10" s="12" t="s">
        <v>2180</v>
      </c>
      <c r="C10" s="12" t="s">
        <v>2185</v>
      </c>
      <c r="D10" s="12" t="s">
        <v>180</v>
      </c>
      <c r="E10" s="12" t="s">
        <v>2184</v>
      </c>
    </row>
    <row r="11" spans="1:5">
      <c r="A11" s="12" t="s">
        <v>2179</v>
      </c>
      <c r="B11" s="12" t="s">
        <v>2180</v>
      </c>
      <c r="C11" s="12" t="s">
        <v>2186</v>
      </c>
      <c r="D11" s="12" t="s">
        <v>180</v>
      </c>
      <c r="E11" s="12" t="s">
        <v>2184</v>
      </c>
    </row>
    <row r="12" spans="1:5">
      <c r="A12" s="12" t="s">
        <v>2179</v>
      </c>
      <c r="B12" s="12" t="s">
        <v>2180</v>
      </c>
      <c r="C12" s="12" t="s">
        <v>2187</v>
      </c>
      <c r="D12" s="12" t="s">
        <v>180</v>
      </c>
      <c r="E12" s="12" t="s">
        <v>2184</v>
      </c>
    </row>
    <row r="13" spans="1:5">
      <c r="A13" s="12" t="s">
        <v>2179</v>
      </c>
      <c r="B13" s="12" t="s">
        <v>2180</v>
      </c>
      <c r="C13" s="12" t="s">
        <v>2188</v>
      </c>
      <c r="D13" s="12" t="s">
        <v>180</v>
      </c>
      <c r="E13" s="12" t="s">
        <v>2184</v>
      </c>
    </row>
    <row r="14" spans="1:5">
      <c r="A14" s="12" t="s">
        <v>2179</v>
      </c>
      <c r="B14" s="12" t="s">
        <v>2180</v>
      </c>
      <c r="C14" s="12" t="s">
        <v>2189</v>
      </c>
      <c r="D14" s="12" t="s">
        <v>180</v>
      </c>
      <c r="E14" s="12" t="s">
        <v>2184</v>
      </c>
    </row>
    <row r="15" spans="1:5">
      <c r="A15" s="12" t="s">
        <v>2179</v>
      </c>
      <c r="B15" s="12" t="s">
        <v>2180</v>
      </c>
      <c r="C15" s="12" t="s">
        <v>2190</v>
      </c>
      <c r="D15" s="12" t="s">
        <v>180</v>
      </c>
      <c r="E15" s="12" t="s">
        <v>2184</v>
      </c>
    </row>
    <row r="16" spans="1:5">
      <c r="A16" s="12" t="s">
        <v>2179</v>
      </c>
      <c r="B16" s="12" t="s">
        <v>2191</v>
      </c>
      <c r="C16" s="12" t="s">
        <v>2192</v>
      </c>
      <c r="D16" s="12" t="s">
        <v>180</v>
      </c>
      <c r="E16" s="12" t="s">
        <v>2193</v>
      </c>
    </row>
    <row r="17" spans="1:5">
      <c r="A17" s="12" t="s">
        <v>2179</v>
      </c>
      <c r="B17" s="12" t="s">
        <v>2191</v>
      </c>
      <c r="C17" s="12" t="s">
        <v>2194</v>
      </c>
      <c r="D17" s="12" t="s">
        <v>180</v>
      </c>
      <c r="E17" s="12" t="s">
        <v>2193</v>
      </c>
    </row>
    <row r="18" spans="1:5">
      <c r="A18" s="12" t="s">
        <v>2179</v>
      </c>
      <c r="B18" s="12" t="s">
        <v>2191</v>
      </c>
      <c r="C18" s="12" t="s">
        <v>2195</v>
      </c>
      <c r="D18" s="12" t="s">
        <v>180</v>
      </c>
      <c r="E18" s="12" t="s">
        <v>2193</v>
      </c>
    </row>
    <row r="19" spans="1:5">
      <c r="A19" s="12" t="s">
        <v>2179</v>
      </c>
      <c r="B19" s="12" t="s">
        <v>2191</v>
      </c>
      <c r="C19" s="12" t="s">
        <v>2196</v>
      </c>
      <c r="D19" s="12" t="s">
        <v>180</v>
      </c>
      <c r="E19" s="12" t="s">
        <v>2193</v>
      </c>
    </row>
    <row r="20" spans="1:5">
      <c r="A20" s="12" t="s">
        <v>2179</v>
      </c>
      <c r="B20" s="12" t="s">
        <v>2191</v>
      </c>
      <c r="C20" s="12" t="s">
        <v>2197</v>
      </c>
      <c r="D20" s="12" t="s">
        <v>180</v>
      </c>
      <c r="E20" s="12" t="s">
        <v>2193</v>
      </c>
    </row>
    <row r="21" spans="1:5">
      <c r="A21" s="12" t="s">
        <v>2179</v>
      </c>
      <c r="B21" s="12" t="s">
        <v>2191</v>
      </c>
      <c r="C21" s="12" t="s">
        <v>2198</v>
      </c>
      <c r="D21" s="12" t="s">
        <v>180</v>
      </c>
      <c r="E21" s="12" t="s">
        <v>2193</v>
      </c>
    </row>
    <row r="22" spans="1:5">
      <c r="A22" s="12" t="s">
        <v>2199</v>
      </c>
      <c r="B22" s="12" t="s">
        <v>2180</v>
      </c>
      <c r="C22" s="12" t="s">
        <v>752</v>
      </c>
      <c r="D22" s="15" t="s">
        <v>174</v>
      </c>
      <c r="E22" s="12" t="s">
        <v>2200</v>
      </c>
    </row>
    <row r="23" spans="1:5">
      <c r="A23" s="12" t="s">
        <v>2199</v>
      </c>
      <c r="B23" s="12" t="s">
        <v>2180</v>
      </c>
      <c r="C23" s="12" t="s">
        <v>1008</v>
      </c>
      <c r="D23" s="15" t="s">
        <v>174</v>
      </c>
      <c r="E23" s="12" t="s">
        <v>2200</v>
      </c>
    </row>
    <row r="24" spans="1:5">
      <c r="A24" s="12" t="s">
        <v>2199</v>
      </c>
      <c r="B24" s="12" t="s">
        <v>2201</v>
      </c>
      <c r="C24" s="12" t="s">
        <v>746</v>
      </c>
      <c r="D24" s="15" t="s">
        <v>174</v>
      </c>
      <c r="E24" s="12" t="s">
        <v>2202</v>
      </c>
    </row>
    <row r="25" spans="1:5">
      <c r="A25" s="12" t="s">
        <v>2199</v>
      </c>
      <c r="B25" s="12" t="s">
        <v>2203</v>
      </c>
      <c r="C25" s="12" t="s">
        <v>1041</v>
      </c>
      <c r="D25" s="15" t="s">
        <v>174</v>
      </c>
      <c r="E25" s="12" t="s">
        <v>2204</v>
      </c>
    </row>
    <row r="26" spans="1:5">
      <c r="A26" s="12" t="s">
        <v>2199</v>
      </c>
      <c r="B26" s="12" t="s">
        <v>2203</v>
      </c>
      <c r="C26" s="12" t="s">
        <v>467</v>
      </c>
      <c r="D26" s="15" t="s">
        <v>174</v>
      </c>
      <c r="E26" s="12" t="s">
        <v>2205</v>
      </c>
    </row>
    <row r="27" spans="1:5">
      <c r="A27" s="12" t="s">
        <v>2199</v>
      </c>
      <c r="B27" s="12" t="s">
        <v>2203</v>
      </c>
      <c r="C27" s="12" t="s">
        <v>491</v>
      </c>
      <c r="D27" s="15" t="s">
        <v>174</v>
      </c>
      <c r="E27" s="12" t="s">
        <v>2204</v>
      </c>
    </row>
    <row r="28" spans="1:5">
      <c r="A28" s="12" t="s">
        <v>2199</v>
      </c>
      <c r="B28" s="12" t="s">
        <v>2203</v>
      </c>
      <c r="C28" s="12" t="s">
        <v>2206</v>
      </c>
      <c r="D28" s="12" t="s">
        <v>180</v>
      </c>
      <c r="E28" s="12" t="s">
        <v>2207</v>
      </c>
    </row>
    <row r="29" spans="1:5">
      <c r="A29" s="12" t="s">
        <v>2199</v>
      </c>
      <c r="B29" s="12" t="s">
        <v>2203</v>
      </c>
      <c r="C29" s="12" t="s">
        <v>2208</v>
      </c>
      <c r="D29" s="12" t="s">
        <v>180</v>
      </c>
      <c r="E29" s="12" t="s">
        <v>2207</v>
      </c>
    </row>
    <row r="30" spans="1:5">
      <c r="A30" s="12" t="s">
        <v>2199</v>
      </c>
      <c r="B30" s="12" t="s">
        <v>2203</v>
      </c>
      <c r="C30" s="12" t="s">
        <v>2209</v>
      </c>
      <c r="D30" s="12" t="s">
        <v>180</v>
      </c>
      <c r="E30" s="12" t="s">
        <v>2207</v>
      </c>
    </row>
    <row r="31" spans="1:5">
      <c r="A31" s="12" t="s">
        <v>2199</v>
      </c>
      <c r="B31" s="12" t="s">
        <v>2203</v>
      </c>
      <c r="C31" s="12" t="s">
        <v>2210</v>
      </c>
      <c r="D31" s="12" t="s">
        <v>180</v>
      </c>
      <c r="E31" s="12" t="s">
        <v>2207</v>
      </c>
    </row>
    <row r="32" spans="1:5">
      <c r="A32" s="12" t="s">
        <v>2199</v>
      </c>
      <c r="B32" s="12" t="s">
        <v>2203</v>
      </c>
      <c r="C32" s="12" t="s">
        <v>2211</v>
      </c>
      <c r="D32" s="12" t="s">
        <v>180</v>
      </c>
      <c r="E32" s="12" t="s">
        <v>2207</v>
      </c>
    </row>
    <row r="33" spans="1:5">
      <c r="A33" s="12" t="s">
        <v>2199</v>
      </c>
      <c r="B33" s="12" t="s">
        <v>2203</v>
      </c>
      <c r="C33" s="12" t="s">
        <v>2212</v>
      </c>
      <c r="D33" s="12" t="s">
        <v>180</v>
      </c>
      <c r="E33" s="12" t="s">
        <v>2207</v>
      </c>
    </row>
    <row r="34" spans="1:5">
      <c r="A34" s="12" t="s">
        <v>2199</v>
      </c>
      <c r="B34" s="12" t="s">
        <v>2203</v>
      </c>
      <c r="C34" s="12" t="s">
        <v>2213</v>
      </c>
      <c r="D34" s="12" t="s">
        <v>180</v>
      </c>
      <c r="E34" s="12" t="s">
        <v>2207</v>
      </c>
    </row>
    <row r="35" spans="1:5">
      <c r="A35" s="12" t="s">
        <v>2199</v>
      </c>
      <c r="B35" s="12" t="s">
        <v>2203</v>
      </c>
      <c r="C35" s="12" t="s">
        <v>2214</v>
      </c>
      <c r="D35" s="12" t="s">
        <v>180</v>
      </c>
      <c r="E35" s="12" t="s">
        <v>2207</v>
      </c>
    </row>
    <row r="36" spans="1:5">
      <c r="A36" s="12" t="s">
        <v>2199</v>
      </c>
      <c r="B36" s="12" t="s">
        <v>2203</v>
      </c>
      <c r="C36" s="12" t="s">
        <v>2215</v>
      </c>
      <c r="D36" s="12" t="s">
        <v>180</v>
      </c>
      <c r="E36" s="12" t="s">
        <v>2207</v>
      </c>
    </row>
    <row r="37" spans="1:5">
      <c r="A37" s="12" t="s">
        <v>2199</v>
      </c>
      <c r="B37" s="12" t="s">
        <v>2203</v>
      </c>
      <c r="C37" s="12" t="s">
        <v>2216</v>
      </c>
      <c r="D37" s="12" t="s">
        <v>180</v>
      </c>
      <c r="E37" s="12" t="s">
        <v>2207</v>
      </c>
    </row>
    <row r="38" spans="1:5">
      <c r="A38" s="12" t="s">
        <v>2199</v>
      </c>
      <c r="B38" s="12" t="s">
        <v>2217</v>
      </c>
      <c r="C38" s="12" t="s">
        <v>2218</v>
      </c>
      <c r="D38" s="12" t="s">
        <v>180</v>
      </c>
      <c r="E38" s="12" t="s">
        <v>2219</v>
      </c>
    </row>
    <row r="39" spans="1:5">
      <c r="A39" s="12" t="s">
        <v>2199</v>
      </c>
      <c r="B39" s="12" t="s">
        <v>2217</v>
      </c>
      <c r="C39" s="12" t="s">
        <v>2220</v>
      </c>
      <c r="D39" s="12" t="s">
        <v>180</v>
      </c>
      <c r="E39" s="12" t="s">
        <v>2219</v>
      </c>
    </row>
    <row r="40" spans="1:5">
      <c r="A40" s="12" t="s">
        <v>2199</v>
      </c>
      <c r="B40" s="12" t="s">
        <v>2217</v>
      </c>
      <c r="C40" s="12" t="s">
        <v>2210</v>
      </c>
      <c r="D40" s="12" t="s">
        <v>180</v>
      </c>
      <c r="E40" s="12" t="s">
        <v>2219</v>
      </c>
    </row>
    <row r="41" spans="1:5">
      <c r="A41" s="12" t="s">
        <v>2221</v>
      </c>
      <c r="B41" s="12" t="s">
        <v>2222</v>
      </c>
      <c r="C41" s="12" t="s">
        <v>2223</v>
      </c>
      <c r="D41" s="12" t="s">
        <v>180</v>
      </c>
      <c r="E41" s="12" t="s">
        <v>2224</v>
      </c>
    </row>
    <row r="42" spans="1:5">
      <c r="A42" s="12" t="s">
        <v>2221</v>
      </c>
      <c r="B42" s="12" t="s">
        <v>2222</v>
      </c>
      <c r="C42" s="12" t="s">
        <v>2225</v>
      </c>
      <c r="D42" s="12" t="s">
        <v>180</v>
      </c>
      <c r="E42" s="12" t="s">
        <v>2226</v>
      </c>
    </row>
    <row r="43" spans="1:5">
      <c r="A43" s="12" t="s">
        <v>2221</v>
      </c>
      <c r="B43" s="12" t="s">
        <v>2222</v>
      </c>
      <c r="C43" s="12" t="s">
        <v>2227</v>
      </c>
      <c r="D43" s="12" t="s">
        <v>180</v>
      </c>
      <c r="E43" s="12" t="s">
        <v>2228</v>
      </c>
    </row>
    <row r="44" spans="1:5">
      <c r="A44" s="12" t="s">
        <v>2221</v>
      </c>
      <c r="B44" s="12" t="s">
        <v>2222</v>
      </c>
      <c r="C44" s="12" t="s">
        <v>2229</v>
      </c>
      <c r="D44" s="12" t="s">
        <v>180</v>
      </c>
      <c r="E44" s="12" t="s">
        <v>2230</v>
      </c>
    </row>
    <row r="45" spans="1:5">
      <c r="A45" s="12" t="s">
        <v>2221</v>
      </c>
      <c r="B45" s="12" t="s">
        <v>2222</v>
      </c>
      <c r="C45" s="12" t="s">
        <v>2231</v>
      </c>
      <c r="D45" s="12" t="s">
        <v>180</v>
      </c>
      <c r="E45" s="12" t="s">
        <v>2224</v>
      </c>
    </row>
    <row r="46" spans="1:5">
      <c r="A46" s="12" t="s">
        <v>2221</v>
      </c>
      <c r="B46" s="12" t="s">
        <v>2222</v>
      </c>
      <c r="C46" s="12" t="s">
        <v>2232</v>
      </c>
      <c r="D46" s="12" t="s">
        <v>180</v>
      </c>
      <c r="E46" s="12" t="s">
        <v>2233</v>
      </c>
    </row>
    <row r="47" spans="1:5">
      <c r="A47" s="12" t="s">
        <v>2221</v>
      </c>
      <c r="B47" s="12" t="s">
        <v>2222</v>
      </c>
      <c r="C47" s="12" t="s">
        <v>2234</v>
      </c>
      <c r="D47" s="12" t="s">
        <v>180</v>
      </c>
      <c r="E47" s="12" t="s">
        <v>2228</v>
      </c>
    </row>
    <row r="48" spans="1:5">
      <c r="A48" s="12" t="s">
        <v>2221</v>
      </c>
      <c r="B48" s="12" t="s">
        <v>2222</v>
      </c>
      <c r="C48" s="12" t="s">
        <v>2235</v>
      </c>
      <c r="D48" s="12" t="s">
        <v>180</v>
      </c>
      <c r="E48" s="12" t="s">
        <v>2228</v>
      </c>
    </row>
    <row r="49" spans="1:5">
      <c r="A49" s="12" t="s">
        <v>2221</v>
      </c>
      <c r="B49" s="12" t="s">
        <v>2222</v>
      </c>
      <c r="C49" s="12" t="s">
        <v>2236</v>
      </c>
      <c r="D49" s="12" t="s">
        <v>180</v>
      </c>
      <c r="E49" s="12" t="s">
        <v>2224</v>
      </c>
    </row>
    <row r="50" spans="1:5">
      <c r="A50" s="12" t="s">
        <v>2221</v>
      </c>
      <c r="B50" s="12" t="s">
        <v>2222</v>
      </c>
      <c r="C50" s="12" t="s">
        <v>2237</v>
      </c>
      <c r="D50" s="12" t="s">
        <v>180</v>
      </c>
      <c r="E50" s="12" t="s">
        <v>2228</v>
      </c>
    </row>
    <row r="51" spans="1:5">
      <c r="A51" s="12" t="s">
        <v>2221</v>
      </c>
      <c r="B51" s="12" t="s">
        <v>2222</v>
      </c>
      <c r="C51" s="12" t="s">
        <v>2238</v>
      </c>
      <c r="D51" s="12" t="s">
        <v>180</v>
      </c>
      <c r="E51" s="12" t="s">
        <v>2239</v>
      </c>
    </row>
    <row r="52" spans="1:5">
      <c r="A52" s="12" t="s">
        <v>2221</v>
      </c>
      <c r="B52" s="12" t="s">
        <v>2222</v>
      </c>
      <c r="C52" s="12" t="s">
        <v>2240</v>
      </c>
      <c r="D52" s="12" t="s">
        <v>180</v>
      </c>
      <c r="E52" s="12" t="s">
        <v>2233</v>
      </c>
    </row>
  </sheetData>
  <autoFilter ref="A1:E5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B2:D23"/>
  <sheetViews>
    <sheetView workbookViewId="0"/>
  </sheetViews>
  <sheetFormatPr defaultRowHeight="15"/>
  <cols>
    <col min="1" max="1" width="3.7109375" customWidth="1"/>
    <col min="2" max="2" width="34.7109375" customWidth="1"/>
    <col min="3" max="3" width="95.7109375" customWidth="1"/>
    <col min="4" max="4" width="24.7109375" customWidth="1"/>
  </cols>
  <sheetData>
    <row r="2" spans="2:4">
      <c r="B2" s="1" t="s">
        <v>2241</v>
      </c>
    </row>
    <row r="3" spans="2:4">
      <c r="B3" s="2" t="s">
        <v>2242</v>
      </c>
    </row>
    <row r="5" spans="2:4">
      <c r="B5" s="3" t="s">
        <v>2243</v>
      </c>
      <c r="C5" s="3" t="s">
        <v>2244</v>
      </c>
      <c r="D5" s="3" t="s">
        <v>2245</v>
      </c>
    </row>
    <row r="6" spans="2:4" ht="26" customHeight="1">
      <c r="B6" s="12" t="s">
        <v>2246</v>
      </c>
      <c r="C6" s="12" t="s">
        <v>2247</v>
      </c>
      <c r="D6" s="12" t="s">
        <v>2248</v>
      </c>
    </row>
    <row r="7" spans="2:4" ht="26" customHeight="1">
      <c r="B7" s="12" t="s">
        <v>2249</v>
      </c>
      <c r="C7" s="12" t="s">
        <v>2250</v>
      </c>
      <c r="D7" s="12" t="s">
        <v>2251</v>
      </c>
    </row>
    <row r="8" spans="2:4" ht="26" customHeight="1">
      <c r="B8" s="12" t="s">
        <v>2252</v>
      </c>
      <c r="C8" s="12" t="s">
        <v>2253</v>
      </c>
      <c r="D8" s="12" t="s">
        <v>2254</v>
      </c>
    </row>
    <row r="9" spans="2:4" ht="26" customHeight="1">
      <c r="B9" s="12" t="s">
        <v>2255</v>
      </c>
      <c r="C9" s="12" t="s">
        <v>2256</v>
      </c>
      <c r="D9" s="12" t="s">
        <v>2257</v>
      </c>
    </row>
    <row r="10" spans="2:4" ht="26" customHeight="1">
      <c r="B10" s="12" t="s">
        <v>2258</v>
      </c>
      <c r="C10" s="12" t="s">
        <v>2259</v>
      </c>
      <c r="D10" s="12" t="s">
        <v>2260</v>
      </c>
    </row>
    <row r="11" spans="2:4" ht="26" customHeight="1">
      <c r="B11" s="12" t="s">
        <v>2261</v>
      </c>
      <c r="C11" s="12" t="s">
        <v>2262</v>
      </c>
      <c r="D11" s="12" t="s">
        <v>2263</v>
      </c>
    </row>
    <row r="12" spans="2:4" ht="13" customHeight="1">
      <c r="B12" s="12" t="s">
        <v>2264</v>
      </c>
      <c r="C12" s="12" t="s">
        <v>2265</v>
      </c>
      <c r="D12" s="12" t="s">
        <v>2266</v>
      </c>
    </row>
    <row r="13" spans="2:4" ht="13" customHeight="1">
      <c r="B13" s="12" t="s">
        <v>2267</v>
      </c>
      <c r="C13" s="12" t="s">
        <v>2268</v>
      </c>
      <c r="D13" s="12" t="s">
        <v>2269</v>
      </c>
    </row>
    <row r="14" spans="2:4" ht="26" customHeight="1">
      <c r="B14" s="12" t="s">
        <v>2270</v>
      </c>
      <c r="C14" s="12" t="s">
        <v>2271</v>
      </c>
      <c r="D14" s="12" t="s">
        <v>2272</v>
      </c>
    </row>
    <row r="15" spans="2:4" ht="13" customHeight="1">
      <c r="B15" s="12" t="s">
        <v>2273</v>
      </c>
      <c r="C15" s="12" t="s">
        <v>2274</v>
      </c>
      <c r="D15" s="12" t="s">
        <v>2275</v>
      </c>
    </row>
    <row r="17" spans="2:4">
      <c r="B17" s="6" t="s">
        <v>2276</v>
      </c>
    </row>
    <row r="18" spans="2:4" ht="26" customHeight="1">
      <c r="B18" s="10" t="s">
        <v>2277</v>
      </c>
      <c r="C18" s="11" t="s">
        <v>2278</v>
      </c>
      <c r="D18" s="11"/>
    </row>
    <row r="19" spans="2:4" ht="13" customHeight="1">
      <c r="B19" s="10" t="s">
        <v>2277</v>
      </c>
      <c r="C19" s="11" t="s">
        <v>2279</v>
      </c>
      <c r="D19" s="11"/>
    </row>
    <row r="20" spans="2:4" ht="13" customHeight="1">
      <c r="B20" s="10" t="s">
        <v>2277</v>
      </c>
      <c r="C20" s="11" t="s">
        <v>2280</v>
      </c>
      <c r="D20" s="11"/>
    </row>
    <row r="21" spans="2:4" ht="13" customHeight="1">
      <c r="B21" s="10" t="s">
        <v>2277</v>
      </c>
      <c r="C21" s="11" t="s">
        <v>2281</v>
      </c>
      <c r="D21" s="11"/>
    </row>
    <row r="22" spans="2:4" ht="26" customHeight="1">
      <c r="B22" s="10" t="s">
        <v>2277</v>
      </c>
      <c r="C22" s="11" t="s">
        <v>2282</v>
      </c>
      <c r="D22" s="11"/>
    </row>
    <row r="23" spans="2:4" ht="13" customHeight="1">
      <c r="B23" s="10" t="s">
        <v>2277</v>
      </c>
      <c r="C23" s="11" t="s">
        <v>2283</v>
      </c>
      <c r="D23" s="11"/>
    </row>
  </sheetData>
  <mergeCells count="6">
    <mergeCell ref="C18:D18"/>
    <mergeCell ref="C19:D19"/>
    <mergeCell ref="C20:D20"/>
    <mergeCell ref="C21:D21"/>
    <mergeCell ref="C22:D22"/>
    <mergeCell ref="C23:D2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B2:C13"/>
  <sheetViews>
    <sheetView workbookViewId="0"/>
  </sheetViews>
  <sheetFormatPr defaultRowHeight="15"/>
  <cols>
    <col min="1" max="1" width="3.7109375" customWidth="1"/>
    <col min="2" max="2" width="36.7109375" customWidth="1"/>
    <col min="3" max="3" width="100.7109375" customWidth="1"/>
  </cols>
  <sheetData>
    <row r="2" spans="2:3">
      <c r="B2" s="1" t="s">
        <v>2284</v>
      </c>
    </row>
    <row r="5" spans="2:3">
      <c r="B5" s="3" t="s">
        <v>2285</v>
      </c>
      <c r="C5" s="3" t="s">
        <v>2286</v>
      </c>
    </row>
    <row r="6" spans="2:3" ht="26" customHeight="1">
      <c r="B6" s="12" t="s">
        <v>2287</v>
      </c>
      <c r="C6" s="12" t="s">
        <v>2288</v>
      </c>
    </row>
    <row r="7" spans="2:3" ht="26" customHeight="1">
      <c r="B7" s="12" t="s">
        <v>2289</v>
      </c>
      <c r="C7" s="12" t="s">
        <v>2290</v>
      </c>
    </row>
    <row r="8" spans="2:3" ht="26" customHeight="1">
      <c r="B8" s="12" t="s">
        <v>2291</v>
      </c>
      <c r="C8" s="12" t="s">
        <v>2292</v>
      </c>
    </row>
    <row r="9" spans="2:3" ht="26" customHeight="1">
      <c r="B9" s="12" t="s">
        <v>2293</v>
      </c>
      <c r="C9" s="12" t="s">
        <v>2294</v>
      </c>
    </row>
    <row r="10" spans="2:3" ht="26" customHeight="1">
      <c r="B10" s="12" t="s">
        <v>2295</v>
      </c>
      <c r="C10" s="12" t="s">
        <v>2296</v>
      </c>
    </row>
    <row r="11" spans="2:3" ht="26" customHeight="1">
      <c r="B11" s="12" t="s">
        <v>2297</v>
      </c>
      <c r="C11" s="12" t="s">
        <v>2298</v>
      </c>
    </row>
    <row r="12" spans="2:3" ht="26" customHeight="1">
      <c r="B12" s="12" t="s">
        <v>2299</v>
      </c>
      <c r="C12" s="12" t="s">
        <v>2300</v>
      </c>
    </row>
    <row r="13" spans="2:3" ht="26" customHeight="1">
      <c r="B13" s="12" t="s">
        <v>2301</v>
      </c>
      <c r="C13" s="12" t="s">
        <v>2302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0. Premissas (editável)</vt:lpstr>
      <vt:lpstr>1. Leia-me e Metodologia</vt:lpstr>
      <vt:lpstr>2. Resumo e Cestas</vt:lpstr>
      <vt:lpstr>3. Avaliação por Molécula</vt:lpstr>
      <vt:lpstr>4. Catálogo Completo (SKU)</vt:lpstr>
      <vt:lpstr>5. Cruzamento Histórico NN</vt:lpstr>
      <vt:lpstr>6. Portfólio-Pipeline EMS</vt:lpstr>
      <vt:lpstr>7. Lacunas e Perguntas</vt:lpstr>
      <vt:lpstr>8. Melhorias sugeridas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2026-09-10T19:07:06Z</dcterms:created>
  <dcterms:modified xsi:type="dcterms:W3CDTF">2026-09-10T19:07:06Z</dcterms:modified>
</cp:coreProperties>
</file>