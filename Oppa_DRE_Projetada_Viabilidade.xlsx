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Resumo" sheetId="2" state="visible" r:id="rId4"/>
    <sheet name="Necessidade de Capital" sheetId="3" state="visible" r:id="rId5"/>
    <sheet name="Preço Mínimo" sheetId="4" state="visible" r:id="rId6"/>
    <sheet name="Premissas" sheetId="5" state="visible" r:id="rId7"/>
    <sheet name="Ajuste Mensal" sheetId="6" state="visible" r:id="rId8"/>
    <sheet name="Pessoas" sheetId="7" state="visible" r:id="rId9"/>
    <sheet name="Sócios" sheetId="8" state="visible" r:id="rId10"/>
    <sheet name="DRE Projetada" sheetId="9" state="visible" r:id="rId11"/>
    <sheet name="Análise Fluxo" sheetId="10" state="visible" r:id="rId12"/>
    <sheet name="Faturamento" sheetId="11" state="visible" r:id="rId13"/>
    <sheet name="Usuários" sheetId="12" state="visible" r:id="rId14"/>
    <sheet name="Cenários" sheetId="13" state="visible" r:id="rId15"/>
    <sheet name="Investimentos" sheetId="14" state="visible" r:id="rId16"/>
    <sheet name="Aportes" sheetId="15" state="visible" r:id="rId17"/>
    <sheet name="Tributo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Aba Pessoas. Com 0, só entram no modelo as pessoas com status 'Contratado' — hoje, apenas a equipe do MVP de set–out/2026. Com 1, entra também o plano de contratações futuras, que é sugestão a validar, não compromisso.</t>
        </r>
      </text>
    </comment>
    <comment ref="B15" authorId="0">
      <text>
        <r>
          <rPr>
            <sz val="10"/>
            <rFont val="Arial"/>
            <family val="2"/>
          </rPr>
          <t xml:space="preserve">Um app recém-lançado não converte no patamar de regime no primeiro mês. A conversão cresce linearmente do lançamento até atingir, em N meses, o patamar definido para o ano. Com 6 meses e patamar de 5%, outubro/2026 converte a 0,83%, novembro a 1,67% e dezembro a 2,50%.</t>
        </r>
      </text>
    </comment>
    <comment ref="B18" authorId="0">
      <text>
        <r>
          <rPr>
            <sz val="10"/>
            <rFont val="Arial"/>
            <family val="2"/>
          </rPr>
          <t xml:space="preserve">Taxa de desconto. A planilha original usava 16% a.a. Para startup pré-receita a faixa usual é 25%–40% a.a. Ajustável.</t>
        </r>
      </text>
    </comment>
    <comment ref="B23" authorId="0">
      <text>
        <r>
          <rPr>
            <sz val="10"/>
            <rFont val="Arial"/>
            <family val="2"/>
          </rPr>
          <t xml:space="preserve">ATENÇÃO — Fator R. Licenciamento/cessão de uso de software é Anexo V, migrando para Anexo III só se o Fator R (folha + pró-labore dos últimos 12 meses ÷ RBT12) for &gt;= 28%. Pagamento a equipe PJ NÃO conta como folha. A aba Pessoas calcula o Fator R do seu quadro.</t>
        </r>
      </text>
    </comment>
    <comment ref="B24" authorId="0">
      <text>
        <r>
          <rPr>
            <sz val="10"/>
            <rFont val="Arial"/>
            <family val="2"/>
          </rPr>
          <t xml:space="preserve">Serviços: PIS 0,65% + COFINS 3,00% + ISS 5,00% + IRPJ 4,80% (32% de presunção × 15%) + CSLL 2,88% (32% × 9%) = 16,33% da receita bruta. ISS varia de 2% a 5% conforme o município.</t>
        </r>
      </text>
    </comment>
    <comment ref="B42" authorId="0">
      <text>
        <r>
          <rPr>
            <sz val="10"/>
            <rFont val="Arial"/>
            <family val="2"/>
          </rPr>
          <t xml:space="preserve">Seis meses depois do lançamento. O Premium vende cuidadores ilimitados, o que exige gestão de permissões por perfil — item do backlog que não está no MVP.</t>
        </r>
      </text>
    </comment>
    <comment ref="B43" authorId="0">
      <text>
        <r>
          <rPr>
            <sz val="10"/>
            <rFont val="Arial"/>
            <family val="2"/>
          </rPr>
          <t xml:space="preserve">Doze meses depois do lançamento. O Família exige múltiplos monitorados em uma conta — mudança de modelo de dados, não de tela.</t>
        </r>
      </text>
    </comment>
    <comment ref="B48" authorId="0">
      <text>
        <r>
          <rPr>
            <sz val="10"/>
            <rFont val="Arial"/>
            <family val="2"/>
          </rPr>
          <t xml:space="preserve">Com 1, a janela também tem de pagar o que foi gasto antes de existir receita: nuvem desde maio, administrativas desde abril, a equipe PJ de setembro e outubro e a propaganda de lançamento. É a leitura literal de 'cobrir os custos iniciais'. Com 0, só os custos que caem dentro da janela.</t>
        </r>
      </text>
    </comment>
    <comment ref="B73" authorId="0">
      <text>
        <r>
          <rPr>
            <sz val="10"/>
            <rFont val="Arial"/>
            <family val="2"/>
          </rPr>
          <t xml:space="preserve">Google Play cobra 15% em todas as assinaturas auto-renováveis desde o 1º dia. Apple cobra 30%, reduzidos a 15% no App Store Small Business Program (receita anual &lt; US$ 1 mi) ou a partir do 2º ano de assinatura. Acima de US$ 1 mi/ano a Apple volta a 30%.</t>
        </r>
      </text>
    </comment>
    <comment ref="B79" authorId="0">
      <text>
        <r>
          <rPr>
            <sz val="10"/>
            <rFont val="Arial"/>
            <family val="2"/>
          </rPr>
          <t xml:space="preserve">Painel pequeno não se vende: comprador de dado quer representatividade. 75 mil usuários consentidos é um piso defensável para um painel nichado — idoso com doença crônica, monitorado continuamente — que é estreito mas profundo. Abaixo disso o modelo zera a receita de dados.</t>
        </r>
      </text>
    </comment>
    <comment ref="B116" authorId="0">
      <text>
        <r>
          <rPr>
            <sz val="10"/>
            <rFont val="Arial"/>
            <family val="2"/>
          </rPr>
          <t xml:space="preserve">Aportes em negociação adiantada mas sem assinatura — hoje os R$ 120 mil de C-ioT, Felipe Martinelli e Shaiane. Estão ligados por padrão porque a negociação está em curso. Desligue para ver a Oppa apenas com o capital dos fundadores.</t>
        </r>
      </text>
    </comment>
    <comment ref="B117" authorId="0">
      <text>
        <r>
          <rPr>
            <sz val="10"/>
            <rFont val="Arial"/>
            <family val="2"/>
          </rPr>
          <t xml:space="preserve">Vale para os lançamentos marcados como 'Em negociação' e para as parcerias estratégicas com status 'Em negociação' — hoje, a Boston Scientific. Desligado por padrão para que a viabilidade não dependa de receita nem de capital não contratados. Ligue para dimensionar o upside.</t>
        </r>
      </text>
    </comment>
    <comment ref="B118" authorId="0">
      <text>
        <r>
          <rPr>
            <sz val="10"/>
            <rFont val="Arial"/>
            <family val="2"/>
          </rPr>
          <t xml:space="preserve">Caixa que precisa sobrar depois de pagar tudo. Três meses de custo fixo é o piso usual para startup em estágio inicial: dá tempo de reagir a um mês ruim sem parar a operação nem aceitar o primeiro cheque que aparecer. Zerar esta célula faz o modelo pedir só o capital que evita o caixa negativo — o mínimo matemático, que na prática não se opera.</t>
        </r>
      </text>
    </comment>
    <comment ref="C34" authorId="0">
      <text>
        <r>
          <rPr>
            <sz val="10"/>
            <rFont val="Arial"/>
            <family val="2"/>
          </rPr>
          <t xml:space="preserve">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C56" authorId="0">
      <text>
        <r>
          <rPr>
            <sz val="10"/>
            <rFont val="Arial"/>
            <family val="2"/>
          </rPr>
          <t xml:space="preserve">Calibrado para a meta do brief: ~50.000 usuários na base ao final de 2026. Com lançamento em out/2026 e churn de 8%/mês, 18.100 novos/mês em out+nov+dez levam a uma base de ~50.100 em dez/2026.</t>
        </r>
      </text>
    </comment>
    <comment ref="C60" authorId="0">
      <text>
        <r>
          <rPr>
            <sz val="10"/>
            <rFont val="Arial"/>
            <family val="2"/>
          </rPr>
          <t xml:space="preserve">Benchmarks 2025/2026 de apps de assinatura em Saúde &amp; Fitness: churn mensal de 7% a 10% (mediana ~9,2%); os melhores ficam abaixo de 5%. Adotado 8% em 2026 melhorando 6% ao ano, assumindo que monitoramento de saúde retém melhor que fitness (necessidade médica, não motivação). Fontes: RevenueCat State of Subscription Apps 2025; Business of Apps.</t>
        </r>
      </text>
    </comment>
    <comment ref="C64" authorId="0">
      <text>
        <r>
          <rPr>
            <sz val="10"/>
            <rFont val="Arial"/>
            <family val="2"/>
          </rPr>
          <t xml:space="preserve">Premissa do brief: 5% de pagantes. Benchmarks de freemium: mediana 2,2%–2,6%, faixa típica 2%–5%, quartil superior 5%–8%. Este é o patamar de REGIME: nos primeiros meses após o lançamento a conversão sobe pela rampa definida no controle 1, então 2026 sai bem abaixo de 5%. Fontes: RevenueCat 2025; Userpilot; Geneo.</t>
        </r>
      </text>
    </comment>
    <comment ref="C68" authorId="0">
      <text>
        <r>
          <rPr>
            <sz val="10"/>
            <rFont val="Arial"/>
            <family val="2"/>
          </rPr>
          <t xml:space="preserve">CPI (custo por instalação) no Brasil em Meta/Google Ads para apps de saúde: R$ 1,50–4,00. Sobe ao longo do tempo conforme se esgotam as audiências baratas. A agência da Shaiane reduz o custo de produção criativa, não o custo de mídia.</t>
        </r>
      </text>
    </comment>
    <comment ref="C78" authorId="0">
      <text>
        <r>
          <rPr>
            <sz val="10"/>
            <rFont val="Arial"/>
            <family val="2"/>
          </rPr>
          <t xml:space="preserve">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C103" authorId="0">
      <text>
        <r>
          <rPr>
            <sz val="10"/>
            <rFont val="Arial"/>
            <family val="2"/>
          </rPr>
          <t xml:space="preserve">Ancorado no gasto real de R$ 532,29 em 04/05/2026 (pré-lançamento). Cresce com ambientes, observabilidade, banco gerenciado e redundância.</t>
        </r>
      </text>
    </comment>
    <comment ref="C104" authorId="0">
      <text>
        <r>
          <rPr>
            <sz val="10"/>
            <rFont val="Arial"/>
            <family val="2"/>
          </rPr>
          <t xml:space="preserve">Usuário pagante tem histórico: série temporal de sinais vitais armazenada e consultável. Custo de banco time-series + storage + processamento. Cai com escala.</t>
        </r>
      </text>
    </comment>
    <comment ref="C105" authorId="0">
      <text>
        <r>
          <rPr>
            <sz val="10"/>
            <rFont val="Arial"/>
            <family val="2"/>
          </rPr>
          <t xml:space="preserve">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C109" authorId="0">
      <text>
        <r>
          <rPr>
            <sz val="10"/>
            <rFont val="Arial"/>
            <family val="2"/>
          </rPr>
          <t xml:space="preserve">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  <comment ref="D34" authorId="0">
      <text>
        <r>
          <rPr>
            <sz val="10"/>
            <rFont val="Arial"/>
            <family val="2"/>
          </rPr>
          <t xml:space="preserve">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D78" authorId="0">
      <text>
        <r>
          <rPr>
            <sz val="10"/>
            <rFont val="Arial"/>
            <family val="2"/>
          </rPr>
          <t xml:space="preserve">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D103" authorId="0">
      <text>
        <r>
          <rPr>
            <sz val="10"/>
            <rFont val="Arial"/>
            <family val="2"/>
          </rPr>
          <t xml:space="preserve">Ancorado no gasto real de R$ 532,29 em 04/05/2026 (pré-lançamento). Cresce com ambientes, observabilidade, banco gerenciado e redundância.</t>
        </r>
      </text>
    </comment>
    <comment ref="D104" authorId="0">
      <text>
        <r>
          <rPr>
            <sz val="10"/>
            <rFont val="Arial"/>
            <family val="2"/>
          </rPr>
          <t xml:space="preserve">Usuário pagante tem histórico: série temporal de sinais vitais armazenada e consultável. Custo de banco time-series + storage + processamento. Cai com escala.</t>
        </r>
      </text>
    </comment>
    <comment ref="D105" authorId="0">
      <text>
        <r>
          <rPr>
            <sz val="10"/>
            <rFont val="Arial"/>
            <family val="2"/>
          </rPr>
          <t xml:space="preserve">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D109" authorId="0">
      <text>
        <r>
          <rPr>
            <sz val="10"/>
            <rFont val="Arial"/>
            <family val="2"/>
          </rPr>
          <t xml:space="preserve">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  <comment ref="E34" authorId="0">
      <text>
        <r>
          <rPr>
            <sz val="10"/>
            <rFont val="Arial"/>
            <family val="2"/>
          </rPr>
          <t xml:space="preserve">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E78" authorId="0">
      <text>
        <r>
          <rPr>
            <sz val="10"/>
            <rFont val="Arial"/>
            <family val="2"/>
          </rPr>
          <t xml:space="preserve">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E103" authorId="0">
      <text>
        <r>
          <rPr>
            <sz val="10"/>
            <rFont val="Arial"/>
            <family val="2"/>
          </rPr>
          <t xml:space="preserve">Ancorado no gasto real de R$ 532,29 em 04/05/2026 (pré-lançamento). Cresce com ambientes, observabilidade, banco gerenciado e redundância.</t>
        </r>
      </text>
    </comment>
    <comment ref="E104" authorId="0">
      <text>
        <r>
          <rPr>
            <sz val="10"/>
            <rFont val="Arial"/>
            <family val="2"/>
          </rPr>
          <t xml:space="preserve">Usuário pagante tem histórico: série temporal de sinais vitais armazenada e consultável. Custo de banco time-series + storage + processamento. Cai com escala.</t>
        </r>
      </text>
    </comment>
    <comment ref="E105" authorId="0">
      <text>
        <r>
          <rPr>
            <sz val="10"/>
            <rFont val="Arial"/>
            <family val="2"/>
          </rPr>
          <t xml:space="preserve">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E109" authorId="0">
      <text>
        <r>
          <rPr>
            <sz val="10"/>
            <rFont val="Arial"/>
            <family val="2"/>
          </rPr>
          <t xml:space="preserve">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  <comment ref="F34" authorId="0">
      <text>
        <r>
          <rPr>
            <sz val="10"/>
            <rFont val="Arial"/>
            <family val="2"/>
          </rPr>
          <t xml:space="preserve">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F78" authorId="0">
      <text>
        <r>
          <rPr>
            <sz val="10"/>
            <rFont val="Arial"/>
            <family val="2"/>
          </rPr>
          <t xml:space="preserve">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F103" authorId="0">
      <text>
        <r>
          <rPr>
            <sz val="10"/>
            <rFont val="Arial"/>
            <family val="2"/>
          </rPr>
          <t xml:space="preserve">Ancorado no gasto real de R$ 532,29 em 04/05/2026 (pré-lançamento). Cresce com ambientes, observabilidade, banco gerenciado e redundância.</t>
        </r>
      </text>
    </comment>
    <comment ref="F104" authorId="0">
      <text>
        <r>
          <rPr>
            <sz val="10"/>
            <rFont val="Arial"/>
            <family val="2"/>
          </rPr>
          <t xml:space="preserve">Usuário pagante tem histórico: série temporal de sinais vitais armazenada e consultável. Custo de banco time-series + storage + processamento. Cai com escala.</t>
        </r>
      </text>
    </comment>
    <comment ref="F105" authorId="0">
      <text>
        <r>
          <rPr>
            <sz val="10"/>
            <rFont val="Arial"/>
            <family val="2"/>
          </rPr>
          <t xml:space="preserve">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F109" authorId="0">
      <text>
        <r>
          <rPr>
            <sz val="10"/>
            <rFont val="Arial"/>
            <family val="2"/>
          </rPr>
          <t xml:space="preserve">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  <comment ref="G34" authorId="0">
      <text>
        <r>
          <rPr>
            <sz val="10"/>
            <rFont val="Arial"/>
            <family val="2"/>
          </rPr>
          <t xml:space="preserve">Em assinatura B2C de ticket baixo a decisão é 'pagar ou não pagar', não 'qual plano' — o degrau de entrada concentra a base. Referências de mercado põem o plano de entrada em 60–75% dos assinantes. O efeito compromisso (Simonson &amp; Tversky, 1992) puxa parte da base para o plano do meio ao longo do tempo. Daí o mix migrar de 75/20/5 para 60/28/12.</t>
        </r>
      </text>
    </comment>
    <comment ref="G78" authorId="0">
      <text>
        <r>
          <rPr>
            <sz val="10"/>
            <rFont val="Arial"/>
            <family val="2"/>
          </rPr>
          <t xml:space="preserve">LGPD: dado de saúde é dado sensível (art. 11). Vender exige anonimização efetiva (art. 12, que tira o dado anonimizado do alcance da lei) OU consentimento ESPECÍFICO e DESTACADO para esta finalidade — separado do aceite de uso do app, revogável a qualquer tempo. Quem revoga sai do painel. Taxas de opt-in em apps de saúde com pedido bem desenhado ficam na casa de 20% a 40%.</t>
        </r>
      </text>
    </comment>
    <comment ref="G103" authorId="0">
      <text>
        <r>
          <rPr>
            <sz val="10"/>
            <rFont val="Arial"/>
            <family val="2"/>
          </rPr>
          <t xml:space="preserve">Ancorado no gasto real de R$ 532,29 em 04/05/2026 (pré-lançamento). Cresce com ambientes, observabilidade, banco gerenciado e redundância.</t>
        </r>
      </text>
    </comment>
    <comment ref="G104" authorId="0">
      <text>
        <r>
          <rPr>
            <sz val="10"/>
            <rFont val="Arial"/>
            <family val="2"/>
          </rPr>
          <t xml:space="preserve">Usuário pagante tem histórico: série temporal de sinais vitais armazenada e consultável. Custo de banco time-series + storage + processamento. Cai com escala.</t>
        </r>
      </text>
    </comment>
    <comment ref="G105" authorId="0">
      <text>
        <r>
          <rPr>
            <sz val="10"/>
            <rFont val="Arial"/>
            <family val="2"/>
          </rPr>
          <t xml:space="preserve">O brief assume custo ~zero para o gratuito, pois não há histórico. Não é exatamente zero: a ingestão em tempo real e as chamadas de API consomem compute mesmo sem persistência. R$ 0,02/mês (R$ 0,24/ano) é esse custo residual.</t>
        </r>
      </text>
    </comment>
    <comment ref="G109" authorId="0">
      <text>
        <r>
          <rPr>
            <sz val="10"/>
            <rFont val="Arial"/>
            <family val="2"/>
          </rPr>
          <t xml:space="preserve">Reduzido pela entrada da Shaiane, sócia com agência de marketing própria, que absorve produção criativa e gestão. Não elimina o custo: ferramentas, mídia de conteúdo, influenciadores e produção seguem sendo desembolso. Pessoas de growth ficam na aba Pessoas.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Único custo de pessoal efetivamente comprometido. Brief: equipe PJ contratada em setembro para entregar o app até outubro, orçamento total de R$ 21.000 (2 meses × R$ 10.500). Classificado como Investimento porque é o desenvolvimento do ativo — amortizado em 60 meses na DRE.</t>
        </r>
      </text>
    </comment>
    <comment ref="A7" authorId="0">
      <text>
        <r>
          <rPr>
            <sz val="10"/>
            <rFont val="Arial"/>
            <family val="2"/>
          </rPr>
          <t xml:space="preserve">Manutenção e evolução do app após o lançamento. Sugestão a validar.</t>
        </r>
      </text>
    </comment>
    <comment ref="A8" authorId="0">
      <text>
        <r>
          <rPr>
            <sz val="10"/>
            <rFont val="Arial"/>
            <family val="2"/>
          </rPr>
          <t xml:space="preserve">Soma-se ao time base — não o substitui.</t>
        </r>
      </text>
    </comment>
    <comment ref="A9" authorId="0">
      <text>
        <r>
          <rPr>
            <sz val="10"/>
            <rFont val="Arial"/>
            <family val="2"/>
          </rPr>
          <t xml:space="preserve">Soma-se aos anteriores.</t>
        </r>
      </text>
    </comment>
    <comment ref="A10" authorId="0">
      <text>
        <r>
          <rPr>
            <sz val="10"/>
            <rFont val="Arial"/>
            <family val="2"/>
          </rPr>
          <t xml:space="preserve">Soma-se aos anteriores.</t>
        </r>
      </text>
    </comment>
    <comment ref="A11" authorId="0">
      <text>
        <r>
          <rPr>
            <sz val="10"/>
            <rFont val="Arial"/>
            <family val="2"/>
          </rPr>
          <t xml:space="preserve">Atendimento humano. As ferramentas de suporte (chatbot, help desk) estão em Premissas, no custo variável por pagante.</t>
        </r>
      </text>
    </comment>
    <comment ref="A15" authorId="0">
      <text>
        <r>
          <rPr>
            <sz val="10"/>
            <rFont val="Arial"/>
            <family val="2"/>
          </rPr>
          <t xml:space="preserve">Pessoa dedicada a aquisição e retenção. A mídia paga está em Premissas (CAC e marketing recorrente), não aqui.</t>
        </r>
      </text>
    </comment>
    <comment ref="A18" authorId="0">
      <text>
        <r>
          <rPr>
            <sz val="10"/>
            <rFont val="Arial"/>
            <family val="2"/>
          </rPr>
          <t xml:space="preserve">Confiabilidade da ingestão de sinais vitais e custo de nuvem sob controle.</t>
        </r>
      </text>
    </comment>
    <comment ref="A22" authorId="0">
      <text>
        <r>
          <rPr>
            <sz val="10"/>
            <rFont val="Arial"/>
            <family val="2"/>
          </rPr>
          <t xml:space="preserve">Retirada dos sócios ativos. Zero em 2026. Conta para o Fator R — ver quadro no fim desta aba.</t>
        </r>
      </text>
    </comment>
    <comment ref="A23" authorId="0">
      <text>
        <r>
          <rPr>
            <sz val="10"/>
            <rFont val="Arial"/>
            <family val="2"/>
          </rPr>
          <t xml:space="preserve">Substitui a linha anterior, que se encerra em dez/2028.</t>
        </r>
      </text>
    </comment>
    <comment ref="A24" authorId="0">
      <text>
        <r>
          <rPr>
            <sz val="10"/>
            <rFont val="Arial"/>
            <family val="2"/>
          </rPr>
          <t xml:space="preserve">Linha de exemplo, com quantidade zero. Encargos de 70% cobrem INSS patronal, FGTS, férias, 13º e provisões. Contratar em CLT eleva o Fator R e pode levar a empresa do Anexo V ao Anexo III — compare o custo da folha com a economia tributária no quadro abaixo.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4" authorId="0">
      <text>
        <r>
          <rPr>
            <sz val="10"/>
            <rFont val="Arial"/>
            <family val="2"/>
          </rPr>
          <t xml:space="preserve">Reserva de segurança. Nenhuma empresa distribui até o último real: sazonalidade, inadimplência e imprevisto exigem colchão. Seis meses de custo operacional é uma referência conservadora e comum.</t>
        </r>
      </text>
    </comment>
  </commentList>
</comments>
</file>

<file path=xl/sharedStrings.xml><?xml version="1.0" encoding="utf-8"?>
<sst xmlns="http://schemas.openxmlformats.org/spreadsheetml/2006/main" count="1587" uniqueCount="989">
  <si>
    <t xml:space="preserve">COMO USAR ESTA PLANILHA</t>
  </si>
  <si>
    <t xml:space="preserve">Leia uma vez. Depois é só mexer nas células azuis e ver tudo recalcular.</t>
  </si>
  <si>
    <t xml:space="preserve">EM 30 SEGUNDOS</t>
  </si>
  <si>
    <t xml:space="preserve">Só existem dois lugares onde você digita: a aba PREMISSAS (todos os números do negócio) e a aba PESSOAS (o quadro de pessoal). Todo o resto da planilha é calculado a partir dessas duas. Comece olhando o RESUMO, volte, ajuste, olhe de novo.</t>
  </si>
  <si>
    <t xml:space="preserve">1. Abra o Resumo</t>
  </si>
  <si>
    <t xml:space="preserve">Painel executivo com os três cenários lado a lado e o diagnóstico Go / No-Go. É a foto do modelo.</t>
  </si>
  <si>
    <t xml:space="preserve">2. Mude o cenário</t>
  </si>
  <si>
    <t xml:space="preserve">Premissas, controle 1.1: digite 1 (Conservador), 2 (Provável) ou 3 (Agressivo). As abas de detalhe passam todas a mostrar o cenário escolhido. O Resumo mostra os três sempre.</t>
  </si>
  <si>
    <t xml:space="preserve">3. Ajuste o que quiser</t>
  </si>
  <si>
    <t xml:space="preserve">Qualquer célula azul. O modelo inteiro recalcula na hora — não há nada para rodar ou atualizar.</t>
  </si>
  <si>
    <t xml:space="preserve">4. Confira</t>
  </si>
  <si>
    <t xml:space="preserve">Na Análise Fluxo há uma linha de verificação que compara o detalhamento com o motor de cenários. Ela tem que ficar zerada. Se aparecer um número diferente de zero, alguma fórmula foi sobrescrita por engano.</t>
  </si>
  <si>
    <t xml:space="preserve">AS CORES DIZEM O QUE É CADA CÉLULA</t>
  </si>
  <si>
    <t xml:space="preserve">Azul</t>
  </si>
  <si>
    <t xml:space="preserve">Você digita. É uma premissa sua.</t>
  </si>
  <si>
    <t xml:space="preserve">Fundo amarelo</t>
  </si>
  <si>
    <t xml:space="preserve">Premissa-chave: mexer nela desloca bastante o resultado. Comece por essas.</t>
  </si>
  <si>
    <t xml:space="preserve">Preto</t>
  </si>
  <si>
    <t xml:space="preserve">Fórmula calculada dentro da própria aba. Não mexa.</t>
  </si>
  <si>
    <t xml:space="preserve">Verde</t>
  </si>
  <si>
    <t xml:space="preserve">Valor que vem de outra aba. Não mexa — mude na origem.</t>
  </si>
  <si>
    <t xml:space="preserve">Marca vermelha no canto</t>
  </si>
  <si>
    <t xml:space="preserve">Passe o mouse: há um comentário com a fonte ou a justificativa do número.</t>
  </si>
  <si>
    <t xml:space="preserve">AS PERGUNTAS MAIS COMUNS E ONDE MEXER</t>
  </si>
  <si>
    <t xml:space="preserve">“E se lançarmos mais tarde?”</t>
  </si>
  <si>
    <t xml:space="preserve">Premissas → Ano de lançamento e Mês de lançamento. São dois campos separados; a data e o mês nº da linha do tempo se ajustam sozinhos, e com eles receita, marketing e conversão.</t>
  </si>
  <si>
    <t xml:space="preserve">“Achamos que 5% de pagantes é otimista.”</t>
  </si>
  <si>
    <t xml:space="preserve">Premissas → seção 4 → Taxa de conversão. Digite o patamar de 2026 na coluna C e a evolução anual na coluna B. Lembre que este é o patamar DE REGIME: nos primeiros meses a conversão sobe pela rampa, então 2026 sai naturalmente mais tímido.</t>
  </si>
  <si>
    <t xml:space="preserve">“Quanto tempo até converter no patamar cheio?”</t>
  </si>
  <si>
    <t xml:space="preserve">Premissas → Rampa de maturação da conversão (meses). Com 6, o app leva 6 meses após o lançamento para atingir o patamar do ano. Coloque 1 se quiser conversão cheia desde o primeiro mês.</t>
  </si>
  <si>
    <t xml:space="preserve">“Vamos contratar mais gente / menos gente.”</t>
  </si>
  <si>
    <t xml:space="preserve">Aba PESSOAS. Uma linha por papel: quantidade, custo por pessoa, mês de início e mês de fim. Adicione linhas nos espaços em branco no fim da tabela. O custo total do mês é calculado sozinho e desce para a DRE e para o fluxo de caixa.</t>
  </si>
  <si>
    <t xml:space="preserve">“Quero ver o modelo só com o que já está contratado.”</t>
  </si>
  <si>
    <t xml:space="preserve">Premissas → controle “Considerar o plano de contratações?” → digite 0. Some do modelo tudo que está marcado como Plano na aba Pessoas, sobrando apenas a equipe do MVP.</t>
  </si>
  <si>
    <t xml:space="preserve">“E se os aportes atrasarem?”</t>
  </si>
  <si>
    <t xml:space="preserve">Aba APORTES: mude a data de qualquer linha. Veja o efeito na linha Caixa Acumulado da Análise Fluxo e no indicador “Caixa mínimo” do Resumo.</t>
  </si>
  <si>
    <t xml:space="preserve">“Quero incluir um investidor novo.”</t>
  </si>
  <si>
    <t xml:space="preserve">Aba APORTES. Se ele só coloca dinheiro, preencha uma linha em branco da tabela 1: data, nome, valor, status e tipo. Se ele também traz receita — uma parceria como a da Boston Scientific — use a tabela 2, que tem campos para o aporte e para a receita mensal recorrente, com início e fim. Não é preciso mexer em nenhuma fórmula.</t>
  </si>
  <si>
    <t xml:space="preserve">“E se a Boston fechar?”</t>
  </si>
  <si>
    <t xml:space="preserve">Aba Aportes, tabela 2: mude o status da linha da Boston para Confirmado, ou ligue o interruptor “Considerar acordos em negociação” na seção 7 de Premissas para ver todos os acordos em negociação de uma vez.</t>
  </si>
  <si>
    <t xml:space="preserve">“Quanto cada sócio tem do capital?”</t>
  </si>
  <si>
    <t xml:space="preserve">Aba Aportes, seção 5. É a proporção do dinheiro aportado — ponto de partida da conversa societária, não percentual de equity, que depende do valuation de cada rodada. Ao incluir um investidor novo, lembre de acrescentar o nome dele também nesta tabela: a linha “Capital não atribuído” avisa se você esquecer.</t>
  </si>
  <si>
    <t xml:space="preserve">“Queremos incluir uma nova frente de receita B2B.”</t>
  </si>
  <si>
    <t xml:space="preserve">Premissas, seção 5, tabela “Iniciativas de receita B2B”. Uma linha por frente: nome, categoria (Dados ou Outras), status, modelo de cobrança (valor fixo mensal ou por usuário do painel), valor e período. As duas primeiras linhas são a venda de dados, já planejada; as demais estão em branco para vocês preencherem.</t>
  </si>
  <si>
    <t xml:space="preserve">“Por que a receita de dados só aparece em 2028?”</t>
  </si>
  <si>
    <t xml:space="preserve">Porque o painel precisa de escala. O modelo zera essa receita enquanto a base que consentiu compartilhar dados não passa do mínimo definido em Premissas — mesmo que a data do contrato já tenha chegado. Mexa na taxa de consentimento e no mínimo do painel para ver o efeito.</t>
  </si>
  <si>
    <t xml:space="preserve">“Vamos mudar os preços dos planos.”</t>
  </si>
  <si>
    <t xml:space="preserve">Premissas → seção 3. Preços e mix por plano. A ARPPU implícita aparece logo abaixo do mix, para você conferir o efeito antes de olhar o resultado.</t>
  </si>
  <si>
    <t xml:space="preserve">“Quanto precisamos captar, e até quando?”</t>
  </si>
  <si>
    <t xml:space="preserve">Aba NECESSIDADE DE CAPITAL. A resposta curta está no bloco 'Resposta por cenário': necessidade total, quanto já está na mesa e quanto falta captar. A data limite é a linha 'primeiro mês em que o caixa fica negativo'. O detalhe mês a mês está acima, num bloco por cenário.</t>
  </si>
  <si>
    <t xml:space="preserve">“Quanto cada sócio teria de aportar?”</t>
  </si>
  <si>
    <t xml:space="preserve">Mesma aba, bloco 'Quanto sai de cada sócio'. Mostra o compromisso que já existe, quanto sairia de cada fundador se os quatro cobrissem tudo, quantas vezes isso é o que cada um já colocou, e quanto precisaria vir de fora.</t>
  </si>
  <si>
    <t xml:space="preserve">“Qual o preço mínimo que podemos cobrar?”</t>
  </si>
  <si>
    <t xml:space="preserve">Aba PREÇO MÍNIMO. São quatro pisos, do mais baixo ao mais alto: o que cobre só o custo variável, o que cobre variável mais CAC, o que equilibra o mês e o que entrega a margem desejada. Os três planos aparecem, mantendo a razão de preço entre eles.</t>
  </si>
  <si>
    <t xml:space="preserve">“A assinatura cobre os primeiros seis meses?”</t>
  </si>
  <si>
    <t xml:space="preserve">Aba PREÇO MÍNIMO, seção 6. Define a janela a partir do mês de lançamento, soma o custo da janela (e o anterior ao lançamento, se o interruptor estiver ligado) e devolve o preço único que zeraria a conta. O número de meses está em Premissas, seção 3.</t>
  </si>
  <si>
    <t xml:space="preserve">“No começo vamos ter só o plano Essencial.”</t>
  </si>
  <si>
    <t xml:space="preserve">Premissas → seção 3, 'Mês de entrada do plano Premium' e 'do plano Família'. Antes dessas datas todo pagante é Essencial. Para vender só o Essencial nos cinco anos, jogue as duas datas para depois de dez/2030.</t>
  </si>
  <si>
    <t xml:space="preserve">“O número de um mês específico é diferente do número do ano.”</t>
  </si>
  <si>
    <t xml:space="preserve">Aba AJUSTE MENSAL. Digite o valor naquele mês e ele passa a valer só ali. Em branco, o modelo usa a premissa anual. Serve também para fechar o passado: conforme os meses acontecem, digite o realizado e o modelo projeta só o que falta.</t>
  </si>
  <si>
    <t xml:space="preserve">AS ABAS, UMA A UMA</t>
  </si>
  <si>
    <t xml:space="preserve">Como usar</t>
  </si>
  <si>
    <t xml:space="preserve">Este guia.</t>
  </si>
  <si>
    <t xml:space="preserve">Resumo</t>
  </si>
  <si>
    <t xml:space="preserve">Painel executivo. Três cenários lado a lado, teste Go/No-Go em quatro perguntas objetivas, métricas de unidade e a lista de pontos de atenção que apareceram na modelagem. É a aba para mostrar a um investidor.</t>
  </si>
  <si>
    <t xml:space="preserve">Necessidade de Capital</t>
  </si>
  <si>
    <t xml:space="preserve">Quanto a empresa precisa de investimento e de quem. Mês a mês, com um bloco por cenário: o que a operação queima, o capital já na mesa por status, a reserva mínima desejada e a lacuna que sobra. Fecha com a resposta por cenário e o rateio entre os sócios. Há duas respostas para 'quanto falta captar' — uma ignorando as datas de entrada do capital e outra respeitando. A segunda é a que manda.</t>
  </si>
  <si>
    <t xml:space="preserve">Preço Mínimo</t>
  </si>
  <si>
    <t xml:space="preserve">A conta de trás pra frente: do custo para o preço. Quanto sobra de cada real cobrado depois de imposto, loja e meio de pagamento; o custo variável por assinante; e os pisos de preço de cada plano, mês a mês. A seção 6 responde se a assinatura cobre os primeiros meses do lançamento. Esta aba não altera a projeção — é régua, não motor.</t>
  </si>
  <si>
    <t xml:space="preserve">Premissas</t>
  </si>
  <si>
    <t xml:space="preserve">Todos os números do negócio, em oito seções: controles, tributação, preços e mix, drivers por cenário, monetização, custos operacionais, Boston Scientific e notas metodológicas. É aqui que você passa a maior parte do tempo.</t>
  </si>
  <si>
    <t xml:space="preserve">Ajuste Mensal</t>
  </si>
  <si>
    <t xml:space="preserve">Sobrepõe a premissa anual em um mês específico: captação, churn, conversão, CAC, nuvem fixa, marketing recorrente e administrativas. Em branco, nada muda. A coluna TOTAL conta quantos meses estão sobrepostos, e o bloco final avisa se alguma célula caiu fora da janela do driver e vai ser ignorada.</t>
  </si>
  <si>
    <t xml:space="preserve">Pessoas</t>
  </si>
  <si>
    <t xml:space="preserve">O quadro de pessoal, linha a linha. Separa o que está contratado do que é plano, calcula o headcount mês a mês e o Fator R — o índice que decide se a empresa fica no Anexo III ou no Anexo V do Simples.</t>
  </si>
  <si>
    <t xml:space="preserve">Sócios</t>
  </si>
  <si>
    <t xml:space="preserve">O lucro distribuível e o rateio por participação. Os percentuais estão provisórios — fundadores majoritários, investidores com cotas menores — porque os valores definitivos dependem do valuation de cada rodada. Troque os percentuais e o rateio responde.</t>
  </si>
  <si>
    <t xml:space="preserve">DRE Projetada</t>
  </si>
  <si>
    <t xml:space="preserve">A demonstração de resultado em regime de competência, mês a mês e consolidada por ano. Receita bruta → deduções → receita líquida → lucro bruto → EBITDA → lucro líquido, com as margens em cada etapa.</t>
  </si>
  <si>
    <t xml:space="preserve">Análise Fluxo</t>
  </si>
  <si>
    <t xml:space="preserve">O fluxo de caixa, na mesma estrutura da sua planilha de Análise de Investimento: Projeto (investimentos) → Operacionais → Fluxo de Caixa Livre → VPL, TIR e Payback. Traz também a linha de verificação e o caixa acumulado.</t>
  </si>
  <si>
    <t xml:space="preserve">Faturamento</t>
  </si>
  <si>
    <t xml:space="preserve">A receita aberta por linha de negócio — cada plano, marketplace, B2B — com as deduções e um resumo anual.</t>
  </si>
  <si>
    <t xml:space="preserve">Usuários</t>
  </si>
  <si>
    <t xml:space="preserve">O funil de usuários e as métricas de unidade: CAC, LTV, LTV/CAC, ARPPU, payback do CAC, queima de caixa e runway. Traz também o painel de dados — quantos usuários consentiram compartilhar dados, que é o que a receita B2B de dados monetiza.</t>
  </si>
  <si>
    <t xml:space="preserve">Cenários</t>
  </si>
  <si>
    <t xml:space="preserve">O motor. Os três cenários rodam aqui, mês a mês, e todas as outras abas leem daqui. É a aba mais densa e a única fonte de verdade dos números — consulte, não edite.</t>
  </si>
  <si>
    <t xml:space="preserve">Investimentos</t>
  </si>
  <si>
    <t xml:space="preserve">Cronograma de CAPEX (equipamentos, marca, certificações) e a amortização em 60 meses. O desenvolvimento do app entra aqui vindo da aba Pessoas.</t>
  </si>
  <si>
    <t xml:space="preserve">Aportes</t>
  </si>
  <si>
    <t xml:space="preserve">Todo o capital da empresa: lançamentos de aporte, investidores estratégicos que trazem receita recorrente, resumo do capital, controle do compromisso de R$ 20.000 por fundador e a proporção do capital por sócio. Todas as tabelas têm linhas em branco para você incluir investidores novos.</t>
  </si>
  <si>
    <t xml:space="preserve">Tributos</t>
  </si>
  <si>
    <t xml:space="preserve">Tabelas dos Anexos III e V do Simples Nacional, a tabela ativa conforme o regime escolhido, a explicação do Fator R e quanto custa por ano cair no anexo errado.</t>
  </si>
  <si>
    <t xml:space="preserve">O QUE NÃO MEXER</t>
  </si>
  <si>
    <t xml:space="preserve">Nada quebra de forma irreversível, mas três coisas causam confusão:</t>
  </si>
  <si>
    <t xml:space="preserve">A aba Cenários</t>
  </si>
  <si>
    <t xml:space="preserve">É o motor. Se você mudar uma fórmula lá, as outras abas passam a mostrar números que não batem entre si. A linha de verificação da Análise Fluxo vai acusar.</t>
  </si>
  <si>
    <t xml:space="preserve">As linhas de total</t>
  </si>
  <si>
    <t xml:space="preserve">Em negrito e com fundo azul-claro. São somas — mude as parcelas, não o total.</t>
  </si>
  <si>
    <t xml:space="preserve">A coluna TOTAL (última à direita)</t>
  </si>
  <si>
    <t xml:space="preserve">Em linhas de saldo — base de usuários, caixa acumulado, pagantes — ela mostra o valor do último mês, não uma soma. Está anotado ao lado de cada uma.</t>
  </si>
  <si>
    <t xml:space="preserve">SE ALGUM NÚMERO PARECER ERRADO</t>
  </si>
  <si>
    <t xml:space="preserve">Confira a linha de verificação</t>
  </si>
  <si>
    <t xml:space="preserve">Análise Fluxo, logo abaixo do Caixa Acumulado. Tem que estar zerada em todos os meses.</t>
  </si>
  <si>
    <t xml:space="preserve">Confira o mix de planos</t>
  </si>
  <si>
    <t xml:space="preserve">Premissas, seção 3: a linha de verificação do mix precisa somar 100% em todos os anos.</t>
  </si>
  <si>
    <t xml:space="preserve">Recalcule</t>
  </si>
  <si>
    <t xml:space="preserve">No Excel, F9 força o recálculo. Se você abriu o arquivo e os números parecem antigos, confira se o cálculo automático está ligado em Fórmulas → Opções de Cálculo.</t>
  </si>
  <si>
    <t xml:space="preserve">Cuidado ao sobrescrever fórmulas</t>
  </si>
  <si>
    <t xml:space="preserve">Nas seções com evolução anual (drivers por cenário), as colunas de 2027 a 2030 são calculadas. Digitar por cima é permitido e às vezes desejável — mas aquele ano deixa de seguir a taxa de evolução, e os anos seguintes passam a contar a partir do que você digitou.</t>
  </si>
  <si>
    <t xml:space="preserve">As premissas mais sensíveis do modelo, em ordem: taxa de conversão, churn, CAC e quadro de pessoal. Se for calibrar alguma coisa com os sócios, comece por essas quatro.</t>
  </si>
  <si>
    <t xml:space="preserve">OPPA — VIABILIDADE FINANCEIRA · PAINEL EXECUTIVO</t>
  </si>
  <si>
    <t xml:space="preserve">Projeção de 60 meses (jan/2026 – dez/2030). Os três cenários são calculados simultaneamente. Todos os números vêm de fórmulas — nada está digitado à mão.</t>
  </si>
  <si>
    <t xml:space="preserve">INDICADOR</t>
  </si>
  <si>
    <t xml:space="preserve">CONSERVADOR</t>
  </si>
  <si>
    <t xml:space="preserve">PROVÁVEL</t>
  </si>
  <si>
    <t xml:space="preserve">AGRESSIVO</t>
  </si>
  <si>
    <t xml:space="preserve">Cenário em uso nas abas de detalhe</t>
  </si>
  <si>
    <t xml:space="preserve">TRAÇÃO — USUÁRIOS E RECEITA</t>
  </si>
  <si>
    <t xml:space="preserve">Usuários na base em dez/2026</t>
  </si>
  <si>
    <t xml:space="preserve">Meta do brief: 50 mil usuários ao final de 2026.</t>
  </si>
  <si>
    <t xml:space="preserve">Usuários na base em dez/2030</t>
  </si>
  <si>
    <t xml:space="preserve">Assinantes pagantes em dez/2026</t>
  </si>
  <si>
    <t xml:space="preserve">Meta do brief: 5% da base pagante.</t>
  </si>
  <si>
    <t xml:space="preserve">Assinantes pagantes em dez/2030</t>
  </si>
  <si>
    <t xml:space="preserve">Receita bruta de 2026</t>
  </si>
  <si>
    <t xml:space="preserve">Receita bruta de 2030</t>
  </si>
  <si>
    <t xml:space="preserve">Receita bruta acumulada em 5 anos</t>
  </si>
  <si>
    <t xml:space="preserve">RESULTADO OPERACIONAL</t>
  </si>
  <si>
    <t xml:space="preserve">EBITDA de 2026</t>
  </si>
  <si>
    <t xml:space="preserve">EBITDA de 2030</t>
  </si>
  <si>
    <t xml:space="preserve">EBITDA acumulado em 5 anos</t>
  </si>
  <si>
    <t xml:space="preserve">Margem EBITDA em 2030 (% da receita bruta)</t>
  </si>
  <si>
    <t xml:space="preserve">Break-even do EBITDA</t>
  </si>
  <si>
    <t xml:space="preserve">Primeiro mês com EBITDA positivo — quando a operação passa a se pagar.</t>
  </si>
  <si>
    <t xml:space="preserve">CAPITAL E CAIXA</t>
  </si>
  <si>
    <t xml:space="preserve">Investimento total (CAPEX)</t>
  </si>
  <si>
    <t xml:space="preserve">Capital requerido (pico de caixa negativo do FCL)</t>
  </si>
  <si>
    <t xml:space="preserve">Quanto a operação precisa de capital antes de se sustentar sozinha.</t>
  </si>
  <si>
    <t xml:space="preserve">Capital total considerado</t>
  </si>
  <si>
    <t xml:space="preserve">Caixa mínimo ao longo do período</t>
  </si>
  <si>
    <t xml:space="preserve">Se ficar negativo, o capital planejado não é suficiente — falta captar a diferença.</t>
  </si>
  <si>
    <t xml:space="preserve">Mês do caixa mínimo</t>
  </si>
  <si>
    <t xml:space="preserve">Quando o caixa chega no fundo do poço — é o mês para o qual o aporte precisa chegar antes.</t>
  </si>
  <si>
    <t xml:space="preserve">Caixa em dez/2030</t>
  </si>
  <si>
    <t xml:space="preserve">FALTA CAPTAR — respeitando as datas de entrada</t>
  </si>
  <si>
    <t xml:space="preserve">Inclui a reserva mínima de caixa. Detalhe mês a mês na aba Necessidade de Capital.</t>
  </si>
  <si>
    <t xml:space="preserve">Primeiro mês com caixa negativo</t>
  </si>
  <si>
    <t xml:space="preserve">O prazo da captação. Pode ser bem antes do mês do fundo do poço.</t>
  </si>
  <si>
    <t xml:space="preserve">Por fundador, se os quatro cobrissem a lacuna</t>
  </si>
  <si>
    <t xml:space="preserve">Além dos R$ 20 mil já comprometidos por cada um.</t>
  </si>
  <si>
    <t xml:space="preserve">PREÇO vs CUSTO — A CONTA DE TRÁS PRA FRENTE</t>
  </si>
  <si>
    <t xml:space="preserve">Primeiro mês em que a assinatura cobre o custo</t>
  </si>
  <si>
    <t xml:space="preserve">Ao preço de tabela. É o mesmo mês do break-even acima — as duas contas são a mesma, lidas de lados opostos.</t>
  </si>
  <si>
    <t xml:space="preserve">EBITDA acumulado até o fim da janela de cobertura</t>
  </si>
  <si>
    <t xml:space="preserve">Negativo significa que os primeiros meses não se pagam: a diferença vem de capital.</t>
  </si>
  <si>
    <t xml:space="preserve">Preço do Essencial que zeraria a janela inicial  (cenário ativo)</t>
  </si>
  <si>
    <t xml:space="preserve">Um preço único, cobrado em todos os meses da janela definida em Premissas.</t>
  </si>
  <si>
    <t xml:space="preserve">Quantas vezes o preço de hoje  (cenário ativo)</t>
  </si>
  <si>
    <t xml:space="preserve">Acima de ~1,5x o preço deixa de ser vendável: o problema passa a ser de escala, não de preço.</t>
  </si>
  <si>
    <t xml:space="preserve">Assinantes necessários na janela, ao preço de hoje  (cenário ativo)</t>
  </si>
  <si>
    <t xml:space="preserve">Contra a média projetada na mesma janela.</t>
  </si>
  <si>
    <t xml:space="preserve">Veredicto da janela inicial  (cenário ativo)</t>
  </si>
  <si>
    <t xml:space="preserve">INDICADORES DE VIABILIDADE (sobre o Fluxo de Caixa Livre)</t>
  </si>
  <si>
    <t xml:space="preserve">VPL — Valor Presente Líquido</t>
  </si>
  <si>
    <t xml:space="preserve">Descontado à TMA definida em Premissas. Positivo = o projeto cria valor.</t>
  </si>
  <si>
    <t xml:space="preserve">TIR mensal</t>
  </si>
  <si>
    <t xml:space="preserve">TIR anual</t>
  </si>
  <si>
    <t xml:space="preserve">Compare com a TMA. Atenção: quando o investimento inicial é pequeno diante do caixa gerado, a TIR fica muito alta e perde poder de comparação — olhe o VPL junto.</t>
  </si>
  <si>
    <t xml:space="preserve">Payback simples (meses)</t>
  </si>
  <si>
    <t xml:space="preserve">Mês em que o FCL acumulado passa a positivo e não volta mais.</t>
  </si>
  <si>
    <t xml:space="preserve">Payback descontado (meses)</t>
  </si>
  <si>
    <t xml:space="preserve">Critério de decisão: payback desejado definido em Premissas.</t>
  </si>
  <si>
    <t xml:space="preserve">FCL acumulado em 5 anos</t>
  </si>
  <si>
    <t xml:space="preserve">Retorno sobre o capital requerido (múltiplo)</t>
  </si>
  <si>
    <t xml:space="preserve">Múltiplo, não percentual: 3,0x significa devolver três vezes o capital que o projeto precisou. Negativo significa que o capital não volta.</t>
  </si>
  <si>
    <t xml:space="preserve">TESTE DE DECISÃO — GO / NO-GO</t>
  </si>
  <si>
    <t xml:space="preserve">O caixa nunca fica negativo?</t>
  </si>
  <si>
    <t xml:space="preserve">O VPL é positivo?</t>
  </si>
  <si>
    <t xml:space="preserve">A TIR anual supera a TMA?</t>
  </si>
  <si>
    <t xml:space="preserve">O payback descontado cabe no prazo desejado?</t>
  </si>
  <si>
    <t xml:space="preserve">DIAGNÓSTICO</t>
  </si>
  <si>
    <t xml:space="preserve">Critério herdado da planilha de viabilidade da EMS (Go / No-Go).</t>
  </si>
  <si>
    <t xml:space="preserve">MÉTRICAS DE UNIDADE — CENÁRIO ATIVO (dez/2030)</t>
  </si>
  <si>
    <t xml:space="preserve">LTV — valor do assinante</t>
  </si>
  <si>
    <t xml:space="preserve">CAC por assinante pagante</t>
  </si>
  <si>
    <t xml:space="preserve">LTV ÷ CAC</t>
  </si>
  <si>
    <t xml:space="preserve">Referência: ≥ 3,0x é saudável. Abaixo de 1,0x destrói valor.</t>
  </si>
  <si>
    <t xml:space="preserve">Payback do CAC (meses)</t>
  </si>
  <si>
    <t xml:space="preserve">Ideal abaixo de 12 meses.</t>
  </si>
  <si>
    <t xml:space="preserve">ARPPU — receita por assinante</t>
  </si>
  <si>
    <t xml:space="preserve">Runway em dez/2026 (meses de caixa)</t>
  </si>
  <si>
    <t xml:space="preserve">Pessoas na operação em dez/2030</t>
  </si>
  <si>
    <t xml:space="preserve">Quadro de pessoal projetado. Edite linha a linha na aba Pessoas.</t>
  </si>
  <si>
    <t xml:space="preserve">PONTOS DE ATENÇÃO IDENTIFICADOS NA MODELAGEM</t>
  </si>
  <si>
    <t xml:space="preserve">▸  Fator R: o modelo está no Anexo V, e é isso mesmo</t>
  </si>
  <si>
    <t xml:space="preserve">A aba Pessoas calcula o Fator R do quadro projetado: fica entre 1% e 6%, muito abaixo dos 28% exigidos para o Anexo III. Como pagamento a PJ não conta como folha, o Anexo III simplesmente não está disponível com a estrutura atual — por isso o regime padrão do modelo é o Anexo V. Migrar parte do time para CLT ou elevar o pró-labore pode reverter isso e economizar até R$ 135 mil por ano; compare na aba Tributos antes de decidir.</t>
  </si>
  <si>
    <t xml:space="preserve">▸  Dependência dos aportes não assinados</t>
  </si>
  <si>
    <t xml:space="preserve">Dos R$ 200 mil do caso-base, R$ 120 mil vêm de C-ioT, Felipe Martinelli e Shaiane — ainda não formalizados. Sem eles, o capital cai para R$ 80 mil e o lançamento com aquisição paga não se sustenta. Este é o maior risco de curto prazo do plano.</t>
  </si>
  <si>
    <t xml:space="preserve">▸  Comissão das lojas de aplicativos</t>
  </si>
  <si>
    <t xml:space="preserve">Apple e Google retêm 15% da assinatura (Google desde o primeiro dia; Apple pelo Small Business Program, válido enquanto a receita anual for inferior a US$ 1 milhão). Acima disso a Apple volta a 30%. É a maior dedução isolada da receita e não estava no brief.</t>
  </si>
  <si>
    <t xml:space="preserve">▸  Conversão de 5% é premissa de quartil superior</t>
  </si>
  <si>
    <t xml:space="preserve">Benchmarks de freemium apontam mediana de 2,2% a 2,6% e faixa típica de 2% a 5%. Os 5% do brief são defensáveis para saúde com feature paga clara (histórico de dados), mas são a premissa mais sensível do modelo — teste o cenário Conservador (3%).</t>
  </si>
  <si>
    <t xml:space="preserve">▸  Teto do Simples Nacional</t>
  </si>
  <si>
    <t xml:space="preserve">O modelo troca automaticamente para o Lucro Presumido quando o RBT12 ultrapassa R$ 4,8 milhões. No cenário Provável isso acontece dentro do horizonte e eleva a carga tributária — planeje a transição societária e contábil com antecedência.</t>
  </si>
  <si>
    <t xml:space="preserve">▸  Só a equipe do MVP está de fato contratada</t>
  </si>
  <si>
    <t xml:space="preserve">Hoje não há time. O único custo de pessoal comprometido são os R$ 21 mil da equipe PJ de set–out/2026 para entregar o app. Todo o quadro projetado a partir de 2027 é plano, não compromisso: está na aba Pessoas, linha a linha, e pode ser desligado inteiro pelo controle de Premissas. É a premissa de custo que mais desloca o resultado.</t>
  </si>
  <si>
    <t xml:space="preserve">▸  A conversão de 2026 depende da rampa, não do patamar</t>
  </si>
  <si>
    <t xml:space="preserve">O patamar de 5% do brief é o regime de médio prazo. Com a rampa de maturação de 6 meses, outubro/2026 converte a 0,83%, novembro a 1,67% e dezembro a 2,50% — 2026 fecha bem abaixo dos 5%. Ajuste a rampa em Premissas conforme a discussão com os sócios.</t>
  </si>
  <si>
    <t xml:space="preserve">▸  Venda de dados: o gargalo é jurídico antes de ser comercial</t>
  </si>
  <si>
    <t xml:space="preserve">Dado de saúde é dado sensível na LGPD (art. 11). Para vender é preciso anonimização efetiva — o art. 12 tira o dado anonimizado do alcance da lei — ou consentimento específico e destacado para essa finalidade, separado do aceite de uso do app e revogável a qualquer tempo. Anonimização mal feita não protege: o que vale é ser irreversível na prática, não no nome. O modelo trata a taxa de consentimento como premissa-chave justamente porque ela, e não o preço do contrato, é o que limita a receita. Vale parecer jurídico antes de assinar o primeiro contrato.</t>
  </si>
  <si>
    <t xml:space="preserve">▸  O painel precisa de escala antes de valer alguma coisa</t>
  </si>
  <si>
    <t xml:space="preserve">Contratos de dados no mercado real vão de US$ 75 mil a US$ 5 milhões por ano, e nenhum comprador paga por um painel pequeno. O modelo zera a receita de dados enquanto a base consentida não passa do mínimo definido em Premissas, mesmo que a data do contrato já tenha chegado. É por isso que essa receita não aparece no ano 1 nem no ano 2.</t>
  </si>
  <si>
    <t xml:space="preserve">▸  O cenário Conservador mantém a estrutura de custos do Provável</t>
  </si>
  <si>
    <t xml:space="preserve">É proposital: mede o risco de dimensionar equipe, marketing e infraestrutura para uma tração que não se confirma. Na prática a gestão cortaria custos — ajuste as linhas de equipe, marketing recorrente e administrativas em Premissas para ver o Conservador com a operação redimensionada.</t>
  </si>
  <si>
    <t xml:space="preserve">▸  Cruzamento dos anexos no teto do Simples</t>
  </si>
  <si>
    <t xml:space="preserve">Na última faixa (RBT12 entre R$ 3,6 mi e R$ 4,8 mi) o Anexo V passa a ser ligeiramente mais barato que o Anexo III, porque a alíquota nominal do Anexo III sobe para 33%. Não é erro da tabela — é o desenho da LC 123/2006. Até essa faixa, o Anexo III é sempre melhor.</t>
  </si>
  <si>
    <t xml:space="preserve">▸  Boston Scientific fora do caso-base</t>
  </si>
  <si>
    <t xml:space="preserve">O acordo não está confirmado e por isso está desligado: o interruptor 'Considerar acordos em negociação' está em 0, na seção 7 de Premissas. Ligue para dimensionar o upside — e considere que a exclusividade B2B hospitalar limita outras receitas do mesmo canal. Para incluir outro investidor estratégico, some uma linha na tabela 2 da aba Aportes.</t>
  </si>
  <si>
    <t xml:space="preserve">▸  No lançamento só existe o plano Essencial</t>
  </si>
  <si>
    <t xml:space="preserve">Premium entra em abr/2027 e Família em out/2027, pelas datas da seção 3 de Premissas. Antes disso todo pagante é Essencial, então a receita por assinante no lançamento é R$ 19,90 e não a média dos três planos. É isto que torna 2026 mais tímido do que a conversão sozinha explicaria, e é também o que empurra o break-even de março para abril de 2027. Mude as duas datas e a curva inteira responde.</t>
  </si>
  <si>
    <t xml:space="preserve">▸  Nenhum preço de mercado cobre os primeiros seis meses</t>
  </si>
  <si>
    <t xml:space="preserve">A aba Preço Mínimo faz a conta de trás pra frente: para a assinatura pagar sozinha a janela do lançamento seria preciso cobrar cerca de 2,5 vezes o preço de hoje, ou ter 2,5 vezes a base projetada. Não é defeito da precificação — é a aritmética de assinatura de ticket baixo com base pequena. O preço cobre o custo variável desde o primeiro assinante; o custo fixo dos primeiros meses é pago por capital. Preço alto no lançamento não resolve o caixa: derruba a conversão e piora o caixa.</t>
  </si>
  <si>
    <t xml:space="preserve">▸  O caixa já fica negativo em 2026, muito antes do fundo do poço</t>
  </si>
  <si>
    <t xml:space="preserve">A aba Necessidade de Capital mostra o primeiro mês com caixa negativo, e ele é bem anterior ao mês do caixa mínimo. A causa não é falta de capital: é desencontro de calendário entre o CAPEX (equipamento em maio, certificação em agosto e setembro) e os aportes (abril, julho, agosto). São poucos milhares de reais, mas conta sem fundo não tem tamanho mínimo. Ajustar a data de dois lançamentos na aba Aportes resolve sem captar nada.</t>
  </si>
  <si>
    <t xml:space="preserve">▸  A data do aporte importa tanto quanto o valor</t>
  </si>
  <si>
    <t xml:space="preserve">Na aba Necessidade de Capital, 'falta captar ignorando datas' e 'falta captar respeitando as datas' dão números diferentes. A segunda é maior porque parte do capital previsto chega depois do mês em que o caixa aperta. Antecipar aporte já previsto resolve parte da lacuna sem captar um real a mais.</t>
  </si>
  <si>
    <t xml:space="preserve">NECESSIDADE DE CAPITAL — QUANTO A EMPRESA PRECISA E DE QUEM</t>
  </si>
  <si>
    <t xml:space="preserve">Mês a mês, porque no começo é o mês que decide. O ano fecha positivo e a empresa quebra em março: é isso que a visão anual esconde.</t>
  </si>
  <si>
    <t xml:space="preserve">Linha do tempo</t>
  </si>
  <si>
    <t xml:space="preserve">TOTAL</t>
  </si>
  <si>
    <t xml:space="preserve">% / Nota</t>
  </si>
  <si>
    <t xml:space="preserve">Mês nº</t>
  </si>
  <si>
    <t xml:space="preserve">Ano</t>
  </si>
  <si>
    <t xml:space="preserve">Índice do ano (auxiliar)</t>
  </si>
  <si>
    <t xml:space="preserve">1. O CAPITAL QUE JÁ ESTÁ NA MESA, POR STATUS — vale para os três cenários</t>
  </si>
  <si>
    <t xml:space="preserve">Realizado</t>
  </si>
  <si>
    <t xml:space="preserve">Dinheiro que já entrou na conta da empresa.</t>
  </si>
  <si>
    <t xml:space="preserve">Compromisso</t>
  </si>
  <si>
    <t xml:space="preserve">Fundadores já se comprometeram; ainda não integralizaram.</t>
  </si>
  <si>
    <t xml:space="preserve">Previsto</t>
  </si>
  <si>
    <t xml:space="preserve">Negociação em curso, sem assinatura. Ligado/desligado em Premissas.</t>
  </si>
  <si>
    <t xml:space="preserve">Em negociação</t>
  </si>
  <si>
    <t xml:space="preserve">Sem compromisso nenhum. Desligado por padrão.</t>
  </si>
  <si>
    <t xml:space="preserve">Investidores estratégicos (tabela 2 da aba Aportes)</t>
  </si>
  <si>
    <t xml:space="preserve">Capital de todos os status, somado</t>
  </si>
  <si>
    <t xml:space="preserve">Capital que o modelo considera (depois dos interruptores)</t>
  </si>
  <si>
    <t xml:space="preserve">É este que entra no caixa. A diferença para a linha acima é o que está desligado.</t>
  </si>
  <si>
    <t xml:space="preserve">Capital considerado — acumulado</t>
  </si>
  <si>
    <t xml:space="preserve">CENÁRIO 1 — CONSERVADOR</t>
  </si>
  <si>
    <t xml:space="preserve">Fluxo de caixa livre do mês (FCL)</t>
  </si>
  <si>
    <t xml:space="preserve">Não inclui aporte: aporte é financiamento, não geração de caixa.</t>
  </si>
  <si>
    <t xml:space="preserve">Buraco do mês (quanto a operação queimou)</t>
  </si>
  <si>
    <t xml:space="preserve">Buraco acumulado</t>
  </si>
  <si>
    <t xml:space="preserve">Soma de todos os meses negativos, sem compensar com os positivos.</t>
  </si>
  <si>
    <t xml:space="preserve">FCL acumulado (os positivos já abatendo os negativos)</t>
  </si>
  <si>
    <t xml:space="preserve">O fundo do poço desta linha é o capital requerido pela operação.</t>
  </si>
  <si>
    <t xml:space="preserve">Custo fixo do mês (nuvem, pessoas, marketing recorrente, administrativas)</t>
  </si>
  <si>
    <t xml:space="preserve">Sem aquisição paga, imposto, loja e meio de pagamento: esses variam com a operação, não com a existência dela.</t>
  </si>
  <si>
    <t xml:space="preserve">Reserva mínima desejada</t>
  </si>
  <si>
    <t xml:space="preserve">Custo fixo dos próximos meses. Nos últimos meses do horizonte não há 'próximos', então cai para o custo fixo do mês vezes o número de meses — senão a reserva sumiria justamente onde a empresa é maior.</t>
  </si>
  <si>
    <t xml:space="preserve">Caixa projetado no fim do mês</t>
  </si>
  <si>
    <t xml:space="preserve">Caixa acima (ou abaixo) da reserva</t>
  </si>
  <si>
    <t xml:space="preserve">Negativo aqui já é sinal amarelo, mesmo com o caixa no positivo.</t>
  </si>
  <si>
    <t xml:space="preserve">FALTA CAPTAR neste mês</t>
  </si>
  <si>
    <t xml:space="preserve">Quanto teria de estar em caixa neste mês e não está.</t>
  </si>
  <si>
    <t xml:space="preserve">FALTA CAPTAR — pior caso até aqui (cronograma de captação)</t>
  </si>
  <si>
    <t xml:space="preserve">Só sobe. É a meta de captação que precisa estar fechada até este mês.</t>
  </si>
  <si>
    <t xml:space="preserve">Marcador — mês com caixa negativo</t>
  </si>
  <si>
    <t xml:space="preserve">Auxiliar: guarda o nº do mês quando o caixa fica negativo. O menor valor é o primeiro mês sem fundo.</t>
  </si>
  <si>
    <t xml:space="preserve">Meses de caixa restantes (runway)</t>
  </si>
  <si>
    <t xml:space="preserve">Caixa dividido pelo custo fixo do mês. Abaixo de 3 é zona de risco.</t>
  </si>
  <si>
    <t xml:space="preserve">CENÁRIO 2 — PROVÁVEL</t>
  </si>
  <si>
    <t xml:space="preserve">CENÁRIO 3 — AGRESSIVO</t>
  </si>
  <si>
    <t xml:space="preserve">RESPOSTA POR CENÁRIO</t>
  </si>
  <si>
    <t xml:space="preserve">QUANTO A EMPRESA PRECISA</t>
  </si>
  <si>
    <t xml:space="preserve">Capital requerido pela operação (pico do FCL acumulado negativo)</t>
  </si>
  <si>
    <t xml:space="preserve">Quanto a operação consome antes de virar. Ignora a data em que o dinheiro chega.</t>
  </si>
  <si>
    <t xml:space="preserve">(+) Reserva mínima no mês mais apertado</t>
  </si>
  <si>
    <t xml:space="preserve">(=) NECESSIDADE TOTAL DE CAPITAL</t>
  </si>
  <si>
    <t xml:space="preserve">(−) Já realizado</t>
  </si>
  <si>
    <t xml:space="preserve">(−) Compromisso dos fundadores a integralizar</t>
  </si>
  <si>
    <t xml:space="preserve">(−) Previsto (negociação em curso)</t>
  </si>
  <si>
    <t xml:space="preserve">Entra como zero se o interruptor de aportes previstos estiver desligado em Premissas.</t>
  </si>
  <si>
    <t xml:space="preserve">(=) FALTA CAPTAR — ignorando as datas de entrada</t>
  </si>
  <si>
    <t xml:space="preserve">Serve para a conversa de rodada: o tamanho do cheque, supondo o dinheiro disponível desde o primeiro mês.</t>
  </si>
  <si>
    <t xml:space="preserve">(=) FALTA CAPTAR — respeitando as datas de entrada</t>
  </si>
  <si>
    <t xml:space="preserve">Esta é a que manda: a pior lacuna de qualquer mês, com cada aporte entrando na data prevista e a reserva mínima respeitada.</t>
  </si>
  <si>
    <t xml:space="preserve">Mês em que essa lacuna aparece</t>
  </si>
  <si>
    <t xml:space="preserve">Caixa mínimo projetado</t>
  </si>
  <si>
    <t xml:space="preserve">Negativo significa conta sem fundo naquele mês — não é um aviso, é a operação parando.</t>
  </si>
  <si>
    <t xml:space="preserve">Prazo real da captação: o dinheiro precisa estar na conta ANTES deste mês.</t>
  </si>
  <si>
    <t xml:space="preserve">Primeiro mês em que o caixa fica NEGATIVO</t>
  </si>
  <si>
    <t xml:space="preserve">O prazo que não se negocia. Antes deste mês o dinheiro tem de estar na conta — pode ser bem antes do mês do fundo do poço.</t>
  </si>
  <si>
    <t xml:space="preserve">QUANTO SAI DE CADA SÓCIO</t>
  </si>
  <si>
    <t xml:space="preserve">Fundadores no quadro</t>
  </si>
  <si>
    <t xml:space="preserve">Lido da tabela de compromisso dos fundadores, na aba Aportes.</t>
  </si>
  <si>
    <t xml:space="preserve">Compromisso total dos fundadores</t>
  </si>
  <si>
    <t xml:space="preserve">R$ 20 mil cada, conforme o acordo em curso.</t>
  </si>
  <si>
    <t xml:space="preserve">Já integralizado pelos fundadores</t>
  </si>
  <si>
    <t xml:space="preserve">Ainda por integralizar do compromisso atual</t>
  </si>
  <si>
    <t xml:space="preserve">Já está dentro do capital que o modelo considera. Não é captação nova.</t>
  </si>
  <si>
    <t xml:space="preserve">Se os fundadores cobrissem TODA a lacuna, quanto sai de cada um</t>
  </si>
  <si>
    <t xml:space="preserve">Além do compromisso que já existe. É a conta de quanto cada um teria de pôr para não precisar de dinheiro de fora e não diluir ninguém.</t>
  </si>
  <si>
    <t xml:space="preserve">Quantas vezes o que cada fundador já integralizou</t>
  </si>
  <si>
    <t xml:space="preserve">Régua de realismo: serve para saber se a conta cabe no bolso dos quatro ou se a captação externa é inevitável.</t>
  </si>
  <si>
    <t xml:space="preserve">Capital externo necessário, se os fundadores só honrarem o compromisso</t>
  </si>
  <si>
    <t xml:space="preserve">O compromisso dos fundadores já está contado no caixa projetado, então a lacuna que sobra é exatamente o que precisa vir de fora.</t>
  </si>
  <si>
    <t xml:space="preserve">Diluição implícita desse capital externo</t>
  </si>
  <si>
    <t xml:space="preserve">Participação que o dinheiro novo compraria se o preço fosse o capital aportado — é piso, não preço: valuation de verdade se negocia, não se calcula aqui. Com um valuation pré-dinheiro maior, a diluição cai na mesma proporção.</t>
  </si>
  <si>
    <t xml:space="preserve">Por que as duas respostas de 'falta captar' diferem: a primeira soma o buraco total e desconta todo o capital previsto, como se o dinheiro estivesse disponível desde janeiro. A segunda percorre os 60 meses e pergunta, em cada um, se o saldo cobre a reserva. Quando a segunda é maior, o problema não é o tamanho do capital — é a data.</t>
  </si>
  <si>
    <t xml:space="preserve">A reserva mínima é o que separa as duas. Zere a célula em Premissas e a necessidade cai para o mínimo matemático: o capital que apenas evita o saldo negativo, sem nenhuma folga. É um número para medir o piso, não para operar.</t>
  </si>
  <si>
    <t xml:space="preserve">PREÇO MÍNIMO — DO CUSTO PARA O PREÇO</t>
  </si>
  <si>
    <t xml:space="preserve">1. QUEM PAGA, E QUANTO PAGA HOJE</t>
  </si>
  <si>
    <t xml:space="preserve">Assinantes pagantes</t>
  </si>
  <si>
    <t xml:space="preserve">Pagantes — Essencial</t>
  </si>
  <si>
    <t xml:space="preserve">Pagantes — Premium</t>
  </si>
  <si>
    <t xml:space="preserve">Zero até o mês de entrada do plano, definido em Premissas.</t>
  </si>
  <si>
    <t xml:space="preserve">Pagantes — Família</t>
  </si>
  <si>
    <t xml:space="preserve">Preço do Essencial vigente no mês</t>
  </si>
  <si>
    <t xml:space="preserve">Premium ÷ Essencial</t>
  </si>
  <si>
    <t xml:space="preserve">A razão entre os preços. É o que permite traduzir todo mundo em Essencial.</t>
  </si>
  <si>
    <t xml:space="preserve">Família ÷ Essencial</t>
  </si>
  <si>
    <t xml:space="preserve">Assinantes equivalentes a Essencial (unidades equivalentes)</t>
  </si>
  <si>
    <t xml:space="preserve">Receita de assinatura = preço do Essencial × esta linha. É a unidade da conta.</t>
  </si>
  <si>
    <t xml:space="preserve">Receita de assinaturas (conferência: deve bater com o motor)</t>
  </si>
  <si>
    <t xml:space="preserve">Deve ser zero em todos os meses.</t>
  </si>
  <si>
    <t xml:space="preserve">ARPPU real do mês (receita de assinatura ÷ pagantes)</t>
  </si>
  <si>
    <t xml:space="preserve">Durante a fase só-Essencial, igual ao preço do Essencial.</t>
  </si>
  <si>
    <t xml:space="preserve">2. QUANTO SOBRA DE CADA REAL COBRADO</t>
  </si>
  <si>
    <t xml:space="preserve">(−) Imposto sobre a receita (alíquota efetiva)</t>
  </si>
  <si>
    <t xml:space="preserve">(−) Comissão das lojas, efetiva</t>
  </si>
  <si>
    <t xml:space="preserve">15% só sobre a parte cobrada dentro do app. Fora dela não há comissão.</t>
  </si>
  <si>
    <t xml:space="preserve">(−) Meio de pagamento, efetivo</t>
  </si>
  <si>
    <t xml:space="preserve">(=) Fica para a empresa, de cada real de assinatura</t>
  </si>
  <si>
    <t xml:space="preserve">É o divisor de toda a aba: cobrar R$ 1 não é receber R$ 1.</t>
  </si>
  <si>
    <t xml:space="preserve">3. O CUSTO A COBRIR</t>
  </si>
  <si>
    <t xml:space="preserve">Nuvem por assinante pagante</t>
  </si>
  <si>
    <t xml:space="preserve">Suporte por assinante pagante</t>
  </si>
  <si>
    <t xml:space="preserve">Nuvem dos usuários gratuitos, rateada por pagante</t>
  </si>
  <si>
    <t xml:space="preserve">O plano gratuito não paga, mas consome. Quem paga sustenta quem não paga.</t>
  </si>
  <si>
    <t xml:space="preserve">Painel de dados, rateado por pagante</t>
  </si>
  <si>
    <t xml:space="preserve">(=) Custo variável por pagante</t>
  </si>
  <si>
    <t xml:space="preserve">CAC por assinante conquistado</t>
  </si>
  <si>
    <t xml:space="preserve">CAC por usuário captado, dividido pela conversão: o custo de conquistar um PAGANTE.</t>
  </si>
  <si>
    <t xml:space="preserve">CAC diluído por mês de vida do assinante</t>
  </si>
  <si>
    <t xml:space="preserve">Vida esperada = 1 ÷ churn. Multiplicar por churn é diluir o CAC nessa vida.</t>
  </si>
  <si>
    <t xml:space="preserve">Custo operacional total do mês</t>
  </si>
  <si>
    <t xml:space="preserve">Nuvem, suporte, pessoas, marketing e administrativas. Sem imposto, loja e meio de pagamento: esses já estão descontados no fator acima.</t>
  </si>
  <si>
    <t xml:space="preserve">Outras receitas, líquidas (marketplace e B2B)</t>
  </si>
  <si>
    <t xml:space="preserve">Entram como abatimento: o que o marketplace e o B2B pagam, a assinatura não precisa pagar. Venda de dados não passa por loja nem por adquirente.</t>
  </si>
  <si>
    <t xml:space="preserve">(=) Custo que a assinatura tem de cobrir</t>
  </si>
  <si>
    <t xml:space="preserve">Investimento do mês (CAPEX) — fora da conta de preço</t>
  </si>
  <si>
    <t xml:space="preserve">Equipamento e certificação são investimento, pagos por capital, não por assinatura. Ficam de fora de propósito — aparecem aqui só para você ver o tamanho.</t>
  </si>
  <si>
    <t xml:space="preserve">4. OS PISOS DE PREÇO DO ESSENCIAL, MÊS A MÊS</t>
  </si>
  <si>
    <t xml:space="preserve">Piso 1 — cobre só o custo variável (margem de contribuição zero)</t>
  </si>
  <si>
    <t xml:space="preserve">Abaixo disto, cada assinante novo dá prejuízo. É o piso absoluto.</t>
  </si>
  <si>
    <t xml:space="preserve">Piso 2 — cobre o variável e o CAC diluído</t>
  </si>
  <si>
    <t xml:space="preserve">Abaixo disto, crescer destrói valor: o assinante não devolve o que custou conquistar.</t>
  </si>
  <si>
    <t xml:space="preserve">Piso 3 — EQUILIBRA O MÊS (EBITDA zero)</t>
  </si>
  <si>
    <t xml:space="preserve">Com a base daquele mês. Nos primeiros meses fica absurdo — e é esse o ponto: não é o preço que está errado, é a base que ainda é pequena.</t>
  </si>
  <si>
    <t xml:space="preserve">Preço-alvo — entrega a margem EBITDA desejada</t>
  </si>
  <si>
    <t xml:space="preserve">Os mesmos pisos, traduzidos para os outros dois planos</t>
  </si>
  <si>
    <t xml:space="preserve">Premium — piso de equilíbrio do mês</t>
  </si>
  <si>
    <t xml:space="preserve">Mantém a razão de preço atual entre os planos. Mude os preços em Premissas e a razão muda com eles.</t>
  </si>
  <si>
    <t xml:space="preserve">Família — piso de equilíbrio do mês</t>
  </si>
  <si>
    <t xml:space="preserve">Premium — preço-alvo</t>
  </si>
  <si>
    <t xml:space="preserve">Família — preço-alvo</t>
  </si>
  <si>
    <t xml:space="preserve">5. O OUTRO LADO DA MESMA CONTA: QUANTOS ASSINANTES</t>
  </si>
  <si>
    <t xml:space="preserve">Assinantes equivalentes necessários para equilibrar o mês</t>
  </si>
  <si>
    <t xml:space="preserve">Ao preço de tabela. É o piso 3 lido pelo outro lado.</t>
  </si>
  <si>
    <t xml:space="preserve">Assinantes equivalentes projetados</t>
  </si>
  <si>
    <t xml:space="preserve">Faltam (ou sobram)</t>
  </si>
  <si>
    <t xml:space="preserve">Positivo = o mês se paga no preço atual.</t>
  </si>
  <si>
    <t xml:space="preserve">Marcador — mês em que a projeção cobre o custo</t>
  </si>
  <si>
    <t xml:space="preserve">✔ Reconciliação com o motor (deve ser zero em todos os meses)</t>
  </si>
  <si>
    <t xml:space="preserve">Prova a identidade da aba contra o EBITDA do motor. Se der diferente de zero, a decomposição de custo ou o fator de retenção estão errados.</t>
  </si>
  <si>
    <t xml:space="preserve">6. A PERGUNTA DO LANÇAMENTO: O ESSENCIAL COBRE OS PRIMEIROS MESES?</t>
  </si>
  <si>
    <t xml:space="preserve">Primeiro mês da janela</t>
  </si>
  <si>
    <t xml:space="preserve">Último mês da janela</t>
  </si>
  <si>
    <t xml:space="preserve">O número de meses está em Premissas, seção 3.</t>
  </si>
  <si>
    <t xml:space="preserve">Custo operacional dentro da janela</t>
  </si>
  <si>
    <t xml:space="preserve">Custo operacional anterior ao lançamento</t>
  </si>
  <si>
    <t xml:space="preserve">Nuvem desde maio, administrativas desde abril, a equipe PJ de setembro e outubro e a propaganda de lançamento. Entra ou não conforme o interruptor em Premissas.</t>
  </si>
  <si>
    <t xml:space="preserve">(−) Outras receitas líquidas na janela</t>
  </si>
  <si>
    <t xml:space="preserve">(=) Total que a assinatura precisa cobrir</t>
  </si>
  <si>
    <t xml:space="preserve">Assinantes equivalentes × fator de retenção, somados na janela</t>
  </si>
  <si>
    <t xml:space="preserve">PREÇO ÚNICO DO ESSENCIAL QUE ZERA A JANELA</t>
  </si>
  <si>
    <t xml:space="preserve">Um só preço, cobrado em todos os meses da janela, que faz a conta fechar no fim dela.</t>
  </si>
  <si>
    <t xml:space="preserve">Premium equivalente</t>
  </si>
  <si>
    <t xml:space="preserve">Família equivalente</t>
  </si>
  <si>
    <t xml:space="preserve">Preço do Essencial hoje</t>
  </si>
  <si>
    <t xml:space="preserve">Quantas vezes o preço de hoje</t>
  </si>
  <si>
    <t xml:space="preserve">Acima de ~1,5x o preço perde o mercado: é sinal de que a resposta não é preço.</t>
  </si>
  <si>
    <t xml:space="preserve">Assinantes necessários na janela, mantendo o preço de hoje</t>
  </si>
  <si>
    <t xml:space="preserve">Média de assinantes equivalentes ao longo da janela, não no último mês.</t>
  </si>
  <si>
    <t xml:space="preserve">Assinantes equivalentes projetados no último mês da janela</t>
  </si>
  <si>
    <t xml:space="preserve">Média de assinantes equivalentes projetada na janela</t>
  </si>
  <si>
    <t xml:space="preserve">Quanto falta de base para o preço de hoje bastar</t>
  </si>
  <si>
    <t xml:space="preserve">Quantas vezes a base projetada teria de ser maior. É a mesma pergunta do preço, do lado do volume.</t>
  </si>
  <si>
    <t xml:space="preserve">VEREDICTO</t>
  </si>
  <si>
    <t xml:space="preserve">A leitura honesta: assinatura de ticket baixo não paga custo fixo com base pequena. O preço cobre o custo variável desde o primeiro assinante — é o piso 1 e ele é baixo. O custo fixo dos primeiros meses é pago por capital, e é exatamente isso que a aba NECESSIDADE DE CAPITAL dimensiona. Preço alto demais no lançamento não resolve o caixa: reduz a conversão e piora o caixa.</t>
  </si>
  <si>
    <t xml:space="preserve">7. RESUMO POR CENÁRIO</t>
  </si>
  <si>
    <t xml:space="preserve">Assinantes equivalentes no último mês da janela</t>
  </si>
  <si>
    <t xml:space="preserve">EBITDA acumulado na janela</t>
  </si>
  <si>
    <t xml:space="preserve">Negativo significa que a janela não se paga: a diferença vem de capital.</t>
  </si>
  <si>
    <t xml:space="preserve">EBITDA acumulado até o fim da janela, somando o que veio antes</t>
  </si>
  <si>
    <t xml:space="preserve">Primeiro mês em que o EBITDA cobre o custo</t>
  </si>
  <si>
    <t xml:space="preserve">Mesmo mês do break-even no Resumo. Se divergir, há inconsistência entre as abas.</t>
  </si>
  <si>
    <t xml:space="preserve">OPPA — PREMISSAS DO MODELO</t>
  </si>
  <si>
    <t xml:space="preserve">AZUL = você digita · fundo AMARELO = premissa-chave · PRETO = calculado pelo modelo. Células com marca vermelha no canto têm a fonte do número em comentário. O quadro de pessoas fica na aba Pessoas.</t>
  </si>
  <si>
    <t xml:space="preserve">1. CONTROLES DO MODELO</t>
  </si>
  <si>
    <t xml:space="preserve">Ano →</t>
  </si>
  <si>
    <t xml:space="preserve">Evolução a.a.</t>
  </si>
  <si>
    <t xml:space="preserve">Cenário ativo  (1 = Conservador · 2 = Provável · 3 = Agressivo)</t>
  </si>
  <si>
    <t xml:space="preserve">Troque este número e a planilha inteira recalcula no cenário escolhido.</t>
  </si>
  <si>
    <t xml:space="preserve">Cenário ativo — nome</t>
  </si>
  <si>
    <t xml:space="preserve">Considerar o plano de contratações?  (1 = Sim · 0 = Não)</t>
  </si>
  <si>
    <t xml:space="preserve">Com 0, o modelo considera só quem já está contratado (equipe do MVP).</t>
  </si>
  <si>
    <t xml:space="preserve">LANÇAMENTO DO APP</t>
  </si>
  <si>
    <t xml:space="preserve">Ano de lançamento</t>
  </si>
  <si>
    <t xml:space="preserve">Mês de lançamento  (1 = janeiro … 12 = dezembro)</t>
  </si>
  <si>
    <t xml:space="preserve">Brief: app majoritariamente pronto em outubro.</t>
  </si>
  <si>
    <t xml:space="preserve">Data de lançamento (calculada)</t>
  </si>
  <si>
    <t xml:space="preserve">Mês nº do lançamento na linha do tempo</t>
  </si>
  <si>
    <t xml:space="preserve">Rampa de maturação da conversão (meses)</t>
  </si>
  <si>
    <t xml:space="preserve">É isto que torna 2026 mais tímido. Coloque 1 para converter no patamar cheio desde o primeiro mês.</t>
  </si>
  <si>
    <t xml:space="preserve">PARÂMETROS FINANCEIROS</t>
  </si>
  <si>
    <t xml:space="preserve">TMA — taxa mínima de atratividade (a.a.)</t>
  </si>
  <si>
    <t xml:space="preserve">Original usava 16% a.a.; 25% reflete risco de startup pré-receita.</t>
  </si>
  <si>
    <t xml:space="preserve">TMA equivalente mensal</t>
  </si>
  <si>
    <t xml:space="preserve">Payback desejado (meses) — critério de decisão</t>
  </si>
  <si>
    <t xml:space="preserve">Critério Go/No-Go, herdado da planilha de viabilidade da EMS.</t>
  </si>
  <si>
    <t xml:space="preserve">2. TRIBUTAÇÃO</t>
  </si>
  <si>
    <t xml:space="preserve">Regime  (1 = Simples Anexo III · 2 = Simples Anexo V · 3 = Lucro Presumido)</t>
  </si>
  <si>
    <t xml:space="preserve">⚠ Padrão = 2 (Anexo V). O Fator R do quadro atual fica muito abaixo de 28%, então o Anexo III não está disponível. Veja a conferência na aba Pessoas.</t>
  </si>
  <si>
    <t xml:space="preserve">Alíquota Lucro Presumido / acima do teto do Simples</t>
  </si>
  <si>
    <t xml:space="preserve">PIS 0,65 + COFINS 3,00 + ISS 5,00 + IRPJ 4,80 + CSLL 2,88 = 16,33%</t>
  </si>
  <si>
    <t xml:space="preserve">Teto do Simples Nacional (RBT12)</t>
  </si>
  <si>
    <t xml:space="preserve">LC 123/2006. Acima disso o modelo passa sozinho ao Lucro Presumido.</t>
  </si>
  <si>
    <t xml:space="preserve">3. PREÇOS E MIX DE PLANOS</t>
  </si>
  <si>
    <t xml:space="preserve">•  São quatro planos, conforme o backlog do produto: Free (gratuito, entra na base de usuários mas não gera receita de assinatura), Essencial, Premium e Família. Os três pagos estão abaixo; o Free é a diferença entre a base ativa e os pagantes, na aba Usuários.</t>
  </si>
  <si>
    <t xml:space="preserve">Plano Essencial (R$/mês)  ·  1 familiar, até 3 cuidadores</t>
  </si>
  <si>
    <t xml:space="preserve">Plano Premium (R$/mês)  ·  1 familiar, cuidadores ilimitados</t>
  </si>
  <si>
    <t xml:space="preserve">Plano Família (R$/mês)  ·  até 4 familiares, cuidadores ilimitados</t>
  </si>
  <si>
    <t xml:space="preserve">Reajuste anual de preços (a.a.)</t>
  </si>
  <si>
    <t xml:space="preserve">Aplicado a partir de 2027 (IPCA projetado ~4,5%).</t>
  </si>
  <si>
    <t xml:space="preserve">Mix de pagantes por plano (% dos assinantes)</t>
  </si>
  <si>
    <t xml:space="preserve">Plano Essencial</t>
  </si>
  <si>
    <t xml:space="preserve">Efeito compromisso (Simonson &amp; Tversky, 1992) + padrão de assinatura B2C de ticket baixo.</t>
  </si>
  <si>
    <t xml:space="preserve">Plano Premium</t>
  </si>
  <si>
    <t xml:space="preserve">Plano-ponte: cresce conforme o Premium ganha valor percebido.</t>
  </si>
  <si>
    <t xml:space="preserve">Plano Família</t>
  </si>
  <si>
    <t xml:space="preserve">Fatia menor mas crescente — ancoragem de preço que sustenta o Intermediário.</t>
  </si>
  <si>
    <t xml:space="preserve">Verificação do mix (deve somar 100%)</t>
  </si>
  <si>
    <t xml:space="preserve">ARPPU implícita (receita média por assinante pagante)</t>
  </si>
  <si>
    <t xml:space="preserve">Ignora a entrada faseada: é a ARPPU com os três planos no ar. A ARPPU real, mês a mês, está na aba Preço Mínimo.</t>
  </si>
  <si>
    <t xml:space="preserve">Entrada dos planos — o que está no ar em cada mês</t>
  </si>
  <si>
    <t xml:space="preserve">•  No lançamento só existe o Essencial. Premium e Família entram quando o produto tiver recurso que os justifique. Antes da data de entrada, quem assina vai todo para o Essencial — o mix dos outros dois é ignorado, não redistribuído. Para vender só o Essencial nos cinco anos, jogue as duas datas para depois de dez/2030.</t>
  </si>
  <si>
    <t xml:space="preserve">Mês de entrada do plano Premium</t>
  </si>
  <si>
    <t xml:space="preserve">Padrão: 6 meses após o lançamento. Antes disso, todo pagante é Essencial.</t>
  </si>
  <si>
    <t xml:space="preserve">Mês de entrada do plano Família</t>
  </si>
  <si>
    <t xml:space="preserve">Padrão: 12 meses após o lançamento.</t>
  </si>
  <si>
    <t xml:space="preserve">Política de preço — parâmetros da conta de trás pra frente</t>
  </si>
  <si>
    <t xml:space="preserve">•  A aba PREÇO MÍNIMO parte do custo e devolve o preço. Estes três campos definem a régua. Nada aqui altera a projeção: o preço que o modelo cobra é o digitado acima. Fechar o laço criaria circularidade — preço muda receita, receita muda a faixa do Simples, a faixa muda o preço mínimo.</t>
  </si>
  <si>
    <t xml:space="preserve">Meses iniciais que a assinatura precisa cobrir</t>
  </si>
  <si>
    <t xml:space="preserve">Contados do mês de lançamento. É a janela da pergunta “o Essencial cobre os primeiros seis meses?”</t>
  </si>
  <si>
    <t xml:space="preserve">Incluir na conta os custos anteriores ao lançamento?  (1 = Sim · 0 = Não)</t>
  </si>
  <si>
    <t xml:space="preserve">Com 1, a janela paga também o que foi gasto antes do lançamento.</t>
  </si>
  <si>
    <t xml:space="preserve">Margem EBITDA desejada no preço-alvo</t>
  </si>
  <si>
    <t xml:space="preserve">Usada só na linha de preço-alvo. Não entra na projeção.</t>
  </si>
  <si>
    <t xml:space="preserve">4. DRIVERS POR CENÁRIO</t>
  </si>
  <si>
    <t xml:space="preserve">•  Cada driver tem 3 linhas — Conservador, Provável e Agressivo. O modelo usa a do cenário ativo.</t>
  </si>
  <si>
    <t xml:space="preserve">•  Digite o patamar de 2026 na coluna C e a taxa de evolução anual na coluna B: 2027 a 2030 são calculados sozinhos. Quer um ano específico fora da curva? Digite por cima — a célula vira entrada manual e os anos seguintes continuam a partir dela.</t>
  </si>
  <si>
    <t xml:space="preserve">Novos usuários captados por mês (média do ano)</t>
  </si>
  <si>
    <t xml:space="preserve">Conservador</t>
  </si>
  <si>
    <t xml:space="preserve">Provável</t>
  </si>
  <si>
    <t xml:space="preserve">Calibrado para a meta de ~50.000 usuários em dez/2026.</t>
  </si>
  <si>
    <t xml:space="preserve">Agressivo</t>
  </si>
  <si>
    <t xml:space="preserve">Churn mensal da base de usuários</t>
  </si>
  <si>
    <t xml:space="preserve">Saúde &amp; Fitness: 7–10%/mês (mediana 9,2%). Evolução negativa = churn melhorando.</t>
  </si>
  <si>
    <t xml:space="preserve">Taxa de conversão (pagantes ÷ base ativa) — patamar de regime</t>
  </si>
  <si>
    <t xml:space="preserve">Patamar de regime. A rampa (controle 1) segura a conversão nos primeiros meses.</t>
  </si>
  <si>
    <t xml:space="preserve">CAC — custo de aquisição por novo usuário (R$)</t>
  </si>
  <si>
    <t xml:space="preserve">CPI Brasil saúde: R$ 1,50–4,00. Sobe com a escala.</t>
  </si>
  <si>
    <t xml:space="preserve">Aquisição orgânica (% dos novos usuários, sem custo de mídia)</t>
  </si>
  <si>
    <t xml:space="preserve">Boca a boca + conteúdo da agência da Shaiane. Reduz a fatia paga com mídia.</t>
  </si>
  <si>
    <t xml:space="preserve">5. MONETIZAÇÃO — CANAIS, TAXAS E RECEITA B2B</t>
  </si>
  <si>
    <t xml:space="preserve">Taxa das lojas de aplicativos (App Store / Google Play)</t>
  </si>
  <si>
    <t xml:space="preserve">Google Play 15% desde o 1º dia; Apple 15% no Small Business Program.</t>
  </si>
  <si>
    <t xml:space="preserve">% da receita de assinaturas cobrada pelas lojas</t>
  </si>
  <si>
    <t xml:space="preserve">Migração gradual para checkout web/PIX próprio, que não paga comissão de loja.</t>
  </si>
  <si>
    <t xml:space="preserve">Taxa de meio de pagamento (venda direta web/PIX)</t>
  </si>
  <si>
    <t xml:space="preserve">Média ponderada de cartão (~4,99%) e PIX (~1,0%).</t>
  </si>
  <si>
    <t xml:space="preserve">Receita B2B de dados — o painel</t>
  </si>
  <si>
    <t xml:space="preserve">•  O dado só vale se houver escala e consentimento. Estas três premissas definem o tamanho do painel comercializável; a tabela logo abaixo define o que se cobra por ele. Enquanto o painel não atingir o mínimo, nenhum contrato de dados gera receita, por mais que a data de início já tenha passado.</t>
  </si>
  <si>
    <t xml:space="preserve">% da base que consente compartilhar dados</t>
  </si>
  <si>
    <t xml:space="preserve">⚠ Consentimento específico e destacado, separado dos termos do app. Revogável.</t>
  </si>
  <si>
    <t xml:space="preserve">Base mínima do painel para ter valor comercial (usuários)</t>
  </si>
  <si>
    <t xml:space="preserve">Abaixo deste número, a receita de dados é zero, mesmo com contrato na tabela.</t>
  </si>
  <si>
    <t xml:space="preserve">Custo de processamento do painel (R$/usuário/mês)</t>
  </si>
  <si>
    <t xml:space="preserve">Anonimização, agregação e entrega dos dados. Entra na linha de nuvem.</t>
  </si>
  <si>
    <t xml:space="preserve">Considerar iniciativas B2B EM ESTUDO?  (1 = Sim · 0 = Não)</t>
  </si>
  <si>
    <t xml:space="preserve">⚠ Desligado. Liga as linhas marcadas como 'Em estudo' na tabela abaixo.</t>
  </si>
  <si>
    <t xml:space="preserve">Iniciativas de receita B2B</t>
  </si>
  <si>
    <t xml:space="preserve">Uma linha por iniciativa. As duas primeiras são a venda de dados, já planejada. As demais estão em branco para vocês preencherem — recompra de medicamento de uso crônico, integrações com farmácia, o que vier. Categoria separa o que aparece como 'venda de dados' do que aparece como 'outras iniciativas' na DRE.</t>
  </si>
  <si>
    <t xml:space="preserve">Iniciativa</t>
  </si>
  <si>
    <t xml:space="preserve">Categoria</t>
  </si>
  <si>
    <t xml:space="preserve">Status</t>
  </si>
  <si>
    <t xml:space="preserve">Modelo</t>
  </si>
  <si>
    <t xml:space="preserve">Valor</t>
  </si>
  <si>
    <t xml:space="preserve">Início</t>
  </si>
  <si>
    <t xml:space="preserve">Fim</t>
  </si>
  <si>
    <t xml:space="preserve">Venda de dados à indústria farmacêutica</t>
  </si>
  <si>
    <t xml:space="preserve">Dados</t>
  </si>
  <si>
    <t xml:space="preserve">Planejado</t>
  </si>
  <si>
    <t xml:space="preserve">Fixo mensal</t>
  </si>
  <si>
    <t xml:space="preserve">Modelo 'Fixo mensal': o valor é R$/mês de contrato. 'Por usuário': o valor é R$ por usuário do painel por mês.</t>
  </si>
  <si>
    <t xml:space="preserve">Venda de dados a redes de farmácia</t>
  </si>
  <si>
    <t xml:space="preserve">Recompra de medicamento de uso crônico</t>
  </si>
  <si>
    <t xml:space="preserve">Outras</t>
  </si>
  <si>
    <t xml:space="preserve">Em estudo</t>
  </si>
  <si>
    <t xml:space="preserve">Marketplace de dispositivos</t>
  </si>
  <si>
    <t xml:space="preserve">Comissão média sobre GMV</t>
  </si>
  <si>
    <t xml:space="preserve">Brief: faixa de 5% a 15%. Adotado o ponto médio.</t>
  </si>
  <si>
    <t xml:space="preserve">Ticket médio do dispositivo (R$)</t>
  </si>
  <si>
    <t xml:space="preserve">Oxímetro ~R$150, smartwatch de saúde ~R$400, balança/pressão ~R$250.</t>
  </si>
  <si>
    <t xml:space="preserve">Taxa de compra mensal (% da base ativa que compra no mês)</t>
  </si>
  <si>
    <t xml:space="preserve">Marketplace só entra no ar em 2027. Compra de device é evento raro e de alto ticket.</t>
  </si>
  <si>
    <t xml:space="preserve">6. CUSTOS OPERACIONAIS (exceto pessoas — ver aba Pessoas)</t>
  </si>
  <si>
    <t xml:space="preserve">Início dos custos de nuvem</t>
  </si>
  <si>
    <t xml:space="preserve">Primeiro gasto real registrado: R$ 532,29 em 04/05/2026.</t>
  </si>
  <si>
    <t xml:space="preserve">Nuvem — custo fixo mensal (R$)</t>
  </si>
  <si>
    <t xml:space="preserve">Base: gasto real de R$ 532,29 em 04/05/2026.</t>
  </si>
  <si>
    <t xml:space="preserve">Nuvem — custo variável por usuário PAGANTE (R$/mês)</t>
  </si>
  <si>
    <t xml:space="preserve">Só o pagante gera histórico — premissa do brief.</t>
  </si>
  <si>
    <t xml:space="preserve">Nuvem — custo variável por usuário GRATUITO (R$/mês)</t>
  </si>
  <si>
    <t xml:space="preserve">Não é zero: ingestão em tempo real e API consomem compute mesmo sem histórico.</t>
  </si>
  <si>
    <t xml:space="preserve">Suporte — ferramentas e custo variável por pagante (R$/mês)</t>
  </si>
  <si>
    <t xml:space="preserve">Chatbot, help desk e base de conhecimento. As PESSOAS de suporte estão na aba Pessoas.</t>
  </si>
  <si>
    <t xml:space="preserve">Início das despesas administrativas</t>
  </si>
  <si>
    <t xml:space="preserve">A partir da constituição da empresa / primeiro aporte (16/04/2026).</t>
  </si>
  <si>
    <t xml:space="preserve">Administrativas (contabilidade, jurídico, ferramentas) — R$/mês</t>
  </si>
  <si>
    <t xml:space="preserve">Não inclui pessoas. Escalonado com o porte da operação.</t>
  </si>
  <si>
    <t xml:space="preserve">Marketing recorrente — mídia de conteúdo e ferramentas (R$/mês)</t>
  </si>
  <si>
    <t xml:space="preserve">Reduzido pela agência da Shaiane, mas não eliminado.</t>
  </si>
  <si>
    <t xml:space="preserve">Início do marketing recorrente</t>
  </si>
  <si>
    <t xml:space="preserve">Propaganda de lançamento — valor único (R$)</t>
  </si>
  <si>
    <t xml:space="preserve">Mês da propaganda de lançamento</t>
  </si>
  <si>
    <t xml:space="preserve">7. CAPITAL — O QUE ENTRA NA CONTA</t>
  </si>
  <si>
    <t xml:space="preserve">•  Os investidores em si ficam na aba APORTES, em duas tabelas com linhas em branco: lançamentos de aporte, e investidores estratégicos que além de aportar trazem receita recorrente — o caso da Boston Scientific. Aqui ficam só os dois interruptores que decidem o que o modelo considera.</t>
  </si>
  <si>
    <t xml:space="preserve">Considerar aportes PREVISTOS?  (1 = Sim · 0 = Não)</t>
  </si>
  <si>
    <t xml:space="preserve">Hoje: R$ 120 mil de C-ioT, Martinelli e Shaiane. Desligue para ver só os fundadores.</t>
  </si>
  <si>
    <t xml:space="preserve">Considerar acordos EM NEGOCIAÇÃO?  (1 = Sim · 0 = Não)</t>
  </si>
  <si>
    <t xml:space="preserve">⚠ Desligado por padrão. Ligue para incluir a Boston Scientific e qualquer outra parceria em negociação.</t>
  </si>
  <si>
    <t xml:space="preserve">Reserva mínima de caixa (meses de custo fixo)</t>
  </si>
  <si>
    <t xml:space="preserve">Entra na conta de quanto ainda falta captar, na aba Necessidade de Capital.</t>
  </si>
  <si>
    <t xml:space="preserve">8. NOTAS METODOLÓGICAS</t>
  </si>
  <si>
    <t xml:space="preserve">•  FCL (Fluxo de Caixa Livre) NÃO inclui aportes de sócios. Aporte é financiamento, não geração de caixa — incluí-lo infla VPL e TIR. A planilha original somava o aporte à receita; aqui os dois fluxos estão separados.</t>
  </si>
  <si>
    <t xml:space="preserve">•  VPL, TIR e Payback são calculados sobre o FCL. Caixa Acumulado e Runway usam FCL + aportes.</t>
  </si>
  <si>
    <t xml:space="preserve">•  Rendimento financeiro do caixa não é considerado (premissa conservadora).</t>
  </si>
  <si>
    <t xml:space="preserve">•  Investimentos saem do caixa no mês do desembolso e são amortizados linearmente em 60 meses na DRE — por isso o EBITDA da DRE difere do fluxo de caixa livre.</t>
  </si>
  <si>
    <t xml:space="preserve">•  Propaganda de lançamento é despesa de marketing, não investimento — diferente da planilha original, que a colocava em 'Projeto'.</t>
  </si>
  <si>
    <t xml:space="preserve">•  O modelo troca sozinho do Simples para o Lucro Presumido quando o RBT12 passa de R$ 4,8 milhões.</t>
  </si>
  <si>
    <t xml:space="preserve">•  Todo o custo de pessoas — PJ, CLT e pró-labore — está na aba Pessoas, linha a linha.</t>
  </si>
  <si>
    <t xml:space="preserve">AJUSTE MENSAL — SOBREPOR O DRIVER ANUAL EM UM MÊS ESPECÍFICO</t>
  </si>
  <si>
    <t xml:space="preserve">Tudo em branco: o modelo roda só com as premissas anuais. Digite em um mês e aquele mês passa a usar o que você digitou. A coluna TOTAL conta quantos meses estão sobrepostos — é o jeito rápido de ver se sobrou alguma célula esquecida.</t>
  </si>
  <si>
    <t xml:space="preserve">•  Serve para os primeiros meses, quando o número do ano não descreve o mês: a captação do mês do lançamento, a conversão do primeiro mês de loja, o CAC de uma campanha pontual, o mês em que a nuvem muda de plano.</t>
  </si>
  <si>
    <t xml:space="preserve">•  Também serve para fechar o passado: conforme os meses acontecem, digite o realizado e o modelo projeta só o que falta.</t>
  </si>
  <si>
    <t xml:space="preserve">•  Zero é um valor, não um branco. Digitar 0 em 'novos usuários' força um mês sem captação; deixar vazio usa o driver do ano.</t>
  </si>
  <si>
    <t xml:space="preserve">Novos usuários captados no mês</t>
  </si>
  <si>
    <t xml:space="preserve">Meses sobrepostos (coluna TOTAL à esquerda).</t>
  </si>
  <si>
    <t xml:space="preserve">Churn mensal da base</t>
  </si>
  <si>
    <t xml:space="preserve">Taxa de conversão — patamar, antes da rampa</t>
  </si>
  <si>
    <t xml:space="preserve">CAC — custo por usuário captado</t>
  </si>
  <si>
    <t xml:space="preserve">CUSTOS — VALEM PARA OS TRÊS CENÁRIOS</t>
  </si>
  <si>
    <t xml:space="preserve">Nuvem — custo fixo mensal</t>
  </si>
  <si>
    <t xml:space="preserve">Continua respeitando a data de início dos custos de nuvem, em Premissas.</t>
  </si>
  <si>
    <t xml:space="preserve">Marketing recorrente</t>
  </si>
  <si>
    <t xml:space="preserve">Continua respeitando a data de início do marketing recorrente.</t>
  </si>
  <si>
    <t xml:space="preserve">Despesas administrativas</t>
  </si>
  <si>
    <t xml:space="preserve">Continua respeitando a data de início das despesas administrativas.</t>
  </si>
  <si>
    <t xml:space="preserve">CONFERÊNCIA — SOBREPOSIÇÕES QUE O MODELO VAI IGNORAR</t>
  </si>
  <si>
    <t xml:space="preserve">⚠ Novos usuários digitados antes do lançamento</t>
  </si>
  <si>
    <t xml:space="preserve">⚠ Conversão digitada antes do lançamento</t>
  </si>
  <si>
    <t xml:space="preserve">⚠ Nuvem fixa digitada antes do início dos custos de nuvem</t>
  </si>
  <si>
    <t xml:space="preserve">⚠ Marketing recorrente digitado antes do início previsto</t>
  </si>
  <si>
    <t xml:space="preserve">⚠ Administrativas digitadas antes do início previsto</t>
  </si>
  <si>
    <t xml:space="preserve">O pessoal não está aqui de propósito: a aba PESSOAS já é linha a linha e mês a mês, com data de entrada e de saída de cada pessoa. É lá que se ajusta equipe.</t>
  </si>
  <si>
    <t xml:space="preserve">PESSOAS — QUADRO DE PESSOAL</t>
  </si>
  <si>
    <t xml:space="preserve">Uma linha por papel. Edite quantidade, custo, início e fim livremente. Status 'Contratado' entra sempre; 'Plano' só entra se o controle 1 de Premissas estiver em 1. Todo o custo de pessoal do modelo sai daqui.</t>
  </si>
  <si>
    <t xml:space="preserve">QUADRO — edite livremente, inclusive as linhas em branco no fim</t>
  </si>
  <si>
    <t xml:space="preserve">Função / papel</t>
  </si>
  <si>
    <t xml:space="preserve">Tipo</t>
  </si>
  <si>
    <t xml:space="preserve">Qtd</t>
  </si>
  <si>
    <t xml:space="preserve">Custo mensal
por pessoa</t>
  </si>
  <si>
    <t xml:space="preserve">Encargos
(% sobre CLT)</t>
  </si>
  <si>
    <t xml:space="preserve">Custo total
mensal</t>
  </si>
  <si>
    <t xml:space="preserve">Classificação</t>
  </si>
  <si>
    <t xml:space="preserve">Equipe PJ — desenvolvimento do MVP</t>
  </si>
  <si>
    <t xml:space="preserve">PJ</t>
  </si>
  <si>
    <t xml:space="preserve">Contratado</t>
  </si>
  <si>
    <t xml:space="preserve">Investimento</t>
  </si>
  <si>
    <t xml:space="preserve">Desenvolvimento — time base</t>
  </si>
  <si>
    <t xml:space="preserve">Plano</t>
  </si>
  <si>
    <t xml:space="preserve">Despesa</t>
  </si>
  <si>
    <t xml:space="preserve">Desenvolvimento — ampliação 2028 (adicional)</t>
  </si>
  <si>
    <t xml:space="preserve">Desenvolvimento — ampliação 2029 (adicional)</t>
  </si>
  <si>
    <t xml:space="preserve">Desenvolvimento — ampliação 2030 (adicional)</t>
  </si>
  <si>
    <t xml:space="preserve">Suporte ao cliente — time base</t>
  </si>
  <si>
    <t xml:space="preserve">Suporte — ampliação 2028 (adicional)</t>
  </si>
  <si>
    <t xml:space="preserve">Suporte — ampliação 2029 (adicional)</t>
  </si>
  <si>
    <t xml:space="preserve">Suporte — ampliação 2030 (adicional)</t>
  </si>
  <si>
    <t xml:space="preserve">Growth e marketing</t>
  </si>
  <si>
    <t xml:space="preserve">Growth — ampliação 2028 (adicional)</t>
  </si>
  <si>
    <t xml:space="preserve">Growth — ampliação 2029 (adicional)</t>
  </si>
  <si>
    <t xml:space="preserve">Dados e infraestrutura</t>
  </si>
  <si>
    <t xml:space="preserve">Dados e infraestrutura — ampliação 2029 (adicional)</t>
  </si>
  <si>
    <t xml:space="preserve">Produto e gestão</t>
  </si>
  <si>
    <t xml:space="preserve">Produto e gestão — ampliação 2030 (adicional)</t>
  </si>
  <si>
    <t xml:space="preserve">Pró-labore dos sócios (2027–2028)</t>
  </si>
  <si>
    <t xml:space="preserve">Sócio</t>
  </si>
  <si>
    <t xml:space="preserve">Pró-labore dos sócios (2029–2030)</t>
  </si>
  <si>
    <t xml:space="preserve">(exemplo) Contratação CLT</t>
  </si>
  <si>
    <t xml:space="preserve">CLT</t>
  </si>
  <si>
    <t xml:space="preserve">TOTAL DO QUADRO (custo mensal se todas as linhas estivessem ativas)</t>
  </si>
  <si>
    <t xml:space="preserve">Azul-escuro/verde = já contratado · azul-claro = plano sugerido, a validar. Coluna 'Custo total mensal' é calculada.</t>
  </si>
  <si>
    <t xml:space="preserve">CUSTO MENSAL DE PESSOAL</t>
  </si>
  <si>
    <t xml:space="preserve">Pessoas ativas no mês (headcount)</t>
  </si>
  <si>
    <t xml:space="preserve">Quadro em dez/2030, não soma.</t>
  </si>
  <si>
    <t xml:space="preserve">Equipe PJ (despesa)</t>
  </si>
  <si>
    <t xml:space="preserve">Equipe CLT — salários e encargos (despesa)</t>
  </si>
  <si>
    <t xml:space="preserve">Pró-labore dos sócios (despesa)</t>
  </si>
  <si>
    <t xml:space="preserve">TOTAL DE PESSOAL — DESPESA</t>
  </si>
  <si>
    <t xml:space="preserve">Pessoal capitalizado — INVESTIMENTO</t>
  </si>
  <si>
    <t xml:space="preserve">Vai para a aba Investimentos e é amortizado em 60 meses.</t>
  </si>
  <si>
    <t xml:space="preserve">Folha que conta para o Fator R (CLT + pró-labore)</t>
  </si>
  <si>
    <t xml:space="preserve">Pagamento a PJ não entra no Fator R.</t>
  </si>
  <si>
    <t xml:space="preserve">RESUMO ANUAL E FATOR R</t>
  </si>
  <si>
    <t xml:space="preserve">Custo total de pessoal (despesa)</t>
  </si>
  <si>
    <t xml:space="preserve">Pessoal capitalizado (investimento)</t>
  </si>
  <si>
    <t xml:space="preserve">Folha do Fator R (CLT + pró-labore)</t>
  </si>
  <si>
    <t xml:space="preserve">Pessoas ativas em dezembro</t>
  </si>
  <si>
    <t xml:space="preserve">Receita bruta do ano (cenário ativo)</t>
  </si>
  <si>
    <t xml:space="preserve">FATOR R  (folha ÷ receita bruta)</t>
  </si>
  <si>
    <t xml:space="preserve">Anexo aplicável</t>
  </si>
  <si>
    <t xml:space="preserve">Regime escolhido em Premissas</t>
  </si>
  <si>
    <t xml:space="preserve">Escolha compatível com o Fator R?</t>
  </si>
  <si>
    <t xml:space="preserve">Custo de pessoal ÷ receita bruta</t>
  </si>
  <si>
    <t xml:space="preserve">▸  Como o Fator R funciona</t>
  </si>
  <si>
    <t xml:space="preserve">Fator R = (folha CLT + pró-labore dos últimos 12 meses) ÷ receita bruta dos últimos 12 meses. Igual ou acima de 28%, a empresa fica no Anexo III do Simples (alíquota efetiva a partir de 6%). Abaixo, cai no Anexo V (a partir de 15,5%). Pagamento a equipe PJ NÃO entra na conta.</t>
  </si>
  <si>
    <t xml:space="preserve">▸  Por que isso importa para a Oppa</t>
  </si>
  <si>
    <t xml:space="preserve">Com o quadro atual — equipe PJ e pró-labore modesto — o Fator R fica bem abaixo de 28%, o que leva ao Anexo V. Migrar parte do time para CLT ou aumentar o pró-labore eleva o custo de folha, mas pode reduzir mais imposto do que custa. Use a linha de exemplo CLT e a aba Tributos para comparar os dois efeitos antes de decidir.</t>
  </si>
  <si>
    <t xml:space="preserve">▸  O que está de fato contratado</t>
  </si>
  <si>
    <t xml:space="preserve">Só a equipe PJ do MVP, de setembro a outubro de 2026, R$ 21.000 no total. Todo o resto é plano — desligue no controle 1 de Premissas para ver o modelo sem nenhuma contratação futura.</t>
  </si>
  <si>
    <t xml:space="preserve">SÓCIOS — QUANTO SOBRA PARA DIVIDIR</t>
  </si>
  <si>
    <t xml:space="preserve">Quanto o negócio gera de lucro, quanto disso pode virar dinheiro no bolso dos sócios, e quanto cabe a cada um. Os percentuais de participação são PLACEHOLDER — troque pelos reais quando o quadro societário estiver fechado.</t>
  </si>
  <si>
    <t xml:space="preserve">1. QUADRO SOCIETÁRIO — preencha quando os percentuais estiverem fechados</t>
  </si>
  <si>
    <t xml:space="preserve">⚠ Os percentuais abaixo são um PLACEHOLDER que apenas reflete o que você disse: fundadores majoritários (52% somados) e investidores com fatias menores. Não vieram de negociação nenhuma. Participação societária depende do valuation acordado em cada rodada, e é diferente da proporção do capital aportado — a coluna da direita mostra o tamanho dessa diferença.</t>
  </si>
  <si>
    <t xml:space="preserve">Participação
societária</t>
  </si>
  <si>
    <t xml:space="preserve">Fatia do
pró-labore</t>
  </si>
  <si>
    <t xml:space="preserve">Capital
aportado</t>
  </si>
  <si>
    <t xml:space="preserve">Proporção do
capital</t>
  </si>
  <si>
    <t xml:space="preserve">Prêmio sobre
o capital</t>
  </si>
  <si>
    <t xml:space="preserve">Paulo Kapp</t>
  </si>
  <si>
    <t xml:space="preserve">Fundador</t>
  </si>
  <si>
    <t xml:space="preserve">Lucas Medina</t>
  </si>
  <si>
    <t xml:space="preserve">Felipe Toescher</t>
  </si>
  <si>
    <t xml:space="preserve">Lucas Iung</t>
  </si>
  <si>
    <t xml:space="preserve">C-ioT</t>
  </si>
  <si>
    <t xml:space="preserve">Investidor</t>
  </si>
  <si>
    <t xml:space="preserve">Felipe Martinelli</t>
  </si>
  <si>
    <t xml:space="preserve">Shaiane</t>
  </si>
  <si>
    <t xml:space="preserve">Verificação — a participação soma 100%?</t>
  </si>
  <si>
    <t xml:space="preserve">Os fundadores somam 52% neste placeholder. Se a participação seguisse o capital aportado, eles teriam 40% e seriam minoria.</t>
  </si>
  <si>
    <t xml:space="preserve">2. POLÍTICA DE DISTRIBUIÇÃO</t>
  </si>
  <si>
    <t xml:space="preserve">Meses de custo operacional a manter em caixa</t>
  </si>
  <si>
    <t xml:space="preserve">% do lucro disponível distribuído no ano</t>
  </si>
  <si>
    <t xml:space="preserve">Zero nos primeiros anos: o caixa é para financiar o crescimento. A partir de 2028 distribui parte, e retém o resto.</t>
  </si>
  <si>
    <t xml:space="preserve">3. APURAÇÃO — CENÁRIO ATIVO</t>
  </si>
  <si>
    <t xml:space="preserve">Lucro líquido do exercício</t>
  </si>
  <si>
    <t xml:space="preserve">Vem da DRE anual. É lucro contábil, não dinheiro em caixa.</t>
  </si>
  <si>
    <t xml:space="preserve">Lucro acumulado (compensa prejuízo dos anos anteriores)</t>
  </si>
  <si>
    <t xml:space="preserve">Prejuízo de um ano abate o lucro do seguinte antes de qualquer distribuição.</t>
  </si>
  <si>
    <t xml:space="preserve">Distribuições já feitas em anos anteriores</t>
  </si>
  <si>
    <t xml:space="preserve">O que já foi distribuído em anos anteriores não pode ser distribuído de novo, nem continua em caixa.</t>
  </si>
  <si>
    <t xml:space="preserve">Lucro ainda não distribuído</t>
  </si>
  <si>
    <t xml:space="preserve">Caixa em dezembro (antes de distribuir)</t>
  </si>
  <si>
    <t xml:space="preserve">(−) Distribuições de anos anteriores</t>
  </si>
  <si>
    <t xml:space="preserve">(−) Reserva de caixa</t>
  </si>
  <si>
    <t xml:space="preserve">Meses de custo operacional médio do ano, conforme a política acima.</t>
  </si>
  <si>
    <t xml:space="preserve">Caixa livre</t>
  </si>
  <si>
    <t xml:space="preserve">LUCRO DISTRIBUÍVEL (o menor entre lucro e caixa livre)</t>
  </si>
  <si>
    <t xml:space="preserve">Só se distribui o que é lucro E está em caixa. Um dos dois limita.</t>
  </si>
  <si>
    <t xml:space="preserve">% aplicado</t>
  </si>
  <si>
    <t xml:space="preserve">DISTRIBUÍDO NO ANO</t>
  </si>
  <si>
    <t xml:space="preserve">Distribuições acumuladas</t>
  </si>
  <si>
    <t xml:space="preserve">Pró-labore pago aos sócios no ano</t>
  </si>
  <si>
    <t xml:space="preserve">Já está na DRE como despesa — é dinheiro que os sócios recebem trabalhando, separado da distribuição de lucros.</t>
  </si>
  <si>
    <t xml:space="preserve">Lucro retido na empresa</t>
  </si>
  <si>
    <t xml:space="preserve">Fica na empresa para financiar crescimento — e continua sendo dos sócios.</t>
  </si>
  <si>
    <t xml:space="preserve">4. QUANTO CABE A CADA SÓCIO</t>
  </si>
  <si>
    <t xml:space="preserve">Distribuição de lucros por sócio</t>
  </si>
  <si>
    <t xml:space="preserve">TOTAL 5 ANOS</t>
  </si>
  <si>
    <t xml:space="preserve">TOTAL DISTRIBUÍDO</t>
  </si>
  <si>
    <t xml:space="preserve">Total recebido por sócio nos 5 anos</t>
  </si>
  <si>
    <t xml:space="preserve">Distribuição de lucros</t>
  </si>
  <si>
    <t xml:space="preserve">Pró-labore</t>
  </si>
  <si>
    <t xml:space="preserve">TOTAL RECEBIDO</t>
  </si>
  <si>
    <t xml:space="preserve">Por 1% de participação</t>
  </si>
  <si>
    <t xml:space="preserve">DRE PROJETADA MENSAL — DEMONSTRAÇÃO DO RESULTADO DO EXERCÍCIO</t>
  </si>
  <si>
    <t xml:space="preserve">RECEITA OPERACIONAL BRUTA</t>
  </si>
  <si>
    <t xml:space="preserve">Assinaturas — Plano Essencial</t>
  </si>
  <si>
    <t xml:space="preserve">Assinaturas — Plano Premium</t>
  </si>
  <si>
    <t xml:space="preserve">Assinaturas — Plano Família</t>
  </si>
  <si>
    <t xml:space="preserve">Marketplace — comissões</t>
  </si>
  <si>
    <t xml:space="preserve">B2B — parcerias estratégicas</t>
  </si>
  <si>
    <t xml:space="preserve">B2B — venda de dados</t>
  </si>
  <si>
    <t xml:space="preserve">Contratos da tabela de iniciativas B2B em Premissas, categoria Dados.</t>
  </si>
  <si>
    <t xml:space="preserve">B2B — outras iniciativas</t>
  </si>
  <si>
    <t xml:space="preserve">(=) RECEITA BRUTA</t>
  </si>
  <si>
    <t xml:space="preserve">DEDUÇÕES DA RECEITA BRUTA</t>
  </si>
  <si>
    <t xml:space="preserve">(−) Impostos sobre a receita (Simples / Lucro Presumido)</t>
  </si>
  <si>
    <t xml:space="preserve">(−) Comissão das lojas de aplicativos</t>
  </si>
  <si>
    <t xml:space="preserve">Apple/Google. A maior dedução isolada da receita de assinatura.</t>
  </si>
  <si>
    <t xml:space="preserve">(−) Taxas de meios de pagamento</t>
  </si>
  <si>
    <t xml:space="preserve">(=) RECEITA OPERACIONAL LÍQUIDA</t>
  </si>
  <si>
    <t xml:space="preserve">CUSTO DOS SERVIÇOS PRESTADOS</t>
  </si>
  <si>
    <t xml:space="preserve">(−) Infraestrutura e nuvem</t>
  </si>
  <si>
    <t xml:space="preserve">(−) Suporte ao cliente</t>
  </si>
  <si>
    <t xml:space="preserve">(=) LUCRO BRUTO</t>
  </si>
  <si>
    <t xml:space="preserve">Margem bruta (% da receita líquida)</t>
  </si>
  <si>
    <t xml:space="preserve">DESPESAS OPERACIONAIS</t>
  </si>
  <si>
    <t xml:space="preserve">(−) Pessoal — equipe PJ, CLT e pró-labore</t>
  </si>
  <si>
    <t xml:space="preserve">(−) Marketing e aquisição</t>
  </si>
  <si>
    <t xml:space="preserve">Inclui a propaganda de lançamento, tratada como despesa e não como investimento.</t>
  </si>
  <si>
    <t xml:space="preserve">(−) Despesas administrativas</t>
  </si>
  <si>
    <t xml:space="preserve">(=) EBITDA</t>
  </si>
  <si>
    <t xml:space="preserve">Margem EBITDA (% da receita líquida)</t>
  </si>
  <si>
    <t xml:space="preserve">RESULTADO</t>
  </si>
  <si>
    <t xml:space="preserve">(−) Depreciação e amortização</t>
  </si>
  <si>
    <t xml:space="preserve">Investimentos amortizados linearmente em 60 meses.</t>
  </si>
  <si>
    <t xml:space="preserve">(=) EBIT — resultado operacional</t>
  </si>
  <si>
    <t xml:space="preserve">(+/−) Resultado financeiro</t>
  </si>
  <si>
    <t xml:space="preserve">Rendimento do caixa não considerado (premissa conservadora).</t>
  </si>
  <si>
    <t xml:space="preserve">(=) RESULTADO ANTES DO IR</t>
  </si>
  <si>
    <t xml:space="preserve">(−) IRPJ e CSLL</t>
  </si>
  <si>
    <t xml:space="preserve">Já incluídos na linha de impostos sobre a receita (DAS do Simples ou Lucro Presumido).</t>
  </si>
  <si>
    <t xml:space="preserve">(=) LUCRO LÍQUIDO DO EXERCÍCIO</t>
  </si>
  <si>
    <t xml:space="preserve">Margem líquida (% da receita líquida)</t>
  </si>
  <si>
    <t xml:space="preserve">Lucro líquido acumulado</t>
  </si>
  <si>
    <t xml:space="preserve">DRE ANUAL CONSOLIDADA — a mesma DRE acima, somada por ano</t>
  </si>
  <si>
    <t xml:space="preserve">Demonstração do Resultado</t>
  </si>
  <si>
    <t xml:space="preserve">5 ANOS</t>
  </si>
  <si>
    <t xml:space="preserve">RECEITA BRUTA</t>
  </si>
  <si>
    <t xml:space="preserve">(−) Impostos sobre a receita</t>
  </si>
  <si>
    <t xml:space="preserve">(=) RECEITA LÍQUIDA</t>
  </si>
  <si>
    <t xml:space="preserve">Margem bruta</t>
  </si>
  <si>
    <t xml:space="preserve">(−) Pessoal</t>
  </si>
  <si>
    <t xml:space="preserve">Margem EBITDA</t>
  </si>
  <si>
    <t xml:space="preserve">(=) EBIT</t>
  </si>
  <si>
    <t xml:space="preserve">(=) LUCRO LÍQUIDO</t>
  </si>
  <si>
    <t xml:space="preserve">Margem líquida</t>
  </si>
  <si>
    <t xml:space="preserve">ANÁLISE DE FLUXO DE CAIXA E VIABILIDADE</t>
  </si>
  <si>
    <t xml:space="preserve">PROJETO — INVESTIMENTOS</t>
  </si>
  <si>
    <t xml:space="preserve">Desenvolvimento do app (pessoal capitalizado)</t>
  </si>
  <si>
    <t xml:space="preserve">Equipamentos</t>
  </si>
  <si>
    <t xml:space="preserve">Constituição, marca e jurídico</t>
  </si>
  <si>
    <t xml:space="preserve">Certificações e conformidade</t>
  </si>
  <si>
    <t xml:space="preserve">TOTAL PROJETO</t>
  </si>
  <si>
    <t xml:space="preserve">OPERACIONAIS</t>
  </si>
  <si>
    <t xml:space="preserve">Infraestrutura e nuvem</t>
  </si>
  <si>
    <t xml:space="preserve">Suporte ao cliente</t>
  </si>
  <si>
    <t xml:space="preserve">Equipe PJ</t>
  </si>
  <si>
    <t xml:space="preserve">Equipe CLT (salários e encargos)</t>
  </si>
  <si>
    <t xml:space="preserve">Pró-labore dos sócios</t>
  </si>
  <si>
    <t xml:space="preserve">Marketing de performance (aquisição)</t>
  </si>
  <si>
    <t xml:space="preserve">Marketing recorrente (agência e conteúdo)</t>
  </si>
  <si>
    <t xml:space="preserve">Propaganda de lançamento</t>
  </si>
  <si>
    <t xml:space="preserve">Comissão das lojas de aplicativos</t>
  </si>
  <si>
    <t xml:space="preserve">Taxas de meios de pagamento</t>
  </si>
  <si>
    <t xml:space="preserve">Impostos sobre a receita</t>
  </si>
  <si>
    <t xml:space="preserve">TOTAL OPERACIONAIS</t>
  </si>
  <si>
    <t xml:space="preserve">FLUXO DE CAIXA</t>
  </si>
  <si>
    <t xml:space="preserve">Receita bruta total</t>
  </si>
  <si>
    <t xml:space="preserve">FLUXO DE CAIXA LIVRE (FCL)</t>
  </si>
  <si>
    <t xml:space="preserve">Sem aportes — aporte é financiamento, não geração de caixa.</t>
  </si>
  <si>
    <t xml:space="preserve">FCL descontado</t>
  </si>
  <si>
    <t xml:space="preserve">FCL descontado acumulado</t>
  </si>
  <si>
    <t xml:space="preserve">FCL acumulado (nominal)</t>
  </si>
  <si>
    <t xml:space="preserve">(+) Aportes de sócios</t>
  </si>
  <si>
    <t xml:space="preserve">Fluxo de caixa do período (FCL + aportes)</t>
  </si>
  <si>
    <t xml:space="preserve">CAIXA ACUMULADO</t>
  </si>
  <si>
    <t xml:space="preserve">Auxiliar — mês com FCL acumulado negativo</t>
  </si>
  <si>
    <t xml:space="preserve">Guarda o nº do mês enquanto o acumulado está negativo. O payback é o maior valor desta linha, mais um.</t>
  </si>
  <si>
    <t xml:space="preserve">Auxiliar — mês com FCL descontado acumulado negativo</t>
  </si>
  <si>
    <t xml:space="preserve">✔ Verificação: FCL desta aba − FCL do motor (deve ser zero)</t>
  </si>
  <si>
    <t xml:space="preserve">Zero confirma que o detalhamento reconcilia com o motor de cenários.</t>
  </si>
  <si>
    <t xml:space="preserve">INDICADORES DE VIABILIDADE — CENÁRIO SELECIONADO</t>
  </si>
  <si>
    <t xml:space="preserve">Soma do FCL trazido a valor presente pela TMA. Positivo = cria valor.</t>
  </si>
  <si>
    <t xml:space="preserve">Taxa que zera o VPL.</t>
  </si>
  <si>
    <t xml:space="preserve">Compare com a TMA. Acima dela, o projeto remunera o risco.</t>
  </si>
  <si>
    <t xml:space="preserve">Idem, com o dinheiro trazido a valor presente.</t>
  </si>
  <si>
    <t xml:space="preserve">Capital requerido (pico de caixa negativo)</t>
  </si>
  <si>
    <t xml:space="preserve">Quanto de capital o projeto precisa antes de se sustentar.</t>
  </si>
  <si>
    <t xml:space="preserve">Se negativo, o capital planejado não é suficiente.</t>
  </si>
  <si>
    <t xml:space="preserve">Receita bruta acumulada</t>
  </si>
  <si>
    <t xml:space="preserve">FCL acumulado no período</t>
  </si>
  <si>
    <t xml:space="preserve">FCL acumulado ÷ capital requerido. É um múltiplo, não um percentual: 3,0x significa que o projeto devolve três vezes o capital que precisou.</t>
  </si>
  <si>
    <t xml:space="preserve">TMA utilizada (a.a.)</t>
  </si>
  <si>
    <t xml:space="preserve">Alíquota efetiva média de impostos</t>
  </si>
  <si>
    <t xml:space="preserve">PREMISSAS — RESUMO (editar na aba Premissas)</t>
  </si>
  <si>
    <t xml:space="preserve">Plano Essencial (R$/mês)</t>
  </si>
  <si>
    <t xml:space="preserve">Plano Premium (R$/mês)</t>
  </si>
  <si>
    <t xml:space="preserve">Plano Família (R$/mês)</t>
  </si>
  <si>
    <t xml:space="preserve">Taxa das lojas de aplicativos</t>
  </si>
  <si>
    <t xml:space="preserve">Comissão do marketplace</t>
  </si>
  <si>
    <t xml:space="preserve">TMA (a.a.)</t>
  </si>
  <si>
    <t xml:space="preserve">Payback desejado (meses)</t>
  </si>
  <si>
    <t xml:space="preserve">Rampa de conversão (meses)</t>
  </si>
  <si>
    <t xml:space="preserve">FATURAMENTO PROJETADO</t>
  </si>
  <si>
    <t xml:space="preserve">Marketplace — comissões sobre dispositivos</t>
  </si>
  <si>
    <t xml:space="preserve">RECEITA BRUTA TOTAL</t>
  </si>
  <si>
    <t xml:space="preserve">DEDUÇÕES DA RECEITA</t>
  </si>
  <si>
    <t xml:space="preserve">RECEITA LÍQUIDA</t>
  </si>
  <si>
    <t xml:space="preserve">Alíquota efetiva de impostos</t>
  </si>
  <si>
    <t xml:space="preserve">Simples Nacional progressivo; migra para Lucro Presumido acima de R$ 4,8 mi.</t>
  </si>
  <si>
    <t xml:space="preserve">RESUMO ANUAL</t>
  </si>
  <si>
    <t xml:space="preserve">Receita bruta</t>
  </si>
  <si>
    <t xml:space="preserve">Receita líquida</t>
  </si>
  <si>
    <t xml:space="preserve">Impostos sobre receita</t>
  </si>
  <si>
    <t xml:space="preserve">Comissão de lojas</t>
  </si>
  <si>
    <t xml:space="preserve">USUÁRIOS E INDICADORES DE UNIDADE</t>
  </si>
  <si>
    <t xml:space="preserve">FUNIL DE USUÁRIOS</t>
  </si>
  <si>
    <t xml:space="preserve">Novos usuários captados</t>
  </si>
  <si>
    <t xml:space="preserve">Base de usuários — início do mês</t>
  </si>
  <si>
    <t xml:space="preserve">Saldo em dez/2030.</t>
  </si>
  <si>
    <t xml:space="preserve">(−) Usuários perdidos (churn)</t>
  </si>
  <si>
    <t xml:space="preserve">Base de usuários — fim do mês</t>
  </si>
  <si>
    <t xml:space="preserve">Taxa de conversão</t>
  </si>
  <si>
    <t xml:space="preserve">Usuários pagantes</t>
  </si>
  <si>
    <t xml:space="preserve">Pagantes — Plano Essencial</t>
  </si>
  <si>
    <t xml:space="preserve">Pagantes — Plano Premium</t>
  </si>
  <si>
    <t xml:space="preserve">Pagantes — Plano Família</t>
  </si>
  <si>
    <t xml:space="preserve">Usuários no painel de dados (com consentimento)</t>
  </si>
  <si>
    <t xml:space="preserve">Zero enquanto a base consentida não atinge o mínimo comercial definido em Premissas.</t>
  </si>
  <si>
    <t xml:space="preserve">Pessoas na operação (headcount)</t>
  </si>
  <si>
    <t xml:space="preserve">Usuários gratuitos</t>
  </si>
  <si>
    <t xml:space="preserve">INDICADORES DE UNIDADE</t>
  </si>
  <si>
    <t xml:space="preserve">Investimento em mídia de aquisição</t>
  </si>
  <si>
    <t xml:space="preserve">CAC — custo por usuário adquirido</t>
  </si>
  <si>
    <t xml:space="preserve">Média do período.</t>
  </si>
  <si>
    <t xml:space="preserve">CAC por usuário PAGANTE conquistado</t>
  </si>
  <si>
    <t xml:space="preserve">É este o CAC que a receita de assinatura precisa pagar.</t>
  </si>
  <si>
    <t xml:space="preserve">ARPPU — receita média por assinante pagante</t>
  </si>
  <si>
    <t xml:space="preserve">ARPU — receita média por usuário da base</t>
  </si>
  <si>
    <t xml:space="preserve">Margem de contribuição por pagante (R$/mês)</t>
  </si>
  <si>
    <t xml:space="preserve">Receita líquida menos nuvem e suporte, por assinante.</t>
  </si>
  <si>
    <t xml:space="preserve">LTV — valor do assinante ao longo da vida</t>
  </si>
  <si>
    <t xml:space="preserve">Margem de contribuição ÷ churn mensal.</t>
  </si>
  <si>
    <t xml:space="preserve">LTV ÷ CAC por pagante</t>
  </si>
  <si>
    <t xml:space="preserve">Referência de mercado: ≥ 3,0x é saudável; &lt; 1,0x destrói valor.</t>
  </si>
  <si>
    <t xml:space="preserve">Meses de assinatura para recuperar o custo de aquisição. Ideal: &lt; 12.</t>
  </si>
  <si>
    <t xml:space="preserve">CAIXA E FÔLEGO</t>
  </si>
  <si>
    <t xml:space="preserve">Caixa acumulado</t>
  </si>
  <si>
    <t xml:space="preserve">Queima de caixa do mês (burn)</t>
  </si>
  <si>
    <t xml:space="preserve">Runway (meses de caixa restantes)</t>
  </si>
  <si>
    <t xml:space="preserve">Caixa ÷ queima média dos últimos 3 meses. 999 = sem queima.</t>
  </si>
  <si>
    <t xml:space="preserve">MOTOR DE CENÁRIOS — CONSERVADOR · PROVÁVEL · AGRESSIVO</t>
  </si>
  <si>
    <t xml:space="preserve">Os três cenários rodam sempre, lado a lado. As demais abas mostram em detalhe o cenário selecionado em Premissas. Esta aba é a única fonte de verdade dos números.</t>
  </si>
  <si>
    <t xml:space="preserve">Saldo no último mês (dez/2030), não soma.</t>
  </si>
  <si>
    <t xml:space="preserve">Taxa de conversão (pagantes ÷ base)</t>
  </si>
  <si>
    <t xml:space="preserve">Receita — Plano Essencial</t>
  </si>
  <si>
    <t xml:space="preserve">Receita — Plano Premium</t>
  </si>
  <si>
    <t xml:space="preserve">Receita — Plano Família</t>
  </si>
  <si>
    <t xml:space="preserve">Receita de assinaturas</t>
  </si>
  <si>
    <t xml:space="preserve">Receita de marketplace (comissões)</t>
  </si>
  <si>
    <t xml:space="preserve">Receita B2B — parcerias estratégicas</t>
  </si>
  <si>
    <t xml:space="preserve">Receita B2B — venda de dados</t>
  </si>
  <si>
    <t xml:space="preserve">Receita B2B — outras iniciativas</t>
  </si>
  <si>
    <t xml:space="preserve">RBT12 — base de cálculo do Simples</t>
  </si>
  <si>
    <t xml:space="preserve">Alíquota efetiva média ponderada do período.</t>
  </si>
  <si>
    <t xml:space="preserve">(−) Pessoal (equipe PJ + pró-labore)</t>
  </si>
  <si>
    <t xml:space="preserve">EBITDA</t>
  </si>
  <si>
    <t xml:space="preserve">(−) Investimentos (CAPEX)</t>
  </si>
  <si>
    <t xml:space="preserve">Marcador — EBITDA já ficou positivo</t>
  </si>
  <si>
    <t xml:space="preserve">Fluxo de caixa do período</t>
  </si>
  <si>
    <t xml:space="preserve">Marcador — mês com FCL acumulado negativo</t>
  </si>
  <si>
    <t xml:space="preserve">Auxiliar do payback: guarda o nº do mês enquanto o acumulado está negativo. O payback é o maior valor, mais um.</t>
  </si>
  <si>
    <t xml:space="preserve">Marcador — mês com FCL descontado negativo</t>
  </si>
  <si>
    <t xml:space="preserve">INVESTIMENTOS (CAPEX) — CRONOGRAMA E AMORTIZAÇÃO</t>
  </si>
  <si>
    <t xml:space="preserve">Desembolsos de capital. Saem do caixa no mês do lançamento (aba Análise Fluxo) e são amortizados linearmente em 60 meses na DRE. Verde = já realizado.</t>
  </si>
  <si>
    <t xml:space="preserve">LANÇAMENTOS DE INVESTIMENTO</t>
  </si>
  <si>
    <t xml:space="preserve">Data</t>
  </si>
  <si>
    <t xml:space="preserve">Item</t>
  </si>
  <si>
    <t xml:space="preserve">Constituição da empresa, registro de marca e assessoria jurídica</t>
  </si>
  <si>
    <t xml:space="preserve">Marca e jurídico</t>
  </si>
  <si>
    <t xml:space="preserve">2 notebooks Lenovo</t>
  </si>
  <si>
    <t xml:space="preserve">Fatos do brief: 2 notebooks Lenovo por R$ 9.127,82.</t>
  </si>
  <si>
    <t xml:space="preserve">Adequação LGPD e segurança da informação</t>
  </si>
  <si>
    <t xml:space="preserve">Certificações</t>
  </si>
  <si>
    <t xml:space="preserve">Equipamentos — expansão da equipe</t>
  </si>
  <si>
    <t xml:space="preserve">Certificação de conformidade em saúde (SBIS / ANVISA se houver device)</t>
  </si>
  <si>
    <t xml:space="preserve">CRONOGRAMA MENSAL DE DESEMBOLSO</t>
  </si>
  <si>
    <t xml:space="preserve">TOTAL DE INVESTIMENTOS</t>
  </si>
  <si>
    <t xml:space="preserve">DEPRECIAÇÃO E AMORTIZAÇÃO (linear, 60 meses)</t>
  </si>
  <si>
    <t xml:space="preserve">Vida útil adotada (meses)</t>
  </si>
  <si>
    <t xml:space="preserve">Equipamentos de informática: 5 anos (20% a.a., IN RFB 1.700). Software e intangíveis amortizados no mesmo prazo.</t>
  </si>
  <si>
    <t xml:space="preserve">Investimento acumulado (base amortizável)</t>
  </si>
  <si>
    <t xml:space="preserve">Depreciação e amortização do mês</t>
  </si>
  <si>
    <t xml:space="preserve">Cada item começa a amortizar no mês seguinte ao desembolso.</t>
  </si>
  <si>
    <t xml:space="preserve">Saldo contábil do ativo (imobilizado + intangível)</t>
  </si>
  <si>
    <t xml:space="preserve">APORTES E INVESTIDORES</t>
  </si>
  <si>
    <t xml:space="preserve">Todo o capital da Oppa entra por esta aba. Há linhas em branco em todas as tabelas: para incluir um investidor novo, basta preencher uma delas — o modelo inteiro recalcula sozinho, sem mexer em fórmula nenhuma.</t>
  </si>
  <si>
    <t xml:space="preserve">1. LANÇAMENTOS DE APORTE — quem colocou (ou colocará) dinheiro, e quando</t>
  </si>
  <si>
    <t xml:space="preserve">Sócio / Investidor</t>
  </si>
  <si>
    <t xml:space="preserve">Observação</t>
  </si>
  <si>
    <t xml:space="preserve">Completa os R$ 20.000 de compromisso.</t>
  </si>
  <si>
    <t xml:space="preserve">Novo sócio</t>
  </si>
  <si>
    <t xml:space="preserve">Negociação em curso, sem assinatura.</t>
  </si>
  <si>
    <t xml:space="preserve">Sócia responsável pelo marketing.</t>
  </si>
  <si>
    <t xml:space="preserve">Fecha os R$ 10.000 exigidos ainda em 2026.</t>
  </si>
  <si>
    <t xml:space="preserve">Completa os R$ 20.000.</t>
  </si>
  <si>
    <t xml:space="preserve">TOTAL LANÇADO (conforme os controles de status)</t>
  </si>
  <si>
    <t xml:space="preserve">2. INVESTIDORES ESTRATÉGICOS E PARCERIAS — aporte mais receita recorrente</t>
  </si>
  <si>
    <t xml:space="preserve">Use esta tabela para investidor que, além de aportar, traz receita — como a Boston Scientific. Preencha uma linha em branco para incluir outro. O aporte entra no caixa no mês indicado; a receita recorrente entra na DRE como receita B2B, todo mês, entre as datas de início e fim.</t>
  </si>
  <si>
    <t xml:space="preserve">Aporte (R$)</t>
  </si>
  <si>
    <t xml:space="preserve">Mês do aporte</t>
  </si>
  <si>
    <t xml:space="preserve">Receita B2B (R$/mês)</t>
  </si>
  <si>
    <t xml:space="preserve">Início da receita</t>
  </si>
  <si>
    <t xml:space="preserve">Fim da receita</t>
  </si>
  <si>
    <t xml:space="preserve">Boston Scientific</t>
  </si>
  <si>
    <t xml:space="preserve">Monitoramento de pacientes pós-operatórios. Aporte na casa dos seis dígitos, não confirmado — adotado o ponto médio da faixa. Contrapartida esperada: exclusividade B2B hospitalar por um período longo.</t>
  </si>
  <si>
    <t xml:space="preserve">Receita B2B mensal somada de todas as parcerias ativas.</t>
  </si>
  <si>
    <t xml:space="preserve">3. RESUMO DO CAPITAL</t>
  </si>
  <si>
    <t xml:space="preserve">Realizado — dinheiro que já entrou</t>
  </si>
  <si>
    <t xml:space="preserve">Compromisso dos fundadores a integralizar</t>
  </si>
  <si>
    <t xml:space="preserve">Previsto — negociação em curso, sem assinatura</t>
  </si>
  <si>
    <t xml:space="preserve">Em negociação — lançamentos</t>
  </si>
  <si>
    <t xml:space="preserve">Investidores estratégicos</t>
  </si>
  <si>
    <t xml:space="preserve">CAPITAL TOTAL CONSIDERADO NO MODELO</t>
  </si>
  <si>
    <t xml:space="preserve">Os controles que ligam e desligam 'Previsto' e 'Em negociação' estão na aba Premissas, seção 7.</t>
  </si>
  <si>
    <t xml:space="preserve">4. COMPROMISSO DOS FUNDADORES — R$ 20.000 cada, sendo R$ 10.000 ainda em 2026</t>
  </si>
  <si>
    <t xml:space="preserve">Meta total</t>
  </si>
  <si>
    <t xml:space="preserve">Aportado até 2026</t>
  </si>
  <si>
    <t xml:space="preserve">Aportado total</t>
  </si>
  <si>
    <t xml:space="preserve">Falta em 2026</t>
  </si>
  <si>
    <t xml:space="preserve">Falta total</t>
  </si>
  <si>
    <t xml:space="preserve">Paulo Kapp já integralizou os R$ 20.000. Os demais têm saldo a aportar.</t>
  </si>
  <si>
    <t xml:space="preserve">5. PARTICIPAÇÃO PROPORCIONAL AO CAPITAL APORTADO — inclua aqui o nome de todo investidor novo</t>
  </si>
  <si>
    <t xml:space="preserve">Leia com cuidado: isto é a proporção do dinheiro colocado, não a participação societária. Percentual de sociedade depende do valuation acordado em cada rodada e de outras condições — no caso de um investidor estratégico como a Boston, a contrapartida pode ser exclusividade comercial em vez de mais equity. Use esta tabela como ponto de partida da conversa, não como resultado.</t>
  </si>
  <si>
    <t xml:space="preserve">Capital aportado</t>
  </si>
  <si>
    <t xml:space="preserve">Proporção</t>
  </si>
  <si>
    <t xml:space="preserve">Capital não atribuído nesta tabela</t>
  </si>
  <si>
    <t xml:space="preserve">Se aparecer valor diferente de zero, algum investidor foi lançado nas tabelas 1 ou 2 e não foi acrescentado aqui. Digite o nome dele numa linha em branco acima — exatamente como está escrito no lançamento.</t>
  </si>
  <si>
    <t xml:space="preserve">6. CRONOGRAMA MENSAL DE ENTRADA DE CAPITAL</t>
  </si>
  <si>
    <t xml:space="preserve">Aportes de fundadores</t>
  </si>
  <si>
    <t xml:space="preserve">Aportes de novos sócios</t>
  </si>
  <si>
    <t xml:space="preserve">Aportes de investidores estratégicos (lançamentos)</t>
  </si>
  <si>
    <t xml:space="preserve">Aportes da tabela de parcerias estratégicas</t>
  </si>
  <si>
    <t xml:space="preserve">TOTAL DE APORTES NO MÊS</t>
  </si>
  <si>
    <t xml:space="preserve">Capital acumulado</t>
  </si>
  <si>
    <t xml:space="preserve">Receita B2B das parcerias estratégicas</t>
  </si>
  <si>
    <t xml:space="preserve">Entra na DRE como receita B2B. Some outra parceria na tabela 2 e ela aparece aqui.</t>
  </si>
  <si>
    <t xml:space="preserve">TRIBUTAÇÃO — SIMPLES NACIONAL E LUCRO PRESUMIDO</t>
  </si>
  <si>
    <t xml:space="preserve">Tabelas da LC 123/2006. A 'Tabela Ativa' é a que o modelo usa, conforme o regime escolhido em Premissas.</t>
  </si>
  <si>
    <t xml:space="preserve">ANEXO III — Serviços em geral (alíquota efetiva de 6% a ~19,5%)</t>
  </si>
  <si>
    <t xml:space="preserve">Faixa</t>
  </si>
  <si>
    <t xml:space="preserve">RBT12 — de</t>
  </si>
  <si>
    <t xml:space="preserve">RBT12 — até</t>
  </si>
  <si>
    <t xml:space="preserve">Alíquota nominal</t>
  </si>
  <si>
    <t xml:space="preserve">Parcela a deduzir</t>
  </si>
  <si>
    <t xml:space="preserve">Aplica-se a software/SaaS SOMENTE se o Fator R ≥ 28%.</t>
  </si>
  <si>
    <t xml:space="preserve">ANEXO V — Licenciamento/cessão de uso de software (Fator R &lt; 28%)</t>
  </si>
  <si>
    <t xml:space="preserve">Regra padrão para licenciamento de software quando o Fator R fica abaixo de 28%.</t>
  </si>
  <si>
    <t xml:space="preserve">TABELA ATIVA — selecionada pelo regime definido em Premissas</t>
  </si>
  <si>
    <t xml:space="preserve">FATOR R — o teste que decide entre Anexo III e Anexo V</t>
  </si>
  <si>
    <t xml:space="preserve">Fator R = (folha de salários + pró-labore + encargos dos últimos 12 meses) ÷ RBT12</t>
  </si>
  <si>
    <t xml:space="preserve">Fator R ≥ 28%  →  Anexo III (alíquota efetiva a partir de 6%)</t>
  </si>
  <si>
    <t xml:space="preserve">Fator R &lt; 28%   →  Anexo V (alíquota efetiva a partir de 15,5%)</t>
  </si>
  <si>
    <t xml:space="preserve">⚠ RISCO MATERIAL PARA A OPPA: pagamento a equipe PJ (prestadores de serviço) NÃO entra no cálculo do Fator R. Só contam folha CLT e pró-labore dos sócios. Com a estrutura descrita no brief — equipe PJ e pró-labore zero em 2026 — o Fator R fica próximo de 0% e a empresa cai no Anexo V, com alíquota inicial de 15,5% em vez de 6%.</t>
  </si>
  <si>
    <t xml:space="preserve">Como reverter: (a) registrar pró-labore relevante para os sócios; (b) contratar parte da equipe em regime CLT. Ambos aumentam o custo de folha, mas podem valer a pena pela economia tributária. O quadro abaixo compara os dois anexos no faturamento projetado.</t>
  </si>
  <si>
    <t xml:space="preserve">COMPARATIVO — alíquota efetiva por faixa de faturamento anual</t>
  </si>
  <si>
    <t xml:space="preserve">RBT12</t>
  </si>
  <si>
    <t xml:space="preserve">Anexo III efetivo</t>
  </si>
  <si>
    <t xml:space="preserve">Anexo V efetivo</t>
  </si>
  <si>
    <t xml:space="preserve">Diferença</t>
  </si>
  <si>
    <t xml:space="preserve">Custo anual da diferença</t>
  </si>
  <si>
    <t xml:space="preserve">Quanto a Oppa paga a mais por ano se cair no Anexo V em vez do Anexo III.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</si>
</sst>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;\(#,##0\);\–"/>
    <numFmt numFmtId="166" formatCode="&quot;R$ &quot;#,##0;&quot;(R$ &quot;#,##0\);\–"/>
    <numFmt numFmtId="167" formatCode="0.0%;\(0.0%\);\–"/>
    <numFmt numFmtId="168" formatCode="@"/>
    <numFmt numFmtId="169" formatCode="&quot;R$ &quot;#,##0.00;&quot;(R$ &quot;#,##0.00\);\–"/>
    <numFmt numFmtId="170" formatCode="0.0\x;\(0.0&quot;x)&quot;;\–"/>
    <numFmt numFmtId="171" formatCode="0.00%;\(0.00%\);\–"/>
    <numFmt numFmtId="172" formatCode="#,##0%;\(#,##0%\);\–"/>
    <numFmt numFmtId="173" formatCode="0.0"/>
    <numFmt numFmtId="174" formatCode="0"/>
    <numFmt numFmtId="175" formatCode="mmm/yy"/>
    <numFmt numFmtId="176" formatCode="0.0;;\–"/>
    <numFmt numFmtId="177" formatCode="#,##0.0"/>
    <numFmt numFmtId="178" formatCode="0.00%"/>
    <numFmt numFmtId="179" formatCode="0.0;\(0.0\);\–"/>
    <numFmt numFmtId="180" formatCode="0;\(0\);\–"/>
    <numFmt numFmtId="181" formatCode="dd/mm/yyyy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6262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F7040"/>
      <name val="Arial"/>
      <family val="0"/>
      <charset val="1"/>
    </font>
    <font>
      <b val="true"/>
      <sz val="10"/>
      <color rgb="FF2E5C8A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595959"/>
      <name val="Arial"/>
      <family val="0"/>
      <charset val="1"/>
    </font>
    <font>
      <sz val="8"/>
      <color rgb="FFBFBFB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  <font>
      <b val="true"/>
      <sz val="9"/>
      <color rgb="FF0000FF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BF8F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C8A"/>
        <bgColor rgb="FF595959"/>
      </patternFill>
    </fill>
    <fill>
      <patternFill patternType="solid">
        <fgColor rgb="FF404040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1F7040"/>
        <bgColor rgb="FF008000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D9D9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E2EFDA"/>
      </patternFill>
    </fill>
    <fill>
      <patternFill patternType="solid">
        <fgColor rgb="FF808080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9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9" fontId="3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1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6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6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6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1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6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6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6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8" fillId="1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9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9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7" fontId="3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8" fillId="0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9" fontId="28" fillId="0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81" fontId="38" fillId="10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38" fillId="10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9" fontId="38" fillId="10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9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3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41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1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41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6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1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23" fillId="0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29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36" fillId="0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6" fontId="28" fillId="0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7" fontId="28" fillId="0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71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040"/>
      <rgbColor rgb="FFBFBFBF"/>
      <rgbColor rgb="FF808080"/>
      <rgbColor rgb="FF9999FF"/>
      <rgbColor rgb="FF7030A0"/>
      <rgbColor rgb="FFFCE4D6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000"/>
      <rgbColor rgb="FFBF8F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C8A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96"/>
    <col collapsed="false" customWidth="true" hidden="false" outlineLevel="0" max="7" min="4" style="0" width="3"/>
  </cols>
  <sheetData>
    <row r="1" customFormat="false" ht="25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</row>
    <row r="5" customFormat="false" ht="21.75" hidden="false" customHeight="true" outlineLevel="0" collapsed="false">
      <c r="B5" s="4" t="s">
        <v>2</v>
      </c>
      <c r="C5" s="5"/>
    </row>
    <row r="6" customFormat="false" ht="33.75" hidden="false" customHeight="true" outlineLevel="0" collapsed="false">
      <c r="B6" s="6" t="s">
        <v>3</v>
      </c>
      <c r="C6" s="6"/>
    </row>
    <row r="7" customFormat="false" ht="19.5" hidden="false" customHeight="true" outlineLevel="0" collapsed="false">
      <c r="B7" s="7" t="s">
        <v>4</v>
      </c>
      <c r="C7" s="8" t="s">
        <v>5</v>
      </c>
    </row>
    <row r="8" customFormat="false" ht="33.75" hidden="false" customHeight="true" outlineLevel="0" collapsed="false">
      <c r="B8" s="7" t="s">
        <v>6</v>
      </c>
      <c r="C8" s="8" t="s">
        <v>7</v>
      </c>
    </row>
    <row r="9" customFormat="false" ht="19.5" hidden="false" customHeight="true" outlineLevel="0" collapsed="false">
      <c r="B9" s="7" t="s">
        <v>8</v>
      </c>
      <c r="C9" s="8" t="s">
        <v>9</v>
      </c>
    </row>
    <row r="10" customFormat="false" ht="33.75" hidden="false" customHeight="true" outlineLevel="0" collapsed="false">
      <c r="B10" s="7" t="s">
        <v>10</v>
      </c>
      <c r="C10" s="8" t="s">
        <v>11</v>
      </c>
    </row>
    <row r="12" customFormat="false" ht="21.75" hidden="false" customHeight="true" outlineLevel="0" collapsed="false">
      <c r="B12" s="4" t="s">
        <v>12</v>
      </c>
      <c r="C12" s="5"/>
    </row>
    <row r="13" customFormat="false" ht="19.5" hidden="false" customHeight="true" outlineLevel="0" collapsed="false">
      <c r="B13" s="9" t="s">
        <v>13</v>
      </c>
      <c r="C13" s="8" t="s">
        <v>14</v>
      </c>
    </row>
    <row r="14" customFormat="false" ht="19.5" hidden="false" customHeight="true" outlineLevel="0" collapsed="false">
      <c r="B14" s="10" t="s">
        <v>15</v>
      </c>
      <c r="C14" s="8" t="s">
        <v>16</v>
      </c>
    </row>
    <row r="15" customFormat="false" ht="19.5" hidden="false" customHeight="true" outlineLevel="0" collapsed="false">
      <c r="B15" s="7" t="s">
        <v>17</v>
      </c>
      <c r="C15" s="8" t="s">
        <v>18</v>
      </c>
    </row>
    <row r="16" customFormat="false" ht="19.5" hidden="false" customHeight="true" outlineLevel="0" collapsed="false">
      <c r="B16" s="11" t="s">
        <v>19</v>
      </c>
      <c r="C16" s="8" t="s">
        <v>20</v>
      </c>
    </row>
    <row r="17" customFormat="false" ht="19.5" hidden="false" customHeight="true" outlineLevel="0" collapsed="false">
      <c r="B17" s="12" t="s">
        <v>21</v>
      </c>
      <c r="C17" s="8" t="s">
        <v>22</v>
      </c>
    </row>
    <row r="19" customFormat="false" ht="21.75" hidden="false" customHeight="true" outlineLevel="0" collapsed="false">
      <c r="B19" s="4" t="s">
        <v>23</v>
      </c>
      <c r="C19" s="5"/>
    </row>
    <row r="20" customFormat="false" ht="33.75" hidden="false" customHeight="true" outlineLevel="0" collapsed="false">
      <c r="B20" s="7" t="s">
        <v>24</v>
      </c>
      <c r="C20" s="8" t="s">
        <v>25</v>
      </c>
    </row>
    <row r="21" customFormat="false" ht="48" hidden="false" customHeight="true" outlineLevel="0" collapsed="false">
      <c r="B21" s="7" t="s">
        <v>26</v>
      </c>
      <c r="C21" s="8" t="s">
        <v>27</v>
      </c>
    </row>
    <row r="22" customFormat="false" ht="33.75" hidden="false" customHeight="true" outlineLevel="0" collapsed="false">
      <c r="B22" s="7" t="s">
        <v>28</v>
      </c>
      <c r="C22" s="8" t="s">
        <v>29</v>
      </c>
    </row>
    <row r="23" customFormat="false" ht="48" hidden="false" customHeight="true" outlineLevel="0" collapsed="false">
      <c r="B23" s="7" t="s">
        <v>30</v>
      </c>
      <c r="C23" s="8" t="s">
        <v>31</v>
      </c>
    </row>
    <row r="24" customFormat="false" ht="33.75" hidden="false" customHeight="true" outlineLevel="0" collapsed="false">
      <c r="B24" s="7" t="s">
        <v>32</v>
      </c>
      <c r="C24" s="8" t="s">
        <v>33</v>
      </c>
    </row>
    <row r="25" customFormat="false" ht="33.75" hidden="false" customHeight="true" outlineLevel="0" collapsed="false">
      <c r="B25" s="7" t="s">
        <v>34</v>
      </c>
      <c r="C25" s="8" t="s">
        <v>35</v>
      </c>
    </row>
    <row r="26" customFormat="false" ht="61.5" hidden="false" customHeight="true" outlineLevel="0" collapsed="false">
      <c r="B26" s="7" t="s">
        <v>36</v>
      </c>
      <c r="C26" s="8" t="s">
        <v>37</v>
      </c>
    </row>
    <row r="27" customFormat="false" ht="33.75" hidden="false" customHeight="true" outlineLevel="0" collapsed="false">
      <c r="B27" s="7" t="s">
        <v>38</v>
      </c>
      <c r="C27" s="8" t="s">
        <v>39</v>
      </c>
    </row>
    <row r="28" customFormat="false" ht="48" hidden="false" customHeight="true" outlineLevel="0" collapsed="false">
      <c r="B28" s="7" t="s">
        <v>40</v>
      </c>
      <c r="C28" s="8" t="s">
        <v>41</v>
      </c>
    </row>
    <row r="29" customFormat="false" ht="48" hidden="false" customHeight="true" outlineLevel="0" collapsed="false">
      <c r="B29" s="7" t="s">
        <v>42</v>
      </c>
      <c r="C29" s="8" t="s">
        <v>43</v>
      </c>
    </row>
    <row r="30" customFormat="false" ht="48" hidden="false" customHeight="true" outlineLevel="0" collapsed="false">
      <c r="B30" s="7" t="s">
        <v>44</v>
      </c>
      <c r="C30" s="8" t="s">
        <v>45</v>
      </c>
    </row>
    <row r="31" customFormat="false" ht="33.75" hidden="false" customHeight="true" outlineLevel="0" collapsed="false">
      <c r="B31" s="7" t="s">
        <v>46</v>
      </c>
      <c r="C31" s="8" t="s">
        <v>47</v>
      </c>
    </row>
    <row r="32" customFormat="false" ht="48" hidden="false" customHeight="true" outlineLevel="0" collapsed="false">
      <c r="B32" s="7" t="s">
        <v>48</v>
      </c>
      <c r="C32" s="8" t="s">
        <v>49</v>
      </c>
    </row>
    <row r="33" customFormat="false" ht="48" hidden="false" customHeight="true" outlineLevel="0" collapsed="false">
      <c r="B33" s="7" t="s">
        <v>50</v>
      </c>
      <c r="C33" s="8" t="s">
        <v>51</v>
      </c>
    </row>
    <row r="34" customFormat="false" ht="48" hidden="false" customHeight="true" outlineLevel="0" collapsed="false">
      <c r="B34" s="7" t="s">
        <v>52</v>
      </c>
      <c r="C34" s="8" t="s">
        <v>53</v>
      </c>
    </row>
    <row r="35" customFormat="false" ht="48" hidden="false" customHeight="true" outlineLevel="0" collapsed="false">
      <c r="B35" s="7" t="s">
        <v>54</v>
      </c>
      <c r="C35" s="8" t="s">
        <v>55</v>
      </c>
    </row>
    <row r="36" customFormat="false" ht="33.75" hidden="false" customHeight="true" outlineLevel="0" collapsed="false">
      <c r="B36" s="7" t="s">
        <v>56</v>
      </c>
      <c r="C36" s="8" t="s">
        <v>57</v>
      </c>
    </row>
    <row r="37" customFormat="false" ht="48" hidden="false" customHeight="true" outlineLevel="0" collapsed="false">
      <c r="B37" s="7" t="s">
        <v>58</v>
      </c>
      <c r="C37" s="8" t="s">
        <v>59</v>
      </c>
    </row>
    <row r="39" customFormat="false" ht="21.75" hidden="false" customHeight="true" outlineLevel="0" collapsed="false">
      <c r="B39" s="4" t="s">
        <v>60</v>
      </c>
      <c r="C39" s="5"/>
    </row>
    <row r="40" customFormat="false" ht="19.5" hidden="false" customHeight="true" outlineLevel="0" collapsed="false">
      <c r="B40" s="13" t="s">
        <v>61</v>
      </c>
      <c r="C40" s="8" t="s">
        <v>62</v>
      </c>
    </row>
    <row r="41" customFormat="false" ht="33.75" hidden="false" customHeight="true" outlineLevel="0" collapsed="false">
      <c r="B41" s="14" t="s">
        <v>63</v>
      </c>
      <c r="C41" s="8" t="s">
        <v>64</v>
      </c>
    </row>
    <row r="42" customFormat="false" ht="61.5" hidden="false" customHeight="true" outlineLevel="0" collapsed="false">
      <c r="B42" s="14" t="s">
        <v>65</v>
      </c>
      <c r="C42" s="8" t="s">
        <v>66</v>
      </c>
    </row>
    <row r="43" customFormat="false" ht="61.5" hidden="false" customHeight="true" outlineLevel="0" collapsed="false">
      <c r="B43" s="14" t="s">
        <v>67</v>
      </c>
      <c r="C43" s="8" t="s">
        <v>68</v>
      </c>
    </row>
    <row r="44" customFormat="false" ht="48" hidden="false" customHeight="true" outlineLevel="0" collapsed="false">
      <c r="B44" s="10" t="s">
        <v>69</v>
      </c>
      <c r="C44" s="8" t="s">
        <v>70</v>
      </c>
    </row>
    <row r="45" customFormat="false" ht="48" hidden="false" customHeight="true" outlineLevel="0" collapsed="false">
      <c r="B45" s="10" t="s">
        <v>71</v>
      </c>
      <c r="C45" s="8" t="s">
        <v>72</v>
      </c>
    </row>
    <row r="46" customFormat="false" ht="33.75" hidden="false" customHeight="true" outlineLevel="0" collapsed="false">
      <c r="B46" s="10" t="s">
        <v>73</v>
      </c>
      <c r="C46" s="8" t="s">
        <v>74</v>
      </c>
    </row>
    <row r="47" customFormat="false" ht="48" hidden="false" customHeight="true" outlineLevel="0" collapsed="false">
      <c r="B47" s="14" t="s">
        <v>75</v>
      </c>
      <c r="C47" s="8" t="s">
        <v>76</v>
      </c>
    </row>
    <row r="48" customFormat="false" ht="33.75" hidden="false" customHeight="true" outlineLevel="0" collapsed="false">
      <c r="B48" s="15" t="s">
        <v>77</v>
      </c>
      <c r="C48" s="8" t="s">
        <v>78</v>
      </c>
    </row>
    <row r="49" customFormat="false" ht="48" hidden="false" customHeight="true" outlineLevel="0" collapsed="false">
      <c r="B49" s="15" t="s">
        <v>79</v>
      </c>
      <c r="C49" s="8" t="s">
        <v>80</v>
      </c>
    </row>
    <row r="50" customFormat="false" ht="33.75" hidden="false" customHeight="true" outlineLevel="0" collapsed="false">
      <c r="B50" s="16" t="s">
        <v>81</v>
      </c>
      <c r="C50" s="8" t="s">
        <v>82</v>
      </c>
    </row>
    <row r="51" customFormat="false" ht="48" hidden="false" customHeight="true" outlineLevel="0" collapsed="false">
      <c r="B51" s="16" t="s">
        <v>83</v>
      </c>
      <c r="C51" s="8" t="s">
        <v>84</v>
      </c>
    </row>
    <row r="52" customFormat="false" ht="33.75" hidden="false" customHeight="true" outlineLevel="0" collapsed="false">
      <c r="B52" s="17" t="s">
        <v>85</v>
      </c>
      <c r="C52" s="8" t="s">
        <v>86</v>
      </c>
    </row>
    <row r="53" customFormat="false" ht="33.75" hidden="false" customHeight="true" outlineLevel="0" collapsed="false">
      <c r="B53" s="13" t="s">
        <v>87</v>
      </c>
      <c r="C53" s="8" t="s">
        <v>88</v>
      </c>
    </row>
    <row r="54" customFormat="false" ht="48" hidden="false" customHeight="true" outlineLevel="0" collapsed="false">
      <c r="B54" s="10" t="s">
        <v>89</v>
      </c>
      <c r="C54" s="8" t="s">
        <v>90</v>
      </c>
    </row>
    <row r="55" customFormat="false" ht="33.75" hidden="false" customHeight="true" outlineLevel="0" collapsed="false">
      <c r="B55" s="13" t="s">
        <v>91</v>
      </c>
      <c r="C55" s="8" t="s">
        <v>92</v>
      </c>
    </row>
    <row r="57" customFormat="false" ht="21.75" hidden="false" customHeight="true" outlineLevel="0" collapsed="false">
      <c r="B57" s="4" t="s">
        <v>93</v>
      </c>
      <c r="C57" s="5"/>
    </row>
    <row r="58" customFormat="false" ht="18" hidden="false" customHeight="true" outlineLevel="0" collapsed="false">
      <c r="B58" s="6" t="s">
        <v>94</v>
      </c>
      <c r="C58" s="6"/>
    </row>
    <row r="59" customFormat="false" ht="33.75" hidden="false" customHeight="true" outlineLevel="0" collapsed="false">
      <c r="B59" s="7" t="s">
        <v>95</v>
      </c>
      <c r="C59" s="8" t="s">
        <v>96</v>
      </c>
    </row>
    <row r="60" customFormat="false" ht="19.5" hidden="false" customHeight="true" outlineLevel="0" collapsed="false">
      <c r="B60" s="7" t="s">
        <v>97</v>
      </c>
      <c r="C60" s="8" t="s">
        <v>98</v>
      </c>
    </row>
    <row r="61" customFormat="false" ht="33.75" hidden="false" customHeight="true" outlineLevel="0" collapsed="false">
      <c r="B61" s="7" t="s">
        <v>99</v>
      </c>
      <c r="C61" s="8" t="s">
        <v>100</v>
      </c>
    </row>
    <row r="63" customFormat="false" ht="21.75" hidden="false" customHeight="true" outlineLevel="0" collapsed="false">
      <c r="B63" s="4" t="s">
        <v>101</v>
      </c>
      <c r="C63" s="5"/>
    </row>
    <row r="64" customFormat="false" ht="19.5" hidden="false" customHeight="true" outlineLevel="0" collapsed="false">
      <c r="B64" s="7" t="s">
        <v>102</v>
      </c>
      <c r="C64" s="8" t="s">
        <v>103</v>
      </c>
    </row>
    <row r="65" customFormat="false" ht="19.5" hidden="false" customHeight="true" outlineLevel="0" collapsed="false">
      <c r="B65" s="7" t="s">
        <v>104</v>
      </c>
      <c r="C65" s="8" t="s">
        <v>105</v>
      </c>
    </row>
    <row r="66" customFormat="false" ht="33.75" hidden="false" customHeight="true" outlineLevel="0" collapsed="false">
      <c r="B66" s="7" t="s">
        <v>106</v>
      </c>
      <c r="C66" s="8" t="s">
        <v>107</v>
      </c>
    </row>
    <row r="67" customFormat="false" ht="48" hidden="false" customHeight="true" outlineLevel="0" collapsed="false">
      <c r="B67" s="7" t="s">
        <v>108</v>
      </c>
      <c r="C67" s="8" t="s">
        <v>109</v>
      </c>
    </row>
    <row r="69" customFormat="false" ht="31.5" hidden="false" customHeight="true" outlineLevel="0" collapsed="false">
      <c r="B69" s="18" t="s">
        <v>110</v>
      </c>
      <c r="C69" s="18"/>
    </row>
  </sheetData>
  <mergeCells count="3">
    <mergeCell ref="B6:C6"/>
    <mergeCell ref="B58:C58"/>
    <mergeCell ref="B69:C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5" min="3" style="0" width="21"/>
    <col collapsed="false" customWidth="true" hidden="false" outlineLevel="0" max="6" min="6" style="0" width="4"/>
    <col collapsed="false" customWidth="true" hidden="false" outlineLevel="0" max="7" min="7" style="0" width="60"/>
    <col collapsed="false" customWidth="true" hidden="false" outlineLevel="0" max="8" min="8" style="0" width="4"/>
  </cols>
  <sheetData>
    <row r="1" customFormat="false" ht="25.5" hidden="false" customHeight="true" outlineLevel="0" collapsed="false">
      <c r="A1" s="1" t="s">
        <v>111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112</v>
      </c>
    </row>
    <row r="4" customFormat="false" ht="21.75" hidden="false" customHeight="true" outlineLevel="0" collapsed="false">
      <c r="B4" s="19" t="s">
        <v>113</v>
      </c>
      <c r="C4" s="20" t="s">
        <v>114</v>
      </c>
      <c r="D4" s="21" t="s">
        <v>115</v>
      </c>
      <c r="E4" s="22" t="s">
        <v>116</v>
      </c>
    </row>
    <row r="5" customFormat="false" ht="15" hidden="false" customHeight="false" outlineLevel="0" collapsed="false">
      <c r="B5" s="23" t="s">
        <v>117</v>
      </c>
      <c r="C5" s="24" t="str">
        <f aca="false">IF(Premissas!$B$6=1,"◀ ATIVO","")</f>
        <v/>
      </c>
      <c r="D5" s="24" t="str">
        <f aca="false">IF(Premissas!$B$6=2,"◀ ATIVO","")</f>
        <v>◀ ATIVO</v>
      </c>
      <c r="E5" s="24" t="str">
        <f aca="false">IF(Premissas!$B$6=3,"◀ ATIVO","")</f>
        <v/>
      </c>
    </row>
    <row r="7" customFormat="false" ht="18" hidden="false" customHeight="true" outlineLevel="0" collapsed="false">
      <c r="A7" s="25" t="s">
        <v>118</v>
      </c>
      <c r="B7" s="26"/>
      <c r="C7" s="26"/>
      <c r="D7" s="26"/>
      <c r="E7" s="26"/>
    </row>
    <row r="8" customFormat="false" ht="15" hidden="false" customHeight="false" outlineLevel="0" collapsed="false">
      <c r="B8" s="27" t="s">
        <v>119</v>
      </c>
      <c r="C8" s="28" t="n">
        <f aca="false">Cenários!$M$13</f>
        <v>29430.6</v>
      </c>
      <c r="D8" s="28" t="n">
        <f aca="false">Cenários!$M$59</f>
        <v>50071.84</v>
      </c>
      <c r="E8" s="28" t="n">
        <f aca="false">Cenários!$M$105</f>
        <v>71550.024</v>
      </c>
      <c r="G8" s="29" t="s">
        <v>120</v>
      </c>
    </row>
    <row r="9" customFormat="false" ht="15" hidden="false" customHeight="false" outlineLevel="0" collapsed="false">
      <c r="B9" s="27" t="s">
        <v>121</v>
      </c>
      <c r="C9" s="28" t="n">
        <f aca="false">Cenários!$BI$13</f>
        <v>422036.015390788</v>
      </c>
      <c r="D9" s="28" t="n">
        <f aca="false">Cenários!$BI$59</f>
        <v>1116849.79016539</v>
      </c>
      <c r="E9" s="28" t="n">
        <f aca="false">Cenários!$BI$105</f>
        <v>2424300.50798216</v>
      </c>
    </row>
    <row r="10" customFormat="false" ht="15" hidden="false" customHeight="false" outlineLevel="0" collapsed="false">
      <c r="B10" s="27" t="s">
        <v>122</v>
      </c>
      <c r="C10" s="28" t="n">
        <f aca="false">Cenários!$M$15</f>
        <v>441</v>
      </c>
      <c r="D10" s="28" t="n">
        <f aca="false">Cenários!$M$61</f>
        <v>1252</v>
      </c>
      <c r="E10" s="28" t="n">
        <f aca="false">Cenários!$M$107</f>
        <v>2504</v>
      </c>
      <c r="G10" s="29" t="s">
        <v>123</v>
      </c>
    </row>
    <row r="11" customFormat="false" ht="15" hidden="false" customHeight="false" outlineLevel="0" collapsed="false">
      <c r="B11" s="27" t="s">
        <v>124</v>
      </c>
      <c r="C11" s="28" t="n">
        <f aca="false">Cenários!$BI$15</f>
        <v>17225</v>
      </c>
      <c r="D11" s="28" t="n">
        <f aca="false">Cenários!$BI$61</f>
        <v>75973</v>
      </c>
      <c r="E11" s="28" t="n">
        <f aca="false">Cenários!$BI$107</f>
        <v>248459</v>
      </c>
    </row>
    <row r="12" customFormat="false" ht="15" hidden="false" customHeight="false" outlineLevel="0" collapsed="false">
      <c r="B12" s="27" t="s">
        <v>125</v>
      </c>
      <c r="C12" s="30" t="n">
        <f aca="false">SUMIFS(Cenários!$B$28:$BI$28,Cenários!$B$6:$BI$6,2026)</f>
        <v>13949.9</v>
      </c>
      <c r="D12" s="30" t="n">
        <f aca="false">SUMIFS(Cenários!$B$74:$BI$74,Cenários!$B$6:$BI$6,2026)</f>
        <v>39441.8</v>
      </c>
      <c r="E12" s="30" t="n">
        <f aca="false">SUMIFS(Cenários!$B$120:$BI$120,Cenários!$B$6:$BI$6,2026)</f>
        <v>78545.3</v>
      </c>
    </row>
    <row r="13" customFormat="false" ht="15" hidden="false" customHeight="false" outlineLevel="0" collapsed="false">
      <c r="B13" s="27" t="s">
        <v>126</v>
      </c>
      <c r="C13" s="30" t="n">
        <f aca="false">SUMIFS(Cenários!$B$28:$BI$28,Cenários!$B$6:$BI$6,2030)</f>
        <v>8750338.74881746</v>
      </c>
      <c r="D13" s="30" t="n">
        <f aca="false">SUMIFS(Cenários!$B$74:$BI$74,Cenários!$B$6:$BI$6,2030)</f>
        <v>33253920.4920794</v>
      </c>
      <c r="E13" s="30" t="n">
        <f aca="false">SUMIFS(Cenários!$B$120:$BI$120,Cenários!$B$6:$BI$6,2030)</f>
        <v>101444674.974356</v>
      </c>
    </row>
    <row r="14" customFormat="false" ht="15" hidden="false" customHeight="false" outlineLevel="0" collapsed="false">
      <c r="B14" s="31" t="s">
        <v>127</v>
      </c>
      <c r="C14" s="32" t="n">
        <f aca="false">SUM(Cenários!$B$28:$BI$28)</f>
        <v>17316441.7172604</v>
      </c>
      <c r="D14" s="32" t="n">
        <f aca="false">SUM(Cenários!$B$74:$BI$74)</f>
        <v>62932363.0403721</v>
      </c>
      <c r="E14" s="32" t="n">
        <f aca="false">SUM(Cenários!$B$120:$BI$120)</f>
        <v>179270059.093745</v>
      </c>
    </row>
    <row r="16" customFormat="false" ht="18" hidden="false" customHeight="true" outlineLevel="0" collapsed="false">
      <c r="A16" s="25" t="s">
        <v>128</v>
      </c>
      <c r="B16" s="26"/>
      <c r="C16" s="26"/>
      <c r="D16" s="26"/>
      <c r="E16" s="26"/>
    </row>
    <row r="17" customFormat="false" ht="15" hidden="false" customHeight="false" outlineLevel="0" collapsed="false">
      <c r="B17" s="27" t="s">
        <v>129</v>
      </c>
      <c r="C17" s="30" t="n">
        <f aca="false">SUMIFS(Cenários!$B$40:$BI$40,Cenários!$B$6:$BI$6,2026)</f>
        <v>-136110.430575</v>
      </c>
      <c r="D17" s="30" t="n">
        <f aca="false">SUMIFS(Cenários!$B$86:$BI$86,Cenários!$B$6:$BI$6,2026)</f>
        <v>-124977.27745</v>
      </c>
      <c r="E17" s="30" t="n">
        <f aca="false">SUMIFS(Cenários!$B$132:$BI$132,Cenários!$B$6:$BI$6,2026)</f>
        <v>-86438.930505</v>
      </c>
    </row>
    <row r="18" customFormat="false" ht="15" hidden="false" customHeight="false" outlineLevel="0" collapsed="false">
      <c r="B18" s="27" t="s">
        <v>130</v>
      </c>
      <c r="C18" s="30" t="n">
        <f aca="false">SUMIFS(Cenários!$B$40:$BI$40,Cenários!$B$6:$BI$6,2030)</f>
        <v>-5412426.23544903</v>
      </c>
      <c r="D18" s="30" t="n">
        <f aca="false">SUMIFS(Cenários!$B$86:$BI$86,Cenários!$B$6:$BI$6,2030)</f>
        <v>10815995.0315503</v>
      </c>
      <c r="E18" s="30" t="n">
        <f aca="false">SUMIFS(Cenários!$B$132:$BI$132,Cenários!$B$6:$BI$6,2030)</f>
        <v>57369636.7122505</v>
      </c>
    </row>
    <row r="19" customFormat="false" ht="15" hidden="false" customHeight="false" outlineLevel="0" collapsed="false">
      <c r="B19" s="31" t="s">
        <v>131</v>
      </c>
      <c r="C19" s="32" t="n">
        <f aca="false">SUM(Cenários!$B$40:$BI$40)</f>
        <v>-11914397.2046041</v>
      </c>
      <c r="D19" s="32" t="n">
        <f aca="false">SUM(Cenários!$B$86:$BI$86)</f>
        <v>18055035.3755274</v>
      </c>
      <c r="E19" s="32" t="n">
        <f aca="false">SUM(Cenários!$B$132:$BI$132)</f>
        <v>96972482.0054961</v>
      </c>
    </row>
    <row r="20" customFormat="false" ht="15" hidden="false" customHeight="false" outlineLevel="0" collapsed="false">
      <c r="B20" s="27" t="s">
        <v>132</v>
      </c>
      <c r="C20" s="33" t="n">
        <f aca="false">IFERROR(C18/C13,0)</f>
        <v>-0.618539052123037</v>
      </c>
      <c r="D20" s="33" t="n">
        <f aca="false">IFERROR(D18/D13,0)</f>
        <v>0.325254733020924</v>
      </c>
      <c r="E20" s="33" t="n">
        <f aca="false">IFERROR(E18/E13,0)</f>
        <v>0.565526349478203</v>
      </c>
    </row>
    <row r="21" customFormat="false" ht="15" hidden="false" customHeight="false" outlineLevel="0" collapsed="false">
      <c r="B21" s="27" t="s">
        <v>133</v>
      </c>
      <c r="C21" s="34" t="str">
        <f aca="false">IF(SUM(Cenários!$B$46:$BI$46)=0,"não atinge",CHOOSE(MOD(60-SUM(Cenários!$B$46:$BI$46),12)+1,"jan","fev","mar","abr","mai","jun","jul","ago","set","out","nov","dez")&amp;"/"&amp;(2026+INT((60-SUM(Cenários!$B$46:$BI$46))/12)))</f>
        <v>não atinge</v>
      </c>
      <c r="D21" s="34" t="str">
        <f aca="false">IF(SUM(Cenários!$B$92:$BI$92)=0,"não atinge",CHOOSE(MOD(60-SUM(Cenários!$B$92:$BI$92),12)+1,"jan","fev","mar","abr","mai","jun","jul","ago","set","out","nov","dez")&amp;"/"&amp;(2026+INT((60-SUM(Cenários!$B$92:$BI$92))/12)))</f>
        <v>abr/2027</v>
      </c>
      <c r="E21" s="34" t="str">
        <f aca="false">IF(SUM(Cenários!$B$138:$BI$138)=0,"não atinge",CHOOSE(MOD(60-SUM(Cenários!$B$138:$BI$138),12)+1,"jan","fev","mar","abr","mai","jun","jul","ago","set","out","nov","dez")&amp;"/"&amp;(2026+INT((60-SUM(Cenários!$B$138:$BI$138))/12)))</f>
        <v>fev/2027</v>
      </c>
      <c r="G21" s="29" t="s">
        <v>134</v>
      </c>
    </row>
    <row r="23" customFormat="false" ht="18" hidden="false" customHeight="true" outlineLevel="0" collapsed="false">
      <c r="A23" s="25" t="s">
        <v>135</v>
      </c>
      <c r="B23" s="26"/>
      <c r="C23" s="26"/>
      <c r="D23" s="26"/>
      <c r="E23" s="26"/>
    </row>
    <row r="24" customFormat="false" ht="15" hidden="false" customHeight="false" outlineLevel="0" collapsed="false">
      <c r="B24" s="27" t="s">
        <v>136</v>
      </c>
      <c r="C24" s="30" t="n">
        <f aca="false">-SUM(Cenários!$B$41:$BI$41)</f>
        <v>149127.82</v>
      </c>
      <c r="D24" s="30" t="n">
        <f aca="false">-SUM(Cenários!$B$87:$BI$87)</f>
        <v>149127.82</v>
      </c>
      <c r="E24" s="30" t="n">
        <f aca="false">-SUM(Cenários!$B$133:$BI$133)</f>
        <v>149127.82</v>
      </c>
    </row>
    <row r="25" customFormat="false" ht="15" hidden="false" customHeight="false" outlineLevel="0" collapsed="false">
      <c r="B25" s="31" t="s">
        <v>137</v>
      </c>
      <c r="C25" s="32" t="n">
        <f aca="false">-MIN(Cenários!$B$45:$BI$45)</f>
        <v>12063525.0246041</v>
      </c>
      <c r="D25" s="32" t="n">
        <f aca="false">-MIN(Cenários!$B$91:$BI$91)</f>
        <v>350781.548699936</v>
      </c>
      <c r="E25" s="32" t="n">
        <f aca="false">-MIN(Cenários!$B$137:$BI$137)</f>
        <v>160419.316848146</v>
      </c>
      <c r="G25" s="29" t="s">
        <v>138</v>
      </c>
    </row>
    <row r="26" customFormat="false" ht="15" hidden="false" customHeight="false" outlineLevel="0" collapsed="false">
      <c r="B26" s="27" t="s">
        <v>139</v>
      </c>
      <c r="C26" s="30" t="n">
        <f aca="false">SUM(Aportes!$B$98:$BI$98)</f>
        <v>200000</v>
      </c>
      <c r="D26" s="30" t="n">
        <f aca="false">SUM(Aportes!$B$98:$BI$98)</f>
        <v>200000</v>
      </c>
      <c r="E26" s="30" t="n">
        <f aca="false">SUM(Aportes!$B$98:$BI$98)</f>
        <v>200000</v>
      </c>
    </row>
    <row r="27" customFormat="false" ht="15" hidden="false" customHeight="false" outlineLevel="0" collapsed="false">
      <c r="B27" s="31" t="s">
        <v>140</v>
      </c>
      <c r="C27" s="32" t="n">
        <f aca="false">MIN(Cenários!$B$49:$BI$49)</f>
        <v>-11863525.0246041</v>
      </c>
      <c r="D27" s="32" t="n">
        <f aca="false">MIN(Cenários!$B$95:$BI$95)</f>
        <v>-180781.548699936</v>
      </c>
      <c r="E27" s="32" t="n">
        <f aca="false">MIN(Cenários!$B$141:$BI$141)</f>
        <v>-4627.82</v>
      </c>
      <c r="G27" s="29" t="s">
        <v>141</v>
      </c>
    </row>
    <row r="28" customFormat="false" ht="15" hidden="false" customHeight="false" outlineLevel="0" collapsed="false">
      <c r="B28" s="27" t="s">
        <v>142</v>
      </c>
      <c r="C28" s="34" t="str">
        <f aca="false">CHOOSE(MOD(MATCH(MIN(Cenários!$B$49:$BI$49),Cenários!$B$49:$BI$49,0)-1,12)+1,"jan","fev","mar","abr","mai","jun","jul","ago","set","out","nov","dez")&amp;"/"&amp;(2026+INT((MATCH(MIN(Cenários!$B$49:$BI$49),Cenários!$B$49:$BI$49,0)-1)/12))</f>
        <v>dez/2030</v>
      </c>
      <c r="D28" s="34" t="str">
        <f aca="false">CHOOSE(MOD(MATCH(MIN(Cenários!$B$95:$BI$95),Cenários!$B$95:$BI$95,0)-1,12)+1,"jan","fev","mar","abr","mai","jun","jul","ago","set","out","nov","dez")&amp;"/"&amp;(2026+INT((MATCH(MIN(Cenários!$B$95:$BI$95),Cenários!$B$95:$BI$95,0)-1)/12))</f>
        <v>mar/2027</v>
      </c>
      <c r="E28" s="34" t="str">
        <f aca="false">CHOOSE(MOD(MATCH(MIN(Cenários!$B$141:$BI$141),Cenários!$B$141:$BI$141,0)-1,12)+1,"jan","fev","mar","abr","mai","jun","jul","ago","set","out","nov","dez")&amp;"/"&amp;(2026+INT((MATCH(MIN(Cenários!$B$141:$BI$141),Cenários!$B$141:$BI$141,0)-1)/12))</f>
        <v>set/2026</v>
      </c>
      <c r="G28" s="29" t="s">
        <v>143</v>
      </c>
    </row>
    <row r="29" customFormat="false" ht="15" hidden="false" customHeight="false" outlineLevel="0" collapsed="false">
      <c r="B29" s="27" t="s">
        <v>144</v>
      </c>
      <c r="C29" s="30" t="n">
        <f aca="false">Cenários!$BI$49</f>
        <v>-11863525.0246041</v>
      </c>
      <c r="D29" s="30" t="n">
        <f aca="false">Cenários!$BI$95</f>
        <v>18105907.5555274</v>
      </c>
      <c r="E29" s="30" t="n">
        <f aca="false">Cenários!$BI$141</f>
        <v>97023354.1854961</v>
      </c>
    </row>
    <row r="30" customFormat="false" ht="15" hidden="false" customHeight="false" outlineLevel="0" collapsed="false">
      <c r="B30" s="31" t="s">
        <v>145</v>
      </c>
      <c r="C30" s="32" t="n">
        <f aca="false">'Necessidade de Capital'!B71</f>
        <v>14243305.9702967</v>
      </c>
      <c r="D30" s="32" t="n">
        <f aca="false">'Necessidade de Capital'!C71</f>
        <v>423788.678904069</v>
      </c>
      <c r="E30" s="32" t="n">
        <f aca="false">'Necessidade de Capital'!D71</f>
        <v>253883.271228286</v>
      </c>
      <c r="G30" s="29" t="s">
        <v>146</v>
      </c>
    </row>
    <row r="31" customFormat="false" ht="15" hidden="false" customHeight="false" outlineLevel="0" collapsed="false">
      <c r="B31" s="27" t="s">
        <v>147</v>
      </c>
      <c r="C31" s="34" t="str">
        <f aca="false">'Necessidade de Capital'!B75</f>
        <v>jun/2026</v>
      </c>
      <c r="D31" s="34" t="str">
        <f aca="false">'Necessidade de Capital'!C75</f>
        <v>jun/2026</v>
      </c>
      <c r="E31" s="34" t="str">
        <f aca="false">'Necessidade de Capital'!D75</f>
        <v>jun/2026</v>
      </c>
      <c r="G31" s="29" t="s">
        <v>148</v>
      </c>
    </row>
    <row r="32" customFormat="false" ht="15" hidden="false" customHeight="false" outlineLevel="0" collapsed="false">
      <c r="B32" s="27" t="s">
        <v>149</v>
      </c>
      <c r="C32" s="30" t="n">
        <f aca="false">'Necessidade de Capital'!B82</f>
        <v>3560826.49257418</v>
      </c>
      <c r="D32" s="30" t="n">
        <f aca="false">'Necessidade de Capital'!C82</f>
        <v>105947.169726017</v>
      </c>
      <c r="E32" s="30" t="n">
        <f aca="false">'Necessidade de Capital'!D82</f>
        <v>63470.8178070714</v>
      </c>
      <c r="G32" s="29" t="s">
        <v>150</v>
      </c>
    </row>
    <row r="34" customFormat="false" ht="18" hidden="false" customHeight="true" outlineLevel="0" collapsed="false">
      <c r="A34" s="25" t="s">
        <v>151</v>
      </c>
      <c r="B34" s="26"/>
      <c r="C34" s="26"/>
      <c r="D34" s="26"/>
      <c r="E34" s="26"/>
    </row>
    <row r="35" customFormat="false" ht="15" hidden="false" customHeight="false" outlineLevel="0" collapsed="false">
      <c r="B35" s="27" t="s">
        <v>152</v>
      </c>
      <c r="C35" s="34" t="str">
        <f aca="false">'Preço Mínimo'!B86</f>
        <v>não atinge</v>
      </c>
      <c r="D35" s="34" t="str">
        <f aca="false">'Preço Mínimo'!C86</f>
        <v>abr/2027</v>
      </c>
      <c r="E35" s="34" t="str">
        <f aca="false">'Preço Mínimo'!D86</f>
        <v>fev/2027</v>
      </c>
      <c r="G35" s="29" t="s">
        <v>153</v>
      </c>
    </row>
    <row r="36" customFormat="false" ht="15" hidden="false" customHeight="false" outlineLevel="0" collapsed="false">
      <c r="B36" s="31" t="s">
        <v>154</v>
      </c>
      <c r="C36" s="32" t="n">
        <f aca="false">'Preço Mínimo'!B85</f>
        <v>-419187.625817596</v>
      </c>
      <c r="D36" s="32" t="n">
        <f aca="false">'Preço Mínimo'!C85</f>
        <v>-302653.728699936</v>
      </c>
      <c r="E36" s="32" t="n">
        <f aca="false">'Preço Mínimo'!D85</f>
        <v>-49907.8882387206</v>
      </c>
      <c r="G36" s="29" t="s">
        <v>155</v>
      </c>
    </row>
    <row r="37" customFormat="false" ht="15" hidden="false" customHeight="false" outlineLevel="0" collapsed="false">
      <c r="B37" s="35" t="s">
        <v>156</v>
      </c>
      <c r="C37" s="36" t="n">
        <f aca="false">'Preço Mínimo'!$B$68</f>
        <v>48.6895475467367</v>
      </c>
      <c r="D37" s="36"/>
      <c r="E37" s="36"/>
      <c r="G37" s="29" t="s">
        <v>157</v>
      </c>
    </row>
    <row r="38" customFormat="false" ht="15" hidden="false" customHeight="false" outlineLevel="0" collapsed="false">
      <c r="B38" s="35" t="s">
        <v>158</v>
      </c>
      <c r="C38" s="37" t="n">
        <f aca="false">'Preço Mínimo'!$B$72</f>
        <v>2.44671093199682</v>
      </c>
      <c r="D38" s="37"/>
      <c r="E38" s="37"/>
      <c r="G38" s="29" t="s">
        <v>159</v>
      </c>
    </row>
    <row r="39" customFormat="false" ht="15" hidden="false" customHeight="false" outlineLevel="0" collapsed="false">
      <c r="B39" s="35" t="s">
        <v>160</v>
      </c>
      <c r="C39" s="38" t="n">
        <f aca="false">'Preço Mínimo'!$B$73</f>
        <v>6178.68132413809</v>
      </c>
      <c r="D39" s="38"/>
      <c r="E39" s="38"/>
      <c r="G39" s="29" t="s">
        <v>161</v>
      </c>
    </row>
    <row r="40" customFormat="false" ht="15" hidden="false" customHeight="false" outlineLevel="0" collapsed="false">
      <c r="B40" s="35" t="s">
        <v>162</v>
      </c>
      <c r="C40" s="39" t="str">
        <f aca="false">'Preço Mínimo'!$B$77</f>
        <v>Nenhum preço de mercado cobre: a janela é financiada por capital</v>
      </c>
      <c r="D40" s="39"/>
      <c r="E40" s="39"/>
    </row>
    <row r="42" customFormat="false" ht="18" hidden="false" customHeight="true" outlineLevel="0" collapsed="false">
      <c r="A42" s="25" t="s">
        <v>163</v>
      </c>
      <c r="B42" s="26"/>
      <c r="C42" s="26"/>
      <c r="D42" s="26"/>
      <c r="E42" s="26"/>
    </row>
    <row r="43" customFormat="false" ht="15" hidden="false" customHeight="false" outlineLevel="0" collapsed="false">
      <c r="B43" s="31" t="s">
        <v>164</v>
      </c>
      <c r="C43" s="32" t="n">
        <f aca="false">NPV(Premissas!$B$19,Cenários!$B$42:$BI$42)</f>
        <v>-5535282.71932594</v>
      </c>
      <c r="D43" s="32" t="n">
        <f aca="false">NPV(Premissas!$B$19,Cenários!$B$88:$BI$88)</f>
        <v>7237765.13824095</v>
      </c>
      <c r="E43" s="32" t="n">
        <f aca="false">NPV(Premissas!$B$19,Cenários!$B$134:$BI$134)</f>
        <v>40123778.3467615</v>
      </c>
      <c r="G43" s="29" t="s">
        <v>165</v>
      </c>
    </row>
    <row r="44" customFormat="false" ht="15" hidden="false" customHeight="false" outlineLevel="0" collapsed="false">
      <c r="B44" s="27" t="s">
        <v>166</v>
      </c>
      <c r="C44" s="40" t="str">
        <f aca="false">IFERROR(IRR(Cenários!$B$42:$BI$42),"n/d")</f>
        <v>n/d</v>
      </c>
      <c r="D44" s="40" t="n">
        <f aca="false">IFERROR(IRR(Cenários!$B$88:$BI$88),"n/d")</f>
        <v>0.14689889987841</v>
      </c>
      <c r="E44" s="40" t="n">
        <f aca="false">IFERROR(IRR(Cenários!$B$134:$BI$134),"n/d")</f>
        <v>0.340116284477566</v>
      </c>
    </row>
    <row r="45" customFormat="false" ht="15" hidden="false" customHeight="false" outlineLevel="0" collapsed="false">
      <c r="B45" s="31" t="s">
        <v>167</v>
      </c>
      <c r="C45" s="41" t="str">
        <f aca="false">IFERROR((1+C44)^12-1,"n/d")</f>
        <v>n/d</v>
      </c>
      <c r="D45" s="41" t="n">
        <f aca="false">IFERROR((1+D44)^12-1,"n/d")</f>
        <v>4.17966454279644</v>
      </c>
      <c r="E45" s="41" t="n">
        <f aca="false">IFERROR((1+E44)^12-1,"n/d")</f>
        <v>32.5513357354663</v>
      </c>
      <c r="G45" s="29" t="s">
        <v>168</v>
      </c>
    </row>
    <row r="46" customFormat="false" ht="15" hidden="false" customHeight="false" outlineLevel="0" collapsed="false">
      <c r="B46" s="27" t="s">
        <v>169</v>
      </c>
      <c r="C46" s="28" t="str">
        <f aca="false">IF(Cenários!$BI$45&lt;0,"&gt; 60",MAX(Cenários!$B$50:$BI$50)+1)</f>
        <v>&gt; 60</v>
      </c>
      <c r="D46" s="28" t="n">
        <f aca="false">IF(Cenários!$BI$91&lt;0,"&gt; 60",MAX(Cenários!$B$96:$BI$96)+1)</f>
        <v>23</v>
      </c>
      <c r="E46" s="28" t="n">
        <f aca="false">IF(Cenários!$BI$137&lt;0,"&gt; 60",MAX(Cenários!$B$142:$BI$142)+1)</f>
        <v>16</v>
      </c>
      <c r="G46" s="29" t="s">
        <v>170</v>
      </c>
    </row>
    <row r="47" customFormat="false" ht="15" hidden="false" customHeight="false" outlineLevel="0" collapsed="false">
      <c r="B47" s="27" t="s">
        <v>171</v>
      </c>
      <c r="C47" s="28" t="str">
        <f aca="false">IF(Cenários!$BI$44&lt;0,"&gt; 60",MAX(Cenários!$B$51:$BI$51)+1)</f>
        <v>&gt; 60</v>
      </c>
      <c r="D47" s="28" t="n">
        <f aca="false">IF(Cenários!$BI$90&lt;0,"&gt; 60",MAX(Cenários!$B$97:$BI$97)+1)</f>
        <v>24</v>
      </c>
      <c r="E47" s="28" t="n">
        <f aca="false">IF(Cenários!$BI$136&lt;0,"&gt; 60",MAX(Cenários!$B$143:$BI$143)+1)</f>
        <v>16</v>
      </c>
      <c r="G47" s="29" t="s">
        <v>172</v>
      </c>
    </row>
    <row r="48" customFormat="false" ht="15" hidden="false" customHeight="false" outlineLevel="0" collapsed="false">
      <c r="B48" s="27" t="s">
        <v>173</v>
      </c>
      <c r="C48" s="30" t="n">
        <f aca="false">SUM(Cenários!$B$42:$BI$42)</f>
        <v>-12063525.0246041</v>
      </c>
      <c r="D48" s="30" t="n">
        <f aca="false">SUM(Cenários!$B$88:$BI$88)</f>
        <v>17905907.5555274</v>
      </c>
      <c r="E48" s="30" t="n">
        <f aca="false">SUM(Cenários!$B$134:$BI$134)</f>
        <v>96823354.1854961</v>
      </c>
    </row>
    <row r="49" customFormat="false" ht="15" hidden="false" customHeight="false" outlineLevel="0" collapsed="false">
      <c r="B49" s="27" t="s">
        <v>174</v>
      </c>
      <c r="C49" s="42" t="n">
        <f aca="false">IFERROR(C48/C25,0)</f>
        <v>-1</v>
      </c>
      <c r="D49" s="42" t="n">
        <f aca="false">IFERROR(D48/D25,0)</f>
        <v>51.045750900782</v>
      </c>
      <c r="E49" s="42" t="n">
        <f aca="false">IFERROR(E48/E25,0)</f>
        <v>603.564184711932</v>
      </c>
      <c r="G49" s="29" t="s">
        <v>175</v>
      </c>
    </row>
    <row r="51" customFormat="false" ht="18" hidden="false" customHeight="true" outlineLevel="0" collapsed="false">
      <c r="A51" s="25" t="s">
        <v>176</v>
      </c>
      <c r="B51" s="26"/>
      <c r="C51" s="26"/>
      <c r="D51" s="26"/>
      <c r="E51" s="26"/>
    </row>
    <row r="52" customFormat="false" ht="15" hidden="false" customHeight="false" outlineLevel="0" collapsed="false">
      <c r="B52" s="35" t="s">
        <v>177</v>
      </c>
      <c r="C52" s="43" t="str">
        <f aca="false">IF(C27&gt;=0,"SIM","NÃO")</f>
        <v>NÃO</v>
      </c>
      <c r="D52" s="43" t="str">
        <f aca="false">IF(D27&gt;=0,"SIM","NÃO")</f>
        <v>NÃO</v>
      </c>
      <c r="E52" s="43" t="str">
        <f aca="false">IF(E27&gt;=0,"SIM","NÃO")</f>
        <v>NÃO</v>
      </c>
    </row>
    <row r="53" customFormat="false" ht="15" hidden="false" customHeight="false" outlineLevel="0" collapsed="false">
      <c r="B53" s="35" t="s">
        <v>178</v>
      </c>
      <c r="C53" s="43" t="str">
        <f aca="false">IF(C43&gt;0,"SIM","NÃO")</f>
        <v>NÃO</v>
      </c>
      <c r="D53" s="43" t="str">
        <f aca="false">IF(D43&gt;0,"SIM","NÃO")</f>
        <v>SIM</v>
      </c>
      <c r="E53" s="43" t="str">
        <f aca="false">IF(E43&gt;0,"SIM","NÃO")</f>
        <v>SIM</v>
      </c>
    </row>
    <row r="54" customFormat="false" ht="15" hidden="false" customHeight="false" outlineLevel="0" collapsed="false">
      <c r="B54" s="35" t="s">
        <v>179</v>
      </c>
      <c r="C54" s="43" t="str">
        <f aca="false">IF(N(C45)&gt;Premissas!$B$18,"SIM","NÃO")</f>
        <v>NÃO</v>
      </c>
      <c r="D54" s="43" t="str">
        <f aca="false">IF(N(D45)&gt;Premissas!$B$18,"SIM","NÃO")</f>
        <v>SIM</v>
      </c>
      <c r="E54" s="43" t="str">
        <f aca="false">IF(N(E45)&gt;Premissas!$B$18,"SIM","NÃO")</f>
        <v>SIM</v>
      </c>
    </row>
    <row r="55" customFormat="false" ht="15" hidden="false" customHeight="false" outlineLevel="0" collapsed="false">
      <c r="B55" s="35" t="s">
        <v>180</v>
      </c>
      <c r="C55" s="43" t="str">
        <f aca="false">IF(AND(ISNUMBER(C47),N(C47)&lt;=Premissas!$B$20),"SIM","NÃO")</f>
        <v>NÃO</v>
      </c>
      <c r="D55" s="43" t="str">
        <f aca="false">IF(AND(ISNUMBER(D47),N(D47)&lt;=Premissas!$B$20),"SIM","NÃO")</f>
        <v>SIM</v>
      </c>
      <c r="E55" s="43" t="str">
        <f aca="false">IF(AND(ISNUMBER(E47),N(E47)&lt;=Premissas!$B$20),"SIM","NÃO")</f>
        <v>SIM</v>
      </c>
    </row>
    <row r="56" customFormat="false" ht="24" hidden="false" customHeight="true" outlineLevel="0" collapsed="false">
      <c r="B56" s="44" t="s">
        <v>181</v>
      </c>
      <c r="C56" s="45" t="str">
        <f aca="false">IF(COUNTIF(C52:C55,"SIM")=4,"GO — VIÁVEL",IF(COUNTIF(C52:C55,"SIM")&gt;=2,"GO COM RESSALVAS","NO GO — INVIÁVEL"))</f>
        <v>NO GO — INVIÁVEL</v>
      </c>
      <c r="D56" s="46" t="str">
        <f aca="false">IF(COUNTIF(D52:D55,"SIM")=4,"GO — VIÁVEL",IF(COUNTIF(D52:D55,"SIM")&gt;=2,"GO COM RESSALVAS","NO GO — INVIÁVEL"))</f>
        <v>GO COM RESSALVAS</v>
      </c>
      <c r="E56" s="47" t="str">
        <f aca="false">IF(COUNTIF(E52:E55,"SIM")=4,"GO — VIÁVEL",IF(COUNTIF(E52:E55,"SIM")&gt;=2,"GO COM RESSALVAS","NO GO — INVIÁVEL"))</f>
        <v>GO COM RESSALVAS</v>
      </c>
      <c r="G56" s="29" t="s">
        <v>182</v>
      </c>
    </row>
    <row r="58" customFormat="false" ht="18" hidden="false" customHeight="true" outlineLevel="0" collapsed="false">
      <c r="A58" s="25" t="s">
        <v>183</v>
      </c>
      <c r="B58" s="26"/>
      <c r="C58" s="26"/>
      <c r="D58" s="26"/>
      <c r="E58" s="26"/>
    </row>
    <row r="59" customFormat="false" ht="15" hidden="false" customHeight="false" outlineLevel="0" collapsed="false">
      <c r="B59" s="35" t="s">
        <v>184</v>
      </c>
      <c r="C59" s="36" t="n">
        <f aca="false">Usuários!$BI$29</f>
        <v>461.200335937313</v>
      </c>
      <c r="D59" s="36"/>
      <c r="E59" s="36"/>
    </row>
    <row r="60" customFormat="false" ht="15" hidden="false" customHeight="false" outlineLevel="0" collapsed="false">
      <c r="B60" s="35" t="s">
        <v>185</v>
      </c>
      <c r="C60" s="36" t="n">
        <f aca="false">Usuários!$BI$25</f>
        <v>38.5671541943273</v>
      </c>
      <c r="D60" s="36"/>
      <c r="E60" s="36"/>
    </row>
    <row r="61" customFormat="false" ht="15" hidden="false" customHeight="false" outlineLevel="0" collapsed="false">
      <c r="B61" s="35" t="s">
        <v>186</v>
      </c>
      <c r="C61" s="37" t="n">
        <f aca="false">Usuários!$BI$30</f>
        <v>11.958370939517</v>
      </c>
      <c r="D61" s="37"/>
      <c r="E61" s="37"/>
      <c r="G61" s="29" t="s">
        <v>187</v>
      </c>
    </row>
    <row r="62" customFormat="false" ht="15" hidden="false" customHeight="false" outlineLevel="0" collapsed="false">
      <c r="B62" s="35" t="s">
        <v>188</v>
      </c>
      <c r="C62" s="48" t="n">
        <f aca="false">Usuários!$BI$31</f>
        <v>1.33883352216546</v>
      </c>
      <c r="D62" s="48"/>
      <c r="E62" s="48"/>
      <c r="G62" s="29" t="s">
        <v>189</v>
      </c>
    </row>
    <row r="63" customFormat="false" ht="15" hidden="false" customHeight="false" outlineLevel="0" collapsed="false">
      <c r="B63" s="35" t="s">
        <v>190</v>
      </c>
      <c r="C63" s="36" t="n">
        <f aca="false">Usuários!$BI$26</f>
        <v>38.9954461414571</v>
      </c>
      <c r="D63" s="36"/>
      <c r="E63" s="36"/>
    </row>
    <row r="64" customFormat="false" ht="15" hidden="false" customHeight="false" outlineLevel="0" collapsed="false">
      <c r="B64" s="35" t="s">
        <v>191</v>
      </c>
      <c r="C64" s="49" t="n">
        <f aca="false">Usuários!$M$36</f>
        <v>0.216110269039625</v>
      </c>
      <c r="D64" s="49"/>
      <c r="E64" s="49"/>
    </row>
    <row r="65" customFormat="false" ht="15" hidden="false" customHeight="false" outlineLevel="0" collapsed="false">
      <c r="B65" s="35" t="s">
        <v>192</v>
      </c>
      <c r="C65" s="38" t="n">
        <f aca="false">Usuários!$BI$19</f>
        <v>50</v>
      </c>
      <c r="D65" s="38"/>
      <c r="E65" s="38"/>
      <c r="G65" s="29" t="s">
        <v>193</v>
      </c>
    </row>
    <row r="67" customFormat="false" ht="18" hidden="false" customHeight="true" outlineLevel="0" collapsed="false">
      <c r="A67" s="25" t="s">
        <v>194</v>
      </c>
      <c r="B67" s="26"/>
      <c r="C67" s="26"/>
      <c r="D67" s="26"/>
      <c r="E67" s="26"/>
      <c r="F67" s="26"/>
      <c r="G67" s="26"/>
      <c r="H67" s="26"/>
    </row>
    <row r="68" customFormat="false" ht="15" hidden="false" customHeight="false" outlineLevel="0" collapsed="false">
      <c r="B68" s="50" t="s">
        <v>195</v>
      </c>
    </row>
    <row r="69" customFormat="false" ht="42" hidden="false" customHeight="true" outlineLevel="0" collapsed="false">
      <c r="B69" s="51" t="s">
        <v>196</v>
      </c>
      <c r="C69" s="51"/>
      <c r="D69" s="51"/>
      <c r="E69" s="51"/>
      <c r="F69" s="51"/>
      <c r="G69" s="51"/>
    </row>
    <row r="70" customFormat="false" ht="15" hidden="false" customHeight="false" outlineLevel="0" collapsed="false">
      <c r="B70" s="50" t="s">
        <v>197</v>
      </c>
    </row>
    <row r="71" customFormat="false" ht="42" hidden="false" customHeight="true" outlineLevel="0" collapsed="false">
      <c r="B71" s="51" t="s">
        <v>198</v>
      </c>
      <c r="C71" s="51"/>
      <c r="D71" s="51"/>
      <c r="E71" s="51"/>
      <c r="F71" s="51"/>
      <c r="G71" s="51"/>
    </row>
    <row r="72" customFormat="false" ht="15" hidden="false" customHeight="false" outlineLevel="0" collapsed="false">
      <c r="B72" s="50" t="s">
        <v>199</v>
      </c>
    </row>
    <row r="73" customFormat="false" ht="42" hidden="false" customHeight="true" outlineLevel="0" collapsed="false">
      <c r="B73" s="51" t="s">
        <v>200</v>
      </c>
      <c r="C73" s="51"/>
      <c r="D73" s="51"/>
      <c r="E73" s="51"/>
      <c r="F73" s="51"/>
      <c r="G73" s="51"/>
    </row>
    <row r="74" customFormat="false" ht="15" hidden="false" customHeight="false" outlineLevel="0" collapsed="false">
      <c r="B74" s="50" t="s">
        <v>201</v>
      </c>
    </row>
    <row r="75" customFormat="false" ht="42" hidden="false" customHeight="true" outlineLevel="0" collapsed="false">
      <c r="B75" s="51" t="s">
        <v>202</v>
      </c>
      <c r="C75" s="51"/>
      <c r="D75" s="51"/>
      <c r="E75" s="51"/>
      <c r="F75" s="51"/>
      <c r="G75" s="51"/>
    </row>
    <row r="76" customFormat="false" ht="15" hidden="false" customHeight="false" outlineLevel="0" collapsed="false">
      <c r="B76" s="50" t="s">
        <v>203</v>
      </c>
    </row>
    <row r="77" customFormat="false" ht="42" hidden="false" customHeight="true" outlineLevel="0" collapsed="false">
      <c r="B77" s="51" t="s">
        <v>204</v>
      </c>
      <c r="C77" s="51"/>
      <c r="D77" s="51"/>
      <c r="E77" s="51"/>
      <c r="F77" s="51"/>
      <c r="G77" s="51"/>
    </row>
    <row r="78" customFormat="false" ht="15" hidden="false" customHeight="false" outlineLevel="0" collapsed="false">
      <c r="B78" s="50" t="s">
        <v>205</v>
      </c>
    </row>
    <row r="79" customFormat="false" ht="42" hidden="false" customHeight="true" outlineLevel="0" collapsed="false">
      <c r="B79" s="51" t="s">
        <v>206</v>
      </c>
      <c r="C79" s="51"/>
      <c r="D79" s="51"/>
      <c r="E79" s="51"/>
      <c r="F79" s="51"/>
      <c r="G79" s="51"/>
    </row>
    <row r="80" customFormat="false" ht="15" hidden="false" customHeight="false" outlineLevel="0" collapsed="false">
      <c r="B80" s="50" t="s">
        <v>207</v>
      </c>
    </row>
    <row r="81" customFormat="false" ht="42" hidden="false" customHeight="true" outlineLevel="0" collapsed="false">
      <c r="B81" s="51" t="s">
        <v>208</v>
      </c>
      <c r="C81" s="51"/>
      <c r="D81" s="51"/>
      <c r="E81" s="51"/>
      <c r="F81" s="51"/>
      <c r="G81" s="51"/>
    </row>
    <row r="82" customFormat="false" ht="15" hidden="false" customHeight="false" outlineLevel="0" collapsed="false">
      <c r="B82" s="50" t="s">
        <v>209</v>
      </c>
    </row>
    <row r="83" customFormat="false" ht="42" hidden="false" customHeight="true" outlineLevel="0" collapsed="false">
      <c r="B83" s="51" t="s">
        <v>210</v>
      </c>
      <c r="C83" s="51"/>
      <c r="D83" s="51"/>
      <c r="E83" s="51"/>
      <c r="F83" s="51"/>
      <c r="G83" s="51"/>
    </row>
    <row r="84" customFormat="false" ht="15" hidden="false" customHeight="false" outlineLevel="0" collapsed="false">
      <c r="B84" s="50" t="s">
        <v>211</v>
      </c>
    </row>
    <row r="85" customFormat="false" ht="42" hidden="false" customHeight="true" outlineLevel="0" collapsed="false">
      <c r="B85" s="51" t="s">
        <v>212</v>
      </c>
      <c r="C85" s="51"/>
      <c r="D85" s="51"/>
      <c r="E85" s="51"/>
      <c r="F85" s="51"/>
      <c r="G85" s="51"/>
    </row>
    <row r="86" customFormat="false" ht="15" hidden="false" customHeight="false" outlineLevel="0" collapsed="false">
      <c r="B86" s="50" t="s">
        <v>213</v>
      </c>
    </row>
    <row r="87" customFormat="false" ht="42" hidden="false" customHeight="true" outlineLevel="0" collapsed="false">
      <c r="B87" s="51" t="s">
        <v>214</v>
      </c>
      <c r="C87" s="51"/>
      <c r="D87" s="51"/>
      <c r="E87" s="51"/>
      <c r="F87" s="51"/>
      <c r="G87" s="51"/>
    </row>
    <row r="88" customFormat="false" ht="15" hidden="false" customHeight="false" outlineLevel="0" collapsed="false">
      <c r="B88" s="50" t="s">
        <v>215</v>
      </c>
    </row>
    <row r="89" customFormat="false" ht="42" hidden="false" customHeight="true" outlineLevel="0" collapsed="false">
      <c r="B89" s="51" t="s">
        <v>216</v>
      </c>
      <c r="C89" s="51"/>
      <c r="D89" s="51"/>
      <c r="E89" s="51"/>
      <c r="F89" s="51"/>
      <c r="G89" s="51"/>
    </row>
    <row r="90" customFormat="false" ht="15" hidden="false" customHeight="false" outlineLevel="0" collapsed="false">
      <c r="B90" s="50" t="s">
        <v>217</v>
      </c>
    </row>
    <row r="91" customFormat="false" ht="42" hidden="false" customHeight="true" outlineLevel="0" collapsed="false">
      <c r="B91" s="51" t="s">
        <v>218</v>
      </c>
      <c r="C91" s="51"/>
      <c r="D91" s="51"/>
      <c r="E91" s="51"/>
      <c r="F91" s="51"/>
      <c r="G91" s="51"/>
    </row>
    <row r="92" customFormat="false" ht="15" hidden="false" customHeight="false" outlineLevel="0" collapsed="false">
      <c r="B92" s="50" t="s">
        <v>219</v>
      </c>
    </row>
    <row r="93" customFormat="false" ht="42" hidden="false" customHeight="true" outlineLevel="0" collapsed="false">
      <c r="B93" s="51" t="s">
        <v>220</v>
      </c>
      <c r="C93" s="51"/>
      <c r="D93" s="51"/>
      <c r="E93" s="51"/>
      <c r="F93" s="51"/>
      <c r="G93" s="51"/>
    </row>
    <row r="94" customFormat="false" ht="15" hidden="false" customHeight="false" outlineLevel="0" collapsed="false">
      <c r="B94" s="50" t="s">
        <v>221</v>
      </c>
    </row>
    <row r="95" customFormat="false" ht="42" hidden="false" customHeight="true" outlineLevel="0" collapsed="false">
      <c r="B95" s="51" t="s">
        <v>222</v>
      </c>
      <c r="C95" s="51"/>
      <c r="D95" s="51"/>
      <c r="E95" s="51"/>
      <c r="F95" s="51"/>
      <c r="G95" s="51"/>
    </row>
    <row r="96" customFormat="false" ht="15" hidden="false" customHeight="false" outlineLevel="0" collapsed="false">
      <c r="B96" s="50" t="s">
        <v>223</v>
      </c>
    </row>
    <row r="97" customFormat="false" ht="42" hidden="false" customHeight="true" outlineLevel="0" collapsed="false">
      <c r="B97" s="51" t="s">
        <v>224</v>
      </c>
      <c r="C97" s="51"/>
      <c r="D97" s="51"/>
      <c r="E97" s="51"/>
      <c r="F97" s="51"/>
      <c r="G97" s="51"/>
    </row>
    <row r="98" customFormat="false" ht="15" hidden="false" customHeight="false" outlineLevel="0" collapsed="false">
      <c r="B98" s="50" t="s">
        <v>225</v>
      </c>
    </row>
    <row r="99" customFormat="false" ht="42" hidden="false" customHeight="true" outlineLevel="0" collapsed="false">
      <c r="B99" s="51" t="s">
        <v>226</v>
      </c>
      <c r="C99" s="51"/>
      <c r="D99" s="51"/>
      <c r="E99" s="51"/>
      <c r="F99" s="51"/>
      <c r="G99" s="51"/>
    </row>
  </sheetData>
  <mergeCells count="27">
    <mergeCell ref="C37:E37"/>
    <mergeCell ref="C38:E38"/>
    <mergeCell ref="C39:E39"/>
    <mergeCell ref="C40:E40"/>
    <mergeCell ref="C59:E59"/>
    <mergeCell ref="C60:E60"/>
    <mergeCell ref="C61:E61"/>
    <mergeCell ref="C62:E62"/>
    <mergeCell ref="C63:E63"/>
    <mergeCell ref="C64:E64"/>
    <mergeCell ref="C65:E65"/>
    <mergeCell ref="B69:G69"/>
    <mergeCell ref="B71:G71"/>
    <mergeCell ref="B73:G73"/>
    <mergeCell ref="B75:G75"/>
    <mergeCell ref="B77:G77"/>
    <mergeCell ref="B79:G79"/>
    <mergeCell ref="B81:G81"/>
    <mergeCell ref="B83:G83"/>
    <mergeCell ref="B85:G85"/>
    <mergeCell ref="B87:G87"/>
    <mergeCell ref="B89:G89"/>
    <mergeCell ref="B91:G91"/>
    <mergeCell ref="B93:G93"/>
    <mergeCell ref="B95:G95"/>
    <mergeCell ref="B97:G97"/>
    <mergeCell ref="B99:G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K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1" min="2" style="0" width="13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3" t="s">
        <v>228</v>
      </c>
    </row>
    <row r="4" customFormat="false" ht="15" hidden="false" customHeight="false" outlineLevel="0" collapsed="false">
      <c r="A4" s="52" t="s">
        <v>229</v>
      </c>
      <c r="B4" s="53" t="n">
        <v>46023</v>
      </c>
      <c r="C4" s="53" t="n">
        <v>46054</v>
      </c>
      <c r="D4" s="53" t="n">
        <v>46082</v>
      </c>
      <c r="E4" s="53" t="n">
        <v>46113</v>
      </c>
      <c r="F4" s="53" t="n">
        <v>46143</v>
      </c>
      <c r="G4" s="53" t="n">
        <v>46174</v>
      </c>
      <c r="H4" s="53" t="n">
        <v>46204</v>
      </c>
      <c r="I4" s="53" t="n">
        <v>46235</v>
      </c>
      <c r="J4" s="53" t="n">
        <v>46266</v>
      </c>
      <c r="K4" s="53" t="n">
        <v>46296</v>
      </c>
      <c r="L4" s="53" t="n">
        <v>46327</v>
      </c>
      <c r="M4" s="53" t="n">
        <v>46357</v>
      </c>
      <c r="N4" s="53" t="n">
        <v>46388</v>
      </c>
      <c r="O4" s="53" t="n">
        <v>46419</v>
      </c>
      <c r="P4" s="53" t="n">
        <v>46447</v>
      </c>
      <c r="Q4" s="53" t="n">
        <v>46478</v>
      </c>
      <c r="R4" s="53" t="n">
        <v>46508</v>
      </c>
      <c r="S4" s="53" t="n">
        <v>46539</v>
      </c>
      <c r="T4" s="53" t="n">
        <v>46569</v>
      </c>
      <c r="U4" s="53" t="n">
        <v>46600</v>
      </c>
      <c r="V4" s="53" t="n">
        <v>46631</v>
      </c>
      <c r="W4" s="53" t="n">
        <v>46661</v>
      </c>
      <c r="X4" s="53" t="n">
        <v>46692</v>
      </c>
      <c r="Y4" s="53" t="n">
        <v>46722</v>
      </c>
      <c r="Z4" s="53" t="n">
        <v>46753</v>
      </c>
      <c r="AA4" s="53" t="n">
        <v>46784</v>
      </c>
      <c r="AB4" s="53" t="n">
        <v>46813</v>
      </c>
      <c r="AC4" s="53" t="n">
        <v>46844</v>
      </c>
      <c r="AD4" s="53" t="n">
        <v>46874</v>
      </c>
      <c r="AE4" s="53" t="n">
        <v>46905</v>
      </c>
      <c r="AF4" s="53" t="n">
        <v>46935</v>
      </c>
      <c r="AG4" s="53" t="n">
        <v>46966</v>
      </c>
      <c r="AH4" s="53" t="n">
        <v>46997</v>
      </c>
      <c r="AI4" s="53" t="n">
        <v>47027</v>
      </c>
      <c r="AJ4" s="53" t="n">
        <v>47058</v>
      </c>
      <c r="AK4" s="53" t="n">
        <v>47088</v>
      </c>
      <c r="AL4" s="53" t="n">
        <v>47119</v>
      </c>
      <c r="AM4" s="53" t="n">
        <v>47150</v>
      </c>
      <c r="AN4" s="53" t="n">
        <v>47178</v>
      </c>
      <c r="AO4" s="53" t="n">
        <v>47209</v>
      </c>
      <c r="AP4" s="53" t="n">
        <v>47239</v>
      </c>
      <c r="AQ4" s="53" t="n">
        <v>47270</v>
      </c>
      <c r="AR4" s="53" t="n">
        <v>47300</v>
      </c>
      <c r="AS4" s="53" t="n">
        <v>47331</v>
      </c>
      <c r="AT4" s="53" t="n">
        <v>47362</v>
      </c>
      <c r="AU4" s="53" t="n">
        <v>47392</v>
      </c>
      <c r="AV4" s="53" t="n">
        <v>47423</v>
      </c>
      <c r="AW4" s="53" t="n">
        <v>47453</v>
      </c>
      <c r="AX4" s="53" t="n">
        <v>47484</v>
      </c>
      <c r="AY4" s="53" t="n">
        <v>47515</v>
      </c>
      <c r="AZ4" s="53" t="n">
        <v>47543</v>
      </c>
      <c r="BA4" s="53" t="n">
        <v>47574</v>
      </c>
      <c r="BB4" s="53" t="n">
        <v>47604</v>
      </c>
      <c r="BC4" s="53" t="n">
        <v>47635</v>
      </c>
      <c r="BD4" s="53" t="n">
        <v>47665</v>
      </c>
      <c r="BE4" s="53" t="n">
        <v>47696</v>
      </c>
      <c r="BF4" s="53" t="n">
        <v>47727</v>
      </c>
      <c r="BG4" s="53" t="n">
        <v>47757</v>
      </c>
      <c r="BH4" s="53" t="n">
        <v>47788</v>
      </c>
      <c r="BI4" s="53" t="n">
        <v>47818</v>
      </c>
      <c r="BJ4" s="54" t="s">
        <v>230</v>
      </c>
      <c r="BK4" s="54" t="s">
        <v>231</v>
      </c>
    </row>
    <row r="5" customFormat="false" ht="15" hidden="false" customHeight="false" outlineLevel="0" collapsed="false">
      <c r="A5" s="55" t="s">
        <v>232</v>
      </c>
      <c r="B5" s="56" t="n">
        <v>1</v>
      </c>
      <c r="C5" s="56" t="n">
        <v>2</v>
      </c>
      <c r="D5" s="56" t="n">
        <v>3</v>
      </c>
      <c r="E5" s="56" t="n">
        <v>4</v>
      </c>
      <c r="F5" s="56" t="n">
        <v>5</v>
      </c>
      <c r="G5" s="56" t="n">
        <v>6</v>
      </c>
      <c r="H5" s="56" t="n">
        <v>7</v>
      </c>
      <c r="I5" s="56" t="n">
        <v>8</v>
      </c>
      <c r="J5" s="56" t="n">
        <v>9</v>
      </c>
      <c r="K5" s="56" t="n">
        <v>10</v>
      </c>
      <c r="L5" s="56" t="n">
        <v>11</v>
      </c>
      <c r="M5" s="56" t="n">
        <v>12</v>
      </c>
      <c r="N5" s="56" t="n">
        <v>13</v>
      </c>
      <c r="O5" s="56" t="n">
        <v>14</v>
      </c>
      <c r="P5" s="56" t="n">
        <v>15</v>
      </c>
      <c r="Q5" s="56" t="n">
        <v>16</v>
      </c>
      <c r="R5" s="56" t="n">
        <v>17</v>
      </c>
      <c r="S5" s="56" t="n">
        <v>18</v>
      </c>
      <c r="T5" s="56" t="n">
        <v>19</v>
      </c>
      <c r="U5" s="56" t="n">
        <v>20</v>
      </c>
      <c r="V5" s="56" t="n">
        <v>21</v>
      </c>
      <c r="W5" s="56" t="n">
        <v>22</v>
      </c>
      <c r="X5" s="56" t="n">
        <v>23</v>
      </c>
      <c r="Y5" s="56" t="n">
        <v>24</v>
      </c>
      <c r="Z5" s="56" t="n">
        <v>25</v>
      </c>
      <c r="AA5" s="56" t="n">
        <v>26</v>
      </c>
      <c r="AB5" s="56" t="n">
        <v>27</v>
      </c>
      <c r="AC5" s="56" t="n">
        <v>28</v>
      </c>
      <c r="AD5" s="56" t="n">
        <v>29</v>
      </c>
      <c r="AE5" s="56" t="n">
        <v>30</v>
      </c>
      <c r="AF5" s="56" t="n">
        <v>31</v>
      </c>
      <c r="AG5" s="56" t="n">
        <v>32</v>
      </c>
      <c r="AH5" s="56" t="n">
        <v>33</v>
      </c>
      <c r="AI5" s="56" t="n">
        <v>34</v>
      </c>
      <c r="AJ5" s="56" t="n">
        <v>35</v>
      </c>
      <c r="AK5" s="56" t="n">
        <v>36</v>
      </c>
      <c r="AL5" s="56" t="n">
        <v>37</v>
      </c>
      <c r="AM5" s="56" t="n">
        <v>38</v>
      </c>
      <c r="AN5" s="56" t="n">
        <v>39</v>
      </c>
      <c r="AO5" s="56" t="n">
        <v>40</v>
      </c>
      <c r="AP5" s="56" t="n">
        <v>41</v>
      </c>
      <c r="AQ5" s="56" t="n">
        <v>42</v>
      </c>
      <c r="AR5" s="56" t="n">
        <v>43</v>
      </c>
      <c r="AS5" s="56" t="n">
        <v>44</v>
      </c>
      <c r="AT5" s="56" t="n">
        <v>45</v>
      </c>
      <c r="AU5" s="56" t="n">
        <v>46</v>
      </c>
      <c r="AV5" s="56" t="n">
        <v>47</v>
      </c>
      <c r="AW5" s="56" t="n">
        <v>48</v>
      </c>
      <c r="AX5" s="56" t="n">
        <v>49</v>
      </c>
      <c r="AY5" s="56" t="n">
        <v>50</v>
      </c>
      <c r="AZ5" s="56" t="n">
        <v>51</v>
      </c>
      <c r="BA5" s="56" t="n">
        <v>52</v>
      </c>
      <c r="BB5" s="56" t="n">
        <v>53</v>
      </c>
      <c r="BC5" s="56" t="n">
        <v>54</v>
      </c>
      <c r="BD5" s="56" t="n">
        <v>55</v>
      </c>
      <c r="BE5" s="56" t="n">
        <v>56</v>
      </c>
      <c r="BF5" s="56" t="n">
        <v>57</v>
      </c>
      <c r="BG5" s="56" t="n">
        <v>58</v>
      </c>
      <c r="BH5" s="56" t="n">
        <v>59</v>
      </c>
      <c r="BI5" s="56" t="n">
        <v>60</v>
      </c>
    </row>
    <row r="6" customFormat="false" ht="15" hidden="false" customHeight="false" outlineLevel="0" collapsed="false">
      <c r="A6" s="55" t="s">
        <v>233</v>
      </c>
      <c r="B6" s="57" t="n">
        <f aca="false">YEAR(B4)</f>
        <v>2026</v>
      </c>
      <c r="C6" s="57" t="n">
        <f aca="false">YEAR(C4)</f>
        <v>2026</v>
      </c>
      <c r="D6" s="57" t="n">
        <f aca="false">YEAR(D4)</f>
        <v>2026</v>
      </c>
      <c r="E6" s="57" t="n">
        <f aca="false">YEAR(E4)</f>
        <v>2026</v>
      </c>
      <c r="F6" s="57" t="n">
        <f aca="false">YEAR(F4)</f>
        <v>2026</v>
      </c>
      <c r="G6" s="57" t="n">
        <f aca="false">YEAR(G4)</f>
        <v>2026</v>
      </c>
      <c r="H6" s="57" t="n">
        <f aca="false">YEAR(H4)</f>
        <v>2026</v>
      </c>
      <c r="I6" s="57" t="n">
        <f aca="false">YEAR(I4)</f>
        <v>2026</v>
      </c>
      <c r="J6" s="57" t="n">
        <f aca="false">YEAR(J4)</f>
        <v>2026</v>
      </c>
      <c r="K6" s="57" t="n">
        <f aca="false">YEAR(K4)</f>
        <v>2026</v>
      </c>
      <c r="L6" s="57" t="n">
        <f aca="false">YEAR(L4)</f>
        <v>2026</v>
      </c>
      <c r="M6" s="57" t="n">
        <f aca="false">YEAR(M4)</f>
        <v>2026</v>
      </c>
      <c r="N6" s="57" t="n">
        <f aca="false">YEAR(N4)</f>
        <v>2027</v>
      </c>
      <c r="O6" s="57" t="n">
        <f aca="false">YEAR(O4)</f>
        <v>2027</v>
      </c>
      <c r="P6" s="57" t="n">
        <f aca="false">YEAR(P4)</f>
        <v>2027</v>
      </c>
      <c r="Q6" s="57" t="n">
        <f aca="false">YEAR(Q4)</f>
        <v>2027</v>
      </c>
      <c r="R6" s="57" t="n">
        <f aca="false">YEAR(R4)</f>
        <v>2027</v>
      </c>
      <c r="S6" s="57" t="n">
        <f aca="false">YEAR(S4)</f>
        <v>2027</v>
      </c>
      <c r="T6" s="57" t="n">
        <f aca="false">YEAR(T4)</f>
        <v>2027</v>
      </c>
      <c r="U6" s="57" t="n">
        <f aca="false">YEAR(U4)</f>
        <v>2027</v>
      </c>
      <c r="V6" s="57" t="n">
        <f aca="false">YEAR(V4)</f>
        <v>2027</v>
      </c>
      <c r="W6" s="57" t="n">
        <f aca="false">YEAR(W4)</f>
        <v>2027</v>
      </c>
      <c r="X6" s="57" t="n">
        <f aca="false">YEAR(X4)</f>
        <v>2027</v>
      </c>
      <c r="Y6" s="57" t="n">
        <f aca="false">YEAR(Y4)</f>
        <v>2027</v>
      </c>
      <c r="Z6" s="57" t="n">
        <f aca="false">YEAR(Z4)</f>
        <v>2028</v>
      </c>
      <c r="AA6" s="57" t="n">
        <f aca="false">YEAR(AA4)</f>
        <v>2028</v>
      </c>
      <c r="AB6" s="57" t="n">
        <f aca="false">YEAR(AB4)</f>
        <v>2028</v>
      </c>
      <c r="AC6" s="57" t="n">
        <f aca="false">YEAR(AC4)</f>
        <v>2028</v>
      </c>
      <c r="AD6" s="57" t="n">
        <f aca="false">YEAR(AD4)</f>
        <v>2028</v>
      </c>
      <c r="AE6" s="57" t="n">
        <f aca="false">YEAR(AE4)</f>
        <v>2028</v>
      </c>
      <c r="AF6" s="57" t="n">
        <f aca="false">YEAR(AF4)</f>
        <v>2028</v>
      </c>
      <c r="AG6" s="57" t="n">
        <f aca="false">YEAR(AG4)</f>
        <v>2028</v>
      </c>
      <c r="AH6" s="57" t="n">
        <f aca="false">YEAR(AH4)</f>
        <v>2028</v>
      </c>
      <c r="AI6" s="57" t="n">
        <f aca="false">YEAR(AI4)</f>
        <v>2028</v>
      </c>
      <c r="AJ6" s="57" t="n">
        <f aca="false">YEAR(AJ4)</f>
        <v>2028</v>
      </c>
      <c r="AK6" s="57" t="n">
        <f aca="false">YEAR(AK4)</f>
        <v>2028</v>
      </c>
      <c r="AL6" s="57" t="n">
        <f aca="false">YEAR(AL4)</f>
        <v>2029</v>
      </c>
      <c r="AM6" s="57" t="n">
        <f aca="false">YEAR(AM4)</f>
        <v>2029</v>
      </c>
      <c r="AN6" s="57" t="n">
        <f aca="false">YEAR(AN4)</f>
        <v>2029</v>
      </c>
      <c r="AO6" s="57" t="n">
        <f aca="false">YEAR(AO4)</f>
        <v>2029</v>
      </c>
      <c r="AP6" s="57" t="n">
        <f aca="false">YEAR(AP4)</f>
        <v>2029</v>
      </c>
      <c r="AQ6" s="57" t="n">
        <f aca="false">YEAR(AQ4)</f>
        <v>2029</v>
      </c>
      <c r="AR6" s="57" t="n">
        <f aca="false">YEAR(AR4)</f>
        <v>2029</v>
      </c>
      <c r="AS6" s="57" t="n">
        <f aca="false">YEAR(AS4)</f>
        <v>2029</v>
      </c>
      <c r="AT6" s="57" t="n">
        <f aca="false">YEAR(AT4)</f>
        <v>2029</v>
      </c>
      <c r="AU6" s="57" t="n">
        <f aca="false">YEAR(AU4)</f>
        <v>2029</v>
      </c>
      <c r="AV6" s="57" t="n">
        <f aca="false">YEAR(AV4)</f>
        <v>2029</v>
      </c>
      <c r="AW6" s="57" t="n">
        <f aca="false">YEAR(AW4)</f>
        <v>2029</v>
      </c>
      <c r="AX6" s="57" t="n">
        <f aca="false">YEAR(AX4)</f>
        <v>2030</v>
      </c>
      <c r="AY6" s="57" t="n">
        <f aca="false">YEAR(AY4)</f>
        <v>2030</v>
      </c>
      <c r="AZ6" s="57" t="n">
        <f aca="false">YEAR(AZ4)</f>
        <v>2030</v>
      </c>
      <c r="BA6" s="57" t="n">
        <f aca="false">YEAR(BA4)</f>
        <v>2030</v>
      </c>
      <c r="BB6" s="57" t="n">
        <f aca="false">YEAR(BB4)</f>
        <v>2030</v>
      </c>
      <c r="BC6" s="57" t="n">
        <f aca="false">YEAR(BC4)</f>
        <v>2030</v>
      </c>
      <c r="BD6" s="57" t="n">
        <f aca="false">YEAR(BD4)</f>
        <v>2030</v>
      </c>
      <c r="BE6" s="57" t="n">
        <f aca="false">YEAR(BE4)</f>
        <v>2030</v>
      </c>
      <c r="BF6" s="57" t="n">
        <f aca="false">YEAR(BF4)</f>
        <v>2030</v>
      </c>
      <c r="BG6" s="57" t="n">
        <f aca="false">YEAR(BG4)</f>
        <v>2030</v>
      </c>
      <c r="BH6" s="57" t="n">
        <f aca="false">YEAR(BH4)</f>
        <v>2030</v>
      </c>
      <c r="BI6" s="57" t="n">
        <f aca="false">YEAR(BI4)</f>
        <v>2030</v>
      </c>
    </row>
    <row r="7" customFormat="false" ht="15" hidden="false" customHeight="false" outlineLevel="0" collapsed="false">
      <c r="A7" s="58" t="s">
        <v>234</v>
      </c>
      <c r="B7" s="59" t="n">
        <f aca="false">MATCH(B6,Premissas!$C$5:$G$5,0)</f>
        <v>1</v>
      </c>
      <c r="C7" s="59" t="n">
        <f aca="false">MATCH(C6,Premissas!$C$5:$G$5,0)</f>
        <v>1</v>
      </c>
      <c r="D7" s="59" t="n">
        <f aca="false">MATCH(D6,Premissas!$C$5:$G$5,0)</f>
        <v>1</v>
      </c>
      <c r="E7" s="59" t="n">
        <f aca="false">MATCH(E6,Premissas!$C$5:$G$5,0)</f>
        <v>1</v>
      </c>
      <c r="F7" s="59" t="n">
        <f aca="false">MATCH(F6,Premissas!$C$5:$G$5,0)</f>
        <v>1</v>
      </c>
      <c r="G7" s="59" t="n">
        <f aca="false">MATCH(G6,Premissas!$C$5:$G$5,0)</f>
        <v>1</v>
      </c>
      <c r="H7" s="59" t="n">
        <f aca="false">MATCH(H6,Premissas!$C$5:$G$5,0)</f>
        <v>1</v>
      </c>
      <c r="I7" s="59" t="n">
        <f aca="false">MATCH(I6,Premissas!$C$5:$G$5,0)</f>
        <v>1</v>
      </c>
      <c r="J7" s="59" t="n">
        <f aca="false">MATCH(J6,Premissas!$C$5:$G$5,0)</f>
        <v>1</v>
      </c>
      <c r="K7" s="59" t="n">
        <f aca="false">MATCH(K6,Premissas!$C$5:$G$5,0)</f>
        <v>1</v>
      </c>
      <c r="L7" s="59" t="n">
        <f aca="false">MATCH(L6,Premissas!$C$5:$G$5,0)</f>
        <v>1</v>
      </c>
      <c r="M7" s="59" t="n">
        <f aca="false">MATCH(M6,Premissas!$C$5:$G$5,0)</f>
        <v>1</v>
      </c>
      <c r="N7" s="59" t="n">
        <f aca="false">MATCH(N6,Premissas!$C$5:$G$5,0)</f>
        <v>2</v>
      </c>
      <c r="O7" s="59" t="n">
        <f aca="false">MATCH(O6,Premissas!$C$5:$G$5,0)</f>
        <v>2</v>
      </c>
      <c r="P7" s="59" t="n">
        <f aca="false">MATCH(P6,Premissas!$C$5:$G$5,0)</f>
        <v>2</v>
      </c>
      <c r="Q7" s="59" t="n">
        <f aca="false">MATCH(Q6,Premissas!$C$5:$G$5,0)</f>
        <v>2</v>
      </c>
      <c r="R7" s="59" t="n">
        <f aca="false">MATCH(R6,Premissas!$C$5:$G$5,0)</f>
        <v>2</v>
      </c>
      <c r="S7" s="59" t="n">
        <f aca="false">MATCH(S6,Premissas!$C$5:$G$5,0)</f>
        <v>2</v>
      </c>
      <c r="T7" s="59" t="n">
        <f aca="false">MATCH(T6,Premissas!$C$5:$G$5,0)</f>
        <v>2</v>
      </c>
      <c r="U7" s="59" t="n">
        <f aca="false">MATCH(U6,Premissas!$C$5:$G$5,0)</f>
        <v>2</v>
      </c>
      <c r="V7" s="59" t="n">
        <f aca="false">MATCH(V6,Premissas!$C$5:$G$5,0)</f>
        <v>2</v>
      </c>
      <c r="W7" s="59" t="n">
        <f aca="false">MATCH(W6,Premissas!$C$5:$G$5,0)</f>
        <v>2</v>
      </c>
      <c r="X7" s="59" t="n">
        <f aca="false">MATCH(X6,Premissas!$C$5:$G$5,0)</f>
        <v>2</v>
      </c>
      <c r="Y7" s="59" t="n">
        <f aca="false">MATCH(Y6,Premissas!$C$5:$G$5,0)</f>
        <v>2</v>
      </c>
      <c r="Z7" s="59" t="n">
        <f aca="false">MATCH(Z6,Premissas!$C$5:$G$5,0)</f>
        <v>3</v>
      </c>
      <c r="AA7" s="59" t="n">
        <f aca="false">MATCH(AA6,Premissas!$C$5:$G$5,0)</f>
        <v>3</v>
      </c>
      <c r="AB7" s="59" t="n">
        <f aca="false">MATCH(AB6,Premissas!$C$5:$G$5,0)</f>
        <v>3</v>
      </c>
      <c r="AC7" s="59" t="n">
        <f aca="false">MATCH(AC6,Premissas!$C$5:$G$5,0)</f>
        <v>3</v>
      </c>
      <c r="AD7" s="59" t="n">
        <f aca="false">MATCH(AD6,Premissas!$C$5:$G$5,0)</f>
        <v>3</v>
      </c>
      <c r="AE7" s="59" t="n">
        <f aca="false">MATCH(AE6,Premissas!$C$5:$G$5,0)</f>
        <v>3</v>
      </c>
      <c r="AF7" s="59" t="n">
        <f aca="false">MATCH(AF6,Premissas!$C$5:$G$5,0)</f>
        <v>3</v>
      </c>
      <c r="AG7" s="59" t="n">
        <f aca="false">MATCH(AG6,Premissas!$C$5:$G$5,0)</f>
        <v>3</v>
      </c>
      <c r="AH7" s="59" t="n">
        <f aca="false">MATCH(AH6,Premissas!$C$5:$G$5,0)</f>
        <v>3</v>
      </c>
      <c r="AI7" s="59" t="n">
        <f aca="false">MATCH(AI6,Premissas!$C$5:$G$5,0)</f>
        <v>3</v>
      </c>
      <c r="AJ7" s="59" t="n">
        <f aca="false">MATCH(AJ6,Premissas!$C$5:$G$5,0)</f>
        <v>3</v>
      </c>
      <c r="AK7" s="59" t="n">
        <f aca="false">MATCH(AK6,Premissas!$C$5:$G$5,0)</f>
        <v>3</v>
      </c>
      <c r="AL7" s="59" t="n">
        <f aca="false">MATCH(AL6,Premissas!$C$5:$G$5,0)</f>
        <v>4</v>
      </c>
      <c r="AM7" s="59" t="n">
        <f aca="false">MATCH(AM6,Premissas!$C$5:$G$5,0)</f>
        <v>4</v>
      </c>
      <c r="AN7" s="59" t="n">
        <f aca="false">MATCH(AN6,Premissas!$C$5:$G$5,0)</f>
        <v>4</v>
      </c>
      <c r="AO7" s="59" t="n">
        <f aca="false">MATCH(AO6,Premissas!$C$5:$G$5,0)</f>
        <v>4</v>
      </c>
      <c r="AP7" s="59" t="n">
        <f aca="false">MATCH(AP6,Premissas!$C$5:$G$5,0)</f>
        <v>4</v>
      </c>
      <c r="AQ7" s="59" t="n">
        <f aca="false">MATCH(AQ6,Premissas!$C$5:$G$5,0)</f>
        <v>4</v>
      </c>
      <c r="AR7" s="59" t="n">
        <f aca="false">MATCH(AR6,Premissas!$C$5:$G$5,0)</f>
        <v>4</v>
      </c>
      <c r="AS7" s="59" t="n">
        <f aca="false">MATCH(AS6,Premissas!$C$5:$G$5,0)</f>
        <v>4</v>
      </c>
      <c r="AT7" s="59" t="n">
        <f aca="false">MATCH(AT6,Premissas!$C$5:$G$5,0)</f>
        <v>4</v>
      </c>
      <c r="AU7" s="59" t="n">
        <f aca="false">MATCH(AU6,Premissas!$C$5:$G$5,0)</f>
        <v>4</v>
      </c>
      <c r="AV7" s="59" t="n">
        <f aca="false">MATCH(AV6,Premissas!$C$5:$G$5,0)</f>
        <v>4</v>
      </c>
      <c r="AW7" s="59" t="n">
        <f aca="false">MATCH(AW6,Premissas!$C$5:$G$5,0)</f>
        <v>4</v>
      </c>
      <c r="AX7" s="59" t="n">
        <f aca="false">MATCH(AX6,Premissas!$C$5:$G$5,0)</f>
        <v>5</v>
      </c>
      <c r="AY7" s="59" t="n">
        <f aca="false">MATCH(AY6,Premissas!$C$5:$G$5,0)</f>
        <v>5</v>
      </c>
      <c r="AZ7" s="59" t="n">
        <f aca="false">MATCH(AZ6,Premissas!$C$5:$G$5,0)</f>
        <v>5</v>
      </c>
      <c r="BA7" s="59" t="n">
        <f aca="false">MATCH(BA6,Premissas!$C$5:$G$5,0)</f>
        <v>5</v>
      </c>
      <c r="BB7" s="59" t="n">
        <f aca="false">MATCH(BB6,Premissas!$C$5:$G$5,0)</f>
        <v>5</v>
      </c>
      <c r="BC7" s="59" t="n">
        <f aca="false">MATCH(BC6,Premissas!$C$5:$G$5,0)</f>
        <v>5</v>
      </c>
      <c r="BD7" s="59" t="n">
        <f aca="false">MATCH(BD6,Premissas!$C$5:$G$5,0)</f>
        <v>5</v>
      </c>
      <c r="BE7" s="59" t="n">
        <f aca="false">MATCH(BE6,Premissas!$C$5:$G$5,0)</f>
        <v>5</v>
      </c>
      <c r="BF7" s="59" t="n">
        <f aca="false">MATCH(BF6,Premissas!$C$5:$G$5,0)</f>
        <v>5</v>
      </c>
      <c r="BG7" s="59" t="n">
        <f aca="false">MATCH(BG6,Premissas!$C$5:$G$5,0)</f>
        <v>5</v>
      </c>
      <c r="BH7" s="59" t="n">
        <f aca="false">MATCH(BH6,Premissas!$C$5:$G$5,0)</f>
        <v>5</v>
      </c>
      <c r="BI7" s="59" t="n">
        <f aca="false">MATCH(BI6,Premissas!$C$5:$G$5,0)</f>
        <v>5</v>
      </c>
    </row>
    <row r="8" customFormat="false" ht="18" hidden="false" customHeight="true" outlineLevel="0" collapsed="false">
      <c r="A8" s="25" t="s">
        <v>235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customFormat="false" ht="15" hidden="false" customHeight="false" outlineLevel="0" collapsed="false">
      <c r="A9" s="27" t="s">
        <v>236</v>
      </c>
      <c r="B9" s="60" t="n">
        <f aca="false">SUMPRODUCT((Aportes!$D$6:$D$37="Realizado")*(Aportes!$A$6:$A$37&gt;=B$4)*(Aportes!$A$6:$A$37&lt;=EOMONTH(B$4,0))*Aportes!$C$6:$C$37)</f>
        <v>0</v>
      </c>
      <c r="C9" s="60" t="n">
        <f aca="false">SUMPRODUCT((Aportes!$D$6:$D$37="Realizado")*(Aportes!$A$6:$A$37&gt;=C$4)*(Aportes!$A$6:$A$37&lt;=EOMONTH(C$4,0))*Aportes!$C$6:$C$37)</f>
        <v>0</v>
      </c>
      <c r="D9" s="60" t="n">
        <f aca="false">SUMPRODUCT((Aportes!$D$6:$D$37="Realizado")*(Aportes!$A$6:$A$37&gt;=D$4)*(Aportes!$A$6:$A$37&lt;=EOMONTH(D$4,0))*Aportes!$C$6:$C$37)</f>
        <v>0</v>
      </c>
      <c r="E9" s="60" t="n">
        <f aca="false">SUMPRODUCT((Aportes!$D$6:$D$37="Realizado")*(Aportes!$A$6:$A$37&gt;=E$4)*(Aportes!$A$6:$A$37&lt;=EOMONTH(E$4,0))*Aportes!$C$6:$C$37)</f>
        <v>10000</v>
      </c>
      <c r="F9" s="60" t="n">
        <f aca="false">SUMPRODUCT((Aportes!$D$6:$D$37="Realizado")*(Aportes!$A$6:$A$37&gt;=F$4)*(Aportes!$A$6:$A$37&lt;=EOMONTH(F$4,0))*Aportes!$C$6:$C$37)</f>
        <v>0</v>
      </c>
      <c r="G9" s="60" t="n">
        <f aca="false">SUMPRODUCT((Aportes!$D$6:$D$37="Realizado")*(Aportes!$A$6:$A$37&gt;=G$4)*(Aportes!$A$6:$A$37&lt;=EOMONTH(G$4,0))*Aportes!$C$6:$C$37)</f>
        <v>0</v>
      </c>
      <c r="H9" s="60" t="n">
        <f aca="false">SUMPRODUCT((Aportes!$D$6:$D$37="Realizado")*(Aportes!$A$6:$A$37&gt;=H$4)*(Aportes!$A$6:$A$37&lt;=EOMONTH(H$4,0))*Aportes!$C$6:$C$37)</f>
        <v>5000</v>
      </c>
      <c r="I9" s="60" t="n">
        <f aca="false">SUMPRODUCT((Aportes!$D$6:$D$37="Realizado")*(Aportes!$A$6:$A$37&gt;=I$4)*(Aportes!$A$6:$A$37&lt;=EOMONTH(I$4,0))*Aportes!$C$6:$C$37)</f>
        <v>18000</v>
      </c>
      <c r="J9" s="60" t="n">
        <f aca="false">SUMPRODUCT((Aportes!$D$6:$D$37="Realizado")*(Aportes!$A$6:$A$37&gt;=J$4)*(Aportes!$A$6:$A$37&lt;=EOMONTH(J$4,0))*Aportes!$C$6:$C$37)</f>
        <v>0</v>
      </c>
      <c r="K9" s="60" t="n">
        <f aca="false">SUMPRODUCT((Aportes!$D$6:$D$37="Realizado")*(Aportes!$A$6:$A$37&gt;=K$4)*(Aportes!$A$6:$A$37&lt;=EOMONTH(K$4,0))*Aportes!$C$6:$C$37)</f>
        <v>0</v>
      </c>
      <c r="L9" s="60" t="n">
        <f aca="false">SUMPRODUCT((Aportes!$D$6:$D$37="Realizado")*(Aportes!$A$6:$A$37&gt;=L$4)*(Aportes!$A$6:$A$37&lt;=EOMONTH(L$4,0))*Aportes!$C$6:$C$37)</f>
        <v>0</v>
      </c>
      <c r="M9" s="60" t="n">
        <f aca="false">SUMPRODUCT((Aportes!$D$6:$D$37="Realizado")*(Aportes!$A$6:$A$37&gt;=M$4)*(Aportes!$A$6:$A$37&lt;=EOMONTH(M$4,0))*Aportes!$C$6:$C$37)</f>
        <v>0</v>
      </c>
      <c r="N9" s="60" t="n">
        <f aca="false">SUMPRODUCT((Aportes!$D$6:$D$37="Realizado")*(Aportes!$A$6:$A$37&gt;=N$4)*(Aportes!$A$6:$A$37&lt;=EOMONTH(N$4,0))*Aportes!$C$6:$C$37)</f>
        <v>0</v>
      </c>
      <c r="O9" s="60" t="n">
        <f aca="false">SUMPRODUCT((Aportes!$D$6:$D$37="Realizado")*(Aportes!$A$6:$A$37&gt;=O$4)*(Aportes!$A$6:$A$37&lt;=EOMONTH(O$4,0))*Aportes!$C$6:$C$37)</f>
        <v>0</v>
      </c>
      <c r="P9" s="60" t="n">
        <f aca="false">SUMPRODUCT((Aportes!$D$6:$D$37="Realizado")*(Aportes!$A$6:$A$37&gt;=P$4)*(Aportes!$A$6:$A$37&lt;=EOMONTH(P$4,0))*Aportes!$C$6:$C$37)</f>
        <v>0</v>
      </c>
      <c r="Q9" s="60" t="n">
        <f aca="false">SUMPRODUCT((Aportes!$D$6:$D$37="Realizado")*(Aportes!$A$6:$A$37&gt;=Q$4)*(Aportes!$A$6:$A$37&lt;=EOMONTH(Q$4,0))*Aportes!$C$6:$C$37)</f>
        <v>0</v>
      </c>
      <c r="R9" s="60" t="n">
        <f aca="false">SUMPRODUCT((Aportes!$D$6:$D$37="Realizado")*(Aportes!$A$6:$A$37&gt;=R$4)*(Aportes!$A$6:$A$37&lt;=EOMONTH(R$4,0))*Aportes!$C$6:$C$37)</f>
        <v>0</v>
      </c>
      <c r="S9" s="60" t="n">
        <f aca="false">SUMPRODUCT((Aportes!$D$6:$D$37="Realizado")*(Aportes!$A$6:$A$37&gt;=S$4)*(Aportes!$A$6:$A$37&lt;=EOMONTH(S$4,0))*Aportes!$C$6:$C$37)</f>
        <v>0</v>
      </c>
      <c r="T9" s="60" t="n">
        <f aca="false">SUMPRODUCT((Aportes!$D$6:$D$37="Realizado")*(Aportes!$A$6:$A$37&gt;=T$4)*(Aportes!$A$6:$A$37&lt;=EOMONTH(T$4,0))*Aportes!$C$6:$C$37)</f>
        <v>0</v>
      </c>
      <c r="U9" s="60" t="n">
        <f aca="false">SUMPRODUCT((Aportes!$D$6:$D$37="Realizado")*(Aportes!$A$6:$A$37&gt;=U$4)*(Aportes!$A$6:$A$37&lt;=EOMONTH(U$4,0))*Aportes!$C$6:$C$37)</f>
        <v>0</v>
      </c>
      <c r="V9" s="60" t="n">
        <f aca="false">SUMPRODUCT((Aportes!$D$6:$D$37="Realizado")*(Aportes!$A$6:$A$37&gt;=V$4)*(Aportes!$A$6:$A$37&lt;=EOMONTH(V$4,0))*Aportes!$C$6:$C$37)</f>
        <v>0</v>
      </c>
      <c r="W9" s="60" t="n">
        <f aca="false">SUMPRODUCT((Aportes!$D$6:$D$37="Realizado")*(Aportes!$A$6:$A$37&gt;=W$4)*(Aportes!$A$6:$A$37&lt;=EOMONTH(W$4,0))*Aportes!$C$6:$C$37)</f>
        <v>0</v>
      </c>
      <c r="X9" s="60" t="n">
        <f aca="false">SUMPRODUCT((Aportes!$D$6:$D$37="Realizado")*(Aportes!$A$6:$A$37&gt;=X$4)*(Aportes!$A$6:$A$37&lt;=EOMONTH(X$4,0))*Aportes!$C$6:$C$37)</f>
        <v>0</v>
      </c>
      <c r="Y9" s="60" t="n">
        <f aca="false">SUMPRODUCT((Aportes!$D$6:$D$37="Realizado")*(Aportes!$A$6:$A$37&gt;=Y$4)*(Aportes!$A$6:$A$37&lt;=EOMONTH(Y$4,0))*Aportes!$C$6:$C$37)</f>
        <v>0</v>
      </c>
      <c r="Z9" s="60" t="n">
        <f aca="false">SUMPRODUCT((Aportes!$D$6:$D$37="Realizado")*(Aportes!$A$6:$A$37&gt;=Z$4)*(Aportes!$A$6:$A$37&lt;=EOMONTH(Z$4,0))*Aportes!$C$6:$C$37)</f>
        <v>0</v>
      </c>
      <c r="AA9" s="60" t="n">
        <f aca="false">SUMPRODUCT((Aportes!$D$6:$D$37="Realizado")*(Aportes!$A$6:$A$37&gt;=AA$4)*(Aportes!$A$6:$A$37&lt;=EOMONTH(AA$4,0))*Aportes!$C$6:$C$37)</f>
        <v>0</v>
      </c>
      <c r="AB9" s="60" t="n">
        <f aca="false">SUMPRODUCT((Aportes!$D$6:$D$37="Realizado")*(Aportes!$A$6:$A$37&gt;=AB$4)*(Aportes!$A$6:$A$37&lt;=EOMONTH(AB$4,0))*Aportes!$C$6:$C$37)</f>
        <v>0</v>
      </c>
      <c r="AC9" s="60" t="n">
        <f aca="false">SUMPRODUCT((Aportes!$D$6:$D$37="Realizado")*(Aportes!$A$6:$A$37&gt;=AC$4)*(Aportes!$A$6:$A$37&lt;=EOMONTH(AC$4,0))*Aportes!$C$6:$C$37)</f>
        <v>0</v>
      </c>
      <c r="AD9" s="60" t="n">
        <f aca="false">SUMPRODUCT((Aportes!$D$6:$D$37="Realizado")*(Aportes!$A$6:$A$37&gt;=AD$4)*(Aportes!$A$6:$A$37&lt;=EOMONTH(AD$4,0))*Aportes!$C$6:$C$37)</f>
        <v>0</v>
      </c>
      <c r="AE9" s="60" t="n">
        <f aca="false">SUMPRODUCT((Aportes!$D$6:$D$37="Realizado")*(Aportes!$A$6:$A$37&gt;=AE$4)*(Aportes!$A$6:$A$37&lt;=EOMONTH(AE$4,0))*Aportes!$C$6:$C$37)</f>
        <v>0</v>
      </c>
      <c r="AF9" s="60" t="n">
        <f aca="false">SUMPRODUCT((Aportes!$D$6:$D$37="Realizado")*(Aportes!$A$6:$A$37&gt;=AF$4)*(Aportes!$A$6:$A$37&lt;=EOMONTH(AF$4,0))*Aportes!$C$6:$C$37)</f>
        <v>0</v>
      </c>
      <c r="AG9" s="60" t="n">
        <f aca="false">SUMPRODUCT((Aportes!$D$6:$D$37="Realizado")*(Aportes!$A$6:$A$37&gt;=AG$4)*(Aportes!$A$6:$A$37&lt;=EOMONTH(AG$4,0))*Aportes!$C$6:$C$37)</f>
        <v>0</v>
      </c>
      <c r="AH9" s="60" t="n">
        <f aca="false">SUMPRODUCT((Aportes!$D$6:$D$37="Realizado")*(Aportes!$A$6:$A$37&gt;=AH$4)*(Aportes!$A$6:$A$37&lt;=EOMONTH(AH$4,0))*Aportes!$C$6:$C$37)</f>
        <v>0</v>
      </c>
      <c r="AI9" s="60" t="n">
        <f aca="false">SUMPRODUCT((Aportes!$D$6:$D$37="Realizado")*(Aportes!$A$6:$A$37&gt;=AI$4)*(Aportes!$A$6:$A$37&lt;=EOMONTH(AI$4,0))*Aportes!$C$6:$C$37)</f>
        <v>0</v>
      </c>
      <c r="AJ9" s="60" t="n">
        <f aca="false">SUMPRODUCT((Aportes!$D$6:$D$37="Realizado")*(Aportes!$A$6:$A$37&gt;=AJ$4)*(Aportes!$A$6:$A$37&lt;=EOMONTH(AJ$4,0))*Aportes!$C$6:$C$37)</f>
        <v>0</v>
      </c>
      <c r="AK9" s="60" t="n">
        <f aca="false">SUMPRODUCT((Aportes!$D$6:$D$37="Realizado")*(Aportes!$A$6:$A$37&gt;=AK$4)*(Aportes!$A$6:$A$37&lt;=EOMONTH(AK$4,0))*Aportes!$C$6:$C$37)</f>
        <v>0</v>
      </c>
      <c r="AL9" s="60" t="n">
        <f aca="false">SUMPRODUCT((Aportes!$D$6:$D$37="Realizado")*(Aportes!$A$6:$A$37&gt;=AL$4)*(Aportes!$A$6:$A$37&lt;=EOMONTH(AL$4,0))*Aportes!$C$6:$C$37)</f>
        <v>0</v>
      </c>
      <c r="AM9" s="60" t="n">
        <f aca="false">SUMPRODUCT((Aportes!$D$6:$D$37="Realizado")*(Aportes!$A$6:$A$37&gt;=AM$4)*(Aportes!$A$6:$A$37&lt;=EOMONTH(AM$4,0))*Aportes!$C$6:$C$37)</f>
        <v>0</v>
      </c>
      <c r="AN9" s="60" t="n">
        <f aca="false">SUMPRODUCT((Aportes!$D$6:$D$37="Realizado")*(Aportes!$A$6:$A$37&gt;=AN$4)*(Aportes!$A$6:$A$37&lt;=EOMONTH(AN$4,0))*Aportes!$C$6:$C$37)</f>
        <v>0</v>
      </c>
      <c r="AO9" s="60" t="n">
        <f aca="false">SUMPRODUCT((Aportes!$D$6:$D$37="Realizado")*(Aportes!$A$6:$A$37&gt;=AO$4)*(Aportes!$A$6:$A$37&lt;=EOMONTH(AO$4,0))*Aportes!$C$6:$C$37)</f>
        <v>0</v>
      </c>
      <c r="AP9" s="60" t="n">
        <f aca="false">SUMPRODUCT((Aportes!$D$6:$D$37="Realizado")*(Aportes!$A$6:$A$37&gt;=AP$4)*(Aportes!$A$6:$A$37&lt;=EOMONTH(AP$4,0))*Aportes!$C$6:$C$37)</f>
        <v>0</v>
      </c>
      <c r="AQ9" s="60" t="n">
        <f aca="false">SUMPRODUCT((Aportes!$D$6:$D$37="Realizado")*(Aportes!$A$6:$A$37&gt;=AQ$4)*(Aportes!$A$6:$A$37&lt;=EOMONTH(AQ$4,0))*Aportes!$C$6:$C$37)</f>
        <v>0</v>
      </c>
      <c r="AR9" s="60" t="n">
        <f aca="false">SUMPRODUCT((Aportes!$D$6:$D$37="Realizado")*(Aportes!$A$6:$A$37&gt;=AR$4)*(Aportes!$A$6:$A$37&lt;=EOMONTH(AR$4,0))*Aportes!$C$6:$C$37)</f>
        <v>0</v>
      </c>
      <c r="AS9" s="60" t="n">
        <f aca="false">SUMPRODUCT((Aportes!$D$6:$D$37="Realizado")*(Aportes!$A$6:$A$37&gt;=AS$4)*(Aportes!$A$6:$A$37&lt;=EOMONTH(AS$4,0))*Aportes!$C$6:$C$37)</f>
        <v>0</v>
      </c>
      <c r="AT9" s="60" t="n">
        <f aca="false">SUMPRODUCT((Aportes!$D$6:$D$37="Realizado")*(Aportes!$A$6:$A$37&gt;=AT$4)*(Aportes!$A$6:$A$37&lt;=EOMONTH(AT$4,0))*Aportes!$C$6:$C$37)</f>
        <v>0</v>
      </c>
      <c r="AU9" s="60" t="n">
        <f aca="false">SUMPRODUCT((Aportes!$D$6:$D$37="Realizado")*(Aportes!$A$6:$A$37&gt;=AU$4)*(Aportes!$A$6:$A$37&lt;=EOMONTH(AU$4,0))*Aportes!$C$6:$C$37)</f>
        <v>0</v>
      </c>
      <c r="AV9" s="60" t="n">
        <f aca="false">SUMPRODUCT((Aportes!$D$6:$D$37="Realizado")*(Aportes!$A$6:$A$37&gt;=AV$4)*(Aportes!$A$6:$A$37&lt;=EOMONTH(AV$4,0))*Aportes!$C$6:$C$37)</f>
        <v>0</v>
      </c>
      <c r="AW9" s="60" t="n">
        <f aca="false">SUMPRODUCT((Aportes!$D$6:$D$37="Realizado")*(Aportes!$A$6:$A$37&gt;=AW$4)*(Aportes!$A$6:$A$37&lt;=EOMONTH(AW$4,0))*Aportes!$C$6:$C$37)</f>
        <v>0</v>
      </c>
      <c r="AX9" s="60" t="n">
        <f aca="false">SUMPRODUCT((Aportes!$D$6:$D$37="Realizado")*(Aportes!$A$6:$A$37&gt;=AX$4)*(Aportes!$A$6:$A$37&lt;=EOMONTH(AX$4,0))*Aportes!$C$6:$C$37)</f>
        <v>0</v>
      </c>
      <c r="AY9" s="60" t="n">
        <f aca="false">SUMPRODUCT((Aportes!$D$6:$D$37="Realizado")*(Aportes!$A$6:$A$37&gt;=AY$4)*(Aportes!$A$6:$A$37&lt;=EOMONTH(AY$4,0))*Aportes!$C$6:$C$37)</f>
        <v>0</v>
      </c>
      <c r="AZ9" s="60" t="n">
        <f aca="false">SUMPRODUCT((Aportes!$D$6:$D$37="Realizado")*(Aportes!$A$6:$A$37&gt;=AZ$4)*(Aportes!$A$6:$A$37&lt;=EOMONTH(AZ$4,0))*Aportes!$C$6:$C$37)</f>
        <v>0</v>
      </c>
      <c r="BA9" s="60" t="n">
        <f aca="false">SUMPRODUCT((Aportes!$D$6:$D$37="Realizado")*(Aportes!$A$6:$A$37&gt;=BA$4)*(Aportes!$A$6:$A$37&lt;=EOMONTH(BA$4,0))*Aportes!$C$6:$C$37)</f>
        <v>0</v>
      </c>
      <c r="BB9" s="60" t="n">
        <f aca="false">SUMPRODUCT((Aportes!$D$6:$D$37="Realizado")*(Aportes!$A$6:$A$37&gt;=BB$4)*(Aportes!$A$6:$A$37&lt;=EOMONTH(BB$4,0))*Aportes!$C$6:$C$37)</f>
        <v>0</v>
      </c>
      <c r="BC9" s="60" t="n">
        <f aca="false">SUMPRODUCT((Aportes!$D$6:$D$37="Realizado")*(Aportes!$A$6:$A$37&gt;=BC$4)*(Aportes!$A$6:$A$37&lt;=EOMONTH(BC$4,0))*Aportes!$C$6:$C$37)</f>
        <v>0</v>
      </c>
      <c r="BD9" s="60" t="n">
        <f aca="false">SUMPRODUCT((Aportes!$D$6:$D$37="Realizado")*(Aportes!$A$6:$A$37&gt;=BD$4)*(Aportes!$A$6:$A$37&lt;=EOMONTH(BD$4,0))*Aportes!$C$6:$C$37)</f>
        <v>0</v>
      </c>
      <c r="BE9" s="60" t="n">
        <f aca="false">SUMPRODUCT((Aportes!$D$6:$D$37="Realizado")*(Aportes!$A$6:$A$37&gt;=BE$4)*(Aportes!$A$6:$A$37&lt;=EOMONTH(BE$4,0))*Aportes!$C$6:$C$37)</f>
        <v>0</v>
      </c>
      <c r="BF9" s="60" t="n">
        <f aca="false">SUMPRODUCT((Aportes!$D$6:$D$37="Realizado")*(Aportes!$A$6:$A$37&gt;=BF$4)*(Aportes!$A$6:$A$37&lt;=EOMONTH(BF$4,0))*Aportes!$C$6:$C$37)</f>
        <v>0</v>
      </c>
      <c r="BG9" s="60" t="n">
        <f aca="false">SUMPRODUCT((Aportes!$D$6:$D$37="Realizado")*(Aportes!$A$6:$A$37&gt;=BG$4)*(Aportes!$A$6:$A$37&lt;=EOMONTH(BG$4,0))*Aportes!$C$6:$C$37)</f>
        <v>0</v>
      </c>
      <c r="BH9" s="60" t="n">
        <f aca="false">SUMPRODUCT((Aportes!$D$6:$D$37="Realizado")*(Aportes!$A$6:$A$37&gt;=BH$4)*(Aportes!$A$6:$A$37&lt;=EOMONTH(BH$4,0))*Aportes!$C$6:$C$37)</f>
        <v>0</v>
      </c>
      <c r="BI9" s="60" t="n">
        <f aca="false">SUMPRODUCT((Aportes!$D$6:$D$37="Realizado")*(Aportes!$A$6:$A$37&gt;=BI$4)*(Aportes!$A$6:$A$37&lt;=EOMONTH(BI$4,0))*Aportes!$C$6:$C$37)</f>
        <v>0</v>
      </c>
      <c r="BJ9" s="61" t="n">
        <f aca="false">SUM(B9:BI9)</f>
        <v>33000</v>
      </c>
      <c r="BK9" s="29" t="s">
        <v>237</v>
      </c>
    </row>
    <row r="10" customFormat="false" ht="15" hidden="false" customHeight="false" outlineLevel="0" collapsed="false">
      <c r="A10" s="27" t="s">
        <v>238</v>
      </c>
      <c r="B10" s="60" t="n">
        <f aca="false">SUMPRODUCT((Aportes!$D$6:$D$37="Compromisso")*(Aportes!$A$6:$A$37&gt;=B$4)*(Aportes!$A$6:$A$37&lt;=EOMONTH(B$4,0))*Aportes!$C$6:$C$37)</f>
        <v>0</v>
      </c>
      <c r="C10" s="60" t="n">
        <f aca="false">SUMPRODUCT((Aportes!$D$6:$D$37="Compromisso")*(Aportes!$A$6:$A$37&gt;=C$4)*(Aportes!$A$6:$A$37&lt;=EOMONTH(C$4,0))*Aportes!$C$6:$C$37)</f>
        <v>0</v>
      </c>
      <c r="D10" s="60" t="n">
        <f aca="false">SUMPRODUCT((Aportes!$D$6:$D$37="Compromisso")*(Aportes!$A$6:$A$37&gt;=D$4)*(Aportes!$A$6:$A$37&lt;=EOMONTH(D$4,0))*Aportes!$C$6:$C$37)</f>
        <v>0</v>
      </c>
      <c r="E10" s="60" t="n">
        <f aca="false">SUMPRODUCT((Aportes!$D$6:$D$37="Compromisso")*(Aportes!$A$6:$A$37&gt;=E$4)*(Aportes!$A$6:$A$37&lt;=EOMONTH(E$4,0))*Aportes!$C$6:$C$37)</f>
        <v>0</v>
      </c>
      <c r="F10" s="60" t="n">
        <f aca="false">SUMPRODUCT((Aportes!$D$6:$D$37="Compromisso")*(Aportes!$A$6:$A$37&gt;=F$4)*(Aportes!$A$6:$A$37&lt;=EOMONTH(F$4,0))*Aportes!$C$6:$C$37)</f>
        <v>0</v>
      </c>
      <c r="G10" s="60" t="n">
        <f aca="false">SUMPRODUCT((Aportes!$D$6:$D$37="Compromisso")*(Aportes!$A$6:$A$37&gt;=G$4)*(Aportes!$A$6:$A$37&lt;=EOMONTH(G$4,0))*Aportes!$C$6:$C$37)</f>
        <v>0</v>
      </c>
      <c r="H10" s="60" t="n">
        <f aca="false">SUMPRODUCT((Aportes!$D$6:$D$37="Compromisso")*(Aportes!$A$6:$A$37&gt;=H$4)*(Aportes!$A$6:$A$37&lt;=EOMONTH(H$4,0))*Aportes!$C$6:$C$37)</f>
        <v>0</v>
      </c>
      <c r="I10" s="60" t="n">
        <f aca="false">SUMPRODUCT((Aportes!$D$6:$D$37="Compromisso")*(Aportes!$A$6:$A$37&gt;=I$4)*(Aportes!$A$6:$A$37&lt;=EOMONTH(I$4,0))*Aportes!$C$6:$C$37)</f>
        <v>0</v>
      </c>
      <c r="J10" s="60" t="n">
        <f aca="false">SUMPRODUCT((Aportes!$D$6:$D$37="Compromisso")*(Aportes!$A$6:$A$37&gt;=J$4)*(Aportes!$A$6:$A$37&lt;=EOMONTH(J$4,0))*Aportes!$C$6:$C$37)</f>
        <v>0</v>
      </c>
      <c r="K10" s="60" t="n">
        <f aca="false">SUMPRODUCT((Aportes!$D$6:$D$37="Compromisso")*(Aportes!$A$6:$A$37&gt;=K$4)*(Aportes!$A$6:$A$37&lt;=EOMONTH(K$4,0))*Aportes!$C$6:$C$37)</f>
        <v>0</v>
      </c>
      <c r="L10" s="60" t="n">
        <f aca="false">SUMPRODUCT((Aportes!$D$6:$D$37="Compromisso")*(Aportes!$A$6:$A$37&gt;=L$4)*(Aportes!$A$6:$A$37&lt;=EOMONTH(L$4,0))*Aportes!$C$6:$C$37)</f>
        <v>0</v>
      </c>
      <c r="M10" s="60" t="n">
        <f aca="false">SUMPRODUCT((Aportes!$D$6:$D$37="Compromisso")*(Aportes!$A$6:$A$37&gt;=M$4)*(Aportes!$A$6:$A$37&lt;=EOMONTH(M$4,0))*Aportes!$C$6:$C$37)</f>
        <v>17000</v>
      </c>
      <c r="N10" s="60" t="n">
        <f aca="false">SUMPRODUCT((Aportes!$D$6:$D$37="Compromisso")*(Aportes!$A$6:$A$37&gt;=N$4)*(Aportes!$A$6:$A$37&lt;=EOMONTH(N$4,0))*Aportes!$C$6:$C$37)</f>
        <v>0</v>
      </c>
      <c r="O10" s="60" t="n">
        <f aca="false">SUMPRODUCT((Aportes!$D$6:$D$37="Compromisso")*(Aportes!$A$6:$A$37&gt;=O$4)*(Aportes!$A$6:$A$37&lt;=EOMONTH(O$4,0))*Aportes!$C$6:$C$37)</f>
        <v>0</v>
      </c>
      <c r="P10" s="60" t="n">
        <f aca="false">SUMPRODUCT((Aportes!$D$6:$D$37="Compromisso")*(Aportes!$A$6:$A$37&gt;=P$4)*(Aportes!$A$6:$A$37&lt;=EOMONTH(P$4,0))*Aportes!$C$6:$C$37)</f>
        <v>0</v>
      </c>
      <c r="Q10" s="60" t="n">
        <f aca="false">SUMPRODUCT((Aportes!$D$6:$D$37="Compromisso")*(Aportes!$A$6:$A$37&gt;=Q$4)*(Aportes!$A$6:$A$37&lt;=EOMONTH(Q$4,0))*Aportes!$C$6:$C$37)</f>
        <v>0</v>
      </c>
      <c r="R10" s="60" t="n">
        <f aca="false">SUMPRODUCT((Aportes!$D$6:$D$37="Compromisso")*(Aportes!$A$6:$A$37&gt;=R$4)*(Aportes!$A$6:$A$37&lt;=EOMONTH(R$4,0))*Aportes!$C$6:$C$37)</f>
        <v>0</v>
      </c>
      <c r="S10" s="60" t="n">
        <f aca="false">SUMPRODUCT((Aportes!$D$6:$D$37="Compromisso")*(Aportes!$A$6:$A$37&gt;=S$4)*(Aportes!$A$6:$A$37&lt;=EOMONTH(S$4,0))*Aportes!$C$6:$C$37)</f>
        <v>15000</v>
      </c>
      <c r="T10" s="60" t="n">
        <f aca="false">SUMPRODUCT((Aportes!$D$6:$D$37="Compromisso")*(Aportes!$A$6:$A$37&gt;=T$4)*(Aportes!$A$6:$A$37&lt;=EOMONTH(T$4,0))*Aportes!$C$6:$C$37)</f>
        <v>0</v>
      </c>
      <c r="U10" s="60" t="n">
        <f aca="false">SUMPRODUCT((Aportes!$D$6:$D$37="Compromisso")*(Aportes!$A$6:$A$37&gt;=U$4)*(Aportes!$A$6:$A$37&lt;=EOMONTH(U$4,0))*Aportes!$C$6:$C$37)</f>
        <v>0</v>
      </c>
      <c r="V10" s="60" t="n">
        <f aca="false">SUMPRODUCT((Aportes!$D$6:$D$37="Compromisso")*(Aportes!$A$6:$A$37&gt;=V$4)*(Aportes!$A$6:$A$37&lt;=EOMONTH(V$4,0))*Aportes!$C$6:$C$37)</f>
        <v>0</v>
      </c>
      <c r="W10" s="60" t="n">
        <f aca="false">SUMPRODUCT((Aportes!$D$6:$D$37="Compromisso")*(Aportes!$A$6:$A$37&gt;=W$4)*(Aportes!$A$6:$A$37&lt;=EOMONTH(W$4,0))*Aportes!$C$6:$C$37)</f>
        <v>0</v>
      </c>
      <c r="X10" s="60" t="n">
        <f aca="false">SUMPRODUCT((Aportes!$D$6:$D$37="Compromisso")*(Aportes!$A$6:$A$37&gt;=X$4)*(Aportes!$A$6:$A$37&lt;=EOMONTH(X$4,0))*Aportes!$C$6:$C$37)</f>
        <v>0</v>
      </c>
      <c r="Y10" s="60" t="n">
        <f aca="false">SUMPRODUCT((Aportes!$D$6:$D$37="Compromisso")*(Aportes!$A$6:$A$37&gt;=Y$4)*(Aportes!$A$6:$A$37&lt;=EOMONTH(Y$4,0))*Aportes!$C$6:$C$37)</f>
        <v>15000</v>
      </c>
      <c r="Z10" s="60" t="n">
        <f aca="false">SUMPRODUCT((Aportes!$D$6:$D$37="Compromisso")*(Aportes!$A$6:$A$37&gt;=Z$4)*(Aportes!$A$6:$A$37&lt;=EOMONTH(Z$4,0))*Aportes!$C$6:$C$37)</f>
        <v>0</v>
      </c>
      <c r="AA10" s="60" t="n">
        <f aca="false">SUMPRODUCT((Aportes!$D$6:$D$37="Compromisso")*(Aportes!$A$6:$A$37&gt;=AA$4)*(Aportes!$A$6:$A$37&lt;=EOMONTH(AA$4,0))*Aportes!$C$6:$C$37)</f>
        <v>0</v>
      </c>
      <c r="AB10" s="60" t="n">
        <f aca="false">SUMPRODUCT((Aportes!$D$6:$D$37="Compromisso")*(Aportes!$A$6:$A$37&gt;=AB$4)*(Aportes!$A$6:$A$37&lt;=EOMONTH(AB$4,0))*Aportes!$C$6:$C$37)</f>
        <v>0</v>
      </c>
      <c r="AC10" s="60" t="n">
        <f aca="false">SUMPRODUCT((Aportes!$D$6:$D$37="Compromisso")*(Aportes!$A$6:$A$37&gt;=AC$4)*(Aportes!$A$6:$A$37&lt;=EOMONTH(AC$4,0))*Aportes!$C$6:$C$37)</f>
        <v>0</v>
      </c>
      <c r="AD10" s="60" t="n">
        <f aca="false">SUMPRODUCT((Aportes!$D$6:$D$37="Compromisso")*(Aportes!$A$6:$A$37&gt;=AD$4)*(Aportes!$A$6:$A$37&lt;=EOMONTH(AD$4,0))*Aportes!$C$6:$C$37)</f>
        <v>0</v>
      </c>
      <c r="AE10" s="60" t="n">
        <f aca="false">SUMPRODUCT((Aportes!$D$6:$D$37="Compromisso")*(Aportes!$A$6:$A$37&gt;=AE$4)*(Aportes!$A$6:$A$37&lt;=EOMONTH(AE$4,0))*Aportes!$C$6:$C$37)</f>
        <v>0</v>
      </c>
      <c r="AF10" s="60" t="n">
        <f aca="false">SUMPRODUCT((Aportes!$D$6:$D$37="Compromisso")*(Aportes!$A$6:$A$37&gt;=AF$4)*(Aportes!$A$6:$A$37&lt;=EOMONTH(AF$4,0))*Aportes!$C$6:$C$37)</f>
        <v>0</v>
      </c>
      <c r="AG10" s="60" t="n">
        <f aca="false">SUMPRODUCT((Aportes!$D$6:$D$37="Compromisso")*(Aportes!$A$6:$A$37&gt;=AG$4)*(Aportes!$A$6:$A$37&lt;=EOMONTH(AG$4,0))*Aportes!$C$6:$C$37)</f>
        <v>0</v>
      </c>
      <c r="AH10" s="60" t="n">
        <f aca="false">SUMPRODUCT((Aportes!$D$6:$D$37="Compromisso")*(Aportes!$A$6:$A$37&gt;=AH$4)*(Aportes!$A$6:$A$37&lt;=EOMONTH(AH$4,0))*Aportes!$C$6:$C$37)</f>
        <v>0</v>
      </c>
      <c r="AI10" s="60" t="n">
        <f aca="false">SUMPRODUCT((Aportes!$D$6:$D$37="Compromisso")*(Aportes!$A$6:$A$37&gt;=AI$4)*(Aportes!$A$6:$A$37&lt;=EOMONTH(AI$4,0))*Aportes!$C$6:$C$37)</f>
        <v>0</v>
      </c>
      <c r="AJ10" s="60" t="n">
        <f aca="false">SUMPRODUCT((Aportes!$D$6:$D$37="Compromisso")*(Aportes!$A$6:$A$37&gt;=AJ$4)*(Aportes!$A$6:$A$37&lt;=EOMONTH(AJ$4,0))*Aportes!$C$6:$C$37)</f>
        <v>0</v>
      </c>
      <c r="AK10" s="60" t="n">
        <f aca="false">SUMPRODUCT((Aportes!$D$6:$D$37="Compromisso")*(Aportes!$A$6:$A$37&gt;=AK$4)*(Aportes!$A$6:$A$37&lt;=EOMONTH(AK$4,0))*Aportes!$C$6:$C$37)</f>
        <v>0</v>
      </c>
      <c r="AL10" s="60" t="n">
        <f aca="false">SUMPRODUCT((Aportes!$D$6:$D$37="Compromisso")*(Aportes!$A$6:$A$37&gt;=AL$4)*(Aportes!$A$6:$A$37&lt;=EOMONTH(AL$4,0))*Aportes!$C$6:$C$37)</f>
        <v>0</v>
      </c>
      <c r="AM10" s="60" t="n">
        <f aca="false">SUMPRODUCT((Aportes!$D$6:$D$37="Compromisso")*(Aportes!$A$6:$A$37&gt;=AM$4)*(Aportes!$A$6:$A$37&lt;=EOMONTH(AM$4,0))*Aportes!$C$6:$C$37)</f>
        <v>0</v>
      </c>
      <c r="AN10" s="60" t="n">
        <f aca="false">SUMPRODUCT((Aportes!$D$6:$D$37="Compromisso")*(Aportes!$A$6:$A$37&gt;=AN$4)*(Aportes!$A$6:$A$37&lt;=EOMONTH(AN$4,0))*Aportes!$C$6:$C$37)</f>
        <v>0</v>
      </c>
      <c r="AO10" s="60" t="n">
        <f aca="false">SUMPRODUCT((Aportes!$D$6:$D$37="Compromisso")*(Aportes!$A$6:$A$37&gt;=AO$4)*(Aportes!$A$6:$A$37&lt;=EOMONTH(AO$4,0))*Aportes!$C$6:$C$37)</f>
        <v>0</v>
      </c>
      <c r="AP10" s="60" t="n">
        <f aca="false">SUMPRODUCT((Aportes!$D$6:$D$37="Compromisso")*(Aportes!$A$6:$A$37&gt;=AP$4)*(Aportes!$A$6:$A$37&lt;=EOMONTH(AP$4,0))*Aportes!$C$6:$C$37)</f>
        <v>0</v>
      </c>
      <c r="AQ10" s="60" t="n">
        <f aca="false">SUMPRODUCT((Aportes!$D$6:$D$37="Compromisso")*(Aportes!$A$6:$A$37&gt;=AQ$4)*(Aportes!$A$6:$A$37&lt;=EOMONTH(AQ$4,0))*Aportes!$C$6:$C$37)</f>
        <v>0</v>
      </c>
      <c r="AR10" s="60" t="n">
        <f aca="false">SUMPRODUCT((Aportes!$D$6:$D$37="Compromisso")*(Aportes!$A$6:$A$37&gt;=AR$4)*(Aportes!$A$6:$A$37&lt;=EOMONTH(AR$4,0))*Aportes!$C$6:$C$37)</f>
        <v>0</v>
      </c>
      <c r="AS10" s="60" t="n">
        <f aca="false">SUMPRODUCT((Aportes!$D$6:$D$37="Compromisso")*(Aportes!$A$6:$A$37&gt;=AS$4)*(Aportes!$A$6:$A$37&lt;=EOMONTH(AS$4,0))*Aportes!$C$6:$C$37)</f>
        <v>0</v>
      </c>
      <c r="AT10" s="60" t="n">
        <f aca="false">SUMPRODUCT((Aportes!$D$6:$D$37="Compromisso")*(Aportes!$A$6:$A$37&gt;=AT$4)*(Aportes!$A$6:$A$37&lt;=EOMONTH(AT$4,0))*Aportes!$C$6:$C$37)</f>
        <v>0</v>
      </c>
      <c r="AU10" s="60" t="n">
        <f aca="false">SUMPRODUCT((Aportes!$D$6:$D$37="Compromisso")*(Aportes!$A$6:$A$37&gt;=AU$4)*(Aportes!$A$6:$A$37&lt;=EOMONTH(AU$4,0))*Aportes!$C$6:$C$37)</f>
        <v>0</v>
      </c>
      <c r="AV10" s="60" t="n">
        <f aca="false">SUMPRODUCT((Aportes!$D$6:$D$37="Compromisso")*(Aportes!$A$6:$A$37&gt;=AV$4)*(Aportes!$A$6:$A$37&lt;=EOMONTH(AV$4,0))*Aportes!$C$6:$C$37)</f>
        <v>0</v>
      </c>
      <c r="AW10" s="60" t="n">
        <f aca="false">SUMPRODUCT((Aportes!$D$6:$D$37="Compromisso")*(Aportes!$A$6:$A$37&gt;=AW$4)*(Aportes!$A$6:$A$37&lt;=EOMONTH(AW$4,0))*Aportes!$C$6:$C$37)</f>
        <v>0</v>
      </c>
      <c r="AX10" s="60" t="n">
        <f aca="false">SUMPRODUCT((Aportes!$D$6:$D$37="Compromisso")*(Aportes!$A$6:$A$37&gt;=AX$4)*(Aportes!$A$6:$A$37&lt;=EOMONTH(AX$4,0))*Aportes!$C$6:$C$37)</f>
        <v>0</v>
      </c>
      <c r="AY10" s="60" t="n">
        <f aca="false">SUMPRODUCT((Aportes!$D$6:$D$37="Compromisso")*(Aportes!$A$6:$A$37&gt;=AY$4)*(Aportes!$A$6:$A$37&lt;=EOMONTH(AY$4,0))*Aportes!$C$6:$C$37)</f>
        <v>0</v>
      </c>
      <c r="AZ10" s="60" t="n">
        <f aca="false">SUMPRODUCT((Aportes!$D$6:$D$37="Compromisso")*(Aportes!$A$6:$A$37&gt;=AZ$4)*(Aportes!$A$6:$A$37&lt;=EOMONTH(AZ$4,0))*Aportes!$C$6:$C$37)</f>
        <v>0</v>
      </c>
      <c r="BA10" s="60" t="n">
        <f aca="false">SUMPRODUCT((Aportes!$D$6:$D$37="Compromisso")*(Aportes!$A$6:$A$37&gt;=BA$4)*(Aportes!$A$6:$A$37&lt;=EOMONTH(BA$4,0))*Aportes!$C$6:$C$37)</f>
        <v>0</v>
      </c>
      <c r="BB10" s="60" t="n">
        <f aca="false">SUMPRODUCT((Aportes!$D$6:$D$37="Compromisso")*(Aportes!$A$6:$A$37&gt;=BB$4)*(Aportes!$A$6:$A$37&lt;=EOMONTH(BB$4,0))*Aportes!$C$6:$C$37)</f>
        <v>0</v>
      </c>
      <c r="BC10" s="60" t="n">
        <f aca="false">SUMPRODUCT((Aportes!$D$6:$D$37="Compromisso")*(Aportes!$A$6:$A$37&gt;=BC$4)*(Aportes!$A$6:$A$37&lt;=EOMONTH(BC$4,0))*Aportes!$C$6:$C$37)</f>
        <v>0</v>
      </c>
      <c r="BD10" s="60" t="n">
        <f aca="false">SUMPRODUCT((Aportes!$D$6:$D$37="Compromisso")*(Aportes!$A$6:$A$37&gt;=BD$4)*(Aportes!$A$6:$A$37&lt;=EOMONTH(BD$4,0))*Aportes!$C$6:$C$37)</f>
        <v>0</v>
      </c>
      <c r="BE10" s="60" t="n">
        <f aca="false">SUMPRODUCT((Aportes!$D$6:$D$37="Compromisso")*(Aportes!$A$6:$A$37&gt;=BE$4)*(Aportes!$A$6:$A$37&lt;=EOMONTH(BE$4,0))*Aportes!$C$6:$C$37)</f>
        <v>0</v>
      </c>
      <c r="BF10" s="60" t="n">
        <f aca="false">SUMPRODUCT((Aportes!$D$6:$D$37="Compromisso")*(Aportes!$A$6:$A$37&gt;=BF$4)*(Aportes!$A$6:$A$37&lt;=EOMONTH(BF$4,0))*Aportes!$C$6:$C$37)</f>
        <v>0</v>
      </c>
      <c r="BG10" s="60" t="n">
        <f aca="false">SUMPRODUCT((Aportes!$D$6:$D$37="Compromisso")*(Aportes!$A$6:$A$37&gt;=BG$4)*(Aportes!$A$6:$A$37&lt;=EOMONTH(BG$4,0))*Aportes!$C$6:$C$37)</f>
        <v>0</v>
      </c>
      <c r="BH10" s="60" t="n">
        <f aca="false">SUMPRODUCT((Aportes!$D$6:$D$37="Compromisso")*(Aportes!$A$6:$A$37&gt;=BH$4)*(Aportes!$A$6:$A$37&lt;=EOMONTH(BH$4,0))*Aportes!$C$6:$C$37)</f>
        <v>0</v>
      </c>
      <c r="BI10" s="60" t="n">
        <f aca="false">SUMPRODUCT((Aportes!$D$6:$D$37="Compromisso")*(Aportes!$A$6:$A$37&gt;=BI$4)*(Aportes!$A$6:$A$37&lt;=EOMONTH(BI$4,0))*Aportes!$C$6:$C$37)</f>
        <v>0</v>
      </c>
      <c r="BJ10" s="61" t="n">
        <f aca="false">SUM(B10:BI10)</f>
        <v>47000</v>
      </c>
      <c r="BK10" s="29" t="s">
        <v>239</v>
      </c>
    </row>
    <row r="11" customFormat="false" ht="15" hidden="false" customHeight="false" outlineLevel="0" collapsed="false">
      <c r="A11" s="27" t="s">
        <v>240</v>
      </c>
      <c r="B11" s="60" t="n">
        <f aca="false">SUMPRODUCT((Aportes!$D$6:$D$37="Previsto")*(Aportes!$A$6:$A$37&gt;=B$4)*(Aportes!$A$6:$A$37&lt;=EOMONTH(B$4,0))*Aportes!$C$6:$C$37)</f>
        <v>0</v>
      </c>
      <c r="C11" s="60" t="n">
        <f aca="false">SUMPRODUCT((Aportes!$D$6:$D$37="Previsto")*(Aportes!$A$6:$A$37&gt;=C$4)*(Aportes!$A$6:$A$37&lt;=EOMONTH(C$4,0))*Aportes!$C$6:$C$37)</f>
        <v>0</v>
      </c>
      <c r="D11" s="60" t="n">
        <f aca="false">SUMPRODUCT((Aportes!$D$6:$D$37="Previsto")*(Aportes!$A$6:$A$37&gt;=D$4)*(Aportes!$A$6:$A$37&lt;=EOMONTH(D$4,0))*Aportes!$C$6:$C$37)</f>
        <v>0</v>
      </c>
      <c r="E11" s="60" t="n">
        <f aca="false">SUMPRODUCT((Aportes!$D$6:$D$37="Previsto")*(Aportes!$A$6:$A$37&gt;=E$4)*(Aportes!$A$6:$A$37&lt;=EOMONTH(E$4,0))*Aportes!$C$6:$C$37)</f>
        <v>0</v>
      </c>
      <c r="F11" s="60" t="n">
        <f aca="false">SUMPRODUCT((Aportes!$D$6:$D$37="Previsto")*(Aportes!$A$6:$A$37&gt;=F$4)*(Aportes!$A$6:$A$37&lt;=EOMONTH(F$4,0))*Aportes!$C$6:$C$37)</f>
        <v>0</v>
      </c>
      <c r="G11" s="60" t="n">
        <f aca="false">SUMPRODUCT((Aportes!$D$6:$D$37="Previsto")*(Aportes!$A$6:$A$37&gt;=G$4)*(Aportes!$A$6:$A$37&lt;=EOMONTH(G$4,0))*Aportes!$C$6:$C$37)</f>
        <v>0</v>
      </c>
      <c r="H11" s="60" t="n">
        <f aca="false">SUMPRODUCT((Aportes!$D$6:$D$37="Previsto")*(Aportes!$A$6:$A$37&gt;=H$4)*(Aportes!$A$6:$A$37&lt;=EOMONTH(H$4,0))*Aportes!$C$6:$C$37)</f>
        <v>0</v>
      </c>
      <c r="I11" s="60" t="n">
        <f aca="false">SUMPRODUCT((Aportes!$D$6:$D$37="Previsto")*(Aportes!$A$6:$A$37&gt;=I$4)*(Aportes!$A$6:$A$37&lt;=EOMONTH(I$4,0))*Aportes!$C$6:$C$37)</f>
        <v>0</v>
      </c>
      <c r="J11" s="60" t="n">
        <f aca="false">SUMPRODUCT((Aportes!$D$6:$D$37="Previsto")*(Aportes!$A$6:$A$37&gt;=J$4)*(Aportes!$A$6:$A$37&lt;=EOMONTH(J$4,0))*Aportes!$C$6:$C$37)</f>
        <v>0</v>
      </c>
      <c r="K11" s="60" t="n">
        <f aca="false">SUMPRODUCT((Aportes!$D$6:$D$37="Previsto")*(Aportes!$A$6:$A$37&gt;=K$4)*(Aportes!$A$6:$A$37&lt;=EOMONTH(K$4,0))*Aportes!$C$6:$C$37)</f>
        <v>80000</v>
      </c>
      <c r="L11" s="60" t="n">
        <f aca="false">SUMPRODUCT((Aportes!$D$6:$D$37="Previsto")*(Aportes!$A$6:$A$37&gt;=L$4)*(Aportes!$A$6:$A$37&lt;=EOMONTH(L$4,0))*Aportes!$C$6:$C$37)</f>
        <v>40000</v>
      </c>
      <c r="M11" s="60" t="n">
        <f aca="false">SUMPRODUCT((Aportes!$D$6:$D$37="Previsto")*(Aportes!$A$6:$A$37&gt;=M$4)*(Aportes!$A$6:$A$37&lt;=EOMONTH(M$4,0))*Aportes!$C$6:$C$37)</f>
        <v>0</v>
      </c>
      <c r="N11" s="60" t="n">
        <f aca="false">SUMPRODUCT((Aportes!$D$6:$D$37="Previsto")*(Aportes!$A$6:$A$37&gt;=N$4)*(Aportes!$A$6:$A$37&lt;=EOMONTH(N$4,0))*Aportes!$C$6:$C$37)</f>
        <v>0</v>
      </c>
      <c r="O11" s="60" t="n">
        <f aca="false">SUMPRODUCT((Aportes!$D$6:$D$37="Previsto")*(Aportes!$A$6:$A$37&gt;=O$4)*(Aportes!$A$6:$A$37&lt;=EOMONTH(O$4,0))*Aportes!$C$6:$C$37)</f>
        <v>0</v>
      </c>
      <c r="P11" s="60" t="n">
        <f aca="false">SUMPRODUCT((Aportes!$D$6:$D$37="Previsto")*(Aportes!$A$6:$A$37&gt;=P$4)*(Aportes!$A$6:$A$37&lt;=EOMONTH(P$4,0))*Aportes!$C$6:$C$37)</f>
        <v>0</v>
      </c>
      <c r="Q11" s="60" t="n">
        <f aca="false">SUMPRODUCT((Aportes!$D$6:$D$37="Previsto")*(Aportes!$A$6:$A$37&gt;=Q$4)*(Aportes!$A$6:$A$37&lt;=EOMONTH(Q$4,0))*Aportes!$C$6:$C$37)</f>
        <v>0</v>
      </c>
      <c r="R11" s="60" t="n">
        <f aca="false">SUMPRODUCT((Aportes!$D$6:$D$37="Previsto")*(Aportes!$A$6:$A$37&gt;=R$4)*(Aportes!$A$6:$A$37&lt;=EOMONTH(R$4,0))*Aportes!$C$6:$C$37)</f>
        <v>0</v>
      </c>
      <c r="S11" s="60" t="n">
        <f aca="false">SUMPRODUCT((Aportes!$D$6:$D$37="Previsto")*(Aportes!$A$6:$A$37&gt;=S$4)*(Aportes!$A$6:$A$37&lt;=EOMONTH(S$4,0))*Aportes!$C$6:$C$37)</f>
        <v>0</v>
      </c>
      <c r="T11" s="60" t="n">
        <f aca="false">SUMPRODUCT((Aportes!$D$6:$D$37="Previsto")*(Aportes!$A$6:$A$37&gt;=T$4)*(Aportes!$A$6:$A$37&lt;=EOMONTH(T$4,0))*Aportes!$C$6:$C$37)</f>
        <v>0</v>
      </c>
      <c r="U11" s="60" t="n">
        <f aca="false">SUMPRODUCT((Aportes!$D$6:$D$37="Previsto")*(Aportes!$A$6:$A$37&gt;=U$4)*(Aportes!$A$6:$A$37&lt;=EOMONTH(U$4,0))*Aportes!$C$6:$C$37)</f>
        <v>0</v>
      </c>
      <c r="V11" s="60" t="n">
        <f aca="false">SUMPRODUCT((Aportes!$D$6:$D$37="Previsto")*(Aportes!$A$6:$A$37&gt;=V$4)*(Aportes!$A$6:$A$37&lt;=EOMONTH(V$4,0))*Aportes!$C$6:$C$37)</f>
        <v>0</v>
      </c>
      <c r="W11" s="60" t="n">
        <f aca="false">SUMPRODUCT((Aportes!$D$6:$D$37="Previsto")*(Aportes!$A$6:$A$37&gt;=W$4)*(Aportes!$A$6:$A$37&lt;=EOMONTH(W$4,0))*Aportes!$C$6:$C$37)</f>
        <v>0</v>
      </c>
      <c r="X11" s="60" t="n">
        <f aca="false">SUMPRODUCT((Aportes!$D$6:$D$37="Previsto")*(Aportes!$A$6:$A$37&gt;=X$4)*(Aportes!$A$6:$A$37&lt;=EOMONTH(X$4,0))*Aportes!$C$6:$C$37)</f>
        <v>0</v>
      </c>
      <c r="Y11" s="60" t="n">
        <f aca="false">SUMPRODUCT((Aportes!$D$6:$D$37="Previsto")*(Aportes!$A$6:$A$37&gt;=Y$4)*(Aportes!$A$6:$A$37&lt;=EOMONTH(Y$4,0))*Aportes!$C$6:$C$37)</f>
        <v>0</v>
      </c>
      <c r="Z11" s="60" t="n">
        <f aca="false">SUMPRODUCT((Aportes!$D$6:$D$37="Previsto")*(Aportes!$A$6:$A$37&gt;=Z$4)*(Aportes!$A$6:$A$37&lt;=EOMONTH(Z$4,0))*Aportes!$C$6:$C$37)</f>
        <v>0</v>
      </c>
      <c r="AA11" s="60" t="n">
        <f aca="false">SUMPRODUCT((Aportes!$D$6:$D$37="Previsto")*(Aportes!$A$6:$A$37&gt;=AA$4)*(Aportes!$A$6:$A$37&lt;=EOMONTH(AA$4,0))*Aportes!$C$6:$C$37)</f>
        <v>0</v>
      </c>
      <c r="AB11" s="60" t="n">
        <f aca="false">SUMPRODUCT((Aportes!$D$6:$D$37="Previsto")*(Aportes!$A$6:$A$37&gt;=AB$4)*(Aportes!$A$6:$A$37&lt;=EOMONTH(AB$4,0))*Aportes!$C$6:$C$37)</f>
        <v>0</v>
      </c>
      <c r="AC11" s="60" t="n">
        <f aca="false">SUMPRODUCT((Aportes!$D$6:$D$37="Previsto")*(Aportes!$A$6:$A$37&gt;=AC$4)*(Aportes!$A$6:$A$37&lt;=EOMONTH(AC$4,0))*Aportes!$C$6:$C$37)</f>
        <v>0</v>
      </c>
      <c r="AD11" s="60" t="n">
        <f aca="false">SUMPRODUCT((Aportes!$D$6:$D$37="Previsto")*(Aportes!$A$6:$A$37&gt;=AD$4)*(Aportes!$A$6:$A$37&lt;=EOMONTH(AD$4,0))*Aportes!$C$6:$C$37)</f>
        <v>0</v>
      </c>
      <c r="AE11" s="60" t="n">
        <f aca="false">SUMPRODUCT((Aportes!$D$6:$D$37="Previsto")*(Aportes!$A$6:$A$37&gt;=AE$4)*(Aportes!$A$6:$A$37&lt;=EOMONTH(AE$4,0))*Aportes!$C$6:$C$37)</f>
        <v>0</v>
      </c>
      <c r="AF11" s="60" t="n">
        <f aca="false">SUMPRODUCT((Aportes!$D$6:$D$37="Previsto")*(Aportes!$A$6:$A$37&gt;=AF$4)*(Aportes!$A$6:$A$37&lt;=EOMONTH(AF$4,0))*Aportes!$C$6:$C$37)</f>
        <v>0</v>
      </c>
      <c r="AG11" s="60" t="n">
        <f aca="false">SUMPRODUCT((Aportes!$D$6:$D$37="Previsto")*(Aportes!$A$6:$A$37&gt;=AG$4)*(Aportes!$A$6:$A$37&lt;=EOMONTH(AG$4,0))*Aportes!$C$6:$C$37)</f>
        <v>0</v>
      </c>
      <c r="AH11" s="60" t="n">
        <f aca="false">SUMPRODUCT((Aportes!$D$6:$D$37="Previsto")*(Aportes!$A$6:$A$37&gt;=AH$4)*(Aportes!$A$6:$A$37&lt;=EOMONTH(AH$4,0))*Aportes!$C$6:$C$37)</f>
        <v>0</v>
      </c>
      <c r="AI11" s="60" t="n">
        <f aca="false">SUMPRODUCT((Aportes!$D$6:$D$37="Previsto")*(Aportes!$A$6:$A$37&gt;=AI$4)*(Aportes!$A$6:$A$37&lt;=EOMONTH(AI$4,0))*Aportes!$C$6:$C$37)</f>
        <v>0</v>
      </c>
      <c r="AJ11" s="60" t="n">
        <f aca="false">SUMPRODUCT((Aportes!$D$6:$D$37="Previsto")*(Aportes!$A$6:$A$37&gt;=AJ$4)*(Aportes!$A$6:$A$37&lt;=EOMONTH(AJ$4,0))*Aportes!$C$6:$C$37)</f>
        <v>0</v>
      </c>
      <c r="AK11" s="60" t="n">
        <f aca="false">SUMPRODUCT((Aportes!$D$6:$D$37="Previsto")*(Aportes!$A$6:$A$37&gt;=AK$4)*(Aportes!$A$6:$A$37&lt;=EOMONTH(AK$4,0))*Aportes!$C$6:$C$37)</f>
        <v>0</v>
      </c>
      <c r="AL11" s="60" t="n">
        <f aca="false">SUMPRODUCT((Aportes!$D$6:$D$37="Previsto")*(Aportes!$A$6:$A$37&gt;=AL$4)*(Aportes!$A$6:$A$37&lt;=EOMONTH(AL$4,0))*Aportes!$C$6:$C$37)</f>
        <v>0</v>
      </c>
      <c r="AM11" s="60" t="n">
        <f aca="false">SUMPRODUCT((Aportes!$D$6:$D$37="Previsto")*(Aportes!$A$6:$A$37&gt;=AM$4)*(Aportes!$A$6:$A$37&lt;=EOMONTH(AM$4,0))*Aportes!$C$6:$C$37)</f>
        <v>0</v>
      </c>
      <c r="AN11" s="60" t="n">
        <f aca="false">SUMPRODUCT((Aportes!$D$6:$D$37="Previsto")*(Aportes!$A$6:$A$37&gt;=AN$4)*(Aportes!$A$6:$A$37&lt;=EOMONTH(AN$4,0))*Aportes!$C$6:$C$37)</f>
        <v>0</v>
      </c>
      <c r="AO11" s="60" t="n">
        <f aca="false">SUMPRODUCT((Aportes!$D$6:$D$37="Previsto")*(Aportes!$A$6:$A$37&gt;=AO$4)*(Aportes!$A$6:$A$37&lt;=EOMONTH(AO$4,0))*Aportes!$C$6:$C$37)</f>
        <v>0</v>
      </c>
      <c r="AP11" s="60" t="n">
        <f aca="false">SUMPRODUCT((Aportes!$D$6:$D$37="Previsto")*(Aportes!$A$6:$A$37&gt;=AP$4)*(Aportes!$A$6:$A$37&lt;=EOMONTH(AP$4,0))*Aportes!$C$6:$C$37)</f>
        <v>0</v>
      </c>
      <c r="AQ11" s="60" t="n">
        <f aca="false">SUMPRODUCT((Aportes!$D$6:$D$37="Previsto")*(Aportes!$A$6:$A$37&gt;=AQ$4)*(Aportes!$A$6:$A$37&lt;=EOMONTH(AQ$4,0))*Aportes!$C$6:$C$37)</f>
        <v>0</v>
      </c>
      <c r="AR11" s="60" t="n">
        <f aca="false">SUMPRODUCT((Aportes!$D$6:$D$37="Previsto")*(Aportes!$A$6:$A$37&gt;=AR$4)*(Aportes!$A$6:$A$37&lt;=EOMONTH(AR$4,0))*Aportes!$C$6:$C$37)</f>
        <v>0</v>
      </c>
      <c r="AS11" s="60" t="n">
        <f aca="false">SUMPRODUCT((Aportes!$D$6:$D$37="Previsto")*(Aportes!$A$6:$A$37&gt;=AS$4)*(Aportes!$A$6:$A$37&lt;=EOMONTH(AS$4,0))*Aportes!$C$6:$C$37)</f>
        <v>0</v>
      </c>
      <c r="AT11" s="60" t="n">
        <f aca="false">SUMPRODUCT((Aportes!$D$6:$D$37="Previsto")*(Aportes!$A$6:$A$37&gt;=AT$4)*(Aportes!$A$6:$A$37&lt;=EOMONTH(AT$4,0))*Aportes!$C$6:$C$37)</f>
        <v>0</v>
      </c>
      <c r="AU11" s="60" t="n">
        <f aca="false">SUMPRODUCT((Aportes!$D$6:$D$37="Previsto")*(Aportes!$A$6:$A$37&gt;=AU$4)*(Aportes!$A$6:$A$37&lt;=EOMONTH(AU$4,0))*Aportes!$C$6:$C$37)</f>
        <v>0</v>
      </c>
      <c r="AV11" s="60" t="n">
        <f aca="false">SUMPRODUCT((Aportes!$D$6:$D$37="Previsto")*(Aportes!$A$6:$A$37&gt;=AV$4)*(Aportes!$A$6:$A$37&lt;=EOMONTH(AV$4,0))*Aportes!$C$6:$C$37)</f>
        <v>0</v>
      </c>
      <c r="AW11" s="60" t="n">
        <f aca="false">SUMPRODUCT((Aportes!$D$6:$D$37="Previsto")*(Aportes!$A$6:$A$37&gt;=AW$4)*(Aportes!$A$6:$A$37&lt;=EOMONTH(AW$4,0))*Aportes!$C$6:$C$37)</f>
        <v>0</v>
      </c>
      <c r="AX11" s="60" t="n">
        <f aca="false">SUMPRODUCT((Aportes!$D$6:$D$37="Previsto")*(Aportes!$A$6:$A$37&gt;=AX$4)*(Aportes!$A$6:$A$37&lt;=EOMONTH(AX$4,0))*Aportes!$C$6:$C$37)</f>
        <v>0</v>
      </c>
      <c r="AY11" s="60" t="n">
        <f aca="false">SUMPRODUCT((Aportes!$D$6:$D$37="Previsto")*(Aportes!$A$6:$A$37&gt;=AY$4)*(Aportes!$A$6:$A$37&lt;=EOMONTH(AY$4,0))*Aportes!$C$6:$C$37)</f>
        <v>0</v>
      </c>
      <c r="AZ11" s="60" t="n">
        <f aca="false">SUMPRODUCT((Aportes!$D$6:$D$37="Previsto")*(Aportes!$A$6:$A$37&gt;=AZ$4)*(Aportes!$A$6:$A$37&lt;=EOMONTH(AZ$4,0))*Aportes!$C$6:$C$37)</f>
        <v>0</v>
      </c>
      <c r="BA11" s="60" t="n">
        <f aca="false">SUMPRODUCT((Aportes!$D$6:$D$37="Previsto")*(Aportes!$A$6:$A$37&gt;=BA$4)*(Aportes!$A$6:$A$37&lt;=EOMONTH(BA$4,0))*Aportes!$C$6:$C$37)</f>
        <v>0</v>
      </c>
      <c r="BB11" s="60" t="n">
        <f aca="false">SUMPRODUCT((Aportes!$D$6:$D$37="Previsto")*(Aportes!$A$6:$A$37&gt;=BB$4)*(Aportes!$A$6:$A$37&lt;=EOMONTH(BB$4,0))*Aportes!$C$6:$C$37)</f>
        <v>0</v>
      </c>
      <c r="BC11" s="60" t="n">
        <f aca="false">SUMPRODUCT((Aportes!$D$6:$D$37="Previsto")*(Aportes!$A$6:$A$37&gt;=BC$4)*(Aportes!$A$6:$A$37&lt;=EOMONTH(BC$4,0))*Aportes!$C$6:$C$37)</f>
        <v>0</v>
      </c>
      <c r="BD11" s="60" t="n">
        <f aca="false">SUMPRODUCT((Aportes!$D$6:$D$37="Previsto")*(Aportes!$A$6:$A$37&gt;=BD$4)*(Aportes!$A$6:$A$37&lt;=EOMONTH(BD$4,0))*Aportes!$C$6:$C$37)</f>
        <v>0</v>
      </c>
      <c r="BE11" s="60" t="n">
        <f aca="false">SUMPRODUCT((Aportes!$D$6:$D$37="Previsto")*(Aportes!$A$6:$A$37&gt;=BE$4)*(Aportes!$A$6:$A$37&lt;=EOMONTH(BE$4,0))*Aportes!$C$6:$C$37)</f>
        <v>0</v>
      </c>
      <c r="BF11" s="60" t="n">
        <f aca="false">SUMPRODUCT((Aportes!$D$6:$D$37="Previsto")*(Aportes!$A$6:$A$37&gt;=BF$4)*(Aportes!$A$6:$A$37&lt;=EOMONTH(BF$4,0))*Aportes!$C$6:$C$37)</f>
        <v>0</v>
      </c>
      <c r="BG11" s="60" t="n">
        <f aca="false">SUMPRODUCT((Aportes!$D$6:$D$37="Previsto")*(Aportes!$A$6:$A$37&gt;=BG$4)*(Aportes!$A$6:$A$37&lt;=EOMONTH(BG$4,0))*Aportes!$C$6:$C$37)</f>
        <v>0</v>
      </c>
      <c r="BH11" s="60" t="n">
        <f aca="false">SUMPRODUCT((Aportes!$D$6:$D$37="Previsto")*(Aportes!$A$6:$A$37&gt;=BH$4)*(Aportes!$A$6:$A$37&lt;=EOMONTH(BH$4,0))*Aportes!$C$6:$C$37)</f>
        <v>0</v>
      </c>
      <c r="BI11" s="60" t="n">
        <f aca="false">SUMPRODUCT((Aportes!$D$6:$D$37="Previsto")*(Aportes!$A$6:$A$37&gt;=BI$4)*(Aportes!$A$6:$A$37&lt;=EOMONTH(BI$4,0))*Aportes!$C$6:$C$37)</f>
        <v>0</v>
      </c>
      <c r="BJ11" s="61" t="n">
        <f aca="false">SUM(B11:BI11)</f>
        <v>120000</v>
      </c>
      <c r="BK11" s="29" t="s">
        <v>241</v>
      </c>
    </row>
    <row r="12" customFormat="false" ht="15" hidden="false" customHeight="false" outlineLevel="0" collapsed="false">
      <c r="A12" s="27" t="s">
        <v>242</v>
      </c>
      <c r="B12" s="60" t="n">
        <f aca="false">SUMPRODUCT((Aportes!$D$6:$D$37="Em negociação")*(Aportes!$A$6:$A$37&gt;=B$4)*(Aportes!$A$6:$A$37&lt;=EOMONTH(B$4,0))*Aportes!$C$6:$C$37)</f>
        <v>0</v>
      </c>
      <c r="C12" s="60" t="n">
        <f aca="false">SUMPRODUCT((Aportes!$D$6:$D$37="Em negociação")*(Aportes!$A$6:$A$37&gt;=C$4)*(Aportes!$A$6:$A$37&lt;=EOMONTH(C$4,0))*Aportes!$C$6:$C$37)</f>
        <v>0</v>
      </c>
      <c r="D12" s="60" t="n">
        <f aca="false">SUMPRODUCT((Aportes!$D$6:$D$37="Em negociação")*(Aportes!$A$6:$A$37&gt;=D$4)*(Aportes!$A$6:$A$37&lt;=EOMONTH(D$4,0))*Aportes!$C$6:$C$37)</f>
        <v>0</v>
      </c>
      <c r="E12" s="60" t="n">
        <f aca="false">SUMPRODUCT((Aportes!$D$6:$D$37="Em negociação")*(Aportes!$A$6:$A$37&gt;=E$4)*(Aportes!$A$6:$A$37&lt;=EOMONTH(E$4,0))*Aportes!$C$6:$C$37)</f>
        <v>0</v>
      </c>
      <c r="F12" s="60" t="n">
        <f aca="false">SUMPRODUCT((Aportes!$D$6:$D$37="Em negociação")*(Aportes!$A$6:$A$37&gt;=F$4)*(Aportes!$A$6:$A$37&lt;=EOMONTH(F$4,0))*Aportes!$C$6:$C$37)</f>
        <v>0</v>
      </c>
      <c r="G12" s="60" t="n">
        <f aca="false">SUMPRODUCT((Aportes!$D$6:$D$37="Em negociação")*(Aportes!$A$6:$A$37&gt;=G$4)*(Aportes!$A$6:$A$37&lt;=EOMONTH(G$4,0))*Aportes!$C$6:$C$37)</f>
        <v>0</v>
      </c>
      <c r="H12" s="60" t="n">
        <f aca="false">SUMPRODUCT((Aportes!$D$6:$D$37="Em negociação")*(Aportes!$A$6:$A$37&gt;=H$4)*(Aportes!$A$6:$A$37&lt;=EOMONTH(H$4,0))*Aportes!$C$6:$C$37)</f>
        <v>0</v>
      </c>
      <c r="I12" s="60" t="n">
        <f aca="false">SUMPRODUCT((Aportes!$D$6:$D$37="Em negociação")*(Aportes!$A$6:$A$37&gt;=I$4)*(Aportes!$A$6:$A$37&lt;=EOMONTH(I$4,0))*Aportes!$C$6:$C$37)</f>
        <v>0</v>
      </c>
      <c r="J12" s="60" t="n">
        <f aca="false">SUMPRODUCT((Aportes!$D$6:$D$37="Em negociação")*(Aportes!$A$6:$A$37&gt;=J$4)*(Aportes!$A$6:$A$37&lt;=EOMONTH(J$4,0))*Aportes!$C$6:$C$37)</f>
        <v>0</v>
      </c>
      <c r="K12" s="60" t="n">
        <f aca="false">SUMPRODUCT((Aportes!$D$6:$D$37="Em negociação")*(Aportes!$A$6:$A$37&gt;=K$4)*(Aportes!$A$6:$A$37&lt;=EOMONTH(K$4,0))*Aportes!$C$6:$C$37)</f>
        <v>0</v>
      </c>
      <c r="L12" s="60" t="n">
        <f aca="false">SUMPRODUCT((Aportes!$D$6:$D$37="Em negociação")*(Aportes!$A$6:$A$37&gt;=L$4)*(Aportes!$A$6:$A$37&lt;=EOMONTH(L$4,0))*Aportes!$C$6:$C$37)</f>
        <v>0</v>
      </c>
      <c r="M12" s="60" t="n">
        <f aca="false">SUMPRODUCT((Aportes!$D$6:$D$37="Em negociação")*(Aportes!$A$6:$A$37&gt;=M$4)*(Aportes!$A$6:$A$37&lt;=EOMONTH(M$4,0))*Aportes!$C$6:$C$37)</f>
        <v>0</v>
      </c>
      <c r="N12" s="60" t="n">
        <f aca="false">SUMPRODUCT((Aportes!$D$6:$D$37="Em negociação")*(Aportes!$A$6:$A$37&gt;=N$4)*(Aportes!$A$6:$A$37&lt;=EOMONTH(N$4,0))*Aportes!$C$6:$C$37)</f>
        <v>0</v>
      </c>
      <c r="O12" s="60" t="n">
        <f aca="false">SUMPRODUCT((Aportes!$D$6:$D$37="Em negociação")*(Aportes!$A$6:$A$37&gt;=O$4)*(Aportes!$A$6:$A$37&lt;=EOMONTH(O$4,0))*Aportes!$C$6:$C$37)</f>
        <v>0</v>
      </c>
      <c r="P12" s="60" t="n">
        <f aca="false">SUMPRODUCT((Aportes!$D$6:$D$37="Em negociação")*(Aportes!$A$6:$A$37&gt;=P$4)*(Aportes!$A$6:$A$37&lt;=EOMONTH(P$4,0))*Aportes!$C$6:$C$37)</f>
        <v>0</v>
      </c>
      <c r="Q12" s="60" t="n">
        <f aca="false">SUMPRODUCT((Aportes!$D$6:$D$37="Em negociação")*(Aportes!$A$6:$A$37&gt;=Q$4)*(Aportes!$A$6:$A$37&lt;=EOMONTH(Q$4,0))*Aportes!$C$6:$C$37)</f>
        <v>0</v>
      </c>
      <c r="R12" s="60" t="n">
        <f aca="false">SUMPRODUCT((Aportes!$D$6:$D$37="Em negociação")*(Aportes!$A$6:$A$37&gt;=R$4)*(Aportes!$A$6:$A$37&lt;=EOMONTH(R$4,0))*Aportes!$C$6:$C$37)</f>
        <v>0</v>
      </c>
      <c r="S12" s="60" t="n">
        <f aca="false">SUMPRODUCT((Aportes!$D$6:$D$37="Em negociação")*(Aportes!$A$6:$A$37&gt;=S$4)*(Aportes!$A$6:$A$37&lt;=EOMONTH(S$4,0))*Aportes!$C$6:$C$37)</f>
        <v>0</v>
      </c>
      <c r="T12" s="60" t="n">
        <f aca="false">SUMPRODUCT((Aportes!$D$6:$D$37="Em negociação")*(Aportes!$A$6:$A$37&gt;=T$4)*(Aportes!$A$6:$A$37&lt;=EOMONTH(T$4,0))*Aportes!$C$6:$C$37)</f>
        <v>0</v>
      </c>
      <c r="U12" s="60" t="n">
        <f aca="false">SUMPRODUCT((Aportes!$D$6:$D$37="Em negociação")*(Aportes!$A$6:$A$37&gt;=U$4)*(Aportes!$A$6:$A$37&lt;=EOMONTH(U$4,0))*Aportes!$C$6:$C$37)</f>
        <v>0</v>
      </c>
      <c r="V12" s="60" t="n">
        <f aca="false">SUMPRODUCT((Aportes!$D$6:$D$37="Em negociação")*(Aportes!$A$6:$A$37&gt;=V$4)*(Aportes!$A$6:$A$37&lt;=EOMONTH(V$4,0))*Aportes!$C$6:$C$37)</f>
        <v>0</v>
      </c>
      <c r="W12" s="60" t="n">
        <f aca="false">SUMPRODUCT((Aportes!$D$6:$D$37="Em negociação")*(Aportes!$A$6:$A$37&gt;=W$4)*(Aportes!$A$6:$A$37&lt;=EOMONTH(W$4,0))*Aportes!$C$6:$C$37)</f>
        <v>0</v>
      </c>
      <c r="X12" s="60" t="n">
        <f aca="false">SUMPRODUCT((Aportes!$D$6:$D$37="Em negociação")*(Aportes!$A$6:$A$37&gt;=X$4)*(Aportes!$A$6:$A$37&lt;=EOMONTH(X$4,0))*Aportes!$C$6:$C$37)</f>
        <v>0</v>
      </c>
      <c r="Y12" s="60" t="n">
        <f aca="false">SUMPRODUCT((Aportes!$D$6:$D$37="Em negociação")*(Aportes!$A$6:$A$37&gt;=Y$4)*(Aportes!$A$6:$A$37&lt;=EOMONTH(Y$4,0))*Aportes!$C$6:$C$37)</f>
        <v>0</v>
      </c>
      <c r="Z12" s="60" t="n">
        <f aca="false">SUMPRODUCT((Aportes!$D$6:$D$37="Em negociação")*(Aportes!$A$6:$A$37&gt;=Z$4)*(Aportes!$A$6:$A$37&lt;=EOMONTH(Z$4,0))*Aportes!$C$6:$C$37)</f>
        <v>0</v>
      </c>
      <c r="AA12" s="60" t="n">
        <f aca="false">SUMPRODUCT((Aportes!$D$6:$D$37="Em negociação")*(Aportes!$A$6:$A$37&gt;=AA$4)*(Aportes!$A$6:$A$37&lt;=EOMONTH(AA$4,0))*Aportes!$C$6:$C$37)</f>
        <v>0</v>
      </c>
      <c r="AB12" s="60" t="n">
        <f aca="false">SUMPRODUCT((Aportes!$D$6:$D$37="Em negociação")*(Aportes!$A$6:$A$37&gt;=AB$4)*(Aportes!$A$6:$A$37&lt;=EOMONTH(AB$4,0))*Aportes!$C$6:$C$37)</f>
        <v>0</v>
      </c>
      <c r="AC12" s="60" t="n">
        <f aca="false">SUMPRODUCT((Aportes!$D$6:$D$37="Em negociação")*(Aportes!$A$6:$A$37&gt;=AC$4)*(Aportes!$A$6:$A$37&lt;=EOMONTH(AC$4,0))*Aportes!$C$6:$C$37)</f>
        <v>0</v>
      </c>
      <c r="AD12" s="60" t="n">
        <f aca="false">SUMPRODUCT((Aportes!$D$6:$D$37="Em negociação")*(Aportes!$A$6:$A$37&gt;=AD$4)*(Aportes!$A$6:$A$37&lt;=EOMONTH(AD$4,0))*Aportes!$C$6:$C$37)</f>
        <v>0</v>
      </c>
      <c r="AE12" s="60" t="n">
        <f aca="false">SUMPRODUCT((Aportes!$D$6:$D$37="Em negociação")*(Aportes!$A$6:$A$37&gt;=AE$4)*(Aportes!$A$6:$A$37&lt;=EOMONTH(AE$4,0))*Aportes!$C$6:$C$37)</f>
        <v>0</v>
      </c>
      <c r="AF12" s="60" t="n">
        <f aca="false">SUMPRODUCT((Aportes!$D$6:$D$37="Em negociação")*(Aportes!$A$6:$A$37&gt;=AF$4)*(Aportes!$A$6:$A$37&lt;=EOMONTH(AF$4,0))*Aportes!$C$6:$C$37)</f>
        <v>0</v>
      </c>
      <c r="AG12" s="60" t="n">
        <f aca="false">SUMPRODUCT((Aportes!$D$6:$D$37="Em negociação")*(Aportes!$A$6:$A$37&gt;=AG$4)*(Aportes!$A$6:$A$37&lt;=EOMONTH(AG$4,0))*Aportes!$C$6:$C$37)</f>
        <v>0</v>
      </c>
      <c r="AH12" s="60" t="n">
        <f aca="false">SUMPRODUCT((Aportes!$D$6:$D$37="Em negociação")*(Aportes!$A$6:$A$37&gt;=AH$4)*(Aportes!$A$6:$A$37&lt;=EOMONTH(AH$4,0))*Aportes!$C$6:$C$37)</f>
        <v>0</v>
      </c>
      <c r="AI12" s="60" t="n">
        <f aca="false">SUMPRODUCT((Aportes!$D$6:$D$37="Em negociação")*(Aportes!$A$6:$A$37&gt;=AI$4)*(Aportes!$A$6:$A$37&lt;=EOMONTH(AI$4,0))*Aportes!$C$6:$C$37)</f>
        <v>0</v>
      </c>
      <c r="AJ12" s="60" t="n">
        <f aca="false">SUMPRODUCT((Aportes!$D$6:$D$37="Em negociação")*(Aportes!$A$6:$A$37&gt;=AJ$4)*(Aportes!$A$6:$A$37&lt;=EOMONTH(AJ$4,0))*Aportes!$C$6:$C$37)</f>
        <v>0</v>
      </c>
      <c r="AK12" s="60" t="n">
        <f aca="false">SUMPRODUCT((Aportes!$D$6:$D$37="Em negociação")*(Aportes!$A$6:$A$37&gt;=AK$4)*(Aportes!$A$6:$A$37&lt;=EOMONTH(AK$4,0))*Aportes!$C$6:$C$37)</f>
        <v>0</v>
      </c>
      <c r="AL12" s="60" t="n">
        <f aca="false">SUMPRODUCT((Aportes!$D$6:$D$37="Em negociação")*(Aportes!$A$6:$A$37&gt;=AL$4)*(Aportes!$A$6:$A$37&lt;=EOMONTH(AL$4,0))*Aportes!$C$6:$C$37)</f>
        <v>0</v>
      </c>
      <c r="AM12" s="60" t="n">
        <f aca="false">SUMPRODUCT((Aportes!$D$6:$D$37="Em negociação")*(Aportes!$A$6:$A$37&gt;=AM$4)*(Aportes!$A$6:$A$37&lt;=EOMONTH(AM$4,0))*Aportes!$C$6:$C$37)</f>
        <v>0</v>
      </c>
      <c r="AN12" s="60" t="n">
        <f aca="false">SUMPRODUCT((Aportes!$D$6:$D$37="Em negociação")*(Aportes!$A$6:$A$37&gt;=AN$4)*(Aportes!$A$6:$A$37&lt;=EOMONTH(AN$4,0))*Aportes!$C$6:$C$37)</f>
        <v>0</v>
      </c>
      <c r="AO12" s="60" t="n">
        <f aca="false">SUMPRODUCT((Aportes!$D$6:$D$37="Em negociação")*(Aportes!$A$6:$A$37&gt;=AO$4)*(Aportes!$A$6:$A$37&lt;=EOMONTH(AO$4,0))*Aportes!$C$6:$C$37)</f>
        <v>0</v>
      </c>
      <c r="AP12" s="60" t="n">
        <f aca="false">SUMPRODUCT((Aportes!$D$6:$D$37="Em negociação")*(Aportes!$A$6:$A$37&gt;=AP$4)*(Aportes!$A$6:$A$37&lt;=EOMONTH(AP$4,0))*Aportes!$C$6:$C$37)</f>
        <v>0</v>
      </c>
      <c r="AQ12" s="60" t="n">
        <f aca="false">SUMPRODUCT((Aportes!$D$6:$D$37="Em negociação")*(Aportes!$A$6:$A$37&gt;=AQ$4)*(Aportes!$A$6:$A$37&lt;=EOMONTH(AQ$4,0))*Aportes!$C$6:$C$37)</f>
        <v>0</v>
      </c>
      <c r="AR12" s="60" t="n">
        <f aca="false">SUMPRODUCT((Aportes!$D$6:$D$37="Em negociação")*(Aportes!$A$6:$A$37&gt;=AR$4)*(Aportes!$A$6:$A$37&lt;=EOMONTH(AR$4,0))*Aportes!$C$6:$C$37)</f>
        <v>0</v>
      </c>
      <c r="AS12" s="60" t="n">
        <f aca="false">SUMPRODUCT((Aportes!$D$6:$D$37="Em negociação")*(Aportes!$A$6:$A$37&gt;=AS$4)*(Aportes!$A$6:$A$37&lt;=EOMONTH(AS$4,0))*Aportes!$C$6:$C$37)</f>
        <v>0</v>
      </c>
      <c r="AT12" s="60" t="n">
        <f aca="false">SUMPRODUCT((Aportes!$D$6:$D$37="Em negociação")*(Aportes!$A$6:$A$37&gt;=AT$4)*(Aportes!$A$6:$A$37&lt;=EOMONTH(AT$4,0))*Aportes!$C$6:$C$37)</f>
        <v>0</v>
      </c>
      <c r="AU12" s="60" t="n">
        <f aca="false">SUMPRODUCT((Aportes!$D$6:$D$37="Em negociação")*(Aportes!$A$6:$A$37&gt;=AU$4)*(Aportes!$A$6:$A$37&lt;=EOMONTH(AU$4,0))*Aportes!$C$6:$C$37)</f>
        <v>0</v>
      </c>
      <c r="AV12" s="60" t="n">
        <f aca="false">SUMPRODUCT((Aportes!$D$6:$D$37="Em negociação")*(Aportes!$A$6:$A$37&gt;=AV$4)*(Aportes!$A$6:$A$37&lt;=EOMONTH(AV$4,0))*Aportes!$C$6:$C$37)</f>
        <v>0</v>
      </c>
      <c r="AW12" s="60" t="n">
        <f aca="false">SUMPRODUCT((Aportes!$D$6:$D$37="Em negociação")*(Aportes!$A$6:$A$37&gt;=AW$4)*(Aportes!$A$6:$A$37&lt;=EOMONTH(AW$4,0))*Aportes!$C$6:$C$37)</f>
        <v>0</v>
      </c>
      <c r="AX12" s="60" t="n">
        <f aca="false">SUMPRODUCT((Aportes!$D$6:$D$37="Em negociação")*(Aportes!$A$6:$A$37&gt;=AX$4)*(Aportes!$A$6:$A$37&lt;=EOMONTH(AX$4,0))*Aportes!$C$6:$C$37)</f>
        <v>0</v>
      </c>
      <c r="AY12" s="60" t="n">
        <f aca="false">SUMPRODUCT((Aportes!$D$6:$D$37="Em negociação")*(Aportes!$A$6:$A$37&gt;=AY$4)*(Aportes!$A$6:$A$37&lt;=EOMONTH(AY$4,0))*Aportes!$C$6:$C$37)</f>
        <v>0</v>
      </c>
      <c r="AZ12" s="60" t="n">
        <f aca="false">SUMPRODUCT((Aportes!$D$6:$D$37="Em negociação")*(Aportes!$A$6:$A$37&gt;=AZ$4)*(Aportes!$A$6:$A$37&lt;=EOMONTH(AZ$4,0))*Aportes!$C$6:$C$37)</f>
        <v>0</v>
      </c>
      <c r="BA12" s="60" t="n">
        <f aca="false">SUMPRODUCT((Aportes!$D$6:$D$37="Em negociação")*(Aportes!$A$6:$A$37&gt;=BA$4)*(Aportes!$A$6:$A$37&lt;=EOMONTH(BA$4,0))*Aportes!$C$6:$C$37)</f>
        <v>0</v>
      </c>
      <c r="BB12" s="60" t="n">
        <f aca="false">SUMPRODUCT((Aportes!$D$6:$D$37="Em negociação")*(Aportes!$A$6:$A$37&gt;=BB$4)*(Aportes!$A$6:$A$37&lt;=EOMONTH(BB$4,0))*Aportes!$C$6:$C$37)</f>
        <v>0</v>
      </c>
      <c r="BC12" s="60" t="n">
        <f aca="false">SUMPRODUCT((Aportes!$D$6:$D$37="Em negociação")*(Aportes!$A$6:$A$37&gt;=BC$4)*(Aportes!$A$6:$A$37&lt;=EOMONTH(BC$4,0))*Aportes!$C$6:$C$37)</f>
        <v>0</v>
      </c>
      <c r="BD12" s="60" t="n">
        <f aca="false">SUMPRODUCT((Aportes!$D$6:$D$37="Em negociação")*(Aportes!$A$6:$A$37&gt;=BD$4)*(Aportes!$A$6:$A$37&lt;=EOMONTH(BD$4,0))*Aportes!$C$6:$C$37)</f>
        <v>0</v>
      </c>
      <c r="BE12" s="60" t="n">
        <f aca="false">SUMPRODUCT((Aportes!$D$6:$D$37="Em negociação")*(Aportes!$A$6:$A$37&gt;=BE$4)*(Aportes!$A$6:$A$37&lt;=EOMONTH(BE$4,0))*Aportes!$C$6:$C$37)</f>
        <v>0</v>
      </c>
      <c r="BF12" s="60" t="n">
        <f aca="false">SUMPRODUCT((Aportes!$D$6:$D$37="Em negociação")*(Aportes!$A$6:$A$37&gt;=BF$4)*(Aportes!$A$6:$A$37&lt;=EOMONTH(BF$4,0))*Aportes!$C$6:$C$37)</f>
        <v>0</v>
      </c>
      <c r="BG12" s="60" t="n">
        <f aca="false">SUMPRODUCT((Aportes!$D$6:$D$37="Em negociação")*(Aportes!$A$6:$A$37&gt;=BG$4)*(Aportes!$A$6:$A$37&lt;=EOMONTH(BG$4,0))*Aportes!$C$6:$C$37)</f>
        <v>0</v>
      </c>
      <c r="BH12" s="60" t="n">
        <f aca="false">SUMPRODUCT((Aportes!$D$6:$D$37="Em negociação")*(Aportes!$A$6:$A$37&gt;=BH$4)*(Aportes!$A$6:$A$37&lt;=EOMONTH(BH$4,0))*Aportes!$C$6:$C$37)</f>
        <v>0</v>
      </c>
      <c r="BI12" s="60" t="n">
        <f aca="false">SUMPRODUCT((Aportes!$D$6:$D$37="Em negociação")*(Aportes!$A$6:$A$37&gt;=BI$4)*(Aportes!$A$6:$A$37&lt;=EOMONTH(BI$4,0))*Aportes!$C$6:$C$37)</f>
        <v>0</v>
      </c>
      <c r="BJ12" s="61" t="n">
        <f aca="false">SUM(B12:BI12)</f>
        <v>0</v>
      </c>
      <c r="BK12" s="29" t="s">
        <v>243</v>
      </c>
    </row>
    <row r="13" customFormat="false" ht="15" hidden="false" customHeight="false" outlineLevel="0" collapsed="false">
      <c r="A13" s="27" t="s">
        <v>244</v>
      </c>
      <c r="B13" s="60" t="n">
        <f aca="false">SUMPRODUCT((Aportes!$D$43:$D$50&gt;=B$4)*(Aportes!$D$43:$D$50&lt;=EOMONTH(B$4,0))*Aportes!$C$43:$C$50)</f>
        <v>0</v>
      </c>
      <c r="C13" s="60" t="n">
        <f aca="false">SUMPRODUCT((Aportes!$D$43:$D$50&gt;=C$4)*(Aportes!$D$43:$D$50&lt;=EOMONTH(C$4,0))*Aportes!$C$43:$C$50)</f>
        <v>0</v>
      </c>
      <c r="D13" s="60" t="n">
        <f aca="false">SUMPRODUCT((Aportes!$D$43:$D$50&gt;=D$4)*(Aportes!$D$43:$D$50&lt;=EOMONTH(D$4,0))*Aportes!$C$43:$C$50)</f>
        <v>0</v>
      </c>
      <c r="E13" s="60" t="n">
        <f aca="false">SUMPRODUCT((Aportes!$D$43:$D$50&gt;=E$4)*(Aportes!$D$43:$D$50&lt;=EOMONTH(E$4,0))*Aportes!$C$43:$C$50)</f>
        <v>0</v>
      </c>
      <c r="F13" s="60" t="n">
        <f aca="false">SUMPRODUCT((Aportes!$D$43:$D$50&gt;=F$4)*(Aportes!$D$43:$D$50&lt;=EOMONTH(F$4,0))*Aportes!$C$43:$C$50)</f>
        <v>0</v>
      </c>
      <c r="G13" s="60" t="n">
        <f aca="false">SUMPRODUCT((Aportes!$D$43:$D$50&gt;=G$4)*(Aportes!$D$43:$D$50&lt;=EOMONTH(G$4,0))*Aportes!$C$43:$C$50)</f>
        <v>0</v>
      </c>
      <c r="H13" s="60" t="n">
        <f aca="false">SUMPRODUCT((Aportes!$D$43:$D$50&gt;=H$4)*(Aportes!$D$43:$D$50&lt;=EOMONTH(H$4,0))*Aportes!$C$43:$C$50)</f>
        <v>0</v>
      </c>
      <c r="I13" s="60" t="n">
        <f aca="false">SUMPRODUCT((Aportes!$D$43:$D$50&gt;=I$4)*(Aportes!$D$43:$D$50&lt;=EOMONTH(I$4,0))*Aportes!$C$43:$C$50)</f>
        <v>0</v>
      </c>
      <c r="J13" s="60" t="n">
        <f aca="false">SUMPRODUCT((Aportes!$D$43:$D$50&gt;=J$4)*(Aportes!$D$43:$D$50&lt;=EOMONTH(J$4,0))*Aportes!$C$43:$C$50)</f>
        <v>0</v>
      </c>
      <c r="K13" s="60" t="n">
        <f aca="false">SUMPRODUCT((Aportes!$D$43:$D$50&gt;=K$4)*(Aportes!$D$43:$D$50&lt;=EOMONTH(K$4,0))*Aportes!$C$43:$C$50)</f>
        <v>0</v>
      </c>
      <c r="L13" s="60" t="n">
        <f aca="false">SUMPRODUCT((Aportes!$D$43:$D$50&gt;=L$4)*(Aportes!$D$43:$D$50&lt;=EOMONTH(L$4,0))*Aportes!$C$43:$C$50)</f>
        <v>0</v>
      </c>
      <c r="M13" s="60" t="n">
        <f aca="false">SUMPRODUCT((Aportes!$D$43:$D$50&gt;=M$4)*(Aportes!$D$43:$D$50&lt;=EOMONTH(M$4,0))*Aportes!$C$43:$C$50)</f>
        <v>0</v>
      </c>
      <c r="N13" s="60" t="n">
        <f aca="false">SUMPRODUCT((Aportes!$D$43:$D$50&gt;=N$4)*(Aportes!$D$43:$D$50&lt;=EOMONTH(N$4,0))*Aportes!$C$43:$C$50)</f>
        <v>0</v>
      </c>
      <c r="O13" s="60" t="n">
        <f aca="false">SUMPRODUCT((Aportes!$D$43:$D$50&gt;=O$4)*(Aportes!$D$43:$D$50&lt;=EOMONTH(O$4,0))*Aportes!$C$43:$C$50)</f>
        <v>0</v>
      </c>
      <c r="P13" s="60" t="n">
        <f aca="false">SUMPRODUCT((Aportes!$D$43:$D$50&gt;=P$4)*(Aportes!$D$43:$D$50&lt;=EOMONTH(P$4,0))*Aportes!$C$43:$C$50)</f>
        <v>0</v>
      </c>
      <c r="Q13" s="60" t="n">
        <f aca="false">SUMPRODUCT((Aportes!$D$43:$D$50&gt;=Q$4)*(Aportes!$D$43:$D$50&lt;=EOMONTH(Q$4,0))*Aportes!$C$43:$C$50)</f>
        <v>0</v>
      </c>
      <c r="R13" s="60" t="n">
        <f aca="false">SUMPRODUCT((Aportes!$D$43:$D$50&gt;=R$4)*(Aportes!$D$43:$D$50&lt;=EOMONTH(R$4,0))*Aportes!$C$43:$C$50)</f>
        <v>0</v>
      </c>
      <c r="S13" s="60" t="n">
        <f aca="false">SUMPRODUCT((Aportes!$D$43:$D$50&gt;=S$4)*(Aportes!$D$43:$D$50&lt;=EOMONTH(S$4,0))*Aportes!$C$43:$C$50)</f>
        <v>0</v>
      </c>
      <c r="T13" s="60" t="n">
        <f aca="false">SUMPRODUCT((Aportes!$D$43:$D$50&gt;=T$4)*(Aportes!$D$43:$D$50&lt;=EOMONTH(T$4,0))*Aportes!$C$43:$C$50)</f>
        <v>500000</v>
      </c>
      <c r="U13" s="60" t="n">
        <f aca="false">SUMPRODUCT((Aportes!$D$43:$D$50&gt;=U$4)*(Aportes!$D$43:$D$50&lt;=EOMONTH(U$4,0))*Aportes!$C$43:$C$50)</f>
        <v>0</v>
      </c>
      <c r="V13" s="60" t="n">
        <f aca="false">SUMPRODUCT((Aportes!$D$43:$D$50&gt;=V$4)*(Aportes!$D$43:$D$50&lt;=EOMONTH(V$4,0))*Aportes!$C$43:$C$50)</f>
        <v>0</v>
      </c>
      <c r="W13" s="60" t="n">
        <f aca="false">SUMPRODUCT((Aportes!$D$43:$D$50&gt;=W$4)*(Aportes!$D$43:$D$50&lt;=EOMONTH(W$4,0))*Aportes!$C$43:$C$50)</f>
        <v>0</v>
      </c>
      <c r="X13" s="60" t="n">
        <f aca="false">SUMPRODUCT((Aportes!$D$43:$D$50&gt;=X$4)*(Aportes!$D$43:$D$50&lt;=EOMONTH(X$4,0))*Aportes!$C$43:$C$50)</f>
        <v>0</v>
      </c>
      <c r="Y13" s="60" t="n">
        <f aca="false">SUMPRODUCT((Aportes!$D$43:$D$50&gt;=Y$4)*(Aportes!$D$43:$D$50&lt;=EOMONTH(Y$4,0))*Aportes!$C$43:$C$50)</f>
        <v>0</v>
      </c>
      <c r="Z13" s="60" t="n">
        <f aca="false">SUMPRODUCT((Aportes!$D$43:$D$50&gt;=Z$4)*(Aportes!$D$43:$D$50&lt;=EOMONTH(Z$4,0))*Aportes!$C$43:$C$50)</f>
        <v>0</v>
      </c>
      <c r="AA13" s="60" t="n">
        <f aca="false">SUMPRODUCT((Aportes!$D$43:$D$50&gt;=AA$4)*(Aportes!$D$43:$D$50&lt;=EOMONTH(AA$4,0))*Aportes!$C$43:$C$50)</f>
        <v>0</v>
      </c>
      <c r="AB13" s="60" t="n">
        <f aca="false">SUMPRODUCT((Aportes!$D$43:$D$50&gt;=AB$4)*(Aportes!$D$43:$D$50&lt;=EOMONTH(AB$4,0))*Aportes!$C$43:$C$50)</f>
        <v>0</v>
      </c>
      <c r="AC13" s="60" t="n">
        <f aca="false">SUMPRODUCT((Aportes!$D$43:$D$50&gt;=AC$4)*(Aportes!$D$43:$D$50&lt;=EOMONTH(AC$4,0))*Aportes!$C$43:$C$50)</f>
        <v>0</v>
      </c>
      <c r="AD13" s="60" t="n">
        <f aca="false">SUMPRODUCT((Aportes!$D$43:$D$50&gt;=AD$4)*(Aportes!$D$43:$D$50&lt;=EOMONTH(AD$4,0))*Aportes!$C$43:$C$50)</f>
        <v>0</v>
      </c>
      <c r="AE13" s="60" t="n">
        <f aca="false">SUMPRODUCT((Aportes!$D$43:$D$50&gt;=AE$4)*(Aportes!$D$43:$D$50&lt;=EOMONTH(AE$4,0))*Aportes!$C$43:$C$50)</f>
        <v>0</v>
      </c>
      <c r="AF13" s="60" t="n">
        <f aca="false">SUMPRODUCT((Aportes!$D$43:$D$50&gt;=AF$4)*(Aportes!$D$43:$D$50&lt;=EOMONTH(AF$4,0))*Aportes!$C$43:$C$50)</f>
        <v>0</v>
      </c>
      <c r="AG13" s="60" t="n">
        <f aca="false">SUMPRODUCT((Aportes!$D$43:$D$50&gt;=AG$4)*(Aportes!$D$43:$D$50&lt;=EOMONTH(AG$4,0))*Aportes!$C$43:$C$50)</f>
        <v>0</v>
      </c>
      <c r="AH13" s="60" t="n">
        <f aca="false">SUMPRODUCT((Aportes!$D$43:$D$50&gt;=AH$4)*(Aportes!$D$43:$D$50&lt;=EOMONTH(AH$4,0))*Aportes!$C$43:$C$50)</f>
        <v>0</v>
      </c>
      <c r="AI13" s="60" t="n">
        <f aca="false">SUMPRODUCT((Aportes!$D$43:$D$50&gt;=AI$4)*(Aportes!$D$43:$D$50&lt;=EOMONTH(AI$4,0))*Aportes!$C$43:$C$50)</f>
        <v>0</v>
      </c>
      <c r="AJ13" s="60" t="n">
        <f aca="false">SUMPRODUCT((Aportes!$D$43:$D$50&gt;=AJ$4)*(Aportes!$D$43:$D$50&lt;=EOMONTH(AJ$4,0))*Aportes!$C$43:$C$50)</f>
        <v>0</v>
      </c>
      <c r="AK13" s="60" t="n">
        <f aca="false">SUMPRODUCT((Aportes!$D$43:$D$50&gt;=AK$4)*(Aportes!$D$43:$D$50&lt;=EOMONTH(AK$4,0))*Aportes!$C$43:$C$50)</f>
        <v>0</v>
      </c>
      <c r="AL13" s="60" t="n">
        <f aca="false">SUMPRODUCT((Aportes!$D$43:$D$50&gt;=AL$4)*(Aportes!$D$43:$D$50&lt;=EOMONTH(AL$4,0))*Aportes!$C$43:$C$50)</f>
        <v>0</v>
      </c>
      <c r="AM13" s="60" t="n">
        <f aca="false">SUMPRODUCT((Aportes!$D$43:$D$50&gt;=AM$4)*(Aportes!$D$43:$D$50&lt;=EOMONTH(AM$4,0))*Aportes!$C$43:$C$50)</f>
        <v>0</v>
      </c>
      <c r="AN13" s="60" t="n">
        <f aca="false">SUMPRODUCT((Aportes!$D$43:$D$50&gt;=AN$4)*(Aportes!$D$43:$D$50&lt;=EOMONTH(AN$4,0))*Aportes!$C$43:$C$50)</f>
        <v>0</v>
      </c>
      <c r="AO13" s="60" t="n">
        <f aca="false">SUMPRODUCT((Aportes!$D$43:$D$50&gt;=AO$4)*(Aportes!$D$43:$D$50&lt;=EOMONTH(AO$4,0))*Aportes!$C$43:$C$50)</f>
        <v>0</v>
      </c>
      <c r="AP13" s="60" t="n">
        <f aca="false">SUMPRODUCT((Aportes!$D$43:$D$50&gt;=AP$4)*(Aportes!$D$43:$D$50&lt;=EOMONTH(AP$4,0))*Aportes!$C$43:$C$50)</f>
        <v>0</v>
      </c>
      <c r="AQ13" s="60" t="n">
        <f aca="false">SUMPRODUCT((Aportes!$D$43:$D$50&gt;=AQ$4)*(Aportes!$D$43:$D$50&lt;=EOMONTH(AQ$4,0))*Aportes!$C$43:$C$50)</f>
        <v>0</v>
      </c>
      <c r="AR13" s="60" t="n">
        <f aca="false">SUMPRODUCT((Aportes!$D$43:$D$50&gt;=AR$4)*(Aportes!$D$43:$D$50&lt;=EOMONTH(AR$4,0))*Aportes!$C$43:$C$50)</f>
        <v>0</v>
      </c>
      <c r="AS13" s="60" t="n">
        <f aca="false">SUMPRODUCT((Aportes!$D$43:$D$50&gt;=AS$4)*(Aportes!$D$43:$D$50&lt;=EOMONTH(AS$4,0))*Aportes!$C$43:$C$50)</f>
        <v>0</v>
      </c>
      <c r="AT13" s="60" t="n">
        <f aca="false">SUMPRODUCT((Aportes!$D$43:$D$50&gt;=AT$4)*(Aportes!$D$43:$D$50&lt;=EOMONTH(AT$4,0))*Aportes!$C$43:$C$50)</f>
        <v>0</v>
      </c>
      <c r="AU13" s="60" t="n">
        <f aca="false">SUMPRODUCT((Aportes!$D$43:$D$50&gt;=AU$4)*(Aportes!$D$43:$D$50&lt;=EOMONTH(AU$4,0))*Aportes!$C$43:$C$50)</f>
        <v>0</v>
      </c>
      <c r="AV13" s="60" t="n">
        <f aca="false">SUMPRODUCT((Aportes!$D$43:$D$50&gt;=AV$4)*(Aportes!$D$43:$D$50&lt;=EOMONTH(AV$4,0))*Aportes!$C$43:$C$50)</f>
        <v>0</v>
      </c>
      <c r="AW13" s="60" t="n">
        <f aca="false">SUMPRODUCT((Aportes!$D$43:$D$50&gt;=AW$4)*(Aportes!$D$43:$D$50&lt;=EOMONTH(AW$4,0))*Aportes!$C$43:$C$50)</f>
        <v>0</v>
      </c>
      <c r="AX13" s="60" t="n">
        <f aca="false">SUMPRODUCT((Aportes!$D$43:$D$50&gt;=AX$4)*(Aportes!$D$43:$D$50&lt;=EOMONTH(AX$4,0))*Aportes!$C$43:$C$50)</f>
        <v>0</v>
      </c>
      <c r="AY13" s="60" t="n">
        <f aca="false">SUMPRODUCT((Aportes!$D$43:$D$50&gt;=AY$4)*(Aportes!$D$43:$D$50&lt;=EOMONTH(AY$4,0))*Aportes!$C$43:$C$50)</f>
        <v>0</v>
      </c>
      <c r="AZ13" s="60" t="n">
        <f aca="false">SUMPRODUCT((Aportes!$D$43:$D$50&gt;=AZ$4)*(Aportes!$D$43:$D$50&lt;=EOMONTH(AZ$4,0))*Aportes!$C$43:$C$50)</f>
        <v>0</v>
      </c>
      <c r="BA13" s="60" t="n">
        <f aca="false">SUMPRODUCT((Aportes!$D$43:$D$50&gt;=BA$4)*(Aportes!$D$43:$D$50&lt;=EOMONTH(BA$4,0))*Aportes!$C$43:$C$50)</f>
        <v>0</v>
      </c>
      <c r="BB13" s="60" t="n">
        <f aca="false">SUMPRODUCT((Aportes!$D$43:$D$50&gt;=BB$4)*(Aportes!$D$43:$D$50&lt;=EOMONTH(BB$4,0))*Aportes!$C$43:$C$50)</f>
        <v>0</v>
      </c>
      <c r="BC13" s="60" t="n">
        <f aca="false">SUMPRODUCT((Aportes!$D$43:$D$50&gt;=BC$4)*(Aportes!$D$43:$D$50&lt;=EOMONTH(BC$4,0))*Aportes!$C$43:$C$50)</f>
        <v>0</v>
      </c>
      <c r="BD13" s="60" t="n">
        <f aca="false">SUMPRODUCT((Aportes!$D$43:$D$50&gt;=BD$4)*(Aportes!$D$43:$D$50&lt;=EOMONTH(BD$4,0))*Aportes!$C$43:$C$50)</f>
        <v>0</v>
      </c>
      <c r="BE13" s="60" t="n">
        <f aca="false">SUMPRODUCT((Aportes!$D$43:$D$50&gt;=BE$4)*(Aportes!$D$43:$D$50&lt;=EOMONTH(BE$4,0))*Aportes!$C$43:$C$50)</f>
        <v>0</v>
      </c>
      <c r="BF13" s="60" t="n">
        <f aca="false">SUMPRODUCT((Aportes!$D$43:$D$50&gt;=BF$4)*(Aportes!$D$43:$D$50&lt;=EOMONTH(BF$4,0))*Aportes!$C$43:$C$50)</f>
        <v>0</v>
      </c>
      <c r="BG13" s="60" t="n">
        <f aca="false">SUMPRODUCT((Aportes!$D$43:$D$50&gt;=BG$4)*(Aportes!$D$43:$D$50&lt;=EOMONTH(BG$4,0))*Aportes!$C$43:$C$50)</f>
        <v>0</v>
      </c>
      <c r="BH13" s="60" t="n">
        <f aca="false">SUMPRODUCT((Aportes!$D$43:$D$50&gt;=BH$4)*(Aportes!$D$43:$D$50&lt;=EOMONTH(BH$4,0))*Aportes!$C$43:$C$50)</f>
        <v>0</v>
      </c>
      <c r="BI13" s="60" t="n">
        <f aca="false">SUMPRODUCT((Aportes!$D$43:$D$50&gt;=BI$4)*(Aportes!$D$43:$D$50&lt;=EOMONTH(BI$4,0))*Aportes!$C$43:$C$50)</f>
        <v>0</v>
      </c>
      <c r="BJ13" s="61" t="n">
        <f aca="false">SUM(B13:BI13)</f>
        <v>500000</v>
      </c>
    </row>
    <row r="14" customFormat="false" ht="15" hidden="false" customHeight="false" outlineLevel="0" collapsed="false">
      <c r="A14" s="62" t="s">
        <v>245</v>
      </c>
      <c r="B14" s="63" t="n">
        <f aca="false">SUM(B9:B13)</f>
        <v>0</v>
      </c>
      <c r="C14" s="63" t="n">
        <f aca="false">SUM(C9:C13)</f>
        <v>0</v>
      </c>
      <c r="D14" s="63" t="n">
        <f aca="false">SUM(D9:D13)</f>
        <v>0</v>
      </c>
      <c r="E14" s="63" t="n">
        <f aca="false">SUM(E9:E13)</f>
        <v>10000</v>
      </c>
      <c r="F14" s="63" t="n">
        <f aca="false">SUM(F9:F13)</f>
        <v>0</v>
      </c>
      <c r="G14" s="63" t="n">
        <f aca="false">SUM(G9:G13)</f>
        <v>0</v>
      </c>
      <c r="H14" s="63" t="n">
        <f aca="false">SUM(H9:H13)</f>
        <v>5000</v>
      </c>
      <c r="I14" s="63" t="n">
        <f aca="false">SUM(I9:I13)</f>
        <v>18000</v>
      </c>
      <c r="J14" s="63" t="n">
        <f aca="false">SUM(J9:J13)</f>
        <v>0</v>
      </c>
      <c r="K14" s="63" t="n">
        <f aca="false">SUM(K9:K13)</f>
        <v>80000</v>
      </c>
      <c r="L14" s="63" t="n">
        <f aca="false">SUM(L9:L13)</f>
        <v>40000</v>
      </c>
      <c r="M14" s="63" t="n">
        <f aca="false">SUM(M9:M13)</f>
        <v>17000</v>
      </c>
      <c r="N14" s="63" t="n">
        <f aca="false">SUM(N9:N13)</f>
        <v>0</v>
      </c>
      <c r="O14" s="63" t="n">
        <f aca="false">SUM(O9:O13)</f>
        <v>0</v>
      </c>
      <c r="P14" s="63" t="n">
        <f aca="false">SUM(P9:P13)</f>
        <v>0</v>
      </c>
      <c r="Q14" s="63" t="n">
        <f aca="false">SUM(Q9:Q13)</f>
        <v>0</v>
      </c>
      <c r="R14" s="63" t="n">
        <f aca="false">SUM(R9:R13)</f>
        <v>0</v>
      </c>
      <c r="S14" s="63" t="n">
        <f aca="false">SUM(S9:S13)</f>
        <v>15000</v>
      </c>
      <c r="T14" s="63" t="n">
        <f aca="false">SUM(T9:T13)</f>
        <v>500000</v>
      </c>
      <c r="U14" s="63" t="n">
        <f aca="false">SUM(U9:U13)</f>
        <v>0</v>
      </c>
      <c r="V14" s="63" t="n">
        <f aca="false">SUM(V9:V13)</f>
        <v>0</v>
      </c>
      <c r="W14" s="63" t="n">
        <f aca="false">SUM(W9:W13)</f>
        <v>0</v>
      </c>
      <c r="X14" s="63" t="n">
        <f aca="false">SUM(X9:X13)</f>
        <v>0</v>
      </c>
      <c r="Y14" s="63" t="n">
        <f aca="false">SUM(Y9:Y13)</f>
        <v>15000</v>
      </c>
      <c r="Z14" s="63" t="n">
        <f aca="false">SUM(Z9:Z13)</f>
        <v>0</v>
      </c>
      <c r="AA14" s="63" t="n">
        <f aca="false">SUM(AA9:AA13)</f>
        <v>0</v>
      </c>
      <c r="AB14" s="63" t="n">
        <f aca="false">SUM(AB9:AB13)</f>
        <v>0</v>
      </c>
      <c r="AC14" s="63" t="n">
        <f aca="false">SUM(AC9:AC13)</f>
        <v>0</v>
      </c>
      <c r="AD14" s="63" t="n">
        <f aca="false">SUM(AD9:AD13)</f>
        <v>0</v>
      </c>
      <c r="AE14" s="63" t="n">
        <f aca="false">SUM(AE9:AE13)</f>
        <v>0</v>
      </c>
      <c r="AF14" s="63" t="n">
        <f aca="false">SUM(AF9:AF13)</f>
        <v>0</v>
      </c>
      <c r="AG14" s="63" t="n">
        <f aca="false">SUM(AG9:AG13)</f>
        <v>0</v>
      </c>
      <c r="AH14" s="63" t="n">
        <f aca="false">SUM(AH9:AH13)</f>
        <v>0</v>
      </c>
      <c r="AI14" s="63" t="n">
        <f aca="false">SUM(AI9:AI13)</f>
        <v>0</v>
      </c>
      <c r="AJ14" s="63" t="n">
        <f aca="false">SUM(AJ9:AJ13)</f>
        <v>0</v>
      </c>
      <c r="AK14" s="63" t="n">
        <f aca="false">SUM(AK9:AK13)</f>
        <v>0</v>
      </c>
      <c r="AL14" s="63" t="n">
        <f aca="false">SUM(AL9:AL13)</f>
        <v>0</v>
      </c>
      <c r="AM14" s="63" t="n">
        <f aca="false">SUM(AM9:AM13)</f>
        <v>0</v>
      </c>
      <c r="AN14" s="63" t="n">
        <f aca="false">SUM(AN9:AN13)</f>
        <v>0</v>
      </c>
      <c r="AO14" s="63" t="n">
        <f aca="false">SUM(AO9:AO13)</f>
        <v>0</v>
      </c>
      <c r="AP14" s="63" t="n">
        <f aca="false">SUM(AP9:AP13)</f>
        <v>0</v>
      </c>
      <c r="AQ14" s="63" t="n">
        <f aca="false">SUM(AQ9:AQ13)</f>
        <v>0</v>
      </c>
      <c r="AR14" s="63" t="n">
        <f aca="false">SUM(AR9:AR13)</f>
        <v>0</v>
      </c>
      <c r="AS14" s="63" t="n">
        <f aca="false">SUM(AS9:AS13)</f>
        <v>0</v>
      </c>
      <c r="AT14" s="63" t="n">
        <f aca="false">SUM(AT9:AT13)</f>
        <v>0</v>
      </c>
      <c r="AU14" s="63" t="n">
        <f aca="false">SUM(AU9:AU13)</f>
        <v>0</v>
      </c>
      <c r="AV14" s="63" t="n">
        <f aca="false">SUM(AV9:AV13)</f>
        <v>0</v>
      </c>
      <c r="AW14" s="63" t="n">
        <f aca="false">SUM(AW9:AW13)</f>
        <v>0</v>
      </c>
      <c r="AX14" s="63" t="n">
        <f aca="false">SUM(AX9:AX13)</f>
        <v>0</v>
      </c>
      <c r="AY14" s="63" t="n">
        <f aca="false">SUM(AY9:AY13)</f>
        <v>0</v>
      </c>
      <c r="AZ14" s="63" t="n">
        <f aca="false">SUM(AZ9:AZ13)</f>
        <v>0</v>
      </c>
      <c r="BA14" s="63" t="n">
        <f aca="false">SUM(BA9:BA13)</f>
        <v>0</v>
      </c>
      <c r="BB14" s="63" t="n">
        <f aca="false">SUM(BB9:BB13)</f>
        <v>0</v>
      </c>
      <c r="BC14" s="63" t="n">
        <f aca="false">SUM(BC9:BC13)</f>
        <v>0</v>
      </c>
      <c r="BD14" s="63" t="n">
        <f aca="false">SUM(BD9:BD13)</f>
        <v>0</v>
      </c>
      <c r="BE14" s="63" t="n">
        <f aca="false">SUM(BE9:BE13)</f>
        <v>0</v>
      </c>
      <c r="BF14" s="63" t="n">
        <f aca="false">SUM(BF9:BF13)</f>
        <v>0</v>
      </c>
      <c r="BG14" s="63" t="n">
        <f aca="false">SUM(BG9:BG13)</f>
        <v>0</v>
      </c>
      <c r="BH14" s="63" t="n">
        <f aca="false">SUM(BH9:BH13)</f>
        <v>0</v>
      </c>
      <c r="BI14" s="63" t="n">
        <f aca="false">SUM(BI9:BI13)</f>
        <v>0</v>
      </c>
      <c r="BJ14" s="61" t="n">
        <f aca="false">SUM(B14:BI14)</f>
        <v>700000</v>
      </c>
    </row>
    <row r="15" customFormat="false" ht="15" hidden="false" customHeight="false" outlineLevel="0" collapsed="false">
      <c r="A15" s="64" t="s">
        <v>246</v>
      </c>
      <c r="B15" s="65" t="n">
        <f aca="false">Aportes!B98</f>
        <v>0</v>
      </c>
      <c r="C15" s="65" t="n">
        <f aca="false">Aportes!C98</f>
        <v>0</v>
      </c>
      <c r="D15" s="65" t="n">
        <f aca="false">Aportes!D98</f>
        <v>0</v>
      </c>
      <c r="E15" s="65" t="n">
        <f aca="false">Aportes!E98</f>
        <v>10000</v>
      </c>
      <c r="F15" s="65" t="n">
        <f aca="false">Aportes!F98</f>
        <v>0</v>
      </c>
      <c r="G15" s="65" t="n">
        <f aca="false">Aportes!G98</f>
        <v>0</v>
      </c>
      <c r="H15" s="65" t="n">
        <f aca="false">Aportes!H98</f>
        <v>5000</v>
      </c>
      <c r="I15" s="65" t="n">
        <f aca="false">Aportes!I98</f>
        <v>18000</v>
      </c>
      <c r="J15" s="65" t="n">
        <f aca="false">Aportes!J98</f>
        <v>0</v>
      </c>
      <c r="K15" s="65" t="n">
        <f aca="false">Aportes!K98</f>
        <v>80000</v>
      </c>
      <c r="L15" s="65" t="n">
        <f aca="false">Aportes!L98</f>
        <v>40000</v>
      </c>
      <c r="M15" s="65" t="n">
        <f aca="false">Aportes!M98</f>
        <v>17000</v>
      </c>
      <c r="N15" s="65" t="n">
        <f aca="false">Aportes!N98</f>
        <v>0</v>
      </c>
      <c r="O15" s="65" t="n">
        <f aca="false">Aportes!O98</f>
        <v>0</v>
      </c>
      <c r="P15" s="65" t="n">
        <f aca="false">Aportes!P98</f>
        <v>0</v>
      </c>
      <c r="Q15" s="65" t="n">
        <f aca="false">Aportes!Q98</f>
        <v>0</v>
      </c>
      <c r="R15" s="65" t="n">
        <f aca="false">Aportes!R98</f>
        <v>0</v>
      </c>
      <c r="S15" s="65" t="n">
        <f aca="false">Aportes!S98</f>
        <v>15000</v>
      </c>
      <c r="T15" s="65" t="n">
        <f aca="false">Aportes!T98</f>
        <v>0</v>
      </c>
      <c r="U15" s="65" t="n">
        <f aca="false">Aportes!U98</f>
        <v>0</v>
      </c>
      <c r="V15" s="65" t="n">
        <f aca="false">Aportes!V98</f>
        <v>0</v>
      </c>
      <c r="W15" s="65" t="n">
        <f aca="false">Aportes!W98</f>
        <v>0</v>
      </c>
      <c r="X15" s="65" t="n">
        <f aca="false">Aportes!X98</f>
        <v>0</v>
      </c>
      <c r="Y15" s="65" t="n">
        <f aca="false">Aportes!Y98</f>
        <v>15000</v>
      </c>
      <c r="Z15" s="65" t="n">
        <f aca="false">Aportes!Z98</f>
        <v>0</v>
      </c>
      <c r="AA15" s="65" t="n">
        <f aca="false">Aportes!AA98</f>
        <v>0</v>
      </c>
      <c r="AB15" s="65" t="n">
        <f aca="false">Aportes!AB98</f>
        <v>0</v>
      </c>
      <c r="AC15" s="65" t="n">
        <f aca="false">Aportes!AC98</f>
        <v>0</v>
      </c>
      <c r="AD15" s="65" t="n">
        <f aca="false">Aportes!AD98</f>
        <v>0</v>
      </c>
      <c r="AE15" s="65" t="n">
        <f aca="false">Aportes!AE98</f>
        <v>0</v>
      </c>
      <c r="AF15" s="65" t="n">
        <f aca="false">Aportes!AF98</f>
        <v>0</v>
      </c>
      <c r="AG15" s="65" t="n">
        <f aca="false">Aportes!AG98</f>
        <v>0</v>
      </c>
      <c r="AH15" s="65" t="n">
        <f aca="false">Aportes!AH98</f>
        <v>0</v>
      </c>
      <c r="AI15" s="65" t="n">
        <f aca="false">Aportes!AI98</f>
        <v>0</v>
      </c>
      <c r="AJ15" s="65" t="n">
        <f aca="false">Aportes!AJ98</f>
        <v>0</v>
      </c>
      <c r="AK15" s="65" t="n">
        <f aca="false">Aportes!AK98</f>
        <v>0</v>
      </c>
      <c r="AL15" s="65" t="n">
        <f aca="false">Aportes!AL98</f>
        <v>0</v>
      </c>
      <c r="AM15" s="65" t="n">
        <f aca="false">Aportes!AM98</f>
        <v>0</v>
      </c>
      <c r="AN15" s="65" t="n">
        <f aca="false">Aportes!AN98</f>
        <v>0</v>
      </c>
      <c r="AO15" s="65" t="n">
        <f aca="false">Aportes!AO98</f>
        <v>0</v>
      </c>
      <c r="AP15" s="65" t="n">
        <f aca="false">Aportes!AP98</f>
        <v>0</v>
      </c>
      <c r="AQ15" s="65" t="n">
        <f aca="false">Aportes!AQ98</f>
        <v>0</v>
      </c>
      <c r="AR15" s="65" t="n">
        <f aca="false">Aportes!AR98</f>
        <v>0</v>
      </c>
      <c r="AS15" s="65" t="n">
        <f aca="false">Aportes!AS98</f>
        <v>0</v>
      </c>
      <c r="AT15" s="65" t="n">
        <f aca="false">Aportes!AT98</f>
        <v>0</v>
      </c>
      <c r="AU15" s="65" t="n">
        <f aca="false">Aportes!AU98</f>
        <v>0</v>
      </c>
      <c r="AV15" s="65" t="n">
        <f aca="false">Aportes!AV98</f>
        <v>0</v>
      </c>
      <c r="AW15" s="65" t="n">
        <f aca="false">Aportes!AW98</f>
        <v>0</v>
      </c>
      <c r="AX15" s="65" t="n">
        <f aca="false">Aportes!AX98</f>
        <v>0</v>
      </c>
      <c r="AY15" s="65" t="n">
        <f aca="false">Aportes!AY98</f>
        <v>0</v>
      </c>
      <c r="AZ15" s="65" t="n">
        <f aca="false">Aportes!AZ98</f>
        <v>0</v>
      </c>
      <c r="BA15" s="65" t="n">
        <f aca="false">Aportes!BA98</f>
        <v>0</v>
      </c>
      <c r="BB15" s="65" t="n">
        <f aca="false">Aportes!BB98</f>
        <v>0</v>
      </c>
      <c r="BC15" s="65" t="n">
        <f aca="false">Aportes!BC98</f>
        <v>0</v>
      </c>
      <c r="BD15" s="65" t="n">
        <f aca="false">Aportes!BD98</f>
        <v>0</v>
      </c>
      <c r="BE15" s="65" t="n">
        <f aca="false">Aportes!BE98</f>
        <v>0</v>
      </c>
      <c r="BF15" s="65" t="n">
        <f aca="false">Aportes!BF98</f>
        <v>0</v>
      </c>
      <c r="BG15" s="65" t="n">
        <f aca="false">Aportes!BG98</f>
        <v>0</v>
      </c>
      <c r="BH15" s="65" t="n">
        <f aca="false">Aportes!BH98</f>
        <v>0</v>
      </c>
      <c r="BI15" s="65" t="n">
        <f aca="false">Aportes!BI98</f>
        <v>0</v>
      </c>
      <c r="BJ15" s="61" t="n">
        <f aca="false">SUM(B15:BI15)</f>
        <v>200000</v>
      </c>
      <c r="BK15" s="29" t="s">
        <v>247</v>
      </c>
    </row>
    <row r="16" customFormat="false" ht="15" hidden="false" customHeight="false" outlineLevel="0" collapsed="false">
      <c r="A16" s="66" t="s">
        <v>248</v>
      </c>
      <c r="B16" s="67" t="n">
        <f aca="false">Aportes!B99</f>
        <v>0</v>
      </c>
      <c r="C16" s="67" t="n">
        <f aca="false">Aportes!C99</f>
        <v>0</v>
      </c>
      <c r="D16" s="67" t="n">
        <f aca="false">Aportes!D99</f>
        <v>0</v>
      </c>
      <c r="E16" s="67" t="n">
        <f aca="false">Aportes!E99</f>
        <v>10000</v>
      </c>
      <c r="F16" s="67" t="n">
        <f aca="false">Aportes!F99</f>
        <v>10000</v>
      </c>
      <c r="G16" s="67" t="n">
        <f aca="false">Aportes!G99</f>
        <v>10000</v>
      </c>
      <c r="H16" s="67" t="n">
        <f aca="false">Aportes!H99</f>
        <v>15000</v>
      </c>
      <c r="I16" s="67" t="n">
        <f aca="false">Aportes!I99</f>
        <v>33000</v>
      </c>
      <c r="J16" s="67" t="n">
        <f aca="false">Aportes!J99</f>
        <v>33000</v>
      </c>
      <c r="K16" s="67" t="n">
        <f aca="false">Aportes!K99</f>
        <v>113000</v>
      </c>
      <c r="L16" s="67" t="n">
        <f aca="false">Aportes!L99</f>
        <v>153000</v>
      </c>
      <c r="M16" s="67" t="n">
        <f aca="false">Aportes!M99</f>
        <v>170000</v>
      </c>
      <c r="N16" s="67" t="n">
        <f aca="false">Aportes!N99</f>
        <v>170000</v>
      </c>
      <c r="O16" s="67" t="n">
        <f aca="false">Aportes!O99</f>
        <v>170000</v>
      </c>
      <c r="P16" s="67" t="n">
        <f aca="false">Aportes!P99</f>
        <v>170000</v>
      </c>
      <c r="Q16" s="67" t="n">
        <f aca="false">Aportes!Q99</f>
        <v>170000</v>
      </c>
      <c r="R16" s="67" t="n">
        <f aca="false">Aportes!R99</f>
        <v>170000</v>
      </c>
      <c r="S16" s="67" t="n">
        <f aca="false">Aportes!S99</f>
        <v>185000</v>
      </c>
      <c r="T16" s="67" t="n">
        <f aca="false">Aportes!T99</f>
        <v>185000</v>
      </c>
      <c r="U16" s="67" t="n">
        <f aca="false">Aportes!U99</f>
        <v>185000</v>
      </c>
      <c r="V16" s="67" t="n">
        <f aca="false">Aportes!V99</f>
        <v>185000</v>
      </c>
      <c r="W16" s="67" t="n">
        <f aca="false">Aportes!W99</f>
        <v>185000</v>
      </c>
      <c r="X16" s="67" t="n">
        <f aca="false">Aportes!X99</f>
        <v>185000</v>
      </c>
      <c r="Y16" s="67" t="n">
        <f aca="false">Aportes!Y99</f>
        <v>200000</v>
      </c>
      <c r="Z16" s="67" t="n">
        <f aca="false">Aportes!Z99</f>
        <v>200000</v>
      </c>
      <c r="AA16" s="67" t="n">
        <f aca="false">Aportes!AA99</f>
        <v>200000</v>
      </c>
      <c r="AB16" s="67" t="n">
        <f aca="false">Aportes!AB99</f>
        <v>200000</v>
      </c>
      <c r="AC16" s="67" t="n">
        <f aca="false">Aportes!AC99</f>
        <v>200000</v>
      </c>
      <c r="AD16" s="67" t="n">
        <f aca="false">Aportes!AD99</f>
        <v>200000</v>
      </c>
      <c r="AE16" s="67" t="n">
        <f aca="false">Aportes!AE99</f>
        <v>200000</v>
      </c>
      <c r="AF16" s="67" t="n">
        <f aca="false">Aportes!AF99</f>
        <v>200000</v>
      </c>
      <c r="AG16" s="67" t="n">
        <f aca="false">Aportes!AG99</f>
        <v>200000</v>
      </c>
      <c r="AH16" s="67" t="n">
        <f aca="false">Aportes!AH99</f>
        <v>200000</v>
      </c>
      <c r="AI16" s="67" t="n">
        <f aca="false">Aportes!AI99</f>
        <v>200000</v>
      </c>
      <c r="AJ16" s="67" t="n">
        <f aca="false">Aportes!AJ99</f>
        <v>200000</v>
      </c>
      <c r="AK16" s="67" t="n">
        <f aca="false">Aportes!AK99</f>
        <v>200000</v>
      </c>
      <c r="AL16" s="67" t="n">
        <f aca="false">Aportes!AL99</f>
        <v>200000</v>
      </c>
      <c r="AM16" s="67" t="n">
        <f aca="false">Aportes!AM99</f>
        <v>200000</v>
      </c>
      <c r="AN16" s="67" t="n">
        <f aca="false">Aportes!AN99</f>
        <v>200000</v>
      </c>
      <c r="AO16" s="67" t="n">
        <f aca="false">Aportes!AO99</f>
        <v>200000</v>
      </c>
      <c r="AP16" s="67" t="n">
        <f aca="false">Aportes!AP99</f>
        <v>200000</v>
      </c>
      <c r="AQ16" s="67" t="n">
        <f aca="false">Aportes!AQ99</f>
        <v>200000</v>
      </c>
      <c r="AR16" s="67" t="n">
        <f aca="false">Aportes!AR99</f>
        <v>200000</v>
      </c>
      <c r="AS16" s="67" t="n">
        <f aca="false">Aportes!AS99</f>
        <v>200000</v>
      </c>
      <c r="AT16" s="67" t="n">
        <f aca="false">Aportes!AT99</f>
        <v>200000</v>
      </c>
      <c r="AU16" s="67" t="n">
        <f aca="false">Aportes!AU99</f>
        <v>200000</v>
      </c>
      <c r="AV16" s="67" t="n">
        <f aca="false">Aportes!AV99</f>
        <v>200000</v>
      </c>
      <c r="AW16" s="67" t="n">
        <f aca="false">Aportes!AW99</f>
        <v>200000</v>
      </c>
      <c r="AX16" s="67" t="n">
        <f aca="false">Aportes!AX99</f>
        <v>200000</v>
      </c>
      <c r="AY16" s="67" t="n">
        <f aca="false">Aportes!AY99</f>
        <v>200000</v>
      </c>
      <c r="AZ16" s="67" t="n">
        <f aca="false">Aportes!AZ99</f>
        <v>200000</v>
      </c>
      <c r="BA16" s="67" t="n">
        <f aca="false">Aportes!BA99</f>
        <v>200000</v>
      </c>
      <c r="BB16" s="67" t="n">
        <f aca="false">Aportes!BB99</f>
        <v>200000</v>
      </c>
      <c r="BC16" s="67" t="n">
        <f aca="false">Aportes!BC99</f>
        <v>200000</v>
      </c>
      <c r="BD16" s="67" t="n">
        <f aca="false">Aportes!BD99</f>
        <v>200000</v>
      </c>
      <c r="BE16" s="67" t="n">
        <f aca="false">Aportes!BE99</f>
        <v>200000</v>
      </c>
      <c r="BF16" s="67" t="n">
        <f aca="false">Aportes!BF99</f>
        <v>200000</v>
      </c>
      <c r="BG16" s="67" t="n">
        <f aca="false">Aportes!BG99</f>
        <v>200000</v>
      </c>
      <c r="BH16" s="67" t="n">
        <f aca="false">Aportes!BH99</f>
        <v>200000</v>
      </c>
      <c r="BI16" s="67" t="n">
        <f aca="false">Aportes!BI99</f>
        <v>200000</v>
      </c>
    </row>
    <row r="19" customFormat="false" ht="19.5" hidden="false" customHeight="true" outlineLevel="0" collapsed="false">
      <c r="A19" s="68" t="s">
        <v>249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</row>
    <row r="20" customFormat="false" ht="15" hidden="false" customHeight="false" outlineLevel="0" collapsed="false">
      <c r="A20" s="66" t="s">
        <v>250</v>
      </c>
      <c r="B20" s="67" t="n">
        <f aca="false">Cenários!B42</f>
        <v>0</v>
      </c>
      <c r="C20" s="67" t="n">
        <f aca="false">Cenários!C42</f>
        <v>0</v>
      </c>
      <c r="D20" s="67" t="n">
        <f aca="false">Cenários!D42</f>
        <v>0</v>
      </c>
      <c r="E20" s="67" t="n">
        <f aca="false">Cenários!E42</f>
        <v>-1500</v>
      </c>
      <c r="F20" s="67" t="n">
        <f aca="false">Cenários!F42</f>
        <v>-8100</v>
      </c>
      <c r="G20" s="67" t="n">
        <f aca="false">Cenários!G42</f>
        <v>-2100</v>
      </c>
      <c r="H20" s="67" t="n">
        <f aca="false">Cenários!H42</f>
        <v>-2100</v>
      </c>
      <c r="I20" s="67" t="n">
        <f aca="false">Cenários!I42</f>
        <v>-11227.82</v>
      </c>
      <c r="J20" s="67" t="n">
        <f aca="false">Cenários!J42</f>
        <v>-12600</v>
      </c>
      <c r="K20" s="67" t="n">
        <f aca="false">Cenários!K42</f>
        <v>-70560.24805</v>
      </c>
      <c r="L20" s="67" t="n">
        <f aca="false">Cenários!L42</f>
        <v>-33384.01145</v>
      </c>
      <c r="M20" s="67" t="n">
        <f aca="false">Cenários!M42</f>
        <v>-30666.171075</v>
      </c>
      <c r="N20" s="67" t="n">
        <f aca="false">Cenários!N42</f>
        <v>-101950.7056932</v>
      </c>
      <c r="O20" s="67" t="n">
        <f aca="false">Cenários!O42</f>
        <v>-94729.8616713888</v>
      </c>
      <c r="P20" s="67" t="n">
        <f aca="false">Cenários!P42</f>
        <v>-98396.6278780075</v>
      </c>
      <c r="Q20" s="67" t="n">
        <f aca="false">Cenários!Q42</f>
        <v>-74578.7389671587</v>
      </c>
      <c r="R20" s="67" t="n">
        <f aca="false">Cenários!R42</f>
        <v>-69973.7986713035</v>
      </c>
      <c r="S20" s="67" t="n">
        <f aca="false">Cenários!S42</f>
        <v>-72341.9373804025</v>
      </c>
      <c r="T20" s="67" t="n">
        <f aca="false">Cenários!T42</f>
        <v>-87981.2448762961</v>
      </c>
      <c r="U20" s="67" t="n">
        <f aca="false">Cenários!U42</f>
        <v>-60035.1163465257</v>
      </c>
      <c r="V20" s="67" t="n">
        <f aca="false">Cenários!V42</f>
        <v>-57444.9561012669</v>
      </c>
      <c r="W20" s="67" t="n">
        <f aca="false">Cenários!W42</f>
        <v>-45626.0851354744</v>
      </c>
      <c r="X20" s="67" t="n">
        <f aca="false">Cenários!X42</f>
        <v>-43169.480472945</v>
      </c>
      <c r="Y20" s="67" t="n">
        <f aca="false">Cenários!Y42</f>
        <v>-41013.9862831956</v>
      </c>
      <c r="Z20" s="67" t="n">
        <f aca="false">Cenários!Z42</f>
        <v>-186453.627171172</v>
      </c>
      <c r="AA20" s="67" t="n">
        <f aca="false">Cenários!AA42</f>
        <v>-179647.297770951</v>
      </c>
      <c r="AB20" s="67" t="n">
        <f aca="false">Cenários!AB42</f>
        <v>-173435.277725376</v>
      </c>
      <c r="AC20" s="67" t="n">
        <f aca="false">Cenários!AC42</f>
        <v>-167763.346454359</v>
      </c>
      <c r="AD20" s="67" t="n">
        <f aca="false">Cenários!AD42</f>
        <v>-162661.461116305</v>
      </c>
      <c r="AE20" s="67" t="n">
        <f aca="false">Cenários!AE42</f>
        <v>-173001.677562864</v>
      </c>
      <c r="AF20" s="67" t="n">
        <f aca="false">Cenários!AF42</f>
        <v>-153773.878783304</v>
      </c>
      <c r="AG20" s="67" t="n">
        <f aca="false">Cenários!AG42</f>
        <v>-150076.005535467</v>
      </c>
      <c r="AH20" s="67" t="n">
        <f aca="false">Cenários!AH42</f>
        <v>-146987.130404721</v>
      </c>
      <c r="AI20" s="67" t="n">
        <f aca="false">Cenários!AI42</f>
        <v>-144171.247482019</v>
      </c>
      <c r="AJ20" s="67" t="n">
        <f aca="false">Cenários!AJ42</f>
        <v>-141576.410938751</v>
      </c>
      <c r="AK20" s="67" t="n">
        <f aca="false">Cenários!AK42</f>
        <v>-139222.803549085</v>
      </c>
      <c r="AL20" s="67" t="n">
        <f aca="false">Cenários!AL42</f>
        <v>-395146.998765687</v>
      </c>
      <c r="AM20" s="67" t="n">
        <f aca="false">Cenários!AM42</f>
        <v>-384876.785848137</v>
      </c>
      <c r="AN20" s="67" t="n">
        <f aca="false">Cenários!AN42</f>
        <v>-375574.034745067</v>
      </c>
      <c r="AO20" s="67" t="n">
        <f aca="false">Cenários!AO42</f>
        <v>-315540.96621936</v>
      </c>
      <c r="AP20" s="67" t="n">
        <f aca="false">Cenários!AP42</f>
        <v>-308324.919687276</v>
      </c>
      <c r="AQ20" s="67" t="n">
        <f aca="false">Cenários!AQ42</f>
        <v>-326702.772394756</v>
      </c>
      <c r="AR20" s="67" t="n">
        <f aca="false">Cenários!AR42</f>
        <v>-269868.413959462</v>
      </c>
      <c r="AS20" s="67" t="n">
        <f aca="false">Cenários!AS42</f>
        <v>-267758.194373047</v>
      </c>
      <c r="AT20" s="67" t="n">
        <f aca="false">Cenários!AT42</f>
        <v>-265950.254155656</v>
      </c>
      <c r="AU20" s="67" t="n">
        <f aca="false">Cenários!AU42</f>
        <v>-264368.995819022</v>
      </c>
      <c r="AV20" s="67" t="n">
        <f aca="false">Cenários!AV42</f>
        <v>-262940.733911178</v>
      </c>
      <c r="AW20" s="67" t="n">
        <f aca="false">Cenários!AW42</f>
        <v>-245794.764729917</v>
      </c>
      <c r="AX20" s="67" t="n">
        <f aca="false">Cenários!AX42</f>
        <v>-529919.297871865</v>
      </c>
      <c r="AY20" s="67" t="n">
        <f aca="false">Cenários!AY42</f>
        <v>-511125.753247605</v>
      </c>
      <c r="AZ20" s="67" t="n">
        <f aca="false">Cenários!AZ42</f>
        <v>-493964.337179266</v>
      </c>
      <c r="BA20" s="67" t="n">
        <f aca="false">Cenários!BA42</f>
        <v>-478241.951753745</v>
      </c>
      <c r="BB20" s="67" t="n">
        <f aca="false">Cenários!BB42</f>
        <v>-463901.222975941</v>
      </c>
      <c r="BC20" s="67" t="n">
        <f aca="false">Cenários!BC42</f>
        <v>-480730.272416847</v>
      </c>
      <c r="BD20" s="67" t="n">
        <f aca="false">Cenários!BD42</f>
        <v>-438707.703500068</v>
      </c>
      <c r="BE20" s="67" t="n">
        <f aca="false">Cenários!BE42</f>
        <v>-427675.889491079</v>
      </c>
      <c r="BF20" s="67" t="n">
        <f aca="false">Cenários!BF42</f>
        <v>-417595.295434807</v>
      </c>
      <c r="BG20" s="67" t="n">
        <f aca="false">Cenários!BG42</f>
        <v>-408394.105759594</v>
      </c>
      <c r="BH20" s="67" t="n">
        <f aca="false">Cenários!BH42</f>
        <v>-399931.359979017</v>
      </c>
      <c r="BI20" s="67" t="n">
        <f aca="false">Cenários!BI42</f>
        <v>-392239.045839202</v>
      </c>
      <c r="BJ20" s="61" t="n">
        <f aca="false">SUM(B20:BI20)</f>
        <v>-12063525.0246041</v>
      </c>
      <c r="BK20" s="29" t="s">
        <v>251</v>
      </c>
    </row>
    <row r="21" customFormat="false" ht="15" hidden="false" customHeight="false" outlineLevel="0" collapsed="false">
      <c r="A21" s="27" t="s">
        <v>252</v>
      </c>
      <c r="B21" s="60" t="n">
        <f aca="false">IF(B20&lt;0,-B20,0)</f>
        <v>0</v>
      </c>
      <c r="C21" s="60" t="n">
        <f aca="false">IF(C20&lt;0,-C20,0)</f>
        <v>0</v>
      </c>
      <c r="D21" s="60" t="n">
        <f aca="false">IF(D20&lt;0,-D20,0)</f>
        <v>0</v>
      </c>
      <c r="E21" s="60" t="n">
        <f aca="false">IF(E20&lt;0,-E20,0)</f>
        <v>1500</v>
      </c>
      <c r="F21" s="60" t="n">
        <f aca="false">IF(F20&lt;0,-F20,0)</f>
        <v>8100</v>
      </c>
      <c r="G21" s="60" t="n">
        <f aca="false">IF(G20&lt;0,-G20,0)</f>
        <v>2100</v>
      </c>
      <c r="H21" s="60" t="n">
        <f aca="false">IF(H20&lt;0,-H20,0)</f>
        <v>2100</v>
      </c>
      <c r="I21" s="60" t="n">
        <f aca="false">IF(I20&lt;0,-I20,0)</f>
        <v>11227.82</v>
      </c>
      <c r="J21" s="60" t="n">
        <f aca="false">IF(J20&lt;0,-J20,0)</f>
        <v>12600</v>
      </c>
      <c r="K21" s="60" t="n">
        <f aca="false">IF(K20&lt;0,-K20,0)</f>
        <v>70560.24805</v>
      </c>
      <c r="L21" s="60" t="n">
        <f aca="false">IF(L20&lt;0,-L20,0)</f>
        <v>33384.01145</v>
      </c>
      <c r="M21" s="60" t="n">
        <f aca="false">IF(M20&lt;0,-M20,0)</f>
        <v>30666.171075</v>
      </c>
      <c r="N21" s="60" t="n">
        <f aca="false">IF(N20&lt;0,-N20,0)</f>
        <v>101950.7056932</v>
      </c>
      <c r="O21" s="60" t="n">
        <f aca="false">IF(O20&lt;0,-O20,0)</f>
        <v>94729.8616713888</v>
      </c>
      <c r="P21" s="60" t="n">
        <f aca="false">IF(P20&lt;0,-P20,0)</f>
        <v>98396.6278780075</v>
      </c>
      <c r="Q21" s="60" t="n">
        <f aca="false">IF(Q20&lt;0,-Q20,0)</f>
        <v>74578.7389671587</v>
      </c>
      <c r="R21" s="60" t="n">
        <f aca="false">IF(R20&lt;0,-R20,0)</f>
        <v>69973.7986713035</v>
      </c>
      <c r="S21" s="60" t="n">
        <f aca="false">IF(S20&lt;0,-S20,0)</f>
        <v>72341.9373804025</v>
      </c>
      <c r="T21" s="60" t="n">
        <f aca="false">IF(T20&lt;0,-T20,0)</f>
        <v>87981.2448762961</v>
      </c>
      <c r="U21" s="60" t="n">
        <f aca="false">IF(U20&lt;0,-U20,0)</f>
        <v>60035.1163465257</v>
      </c>
      <c r="V21" s="60" t="n">
        <f aca="false">IF(V20&lt;0,-V20,0)</f>
        <v>57444.9561012669</v>
      </c>
      <c r="W21" s="60" t="n">
        <f aca="false">IF(W20&lt;0,-W20,0)</f>
        <v>45626.0851354744</v>
      </c>
      <c r="X21" s="60" t="n">
        <f aca="false">IF(X20&lt;0,-X20,0)</f>
        <v>43169.480472945</v>
      </c>
      <c r="Y21" s="60" t="n">
        <f aca="false">IF(Y20&lt;0,-Y20,0)</f>
        <v>41013.9862831956</v>
      </c>
      <c r="Z21" s="60" t="n">
        <f aca="false">IF(Z20&lt;0,-Z20,0)</f>
        <v>186453.627171172</v>
      </c>
      <c r="AA21" s="60" t="n">
        <f aca="false">IF(AA20&lt;0,-AA20,0)</f>
        <v>179647.297770951</v>
      </c>
      <c r="AB21" s="60" t="n">
        <f aca="false">IF(AB20&lt;0,-AB20,0)</f>
        <v>173435.277725376</v>
      </c>
      <c r="AC21" s="60" t="n">
        <f aca="false">IF(AC20&lt;0,-AC20,0)</f>
        <v>167763.346454359</v>
      </c>
      <c r="AD21" s="60" t="n">
        <f aca="false">IF(AD20&lt;0,-AD20,0)</f>
        <v>162661.461116305</v>
      </c>
      <c r="AE21" s="60" t="n">
        <f aca="false">IF(AE20&lt;0,-AE20,0)</f>
        <v>173001.677562864</v>
      </c>
      <c r="AF21" s="60" t="n">
        <f aca="false">IF(AF20&lt;0,-AF20,0)</f>
        <v>153773.878783304</v>
      </c>
      <c r="AG21" s="60" t="n">
        <f aca="false">IF(AG20&lt;0,-AG20,0)</f>
        <v>150076.005535467</v>
      </c>
      <c r="AH21" s="60" t="n">
        <f aca="false">IF(AH20&lt;0,-AH20,0)</f>
        <v>146987.130404721</v>
      </c>
      <c r="AI21" s="60" t="n">
        <f aca="false">IF(AI20&lt;0,-AI20,0)</f>
        <v>144171.247482019</v>
      </c>
      <c r="AJ21" s="60" t="n">
        <f aca="false">IF(AJ20&lt;0,-AJ20,0)</f>
        <v>141576.410938751</v>
      </c>
      <c r="AK21" s="60" t="n">
        <f aca="false">IF(AK20&lt;0,-AK20,0)</f>
        <v>139222.803549085</v>
      </c>
      <c r="AL21" s="60" t="n">
        <f aca="false">IF(AL20&lt;0,-AL20,0)</f>
        <v>395146.998765687</v>
      </c>
      <c r="AM21" s="60" t="n">
        <f aca="false">IF(AM20&lt;0,-AM20,0)</f>
        <v>384876.785848137</v>
      </c>
      <c r="AN21" s="60" t="n">
        <f aca="false">IF(AN20&lt;0,-AN20,0)</f>
        <v>375574.034745067</v>
      </c>
      <c r="AO21" s="60" t="n">
        <f aca="false">IF(AO20&lt;0,-AO20,0)</f>
        <v>315540.96621936</v>
      </c>
      <c r="AP21" s="60" t="n">
        <f aca="false">IF(AP20&lt;0,-AP20,0)</f>
        <v>308324.919687276</v>
      </c>
      <c r="AQ21" s="60" t="n">
        <f aca="false">IF(AQ20&lt;0,-AQ20,0)</f>
        <v>326702.772394756</v>
      </c>
      <c r="AR21" s="60" t="n">
        <f aca="false">IF(AR20&lt;0,-AR20,0)</f>
        <v>269868.413959462</v>
      </c>
      <c r="AS21" s="60" t="n">
        <f aca="false">IF(AS20&lt;0,-AS20,0)</f>
        <v>267758.194373047</v>
      </c>
      <c r="AT21" s="60" t="n">
        <f aca="false">IF(AT20&lt;0,-AT20,0)</f>
        <v>265950.254155656</v>
      </c>
      <c r="AU21" s="60" t="n">
        <f aca="false">IF(AU20&lt;0,-AU20,0)</f>
        <v>264368.995819022</v>
      </c>
      <c r="AV21" s="60" t="n">
        <f aca="false">IF(AV20&lt;0,-AV20,0)</f>
        <v>262940.733911178</v>
      </c>
      <c r="AW21" s="60" t="n">
        <f aca="false">IF(AW20&lt;0,-AW20,0)</f>
        <v>245794.764729917</v>
      </c>
      <c r="AX21" s="60" t="n">
        <f aca="false">IF(AX20&lt;0,-AX20,0)</f>
        <v>529919.297871865</v>
      </c>
      <c r="AY21" s="60" t="n">
        <f aca="false">IF(AY20&lt;0,-AY20,0)</f>
        <v>511125.753247605</v>
      </c>
      <c r="AZ21" s="60" t="n">
        <f aca="false">IF(AZ20&lt;0,-AZ20,0)</f>
        <v>493964.337179266</v>
      </c>
      <c r="BA21" s="60" t="n">
        <f aca="false">IF(BA20&lt;0,-BA20,0)</f>
        <v>478241.951753745</v>
      </c>
      <c r="BB21" s="60" t="n">
        <f aca="false">IF(BB20&lt;0,-BB20,0)</f>
        <v>463901.222975941</v>
      </c>
      <c r="BC21" s="60" t="n">
        <f aca="false">IF(BC20&lt;0,-BC20,0)</f>
        <v>480730.272416847</v>
      </c>
      <c r="BD21" s="60" t="n">
        <f aca="false">IF(BD20&lt;0,-BD20,0)</f>
        <v>438707.703500068</v>
      </c>
      <c r="BE21" s="60" t="n">
        <f aca="false">IF(BE20&lt;0,-BE20,0)</f>
        <v>427675.889491079</v>
      </c>
      <c r="BF21" s="60" t="n">
        <f aca="false">IF(BF20&lt;0,-BF20,0)</f>
        <v>417595.295434807</v>
      </c>
      <c r="BG21" s="60" t="n">
        <f aca="false">IF(BG20&lt;0,-BG20,0)</f>
        <v>408394.105759594</v>
      </c>
      <c r="BH21" s="60" t="n">
        <f aca="false">IF(BH20&lt;0,-BH20,0)</f>
        <v>399931.359979017</v>
      </c>
      <c r="BI21" s="60" t="n">
        <f aca="false">IF(BI20&lt;0,-BI20,0)</f>
        <v>392239.045839202</v>
      </c>
      <c r="BJ21" s="61" t="n">
        <f aca="false">SUM(B21:BI21)</f>
        <v>12063525.0246041</v>
      </c>
    </row>
    <row r="22" customFormat="false" ht="15" hidden="false" customHeight="false" outlineLevel="0" collapsed="false">
      <c r="A22" s="27" t="s">
        <v>253</v>
      </c>
      <c r="B22" s="60" t="n">
        <f aca="false">B21</f>
        <v>0</v>
      </c>
      <c r="C22" s="60" t="n">
        <f aca="false">B22+C21</f>
        <v>0</v>
      </c>
      <c r="D22" s="60" t="n">
        <f aca="false">C22+D21</f>
        <v>0</v>
      </c>
      <c r="E22" s="60" t="n">
        <f aca="false">D22+E21</f>
        <v>1500</v>
      </c>
      <c r="F22" s="60" t="n">
        <f aca="false">E22+F21</f>
        <v>9600</v>
      </c>
      <c r="G22" s="60" t="n">
        <f aca="false">F22+G21</f>
        <v>11700</v>
      </c>
      <c r="H22" s="60" t="n">
        <f aca="false">G22+H21</f>
        <v>13800</v>
      </c>
      <c r="I22" s="60" t="n">
        <f aca="false">H22+I21</f>
        <v>25027.82</v>
      </c>
      <c r="J22" s="60" t="n">
        <f aca="false">I22+J21</f>
        <v>37627.82</v>
      </c>
      <c r="K22" s="60" t="n">
        <f aca="false">J22+K21</f>
        <v>108188.06805</v>
      </c>
      <c r="L22" s="60" t="n">
        <f aca="false">K22+L21</f>
        <v>141572.0795</v>
      </c>
      <c r="M22" s="60" t="n">
        <f aca="false">L22+M21</f>
        <v>172238.250575</v>
      </c>
      <c r="N22" s="60" t="n">
        <f aca="false">M22+N21</f>
        <v>274188.9562682</v>
      </c>
      <c r="O22" s="60" t="n">
        <f aca="false">N22+O21</f>
        <v>368918.817939589</v>
      </c>
      <c r="P22" s="60" t="n">
        <f aca="false">O22+P21</f>
        <v>467315.445817596</v>
      </c>
      <c r="Q22" s="60" t="n">
        <f aca="false">P22+Q21</f>
        <v>541894.184784755</v>
      </c>
      <c r="R22" s="60" t="n">
        <f aca="false">Q22+R21</f>
        <v>611867.983456058</v>
      </c>
      <c r="S22" s="60" t="n">
        <f aca="false">R22+S21</f>
        <v>684209.920836461</v>
      </c>
      <c r="T22" s="60" t="n">
        <f aca="false">S22+T21</f>
        <v>772191.165712757</v>
      </c>
      <c r="U22" s="60" t="n">
        <f aca="false">T22+U21</f>
        <v>832226.282059283</v>
      </c>
      <c r="V22" s="60" t="n">
        <f aca="false">U22+V21</f>
        <v>889671.23816055</v>
      </c>
      <c r="W22" s="60" t="n">
        <f aca="false">V22+W21</f>
        <v>935297.323296024</v>
      </c>
      <c r="X22" s="60" t="n">
        <f aca="false">W22+X21</f>
        <v>978466.803768969</v>
      </c>
      <c r="Y22" s="60" t="n">
        <f aca="false">X22+Y21</f>
        <v>1019480.79005216</v>
      </c>
      <c r="Z22" s="60" t="n">
        <f aca="false">Y22+Z21</f>
        <v>1205934.41722334</v>
      </c>
      <c r="AA22" s="60" t="n">
        <f aca="false">Z22+AA21</f>
        <v>1385581.71499429</v>
      </c>
      <c r="AB22" s="60" t="n">
        <f aca="false">AA22+AB21</f>
        <v>1559016.99271966</v>
      </c>
      <c r="AC22" s="60" t="n">
        <f aca="false">AB22+AC21</f>
        <v>1726780.33917402</v>
      </c>
      <c r="AD22" s="60" t="n">
        <f aca="false">AC22+AD21</f>
        <v>1889441.80029033</v>
      </c>
      <c r="AE22" s="60" t="n">
        <f aca="false">AD22+AE21</f>
        <v>2062443.47785319</v>
      </c>
      <c r="AF22" s="60" t="n">
        <f aca="false">AE22+AF21</f>
        <v>2216217.3566365</v>
      </c>
      <c r="AG22" s="60" t="n">
        <f aca="false">AF22+AG21</f>
        <v>2366293.36217196</v>
      </c>
      <c r="AH22" s="60" t="n">
        <f aca="false">AG22+AH21</f>
        <v>2513280.49257668</v>
      </c>
      <c r="AI22" s="60" t="n">
        <f aca="false">AH22+AI21</f>
        <v>2657451.7400587</v>
      </c>
      <c r="AJ22" s="60" t="n">
        <f aca="false">AI22+AJ21</f>
        <v>2799028.15099745</v>
      </c>
      <c r="AK22" s="60" t="n">
        <f aca="false">AJ22+AK21</f>
        <v>2938250.95454654</v>
      </c>
      <c r="AL22" s="60" t="n">
        <f aca="false">AK22+AL21</f>
        <v>3333397.95331223</v>
      </c>
      <c r="AM22" s="60" t="n">
        <f aca="false">AL22+AM21</f>
        <v>3718274.73916036</v>
      </c>
      <c r="AN22" s="60" t="n">
        <f aca="false">AM22+AN21</f>
        <v>4093848.77390543</v>
      </c>
      <c r="AO22" s="60" t="n">
        <f aca="false">AN22+AO21</f>
        <v>4409389.74012479</v>
      </c>
      <c r="AP22" s="60" t="n">
        <f aca="false">AO22+AP21</f>
        <v>4717714.65981207</v>
      </c>
      <c r="AQ22" s="60" t="n">
        <f aca="false">AP22+AQ21</f>
        <v>5044417.43220682</v>
      </c>
      <c r="AR22" s="60" t="n">
        <f aca="false">AQ22+AR21</f>
        <v>5314285.84616628</v>
      </c>
      <c r="AS22" s="60" t="n">
        <f aca="false">AR22+AS21</f>
        <v>5582044.04053933</v>
      </c>
      <c r="AT22" s="60" t="n">
        <f aca="false">AS22+AT21</f>
        <v>5847994.29469499</v>
      </c>
      <c r="AU22" s="60" t="n">
        <f aca="false">AT22+AU21</f>
        <v>6112363.29051401</v>
      </c>
      <c r="AV22" s="60" t="n">
        <f aca="false">AU22+AV21</f>
        <v>6375304.02442518</v>
      </c>
      <c r="AW22" s="60" t="n">
        <f aca="false">AV22+AW21</f>
        <v>6621098.7891551</v>
      </c>
      <c r="AX22" s="60" t="n">
        <f aca="false">AW22+AX21</f>
        <v>7151018.08702697</v>
      </c>
      <c r="AY22" s="60" t="n">
        <f aca="false">AX22+AY21</f>
        <v>7662143.84027457</v>
      </c>
      <c r="AZ22" s="60" t="n">
        <f aca="false">AY22+AZ21</f>
        <v>8156108.17745384</v>
      </c>
      <c r="BA22" s="60" t="n">
        <f aca="false">AZ22+BA21</f>
        <v>8634350.12920758</v>
      </c>
      <c r="BB22" s="60" t="n">
        <f aca="false">BA22+BB21</f>
        <v>9098251.35218352</v>
      </c>
      <c r="BC22" s="60" t="n">
        <f aca="false">BB22+BC21</f>
        <v>9578981.62460037</v>
      </c>
      <c r="BD22" s="60" t="n">
        <f aca="false">BC22+BD21</f>
        <v>10017689.3281004</v>
      </c>
      <c r="BE22" s="60" t="n">
        <f aca="false">BD22+BE21</f>
        <v>10445365.2175915</v>
      </c>
      <c r="BF22" s="60" t="n">
        <f aca="false">BE22+BF21</f>
        <v>10862960.5130263</v>
      </c>
      <c r="BG22" s="60" t="n">
        <f aca="false">BF22+BG21</f>
        <v>11271354.6187859</v>
      </c>
      <c r="BH22" s="60" t="n">
        <f aca="false">BG22+BH21</f>
        <v>11671285.9787649</v>
      </c>
      <c r="BI22" s="60" t="n">
        <f aca="false">BH22+BI21</f>
        <v>12063525.0246041</v>
      </c>
      <c r="BK22" s="29" t="s">
        <v>254</v>
      </c>
    </row>
    <row r="23" customFormat="false" ht="15" hidden="false" customHeight="false" outlineLevel="0" collapsed="false">
      <c r="A23" s="64" t="s">
        <v>255</v>
      </c>
      <c r="B23" s="65" t="n">
        <f aca="false">Cenários!B45</f>
        <v>0</v>
      </c>
      <c r="C23" s="65" t="n">
        <f aca="false">Cenários!C45</f>
        <v>0</v>
      </c>
      <c r="D23" s="65" t="n">
        <f aca="false">Cenários!D45</f>
        <v>0</v>
      </c>
      <c r="E23" s="65" t="n">
        <f aca="false">Cenários!E45</f>
        <v>-1500</v>
      </c>
      <c r="F23" s="65" t="n">
        <f aca="false">Cenários!F45</f>
        <v>-9600</v>
      </c>
      <c r="G23" s="65" t="n">
        <f aca="false">Cenários!G45</f>
        <v>-11700</v>
      </c>
      <c r="H23" s="65" t="n">
        <f aca="false">Cenários!H45</f>
        <v>-13800</v>
      </c>
      <c r="I23" s="65" t="n">
        <f aca="false">Cenários!I45</f>
        <v>-25027.82</v>
      </c>
      <c r="J23" s="65" t="n">
        <f aca="false">Cenários!J45</f>
        <v>-37627.82</v>
      </c>
      <c r="K23" s="65" t="n">
        <f aca="false">Cenários!K45</f>
        <v>-108188.06805</v>
      </c>
      <c r="L23" s="65" t="n">
        <f aca="false">Cenários!L45</f>
        <v>-141572.0795</v>
      </c>
      <c r="M23" s="65" t="n">
        <f aca="false">Cenários!M45</f>
        <v>-172238.250575</v>
      </c>
      <c r="N23" s="65" t="n">
        <f aca="false">Cenários!N45</f>
        <v>-274188.9562682</v>
      </c>
      <c r="O23" s="65" t="n">
        <f aca="false">Cenários!O45</f>
        <v>-368918.817939589</v>
      </c>
      <c r="P23" s="65" t="n">
        <f aca="false">Cenários!P45</f>
        <v>-467315.445817596</v>
      </c>
      <c r="Q23" s="65" t="n">
        <f aca="false">Cenários!Q45</f>
        <v>-541894.184784755</v>
      </c>
      <c r="R23" s="65" t="n">
        <f aca="false">Cenários!R45</f>
        <v>-611867.983456058</v>
      </c>
      <c r="S23" s="65" t="n">
        <f aca="false">Cenários!S45</f>
        <v>-684209.920836461</v>
      </c>
      <c r="T23" s="65" t="n">
        <f aca="false">Cenários!T45</f>
        <v>-772191.165712757</v>
      </c>
      <c r="U23" s="65" t="n">
        <f aca="false">Cenários!U45</f>
        <v>-832226.282059283</v>
      </c>
      <c r="V23" s="65" t="n">
        <f aca="false">Cenários!V45</f>
        <v>-889671.23816055</v>
      </c>
      <c r="W23" s="65" t="n">
        <f aca="false">Cenários!W45</f>
        <v>-935297.323296024</v>
      </c>
      <c r="X23" s="65" t="n">
        <f aca="false">Cenários!X45</f>
        <v>-978466.803768969</v>
      </c>
      <c r="Y23" s="65" t="n">
        <f aca="false">Cenários!Y45</f>
        <v>-1019480.79005216</v>
      </c>
      <c r="Z23" s="65" t="n">
        <f aca="false">Cenários!Z45</f>
        <v>-1205934.41722334</v>
      </c>
      <c r="AA23" s="65" t="n">
        <f aca="false">Cenários!AA45</f>
        <v>-1385581.71499429</v>
      </c>
      <c r="AB23" s="65" t="n">
        <f aca="false">Cenários!AB45</f>
        <v>-1559016.99271966</v>
      </c>
      <c r="AC23" s="65" t="n">
        <f aca="false">Cenários!AC45</f>
        <v>-1726780.33917402</v>
      </c>
      <c r="AD23" s="65" t="n">
        <f aca="false">Cenários!AD45</f>
        <v>-1889441.80029033</v>
      </c>
      <c r="AE23" s="65" t="n">
        <f aca="false">Cenários!AE45</f>
        <v>-2062443.47785319</v>
      </c>
      <c r="AF23" s="65" t="n">
        <f aca="false">Cenários!AF45</f>
        <v>-2216217.3566365</v>
      </c>
      <c r="AG23" s="65" t="n">
        <f aca="false">Cenários!AG45</f>
        <v>-2366293.36217196</v>
      </c>
      <c r="AH23" s="65" t="n">
        <f aca="false">Cenários!AH45</f>
        <v>-2513280.49257668</v>
      </c>
      <c r="AI23" s="65" t="n">
        <f aca="false">Cenários!AI45</f>
        <v>-2657451.7400587</v>
      </c>
      <c r="AJ23" s="65" t="n">
        <f aca="false">Cenários!AJ45</f>
        <v>-2799028.15099745</v>
      </c>
      <c r="AK23" s="65" t="n">
        <f aca="false">Cenários!AK45</f>
        <v>-2938250.95454654</v>
      </c>
      <c r="AL23" s="65" t="n">
        <f aca="false">Cenários!AL45</f>
        <v>-3333397.95331223</v>
      </c>
      <c r="AM23" s="65" t="n">
        <f aca="false">Cenários!AM45</f>
        <v>-3718274.73916036</v>
      </c>
      <c r="AN23" s="65" t="n">
        <f aca="false">Cenários!AN45</f>
        <v>-4093848.77390543</v>
      </c>
      <c r="AO23" s="65" t="n">
        <f aca="false">Cenários!AO45</f>
        <v>-4409389.74012479</v>
      </c>
      <c r="AP23" s="65" t="n">
        <f aca="false">Cenários!AP45</f>
        <v>-4717714.65981207</v>
      </c>
      <c r="AQ23" s="65" t="n">
        <f aca="false">Cenários!AQ45</f>
        <v>-5044417.43220682</v>
      </c>
      <c r="AR23" s="65" t="n">
        <f aca="false">Cenários!AR45</f>
        <v>-5314285.84616628</v>
      </c>
      <c r="AS23" s="65" t="n">
        <f aca="false">Cenários!AS45</f>
        <v>-5582044.04053933</v>
      </c>
      <c r="AT23" s="65" t="n">
        <f aca="false">Cenários!AT45</f>
        <v>-5847994.29469499</v>
      </c>
      <c r="AU23" s="65" t="n">
        <f aca="false">Cenários!AU45</f>
        <v>-6112363.29051401</v>
      </c>
      <c r="AV23" s="65" t="n">
        <f aca="false">Cenários!AV45</f>
        <v>-6375304.02442518</v>
      </c>
      <c r="AW23" s="65" t="n">
        <f aca="false">Cenários!AW45</f>
        <v>-6621098.7891551</v>
      </c>
      <c r="AX23" s="65" t="n">
        <f aca="false">Cenários!AX45</f>
        <v>-7151018.08702697</v>
      </c>
      <c r="AY23" s="65" t="n">
        <f aca="false">Cenários!AY45</f>
        <v>-7662143.84027457</v>
      </c>
      <c r="AZ23" s="65" t="n">
        <f aca="false">Cenários!AZ45</f>
        <v>-8156108.17745384</v>
      </c>
      <c r="BA23" s="65" t="n">
        <f aca="false">Cenários!BA45</f>
        <v>-8634350.12920758</v>
      </c>
      <c r="BB23" s="65" t="n">
        <f aca="false">Cenários!BB45</f>
        <v>-9098251.35218352</v>
      </c>
      <c r="BC23" s="65" t="n">
        <f aca="false">Cenários!BC45</f>
        <v>-9578981.62460037</v>
      </c>
      <c r="BD23" s="65" t="n">
        <f aca="false">Cenários!BD45</f>
        <v>-10017689.3281004</v>
      </c>
      <c r="BE23" s="65" t="n">
        <f aca="false">Cenários!BE45</f>
        <v>-10445365.2175915</v>
      </c>
      <c r="BF23" s="65" t="n">
        <f aca="false">Cenários!BF45</f>
        <v>-10862960.5130263</v>
      </c>
      <c r="BG23" s="65" t="n">
        <f aca="false">Cenários!BG45</f>
        <v>-11271354.6187859</v>
      </c>
      <c r="BH23" s="65" t="n">
        <f aca="false">Cenários!BH45</f>
        <v>-11671285.9787649</v>
      </c>
      <c r="BI23" s="65" t="n">
        <f aca="false">Cenários!BI45</f>
        <v>-12063525.0246041</v>
      </c>
      <c r="BK23" s="29" t="s">
        <v>256</v>
      </c>
    </row>
    <row r="24" customFormat="false" ht="15" hidden="false" customHeight="false" outlineLevel="0" collapsed="false">
      <c r="A24" s="66" t="s">
        <v>257</v>
      </c>
      <c r="B24" s="67" t="n">
        <f aca="false">-(Cenários!B35+'Análise Fluxo'!B18+'Análise Fluxo'!B19+'Análise Fluxo'!B20+'Análise Fluxo'!B22+'Análise Fluxo'!B27)</f>
        <v>0</v>
      </c>
      <c r="C24" s="67" t="n">
        <f aca="false">-(Cenários!C35+'Análise Fluxo'!C18+'Análise Fluxo'!C19+'Análise Fluxo'!C20+'Análise Fluxo'!C22+'Análise Fluxo'!C27)</f>
        <v>0</v>
      </c>
      <c r="D24" s="67" t="n">
        <f aca="false">-(Cenários!D35+'Análise Fluxo'!D18+'Análise Fluxo'!D19+'Análise Fluxo'!D20+'Análise Fluxo'!D22+'Análise Fluxo'!D27)</f>
        <v>0</v>
      </c>
      <c r="E24" s="67" t="n">
        <f aca="false">-(Cenários!E35+'Análise Fluxo'!E18+'Análise Fluxo'!E19+'Análise Fluxo'!E20+'Análise Fluxo'!E22+'Análise Fluxo'!E27)</f>
        <v>1500</v>
      </c>
      <c r="F24" s="67" t="n">
        <f aca="false">-(Cenários!F35+'Análise Fluxo'!F18+'Análise Fluxo'!F19+'Análise Fluxo'!F20+'Análise Fluxo'!F22+'Análise Fluxo'!F27)</f>
        <v>2100</v>
      </c>
      <c r="G24" s="67" t="n">
        <f aca="false">-(Cenários!G35+'Análise Fluxo'!G18+'Análise Fluxo'!G19+'Análise Fluxo'!G20+'Análise Fluxo'!G22+'Análise Fluxo'!G27)</f>
        <v>2100</v>
      </c>
      <c r="H24" s="67" t="n">
        <f aca="false">-(Cenários!H35+'Análise Fluxo'!H18+'Análise Fluxo'!H19+'Análise Fluxo'!H20+'Análise Fluxo'!H22+'Análise Fluxo'!H27)</f>
        <v>2100</v>
      </c>
      <c r="I24" s="67" t="n">
        <f aca="false">-(Cenários!I35+'Análise Fluxo'!I18+'Análise Fluxo'!I19+'Análise Fluxo'!I20+'Análise Fluxo'!I22+'Análise Fluxo'!I27)</f>
        <v>2100</v>
      </c>
      <c r="J24" s="67" t="n">
        <f aca="false">-(Cenários!J35+'Análise Fluxo'!J18+'Análise Fluxo'!J19+'Análise Fluxo'!J20+'Análise Fluxo'!J22+'Análise Fluxo'!J27)</f>
        <v>2100</v>
      </c>
      <c r="K24" s="67" t="n">
        <f aca="false">-(Cenários!K35+'Análise Fluxo'!K18+'Análise Fluxo'!K19+'Análise Fluxo'!K20+'Análise Fluxo'!K22+'Análise Fluxo'!K27)</f>
        <v>5397.12</v>
      </c>
      <c r="L24" s="67" t="n">
        <f aca="false">-(Cenários!L35+'Análise Fluxo'!L18+'Análise Fluxo'!L19+'Análise Fluxo'!L20+'Análise Fluxo'!L22+'Análise Fluxo'!L27)</f>
        <v>5817.56</v>
      </c>
      <c r="M24" s="67" t="n">
        <f aca="false">-(Cenários!M35+'Análise Fluxo'!M18+'Análise Fluxo'!M19+'Análise Fluxo'!M20+'Análise Fluxo'!M22+'Análise Fluxo'!M27)</f>
        <v>6341.292</v>
      </c>
      <c r="N24" s="67" t="n">
        <f aca="false">-(Cenários!N35+'Análise Fluxo'!N18+'Análise Fluxo'!N19+'Análise Fluxo'!N20+'Análise Fluxo'!N22+'Análise Fluxo'!N27)</f>
        <v>68037.175248</v>
      </c>
      <c r="O24" s="67" t="n">
        <f aca="false">-(Cenários!O35+'Análise Fluxo'!O18+'Análise Fluxo'!O19+'Análise Fluxo'!O20+'Análise Fluxo'!O22+'Análise Fluxo'!O27)</f>
        <v>68963.221464192</v>
      </c>
      <c r="P24" s="67" t="n">
        <f aca="false">-(Cenários!P35+'Análise Fluxo'!P18+'Análise Fluxo'!P19+'Análise Fluxo'!P20+'Análise Fluxo'!P22+'Análise Fluxo'!P27)</f>
        <v>69982.1622836296</v>
      </c>
      <c r="Q24" s="67" t="n">
        <f aca="false">-(Cenários!Q35+'Análise Fluxo'!Q18+'Análise Fluxo'!Q19+'Análise Fluxo'!Q20+'Análise Fluxo'!Q22+'Análise Fluxo'!Q27)</f>
        <v>70558.7403044011</v>
      </c>
      <c r="R24" s="67" t="n">
        <f aca="false">-(Cenários!R35+'Análise Fluxo'!R18+'Análise Fluxo'!R19+'Análise Fluxo'!R20+'Análise Fluxo'!R22+'Análise Fluxo'!R27)</f>
        <v>71080.5201151786</v>
      </c>
      <c r="S24" s="67" t="n">
        <f aca="false">-(Cenários!S35+'Análise Fluxo'!S18+'Análise Fluxo'!S19+'Análise Fluxo'!S20+'Análise Fluxo'!S22+'Análise Fluxo'!S27)</f>
        <v>71551.8473041215</v>
      </c>
      <c r="T24" s="67" t="n">
        <f aca="false">-(Cenários!T35+'Análise Fluxo'!T18+'Análise Fluxo'!T19+'Análise Fluxo'!T20+'Análise Fluxo'!T22+'Análise Fluxo'!T27)</f>
        <v>71978.2356429258</v>
      </c>
      <c r="U24" s="67" t="n">
        <f aca="false">-(Cenários!U35+'Análise Fluxo'!U18+'Análise Fluxo'!U19+'Análise Fluxo'!U20+'Análise Fluxo'!U22+'Análise Fluxo'!U27)</f>
        <v>72363.7226212049</v>
      </c>
      <c r="V24" s="67" t="n">
        <f aca="false">-(Cenários!V35+'Análise Fluxo'!V18+'Análise Fluxo'!V19+'Análise Fluxo'!V20+'Análise Fluxo'!V22+'Análise Fluxo'!V27)</f>
        <v>72712.2134895693</v>
      </c>
      <c r="W24" s="67" t="n">
        <f aca="false">-(Cenários!W35+'Análise Fluxo'!W18+'Análise Fluxo'!W19+'Análise Fluxo'!W20+'Análise Fluxo'!W22+'Análise Fluxo'!W27)</f>
        <v>73027.4939545706</v>
      </c>
      <c r="X24" s="67" t="n">
        <f aca="false">-(Cenários!X35+'Análise Fluxo'!X18+'Análise Fluxo'!X19+'Análise Fluxo'!X20+'Análise Fluxo'!X22+'Análise Fluxo'!X27)</f>
        <v>73311.9116549318</v>
      </c>
      <c r="Y24" s="67" t="n">
        <f aca="false">-(Cenários!Y35+'Análise Fluxo'!Y18+'Análise Fluxo'!Y19+'Análise Fluxo'!Y20+'Análise Fluxo'!Y22+'Análise Fluxo'!Y27)</f>
        <v>73569.0465360584</v>
      </c>
      <c r="Z24" s="67" t="n">
        <f aca="false">-(Cenários!Z35+'Análise Fluxo'!Z18+'Análise Fluxo'!Z19+'Análise Fluxo'!Z20+'Análise Fluxo'!Z22+'Análise Fluxo'!Z27)</f>
        <v>218000.925112806</v>
      </c>
      <c r="AA24" s="67" t="n">
        <f aca="false">-(Cenários!AA35+'Análise Fluxo'!AA18+'Análise Fluxo'!AA19+'Análise Fluxo'!AA20+'Análise Fluxo'!AA22+'Análise Fluxo'!AA27)</f>
        <v>218535.98590113</v>
      </c>
      <c r="AB24" s="67" t="n">
        <f aca="false">-(Cenários!AB35+'Análise Fluxo'!AB18+'Análise Fluxo'!AB19+'Análise Fluxo'!AB20+'Análise Fluxo'!AB22+'Análise Fluxo'!AB27)</f>
        <v>219021.681151201</v>
      </c>
      <c r="AC24" s="67" t="n">
        <f aca="false">-(Cenários!AC35+'Análise Fluxo'!AC18+'Análise Fluxo'!AC19+'Análise Fluxo'!AC20+'Análise Fluxo'!AC22+'Análise Fluxo'!AC27)</f>
        <v>219462.826637427</v>
      </c>
      <c r="AD24" s="67" t="n">
        <f aca="false">-(Cenários!AD35+'Análise Fluxo'!AD18+'Análise Fluxo'!AD19+'Análise Fluxo'!AD20+'Análise Fluxo'!AD22+'Análise Fluxo'!AD27)</f>
        <v>219862.975287801</v>
      </c>
      <c r="AE24" s="67" t="n">
        <f aca="false">-(Cenários!AE35+'Análise Fluxo'!AE18+'Análise Fluxo'!AE19+'Análise Fluxo'!AE20+'Análise Fluxo'!AE22+'Análise Fluxo'!AE27)</f>
        <v>220225.561242718</v>
      </c>
      <c r="AF24" s="67" t="n">
        <f aca="false">-(Cenários!AF35+'Análise Fluxo'!AF18+'Análise Fluxo'!AF19+'Análise Fluxo'!AF20+'Análise Fluxo'!AF22+'Análise Fluxo'!AF27)</f>
        <v>220556.174802429</v>
      </c>
      <c r="AG24" s="67" t="n">
        <f aca="false">-(Cenários!AG35+'Análise Fluxo'!AG18+'Análise Fluxo'!AG19+'Análise Fluxo'!AG20+'Análise Fluxo'!AG22+'Análise Fluxo'!AG27)</f>
        <v>220855.780365597</v>
      </c>
      <c r="AH24" s="67" t="n">
        <f aca="false">-(Cenários!AH35+'Análise Fluxo'!AH18+'Análise Fluxo'!AH19+'Análise Fluxo'!AH20+'Análise Fluxo'!AH22+'Análise Fluxo'!AH27)</f>
        <v>221127.517451904</v>
      </c>
      <c r="AI24" s="67" t="n">
        <f aca="false">-(Cenários!AI35+'Análise Fluxo'!AI18+'Análise Fluxo'!AI19+'Análise Fluxo'!AI20+'Análise Fluxo'!AI22+'Análise Fluxo'!AI27)</f>
        <v>221374.444893136</v>
      </c>
      <c r="AJ24" s="67" t="n">
        <f aca="false">-(Cenários!AJ35+'Análise Fluxo'!AJ18+'Análise Fluxo'!AJ19+'Análise Fluxo'!AJ20+'Análise Fluxo'!AJ22+'Análise Fluxo'!AJ27)</f>
        <v>221598.416269385</v>
      </c>
      <c r="AK24" s="67" t="n">
        <f aca="false">-(Cenários!AK35+'Análise Fluxo'!AK18+'Análise Fluxo'!AK19+'Análise Fluxo'!AK20+'Análise Fluxo'!AK22+'Análise Fluxo'!AK27)</f>
        <v>221802.350659918</v>
      </c>
      <c r="AL24" s="67" t="n">
        <f aca="false">-(Cenários!AL35+'Análise Fluxo'!AL18+'Análise Fluxo'!AL19+'Análise Fluxo'!AL20+'Análise Fluxo'!AL22+'Análise Fluxo'!AL27)</f>
        <v>482195.033666184</v>
      </c>
      <c r="AM24" s="67" t="n">
        <f aca="false">-(Cenários!AM35+'Análise Fluxo'!AM18+'Análise Fluxo'!AM19+'Análise Fluxo'!AM20+'Análise Fluxo'!AM22+'Análise Fluxo'!AM27)</f>
        <v>482787.73639008</v>
      </c>
      <c r="AN24" s="67" t="n">
        <f aca="false">-(Cenários!AN35+'Análise Fluxo'!AN18+'Análise Fluxo'!AN19+'Análise Fluxo'!AN20+'Análise Fluxo'!AN22+'Análise Fluxo'!AN27)</f>
        <v>483326.971417046</v>
      </c>
      <c r="AO24" s="67" t="n">
        <f aca="false">-(Cenários!AO35+'Análise Fluxo'!AO18+'Análise Fluxo'!AO19+'Análise Fluxo'!AO20+'Análise Fluxo'!AO22+'Análise Fluxo'!AO27)</f>
        <v>487655.580513371</v>
      </c>
      <c r="AP24" s="67" t="n">
        <f aca="false">-(Cenários!AP35+'Análise Fluxo'!AP18+'Análise Fluxo'!AP19+'Análise Fluxo'!AP20+'Análise Fluxo'!AP22+'Análise Fluxo'!AP27)</f>
        <v>488241.027619183</v>
      </c>
      <c r="AQ24" s="67" t="n">
        <f aca="false">-(Cenários!AQ35+'Análise Fluxo'!AQ18+'Análise Fluxo'!AQ19+'Análise Fluxo'!AQ20+'Análise Fluxo'!AQ22+'Análise Fluxo'!AQ27)</f>
        <v>488775.344272959</v>
      </c>
      <c r="AR24" s="67" t="n">
        <f aca="false">-(Cenários!AR35+'Análise Fluxo'!AR18+'Análise Fluxo'!AR19+'Análise Fluxo'!AR20+'Análise Fluxo'!AR22+'Análise Fluxo'!AR27)</f>
        <v>489262.559113731</v>
      </c>
      <c r="AS24" s="67" t="n">
        <f aca="false">-(Cenários!AS35+'Análise Fluxo'!AS18+'Análise Fluxo'!AS19+'Análise Fluxo'!AS20+'Análise Fluxo'!AS22+'Análise Fluxo'!AS27)</f>
        <v>489706.561542606</v>
      </c>
      <c r="AT24" s="67" t="n">
        <f aca="false">-(Cenários!AT35+'Análise Fluxo'!AT18+'Análise Fluxo'!AT19+'Análise Fluxo'!AT20+'Análise Fluxo'!AT22+'Análise Fluxo'!AT27)</f>
        <v>490111.059617966</v>
      </c>
      <c r="AU24" s="67" t="n">
        <f aca="false">-(Cenários!AU35+'Análise Fluxo'!AU18+'Análise Fluxo'!AU19+'Análise Fluxo'!AU20+'Análise Fluxo'!AU22+'Análise Fluxo'!AU27)</f>
        <v>490479.53725215</v>
      </c>
      <c r="AV24" s="67" t="n">
        <f aca="false">-(Cenários!AV35+'Análise Fluxo'!AV18+'Análise Fluxo'!AV19+'Análise Fluxo'!AV20+'Análise Fluxo'!AV22+'Análise Fluxo'!AV27)</f>
        <v>490815.510771422</v>
      </c>
      <c r="AW24" s="67" t="n">
        <f aca="false">-(Cenários!AW35+'Análise Fluxo'!AW18+'Análise Fluxo'!AW19+'Análise Fluxo'!AW20+'Análise Fluxo'!AW22+'Análise Fluxo'!AW27)</f>
        <v>491122.234895556</v>
      </c>
      <c r="AX24" s="67" t="n">
        <f aca="false">-(Cenários!AX35+'Análise Fluxo'!AX18+'Análise Fluxo'!AX19+'Análise Fluxo'!AX20+'Análise Fluxo'!AX22+'Análise Fluxo'!AX27)</f>
        <v>785406.910600667</v>
      </c>
      <c r="AY24" s="67" t="n">
        <f aca="false">-(Cenários!AY35+'Análise Fluxo'!AY18+'Análise Fluxo'!AY19+'Análise Fluxo'!AY20+'Análise Fluxo'!AY22+'Análise Fluxo'!AY27)</f>
        <v>786477.478975104</v>
      </c>
      <c r="AZ24" s="67" t="n">
        <f aca="false">-(Cenários!AZ35+'Análise Fluxo'!AZ18+'Análise Fluxo'!AZ19+'Análise Fluxo'!AZ20+'Análise Fluxo'!AZ22+'Análise Fluxo'!AZ27)</f>
        <v>787456.354148202</v>
      </c>
      <c r="BA24" s="67" t="n">
        <f aca="false">-(Cenários!BA35+'Análise Fluxo'!BA18+'Análise Fluxo'!BA19+'Análise Fluxo'!BA20+'Análise Fluxo'!BA22+'Análise Fluxo'!BA27)</f>
        <v>788352.433618809</v>
      </c>
      <c r="BB24" s="67" t="n">
        <f aca="false">-(Cenários!BB35+'Análise Fluxo'!BB18+'Análise Fluxo'!BB19+'Análise Fluxo'!BB20+'Análise Fluxo'!BB22+'Análise Fluxo'!BB27)</f>
        <v>789172.651558635</v>
      </c>
      <c r="BC24" s="67" t="n">
        <f aca="false">-(Cenários!BC35+'Análise Fluxo'!BC18+'Análise Fluxo'!BC19+'Análise Fluxo'!BC20+'Análise Fluxo'!BC22+'Análise Fluxo'!BC27)</f>
        <v>789922.7259857</v>
      </c>
      <c r="BD24" s="67" t="n">
        <f aca="false">-(Cenários!BD35+'Análise Fluxo'!BD18+'Análise Fluxo'!BD19+'Análise Fluxo'!BD20+'Análise Fluxo'!BD22+'Análise Fluxo'!BD27)</f>
        <v>790608.989903823</v>
      </c>
      <c r="BE24" s="67" t="n">
        <f aca="false">-(Cenários!BE35+'Análise Fluxo'!BE18+'Análise Fluxo'!BE19+'Análise Fluxo'!BE20+'Análise Fluxo'!BE22+'Análise Fluxo'!BE27)</f>
        <v>791237.566495989</v>
      </c>
      <c r="BF24" s="67" t="n">
        <f aca="false">-(Cenários!BF35+'Análise Fluxo'!BF18+'Análise Fluxo'!BF19+'Análise Fluxo'!BF20+'Análise Fluxo'!BF22+'Análise Fluxo'!BF27)</f>
        <v>791812.508451944</v>
      </c>
      <c r="BG24" s="67" t="n">
        <f aca="false">-(Cenários!BG35+'Análise Fluxo'!BG18+'Análise Fluxo'!BG19+'Análise Fluxo'!BG20+'Análise Fluxo'!BG22+'Análise Fluxo'!BG27)</f>
        <v>792338.66150355</v>
      </c>
      <c r="BH24" s="67" t="n">
        <f aca="false">-(Cenários!BH35+'Análise Fluxo'!BH18+'Análise Fluxo'!BH19+'Análise Fluxo'!BH20+'Análise Fluxo'!BH22+'Análise Fluxo'!BH27)</f>
        <v>792819.802235203</v>
      </c>
      <c r="BI24" s="67" t="n">
        <f aca="false">-(Cenários!BI35+'Análise Fluxo'!BI18+'Análise Fluxo'!BI19+'Análise Fluxo'!BI20+'Análise Fluxo'!BI22+'Análise Fluxo'!BI27)</f>
        <v>793260.315230862</v>
      </c>
      <c r="BJ24" s="61" t="n">
        <f aca="false">SUM(B24:BI24)</f>
        <v>18862462.458175</v>
      </c>
      <c r="BK24" s="29" t="s">
        <v>258</v>
      </c>
    </row>
    <row r="25" customFormat="false" ht="15" hidden="false" customHeight="false" outlineLevel="0" collapsed="false">
      <c r="A25" s="27" t="s">
        <v>259</v>
      </c>
      <c r="B25" s="60" t="n">
        <f aca="false">MAX(SUMPRODUCT((B$5:BI$5&gt;B$5)*(B$5:BI$5&lt;=B$5+Premissas!$B$118)*B$24:BI$24),Premissas!$B$118*B24)</f>
        <v>1500</v>
      </c>
      <c r="C25" s="60" t="n">
        <f aca="false">MAX(SUMPRODUCT((B$5:BI$5&gt;C$5)*(B$5:BI$5&lt;=C$5+Premissas!$B$118)*B$24:BI$24),Premissas!$B$118*C24)</f>
        <v>3600</v>
      </c>
      <c r="D25" s="60" t="n">
        <f aca="false">MAX(SUMPRODUCT((B$5:BI$5&gt;D$5)*(B$5:BI$5&lt;=D$5+Premissas!$B$118)*B$24:BI$24),Premissas!$B$118*D24)</f>
        <v>5700</v>
      </c>
      <c r="E25" s="60" t="n">
        <f aca="false">MAX(SUMPRODUCT((B$5:BI$5&gt;E$5)*(B$5:BI$5&lt;=E$5+Premissas!$B$118)*B$24:BI$24),Premissas!$B$118*E24)</f>
        <v>6300</v>
      </c>
      <c r="F25" s="60" t="n">
        <f aca="false">MAX(SUMPRODUCT((B$5:BI$5&gt;F$5)*(B$5:BI$5&lt;=F$5+Premissas!$B$118)*B$24:BI$24),Premissas!$B$118*F24)</f>
        <v>6300</v>
      </c>
      <c r="G25" s="60" t="n">
        <f aca="false">MAX(SUMPRODUCT((B$5:BI$5&gt;G$5)*(B$5:BI$5&lt;=G$5+Premissas!$B$118)*B$24:BI$24),Premissas!$B$118*G24)</f>
        <v>6300</v>
      </c>
      <c r="H25" s="60" t="n">
        <f aca="false">MAX(SUMPRODUCT((B$5:BI$5&gt;H$5)*(B$5:BI$5&lt;=H$5+Premissas!$B$118)*B$24:BI$24),Premissas!$B$118*H24)</f>
        <v>9597.12</v>
      </c>
      <c r="I25" s="60" t="n">
        <f aca="false">MAX(SUMPRODUCT((B$5:BI$5&gt;I$5)*(B$5:BI$5&lt;=I$5+Premissas!$B$118)*B$24:BI$24),Premissas!$B$118*I24)</f>
        <v>13314.68</v>
      </c>
      <c r="J25" s="60" t="n">
        <f aca="false">MAX(SUMPRODUCT((B$5:BI$5&gt;J$5)*(B$5:BI$5&lt;=J$5+Premissas!$B$118)*B$24:BI$24),Premissas!$B$118*J24)</f>
        <v>17555.972</v>
      </c>
      <c r="K25" s="60" t="n">
        <f aca="false">MAX(SUMPRODUCT((B$5:BI$5&gt;K$5)*(B$5:BI$5&lt;=K$5+Premissas!$B$118)*B$24:BI$24),Premissas!$B$118*K24)</f>
        <v>80196.027248</v>
      </c>
      <c r="L25" s="60" t="n">
        <f aca="false">MAX(SUMPRODUCT((B$5:BI$5&gt;L$5)*(B$5:BI$5&lt;=L$5+Premissas!$B$118)*B$24:BI$24),Premissas!$B$118*L24)</f>
        <v>143341.688712192</v>
      </c>
      <c r="M25" s="60" t="n">
        <f aca="false">MAX(SUMPRODUCT((B$5:BI$5&gt;M$5)*(B$5:BI$5&lt;=M$5+Premissas!$B$118)*B$24:BI$24),Premissas!$B$118*M24)</f>
        <v>206982.558995822</v>
      </c>
      <c r="N25" s="60" t="n">
        <f aca="false">MAX(SUMPRODUCT((B$5:BI$5&gt;N$5)*(B$5:BI$5&lt;=N$5+Premissas!$B$118)*B$24:BI$24),Premissas!$B$118*N24)</f>
        <v>209504.124052223</v>
      </c>
      <c r="O25" s="60" t="n">
        <f aca="false">MAX(SUMPRODUCT((B$5:BI$5&gt;O$5)*(B$5:BI$5&lt;=O$5+Premissas!$B$118)*B$24:BI$24),Premissas!$B$118*O24)</f>
        <v>211621.422703209</v>
      </c>
      <c r="P25" s="60" t="n">
        <f aca="false">MAX(SUMPRODUCT((B$5:BI$5&gt;P$5)*(B$5:BI$5&lt;=P$5+Premissas!$B$118)*B$24:BI$24),Premissas!$B$118*P24)</f>
        <v>213191.107723701</v>
      </c>
      <c r="Q25" s="60" t="n">
        <f aca="false">MAX(SUMPRODUCT((B$5:BI$5&gt;Q$5)*(B$5:BI$5&lt;=Q$5+Premissas!$B$118)*B$24:BI$24),Premissas!$B$118*Q24)</f>
        <v>214610.603062226</v>
      </c>
      <c r="R25" s="60" t="n">
        <f aca="false">MAX(SUMPRODUCT((B$5:BI$5&gt;R$5)*(B$5:BI$5&lt;=R$5+Premissas!$B$118)*B$24:BI$24),Premissas!$B$118*R24)</f>
        <v>215893.805568252</v>
      </c>
      <c r="S25" s="60" t="n">
        <f aca="false">MAX(SUMPRODUCT((B$5:BI$5&gt;S$5)*(B$5:BI$5&lt;=S$5+Premissas!$B$118)*B$24:BI$24),Premissas!$B$118*S24)</f>
        <v>217054.1717537</v>
      </c>
      <c r="T25" s="60" t="n">
        <f aca="false">MAX(SUMPRODUCT((B$5:BI$5&gt;T$5)*(B$5:BI$5&lt;=T$5+Premissas!$B$118)*B$24:BI$24),Premissas!$B$118*T24)</f>
        <v>218103.430065345</v>
      </c>
      <c r="U25" s="60" t="n">
        <f aca="false">MAX(SUMPRODUCT((B$5:BI$5&gt;U$5)*(B$5:BI$5&lt;=U$5+Premissas!$B$118)*B$24:BI$24),Premissas!$B$118*U24)</f>
        <v>219051.619099072</v>
      </c>
      <c r="V25" s="60" t="n">
        <f aca="false">MAX(SUMPRODUCT((B$5:BI$5&gt;V$5)*(B$5:BI$5&lt;=V$5+Premissas!$B$118)*B$24:BI$24),Premissas!$B$118*V24)</f>
        <v>219908.452145561</v>
      </c>
      <c r="W25" s="60" t="n">
        <f aca="false">MAX(SUMPRODUCT((B$5:BI$5&gt;W$5)*(B$5:BI$5&lt;=W$5+Premissas!$B$118)*B$24:BI$24),Premissas!$B$118*W24)</f>
        <v>364881.883303796</v>
      </c>
      <c r="X25" s="60" t="n">
        <f aca="false">MAX(SUMPRODUCT((B$5:BI$5&gt;X$5)*(B$5:BI$5&lt;=X$5+Premissas!$B$118)*B$24:BI$24),Premissas!$B$118*X24)</f>
        <v>510105.957549994</v>
      </c>
      <c r="Y25" s="60" t="n">
        <f aca="false">MAX(SUMPRODUCT((B$5:BI$5&gt;Y$5)*(B$5:BI$5&lt;=Y$5+Premissas!$B$118)*B$24:BI$24),Premissas!$B$118*Y24)</f>
        <v>655558.592165137</v>
      </c>
      <c r="Z25" s="60" t="n">
        <f aca="false">MAX(SUMPRODUCT((B$5:BI$5&gt;Z$5)*(B$5:BI$5&lt;=Z$5+Premissas!$B$118)*B$24:BI$24),Premissas!$B$118*Z24)</f>
        <v>657020.493689758</v>
      </c>
      <c r="AA25" s="60" t="n">
        <f aca="false">MAX(SUMPRODUCT((B$5:BI$5&gt;AA$5)*(B$5:BI$5&lt;=AA$5+Premissas!$B$118)*B$24:BI$24),Premissas!$B$118*AA24)</f>
        <v>658347.48307643</v>
      </c>
      <c r="AB25" s="60" t="n">
        <f aca="false">MAX(SUMPRODUCT((B$5:BI$5&gt;AB$5)*(B$5:BI$5&lt;=AB$5+Premissas!$B$118)*B$24:BI$24),Premissas!$B$118*AB24)</f>
        <v>659551.363167946</v>
      </c>
      <c r="AC25" s="60" t="n">
        <f aca="false">MAX(SUMPRODUCT((B$5:BI$5&gt;AC$5)*(B$5:BI$5&lt;=AC$5+Premissas!$B$118)*B$24:BI$24),Premissas!$B$118*AC24)</f>
        <v>660644.711332948</v>
      </c>
      <c r="AD25" s="60" t="n">
        <f aca="false">MAX(SUMPRODUCT((B$5:BI$5&gt;AD$5)*(B$5:BI$5&lt;=AD$5+Premissas!$B$118)*B$24:BI$24),Premissas!$B$118*AD24)</f>
        <v>661637.516410744</v>
      </c>
      <c r="AE25" s="60" t="n">
        <f aca="false">MAX(SUMPRODUCT((B$5:BI$5&gt;AE$5)*(B$5:BI$5&lt;=AE$5+Premissas!$B$118)*B$24:BI$24),Premissas!$B$118*AE24)</f>
        <v>662539.472619929</v>
      </c>
      <c r="AF25" s="60" t="n">
        <f aca="false">MAX(SUMPRODUCT((B$5:BI$5&gt;AF$5)*(B$5:BI$5&lt;=AF$5+Premissas!$B$118)*B$24:BI$24),Premissas!$B$118*AF24)</f>
        <v>663357.742710637</v>
      </c>
      <c r="AG25" s="60" t="n">
        <f aca="false">MAX(SUMPRODUCT((B$5:BI$5&gt;AG$5)*(B$5:BI$5&lt;=AG$5+Premissas!$B$118)*B$24:BI$24),Premissas!$B$118*AG24)</f>
        <v>664100.378614424</v>
      </c>
      <c r="AH25" s="60" t="n">
        <f aca="false">MAX(SUMPRODUCT((B$5:BI$5&gt;AH$5)*(B$5:BI$5&lt;=AH$5+Premissas!$B$118)*B$24:BI$24),Premissas!$B$118*AH24)</f>
        <v>664775.211822439</v>
      </c>
      <c r="AI25" s="60" t="n">
        <f aca="false">MAX(SUMPRODUCT((B$5:BI$5&gt;AI$5)*(B$5:BI$5&lt;=AI$5+Premissas!$B$118)*B$24:BI$24),Premissas!$B$118*AI24)</f>
        <v>925595.800595487</v>
      </c>
      <c r="AJ25" s="60" t="n">
        <f aca="false">MAX(SUMPRODUCT((B$5:BI$5&gt;AJ$5)*(B$5:BI$5&lt;=AJ$5+Premissas!$B$118)*B$24:BI$24),Premissas!$B$118*AJ24)</f>
        <v>1186785.12071618</v>
      </c>
      <c r="AK25" s="60" t="n">
        <f aca="false">MAX(SUMPRODUCT((B$5:BI$5&gt;AK$5)*(B$5:BI$5&lt;=AK$5+Premissas!$B$118)*B$24:BI$24),Premissas!$B$118*AK24)</f>
        <v>1448309.74147331</v>
      </c>
      <c r="AL25" s="60" t="n">
        <f aca="false">MAX(SUMPRODUCT((B$5:BI$5&gt;AL$5)*(B$5:BI$5&lt;=AL$5+Premissas!$B$118)*B$24:BI$24),Premissas!$B$118*AL24)</f>
        <v>1453770.2883205</v>
      </c>
      <c r="AM25" s="60" t="n">
        <f aca="false">MAX(SUMPRODUCT((B$5:BI$5&gt;AM$5)*(B$5:BI$5&lt;=AM$5+Premissas!$B$118)*B$24:BI$24),Premissas!$B$118*AM24)</f>
        <v>1459223.5795496</v>
      </c>
      <c r="AN25" s="60" t="n">
        <f aca="false">MAX(SUMPRODUCT((B$5:BI$5&gt;AN$5)*(B$5:BI$5&lt;=AN$5+Premissas!$B$118)*B$24:BI$24),Premissas!$B$118*AN24)</f>
        <v>1464671.95240551</v>
      </c>
      <c r="AO25" s="60" t="n">
        <f aca="false">MAX(SUMPRODUCT((B$5:BI$5&gt;AO$5)*(B$5:BI$5&lt;=AO$5+Premissas!$B$118)*B$24:BI$24),Premissas!$B$118*AO24)</f>
        <v>1466278.93100587</v>
      </c>
      <c r="AP25" s="60" t="n">
        <f aca="false">MAX(SUMPRODUCT((B$5:BI$5&gt;AP$5)*(B$5:BI$5&lt;=AP$5+Premissas!$B$118)*B$24:BI$24),Premissas!$B$118*AP24)</f>
        <v>1467744.4649293</v>
      </c>
      <c r="AQ25" s="60" t="n">
        <f aca="false">MAX(SUMPRODUCT((B$5:BI$5&gt;AQ$5)*(B$5:BI$5&lt;=AQ$5+Premissas!$B$118)*B$24:BI$24),Premissas!$B$118*AQ24)</f>
        <v>1469080.1802743</v>
      </c>
      <c r="AR25" s="60" t="n">
        <f aca="false">MAX(SUMPRODUCT((B$5:BI$5&gt;AR$5)*(B$5:BI$5&lt;=AR$5+Premissas!$B$118)*B$24:BI$24),Premissas!$B$118*AR24)</f>
        <v>1470297.15841272</v>
      </c>
      <c r="AS25" s="60" t="n">
        <f aca="false">MAX(SUMPRODUCT((B$5:BI$5&gt;AS$5)*(B$5:BI$5&lt;=AS$5+Premissas!$B$118)*B$24:BI$24),Premissas!$B$118*AS24)</f>
        <v>1471406.10764154</v>
      </c>
      <c r="AT25" s="60" t="n">
        <f aca="false">MAX(SUMPRODUCT((B$5:BI$5&gt;AT$5)*(B$5:BI$5&lt;=AT$5+Premissas!$B$118)*B$24:BI$24),Premissas!$B$118*AT24)</f>
        <v>1472417.28291913</v>
      </c>
      <c r="AU25" s="60" t="n">
        <f aca="false">MAX(SUMPRODUCT((B$5:BI$5&gt;AU$5)*(B$5:BI$5&lt;=AU$5+Premissas!$B$118)*B$24:BI$24),Premissas!$B$118*AU24)</f>
        <v>1767344.65626765</v>
      </c>
      <c r="AV25" s="60" t="n">
        <f aca="false">MAX(SUMPRODUCT((B$5:BI$5&gt;AV$5)*(B$5:BI$5&lt;=AV$5+Premissas!$B$118)*B$24:BI$24),Premissas!$B$118*AV24)</f>
        <v>2063006.62447133</v>
      </c>
      <c r="AW25" s="60" t="n">
        <f aca="false">MAX(SUMPRODUCT((B$5:BI$5&gt;AW$5)*(B$5:BI$5&lt;=AW$5+Premissas!$B$118)*B$24:BI$24),Premissas!$B$118*AW24)</f>
        <v>2359340.74372397</v>
      </c>
      <c r="AX25" s="60" t="n">
        <f aca="false">MAX(SUMPRODUCT((B$5:BI$5&gt;AX$5)*(B$5:BI$5&lt;=AX$5+Premissas!$B$118)*B$24:BI$24),Premissas!$B$118*AX24)</f>
        <v>2362286.26674212</v>
      </c>
      <c r="AY25" s="60" t="n">
        <f aca="false">MAX(SUMPRODUCT((B$5:BI$5&gt;AY$5)*(B$5:BI$5&lt;=AY$5+Premissas!$B$118)*B$24:BI$24),Premissas!$B$118*AY24)</f>
        <v>2364981.43932565</v>
      </c>
      <c r="AZ25" s="60" t="n">
        <f aca="false">MAX(SUMPRODUCT((B$5:BI$5&gt;AZ$5)*(B$5:BI$5&lt;=AZ$5+Premissas!$B$118)*B$24:BI$24),Premissas!$B$118*AZ24)</f>
        <v>2367447.81116314</v>
      </c>
      <c r="BA25" s="60" t="n">
        <f aca="false">MAX(SUMPRODUCT((B$5:BI$5&gt;BA$5)*(B$5:BI$5&lt;=BA$5+Premissas!$B$118)*B$24:BI$24),Premissas!$B$118*BA24)</f>
        <v>2369704.36744816</v>
      </c>
      <c r="BB25" s="60" t="n">
        <f aca="false">MAX(SUMPRODUCT((B$5:BI$5&gt;BB$5)*(B$5:BI$5&lt;=BB$5+Premissas!$B$118)*B$24:BI$24),Premissas!$B$118*BB24)</f>
        <v>2371769.28238551</v>
      </c>
      <c r="BC25" s="60" t="n">
        <f aca="false">MAX(SUMPRODUCT((B$5:BI$5&gt;BC$5)*(B$5:BI$5&lt;=BC$5+Premissas!$B$118)*B$24:BI$24),Premissas!$B$118*BC24)</f>
        <v>2373659.06485176</v>
      </c>
      <c r="BD25" s="60" t="n">
        <f aca="false">MAX(SUMPRODUCT((B$5:BI$5&gt;BD$5)*(B$5:BI$5&lt;=BD$5+Premissas!$B$118)*B$24:BI$24),Premissas!$B$118*BD24)</f>
        <v>2375388.73645148</v>
      </c>
      <c r="BE25" s="60" t="n">
        <f aca="false">MAX(SUMPRODUCT((B$5:BI$5&gt;BE$5)*(B$5:BI$5&lt;=BE$5+Premissas!$B$118)*B$24:BI$24),Premissas!$B$118*BE24)</f>
        <v>2376970.9721907</v>
      </c>
      <c r="BF25" s="60" t="n">
        <f aca="false">MAX(SUMPRODUCT((B$5:BI$5&gt;BF$5)*(B$5:BI$5&lt;=BF$5+Premissas!$B$118)*B$24:BI$24),Premissas!$B$118*BF24)</f>
        <v>2378418.77896961</v>
      </c>
      <c r="BG25" s="60" t="n">
        <f aca="false">MAX(SUMPRODUCT((B$5:BI$5&gt;BG$5)*(B$5:BI$5&lt;=BG$5+Premissas!$B$118)*B$24:BI$24),Premissas!$B$118*BG24)</f>
        <v>2377015.98451065</v>
      </c>
      <c r="BH25" s="60" t="n">
        <f aca="false">MAX(SUMPRODUCT((B$5:BI$5&gt;BH$5)*(B$5:BI$5&lt;=BH$5+Premissas!$B$118)*B$24:BI$24),Premissas!$B$118*BH24)</f>
        <v>2378459.40670561</v>
      </c>
      <c r="BI25" s="60" t="n">
        <f aca="false">MAX(SUMPRODUCT((B$5:BI$5&gt;BI$5)*(B$5:BI$5&lt;=BI$5+Premissas!$B$118)*B$24:BI$24),Premissas!$B$118*BI24)</f>
        <v>2379780.94569259</v>
      </c>
      <c r="BK25" s="29" t="s">
        <v>260</v>
      </c>
    </row>
    <row r="26" customFormat="false" ht="15" hidden="false" customHeight="false" outlineLevel="0" collapsed="false">
      <c r="A26" s="64" t="s">
        <v>261</v>
      </c>
      <c r="B26" s="70" t="n">
        <f aca="false">Cenários!B49</f>
        <v>0</v>
      </c>
      <c r="C26" s="70" t="n">
        <f aca="false">Cenários!C49</f>
        <v>0</v>
      </c>
      <c r="D26" s="70" t="n">
        <f aca="false">Cenários!D49</f>
        <v>0</v>
      </c>
      <c r="E26" s="70" t="n">
        <f aca="false">Cenários!E49</f>
        <v>8500</v>
      </c>
      <c r="F26" s="70" t="n">
        <f aca="false">Cenários!F49</f>
        <v>400</v>
      </c>
      <c r="G26" s="70" t="n">
        <f aca="false">Cenários!G49</f>
        <v>-1700</v>
      </c>
      <c r="H26" s="70" t="n">
        <f aca="false">Cenários!H49</f>
        <v>1200</v>
      </c>
      <c r="I26" s="70" t="n">
        <f aca="false">Cenários!I49</f>
        <v>7972.18</v>
      </c>
      <c r="J26" s="70" t="n">
        <f aca="false">Cenários!J49</f>
        <v>-4627.82</v>
      </c>
      <c r="K26" s="70" t="n">
        <f aca="false">Cenários!K49</f>
        <v>4811.93195000001</v>
      </c>
      <c r="L26" s="70" t="n">
        <f aca="false">Cenários!L49</f>
        <v>11427.9205</v>
      </c>
      <c r="M26" s="70" t="n">
        <f aca="false">Cenários!M49</f>
        <v>-2238.250575</v>
      </c>
      <c r="N26" s="70" t="n">
        <f aca="false">Cenários!N49</f>
        <v>-104188.9562682</v>
      </c>
      <c r="O26" s="70" t="n">
        <f aca="false">Cenários!O49</f>
        <v>-198918.817939589</v>
      </c>
      <c r="P26" s="70" t="n">
        <f aca="false">Cenários!P49</f>
        <v>-297315.445817596</v>
      </c>
      <c r="Q26" s="70" t="n">
        <f aca="false">Cenários!Q49</f>
        <v>-371894.184784755</v>
      </c>
      <c r="R26" s="70" t="n">
        <f aca="false">Cenários!R49</f>
        <v>-441867.983456059</v>
      </c>
      <c r="S26" s="70" t="n">
        <f aca="false">Cenários!S49</f>
        <v>-499209.920836461</v>
      </c>
      <c r="T26" s="70" t="n">
        <f aca="false">Cenários!T49</f>
        <v>-587191.165712757</v>
      </c>
      <c r="U26" s="70" t="n">
        <f aca="false">Cenários!U49</f>
        <v>-647226.282059283</v>
      </c>
      <c r="V26" s="70" t="n">
        <f aca="false">Cenários!V49</f>
        <v>-704671.23816055</v>
      </c>
      <c r="W26" s="70" t="n">
        <f aca="false">Cenários!W49</f>
        <v>-750297.323296024</v>
      </c>
      <c r="X26" s="70" t="n">
        <f aca="false">Cenários!X49</f>
        <v>-793466.803768969</v>
      </c>
      <c r="Y26" s="70" t="n">
        <f aca="false">Cenários!Y49</f>
        <v>-819480.790052165</v>
      </c>
      <c r="Z26" s="70" t="n">
        <f aca="false">Cenários!Z49</f>
        <v>-1005934.41722334</v>
      </c>
      <c r="AA26" s="70" t="n">
        <f aca="false">Cenários!AA49</f>
        <v>-1185581.71499429</v>
      </c>
      <c r="AB26" s="70" t="n">
        <f aca="false">Cenários!AB49</f>
        <v>-1359016.99271966</v>
      </c>
      <c r="AC26" s="70" t="n">
        <f aca="false">Cenários!AC49</f>
        <v>-1526780.33917402</v>
      </c>
      <c r="AD26" s="70" t="n">
        <f aca="false">Cenários!AD49</f>
        <v>-1689441.80029033</v>
      </c>
      <c r="AE26" s="70" t="n">
        <f aca="false">Cenários!AE49</f>
        <v>-1862443.47785319</v>
      </c>
      <c r="AF26" s="70" t="n">
        <f aca="false">Cenários!AF49</f>
        <v>-2016217.35663649</v>
      </c>
      <c r="AG26" s="70" t="n">
        <f aca="false">Cenários!AG49</f>
        <v>-2166293.36217196</v>
      </c>
      <c r="AH26" s="70" t="n">
        <f aca="false">Cenários!AH49</f>
        <v>-2313280.49257668</v>
      </c>
      <c r="AI26" s="70" t="n">
        <f aca="false">Cenários!AI49</f>
        <v>-2457451.7400587</v>
      </c>
      <c r="AJ26" s="70" t="n">
        <f aca="false">Cenários!AJ49</f>
        <v>-2599028.15099745</v>
      </c>
      <c r="AK26" s="70" t="n">
        <f aca="false">Cenários!AK49</f>
        <v>-2738250.95454654</v>
      </c>
      <c r="AL26" s="70" t="n">
        <f aca="false">Cenários!AL49</f>
        <v>-3133397.95331223</v>
      </c>
      <c r="AM26" s="70" t="n">
        <f aca="false">Cenários!AM49</f>
        <v>-3518274.73916036</v>
      </c>
      <c r="AN26" s="70" t="n">
        <f aca="false">Cenários!AN49</f>
        <v>-3893848.77390543</v>
      </c>
      <c r="AO26" s="70" t="n">
        <f aca="false">Cenários!AO49</f>
        <v>-4209389.74012479</v>
      </c>
      <c r="AP26" s="70" t="n">
        <f aca="false">Cenários!AP49</f>
        <v>-4517714.65981207</v>
      </c>
      <c r="AQ26" s="70" t="n">
        <f aca="false">Cenários!AQ49</f>
        <v>-4844417.43220682</v>
      </c>
      <c r="AR26" s="70" t="n">
        <f aca="false">Cenários!AR49</f>
        <v>-5114285.84616628</v>
      </c>
      <c r="AS26" s="70" t="n">
        <f aca="false">Cenários!AS49</f>
        <v>-5382044.04053933</v>
      </c>
      <c r="AT26" s="70" t="n">
        <f aca="false">Cenários!AT49</f>
        <v>-5647994.29469499</v>
      </c>
      <c r="AU26" s="70" t="n">
        <f aca="false">Cenários!AU49</f>
        <v>-5912363.29051401</v>
      </c>
      <c r="AV26" s="70" t="n">
        <f aca="false">Cenários!AV49</f>
        <v>-6175304.02442518</v>
      </c>
      <c r="AW26" s="70" t="n">
        <f aca="false">Cenários!AW49</f>
        <v>-6421098.7891551</v>
      </c>
      <c r="AX26" s="70" t="n">
        <f aca="false">Cenários!AX49</f>
        <v>-6951018.08702697</v>
      </c>
      <c r="AY26" s="70" t="n">
        <f aca="false">Cenários!AY49</f>
        <v>-7462143.84027457</v>
      </c>
      <c r="AZ26" s="70" t="n">
        <f aca="false">Cenários!AZ49</f>
        <v>-7956108.17745384</v>
      </c>
      <c r="BA26" s="70" t="n">
        <f aca="false">Cenários!BA49</f>
        <v>-8434350.12920758</v>
      </c>
      <c r="BB26" s="70" t="n">
        <f aca="false">Cenários!BB49</f>
        <v>-8898251.35218352</v>
      </c>
      <c r="BC26" s="70" t="n">
        <f aca="false">Cenários!BC49</f>
        <v>-9378981.62460037</v>
      </c>
      <c r="BD26" s="70" t="n">
        <f aca="false">Cenários!BD49</f>
        <v>-9817689.32810044</v>
      </c>
      <c r="BE26" s="70" t="n">
        <f aca="false">Cenários!BE49</f>
        <v>-10245365.2175915</v>
      </c>
      <c r="BF26" s="70" t="n">
        <f aca="false">Cenários!BF49</f>
        <v>-10662960.5130263</v>
      </c>
      <c r="BG26" s="70" t="n">
        <f aca="false">Cenários!BG49</f>
        <v>-11071354.6187859</v>
      </c>
      <c r="BH26" s="70" t="n">
        <f aca="false">Cenários!BH49</f>
        <v>-11471285.9787649</v>
      </c>
      <c r="BI26" s="70" t="n">
        <f aca="false">Cenários!BI49</f>
        <v>-11863525.0246041</v>
      </c>
    </row>
    <row r="27" customFormat="false" ht="15" hidden="false" customHeight="false" outlineLevel="0" collapsed="false">
      <c r="A27" s="27" t="s">
        <v>262</v>
      </c>
      <c r="B27" s="60" t="n">
        <f aca="false">B26-B25</f>
        <v>-1500</v>
      </c>
      <c r="C27" s="60" t="n">
        <f aca="false">C26-C25</f>
        <v>-3600</v>
      </c>
      <c r="D27" s="60" t="n">
        <f aca="false">D26-D25</f>
        <v>-5700</v>
      </c>
      <c r="E27" s="60" t="n">
        <f aca="false">E26-E25</f>
        <v>2200</v>
      </c>
      <c r="F27" s="60" t="n">
        <f aca="false">F26-F25</f>
        <v>-5900</v>
      </c>
      <c r="G27" s="60" t="n">
        <f aca="false">G26-G25</f>
        <v>-8000</v>
      </c>
      <c r="H27" s="60" t="n">
        <f aca="false">H26-H25</f>
        <v>-8397.12</v>
      </c>
      <c r="I27" s="60" t="n">
        <f aca="false">I26-I25</f>
        <v>-5342.5</v>
      </c>
      <c r="J27" s="60" t="n">
        <f aca="false">J26-J25</f>
        <v>-22183.792</v>
      </c>
      <c r="K27" s="60" t="n">
        <f aca="false">K26-K25</f>
        <v>-75384.095298</v>
      </c>
      <c r="L27" s="60" t="n">
        <f aca="false">L26-L25</f>
        <v>-131913.768212192</v>
      </c>
      <c r="M27" s="60" t="n">
        <f aca="false">M26-M25</f>
        <v>-209220.809570822</v>
      </c>
      <c r="N27" s="60" t="n">
        <f aca="false">N26-N25</f>
        <v>-313693.080320423</v>
      </c>
      <c r="O27" s="60" t="n">
        <f aca="false">O26-O25</f>
        <v>-410540.240642798</v>
      </c>
      <c r="P27" s="60" t="n">
        <f aca="false">P26-P25</f>
        <v>-510506.553541297</v>
      </c>
      <c r="Q27" s="60" t="n">
        <f aca="false">Q26-Q25</f>
        <v>-586504.787846981</v>
      </c>
      <c r="R27" s="60" t="n">
        <f aca="false">R26-R25</f>
        <v>-657761.789024311</v>
      </c>
      <c r="S27" s="60" t="n">
        <f aca="false">S26-S25</f>
        <v>-716264.092590161</v>
      </c>
      <c r="T27" s="60" t="n">
        <f aca="false">T26-T25</f>
        <v>-805294.595778102</v>
      </c>
      <c r="U27" s="60" t="n">
        <f aca="false">U26-U25</f>
        <v>-866277.901158355</v>
      </c>
      <c r="V27" s="60" t="n">
        <f aca="false">V26-V25</f>
        <v>-924579.690306111</v>
      </c>
      <c r="W27" s="60" t="n">
        <f aca="false">W26-W25</f>
        <v>-1115179.20659982</v>
      </c>
      <c r="X27" s="60" t="n">
        <f aca="false">X26-X25</f>
        <v>-1303572.76131896</v>
      </c>
      <c r="Y27" s="60" t="n">
        <f aca="false">Y26-Y25</f>
        <v>-1475039.3822173</v>
      </c>
      <c r="Z27" s="60" t="n">
        <f aca="false">Z26-Z25</f>
        <v>-1662954.91091309</v>
      </c>
      <c r="AA27" s="60" t="n">
        <f aca="false">AA26-AA25</f>
        <v>-1843929.19807072</v>
      </c>
      <c r="AB27" s="60" t="n">
        <f aca="false">AB26-AB25</f>
        <v>-2018568.35588761</v>
      </c>
      <c r="AC27" s="60" t="n">
        <f aca="false">AC26-AC25</f>
        <v>-2187425.05050697</v>
      </c>
      <c r="AD27" s="60" t="n">
        <f aca="false">AD26-AD25</f>
        <v>-2351079.31670107</v>
      </c>
      <c r="AE27" s="60" t="n">
        <f aca="false">AE26-AE25</f>
        <v>-2524982.95047312</v>
      </c>
      <c r="AF27" s="60" t="n">
        <f aca="false">AF26-AF25</f>
        <v>-2679575.09934713</v>
      </c>
      <c r="AG27" s="60" t="n">
        <f aca="false">AG26-AG25</f>
        <v>-2830393.74078639</v>
      </c>
      <c r="AH27" s="60" t="n">
        <f aca="false">AH26-AH25</f>
        <v>-2978055.70439912</v>
      </c>
      <c r="AI27" s="60" t="n">
        <f aca="false">AI26-AI25</f>
        <v>-3383047.54065419</v>
      </c>
      <c r="AJ27" s="60" t="n">
        <f aca="false">AJ26-AJ25</f>
        <v>-3785813.27171363</v>
      </c>
      <c r="AK27" s="60" t="n">
        <f aca="false">AK26-AK25</f>
        <v>-4186560.69601985</v>
      </c>
      <c r="AL27" s="60" t="n">
        <f aca="false">AL26-AL25</f>
        <v>-4587168.24163272</v>
      </c>
      <c r="AM27" s="60" t="n">
        <f aca="false">AM26-AM25</f>
        <v>-4977498.31870996</v>
      </c>
      <c r="AN27" s="60" t="n">
        <f aca="false">AN26-AN25</f>
        <v>-5358520.72631094</v>
      </c>
      <c r="AO27" s="60" t="n">
        <f aca="false">AO26-AO25</f>
        <v>-5675668.67113066</v>
      </c>
      <c r="AP27" s="60" t="n">
        <f aca="false">AP26-AP25</f>
        <v>-5985459.12474136</v>
      </c>
      <c r="AQ27" s="60" t="n">
        <f aca="false">AQ26-AQ25</f>
        <v>-6313497.61248112</v>
      </c>
      <c r="AR27" s="60" t="n">
        <f aca="false">AR26-AR25</f>
        <v>-6584583.00457901</v>
      </c>
      <c r="AS27" s="60" t="n">
        <f aca="false">AS26-AS25</f>
        <v>-6853450.14818087</v>
      </c>
      <c r="AT27" s="60" t="n">
        <f aca="false">AT26-AT25</f>
        <v>-7120411.57761411</v>
      </c>
      <c r="AU27" s="60" t="n">
        <f aca="false">AU26-AU25</f>
        <v>-7679707.94678165</v>
      </c>
      <c r="AV27" s="60" t="n">
        <f aca="false">AV26-AV25</f>
        <v>-8238310.64889651</v>
      </c>
      <c r="AW27" s="60" t="n">
        <f aca="false">AW26-AW25</f>
        <v>-8780439.53287908</v>
      </c>
      <c r="AX27" s="60" t="n">
        <f aca="false">AX26-AX25</f>
        <v>-9313304.35376908</v>
      </c>
      <c r="AY27" s="60" t="n">
        <f aca="false">AY26-AY25</f>
        <v>-9827125.27960022</v>
      </c>
      <c r="AZ27" s="60" t="n">
        <f aca="false">AZ26-AZ25</f>
        <v>-10323555.988617</v>
      </c>
      <c r="BA27" s="60" t="n">
        <f aca="false">BA26-BA25</f>
        <v>-10804054.4966557</v>
      </c>
      <c r="BB27" s="60" t="n">
        <f aca="false">BB26-BB25</f>
        <v>-11270020.634569</v>
      </c>
      <c r="BC27" s="60" t="n">
        <f aca="false">BC26-BC25</f>
        <v>-11752640.6894521</v>
      </c>
      <c r="BD27" s="60" t="n">
        <f aca="false">BD26-BD25</f>
        <v>-12193078.0645519</v>
      </c>
      <c r="BE27" s="60" t="n">
        <f aca="false">BE26-BE25</f>
        <v>-12622336.1897822</v>
      </c>
      <c r="BF27" s="60" t="n">
        <f aca="false">BF26-BF25</f>
        <v>-13041379.2919959</v>
      </c>
      <c r="BG27" s="60" t="n">
        <f aca="false">BG26-BG25</f>
        <v>-13448370.6032966</v>
      </c>
      <c r="BH27" s="60" t="n">
        <f aca="false">BH26-BH25</f>
        <v>-13849745.3854705</v>
      </c>
      <c r="BI27" s="60" t="n">
        <f aca="false">BI26-BI25</f>
        <v>-14243305.9702967</v>
      </c>
      <c r="BK27" s="29" t="s">
        <v>263</v>
      </c>
    </row>
    <row r="28" customFormat="false" ht="15" hidden="false" customHeight="false" outlineLevel="0" collapsed="false">
      <c r="A28" s="62" t="s">
        <v>264</v>
      </c>
      <c r="B28" s="61" t="n">
        <f aca="false">MAX(0,B25-B26)</f>
        <v>1500</v>
      </c>
      <c r="C28" s="61" t="n">
        <f aca="false">MAX(0,C25-C26)</f>
        <v>3600</v>
      </c>
      <c r="D28" s="61" t="n">
        <f aca="false">MAX(0,D25-D26)</f>
        <v>5700</v>
      </c>
      <c r="E28" s="61" t="n">
        <f aca="false">MAX(0,E25-E26)</f>
        <v>0</v>
      </c>
      <c r="F28" s="61" t="n">
        <f aca="false">MAX(0,F25-F26)</f>
        <v>5900</v>
      </c>
      <c r="G28" s="61" t="n">
        <f aca="false">MAX(0,G25-G26)</f>
        <v>8000</v>
      </c>
      <c r="H28" s="61" t="n">
        <f aca="false">MAX(0,H25-H26)</f>
        <v>8397.12</v>
      </c>
      <c r="I28" s="61" t="n">
        <f aca="false">MAX(0,I25-I26)</f>
        <v>5342.5</v>
      </c>
      <c r="J28" s="61" t="n">
        <f aca="false">MAX(0,J25-J26)</f>
        <v>22183.792</v>
      </c>
      <c r="K28" s="61" t="n">
        <f aca="false">MAX(0,K25-K26)</f>
        <v>75384.095298</v>
      </c>
      <c r="L28" s="61" t="n">
        <f aca="false">MAX(0,L25-L26)</f>
        <v>131913.768212192</v>
      </c>
      <c r="M28" s="61" t="n">
        <f aca="false">MAX(0,M25-M26)</f>
        <v>209220.809570822</v>
      </c>
      <c r="N28" s="61" t="n">
        <f aca="false">MAX(0,N25-N26)</f>
        <v>313693.080320423</v>
      </c>
      <c r="O28" s="61" t="n">
        <f aca="false">MAX(0,O25-O26)</f>
        <v>410540.240642798</v>
      </c>
      <c r="P28" s="61" t="n">
        <f aca="false">MAX(0,P25-P26)</f>
        <v>510506.553541297</v>
      </c>
      <c r="Q28" s="61" t="n">
        <f aca="false">MAX(0,Q25-Q26)</f>
        <v>586504.787846981</v>
      </c>
      <c r="R28" s="61" t="n">
        <f aca="false">MAX(0,R25-R26)</f>
        <v>657761.789024311</v>
      </c>
      <c r="S28" s="61" t="n">
        <f aca="false">MAX(0,S25-S26)</f>
        <v>716264.092590161</v>
      </c>
      <c r="T28" s="61" t="n">
        <f aca="false">MAX(0,T25-T26)</f>
        <v>805294.595778102</v>
      </c>
      <c r="U28" s="61" t="n">
        <f aca="false">MAX(0,U25-U26)</f>
        <v>866277.901158355</v>
      </c>
      <c r="V28" s="61" t="n">
        <f aca="false">MAX(0,V25-V26)</f>
        <v>924579.690306111</v>
      </c>
      <c r="W28" s="61" t="n">
        <f aca="false">MAX(0,W25-W26)</f>
        <v>1115179.20659982</v>
      </c>
      <c r="X28" s="61" t="n">
        <f aca="false">MAX(0,X25-X26)</f>
        <v>1303572.76131896</v>
      </c>
      <c r="Y28" s="61" t="n">
        <f aca="false">MAX(0,Y25-Y26)</f>
        <v>1475039.3822173</v>
      </c>
      <c r="Z28" s="61" t="n">
        <f aca="false">MAX(0,Z25-Z26)</f>
        <v>1662954.91091309</v>
      </c>
      <c r="AA28" s="61" t="n">
        <f aca="false">MAX(0,AA25-AA26)</f>
        <v>1843929.19807072</v>
      </c>
      <c r="AB28" s="61" t="n">
        <f aca="false">MAX(0,AB25-AB26)</f>
        <v>2018568.35588761</v>
      </c>
      <c r="AC28" s="61" t="n">
        <f aca="false">MAX(0,AC25-AC26)</f>
        <v>2187425.05050697</v>
      </c>
      <c r="AD28" s="61" t="n">
        <f aca="false">MAX(0,AD25-AD26)</f>
        <v>2351079.31670107</v>
      </c>
      <c r="AE28" s="61" t="n">
        <f aca="false">MAX(0,AE25-AE26)</f>
        <v>2524982.95047312</v>
      </c>
      <c r="AF28" s="61" t="n">
        <f aca="false">MAX(0,AF25-AF26)</f>
        <v>2679575.09934713</v>
      </c>
      <c r="AG28" s="61" t="n">
        <f aca="false">MAX(0,AG25-AG26)</f>
        <v>2830393.74078639</v>
      </c>
      <c r="AH28" s="61" t="n">
        <f aca="false">MAX(0,AH25-AH26)</f>
        <v>2978055.70439912</v>
      </c>
      <c r="AI28" s="61" t="n">
        <f aca="false">MAX(0,AI25-AI26)</f>
        <v>3383047.54065419</v>
      </c>
      <c r="AJ28" s="61" t="n">
        <f aca="false">MAX(0,AJ25-AJ26)</f>
        <v>3785813.27171363</v>
      </c>
      <c r="AK28" s="61" t="n">
        <f aca="false">MAX(0,AK25-AK26)</f>
        <v>4186560.69601985</v>
      </c>
      <c r="AL28" s="61" t="n">
        <f aca="false">MAX(0,AL25-AL26)</f>
        <v>4587168.24163272</v>
      </c>
      <c r="AM28" s="61" t="n">
        <f aca="false">MAX(0,AM25-AM26)</f>
        <v>4977498.31870996</v>
      </c>
      <c r="AN28" s="61" t="n">
        <f aca="false">MAX(0,AN25-AN26)</f>
        <v>5358520.72631094</v>
      </c>
      <c r="AO28" s="61" t="n">
        <f aca="false">MAX(0,AO25-AO26)</f>
        <v>5675668.67113066</v>
      </c>
      <c r="AP28" s="61" t="n">
        <f aca="false">MAX(0,AP25-AP26)</f>
        <v>5985459.12474136</v>
      </c>
      <c r="AQ28" s="61" t="n">
        <f aca="false">MAX(0,AQ25-AQ26)</f>
        <v>6313497.61248112</v>
      </c>
      <c r="AR28" s="61" t="n">
        <f aca="false">MAX(0,AR25-AR26)</f>
        <v>6584583.00457901</v>
      </c>
      <c r="AS28" s="61" t="n">
        <f aca="false">MAX(0,AS25-AS26)</f>
        <v>6853450.14818087</v>
      </c>
      <c r="AT28" s="61" t="n">
        <f aca="false">MAX(0,AT25-AT26)</f>
        <v>7120411.57761411</v>
      </c>
      <c r="AU28" s="61" t="n">
        <f aca="false">MAX(0,AU25-AU26)</f>
        <v>7679707.94678165</v>
      </c>
      <c r="AV28" s="61" t="n">
        <f aca="false">MAX(0,AV25-AV26)</f>
        <v>8238310.64889651</v>
      </c>
      <c r="AW28" s="61" t="n">
        <f aca="false">MAX(0,AW25-AW26)</f>
        <v>8780439.53287908</v>
      </c>
      <c r="AX28" s="61" t="n">
        <f aca="false">MAX(0,AX25-AX26)</f>
        <v>9313304.35376908</v>
      </c>
      <c r="AY28" s="61" t="n">
        <f aca="false">MAX(0,AY25-AY26)</f>
        <v>9827125.27960022</v>
      </c>
      <c r="AZ28" s="61" t="n">
        <f aca="false">MAX(0,AZ25-AZ26)</f>
        <v>10323555.988617</v>
      </c>
      <c r="BA28" s="61" t="n">
        <f aca="false">MAX(0,BA25-BA26)</f>
        <v>10804054.4966557</v>
      </c>
      <c r="BB28" s="61" t="n">
        <f aca="false">MAX(0,BB25-BB26)</f>
        <v>11270020.634569</v>
      </c>
      <c r="BC28" s="61" t="n">
        <f aca="false">MAX(0,BC25-BC26)</f>
        <v>11752640.6894521</v>
      </c>
      <c r="BD28" s="61" t="n">
        <f aca="false">MAX(0,BD25-BD26)</f>
        <v>12193078.0645519</v>
      </c>
      <c r="BE28" s="61" t="n">
        <f aca="false">MAX(0,BE25-BE26)</f>
        <v>12622336.1897822</v>
      </c>
      <c r="BF28" s="61" t="n">
        <f aca="false">MAX(0,BF25-BF26)</f>
        <v>13041379.2919959</v>
      </c>
      <c r="BG28" s="61" t="n">
        <f aca="false">MAX(0,BG25-BG26)</f>
        <v>13448370.6032966</v>
      </c>
      <c r="BH28" s="61" t="n">
        <f aca="false">MAX(0,BH25-BH26)</f>
        <v>13849745.3854705</v>
      </c>
      <c r="BI28" s="61" t="n">
        <f aca="false">MAX(0,BI25-BI26)</f>
        <v>14243305.9702967</v>
      </c>
      <c r="BK28" s="29" t="s">
        <v>265</v>
      </c>
    </row>
    <row r="29" customFormat="false" ht="15" hidden="false" customHeight="false" outlineLevel="0" collapsed="false">
      <c r="A29" s="62" t="s">
        <v>266</v>
      </c>
      <c r="B29" s="63" t="n">
        <f aca="false">MAX($B28:B28)</f>
        <v>1500</v>
      </c>
      <c r="C29" s="63" t="n">
        <f aca="false">MAX($B28:C28)</f>
        <v>3600</v>
      </c>
      <c r="D29" s="63" t="n">
        <f aca="false">MAX($B28:D28)</f>
        <v>5700</v>
      </c>
      <c r="E29" s="63" t="n">
        <f aca="false">MAX($B28:E28)</f>
        <v>5700</v>
      </c>
      <c r="F29" s="63" t="n">
        <f aca="false">MAX($B28:F28)</f>
        <v>5900</v>
      </c>
      <c r="G29" s="63" t="n">
        <f aca="false">MAX($B28:G28)</f>
        <v>8000</v>
      </c>
      <c r="H29" s="63" t="n">
        <f aca="false">MAX($B28:H28)</f>
        <v>8397.12</v>
      </c>
      <c r="I29" s="63" t="n">
        <f aca="false">MAX($B28:I28)</f>
        <v>8397.12</v>
      </c>
      <c r="J29" s="63" t="n">
        <f aca="false">MAX($B28:J28)</f>
        <v>22183.792</v>
      </c>
      <c r="K29" s="63" t="n">
        <f aca="false">MAX($B28:K28)</f>
        <v>75384.095298</v>
      </c>
      <c r="L29" s="63" t="n">
        <f aca="false">MAX($B28:L28)</f>
        <v>131913.768212192</v>
      </c>
      <c r="M29" s="63" t="n">
        <f aca="false">MAX($B28:M28)</f>
        <v>209220.809570822</v>
      </c>
      <c r="N29" s="63" t="n">
        <f aca="false">MAX($B28:N28)</f>
        <v>313693.080320423</v>
      </c>
      <c r="O29" s="63" t="n">
        <f aca="false">MAX($B28:O28)</f>
        <v>410540.240642798</v>
      </c>
      <c r="P29" s="63" t="n">
        <f aca="false">MAX($B28:P28)</f>
        <v>510506.553541297</v>
      </c>
      <c r="Q29" s="63" t="n">
        <f aca="false">MAX($B28:Q28)</f>
        <v>586504.787846981</v>
      </c>
      <c r="R29" s="63" t="n">
        <f aca="false">MAX($B28:R28)</f>
        <v>657761.789024311</v>
      </c>
      <c r="S29" s="63" t="n">
        <f aca="false">MAX($B28:S28)</f>
        <v>716264.092590161</v>
      </c>
      <c r="T29" s="63" t="n">
        <f aca="false">MAX($B28:T28)</f>
        <v>805294.595778102</v>
      </c>
      <c r="U29" s="63" t="n">
        <f aca="false">MAX($B28:U28)</f>
        <v>866277.901158355</v>
      </c>
      <c r="V29" s="63" t="n">
        <f aca="false">MAX($B28:V28)</f>
        <v>924579.690306111</v>
      </c>
      <c r="W29" s="63" t="n">
        <f aca="false">MAX($B28:W28)</f>
        <v>1115179.20659982</v>
      </c>
      <c r="X29" s="63" t="n">
        <f aca="false">MAX($B28:X28)</f>
        <v>1303572.76131896</v>
      </c>
      <c r="Y29" s="63" t="n">
        <f aca="false">MAX($B28:Y28)</f>
        <v>1475039.3822173</v>
      </c>
      <c r="Z29" s="63" t="n">
        <f aca="false">MAX($B28:Z28)</f>
        <v>1662954.91091309</v>
      </c>
      <c r="AA29" s="63" t="n">
        <f aca="false">MAX($B28:AA28)</f>
        <v>1843929.19807072</v>
      </c>
      <c r="AB29" s="63" t="n">
        <f aca="false">MAX($B28:AB28)</f>
        <v>2018568.35588761</v>
      </c>
      <c r="AC29" s="63" t="n">
        <f aca="false">MAX($B28:AC28)</f>
        <v>2187425.05050697</v>
      </c>
      <c r="AD29" s="63" t="n">
        <f aca="false">MAX($B28:AD28)</f>
        <v>2351079.31670107</v>
      </c>
      <c r="AE29" s="63" t="n">
        <f aca="false">MAX($B28:AE28)</f>
        <v>2524982.95047312</v>
      </c>
      <c r="AF29" s="63" t="n">
        <f aca="false">MAX($B28:AF28)</f>
        <v>2679575.09934713</v>
      </c>
      <c r="AG29" s="63" t="n">
        <f aca="false">MAX($B28:AG28)</f>
        <v>2830393.74078639</v>
      </c>
      <c r="AH29" s="63" t="n">
        <f aca="false">MAX($B28:AH28)</f>
        <v>2978055.70439912</v>
      </c>
      <c r="AI29" s="63" t="n">
        <f aca="false">MAX($B28:AI28)</f>
        <v>3383047.54065419</v>
      </c>
      <c r="AJ29" s="63" t="n">
        <f aca="false">MAX($B28:AJ28)</f>
        <v>3785813.27171363</v>
      </c>
      <c r="AK29" s="63" t="n">
        <f aca="false">MAX($B28:AK28)</f>
        <v>4186560.69601985</v>
      </c>
      <c r="AL29" s="63" t="n">
        <f aca="false">MAX($B28:AL28)</f>
        <v>4587168.24163272</v>
      </c>
      <c r="AM29" s="63" t="n">
        <f aca="false">MAX($B28:AM28)</f>
        <v>4977498.31870996</v>
      </c>
      <c r="AN29" s="63" t="n">
        <f aca="false">MAX($B28:AN28)</f>
        <v>5358520.72631094</v>
      </c>
      <c r="AO29" s="63" t="n">
        <f aca="false">MAX($B28:AO28)</f>
        <v>5675668.67113066</v>
      </c>
      <c r="AP29" s="63" t="n">
        <f aca="false">MAX($B28:AP28)</f>
        <v>5985459.12474136</v>
      </c>
      <c r="AQ29" s="63" t="n">
        <f aca="false">MAX($B28:AQ28)</f>
        <v>6313497.61248112</v>
      </c>
      <c r="AR29" s="63" t="n">
        <f aca="false">MAX($B28:AR28)</f>
        <v>6584583.00457901</v>
      </c>
      <c r="AS29" s="63" t="n">
        <f aca="false">MAX($B28:AS28)</f>
        <v>6853450.14818087</v>
      </c>
      <c r="AT29" s="63" t="n">
        <f aca="false">MAX($B28:AT28)</f>
        <v>7120411.57761411</v>
      </c>
      <c r="AU29" s="63" t="n">
        <f aca="false">MAX($B28:AU28)</f>
        <v>7679707.94678165</v>
      </c>
      <c r="AV29" s="63" t="n">
        <f aca="false">MAX($B28:AV28)</f>
        <v>8238310.64889651</v>
      </c>
      <c r="AW29" s="63" t="n">
        <f aca="false">MAX($B28:AW28)</f>
        <v>8780439.53287908</v>
      </c>
      <c r="AX29" s="63" t="n">
        <f aca="false">MAX($B28:AX28)</f>
        <v>9313304.35376908</v>
      </c>
      <c r="AY29" s="63" t="n">
        <f aca="false">MAX($B28:AY28)</f>
        <v>9827125.27960022</v>
      </c>
      <c r="AZ29" s="63" t="n">
        <f aca="false">MAX($B28:AZ28)</f>
        <v>10323555.988617</v>
      </c>
      <c r="BA29" s="63" t="n">
        <f aca="false">MAX($B28:BA28)</f>
        <v>10804054.4966557</v>
      </c>
      <c r="BB29" s="63" t="n">
        <f aca="false">MAX($B28:BB28)</f>
        <v>11270020.634569</v>
      </c>
      <c r="BC29" s="63" t="n">
        <f aca="false">MAX($B28:BC28)</f>
        <v>11752640.6894521</v>
      </c>
      <c r="BD29" s="63" t="n">
        <f aca="false">MAX($B28:BD28)</f>
        <v>12193078.0645519</v>
      </c>
      <c r="BE29" s="63" t="n">
        <f aca="false">MAX($B28:BE28)</f>
        <v>12622336.1897822</v>
      </c>
      <c r="BF29" s="63" t="n">
        <f aca="false">MAX($B28:BF28)</f>
        <v>13041379.2919959</v>
      </c>
      <c r="BG29" s="63" t="n">
        <f aca="false">MAX($B28:BG28)</f>
        <v>13448370.6032966</v>
      </c>
      <c r="BH29" s="63" t="n">
        <f aca="false">MAX($B28:BH28)</f>
        <v>13849745.3854705</v>
      </c>
      <c r="BI29" s="63" t="n">
        <f aca="false">MAX($B28:BI28)</f>
        <v>14243305.9702967</v>
      </c>
      <c r="BK29" s="29" t="s">
        <v>267</v>
      </c>
    </row>
    <row r="30" customFormat="false" ht="15" hidden="false" customHeight="false" outlineLevel="0" collapsed="false">
      <c r="A30" s="71" t="s">
        <v>268</v>
      </c>
      <c r="B30" s="72" t="n">
        <f aca="false">IF(B26&lt;0,B$5,9999)</f>
        <v>9999</v>
      </c>
      <c r="C30" s="72" t="n">
        <f aca="false">IF(C26&lt;0,C$5,9999)</f>
        <v>9999</v>
      </c>
      <c r="D30" s="72" t="n">
        <f aca="false">IF(D26&lt;0,D$5,9999)</f>
        <v>9999</v>
      </c>
      <c r="E30" s="72" t="n">
        <f aca="false">IF(E26&lt;0,E$5,9999)</f>
        <v>9999</v>
      </c>
      <c r="F30" s="72" t="n">
        <f aca="false">IF(F26&lt;0,F$5,9999)</f>
        <v>9999</v>
      </c>
      <c r="G30" s="72" t="n">
        <f aca="false">IF(G26&lt;0,G$5,9999)</f>
        <v>6</v>
      </c>
      <c r="H30" s="72" t="n">
        <f aca="false">IF(H26&lt;0,H$5,9999)</f>
        <v>9999</v>
      </c>
      <c r="I30" s="72" t="n">
        <f aca="false">IF(I26&lt;0,I$5,9999)</f>
        <v>9999</v>
      </c>
      <c r="J30" s="72" t="n">
        <f aca="false">IF(J26&lt;0,J$5,9999)</f>
        <v>9</v>
      </c>
      <c r="K30" s="72" t="n">
        <f aca="false">IF(K26&lt;0,K$5,9999)</f>
        <v>9999</v>
      </c>
      <c r="L30" s="72" t="n">
        <f aca="false">IF(L26&lt;0,L$5,9999)</f>
        <v>9999</v>
      </c>
      <c r="M30" s="72" t="n">
        <f aca="false">IF(M26&lt;0,M$5,9999)</f>
        <v>12</v>
      </c>
      <c r="N30" s="72" t="n">
        <f aca="false">IF(N26&lt;0,N$5,9999)</f>
        <v>13</v>
      </c>
      <c r="O30" s="72" t="n">
        <f aca="false">IF(O26&lt;0,O$5,9999)</f>
        <v>14</v>
      </c>
      <c r="P30" s="72" t="n">
        <f aca="false">IF(P26&lt;0,P$5,9999)</f>
        <v>15</v>
      </c>
      <c r="Q30" s="72" t="n">
        <f aca="false">IF(Q26&lt;0,Q$5,9999)</f>
        <v>16</v>
      </c>
      <c r="R30" s="72" t="n">
        <f aca="false">IF(R26&lt;0,R$5,9999)</f>
        <v>17</v>
      </c>
      <c r="S30" s="72" t="n">
        <f aca="false">IF(S26&lt;0,S$5,9999)</f>
        <v>18</v>
      </c>
      <c r="T30" s="72" t="n">
        <f aca="false">IF(T26&lt;0,T$5,9999)</f>
        <v>19</v>
      </c>
      <c r="U30" s="72" t="n">
        <f aca="false">IF(U26&lt;0,U$5,9999)</f>
        <v>20</v>
      </c>
      <c r="V30" s="72" t="n">
        <f aca="false">IF(V26&lt;0,V$5,9999)</f>
        <v>21</v>
      </c>
      <c r="W30" s="72" t="n">
        <f aca="false">IF(W26&lt;0,W$5,9999)</f>
        <v>22</v>
      </c>
      <c r="X30" s="72" t="n">
        <f aca="false">IF(X26&lt;0,X$5,9999)</f>
        <v>23</v>
      </c>
      <c r="Y30" s="72" t="n">
        <f aca="false">IF(Y26&lt;0,Y$5,9999)</f>
        <v>24</v>
      </c>
      <c r="Z30" s="72" t="n">
        <f aca="false">IF(Z26&lt;0,Z$5,9999)</f>
        <v>25</v>
      </c>
      <c r="AA30" s="72" t="n">
        <f aca="false">IF(AA26&lt;0,AA$5,9999)</f>
        <v>26</v>
      </c>
      <c r="AB30" s="72" t="n">
        <f aca="false">IF(AB26&lt;0,AB$5,9999)</f>
        <v>27</v>
      </c>
      <c r="AC30" s="72" t="n">
        <f aca="false">IF(AC26&lt;0,AC$5,9999)</f>
        <v>28</v>
      </c>
      <c r="AD30" s="72" t="n">
        <f aca="false">IF(AD26&lt;0,AD$5,9999)</f>
        <v>29</v>
      </c>
      <c r="AE30" s="72" t="n">
        <f aca="false">IF(AE26&lt;0,AE$5,9999)</f>
        <v>30</v>
      </c>
      <c r="AF30" s="72" t="n">
        <f aca="false">IF(AF26&lt;0,AF$5,9999)</f>
        <v>31</v>
      </c>
      <c r="AG30" s="72" t="n">
        <f aca="false">IF(AG26&lt;0,AG$5,9999)</f>
        <v>32</v>
      </c>
      <c r="AH30" s="72" t="n">
        <f aca="false">IF(AH26&lt;0,AH$5,9999)</f>
        <v>33</v>
      </c>
      <c r="AI30" s="72" t="n">
        <f aca="false">IF(AI26&lt;0,AI$5,9999)</f>
        <v>34</v>
      </c>
      <c r="AJ30" s="72" t="n">
        <f aca="false">IF(AJ26&lt;0,AJ$5,9999)</f>
        <v>35</v>
      </c>
      <c r="AK30" s="72" t="n">
        <f aca="false">IF(AK26&lt;0,AK$5,9999)</f>
        <v>36</v>
      </c>
      <c r="AL30" s="72" t="n">
        <f aca="false">IF(AL26&lt;0,AL$5,9999)</f>
        <v>37</v>
      </c>
      <c r="AM30" s="72" t="n">
        <f aca="false">IF(AM26&lt;0,AM$5,9999)</f>
        <v>38</v>
      </c>
      <c r="AN30" s="72" t="n">
        <f aca="false">IF(AN26&lt;0,AN$5,9999)</f>
        <v>39</v>
      </c>
      <c r="AO30" s="72" t="n">
        <f aca="false">IF(AO26&lt;0,AO$5,9999)</f>
        <v>40</v>
      </c>
      <c r="AP30" s="72" t="n">
        <f aca="false">IF(AP26&lt;0,AP$5,9999)</f>
        <v>41</v>
      </c>
      <c r="AQ30" s="72" t="n">
        <f aca="false">IF(AQ26&lt;0,AQ$5,9999)</f>
        <v>42</v>
      </c>
      <c r="AR30" s="72" t="n">
        <f aca="false">IF(AR26&lt;0,AR$5,9999)</f>
        <v>43</v>
      </c>
      <c r="AS30" s="72" t="n">
        <f aca="false">IF(AS26&lt;0,AS$5,9999)</f>
        <v>44</v>
      </c>
      <c r="AT30" s="72" t="n">
        <f aca="false">IF(AT26&lt;0,AT$5,9999)</f>
        <v>45</v>
      </c>
      <c r="AU30" s="72" t="n">
        <f aca="false">IF(AU26&lt;0,AU$5,9999)</f>
        <v>46</v>
      </c>
      <c r="AV30" s="72" t="n">
        <f aca="false">IF(AV26&lt;0,AV$5,9999)</f>
        <v>47</v>
      </c>
      <c r="AW30" s="72" t="n">
        <f aca="false">IF(AW26&lt;0,AW$5,9999)</f>
        <v>48</v>
      </c>
      <c r="AX30" s="72" t="n">
        <f aca="false">IF(AX26&lt;0,AX$5,9999)</f>
        <v>49</v>
      </c>
      <c r="AY30" s="72" t="n">
        <f aca="false">IF(AY26&lt;0,AY$5,9999)</f>
        <v>50</v>
      </c>
      <c r="AZ30" s="72" t="n">
        <f aca="false">IF(AZ26&lt;0,AZ$5,9999)</f>
        <v>51</v>
      </c>
      <c r="BA30" s="72" t="n">
        <f aca="false">IF(BA26&lt;0,BA$5,9999)</f>
        <v>52</v>
      </c>
      <c r="BB30" s="72" t="n">
        <f aca="false">IF(BB26&lt;0,BB$5,9999)</f>
        <v>53</v>
      </c>
      <c r="BC30" s="72" t="n">
        <f aca="false">IF(BC26&lt;0,BC$5,9999)</f>
        <v>54</v>
      </c>
      <c r="BD30" s="72" t="n">
        <f aca="false">IF(BD26&lt;0,BD$5,9999)</f>
        <v>55</v>
      </c>
      <c r="BE30" s="72" t="n">
        <f aca="false">IF(BE26&lt;0,BE$5,9999)</f>
        <v>56</v>
      </c>
      <c r="BF30" s="72" t="n">
        <f aca="false">IF(BF26&lt;0,BF$5,9999)</f>
        <v>57</v>
      </c>
      <c r="BG30" s="72" t="n">
        <f aca="false">IF(BG26&lt;0,BG$5,9999)</f>
        <v>58</v>
      </c>
      <c r="BH30" s="72" t="n">
        <f aca="false">IF(BH26&lt;0,BH$5,9999)</f>
        <v>59</v>
      </c>
      <c r="BI30" s="72" t="n">
        <f aca="false">IF(BI26&lt;0,BI$5,9999)</f>
        <v>60</v>
      </c>
      <c r="BK30" s="29" t="s">
        <v>269</v>
      </c>
    </row>
    <row r="31" customFormat="false" ht="15" hidden="false" customHeight="false" outlineLevel="0" collapsed="false">
      <c r="A31" s="71" t="s">
        <v>270</v>
      </c>
      <c r="B31" s="73" t="str">
        <f aca="false">IFERROR(IF(B24&lt;=0,"",MAX(0,B26)/B24),"")</f>
        <v/>
      </c>
      <c r="C31" s="73" t="str">
        <f aca="false">IFERROR(IF(C24&lt;=0,"",MAX(0,C26)/C24),"")</f>
        <v/>
      </c>
      <c r="D31" s="73" t="str">
        <f aca="false">IFERROR(IF(D24&lt;=0,"",MAX(0,D26)/D24),"")</f>
        <v/>
      </c>
      <c r="E31" s="73" t="n">
        <f aca="false">IFERROR(IF(E24&lt;=0,"",MAX(0,E26)/E24),"")</f>
        <v>5.66666666666667</v>
      </c>
      <c r="F31" s="73" t="n">
        <f aca="false">IFERROR(IF(F24&lt;=0,"",MAX(0,F26)/F24),"")</f>
        <v>0.19047619047619</v>
      </c>
      <c r="G31" s="73" t="n">
        <f aca="false">IFERROR(IF(G24&lt;=0,"",MAX(0,G26)/G24),"")</f>
        <v>0</v>
      </c>
      <c r="H31" s="73" t="n">
        <f aca="false">IFERROR(IF(H24&lt;=0,"",MAX(0,H26)/H24),"")</f>
        <v>0.571428571428571</v>
      </c>
      <c r="I31" s="73" t="n">
        <f aca="false">IFERROR(IF(I24&lt;=0,"",MAX(0,I26)/I24),"")</f>
        <v>3.79627619047619</v>
      </c>
      <c r="J31" s="73" t="n">
        <f aca="false">IFERROR(IF(J24&lt;=0,"",MAX(0,J26)/J24),"")</f>
        <v>0</v>
      </c>
      <c r="K31" s="73" t="n">
        <f aca="false">IFERROR(IF(K24&lt;=0,"",MAX(0,K26)/K24),"")</f>
        <v>0.891574015400807</v>
      </c>
      <c r="L31" s="73" t="n">
        <f aca="false">IFERROR(IF(L24&lt;=0,"",MAX(0,L26)/L24),"")</f>
        <v>1.96438377945393</v>
      </c>
      <c r="M31" s="73" t="n">
        <f aca="false">IFERROR(IF(M24&lt;=0,"",MAX(0,M26)/M24),"")</f>
        <v>0</v>
      </c>
      <c r="N31" s="73" t="n">
        <f aca="false">IFERROR(IF(N24&lt;=0,"",MAX(0,N26)/N24),"")</f>
        <v>0</v>
      </c>
      <c r="O31" s="73" t="n">
        <f aca="false">IFERROR(IF(O24&lt;=0,"",MAX(0,O26)/O24),"")</f>
        <v>0</v>
      </c>
      <c r="P31" s="73" t="n">
        <f aca="false">IFERROR(IF(P24&lt;=0,"",MAX(0,P26)/P24),"")</f>
        <v>0</v>
      </c>
      <c r="Q31" s="73" t="n">
        <f aca="false">IFERROR(IF(Q24&lt;=0,"",MAX(0,Q26)/Q24),"")</f>
        <v>0</v>
      </c>
      <c r="R31" s="73" t="n">
        <f aca="false">IFERROR(IF(R24&lt;=0,"",MAX(0,R26)/R24),"")</f>
        <v>0</v>
      </c>
      <c r="S31" s="73" t="n">
        <f aca="false">IFERROR(IF(S24&lt;=0,"",MAX(0,S26)/S24),"")</f>
        <v>0</v>
      </c>
      <c r="T31" s="73" t="n">
        <f aca="false">IFERROR(IF(T24&lt;=0,"",MAX(0,T26)/T24),"")</f>
        <v>0</v>
      </c>
      <c r="U31" s="73" t="n">
        <f aca="false">IFERROR(IF(U24&lt;=0,"",MAX(0,U26)/U24),"")</f>
        <v>0</v>
      </c>
      <c r="V31" s="73" t="n">
        <f aca="false">IFERROR(IF(V24&lt;=0,"",MAX(0,V26)/V24),"")</f>
        <v>0</v>
      </c>
      <c r="W31" s="73" t="n">
        <f aca="false">IFERROR(IF(W24&lt;=0,"",MAX(0,W26)/W24),"")</f>
        <v>0</v>
      </c>
      <c r="X31" s="73" t="n">
        <f aca="false">IFERROR(IF(X24&lt;=0,"",MAX(0,X26)/X24),"")</f>
        <v>0</v>
      </c>
      <c r="Y31" s="73" t="n">
        <f aca="false">IFERROR(IF(Y24&lt;=0,"",MAX(0,Y26)/Y24),"")</f>
        <v>0</v>
      </c>
      <c r="Z31" s="73" t="n">
        <f aca="false">IFERROR(IF(Z24&lt;=0,"",MAX(0,Z26)/Z24),"")</f>
        <v>0</v>
      </c>
      <c r="AA31" s="73" t="n">
        <f aca="false">IFERROR(IF(AA24&lt;=0,"",MAX(0,AA26)/AA24),"")</f>
        <v>0</v>
      </c>
      <c r="AB31" s="73" t="n">
        <f aca="false">IFERROR(IF(AB24&lt;=0,"",MAX(0,AB26)/AB24),"")</f>
        <v>0</v>
      </c>
      <c r="AC31" s="73" t="n">
        <f aca="false">IFERROR(IF(AC24&lt;=0,"",MAX(0,AC26)/AC24),"")</f>
        <v>0</v>
      </c>
      <c r="AD31" s="73" t="n">
        <f aca="false">IFERROR(IF(AD24&lt;=0,"",MAX(0,AD26)/AD24),"")</f>
        <v>0</v>
      </c>
      <c r="AE31" s="73" t="n">
        <f aca="false">IFERROR(IF(AE24&lt;=0,"",MAX(0,AE26)/AE24),"")</f>
        <v>0</v>
      </c>
      <c r="AF31" s="73" t="n">
        <f aca="false">IFERROR(IF(AF24&lt;=0,"",MAX(0,AF26)/AF24),"")</f>
        <v>0</v>
      </c>
      <c r="AG31" s="73" t="n">
        <f aca="false">IFERROR(IF(AG24&lt;=0,"",MAX(0,AG26)/AG24),"")</f>
        <v>0</v>
      </c>
      <c r="AH31" s="73" t="n">
        <f aca="false">IFERROR(IF(AH24&lt;=0,"",MAX(0,AH26)/AH24),"")</f>
        <v>0</v>
      </c>
      <c r="AI31" s="73" t="n">
        <f aca="false">IFERROR(IF(AI24&lt;=0,"",MAX(0,AI26)/AI24),"")</f>
        <v>0</v>
      </c>
      <c r="AJ31" s="73" t="n">
        <f aca="false">IFERROR(IF(AJ24&lt;=0,"",MAX(0,AJ26)/AJ24),"")</f>
        <v>0</v>
      </c>
      <c r="AK31" s="73" t="n">
        <f aca="false">IFERROR(IF(AK24&lt;=0,"",MAX(0,AK26)/AK24),"")</f>
        <v>0</v>
      </c>
      <c r="AL31" s="73" t="n">
        <f aca="false">IFERROR(IF(AL24&lt;=0,"",MAX(0,AL26)/AL24),"")</f>
        <v>0</v>
      </c>
      <c r="AM31" s="73" t="n">
        <f aca="false">IFERROR(IF(AM24&lt;=0,"",MAX(0,AM26)/AM24),"")</f>
        <v>0</v>
      </c>
      <c r="AN31" s="73" t="n">
        <f aca="false">IFERROR(IF(AN24&lt;=0,"",MAX(0,AN26)/AN24),"")</f>
        <v>0</v>
      </c>
      <c r="AO31" s="73" t="n">
        <f aca="false">IFERROR(IF(AO24&lt;=0,"",MAX(0,AO26)/AO24),"")</f>
        <v>0</v>
      </c>
      <c r="AP31" s="73" t="n">
        <f aca="false">IFERROR(IF(AP24&lt;=0,"",MAX(0,AP26)/AP24),"")</f>
        <v>0</v>
      </c>
      <c r="AQ31" s="73" t="n">
        <f aca="false">IFERROR(IF(AQ24&lt;=0,"",MAX(0,AQ26)/AQ24),"")</f>
        <v>0</v>
      </c>
      <c r="AR31" s="73" t="n">
        <f aca="false">IFERROR(IF(AR24&lt;=0,"",MAX(0,AR26)/AR24),"")</f>
        <v>0</v>
      </c>
      <c r="AS31" s="73" t="n">
        <f aca="false">IFERROR(IF(AS24&lt;=0,"",MAX(0,AS26)/AS24),"")</f>
        <v>0</v>
      </c>
      <c r="AT31" s="73" t="n">
        <f aca="false">IFERROR(IF(AT24&lt;=0,"",MAX(0,AT26)/AT24),"")</f>
        <v>0</v>
      </c>
      <c r="AU31" s="73" t="n">
        <f aca="false">IFERROR(IF(AU24&lt;=0,"",MAX(0,AU26)/AU24),"")</f>
        <v>0</v>
      </c>
      <c r="AV31" s="73" t="n">
        <f aca="false">IFERROR(IF(AV24&lt;=0,"",MAX(0,AV26)/AV24),"")</f>
        <v>0</v>
      </c>
      <c r="AW31" s="73" t="n">
        <f aca="false">IFERROR(IF(AW24&lt;=0,"",MAX(0,AW26)/AW24),"")</f>
        <v>0</v>
      </c>
      <c r="AX31" s="73" t="n">
        <f aca="false">IFERROR(IF(AX24&lt;=0,"",MAX(0,AX26)/AX24),"")</f>
        <v>0</v>
      </c>
      <c r="AY31" s="73" t="n">
        <f aca="false">IFERROR(IF(AY24&lt;=0,"",MAX(0,AY26)/AY24),"")</f>
        <v>0</v>
      </c>
      <c r="AZ31" s="73" t="n">
        <f aca="false">IFERROR(IF(AZ24&lt;=0,"",MAX(0,AZ26)/AZ24),"")</f>
        <v>0</v>
      </c>
      <c r="BA31" s="73" t="n">
        <f aca="false">IFERROR(IF(BA24&lt;=0,"",MAX(0,BA26)/BA24),"")</f>
        <v>0</v>
      </c>
      <c r="BB31" s="73" t="n">
        <f aca="false">IFERROR(IF(BB24&lt;=0,"",MAX(0,BB26)/BB24),"")</f>
        <v>0</v>
      </c>
      <c r="BC31" s="73" t="n">
        <f aca="false">IFERROR(IF(BC24&lt;=0,"",MAX(0,BC26)/BC24),"")</f>
        <v>0</v>
      </c>
      <c r="BD31" s="73" t="n">
        <f aca="false">IFERROR(IF(BD24&lt;=0,"",MAX(0,BD26)/BD24),"")</f>
        <v>0</v>
      </c>
      <c r="BE31" s="73" t="n">
        <f aca="false">IFERROR(IF(BE24&lt;=0,"",MAX(0,BE26)/BE24),"")</f>
        <v>0</v>
      </c>
      <c r="BF31" s="73" t="n">
        <f aca="false">IFERROR(IF(BF24&lt;=0,"",MAX(0,BF26)/BF24),"")</f>
        <v>0</v>
      </c>
      <c r="BG31" s="73" t="n">
        <f aca="false">IFERROR(IF(BG24&lt;=0,"",MAX(0,BG26)/BG24),"")</f>
        <v>0</v>
      </c>
      <c r="BH31" s="73" t="n">
        <f aca="false">IFERROR(IF(BH24&lt;=0,"",MAX(0,BH26)/BH24),"")</f>
        <v>0</v>
      </c>
      <c r="BI31" s="73" t="n">
        <f aca="false">IFERROR(IF(BI24&lt;=0,"",MAX(0,BI26)/BI24),"")</f>
        <v>0</v>
      </c>
      <c r="BK31" s="29" t="s">
        <v>271</v>
      </c>
    </row>
    <row r="33" customFormat="false" ht="19.5" hidden="false" customHeight="true" outlineLevel="0" collapsed="false">
      <c r="A33" s="74" t="s">
        <v>272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customFormat="false" ht="15" hidden="false" customHeight="false" outlineLevel="0" collapsed="false">
      <c r="A34" s="66" t="s">
        <v>250</v>
      </c>
      <c r="B34" s="67" t="n">
        <f aca="false">Cenários!B88</f>
        <v>0</v>
      </c>
      <c r="C34" s="67" t="n">
        <f aca="false">Cenários!C88</f>
        <v>0</v>
      </c>
      <c r="D34" s="67" t="n">
        <f aca="false">Cenários!D88</f>
        <v>0</v>
      </c>
      <c r="E34" s="67" t="n">
        <f aca="false">Cenários!E88</f>
        <v>-1500</v>
      </c>
      <c r="F34" s="67" t="n">
        <f aca="false">Cenários!F88</f>
        <v>-8100</v>
      </c>
      <c r="G34" s="67" t="n">
        <f aca="false">Cenários!G88</f>
        <v>-2100</v>
      </c>
      <c r="H34" s="67" t="n">
        <f aca="false">Cenários!H88</f>
        <v>-2100</v>
      </c>
      <c r="I34" s="67" t="n">
        <f aca="false">Cenários!I88</f>
        <v>-11227.82</v>
      </c>
      <c r="J34" s="67" t="n">
        <f aca="false">Cenários!J88</f>
        <v>-12600</v>
      </c>
      <c r="K34" s="67" t="n">
        <f aca="false">Cenários!K88</f>
        <v>-70777.597325</v>
      </c>
      <c r="L34" s="67" t="n">
        <f aca="false">Cenários!L88</f>
        <v>-30340.277425</v>
      </c>
      <c r="M34" s="67" t="n">
        <f aca="false">Cenários!M88</f>
        <v>-22359.4027</v>
      </c>
      <c r="N34" s="67" t="n">
        <f aca="false">Cenários!N88</f>
        <v>-82536.084140096</v>
      </c>
      <c r="O34" s="67" t="n">
        <f aca="false">Cenários!O88</f>
        <v>-60462.6504405144</v>
      </c>
      <c r="P34" s="67" t="n">
        <f aca="false">Cenários!P88</f>
        <v>-46677.7166693253</v>
      </c>
      <c r="Q34" s="67" t="n">
        <f aca="false">Cenários!Q88</f>
        <v>748.149334396288</v>
      </c>
      <c r="R34" s="67" t="n">
        <f aca="false">Cenários!R88</f>
        <v>14030.5429011624</v>
      </c>
      <c r="S34" s="67" t="n">
        <f aca="false">Cenários!S88</f>
        <v>20634.9387105428</v>
      </c>
      <c r="T34" s="67" t="n">
        <f aca="false">Cenários!T88</f>
        <v>12968.1338671606</v>
      </c>
      <c r="U34" s="67" t="n">
        <f aca="false">Cenários!U88</f>
        <v>48679.9374113119</v>
      </c>
      <c r="V34" s="67" t="n">
        <f aca="false">Cenários!V88</f>
        <v>58687.6587597899</v>
      </c>
      <c r="W34" s="67" t="n">
        <f aca="false">Cenários!W88</f>
        <v>98074.9967503871</v>
      </c>
      <c r="X34" s="67" t="n">
        <f aca="false">Cenários!X88</f>
        <v>106560.408197883</v>
      </c>
      <c r="Y34" s="67" t="n">
        <f aca="false">Cenários!Y88</f>
        <v>114661.083664888</v>
      </c>
      <c r="Z34" s="67" t="n">
        <f aca="false">Cenários!Z88</f>
        <v>18687.5254345684</v>
      </c>
      <c r="AA34" s="67" t="n">
        <f aca="false">Cenários!AA88</f>
        <v>43642.1443700059</v>
      </c>
      <c r="AB34" s="67" t="n">
        <f aca="false">Cenários!AB88</f>
        <v>97347.7592970599</v>
      </c>
      <c r="AC34" s="67" t="n">
        <f aca="false">Cenários!AC88</f>
        <v>112129.656385275</v>
      </c>
      <c r="AD34" s="67" t="n">
        <f aca="false">Cenários!AD88</f>
        <v>126459.666654933</v>
      </c>
      <c r="AE34" s="67" t="n">
        <f aca="false">Cenários!AE88</f>
        <v>151149.204392503</v>
      </c>
      <c r="AF34" s="67" t="n">
        <f aca="false">Cenários!AF88</f>
        <v>223576.681053268</v>
      </c>
      <c r="AG34" s="67" t="n">
        <f aca="false">Cenários!AG88</f>
        <v>242022.614555219</v>
      </c>
      <c r="AH34" s="67" t="n">
        <f aca="false">Cenários!AH88</f>
        <v>259149.305547794</v>
      </c>
      <c r="AI34" s="67" t="n">
        <f aca="false">Cenários!AI88</f>
        <v>275032.681415081</v>
      </c>
      <c r="AJ34" s="67" t="n">
        <f aca="false">Cenários!AJ88</f>
        <v>289793.665154697</v>
      </c>
      <c r="AK34" s="67" t="n">
        <f aca="false">Cenários!AK88</f>
        <v>303538.928595178</v>
      </c>
      <c r="AL34" s="67" t="n">
        <f aca="false">Cenários!AL88</f>
        <v>193281.069595745</v>
      </c>
      <c r="AM34" s="67" t="n">
        <f aca="false">Cenários!AM88</f>
        <v>241264.091277586</v>
      </c>
      <c r="AN34" s="67" t="n">
        <f aca="false">Cenários!AN88</f>
        <v>286021.752721011</v>
      </c>
      <c r="AO34" s="67" t="n">
        <f aca="false">Cenários!AO88</f>
        <v>327796.370036885</v>
      </c>
      <c r="AP34" s="67" t="n">
        <f aca="false">Cenários!AP88</f>
        <v>366834.853894451</v>
      </c>
      <c r="AQ34" s="67" t="n">
        <f aca="false">Cenários!AQ88</f>
        <v>378250.084927172</v>
      </c>
      <c r="AR34" s="67" t="n">
        <f aca="false">Cenários!AR88</f>
        <v>437269.962858331</v>
      </c>
      <c r="AS34" s="67" t="n">
        <f aca="false">Cenários!AS88</f>
        <v>469025.236123271</v>
      </c>
      <c r="AT34" s="67" t="n">
        <f aca="false">Cenários!AT88</f>
        <v>498629.719593926</v>
      </c>
      <c r="AU34" s="67" t="n">
        <f aca="false">Cenários!AU88</f>
        <v>526311.087340185</v>
      </c>
      <c r="AV34" s="67" t="n">
        <f aca="false">Cenários!AV88</f>
        <v>552152.255254512</v>
      </c>
      <c r="AW34" s="67" t="n">
        <f aca="false">Cenários!AW88</f>
        <v>576281.906600859</v>
      </c>
      <c r="AX34" s="67" t="n">
        <f aca="false">Cenários!AX88</f>
        <v>514279.293681611</v>
      </c>
      <c r="AY34" s="67" t="n">
        <f aca="false">Cenários!AY88</f>
        <v>600280.917295195</v>
      </c>
      <c r="AZ34" s="67" t="n">
        <f aca="false">Cenários!AZ88</f>
        <v>680891.443337492</v>
      </c>
      <c r="BA34" s="67" t="n">
        <f aca="false">Cenários!BA88</f>
        <v>756458.513055719</v>
      </c>
      <c r="BB34" s="67" t="n">
        <f aca="false">Cenários!BB88</f>
        <v>827377.425798232</v>
      </c>
      <c r="BC34" s="67" t="n">
        <f aca="false">Cenários!BC88</f>
        <v>863807.547772502</v>
      </c>
      <c r="BD34" s="67" t="n">
        <f aca="false">Cenários!BD88</f>
        <v>956094.42062881</v>
      </c>
      <c r="BE34" s="67" t="n">
        <f aca="false">Cenários!BE88</f>
        <v>1014463.94817595</v>
      </c>
      <c r="BF34" s="67" t="n">
        <f aca="false">Cenários!BF88</f>
        <v>1069278.18469349</v>
      </c>
      <c r="BG34" s="67" t="n">
        <f aca="false">Cenários!BG88</f>
        <v>1120558.26938187</v>
      </c>
      <c r="BH34" s="67" t="n">
        <f aca="false">Cenários!BH88</f>
        <v>1168681.65716291</v>
      </c>
      <c r="BI34" s="67" t="n">
        <f aca="false">Cenários!BI88</f>
        <v>1213823.41056656</v>
      </c>
      <c r="BJ34" s="61" t="n">
        <f aca="false">SUM(B34:BI34)</f>
        <v>17905907.5555274</v>
      </c>
      <c r="BK34" s="29" t="s">
        <v>251</v>
      </c>
    </row>
    <row r="35" customFormat="false" ht="15" hidden="false" customHeight="false" outlineLevel="0" collapsed="false">
      <c r="A35" s="27" t="s">
        <v>252</v>
      </c>
      <c r="B35" s="60" t="n">
        <f aca="false">IF(B34&lt;0,-B34,0)</f>
        <v>0</v>
      </c>
      <c r="C35" s="60" t="n">
        <f aca="false">IF(C34&lt;0,-C34,0)</f>
        <v>0</v>
      </c>
      <c r="D35" s="60" t="n">
        <f aca="false">IF(D34&lt;0,-D34,0)</f>
        <v>0</v>
      </c>
      <c r="E35" s="60" t="n">
        <f aca="false">IF(E34&lt;0,-E34,0)</f>
        <v>1500</v>
      </c>
      <c r="F35" s="60" t="n">
        <f aca="false">IF(F34&lt;0,-F34,0)</f>
        <v>8100</v>
      </c>
      <c r="G35" s="60" t="n">
        <f aca="false">IF(G34&lt;0,-G34,0)</f>
        <v>2100</v>
      </c>
      <c r="H35" s="60" t="n">
        <f aca="false">IF(H34&lt;0,-H34,0)</f>
        <v>2100</v>
      </c>
      <c r="I35" s="60" t="n">
        <f aca="false">IF(I34&lt;0,-I34,0)</f>
        <v>11227.82</v>
      </c>
      <c r="J35" s="60" t="n">
        <f aca="false">IF(J34&lt;0,-J34,0)</f>
        <v>12600</v>
      </c>
      <c r="K35" s="60" t="n">
        <f aca="false">IF(K34&lt;0,-K34,0)</f>
        <v>70777.597325</v>
      </c>
      <c r="L35" s="60" t="n">
        <f aca="false">IF(L34&lt;0,-L34,0)</f>
        <v>30340.277425</v>
      </c>
      <c r="M35" s="60" t="n">
        <f aca="false">IF(M34&lt;0,-M34,0)</f>
        <v>22359.4027</v>
      </c>
      <c r="N35" s="60" t="n">
        <f aca="false">IF(N34&lt;0,-N34,0)</f>
        <v>82536.084140096</v>
      </c>
      <c r="O35" s="60" t="n">
        <f aca="false">IF(O34&lt;0,-O34,0)</f>
        <v>60462.6504405144</v>
      </c>
      <c r="P35" s="60" t="n">
        <f aca="false">IF(P34&lt;0,-P34,0)</f>
        <v>46677.7166693253</v>
      </c>
      <c r="Q35" s="60" t="n">
        <f aca="false">IF(Q34&lt;0,-Q34,0)</f>
        <v>0</v>
      </c>
      <c r="R35" s="60" t="n">
        <f aca="false">IF(R34&lt;0,-R34,0)</f>
        <v>0</v>
      </c>
      <c r="S35" s="60" t="n">
        <f aca="false">IF(S34&lt;0,-S34,0)</f>
        <v>0</v>
      </c>
      <c r="T35" s="60" t="n">
        <f aca="false">IF(T34&lt;0,-T34,0)</f>
        <v>0</v>
      </c>
      <c r="U35" s="60" t="n">
        <f aca="false">IF(U34&lt;0,-U34,0)</f>
        <v>0</v>
      </c>
      <c r="V35" s="60" t="n">
        <f aca="false">IF(V34&lt;0,-V34,0)</f>
        <v>0</v>
      </c>
      <c r="W35" s="60" t="n">
        <f aca="false">IF(W34&lt;0,-W34,0)</f>
        <v>0</v>
      </c>
      <c r="X35" s="60" t="n">
        <f aca="false">IF(X34&lt;0,-X34,0)</f>
        <v>0</v>
      </c>
      <c r="Y35" s="60" t="n">
        <f aca="false">IF(Y34&lt;0,-Y34,0)</f>
        <v>0</v>
      </c>
      <c r="Z35" s="60" t="n">
        <f aca="false">IF(Z34&lt;0,-Z34,0)</f>
        <v>0</v>
      </c>
      <c r="AA35" s="60" t="n">
        <f aca="false">IF(AA34&lt;0,-AA34,0)</f>
        <v>0</v>
      </c>
      <c r="AB35" s="60" t="n">
        <f aca="false">IF(AB34&lt;0,-AB34,0)</f>
        <v>0</v>
      </c>
      <c r="AC35" s="60" t="n">
        <f aca="false">IF(AC34&lt;0,-AC34,0)</f>
        <v>0</v>
      </c>
      <c r="AD35" s="60" t="n">
        <f aca="false">IF(AD34&lt;0,-AD34,0)</f>
        <v>0</v>
      </c>
      <c r="AE35" s="60" t="n">
        <f aca="false">IF(AE34&lt;0,-AE34,0)</f>
        <v>0</v>
      </c>
      <c r="AF35" s="60" t="n">
        <f aca="false">IF(AF34&lt;0,-AF34,0)</f>
        <v>0</v>
      </c>
      <c r="AG35" s="60" t="n">
        <f aca="false">IF(AG34&lt;0,-AG34,0)</f>
        <v>0</v>
      </c>
      <c r="AH35" s="60" t="n">
        <f aca="false">IF(AH34&lt;0,-AH34,0)</f>
        <v>0</v>
      </c>
      <c r="AI35" s="60" t="n">
        <f aca="false">IF(AI34&lt;0,-AI34,0)</f>
        <v>0</v>
      </c>
      <c r="AJ35" s="60" t="n">
        <f aca="false">IF(AJ34&lt;0,-AJ34,0)</f>
        <v>0</v>
      </c>
      <c r="AK35" s="60" t="n">
        <f aca="false">IF(AK34&lt;0,-AK34,0)</f>
        <v>0</v>
      </c>
      <c r="AL35" s="60" t="n">
        <f aca="false">IF(AL34&lt;0,-AL34,0)</f>
        <v>0</v>
      </c>
      <c r="AM35" s="60" t="n">
        <f aca="false">IF(AM34&lt;0,-AM34,0)</f>
        <v>0</v>
      </c>
      <c r="AN35" s="60" t="n">
        <f aca="false">IF(AN34&lt;0,-AN34,0)</f>
        <v>0</v>
      </c>
      <c r="AO35" s="60" t="n">
        <f aca="false">IF(AO34&lt;0,-AO34,0)</f>
        <v>0</v>
      </c>
      <c r="AP35" s="60" t="n">
        <f aca="false">IF(AP34&lt;0,-AP34,0)</f>
        <v>0</v>
      </c>
      <c r="AQ35" s="60" t="n">
        <f aca="false">IF(AQ34&lt;0,-AQ34,0)</f>
        <v>0</v>
      </c>
      <c r="AR35" s="60" t="n">
        <f aca="false">IF(AR34&lt;0,-AR34,0)</f>
        <v>0</v>
      </c>
      <c r="AS35" s="60" t="n">
        <f aca="false">IF(AS34&lt;0,-AS34,0)</f>
        <v>0</v>
      </c>
      <c r="AT35" s="60" t="n">
        <f aca="false">IF(AT34&lt;0,-AT34,0)</f>
        <v>0</v>
      </c>
      <c r="AU35" s="60" t="n">
        <f aca="false">IF(AU34&lt;0,-AU34,0)</f>
        <v>0</v>
      </c>
      <c r="AV35" s="60" t="n">
        <f aca="false">IF(AV34&lt;0,-AV34,0)</f>
        <v>0</v>
      </c>
      <c r="AW35" s="60" t="n">
        <f aca="false">IF(AW34&lt;0,-AW34,0)</f>
        <v>0</v>
      </c>
      <c r="AX35" s="60" t="n">
        <f aca="false">IF(AX34&lt;0,-AX34,0)</f>
        <v>0</v>
      </c>
      <c r="AY35" s="60" t="n">
        <f aca="false">IF(AY34&lt;0,-AY34,0)</f>
        <v>0</v>
      </c>
      <c r="AZ35" s="60" t="n">
        <f aca="false">IF(AZ34&lt;0,-AZ34,0)</f>
        <v>0</v>
      </c>
      <c r="BA35" s="60" t="n">
        <f aca="false">IF(BA34&lt;0,-BA34,0)</f>
        <v>0</v>
      </c>
      <c r="BB35" s="60" t="n">
        <f aca="false">IF(BB34&lt;0,-BB34,0)</f>
        <v>0</v>
      </c>
      <c r="BC35" s="60" t="n">
        <f aca="false">IF(BC34&lt;0,-BC34,0)</f>
        <v>0</v>
      </c>
      <c r="BD35" s="60" t="n">
        <f aca="false">IF(BD34&lt;0,-BD34,0)</f>
        <v>0</v>
      </c>
      <c r="BE35" s="60" t="n">
        <f aca="false">IF(BE34&lt;0,-BE34,0)</f>
        <v>0</v>
      </c>
      <c r="BF35" s="60" t="n">
        <f aca="false">IF(BF34&lt;0,-BF34,0)</f>
        <v>0</v>
      </c>
      <c r="BG35" s="60" t="n">
        <f aca="false">IF(BG34&lt;0,-BG34,0)</f>
        <v>0</v>
      </c>
      <c r="BH35" s="60" t="n">
        <f aca="false">IF(BH34&lt;0,-BH34,0)</f>
        <v>0</v>
      </c>
      <c r="BI35" s="60" t="n">
        <f aca="false">IF(BI34&lt;0,-BI34,0)</f>
        <v>0</v>
      </c>
      <c r="BJ35" s="61" t="n">
        <f aca="false">SUM(B35:BI35)</f>
        <v>350781.548699936</v>
      </c>
    </row>
    <row r="36" customFormat="false" ht="15" hidden="false" customHeight="false" outlineLevel="0" collapsed="false">
      <c r="A36" s="27" t="s">
        <v>253</v>
      </c>
      <c r="B36" s="60" t="n">
        <f aca="false">B35</f>
        <v>0</v>
      </c>
      <c r="C36" s="60" t="n">
        <f aca="false">B36+C35</f>
        <v>0</v>
      </c>
      <c r="D36" s="60" t="n">
        <f aca="false">C36+D35</f>
        <v>0</v>
      </c>
      <c r="E36" s="60" t="n">
        <f aca="false">D36+E35</f>
        <v>1500</v>
      </c>
      <c r="F36" s="60" t="n">
        <f aca="false">E36+F35</f>
        <v>9600</v>
      </c>
      <c r="G36" s="60" t="n">
        <f aca="false">F36+G35</f>
        <v>11700</v>
      </c>
      <c r="H36" s="60" t="n">
        <f aca="false">G36+H35</f>
        <v>13800</v>
      </c>
      <c r="I36" s="60" t="n">
        <f aca="false">H36+I35</f>
        <v>25027.82</v>
      </c>
      <c r="J36" s="60" t="n">
        <f aca="false">I36+J35</f>
        <v>37627.82</v>
      </c>
      <c r="K36" s="60" t="n">
        <f aca="false">J36+K35</f>
        <v>108405.417325</v>
      </c>
      <c r="L36" s="60" t="n">
        <f aca="false">K36+L35</f>
        <v>138745.69475</v>
      </c>
      <c r="M36" s="60" t="n">
        <f aca="false">L36+M35</f>
        <v>161105.09745</v>
      </c>
      <c r="N36" s="60" t="n">
        <f aca="false">M36+N35</f>
        <v>243641.181590096</v>
      </c>
      <c r="O36" s="60" t="n">
        <f aca="false">N36+O35</f>
        <v>304103.83203061</v>
      </c>
      <c r="P36" s="60" t="n">
        <f aca="false">O36+P35</f>
        <v>350781.548699936</v>
      </c>
      <c r="Q36" s="60" t="n">
        <f aca="false">P36+Q35</f>
        <v>350781.548699936</v>
      </c>
      <c r="R36" s="60" t="n">
        <f aca="false">Q36+R35</f>
        <v>350781.548699936</v>
      </c>
      <c r="S36" s="60" t="n">
        <f aca="false">R36+S35</f>
        <v>350781.548699936</v>
      </c>
      <c r="T36" s="60" t="n">
        <f aca="false">S36+T35</f>
        <v>350781.548699936</v>
      </c>
      <c r="U36" s="60" t="n">
        <f aca="false">T36+U35</f>
        <v>350781.548699936</v>
      </c>
      <c r="V36" s="60" t="n">
        <f aca="false">U36+V35</f>
        <v>350781.548699936</v>
      </c>
      <c r="W36" s="60" t="n">
        <f aca="false">V36+W35</f>
        <v>350781.548699936</v>
      </c>
      <c r="X36" s="60" t="n">
        <f aca="false">W36+X35</f>
        <v>350781.548699936</v>
      </c>
      <c r="Y36" s="60" t="n">
        <f aca="false">X36+Y35</f>
        <v>350781.548699936</v>
      </c>
      <c r="Z36" s="60" t="n">
        <f aca="false">Y36+Z35</f>
        <v>350781.548699936</v>
      </c>
      <c r="AA36" s="60" t="n">
        <f aca="false">Z36+AA35</f>
        <v>350781.548699936</v>
      </c>
      <c r="AB36" s="60" t="n">
        <f aca="false">AA36+AB35</f>
        <v>350781.548699936</v>
      </c>
      <c r="AC36" s="60" t="n">
        <f aca="false">AB36+AC35</f>
        <v>350781.548699936</v>
      </c>
      <c r="AD36" s="60" t="n">
        <f aca="false">AC36+AD35</f>
        <v>350781.548699936</v>
      </c>
      <c r="AE36" s="60" t="n">
        <f aca="false">AD36+AE35</f>
        <v>350781.548699936</v>
      </c>
      <c r="AF36" s="60" t="n">
        <f aca="false">AE36+AF35</f>
        <v>350781.548699936</v>
      </c>
      <c r="AG36" s="60" t="n">
        <f aca="false">AF36+AG35</f>
        <v>350781.548699936</v>
      </c>
      <c r="AH36" s="60" t="n">
        <f aca="false">AG36+AH35</f>
        <v>350781.548699936</v>
      </c>
      <c r="AI36" s="60" t="n">
        <f aca="false">AH36+AI35</f>
        <v>350781.548699936</v>
      </c>
      <c r="AJ36" s="60" t="n">
        <f aca="false">AI36+AJ35</f>
        <v>350781.548699936</v>
      </c>
      <c r="AK36" s="60" t="n">
        <f aca="false">AJ36+AK35</f>
        <v>350781.548699936</v>
      </c>
      <c r="AL36" s="60" t="n">
        <f aca="false">AK36+AL35</f>
        <v>350781.548699936</v>
      </c>
      <c r="AM36" s="60" t="n">
        <f aca="false">AL36+AM35</f>
        <v>350781.548699936</v>
      </c>
      <c r="AN36" s="60" t="n">
        <f aca="false">AM36+AN35</f>
        <v>350781.548699936</v>
      </c>
      <c r="AO36" s="60" t="n">
        <f aca="false">AN36+AO35</f>
        <v>350781.548699936</v>
      </c>
      <c r="AP36" s="60" t="n">
        <f aca="false">AO36+AP35</f>
        <v>350781.548699936</v>
      </c>
      <c r="AQ36" s="60" t="n">
        <f aca="false">AP36+AQ35</f>
        <v>350781.548699936</v>
      </c>
      <c r="AR36" s="60" t="n">
        <f aca="false">AQ36+AR35</f>
        <v>350781.548699936</v>
      </c>
      <c r="AS36" s="60" t="n">
        <f aca="false">AR36+AS35</f>
        <v>350781.548699936</v>
      </c>
      <c r="AT36" s="60" t="n">
        <f aca="false">AS36+AT35</f>
        <v>350781.548699936</v>
      </c>
      <c r="AU36" s="60" t="n">
        <f aca="false">AT36+AU35</f>
        <v>350781.548699936</v>
      </c>
      <c r="AV36" s="60" t="n">
        <f aca="false">AU36+AV35</f>
        <v>350781.548699936</v>
      </c>
      <c r="AW36" s="60" t="n">
        <f aca="false">AV36+AW35</f>
        <v>350781.548699936</v>
      </c>
      <c r="AX36" s="60" t="n">
        <f aca="false">AW36+AX35</f>
        <v>350781.548699936</v>
      </c>
      <c r="AY36" s="60" t="n">
        <f aca="false">AX36+AY35</f>
        <v>350781.548699936</v>
      </c>
      <c r="AZ36" s="60" t="n">
        <f aca="false">AY36+AZ35</f>
        <v>350781.548699936</v>
      </c>
      <c r="BA36" s="60" t="n">
        <f aca="false">AZ36+BA35</f>
        <v>350781.548699936</v>
      </c>
      <c r="BB36" s="60" t="n">
        <f aca="false">BA36+BB35</f>
        <v>350781.548699936</v>
      </c>
      <c r="BC36" s="60" t="n">
        <f aca="false">BB36+BC35</f>
        <v>350781.548699936</v>
      </c>
      <c r="BD36" s="60" t="n">
        <f aca="false">BC36+BD35</f>
        <v>350781.548699936</v>
      </c>
      <c r="BE36" s="60" t="n">
        <f aca="false">BD36+BE35</f>
        <v>350781.548699936</v>
      </c>
      <c r="BF36" s="60" t="n">
        <f aca="false">BE36+BF35</f>
        <v>350781.548699936</v>
      </c>
      <c r="BG36" s="60" t="n">
        <f aca="false">BF36+BG35</f>
        <v>350781.548699936</v>
      </c>
      <c r="BH36" s="60" t="n">
        <f aca="false">BG36+BH35</f>
        <v>350781.548699936</v>
      </c>
      <c r="BI36" s="60" t="n">
        <f aca="false">BH36+BI35</f>
        <v>350781.548699936</v>
      </c>
      <c r="BK36" s="29" t="s">
        <v>254</v>
      </c>
    </row>
    <row r="37" customFormat="false" ht="15" hidden="false" customHeight="false" outlineLevel="0" collapsed="false">
      <c r="A37" s="64" t="s">
        <v>255</v>
      </c>
      <c r="B37" s="65" t="n">
        <f aca="false">Cenários!B91</f>
        <v>0</v>
      </c>
      <c r="C37" s="65" t="n">
        <f aca="false">Cenários!C91</f>
        <v>0</v>
      </c>
      <c r="D37" s="65" t="n">
        <f aca="false">Cenários!D91</f>
        <v>0</v>
      </c>
      <c r="E37" s="65" t="n">
        <f aca="false">Cenários!E91</f>
        <v>-1500</v>
      </c>
      <c r="F37" s="65" t="n">
        <f aca="false">Cenários!F91</f>
        <v>-9600</v>
      </c>
      <c r="G37" s="65" t="n">
        <f aca="false">Cenários!G91</f>
        <v>-11700</v>
      </c>
      <c r="H37" s="65" t="n">
        <f aca="false">Cenários!H91</f>
        <v>-13800</v>
      </c>
      <c r="I37" s="65" t="n">
        <f aca="false">Cenários!I91</f>
        <v>-25027.82</v>
      </c>
      <c r="J37" s="65" t="n">
        <f aca="false">Cenários!J91</f>
        <v>-37627.82</v>
      </c>
      <c r="K37" s="65" t="n">
        <f aca="false">Cenários!K91</f>
        <v>-108405.417325</v>
      </c>
      <c r="L37" s="65" t="n">
        <f aca="false">Cenários!L91</f>
        <v>-138745.69475</v>
      </c>
      <c r="M37" s="65" t="n">
        <f aca="false">Cenários!M91</f>
        <v>-161105.09745</v>
      </c>
      <c r="N37" s="65" t="n">
        <f aca="false">Cenários!N91</f>
        <v>-243641.181590096</v>
      </c>
      <c r="O37" s="65" t="n">
        <f aca="false">Cenários!O91</f>
        <v>-304103.83203061</v>
      </c>
      <c r="P37" s="65" t="n">
        <f aca="false">Cenários!P91</f>
        <v>-350781.548699936</v>
      </c>
      <c r="Q37" s="65" t="n">
        <f aca="false">Cenários!Q91</f>
        <v>-350033.39936554</v>
      </c>
      <c r="R37" s="65" t="n">
        <f aca="false">Cenários!R91</f>
        <v>-336002.856464377</v>
      </c>
      <c r="S37" s="65" t="n">
        <f aca="false">Cenários!S91</f>
        <v>-315367.917753834</v>
      </c>
      <c r="T37" s="65" t="n">
        <f aca="false">Cenários!T91</f>
        <v>-302399.783886674</v>
      </c>
      <c r="U37" s="65" t="n">
        <f aca="false">Cenários!U91</f>
        <v>-253719.846475362</v>
      </c>
      <c r="V37" s="65" t="n">
        <f aca="false">Cenários!V91</f>
        <v>-195032.187715572</v>
      </c>
      <c r="W37" s="65" t="n">
        <f aca="false">Cenários!W91</f>
        <v>-96957.1909651847</v>
      </c>
      <c r="X37" s="65" t="n">
        <f aca="false">Cenários!X91</f>
        <v>9603.21723269827</v>
      </c>
      <c r="Y37" s="65" t="n">
        <f aca="false">Cenários!Y91</f>
        <v>124264.300897586</v>
      </c>
      <c r="Z37" s="65" t="n">
        <f aca="false">Cenários!Z91</f>
        <v>142951.826332154</v>
      </c>
      <c r="AA37" s="65" t="n">
        <f aca="false">Cenários!AA91</f>
        <v>186593.97070216</v>
      </c>
      <c r="AB37" s="65" t="n">
        <f aca="false">Cenários!AB91</f>
        <v>283941.72999922</v>
      </c>
      <c r="AC37" s="65" t="n">
        <f aca="false">Cenários!AC91</f>
        <v>396071.386384496</v>
      </c>
      <c r="AD37" s="65" t="n">
        <f aca="false">Cenários!AD91</f>
        <v>522531.053039428</v>
      </c>
      <c r="AE37" s="65" t="n">
        <f aca="false">Cenários!AE91</f>
        <v>673680.257431932</v>
      </c>
      <c r="AF37" s="65" t="n">
        <f aca="false">Cenários!AF91</f>
        <v>897256.9384852</v>
      </c>
      <c r="AG37" s="65" t="n">
        <f aca="false">Cenários!AG91</f>
        <v>1139279.55304042</v>
      </c>
      <c r="AH37" s="65" t="n">
        <f aca="false">Cenários!AH91</f>
        <v>1398428.85858821</v>
      </c>
      <c r="AI37" s="65" t="n">
        <f aca="false">Cenários!AI91</f>
        <v>1673461.54000329</v>
      </c>
      <c r="AJ37" s="65" t="n">
        <f aca="false">Cenários!AJ91</f>
        <v>1963255.20515799</v>
      </c>
      <c r="AK37" s="65" t="n">
        <f aca="false">Cenários!AK91</f>
        <v>2266794.13375317</v>
      </c>
      <c r="AL37" s="65" t="n">
        <f aca="false">Cenários!AL91</f>
        <v>2460075.20334891</v>
      </c>
      <c r="AM37" s="65" t="n">
        <f aca="false">Cenários!AM91</f>
        <v>2701339.2946265</v>
      </c>
      <c r="AN37" s="65" t="n">
        <f aca="false">Cenários!AN91</f>
        <v>2987361.04734751</v>
      </c>
      <c r="AO37" s="65" t="n">
        <f aca="false">Cenários!AO91</f>
        <v>3315157.4173844</v>
      </c>
      <c r="AP37" s="65" t="n">
        <f aca="false">Cenários!AP91</f>
        <v>3681992.27127885</v>
      </c>
      <c r="AQ37" s="65" t="n">
        <f aca="false">Cenários!AQ91</f>
        <v>4060242.35620602</v>
      </c>
      <c r="AR37" s="65" t="n">
        <f aca="false">Cenários!AR91</f>
        <v>4497512.31906435</v>
      </c>
      <c r="AS37" s="65" t="n">
        <f aca="false">Cenários!AS91</f>
        <v>4966537.55518762</v>
      </c>
      <c r="AT37" s="65" t="n">
        <f aca="false">Cenários!AT91</f>
        <v>5465167.27478155</v>
      </c>
      <c r="AU37" s="65" t="n">
        <f aca="false">Cenários!AU91</f>
        <v>5991478.36212173</v>
      </c>
      <c r="AV37" s="65" t="n">
        <f aca="false">Cenários!AV91</f>
        <v>6543630.61737624</v>
      </c>
      <c r="AW37" s="65" t="n">
        <f aca="false">Cenários!AW91</f>
        <v>7119912.5239771</v>
      </c>
      <c r="AX37" s="65" t="n">
        <f aca="false">Cenários!AX91</f>
        <v>7634191.81765871</v>
      </c>
      <c r="AY37" s="65" t="n">
        <f aca="false">Cenários!AY91</f>
        <v>8234472.73495391</v>
      </c>
      <c r="AZ37" s="65" t="n">
        <f aca="false">Cenários!AZ91</f>
        <v>8915364.1782914</v>
      </c>
      <c r="BA37" s="65" t="n">
        <f aca="false">Cenários!BA91</f>
        <v>9671822.69134712</v>
      </c>
      <c r="BB37" s="65" t="n">
        <f aca="false">Cenários!BB91</f>
        <v>10499200.1171454</v>
      </c>
      <c r="BC37" s="65" t="n">
        <f aca="false">Cenários!BC91</f>
        <v>11363007.6649179</v>
      </c>
      <c r="BD37" s="65" t="n">
        <f aca="false">Cenários!BD91</f>
        <v>12319102.0855467</v>
      </c>
      <c r="BE37" s="65" t="n">
        <f aca="false">Cenários!BE91</f>
        <v>13333566.0337226</v>
      </c>
      <c r="BF37" s="65" t="n">
        <f aca="false">Cenários!BF91</f>
        <v>14402844.2184161</v>
      </c>
      <c r="BG37" s="65" t="n">
        <f aca="false">Cenários!BG91</f>
        <v>15523402.487798</v>
      </c>
      <c r="BH37" s="65" t="n">
        <f aca="false">Cenários!BH91</f>
        <v>16692084.1449609</v>
      </c>
      <c r="BI37" s="65" t="n">
        <f aca="false">Cenários!BI91</f>
        <v>17905907.5555274</v>
      </c>
      <c r="BK37" s="29" t="s">
        <v>256</v>
      </c>
    </row>
    <row r="38" customFormat="false" ht="15" hidden="false" customHeight="false" outlineLevel="0" collapsed="false">
      <c r="A38" s="66" t="s">
        <v>257</v>
      </c>
      <c r="B38" s="67" t="n">
        <f aca="false">-(Cenários!B81+'Análise Fluxo'!B18+'Análise Fluxo'!B19+'Análise Fluxo'!B20+'Análise Fluxo'!B22+'Análise Fluxo'!B27)</f>
        <v>0</v>
      </c>
      <c r="C38" s="67" t="n">
        <f aca="false">-(Cenários!C81+'Análise Fluxo'!C18+'Análise Fluxo'!C19+'Análise Fluxo'!C20+'Análise Fluxo'!C22+'Análise Fluxo'!C27)</f>
        <v>0</v>
      </c>
      <c r="D38" s="67" t="n">
        <f aca="false">-(Cenários!D81+'Análise Fluxo'!D18+'Análise Fluxo'!D19+'Análise Fluxo'!D20+'Análise Fluxo'!D22+'Análise Fluxo'!D27)</f>
        <v>0</v>
      </c>
      <c r="E38" s="67" t="n">
        <f aca="false">-(Cenários!E81+'Análise Fluxo'!E18+'Análise Fluxo'!E19+'Análise Fluxo'!E20+'Análise Fluxo'!E22+'Análise Fluxo'!E27)</f>
        <v>1500</v>
      </c>
      <c r="F38" s="67" t="n">
        <f aca="false">-(Cenários!F81+'Análise Fluxo'!F18+'Análise Fluxo'!F19+'Análise Fluxo'!F20+'Análise Fluxo'!F22+'Análise Fluxo'!F27)</f>
        <v>2100</v>
      </c>
      <c r="G38" s="67" t="n">
        <f aca="false">-(Cenários!G81+'Análise Fluxo'!G18+'Análise Fluxo'!G19+'Análise Fluxo'!G20+'Análise Fluxo'!G22+'Análise Fluxo'!G27)</f>
        <v>2100</v>
      </c>
      <c r="H38" s="67" t="n">
        <f aca="false">-(Cenários!H81+'Análise Fluxo'!H18+'Análise Fluxo'!H19+'Análise Fluxo'!H20+'Análise Fluxo'!H22+'Análise Fluxo'!H27)</f>
        <v>2100</v>
      </c>
      <c r="I38" s="67" t="n">
        <f aca="false">-(Cenários!I81+'Análise Fluxo'!I18+'Análise Fluxo'!I19+'Análise Fluxo'!I20+'Análise Fluxo'!I22+'Análise Fluxo'!I27)</f>
        <v>2100</v>
      </c>
      <c r="J38" s="67" t="n">
        <f aca="false">-(Cenários!J81+'Análise Fluxo'!J18+'Análise Fluxo'!J19+'Análise Fluxo'!J20+'Análise Fluxo'!J22+'Análise Fluxo'!J27)</f>
        <v>2100</v>
      </c>
      <c r="K38" s="67" t="n">
        <f aca="false">-(Cenários!K81+'Análise Fluxo'!K18+'Análise Fluxo'!K19+'Análise Fluxo'!K20+'Análise Fluxo'!K22+'Análise Fluxo'!K27)</f>
        <v>5685.48</v>
      </c>
      <c r="L38" s="67" t="n">
        <f aca="false">-(Cenários!L81+'Análise Fluxo'!L18+'Análise Fluxo'!L19+'Análise Fluxo'!L20+'Análise Fluxo'!L22+'Análise Fluxo'!L27)</f>
        <v>6651.96</v>
      </c>
      <c r="M38" s="67" t="n">
        <f aca="false">-(Cenários!M81+'Análise Fluxo'!M18+'Análise Fluxo'!M19+'Análise Fluxo'!M20+'Análise Fluxo'!M22+'Análise Fluxo'!M27)</f>
        <v>7954.3968</v>
      </c>
      <c r="N38" s="67" t="n">
        <f aca="false">-(Cenários!N81+'Análise Fluxo'!N18+'Análise Fluxo'!N19+'Análise Fluxo'!N20+'Análise Fluxo'!N22+'Análise Fluxo'!N27)</f>
        <v>70985.64875264</v>
      </c>
      <c r="O38" s="67" t="n">
        <f aca="false">-(Cenários!O81+'Análise Fluxo'!O18+'Análise Fluxo'!O19+'Análise Fluxo'!O20+'Análise Fluxo'!O22+'Análise Fluxo'!O27)</f>
        <v>73592.7202704415</v>
      </c>
      <c r="P38" s="67" t="n">
        <f aca="false">-(Cenários!P81+'Análise Fluxo'!P18+'Análise Fluxo'!P19+'Análise Fluxo'!P20+'Análise Fluxo'!P22+'Análise Fluxo'!P27)</f>
        <v>76566.2661701043</v>
      </c>
      <c r="Q38" s="67" t="n">
        <f aca="false">-(Cenários!Q81+'Análise Fluxo'!Q18+'Análise Fluxo'!Q19+'Análise Fluxo'!Q20+'Análise Fluxo'!Q22+'Análise Fluxo'!Q27)</f>
        <v>78264.8523781124</v>
      </c>
      <c r="R38" s="67" t="n">
        <f aca="false">-(Cenários!R81+'Análise Fluxo'!R18+'Análise Fluxo'!R19+'Análise Fluxo'!R20+'Análise Fluxo'!R22+'Análise Fluxo'!R27)</f>
        <v>79835.8708872784</v>
      </c>
      <c r="S38" s="67" t="n">
        <f aca="false">-(Cenários!S81+'Análise Fluxo'!S18+'Análise Fluxo'!S19+'Análise Fluxo'!S20+'Análise Fluxo'!S22+'Análise Fluxo'!S27)</f>
        <v>81288.063588555</v>
      </c>
      <c r="T38" s="67" t="n">
        <f aca="false">-(Cenários!T81+'Análise Fluxo'!T18+'Análise Fluxo'!T19+'Análise Fluxo'!T20+'Análise Fluxo'!T22+'Análise Fluxo'!T27)</f>
        <v>82631.3450626957</v>
      </c>
      <c r="U38" s="67" t="n">
        <f aca="false">-(Cenários!U81+'Análise Fluxo'!U18+'Análise Fluxo'!U19+'Análise Fluxo'!U20+'Análise Fluxo'!U22+'Análise Fluxo'!U27)</f>
        <v>83874.154409981</v>
      </c>
      <c r="V38" s="67" t="n">
        <f aca="false">-(Cenários!V81+'Análise Fluxo'!V18+'Análise Fluxo'!V19+'Análise Fluxo'!V20+'Análise Fluxo'!V22+'Análise Fluxo'!V27)</f>
        <v>85022.1361903504</v>
      </c>
      <c r="W38" s="67" t="n">
        <f aca="false">-(Cenários!W81+'Análise Fluxo'!W18+'Análise Fluxo'!W19+'Análise Fluxo'!W20+'Análise Fluxo'!W22+'Análise Fluxo'!W27)</f>
        <v>86084.8005408361</v>
      </c>
      <c r="X38" s="67" t="n">
        <f aca="false">-(Cenários!X81+'Análise Fluxo'!X18+'Análise Fluxo'!X19+'Análise Fluxo'!X20+'Análise Fluxo'!X22+'Análise Fluxo'!X27)</f>
        <v>87067.5525321652</v>
      </c>
      <c r="Y38" s="67" t="n">
        <f aca="false">-(Cenários!Y81+'Análise Fluxo'!Y18+'Análise Fluxo'!Y19+'Análise Fluxo'!Y20+'Análise Fluxo'!Y22+'Análise Fluxo'!Y27)</f>
        <v>87975.6908217464</v>
      </c>
      <c r="Z38" s="67" t="n">
        <f aca="false">-(Cenários!Z81+'Análise Fluxo'!Z18+'Análise Fluxo'!Z19+'Análise Fluxo'!Z20+'Análise Fluxo'!Z22+'Análise Fluxo'!Z27)</f>
        <v>236556.617209309</v>
      </c>
      <c r="AA38" s="67" t="n">
        <f aca="false">-(Cenários!AA81+'Análise Fluxo'!AA18+'Análise Fluxo'!AA19+'Análise Fluxo'!AA20+'Análise Fluxo'!AA22+'Análise Fluxo'!AA27)</f>
        <v>238746.975494769</v>
      </c>
      <c r="AB38" s="67" t="n">
        <f aca="false">-(Cenários!AB81+'Análise Fluxo'!AB18+'Análise Fluxo'!AB19+'Análise Fluxo'!AB20+'Análise Fluxo'!AB22+'Análise Fluxo'!AB27)</f>
        <v>240782.721819187</v>
      </c>
      <c r="AC38" s="67" t="n">
        <f aca="false">-(Cenários!AC81+'Análise Fluxo'!AC18+'Análise Fluxo'!AC19+'Análise Fluxo'!AC20+'Análise Fluxo'!AC22+'Análise Fluxo'!AC27)</f>
        <v>242674.288047008</v>
      </c>
      <c r="AD38" s="67" t="n">
        <f aca="false">-(Cenários!AD81+'Análise Fluxo'!AD18+'Análise Fluxo'!AD19+'Análise Fluxo'!AD20+'Análise Fluxo'!AD22+'Análise Fluxo'!AD27)</f>
        <v>244432.947383141</v>
      </c>
      <c r="AE38" s="67" t="n">
        <f aca="false">-(Cenários!AE81+'Análise Fluxo'!AE18+'Análise Fluxo'!AE19+'Análise Fluxo'!AE20+'Análise Fluxo'!AE22+'Análise Fluxo'!AE27)</f>
        <v>246066.496315898</v>
      </c>
      <c r="AF38" s="67" t="n">
        <f aca="false">-(Cenários!AF81+'Análise Fluxo'!AF18+'Análise Fluxo'!AF19+'Análise Fluxo'!AF20+'Análise Fluxo'!AF22+'Análise Fluxo'!AF27)</f>
        <v>247584.523857088</v>
      </c>
      <c r="AG38" s="67" t="n">
        <f aca="false">-(Cenários!AG81+'Análise Fluxo'!AG18+'Análise Fluxo'!AG19+'Análise Fluxo'!AG20+'Análise Fluxo'!AG22+'Análise Fluxo'!AG27)</f>
        <v>248995.47412895</v>
      </c>
      <c r="AH38" s="67" t="n">
        <f aca="false">-(Cenários!AH81+'Análise Fluxo'!AH18+'Análise Fluxo'!AH19+'Análise Fluxo'!AH20+'Análise Fluxo'!AH22+'Análise Fluxo'!AH27)</f>
        <v>250307.536344091</v>
      </c>
      <c r="AI38" s="67" t="n">
        <f aca="false">-(Cenários!AI81+'Análise Fluxo'!AI18+'Análise Fluxo'!AI19+'Análise Fluxo'!AI20+'Análise Fluxo'!AI22+'Análise Fluxo'!AI27)</f>
        <v>251526.438221336</v>
      </c>
      <c r="AJ38" s="67" t="n">
        <f aca="false">-(Cenários!AJ81+'Análise Fluxo'!AJ18+'Análise Fluxo'!AJ19+'Análise Fluxo'!AJ20+'Análise Fluxo'!AJ22+'Análise Fluxo'!AJ27)</f>
        <v>252658.89887737</v>
      </c>
      <c r="AK38" s="67" t="n">
        <f aca="false">-(Cenários!AK81+'Análise Fluxo'!AK18+'Análise Fluxo'!AK19+'Análise Fluxo'!AK20+'Análise Fluxo'!AK22+'Análise Fluxo'!AK27)</f>
        <v>253710.371231222</v>
      </c>
      <c r="AL38" s="67" t="n">
        <f aca="false">-(Cenários!AL81+'Análise Fluxo'!AL18+'Análise Fluxo'!AL19+'Análise Fluxo'!AL20+'Análise Fluxo'!AL22+'Análise Fluxo'!AL27)</f>
        <v>514888.382093784</v>
      </c>
      <c r="AM38" s="67" t="n">
        <f aca="false">-(Cenários!AM81+'Análise Fluxo'!AM18+'Análise Fluxo'!AM19+'Análise Fluxo'!AM20+'Análise Fluxo'!AM22+'Análise Fluxo'!AM27)</f>
        <v>517675.751741539</v>
      </c>
      <c r="AN38" s="67" t="n">
        <f aca="false">-(Cenários!AN81+'Análise Fluxo'!AN18+'Análise Fluxo'!AN19+'Análise Fluxo'!AN20+'Análise Fluxo'!AN22+'Análise Fluxo'!AN27)</f>
        <v>520277.3519179</v>
      </c>
      <c r="AO38" s="67" t="n">
        <f aca="false">-(Cenários!AO81+'Análise Fluxo'!AO18+'Análise Fluxo'!AO19+'Análise Fluxo'!AO20+'Análise Fluxo'!AO22+'Análise Fluxo'!AO27)</f>
        <v>522707.066686801</v>
      </c>
      <c r="AP38" s="67" t="n">
        <f aca="false">-(Cenários!AP81+'Análise Fluxo'!AP18+'Análise Fluxo'!AP19+'Análise Fluxo'!AP20+'Análise Fluxo'!AP22+'Análise Fluxo'!AP27)</f>
        <v>524974.658277637</v>
      </c>
      <c r="AQ38" s="67" t="n">
        <f aca="false">-(Cenários!AQ81+'Análise Fluxo'!AQ18+'Análise Fluxo'!AQ19+'Análise Fluxo'!AQ20+'Análise Fluxo'!AQ22+'Análise Fluxo'!AQ27)</f>
        <v>527091.535845234</v>
      </c>
      <c r="AR38" s="67" t="n">
        <f aca="false">-(Cenários!AR81+'Análise Fluxo'!AR18+'Análise Fluxo'!AR19+'Análise Fluxo'!AR20+'Análise Fluxo'!AR22+'Análise Fluxo'!AR27)</f>
        <v>529068.008647753</v>
      </c>
      <c r="AS38" s="67" t="n">
        <f aca="false">-(Cenários!AS81+'Análise Fluxo'!AS18+'Análise Fluxo'!AS19+'Análise Fluxo'!AS20+'Análise Fluxo'!AS22+'Análise Fluxo'!AS27)</f>
        <v>530913.043681192</v>
      </c>
      <c r="AT38" s="67" t="n">
        <f aca="false">-(Cenários!AT81+'Análise Fluxo'!AT18+'Análise Fluxo'!AT19+'Análise Fluxo'!AT20+'Análise Fluxo'!AT22+'Análise Fluxo'!AT27)</f>
        <v>532635.457806612</v>
      </c>
      <c r="AU38" s="67" t="n">
        <f aca="false">-(Cenários!AU81+'Análise Fluxo'!AU18+'Análise Fluxo'!AU19+'Análise Fluxo'!AU20+'Análise Fluxo'!AU22+'Análise Fluxo'!AU27)</f>
        <v>534243.924403766</v>
      </c>
      <c r="AV38" s="67" t="n">
        <f aca="false">-(Cenários!AV81+'Análise Fluxo'!AV18+'Análise Fluxo'!AV19+'Análise Fluxo'!AV20+'Análise Fluxo'!AV22+'Análise Fluxo'!AV27)</f>
        <v>535744.859582635</v>
      </c>
      <c r="AW38" s="67" t="n">
        <f aca="false">-(Cenários!AW81+'Análise Fluxo'!AW18+'Análise Fluxo'!AW19+'Análise Fluxo'!AW20+'Análise Fluxo'!AW22+'Análise Fluxo'!AW27)</f>
        <v>537146.617982211</v>
      </c>
      <c r="AX38" s="67" t="n">
        <f aca="false">-(Cenários!AX81+'Análise Fluxo'!AX18+'Análise Fluxo'!AX19+'Análise Fluxo'!AX20+'Análise Fluxo'!AX22+'Análise Fluxo'!AX27)</f>
        <v>834302.897371873</v>
      </c>
      <c r="AY38" s="67" t="n">
        <f aca="false">-(Cenários!AY81+'Análise Fluxo'!AY18+'Análise Fluxo'!AY19+'Análise Fluxo'!AY20+'Análise Fluxo'!AY22+'Análise Fluxo'!AY27)</f>
        <v>838425.097190246</v>
      </c>
      <c r="AZ38" s="67" t="n">
        <f aca="false">-(Cenários!AZ81+'Análise Fluxo'!AZ18+'Análise Fluxo'!AZ19+'Análise Fluxo'!AZ20+'Análise Fluxo'!AZ22+'Análise Fluxo'!AZ27)</f>
        <v>842289.822816956</v>
      </c>
      <c r="BA38" s="67" t="n">
        <f aca="false">-(Cenários!BA81+'Análise Fluxo'!BA18+'Análise Fluxo'!BA19+'Análise Fluxo'!BA20+'Análise Fluxo'!BA22+'Análise Fluxo'!BA27)</f>
        <v>845912.361281648</v>
      </c>
      <c r="BB38" s="67" t="n">
        <f aca="false">-(Cenários!BB81+'Análise Fluxo'!BB18+'Análise Fluxo'!BB19+'Análise Fluxo'!BB20+'Análise Fluxo'!BB22+'Análise Fluxo'!BB27)</f>
        <v>849309.557091412</v>
      </c>
      <c r="BC38" s="67" t="n">
        <f aca="false">-(Cenários!BC81+'Análise Fluxo'!BC18+'Análise Fluxo'!BC19+'Análise Fluxo'!BC20+'Análise Fluxo'!BC22+'Análise Fluxo'!BC27)</f>
        <v>852494.312381928</v>
      </c>
      <c r="BD38" s="67" t="n">
        <f aca="false">-(Cenários!BD81+'Análise Fluxo'!BD18+'Análise Fluxo'!BD19+'Análise Fluxo'!BD20+'Análise Fluxo'!BD22+'Análise Fluxo'!BD27)</f>
        <v>855480.121434572</v>
      </c>
      <c r="BE38" s="67" t="n">
        <f aca="false">-(Cenários!BE81+'Análise Fluxo'!BE18+'Análise Fluxo'!BE19+'Análise Fluxo'!BE20+'Análise Fluxo'!BE22+'Análise Fluxo'!BE27)</f>
        <v>858279.309599084</v>
      </c>
      <c r="BF38" s="67" t="n">
        <f aca="false">-(Cenários!BF81+'Análise Fluxo'!BF18+'Análise Fluxo'!BF19+'Análise Fluxo'!BF20+'Análise Fluxo'!BF22+'Análise Fluxo'!BF27)</f>
        <v>860903.926658926</v>
      </c>
      <c r="BG38" s="67" t="n">
        <f aca="false">-(Cenários!BG81+'Análise Fluxo'!BG18+'Análise Fluxo'!BG19+'Análise Fluxo'!BG20+'Análise Fluxo'!BG22+'Análise Fluxo'!BG27)</f>
        <v>863363.934674142</v>
      </c>
      <c r="BH38" s="67" t="n">
        <f aca="false">-(Cenários!BH81+'Análise Fluxo'!BH18+'Análise Fluxo'!BH19+'Análise Fluxo'!BH20+'Análise Fluxo'!BH22+'Análise Fluxo'!BH27)</f>
        <v>865671.005334352</v>
      </c>
      <c r="BI38" s="67" t="n">
        <f aca="false">-(Cenários!BI81+'Análise Fluxo'!BI18+'Análise Fluxo'!BI19+'Análise Fluxo'!BI20+'Análise Fluxo'!BI22+'Análise Fluxo'!BI27)</f>
        <v>867833.701852481</v>
      </c>
      <c r="BJ38" s="61" t="n">
        <f aca="false">SUM(B38:BI38)</f>
        <v>20521156.933689</v>
      </c>
      <c r="BK38" s="29" t="s">
        <v>258</v>
      </c>
    </row>
    <row r="39" customFormat="false" ht="15" hidden="false" customHeight="false" outlineLevel="0" collapsed="false">
      <c r="A39" s="27" t="s">
        <v>259</v>
      </c>
      <c r="B39" s="60" t="n">
        <f aca="false">MAX(SUMPRODUCT((B$5:BI$5&gt;B$5)*(B$5:BI$5&lt;=B$5+Premissas!$B$118)*B$38:BI$38),Premissas!$B$118*B38)</f>
        <v>1500</v>
      </c>
      <c r="C39" s="60" t="n">
        <f aca="false">MAX(SUMPRODUCT((B$5:BI$5&gt;C$5)*(B$5:BI$5&lt;=C$5+Premissas!$B$118)*B$38:BI$38),Premissas!$B$118*C38)</f>
        <v>3600</v>
      </c>
      <c r="D39" s="60" t="n">
        <f aca="false">MAX(SUMPRODUCT((B$5:BI$5&gt;D$5)*(B$5:BI$5&lt;=D$5+Premissas!$B$118)*B$38:BI$38),Premissas!$B$118*D38)</f>
        <v>5700</v>
      </c>
      <c r="E39" s="60" t="n">
        <f aca="false">MAX(SUMPRODUCT((B$5:BI$5&gt;E$5)*(B$5:BI$5&lt;=E$5+Premissas!$B$118)*B$38:BI$38),Premissas!$B$118*E38)</f>
        <v>6300</v>
      </c>
      <c r="F39" s="60" t="n">
        <f aca="false">MAX(SUMPRODUCT((B$5:BI$5&gt;F$5)*(B$5:BI$5&lt;=F$5+Premissas!$B$118)*B$38:BI$38),Premissas!$B$118*F38)</f>
        <v>6300</v>
      </c>
      <c r="G39" s="60" t="n">
        <f aca="false">MAX(SUMPRODUCT((B$5:BI$5&gt;G$5)*(B$5:BI$5&lt;=G$5+Premissas!$B$118)*B$38:BI$38),Premissas!$B$118*G38)</f>
        <v>6300</v>
      </c>
      <c r="H39" s="60" t="n">
        <f aca="false">MAX(SUMPRODUCT((B$5:BI$5&gt;H$5)*(B$5:BI$5&lt;=H$5+Premissas!$B$118)*B$38:BI$38),Premissas!$B$118*H38)</f>
        <v>9885.48</v>
      </c>
      <c r="I39" s="60" t="n">
        <f aca="false">MAX(SUMPRODUCT((B$5:BI$5&gt;I$5)*(B$5:BI$5&lt;=I$5+Premissas!$B$118)*B$38:BI$38),Premissas!$B$118*I38)</f>
        <v>14437.44</v>
      </c>
      <c r="J39" s="60" t="n">
        <f aca="false">MAX(SUMPRODUCT((B$5:BI$5&gt;J$5)*(B$5:BI$5&lt;=J$5+Premissas!$B$118)*B$38:BI$38),Premissas!$B$118*J38)</f>
        <v>20291.8368</v>
      </c>
      <c r="K39" s="60" t="n">
        <f aca="false">MAX(SUMPRODUCT((B$5:BI$5&gt;K$5)*(B$5:BI$5&lt;=K$5+Premissas!$B$118)*B$38:BI$38),Premissas!$B$118*K38)</f>
        <v>85592.00555264</v>
      </c>
      <c r="L39" s="60" t="n">
        <f aca="false">MAX(SUMPRODUCT((B$5:BI$5&gt;L$5)*(B$5:BI$5&lt;=L$5+Premissas!$B$118)*B$38:BI$38),Premissas!$B$118*L38)</f>
        <v>152532.765823081</v>
      </c>
      <c r="M39" s="60" t="n">
        <f aca="false">MAX(SUMPRODUCT((B$5:BI$5&gt;M$5)*(B$5:BI$5&lt;=M$5+Premissas!$B$118)*B$38:BI$38),Premissas!$B$118*M38)</f>
        <v>221144.635193186</v>
      </c>
      <c r="N39" s="60" t="n">
        <f aca="false">MAX(SUMPRODUCT((B$5:BI$5&gt;N$5)*(B$5:BI$5&lt;=N$5+Premissas!$B$118)*B$38:BI$38),Premissas!$B$118*N38)</f>
        <v>228423.838818658</v>
      </c>
      <c r="O39" s="60" t="n">
        <f aca="false">MAX(SUMPRODUCT((B$5:BI$5&gt;O$5)*(B$5:BI$5&lt;=O$5+Premissas!$B$118)*B$38:BI$38),Premissas!$B$118*O38)</f>
        <v>234666.989435495</v>
      </c>
      <c r="P39" s="60" t="n">
        <f aca="false">MAX(SUMPRODUCT((B$5:BI$5&gt;P$5)*(B$5:BI$5&lt;=P$5+Premissas!$B$118)*B$38:BI$38),Premissas!$B$118*P38)</f>
        <v>239388.786853946</v>
      </c>
      <c r="Q39" s="60" t="n">
        <f aca="false">MAX(SUMPRODUCT((B$5:BI$5&gt;Q$5)*(B$5:BI$5&lt;=Q$5+Premissas!$B$118)*B$38:BI$38),Premissas!$B$118*Q38)</f>
        <v>243755.279538529</v>
      </c>
      <c r="R39" s="60" t="n">
        <f aca="false">MAX(SUMPRODUCT((B$5:BI$5&gt;R$5)*(B$5:BI$5&lt;=R$5+Premissas!$B$118)*B$38:BI$38),Premissas!$B$118*R38)</f>
        <v>247793.563061232</v>
      </c>
      <c r="S39" s="60" t="n">
        <f aca="false">MAX(SUMPRODUCT((B$5:BI$5&gt;S$5)*(B$5:BI$5&lt;=S$5+Premissas!$B$118)*B$38:BI$38),Premissas!$B$118*S38)</f>
        <v>251527.635663027</v>
      </c>
      <c r="T39" s="60" t="n">
        <f aca="false">MAX(SUMPRODUCT((B$5:BI$5&gt;T$5)*(B$5:BI$5&lt;=T$5+Premissas!$B$118)*B$38:BI$38),Premissas!$B$118*T38)</f>
        <v>254981.091141167</v>
      </c>
      <c r="U39" s="60" t="n">
        <f aca="false">MAX(SUMPRODUCT((B$5:BI$5&gt;U$5)*(B$5:BI$5&lt;=U$5+Premissas!$B$118)*B$38:BI$38),Premissas!$B$118*U38)</f>
        <v>258174.489263352</v>
      </c>
      <c r="V39" s="60" t="n">
        <f aca="false">MAX(SUMPRODUCT((B$5:BI$5&gt;V$5)*(B$5:BI$5&lt;=V$5+Premissas!$B$118)*B$38:BI$38),Premissas!$B$118*V38)</f>
        <v>261128.043894748</v>
      </c>
      <c r="W39" s="60" t="n">
        <f aca="false">MAX(SUMPRODUCT((B$5:BI$5&gt;W$5)*(B$5:BI$5&lt;=W$5+Premissas!$B$118)*B$38:BI$38),Premissas!$B$118*W38)</f>
        <v>411599.86056322</v>
      </c>
      <c r="X39" s="60" t="n">
        <f aca="false">MAX(SUMPRODUCT((B$5:BI$5&gt;X$5)*(B$5:BI$5&lt;=X$5+Premissas!$B$118)*B$38:BI$38),Premissas!$B$118*X38)</f>
        <v>563279.283525825</v>
      </c>
      <c r="Y39" s="60" t="n">
        <f aca="false">MAX(SUMPRODUCT((B$5:BI$5&gt;Y$5)*(B$5:BI$5&lt;=Y$5+Premissas!$B$118)*B$38:BI$38),Premissas!$B$118*Y38)</f>
        <v>716086.314523265</v>
      </c>
      <c r="Z39" s="60" t="n">
        <f aca="false">MAX(SUMPRODUCT((B$5:BI$5&gt;Z$5)*(B$5:BI$5&lt;=Z$5+Premissas!$B$118)*B$38:BI$38),Premissas!$B$118*Z38)</f>
        <v>722203.985360965</v>
      </c>
      <c r="AA39" s="60" t="n">
        <f aca="false">MAX(SUMPRODUCT((B$5:BI$5&gt;AA$5)*(B$5:BI$5&lt;=AA$5+Premissas!$B$118)*B$38:BI$38),Premissas!$B$118*AA38)</f>
        <v>727889.957249337</v>
      </c>
      <c r="AB39" s="60" t="n">
        <f aca="false">MAX(SUMPRODUCT((B$5:BI$5&gt;AB$5)*(B$5:BI$5&lt;=AB$5+Premissas!$B$118)*B$38:BI$38),Premissas!$B$118*AB38)</f>
        <v>733173.731746048</v>
      </c>
      <c r="AC39" s="60" t="n">
        <f aca="false">MAX(SUMPRODUCT((B$5:BI$5&gt;AC$5)*(B$5:BI$5&lt;=AC$5+Premissas!$B$118)*B$38:BI$38),Premissas!$B$118*AC38)</f>
        <v>738083.967556127</v>
      </c>
      <c r="AD39" s="60" t="n">
        <f aca="false">MAX(SUMPRODUCT((B$5:BI$5&gt;AD$5)*(B$5:BI$5&lt;=AD$5+Premissas!$B$118)*B$38:BI$38),Premissas!$B$118*AD38)</f>
        <v>742646.494301936</v>
      </c>
      <c r="AE39" s="60" t="n">
        <f aca="false">MAX(SUMPRODUCT((B$5:BI$5&gt;AE$5)*(B$5:BI$5&lt;=AE$5+Premissas!$B$118)*B$38:BI$38),Premissas!$B$118*AE38)</f>
        <v>746887.534330128</v>
      </c>
      <c r="AF39" s="60" t="n">
        <f aca="false">MAX(SUMPRODUCT((B$5:BI$5&gt;AF$5)*(B$5:BI$5&lt;=AF$5+Premissas!$B$118)*B$38:BI$38),Premissas!$B$118*AF38)</f>
        <v>750829.448694376</v>
      </c>
      <c r="AG39" s="60" t="n">
        <f aca="false">MAX(SUMPRODUCT((B$5:BI$5&gt;AG$5)*(B$5:BI$5&lt;=AG$5+Premissas!$B$118)*B$38:BI$38),Premissas!$B$118*AG38)</f>
        <v>754492.873442796</v>
      </c>
      <c r="AH39" s="60" t="n">
        <f aca="false">MAX(SUMPRODUCT((B$5:BI$5&gt;AH$5)*(B$5:BI$5&lt;=AH$5+Premissas!$B$118)*B$38:BI$38),Premissas!$B$118*AH38)</f>
        <v>757895.708329928</v>
      </c>
      <c r="AI39" s="60" t="n">
        <f aca="false">MAX(SUMPRODUCT((B$5:BI$5&gt;AI$5)*(B$5:BI$5&lt;=AI$5+Premissas!$B$118)*B$38:BI$38),Premissas!$B$118*AI38)</f>
        <v>1021257.65220238</v>
      </c>
      <c r="AJ39" s="60" t="n">
        <f aca="false">MAX(SUMPRODUCT((B$5:BI$5&gt;AJ$5)*(B$5:BI$5&lt;=AJ$5+Premissas!$B$118)*B$38:BI$38),Premissas!$B$118*AJ38)</f>
        <v>1286274.50506655</v>
      </c>
      <c r="AK39" s="60" t="n">
        <f aca="false">MAX(SUMPRODUCT((B$5:BI$5&gt;AK$5)*(B$5:BI$5&lt;=AK$5+Premissas!$B$118)*B$38:BI$38),Premissas!$B$118*AK38)</f>
        <v>1552841.48575322</v>
      </c>
      <c r="AL39" s="60" t="n">
        <f aca="false">MAX(SUMPRODUCT((B$5:BI$5&gt;AL$5)*(B$5:BI$5&lt;=AL$5+Premissas!$B$118)*B$38:BI$38),Premissas!$B$118*AL38)</f>
        <v>1560660.17034624</v>
      </c>
      <c r="AM39" s="60" t="n">
        <f aca="false">MAX(SUMPRODUCT((B$5:BI$5&gt;AM$5)*(B$5:BI$5&lt;=AM$5+Premissas!$B$118)*B$38:BI$38),Premissas!$B$118*AM38)</f>
        <v>1567959.07688234</v>
      </c>
      <c r="AN39" s="60" t="n">
        <f aca="false">MAX(SUMPRODUCT((B$5:BI$5&gt;AN$5)*(B$5:BI$5&lt;=AN$5+Premissas!$B$118)*B$38:BI$38),Premissas!$B$118*AN38)</f>
        <v>1574773.26080967</v>
      </c>
      <c r="AO39" s="60" t="n">
        <f aca="false">MAX(SUMPRODUCT((B$5:BI$5&gt;AO$5)*(B$5:BI$5&lt;=AO$5+Premissas!$B$118)*B$38:BI$38),Premissas!$B$118*AO38)</f>
        <v>1581134.20277062</v>
      </c>
      <c r="AP39" s="60" t="n">
        <f aca="false">MAX(SUMPRODUCT((B$5:BI$5&gt;AP$5)*(B$5:BI$5&lt;=AP$5+Premissas!$B$118)*B$38:BI$38),Premissas!$B$118*AP38)</f>
        <v>1587072.58817418</v>
      </c>
      <c r="AQ39" s="60" t="n">
        <f aca="false">MAX(SUMPRODUCT((B$5:BI$5&gt;AQ$5)*(B$5:BI$5&lt;=AQ$5+Premissas!$B$118)*B$38:BI$38),Premissas!$B$118*AQ38)</f>
        <v>1592616.51013556</v>
      </c>
      <c r="AR39" s="60" t="n">
        <f aca="false">MAX(SUMPRODUCT((B$5:BI$5&gt;AR$5)*(B$5:BI$5&lt;=AR$5+Premissas!$B$118)*B$38:BI$38),Premissas!$B$118*AR38)</f>
        <v>1597792.42589157</v>
      </c>
      <c r="AS39" s="60" t="n">
        <f aca="false">MAX(SUMPRODUCT((B$5:BI$5&gt;AS$5)*(B$5:BI$5&lt;=AS$5+Premissas!$B$118)*B$38:BI$38),Premissas!$B$118*AS38)</f>
        <v>1602624.24179301</v>
      </c>
      <c r="AT39" s="60" t="n">
        <f aca="false">MAX(SUMPRODUCT((B$5:BI$5&gt;AT$5)*(B$5:BI$5&lt;=AT$5+Premissas!$B$118)*B$38:BI$38),Premissas!$B$118*AT38)</f>
        <v>1607135.40196861</v>
      </c>
      <c r="AU39" s="60" t="n">
        <f aca="false">MAX(SUMPRODUCT((B$5:BI$5&gt;AU$5)*(B$5:BI$5&lt;=AU$5+Premissas!$B$118)*B$38:BI$38),Premissas!$B$118*AU38)</f>
        <v>1907194.37493672</v>
      </c>
      <c r="AV39" s="60" t="n">
        <f aca="false">MAX(SUMPRODUCT((B$5:BI$5&gt;AV$5)*(B$5:BI$5&lt;=AV$5+Premissas!$B$118)*B$38:BI$38),Premissas!$B$118*AV38)</f>
        <v>2209874.61254433</v>
      </c>
      <c r="AW39" s="60" t="n">
        <f aca="false">MAX(SUMPRODUCT((B$5:BI$5&gt;AW$5)*(B$5:BI$5&lt;=AW$5+Premissas!$B$118)*B$38:BI$38),Premissas!$B$118*AW38)</f>
        <v>2515017.81737908</v>
      </c>
      <c r="AX39" s="60" t="n">
        <f aca="false">MAX(SUMPRODUCT((B$5:BI$5&gt;AX$5)*(B$5:BI$5&lt;=AX$5+Premissas!$B$118)*B$38:BI$38),Premissas!$B$118*AX38)</f>
        <v>2526627.28128885</v>
      </c>
      <c r="AY39" s="60" t="n">
        <f aca="false">MAX(SUMPRODUCT((B$5:BI$5&gt;AY$5)*(B$5:BI$5&lt;=AY$5+Premissas!$B$118)*B$38:BI$38),Premissas!$B$118*AY38)</f>
        <v>2537511.74119002</v>
      </c>
      <c r="AZ39" s="60" t="n">
        <f aca="false">MAX(SUMPRODUCT((B$5:BI$5&gt;AZ$5)*(B$5:BI$5&lt;=AZ$5+Premissas!$B$118)*B$38:BI$38),Premissas!$B$118*AZ38)</f>
        <v>2547716.23075499</v>
      </c>
      <c r="BA39" s="60" t="n">
        <f aca="false">MAX(SUMPRODUCT((B$5:BI$5&gt;BA$5)*(B$5:BI$5&lt;=BA$5+Premissas!$B$118)*B$38:BI$38),Premissas!$B$118*BA38)</f>
        <v>2557283.99090791</v>
      </c>
      <c r="BB39" s="60" t="n">
        <f aca="false">MAX(SUMPRODUCT((B$5:BI$5&gt;BB$5)*(B$5:BI$5&lt;=BB$5+Premissas!$B$118)*B$38:BI$38),Premissas!$B$118*BB38)</f>
        <v>2566253.74341558</v>
      </c>
      <c r="BC39" s="60" t="n">
        <f aca="false">MAX(SUMPRODUCT((B$5:BI$5&gt;BC$5)*(B$5:BI$5&lt;=BC$5+Premissas!$B$118)*B$38:BI$38),Premissas!$B$118*BC38)</f>
        <v>2574663.35769258</v>
      </c>
      <c r="BD39" s="60" t="n">
        <f aca="false">MAX(SUMPRODUCT((B$5:BI$5&gt;BD$5)*(B$5:BI$5&lt;=BD$5+Premissas!$B$118)*B$38:BI$38),Premissas!$B$118*BD38)</f>
        <v>2582547.17093215</v>
      </c>
      <c r="BE39" s="60" t="n">
        <f aca="false">MAX(SUMPRODUCT((B$5:BI$5&gt;BE$5)*(B$5:BI$5&lt;=BE$5+Premissas!$B$118)*B$38:BI$38),Premissas!$B$118*BE38)</f>
        <v>2589938.86666742</v>
      </c>
      <c r="BF39" s="60" t="n">
        <f aca="false">MAX(SUMPRODUCT((B$5:BI$5&gt;BF$5)*(B$5:BI$5&lt;=BF$5+Premissas!$B$118)*B$38:BI$38),Premissas!$B$118*BF38)</f>
        <v>2596868.64186097</v>
      </c>
      <c r="BG39" s="60" t="n">
        <f aca="false">MAX(SUMPRODUCT((B$5:BI$5&gt;BG$5)*(B$5:BI$5&lt;=BG$5+Premissas!$B$118)*B$38:BI$38),Premissas!$B$118*BG38)</f>
        <v>2590091.80402243</v>
      </c>
      <c r="BH39" s="60" t="n">
        <f aca="false">MAX(SUMPRODUCT((B$5:BI$5&gt;BH$5)*(B$5:BI$5&lt;=BH$5+Premissas!$B$118)*B$38:BI$38),Premissas!$B$118*BH38)</f>
        <v>2597013.01600306</v>
      </c>
      <c r="BI39" s="60" t="n">
        <f aca="false">MAX(SUMPRODUCT((B$5:BI$5&gt;BI$5)*(B$5:BI$5&lt;=BI$5+Premissas!$B$118)*B$38:BI$38),Premissas!$B$118*BI38)</f>
        <v>2603501.10555744</v>
      </c>
      <c r="BK39" s="29" t="s">
        <v>260</v>
      </c>
    </row>
    <row r="40" customFormat="false" ht="15" hidden="false" customHeight="false" outlineLevel="0" collapsed="false">
      <c r="A40" s="64" t="s">
        <v>261</v>
      </c>
      <c r="B40" s="70" t="n">
        <f aca="false">Cenários!B95</f>
        <v>0</v>
      </c>
      <c r="C40" s="70" t="n">
        <f aca="false">Cenários!C95</f>
        <v>0</v>
      </c>
      <c r="D40" s="70" t="n">
        <f aca="false">Cenários!D95</f>
        <v>0</v>
      </c>
      <c r="E40" s="70" t="n">
        <f aca="false">Cenários!E95</f>
        <v>8500</v>
      </c>
      <c r="F40" s="70" t="n">
        <f aca="false">Cenários!F95</f>
        <v>400</v>
      </c>
      <c r="G40" s="70" t="n">
        <f aca="false">Cenários!G95</f>
        <v>-1700</v>
      </c>
      <c r="H40" s="70" t="n">
        <f aca="false">Cenários!H95</f>
        <v>1200</v>
      </c>
      <c r="I40" s="70" t="n">
        <f aca="false">Cenários!I95</f>
        <v>7972.18</v>
      </c>
      <c r="J40" s="70" t="n">
        <f aca="false">Cenários!J95</f>
        <v>-4627.82</v>
      </c>
      <c r="K40" s="70" t="n">
        <f aca="false">Cenários!K95</f>
        <v>4594.58267499999</v>
      </c>
      <c r="L40" s="70" t="n">
        <f aca="false">Cenários!L95</f>
        <v>14254.30525</v>
      </c>
      <c r="M40" s="70" t="n">
        <f aca="false">Cenários!M95</f>
        <v>8894.90254999999</v>
      </c>
      <c r="N40" s="70" t="n">
        <f aca="false">Cenários!N95</f>
        <v>-73641.181590096</v>
      </c>
      <c r="O40" s="70" t="n">
        <f aca="false">Cenários!O95</f>
        <v>-134103.83203061</v>
      </c>
      <c r="P40" s="70" t="n">
        <f aca="false">Cenários!P95</f>
        <v>-180781.548699936</v>
      </c>
      <c r="Q40" s="70" t="n">
        <f aca="false">Cenários!Q95</f>
        <v>-180033.399365539</v>
      </c>
      <c r="R40" s="70" t="n">
        <f aca="false">Cenários!R95</f>
        <v>-166002.856464377</v>
      </c>
      <c r="S40" s="70" t="n">
        <f aca="false">Cenários!S95</f>
        <v>-130367.917753834</v>
      </c>
      <c r="T40" s="70" t="n">
        <f aca="false">Cenários!T95</f>
        <v>-117399.783886674</v>
      </c>
      <c r="U40" s="70" t="n">
        <f aca="false">Cenários!U95</f>
        <v>-68719.8464753618</v>
      </c>
      <c r="V40" s="70" t="n">
        <f aca="false">Cenários!V95</f>
        <v>-10032.1877155718</v>
      </c>
      <c r="W40" s="70" t="n">
        <f aca="false">Cenários!W95</f>
        <v>88042.8090348153</v>
      </c>
      <c r="X40" s="70" t="n">
        <f aca="false">Cenários!X95</f>
        <v>194603.217232698</v>
      </c>
      <c r="Y40" s="70" t="n">
        <f aca="false">Cenários!Y95</f>
        <v>324264.300897586</v>
      </c>
      <c r="Z40" s="70" t="n">
        <f aca="false">Cenários!Z95</f>
        <v>342951.826332154</v>
      </c>
      <c r="AA40" s="70" t="n">
        <f aca="false">Cenários!AA95</f>
        <v>386593.97070216</v>
      </c>
      <c r="AB40" s="70" t="n">
        <f aca="false">Cenários!AB95</f>
        <v>483941.72999922</v>
      </c>
      <c r="AC40" s="70" t="n">
        <f aca="false">Cenários!AC95</f>
        <v>596071.386384496</v>
      </c>
      <c r="AD40" s="70" t="n">
        <f aca="false">Cenários!AD95</f>
        <v>722531.053039428</v>
      </c>
      <c r="AE40" s="70" t="n">
        <f aca="false">Cenários!AE95</f>
        <v>873680.257431932</v>
      </c>
      <c r="AF40" s="70" t="n">
        <f aca="false">Cenários!AF95</f>
        <v>1097256.9384852</v>
      </c>
      <c r="AG40" s="70" t="n">
        <f aca="false">Cenários!AG95</f>
        <v>1339279.55304042</v>
      </c>
      <c r="AH40" s="70" t="n">
        <f aca="false">Cenários!AH95</f>
        <v>1598428.85858821</v>
      </c>
      <c r="AI40" s="70" t="n">
        <f aca="false">Cenários!AI95</f>
        <v>1873461.54000329</v>
      </c>
      <c r="AJ40" s="70" t="n">
        <f aca="false">Cenários!AJ95</f>
        <v>2163255.20515799</v>
      </c>
      <c r="AK40" s="70" t="n">
        <f aca="false">Cenários!AK95</f>
        <v>2466794.13375317</v>
      </c>
      <c r="AL40" s="70" t="n">
        <f aca="false">Cenários!AL95</f>
        <v>2660075.20334891</v>
      </c>
      <c r="AM40" s="70" t="n">
        <f aca="false">Cenários!AM95</f>
        <v>2901339.2946265</v>
      </c>
      <c r="AN40" s="70" t="n">
        <f aca="false">Cenários!AN95</f>
        <v>3187361.04734751</v>
      </c>
      <c r="AO40" s="70" t="n">
        <f aca="false">Cenários!AO95</f>
        <v>3515157.41738439</v>
      </c>
      <c r="AP40" s="70" t="n">
        <f aca="false">Cenários!AP95</f>
        <v>3881992.27127885</v>
      </c>
      <c r="AQ40" s="70" t="n">
        <f aca="false">Cenários!AQ95</f>
        <v>4260242.35620602</v>
      </c>
      <c r="AR40" s="70" t="n">
        <f aca="false">Cenários!AR95</f>
        <v>4697512.31906435</v>
      </c>
      <c r="AS40" s="70" t="n">
        <f aca="false">Cenários!AS95</f>
        <v>5166537.55518762</v>
      </c>
      <c r="AT40" s="70" t="n">
        <f aca="false">Cenários!AT95</f>
        <v>5665167.27478155</v>
      </c>
      <c r="AU40" s="70" t="n">
        <f aca="false">Cenários!AU95</f>
        <v>6191478.36212173</v>
      </c>
      <c r="AV40" s="70" t="n">
        <f aca="false">Cenários!AV95</f>
        <v>6743630.61737624</v>
      </c>
      <c r="AW40" s="70" t="n">
        <f aca="false">Cenários!AW95</f>
        <v>7319912.5239771</v>
      </c>
      <c r="AX40" s="70" t="n">
        <f aca="false">Cenários!AX95</f>
        <v>7834191.81765871</v>
      </c>
      <c r="AY40" s="70" t="n">
        <f aca="false">Cenários!AY95</f>
        <v>8434472.73495391</v>
      </c>
      <c r="AZ40" s="70" t="n">
        <f aca="false">Cenários!AZ95</f>
        <v>9115364.1782914</v>
      </c>
      <c r="BA40" s="70" t="n">
        <f aca="false">Cenários!BA95</f>
        <v>9871822.69134712</v>
      </c>
      <c r="BB40" s="70" t="n">
        <f aca="false">Cenários!BB95</f>
        <v>10699200.1171454</v>
      </c>
      <c r="BC40" s="70" t="n">
        <f aca="false">Cenários!BC95</f>
        <v>11563007.6649179</v>
      </c>
      <c r="BD40" s="70" t="n">
        <f aca="false">Cenários!BD95</f>
        <v>12519102.0855467</v>
      </c>
      <c r="BE40" s="70" t="n">
        <f aca="false">Cenários!BE95</f>
        <v>13533566.0337226</v>
      </c>
      <c r="BF40" s="70" t="n">
        <f aca="false">Cenários!BF95</f>
        <v>14602844.2184161</v>
      </c>
      <c r="BG40" s="70" t="n">
        <f aca="false">Cenários!BG95</f>
        <v>15723402.487798</v>
      </c>
      <c r="BH40" s="70" t="n">
        <f aca="false">Cenários!BH95</f>
        <v>16892084.1449609</v>
      </c>
      <c r="BI40" s="70" t="n">
        <f aca="false">Cenários!BI95</f>
        <v>18105907.5555274</v>
      </c>
    </row>
    <row r="41" customFormat="false" ht="15" hidden="false" customHeight="false" outlineLevel="0" collapsed="false">
      <c r="A41" s="27" t="s">
        <v>262</v>
      </c>
      <c r="B41" s="60" t="n">
        <f aca="false">B40-B39</f>
        <v>-1500</v>
      </c>
      <c r="C41" s="60" t="n">
        <f aca="false">C40-C39</f>
        <v>-3600</v>
      </c>
      <c r="D41" s="60" t="n">
        <f aca="false">D40-D39</f>
        <v>-5700</v>
      </c>
      <c r="E41" s="60" t="n">
        <f aca="false">E40-E39</f>
        <v>2200</v>
      </c>
      <c r="F41" s="60" t="n">
        <f aca="false">F40-F39</f>
        <v>-5900</v>
      </c>
      <c r="G41" s="60" t="n">
        <f aca="false">G40-G39</f>
        <v>-8000</v>
      </c>
      <c r="H41" s="60" t="n">
        <f aca="false">H40-H39</f>
        <v>-8685.48</v>
      </c>
      <c r="I41" s="60" t="n">
        <f aca="false">I40-I39</f>
        <v>-6465.26</v>
      </c>
      <c r="J41" s="60" t="n">
        <f aca="false">J40-J39</f>
        <v>-24919.6568</v>
      </c>
      <c r="K41" s="60" t="n">
        <f aca="false">K40-K39</f>
        <v>-80997.42287764</v>
      </c>
      <c r="L41" s="60" t="n">
        <f aca="false">L40-L39</f>
        <v>-138278.460573081</v>
      </c>
      <c r="M41" s="60" t="n">
        <f aca="false">M40-M39</f>
        <v>-212249.732643186</v>
      </c>
      <c r="N41" s="60" t="n">
        <f aca="false">N40-N39</f>
        <v>-302065.020408754</v>
      </c>
      <c r="O41" s="60" t="n">
        <f aca="false">O40-O39</f>
        <v>-368770.821466106</v>
      </c>
      <c r="P41" s="60" t="n">
        <f aca="false">P40-P39</f>
        <v>-420170.335553882</v>
      </c>
      <c r="Q41" s="60" t="n">
        <f aca="false">Q40-Q39</f>
        <v>-423788.678904069</v>
      </c>
      <c r="R41" s="60" t="n">
        <f aca="false">R40-R39</f>
        <v>-413796.419525609</v>
      </c>
      <c r="S41" s="60" t="n">
        <f aca="false">S40-S39</f>
        <v>-381895.553416861</v>
      </c>
      <c r="T41" s="60" t="n">
        <f aca="false">T40-T39</f>
        <v>-372380.875027841</v>
      </c>
      <c r="U41" s="60" t="n">
        <f aca="false">U40-U39</f>
        <v>-326894.335738713</v>
      </c>
      <c r="V41" s="60" t="n">
        <f aca="false">V40-V39</f>
        <v>-271160.231610319</v>
      </c>
      <c r="W41" s="60" t="n">
        <f aca="false">W40-W39</f>
        <v>-323557.051528405</v>
      </c>
      <c r="X41" s="60" t="n">
        <f aca="false">X40-X39</f>
        <v>-368676.066293126</v>
      </c>
      <c r="Y41" s="60" t="n">
        <f aca="false">Y40-Y39</f>
        <v>-391822.013625679</v>
      </c>
      <c r="Z41" s="60" t="n">
        <f aca="false">Z40-Z39</f>
        <v>-379252.15902881</v>
      </c>
      <c r="AA41" s="60" t="n">
        <f aca="false">AA40-AA39</f>
        <v>-341295.986547176</v>
      </c>
      <c r="AB41" s="60" t="n">
        <f aca="false">AB40-AB39</f>
        <v>-249232.001746827</v>
      </c>
      <c r="AC41" s="60" t="n">
        <f aca="false">AC40-AC39</f>
        <v>-142012.581171631</v>
      </c>
      <c r="AD41" s="60" t="n">
        <f aca="false">AD40-AD39</f>
        <v>-20115.4412625071</v>
      </c>
      <c r="AE41" s="60" t="n">
        <f aca="false">AE40-AE39</f>
        <v>126792.723101804</v>
      </c>
      <c r="AF41" s="60" t="n">
        <f aca="false">AF40-AF39</f>
        <v>346427.489790824</v>
      </c>
      <c r="AG41" s="60" t="n">
        <f aca="false">AG40-AG39</f>
        <v>584786.679597623</v>
      </c>
      <c r="AH41" s="60" t="n">
        <f aca="false">AH40-AH39</f>
        <v>840533.150258286</v>
      </c>
      <c r="AI41" s="60" t="n">
        <f aca="false">AI40-AI39</f>
        <v>852203.887800918</v>
      </c>
      <c r="AJ41" s="60" t="n">
        <f aca="false">AJ40-AJ39</f>
        <v>876980.700091445</v>
      </c>
      <c r="AK41" s="60" t="n">
        <f aca="false">AK40-AK39</f>
        <v>913952.647999945</v>
      </c>
      <c r="AL41" s="60" t="n">
        <f aca="false">AL40-AL39</f>
        <v>1099415.03300267</v>
      </c>
      <c r="AM41" s="60" t="n">
        <f aca="false">AM40-AM39</f>
        <v>1333380.21774416</v>
      </c>
      <c r="AN41" s="60" t="n">
        <f aca="false">AN40-AN39</f>
        <v>1612587.78653784</v>
      </c>
      <c r="AO41" s="60" t="n">
        <f aca="false">AO40-AO39</f>
        <v>1934023.21461377</v>
      </c>
      <c r="AP41" s="60" t="n">
        <f aca="false">AP40-AP39</f>
        <v>2294919.68310467</v>
      </c>
      <c r="AQ41" s="60" t="n">
        <f aca="false">AQ40-AQ39</f>
        <v>2667625.84607046</v>
      </c>
      <c r="AR41" s="60" t="n">
        <f aca="false">AR40-AR39</f>
        <v>3099719.89317278</v>
      </c>
      <c r="AS41" s="60" t="n">
        <f aca="false">AS40-AS39</f>
        <v>3563913.31339461</v>
      </c>
      <c r="AT41" s="60" t="n">
        <f aca="false">AT40-AT39</f>
        <v>4058031.87281293</v>
      </c>
      <c r="AU41" s="60" t="n">
        <f aca="false">AU40-AU39</f>
        <v>4284283.98718501</v>
      </c>
      <c r="AV41" s="60" t="n">
        <f aca="false">AV40-AV39</f>
        <v>4533756.00483191</v>
      </c>
      <c r="AW41" s="60" t="n">
        <f aca="false">AW40-AW39</f>
        <v>4804894.70659803</v>
      </c>
      <c r="AX41" s="60" t="n">
        <f aca="false">AX40-AX39</f>
        <v>5307564.53636986</v>
      </c>
      <c r="AY41" s="60" t="n">
        <f aca="false">AY40-AY39</f>
        <v>5896960.99376389</v>
      </c>
      <c r="AZ41" s="60" t="n">
        <f aca="false">AZ40-AZ39</f>
        <v>6567647.94753641</v>
      </c>
      <c r="BA41" s="60" t="n">
        <f aca="false">BA40-BA39</f>
        <v>7314538.70043921</v>
      </c>
      <c r="BB41" s="60" t="n">
        <f aca="false">BB40-BB39</f>
        <v>8132946.37372977</v>
      </c>
      <c r="BC41" s="60" t="n">
        <f aca="false">BC40-BC39</f>
        <v>8988344.30722527</v>
      </c>
      <c r="BD41" s="60" t="n">
        <f aca="false">BD40-BD39</f>
        <v>9936554.91461451</v>
      </c>
      <c r="BE41" s="60" t="n">
        <f aca="false">BE40-BE39</f>
        <v>10943627.1670552</v>
      </c>
      <c r="BF41" s="60" t="n">
        <f aca="false">BF40-BF39</f>
        <v>12005975.5765551</v>
      </c>
      <c r="BG41" s="60" t="n">
        <f aca="false">BG40-BG39</f>
        <v>13133310.6837755</v>
      </c>
      <c r="BH41" s="60" t="n">
        <f aca="false">BH40-BH39</f>
        <v>14295071.1289578</v>
      </c>
      <c r="BI41" s="60" t="n">
        <f aca="false">BI40-BI39</f>
        <v>15502406.44997</v>
      </c>
      <c r="BK41" s="29" t="s">
        <v>263</v>
      </c>
    </row>
    <row r="42" customFormat="false" ht="15" hidden="false" customHeight="false" outlineLevel="0" collapsed="false">
      <c r="A42" s="62" t="s">
        <v>264</v>
      </c>
      <c r="B42" s="61" t="n">
        <f aca="false">MAX(0,B39-B40)</f>
        <v>1500</v>
      </c>
      <c r="C42" s="61" t="n">
        <f aca="false">MAX(0,C39-C40)</f>
        <v>3600</v>
      </c>
      <c r="D42" s="61" t="n">
        <f aca="false">MAX(0,D39-D40)</f>
        <v>5700</v>
      </c>
      <c r="E42" s="61" t="n">
        <f aca="false">MAX(0,E39-E40)</f>
        <v>0</v>
      </c>
      <c r="F42" s="61" t="n">
        <f aca="false">MAX(0,F39-F40)</f>
        <v>5900</v>
      </c>
      <c r="G42" s="61" t="n">
        <f aca="false">MAX(0,G39-G40)</f>
        <v>8000</v>
      </c>
      <c r="H42" s="61" t="n">
        <f aca="false">MAX(0,H39-H40)</f>
        <v>8685.48</v>
      </c>
      <c r="I42" s="61" t="n">
        <f aca="false">MAX(0,I39-I40)</f>
        <v>6465.26</v>
      </c>
      <c r="J42" s="61" t="n">
        <f aca="false">MAX(0,J39-J40)</f>
        <v>24919.6568</v>
      </c>
      <c r="K42" s="61" t="n">
        <f aca="false">MAX(0,K39-K40)</f>
        <v>80997.42287764</v>
      </c>
      <c r="L42" s="61" t="n">
        <f aca="false">MAX(0,L39-L40)</f>
        <v>138278.460573081</v>
      </c>
      <c r="M42" s="61" t="n">
        <f aca="false">MAX(0,M39-M40)</f>
        <v>212249.732643186</v>
      </c>
      <c r="N42" s="61" t="n">
        <f aca="false">MAX(0,N39-N40)</f>
        <v>302065.020408754</v>
      </c>
      <c r="O42" s="61" t="n">
        <f aca="false">MAX(0,O39-O40)</f>
        <v>368770.821466106</v>
      </c>
      <c r="P42" s="61" t="n">
        <f aca="false">MAX(0,P39-P40)</f>
        <v>420170.335553882</v>
      </c>
      <c r="Q42" s="61" t="n">
        <f aca="false">MAX(0,Q39-Q40)</f>
        <v>423788.678904069</v>
      </c>
      <c r="R42" s="61" t="n">
        <f aca="false">MAX(0,R39-R40)</f>
        <v>413796.419525609</v>
      </c>
      <c r="S42" s="61" t="n">
        <f aca="false">MAX(0,S39-S40)</f>
        <v>381895.553416861</v>
      </c>
      <c r="T42" s="61" t="n">
        <f aca="false">MAX(0,T39-T40)</f>
        <v>372380.875027841</v>
      </c>
      <c r="U42" s="61" t="n">
        <f aca="false">MAX(0,U39-U40)</f>
        <v>326894.335738713</v>
      </c>
      <c r="V42" s="61" t="n">
        <f aca="false">MAX(0,V39-V40)</f>
        <v>271160.231610319</v>
      </c>
      <c r="W42" s="61" t="n">
        <f aca="false">MAX(0,W39-W40)</f>
        <v>323557.051528405</v>
      </c>
      <c r="X42" s="61" t="n">
        <f aca="false">MAX(0,X39-X40)</f>
        <v>368676.066293126</v>
      </c>
      <c r="Y42" s="61" t="n">
        <f aca="false">MAX(0,Y39-Y40)</f>
        <v>391822.013625679</v>
      </c>
      <c r="Z42" s="61" t="n">
        <f aca="false">MAX(0,Z39-Z40)</f>
        <v>379252.15902881</v>
      </c>
      <c r="AA42" s="61" t="n">
        <f aca="false">MAX(0,AA39-AA40)</f>
        <v>341295.986547176</v>
      </c>
      <c r="AB42" s="61" t="n">
        <f aca="false">MAX(0,AB39-AB40)</f>
        <v>249232.001746827</v>
      </c>
      <c r="AC42" s="61" t="n">
        <f aca="false">MAX(0,AC39-AC40)</f>
        <v>142012.581171631</v>
      </c>
      <c r="AD42" s="61" t="n">
        <f aca="false">MAX(0,AD39-AD40)</f>
        <v>20115.4412625071</v>
      </c>
      <c r="AE42" s="61" t="n">
        <f aca="false">MAX(0,AE39-AE40)</f>
        <v>0</v>
      </c>
      <c r="AF42" s="61" t="n">
        <f aca="false">MAX(0,AF39-AF40)</f>
        <v>0</v>
      </c>
      <c r="AG42" s="61" t="n">
        <f aca="false">MAX(0,AG39-AG40)</f>
        <v>0</v>
      </c>
      <c r="AH42" s="61" t="n">
        <f aca="false">MAX(0,AH39-AH40)</f>
        <v>0</v>
      </c>
      <c r="AI42" s="61" t="n">
        <f aca="false">MAX(0,AI39-AI40)</f>
        <v>0</v>
      </c>
      <c r="AJ42" s="61" t="n">
        <f aca="false">MAX(0,AJ39-AJ40)</f>
        <v>0</v>
      </c>
      <c r="AK42" s="61" t="n">
        <f aca="false">MAX(0,AK39-AK40)</f>
        <v>0</v>
      </c>
      <c r="AL42" s="61" t="n">
        <f aca="false">MAX(0,AL39-AL40)</f>
        <v>0</v>
      </c>
      <c r="AM42" s="61" t="n">
        <f aca="false">MAX(0,AM39-AM40)</f>
        <v>0</v>
      </c>
      <c r="AN42" s="61" t="n">
        <f aca="false">MAX(0,AN39-AN40)</f>
        <v>0</v>
      </c>
      <c r="AO42" s="61" t="n">
        <f aca="false">MAX(0,AO39-AO40)</f>
        <v>0</v>
      </c>
      <c r="AP42" s="61" t="n">
        <f aca="false">MAX(0,AP39-AP40)</f>
        <v>0</v>
      </c>
      <c r="AQ42" s="61" t="n">
        <f aca="false">MAX(0,AQ39-AQ40)</f>
        <v>0</v>
      </c>
      <c r="AR42" s="61" t="n">
        <f aca="false">MAX(0,AR39-AR40)</f>
        <v>0</v>
      </c>
      <c r="AS42" s="61" t="n">
        <f aca="false">MAX(0,AS39-AS40)</f>
        <v>0</v>
      </c>
      <c r="AT42" s="61" t="n">
        <f aca="false">MAX(0,AT39-AT40)</f>
        <v>0</v>
      </c>
      <c r="AU42" s="61" t="n">
        <f aca="false">MAX(0,AU39-AU40)</f>
        <v>0</v>
      </c>
      <c r="AV42" s="61" t="n">
        <f aca="false">MAX(0,AV39-AV40)</f>
        <v>0</v>
      </c>
      <c r="AW42" s="61" t="n">
        <f aca="false">MAX(0,AW39-AW40)</f>
        <v>0</v>
      </c>
      <c r="AX42" s="61" t="n">
        <f aca="false">MAX(0,AX39-AX40)</f>
        <v>0</v>
      </c>
      <c r="AY42" s="61" t="n">
        <f aca="false">MAX(0,AY39-AY40)</f>
        <v>0</v>
      </c>
      <c r="AZ42" s="61" t="n">
        <f aca="false">MAX(0,AZ39-AZ40)</f>
        <v>0</v>
      </c>
      <c r="BA42" s="61" t="n">
        <f aca="false">MAX(0,BA39-BA40)</f>
        <v>0</v>
      </c>
      <c r="BB42" s="61" t="n">
        <f aca="false">MAX(0,BB39-BB40)</f>
        <v>0</v>
      </c>
      <c r="BC42" s="61" t="n">
        <f aca="false">MAX(0,BC39-BC40)</f>
        <v>0</v>
      </c>
      <c r="BD42" s="61" t="n">
        <f aca="false">MAX(0,BD39-BD40)</f>
        <v>0</v>
      </c>
      <c r="BE42" s="61" t="n">
        <f aca="false">MAX(0,BE39-BE40)</f>
        <v>0</v>
      </c>
      <c r="BF42" s="61" t="n">
        <f aca="false">MAX(0,BF39-BF40)</f>
        <v>0</v>
      </c>
      <c r="BG42" s="61" t="n">
        <f aca="false">MAX(0,BG39-BG40)</f>
        <v>0</v>
      </c>
      <c r="BH42" s="61" t="n">
        <f aca="false">MAX(0,BH39-BH40)</f>
        <v>0</v>
      </c>
      <c r="BI42" s="61" t="n">
        <f aca="false">MAX(0,BI39-BI40)</f>
        <v>0</v>
      </c>
      <c r="BK42" s="29" t="s">
        <v>265</v>
      </c>
    </row>
    <row r="43" customFormat="false" ht="15" hidden="false" customHeight="false" outlineLevel="0" collapsed="false">
      <c r="A43" s="62" t="s">
        <v>266</v>
      </c>
      <c r="B43" s="63" t="n">
        <f aca="false">MAX($B42:B42)</f>
        <v>1500</v>
      </c>
      <c r="C43" s="63" t="n">
        <f aca="false">MAX($B42:C42)</f>
        <v>3600</v>
      </c>
      <c r="D43" s="63" t="n">
        <f aca="false">MAX($B42:D42)</f>
        <v>5700</v>
      </c>
      <c r="E43" s="63" t="n">
        <f aca="false">MAX($B42:E42)</f>
        <v>5700</v>
      </c>
      <c r="F43" s="63" t="n">
        <f aca="false">MAX($B42:F42)</f>
        <v>5900</v>
      </c>
      <c r="G43" s="63" t="n">
        <f aca="false">MAX($B42:G42)</f>
        <v>8000</v>
      </c>
      <c r="H43" s="63" t="n">
        <f aca="false">MAX($B42:H42)</f>
        <v>8685.48</v>
      </c>
      <c r="I43" s="63" t="n">
        <f aca="false">MAX($B42:I42)</f>
        <v>8685.48</v>
      </c>
      <c r="J43" s="63" t="n">
        <f aca="false">MAX($B42:J42)</f>
        <v>24919.6568</v>
      </c>
      <c r="K43" s="63" t="n">
        <f aca="false">MAX($B42:K42)</f>
        <v>80997.42287764</v>
      </c>
      <c r="L43" s="63" t="n">
        <f aca="false">MAX($B42:L42)</f>
        <v>138278.460573081</v>
      </c>
      <c r="M43" s="63" t="n">
        <f aca="false">MAX($B42:M42)</f>
        <v>212249.732643186</v>
      </c>
      <c r="N43" s="63" t="n">
        <f aca="false">MAX($B42:N42)</f>
        <v>302065.020408754</v>
      </c>
      <c r="O43" s="63" t="n">
        <f aca="false">MAX($B42:O42)</f>
        <v>368770.821466106</v>
      </c>
      <c r="P43" s="63" t="n">
        <f aca="false">MAX($B42:P42)</f>
        <v>420170.335553882</v>
      </c>
      <c r="Q43" s="63" t="n">
        <f aca="false">MAX($B42:Q42)</f>
        <v>423788.678904069</v>
      </c>
      <c r="R43" s="63" t="n">
        <f aca="false">MAX($B42:R42)</f>
        <v>423788.678904069</v>
      </c>
      <c r="S43" s="63" t="n">
        <f aca="false">MAX($B42:S42)</f>
        <v>423788.678904069</v>
      </c>
      <c r="T43" s="63" t="n">
        <f aca="false">MAX($B42:T42)</f>
        <v>423788.678904069</v>
      </c>
      <c r="U43" s="63" t="n">
        <f aca="false">MAX($B42:U42)</f>
        <v>423788.678904069</v>
      </c>
      <c r="V43" s="63" t="n">
        <f aca="false">MAX($B42:V42)</f>
        <v>423788.678904069</v>
      </c>
      <c r="W43" s="63" t="n">
        <f aca="false">MAX($B42:W42)</f>
        <v>423788.678904069</v>
      </c>
      <c r="X43" s="63" t="n">
        <f aca="false">MAX($B42:X42)</f>
        <v>423788.678904069</v>
      </c>
      <c r="Y43" s="63" t="n">
        <f aca="false">MAX($B42:Y42)</f>
        <v>423788.678904069</v>
      </c>
      <c r="Z43" s="63" t="n">
        <f aca="false">MAX($B42:Z42)</f>
        <v>423788.678904069</v>
      </c>
      <c r="AA43" s="63" t="n">
        <f aca="false">MAX($B42:AA42)</f>
        <v>423788.678904069</v>
      </c>
      <c r="AB43" s="63" t="n">
        <f aca="false">MAX($B42:AB42)</f>
        <v>423788.678904069</v>
      </c>
      <c r="AC43" s="63" t="n">
        <f aca="false">MAX($B42:AC42)</f>
        <v>423788.678904069</v>
      </c>
      <c r="AD43" s="63" t="n">
        <f aca="false">MAX($B42:AD42)</f>
        <v>423788.678904069</v>
      </c>
      <c r="AE43" s="63" t="n">
        <f aca="false">MAX($B42:AE42)</f>
        <v>423788.678904069</v>
      </c>
      <c r="AF43" s="63" t="n">
        <f aca="false">MAX($B42:AF42)</f>
        <v>423788.678904069</v>
      </c>
      <c r="AG43" s="63" t="n">
        <f aca="false">MAX($B42:AG42)</f>
        <v>423788.678904069</v>
      </c>
      <c r="AH43" s="63" t="n">
        <f aca="false">MAX($B42:AH42)</f>
        <v>423788.678904069</v>
      </c>
      <c r="AI43" s="63" t="n">
        <f aca="false">MAX($B42:AI42)</f>
        <v>423788.678904069</v>
      </c>
      <c r="AJ43" s="63" t="n">
        <f aca="false">MAX($B42:AJ42)</f>
        <v>423788.678904069</v>
      </c>
      <c r="AK43" s="63" t="n">
        <f aca="false">MAX($B42:AK42)</f>
        <v>423788.678904069</v>
      </c>
      <c r="AL43" s="63" t="n">
        <f aca="false">MAX($B42:AL42)</f>
        <v>423788.678904069</v>
      </c>
      <c r="AM43" s="63" t="n">
        <f aca="false">MAX($B42:AM42)</f>
        <v>423788.678904069</v>
      </c>
      <c r="AN43" s="63" t="n">
        <f aca="false">MAX($B42:AN42)</f>
        <v>423788.678904069</v>
      </c>
      <c r="AO43" s="63" t="n">
        <f aca="false">MAX($B42:AO42)</f>
        <v>423788.678904069</v>
      </c>
      <c r="AP43" s="63" t="n">
        <f aca="false">MAX($B42:AP42)</f>
        <v>423788.678904069</v>
      </c>
      <c r="AQ43" s="63" t="n">
        <f aca="false">MAX($B42:AQ42)</f>
        <v>423788.678904069</v>
      </c>
      <c r="AR43" s="63" t="n">
        <f aca="false">MAX($B42:AR42)</f>
        <v>423788.678904069</v>
      </c>
      <c r="AS43" s="63" t="n">
        <f aca="false">MAX($B42:AS42)</f>
        <v>423788.678904069</v>
      </c>
      <c r="AT43" s="63" t="n">
        <f aca="false">MAX($B42:AT42)</f>
        <v>423788.678904069</v>
      </c>
      <c r="AU43" s="63" t="n">
        <f aca="false">MAX($B42:AU42)</f>
        <v>423788.678904069</v>
      </c>
      <c r="AV43" s="63" t="n">
        <f aca="false">MAX($B42:AV42)</f>
        <v>423788.678904069</v>
      </c>
      <c r="AW43" s="63" t="n">
        <f aca="false">MAX($B42:AW42)</f>
        <v>423788.678904069</v>
      </c>
      <c r="AX43" s="63" t="n">
        <f aca="false">MAX($B42:AX42)</f>
        <v>423788.678904069</v>
      </c>
      <c r="AY43" s="63" t="n">
        <f aca="false">MAX($B42:AY42)</f>
        <v>423788.678904069</v>
      </c>
      <c r="AZ43" s="63" t="n">
        <f aca="false">MAX($B42:AZ42)</f>
        <v>423788.678904069</v>
      </c>
      <c r="BA43" s="63" t="n">
        <f aca="false">MAX($B42:BA42)</f>
        <v>423788.678904069</v>
      </c>
      <c r="BB43" s="63" t="n">
        <f aca="false">MAX($B42:BB42)</f>
        <v>423788.678904069</v>
      </c>
      <c r="BC43" s="63" t="n">
        <f aca="false">MAX($B42:BC42)</f>
        <v>423788.678904069</v>
      </c>
      <c r="BD43" s="63" t="n">
        <f aca="false">MAX($B42:BD42)</f>
        <v>423788.678904069</v>
      </c>
      <c r="BE43" s="63" t="n">
        <f aca="false">MAX($B42:BE42)</f>
        <v>423788.678904069</v>
      </c>
      <c r="BF43" s="63" t="n">
        <f aca="false">MAX($B42:BF42)</f>
        <v>423788.678904069</v>
      </c>
      <c r="BG43" s="63" t="n">
        <f aca="false">MAX($B42:BG42)</f>
        <v>423788.678904069</v>
      </c>
      <c r="BH43" s="63" t="n">
        <f aca="false">MAX($B42:BH42)</f>
        <v>423788.678904069</v>
      </c>
      <c r="BI43" s="63" t="n">
        <f aca="false">MAX($B42:BI42)</f>
        <v>423788.678904069</v>
      </c>
      <c r="BK43" s="29" t="s">
        <v>267</v>
      </c>
    </row>
    <row r="44" customFormat="false" ht="15" hidden="false" customHeight="false" outlineLevel="0" collapsed="false">
      <c r="A44" s="71" t="s">
        <v>268</v>
      </c>
      <c r="B44" s="72" t="n">
        <f aca="false">IF(B40&lt;0,B$5,9999)</f>
        <v>9999</v>
      </c>
      <c r="C44" s="72" t="n">
        <f aca="false">IF(C40&lt;0,C$5,9999)</f>
        <v>9999</v>
      </c>
      <c r="D44" s="72" t="n">
        <f aca="false">IF(D40&lt;0,D$5,9999)</f>
        <v>9999</v>
      </c>
      <c r="E44" s="72" t="n">
        <f aca="false">IF(E40&lt;0,E$5,9999)</f>
        <v>9999</v>
      </c>
      <c r="F44" s="72" t="n">
        <f aca="false">IF(F40&lt;0,F$5,9999)</f>
        <v>9999</v>
      </c>
      <c r="G44" s="72" t="n">
        <f aca="false">IF(G40&lt;0,G$5,9999)</f>
        <v>6</v>
      </c>
      <c r="H44" s="72" t="n">
        <f aca="false">IF(H40&lt;0,H$5,9999)</f>
        <v>9999</v>
      </c>
      <c r="I44" s="72" t="n">
        <f aca="false">IF(I40&lt;0,I$5,9999)</f>
        <v>9999</v>
      </c>
      <c r="J44" s="72" t="n">
        <f aca="false">IF(J40&lt;0,J$5,9999)</f>
        <v>9</v>
      </c>
      <c r="K44" s="72" t="n">
        <f aca="false">IF(K40&lt;0,K$5,9999)</f>
        <v>9999</v>
      </c>
      <c r="L44" s="72" t="n">
        <f aca="false">IF(L40&lt;0,L$5,9999)</f>
        <v>9999</v>
      </c>
      <c r="M44" s="72" t="n">
        <f aca="false">IF(M40&lt;0,M$5,9999)</f>
        <v>9999</v>
      </c>
      <c r="N44" s="72" t="n">
        <f aca="false">IF(N40&lt;0,N$5,9999)</f>
        <v>13</v>
      </c>
      <c r="O44" s="72" t="n">
        <f aca="false">IF(O40&lt;0,O$5,9999)</f>
        <v>14</v>
      </c>
      <c r="P44" s="72" t="n">
        <f aca="false">IF(P40&lt;0,P$5,9999)</f>
        <v>15</v>
      </c>
      <c r="Q44" s="72" t="n">
        <f aca="false">IF(Q40&lt;0,Q$5,9999)</f>
        <v>16</v>
      </c>
      <c r="R44" s="72" t="n">
        <f aca="false">IF(R40&lt;0,R$5,9999)</f>
        <v>17</v>
      </c>
      <c r="S44" s="72" t="n">
        <f aca="false">IF(S40&lt;0,S$5,9999)</f>
        <v>18</v>
      </c>
      <c r="T44" s="72" t="n">
        <f aca="false">IF(T40&lt;0,T$5,9999)</f>
        <v>19</v>
      </c>
      <c r="U44" s="72" t="n">
        <f aca="false">IF(U40&lt;0,U$5,9999)</f>
        <v>20</v>
      </c>
      <c r="V44" s="72" t="n">
        <f aca="false">IF(V40&lt;0,V$5,9999)</f>
        <v>21</v>
      </c>
      <c r="W44" s="72" t="n">
        <f aca="false">IF(W40&lt;0,W$5,9999)</f>
        <v>9999</v>
      </c>
      <c r="X44" s="72" t="n">
        <f aca="false">IF(X40&lt;0,X$5,9999)</f>
        <v>9999</v>
      </c>
      <c r="Y44" s="72" t="n">
        <f aca="false">IF(Y40&lt;0,Y$5,9999)</f>
        <v>9999</v>
      </c>
      <c r="Z44" s="72" t="n">
        <f aca="false">IF(Z40&lt;0,Z$5,9999)</f>
        <v>9999</v>
      </c>
      <c r="AA44" s="72" t="n">
        <f aca="false">IF(AA40&lt;0,AA$5,9999)</f>
        <v>9999</v>
      </c>
      <c r="AB44" s="72" t="n">
        <f aca="false">IF(AB40&lt;0,AB$5,9999)</f>
        <v>9999</v>
      </c>
      <c r="AC44" s="72" t="n">
        <f aca="false">IF(AC40&lt;0,AC$5,9999)</f>
        <v>9999</v>
      </c>
      <c r="AD44" s="72" t="n">
        <f aca="false">IF(AD40&lt;0,AD$5,9999)</f>
        <v>9999</v>
      </c>
      <c r="AE44" s="72" t="n">
        <f aca="false">IF(AE40&lt;0,AE$5,9999)</f>
        <v>9999</v>
      </c>
      <c r="AF44" s="72" t="n">
        <f aca="false">IF(AF40&lt;0,AF$5,9999)</f>
        <v>9999</v>
      </c>
      <c r="AG44" s="72" t="n">
        <f aca="false">IF(AG40&lt;0,AG$5,9999)</f>
        <v>9999</v>
      </c>
      <c r="AH44" s="72" t="n">
        <f aca="false">IF(AH40&lt;0,AH$5,9999)</f>
        <v>9999</v>
      </c>
      <c r="AI44" s="72" t="n">
        <f aca="false">IF(AI40&lt;0,AI$5,9999)</f>
        <v>9999</v>
      </c>
      <c r="AJ44" s="72" t="n">
        <f aca="false">IF(AJ40&lt;0,AJ$5,9999)</f>
        <v>9999</v>
      </c>
      <c r="AK44" s="72" t="n">
        <f aca="false">IF(AK40&lt;0,AK$5,9999)</f>
        <v>9999</v>
      </c>
      <c r="AL44" s="72" t="n">
        <f aca="false">IF(AL40&lt;0,AL$5,9999)</f>
        <v>9999</v>
      </c>
      <c r="AM44" s="72" t="n">
        <f aca="false">IF(AM40&lt;0,AM$5,9999)</f>
        <v>9999</v>
      </c>
      <c r="AN44" s="72" t="n">
        <f aca="false">IF(AN40&lt;0,AN$5,9999)</f>
        <v>9999</v>
      </c>
      <c r="AO44" s="72" t="n">
        <f aca="false">IF(AO40&lt;0,AO$5,9999)</f>
        <v>9999</v>
      </c>
      <c r="AP44" s="72" t="n">
        <f aca="false">IF(AP40&lt;0,AP$5,9999)</f>
        <v>9999</v>
      </c>
      <c r="AQ44" s="72" t="n">
        <f aca="false">IF(AQ40&lt;0,AQ$5,9999)</f>
        <v>9999</v>
      </c>
      <c r="AR44" s="72" t="n">
        <f aca="false">IF(AR40&lt;0,AR$5,9999)</f>
        <v>9999</v>
      </c>
      <c r="AS44" s="72" t="n">
        <f aca="false">IF(AS40&lt;0,AS$5,9999)</f>
        <v>9999</v>
      </c>
      <c r="AT44" s="72" t="n">
        <f aca="false">IF(AT40&lt;0,AT$5,9999)</f>
        <v>9999</v>
      </c>
      <c r="AU44" s="72" t="n">
        <f aca="false">IF(AU40&lt;0,AU$5,9999)</f>
        <v>9999</v>
      </c>
      <c r="AV44" s="72" t="n">
        <f aca="false">IF(AV40&lt;0,AV$5,9999)</f>
        <v>9999</v>
      </c>
      <c r="AW44" s="72" t="n">
        <f aca="false">IF(AW40&lt;0,AW$5,9999)</f>
        <v>9999</v>
      </c>
      <c r="AX44" s="72" t="n">
        <f aca="false">IF(AX40&lt;0,AX$5,9999)</f>
        <v>9999</v>
      </c>
      <c r="AY44" s="72" t="n">
        <f aca="false">IF(AY40&lt;0,AY$5,9999)</f>
        <v>9999</v>
      </c>
      <c r="AZ44" s="72" t="n">
        <f aca="false">IF(AZ40&lt;0,AZ$5,9999)</f>
        <v>9999</v>
      </c>
      <c r="BA44" s="72" t="n">
        <f aca="false">IF(BA40&lt;0,BA$5,9999)</f>
        <v>9999</v>
      </c>
      <c r="BB44" s="72" t="n">
        <f aca="false">IF(BB40&lt;0,BB$5,9999)</f>
        <v>9999</v>
      </c>
      <c r="BC44" s="72" t="n">
        <f aca="false">IF(BC40&lt;0,BC$5,9999)</f>
        <v>9999</v>
      </c>
      <c r="BD44" s="72" t="n">
        <f aca="false">IF(BD40&lt;0,BD$5,9999)</f>
        <v>9999</v>
      </c>
      <c r="BE44" s="72" t="n">
        <f aca="false">IF(BE40&lt;0,BE$5,9999)</f>
        <v>9999</v>
      </c>
      <c r="BF44" s="72" t="n">
        <f aca="false">IF(BF40&lt;0,BF$5,9999)</f>
        <v>9999</v>
      </c>
      <c r="BG44" s="72" t="n">
        <f aca="false">IF(BG40&lt;0,BG$5,9999)</f>
        <v>9999</v>
      </c>
      <c r="BH44" s="72" t="n">
        <f aca="false">IF(BH40&lt;0,BH$5,9999)</f>
        <v>9999</v>
      </c>
      <c r="BI44" s="72" t="n">
        <f aca="false">IF(BI40&lt;0,BI$5,9999)</f>
        <v>9999</v>
      </c>
      <c r="BK44" s="29" t="s">
        <v>269</v>
      </c>
    </row>
    <row r="45" customFormat="false" ht="15" hidden="false" customHeight="false" outlineLevel="0" collapsed="false">
      <c r="A45" s="71" t="s">
        <v>270</v>
      </c>
      <c r="B45" s="73" t="str">
        <f aca="false">IFERROR(IF(B38&lt;=0,"",MAX(0,B40)/B38),"")</f>
        <v/>
      </c>
      <c r="C45" s="73" t="str">
        <f aca="false">IFERROR(IF(C38&lt;=0,"",MAX(0,C40)/C38),"")</f>
        <v/>
      </c>
      <c r="D45" s="73" t="str">
        <f aca="false">IFERROR(IF(D38&lt;=0,"",MAX(0,D40)/D38),"")</f>
        <v/>
      </c>
      <c r="E45" s="73" t="n">
        <f aca="false">IFERROR(IF(E38&lt;=0,"",MAX(0,E40)/E38),"")</f>
        <v>5.66666666666667</v>
      </c>
      <c r="F45" s="73" t="n">
        <f aca="false">IFERROR(IF(F38&lt;=0,"",MAX(0,F40)/F38),"")</f>
        <v>0.19047619047619</v>
      </c>
      <c r="G45" s="73" t="n">
        <f aca="false">IFERROR(IF(G38&lt;=0,"",MAX(0,G40)/G38),"")</f>
        <v>0</v>
      </c>
      <c r="H45" s="73" t="n">
        <f aca="false">IFERROR(IF(H38&lt;=0,"",MAX(0,H40)/H38),"")</f>
        <v>0.571428571428571</v>
      </c>
      <c r="I45" s="73" t="n">
        <f aca="false">IFERROR(IF(I38&lt;=0,"",MAX(0,I40)/I38),"")</f>
        <v>3.79627619047619</v>
      </c>
      <c r="J45" s="73" t="n">
        <f aca="false">IFERROR(IF(J38&lt;=0,"",MAX(0,J40)/J38),"")</f>
        <v>0</v>
      </c>
      <c r="K45" s="73" t="n">
        <f aca="false">IFERROR(IF(K38&lt;=0,"",MAX(0,K40)/K38),"")</f>
        <v>0.808125729929573</v>
      </c>
      <c r="L45" s="73" t="n">
        <f aca="false">IFERROR(IF(L38&lt;=0,"",MAX(0,L40)/L38),"")</f>
        <v>2.14287296526137</v>
      </c>
      <c r="M45" s="73" t="n">
        <f aca="false">IFERROR(IF(M38&lt;=0,"",MAX(0,M40)/M38),"")</f>
        <v>1.11823721818856</v>
      </c>
      <c r="N45" s="73" t="n">
        <f aca="false">IFERROR(IF(N38&lt;=0,"",MAX(0,N40)/N38),"")</f>
        <v>0</v>
      </c>
      <c r="O45" s="73" t="n">
        <f aca="false">IFERROR(IF(O38&lt;=0,"",MAX(0,O40)/O38),"")</f>
        <v>0</v>
      </c>
      <c r="P45" s="73" t="n">
        <f aca="false">IFERROR(IF(P38&lt;=0,"",MAX(0,P40)/P38),"")</f>
        <v>0</v>
      </c>
      <c r="Q45" s="73" t="n">
        <f aca="false">IFERROR(IF(Q38&lt;=0,"",MAX(0,Q40)/Q38),"")</f>
        <v>0</v>
      </c>
      <c r="R45" s="73" t="n">
        <f aca="false">IFERROR(IF(R38&lt;=0,"",MAX(0,R40)/R38),"")</f>
        <v>0</v>
      </c>
      <c r="S45" s="73" t="n">
        <f aca="false">IFERROR(IF(S38&lt;=0,"",MAX(0,S40)/S38),"")</f>
        <v>0</v>
      </c>
      <c r="T45" s="73" t="n">
        <f aca="false">IFERROR(IF(T38&lt;=0,"",MAX(0,T40)/T38),"")</f>
        <v>0</v>
      </c>
      <c r="U45" s="73" t="n">
        <f aca="false">IFERROR(IF(U38&lt;=0,"",MAX(0,U40)/U38),"")</f>
        <v>0</v>
      </c>
      <c r="V45" s="73" t="n">
        <f aca="false">IFERROR(IF(V38&lt;=0,"",MAX(0,V40)/V38),"")</f>
        <v>0</v>
      </c>
      <c r="W45" s="73" t="n">
        <f aca="false">IFERROR(IF(W38&lt;=0,"",MAX(0,W40)/W38),"")</f>
        <v>1.02274511274555</v>
      </c>
      <c r="X45" s="73" t="n">
        <f aca="false">IFERROR(IF(X38&lt;=0,"",MAX(0,X40)/X38),"")</f>
        <v>2.235083123082</v>
      </c>
      <c r="Y45" s="73" t="n">
        <f aca="false">IFERROR(IF(Y38&lt;=0,"",MAX(0,Y40)/Y38),"")</f>
        <v>3.68583977992967</v>
      </c>
      <c r="Z45" s="73" t="n">
        <f aca="false">IFERROR(IF(Z38&lt;=0,"",MAX(0,Z40)/Z38),"")</f>
        <v>1.44976636197289</v>
      </c>
      <c r="AA45" s="73" t="n">
        <f aca="false">IFERROR(IF(AA38&lt;=0,"",MAX(0,AA40)/AA38),"")</f>
        <v>1.619262275055</v>
      </c>
      <c r="AB45" s="73" t="n">
        <f aca="false">IFERROR(IF(AB38&lt;=0,"",MAX(0,AB40)/AB38),"")</f>
        <v>2.00986900697398</v>
      </c>
      <c r="AC45" s="73" t="n">
        <f aca="false">IFERROR(IF(AC38&lt;=0,"",MAX(0,AC40)/AC38),"")</f>
        <v>2.45626098743939</v>
      </c>
      <c r="AD45" s="73" t="n">
        <f aca="false">IFERROR(IF(AD38&lt;=0,"",MAX(0,AD40)/AD38),"")</f>
        <v>2.95594788171859</v>
      </c>
      <c r="AE45" s="73" t="n">
        <f aca="false">IFERROR(IF(AE38&lt;=0,"",MAX(0,AE40)/AE38),"")</f>
        <v>3.55058600220938</v>
      </c>
      <c r="AF45" s="73" t="n">
        <f aca="false">IFERROR(IF(AF38&lt;=0,"",MAX(0,AF40)/AF38),"")</f>
        <v>4.43184784489424</v>
      </c>
      <c r="AG45" s="73" t="n">
        <f aca="false">IFERROR(IF(AG38&lt;=0,"",MAX(0,AG40)/AG38),"")</f>
        <v>5.37873050795627</v>
      </c>
      <c r="AH45" s="73" t="n">
        <f aca="false">IFERROR(IF(AH38&lt;=0,"",MAX(0,AH40)/AH38),"")</f>
        <v>6.38585989832483</v>
      </c>
      <c r="AI45" s="73" t="n">
        <f aca="false">IFERROR(IF(AI38&lt;=0,"",MAX(0,AI40)/AI38),"")</f>
        <v>7.4483682639942</v>
      </c>
      <c r="AJ45" s="73" t="n">
        <f aca="false">IFERROR(IF(AJ38&lt;=0,"",MAX(0,AJ40)/AJ38),"")</f>
        <v>8.56195928490904</v>
      </c>
      <c r="AK45" s="73" t="n">
        <f aca="false">IFERROR(IF(AK38&lt;=0,"",MAX(0,AK40)/AK38),"")</f>
        <v>9.72287463765138</v>
      </c>
      <c r="AL45" s="73" t="n">
        <f aca="false">IFERROR(IF(AL38&lt;=0,"",MAX(0,AL40)/AL38),"")</f>
        <v>5.16631428452855</v>
      </c>
      <c r="AM45" s="73" t="n">
        <f aca="false">IFERROR(IF(AM38&lt;=0,"",MAX(0,AM40)/AM38),"")</f>
        <v>5.60454934361124</v>
      </c>
      <c r="AN45" s="73" t="n">
        <f aca="false">IFERROR(IF(AN38&lt;=0,"",MAX(0,AN40)/AN38),"")</f>
        <v>6.12627291116543</v>
      </c>
      <c r="AO45" s="73" t="n">
        <f aca="false">IFERROR(IF(AO38&lt;=0,"",MAX(0,AO40)/AO38),"")</f>
        <v>6.72490892397028</v>
      </c>
      <c r="AP45" s="73" t="n">
        <f aca="false">IFERROR(IF(AP38&lt;=0,"",MAX(0,AP40)/AP38),"")</f>
        <v>7.39462793121306</v>
      </c>
      <c r="AQ45" s="73" t="n">
        <f aca="false">IFERROR(IF(AQ38&lt;=0,"",MAX(0,AQ40)/AQ38),"")</f>
        <v>8.08254746374247</v>
      </c>
      <c r="AR45" s="73" t="n">
        <f aca="false">IFERROR(IF(AR38&lt;=0,"",MAX(0,AR40)/AR38),"")</f>
        <v>8.87884400924324</v>
      </c>
      <c r="AS45" s="73" t="n">
        <f aca="false">IFERROR(IF(AS38&lt;=0,"",MAX(0,AS40)/AS38),"")</f>
        <v>9.73141951714803</v>
      </c>
      <c r="AT45" s="73" t="n">
        <f aca="false">IFERROR(IF(AT38&lt;=0,"",MAX(0,AT40)/AT38),"")</f>
        <v>10.6361061618216</v>
      </c>
      <c r="AU45" s="73" t="n">
        <f aca="false">IFERROR(IF(AU38&lt;=0,"",MAX(0,AU40)/AU38),"")</f>
        <v>11.5892349529882</v>
      </c>
      <c r="AV45" s="73" t="n">
        <f aca="false">IFERROR(IF(AV38&lt;=0,"",MAX(0,AV40)/AV38),"")</f>
        <v>12.5873921079332</v>
      </c>
      <c r="AW45" s="73" t="n">
        <f aca="false">IFERROR(IF(AW38&lt;=0,"",MAX(0,AW40)/AW38),"")</f>
        <v>13.6274013070664</v>
      </c>
      <c r="AX45" s="73" t="n">
        <f aca="false">IFERROR(IF(AX38&lt;=0,"",MAX(0,AX40)/AX38),"")</f>
        <v>9.39010501142583</v>
      </c>
      <c r="AY45" s="73" t="n">
        <f aca="false">IFERROR(IF(AY38&lt;=0,"",MAX(0,AY40)/AY38),"")</f>
        <v>10.0599001189489</v>
      </c>
      <c r="AZ45" s="73" t="n">
        <f aca="false">IFERROR(IF(AZ38&lt;=0,"",MAX(0,AZ40)/AZ38),"")</f>
        <v>10.8221231354855</v>
      </c>
      <c r="BA45" s="73" t="n">
        <f aca="false">IFERROR(IF(BA38&lt;=0,"",MAX(0,BA40)/BA38),"")</f>
        <v>11.6700300683516</v>
      </c>
      <c r="BB45" s="73" t="n">
        <f aca="false">IFERROR(IF(BB38&lt;=0,"",MAX(0,BB40)/BB38),"")</f>
        <v>12.5975270474836</v>
      </c>
      <c r="BC45" s="73" t="n">
        <f aca="false">IFERROR(IF(BC38&lt;=0,"",MAX(0,BC40)/BC38),"")</f>
        <v>13.5637358478205</v>
      </c>
      <c r="BD45" s="73" t="n">
        <f aca="false">IFERROR(IF(BD38&lt;=0,"",MAX(0,BD40)/BD38),"")</f>
        <v>14.6340070001313</v>
      </c>
      <c r="BE45" s="73" t="n">
        <f aca="false">IFERROR(IF(BE38&lt;=0,"",MAX(0,BE40)/BE38),"")</f>
        <v>15.7682538567129</v>
      </c>
      <c r="BF45" s="73" t="n">
        <f aca="false">IFERROR(IF(BF38&lt;=0,"",MAX(0,BF40)/BF38),"")</f>
        <v>16.9622228058456</v>
      </c>
      <c r="BG45" s="73" t="n">
        <f aca="false">IFERROR(IF(BG38&lt;=0,"",MAX(0,BG40)/BG38),"")</f>
        <v>18.2117897868092</v>
      </c>
      <c r="BH45" s="73" t="n">
        <f aca="false">IFERROR(IF(BH38&lt;=0,"",MAX(0,BH40)/BH38),"")</f>
        <v>19.5132839622329</v>
      </c>
      <c r="BI45" s="73" t="n">
        <f aca="false">IFERROR(IF(BI38&lt;=0,"",MAX(0,BI40)/BI38),"")</f>
        <v>20.8633376612115</v>
      </c>
      <c r="BK45" s="29" t="s">
        <v>271</v>
      </c>
    </row>
    <row r="47" customFormat="false" ht="19.5" hidden="false" customHeight="true" outlineLevel="0" collapsed="false">
      <c r="A47" s="75" t="s">
        <v>273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</row>
    <row r="48" customFormat="false" ht="15" hidden="false" customHeight="false" outlineLevel="0" collapsed="false">
      <c r="A48" s="66" t="s">
        <v>250</v>
      </c>
      <c r="B48" s="67" t="n">
        <f aca="false">Cenários!B134</f>
        <v>0</v>
      </c>
      <c r="C48" s="67" t="n">
        <f aca="false">Cenários!C134</f>
        <v>0</v>
      </c>
      <c r="D48" s="67" t="n">
        <f aca="false">Cenários!D134</f>
        <v>0</v>
      </c>
      <c r="E48" s="67" t="n">
        <f aca="false">Cenários!E134</f>
        <v>-1500</v>
      </c>
      <c r="F48" s="67" t="n">
        <f aca="false">Cenários!F134</f>
        <v>-8100</v>
      </c>
      <c r="G48" s="67" t="n">
        <f aca="false">Cenários!G134</f>
        <v>-2100</v>
      </c>
      <c r="H48" s="67" t="n">
        <f aca="false">Cenários!H134</f>
        <v>-2100</v>
      </c>
      <c r="I48" s="67" t="n">
        <f aca="false">Cenários!I134</f>
        <v>-11227.82</v>
      </c>
      <c r="J48" s="67" t="n">
        <f aca="false">Cenários!J134</f>
        <v>-12600</v>
      </c>
      <c r="K48" s="67" t="n">
        <f aca="false">Cenários!K134</f>
        <v>-64068.8782</v>
      </c>
      <c r="L48" s="67" t="n">
        <f aca="false">Cenários!L134</f>
        <v>-18566.120025</v>
      </c>
      <c r="M48" s="67" t="n">
        <f aca="false">Cenários!M134</f>
        <v>-2303.93228</v>
      </c>
      <c r="N48" s="67" t="n">
        <f aca="false">Cenários!N134</f>
        <v>-37852.5663431456</v>
      </c>
      <c r="O48" s="67" t="n">
        <f aca="false">Cenários!O134</f>
        <v>10067.7869997151</v>
      </c>
      <c r="P48" s="67" t="n">
        <f aca="false">Cenários!P134</f>
        <v>52315.8216097099</v>
      </c>
      <c r="Q48" s="67" t="n">
        <f aca="false">Cenários!Q134</f>
        <v>142443.86470741</v>
      </c>
      <c r="R48" s="67" t="n">
        <f aca="false">Cenários!R134</f>
        <v>174439.132094406</v>
      </c>
      <c r="S48" s="67" t="n">
        <f aca="false">Cenários!S134</f>
        <v>199696.321073951</v>
      </c>
      <c r="T48" s="67" t="n">
        <f aca="false">Cenários!T134</f>
        <v>204566.075054633</v>
      </c>
      <c r="U48" s="67" t="n">
        <f aca="false">Cenários!U134</f>
        <v>254741.825212561</v>
      </c>
      <c r="V48" s="67" t="n">
        <f aca="false">Cenários!V134</f>
        <v>279046.952345164</v>
      </c>
      <c r="W48" s="67" t="n">
        <f aca="false">Cenários!W134</f>
        <v>407571.756605024</v>
      </c>
      <c r="X48" s="67" t="n">
        <f aca="false">Cenários!X134</f>
        <v>443155.438034206</v>
      </c>
      <c r="Y48" s="67" t="n">
        <f aca="false">Cenários!Y134</f>
        <v>471924.956287645</v>
      </c>
      <c r="Z48" s="67" t="n">
        <f aca="false">Cenários!Z134</f>
        <v>531320.967933244</v>
      </c>
      <c r="AA48" s="67" t="n">
        <f aca="false">Cenários!AA134</f>
        <v>610031.936744902</v>
      </c>
      <c r="AB48" s="67" t="n">
        <f aca="false">Cenários!AB134</f>
        <v>684814.853412824</v>
      </c>
      <c r="AC48" s="67" t="n">
        <f aca="false">Cenários!AC134</f>
        <v>755750.485152941</v>
      </c>
      <c r="AD48" s="67" t="n">
        <f aca="false">Cenários!AD134</f>
        <v>823157.512200619</v>
      </c>
      <c r="AE48" s="67" t="n">
        <f aca="false">Cenários!AE134</f>
        <v>872057.082553502</v>
      </c>
      <c r="AF48" s="67" t="n">
        <f aca="false">Cenários!AF134</f>
        <v>985453.162479617</v>
      </c>
      <c r="AG48" s="67" t="n">
        <f aca="false">Cenários!AG134</f>
        <v>1043016.73708988</v>
      </c>
      <c r="AH48" s="67" t="n">
        <f aca="false">Cenários!AH134</f>
        <v>1097750.03882122</v>
      </c>
      <c r="AI48" s="67" t="n">
        <f aca="false">Cenários!AI134</f>
        <v>1149646.80363199</v>
      </c>
      <c r="AJ48" s="67" t="n">
        <f aca="false">Cenários!AJ134</f>
        <v>1198886.10387307</v>
      </c>
      <c r="AK48" s="67" t="n">
        <f aca="false">Cenários!AK134</f>
        <v>1245646.86449139</v>
      </c>
      <c r="AL48" s="67" t="n">
        <f aca="false">Cenários!AL134</f>
        <v>1475687.45503884</v>
      </c>
      <c r="AM48" s="67" t="n">
        <f aca="false">Cenários!AM134</f>
        <v>1622424.0980423</v>
      </c>
      <c r="AN48" s="67" t="n">
        <f aca="false">Cenários!AN134</f>
        <v>1762299.65026645</v>
      </c>
      <c r="AO48" s="67" t="n">
        <f aca="false">Cenários!AO134</f>
        <v>1895619.45848727</v>
      </c>
      <c r="AP48" s="67" t="n">
        <f aca="false">Cenários!AP134</f>
        <v>2022719.79474531</v>
      </c>
      <c r="AQ48" s="67" t="n">
        <f aca="false">Cenários!AQ134</f>
        <v>2118921.24720045</v>
      </c>
      <c r="AR48" s="67" t="n">
        <f aca="false">Cenários!AR134</f>
        <v>2259447.32864257</v>
      </c>
      <c r="AS48" s="67" t="n">
        <f aca="false">Cenários!AS134</f>
        <v>2369540.20581509</v>
      </c>
      <c r="AT48" s="67" t="n">
        <f aca="false">Cenários!AT134</f>
        <v>2474519.21586029</v>
      </c>
      <c r="AU48" s="67" t="n">
        <f aca="false">Cenários!AU134</f>
        <v>2574561.55416502</v>
      </c>
      <c r="AV48" s="67" t="n">
        <f aca="false">Cenários!AV134</f>
        <v>2669987.15803189</v>
      </c>
      <c r="AW48" s="67" t="n">
        <f aca="false">Cenários!AW134</f>
        <v>2760907.1453886</v>
      </c>
      <c r="AX48" s="67" t="n">
        <f aca="false">Cenários!AX134</f>
        <v>3408621.79333525</v>
      </c>
      <c r="AY48" s="67" t="n">
        <f aca="false">Cenários!AY134</f>
        <v>3695511.13548138</v>
      </c>
      <c r="AZ48" s="67" t="n">
        <f aca="false">Cenários!AZ134</f>
        <v>3970081.19730136</v>
      </c>
      <c r="BA48" s="67" t="n">
        <f aca="false">Cenários!BA134</f>
        <v>4232773.74516703</v>
      </c>
      <c r="BB48" s="67" t="n">
        <f aca="false">Cenários!BB134</f>
        <v>4484269.52202338</v>
      </c>
      <c r="BC48" s="67" t="n">
        <f aca="false">Cenários!BC134</f>
        <v>4694875.44549234</v>
      </c>
      <c r="BD48" s="67" t="n">
        <f aca="false">Cenários!BD134</f>
        <v>4955187.40991989</v>
      </c>
      <c r="BE48" s="67" t="n">
        <f aca="false">Cenários!BE134</f>
        <v>5175560.93631391</v>
      </c>
      <c r="BF48" s="67" t="n">
        <f aca="false">Cenários!BF134</f>
        <v>5386474.28744342</v>
      </c>
      <c r="BG48" s="67" t="n">
        <f aca="false">Cenários!BG134</f>
        <v>5588334.12738079</v>
      </c>
      <c r="BH48" s="67" t="n">
        <f aca="false">Cenários!BH134</f>
        <v>5781534.26735277</v>
      </c>
      <c r="BI48" s="67" t="n">
        <f aca="false">Cenários!BI134</f>
        <v>5966412.845039</v>
      </c>
      <c r="BJ48" s="61" t="n">
        <f aca="false">SUM(B48:BI48)</f>
        <v>96823354.1854961</v>
      </c>
      <c r="BK48" s="29" t="s">
        <v>251</v>
      </c>
    </row>
    <row r="49" customFormat="false" ht="15" hidden="false" customHeight="false" outlineLevel="0" collapsed="false">
      <c r="A49" s="27" t="s">
        <v>252</v>
      </c>
      <c r="B49" s="60" t="n">
        <f aca="false">IF(B48&lt;0,-B48,0)</f>
        <v>0</v>
      </c>
      <c r="C49" s="60" t="n">
        <f aca="false">IF(C48&lt;0,-C48,0)</f>
        <v>0</v>
      </c>
      <c r="D49" s="60" t="n">
        <f aca="false">IF(D48&lt;0,-D48,0)</f>
        <v>0</v>
      </c>
      <c r="E49" s="60" t="n">
        <f aca="false">IF(E48&lt;0,-E48,0)</f>
        <v>1500</v>
      </c>
      <c r="F49" s="60" t="n">
        <f aca="false">IF(F48&lt;0,-F48,0)</f>
        <v>8100</v>
      </c>
      <c r="G49" s="60" t="n">
        <f aca="false">IF(G48&lt;0,-G48,0)</f>
        <v>2100</v>
      </c>
      <c r="H49" s="60" t="n">
        <f aca="false">IF(H48&lt;0,-H48,0)</f>
        <v>2100</v>
      </c>
      <c r="I49" s="60" t="n">
        <f aca="false">IF(I48&lt;0,-I48,0)</f>
        <v>11227.82</v>
      </c>
      <c r="J49" s="60" t="n">
        <f aca="false">IF(J48&lt;0,-J48,0)</f>
        <v>12600</v>
      </c>
      <c r="K49" s="60" t="n">
        <f aca="false">IF(K48&lt;0,-K48,0)</f>
        <v>64068.8782</v>
      </c>
      <c r="L49" s="60" t="n">
        <f aca="false">IF(L48&lt;0,-L48,0)</f>
        <v>18566.120025</v>
      </c>
      <c r="M49" s="60" t="n">
        <f aca="false">IF(M48&lt;0,-M48,0)</f>
        <v>2303.93228</v>
      </c>
      <c r="N49" s="60" t="n">
        <f aca="false">IF(N48&lt;0,-N48,0)</f>
        <v>37852.5663431456</v>
      </c>
      <c r="O49" s="60" t="n">
        <f aca="false">IF(O48&lt;0,-O48,0)</f>
        <v>0</v>
      </c>
      <c r="P49" s="60" t="n">
        <f aca="false">IF(P48&lt;0,-P48,0)</f>
        <v>0</v>
      </c>
      <c r="Q49" s="60" t="n">
        <f aca="false">IF(Q48&lt;0,-Q48,0)</f>
        <v>0</v>
      </c>
      <c r="R49" s="60" t="n">
        <f aca="false">IF(R48&lt;0,-R48,0)</f>
        <v>0</v>
      </c>
      <c r="S49" s="60" t="n">
        <f aca="false">IF(S48&lt;0,-S48,0)</f>
        <v>0</v>
      </c>
      <c r="T49" s="60" t="n">
        <f aca="false">IF(T48&lt;0,-T48,0)</f>
        <v>0</v>
      </c>
      <c r="U49" s="60" t="n">
        <f aca="false">IF(U48&lt;0,-U48,0)</f>
        <v>0</v>
      </c>
      <c r="V49" s="60" t="n">
        <f aca="false">IF(V48&lt;0,-V48,0)</f>
        <v>0</v>
      </c>
      <c r="W49" s="60" t="n">
        <f aca="false">IF(W48&lt;0,-W48,0)</f>
        <v>0</v>
      </c>
      <c r="X49" s="60" t="n">
        <f aca="false">IF(X48&lt;0,-X48,0)</f>
        <v>0</v>
      </c>
      <c r="Y49" s="60" t="n">
        <f aca="false">IF(Y48&lt;0,-Y48,0)</f>
        <v>0</v>
      </c>
      <c r="Z49" s="60" t="n">
        <f aca="false">IF(Z48&lt;0,-Z48,0)</f>
        <v>0</v>
      </c>
      <c r="AA49" s="60" t="n">
        <f aca="false">IF(AA48&lt;0,-AA48,0)</f>
        <v>0</v>
      </c>
      <c r="AB49" s="60" t="n">
        <f aca="false">IF(AB48&lt;0,-AB48,0)</f>
        <v>0</v>
      </c>
      <c r="AC49" s="60" t="n">
        <f aca="false">IF(AC48&lt;0,-AC48,0)</f>
        <v>0</v>
      </c>
      <c r="AD49" s="60" t="n">
        <f aca="false">IF(AD48&lt;0,-AD48,0)</f>
        <v>0</v>
      </c>
      <c r="AE49" s="60" t="n">
        <f aca="false">IF(AE48&lt;0,-AE48,0)</f>
        <v>0</v>
      </c>
      <c r="AF49" s="60" t="n">
        <f aca="false">IF(AF48&lt;0,-AF48,0)</f>
        <v>0</v>
      </c>
      <c r="AG49" s="60" t="n">
        <f aca="false">IF(AG48&lt;0,-AG48,0)</f>
        <v>0</v>
      </c>
      <c r="AH49" s="60" t="n">
        <f aca="false">IF(AH48&lt;0,-AH48,0)</f>
        <v>0</v>
      </c>
      <c r="AI49" s="60" t="n">
        <f aca="false">IF(AI48&lt;0,-AI48,0)</f>
        <v>0</v>
      </c>
      <c r="AJ49" s="60" t="n">
        <f aca="false">IF(AJ48&lt;0,-AJ48,0)</f>
        <v>0</v>
      </c>
      <c r="AK49" s="60" t="n">
        <f aca="false">IF(AK48&lt;0,-AK48,0)</f>
        <v>0</v>
      </c>
      <c r="AL49" s="60" t="n">
        <f aca="false">IF(AL48&lt;0,-AL48,0)</f>
        <v>0</v>
      </c>
      <c r="AM49" s="60" t="n">
        <f aca="false">IF(AM48&lt;0,-AM48,0)</f>
        <v>0</v>
      </c>
      <c r="AN49" s="60" t="n">
        <f aca="false">IF(AN48&lt;0,-AN48,0)</f>
        <v>0</v>
      </c>
      <c r="AO49" s="60" t="n">
        <f aca="false">IF(AO48&lt;0,-AO48,0)</f>
        <v>0</v>
      </c>
      <c r="AP49" s="60" t="n">
        <f aca="false">IF(AP48&lt;0,-AP48,0)</f>
        <v>0</v>
      </c>
      <c r="AQ49" s="60" t="n">
        <f aca="false">IF(AQ48&lt;0,-AQ48,0)</f>
        <v>0</v>
      </c>
      <c r="AR49" s="60" t="n">
        <f aca="false">IF(AR48&lt;0,-AR48,0)</f>
        <v>0</v>
      </c>
      <c r="AS49" s="60" t="n">
        <f aca="false">IF(AS48&lt;0,-AS48,0)</f>
        <v>0</v>
      </c>
      <c r="AT49" s="60" t="n">
        <f aca="false">IF(AT48&lt;0,-AT48,0)</f>
        <v>0</v>
      </c>
      <c r="AU49" s="60" t="n">
        <f aca="false">IF(AU48&lt;0,-AU48,0)</f>
        <v>0</v>
      </c>
      <c r="AV49" s="60" t="n">
        <f aca="false">IF(AV48&lt;0,-AV48,0)</f>
        <v>0</v>
      </c>
      <c r="AW49" s="60" t="n">
        <f aca="false">IF(AW48&lt;0,-AW48,0)</f>
        <v>0</v>
      </c>
      <c r="AX49" s="60" t="n">
        <f aca="false">IF(AX48&lt;0,-AX48,0)</f>
        <v>0</v>
      </c>
      <c r="AY49" s="60" t="n">
        <f aca="false">IF(AY48&lt;0,-AY48,0)</f>
        <v>0</v>
      </c>
      <c r="AZ49" s="60" t="n">
        <f aca="false">IF(AZ48&lt;0,-AZ48,0)</f>
        <v>0</v>
      </c>
      <c r="BA49" s="60" t="n">
        <f aca="false">IF(BA48&lt;0,-BA48,0)</f>
        <v>0</v>
      </c>
      <c r="BB49" s="60" t="n">
        <f aca="false">IF(BB48&lt;0,-BB48,0)</f>
        <v>0</v>
      </c>
      <c r="BC49" s="60" t="n">
        <f aca="false">IF(BC48&lt;0,-BC48,0)</f>
        <v>0</v>
      </c>
      <c r="BD49" s="60" t="n">
        <f aca="false">IF(BD48&lt;0,-BD48,0)</f>
        <v>0</v>
      </c>
      <c r="BE49" s="60" t="n">
        <f aca="false">IF(BE48&lt;0,-BE48,0)</f>
        <v>0</v>
      </c>
      <c r="BF49" s="60" t="n">
        <f aca="false">IF(BF48&lt;0,-BF48,0)</f>
        <v>0</v>
      </c>
      <c r="BG49" s="60" t="n">
        <f aca="false">IF(BG48&lt;0,-BG48,0)</f>
        <v>0</v>
      </c>
      <c r="BH49" s="60" t="n">
        <f aca="false">IF(BH48&lt;0,-BH48,0)</f>
        <v>0</v>
      </c>
      <c r="BI49" s="60" t="n">
        <f aca="false">IF(BI48&lt;0,-BI48,0)</f>
        <v>0</v>
      </c>
      <c r="BJ49" s="61" t="n">
        <f aca="false">SUM(B49:BI49)</f>
        <v>160419.316848146</v>
      </c>
    </row>
    <row r="50" customFormat="false" ht="15" hidden="false" customHeight="false" outlineLevel="0" collapsed="false">
      <c r="A50" s="27" t="s">
        <v>253</v>
      </c>
      <c r="B50" s="60" t="n">
        <f aca="false">B49</f>
        <v>0</v>
      </c>
      <c r="C50" s="60" t="n">
        <f aca="false">B50+C49</f>
        <v>0</v>
      </c>
      <c r="D50" s="60" t="n">
        <f aca="false">C50+D49</f>
        <v>0</v>
      </c>
      <c r="E50" s="60" t="n">
        <f aca="false">D50+E49</f>
        <v>1500</v>
      </c>
      <c r="F50" s="60" t="n">
        <f aca="false">E50+F49</f>
        <v>9600</v>
      </c>
      <c r="G50" s="60" t="n">
        <f aca="false">F50+G49</f>
        <v>11700</v>
      </c>
      <c r="H50" s="60" t="n">
        <f aca="false">G50+H49</f>
        <v>13800</v>
      </c>
      <c r="I50" s="60" t="n">
        <f aca="false">H50+I49</f>
        <v>25027.82</v>
      </c>
      <c r="J50" s="60" t="n">
        <f aca="false">I50+J49</f>
        <v>37627.82</v>
      </c>
      <c r="K50" s="60" t="n">
        <f aca="false">J50+K49</f>
        <v>101696.6982</v>
      </c>
      <c r="L50" s="60" t="n">
        <f aca="false">K50+L49</f>
        <v>120262.818225</v>
      </c>
      <c r="M50" s="60" t="n">
        <f aca="false">L50+M49</f>
        <v>122566.750505</v>
      </c>
      <c r="N50" s="60" t="n">
        <f aca="false">M50+N49</f>
        <v>160419.316848146</v>
      </c>
      <c r="O50" s="60" t="n">
        <f aca="false">N50+O49</f>
        <v>160419.316848146</v>
      </c>
      <c r="P50" s="60" t="n">
        <f aca="false">O50+P49</f>
        <v>160419.316848146</v>
      </c>
      <c r="Q50" s="60" t="n">
        <f aca="false">P50+Q49</f>
        <v>160419.316848146</v>
      </c>
      <c r="R50" s="60" t="n">
        <f aca="false">Q50+R49</f>
        <v>160419.316848146</v>
      </c>
      <c r="S50" s="60" t="n">
        <f aca="false">R50+S49</f>
        <v>160419.316848146</v>
      </c>
      <c r="T50" s="60" t="n">
        <f aca="false">S50+T49</f>
        <v>160419.316848146</v>
      </c>
      <c r="U50" s="60" t="n">
        <f aca="false">T50+U49</f>
        <v>160419.316848146</v>
      </c>
      <c r="V50" s="60" t="n">
        <f aca="false">U50+V49</f>
        <v>160419.316848146</v>
      </c>
      <c r="W50" s="60" t="n">
        <f aca="false">V50+W49</f>
        <v>160419.316848146</v>
      </c>
      <c r="X50" s="60" t="n">
        <f aca="false">W50+X49</f>
        <v>160419.316848146</v>
      </c>
      <c r="Y50" s="60" t="n">
        <f aca="false">X50+Y49</f>
        <v>160419.316848146</v>
      </c>
      <c r="Z50" s="60" t="n">
        <f aca="false">Y50+Z49</f>
        <v>160419.316848146</v>
      </c>
      <c r="AA50" s="60" t="n">
        <f aca="false">Z50+AA49</f>
        <v>160419.316848146</v>
      </c>
      <c r="AB50" s="60" t="n">
        <f aca="false">AA50+AB49</f>
        <v>160419.316848146</v>
      </c>
      <c r="AC50" s="60" t="n">
        <f aca="false">AB50+AC49</f>
        <v>160419.316848146</v>
      </c>
      <c r="AD50" s="60" t="n">
        <f aca="false">AC50+AD49</f>
        <v>160419.316848146</v>
      </c>
      <c r="AE50" s="60" t="n">
        <f aca="false">AD50+AE49</f>
        <v>160419.316848146</v>
      </c>
      <c r="AF50" s="60" t="n">
        <f aca="false">AE50+AF49</f>
        <v>160419.316848146</v>
      </c>
      <c r="AG50" s="60" t="n">
        <f aca="false">AF50+AG49</f>
        <v>160419.316848146</v>
      </c>
      <c r="AH50" s="60" t="n">
        <f aca="false">AG50+AH49</f>
        <v>160419.316848146</v>
      </c>
      <c r="AI50" s="60" t="n">
        <f aca="false">AH50+AI49</f>
        <v>160419.316848146</v>
      </c>
      <c r="AJ50" s="60" t="n">
        <f aca="false">AI50+AJ49</f>
        <v>160419.316848146</v>
      </c>
      <c r="AK50" s="60" t="n">
        <f aca="false">AJ50+AK49</f>
        <v>160419.316848146</v>
      </c>
      <c r="AL50" s="60" t="n">
        <f aca="false">AK50+AL49</f>
        <v>160419.316848146</v>
      </c>
      <c r="AM50" s="60" t="n">
        <f aca="false">AL50+AM49</f>
        <v>160419.316848146</v>
      </c>
      <c r="AN50" s="60" t="n">
        <f aca="false">AM50+AN49</f>
        <v>160419.316848146</v>
      </c>
      <c r="AO50" s="60" t="n">
        <f aca="false">AN50+AO49</f>
        <v>160419.316848146</v>
      </c>
      <c r="AP50" s="60" t="n">
        <f aca="false">AO50+AP49</f>
        <v>160419.316848146</v>
      </c>
      <c r="AQ50" s="60" t="n">
        <f aca="false">AP50+AQ49</f>
        <v>160419.316848146</v>
      </c>
      <c r="AR50" s="60" t="n">
        <f aca="false">AQ50+AR49</f>
        <v>160419.316848146</v>
      </c>
      <c r="AS50" s="60" t="n">
        <f aca="false">AR50+AS49</f>
        <v>160419.316848146</v>
      </c>
      <c r="AT50" s="60" t="n">
        <f aca="false">AS50+AT49</f>
        <v>160419.316848146</v>
      </c>
      <c r="AU50" s="60" t="n">
        <f aca="false">AT50+AU49</f>
        <v>160419.316848146</v>
      </c>
      <c r="AV50" s="60" t="n">
        <f aca="false">AU50+AV49</f>
        <v>160419.316848146</v>
      </c>
      <c r="AW50" s="60" t="n">
        <f aca="false">AV50+AW49</f>
        <v>160419.316848146</v>
      </c>
      <c r="AX50" s="60" t="n">
        <f aca="false">AW50+AX49</f>
        <v>160419.316848146</v>
      </c>
      <c r="AY50" s="60" t="n">
        <f aca="false">AX50+AY49</f>
        <v>160419.316848146</v>
      </c>
      <c r="AZ50" s="60" t="n">
        <f aca="false">AY50+AZ49</f>
        <v>160419.316848146</v>
      </c>
      <c r="BA50" s="60" t="n">
        <f aca="false">AZ50+BA49</f>
        <v>160419.316848146</v>
      </c>
      <c r="BB50" s="60" t="n">
        <f aca="false">BA50+BB49</f>
        <v>160419.316848146</v>
      </c>
      <c r="BC50" s="60" t="n">
        <f aca="false">BB50+BC49</f>
        <v>160419.316848146</v>
      </c>
      <c r="BD50" s="60" t="n">
        <f aca="false">BC50+BD49</f>
        <v>160419.316848146</v>
      </c>
      <c r="BE50" s="60" t="n">
        <f aca="false">BD50+BE49</f>
        <v>160419.316848146</v>
      </c>
      <c r="BF50" s="60" t="n">
        <f aca="false">BE50+BF49</f>
        <v>160419.316848146</v>
      </c>
      <c r="BG50" s="60" t="n">
        <f aca="false">BF50+BG49</f>
        <v>160419.316848146</v>
      </c>
      <c r="BH50" s="60" t="n">
        <f aca="false">BG50+BH49</f>
        <v>160419.316848146</v>
      </c>
      <c r="BI50" s="60" t="n">
        <f aca="false">BH50+BI49</f>
        <v>160419.316848146</v>
      </c>
      <c r="BK50" s="29" t="s">
        <v>254</v>
      </c>
    </row>
    <row r="51" customFormat="false" ht="15" hidden="false" customHeight="false" outlineLevel="0" collapsed="false">
      <c r="A51" s="64" t="s">
        <v>255</v>
      </c>
      <c r="B51" s="65" t="n">
        <f aca="false">Cenários!B137</f>
        <v>0</v>
      </c>
      <c r="C51" s="65" t="n">
        <f aca="false">Cenários!C137</f>
        <v>0</v>
      </c>
      <c r="D51" s="65" t="n">
        <f aca="false">Cenários!D137</f>
        <v>0</v>
      </c>
      <c r="E51" s="65" t="n">
        <f aca="false">Cenários!E137</f>
        <v>-1500</v>
      </c>
      <c r="F51" s="65" t="n">
        <f aca="false">Cenários!F137</f>
        <v>-9600</v>
      </c>
      <c r="G51" s="65" t="n">
        <f aca="false">Cenários!G137</f>
        <v>-11700</v>
      </c>
      <c r="H51" s="65" t="n">
        <f aca="false">Cenários!H137</f>
        <v>-13800</v>
      </c>
      <c r="I51" s="65" t="n">
        <f aca="false">Cenários!I137</f>
        <v>-25027.82</v>
      </c>
      <c r="J51" s="65" t="n">
        <f aca="false">Cenários!J137</f>
        <v>-37627.82</v>
      </c>
      <c r="K51" s="65" t="n">
        <f aca="false">Cenários!K137</f>
        <v>-101696.6982</v>
      </c>
      <c r="L51" s="65" t="n">
        <f aca="false">Cenários!L137</f>
        <v>-120262.818225</v>
      </c>
      <c r="M51" s="65" t="n">
        <f aca="false">Cenários!M137</f>
        <v>-122566.750505</v>
      </c>
      <c r="N51" s="65" t="n">
        <f aca="false">Cenários!N137</f>
        <v>-160419.316848146</v>
      </c>
      <c r="O51" s="65" t="n">
        <f aca="false">Cenários!O137</f>
        <v>-150351.52984843</v>
      </c>
      <c r="P51" s="65" t="n">
        <f aca="false">Cenários!P137</f>
        <v>-98035.7082387206</v>
      </c>
      <c r="Q51" s="65" t="n">
        <f aca="false">Cenários!Q137</f>
        <v>44408.1564686894</v>
      </c>
      <c r="R51" s="65" t="n">
        <f aca="false">Cenários!R137</f>
        <v>218847.288563095</v>
      </c>
      <c r="S51" s="65" t="n">
        <f aca="false">Cenários!S137</f>
        <v>418543.609637046</v>
      </c>
      <c r="T51" s="65" t="n">
        <f aca="false">Cenários!T137</f>
        <v>623109.684691679</v>
      </c>
      <c r="U51" s="65" t="n">
        <f aca="false">Cenários!U137</f>
        <v>877851.509904239</v>
      </c>
      <c r="V51" s="65" t="n">
        <f aca="false">Cenários!V137</f>
        <v>1156898.4622494</v>
      </c>
      <c r="W51" s="65" t="n">
        <f aca="false">Cenários!W137</f>
        <v>1564470.21885443</v>
      </c>
      <c r="X51" s="65" t="n">
        <f aca="false">Cenários!X137</f>
        <v>2007625.65688863</v>
      </c>
      <c r="Y51" s="65" t="n">
        <f aca="false">Cenários!Y137</f>
        <v>2479550.61317628</v>
      </c>
      <c r="Z51" s="65" t="n">
        <f aca="false">Cenários!Z137</f>
        <v>3010871.58110952</v>
      </c>
      <c r="AA51" s="65" t="n">
        <f aca="false">Cenários!AA137</f>
        <v>3620903.51785442</v>
      </c>
      <c r="AB51" s="65" t="n">
        <f aca="false">Cenários!AB137</f>
        <v>4305718.37126725</v>
      </c>
      <c r="AC51" s="65" t="n">
        <f aca="false">Cenários!AC137</f>
        <v>5061468.85642019</v>
      </c>
      <c r="AD51" s="65" t="n">
        <f aca="false">Cenários!AD137</f>
        <v>5884626.36862081</v>
      </c>
      <c r="AE51" s="65" t="n">
        <f aca="false">Cenários!AE137</f>
        <v>6756683.45117431</v>
      </c>
      <c r="AF51" s="65" t="n">
        <f aca="false">Cenários!AF137</f>
        <v>7742136.61365393</v>
      </c>
      <c r="AG51" s="65" t="n">
        <f aca="false">Cenários!AG137</f>
        <v>8785153.3507438</v>
      </c>
      <c r="AH51" s="65" t="n">
        <f aca="false">Cenários!AH137</f>
        <v>9882903.38956502</v>
      </c>
      <c r="AI51" s="65" t="n">
        <f aca="false">Cenários!AI137</f>
        <v>11032550.193197</v>
      </c>
      <c r="AJ51" s="65" t="n">
        <f aca="false">Cenários!AJ137</f>
        <v>12231436.2970701</v>
      </c>
      <c r="AK51" s="65" t="n">
        <f aca="false">Cenários!AK137</f>
        <v>13477083.1615615</v>
      </c>
      <c r="AL51" s="65" t="n">
        <f aca="false">Cenários!AL137</f>
        <v>14952770.6166003</v>
      </c>
      <c r="AM51" s="65" t="n">
        <f aca="false">Cenários!AM137</f>
        <v>16575194.7146426</v>
      </c>
      <c r="AN51" s="65" t="n">
        <f aca="false">Cenários!AN137</f>
        <v>18337494.3649091</v>
      </c>
      <c r="AO51" s="65" t="n">
        <f aca="false">Cenários!AO137</f>
        <v>20233113.8233963</v>
      </c>
      <c r="AP51" s="65" t="n">
        <f aca="false">Cenários!AP137</f>
        <v>22255833.6181417</v>
      </c>
      <c r="AQ51" s="65" t="n">
        <f aca="false">Cenários!AQ137</f>
        <v>24374754.8653421</v>
      </c>
      <c r="AR51" s="65" t="n">
        <f aca="false">Cenários!AR137</f>
        <v>26634202.1939847</v>
      </c>
      <c r="AS51" s="65" t="n">
        <f aca="false">Cenários!AS137</f>
        <v>29003742.3997998</v>
      </c>
      <c r="AT51" s="65" t="n">
        <f aca="false">Cenários!AT137</f>
        <v>31478261.61566</v>
      </c>
      <c r="AU51" s="65" t="n">
        <f aca="false">Cenários!AU137</f>
        <v>34052823.1698251</v>
      </c>
      <c r="AV51" s="65" t="n">
        <f aca="false">Cenários!AV137</f>
        <v>36722810.327857</v>
      </c>
      <c r="AW51" s="65" t="n">
        <f aca="false">Cenários!AW137</f>
        <v>39483717.4732456</v>
      </c>
      <c r="AX51" s="65" t="n">
        <f aca="false">Cenários!AX137</f>
        <v>42892339.2665808</v>
      </c>
      <c r="AY51" s="65" t="n">
        <f aca="false">Cenários!AY137</f>
        <v>46587850.4020622</v>
      </c>
      <c r="AZ51" s="65" t="n">
        <f aca="false">Cenários!AZ137</f>
        <v>50557931.5993636</v>
      </c>
      <c r="BA51" s="65" t="n">
        <f aca="false">Cenários!BA137</f>
        <v>54790705.3445306</v>
      </c>
      <c r="BB51" s="65" t="n">
        <f aca="false">Cenários!BB137</f>
        <v>59274974.866554</v>
      </c>
      <c r="BC51" s="65" t="n">
        <f aca="false">Cenários!BC137</f>
        <v>63969850.3120463</v>
      </c>
      <c r="BD51" s="65" t="n">
        <f aca="false">Cenários!BD137</f>
        <v>68925037.7219662</v>
      </c>
      <c r="BE51" s="65" t="n">
        <f aca="false">Cenários!BE137</f>
        <v>74100598.6582801</v>
      </c>
      <c r="BF51" s="65" t="n">
        <f aca="false">Cenários!BF137</f>
        <v>79487072.9457235</v>
      </c>
      <c r="BG51" s="65" t="n">
        <f aca="false">Cenários!BG137</f>
        <v>85075407.0731043</v>
      </c>
      <c r="BH51" s="65" t="n">
        <f aca="false">Cenários!BH137</f>
        <v>90856941.3404571</v>
      </c>
      <c r="BI51" s="65" t="n">
        <f aca="false">Cenários!BI137</f>
        <v>96823354.1854961</v>
      </c>
      <c r="BK51" s="29" t="s">
        <v>256</v>
      </c>
    </row>
    <row r="52" customFormat="false" ht="15" hidden="false" customHeight="false" outlineLevel="0" collapsed="false">
      <c r="A52" s="66" t="s">
        <v>257</v>
      </c>
      <c r="B52" s="67" t="n">
        <f aca="false">-(Cenários!B127+'Análise Fluxo'!B18+'Análise Fluxo'!B19+'Análise Fluxo'!B20+'Análise Fluxo'!B22+'Análise Fluxo'!B27)</f>
        <v>0</v>
      </c>
      <c r="C52" s="67" t="n">
        <f aca="false">-(Cenários!C127+'Análise Fluxo'!C18+'Análise Fluxo'!C19+'Análise Fluxo'!C20+'Análise Fluxo'!C22+'Análise Fluxo'!C27)</f>
        <v>0</v>
      </c>
      <c r="D52" s="67" t="n">
        <f aca="false">-(Cenários!D127+'Análise Fluxo'!D18+'Análise Fluxo'!D19+'Análise Fluxo'!D20+'Análise Fluxo'!D22+'Análise Fluxo'!D27)</f>
        <v>0</v>
      </c>
      <c r="E52" s="67" t="n">
        <f aca="false">-(Cenários!E127+'Análise Fluxo'!E18+'Análise Fluxo'!E19+'Análise Fluxo'!E20+'Análise Fluxo'!E22+'Análise Fluxo'!E27)</f>
        <v>1500</v>
      </c>
      <c r="F52" s="67" t="n">
        <f aca="false">-(Cenários!F127+'Análise Fluxo'!F18+'Análise Fluxo'!F19+'Análise Fluxo'!F20+'Análise Fluxo'!F22+'Análise Fluxo'!F27)</f>
        <v>2100</v>
      </c>
      <c r="G52" s="67" t="n">
        <f aca="false">-(Cenários!G127+'Análise Fluxo'!G18+'Análise Fluxo'!G19+'Análise Fluxo'!G20+'Análise Fluxo'!G22+'Análise Fluxo'!G27)</f>
        <v>2100</v>
      </c>
      <c r="H52" s="67" t="n">
        <f aca="false">-(Cenários!H127+'Análise Fluxo'!H18+'Análise Fluxo'!H19+'Análise Fluxo'!H20+'Análise Fluxo'!H22+'Análise Fluxo'!H27)</f>
        <v>2100</v>
      </c>
      <c r="I52" s="67" t="n">
        <f aca="false">-(Cenários!I127+'Análise Fluxo'!I18+'Análise Fluxo'!I19+'Análise Fluxo'!I20+'Análise Fluxo'!I22+'Análise Fluxo'!I27)</f>
        <v>2100</v>
      </c>
      <c r="J52" s="67" t="n">
        <f aca="false">-(Cenários!J127+'Análise Fluxo'!J18+'Análise Fluxo'!J19+'Análise Fluxo'!J20+'Análise Fluxo'!J22+'Análise Fluxo'!J27)</f>
        <v>2100</v>
      </c>
      <c r="K52" s="67" t="n">
        <f aca="false">-(Cenários!K127+'Análise Fluxo'!K18+'Análise Fluxo'!K19+'Análise Fluxo'!K20+'Análise Fluxo'!K22+'Análise Fluxo'!K27)</f>
        <v>6044.88</v>
      </c>
      <c r="L52" s="67" t="n">
        <f aca="false">-(Cenários!L127+'Análise Fluxo'!L18+'Análise Fluxo'!L19+'Análise Fluxo'!L20+'Análise Fluxo'!L22+'Análise Fluxo'!L27)</f>
        <v>7780.752</v>
      </c>
      <c r="M52" s="67" t="n">
        <f aca="false">-(Cenários!M127+'Análise Fluxo'!M18+'Análise Fluxo'!M19+'Análise Fluxo'!M20+'Análise Fluxo'!M22+'Análise Fluxo'!M27)</f>
        <v>10236.92048</v>
      </c>
      <c r="N52" s="67" t="n">
        <f aca="false">-(Cenários!N127+'Análise Fluxo'!N18+'Análise Fluxo'!N19+'Análise Fluxo'!N20+'Análise Fluxo'!N22+'Análise Fluxo'!N27)</f>
        <v>75545.719253504</v>
      </c>
      <c r="O52" s="67" t="n">
        <f aca="false">-(Cenários!O127+'Análise Fluxo'!O18+'Análise Fluxo'!O19+'Análise Fluxo'!O20+'Análise Fluxo'!O22+'Análise Fluxo'!O27)</f>
        <v>81034.5177667106</v>
      </c>
      <c r="P52" s="67" t="n">
        <f aca="false">-(Cenários!P127+'Análise Fluxo'!P18+'Análise Fluxo'!P19+'Análise Fluxo'!P20+'Análise Fluxo'!P22+'Análise Fluxo'!P27)</f>
        <v>87469.3461139882</v>
      </c>
      <c r="Q52" s="67" t="n">
        <f aca="false">-(Cenários!Q127+'Análise Fluxo'!Q18+'Análise Fluxo'!Q19+'Análise Fluxo'!Q20+'Análise Fluxo'!Q22+'Análise Fluxo'!Q27)</f>
        <v>91246.681288496</v>
      </c>
      <c r="R52" s="67" t="n">
        <f aca="false">-(Cenários!R127+'Análise Fluxo'!R18+'Análise Fluxo'!R19+'Análise Fluxo'!R20+'Análise Fluxo'!R22+'Análise Fluxo'!R27)</f>
        <v>94815.713977371</v>
      </c>
      <c r="S52" s="67" t="n">
        <f aca="false">-(Cenários!S127+'Análise Fluxo'!S18+'Análise Fluxo'!S19+'Análise Fluxo'!S20+'Análise Fluxo'!S22+'Análise Fluxo'!S27)</f>
        <v>98188.9649818201</v>
      </c>
      <c r="T52" s="67" t="n">
        <f aca="false">-(Cenários!T127+'Análise Fluxo'!T18+'Análise Fluxo'!T19+'Análise Fluxo'!T20+'Análise Fluxo'!T22+'Análise Fluxo'!T27)</f>
        <v>105420.661282824</v>
      </c>
      <c r="U52" s="67" t="n">
        <f aca="false">-(Cenários!U127+'Análise Fluxo'!U18+'Análise Fluxo'!U19+'Análise Fluxo'!U20+'Análise Fluxo'!U22+'Análise Fluxo'!U27)</f>
        <v>108774.491772012</v>
      </c>
      <c r="V52" s="67" t="n">
        <f aca="false">-(Cenários!V127+'Análise Fluxo'!V18+'Análise Fluxo'!V19+'Análise Fluxo'!V20+'Análise Fluxo'!V22+'Análise Fluxo'!V27)</f>
        <v>111943.802666197</v>
      </c>
      <c r="W52" s="67" t="n">
        <f aca="false">-(Cenários!W127+'Análise Fluxo'!W18+'Análise Fluxo'!W19+'Análise Fluxo'!W20+'Análise Fluxo'!W22+'Análise Fluxo'!W27)</f>
        <v>114939.222623023</v>
      </c>
      <c r="X52" s="67" t="n">
        <f aca="false">-(Cenários!X127+'Análise Fluxo'!X18+'Análise Fluxo'!X19+'Análise Fluxo'!X20+'Análise Fluxo'!X22+'Análise Fluxo'!X27)</f>
        <v>117768.387574232</v>
      </c>
      <c r="Y52" s="67" t="n">
        <f aca="false">-(Cenários!Y127+'Análise Fluxo'!Y18+'Análise Fluxo'!Y19+'Análise Fluxo'!Y20+'Análise Fluxo'!Y22+'Análise Fluxo'!Y27)</f>
        <v>120441.615292134</v>
      </c>
      <c r="Z52" s="67" t="n">
        <f aca="false">-(Cenários!Z127+'Análise Fluxo'!Z18+'Análise Fluxo'!Z19+'Análise Fluxo'!Z20+'Análise Fluxo'!Z22+'Análise Fluxo'!Z27)</f>
        <v>267685.006535953</v>
      </c>
      <c r="AA52" s="67" t="n">
        <f aca="false">-(Cenários!AA127+'Análise Fluxo'!AA18+'Análise Fluxo'!AA19+'Análise Fluxo'!AA20+'Análise Fluxo'!AA22+'Análise Fluxo'!AA27)</f>
        <v>273141.482589247</v>
      </c>
      <c r="AB52" s="67" t="n">
        <f aca="false">-(Cenários!AB127+'Análise Fluxo'!AB18+'Análise Fluxo'!AB19+'Análise Fluxo'!AB20+'Análise Fluxo'!AB22+'Análise Fluxo'!AB27)</f>
        <v>278319.851473819</v>
      </c>
      <c r="AC52" s="67" t="n">
        <f aca="false">-(Cenários!AC127+'Análise Fluxo'!AC18+'Análise Fluxo'!AC19+'Análise Fluxo'!AC20+'Análise Fluxo'!AC22+'Análise Fluxo'!AC27)</f>
        <v>283236.18058982</v>
      </c>
      <c r="AD52" s="67" t="n">
        <f aca="false">-(Cenários!AD127+'Análise Fluxo'!AD18+'Análise Fluxo'!AD19+'Análise Fluxo'!AD20+'Análise Fluxo'!AD22+'Análise Fluxo'!AD27)</f>
        <v>287902.941526523</v>
      </c>
      <c r="AE52" s="67" t="n">
        <f aca="false">-(Cenários!AE127+'Análise Fluxo'!AE18+'Análise Fluxo'!AE19+'Análise Fluxo'!AE20+'Análise Fluxo'!AE22+'Análise Fluxo'!AE27)</f>
        <v>292333.543131112</v>
      </c>
      <c r="AF52" s="67" t="n">
        <f aca="false">-(Cenários!AF127+'Análise Fluxo'!AF18+'Análise Fluxo'!AF19+'Análise Fluxo'!AF20+'Análise Fluxo'!AF22+'Análise Fluxo'!AF27)</f>
        <v>296537.858320069</v>
      </c>
      <c r="AG52" s="67" t="n">
        <f aca="false">-(Cenários!AG127+'Análise Fluxo'!AG18+'Análise Fluxo'!AG19+'Análise Fluxo'!AG20+'Análise Fluxo'!AG22+'Análise Fluxo'!AG27)</f>
        <v>300529.070646215</v>
      </c>
      <c r="AH52" s="67" t="n">
        <f aca="false">-(Cenários!AH127+'Análise Fluxo'!AH18+'Análise Fluxo'!AH19+'Análise Fluxo'!AH20+'Análise Fluxo'!AH22+'Análise Fluxo'!AH27)</f>
        <v>304317.768633814</v>
      </c>
      <c r="AI52" s="67" t="n">
        <f aca="false">-(Cenários!AI127+'Análise Fluxo'!AI18+'Análise Fluxo'!AI19+'Análise Fluxo'!AI20+'Análise Fluxo'!AI22+'Análise Fluxo'!AI27)</f>
        <v>307913.48189353</v>
      </c>
      <c r="AJ52" s="67" t="n">
        <f aca="false">-(Cenários!AJ127+'Análise Fluxo'!AJ18+'Análise Fluxo'!AJ19+'Análise Fluxo'!AJ20+'Análise Fluxo'!AJ22+'Análise Fluxo'!AJ27)</f>
        <v>311326.599028409</v>
      </c>
      <c r="AK52" s="67" t="n">
        <f aca="false">-(Cenários!AK127+'Análise Fluxo'!AK18+'Análise Fluxo'!AK19+'Análise Fluxo'!AK20+'Análise Fluxo'!AK22+'Análise Fluxo'!AK27)</f>
        <v>314567.389341494</v>
      </c>
      <c r="AL52" s="67" t="n">
        <f aca="false">-(Cenários!AL127+'Análise Fluxo'!AL18+'Análise Fluxo'!AL19+'Análise Fluxo'!AL20+'Análise Fluxo'!AL22+'Análise Fluxo'!AL27)</f>
        <v>578545.846775056</v>
      </c>
      <c r="AM52" s="67" t="n">
        <f aca="false">-(Cenários!AM127+'Análise Fluxo'!AM18+'Análise Fluxo'!AM19+'Análise Fluxo'!AM20+'Análise Fluxo'!AM22+'Análise Fluxo'!AM27)</f>
        <v>586278.175024219</v>
      </c>
      <c r="AN52" s="67" t="n">
        <f aca="false">-(Cenários!AN127+'Análise Fluxo'!AN18+'Análise Fluxo'!AN19+'Análise Fluxo'!AN20+'Análise Fluxo'!AN22+'Análise Fluxo'!AN27)</f>
        <v>593649.425761967</v>
      </c>
      <c r="AO52" s="67" t="n">
        <f aca="false">-(Cenários!AO127+'Análise Fluxo'!AO18+'Análise Fluxo'!AO19+'Análise Fluxo'!AO20+'Análise Fluxo'!AO22+'Análise Fluxo'!AO27)</f>
        <v>600675.68114933</v>
      </c>
      <c r="AP52" s="67" t="n">
        <f aca="false">-(Cenários!AP127+'Análise Fluxo'!AP18+'Análise Fluxo'!AP19+'Análise Fluxo'!AP20+'Análise Fluxo'!AP22+'Análise Fluxo'!AP27)</f>
        <v>607373.712000534</v>
      </c>
      <c r="AQ52" s="67" t="n">
        <f aca="false">-(Cenários!AQ127+'Análise Fluxo'!AQ18+'Análise Fluxo'!AQ19+'Análise Fluxo'!AQ20+'Análise Fluxo'!AQ22+'Análise Fluxo'!AQ27)</f>
        <v>613759.312284449</v>
      </c>
      <c r="AR52" s="67" t="n">
        <f aca="false">-(Cenários!AR127+'Análise Fluxo'!AR18+'Análise Fluxo'!AR19+'Análise Fluxo'!AR20+'Análise Fluxo'!AR22+'Análise Fluxo'!AR27)</f>
        <v>619847.00341572</v>
      </c>
      <c r="AS52" s="67" t="n">
        <f aca="false">-(Cenários!AS127+'Análise Fluxo'!AS18+'Análise Fluxo'!AS19+'Análise Fluxo'!AS20+'Análise Fluxo'!AS22+'Análise Fluxo'!AS27)</f>
        <v>625649.103345413</v>
      </c>
      <c r="AT52" s="67" t="n">
        <f aca="false">-(Cenários!AT127+'Análise Fluxo'!AT18+'Análise Fluxo'!AT19+'Análise Fluxo'!AT20+'Análise Fluxo'!AT22+'Análise Fluxo'!AT27)</f>
        <v>631180.805460542</v>
      </c>
      <c r="AU52" s="67" t="n">
        <f aca="false">-(Cenários!AU127+'Análise Fluxo'!AU18+'Análise Fluxo'!AU19+'Análise Fluxo'!AU20+'Análise Fluxo'!AU22+'Análise Fluxo'!AU27)</f>
        <v>636453.237301399</v>
      </c>
      <c r="AV52" s="67" t="n">
        <f aca="false">-(Cenários!AV127+'Análise Fluxo'!AV18+'Análise Fluxo'!AV19+'Análise Fluxo'!AV20+'Análise Fluxo'!AV22+'Análise Fluxo'!AV27)</f>
        <v>641480.259105216</v>
      </c>
      <c r="AW52" s="67" t="n">
        <f aca="false">-(Cenários!AW127+'Análise Fluxo'!AW18+'Análise Fluxo'!AW19+'Análise Fluxo'!AW20+'Análise Fluxo'!AW22+'Análise Fluxo'!AW27)</f>
        <v>646272.65718425</v>
      </c>
      <c r="AX52" s="67" t="n">
        <f aca="false">-(Cenários!AX127+'Análise Fluxo'!AX18+'Análise Fluxo'!AX19+'Análise Fluxo'!AX20+'Análise Fluxo'!AX22+'Análise Fluxo'!AX27)</f>
        <v>952795.109077108</v>
      </c>
      <c r="AY52" s="67" t="n">
        <f aca="false">-(Cenários!AY127+'Análise Fluxo'!AY18+'Análise Fluxo'!AY19+'Análise Fluxo'!AY20+'Análise Fluxo'!AY22+'Análise Fluxo'!AY27)</f>
        <v>965152.819901833</v>
      </c>
      <c r="AZ52" s="67" t="n">
        <f aca="false">-(Cenários!AZ127+'Análise Fluxo'!AZ18+'Análise Fluxo'!AZ19+'Análise Fluxo'!AZ20+'Análise Fluxo'!AZ22+'Análise Fluxo'!AZ27)</f>
        <v>976979.189319596</v>
      </c>
      <c r="BA52" s="67" t="n">
        <f aca="false">-(Cenários!BA127+'Análise Fluxo'!BA18+'Análise Fluxo'!BA19+'Análise Fluxo'!BA20+'Análise Fluxo'!BA22+'Análise Fluxo'!BA27)</f>
        <v>988297.112138834</v>
      </c>
      <c r="BB52" s="67" t="n">
        <f aca="false">-(Cenários!BB127+'Análise Fluxo'!BB18+'Análise Fluxo'!BB19+'Análise Fluxo'!BB20+'Análise Fluxo'!BB22+'Análise Fluxo'!BB27)</f>
        <v>999129.213681876</v>
      </c>
      <c r="BC52" s="67" t="n">
        <f aca="false">-(Cenários!BC127+'Análise Fluxo'!BC18+'Análise Fluxo'!BC19+'Análise Fluxo'!BC20+'Análise Fluxo'!BC22+'Análise Fluxo'!BC27)</f>
        <v>1009495.04992088</v>
      </c>
      <c r="BD52" s="67" t="n">
        <f aca="false">-(Cenários!BD127+'Análise Fluxo'!BD18+'Análise Fluxo'!BD19+'Análise Fluxo'!BD20+'Análise Fluxo'!BD22+'Análise Fluxo'!BD27)</f>
        <v>1019415.05239301</v>
      </c>
      <c r="BE52" s="67" t="n">
        <f aca="false">-(Cenários!BE127+'Análise Fluxo'!BE18+'Análise Fluxo'!BE19+'Análise Fluxo'!BE20+'Análise Fluxo'!BE22+'Análise Fluxo'!BE27)</f>
        <v>1028909.24790434</v>
      </c>
      <c r="BF52" s="67" t="n">
        <f aca="false">-(Cenários!BF127+'Análise Fluxo'!BF18+'Análise Fluxo'!BF19+'Análise Fluxo'!BF20+'Análise Fluxo'!BF22+'Análise Fluxo'!BF27)</f>
        <v>1037994.9080316</v>
      </c>
      <c r="BG52" s="67" t="n">
        <f aca="false">-(Cenários!BG127+'Análise Fluxo'!BG18+'Análise Fluxo'!BG19+'Análise Fluxo'!BG20+'Análise Fluxo'!BG22+'Análise Fluxo'!BG27)</f>
        <v>1046690.82843034</v>
      </c>
      <c r="BH52" s="67" t="n">
        <f aca="false">-(Cenários!BH127+'Análise Fluxo'!BH18+'Análise Fluxo'!BH19+'Análise Fluxo'!BH20+'Análise Fluxo'!BH22+'Análise Fluxo'!BH27)</f>
        <v>1055012.022958</v>
      </c>
      <c r="BI52" s="67" t="n">
        <f aca="false">-(Cenários!BI127+'Análise Fluxo'!BI18+'Análise Fluxo'!BI19+'Análise Fluxo'!BI20+'Análise Fluxo'!BI22+'Análise Fluxo'!BI27)</f>
        <v>1062975.97261973</v>
      </c>
      <c r="BJ52" s="61" t="n">
        <f aca="false">SUM(B52:BI52)</f>
        <v>24285474.5959676</v>
      </c>
      <c r="BK52" s="29" t="s">
        <v>258</v>
      </c>
    </row>
    <row r="53" customFormat="false" ht="15" hidden="false" customHeight="false" outlineLevel="0" collapsed="false">
      <c r="A53" s="27" t="s">
        <v>259</v>
      </c>
      <c r="B53" s="60" t="n">
        <f aca="false">MAX(SUMPRODUCT((B$5:BI$5&gt;B$5)*(B$5:BI$5&lt;=B$5+Premissas!$B$118)*B$52:BI$52),Premissas!$B$118*B52)</f>
        <v>1500</v>
      </c>
      <c r="C53" s="60" t="n">
        <f aca="false">MAX(SUMPRODUCT((B$5:BI$5&gt;C$5)*(B$5:BI$5&lt;=C$5+Premissas!$B$118)*B$52:BI$52),Premissas!$B$118*C52)</f>
        <v>3600</v>
      </c>
      <c r="D53" s="60" t="n">
        <f aca="false">MAX(SUMPRODUCT((B$5:BI$5&gt;D$5)*(B$5:BI$5&lt;=D$5+Premissas!$B$118)*B$52:BI$52),Premissas!$B$118*D52)</f>
        <v>5700</v>
      </c>
      <c r="E53" s="60" t="n">
        <f aca="false">MAX(SUMPRODUCT((B$5:BI$5&gt;E$5)*(B$5:BI$5&lt;=E$5+Premissas!$B$118)*B$52:BI$52),Premissas!$B$118*E52)</f>
        <v>6300</v>
      </c>
      <c r="F53" s="60" t="n">
        <f aca="false">MAX(SUMPRODUCT((B$5:BI$5&gt;F$5)*(B$5:BI$5&lt;=F$5+Premissas!$B$118)*B$52:BI$52),Premissas!$B$118*F52)</f>
        <v>6300</v>
      </c>
      <c r="G53" s="60" t="n">
        <f aca="false">MAX(SUMPRODUCT((B$5:BI$5&gt;G$5)*(B$5:BI$5&lt;=G$5+Premissas!$B$118)*B$52:BI$52),Premissas!$B$118*G52)</f>
        <v>6300</v>
      </c>
      <c r="H53" s="60" t="n">
        <f aca="false">MAX(SUMPRODUCT((B$5:BI$5&gt;H$5)*(B$5:BI$5&lt;=H$5+Premissas!$B$118)*B$52:BI$52),Premissas!$B$118*H52)</f>
        <v>10244.88</v>
      </c>
      <c r="I53" s="60" t="n">
        <f aca="false">MAX(SUMPRODUCT((B$5:BI$5&gt;I$5)*(B$5:BI$5&lt;=I$5+Premissas!$B$118)*B$52:BI$52),Premissas!$B$118*I52)</f>
        <v>15925.632</v>
      </c>
      <c r="J53" s="60" t="n">
        <f aca="false">MAX(SUMPRODUCT((B$5:BI$5&gt;J$5)*(B$5:BI$5&lt;=J$5+Premissas!$B$118)*B$52:BI$52),Premissas!$B$118*J52)</f>
        <v>24062.55248</v>
      </c>
      <c r="K53" s="60" t="n">
        <f aca="false">MAX(SUMPRODUCT((B$5:BI$5&gt;K$5)*(B$5:BI$5&lt;=K$5+Premissas!$B$118)*B$52:BI$52),Premissas!$B$118*K52)</f>
        <v>93563.391733504</v>
      </c>
      <c r="L53" s="60" t="n">
        <f aca="false">MAX(SUMPRODUCT((B$5:BI$5&gt;L$5)*(B$5:BI$5&lt;=L$5+Premissas!$B$118)*B$52:BI$52),Premissas!$B$118*L52)</f>
        <v>166817.157500215</v>
      </c>
      <c r="M53" s="60" t="n">
        <f aca="false">MAX(SUMPRODUCT((B$5:BI$5&gt;M$5)*(B$5:BI$5&lt;=M$5+Premissas!$B$118)*B$52:BI$52),Premissas!$B$118*M52)</f>
        <v>244049.583134203</v>
      </c>
      <c r="N53" s="60" t="n">
        <f aca="false">MAX(SUMPRODUCT((B$5:BI$5&gt;N$5)*(B$5:BI$5&lt;=N$5+Premissas!$B$118)*B$52:BI$52),Premissas!$B$118*N52)</f>
        <v>259750.545169195</v>
      </c>
      <c r="O53" s="60" t="n">
        <f aca="false">MAX(SUMPRODUCT((B$5:BI$5&gt;O$5)*(B$5:BI$5&lt;=O$5+Premissas!$B$118)*B$52:BI$52),Premissas!$B$118*O52)</f>
        <v>273531.741379855</v>
      </c>
      <c r="P53" s="60" t="n">
        <f aca="false">MAX(SUMPRODUCT((B$5:BI$5&gt;P$5)*(B$5:BI$5&lt;=P$5+Premissas!$B$118)*B$52:BI$52),Premissas!$B$118*P52)</f>
        <v>284251.360247687</v>
      </c>
      <c r="Q53" s="60" t="n">
        <f aca="false">MAX(SUMPRODUCT((B$5:BI$5&gt;Q$5)*(B$5:BI$5&lt;=Q$5+Premissas!$B$118)*B$52:BI$52),Premissas!$B$118*Q52)</f>
        <v>298425.340242015</v>
      </c>
      <c r="R53" s="60" t="n">
        <f aca="false">MAX(SUMPRODUCT((B$5:BI$5&gt;R$5)*(B$5:BI$5&lt;=R$5+Premissas!$B$118)*B$52:BI$52),Premissas!$B$118*R52)</f>
        <v>312384.118036656</v>
      </c>
      <c r="S53" s="60" t="n">
        <f aca="false">MAX(SUMPRODUCT((B$5:BI$5&gt;S$5)*(B$5:BI$5&lt;=S$5+Premissas!$B$118)*B$52:BI$52),Premissas!$B$118*S52)</f>
        <v>326138.955721032</v>
      </c>
      <c r="T53" s="60" t="n">
        <f aca="false">MAX(SUMPRODUCT((B$5:BI$5&gt;T$5)*(B$5:BI$5&lt;=T$5+Premissas!$B$118)*B$52:BI$52),Premissas!$B$118*T52)</f>
        <v>335657.517061231</v>
      </c>
      <c r="U53" s="60" t="n">
        <f aca="false">MAX(SUMPRODUCT((B$5:BI$5&gt;U$5)*(B$5:BI$5&lt;=U$5+Premissas!$B$118)*B$52:BI$52),Premissas!$B$118*U52)</f>
        <v>344651.412863451</v>
      </c>
      <c r="V53" s="60" t="n">
        <f aca="false">MAX(SUMPRODUCT((B$5:BI$5&gt;V$5)*(B$5:BI$5&lt;=V$5+Premissas!$B$118)*B$52:BI$52),Premissas!$B$118*V52)</f>
        <v>353149.225489389</v>
      </c>
      <c r="W53" s="60" t="n">
        <f aca="false">MAX(SUMPRODUCT((B$5:BI$5&gt;W$5)*(B$5:BI$5&lt;=W$5+Premissas!$B$118)*B$52:BI$52),Premissas!$B$118*W52)</f>
        <v>505895.009402319</v>
      </c>
      <c r="X53" s="60" t="n">
        <f aca="false">MAX(SUMPRODUCT((B$5:BI$5&gt;X$5)*(B$5:BI$5&lt;=X$5+Premissas!$B$118)*B$52:BI$52),Premissas!$B$118*X52)</f>
        <v>661268.104417334</v>
      </c>
      <c r="Y53" s="60" t="n">
        <f aca="false">MAX(SUMPRODUCT((B$5:BI$5&gt;Y$5)*(B$5:BI$5&lt;=Y$5+Premissas!$B$118)*B$52:BI$52),Premissas!$B$118*Y52)</f>
        <v>819146.340599018</v>
      </c>
      <c r="Z53" s="60" t="n">
        <f aca="false">MAX(SUMPRODUCT((B$5:BI$5&gt;Z$5)*(B$5:BI$5&lt;=Z$5+Premissas!$B$118)*B$52:BI$52),Premissas!$B$118*Z52)</f>
        <v>834697.514652886</v>
      </c>
      <c r="AA53" s="60" t="n">
        <f aca="false">MAX(SUMPRODUCT((B$5:BI$5&gt;AA$5)*(B$5:BI$5&lt;=AA$5+Premissas!$B$118)*B$52:BI$52),Premissas!$B$118*AA52)</f>
        <v>849458.973590161</v>
      </c>
      <c r="AB53" s="60" t="n">
        <f aca="false">MAX(SUMPRODUCT((B$5:BI$5&gt;AB$5)*(B$5:BI$5&lt;=AB$5+Premissas!$B$118)*B$52:BI$52),Premissas!$B$118*AB52)</f>
        <v>863472.665247455</v>
      </c>
      <c r="AC53" s="60" t="n">
        <f aca="false">MAX(SUMPRODUCT((B$5:BI$5&gt;AC$5)*(B$5:BI$5&lt;=AC$5+Premissas!$B$118)*B$52:BI$52),Premissas!$B$118*AC52)</f>
        <v>876774.342977704</v>
      </c>
      <c r="AD53" s="60" t="n">
        <f aca="false">MAX(SUMPRODUCT((B$5:BI$5&gt;AD$5)*(B$5:BI$5&lt;=AD$5+Premissas!$B$118)*B$52:BI$52),Premissas!$B$118*AD52)</f>
        <v>889400.472097396</v>
      </c>
      <c r="AE53" s="60" t="n">
        <f aca="false">MAX(SUMPRODUCT((B$5:BI$5&gt;AE$5)*(B$5:BI$5&lt;=AE$5+Premissas!$B$118)*B$52:BI$52),Premissas!$B$118*AE52)</f>
        <v>901384.697600098</v>
      </c>
      <c r="AF53" s="60" t="n">
        <f aca="false">MAX(SUMPRODUCT((B$5:BI$5&gt;AF$5)*(B$5:BI$5&lt;=AF$5+Premissas!$B$118)*B$52:BI$52),Premissas!$B$118*AF52)</f>
        <v>912760.321173559</v>
      </c>
      <c r="AG53" s="60" t="n">
        <f aca="false">MAX(SUMPRODUCT((B$5:BI$5&gt;AG$5)*(B$5:BI$5&lt;=AG$5+Premissas!$B$118)*B$52:BI$52),Premissas!$B$118*AG52)</f>
        <v>923557.849555753</v>
      </c>
      <c r="AH53" s="60" t="n">
        <f aca="false">MAX(SUMPRODUCT((B$5:BI$5&gt;AH$5)*(B$5:BI$5&lt;=AH$5+Premissas!$B$118)*B$52:BI$52),Premissas!$B$118*AH52)</f>
        <v>933807.470263433</v>
      </c>
      <c r="AI53" s="60" t="n">
        <f aca="false">MAX(SUMPRODUCT((B$5:BI$5&gt;AI$5)*(B$5:BI$5&lt;=AI$5+Premissas!$B$118)*B$52:BI$52),Premissas!$B$118*AI52)</f>
        <v>1204439.83514496</v>
      </c>
      <c r="AJ53" s="60" t="n">
        <f aca="false">MAX(SUMPRODUCT((B$5:BI$5&gt;AJ$5)*(B$5:BI$5&lt;=AJ$5+Premissas!$B$118)*B$52:BI$52),Premissas!$B$118*AJ52)</f>
        <v>1479391.41114077</v>
      </c>
      <c r="AK53" s="60" t="n">
        <f aca="false">MAX(SUMPRODUCT((B$5:BI$5&gt;AK$5)*(B$5:BI$5&lt;=AK$5+Premissas!$B$118)*B$52:BI$52),Premissas!$B$118*AK52)</f>
        <v>1758473.44756124</v>
      </c>
      <c r="AL53" s="60" t="n">
        <f aca="false">MAX(SUMPRODUCT((B$5:BI$5&gt;AL$5)*(B$5:BI$5&lt;=AL$5+Premissas!$B$118)*B$52:BI$52),Premissas!$B$118*AL52)</f>
        <v>1780603.28193552</v>
      </c>
      <c r="AM53" s="60" t="n">
        <f aca="false">MAX(SUMPRODUCT((B$5:BI$5&gt;AM$5)*(B$5:BI$5&lt;=AM$5+Premissas!$B$118)*B$52:BI$52),Premissas!$B$118*AM52)</f>
        <v>1801698.81891183</v>
      </c>
      <c r="AN53" s="60" t="n">
        <f aca="false">MAX(SUMPRODUCT((B$5:BI$5&gt;AN$5)*(B$5:BI$5&lt;=AN$5+Premissas!$B$118)*B$52:BI$52),Premissas!$B$118*AN52)</f>
        <v>1821808.70543431</v>
      </c>
      <c r="AO53" s="60" t="n">
        <f aca="false">MAX(SUMPRODUCT((B$5:BI$5&gt;AO$5)*(B$5:BI$5&lt;=AO$5+Premissas!$B$118)*B$52:BI$52),Premissas!$B$118*AO52)</f>
        <v>1840980.0277007</v>
      </c>
      <c r="AP53" s="60" t="n">
        <f aca="false">MAX(SUMPRODUCT((B$5:BI$5&gt;AP$5)*(B$5:BI$5&lt;=AP$5+Premissas!$B$118)*B$52:BI$52),Premissas!$B$118*AP52)</f>
        <v>1859255.41904558</v>
      </c>
      <c r="AQ53" s="60" t="n">
        <f aca="false">MAX(SUMPRODUCT((B$5:BI$5&gt;AQ$5)*(B$5:BI$5&lt;=AQ$5+Premissas!$B$118)*B$52:BI$52),Premissas!$B$118*AQ52)</f>
        <v>1876676.91222168</v>
      </c>
      <c r="AR53" s="60" t="n">
        <f aca="false">MAX(SUMPRODUCT((B$5:BI$5&gt;AR$5)*(B$5:BI$5&lt;=AR$5+Premissas!$B$118)*B$52:BI$52),Premissas!$B$118*AR52)</f>
        <v>1893283.14610735</v>
      </c>
      <c r="AS53" s="60" t="n">
        <f aca="false">MAX(SUMPRODUCT((B$5:BI$5&gt;AS$5)*(B$5:BI$5&lt;=AS$5+Premissas!$B$118)*B$52:BI$52),Premissas!$B$118*AS52)</f>
        <v>1909114.30186716</v>
      </c>
      <c r="AT53" s="60" t="n">
        <f aca="false">MAX(SUMPRODUCT((B$5:BI$5&gt;AT$5)*(B$5:BI$5&lt;=AT$5+Premissas!$B$118)*B$52:BI$52),Premissas!$B$118*AT52)</f>
        <v>1924206.15359086</v>
      </c>
      <c r="AU53" s="60" t="n">
        <f aca="false">MAX(SUMPRODUCT((B$5:BI$5&gt;AU$5)*(B$5:BI$5&lt;=AU$5+Premissas!$B$118)*B$52:BI$52),Premissas!$B$118*AU52)</f>
        <v>2240548.02536657</v>
      </c>
      <c r="AV53" s="60" t="n">
        <f aca="false">MAX(SUMPRODUCT((B$5:BI$5&gt;AV$5)*(B$5:BI$5&lt;=AV$5+Premissas!$B$118)*B$52:BI$52),Premissas!$B$118*AV52)</f>
        <v>2564220.58616319</v>
      </c>
      <c r="AW53" s="60" t="n">
        <f aca="false">MAX(SUMPRODUCT((B$5:BI$5&gt;AW$5)*(B$5:BI$5&lt;=AW$5+Premissas!$B$118)*B$52:BI$52),Premissas!$B$118*AW52)</f>
        <v>2894927.11829854</v>
      </c>
      <c r="AX53" s="60" t="n">
        <f aca="false">MAX(SUMPRODUCT((B$5:BI$5&gt;AX$5)*(B$5:BI$5&lt;=AX$5+Premissas!$B$118)*B$52:BI$52),Premissas!$B$118*AX52)</f>
        <v>2930429.12136026</v>
      </c>
      <c r="AY53" s="60" t="n">
        <f aca="false">MAX(SUMPRODUCT((B$5:BI$5&gt;AY$5)*(B$5:BI$5&lt;=AY$5+Premissas!$B$118)*B$52:BI$52),Premissas!$B$118*AY52)</f>
        <v>2964405.51514031</v>
      </c>
      <c r="AZ53" s="60" t="n">
        <f aca="false">MAX(SUMPRODUCT((B$5:BI$5&gt;AZ$5)*(B$5:BI$5&lt;=AZ$5+Premissas!$B$118)*B$52:BI$52),Premissas!$B$118*AZ52)</f>
        <v>2996921.37574159</v>
      </c>
      <c r="BA53" s="60" t="n">
        <f aca="false">MAX(SUMPRODUCT((B$5:BI$5&gt;BA$5)*(B$5:BI$5&lt;=BA$5+Premissas!$B$118)*B$52:BI$52),Premissas!$B$118*BA52)</f>
        <v>3028039.31599577</v>
      </c>
      <c r="BB53" s="60" t="n">
        <f aca="false">MAX(SUMPRODUCT((B$5:BI$5&gt;BB$5)*(B$5:BI$5&lt;=BB$5+Premissas!$B$118)*B$52:BI$52),Premissas!$B$118*BB52)</f>
        <v>3057819.35021823</v>
      </c>
      <c r="BC53" s="60" t="n">
        <f aca="false">MAX(SUMPRODUCT((B$5:BI$5&gt;BC$5)*(B$5:BI$5&lt;=BC$5+Premissas!$B$118)*B$52:BI$52),Premissas!$B$118*BC52)</f>
        <v>3086319.20832895</v>
      </c>
      <c r="BD53" s="60" t="n">
        <f aca="false">MAX(SUMPRODUCT((B$5:BI$5&gt;BD$5)*(B$5:BI$5&lt;=BD$5+Premissas!$B$118)*B$52:BI$52),Premissas!$B$118*BD52)</f>
        <v>3113594.98436628</v>
      </c>
      <c r="BE53" s="60" t="n">
        <f aca="false">MAX(SUMPRODUCT((B$5:BI$5&gt;BE$5)*(B$5:BI$5&lt;=BE$5+Premissas!$B$118)*B$52:BI$52),Premissas!$B$118*BE52)</f>
        <v>3139697.75941994</v>
      </c>
      <c r="BF53" s="60" t="n">
        <f aca="false">MAX(SUMPRODUCT((B$5:BI$5&gt;BF$5)*(B$5:BI$5&lt;=BF$5+Premissas!$B$118)*B$52:BI$52),Premissas!$B$118*BF52)</f>
        <v>3164678.82400807</v>
      </c>
      <c r="BG53" s="60" t="n">
        <f aca="false">MAX(SUMPRODUCT((B$5:BI$5&gt;BG$5)*(B$5:BI$5&lt;=BG$5+Premissas!$B$118)*B$52:BI$52),Premissas!$B$118*BG52)</f>
        <v>3140072.48529101</v>
      </c>
      <c r="BH53" s="60" t="n">
        <f aca="false">MAX(SUMPRODUCT((B$5:BI$5&gt;BH$5)*(B$5:BI$5&lt;=BH$5+Premissas!$B$118)*B$52:BI$52),Premissas!$B$118*BH52)</f>
        <v>3165036.068874</v>
      </c>
      <c r="BI53" s="60" t="n">
        <f aca="false">MAX(SUMPRODUCT((B$5:BI$5&gt;BI$5)*(B$5:BI$5&lt;=BI$5+Premissas!$B$118)*B$52:BI$52),Premissas!$B$118*BI52)</f>
        <v>3188927.9178592</v>
      </c>
      <c r="BK53" s="29" t="s">
        <v>260</v>
      </c>
    </row>
    <row r="54" customFormat="false" ht="15" hidden="false" customHeight="false" outlineLevel="0" collapsed="false">
      <c r="A54" s="64" t="s">
        <v>261</v>
      </c>
      <c r="B54" s="70" t="n">
        <f aca="false">Cenários!B141</f>
        <v>0</v>
      </c>
      <c r="C54" s="70" t="n">
        <f aca="false">Cenários!C141</f>
        <v>0</v>
      </c>
      <c r="D54" s="70" t="n">
        <f aca="false">Cenários!D141</f>
        <v>0</v>
      </c>
      <c r="E54" s="70" t="n">
        <f aca="false">Cenários!E141</f>
        <v>8500</v>
      </c>
      <c r="F54" s="70" t="n">
        <f aca="false">Cenários!F141</f>
        <v>400</v>
      </c>
      <c r="G54" s="70" t="n">
        <f aca="false">Cenários!G141</f>
        <v>-1700</v>
      </c>
      <c r="H54" s="70" t="n">
        <f aca="false">Cenários!H141</f>
        <v>1200</v>
      </c>
      <c r="I54" s="70" t="n">
        <f aca="false">Cenários!I141</f>
        <v>7972.18</v>
      </c>
      <c r="J54" s="70" t="n">
        <f aca="false">Cenários!J141</f>
        <v>-4627.82</v>
      </c>
      <c r="K54" s="70" t="n">
        <f aca="false">Cenários!K141</f>
        <v>11303.3018</v>
      </c>
      <c r="L54" s="70" t="n">
        <f aca="false">Cenários!L141</f>
        <v>32737.181775</v>
      </c>
      <c r="M54" s="70" t="n">
        <f aca="false">Cenários!M141</f>
        <v>47433.249495</v>
      </c>
      <c r="N54" s="70" t="n">
        <f aca="false">Cenários!N141</f>
        <v>9580.6831518544</v>
      </c>
      <c r="O54" s="70" t="n">
        <f aca="false">Cenários!O141</f>
        <v>19648.4701515695</v>
      </c>
      <c r="P54" s="70" t="n">
        <f aca="false">Cenários!P141</f>
        <v>71964.2917612794</v>
      </c>
      <c r="Q54" s="70" t="n">
        <f aca="false">Cenários!Q141</f>
        <v>214408.156468689</v>
      </c>
      <c r="R54" s="70" t="n">
        <f aca="false">Cenários!R141</f>
        <v>388847.288563095</v>
      </c>
      <c r="S54" s="70" t="n">
        <f aca="false">Cenários!S141</f>
        <v>603543.609637046</v>
      </c>
      <c r="T54" s="70" t="n">
        <f aca="false">Cenários!T141</f>
        <v>808109.684691679</v>
      </c>
      <c r="U54" s="70" t="n">
        <f aca="false">Cenários!U141</f>
        <v>1062851.50990424</v>
      </c>
      <c r="V54" s="70" t="n">
        <f aca="false">Cenários!V141</f>
        <v>1341898.4622494</v>
      </c>
      <c r="W54" s="70" t="n">
        <f aca="false">Cenários!W141</f>
        <v>1749470.21885443</v>
      </c>
      <c r="X54" s="70" t="n">
        <f aca="false">Cenários!X141</f>
        <v>2192625.65688863</v>
      </c>
      <c r="Y54" s="70" t="n">
        <f aca="false">Cenários!Y141</f>
        <v>2679550.61317628</v>
      </c>
      <c r="Z54" s="70" t="n">
        <f aca="false">Cenários!Z141</f>
        <v>3210871.58110952</v>
      </c>
      <c r="AA54" s="70" t="n">
        <f aca="false">Cenários!AA141</f>
        <v>3820903.51785442</v>
      </c>
      <c r="AB54" s="70" t="n">
        <f aca="false">Cenários!AB141</f>
        <v>4505718.37126725</v>
      </c>
      <c r="AC54" s="70" t="n">
        <f aca="false">Cenários!AC141</f>
        <v>5261468.85642019</v>
      </c>
      <c r="AD54" s="70" t="n">
        <f aca="false">Cenários!AD141</f>
        <v>6084626.36862081</v>
      </c>
      <c r="AE54" s="70" t="n">
        <f aca="false">Cenários!AE141</f>
        <v>6956683.45117431</v>
      </c>
      <c r="AF54" s="70" t="n">
        <f aca="false">Cenários!AF141</f>
        <v>7942136.61365393</v>
      </c>
      <c r="AG54" s="70" t="n">
        <f aca="false">Cenários!AG141</f>
        <v>8985153.3507438</v>
      </c>
      <c r="AH54" s="70" t="n">
        <f aca="false">Cenários!AH141</f>
        <v>10082903.389565</v>
      </c>
      <c r="AI54" s="70" t="n">
        <f aca="false">Cenários!AI141</f>
        <v>11232550.193197</v>
      </c>
      <c r="AJ54" s="70" t="n">
        <f aca="false">Cenários!AJ141</f>
        <v>12431436.2970701</v>
      </c>
      <c r="AK54" s="70" t="n">
        <f aca="false">Cenários!AK141</f>
        <v>13677083.1615615</v>
      </c>
      <c r="AL54" s="70" t="n">
        <f aca="false">Cenários!AL141</f>
        <v>15152770.6166003</v>
      </c>
      <c r="AM54" s="70" t="n">
        <f aca="false">Cenários!AM141</f>
        <v>16775194.7146426</v>
      </c>
      <c r="AN54" s="70" t="n">
        <f aca="false">Cenários!AN141</f>
        <v>18537494.3649091</v>
      </c>
      <c r="AO54" s="70" t="n">
        <f aca="false">Cenários!AO141</f>
        <v>20433113.8233963</v>
      </c>
      <c r="AP54" s="70" t="n">
        <f aca="false">Cenários!AP141</f>
        <v>22455833.6181417</v>
      </c>
      <c r="AQ54" s="70" t="n">
        <f aca="false">Cenários!AQ141</f>
        <v>24574754.8653421</v>
      </c>
      <c r="AR54" s="70" t="n">
        <f aca="false">Cenários!AR141</f>
        <v>26834202.1939847</v>
      </c>
      <c r="AS54" s="70" t="n">
        <f aca="false">Cenários!AS141</f>
        <v>29203742.3997998</v>
      </c>
      <c r="AT54" s="70" t="n">
        <f aca="false">Cenários!AT141</f>
        <v>31678261.61566</v>
      </c>
      <c r="AU54" s="70" t="n">
        <f aca="false">Cenários!AU141</f>
        <v>34252823.1698251</v>
      </c>
      <c r="AV54" s="70" t="n">
        <f aca="false">Cenários!AV141</f>
        <v>36922810.327857</v>
      </c>
      <c r="AW54" s="70" t="n">
        <f aca="false">Cenários!AW141</f>
        <v>39683717.4732456</v>
      </c>
      <c r="AX54" s="70" t="n">
        <f aca="false">Cenários!AX141</f>
        <v>43092339.2665808</v>
      </c>
      <c r="AY54" s="70" t="n">
        <f aca="false">Cenários!AY141</f>
        <v>46787850.4020622</v>
      </c>
      <c r="AZ54" s="70" t="n">
        <f aca="false">Cenários!AZ141</f>
        <v>50757931.5993636</v>
      </c>
      <c r="BA54" s="70" t="n">
        <f aca="false">Cenários!BA141</f>
        <v>54990705.3445306</v>
      </c>
      <c r="BB54" s="70" t="n">
        <f aca="false">Cenários!BB141</f>
        <v>59474974.866554</v>
      </c>
      <c r="BC54" s="70" t="n">
        <f aca="false">Cenários!BC141</f>
        <v>64169850.3120463</v>
      </c>
      <c r="BD54" s="70" t="n">
        <f aca="false">Cenários!BD141</f>
        <v>69125037.7219662</v>
      </c>
      <c r="BE54" s="70" t="n">
        <f aca="false">Cenários!BE141</f>
        <v>74300598.6582801</v>
      </c>
      <c r="BF54" s="70" t="n">
        <f aca="false">Cenários!BF141</f>
        <v>79687072.9457235</v>
      </c>
      <c r="BG54" s="70" t="n">
        <f aca="false">Cenários!BG141</f>
        <v>85275407.0731043</v>
      </c>
      <c r="BH54" s="70" t="n">
        <f aca="false">Cenários!BH141</f>
        <v>91056941.3404571</v>
      </c>
      <c r="BI54" s="70" t="n">
        <f aca="false">Cenários!BI141</f>
        <v>97023354.1854961</v>
      </c>
    </row>
    <row r="55" customFormat="false" ht="15" hidden="false" customHeight="false" outlineLevel="0" collapsed="false">
      <c r="A55" s="27" t="s">
        <v>262</v>
      </c>
      <c r="B55" s="60" t="n">
        <f aca="false">B54-B53</f>
        <v>-1500</v>
      </c>
      <c r="C55" s="60" t="n">
        <f aca="false">C54-C53</f>
        <v>-3600</v>
      </c>
      <c r="D55" s="60" t="n">
        <f aca="false">D54-D53</f>
        <v>-5700</v>
      </c>
      <c r="E55" s="60" t="n">
        <f aca="false">E54-E53</f>
        <v>2200</v>
      </c>
      <c r="F55" s="60" t="n">
        <f aca="false">F54-F53</f>
        <v>-5900</v>
      </c>
      <c r="G55" s="60" t="n">
        <f aca="false">G54-G53</f>
        <v>-8000</v>
      </c>
      <c r="H55" s="60" t="n">
        <f aca="false">H54-H53</f>
        <v>-9044.88</v>
      </c>
      <c r="I55" s="60" t="n">
        <f aca="false">I54-I53</f>
        <v>-7953.452</v>
      </c>
      <c r="J55" s="60" t="n">
        <f aca="false">J54-J53</f>
        <v>-28690.37248</v>
      </c>
      <c r="K55" s="60" t="n">
        <f aca="false">K54-K53</f>
        <v>-82260.089933504</v>
      </c>
      <c r="L55" s="60" t="n">
        <f aca="false">L54-L53</f>
        <v>-134079.975725215</v>
      </c>
      <c r="M55" s="60" t="n">
        <f aca="false">M54-M53</f>
        <v>-196616.333639203</v>
      </c>
      <c r="N55" s="60" t="n">
        <f aca="false">N54-N53</f>
        <v>-250169.86201734</v>
      </c>
      <c r="O55" s="60" t="n">
        <f aca="false">O54-O53</f>
        <v>-253883.271228286</v>
      </c>
      <c r="P55" s="60" t="n">
        <f aca="false">P54-P53</f>
        <v>-212287.068486408</v>
      </c>
      <c r="Q55" s="60" t="n">
        <f aca="false">Q54-Q53</f>
        <v>-84017.1837733254</v>
      </c>
      <c r="R55" s="60" t="n">
        <f aca="false">R54-R53</f>
        <v>76463.1705264396</v>
      </c>
      <c r="S55" s="60" t="n">
        <f aca="false">S54-S53</f>
        <v>277404.653916014</v>
      </c>
      <c r="T55" s="60" t="n">
        <f aca="false">T54-T53</f>
        <v>472452.167630447</v>
      </c>
      <c r="U55" s="60" t="n">
        <f aca="false">U54-U53</f>
        <v>718200.097040788</v>
      </c>
      <c r="V55" s="60" t="n">
        <f aca="false">V54-V53</f>
        <v>988749.236760015</v>
      </c>
      <c r="W55" s="60" t="n">
        <f aca="false">W54-W53</f>
        <v>1243575.20945211</v>
      </c>
      <c r="X55" s="60" t="n">
        <f aca="false">X54-X53</f>
        <v>1531357.5524713</v>
      </c>
      <c r="Y55" s="60" t="n">
        <f aca="false">Y54-Y53</f>
        <v>1860404.27257726</v>
      </c>
      <c r="Z55" s="60" t="n">
        <f aca="false">Z54-Z53</f>
        <v>2376174.06645664</v>
      </c>
      <c r="AA55" s="60" t="n">
        <f aca="false">AA54-AA53</f>
        <v>2971444.54426426</v>
      </c>
      <c r="AB55" s="60" t="n">
        <f aca="false">AB54-AB53</f>
        <v>3642245.70601979</v>
      </c>
      <c r="AC55" s="60" t="n">
        <f aca="false">AC54-AC53</f>
        <v>4384694.51344249</v>
      </c>
      <c r="AD55" s="60" t="n">
        <f aca="false">AD54-AD53</f>
        <v>5195225.89652341</v>
      </c>
      <c r="AE55" s="60" t="n">
        <f aca="false">AE54-AE53</f>
        <v>6055298.75357421</v>
      </c>
      <c r="AF55" s="60" t="n">
        <f aca="false">AF54-AF53</f>
        <v>7029376.29248037</v>
      </c>
      <c r="AG55" s="60" t="n">
        <f aca="false">AG54-AG53</f>
        <v>8061595.50118805</v>
      </c>
      <c r="AH55" s="60" t="n">
        <f aca="false">AH54-AH53</f>
        <v>9149095.91930159</v>
      </c>
      <c r="AI55" s="60" t="n">
        <f aca="false">AI54-AI53</f>
        <v>10028110.3580521</v>
      </c>
      <c r="AJ55" s="60" t="n">
        <f aca="false">AJ54-AJ53</f>
        <v>10952044.8859293</v>
      </c>
      <c r="AK55" s="60" t="n">
        <f aca="false">AK54-AK53</f>
        <v>11918609.7140002</v>
      </c>
      <c r="AL55" s="60" t="n">
        <f aca="false">AL54-AL53</f>
        <v>13372167.3346648</v>
      </c>
      <c r="AM55" s="60" t="n">
        <f aca="false">AM54-AM53</f>
        <v>14973495.8957308</v>
      </c>
      <c r="AN55" s="60" t="n">
        <f aca="false">AN54-AN53</f>
        <v>16715685.6594748</v>
      </c>
      <c r="AO55" s="60" t="n">
        <f aca="false">AO54-AO53</f>
        <v>18592133.7956956</v>
      </c>
      <c r="AP55" s="60" t="n">
        <f aca="false">AP54-AP53</f>
        <v>20596578.1990961</v>
      </c>
      <c r="AQ55" s="60" t="n">
        <f aca="false">AQ54-AQ53</f>
        <v>22698077.9531204</v>
      </c>
      <c r="AR55" s="60" t="n">
        <f aca="false">AR54-AR53</f>
        <v>24940919.0478773</v>
      </c>
      <c r="AS55" s="60" t="n">
        <f aca="false">AS54-AS53</f>
        <v>27294628.0979326</v>
      </c>
      <c r="AT55" s="60" t="n">
        <f aca="false">AT54-AT53</f>
        <v>29754055.4620692</v>
      </c>
      <c r="AU55" s="60" t="n">
        <f aca="false">AU54-AU53</f>
        <v>32012275.1444585</v>
      </c>
      <c r="AV55" s="60" t="n">
        <f aca="false">AV54-AV53</f>
        <v>34358589.7416938</v>
      </c>
      <c r="AW55" s="60" t="n">
        <f aca="false">AW54-AW53</f>
        <v>36788790.354947</v>
      </c>
      <c r="AX55" s="60" t="n">
        <f aca="false">AX54-AX53</f>
        <v>40161910.1452205</v>
      </c>
      <c r="AY55" s="60" t="n">
        <f aca="false">AY54-AY53</f>
        <v>43823444.8869219</v>
      </c>
      <c r="AZ55" s="60" t="n">
        <f aca="false">AZ54-AZ53</f>
        <v>47761010.223622</v>
      </c>
      <c r="BA55" s="60" t="n">
        <f aca="false">BA54-BA53</f>
        <v>51962666.0285348</v>
      </c>
      <c r="BB55" s="60" t="n">
        <f aca="false">BB54-BB53</f>
        <v>56417155.5163357</v>
      </c>
      <c r="BC55" s="60" t="n">
        <f aca="false">BC54-BC53</f>
        <v>61083531.1037174</v>
      </c>
      <c r="BD55" s="60" t="n">
        <f aca="false">BD54-BD53</f>
        <v>66011442.7375999</v>
      </c>
      <c r="BE55" s="60" t="n">
        <f aca="false">BE54-BE53</f>
        <v>71160900.8988602</v>
      </c>
      <c r="BF55" s="60" t="n">
        <f aca="false">BF54-BF53</f>
        <v>76522394.1217155</v>
      </c>
      <c r="BG55" s="60" t="n">
        <f aca="false">BG54-BG53</f>
        <v>82135334.5878133</v>
      </c>
      <c r="BH55" s="60" t="n">
        <f aca="false">BH54-BH53</f>
        <v>87891905.2715831</v>
      </c>
      <c r="BI55" s="60" t="n">
        <f aca="false">BI54-BI53</f>
        <v>93834426.2676369</v>
      </c>
      <c r="BK55" s="29" t="s">
        <v>263</v>
      </c>
    </row>
    <row r="56" customFormat="false" ht="15" hidden="false" customHeight="false" outlineLevel="0" collapsed="false">
      <c r="A56" s="62" t="s">
        <v>264</v>
      </c>
      <c r="B56" s="61" t="n">
        <f aca="false">MAX(0,B53-B54)</f>
        <v>1500</v>
      </c>
      <c r="C56" s="61" t="n">
        <f aca="false">MAX(0,C53-C54)</f>
        <v>3600</v>
      </c>
      <c r="D56" s="61" t="n">
        <f aca="false">MAX(0,D53-D54)</f>
        <v>5700</v>
      </c>
      <c r="E56" s="61" t="n">
        <f aca="false">MAX(0,E53-E54)</f>
        <v>0</v>
      </c>
      <c r="F56" s="61" t="n">
        <f aca="false">MAX(0,F53-F54)</f>
        <v>5900</v>
      </c>
      <c r="G56" s="61" t="n">
        <f aca="false">MAX(0,G53-G54)</f>
        <v>8000</v>
      </c>
      <c r="H56" s="61" t="n">
        <f aca="false">MAX(0,H53-H54)</f>
        <v>9044.88</v>
      </c>
      <c r="I56" s="61" t="n">
        <f aca="false">MAX(0,I53-I54)</f>
        <v>7953.452</v>
      </c>
      <c r="J56" s="61" t="n">
        <f aca="false">MAX(0,J53-J54)</f>
        <v>28690.37248</v>
      </c>
      <c r="K56" s="61" t="n">
        <f aca="false">MAX(0,K53-K54)</f>
        <v>82260.089933504</v>
      </c>
      <c r="L56" s="61" t="n">
        <f aca="false">MAX(0,L53-L54)</f>
        <v>134079.975725215</v>
      </c>
      <c r="M56" s="61" t="n">
        <f aca="false">MAX(0,M53-M54)</f>
        <v>196616.333639203</v>
      </c>
      <c r="N56" s="61" t="n">
        <f aca="false">MAX(0,N53-N54)</f>
        <v>250169.86201734</v>
      </c>
      <c r="O56" s="61" t="n">
        <f aca="false">MAX(0,O53-O54)</f>
        <v>253883.271228286</v>
      </c>
      <c r="P56" s="61" t="n">
        <f aca="false">MAX(0,P53-P54)</f>
        <v>212287.068486408</v>
      </c>
      <c r="Q56" s="61" t="n">
        <f aca="false">MAX(0,Q53-Q54)</f>
        <v>84017.1837733254</v>
      </c>
      <c r="R56" s="61" t="n">
        <f aca="false">MAX(0,R53-R54)</f>
        <v>0</v>
      </c>
      <c r="S56" s="61" t="n">
        <f aca="false">MAX(0,S53-S54)</f>
        <v>0</v>
      </c>
      <c r="T56" s="61" t="n">
        <f aca="false">MAX(0,T53-T54)</f>
        <v>0</v>
      </c>
      <c r="U56" s="61" t="n">
        <f aca="false">MAX(0,U53-U54)</f>
        <v>0</v>
      </c>
      <c r="V56" s="61" t="n">
        <f aca="false">MAX(0,V53-V54)</f>
        <v>0</v>
      </c>
      <c r="W56" s="61" t="n">
        <f aca="false">MAX(0,W53-W54)</f>
        <v>0</v>
      </c>
      <c r="X56" s="61" t="n">
        <f aca="false">MAX(0,X53-X54)</f>
        <v>0</v>
      </c>
      <c r="Y56" s="61" t="n">
        <f aca="false">MAX(0,Y53-Y54)</f>
        <v>0</v>
      </c>
      <c r="Z56" s="61" t="n">
        <f aca="false">MAX(0,Z53-Z54)</f>
        <v>0</v>
      </c>
      <c r="AA56" s="61" t="n">
        <f aca="false">MAX(0,AA53-AA54)</f>
        <v>0</v>
      </c>
      <c r="AB56" s="61" t="n">
        <f aca="false">MAX(0,AB53-AB54)</f>
        <v>0</v>
      </c>
      <c r="AC56" s="61" t="n">
        <f aca="false">MAX(0,AC53-AC54)</f>
        <v>0</v>
      </c>
      <c r="AD56" s="61" t="n">
        <f aca="false">MAX(0,AD53-AD54)</f>
        <v>0</v>
      </c>
      <c r="AE56" s="61" t="n">
        <f aca="false">MAX(0,AE53-AE54)</f>
        <v>0</v>
      </c>
      <c r="AF56" s="61" t="n">
        <f aca="false">MAX(0,AF53-AF54)</f>
        <v>0</v>
      </c>
      <c r="AG56" s="61" t="n">
        <f aca="false">MAX(0,AG53-AG54)</f>
        <v>0</v>
      </c>
      <c r="AH56" s="61" t="n">
        <f aca="false">MAX(0,AH53-AH54)</f>
        <v>0</v>
      </c>
      <c r="AI56" s="61" t="n">
        <f aca="false">MAX(0,AI53-AI54)</f>
        <v>0</v>
      </c>
      <c r="AJ56" s="61" t="n">
        <f aca="false">MAX(0,AJ53-AJ54)</f>
        <v>0</v>
      </c>
      <c r="AK56" s="61" t="n">
        <f aca="false">MAX(0,AK53-AK54)</f>
        <v>0</v>
      </c>
      <c r="AL56" s="61" t="n">
        <f aca="false">MAX(0,AL53-AL54)</f>
        <v>0</v>
      </c>
      <c r="AM56" s="61" t="n">
        <f aca="false">MAX(0,AM53-AM54)</f>
        <v>0</v>
      </c>
      <c r="AN56" s="61" t="n">
        <f aca="false">MAX(0,AN53-AN54)</f>
        <v>0</v>
      </c>
      <c r="AO56" s="61" t="n">
        <f aca="false">MAX(0,AO53-AO54)</f>
        <v>0</v>
      </c>
      <c r="AP56" s="61" t="n">
        <f aca="false">MAX(0,AP53-AP54)</f>
        <v>0</v>
      </c>
      <c r="AQ56" s="61" t="n">
        <f aca="false">MAX(0,AQ53-AQ54)</f>
        <v>0</v>
      </c>
      <c r="AR56" s="61" t="n">
        <f aca="false">MAX(0,AR53-AR54)</f>
        <v>0</v>
      </c>
      <c r="AS56" s="61" t="n">
        <f aca="false">MAX(0,AS53-AS54)</f>
        <v>0</v>
      </c>
      <c r="AT56" s="61" t="n">
        <f aca="false">MAX(0,AT53-AT54)</f>
        <v>0</v>
      </c>
      <c r="AU56" s="61" t="n">
        <f aca="false">MAX(0,AU53-AU54)</f>
        <v>0</v>
      </c>
      <c r="AV56" s="61" t="n">
        <f aca="false">MAX(0,AV53-AV54)</f>
        <v>0</v>
      </c>
      <c r="AW56" s="61" t="n">
        <f aca="false">MAX(0,AW53-AW54)</f>
        <v>0</v>
      </c>
      <c r="AX56" s="61" t="n">
        <f aca="false">MAX(0,AX53-AX54)</f>
        <v>0</v>
      </c>
      <c r="AY56" s="61" t="n">
        <f aca="false">MAX(0,AY53-AY54)</f>
        <v>0</v>
      </c>
      <c r="AZ56" s="61" t="n">
        <f aca="false">MAX(0,AZ53-AZ54)</f>
        <v>0</v>
      </c>
      <c r="BA56" s="61" t="n">
        <f aca="false">MAX(0,BA53-BA54)</f>
        <v>0</v>
      </c>
      <c r="BB56" s="61" t="n">
        <f aca="false">MAX(0,BB53-BB54)</f>
        <v>0</v>
      </c>
      <c r="BC56" s="61" t="n">
        <f aca="false">MAX(0,BC53-BC54)</f>
        <v>0</v>
      </c>
      <c r="BD56" s="61" t="n">
        <f aca="false">MAX(0,BD53-BD54)</f>
        <v>0</v>
      </c>
      <c r="BE56" s="61" t="n">
        <f aca="false">MAX(0,BE53-BE54)</f>
        <v>0</v>
      </c>
      <c r="BF56" s="61" t="n">
        <f aca="false">MAX(0,BF53-BF54)</f>
        <v>0</v>
      </c>
      <c r="BG56" s="61" t="n">
        <f aca="false">MAX(0,BG53-BG54)</f>
        <v>0</v>
      </c>
      <c r="BH56" s="61" t="n">
        <f aca="false">MAX(0,BH53-BH54)</f>
        <v>0</v>
      </c>
      <c r="BI56" s="61" t="n">
        <f aca="false">MAX(0,BI53-BI54)</f>
        <v>0</v>
      </c>
      <c r="BK56" s="29" t="s">
        <v>265</v>
      </c>
    </row>
    <row r="57" customFormat="false" ht="15" hidden="false" customHeight="false" outlineLevel="0" collapsed="false">
      <c r="A57" s="62" t="s">
        <v>266</v>
      </c>
      <c r="B57" s="63" t="n">
        <f aca="false">MAX($B56:B56)</f>
        <v>1500</v>
      </c>
      <c r="C57" s="63" t="n">
        <f aca="false">MAX($B56:C56)</f>
        <v>3600</v>
      </c>
      <c r="D57" s="63" t="n">
        <f aca="false">MAX($B56:D56)</f>
        <v>5700</v>
      </c>
      <c r="E57" s="63" t="n">
        <f aca="false">MAX($B56:E56)</f>
        <v>5700</v>
      </c>
      <c r="F57" s="63" t="n">
        <f aca="false">MAX($B56:F56)</f>
        <v>5900</v>
      </c>
      <c r="G57" s="63" t="n">
        <f aca="false">MAX($B56:G56)</f>
        <v>8000</v>
      </c>
      <c r="H57" s="63" t="n">
        <f aca="false">MAX($B56:H56)</f>
        <v>9044.88</v>
      </c>
      <c r="I57" s="63" t="n">
        <f aca="false">MAX($B56:I56)</f>
        <v>9044.88</v>
      </c>
      <c r="J57" s="63" t="n">
        <f aca="false">MAX($B56:J56)</f>
        <v>28690.37248</v>
      </c>
      <c r="K57" s="63" t="n">
        <f aca="false">MAX($B56:K56)</f>
        <v>82260.089933504</v>
      </c>
      <c r="L57" s="63" t="n">
        <f aca="false">MAX($B56:L56)</f>
        <v>134079.975725215</v>
      </c>
      <c r="M57" s="63" t="n">
        <f aca="false">MAX($B56:M56)</f>
        <v>196616.333639203</v>
      </c>
      <c r="N57" s="63" t="n">
        <f aca="false">MAX($B56:N56)</f>
        <v>250169.86201734</v>
      </c>
      <c r="O57" s="63" t="n">
        <f aca="false">MAX($B56:O56)</f>
        <v>253883.271228286</v>
      </c>
      <c r="P57" s="63" t="n">
        <f aca="false">MAX($B56:P56)</f>
        <v>253883.271228286</v>
      </c>
      <c r="Q57" s="63" t="n">
        <f aca="false">MAX($B56:Q56)</f>
        <v>253883.271228286</v>
      </c>
      <c r="R57" s="63" t="n">
        <f aca="false">MAX($B56:R56)</f>
        <v>253883.271228286</v>
      </c>
      <c r="S57" s="63" t="n">
        <f aca="false">MAX($B56:S56)</f>
        <v>253883.271228286</v>
      </c>
      <c r="T57" s="63" t="n">
        <f aca="false">MAX($B56:T56)</f>
        <v>253883.271228286</v>
      </c>
      <c r="U57" s="63" t="n">
        <f aca="false">MAX($B56:U56)</f>
        <v>253883.271228286</v>
      </c>
      <c r="V57" s="63" t="n">
        <f aca="false">MAX($B56:V56)</f>
        <v>253883.271228286</v>
      </c>
      <c r="W57" s="63" t="n">
        <f aca="false">MAX($B56:W56)</f>
        <v>253883.271228286</v>
      </c>
      <c r="X57" s="63" t="n">
        <f aca="false">MAX($B56:X56)</f>
        <v>253883.271228286</v>
      </c>
      <c r="Y57" s="63" t="n">
        <f aca="false">MAX($B56:Y56)</f>
        <v>253883.271228286</v>
      </c>
      <c r="Z57" s="63" t="n">
        <f aca="false">MAX($B56:Z56)</f>
        <v>253883.271228286</v>
      </c>
      <c r="AA57" s="63" t="n">
        <f aca="false">MAX($B56:AA56)</f>
        <v>253883.271228286</v>
      </c>
      <c r="AB57" s="63" t="n">
        <f aca="false">MAX($B56:AB56)</f>
        <v>253883.271228286</v>
      </c>
      <c r="AC57" s="63" t="n">
        <f aca="false">MAX($B56:AC56)</f>
        <v>253883.271228286</v>
      </c>
      <c r="AD57" s="63" t="n">
        <f aca="false">MAX($B56:AD56)</f>
        <v>253883.271228286</v>
      </c>
      <c r="AE57" s="63" t="n">
        <f aca="false">MAX($B56:AE56)</f>
        <v>253883.271228286</v>
      </c>
      <c r="AF57" s="63" t="n">
        <f aca="false">MAX($B56:AF56)</f>
        <v>253883.271228286</v>
      </c>
      <c r="AG57" s="63" t="n">
        <f aca="false">MAX($B56:AG56)</f>
        <v>253883.271228286</v>
      </c>
      <c r="AH57" s="63" t="n">
        <f aca="false">MAX($B56:AH56)</f>
        <v>253883.271228286</v>
      </c>
      <c r="AI57" s="63" t="n">
        <f aca="false">MAX($B56:AI56)</f>
        <v>253883.271228286</v>
      </c>
      <c r="AJ57" s="63" t="n">
        <f aca="false">MAX($B56:AJ56)</f>
        <v>253883.271228286</v>
      </c>
      <c r="AK57" s="63" t="n">
        <f aca="false">MAX($B56:AK56)</f>
        <v>253883.271228286</v>
      </c>
      <c r="AL57" s="63" t="n">
        <f aca="false">MAX($B56:AL56)</f>
        <v>253883.271228286</v>
      </c>
      <c r="AM57" s="63" t="n">
        <f aca="false">MAX($B56:AM56)</f>
        <v>253883.271228286</v>
      </c>
      <c r="AN57" s="63" t="n">
        <f aca="false">MAX($B56:AN56)</f>
        <v>253883.271228286</v>
      </c>
      <c r="AO57" s="63" t="n">
        <f aca="false">MAX($B56:AO56)</f>
        <v>253883.271228286</v>
      </c>
      <c r="AP57" s="63" t="n">
        <f aca="false">MAX($B56:AP56)</f>
        <v>253883.271228286</v>
      </c>
      <c r="AQ57" s="63" t="n">
        <f aca="false">MAX($B56:AQ56)</f>
        <v>253883.271228286</v>
      </c>
      <c r="AR57" s="63" t="n">
        <f aca="false">MAX($B56:AR56)</f>
        <v>253883.271228286</v>
      </c>
      <c r="AS57" s="63" t="n">
        <f aca="false">MAX($B56:AS56)</f>
        <v>253883.271228286</v>
      </c>
      <c r="AT57" s="63" t="n">
        <f aca="false">MAX($B56:AT56)</f>
        <v>253883.271228286</v>
      </c>
      <c r="AU57" s="63" t="n">
        <f aca="false">MAX($B56:AU56)</f>
        <v>253883.271228286</v>
      </c>
      <c r="AV57" s="63" t="n">
        <f aca="false">MAX($B56:AV56)</f>
        <v>253883.271228286</v>
      </c>
      <c r="AW57" s="63" t="n">
        <f aca="false">MAX($B56:AW56)</f>
        <v>253883.271228286</v>
      </c>
      <c r="AX57" s="63" t="n">
        <f aca="false">MAX($B56:AX56)</f>
        <v>253883.271228286</v>
      </c>
      <c r="AY57" s="63" t="n">
        <f aca="false">MAX($B56:AY56)</f>
        <v>253883.271228286</v>
      </c>
      <c r="AZ57" s="63" t="n">
        <f aca="false">MAX($B56:AZ56)</f>
        <v>253883.271228286</v>
      </c>
      <c r="BA57" s="63" t="n">
        <f aca="false">MAX($B56:BA56)</f>
        <v>253883.271228286</v>
      </c>
      <c r="BB57" s="63" t="n">
        <f aca="false">MAX($B56:BB56)</f>
        <v>253883.271228286</v>
      </c>
      <c r="BC57" s="63" t="n">
        <f aca="false">MAX($B56:BC56)</f>
        <v>253883.271228286</v>
      </c>
      <c r="BD57" s="63" t="n">
        <f aca="false">MAX($B56:BD56)</f>
        <v>253883.271228286</v>
      </c>
      <c r="BE57" s="63" t="n">
        <f aca="false">MAX($B56:BE56)</f>
        <v>253883.271228286</v>
      </c>
      <c r="BF57" s="63" t="n">
        <f aca="false">MAX($B56:BF56)</f>
        <v>253883.271228286</v>
      </c>
      <c r="BG57" s="63" t="n">
        <f aca="false">MAX($B56:BG56)</f>
        <v>253883.271228286</v>
      </c>
      <c r="BH57" s="63" t="n">
        <f aca="false">MAX($B56:BH56)</f>
        <v>253883.271228286</v>
      </c>
      <c r="BI57" s="63" t="n">
        <f aca="false">MAX($B56:BI56)</f>
        <v>253883.271228286</v>
      </c>
      <c r="BK57" s="29" t="s">
        <v>267</v>
      </c>
    </row>
    <row r="58" customFormat="false" ht="15" hidden="false" customHeight="false" outlineLevel="0" collapsed="false">
      <c r="A58" s="71" t="s">
        <v>268</v>
      </c>
      <c r="B58" s="72" t="n">
        <f aca="false">IF(B54&lt;0,B$5,9999)</f>
        <v>9999</v>
      </c>
      <c r="C58" s="72" t="n">
        <f aca="false">IF(C54&lt;0,C$5,9999)</f>
        <v>9999</v>
      </c>
      <c r="D58" s="72" t="n">
        <f aca="false">IF(D54&lt;0,D$5,9999)</f>
        <v>9999</v>
      </c>
      <c r="E58" s="72" t="n">
        <f aca="false">IF(E54&lt;0,E$5,9999)</f>
        <v>9999</v>
      </c>
      <c r="F58" s="72" t="n">
        <f aca="false">IF(F54&lt;0,F$5,9999)</f>
        <v>9999</v>
      </c>
      <c r="G58" s="72" t="n">
        <f aca="false">IF(G54&lt;0,G$5,9999)</f>
        <v>6</v>
      </c>
      <c r="H58" s="72" t="n">
        <f aca="false">IF(H54&lt;0,H$5,9999)</f>
        <v>9999</v>
      </c>
      <c r="I58" s="72" t="n">
        <f aca="false">IF(I54&lt;0,I$5,9999)</f>
        <v>9999</v>
      </c>
      <c r="J58" s="72" t="n">
        <f aca="false">IF(J54&lt;0,J$5,9999)</f>
        <v>9</v>
      </c>
      <c r="K58" s="72" t="n">
        <f aca="false">IF(K54&lt;0,K$5,9999)</f>
        <v>9999</v>
      </c>
      <c r="L58" s="72" t="n">
        <f aca="false">IF(L54&lt;0,L$5,9999)</f>
        <v>9999</v>
      </c>
      <c r="M58" s="72" t="n">
        <f aca="false">IF(M54&lt;0,M$5,9999)</f>
        <v>9999</v>
      </c>
      <c r="N58" s="72" t="n">
        <f aca="false">IF(N54&lt;0,N$5,9999)</f>
        <v>9999</v>
      </c>
      <c r="O58" s="72" t="n">
        <f aca="false">IF(O54&lt;0,O$5,9999)</f>
        <v>9999</v>
      </c>
      <c r="P58" s="72" t="n">
        <f aca="false">IF(P54&lt;0,P$5,9999)</f>
        <v>9999</v>
      </c>
      <c r="Q58" s="72" t="n">
        <f aca="false">IF(Q54&lt;0,Q$5,9999)</f>
        <v>9999</v>
      </c>
      <c r="R58" s="72" t="n">
        <f aca="false">IF(R54&lt;0,R$5,9999)</f>
        <v>9999</v>
      </c>
      <c r="S58" s="72" t="n">
        <f aca="false">IF(S54&lt;0,S$5,9999)</f>
        <v>9999</v>
      </c>
      <c r="T58" s="72" t="n">
        <f aca="false">IF(T54&lt;0,T$5,9999)</f>
        <v>9999</v>
      </c>
      <c r="U58" s="72" t="n">
        <f aca="false">IF(U54&lt;0,U$5,9999)</f>
        <v>9999</v>
      </c>
      <c r="V58" s="72" t="n">
        <f aca="false">IF(V54&lt;0,V$5,9999)</f>
        <v>9999</v>
      </c>
      <c r="W58" s="72" t="n">
        <f aca="false">IF(W54&lt;0,W$5,9999)</f>
        <v>9999</v>
      </c>
      <c r="X58" s="72" t="n">
        <f aca="false">IF(X54&lt;0,X$5,9999)</f>
        <v>9999</v>
      </c>
      <c r="Y58" s="72" t="n">
        <f aca="false">IF(Y54&lt;0,Y$5,9999)</f>
        <v>9999</v>
      </c>
      <c r="Z58" s="72" t="n">
        <f aca="false">IF(Z54&lt;0,Z$5,9999)</f>
        <v>9999</v>
      </c>
      <c r="AA58" s="72" t="n">
        <f aca="false">IF(AA54&lt;0,AA$5,9999)</f>
        <v>9999</v>
      </c>
      <c r="AB58" s="72" t="n">
        <f aca="false">IF(AB54&lt;0,AB$5,9999)</f>
        <v>9999</v>
      </c>
      <c r="AC58" s="72" t="n">
        <f aca="false">IF(AC54&lt;0,AC$5,9999)</f>
        <v>9999</v>
      </c>
      <c r="AD58" s="72" t="n">
        <f aca="false">IF(AD54&lt;0,AD$5,9999)</f>
        <v>9999</v>
      </c>
      <c r="AE58" s="72" t="n">
        <f aca="false">IF(AE54&lt;0,AE$5,9999)</f>
        <v>9999</v>
      </c>
      <c r="AF58" s="72" t="n">
        <f aca="false">IF(AF54&lt;0,AF$5,9999)</f>
        <v>9999</v>
      </c>
      <c r="AG58" s="72" t="n">
        <f aca="false">IF(AG54&lt;0,AG$5,9999)</f>
        <v>9999</v>
      </c>
      <c r="AH58" s="72" t="n">
        <f aca="false">IF(AH54&lt;0,AH$5,9999)</f>
        <v>9999</v>
      </c>
      <c r="AI58" s="72" t="n">
        <f aca="false">IF(AI54&lt;0,AI$5,9999)</f>
        <v>9999</v>
      </c>
      <c r="AJ58" s="72" t="n">
        <f aca="false">IF(AJ54&lt;0,AJ$5,9999)</f>
        <v>9999</v>
      </c>
      <c r="AK58" s="72" t="n">
        <f aca="false">IF(AK54&lt;0,AK$5,9999)</f>
        <v>9999</v>
      </c>
      <c r="AL58" s="72" t="n">
        <f aca="false">IF(AL54&lt;0,AL$5,9999)</f>
        <v>9999</v>
      </c>
      <c r="AM58" s="72" t="n">
        <f aca="false">IF(AM54&lt;0,AM$5,9999)</f>
        <v>9999</v>
      </c>
      <c r="AN58" s="72" t="n">
        <f aca="false">IF(AN54&lt;0,AN$5,9999)</f>
        <v>9999</v>
      </c>
      <c r="AO58" s="72" t="n">
        <f aca="false">IF(AO54&lt;0,AO$5,9999)</f>
        <v>9999</v>
      </c>
      <c r="AP58" s="72" t="n">
        <f aca="false">IF(AP54&lt;0,AP$5,9999)</f>
        <v>9999</v>
      </c>
      <c r="AQ58" s="72" t="n">
        <f aca="false">IF(AQ54&lt;0,AQ$5,9999)</f>
        <v>9999</v>
      </c>
      <c r="AR58" s="72" t="n">
        <f aca="false">IF(AR54&lt;0,AR$5,9999)</f>
        <v>9999</v>
      </c>
      <c r="AS58" s="72" t="n">
        <f aca="false">IF(AS54&lt;0,AS$5,9999)</f>
        <v>9999</v>
      </c>
      <c r="AT58" s="72" t="n">
        <f aca="false">IF(AT54&lt;0,AT$5,9999)</f>
        <v>9999</v>
      </c>
      <c r="AU58" s="72" t="n">
        <f aca="false">IF(AU54&lt;0,AU$5,9999)</f>
        <v>9999</v>
      </c>
      <c r="AV58" s="72" t="n">
        <f aca="false">IF(AV54&lt;0,AV$5,9999)</f>
        <v>9999</v>
      </c>
      <c r="AW58" s="72" t="n">
        <f aca="false">IF(AW54&lt;0,AW$5,9999)</f>
        <v>9999</v>
      </c>
      <c r="AX58" s="72" t="n">
        <f aca="false">IF(AX54&lt;0,AX$5,9999)</f>
        <v>9999</v>
      </c>
      <c r="AY58" s="72" t="n">
        <f aca="false">IF(AY54&lt;0,AY$5,9999)</f>
        <v>9999</v>
      </c>
      <c r="AZ58" s="72" t="n">
        <f aca="false">IF(AZ54&lt;0,AZ$5,9999)</f>
        <v>9999</v>
      </c>
      <c r="BA58" s="72" t="n">
        <f aca="false">IF(BA54&lt;0,BA$5,9999)</f>
        <v>9999</v>
      </c>
      <c r="BB58" s="72" t="n">
        <f aca="false">IF(BB54&lt;0,BB$5,9999)</f>
        <v>9999</v>
      </c>
      <c r="BC58" s="72" t="n">
        <f aca="false">IF(BC54&lt;0,BC$5,9999)</f>
        <v>9999</v>
      </c>
      <c r="BD58" s="72" t="n">
        <f aca="false">IF(BD54&lt;0,BD$5,9999)</f>
        <v>9999</v>
      </c>
      <c r="BE58" s="72" t="n">
        <f aca="false">IF(BE54&lt;0,BE$5,9999)</f>
        <v>9999</v>
      </c>
      <c r="BF58" s="72" t="n">
        <f aca="false">IF(BF54&lt;0,BF$5,9999)</f>
        <v>9999</v>
      </c>
      <c r="BG58" s="72" t="n">
        <f aca="false">IF(BG54&lt;0,BG$5,9999)</f>
        <v>9999</v>
      </c>
      <c r="BH58" s="72" t="n">
        <f aca="false">IF(BH54&lt;0,BH$5,9999)</f>
        <v>9999</v>
      </c>
      <c r="BI58" s="72" t="n">
        <f aca="false">IF(BI54&lt;0,BI$5,9999)</f>
        <v>9999</v>
      </c>
      <c r="BK58" s="29" t="s">
        <v>269</v>
      </c>
    </row>
    <row r="59" customFormat="false" ht="15" hidden="false" customHeight="false" outlineLevel="0" collapsed="false">
      <c r="A59" s="71" t="s">
        <v>270</v>
      </c>
      <c r="B59" s="73" t="str">
        <f aca="false">IFERROR(IF(B52&lt;=0,"",MAX(0,B54)/B52),"")</f>
        <v/>
      </c>
      <c r="C59" s="73" t="str">
        <f aca="false">IFERROR(IF(C52&lt;=0,"",MAX(0,C54)/C52),"")</f>
        <v/>
      </c>
      <c r="D59" s="73" t="str">
        <f aca="false">IFERROR(IF(D52&lt;=0,"",MAX(0,D54)/D52),"")</f>
        <v/>
      </c>
      <c r="E59" s="73" t="n">
        <f aca="false">IFERROR(IF(E52&lt;=0,"",MAX(0,E54)/E52),"")</f>
        <v>5.66666666666667</v>
      </c>
      <c r="F59" s="73" t="n">
        <f aca="false">IFERROR(IF(F52&lt;=0,"",MAX(0,F54)/F52),"")</f>
        <v>0.19047619047619</v>
      </c>
      <c r="G59" s="73" t="n">
        <f aca="false">IFERROR(IF(G52&lt;=0,"",MAX(0,G54)/G52),"")</f>
        <v>0</v>
      </c>
      <c r="H59" s="73" t="n">
        <f aca="false">IFERROR(IF(H52&lt;=0,"",MAX(0,H54)/H52),"")</f>
        <v>0.571428571428571</v>
      </c>
      <c r="I59" s="73" t="n">
        <f aca="false">IFERROR(IF(I52&lt;=0,"",MAX(0,I54)/I52),"")</f>
        <v>3.79627619047619</v>
      </c>
      <c r="J59" s="73" t="n">
        <f aca="false">IFERROR(IF(J52&lt;=0,"",MAX(0,J54)/J52),"")</f>
        <v>0</v>
      </c>
      <c r="K59" s="73" t="n">
        <f aca="false">IFERROR(IF(K52&lt;=0,"",MAX(0,K54)/K52),"")</f>
        <v>1.86989680523021</v>
      </c>
      <c r="L59" s="73" t="n">
        <f aca="false">IFERROR(IF(L52&lt;=0,"",MAX(0,L54)/L52),"")</f>
        <v>4.20745729654409</v>
      </c>
      <c r="M59" s="73" t="n">
        <f aca="false">IFERROR(IF(M52&lt;=0,"",MAX(0,M54)/M52),"")</f>
        <v>4.63354673777831</v>
      </c>
      <c r="N59" s="73" t="n">
        <f aca="false">IFERROR(IF(N52&lt;=0,"",MAX(0,N54)/N52),"")</f>
        <v>0.126819669552753</v>
      </c>
      <c r="O59" s="73" t="n">
        <f aca="false">IFERROR(IF(O52&lt;=0,"",MAX(0,O54)/O52),"")</f>
        <v>0.242470377970722</v>
      </c>
      <c r="P59" s="73" t="n">
        <f aca="false">IFERROR(IF(P52&lt;=0,"",MAX(0,P54)/P52),"")</f>
        <v>0.822737278354603</v>
      </c>
      <c r="Q59" s="73" t="n">
        <f aca="false">IFERROR(IF(Q52&lt;=0,"",MAX(0,Q54)/Q52),"")</f>
        <v>2.3497638866535</v>
      </c>
      <c r="R59" s="73" t="n">
        <f aca="false">IFERROR(IF(R52&lt;=0,"",MAX(0,R54)/R52),"")</f>
        <v>4.10108485451999</v>
      </c>
      <c r="S59" s="73" t="n">
        <f aca="false">IFERROR(IF(S52&lt;=0,"",MAX(0,S54)/S52),"")</f>
        <v>6.14675600001276</v>
      </c>
      <c r="T59" s="73" t="n">
        <f aca="false">IFERROR(IF(T52&lt;=0,"",MAX(0,T54)/T52),"")</f>
        <v>7.66557214551779</v>
      </c>
      <c r="U59" s="73" t="n">
        <f aca="false">IFERROR(IF(U52&lt;=0,"",MAX(0,U54)/U52),"")</f>
        <v>9.77114664099691</v>
      </c>
      <c r="V59" s="73" t="n">
        <f aca="false">IFERROR(IF(V52&lt;=0,"",MAX(0,V54)/V52),"")</f>
        <v>11.9872510160369</v>
      </c>
      <c r="W59" s="73" t="n">
        <f aca="false">IFERROR(IF(W52&lt;=0,"",MAX(0,W54)/W52),"")</f>
        <v>15.2208287034647</v>
      </c>
      <c r="X59" s="73" t="n">
        <f aca="false">IFERROR(IF(X52&lt;=0,"",MAX(0,X54)/X52),"")</f>
        <v>18.6181173237731</v>
      </c>
      <c r="Y59" s="73" t="n">
        <f aca="false">IFERROR(IF(Y52&lt;=0,"",MAX(0,Y54)/Y52),"")</f>
        <v>22.2477140204153</v>
      </c>
      <c r="Z59" s="73" t="n">
        <f aca="false">IFERROR(IF(Z52&lt;=0,"",MAX(0,Z54)/Z52),"")</f>
        <v>11.9949623726059</v>
      </c>
      <c r="AA59" s="73" t="n">
        <f aca="false">IFERROR(IF(AA52&lt;=0,"",MAX(0,AA54)/AA52),"")</f>
        <v>13.9887339031558</v>
      </c>
      <c r="AB59" s="73" t="n">
        <f aca="false">IFERROR(IF(AB52&lt;=0,"",MAX(0,AB54)/AB52),"")</f>
        <v>16.1889938766768</v>
      </c>
      <c r="AC59" s="73" t="n">
        <f aca="false">IFERROR(IF(AC52&lt;=0,"",MAX(0,AC54)/AC52),"")</f>
        <v>18.5762597330028</v>
      </c>
      <c r="AD59" s="73" t="n">
        <f aca="false">IFERROR(IF(AD52&lt;=0,"",MAX(0,AD54)/AD52),"")</f>
        <v>21.1342973307561</v>
      </c>
      <c r="AE59" s="73" t="n">
        <f aca="false">IFERROR(IF(AE52&lt;=0,"",MAX(0,AE54)/AE52),"")</f>
        <v>23.7970756850651</v>
      </c>
      <c r="AF59" s="73" t="n">
        <f aca="false">IFERROR(IF(AF52&lt;=0,"",MAX(0,AF54)/AF52),"")</f>
        <v>26.7828757469528</v>
      </c>
      <c r="AG59" s="73" t="n">
        <f aca="false">IFERROR(IF(AG52&lt;=0,"",MAX(0,AG54)/AG52),"")</f>
        <v>29.8977843688246</v>
      </c>
      <c r="AH59" s="73" t="n">
        <f aca="false">IFERROR(IF(AH52&lt;=0,"",MAX(0,AH54)/AH52),"")</f>
        <v>33.1328119118072</v>
      </c>
      <c r="AI59" s="73" t="n">
        <f aca="false">IFERROR(IF(AI52&lt;=0,"",MAX(0,AI54)/AI52),"")</f>
        <v>36.4795660265405</v>
      </c>
      <c r="AJ59" s="73" t="n">
        <f aca="false">IFERROR(IF(AJ52&lt;=0,"",MAX(0,AJ54)/AJ52),"")</f>
        <v>39.9305306256074</v>
      </c>
      <c r="AK59" s="73" t="n">
        <f aca="false">IFERROR(IF(AK52&lt;=0,"",MAX(0,AK54)/AK52),"")</f>
        <v>43.4790242885401</v>
      </c>
      <c r="AL59" s="73" t="n">
        <f aca="false">IFERROR(IF(AL52&lt;=0,"",MAX(0,AL54)/AL52),"")</f>
        <v>26.1911319579343</v>
      </c>
      <c r="AM59" s="73" t="n">
        <f aca="false">IFERROR(IF(AM52&lt;=0,"",MAX(0,AM54)/AM52),"")</f>
        <v>28.6130294956821</v>
      </c>
      <c r="AN59" s="73" t="n">
        <f aca="false">IFERROR(IF(AN52&lt;=0,"",MAX(0,AN54)/AN52),"")</f>
        <v>31.2263325128558</v>
      </c>
      <c r="AO59" s="73" t="n">
        <f aca="false">IFERROR(IF(AO52&lt;=0,"",MAX(0,AO54)/AO52),"")</f>
        <v>34.0168820956755</v>
      </c>
      <c r="AP59" s="73" t="n">
        <f aca="false">IFERROR(IF(AP52&lt;=0,"",MAX(0,AP54)/AP52),"")</f>
        <v>36.9720209723563</v>
      </c>
      <c r="AQ59" s="73" t="n">
        <f aca="false">IFERROR(IF(AQ52&lt;=0,"",MAX(0,AQ54)/AQ52),"")</f>
        <v>40.0397262794651</v>
      </c>
      <c r="AR59" s="73" t="n">
        <f aca="false">IFERROR(IF(AR52&lt;=0,"",MAX(0,AR54)/AR52),"")</f>
        <v>43.2916543051955</v>
      </c>
      <c r="AS59" s="73" t="n">
        <f aca="false">IFERROR(IF(AS52&lt;=0,"",MAX(0,AS54)/AS52),"")</f>
        <v>46.6775101948428</v>
      </c>
      <c r="AT59" s="73" t="n">
        <f aca="false">IFERROR(IF(AT52&lt;=0,"",MAX(0,AT54)/AT52),"")</f>
        <v>50.1888861980617</v>
      </c>
      <c r="AU59" s="73" t="n">
        <f aca="false">IFERROR(IF(AU52&lt;=0,"",MAX(0,AU54)/AU52),"")</f>
        <v>53.8182872869956</v>
      </c>
      <c r="AV59" s="73" t="n">
        <f aca="false">IFERROR(IF(AV52&lt;=0,"",MAX(0,AV54)/AV52),"")</f>
        <v>57.5587631946143</v>
      </c>
      <c r="AW59" s="73" t="n">
        <f aca="false">IFERROR(IF(AW52&lt;=0,"",MAX(0,AW54)/AW52),"")</f>
        <v>61.4039864322032</v>
      </c>
      <c r="AX59" s="73" t="n">
        <f aca="false">IFERROR(IF(AX52&lt;=0,"",MAX(0,AX54)/AX52),"")</f>
        <v>45.2272884863155</v>
      </c>
      <c r="AY59" s="73" t="n">
        <f aca="false">IFERROR(IF(AY52&lt;=0,"",MAX(0,AY54)/AY52),"")</f>
        <v>48.4771421035904</v>
      </c>
      <c r="AZ59" s="73" t="n">
        <f aca="false">IFERROR(IF(AZ52&lt;=0,"",MAX(0,AZ54)/AZ52),"")</f>
        <v>51.9539537323341</v>
      </c>
      <c r="BA59" s="73" t="n">
        <f aca="false">IFERROR(IF(BA52&lt;=0,"",MAX(0,BA54)/BA52),"")</f>
        <v>55.6418759795036</v>
      </c>
      <c r="BB59" s="73" t="n">
        <f aca="false">IFERROR(IF(BB52&lt;=0,"",MAX(0,BB54)/BB52),"")</f>
        <v>59.526809998262</v>
      </c>
      <c r="BC59" s="73" t="n">
        <f aca="false">IFERROR(IF(BC52&lt;=0,"",MAX(0,BC54)/BC52),"")</f>
        <v>63.5662852602157</v>
      </c>
      <c r="BD59" s="73" t="n">
        <f aca="false">IFERROR(IF(BD52&lt;=0,"",MAX(0,BD54)/BD52),"")</f>
        <v>67.8085315296255</v>
      </c>
      <c r="BE59" s="73" t="n">
        <f aca="false">IFERROR(IF(BE52&lt;=0,"",MAX(0,BE54)/BE52),"")</f>
        <v>72.2129758378726</v>
      </c>
      <c r="BF59" s="73" t="n">
        <f aca="false">IFERROR(IF(BF52&lt;=0,"",MAX(0,BF54)/BF52),"")</f>
        <v>76.7701963941596</v>
      </c>
      <c r="BG59" s="73" t="n">
        <f aca="false">IFERROR(IF(BG52&lt;=0,"",MAX(0,BG54)/BG52),"")</f>
        <v>81.4714381332519</v>
      </c>
      <c r="BH59" s="73" t="n">
        <f aca="false">IFERROR(IF(BH52&lt;=0,"",MAX(0,BH54)/BH52),"")</f>
        <v>86.3089134142332</v>
      </c>
      <c r="BI59" s="73" t="n">
        <f aca="false">IFERROR(IF(BI52&lt;=0,"",MAX(0,BI54)/BI52),"")</f>
        <v>91.2752091153852</v>
      </c>
      <c r="BK59" s="29" t="s">
        <v>271</v>
      </c>
    </row>
    <row r="62" customFormat="false" ht="18" hidden="false" customHeight="true" outlineLevel="0" collapsed="false">
      <c r="A62" s="25" t="s">
        <v>274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</row>
    <row r="63" customFormat="false" ht="21.75" hidden="false" customHeight="true" outlineLevel="0" collapsed="false">
      <c r="A63" s="19" t="s">
        <v>275</v>
      </c>
      <c r="B63" s="20" t="s">
        <v>114</v>
      </c>
      <c r="C63" s="21" t="s">
        <v>115</v>
      </c>
      <c r="D63" s="22" t="s">
        <v>116</v>
      </c>
    </row>
    <row r="64" customFormat="false" ht="15" hidden="false" customHeight="true" outlineLevel="0" collapsed="false">
      <c r="A64" s="31" t="s">
        <v>276</v>
      </c>
      <c r="B64" s="32" t="n">
        <f aca="false">-MIN(0,MIN($B$23:$BI$23))</f>
        <v>12063525.0246041</v>
      </c>
      <c r="C64" s="32" t="n">
        <f aca="false">-MIN(0,MIN($B$37:$BI$37))</f>
        <v>350781.548699936</v>
      </c>
      <c r="D64" s="32" t="n">
        <f aca="false">-MIN(0,MIN($B$51:$BI$51))</f>
        <v>160419.316848146</v>
      </c>
      <c r="F64" s="77" t="s">
        <v>277</v>
      </c>
      <c r="G64" s="77"/>
      <c r="H64" s="77"/>
      <c r="I64" s="77"/>
      <c r="J64" s="77"/>
      <c r="K64" s="77"/>
      <c r="L64" s="77"/>
      <c r="M64" s="77"/>
      <c r="N64" s="77"/>
      <c r="O64" s="77"/>
    </row>
    <row r="65" customFormat="false" ht="15" hidden="false" customHeight="false" outlineLevel="0" collapsed="false">
      <c r="A65" s="27" t="s">
        <v>278</v>
      </c>
      <c r="B65" s="30" t="n">
        <f aca="false">INDEX($B$25:$BI$25,MATCH(MIN($B$26:$BI$26),$B$26:$BI$26,0))</f>
        <v>2379780.94569259</v>
      </c>
      <c r="C65" s="30" t="n">
        <f aca="false">INDEX($B$39:$BI$39,MATCH(MIN($B$40:$BI$40),$B$40:$BI$40,0))</f>
        <v>239388.786853946</v>
      </c>
      <c r="D65" s="30" t="n">
        <f aca="false">INDEX($B$53:$BI$53,MATCH(MIN($B$54:$BI$54),$B$54:$BI$54,0))</f>
        <v>24062.55248</v>
      </c>
    </row>
    <row r="66" customFormat="false" ht="15" hidden="false" customHeight="false" outlineLevel="0" collapsed="false">
      <c r="A66" s="31" t="s">
        <v>279</v>
      </c>
      <c r="B66" s="32" t="n">
        <f aca="false">B64+B65</f>
        <v>14443305.9702967</v>
      </c>
      <c r="C66" s="32" t="n">
        <f aca="false">C64+C65</f>
        <v>590170.335553882</v>
      </c>
      <c r="D66" s="32" t="n">
        <f aca="false">D64+D65</f>
        <v>184481.869328146</v>
      </c>
    </row>
    <row r="67" customFormat="false" ht="15" hidden="false" customHeight="false" outlineLevel="0" collapsed="false">
      <c r="A67" s="27" t="s">
        <v>280</v>
      </c>
      <c r="B67" s="30" t="n">
        <f aca="false">-Aportes!$C$54</f>
        <v>-33000</v>
      </c>
      <c r="C67" s="30" t="n">
        <f aca="false">-Aportes!$C$54</f>
        <v>-33000</v>
      </c>
      <c r="D67" s="30" t="n">
        <f aca="false">-Aportes!$C$54</f>
        <v>-33000</v>
      </c>
    </row>
    <row r="68" customFormat="false" ht="15" hidden="false" customHeight="false" outlineLevel="0" collapsed="false">
      <c r="A68" s="27" t="s">
        <v>281</v>
      </c>
      <c r="B68" s="30" t="n">
        <f aca="false">-Aportes!$C$55</f>
        <v>-47000</v>
      </c>
      <c r="C68" s="30" t="n">
        <f aca="false">-Aportes!$C$55</f>
        <v>-47000</v>
      </c>
      <c r="D68" s="30" t="n">
        <f aca="false">-Aportes!$C$55</f>
        <v>-47000</v>
      </c>
    </row>
    <row r="69" customFormat="false" ht="15" hidden="false" customHeight="true" outlineLevel="0" collapsed="false">
      <c r="A69" s="27" t="s">
        <v>282</v>
      </c>
      <c r="B69" s="30" t="n">
        <f aca="false">-Aportes!$C$56</f>
        <v>-120000</v>
      </c>
      <c r="C69" s="30" t="n">
        <f aca="false">-Aportes!$C$56</f>
        <v>-120000</v>
      </c>
      <c r="D69" s="30" t="n">
        <f aca="false">-Aportes!$C$56</f>
        <v>-120000</v>
      </c>
      <c r="F69" s="77" t="s">
        <v>283</v>
      </c>
      <c r="G69" s="77"/>
      <c r="H69" s="77"/>
      <c r="I69" s="77"/>
      <c r="J69" s="77"/>
      <c r="K69" s="77"/>
      <c r="L69" s="77"/>
      <c r="M69" s="77"/>
      <c r="N69" s="77"/>
      <c r="O69" s="77"/>
    </row>
    <row r="70" customFormat="false" ht="15" hidden="false" customHeight="true" outlineLevel="0" collapsed="false">
      <c r="A70" s="27" t="s">
        <v>284</v>
      </c>
      <c r="B70" s="30" t="n">
        <f aca="false">MAX(0,B66+B67+B68+B69)</f>
        <v>14243305.9702967</v>
      </c>
      <c r="C70" s="30" t="n">
        <f aca="false">MAX(0,C66+C67+C68+C69)</f>
        <v>390170.335553882</v>
      </c>
      <c r="D70" s="30" t="n">
        <f aca="false">MAX(0,D66+D67+D68+D69)</f>
        <v>0</v>
      </c>
      <c r="F70" s="77" t="s">
        <v>285</v>
      </c>
      <c r="G70" s="77"/>
      <c r="H70" s="77"/>
      <c r="I70" s="77"/>
      <c r="J70" s="77"/>
      <c r="K70" s="77"/>
      <c r="L70" s="77"/>
      <c r="M70" s="77"/>
      <c r="N70" s="77"/>
      <c r="O70" s="77"/>
    </row>
    <row r="71" customFormat="false" ht="24" hidden="false" customHeight="true" outlineLevel="0" collapsed="false">
      <c r="A71" s="31" t="s">
        <v>286</v>
      </c>
      <c r="B71" s="32" t="n">
        <f aca="false">MAX($B$28:$BI$28)</f>
        <v>14243305.9702967</v>
      </c>
      <c r="C71" s="32" t="n">
        <f aca="false">MAX($B$42:$BI$42)</f>
        <v>423788.678904069</v>
      </c>
      <c r="D71" s="32" t="n">
        <f aca="false">MAX($B$56:$BI$56)</f>
        <v>253883.271228286</v>
      </c>
      <c r="F71" s="77" t="s">
        <v>287</v>
      </c>
      <c r="G71" s="77"/>
      <c r="H71" s="77"/>
      <c r="I71" s="77"/>
      <c r="J71" s="77"/>
      <c r="K71" s="77"/>
      <c r="L71" s="77"/>
      <c r="M71" s="77"/>
      <c r="N71" s="77"/>
      <c r="O71" s="77"/>
    </row>
    <row r="72" customFormat="false" ht="15" hidden="false" customHeight="false" outlineLevel="0" collapsed="false">
      <c r="A72" s="27" t="s">
        <v>288</v>
      </c>
      <c r="B72" s="34" t="str">
        <f aca="false">CHOOSE(MOD(MATCH(MAX($B$28:$BI$28),$B$28:$BI$28,0)-1,12)+1,"jan","fev","mar","abr","mai","jun","jul","ago","set","out","nov","dez")&amp;"/"&amp;(2026+INT((MATCH(MAX($B$28:$BI$28),$B$28:$BI$28,0)-1)/12))</f>
        <v>dez/2030</v>
      </c>
      <c r="C72" s="34" t="str">
        <f aca="false">CHOOSE(MOD(MATCH(MAX($B$42:$BI$42),$B$42:$BI$42,0)-1,12)+1,"jan","fev","mar","abr","mai","jun","jul","ago","set","out","nov","dez")&amp;"/"&amp;(2026+INT((MATCH(MAX($B$42:$BI$42),$B$42:$BI$42,0)-1)/12))</f>
        <v>abr/2027</v>
      </c>
      <c r="D72" s="34" t="str">
        <f aca="false">CHOOSE(MOD(MATCH(MAX($B$56:$BI$56),$B$56:$BI$56,0)-1,12)+1,"jan","fev","mar","abr","mai","jun","jul","ago","set","out","nov","dez")&amp;"/"&amp;(2026+INT((MATCH(MAX($B$56:$BI$56),$B$56:$BI$56,0)-1)/12))</f>
        <v>fev/2027</v>
      </c>
    </row>
    <row r="73" customFormat="false" ht="15" hidden="false" customHeight="true" outlineLevel="0" collapsed="false">
      <c r="A73" s="27" t="s">
        <v>289</v>
      </c>
      <c r="B73" s="30" t="n">
        <f aca="false">MIN($B$26:$BI$26)</f>
        <v>-11863525.0246041</v>
      </c>
      <c r="C73" s="30" t="n">
        <f aca="false">MIN($B$40:$BI$40)</f>
        <v>-180781.548699936</v>
      </c>
      <c r="D73" s="30" t="n">
        <f aca="false">MIN($B$54:$BI$54)</f>
        <v>-4627.82</v>
      </c>
      <c r="F73" s="77" t="s">
        <v>290</v>
      </c>
      <c r="G73" s="77"/>
      <c r="H73" s="77"/>
      <c r="I73" s="77"/>
      <c r="J73" s="77"/>
      <c r="K73" s="77"/>
      <c r="L73" s="77"/>
      <c r="M73" s="77"/>
      <c r="N73" s="77"/>
      <c r="O73" s="77"/>
    </row>
    <row r="74" customFormat="false" ht="15" hidden="false" customHeight="true" outlineLevel="0" collapsed="false">
      <c r="A74" s="27" t="s">
        <v>142</v>
      </c>
      <c r="B74" s="34" t="str">
        <f aca="false">CHOOSE(MOD(MATCH(MIN($B$26:$BI$26),$B$26:$BI$26,0)-1,12)+1,"jan","fev","mar","abr","mai","jun","jul","ago","set","out","nov","dez")&amp;"/"&amp;(2026+INT((MATCH(MIN($B$26:$BI$26),$B$26:$BI$26,0)-1)/12))</f>
        <v>dez/2030</v>
      </c>
      <c r="C74" s="34" t="str">
        <f aca="false">CHOOSE(MOD(MATCH(MIN($B$40:$BI$40),$B$40:$BI$40,0)-1,12)+1,"jan","fev","mar","abr","mai","jun","jul","ago","set","out","nov","dez")&amp;"/"&amp;(2026+INT((MATCH(MIN($B$40:$BI$40),$B$40:$BI$40,0)-1)/12))</f>
        <v>mar/2027</v>
      </c>
      <c r="D74" s="34" t="str">
        <f aca="false">CHOOSE(MOD(MATCH(MIN($B$54:$BI$54),$B$54:$BI$54,0)-1,12)+1,"jan","fev","mar","abr","mai","jun","jul","ago","set","out","nov","dez")&amp;"/"&amp;(2026+INT((MATCH(MIN($B$54:$BI$54),$B$54:$BI$54,0)-1)/12))</f>
        <v>set/2026</v>
      </c>
      <c r="F74" s="77" t="s">
        <v>291</v>
      </c>
      <c r="G74" s="77"/>
      <c r="H74" s="77"/>
      <c r="I74" s="77"/>
      <c r="J74" s="77"/>
      <c r="K74" s="77"/>
      <c r="L74" s="77"/>
      <c r="M74" s="77"/>
      <c r="N74" s="77"/>
      <c r="O74" s="77"/>
    </row>
    <row r="75" customFormat="false" ht="24" hidden="false" customHeight="true" outlineLevel="0" collapsed="false">
      <c r="A75" s="31" t="s">
        <v>292</v>
      </c>
      <c r="B75" s="39" t="str">
        <f aca="false">IF(MIN($B$30:$BI$30)=9999,"nunca",CHOOSE(MOD(MIN($B$30:$BI$30)-1,12)+1,"jan","fev","mar","abr","mai","jun","jul","ago","set","out","nov","dez")&amp;"/"&amp;(2026+INT((MIN($B$30:$BI$30)-1)/12)))</f>
        <v>jun/2026</v>
      </c>
      <c r="C75" s="39" t="str">
        <f aca="false">IF(MIN($B$44:$BI$44)=9999,"nunca",CHOOSE(MOD(MIN($B$44:$BI$44)-1,12)+1,"jan","fev","mar","abr","mai","jun","jul","ago","set","out","nov","dez")&amp;"/"&amp;(2026+INT((MIN($B$44:$BI$44)-1)/12)))</f>
        <v>jun/2026</v>
      </c>
      <c r="D75" s="39" t="str">
        <f aca="false">IF(MIN($B$58:$BI$58)=9999,"nunca",CHOOSE(MOD(MIN($B$58:$BI$58)-1,12)+1,"jan","fev","mar","abr","mai","jun","jul","ago","set","out","nov","dez")&amp;"/"&amp;(2026+INT((MIN($B$58:$BI$58)-1)/12)))</f>
        <v>jun/2026</v>
      </c>
      <c r="F75" s="77" t="s">
        <v>293</v>
      </c>
      <c r="G75" s="77"/>
      <c r="H75" s="77"/>
      <c r="I75" s="77"/>
      <c r="J75" s="77"/>
      <c r="K75" s="77"/>
      <c r="L75" s="77"/>
      <c r="M75" s="77"/>
      <c r="N75" s="77"/>
      <c r="O75" s="77"/>
    </row>
    <row r="77" customFormat="false" ht="18" hidden="false" customHeight="true" outlineLevel="0" collapsed="false">
      <c r="A77" s="25" t="s">
        <v>294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</row>
    <row r="78" customFormat="false" ht="15" hidden="false" customHeight="true" outlineLevel="0" collapsed="false">
      <c r="A78" s="27" t="s">
        <v>295</v>
      </c>
      <c r="B78" s="28" t="n">
        <f aca="false">COUNTIF(Aportes!$A$64:$A$67,"?*")</f>
        <v>4</v>
      </c>
      <c r="C78" s="28" t="n">
        <f aca="false">COUNTIF(Aportes!$A$64:$A$67,"?*")</f>
        <v>4</v>
      </c>
      <c r="D78" s="28" t="n">
        <f aca="false">COUNTIF(Aportes!$A$64:$A$67,"?*")</f>
        <v>4</v>
      </c>
      <c r="F78" s="77" t="s">
        <v>296</v>
      </c>
      <c r="G78" s="77"/>
      <c r="H78" s="77"/>
      <c r="I78" s="77"/>
      <c r="J78" s="77"/>
      <c r="K78" s="77"/>
      <c r="L78" s="77"/>
      <c r="M78" s="77"/>
      <c r="N78" s="77"/>
      <c r="O78" s="77"/>
    </row>
    <row r="79" customFormat="false" ht="15" hidden="false" customHeight="true" outlineLevel="0" collapsed="false">
      <c r="A79" s="27" t="s">
        <v>297</v>
      </c>
      <c r="B79" s="30" t="n">
        <f aca="false">SUM(Aportes!$B$64:$B$67)</f>
        <v>80000</v>
      </c>
      <c r="C79" s="30" t="n">
        <f aca="false">SUM(Aportes!$B$64:$B$67)</f>
        <v>80000</v>
      </c>
      <c r="D79" s="30" t="n">
        <f aca="false">SUM(Aportes!$B$64:$B$67)</f>
        <v>80000</v>
      </c>
      <c r="F79" s="77" t="s">
        <v>298</v>
      </c>
      <c r="G79" s="77"/>
      <c r="H79" s="77"/>
      <c r="I79" s="77"/>
      <c r="J79" s="77"/>
      <c r="K79" s="77"/>
      <c r="L79" s="77"/>
      <c r="M79" s="77"/>
      <c r="N79" s="77"/>
      <c r="O79" s="77"/>
    </row>
    <row r="80" customFormat="false" ht="15" hidden="false" customHeight="false" outlineLevel="0" collapsed="false">
      <c r="A80" s="27" t="s">
        <v>299</v>
      </c>
      <c r="B80" s="30" t="n">
        <f aca="false">SUMIFS(Aportes!$C$6:$C$37,Aportes!$E$6:$E$37,"Fundador",Aportes!$D$6:$D$37,"Realizado")</f>
        <v>33000</v>
      </c>
      <c r="C80" s="30" t="n">
        <f aca="false">SUMIFS(Aportes!$C$6:$C$37,Aportes!$E$6:$E$37,"Fundador",Aportes!$D$6:$D$37,"Realizado")</f>
        <v>33000</v>
      </c>
      <c r="D80" s="30" t="n">
        <f aca="false">SUMIFS(Aportes!$C$6:$C$37,Aportes!$E$6:$E$37,"Fundador",Aportes!$D$6:$D$37,"Realizado")</f>
        <v>33000</v>
      </c>
    </row>
    <row r="81" customFormat="false" ht="15" hidden="false" customHeight="true" outlineLevel="0" collapsed="false">
      <c r="A81" s="31" t="s">
        <v>300</v>
      </c>
      <c r="B81" s="32" t="n">
        <f aca="false">SUMIFS(Aportes!$C$6:$C$37,Aportes!$E$6:$E$37,"Fundador",Aportes!$D$6:$D$37,"Compromisso")</f>
        <v>47000</v>
      </c>
      <c r="C81" s="32" t="n">
        <f aca="false">SUMIFS(Aportes!$C$6:$C$37,Aportes!$E$6:$E$37,"Fundador",Aportes!$D$6:$D$37,"Compromisso")</f>
        <v>47000</v>
      </c>
      <c r="D81" s="32" t="n">
        <f aca="false">SUMIFS(Aportes!$C$6:$C$37,Aportes!$E$6:$E$37,"Fundador",Aportes!$D$6:$D$37,"Compromisso")</f>
        <v>47000</v>
      </c>
      <c r="F81" s="77" t="s">
        <v>301</v>
      </c>
      <c r="G81" s="77"/>
      <c r="H81" s="77"/>
      <c r="I81" s="77"/>
      <c r="J81" s="77"/>
      <c r="K81" s="77"/>
      <c r="L81" s="77"/>
      <c r="M81" s="77"/>
      <c r="N81" s="77"/>
      <c r="O81" s="77"/>
    </row>
    <row r="82" customFormat="false" ht="24" hidden="false" customHeight="true" outlineLevel="0" collapsed="false">
      <c r="A82" s="31" t="s">
        <v>302</v>
      </c>
      <c r="B82" s="32" t="n">
        <f aca="false">IFERROR(B71/B78,0)</f>
        <v>3560826.49257418</v>
      </c>
      <c r="C82" s="32" t="n">
        <f aca="false">IFERROR(C71/C78,0)</f>
        <v>105947.169726017</v>
      </c>
      <c r="D82" s="32" t="n">
        <f aca="false">IFERROR(D71/D78,0)</f>
        <v>63470.8178070714</v>
      </c>
      <c r="F82" s="77" t="s">
        <v>303</v>
      </c>
      <c r="G82" s="77"/>
      <c r="H82" s="77"/>
      <c r="I82" s="77"/>
      <c r="J82" s="77"/>
      <c r="K82" s="77"/>
      <c r="L82" s="77"/>
      <c r="M82" s="77"/>
      <c r="N82" s="77"/>
      <c r="O82" s="77"/>
    </row>
    <row r="83" customFormat="false" ht="15" hidden="false" customHeight="true" outlineLevel="0" collapsed="false">
      <c r="A83" s="27" t="s">
        <v>304</v>
      </c>
      <c r="B83" s="42" t="n">
        <f aca="false">IFERROR(B82/(B80/B78),0)</f>
        <v>431.615332433234</v>
      </c>
      <c r="C83" s="42" t="n">
        <f aca="false">IFERROR(C82/(C80/C78),0)</f>
        <v>12.8420811789112</v>
      </c>
      <c r="D83" s="42" t="n">
        <f aca="false">IFERROR(D82/(D80/D78),0)</f>
        <v>7.6934324614632</v>
      </c>
      <c r="F83" s="77" t="s">
        <v>305</v>
      </c>
      <c r="G83" s="77"/>
      <c r="H83" s="77"/>
      <c r="I83" s="77"/>
      <c r="J83" s="77"/>
      <c r="K83" s="77"/>
      <c r="L83" s="77"/>
      <c r="M83" s="77"/>
      <c r="N83" s="77"/>
      <c r="O83" s="77"/>
    </row>
    <row r="84" customFormat="false" ht="24" hidden="false" customHeight="true" outlineLevel="0" collapsed="false">
      <c r="A84" s="31" t="s">
        <v>306</v>
      </c>
      <c r="B84" s="32" t="n">
        <f aca="false">B71</f>
        <v>14243305.9702967</v>
      </c>
      <c r="C84" s="32" t="n">
        <f aca="false">C71</f>
        <v>423788.678904069</v>
      </c>
      <c r="D84" s="32" t="n">
        <f aca="false">D71</f>
        <v>253883.271228286</v>
      </c>
      <c r="F84" s="77" t="s">
        <v>307</v>
      </c>
      <c r="G84" s="77"/>
      <c r="H84" s="77"/>
      <c r="I84" s="77"/>
      <c r="J84" s="77"/>
      <c r="K84" s="77"/>
      <c r="L84" s="77"/>
      <c r="M84" s="77"/>
      <c r="N84" s="77"/>
      <c r="O84" s="77"/>
    </row>
    <row r="85" customFormat="false" ht="24" hidden="false" customHeight="true" outlineLevel="0" collapsed="false">
      <c r="A85" s="27" t="s">
        <v>308</v>
      </c>
      <c r="B85" s="33" t="n">
        <f aca="false">IFERROR(B84/(Aportes!$C$59+B84),0)</f>
        <v>0.986152754749411</v>
      </c>
      <c r="C85" s="33" t="n">
        <f aca="false">IFERROR(C84/(Aportes!$C$59+C84),0)</f>
        <v>0.67937859925355</v>
      </c>
      <c r="D85" s="33" t="n">
        <f aca="false">IFERROR(D84/(Aportes!$C$59+D84),0)</f>
        <v>0.559358071385258</v>
      </c>
      <c r="F85" s="77" t="s">
        <v>309</v>
      </c>
      <c r="G85" s="77"/>
      <c r="H85" s="77"/>
      <c r="I85" s="77"/>
      <c r="J85" s="77"/>
      <c r="K85" s="77"/>
      <c r="L85" s="77"/>
      <c r="M85" s="77"/>
      <c r="N85" s="77"/>
      <c r="O85" s="77"/>
    </row>
    <row r="88" customFormat="false" ht="43.5" hidden="false" customHeight="true" outlineLevel="0" collapsed="false">
      <c r="A88" s="78" t="s">
        <v>310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</row>
    <row r="89" customFormat="false" ht="43.5" hidden="false" customHeight="true" outlineLevel="0" collapsed="false">
      <c r="A89" s="78" t="s">
        <v>311</v>
      </c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</row>
  </sheetData>
  <mergeCells count="16">
    <mergeCell ref="F64:O64"/>
    <mergeCell ref="F69:O69"/>
    <mergeCell ref="F70:O70"/>
    <mergeCell ref="F71:O71"/>
    <mergeCell ref="F73:O73"/>
    <mergeCell ref="F74:O74"/>
    <mergeCell ref="F75:O75"/>
    <mergeCell ref="F78:O78"/>
    <mergeCell ref="F79:O79"/>
    <mergeCell ref="F81:O81"/>
    <mergeCell ref="F82:O82"/>
    <mergeCell ref="F83:O83"/>
    <mergeCell ref="F84:O84"/>
    <mergeCell ref="F85:O85"/>
    <mergeCell ref="A88:L88"/>
    <mergeCell ref="A89:L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K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61" min="2" style="0" width="13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79" t="str">
        <f aca="false">" Cenário ativo: "&amp;Premissas!B7</f>
        <v> Cenário ativo: PROVÁVEL</v>
      </c>
    </row>
    <row r="4" customFormat="false" ht="15" hidden="false" customHeight="false" outlineLevel="0" collapsed="false">
      <c r="A4" s="52" t="s">
        <v>229</v>
      </c>
      <c r="B4" s="53" t="n">
        <v>46023</v>
      </c>
      <c r="C4" s="53" t="n">
        <v>46054</v>
      </c>
      <c r="D4" s="53" t="n">
        <v>46082</v>
      </c>
      <c r="E4" s="53" t="n">
        <v>46113</v>
      </c>
      <c r="F4" s="53" t="n">
        <v>46143</v>
      </c>
      <c r="G4" s="53" t="n">
        <v>46174</v>
      </c>
      <c r="H4" s="53" t="n">
        <v>46204</v>
      </c>
      <c r="I4" s="53" t="n">
        <v>46235</v>
      </c>
      <c r="J4" s="53" t="n">
        <v>46266</v>
      </c>
      <c r="K4" s="53" t="n">
        <v>46296</v>
      </c>
      <c r="L4" s="53" t="n">
        <v>46327</v>
      </c>
      <c r="M4" s="53" t="n">
        <v>46357</v>
      </c>
      <c r="N4" s="53" t="n">
        <v>46388</v>
      </c>
      <c r="O4" s="53" t="n">
        <v>46419</v>
      </c>
      <c r="P4" s="53" t="n">
        <v>46447</v>
      </c>
      <c r="Q4" s="53" t="n">
        <v>46478</v>
      </c>
      <c r="R4" s="53" t="n">
        <v>46508</v>
      </c>
      <c r="S4" s="53" t="n">
        <v>46539</v>
      </c>
      <c r="T4" s="53" t="n">
        <v>46569</v>
      </c>
      <c r="U4" s="53" t="n">
        <v>46600</v>
      </c>
      <c r="V4" s="53" t="n">
        <v>46631</v>
      </c>
      <c r="W4" s="53" t="n">
        <v>46661</v>
      </c>
      <c r="X4" s="53" t="n">
        <v>46692</v>
      </c>
      <c r="Y4" s="53" t="n">
        <v>46722</v>
      </c>
      <c r="Z4" s="53" t="n">
        <v>46753</v>
      </c>
      <c r="AA4" s="53" t="n">
        <v>46784</v>
      </c>
      <c r="AB4" s="53" t="n">
        <v>46813</v>
      </c>
      <c r="AC4" s="53" t="n">
        <v>46844</v>
      </c>
      <c r="AD4" s="53" t="n">
        <v>46874</v>
      </c>
      <c r="AE4" s="53" t="n">
        <v>46905</v>
      </c>
      <c r="AF4" s="53" t="n">
        <v>46935</v>
      </c>
      <c r="AG4" s="53" t="n">
        <v>46966</v>
      </c>
      <c r="AH4" s="53" t="n">
        <v>46997</v>
      </c>
      <c r="AI4" s="53" t="n">
        <v>47027</v>
      </c>
      <c r="AJ4" s="53" t="n">
        <v>47058</v>
      </c>
      <c r="AK4" s="53" t="n">
        <v>47088</v>
      </c>
      <c r="AL4" s="53" t="n">
        <v>47119</v>
      </c>
      <c r="AM4" s="53" t="n">
        <v>47150</v>
      </c>
      <c r="AN4" s="53" t="n">
        <v>47178</v>
      </c>
      <c r="AO4" s="53" t="n">
        <v>47209</v>
      </c>
      <c r="AP4" s="53" t="n">
        <v>47239</v>
      </c>
      <c r="AQ4" s="53" t="n">
        <v>47270</v>
      </c>
      <c r="AR4" s="53" t="n">
        <v>47300</v>
      </c>
      <c r="AS4" s="53" t="n">
        <v>47331</v>
      </c>
      <c r="AT4" s="53" t="n">
        <v>47362</v>
      </c>
      <c r="AU4" s="53" t="n">
        <v>47392</v>
      </c>
      <c r="AV4" s="53" t="n">
        <v>47423</v>
      </c>
      <c r="AW4" s="53" t="n">
        <v>47453</v>
      </c>
      <c r="AX4" s="53" t="n">
        <v>47484</v>
      </c>
      <c r="AY4" s="53" t="n">
        <v>47515</v>
      </c>
      <c r="AZ4" s="53" t="n">
        <v>47543</v>
      </c>
      <c r="BA4" s="53" t="n">
        <v>47574</v>
      </c>
      <c r="BB4" s="53" t="n">
        <v>47604</v>
      </c>
      <c r="BC4" s="53" t="n">
        <v>47635</v>
      </c>
      <c r="BD4" s="53" t="n">
        <v>47665</v>
      </c>
      <c r="BE4" s="53" t="n">
        <v>47696</v>
      </c>
      <c r="BF4" s="53" t="n">
        <v>47727</v>
      </c>
      <c r="BG4" s="53" t="n">
        <v>47757</v>
      </c>
      <c r="BH4" s="53" t="n">
        <v>47788</v>
      </c>
      <c r="BI4" s="53" t="n">
        <v>47818</v>
      </c>
      <c r="BJ4" s="54" t="s">
        <v>230</v>
      </c>
      <c r="BK4" s="54" t="s">
        <v>231</v>
      </c>
    </row>
    <row r="5" customFormat="false" ht="15" hidden="false" customHeight="false" outlineLevel="0" collapsed="false">
      <c r="A5" s="55" t="s">
        <v>232</v>
      </c>
      <c r="B5" s="56" t="n">
        <v>1</v>
      </c>
      <c r="C5" s="56" t="n">
        <v>2</v>
      </c>
      <c r="D5" s="56" t="n">
        <v>3</v>
      </c>
      <c r="E5" s="56" t="n">
        <v>4</v>
      </c>
      <c r="F5" s="56" t="n">
        <v>5</v>
      </c>
      <c r="G5" s="56" t="n">
        <v>6</v>
      </c>
      <c r="H5" s="56" t="n">
        <v>7</v>
      </c>
      <c r="I5" s="56" t="n">
        <v>8</v>
      </c>
      <c r="J5" s="56" t="n">
        <v>9</v>
      </c>
      <c r="K5" s="56" t="n">
        <v>10</v>
      </c>
      <c r="L5" s="56" t="n">
        <v>11</v>
      </c>
      <c r="M5" s="56" t="n">
        <v>12</v>
      </c>
      <c r="N5" s="56" t="n">
        <v>13</v>
      </c>
      <c r="O5" s="56" t="n">
        <v>14</v>
      </c>
      <c r="P5" s="56" t="n">
        <v>15</v>
      </c>
      <c r="Q5" s="56" t="n">
        <v>16</v>
      </c>
      <c r="R5" s="56" t="n">
        <v>17</v>
      </c>
      <c r="S5" s="56" t="n">
        <v>18</v>
      </c>
      <c r="T5" s="56" t="n">
        <v>19</v>
      </c>
      <c r="U5" s="56" t="n">
        <v>20</v>
      </c>
      <c r="V5" s="56" t="n">
        <v>21</v>
      </c>
      <c r="W5" s="56" t="n">
        <v>22</v>
      </c>
      <c r="X5" s="56" t="n">
        <v>23</v>
      </c>
      <c r="Y5" s="56" t="n">
        <v>24</v>
      </c>
      <c r="Z5" s="56" t="n">
        <v>25</v>
      </c>
      <c r="AA5" s="56" t="n">
        <v>26</v>
      </c>
      <c r="AB5" s="56" t="n">
        <v>27</v>
      </c>
      <c r="AC5" s="56" t="n">
        <v>28</v>
      </c>
      <c r="AD5" s="56" t="n">
        <v>29</v>
      </c>
      <c r="AE5" s="56" t="n">
        <v>30</v>
      </c>
      <c r="AF5" s="56" t="n">
        <v>31</v>
      </c>
      <c r="AG5" s="56" t="n">
        <v>32</v>
      </c>
      <c r="AH5" s="56" t="n">
        <v>33</v>
      </c>
      <c r="AI5" s="56" t="n">
        <v>34</v>
      </c>
      <c r="AJ5" s="56" t="n">
        <v>35</v>
      </c>
      <c r="AK5" s="56" t="n">
        <v>36</v>
      </c>
      <c r="AL5" s="56" t="n">
        <v>37</v>
      </c>
      <c r="AM5" s="56" t="n">
        <v>38</v>
      </c>
      <c r="AN5" s="56" t="n">
        <v>39</v>
      </c>
      <c r="AO5" s="56" t="n">
        <v>40</v>
      </c>
      <c r="AP5" s="56" t="n">
        <v>41</v>
      </c>
      <c r="AQ5" s="56" t="n">
        <v>42</v>
      </c>
      <c r="AR5" s="56" t="n">
        <v>43</v>
      </c>
      <c r="AS5" s="56" t="n">
        <v>44</v>
      </c>
      <c r="AT5" s="56" t="n">
        <v>45</v>
      </c>
      <c r="AU5" s="56" t="n">
        <v>46</v>
      </c>
      <c r="AV5" s="56" t="n">
        <v>47</v>
      </c>
      <c r="AW5" s="56" t="n">
        <v>48</v>
      </c>
      <c r="AX5" s="56" t="n">
        <v>49</v>
      </c>
      <c r="AY5" s="56" t="n">
        <v>50</v>
      </c>
      <c r="AZ5" s="56" t="n">
        <v>51</v>
      </c>
      <c r="BA5" s="56" t="n">
        <v>52</v>
      </c>
      <c r="BB5" s="56" t="n">
        <v>53</v>
      </c>
      <c r="BC5" s="56" t="n">
        <v>54</v>
      </c>
      <c r="BD5" s="56" t="n">
        <v>55</v>
      </c>
      <c r="BE5" s="56" t="n">
        <v>56</v>
      </c>
      <c r="BF5" s="56" t="n">
        <v>57</v>
      </c>
      <c r="BG5" s="56" t="n">
        <v>58</v>
      </c>
      <c r="BH5" s="56" t="n">
        <v>59</v>
      </c>
      <c r="BI5" s="56" t="n">
        <v>60</v>
      </c>
    </row>
    <row r="6" customFormat="false" ht="15" hidden="false" customHeight="false" outlineLevel="0" collapsed="false">
      <c r="A6" s="55" t="s">
        <v>233</v>
      </c>
      <c r="B6" s="57" t="n">
        <f aca="false">YEAR(B4)</f>
        <v>2026</v>
      </c>
      <c r="C6" s="57" t="n">
        <f aca="false">YEAR(C4)</f>
        <v>2026</v>
      </c>
      <c r="D6" s="57" t="n">
        <f aca="false">YEAR(D4)</f>
        <v>2026</v>
      </c>
      <c r="E6" s="57" t="n">
        <f aca="false">YEAR(E4)</f>
        <v>2026</v>
      </c>
      <c r="F6" s="57" t="n">
        <f aca="false">YEAR(F4)</f>
        <v>2026</v>
      </c>
      <c r="G6" s="57" t="n">
        <f aca="false">YEAR(G4)</f>
        <v>2026</v>
      </c>
      <c r="H6" s="57" t="n">
        <f aca="false">YEAR(H4)</f>
        <v>2026</v>
      </c>
      <c r="I6" s="57" t="n">
        <f aca="false">YEAR(I4)</f>
        <v>2026</v>
      </c>
      <c r="J6" s="57" t="n">
        <f aca="false">YEAR(J4)</f>
        <v>2026</v>
      </c>
      <c r="K6" s="57" t="n">
        <f aca="false">YEAR(K4)</f>
        <v>2026</v>
      </c>
      <c r="L6" s="57" t="n">
        <f aca="false">YEAR(L4)</f>
        <v>2026</v>
      </c>
      <c r="M6" s="57" t="n">
        <f aca="false">YEAR(M4)</f>
        <v>2026</v>
      </c>
      <c r="N6" s="57" t="n">
        <f aca="false">YEAR(N4)</f>
        <v>2027</v>
      </c>
      <c r="O6" s="57" t="n">
        <f aca="false">YEAR(O4)</f>
        <v>2027</v>
      </c>
      <c r="P6" s="57" t="n">
        <f aca="false">YEAR(P4)</f>
        <v>2027</v>
      </c>
      <c r="Q6" s="57" t="n">
        <f aca="false">YEAR(Q4)</f>
        <v>2027</v>
      </c>
      <c r="R6" s="57" t="n">
        <f aca="false">YEAR(R4)</f>
        <v>2027</v>
      </c>
      <c r="S6" s="57" t="n">
        <f aca="false">YEAR(S4)</f>
        <v>2027</v>
      </c>
      <c r="T6" s="57" t="n">
        <f aca="false">YEAR(T4)</f>
        <v>2027</v>
      </c>
      <c r="U6" s="57" t="n">
        <f aca="false">YEAR(U4)</f>
        <v>2027</v>
      </c>
      <c r="V6" s="57" t="n">
        <f aca="false">YEAR(V4)</f>
        <v>2027</v>
      </c>
      <c r="W6" s="57" t="n">
        <f aca="false">YEAR(W4)</f>
        <v>2027</v>
      </c>
      <c r="X6" s="57" t="n">
        <f aca="false">YEAR(X4)</f>
        <v>2027</v>
      </c>
      <c r="Y6" s="57" t="n">
        <f aca="false">YEAR(Y4)</f>
        <v>2027</v>
      </c>
      <c r="Z6" s="57" t="n">
        <f aca="false">YEAR(Z4)</f>
        <v>2028</v>
      </c>
      <c r="AA6" s="57" t="n">
        <f aca="false">YEAR(AA4)</f>
        <v>2028</v>
      </c>
      <c r="AB6" s="57" t="n">
        <f aca="false">YEAR(AB4)</f>
        <v>2028</v>
      </c>
      <c r="AC6" s="57" t="n">
        <f aca="false">YEAR(AC4)</f>
        <v>2028</v>
      </c>
      <c r="AD6" s="57" t="n">
        <f aca="false">YEAR(AD4)</f>
        <v>2028</v>
      </c>
      <c r="AE6" s="57" t="n">
        <f aca="false">YEAR(AE4)</f>
        <v>2028</v>
      </c>
      <c r="AF6" s="57" t="n">
        <f aca="false">YEAR(AF4)</f>
        <v>2028</v>
      </c>
      <c r="AG6" s="57" t="n">
        <f aca="false">YEAR(AG4)</f>
        <v>2028</v>
      </c>
      <c r="AH6" s="57" t="n">
        <f aca="false">YEAR(AH4)</f>
        <v>2028</v>
      </c>
      <c r="AI6" s="57" t="n">
        <f aca="false">YEAR(AI4)</f>
        <v>2028</v>
      </c>
      <c r="AJ6" s="57" t="n">
        <f aca="false">YEAR(AJ4)</f>
        <v>2028</v>
      </c>
      <c r="AK6" s="57" t="n">
        <f aca="false">YEAR(AK4)</f>
        <v>2028</v>
      </c>
      <c r="AL6" s="57" t="n">
        <f aca="false">YEAR(AL4)</f>
        <v>2029</v>
      </c>
      <c r="AM6" s="57" t="n">
        <f aca="false">YEAR(AM4)</f>
        <v>2029</v>
      </c>
      <c r="AN6" s="57" t="n">
        <f aca="false">YEAR(AN4)</f>
        <v>2029</v>
      </c>
      <c r="AO6" s="57" t="n">
        <f aca="false">YEAR(AO4)</f>
        <v>2029</v>
      </c>
      <c r="AP6" s="57" t="n">
        <f aca="false">YEAR(AP4)</f>
        <v>2029</v>
      </c>
      <c r="AQ6" s="57" t="n">
        <f aca="false">YEAR(AQ4)</f>
        <v>2029</v>
      </c>
      <c r="AR6" s="57" t="n">
        <f aca="false">YEAR(AR4)</f>
        <v>2029</v>
      </c>
      <c r="AS6" s="57" t="n">
        <f aca="false">YEAR(AS4)</f>
        <v>2029</v>
      </c>
      <c r="AT6" s="57" t="n">
        <f aca="false">YEAR(AT4)</f>
        <v>2029</v>
      </c>
      <c r="AU6" s="57" t="n">
        <f aca="false">YEAR(AU4)</f>
        <v>2029</v>
      </c>
      <c r="AV6" s="57" t="n">
        <f aca="false">YEAR(AV4)</f>
        <v>2029</v>
      </c>
      <c r="AW6" s="57" t="n">
        <f aca="false">YEAR(AW4)</f>
        <v>2029</v>
      </c>
      <c r="AX6" s="57" t="n">
        <f aca="false">YEAR(AX4)</f>
        <v>2030</v>
      </c>
      <c r="AY6" s="57" t="n">
        <f aca="false">YEAR(AY4)</f>
        <v>2030</v>
      </c>
      <c r="AZ6" s="57" t="n">
        <f aca="false">YEAR(AZ4)</f>
        <v>2030</v>
      </c>
      <c r="BA6" s="57" t="n">
        <f aca="false">YEAR(BA4)</f>
        <v>2030</v>
      </c>
      <c r="BB6" s="57" t="n">
        <f aca="false">YEAR(BB4)</f>
        <v>2030</v>
      </c>
      <c r="BC6" s="57" t="n">
        <f aca="false">YEAR(BC4)</f>
        <v>2030</v>
      </c>
      <c r="BD6" s="57" t="n">
        <f aca="false">YEAR(BD4)</f>
        <v>2030</v>
      </c>
      <c r="BE6" s="57" t="n">
        <f aca="false">YEAR(BE4)</f>
        <v>2030</v>
      </c>
      <c r="BF6" s="57" t="n">
        <f aca="false">YEAR(BF4)</f>
        <v>2030</v>
      </c>
      <c r="BG6" s="57" t="n">
        <f aca="false">YEAR(BG4)</f>
        <v>2030</v>
      </c>
      <c r="BH6" s="57" t="n">
        <f aca="false">YEAR(BH4)</f>
        <v>2030</v>
      </c>
      <c r="BI6" s="57" t="n">
        <f aca="false">YEAR(BI4)</f>
        <v>2030</v>
      </c>
    </row>
    <row r="7" customFormat="false" ht="15" hidden="false" customHeight="false" outlineLevel="0" collapsed="false">
      <c r="A7" s="58" t="s">
        <v>234</v>
      </c>
      <c r="B7" s="59" t="n">
        <f aca="false">MATCH(B6,Premissas!$C$5:$G$5,0)</f>
        <v>1</v>
      </c>
      <c r="C7" s="59" t="n">
        <f aca="false">MATCH(C6,Premissas!$C$5:$G$5,0)</f>
        <v>1</v>
      </c>
      <c r="D7" s="59" t="n">
        <f aca="false">MATCH(D6,Premissas!$C$5:$G$5,0)</f>
        <v>1</v>
      </c>
      <c r="E7" s="59" t="n">
        <f aca="false">MATCH(E6,Premissas!$C$5:$G$5,0)</f>
        <v>1</v>
      </c>
      <c r="F7" s="59" t="n">
        <f aca="false">MATCH(F6,Premissas!$C$5:$G$5,0)</f>
        <v>1</v>
      </c>
      <c r="G7" s="59" t="n">
        <f aca="false">MATCH(G6,Premissas!$C$5:$G$5,0)</f>
        <v>1</v>
      </c>
      <c r="H7" s="59" t="n">
        <f aca="false">MATCH(H6,Premissas!$C$5:$G$5,0)</f>
        <v>1</v>
      </c>
      <c r="I7" s="59" t="n">
        <f aca="false">MATCH(I6,Premissas!$C$5:$G$5,0)</f>
        <v>1</v>
      </c>
      <c r="J7" s="59" t="n">
        <f aca="false">MATCH(J6,Premissas!$C$5:$G$5,0)</f>
        <v>1</v>
      </c>
      <c r="K7" s="59" t="n">
        <f aca="false">MATCH(K6,Premissas!$C$5:$G$5,0)</f>
        <v>1</v>
      </c>
      <c r="L7" s="59" t="n">
        <f aca="false">MATCH(L6,Premissas!$C$5:$G$5,0)</f>
        <v>1</v>
      </c>
      <c r="M7" s="59" t="n">
        <f aca="false">MATCH(M6,Premissas!$C$5:$G$5,0)</f>
        <v>1</v>
      </c>
      <c r="N7" s="59" t="n">
        <f aca="false">MATCH(N6,Premissas!$C$5:$G$5,0)</f>
        <v>2</v>
      </c>
      <c r="O7" s="59" t="n">
        <f aca="false">MATCH(O6,Premissas!$C$5:$G$5,0)</f>
        <v>2</v>
      </c>
      <c r="P7" s="59" t="n">
        <f aca="false">MATCH(P6,Premissas!$C$5:$G$5,0)</f>
        <v>2</v>
      </c>
      <c r="Q7" s="59" t="n">
        <f aca="false">MATCH(Q6,Premissas!$C$5:$G$5,0)</f>
        <v>2</v>
      </c>
      <c r="R7" s="59" t="n">
        <f aca="false">MATCH(R6,Premissas!$C$5:$G$5,0)</f>
        <v>2</v>
      </c>
      <c r="S7" s="59" t="n">
        <f aca="false">MATCH(S6,Premissas!$C$5:$G$5,0)</f>
        <v>2</v>
      </c>
      <c r="T7" s="59" t="n">
        <f aca="false">MATCH(T6,Premissas!$C$5:$G$5,0)</f>
        <v>2</v>
      </c>
      <c r="U7" s="59" t="n">
        <f aca="false">MATCH(U6,Premissas!$C$5:$G$5,0)</f>
        <v>2</v>
      </c>
      <c r="V7" s="59" t="n">
        <f aca="false">MATCH(V6,Premissas!$C$5:$G$5,0)</f>
        <v>2</v>
      </c>
      <c r="W7" s="59" t="n">
        <f aca="false">MATCH(W6,Premissas!$C$5:$G$5,0)</f>
        <v>2</v>
      </c>
      <c r="X7" s="59" t="n">
        <f aca="false">MATCH(X6,Premissas!$C$5:$G$5,0)</f>
        <v>2</v>
      </c>
      <c r="Y7" s="59" t="n">
        <f aca="false">MATCH(Y6,Premissas!$C$5:$G$5,0)</f>
        <v>2</v>
      </c>
      <c r="Z7" s="59" t="n">
        <f aca="false">MATCH(Z6,Premissas!$C$5:$G$5,0)</f>
        <v>3</v>
      </c>
      <c r="AA7" s="59" t="n">
        <f aca="false">MATCH(AA6,Premissas!$C$5:$G$5,0)</f>
        <v>3</v>
      </c>
      <c r="AB7" s="59" t="n">
        <f aca="false">MATCH(AB6,Premissas!$C$5:$G$5,0)</f>
        <v>3</v>
      </c>
      <c r="AC7" s="59" t="n">
        <f aca="false">MATCH(AC6,Premissas!$C$5:$G$5,0)</f>
        <v>3</v>
      </c>
      <c r="AD7" s="59" t="n">
        <f aca="false">MATCH(AD6,Premissas!$C$5:$G$5,0)</f>
        <v>3</v>
      </c>
      <c r="AE7" s="59" t="n">
        <f aca="false">MATCH(AE6,Premissas!$C$5:$G$5,0)</f>
        <v>3</v>
      </c>
      <c r="AF7" s="59" t="n">
        <f aca="false">MATCH(AF6,Premissas!$C$5:$G$5,0)</f>
        <v>3</v>
      </c>
      <c r="AG7" s="59" t="n">
        <f aca="false">MATCH(AG6,Premissas!$C$5:$G$5,0)</f>
        <v>3</v>
      </c>
      <c r="AH7" s="59" t="n">
        <f aca="false">MATCH(AH6,Premissas!$C$5:$G$5,0)</f>
        <v>3</v>
      </c>
      <c r="AI7" s="59" t="n">
        <f aca="false">MATCH(AI6,Premissas!$C$5:$G$5,0)</f>
        <v>3</v>
      </c>
      <c r="AJ7" s="59" t="n">
        <f aca="false">MATCH(AJ6,Premissas!$C$5:$G$5,0)</f>
        <v>3</v>
      </c>
      <c r="AK7" s="59" t="n">
        <f aca="false">MATCH(AK6,Premissas!$C$5:$G$5,0)</f>
        <v>3</v>
      </c>
      <c r="AL7" s="59" t="n">
        <f aca="false">MATCH(AL6,Premissas!$C$5:$G$5,0)</f>
        <v>4</v>
      </c>
      <c r="AM7" s="59" t="n">
        <f aca="false">MATCH(AM6,Premissas!$C$5:$G$5,0)</f>
        <v>4</v>
      </c>
      <c r="AN7" s="59" t="n">
        <f aca="false">MATCH(AN6,Premissas!$C$5:$G$5,0)</f>
        <v>4</v>
      </c>
      <c r="AO7" s="59" t="n">
        <f aca="false">MATCH(AO6,Premissas!$C$5:$G$5,0)</f>
        <v>4</v>
      </c>
      <c r="AP7" s="59" t="n">
        <f aca="false">MATCH(AP6,Premissas!$C$5:$G$5,0)</f>
        <v>4</v>
      </c>
      <c r="AQ7" s="59" t="n">
        <f aca="false">MATCH(AQ6,Premissas!$C$5:$G$5,0)</f>
        <v>4</v>
      </c>
      <c r="AR7" s="59" t="n">
        <f aca="false">MATCH(AR6,Premissas!$C$5:$G$5,0)</f>
        <v>4</v>
      </c>
      <c r="AS7" s="59" t="n">
        <f aca="false">MATCH(AS6,Premissas!$C$5:$G$5,0)</f>
        <v>4</v>
      </c>
      <c r="AT7" s="59" t="n">
        <f aca="false">MATCH(AT6,Premissas!$C$5:$G$5,0)</f>
        <v>4</v>
      </c>
      <c r="AU7" s="59" t="n">
        <f aca="false">MATCH(AU6,Premissas!$C$5:$G$5,0)</f>
        <v>4</v>
      </c>
      <c r="AV7" s="59" t="n">
        <f aca="false">MATCH(AV6,Premissas!$C$5:$G$5,0)</f>
        <v>4</v>
      </c>
      <c r="AW7" s="59" t="n">
        <f aca="false">MATCH(AW6,Premissas!$C$5:$G$5,0)</f>
        <v>4</v>
      </c>
      <c r="AX7" s="59" t="n">
        <f aca="false">MATCH(AX6,Premissas!$C$5:$G$5,0)</f>
        <v>5</v>
      </c>
      <c r="AY7" s="59" t="n">
        <f aca="false">MATCH(AY6,Premissas!$C$5:$G$5,0)</f>
        <v>5</v>
      </c>
      <c r="AZ7" s="59" t="n">
        <f aca="false">MATCH(AZ6,Premissas!$C$5:$G$5,0)</f>
        <v>5</v>
      </c>
      <c r="BA7" s="59" t="n">
        <f aca="false">MATCH(BA6,Premissas!$C$5:$G$5,0)</f>
        <v>5</v>
      </c>
      <c r="BB7" s="59" t="n">
        <f aca="false">MATCH(BB6,Premissas!$C$5:$G$5,0)</f>
        <v>5</v>
      </c>
      <c r="BC7" s="59" t="n">
        <f aca="false">MATCH(BC6,Premissas!$C$5:$G$5,0)</f>
        <v>5</v>
      </c>
      <c r="BD7" s="59" t="n">
        <f aca="false">MATCH(BD6,Premissas!$C$5:$G$5,0)</f>
        <v>5</v>
      </c>
      <c r="BE7" s="59" t="n">
        <f aca="false">MATCH(BE6,Premissas!$C$5:$G$5,0)</f>
        <v>5</v>
      </c>
      <c r="BF7" s="59" t="n">
        <f aca="false">MATCH(BF6,Premissas!$C$5:$G$5,0)</f>
        <v>5</v>
      </c>
      <c r="BG7" s="59" t="n">
        <f aca="false">MATCH(BG6,Premissas!$C$5:$G$5,0)</f>
        <v>5</v>
      </c>
      <c r="BH7" s="59" t="n">
        <f aca="false">MATCH(BH6,Premissas!$C$5:$G$5,0)</f>
        <v>5</v>
      </c>
      <c r="BI7" s="59" t="n">
        <f aca="false">MATCH(BI6,Premissas!$C$5:$G$5,0)</f>
        <v>5</v>
      </c>
    </row>
    <row r="8" customFormat="false" ht="18" hidden="false" customHeight="true" outlineLevel="0" collapsed="false">
      <c r="A8" s="25" t="s">
        <v>313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customFormat="false" ht="15" hidden="false" customHeight="false" outlineLevel="0" collapsed="false">
      <c r="A9" s="66" t="s">
        <v>314</v>
      </c>
      <c r="B9" s="80" t="n">
        <f aca="false">CHOOSE(Premissas!$B$6,Cenários!B15,Cenários!B61,Cenários!B107)</f>
        <v>0</v>
      </c>
      <c r="C9" s="80" t="n">
        <f aca="false">CHOOSE(Premissas!$B$6,Cenários!C15,Cenários!C61,Cenários!C107)</f>
        <v>0</v>
      </c>
      <c r="D9" s="80" t="n">
        <f aca="false">CHOOSE(Premissas!$B$6,Cenários!D15,Cenários!D61,Cenários!D107)</f>
        <v>0</v>
      </c>
      <c r="E9" s="80" t="n">
        <f aca="false">CHOOSE(Premissas!$B$6,Cenários!E15,Cenários!E61,Cenários!E107)</f>
        <v>0</v>
      </c>
      <c r="F9" s="80" t="n">
        <f aca="false">CHOOSE(Premissas!$B$6,Cenários!F15,Cenários!F61,Cenários!F107)</f>
        <v>0</v>
      </c>
      <c r="G9" s="80" t="n">
        <f aca="false">CHOOSE(Premissas!$B$6,Cenários!G15,Cenários!G61,Cenários!G107)</f>
        <v>0</v>
      </c>
      <c r="H9" s="80" t="n">
        <f aca="false">CHOOSE(Premissas!$B$6,Cenários!H15,Cenários!H61,Cenários!H107)</f>
        <v>0</v>
      </c>
      <c r="I9" s="80" t="n">
        <f aca="false">CHOOSE(Premissas!$B$6,Cenários!I15,Cenários!I61,Cenários!I107)</f>
        <v>0</v>
      </c>
      <c r="J9" s="80" t="n">
        <f aca="false">CHOOSE(Premissas!$B$6,Cenários!J15,Cenários!J61,Cenários!J107)</f>
        <v>0</v>
      </c>
      <c r="K9" s="80" t="n">
        <f aca="false">CHOOSE(Premissas!$B$6,Cenários!K15,Cenários!K61,Cenários!K107)</f>
        <v>151</v>
      </c>
      <c r="L9" s="80" t="n">
        <f aca="false">CHOOSE(Premissas!$B$6,Cenários!L15,Cenários!L61,Cenários!L107)</f>
        <v>579</v>
      </c>
      <c r="M9" s="80" t="n">
        <f aca="false">CHOOSE(Premissas!$B$6,Cenários!M15,Cenários!M61,Cenários!M107)</f>
        <v>1252</v>
      </c>
      <c r="N9" s="80" t="n">
        <f aca="false">CHOOSE(Premissas!$B$6,Cenários!N15,Cenários!N61,Cenários!N107)</f>
        <v>2644</v>
      </c>
      <c r="O9" s="80" t="n">
        <f aca="false">CHOOSE(Premissas!$B$6,Cenários!O15,Cenários!O61,Cenários!O107)</f>
        <v>4279</v>
      </c>
      <c r="P9" s="80" t="n">
        <f aca="false">CHOOSE(Premissas!$B$6,Cenários!P15,Cenários!P61,Cenários!P107)</f>
        <v>6214</v>
      </c>
      <c r="Q9" s="80" t="n">
        <f aca="false">CHOOSE(Premissas!$B$6,Cenários!Q15,Cenários!Q61,Cenários!Q107)</f>
        <v>7213</v>
      </c>
      <c r="R9" s="80" t="n">
        <f aca="false">CHOOSE(Premissas!$B$6,Cenários!R15,Cenários!R61,Cenários!R107)</f>
        <v>8137</v>
      </c>
      <c r="S9" s="80" t="n">
        <f aca="false">CHOOSE(Premissas!$B$6,Cenários!S15,Cenários!S61,Cenários!S107)</f>
        <v>8991</v>
      </c>
      <c r="T9" s="80" t="n">
        <f aca="false">CHOOSE(Premissas!$B$6,Cenários!T15,Cenários!T61,Cenários!T107)</f>
        <v>9781</v>
      </c>
      <c r="U9" s="80" t="n">
        <f aca="false">CHOOSE(Premissas!$B$6,Cenários!U15,Cenários!U61,Cenários!U107)</f>
        <v>10512</v>
      </c>
      <c r="V9" s="80" t="n">
        <f aca="false">CHOOSE(Premissas!$B$6,Cenários!V15,Cenários!V61,Cenários!V107)</f>
        <v>11187</v>
      </c>
      <c r="W9" s="80" t="n">
        <f aca="false">CHOOSE(Premissas!$B$6,Cenários!W15,Cenários!W61,Cenários!W107)</f>
        <v>11812</v>
      </c>
      <c r="X9" s="80" t="n">
        <f aca="false">CHOOSE(Premissas!$B$6,Cenários!X15,Cenários!X61,Cenários!X107)</f>
        <v>12390</v>
      </c>
      <c r="Y9" s="80" t="n">
        <f aca="false">CHOOSE(Premissas!$B$6,Cenários!Y15,Cenários!Y61,Cenários!Y107)</f>
        <v>12924</v>
      </c>
      <c r="Z9" s="80" t="n">
        <f aca="false">CHOOSE(Premissas!$B$6,Cenários!Z15,Cenários!Z61,Cenários!Z107)</f>
        <v>15347</v>
      </c>
      <c r="AA9" s="80" t="n">
        <f aca="false">CHOOSE(Premissas!$B$6,Cenários!AA15,Cenários!AA61,Cenários!AA107)</f>
        <v>16637</v>
      </c>
      <c r="AB9" s="80" t="n">
        <f aca="false">CHOOSE(Premissas!$B$6,Cenários!AB15,Cenários!AB61,Cenários!AB107)</f>
        <v>17836</v>
      </c>
      <c r="AC9" s="80" t="n">
        <f aca="false">CHOOSE(Premissas!$B$6,Cenários!AC15,Cenários!AC61,Cenários!AC107)</f>
        <v>18950</v>
      </c>
      <c r="AD9" s="80" t="n">
        <f aca="false">CHOOSE(Premissas!$B$6,Cenários!AD15,Cenários!AD61,Cenários!AD107)</f>
        <v>19986</v>
      </c>
      <c r="AE9" s="80" t="n">
        <f aca="false">CHOOSE(Premissas!$B$6,Cenários!AE15,Cenários!AE61,Cenários!AE107)</f>
        <v>20948</v>
      </c>
      <c r="AF9" s="80" t="n">
        <f aca="false">CHOOSE(Premissas!$B$6,Cenários!AF15,Cenários!AF61,Cenários!AF107)</f>
        <v>21842</v>
      </c>
      <c r="AG9" s="80" t="n">
        <f aca="false">CHOOSE(Premissas!$B$6,Cenários!AG15,Cenários!AG61,Cenários!AG107)</f>
        <v>22673</v>
      </c>
      <c r="AH9" s="80" t="n">
        <f aca="false">CHOOSE(Premissas!$B$6,Cenários!AH15,Cenários!AH61,Cenários!AH107)</f>
        <v>23446</v>
      </c>
      <c r="AI9" s="80" t="n">
        <f aca="false">CHOOSE(Premissas!$B$6,Cenários!AI15,Cenários!AI61,Cenários!AI107)</f>
        <v>24164</v>
      </c>
      <c r="AJ9" s="80" t="n">
        <f aca="false">CHOOSE(Premissas!$B$6,Cenários!AJ15,Cenários!AJ61,Cenários!AJ107)</f>
        <v>24831</v>
      </c>
      <c r="AK9" s="80" t="n">
        <f aca="false">CHOOSE(Premissas!$B$6,Cenários!AK15,Cenários!AK61,Cenários!AK107)</f>
        <v>25450</v>
      </c>
      <c r="AL9" s="80" t="n">
        <f aca="false">CHOOSE(Premissas!$B$6,Cenários!AL15,Cenários!AL61,Cenários!AL107)</f>
        <v>29508</v>
      </c>
      <c r="AM9" s="80" t="n">
        <f aca="false">CHOOSE(Premissas!$B$6,Cenários!AM15,Cenários!AM61,Cenários!AM107)</f>
        <v>31395</v>
      </c>
      <c r="AN9" s="80" t="n">
        <f aca="false">CHOOSE(Premissas!$B$6,Cenários!AN15,Cenários!AN61,Cenários!AN107)</f>
        <v>33156</v>
      </c>
      <c r="AO9" s="80" t="n">
        <f aca="false">CHOOSE(Premissas!$B$6,Cenários!AO15,Cenários!AO61,Cenários!AO107)</f>
        <v>34801</v>
      </c>
      <c r="AP9" s="80" t="n">
        <f aca="false">CHOOSE(Premissas!$B$6,Cenários!AP15,Cenários!AP61,Cenários!AP107)</f>
        <v>36336</v>
      </c>
      <c r="AQ9" s="80" t="n">
        <f aca="false">CHOOSE(Premissas!$B$6,Cenários!AQ15,Cenários!AQ61,Cenários!AQ107)</f>
        <v>37769</v>
      </c>
      <c r="AR9" s="80" t="n">
        <f aca="false">CHOOSE(Premissas!$B$6,Cenários!AR15,Cenários!AR61,Cenários!AR107)</f>
        <v>39107</v>
      </c>
      <c r="AS9" s="80" t="n">
        <f aca="false">CHOOSE(Premissas!$B$6,Cenários!AS15,Cenários!AS61,Cenários!AS107)</f>
        <v>40356</v>
      </c>
      <c r="AT9" s="80" t="n">
        <f aca="false">CHOOSE(Premissas!$B$6,Cenários!AT15,Cenários!AT61,Cenários!AT107)</f>
        <v>41522</v>
      </c>
      <c r="AU9" s="80" t="n">
        <f aca="false">CHOOSE(Premissas!$B$6,Cenários!AU15,Cenários!AU61,Cenários!AU107)</f>
        <v>42611</v>
      </c>
      <c r="AV9" s="80" t="n">
        <f aca="false">CHOOSE(Premissas!$B$6,Cenários!AV15,Cenários!AV61,Cenários!AV107)</f>
        <v>43627</v>
      </c>
      <c r="AW9" s="80" t="n">
        <f aca="false">CHOOSE(Premissas!$B$6,Cenários!AW15,Cenários!AW61,Cenários!AW107)</f>
        <v>44576</v>
      </c>
      <c r="AX9" s="80" t="n">
        <f aca="false">CHOOSE(Premissas!$B$6,Cenários!AX15,Cenários!AX61,Cenários!AX107)</f>
        <v>51368</v>
      </c>
      <c r="AY9" s="80" t="n">
        <f aca="false">CHOOSE(Premissas!$B$6,Cenários!AY15,Cenários!AY61,Cenários!AY107)</f>
        <v>54393</v>
      </c>
      <c r="AZ9" s="80" t="n">
        <f aca="false">CHOOSE(Premissas!$B$6,Cenários!AZ15,Cenários!AZ61,Cenários!AZ107)</f>
        <v>57229</v>
      </c>
      <c r="BA9" s="80" t="n">
        <f aca="false">CHOOSE(Premissas!$B$6,Cenários!BA15,Cenários!BA61,Cenários!BA107)</f>
        <v>59887</v>
      </c>
      <c r="BB9" s="80" t="n">
        <f aca="false">CHOOSE(Premissas!$B$6,Cenários!BB15,Cenários!BB61,Cenários!BB107)</f>
        <v>62380</v>
      </c>
      <c r="BC9" s="80" t="n">
        <f aca="false">CHOOSE(Premissas!$B$6,Cenários!BC15,Cenários!BC61,Cenários!BC107)</f>
        <v>64717</v>
      </c>
      <c r="BD9" s="80" t="n">
        <f aca="false">CHOOSE(Premissas!$B$6,Cenários!BD15,Cenários!BD61,Cenários!BD107)</f>
        <v>66908</v>
      </c>
      <c r="BE9" s="80" t="n">
        <f aca="false">CHOOSE(Premissas!$B$6,Cenários!BE15,Cenários!BE61,Cenários!BE107)</f>
        <v>68962</v>
      </c>
      <c r="BF9" s="80" t="n">
        <f aca="false">CHOOSE(Premissas!$B$6,Cenários!BF15,Cenários!BF61,Cenários!BF107)</f>
        <v>70888</v>
      </c>
      <c r="BG9" s="80" t="n">
        <f aca="false">CHOOSE(Premissas!$B$6,Cenários!BG15,Cenários!BG61,Cenários!BG107)</f>
        <v>72693</v>
      </c>
      <c r="BH9" s="80" t="n">
        <f aca="false">CHOOSE(Premissas!$B$6,Cenários!BH15,Cenários!BH61,Cenários!BH107)</f>
        <v>74386</v>
      </c>
      <c r="BI9" s="80" t="n">
        <f aca="false">CHOOSE(Premissas!$B$6,Cenários!BI15,Cenários!BI61,Cenários!BI107)</f>
        <v>75973</v>
      </c>
    </row>
    <row r="10" customFormat="false" ht="15" hidden="false" customHeight="false" outlineLevel="0" collapsed="false">
      <c r="A10" s="66" t="s">
        <v>315</v>
      </c>
      <c r="B10" s="80" t="n">
        <f aca="false">CHOOSE(Premissas!$B$6,Cenários!B16,Cenários!B62,Cenários!B108)</f>
        <v>0</v>
      </c>
      <c r="C10" s="80" t="n">
        <f aca="false">CHOOSE(Premissas!$B$6,Cenários!C16,Cenários!C62,Cenários!C108)</f>
        <v>0</v>
      </c>
      <c r="D10" s="80" t="n">
        <f aca="false">CHOOSE(Premissas!$B$6,Cenários!D16,Cenários!D62,Cenários!D108)</f>
        <v>0</v>
      </c>
      <c r="E10" s="80" t="n">
        <f aca="false">CHOOSE(Premissas!$B$6,Cenários!E16,Cenários!E62,Cenários!E108)</f>
        <v>0</v>
      </c>
      <c r="F10" s="80" t="n">
        <f aca="false">CHOOSE(Premissas!$B$6,Cenários!F16,Cenários!F62,Cenários!F108)</f>
        <v>0</v>
      </c>
      <c r="G10" s="80" t="n">
        <f aca="false">CHOOSE(Premissas!$B$6,Cenários!G16,Cenários!G62,Cenários!G108)</f>
        <v>0</v>
      </c>
      <c r="H10" s="80" t="n">
        <f aca="false">CHOOSE(Premissas!$B$6,Cenários!H16,Cenários!H62,Cenários!H108)</f>
        <v>0</v>
      </c>
      <c r="I10" s="80" t="n">
        <f aca="false">CHOOSE(Premissas!$B$6,Cenários!I16,Cenários!I62,Cenários!I108)</f>
        <v>0</v>
      </c>
      <c r="J10" s="80" t="n">
        <f aca="false">CHOOSE(Premissas!$B$6,Cenários!J16,Cenários!J62,Cenários!J108)</f>
        <v>0</v>
      </c>
      <c r="K10" s="80" t="n">
        <f aca="false">CHOOSE(Premissas!$B$6,Cenários!K16,Cenários!K62,Cenários!K108)</f>
        <v>151</v>
      </c>
      <c r="L10" s="80" t="n">
        <f aca="false">CHOOSE(Premissas!$B$6,Cenários!L16,Cenários!L62,Cenários!L108)</f>
        <v>579</v>
      </c>
      <c r="M10" s="80" t="n">
        <f aca="false">CHOOSE(Premissas!$B$6,Cenários!M16,Cenários!M62,Cenários!M108)</f>
        <v>1252</v>
      </c>
      <c r="N10" s="80" t="n">
        <f aca="false">CHOOSE(Premissas!$B$6,Cenários!N16,Cenários!N62,Cenários!N108)</f>
        <v>2644</v>
      </c>
      <c r="O10" s="80" t="n">
        <f aca="false">CHOOSE(Premissas!$B$6,Cenários!O16,Cenários!O62,Cenários!O108)</f>
        <v>4279</v>
      </c>
      <c r="P10" s="80" t="n">
        <f aca="false">CHOOSE(Premissas!$B$6,Cenários!P16,Cenários!P62,Cenários!P108)</f>
        <v>6214</v>
      </c>
      <c r="Q10" s="80" t="n">
        <f aca="false">CHOOSE(Premissas!$B$6,Cenários!Q16,Cenários!Q62,Cenários!Q108)</f>
        <v>5626</v>
      </c>
      <c r="R10" s="80" t="n">
        <f aca="false">CHOOSE(Premissas!$B$6,Cenários!R16,Cenários!R62,Cenários!R108)</f>
        <v>6347</v>
      </c>
      <c r="S10" s="80" t="n">
        <f aca="false">CHOOSE(Premissas!$B$6,Cenários!S16,Cenários!S62,Cenários!S108)</f>
        <v>7013</v>
      </c>
      <c r="T10" s="80" t="n">
        <f aca="false">CHOOSE(Premissas!$B$6,Cenários!T16,Cenários!T62,Cenários!T108)</f>
        <v>7629</v>
      </c>
      <c r="U10" s="80" t="n">
        <f aca="false">CHOOSE(Premissas!$B$6,Cenários!U16,Cenários!U62,Cenários!U108)</f>
        <v>8199</v>
      </c>
      <c r="V10" s="80" t="n">
        <f aca="false">CHOOSE(Premissas!$B$6,Cenários!V16,Cenários!V62,Cenários!V108)</f>
        <v>8726</v>
      </c>
      <c r="W10" s="80" t="n">
        <f aca="false">CHOOSE(Premissas!$B$6,Cenários!W16,Cenários!W62,Cenários!W108)</f>
        <v>8504</v>
      </c>
      <c r="X10" s="80" t="n">
        <f aca="false">CHOOSE(Premissas!$B$6,Cenários!X16,Cenários!X62,Cenários!X108)</f>
        <v>8921</v>
      </c>
      <c r="Y10" s="80" t="n">
        <f aca="false">CHOOSE(Premissas!$B$6,Cenários!Y16,Cenários!Y62,Cenários!Y108)</f>
        <v>9306</v>
      </c>
      <c r="Z10" s="80" t="n">
        <f aca="false">CHOOSE(Premissas!$B$6,Cenários!Z16,Cenários!Z62,Cenários!Z108)</f>
        <v>10436</v>
      </c>
      <c r="AA10" s="80" t="n">
        <f aca="false">CHOOSE(Premissas!$B$6,Cenários!AA16,Cenários!AA62,Cenários!AA108)</f>
        <v>11313</v>
      </c>
      <c r="AB10" s="80" t="n">
        <f aca="false">CHOOSE(Premissas!$B$6,Cenários!AB16,Cenários!AB62,Cenários!AB108)</f>
        <v>12128</v>
      </c>
      <c r="AC10" s="80" t="n">
        <f aca="false">CHOOSE(Premissas!$B$6,Cenários!AC16,Cenários!AC62,Cenários!AC108)</f>
        <v>12886</v>
      </c>
      <c r="AD10" s="80" t="n">
        <f aca="false">CHOOSE(Premissas!$B$6,Cenários!AD16,Cenários!AD62,Cenários!AD108)</f>
        <v>13590</v>
      </c>
      <c r="AE10" s="80" t="n">
        <f aca="false">CHOOSE(Premissas!$B$6,Cenários!AE16,Cenários!AE62,Cenários!AE108)</f>
        <v>14244</v>
      </c>
      <c r="AF10" s="80" t="n">
        <f aca="false">CHOOSE(Premissas!$B$6,Cenários!AF16,Cenários!AF62,Cenários!AF108)</f>
        <v>14853</v>
      </c>
      <c r="AG10" s="80" t="n">
        <f aca="false">CHOOSE(Premissas!$B$6,Cenários!AG16,Cenários!AG62,Cenários!AG108)</f>
        <v>15417</v>
      </c>
      <c r="AH10" s="80" t="n">
        <f aca="false">CHOOSE(Premissas!$B$6,Cenários!AH16,Cenários!AH62,Cenários!AH108)</f>
        <v>15943</v>
      </c>
      <c r="AI10" s="80" t="n">
        <f aca="false">CHOOSE(Premissas!$B$6,Cenários!AI16,Cenários!AI62,Cenários!AI108)</f>
        <v>16432</v>
      </c>
      <c r="AJ10" s="80" t="n">
        <f aca="false">CHOOSE(Premissas!$B$6,Cenários!AJ16,Cenários!AJ62,Cenários!AJ108)</f>
        <v>16886</v>
      </c>
      <c r="AK10" s="80" t="n">
        <f aca="false">CHOOSE(Premissas!$B$6,Cenários!AK16,Cenários!AK62,Cenários!AK108)</f>
        <v>17306</v>
      </c>
      <c r="AL10" s="80" t="n">
        <f aca="false">CHOOSE(Premissas!$B$6,Cenários!AL16,Cenários!AL62,Cenários!AL108)</f>
        <v>18885</v>
      </c>
      <c r="AM10" s="80" t="n">
        <f aca="false">CHOOSE(Premissas!$B$6,Cenários!AM16,Cenários!AM62,Cenários!AM108)</f>
        <v>20092</v>
      </c>
      <c r="AN10" s="80" t="n">
        <f aca="false">CHOOSE(Premissas!$B$6,Cenários!AN16,Cenários!AN62,Cenários!AN108)</f>
        <v>21219</v>
      </c>
      <c r="AO10" s="80" t="n">
        <f aca="false">CHOOSE(Premissas!$B$6,Cenários!AO16,Cenários!AO62,Cenários!AO108)</f>
        <v>22273</v>
      </c>
      <c r="AP10" s="80" t="n">
        <f aca="false">CHOOSE(Premissas!$B$6,Cenários!AP16,Cenários!AP62,Cenários!AP108)</f>
        <v>23255</v>
      </c>
      <c r="AQ10" s="80" t="n">
        <f aca="false">CHOOSE(Premissas!$B$6,Cenários!AQ16,Cenários!AQ62,Cenários!AQ108)</f>
        <v>24172</v>
      </c>
      <c r="AR10" s="80" t="n">
        <f aca="false">CHOOSE(Premissas!$B$6,Cenários!AR16,Cenários!AR62,Cenários!AR108)</f>
        <v>25028</v>
      </c>
      <c r="AS10" s="80" t="n">
        <f aca="false">CHOOSE(Premissas!$B$6,Cenários!AS16,Cenários!AS62,Cenários!AS108)</f>
        <v>25827</v>
      </c>
      <c r="AT10" s="80" t="n">
        <f aca="false">CHOOSE(Premissas!$B$6,Cenários!AT16,Cenários!AT62,Cenários!AT108)</f>
        <v>26574</v>
      </c>
      <c r="AU10" s="80" t="n">
        <f aca="false">CHOOSE(Premissas!$B$6,Cenários!AU16,Cenários!AU62,Cenários!AU108)</f>
        <v>27271</v>
      </c>
      <c r="AV10" s="80" t="n">
        <f aca="false">CHOOSE(Premissas!$B$6,Cenários!AV16,Cenários!AV62,Cenários!AV108)</f>
        <v>27921</v>
      </c>
      <c r="AW10" s="80" t="n">
        <f aca="false">CHOOSE(Premissas!$B$6,Cenários!AW16,Cenários!AW62,Cenários!AW108)</f>
        <v>28528</v>
      </c>
      <c r="AX10" s="80" t="n">
        <f aca="false">CHOOSE(Premissas!$B$6,Cenários!AX16,Cenários!AX62,Cenários!AX108)</f>
        <v>30821</v>
      </c>
      <c r="AY10" s="80" t="n">
        <f aca="false">CHOOSE(Premissas!$B$6,Cenários!AY16,Cenários!AY62,Cenários!AY108)</f>
        <v>32636</v>
      </c>
      <c r="AZ10" s="80" t="n">
        <f aca="false">CHOOSE(Premissas!$B$6,Cenários!AZ16,Cenários!AZ62,Cenários!AZ108)</f>
        <v>34338</v>
      </c>
      <c r="BA10" s="80" t="n">
        <f aca="false">CHOOSE(Premissas!$B$6,Cenários!BA16,Cenários!BA62,Cenários!BA108)</f>
        <v>35933</v>
      </c>
      <c r="BB10" s="80" t="n">
        <f aca="false">CHOOSE(Premissas!$B$6,Cenários!BB16,Cenários!BB62,Cenários!BB108)</f>
        <v>37428</v>
      </c>
      <c r="BC10" s="80" t="n">
        <f aca="false">CHOOSE(Premissas!$B$6,Cenários!BC16,Cenários!BC62,Cenários!BC108)</f>
        <v>38830</v>
      </c>
      <c r="BD10" s="80" t="n">
        <f aca="false">CHOOSE(Premissas!$B$6,Cenários!BD16,Cenários!BD62,Cenários!BD108)</f>
        <v>40145</v>
      </c>
      <c r="BE10" s="80" t="n">
        <f aca="false">CHOOSE(Premissas!$B$6,Cenários!BE16,Cenários!BE62,Cenários!BE108)</f>
        <v>41378</v>
      </c>
      <c r="BF10" s="80" t="n">
        <f aca="false">CHOOSE(Premissas!$B$6,Cenários!BF16,Cenários!BF62,Cenários!BF108)</f>
        <v>42532</v>
      </c>
      <c r="BG10" s="80" t="n">
        <f aca="false">CHOOSE(Premissas!$B$6,Cenários!BG16,Cenários!BG62,Cenários!BG108)</f>
        <v>43616</v>
      </c>
      <c r="BH10" s="80" t="n">
        <f aca="false">CHOOSE(Premissas!$B$6,Cenários!BH16,Cenários!BH62,Cenários!BH108)</f>
        <v>44632</v>
      </c>
      <c r="BI10" s="80" t="n">
        <f aca="false">CHOOSE(Premissas!$B$6,Cenários!BI16,Cenários!BI62,Cenários!BI108)</f>
        <v>45584</v>
      </c>
    </row>
    <row r="11" customFormat="false" ht="15" hidden="false" customHeight="false" outlineLevel="0" collapsed="false">
      <c r="A11" s="66" t="s">
        <v>316</v>
      </c>
      <c r="B11" s="80" t="n">
        <f aca="false">CHOOSE(Premissas!$B$6,Cenários!B17,Cenários!B63,Cenários!B109)</f>
        <v>0</v>
      </c>
      <c r="C11" s="80" t="n">
        <f aca="false">CHOOSE(Premissas!$B$6,Cenários!C17,Cenários!C63,Cenários!C109)</f>
        <v>0</v>
      </c>
      <c r="D11" s="80" t="n">
        <f aca="false">CHOOSE(Premissas!$B$6,Cenários!D17,Cenários!D63,Cenários!D109)</f>
        <v>0</v>
      </c>
      <c r="E11" s="80" t="n">
        <f aca="false">CHOOSE(Premissas!$B$6,Cenários!E17,Cenários!E63,Cenários!E109)</f>
        <v>0</v>
      </c>
      <c r="F11" s="80" t="n">
        <f aca="false">CHOOSE(Premissas!$B$6,Cenários!F17,Cenários!F63,Cenários!F109)</f>
        <v>0</v>
      </c>
      <c r="G11" s="80" t="n">
        <f aca="false">CHOOSE(Premissas!$B$6,Cenários!G17,Cenários!G63,Cenários!G109)</f>
        <v>0</v>
      </c>
      <c r="H11" s="80" t="n">
        <f aca="false">CHOOSE(Premissas!$B$6,Cenários!H17,Cenários!H63,Cenários!H109)</f>
        <v>0</v>
      </c>
      <c r="I11" s="80" t="n">
        <f aca="false">CHOOSE(Premissas!$B$6,Cenários!I17,Cenários!I63,Cenários!I109)</f>
        <v>0</v>
      </c>
      <c r="J11" s="80" t="n">
        <f aca="false">CHOOSE(Premissas!$B$6,Cenários!J17,Cenários!J63,Cenários!J109)</f>
        <v>0</v>
      </c>
      <c r="K11" s="80" t="n">
        <f aca="false">CHOOSE(Premissas!$B$6,Cenários!K17,Cenários!K63,Cenários!K109)</f>
        <v>0</v>
      </c>
      <c r="L11" s="80" t="n">
        <f aca="false">CHOOSE(Premissas!$B$6,Cenários!L17,Cenários!L63,Cenários!L109)</f>
        <v>0</v>
      </c>
      <c r="M11" s="80" t="n">
        <f aca="false">CHOOSE(Premissas!$B$6,Cenários!M17,Cenários!M63,Cenários!M109)</f>
        <v>0</v>
      </c>
      <c r="N11" s="80" t="n">
        <f aca="false">CHOOSE(Premissas!$B$6,Cenários!N17,Cenários!N63,Cenários!N109)</f>
        <v>0</v>
      </c>
      <c r="O11" s="80" t="n">
        <f aca="false">CHOOSE(Premissas!$B$6,Cenários!O17,Cenários!O63,Cenários!O109)</f>
        <v>0</v>
      </c>
      <c r="P11" s="80" t="n">
        <f aca="false">CHOOSE(Premissas!$B$6,Cenários!P17,Cenários!P63,Cenários!P109)</f>
        <v>0</v>
      </c>
      <c r="Q11" s="80" t="n">
        <f aca="false">CHOOSE(Premissas!$B$6,Cenários!Q17,Cenários!Q63,Cenários!Q109)</f>
        <v>1587</v>
      </c>
      <c r="R11" s="80" t="n">
        <f aca="false">CHOOSE(Premissas!$B$6,Cenários!R17,Cenários!R63,Cenários!R109)</f>
        <v>1790</v>
      </c>
      <c r="S11" s="80" t="n">
        <f aca="false">CHOOSE(Premissas!$B$6,Cenários!S17,Cenários!S63,Cenários!S109)</f>
        <v>1978</v>
      </c>
      <c r="T11" s="80" t="n">
        <f aca="false">CHOOSE(Premissas!$B$6,Cenários!T17,Cenários!T63,Cenários!T109)</f>
        <v>2152</v>
      </c>
      <c r="U11" s="80" t="n">
        <f aca="false">CHOOSE(Premissas!$B$6,Cenários!U17,Cenários!U63,Cenários!U109)</f>
        <v>2313</v>
      </c>
      <c r="V11" s="80" t="n">
        <f aca="false">CHOOSE(Premissas!$B$6,Cenários!V17,Cenários!V63,Cenários!V109)</f>
        <v>2461</v>
      </c>
      <c r="W11" s="80" t="n">
        <f aca="false">CHOOSE(Premissas!$B$6,Cenários!W17,Cenários!W63,Cenários!W109)</f>
        <v>2599</v>
      </c>
      <c r="X11" s="80" t="n">
        <f aca="false">CHOOSE(Premissas!$B$6,Cenários!X17,Cenários!X63,Cenários!X109)</f>
        <v>2726</v>
      </c>
      <c r="Y11" s="80" t="n">
        <f aca="false">CHOOSE(Premissas!$B$6,Cenários!Y17,Cenários!Y63,Cenários!Y109)</f>
        <v>2843</v>
      </c>
      <c r="Z11" s="80" t="n">
        <f aca="false">CHOOSE(Premissas!$B$6,Cenários!Z17,Cenários!Z63,Cenários!Z109)</f>
        <v>3683</v>
      </c>
      <c r="AA11" s="80" t="n">
        <f aca="false">CHOOSE(Premissas!$B$6,Cenários!AA17,Cenários!AA63,Cenários!AA109)</f>
        <v>3993</v>
      </c>
      <c r="AB11" s="80" t="n">
        <f aca="false">CHOOSE(Premissas!$B$6,Cenários!AB17,Cenários!AB63,Cenários!AB109)</f>
        <v>4281</v>
      </c>
      <c r="AC11" s="80" t="n">
        <f aca="false">CHOOSE(Premissas!$B$6,Cenários!AC17,Cenários!AC63,Cenários!AC109)</f>
        <v>4548</v>
      </c>
      <c r="AD11" s="80" t="n">
        <f aca="false">CHOOSE(Premissas!$B$6,Cenários!AD17,Cenários!AD63,Cenários!AD109)</f>
        <v>4797</v>
      </c>
      <c r="AE11" s="80" t="n">
        <f aca="false">CHOOSE(Premissas!$B$6,Cenários!AE17,Cenários!AE63,Cenários!AE109)</f>
        <v>5028</v>
      </c>
      <c r="AF11" s="80" t="n">
        <f aca="false">CHOOSE(Premissas!$B$6,Cenários!AF17,Cenários!AF63,Cenários!AF109)</f>
        <v>5242</v>
      </c>
      <c r="AG11" s="80" t="n">
        <f aca="false">CHOOSE(Premissas!$B$6,Cenários!AG17,Cenários!AG63,Cenários!AG109)</f>
        <v>5442</v>
      </c>
      <c r="AH11" s="80" t="n">
        <f aca="false">CHOOSE(Premissas!$B$6,Cenários!AH17,Cenários!AH63,Cenários!AH109)</f>
        <v>5627</v>
      </c>
      <c r="AI11" s="80" t="n">
        <f aca="false">CHOOSE(Premissas!$B$6,Cenários!AI17,Cenários!AI63,Cenários!AI109)</f>
        <v>5799</v>
      </c>
      <c r="AJ11" s="80" t="n">
        <f aca="false">CHOOSE(Premissas!$B$6,Cenários!AJ17,Cenários!AJ63,Cenários!AJ109)</f>
        <v>5959</v>
      </c>
      <c r="AK11" s="80" t="n">
        <f aca="false">CHOOSE(Premissas!$B$6,Cenários!AK17,Cenários!AK63,Cenários!AK109)</f>
        <v>6108</v>
      </c>
      <c r="AL11" s="80" t="n">
        <f aca="false">CHOOSE(Premissas!$B$6,Cenários!AL17,Cenários!AL63,Cenários!AL109)</f>
        <v>7672</v>
      </c>
      <c r="AM11" s="80" t="n">
        <f aca="false">CHOOSE(Premissas!$B$6,Cenários!AM17,Cenários!AM63,Cenários!AM109)</f>
        <v>8163</v>
      </c>
      <c r="AN11" s="80" t="n">
        <f aca="false">CHOOSE(Premissas!$B$6,Cenários!AN17,Cenários!AN63,Cenários!AN109)</f>
        <v>8621</v>
      </c>
      <c r="AO11" s="80" t="n">
        <f aca="false">CHOOSE(Premissas!$B$6,Cenários!AO17,Cenários!AO63,Cenários!AO109)</f>
        <v>9048</v>
      </c>
      <c r="AP11" s="80" t="n">
        <f aca="false">CHOOSE(Premissas!$B$6,Cenários!AP17,Cenários!AP63,Cenários!AP109)</f>
        <v>9447</v>
      </c>
      <c r="AQ11" s="80" t="n">
        <f aca="false">CHOOSE(Premissas!$B$6,Cenários!AQ17,Cenários!AQ63,Cenários!AQ109)</f>
        <v>9820</v>
      </c>
      <c r="AR11" s="80" t="n">
        <f aca="false">CHOOSE(Premissas!$B$6,Cenários!AR17,Cenários!AR63,Cenários!AR109)</f>
        <v>10168</v>
      </c>
      <c r="AS11" s="80" t="n">
        <f aca="false">CHOOSE(Premissas!$B$6,Cenários!AS17,Cenários!AS63,Cenários!AS109)</f>
        <v>10493</v>
      </c>
      <c r="AT11" s="80" t="n">
        <f aca="false">CHOOSE(Premissas!$B$6,Cenários!AT17,Cenários!AT63,Cenários!AT109)</f>
        <v>10796</v>
      </c>
      <c r="AU11" s="80" t="n">
        <f aca="false">CHOOSE(Premissas!$B$6,Cenários!AU17,Cenários!AU63,Cenários!AU109)</f>
        <v>11079</v>
      </c>
      <c r="AV11" s="80" t="n">
        <f aca="false">CHOOSE(Premissas!$B$6,Cenários!AV17,Cenários!AV63,Cenários!AV109)</f>
        <v>11343</v>
      </c>
      <c r="AW11" s="80" t="n">
        <f aca="false">CHOOSE(Premissas!$B$6,Cenários!AW17,Cenários!AW63,Cenários!AW109)</f>
        <v>11590</v>
      </c>
      <c r="AX11" s="80" t="n">
        <f aca="false">CHOOSE(Premissas!$B$6,Cenários!AX17,Cenários!AX63,Cenários!AX109)</f>
        <v>14383</v>
      </c>
      <c r="AY11" s="80" t="n">
        <f aca="false">CHOOSE(Premissas!$B$6,Cenários!AY17,Cenários!AY63,Cenários!AY109)</f>
        <v>15230</v>
      </c>
      <c r="AZ11" s="80" t="n">
        <f aca="false">CHOOSE(Premissas!$B$6,Cenários!AZ17,Cenários!AZ63,Cenários!AZ109)</f>
        <v>16024</v>
      </c>
      <c r="BA11" s="80" t="n">
        <f aca="false">CHOOSE(Premissas!$B$6,Cenários!BA17,Cenários!BA63,Cenários!BA109)</f>
        <v>16768</v>
      </c>
      <c r="BB11" s="80" t="n">
        <f aca="false">CHOOSE(Premissas!$B$6,Cenários!BB17,Cenários!BB63,Cenários!BB109)</f>
        <v>17466</v>
      </c>
      <c r="BC11" s="80" t="n">
        <f aca="false">CHOOSE(Premissas!$B$6,Cenários!BC17,Cenários!BC63,Cenários!BC109)</f>
        <v>18121</v>
      </c>
      <c r="BD11" s="80" t="n">
        <f aca="false">CHOOSE(Premissas!$B$6,Cenários!BD17,Cenários!BD63,Cenários!BD109)</f>
        <v>18734</v>
      </c>
      <c r="BE11" s="80" t="n">
        <f aca="false">CHOOSE(Premissas!$B$6,Cenários!BE17,Cenários!BE63,Cenários!BE109)</f>
        <v>19309</v>
      </c>
      <c r="BF11" s="80" t="n">
        <f aca="false">CHOOSE(Premissas!$B$6,Cenários!BF17,Cenários!BF63,Cenários!BF109)</f>
        <v>19849</v>
      </c>
      <c r="BG11" s="80" t="n">
        <f aca="false">CHOOSE(Premissas!$B$6,Cenários!BG17,Cenários!BG63,Cenários!BG109)</f>
        <v>20354</v>
      </c>
      <c r="BH11" s="80" t="n">
        <f aca="false">CHOOSE(Premissas!$B$6,Cenários!BH17,Cenários!BH63,Cenários!BH109)</f>
        <v>20828</v>
      </c>
      <c r="BI11" s="80" t="n">
        <f aca="false">CHOOSE(Premissas!$B$6,Cenários!BI17,Cenários!BI63,Cenários!BI109)</f>
        <v>21272</v>
      </c>
      <c r="BK11" s="29" t="s">
        <v>317</v>
      </c>
    </row>
    <row r="12" customFormat="false" ht="15" hidden="false" customHeight="false" outlineLevel="0" collapsed="false">
      <c r="A12" s="66" t="s">
        <v>318</v>
      </c>
      <c r="B12" s="80" t="n">
        <f aca="false">CHOOSE(Premissas!$B$6,Cenários!B18,Cenários!B64,Cenários!B110)</f>
        <v>0</v>
      </c>
      <c r="C12" s="80" t="n">
        <f aca="false">CHOOSE(Premissas!$B$6,Cenários!C18,Cenários!C64,Cenários!C110)</f>
        <v>0</v>
      </c>
      <c r="D12" s="80" t="n">
        <f aca="false">CHOOSE(Premissas!$B$6,Cenários!D18,Cenários!D64,Cenários!D110)</f>
        <v>0</v>
      </c>
      <c r="E12" s="80" t="n">
        <f aca="false">CHOOSE(Premissas!$B$6,Cenários!E18,Cenários!E64,Cenários!E110)</f>
        <v>0</v>
      </c>
      <c r="F12" s="80" t="n">
        <f aca="false">CHOOSE(Premissas!$B$6,Cenários!F18,Cenários!F64,Cenários!F110)</f>
        <v>0</v>
      </c>
      <c r="G12" s="80" t="n">
        <f aca="false">CHOOSE(Premissas!$B$6,Cenários!G18,Cenários!G64,Cenários!G110)</f>
        <v>0</v>
      </c>
      <c r="H12" s="80" t="n">
        <f aca="false">CHOOSE(Premissas!$B$6,Cenários!H18,Cenários!H64,Cenários!H110)</f>
        <v>0</v>
      </c>
      <c r="I12" s="80" t="n">
        <f aca="false">CHOOSE(Premissas!$B$6,Cenários!I18,Cenários!I64,Cenários!I110)</f>
        <v>0</v>
      </c>
      <c r="J12" s="80" t="n">
        <f aca="false">CHOOSE(Premissas!$B$6,Cenários!J18,Cenários!J64,Cenários!J110)</f>
        <v>0</v>
      </c>
      <c r="K12" s="80" t="n">
        <f aca="false">CHOOSE(Premissas!$B$6,Cenários!K18,Cenários!K64,Cenários!K110)</f>
        <v>0</v>
      </c>
      <c r="L12" s="80" t="n">
        <f aca="false">CHOOSE(Premissas!$B$6,Cenários!L18,Cenários!L64,Cenários!L110)</f>
        <v>0</v>
      </c>
      <c r="M12" s="80" t="n">
        <f aca="false">CHOOSE(Premissas!$B$6,Cenários!M18,Cenários!M64,Cenários!M110)</f>
        <v>0</v>
      </c>
      <c r="N12" s="80" t="n">
        <f aca="false">CHOOSE(Premissas!$B$6,Cenários!N18,Cenários!N64,Cenários!N110)</f>
        <v>0</v>
      </c>
      <c r="O12" s="80" t="n">
        <f aca="false">CHOOSE(Premissas!$B$6,Cenários!O18,Cenários!O64,Cenários!O110)</f>
        <v>0</v>
      </c>
      <c r="P12" s="80" t="n">
        <f aca="false">CHOOSE(Premissas!$B$6,Cenários!P18,Cenários!P64,Cenários!P110)</f>
        <v>0</v>
      </c>
      <c r="Q12" s="80" t="n">
        <f aca="false">CHOOSE(Premissas!$B$6,Cenários!Q18,Cenários!Q64,Cenários!Q110)</f>
        <v>0</v>
      </c>
      <c r="R12" s="80" t="n">
        <f aca="false">CHOOSE(Premissas!$B$6,Cenários!R18,Cenários!R64,Cenários!R110)</f>
        <v>0</v>
      </c>
      <c r="S12" s="80" t="n">
        <f aca="false">CHOOSE(Premissas!$B$6,Cenários!S18,Cenários!S64,Cenários!S110)</f>
        <v>0</v>
      </c>
      <c r="T12" s="80" t="n">
        <f aca="false">CHOOSE(Premissas!$B$6,Cenários!T18,Cenários!T64,Cenários!T110)</f>
        <v>0</v>
      </c>
      <c r="U12" s="80" t="n">
        <f aca="false">CHOOSE(Premissas!$B$6,Cenários!U18,Cenários!U64,Cenários!U110)</f>
        <v>0</v>
      </c>
      <c r="V12" s="80" t="n">
        <f aca="false">CHOOSE(Premissas!$B$6,Cenários!V18,Cenários!V64,Cenários!V110)</f>
        <v>0</v>
      </c>
      <c r="W12" s="80" t="n">
        <f aca="false">CHOOSE(Premissas!$B$6,Cenários!W18,Cenários!W64,Cenários!W110)</f>
        <v>709</v>
      </c>
      <c r="X12" s="80" t="n">
        <f aca="false">CHOOSE(Premissas!$B$6,Cenários!X18,Cenários!X64,Cenários!X110)</f>
        <v>743</v>
      </c>
      <c r="Y12" s="80" t="n">
        <f aca="false">CHOOSE(Premissas!$B$6,Cenários!Y18,Cenários!Y64,Cenários!Y110)</f>
        <v>775</v>
      </c>
      <c r="Z12" s="80" t="n">
        <f aca="false">CHOOSE(Premissas!$B$6,Cenários!Z18,Cenários!Z64,Cenários!Z110)</f>
        <v>1228</v>
      </c>
      <c r="AA12" s="80" t="n">
        <f aca="false">CHOOSE(Premissas!$B$6,Cenários!AA18,Cenários!AA64,Cenários!AA110)</f>
        <v>1331</v>
      </c>
      <c r="AB12" s="80" t="n">
        <f aca="false">CHOOSE(Premissas!$B$6,Cenários!AB18,Cenários!AB64,Cenários!AB110)</f>
        <v>1427</v>
      </c>
      <c r="AC12" s="80" t="n">
        <f aca="false">CHOOSE(Premissas!$B$6,Cenários!AC18,Cenários!AC64,Cenários!AC110)</f>
        <v>1516</v>
      </c>
      <c r="AD12" s="80" t="n">
        <f aca="false">CHOOSE(Premissas!$B$6,Cenários!AD18,Cenários!AD64,Cenários!AD110)</f>
        <v>1599</v>
      </c>
      <c r="AE12" s="80" t="n">
        <f aca="false">CHOOSE(Premissas!$B$6,Cenários!AE18,Cenários!AE64,Cenários!AE110)</f>
        <v>1676</v>
      </c>
      <c r="AF12" s="80" t="n">
        <f aca="false">CHOOSE(Premissas!$B$6,Cenários!AF18,Cenários!AF64,Cenários!AF110)</f>
        <v>1747</v>
      </c>
      <c r="AG12" s="80" t="n">
        <f aca="false">CHOOSE(Premissas!$B$6,Cenários!AG18,Cenários!AG64,Cenários!AG110)</f>
        <v>1814</v>
      </c>
      <c r="AH12" s="80" t="n">
        <f aca="false">CHOOSE(Premissas!$B$6,Cenários!AH18,Cenários!AH64,Cenários!AH110)</f>
        <v>1876</v>
      </c>
      <c r="AI12" s="80" t="n">
        <f aca="false">CHOOSE(Premissas!$B$6,Cenários!AI18,Cenários!AI64,Cenários!AI110)</f>
        <v>1933</v>
      </c>
      <c r="AJ12" s="80" t="n">
        <f aca="false">CHOOSE(Premissas!$B$6,Cenários!AJ18,Cenários!AJ64,Cenários!AJ110)</f>
        <v>1986</v>
      </c>
      <c r="AK12" s="80" t="n">
        <f aca="false">CHOOSE(Premissas!$B$6,Cenários!AK18,Cenários!AK64,Cenários!AK110)</f>
        <v>2036</v>
      </c>
      <c r="AL12" s="80" t="n">
        <f aca="false">CHOOSE(Premissas!$B$6,Cenários!AL18,Cenários!AL64,Cenários!AL110)</f>
        <v>2951</v>
      </c>
      <c r="AM12" s="80" t="n">
        <f aca="false">CHOOSE(Premissas!$B$6,Cenários!AM18,Cenários!AM64,Cenários!AM110)</f>
        <v>3140</v>
      </c>
      <c r="AN12" s="80" t="n">
        <f aca="false">CHOOSE(Premissas!$B$6,Cenários!AN18,Cenários!AN64,Cenários!AN110)</f>
        <v>3316</v>
      </c>
      <c r="AO12" s="80" t="n">
        <f aca="false">CHOOSE(Premissas!$B$6,Cenários!AO18,Cenários!AO64,Cenários!AO110)</f>
        <v>3480</v>
      </c>
      <c r="AP12" s="80" t="n">
        <f aca="false">CHOOSE(Premissas!$B$6,Cenários!AP18,Cenários!AP64,Cenários!AP110)</f>
        <v>3634</v>
      </c>
      <c r="AQ12" s="80" t="n">
        <f aca="false">CHOOSE(Premissas!$B$6,Cenários!AQ18,Cenários!AQ64,Cenários!AQ110)</f>
        <v>3777</v>
      </c>
      <c r="AR12" s="80" t="n">
        <f aca="false">CHOOSE(Premissas!$B$6,Cenários!AR18,Cenários!AR64,Cenários!AR110)</f>
        <v>3911</v>
      </c>
      <c r="AS12" s="80" t="n">
        <f aca="false">CHOOSE(Premissas!$B$6,Cenários!AS18,Cenários!AS64,Cenários!AS110)</f>
        <v>4036</v>
      </c>
      <c r="AT12" s="80" t="n">
        <f aca="false">CHOOSE(Premissas!$B$6,Cenários!AT18,Cenários!AT64,Cenários!AT110)</f>
        <v>4152</v>
      </c>
      <c r="AU12" s="80" t="n">
        <f aca="false">CHOOSE(Premissas!$B$6,Cenários!AU18,Cenários!AU64,Cenários!AU110)</f>
        <v>4261</v>
      </c>
      <c r="AV12" s="80" t="n">
        <f aca="false">CHOOSE(Premissas!$B$6,Cenários!AV18,Cenários!AV64,Cenários!AV110)</f>
        <v>4363</v>
      </c>
      <c r="AW12" s="80" t="n">
        <f aca="false">CHOOSE(Premissas!$B$6,Cenários!AW18,Cenários!AW64,Cenários!AW110)</f>
        <v>4458</v>
      </c>
      <c r="AX12" s="80" t="n">
        <f aca="false">CHOOSE(Premissas!$B$6,Cenários!AX18,Cenários!AX64,Cenários!AX110)</f>
        <v>6164</v>
      </c>
      <c r="AY12" s="80" t="n">
        <f aca="false">CHOOSE(Premissas!$B$6,Cenários!AY18,Cenários!AY64,Cenários!AY110)</f>
        <v>6527</v>
      </c>
      <c r="AZ12" s="80" t="n">
        <f aca="false">CHOOSE(Premissas!$B$6,Cenários!AZ18,Cenários!AZ64,Cenários!AZ110)</f>
        <v>6867</v>
      </c>
      <c r="BA12" s="80" t="n">
        <f aca="false">CHOOSE(Premissas!$B$6,Cenários!BA18,Cenários!BA64,Cenários!BA110)</f>
        <v>7186</v>
      </c>
      <c r="BB12" s="80" t="n">
        <f aca="false">CHOOSE(Premissas!$B$6,Cenários!BB18,Cenários!BB64,Cenários!BB110)</f>
        <v>7486</v>
      </c>
      <c r="BC12" s="80" t="n">
        <f aca="false">CHOOSE(Premissas!$B$6,Cenários!BC18,Cenários!BC64,Cenários!BC110)</f>
        <v>7766</v>
      </c>
      <c r="BD12" s="80" t="n">
        <f aca="false">CHOOSE(Premissas!$B$6,Cenários!BD18,Cenários!BD64,Cenários!BD110)</f>
        <v>8029</v>
      </c>
      <c r="BE12" s="80" t="n">
        <f aca="false">CHOOSE(Premissas!$B$6,Cenários!BE18,Cenários!BE64,Cenários!BE110)</f>
        <v>8275</v>
      </c>
      <c r="BF12" s="80" t="n">
        <f aca="false">CHOOSE(Premissas!$B$6,Cenários!BF18,Cenários!BF64,Cenários!BF110)</f>
        <v>8507</v>
      </c>
      <c r="BG12" s="80" t="n">
        <f aca="false">CHOOSE(Premissas!$B$6,Cenários!BG18,Cenários!BG64,Cenários!BG110)</f>
        <v>8723</v>
      </c>
      <c r="BH12" s="80" t="n">
        <f aca="false">CHOOSE(Premissas!$B$6,Cenários!BH18,Cenários!BH64,Cenários!BH110)</f>
        <v>8926</v>
      </c>
      <c r="BI12" s="80" t="n">
        <f aca="false">CHOOSE(Premissas!$B$6,Cenários!BI18,Cenários!BI64,Cenários!BI110)</f>
        <v>9117</v>
      </c>
    </row>
    <row r="13" customFormat="false" ht="15" hidden="false" customHeight="false" outlineLevel="0" collapsed="false">
      <c r="A13" s="27" t="s">
        <v>319</v>
      </c>
      <c r="B13" s="81" t="n">
        <f aca="false">Premissas!$B$29*(1+Premissas!$B$32)^(B$6-2026)</f>
        <v>19.9</v>
      </c>
      <c r="C13" s="81" t="n">
        <f aca="false">Premissas!$B$29*(1+Premissas!$B$32)^(C$6-2026)</f>
        <v>19.9</v>
      </c>
      <c r="D13" s="81" t="n">
        <f aca="false">Premissas!$B$29*(1+Premissas!$B$32)^(D$6-2026)</f>
        <v>19.9</v>
      </c>
      <c r="E13" s="81" t="n">
        <f aca="false">Premissas!$B$29*(1+Premissas!$B$32)^(E$6-2026)</f>
        <v>19.9</v>
      </c>
      <c r="F13" s="81" t="n">
        <f aca="false">Premissas!$B$29*(1+Premissas!$B$32)^(F$6-2026)</f>
        <v>19.9</v>
      </c>
      <c r="G13" s="81" t="n">
        <f aca="false">Premissas!$B$29*(1+Premissas!$B$32)^(G$6-2026)</f>
        <v>19.9</v>
      </c>
      <c r="H13" s="81" t="n">
        <f aca="false">Premissas!$B$29*(1+Premissas!$B$32)^(H$6-2026)</f>
        <v>19.9</v>
      </c>
      <c r="I13" s="81" t="n">
        <f aca="false">Premissas!$B$29*(1+Premissas!$B$32)^(I$6-2026)</f>
        <v>19.9</v>
      </c>
      <c r="J13" s="81" t="n">
        <f aca="false">Premissas!$B$29*(1+Premissas!$B$32)^(J$6-2026)</f>
        <v>19.9</v>
      </c>
      <c r="K13" s="81" t="n">
        <f aca="false">Premissas!$B$29*(1+Premissas!$B$32)^(K$6-2026)</f>
        <v>19.9</v>
      </c>
      <c r="L13" s="81" t="n">
        <f aca="false">Premissas!$B$29*(1+Premissas!$B$32)^(L$6-2026)</f>
        <v>19.9</v>
      </c>
      <c r="M13" s="81" t="n">
        <f aca="false">Premissas!$B$29*(1+Premissas!$B$32)^(M$6-2026)</f>
        <v>19.9</v>
      </c>
      <c r="N13" s="81" t="n">
        <f aca="false">Premissas!$B$29*(1+Premissas!$B$32)^(N$6-2026)</f>
        <v>20.7955</v>
      </c>
      <c r="O13" s="81" t="n">
        <f aca="false">Premissas!$B$29*(1+Premissas!$B$32)^(O$6-2026)</f>
        <v>20.7955</v>
      </c>
      <c r="P13" s="81" t="n">
        <f aca="false">Premissas!$B$29*(1+Premissas!$B$32)^(P$6-2026)</f>
        <v>20.7955</v>
      </c>
      <c r="Q13" s="81" t="n">
        <f aca="false">Premissas!$B$29*(1+Premissas!$B$32)^(Q$6-2026)</f>
        <v>20.7955</v>
      </c>
      <c r="R13" s="81" t="n">
        <f aca="false">Premissas!$B$29*(1+Premissas!$B$32)^(R$6-2026)</f>
        <v>20.7955</v>
      </c>
      <c r="S13" s="81" t="n">
        <f aca="false">Premissas!$B$29*(1+Premissas!$B$32)^(S$6-2026)</f>
        <v>20.7955</v>
      </c>
      <c r="T13" s="81" t="n">
        <f aca="false">Premissas!$B$29*(1+Premissas!$B$32)^(T$6-2026)</f>
        <v>20.7955</v>
      </c>
      <c r="U13" s="81" t="n">
        <f aca="false">Premissas!$B$29*(1+Premissas!$B$32)^(U$6-2026)</f>
        <v>20.7955</v>
      </c>
      <c r="V13" s="81" t="n">
        <f aca="false">Premissas!$B$29*(1+Premissas!$B$32)^(V$6-2026)</f>
        <v>20.7955</v>
      </c>
      <c r="W13" s="81" t="n">
        <f aca="false">Premissas!$B$29*(1+Premissas!$B$32)^(W$6-2026)</f>
        <v>20.7955</v>
      </c>
      <c r="X13" s="81" t="n">
        <f aca="false">Premissas!$B$29*(1+Premissas!$B$32)^(X$6-2026)</f>
        <v>20.7955</v>
      </c>
      <c r="Y13" s="81" t="n">
        <f aca="false">Premissas!$B$29*(1+Premissas!$B$32)^(Y$6-2026)</f>
        <v>20.7955</v>
      </c>
      <c r="Z13" s="81" t="n">
        <f aca="false">Premissas!$B$29*(1+Premissas!$B$32)^(Z$6-2026)</f>
        <v>21.7312975</v>
      </c>
      <c r="AA13" s="81" t="n">
        <f aca="false">Premissas!$B$29*(1+Premissas!$B$32)^(AA$6-2026)</f>
        <v>21.7312975</v>
      </c>
      <c r="AB13" s="81" t="n">
        <f aca="false">Premissas!$B$29*(1+Premissas!$B$32)^(AB$6-2026)</f>
        <v>21.7312975</v>
      </c>
      <c r="AC13" s="81" t="n">
        <f aca="false">Premissas!$B$29*(1+Premissas!$B$32)^(AC$6-2026)</f>
        <v>21.7312975</v>
      </c>
      <c r="AD13" s="81" t="n">
        <f aca="false">Premissas!$B$29*(1+Premissas!$B$32)^(AD$6-2026)</f>
        <v>21.7312975</v>
      </c>
      <c r="AE13" s="81" t="n">
        <f aca="false">Premissas!$B$29*(1+Premissas!$B$32)^(AE$6-2026)</f>
        <v>21.7312975</v>
      </c>
      <c r="AF13" s="81" t="n">
        <f aca="false">Premissas!$B$29*(1+Premissas!$B$32)^(AF$6-2026)</f>
        <v>21.7312975</v>
      </c>
      <c r="AG13" s="81" t="n">
        <f aca="false">Premissas!$B$29*(1+Premissas!$B$32)^(AG$6-2026)</f>
        <v>21.7312975</v>
      </c>
      <c r="AH13" s="81" t="n">
        <f aca="false">Premissas!$B$29*(1+Premissas!$B$32)^(AH$6-2026)</f>
        <v>21.7312975</v>
      </c>
      <c r="AI13" s="81" t="n">
        <f aca="false">Premissas!$B$29*(1+Premissas!$B$32)^(AI$6-2026)</f>
        <v>21.7312975</v>
      </c>
      <c r="AJ13" s="81" t="n">
        <f aca="false">Premissas!$B$29*(1+Premissas!$B$32)^(AJ$6-2026)</f>
        <v>21.7312975</v>
      </c>
      <c r="AK13" s="81" t="n">
        <f aca="false">Premissas!$B$29*(1+Premissas!$B$32)^(AK$6-2026)</f>
        <v>21.7312975</v>
      </c>
      <c r="AL13" s="81" t="n">
        <f aca="false">Premissas!$B$29*(1+Premissas!$B$32)^(AL$6-2026)</f>
        <v>22.7092058875</v>
      </c>
      <c r="AM13" s="81" t="n">
        <f aca="false">Premissas!$B$29*(1+Premissas!$B$32)^(AM$6-2026)</f>
        <v>22.7092058875</v>
      </c>
      <c r="AN13" s="81" t="n">
        <f aca="false">Premissas!$B$29*(1+Premissas!$B$32)^(AN$6-2026)</f>
        <v>22.7092058875</v>
      </c>
      <c r="AO13" s="81" t="n">
        <f aca="false">Premissas!$B$29*(1+Premissas!$B$32)^(AO$6-2026)</f>
        <v>22.7092058875</v>
      </c>
      <c r="AP13" s="81" t="n">
        <f aca="false">Premissas!$B$29*(1+Premissas!$B$32)^(AP$6-2026)</f>
        <v>22.7092058875</v>
      </c>
      <c r="AQ13" s="81" t="n">
        <f aca="false">Premissas!$B$29*(1+Premissas!$B$32)^(AQ$6-2026)</f>
        <v>22.7092058875</v>
      </c>
      <c r="AR13" s="81" t="n">
        <f aca="false">Premissas!$B$29*(1+Premissas!$B$32)^(AR$6-2026)</f>
        <v>22.7092058875</v>
      </c>
      <c r="AS13" s="81" t="n">
        <f aca="false">Premissas!$B$29*(1+Premissas!$B$32)^(AS$6-2026)</f>
        <v>22.7092058875</v>
      </c>
      <c r="AT13" s="81" t="n">
        <f aca="false">Premissas!$B$29*(1+Premissas!$B$32)^(AT$6-2026)</f>
        <v>22.7092058875</v>
      </c>
      <c r="AU13" s="81" t="n">
        <f aca="false">Premissas!$B$29*(1+Premissas!$B$32)^(AU$6-2026)</f>
        <v>22.7092058875</v>
      </c>
      <c r="AV13" s="81" t="n">
        <f aca="false">Premissas!$B$29*(1+Premissas!$B$32)^(AV$6-2026)</f>
        <v>22.7092058875</v>
      </c>
      <c r="AW13" s="81" t="n">
        <f aca="false">Premissas!$B$29*(1+Premissas!$B$32)^(AW$6-2026)</f>
        <v>22.7092058875</v>
      </c>
      <c r="AX13" s="81" t="n">
        <f aca="false">Premissas!$B$29*(1+Premissas!$B$32)^(AX$6-2026)</f>
        <v>23.7311201524375</v>
      </c>
      <c r="AY13" s="81" t="n">
        <f aca="false">Premissas!$B$29*(1+Premissas!$B$32)^(AY$6-2026)</f>
        <v>23.7311201524375</v>
      </c>
      <c r="AZ13" s="81" t="n">
        <f aca="false">Premissas!$B$29*(1+Premissas!$B$32)^(AZ$6-2026)</f>
        <v>23.7311201524375</v>
      </c>
      <c r="BA13" s="81" t="n">
        <f aca="false">Premissas!$B$29*(1+Premissas!$B$32)^(BA$6-2026)</f>
        <v>23.7311201524375</v>
      </c>
      <c r="BB13" s="81" t="n">
        <f aca="false">Premissas!$B$29*(1+Premissas!$B$32)^(BB$6-2026)</f>
        <v>23.7311201524375</v>
      </c>
      <c r="BC13" s="81" t="n">
        <f aca="false">Premissas!$B$29*(1+Premissas!$B$32)^(BC$6-2026)</f>
        <v>23.7311201524375</v>
      </c>
      <c r="BD13" s="81" t="n">
        <f aca="false">Premissas!$B$29*(1+Premissas!$B$32)^(BD$6-2026)</f>
        <v>23.7311201524375</v>
      </c>
      <c r="BE13" s="81" t="n">
        <f aca="false">Premissas!$B$29*(1+Premissas!$B$32)^(BE$6-2026)</f>
        <v>23.7311201524375</v>
      </c>
      <c r="BF13" s="81" t="n">
        <f aca="false">Premissas!$B$29*(1+Premissas!$B$32)^(BF$6-2026)</f>
        <v>23.7311201524375</v>
      </c>
      <c r="BG13" s="81" t="n">
        <f aca="false">Premissas!$B$29*(1+Premissas!$B$32)^(BG$6-2026)</f>
        <v>23.7311201524375</v>
      </c>
      <c r="BH13" s="81" t="n">
        <f aca="false">Premissas!$B$29*(1+Premissas!$B$32)^(BH$6-2026)</f>
        <v>23.7311201524375</v>
      </c>
      <c r="BI13" s="81" t="n">
        <f aca="false">Premissas!$B$29*(1+Premissas!$B$32)^(BI$6-2026)</f>
        <v>23.7311201524375</v>
      </c>
    </row>
    <row r="14" customFormat="false" ht="15" hidden="false" customHeight="false" outlineLevel="0" collapsed="false">
      <c r="A14" s="71" t="s">
        <v>320</v>
      </c>
      <c r="B14" s="82" t="n">
        <f aca="false">IFERROR(Premissas!$B$30/Premissas!$B$29,0)</f>
        <v>2.00502512562814</v>
      </c>
      <c r="C14" s="82" t="n">
        <f aca="false">IFERROR(Premissas!$B$30/Premissas!$B$29,0)</f>
        <v>2.00502512562814</v>
      </c>
      <c r="D14" s="82" t="n">
        <f aca="false">IFERROR(Premissas!$B$30/Premissas!$B$29,0)</f>
        <v>2.00502512562814</v>
      </c>
      <c r="E14" s="82" t="n">
        <f aca="false">IFERROR(Premissas!$B$30/Premissas!$B$29,0)</f>
        <v>2.00502512562814</v>
      </c>
      <c r="F14" s="82" t="n">
        <f aca="false">IFERROR(Premissas!$B$30/Premissas!$B$29,0)</f>
        <v>2.00502512562814</v>
      </c>
      <c r="G14" s="82" t="n">
        <f aca="false">IFERROR(Premissas!$B$30/Premissas!$B$29,0)</f>
        <v>2.00502512562814</v>
      </c>
      <c r="H14" s="82" t="n">
        <f aca="false">IFERROR(Premissas!$B$30/Premissas!$B$29,0)</f>
        <v>2.00502512562814</v>
      </c>
      <c r="I14" s="82" t="n">
        <f aca="false">IFERROR(Premissas!$B$30/Premissas!$B$29,0)</f>
        <v>2.00502512562814</v>
      </c>
      <c r="J14" s="82" t="n">
        <f aca="false">IFERROR(Premissas!$B$30/Premissas!$B$29,0)</f>
        <v>2.00502512562814</v>
      </c>
      <c r="K14" s="82" t="n">
        <f aca="false">IFERROR(Premissas!$B$30/Premissas!$B$29,0)</f>
        <v>2.00502512562814</v>
      </c>
      <c r="L14" s="82" t="n">
        <f aca="false">IFERROR(Premissas!$B$30/Premissas!$B$29,0)</f>
        <v>2.00502512562814</v>
      </c>
      <c r="M14" s="82" t="n">
        <f aca="false">IFERROR(Premissas!$B$30/Premissas!$B$29,0)</f>
        <v>2.00502512562814</v>
      </c>
      <c r="N14" s="82" t="n">
        <f aca="false">IFERROR(Premissas!$B$30/Premissas!$B$29,0)</f>
        <v>2.00502512562814</v>
      </c>
      <c r="O14" s="82" t="n">
        <f aca="false">IFERROR(Premissas!$B$30/Premissas!$B$29,0)</f>
        <v>2.00502512562814</v>
      </c>
      <c r="P14" s="82" t="n">
        <f aca="false">IFERROR(Premissas!$B$30/Premissas!$B$29,0)</f>
        <v>2.00502512562814</v>
      </c>
      <c r="Q14" s="82" t="n">
        <f aca="false">IFERROR(Premissas!$B$30/Premissas!$B$29,0)</f>
        <v>2.00502512562814</v>
      </c>
      <c r="R14" s="82" t="n">
        <f aca="false">IFERROR(Premissas!$B$30/Premissas!$B$29,0)</f>
        <v>2.00502512562814</v>
      </c>
      <c r="S14" s="82" t="n">
        <f aca="false">IFERROR(Premissas!$B$30/Premissas!$B$29,0)</f>
        <v>2.00502512562814</v>
      </c>
      <c r="T14" s="82" t="n">
        <f aca="false">IFERROR(Premissas!$B$30/Premissas!$B$29,0)</f>
        <v>2.00502512562814</v>
      </c>
      <c r="U14" s="82" t="n">
        <f aca="false">IFERROR(Premissas!$B$30/Premissas!$B$29,0)</f>
        <v>2.00502512562814</v>
      </c>
      <c r="V14" s="82" t="n">
        <f aca="false">IFERROR(Premissas!$B$30/Premissas!$B$29,0)</f>
        <v>2.00502512562814</v>
      </c>
      <c r="W14" s="82" t="n">
        <f aca="false">IFERROR(Premissas!$B$30/Premissas!$B$29,0)</f>
        <v>2.00502512562814</v>
      </c>
      <c r="X14" s="82" t="n">
        <f aca="false">IFERROR(Premissas!$B$30/Premissas!$B$29,0)</f>
        <v>2.00502512562814</v>
      </c>
      <c r="Y14" s="82" t="n">
        <f aca="false">IFERROR(Premissas!$B$30/Premissas!$B$29,0)</f>
        <v>2.00502512562814</v>
      </c>
      <c r="Z14" s="82" t="n">
        <f aca="false">IFERROR(Premissas!$B$30/Premissas!$B$29,0)</f>
        <v>2.00502512562814</v>
      </c>
      <c r="AA14" s="82" t="n">
        <f aca="false">IFERROR(Premissas!$B$30/Premissas!$B$29,0)</f>
        <v>2.00502512562814</v>
      </c>
      <c r="AB14" s="82" t="n">
        <f aca="false">IFERROR(Premissas!$B$30/Premissas!$B$29,0)</f>
        <v>2.00502512562814</v>
      </c>
      <c r="AC14" s="82" t="n">
        <f aca="false">IFERROR(Premissas!$B$30/Premissas!$B$29,0)</f>
        <v>2.00502512562814</v>
      </c>
      <c r="AD14" s="82" t="n">
        <f aca="false">IFERROR(Premissas!$B$30/Premissas!$B$29,0)</f>
        <v>2.00502512562814</v>
      </c>
      <c r="AE14" s="82" t="n">
        <f aca="false">IFERROR(Premissas!$B$30/Premissas!$B$29,0)</f>
        <v>2.00502512562814</v>
      </c>
      <c r="AF14" s="82" t="n">
        <f aca="false">IFERROR(Premissas!$B$30/Premissas!$B$29,0)</f>
        <v>2.00502512562814</v>
      </c>
      <c r="AG14" s="82" t="n">
        <f aca="false">IFERROR(Premissas!$B$30/Premissas!$B$29,0)</f>
        <v>2.00502512562814</v>
      </c>
      <c r="AH14" s="82" t="n">
        <f aca="false">IFERROR(Premissas!$B$30/Premissas!$B$29,0)</f>
        <v>2.00502512562814</v>
      </c>
      <c r="AI14" s="82" t="n">
        <f aca="false">IFERROR(Premissas!$B$30/Premissas!$B$29,0)</f>
        <v>2.00502512562814</v>
      </c>
      <c r="AJ14" s="82" t="n">
        <f aca="false">IFERROR(Premissas!$B$30/Premissas!$B$29,0)</f>
        <v>2.00502512562814</v>
      </c>
      <c r="AK14" s="82" t="n">
        <f aca="false">IFERROR(Premissas!$B$30/Premissas!$B$29,0)</f>
        <v>2.00502512562814</v>
      </c>
      <c r="AL14" s="82" t="n">
        <f aca="false">IFERROR(Premissas!$B$30/Premissas!$B$29,0)</f>
        <v>2.00502512562814</v>
      </c>
      <c r="AM14" s="82" t="n">
        <f aca="false">IFERROR(Premissas!$B$30/Premissas!$B$29,0)</f>
        <v>2.00502512562814</v>
      </c>
      <c r="AN14" s="82" t="n">
        <f aca="false">IFERROR(Premissas!$B$30/Premissas!$B$29,0)</f>
        <v>2.00502512562814</v>
      </c>
      <c r="AO14" s="82" t="n">
        <f aca="false">IFERROR(Premissas!$B$30/Premissas!$B$29,0)</f>
        <v>2.00502512562814</v>
      </c>
      <c r="AP14" s="82" t="n">
        <f aca="false">IFERROR(Premissas!$B$30/Premissas!$B$29,0)</f>
        <v>2.00502512562814</v>
      </c>
      <c r="AQ14" s="82" t="n">
        <f aca="false">IFERROR(Premissas!$B$30/Premissas!$B$29,0)</f>
        <v>2.00502512562814</v>
      </c>
      <c r="AR14" s="82" t="n">
        <f aca="false">IFERROR(Premissas!$B$30/Premissas!$B$29,0)</f>
        <v>2.00502512562814</v>
      </c>
      <c r="AS14" s="82" t="n">
        <f aca="false">IFERROR(Premissas!$B$30/Premissas!$B$29,0)</f>
        <v>2.00502512562814</v>
      </c>
      <c r="AT14" s="82" t="n">
        <f aca="false">IFERROR(Premissas!$B$30/Premissas!$B$29,0)</f>
        <v>2.00502512562814</v>
      </c>
      <c r="AU14" s="82" t="n">
        <f aca="false">IFERROR(Premissas!$B$30/Premissas!$B$29,0)</f>
        <v>2.00502512562814</v>
      </c>
      <c r="AV14" s="82" t="n">
        <f aca="false">IFERROR(Premissas!$B$30/Premissas!$B$29,0)</f>
        <v>2.00502512562814</v>
      </c>
      <c r="AW14" s="82" t="n">
        <f aca="false">IFERROR(Premissas!$B$30/Premissas!$B$29,0)</f>
        <v>2.00502512562814</v>
      </c>
      <c r="AX14" s="82" t="n">
        <f aca="false">IFERROR(Premissas!$B$30/Premissas!$B$29,0)</f>
        <v>2.00502512562814</v>
      </c>
      <c r="AY14" s="82" t="n">
        <f aca="false">IFERROR(Premissas!$B$30/Premissas!$B$29,0)</f>
        <v>2.00502512562814</v>
      </c>
      <c r="AZ14" s="82" t="n">
        <f aca="false">IFERROR(Premissas!$B$30/Premissas!$B$29,0)</f>
        <v>2.00502512562814</v>
      </c>
      <c r="BA14" s="82" t="n">
        <f aca="false">IFERROR(Premissas!$B$30/Premissas!$B$29,0)</f>
        <v>2.00502512562814</v>
      </c>
      <c r="BB14" s="82" t="n">
        <f aca="false">IFERROR(Premissas!$B$30/Premissas!$B$29,0)</f>
        <v>2.00502512562814</v>
      </c>
      <c r="BC14" s="82" t="n">
        <f aca="false">IFERROR(Premissas!$B$30/Premissas!$B$29,0)</f>
        <v>2.00502512562814</v>
      </c>
      <c r="BD14" s="82" t="n">
        <f aca="false">IFERROR(Premissas!$B$30/Premissas!$B$29,0)</f>
        <v>2.00502512562814</v>
      </c>
      <c r="BE14" s="82" t="n">
        <f aca="false">IFERROR(Premissas!$B$30/Premissas!$B$29,0)</f>
        <v>2.00502512562814</v>
      </c>
      <c r="BF14" s="82" t="n">
        <f aca="false">IFERROR(Premissas!$B$30/Premissas!$B$29,0)</f>
        <v>2.00502512562814</v>
      </c>
      <c r="BG14" s="82" t="n">
        <f aca="false">IFERROR(Premissas!$B$30/Premissas!$B$29,0)</f>
        <v>2.00502512562814</v>
      </c>
      <c r="BH14" s="82" t="n">
        <f aca="false">IFERROR(Premissas!$B$30/Premissas!$B$29,0)</f>
        <v>2.00502512562814</v>
      </c>
      <c r="BI14" s="82" t="n">
        <f aca="false">IFERROR(Premissas!$B$30/Premissas!$B$29,0)</f>
        <v>2.00502512562814</v>
      </c>
      <c r="BK14" s="29" t="s">
        <v>321</v>
      </c>
    </row>
    <row r="15" customFormat="false" ht="15" hidden="false" customHeight="false" outlineLevel="0" collapsed="false">
      <c r="A15" s="71" t="s">
        <v>322</v>
      </c>
      <c r="B15" s="82" t="n">
        <f aca="false">IFERROR(Premissas!$B$31/Premissas!$B$29,0)</f>
        <v>4.01507537688442</v>
      </c>
      <c r="C15" s="82" t="n">
        <f aca="false">IFERROR(Premissas!$B$31/Premissas!$B$29,0)</f>
        <v>4.01507537688442</v>
      </c>
      <c r="D15" s="82" t="n">
        <f aca="false">IFERROR(Premissas!$B$31/Premissas!$B$29,0)</f>
        <v>4.01507537688442</v>
      </c>
      <c r="E15" s="82" t="n">
        <f aca="false">IFERROR(Premissas!$B$31/Premissas!$B$29,0)</f>
        <v>4.01507537688442</v>
      </c>
      <c r="F15" s="82" t="n">
        <f aca="false">IFERROR(Premissas!$B$31/Premissas!$B$29,0)</f>
        <v>4.01507537688442</v>
      </c>
      <c r="G15" s="82" t="n">
        <f aca="false">IFERROR(Premissas!$B$31/Premissas!$B$29,0)</f>
        <v>4.01507537688442</v>
      </c>
      <c r="H15" s="82" t="n">
        <f aca="false">IFERROR(Premissas!$B$31/Premissas!$B$29,0)</f>
        <v>4.01507537688442</v>
      </c>
      <c r="I15" s="82" t="n">
        <f aca="false">IFERROR(Premissas!$B$31/Premissas!$B$29,0)</f>
        <v>4.01507537688442</v>
      </c>
      <c r="J15" s="82" t="n">
        <f aca="false">IFERROR(Premissas!$B$31/Premissas!$B$29,0)</f>
        <v>4.01507537688442</v>
      </c>
      <c r="K15" s="82" t="n">
        <f aca="false">IFERROR(Premissas!$B$31/Premissas!$B$29,0)</f>
        <v>4.01507537688442</v>
      </c>
      <c r="L15" s="82" t="n">
        <f aca="false">IFERROR(Premissas!$B$31/Premissas!$B$29,0)</f>
        <v>4.01507537688442</v>
      </c>
      <c r="M15" s="82" t="n">
        <f aca="false">IFERROR(Premissas!$B$31/Premissas!$B$29,0)</f>
        <v>4.01507537688442</v>
      </c>
      <c r="N15" s="82" t="n">
        <f aca="false">IFERROR(Premissas!$B$31/Premissas!$B$29,0)</f>
        <v>4.01507537688442</v>
      </c>
      <c r="O15" s="82" t="n">
        <f aca="false">IFERROR(Premissas!$B$31/Premissas!$B$29,0)</f>
        <v>4.01507537688442</v>
      </c>
      <c r="P15" s="82" t="n">
        <f aca="false">IFERROR(Premissas!$B$31/Premissas!$B$29,0)</f>
        <v>4.01507537688442</v>
      </c>
      <c r="Q15" s="82" t="n">
        <f aca="false">IFERROR(Premissas!$B$31/Premissas!$B$29,0)</f>
        <v>4.01507537688442</v>
      </c>
      <c r="R15" s="82" t="n">
        <f aca="false">IFERROR(Premissas!$B$31/Premissas!$B$29,0)</f>
        <v>4.01507537688442</v>
      </c>
      <c r="S15" s="82" t="n">
        <f aca="false">IFERROR(Premissas!$B$31/Premissas!$B$29,0)</f>
        <v>4.01507537688442</v>
      </c>
      <c r="T15" s="82" t="n">
        <f aca="false">IFERROR(Premissas!$B$31/Premissas!$B$29,0)</f>
        <v>4.01507537688442</v>
      </c>
      <c r="U15" s="82" t="n">
        <f aca="false">IFERROR(Premissas!$B$31/Premissas!$B$29,0)</f>
        <v>4.01507537688442</v>
      </c>
      <c r="V15" s="82" t="n">
        <f aca="false">IFERROR(Premissas!$B$31/Premissas!$B$29,0)</f>
        <v>4.01507537688442</v>
      </c>
      <c r="W15" s="82" t="n">
        <f aca="false">IFERROR(Premissas!$B$31/Premissas!$B$29,0)</f>
        <v>4.01507537688442</v>
      </c>
      <c r="X15" s="82" t="n">
        <f aca="false">IFERROR(Premissas!$B$31/Premissas!$B$29,0)</f>
        <v>4.01507537688442</v>
      </c>
      <c r="Y15" s="82" t="n">
        <f aca="false">IFERROR(Premissas!$B$31/Premissas!$B$29,0)</f>
        <v>4.01507537688442</v>
      </c>
      <c r="Z15" s="82" t="n">
        <f aca="false">IFERROR(Premissas!$B$31/Premissas!$B$29,0)</f>
        <v>4.01507537688442</v>
      </c>
      <c r="AA15" s="82" t="n">
        <f aca="false">IFERROR(Premissas!$B$31/Premissas!$B$29,0)</f>
        <v>4.01507537688442</v>
      </c>
      <c r="AB15" s="82" t="n">
        <f aca="false">IFERROR(Premissas!$B$31/Premissas!$B$29,0)</f>
        <v>4.01507537688442</v>
      </c>
      <c r="AC15" s="82" t="n">
        <f aca="false">IFERROR(Premissas!$B$31/Premissas!$B$29,0)</f>
        <v>4.01507537688442</v>
      </c>
      <c r="AD15" s="82" t="n">
        <f aca="false">IFERROR(Premissas!$B$31/Premissas!$B$29,0)</f>
        <v>4.01507537688442</v>
      </c>
      <c r="AE15" s="82" t="n">
        <f aca="false">IFERROR(Premissas!$B$31/Premissas!$B$29,0)</f>
        <v>4.01507537688442</v>
      </c>
      <c r="AF15" s="82" t="n">
        <f aca="false">IFERROR(Premissas!$B$31/Premissas!$B$29,0)</f>
        <v>4.01507537688442</v>
      </c>
      <c r="AG15" s="82" t="n">
        <f aca="false">IFERROR(Premissas!$B$31/Premissas!$B$29,0)</f>
        <v>4.01507537688442</v>
      </c>
      <c r="AH15" s="82" t="n">
        <f aca="false">IFERROR(Premissas!$B$31/Premissas!$B$29,0)</f>
        <v>4.01507537688442</v>
      </c>
      <c r="AI15" s="82" t="n">
        <f aca="false">IFERROR(Premissas!$B$31/Premissas!$B$29,0)</f>
        <v>4.01507537688442</v>
      </c>
      <c r="AJ15" s="82" t="n">
        <f aca="false">IFERROR(Premissas!$B$31/Premissas!$B$29,0)</f>
        <v>4.01507537688442</v>
      </c>
      <c r="AK15" s="82" t="n">
        <f aca="false">IFERROR(Premissas!$B$31/Premissas!$B$29,0)</f>
        <v>4.01507537688442</v>
      </c>
      <c r="AL15" s="82" t="n">
        <f aca="false">IFERROR(Premissas!$B$31/Premissas!$B$29,0)</f>
        <v>4.01507537688442</v>
      </c>
      <c r="AM15" s="82" t="n">
        <f aca="false">IFERROR(Premissas!$B$31/Premissas!$B$29,0)</f>
        <v>4.01507537688442</v>
      </c>
      <c r="AN15" s="82" t="n">
        <f aca="false">IFERROR(Premissas!$B$31/Premissas!$B$29,0)</f>
        <v>4.01507537688442</v>
      </c>
      <c r="AO15" s="82" t="n">
        <f aca="false">IFERROR(Premissas!$B$31/Premissas!$B$29,0)</f>
        <v>4.01507537688442</v>
      </c>
      <c r="AP15" s="82" t="n">
        <f aca="false">IFERROR(Premissas!$B$31/Premissas!$B$29,0)</f>
        <v>4.01507537688442</v>
      </c>
      <c r="AQ15" s="82" t="n">
        <f aca="false">IFERROR(Premissas!$B$31/Premissas!$B$29,0)</f>
        <v>4.01507537688442</v>
      </c>
      <c r="AR15" s="82" t="n">
        <f aca="false">IFERROR(Premissas!$B$31/Premissas!$B$29,0)</f>
        <v>4.01507537688442</v>
      </c>
      <c r="AS15" s="82" t="n">
        <f aca="false">IFERROR(Premissas!$B$31/Premissas!$B$29,0)</f>
        <v>4.01507537688442</v>
      </c>
      <c r="AT15" s="82" t="n">
        <f aca="false">IFERROR(Premissas!$B$31/Premissas!$B$29,0)</f>
        <v>4.01507537688442</v>
      </c>
      <c r="AU15" s="82" t="n">
        <f aca="false">IFERROR(Premissas!$B$31/Premissas!$B$29,0)</f>
        <v>4.01507537688442</v>
      </c>
      <c r="AV15" s="82" t="n">
        <f aca="false">IFERROR(Premissas!$B$31/Premissas!$B$29,0)</f>
        <v>4.01507537688442</v>
      </c>
      <c r="AW15" s="82" t="n">
        <f aca="false">IFERROR(Premissas!$B$31/Premissas!$B$29,0)</f>
        <v>4.01507537688442</v>
      </c>
      <c r="AX15" s="82" t="n">
        <f aca="false">IFERROR(Premissas!$B$31/Premissas!$B$29,0)</f>
        <v>4.01507537688442</v>
      </c>
      <c r="AY15" s="82" t="n">
        <f aca="false">IFERROR(Premissas!$B$31/Premissas!$B$29,0)</f>
        <v>4.01507537688442</v>
      </c>
      <c r="AZ15" s="82" t="n">
        <f aca="false">IFERROR(Premissas!$B$31/Premissas!$B$29,0)</f>
        <v>4.01507537688442</v>
      </c>
      <c r="BA15" s="82" t="n">
        <f aca="false">IFERROR(Premissas!$B$31/Premissas!$B$29,0)</f>
        <v>4.01507537688442</v>
      </c>
      <c r="BB15" s="82" t="n">
        <f aca="false">IFERROR(Premissas!$B$31/Premissas!$B$29,0)</f>
        <v>4.01507537688442</v>
      </c>
      <c r="BC15" s="82" t="n">
        <f aca="false">IFERROR(Premissas!$B$31/Premissas!$B$29,0)</f>
        <v>4.01507537688442</v>
      </c>
      <c r="BD15" s="82" t="n">
        <f aca="false">IFERROR(Premissas!$B$31/Premissas!$B$29,0)</f>
        <v>4.01507537688442</v>
      </c>
      <c r="BE15" s="82" t="n">
        <f aca="false">IFERROR(Premissas!$B$31/Premissas!$B$29,0)</f>
        <v>4.01507537688442</v>
      </c>
      <c r="BF15" s="82" t="n">
        <f aca="false">IFERROR(Premissas!$B$31/Premissas!$B$29,0)</f>
        <v>4.01507537688442</v>
      </c>
      <c r="BG15" s="82" t="n">
        <f aca="false">IFERROR(Premissas!$B$31/Premissas!$B$29,0)</f>
        <v>4.01507537688442</v>
      </c>
      <c r="BH15" s="82" t="n">
        <f aca="false">IFERROR(Premissas!$B$31/Premissas!$B$29,0)</f>
        <v>4.01507537688442</v>
      </c>
      <c r="BI15" s="82" t="n">
        <f aca="false">IFERROR(Premissas!$B$31/Premissas!$B$29,0)</f>
        <v>4.01507537688442</v>
      </c>
    </row>
    <row r="16" customFormat="false" ht="15" hidden="false" customHeight="false" outlineLevel="0" collapsed="false">
      <c r="A16" s="62" t="s">
        <v>323</v>
      </c>
      <c r="B16" s="83" t="n">
        <f aca="false">B10+B11*B14+B12*B15</f>
        <v>0</v>
      </c>
      <c r="C16" s="83" t="n">
        <f aca="false">C10+C11*C14+C12*C15</f>
        <v>0</v>
      </c>
      <c r="D16" s="83" t="n">
        <f aca="false">D10+D11*D14+D12*D15</f>
        <v>0</v>
      </c>
      <c r="E16" s="83" t="n">
        <f aca="false">E10+E11*E14+E12*E15</f>
        <v>0</v>
      </c>
      <c r="F16" s="83" t="n">
        <f aca="false">F10+F11*F14+F12*F15</f>
        <v>0</v>
      </c>
      <c r="G16" s="83" t="n">
        <f aca="false">G10+G11*G14+G12*G15</f>
        <v>0</v>
      </c>
      <c r="H16" s="83" t="n">
        <f aca="false">H10+H11*H14+H12*H15</f>
        <v>0</v>
      </c>
      <c r="I16" s="83" t="n">
        <f aca="false">I10+I11*I14+I12*I15</f>
        <v>0</v>
      </c>
      <c r="J16" s="83" t="n">
        <f aca="false">J10+J11*J14+J12*J15</f>
        <v>0</v>
      </c>
      <c r="K16" s="83" t="n">
        <f aca="false">K10+K11*K14+K12*K15</f>
        <v>151</v>
      </c>
      <c r="L16" s="83" t="n">
        <f aca="false">L10+L11*L14+L12*L15</f>
        <v>579</v>
      </c>
      <c r="M16" s="83" t="n">
        <f aca="false">M10+M11*M14+M12*M15</f>
        <v>1252</v>
      </c>
      <c r="N16" s="83" t="n">
        <f aca="false">N10+N11*N14+N12*N15</f>
        <v>2644</v>
      </c>
      <c r="O16" s="83" t="n">
        <f aca="false">O10+O11*O14+O12*O15</f>
        <v>4279</v>
      </c>
      <c r="P16" s="83" t="n">
        <f aca="false">P10+P11*P14+P12*P15</f>
        <v>6214</v>
      </c>
      <c r="Q16" s="83" t="n">
        <f aca="false">Q10+Q11*Q14+Q12*Q15</f>
        <v>8807.97487437186</v>
      </c>
      <c r="R16" s="83" t="n">
        <f aca="false">R10+R11*R14+R12*R15</f>
        <v>9935.99497487437</v>
      </c>
      <c r="S16" s="83" t="n">
        <f aca="false">S10+S11*S14+S12*S15</f>
        <v>10978.9396984925</v>
      </c>
      <c r="T16" s="83" t="n">
        <f aca="false">T10+T11*T14+T12*T15</f>
        <v>11943.8140703518</v>
      </c>
      <c r="U16" s="83" t="n">
        <f aca="false">U10+U11*U14+U12*U15</f>
        <v>12836.6231155779</v>
      </c>
      <c r="V16" s="83" t="n">
        <f aca="false">V10+V11*V14+V12*V15</f>
        <v>13660.3668341709</v>
      </c>
      <c r="W16" s="83" t="n">
        <f aca="false">W10+W11*W14+W12*W15</f>
        <v>16561.7487437186</v>
      </c>
      <c r="X16" s="83" t="n">
        <f aca="false">X10+X11*X14+X12*X15</f>
        <v>17369.8994974874</v>
      </c>
      <c r="Y16" s="83" t="n">
        <f aca="false">Y10+Y11*Y14+Y12*Y15</f>
        <v>18117.9698492462</v>
      </c>
      <c r="Z16" s="83" t="n">
        <f aca="false">Z10+Z11*Z14+Z12*Z15</f>
        <v>22751.0201005025</v>
      </c>
      <c r="AA16" s="83" t="n">
        <f aca="false">AA10+AA11*AA14+AA12*AA15</f>
        <v>24663.1306532663</v>
      </c>
      <c r="AB16" s="83" t="n">
        <f aca="false">AB10+AB11*AB14+AB12*AB15</f>
        <v>26441.0251256281</v>
      </c>
      <c r="AC16" s="83" t="n">
        <f aca="false">AC10+AC11*AC14+AC12*AC15</f>
        <v>28091.7085427136</v>
      </c>
      <c r="AD16" s="83" t="n">
        <f aca="false">AD10+AD11*AD14+AD12*AD15</f>
        <v>29628.2110552764</v>
      </c>
      <c r="AE16" s="83" t="n">
        <f aca="false">AE10+AE11*AE14+AE12*AE15</f>
        <v>31054.5326633166</v>
      </c>
      <c r="AF16" s="83" t="n">
        <f aca="false">AF10+AF11*AF14+AF12*AF15</f>
        <v>32377.6783919598</v>
      </c>
      <c r="AG16" s="83" t="n">
        <f aca="false">AG10+AG11*AG14+AG12*AG15</f>
        <v>33611.6934673367</v>
      </c>
      <c r="AH16" s="83" t="n">
        <f aca="false">AH10+AH11*AH14+AH12*AH15</f>
        <v>34757.5577889447</v>
      </c>
      <c r="AI16" s="83" t="n">
        <f aca="false">AI10+AI11*AI14+AI12*AI15</f>
        <v>35820.2814070352</v>
      </c>
      <c r="AJ16" s="83" t="n">
        <f aca="false">AJ10+AJ11*AJ14+AJ12*AJ15</f>
        <v>36807.8844221106</v>
      </c>
      <c r="AK16" s="83" t="n">
        <f aca="false">AK10+AK11*AK14+AK12*AK15</f>
        <v>37727.3869346734</v>
      </c>
      <c r="AL16" s="83" t="n">
        <f aca="false">AL10+AL11*AL14+AL12*AL15</f>
        <v>46116.040201005</v>
      </c>
      <c r="AM16" s="83" t="n">
        <f aca="false">AM10+AM11*AM14+AM12*AM15</f>
        <v>49066.3567839196</v>
      </c>
      <c r="AN16" s="83" t="n">
        <f aca="false">AN10+AN11*AN14+AN12*AN15</f>
        <v>51818.311557789</v>
      </c>
      <c r="AO16" s="83" t="n">
        <f aca="false">AO10+AO11*AO14+AO12*AO15</f>
        <v>54386.9296482412</v>
      </c>
      <c r="AP16" s="83" t="n">
        <f aca="false">AP10+AP11*AP14+AP12*AP15</f>
        <v>56787.256281407</v>
      </c>
      <c r="AQ16" s="83" t="n">
        <f aca="false">AQ10+AQ11*AQ14+AQ12*AQ15</f>
        <v>59026.2864321608</v>
      </c>
      <c r="AR16" s="83" t="n">
        <f aca="false">AR10+AR11*AR14+AR12*AR15</f>
        <v>61118.0552763819</v>
      </c>
      <c r="AS16" s="83" t="n">
        <f aca="false">AS10+AS11*AS14+AS12*AS15</f>
        <v>63070.5728643216</v>
      </c>
      <c r="AT16" s="83" t="n">
        <f aca="false">AT10+AT11*AT14+AT12*AT15</f>
        <v>64890.8442211055</v>
      </c>
      <c r="AU16" s="83" t="n">
        <f aca="false">AU10+AU11*AU14+AU12*AU15</f>
        <v>66592.9095477387</v>
      </c>
      <c r="AV16" s="83" t="n">
        <f aca="false">AV10+AV11*AV14+AV12*AV15</f>
        <v>68181.7738693467</v>
      </c>
      <c r="AW16" s="83" t="n">
        <f aca="false">AW10+AW11*AW14+AW12*AW15</f>
        <v>69665.4472361809</v>
      </c>
      <c r="AX16" s="83" t="n">
        <f aca="false">AX10+AX11*AX14+AX12*AX15</f>
        <v>84408.2010050251</v>
      </c>
      <c r="AY16" s="83" t="n">
        <f aca="false">AY10+AY11*AY14+AY12*AY15</f>
        <v>89378.9296482412</v>
      </c>
      <c r="AZ16" s="83" t="n">
        <f aca="false">AZ10+AZ11*AZ14+AZ12*AZ15</f>
        <v>94038.0452261307</v>
      </c>
      <c r="BA16" s="83" t="n">
        <f aca="false">BA10+BA11*BA14+BA12*BA15</f>
        <v>98405.5929648241</v>
      </c>
      <c r="BB16" s="83" t="n">
        <f aca="false">BB10+BB11*BB14+BB12*BB15</f>
        <v>102504.623115578</v>
      </c>
      <c r="BC16" s="83" t="n">
        <f aca="false">BC10+BC11*BC14+BC12*BC15</f>
        <v>106344.135678392</v>
      </c>
      <c r="BD16" s="83" t="n">
        <f aca="false">BD10+BD11*BD14+BD12*BD15</f>
        <v>109944.180904523</v>
      </c>
      <c r="BE16" s="83" t="n">
        <f aca="false">BE10+BE11*BE14+BE12*BE15</f>
        <v>113317.778894472</v>
      </c>
      <c r="BF16" s="83" t="n">
        <f aca="false">BF10+BF11*BF14+BF12*BF15</f>
        <v>116485.989949749</v>
      </c>
      <c r="BG16" s="83" t="n">
        <f aca="false">BG10+BG11*BG14+BG12*BG15</f>
        <v>119449.783919598</v>
      </c>
      <c r="BH16" s="83" t="n">
        <f aca="false">BH10+BH11*BH14+BH12*BH15</f>
        <v>122231.226130653</v>
      </c>
      <c r="BI16" s="83" t="n">
        <f aca="false">BI10+BI11*BI14+BI12*BI15</f>
        <v>124840.336683417</v>
      </c>
      <c r="BK16" s="29" t="s">
        <v>324</v>
      </c>
    </row>
    <row r="17" customFormat="false" ht="15" hidden="false" customHeight="false" outlineLevel="0" collapsed="false">
      <c r="A17" s="71" t="s">
        <v>325</v>
      </c>
      <c r="B17" s="84" t="n">
        <f aca="false">B13*B16-CHOOSE(Premissas!$B$6,Cenários!B23,Cenários!B69,Cenários!B115)</f>
        <v>0</v>
      </c>
      <c r="C17" s="84" t="n">
        <f aca="false">C13*C16-CHOOSE(Premissas!$B$6,Cenários!C23,Cenários!C69,Cenários!C115)</f>
        <v>0</v>
      </c>
      <c r="D17" s="84" t="n">
        <f aca="false">D13*D16-CHOOSE(Premissas!$B$6,Cenários!D23,Cenários!D69,Cenários!D115)</f>
        <v>0</v>
      </c>
      <c r="E17" s="84" t="n">
        <f aca="false">E13*E16-CHOOSE(Premissas!$B$6,Cenários!E23,Cenários!E69,Cenários!E115)</f>
        <v>0</v>
      </c>
      <c r="F17" s="84" t="n">
        <f aca="false">F13*F16-CHOOSE(Premissas!$B$6,Cenários!F23,Cenários!F69,Cenários!F115)</f>
        <v>0</v>
      </c>
      <c r="G17" s="84" t="n">
        <f aca="false">G13*G16-CHOOSE(Premissas!$B$6,Cenários!G23,Cenários!G69,Cenários!G115)</f>
        <v>0</v>
      </c>
      <c r="H17" s="84" t="n">
        <f aca="false">H13*H16-CHOOSE(Premissas!$B$6,Cenários!H23,Cenários!H69,Cenários!H115)</f>
        <v>0</v>
      </c>
      <c r="I17" s="84" t="n">
        <f aca="false">I13*I16-CHOOSE(Premissas!$B$6,Cenários!I23,Cenários!I69,Cenários!I115)</f>
        <v>0</v>
      </c>
      <c r="J17" s="84" t="n">
        <f aca="false">J13*J16-CHOOSE(Premissas!$B$6,Cenários!J23,Cenários!J69,Cenários!J115)</f>
        <v>0</v>
      </c>
      <c r="K17" s="84" t="n">
        <f aca="false">K13*K16-CHOOSE(Premissas!$B$6,Cenários!K23,Cenários!K69,Cenários!K115)</f>
        <v>0</v>
      </c>
      <c r="L17" s="84" t="n">
        <f aca="false">L13*L16-CHOOSE(Premissas!$B$6,Cenários!L23,Cenários!L69,Cenários!L115)</f>
        <v>0</v>
      </c>
      <c r="M17" s="84" t="n">
        <f aca="false">M13*M16-CHOOSE(Premissas!$B$6,Cenários!M23,Cenários!M69,Cenários!M115)</f>
        <v>0</v>
      </c>
      <c r="N17" s="84" t="n">
        <f aca="false">N13*N16-CHOOSE(Premissas!$B$6,Cenários!N23,Cenários!N69,Cenários!N115)</f>
        <v>0</v>
      </c>
      <c r="O17" s="84" t="n">
        <f aca="false">O13*O16-CHOOSE(Premissas!$B$6,Cenários!O23,Cenários!O69,Cenários!O115)</f>
        <v>0</v>
      </c>
      <c r="P17" s="84" t="n">
        <f aca="false">P13*P16-CHOOSE(Premissas!$B$6,Cenários!P23,Cenários!P69,Cenários!P115)</f>
        <v>0</v>
      </c>
      <c r="Q17" s="84" t="n">
        <f aca="false">Q13*Q16-CHOOSE(Premissas!$B$6,Cenários!Q23,Cenários!Q69,Cenários!Q115)</f>
        <v>0</v>
      </c>
      <c r="R17" s="84" t="n">
        <f aca="false">R13*R16-CHOOSE(Premissas!$B$6,Cenários!R23,Cenários!R69,Cenários!R115)</f>
        <v>0</v>
      </c>
      <c r="S17" s="84" t="n">
        <f aca="false">S13*S16-CHOOSE(Premissas!$B$6,Cenários!S23,Cenários!S69,Cenários!S115)</f>
        <v>0</v>
      </c>
      <c r="T17" s="84" t="n">
        <f aca="false">T13*T16-CHOOSE(Premissas!$B$6,Cenários!T23,Cenários!T69,Cenários!T115)</f>
        <v>0</v>
      </c>
      <c r="U17" s="84" t="n">
        <f aca="false">U13*U16-CHOOSE(Premissas!$B$6,Cenários!U23,Cenários!U69,Cenários!U115)</f>
        <v>0</v>
      </c>
      <c r="V17" s="84" t="n">
        <f aca="false">V13*V16-CHOOSE(Premissas!$B$6,Cenários!V23,Cenários!V69,Cenários!V115)</f>
        <v>0</v>
      </c>
      <c r="W17" s="84" t="n">
        <f aca="false">W13*W16-CHOOSE(Premissas!$B$6,Cenários!W23,Cenários!W69,Cenários!W115)</f>
        <v>0</v>
      </c>
      <c r="X17" s="84" t="n">
        <f aca="false">X13*X16-CHOOSE(Premissas!$B$6,Cenários!X23,Cenários!X69,Cenários!X115)</f>
        <v>0</v>
      </c>
      <c r="Y17" s="84" t="n">
        <f aca="false">Y13*Y16-CHOOSE(Premissas!$B$6,Cenários!Y23,Cenários!Y69,Cenários!Y115)</f>
        <v>0</v>
      </c>
      <c r="Z17" s="84" t="n">
        <f aca="false">Z13*Z16-CHOOSE(Premissas!$B$6,Cenários!Z23,Cenários!Z69,Cenários!Z115)</f>
        <v>0</v>
      </c>
      <c r="AA17" s="84" t="n">
        <f aca="false">AA13*AA16-CHOOSE(Premissas!$B$6,Cenários!AA23,Cenários!AA69,Cenários!AA115)</f>
        <v>0</v>
      </c>
      <c r="AB17" s="84" t="n">
        <f aca="false">AB13*AB16-CHOOSE(Premissas!$B$6,Cenários!AB23,Cenários!AB69,Cenários!AB115)</f>
        <v>0</v>
      </c>
      <c r="AC17" s="84" t="n">
        <f aca="false">AC13*AC16-CHOOSE(Premissas!$B$6,Cenários!AC23,Cenários!AC69,Cenários!AC115)</f>
        <v>0</v>
      </c>
      <c r="AD17" s="84" t="n">
        <f aca="false">AD13*AD16-CHOOSE(Premissas!$B$6,Cenários!AD23,Cenários!AD69,Cenários!AD115)</f>
        <v>0</v>
      </c>
      <c r="AE17" s="84" t="n">
        <f aca="false">AE13*AE16-CHOOSE(Premissas!$B$6,Cenários!AE23,Cenários!AE69,Cenários!AE115)</f>
        <v>0</v>
      </c>
      <c r="AF17" s="84" t="n">
        <f aca="false">AF13*AF16-CHOOSE(Premissas!$B$6,Cenários!AF23,Cenários!AF69,Cenários!AF115)</f>
        <v>0</v>
      </c>
      <c r="AG17" s="84" t="n">
        <f aca="false">AG13*AG16-CHOOSE(Premissas!$B$6,Cenários!AG23,Cenários!AG69,Cenários!AG115)</f>
        <v>0</v>
      </c>
      <c r="AH17" s="84" t="n">
        <f aca="false">AH13*AH16-CHOOSE(Premissas!$B$6,Cenários!AH23,Cenários!AH69,Cenários!AH115)</f>
        <v>0</v>
      </c>
      <c r="AI17" s="84" t="n">
        <f aca="false">AI13*AI16-CHOOSE(Premissas!$B$6,Cenários!AI23,Cenários!AI69,Cenários!AI115)</f>
        <v>0</v>
      </c>
      <c r="AJ17" s="84" t="n">
        <f aca="false">AJ13*AJ16-CHOOSE(Premissas!$B$6,Cenários!AJ23,Cenários!AJ69,Cenários!AJ115)</f>
        <v>0</v>
      </c>
      <c r="AK17" s="84" t="n">
        <f aca="false">AK13*AK16-CHOOSE(Premissas!$B$6,Cenários!AK23,Cenários!AK69,Cenários!AK115)</f>
        <v>0</v>
      </c>
      <c r="AL17" s="84" t="n">
        <f aca="false">AL13*AL16-CHOOSE(Premissas!$B$6,Cenários!AL23,Cenários!AL69,Cenários!AL115)</f>
        <v>0</v>
      </c>
      <c r="AM17" s="84" t="n">
        <f aca="false">AM13*AM16-CHOOSE(Premissas!$B$6,Cenários!AM23,Cenários!AM69,Cenários!AM115)</f>
        <v>0</v>
      </c>
      <c r="AN17" s="84" t="n">
        <f aca="false">AN13*AN16-CHOOSE(Premissas!$B$6,Cenários!AN23,Cenários!AN69,Cenários!AN115)</f>
        <v>0</v>
      </c>
      <c r="AO17" s="84" t="n">
        <f aca="false">AO13*AO16-CHOOSE(Premissas!$B$6,Cenários!AO23,Cenários!AO69,Cenários!AO115)</f>
        <v>0</v>
      </c>
      <c r="AP17" s="84" t="n">
        <f aca="false">AP13*AP16-CHOOSE(Premissas!$B$6,Cenários!AP23,Cenários!AP69,Cenários!AP115)</f>
        <v>0</v>
      </c>
      <c r="AQ17" s="84" t="n">
        <f aca="false">AQ13*AQ16-CHOOSE(Premissas!$B$6,Cenários!AQ23,Cenários!AQ69,Cenários!AQ115)</f>
        <v>0</v>
      </c>
      <c r="AR17" s="84" t="n">
        <f aca="false">AR13*AR16-CHOOSE(Premissas!$B$6,Cenários!AR23,Cenários!AR69,Cenários!AR115)</f>
        <v>0</v>
      </c>
      <c r="AS17" s="84" t="n">
        <f aca="false">AS13*AS16-CHOOSE(Premissas!$B$6,Cenários!AS23,Cenários!AS69,Cenários!AS115)</f>
        <v>0</v>
      </c>
      <c r="AT17" s="84" t="n">
        <f aca="false">AT13*AT16-CHOOSE(Premissas!$B$6,Cenários!AT23,Cenários!AT69,Cenários!AT115)</f>
        <v>0</v>
      </c>
      <c r="AU17" s="84" t="n">
        <f aca="false">AU13*AU16-CHOOSE(Premissas!$B$6,Cenários!AU23,Cenários!AU69,Cenários!AU115)</f>
        <v>0</v>
      </c>
      <c r="AV17" s="84" t="n">
        <f aca="false">AV13*AV16-CHOOSE(Premissas!$B$6,Cenários!AV23,Cenários!AV69,Cenários!AV115)</f>
        <v>0</v>
      </c>
      <c r="AW17" s="84" t="n">
        <f aca="false">AW13*AW16-CHOOSE(Premissas!$B$6,Cenários!AW23,Cenários!AW69,Cenários!AW115)</f>
        <v>0</v>
      </c>
      <c r="AX17" s="84" t="n">
        <f aca="false">AX13*AX16-CHOOSE(Premissas!$B$6,Cenários!AX23,Cenários!AX69,Cenários!AX115)</f>
        <v>0</v>
      </c>
      <c r="AY17" s="84" t="n">
        <f aca="false">AY13*AY16-CHOOSE(Premissas!$B$6,Cenários!AY23,Cenários!AY69,Cenários!AY115)</f>
        <v>0</v>
      </c>
      <c r="AZ17" s="84" t="n">
        <f aca="false">AZ13*AZ16-CHOOSE(Premissas!$B$6,Cenários!AZ23,Cenários!AZ69,Cenários!AZ115)</f>
        <v>0</v>
      </c>
      <c r="BA17" s="84" t="n">
        <f aca="false">BA13*BA16-CHOOSE(Premissas!$B$6,Cenários!BA23,Cenários!BA69,Cenários!BA115)</f>
        <v>0</v>
      </c>
      <c r="BB17" s="84" t="n">
        <f aca="false">BB13*BB16-CHOOSE(Premissas!$B$6,Cenários!BB23,Cenários!BB69,Cenários!BB115)</f>
        <v>0</v>
      </c>
      <c r="BC17" s="84" t="n">
        <f aca="false">BC13*BC16-CHOOSE(Premissas!$B$6,Cenários!BC23,Cenários!BC69,Cenários!BC115)</f>
        <v>0</v>
      </c>
      <c r="BD17" s="84" t="n">
        <f aca="false">BD13*BD16-CHOOSE(Premissas!$B$6,Cenários!BD23,Cenários!BD69,Cenários!BD115)</f>
        <v>0</v>
      </c>
      <c r="BE17" s="84" t="n">
        <f aca="false">BE13*BE16-CHOOSE(Premissas!$B$6,Cenários!BE23,Cenários!BE69,Cenários!BE115)</f>
        <v>0</v>
      </c>
      <c r="BF17" s="84" t="n">
        <f aca="false">BF13*BF16-CHOOSE(Premissas!$B$6,Cenários!BF23,Cenários!BF69,Cenários!BF115)</f>
        <v>0</v>
      </c>
      <c r="BG17" s="84" t="n">
        <f aca="false">BG13*BG16-CHOOSE(Premissas!$B$6,Cenários!BG23,Cenários!BG69,Cenários!BG115)</f>
        <v>0</v>
      </c>
      <c r="BH17" s="84" t="n">
        <f aca="false">BH13*BH16-CHOOSE(Premissas!$B$6,Cenários!BH23,Cenários!BH69,Cenários!BH115)</f>
        <v>0</v>
      </c>
      <c r="BI17" s="84" t="n">
        <f aca="false">BI13*BI16-CHOOSE(Premissas!$B$6,Cenários!BI23,Cenários!BI69,Cenários!BI115)</f>
        <v>0</v>
      </c>
      <c r="BJ17" s="85" t="n">
        <f aca="false">SUM(B17:BI17)</f>
        <v>0</v>
      </c>
      <c r="BK17" s="29" t="s">
        <v>326</v>
      </c>
    </row>
    <row r="18" customFormat="false" ht="15" hidden="false" customHeight="false" outlineLevel="0" collapsed="false">
      <c r="A18" s="27" t="s">
        <v>327</v>
      </c>
      <c r="B18" s="81" t="n">
        <f aca="false">IFERROR(CHOOSE(Premissas!$B$6,Cenários!B23,Cenários!B69,Cenários!B115)/B9,0)</f>
        <v>0</v>
      </c>
      <c r="C18" s="81" t="n">
        <f aca="false">IFERROR(CHOOSE(Premissas!$B$6,Cenários!C23,Cenários!C69,Cenários!C115)/C9,0)</f>
        <v>0</v>
      </c>
      <c r="D18" s="81" t="n">
        <f aca="false">IFERROR(CHOOSE(Premissas!$B$6,Cenários!D23,Cenários!D69,Cenários!D115)/D9,0)</f>
        <v>0</v>
      </c>
      <c r="E18" s="81" t="n">
        <f aca="false">IFERROR(CHOOSE(Premissas!$B$6,Cenários!E23,Cenários!E69,Cenários!E115)/E9,0)</f>
        <v>0</v>
      </c>
      <c r="F18" s="81" t="n">
        <f aca="false">IFERROR(CHOOSE(Premissas!$B$6,Cenários!F23,Cenários!F69,Cenários!F115)/F9,0)</f>
        <v>0</v>
      </c>
      <c r="G18" s="81" t="n">
        <f aca="false">IFERROR(CHOOSE(Premissas!$B$6,Cenários!G23,Cenários!G69,Cenários!G115)/G9,0)</f>
        <v>0</v>
      </c>
      <c r="H18" s="81" t="n">
        <f aca="false">IFERROR(CHOOSE(Premissas!$B$6,Cenários!H23,Cenários!H69,Cenários!H115)/H9,0)</f>
        <v>0</v>
      </c>
      <c r="I18" s="81" t="n">
        <f aca="false">IFERROR(CHOOSE(Premissas!$B$6,Cenários!I23,Cenários!I69,Cenários!I115)/I9,0)</f>
        <v>0</v>
      </c>
      <c r="J18" s="81" t="n">
        <f aca="false">IFERROR(CHOOSE(Premissas!$B$6,Cenários!J23,Cenários!J69,Cenários!J115)/J9,0)</f>
        <v>0</v>
      </c>
      <c r="K18" s="81" t="n">
        <f aca="false">IFERROR(CHOOSE(Premissas!$B$6,Cenários!K23,Cenários!K69,Cenários!K115)/K9,0)</f>
        <v>19.9</v>
      </c>
      <c r="L18" s="81" t="n">
        <f aca="false">IFERROR(CHOOSE(Premissas!$B$6,Cenários!L23,Cenários!L69,Cenários!L115)/L9,0)</f>
        <v>19.9</v>
      </c>
      <c r="M18" s="81" t="n">
        <f aca="false">IFERROR(CHOOSE(Premissas!$B$6,Cenários!M23,Cenários!M69,Cenários!M115)/M9,0)</f>
        <v>19.9</v>
      </c>
      <c r="N18" s="81" t="n">
        <f aca="false">IFERROR(CHOOSE(Premissas!$B$6,Cenários!N23,Cenários!N69,Cenários!N115)/N9,0)</f>
        <v>20.7955</v>
      </c>
      <c r="O18" s="81" t="n">
        <f aca="false">IFERROR(CHOOSE(Premissas!$B$6,Cenários!O23,Cenários!O69,Cenários!O115)/O9,0)</f>
        <v>20.7955</v>
      </c>
      <c r="P18" s="81" t="n">
        <f aca="false">IFERROR(CHOOSE(Premissas!$B$6,Cenários!P23,Cenários!P69,Cenários!P115)/P9,0)</f>
        <v>20.7955</v>
      </c>
      <c r="Q18" s="81" t="n">
        <f aca="false">IFERROR(CHOOSE(Premissas!$B$6,Cenários!Q23,Cenários!Q69,Cenários!Q115)/Q9,0)</f>
        <v>25.3939056564536</v>
      </c>
      <c r="R18" s="81" t="n">
        <f aca="false">IFERROR(CHOOSE(Premissas!$B$6,Cenários!R23,Cenários!R69,Cenários!R115)/R9,0)</f>
        <v>25.3931404080128</v>
      </c>
      <c r="S18" s="81" t="n">
        <f aca="false">IFERROR(CHOOSE(Premissas!$B$6,Cenários!S23,Cenários!S69,Cenários!S115)/S9,0)</f>
        <v>25.3934535090646</v>
      </c>
      <c r="T18" s="81" t="n">
        <f aca="false">IFERROR(CHOOSE(Premissas!$B$6,Cenários!T23,Cenários!T69,Cenários!T115)/T9,0)</f>
        <v>25.3938846232492</v>
      </c>
      <c r="U18" s="81" t="n">
        <f aca="false">IFERROR(CHOOSE(Premissas!$B$6,Cenários!U23,Cenários!U69,Cenários!U115)/U9,0)</f>
        <v>25.3942157534247</v>
      </c>
      <c r="V18" s="81" t="n">
        <f aca="false">IFERROR(CHOOSE(Premissas!$B$6,Cenários!V23,Cenários!V69,Cenários!V115)/V9,0)</f>
        <v>25.393238446411</v>
      </c>
      <c r="W18" s="81" t="n">
        <f aca="false">IFERROR(CHOOSE(Premissas!$B$6,Cenários!W23,Cenários!W69,Cenários!W115)/W9,0)</f>
        <v>29.1576232644768</v>
      </c>
      <c r="X18" s="81" t="n">
        <f aca="false">IFERROR(CHOOSE(Premissas!$B$6,Cenários!X23,Cenários!X69,Cenários!X115)/X9,0)</f>
        <v>29.1538131557708</v>
      </c>
      <c r="Y18" s="81" t="n">
        <f aca="false">IFERROR(CHOOSE(Premissas!$B$6,Cenários!Y23,Cenários!Y69,Cenários!Y115)/Y9,0)</f>
        <v>29.1529125657691</v>
      </c>
      <c r="Z18" s="81" t="n">
        <f aca="false">IFERROR(CHOOSE(Premissas!$B$6,Cenários!Z23,Cenários!Z69,Cenários!Z115)/Z9,0)</f>
        <v>32.2153636692839</v>
      </c>
      <c r="AA18" s="81" t="n">
        <f aca="false">IFERROR(CHOOSE(Premissas!$B$6,Cenários!AA23,Cenários!AA69,Cenários!AA115)/AA9,0)</f>
        <v>32.2150525640139</v>
      </c>
      <c r="AB18" s="81" t="n">
        <f aca="false">IFERROR(CHOOSE(Premissas!$B$6,Cenários!AB23,Cenários!AB69,Cenários!AB115)/AB9,0)</f>
        <v>32.215619152837</v>
      </c>
      <c r="AC18" s="81" t="n">
        <f aca="false">IFERROR(CHOOSE(Premissas!$B$6,Cenários!AC23,Cenários!AC69,Cenários!AC115)/AC9,0)</f>
        <v>32.2147375</v>
      </c>
      <c r="AD18" s="81" t="n">
        <f aca="false">IFERROR(CHOOSE(Premissas!$B$6,Cenários!AD23,Cenários!AD69,Cenários!AD115)/AD9,0)</f>
        <v>32.2155243087661</v>
      </c>
      <c r="AE18" s="81" t="n">
        <f aca="false">IFERROR(CHOOSE(Premissas!$B$6,Cenários!AE23,Cenários!AE69,Cenários!AE115)/AE9,0)</f>
        <v>32.2157384012794</v>
      </c>
      <c r="AF18" s="81" t="n">
        <f aca="false">IFERROR(CHOOSE(Premissas!$B$6,Cenários!AF23,Cenários!AF69,Cenários!AF115)/AF9,0)</f>
        <v>32.213577579663</v>
      </c>
      <c r="AG18" s="81" t="n">
        <f aca="false">IFERROR(CHOOSE(Premissas!$B$6,Cenários!AG23,Cenários!AG69,Cenários!AG115)/AG9,0)</f>
        <v>32.2156622510254</v>
      </c>
      <c r="AH18" s="81" t="n">
        <f aca="false">IFERROR(CHOOSE(Premissas!$B$6,Cenários!AH23,Cenários!AH69,Cenários!AH115)/AH9,0)</f>
        <v>32.2155945016207</v>
      </c>
      <c r="AI18" s="81" t="n">
        <f aca="false">IFERROR(CHOOSE(Premissas!$B$6,Cenários!AI23,Cenários!AI69,Cenários!AI115)/AI9,0)</f>
        <v>32.2140867319152</v>
      </c>
      <c r="AJ18" s="81" t="n">
        <f aca="false">IFERROR(CHOOSE(Premissas!$B$6,Cenários!AJ23,Cenários!AJ69,Cenários!AJ115)/AJ9,0)</f>
        <v>32.2130839161733</v>
      </c>
      <c r="AK18" s="81" t="n">
        <f aca="false">IFERROR(CHOOSE(Premissas!$B$6,Cenários!AK23,Cenários!AK69,Cenários!AK115)/AK9,0)</f>
        <v>32.2147375</v>
      </c>
      <c r="AL18" s="81" t="n">
        <f aca="false">IFERROR(CHOOSE(Premissas!$B$6,Cenários!AL23,Cenários!AL69,Cenários!AL115)/AL9,0)</f>
        <v>35.4906686878423</v>
      </c>
      <c r="AM18" s="81" t="n">
        <f aca="false">IFERROR(CHOOSE(Premissas!$B$6,Cenários!AM23,Cenários!AM69,Cenários!AM115)/AM9,0)</f>
        <v>35.4915750391961</v>
      </c>
      <c r="AN18" s="81" t="n">
        <f aca="false">IFERROR(CHOOSE(Premissas!$B$6,Cenários!AN23,Cenários!AN69,Cenários!AN115)/AN9,0)</f>
        <v>35.4913954007857</v>
      </c>
      <c r="AO18" s="81" t="n">
        <f aca="false">IFERROR(CHOOSE(Premissas!$B$6,Cenários!AO23,Cenários!AO69,Cenários!AO115)/AO9,0)</f>
        <v>35.4898992261972</v>
      </c>
      <c r="AP18" s="81" t="n">
        <f aca="false">IFERROR(CHOOSE(Premissas!$B$6,Cenários!AP23,Cenários!AP69,Cenários!AP115)/AP9,0)</f>
        <v>35.4907941072408</v>
      </c>
      <c r="AQ18" s="81" t="n">
        <f aca="false">IFERROR(CHOOSE(Premissas!$B$6,Cenários!AQ23,Cenários!AQ69,Cenários!AQ115)/AQ9,0)</f>
        <v>35.4904840308848</v>
      </c>
      <c r="AR18" s="81" t="n">
        <f aca="false">IFERROR(CHOOSE(Premissas!$B$6,Cenários!AR23,Cenários!AR69,Cenários!AR115)/AR9,0)</f>
        <v>35.4908967886814</v>
      </c>
      <c r="AS18" s="81" t="n">
        <f aca="false">IFERROR(CHOOSE(Premissas!$B$6,Cenários!AS23,Cenários!AS69,Cenários!AS115)/AS9,0)</f>
        <v>35.4911939889595</v>
      </c>
      <c r="AT18" s="81" t="n">
        <f aca="false">IFERROR(CHOOSE(Premissas!$B$6,Cenários!AT23,Cenários!AT69,Cenários!AT115)/AT9,0)</f>
        <v>35.4900905936799</v>
      </c>
      <c r="AU18" s="81" t="n">
        <f aca="false">IFERROR(CHOOSE(Premissas!$B$6,Cenários!AU23,Cenários!AU69,Cenários!AU115)/AU9,0)</f>
        <v>35.4901807882298</v>
      </c>
      <c r="AV18" s="81" t="n">
        <f aca="false">IFERROR(CHOOSE(Premissas!$B$6,Cenários!AV23,Cenários!AV69,Cenários!AV115)/AV9,0)</f>
        <v>35.4907268566246</v>
      </c>
      <c r="AW18" s="81" t="n">
        <f aca="false">IFERROR(CHOOSE(Premissas!$B$6,Cenários!AW23,Cenários!AW69,Cenários!AW115)/AW9,0)</f>
        <v>35.4910037807609</v>
      </c>
      <c r="AX18" s="81" t="n">
        <f aca="false">IFERROR(CHOOSE(Premissas!$B$6,Cenários!AX23,Cenários!AX69,Cenários!AX115)/AX9,0)</f>
        <v>38.9951168023156</v>
      </c>
      <c r="AY18" s="81" t="n">
        <f aca="false">IFERROR(CHOOSE(Premissas!$B$6,Cenários!AY23,Cenários!AY69,Cenários!AY115)/AY9,0)</f>
        <v>38.9951302296007</v>
      </c>
      <c r="AZ18" s="81" t="n">
        <f aca="false">IFERROR(CHOOSE(Premissas!$B$6,Cenários!AZ23,Cenários!AZ69,Cenários!AZ115)/AZ9,0)</f>
        <v>38.9947081053602</v>
      </c>
      <c r="BA18" s="81" t="n">
        <f aca="false">IFERROR(CHOOSE(Premissas!$B$6,Cenários!BA23,Cenários!BA69,Cenários!BA115)/BA9,0)</f>
        <v>38.9946891699384</v>
      </c>
      <c r="BB18" s="81" t="n">
        <f aca="false">IFERROR(CHOOSE(Premissas!$B$6,Cenários!BB23,Cenários!BB69,Cenários!BB115)/BB9,0)</f>
        <v>38.9956641124736</v>
      </c>
      <c r="BC18" s="81" t="n">
        <f aca="false">IFERROR(CHOOSE(Premissas!$B$6,Cenários!BC23,Cenários!BC69,Cenários!BC115)/BC9,0)</f>
        <v>38.995402464438</v>
      </c>
      <c r="BD18" s="81" t="n">
        <f aca="false">IFERROR(CHOOSE(Premissas!$B$6,Cenários!BD23,Cenários!BD69,Cenários!BD115)/BD9,0)</f>
        <v>38.9953154646163</v>
      </c>
      <c r="BE18" s="81" t="n">
        <f aca="false">IFERROR(CHOOSE(Premissas!$B$6,Cenários!BE23,Cenários!BE69,Cenários!BE115)/BE9,0)</f>
        <v>38.994777215743</v>
      </c>
      <c r="BF18" s="81" t="n">
        <f aca="false">IFERROR(CHOOSE(Premissas!$B$6,Cenários!BF23,Cenários!BF69,Cenários!BF115)/BF9,0)</f>
        <v>38.995923478912</v>
      </c>
      <c r="BG18" s="81" t="n">
        <f aca="false">IFERROR(CHOOSE(Premissas!$B$6,Cenários!BG23,Cenários!BG69,Cenários!BG115)/BG9,0)</f>
        <v>38.9951876298774</v>
      </c>
      <c r="BH18" s="81" t="n">
        <f aca="false">IFERROR(CHOOSE(Premissas!$B$6,Cenários!BH23,Cenários!BH69,Cenários!BH115)/BH9,0)</f>
        <v>38.9950247853936</v>
      </c>
      <c r="BI18" s="81" t="n">
        <f aca="false">IFERROR(CHOOSE(Premissas!$B$6,Cenários!BI23,Cenários!BI69,Cenários!BI115)/BI9,0)</f>
        <v>38.9954461414571</v>
      </c>
      <c r="BK18" s="29" t="s">
        <v>328</v>
      </c>
    </row>
    <row r="20" customFormat="false" ht="18" hidden="false" customHeight="true" outlineLevel="0" collapsed="false">
      <c r="A20" s="25" t="s">
        <v>329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</row>
    <row r="21" customFormat="false" ht="15" hidden="false" customHeight="false" outlineLevel="0" collapsed="false">
      <c r="A21" s="66" t="s">
        <v>330</v>
      </c>
      <c r="B21" s="86" t="n">
        <f aca="false">CHOOSE(Premissas!$B$6,Cenários!B30,Cenários!B76,Cenários!B122)</f>
        <v>0.155</v>
      </c>
      <c r="C21" s="86" t="n">
        <f aca="false">CHOOSE(Premissas!$B$6,Cenários!C30,Cenários!C76,Cenários!C122)</f>
        <v>0.155</v>
      </c>
      <c r="D21" s="86" t="n">
        <f aca="false">CHOOSE(Premissas!$B$6,Cenários!D30,Cenários!D76,Cenários!D122)</f>
        <v>0.155</v>
      </c>
      <c r="E21" s="86" t="n">
        <f aca="false">CHOOSE(Premissas!$B$6,Cenários!E30,Cenários!E76,Cenários!E122)</f>
        <v>0.155</v>
      </c>
      <c r="F21" s="86" t="n">
        <f aca="false">CHOOSE(Premissas!$B$6,Cenários!F30,Cenários!F76,Cenários!F122)</f>
        <v>0.155</v>
      </c>
      <c r="G21" s="86" t="n">
        <f aca="false">CHOOSE(Premissas!$B$6,Cenários!G30,Cenários!G76,Cenários!G122)</f>
        <v>0.155</v>
      </c>
      <c r="H21" s="86" t="n">
        <f aca="false">CHOOSE(Premissas!$B$6,Cenários!H30,Cenários!H76,Cenários!H122)</f>
        <v>0.155</v>
      </c>
      <c r="I21" s="86" t="n">
        <f aca="false">CHOOSE(Premissas!$B$6,Cenários!I30,Cenários!I76,Cenários!I122)</f>
        <v>0.155</v>
      </c>
      <c r="J21" s="86" t="n">
        <f aca="false">CHOOSE(Premissas!$B$6,Cenários!J30,Cenários!J76,Cenários!J122)</f>
        <v>0.155</v>
      </c>
      <c r="K21" s="86" t="n">
        <f aca="false">CHOOSE(Premissas!$B$6,Cenários!K30,Cenários!K76,Cenários!K122)</f>
        <v>0.155</v>
      </c>
      <c r="L21" s="86" t="n">
        <f aca="false">CHOOSE(Premissas!$B$6,Cenários!L30,Cenários!L76,Cenários!L122)</f>
        <v>0.155</v>
      </c>
      <c r="M21" s="86" t="n">
        <f aca="false">CHOOSE(Premissas!$B$6,Cenários!M30,Cenários!M76,Cenários!M122)</f>
        <v>0.155</v>
      </c>
      <c r="N21" s="86" t="n">
        <f aca="false">CHOOSE(Premissas!$B$6,Cenários!N30,Cenários!N76,Cenários!N122)</f>
        <v>0.155</v>
      </c>
      <c r="O21" s="86" t="n">
        <f aca="false">CHOOSE(Premissas!$B$6,Cenários!O30,Cenários!O76,Cenários!O122)</f>
        <v>0.155</v>
      </c>
      <c r="P21" s="86" t="n">
        <f aca="false">CHOOSE(Premissas!$B$6,Cenários!P30,Cenários!P76,Cenários!P122)</f>
        <v>0.156593871701344</v>
      </c>
      <c r="Q21" s="86" t="n">
        <f aca="false">CHOOSE(Premissas!$B$6,Cenários!Q30,Cenários!Q76,Cenários!Q122)</f>
        <v>0.166260481710397</v>
      </c>
      <c r="R21" s="86" t="n">
        <f aca="false">CHOOSE(Premissas!$B$6,Cenários!R30,Cenários!R76,Cenários!R122)</f>
        <v>0.17587701089176</v>
      </c>
      <c r="S21" s="86" t="n">
        <f aca="false">CHOOSE(Premissas!$B$6,Cenários!S30,Cenários!S76,Cenários!S122)</f>
        <v>0.181646884118957</v>
      </c>
      <c r="T21" s="86" t="n">
        <f aca="false">CHOOSE(Premissas!$B$6,Cenários!T30,Cenários!T76,Cenários!T122)</f>
        <v>0.187358224867618</v>
      </c>
      <c r="U21" s="86" t="n">
        <f aca="false">CHOOSE(Premissas!$B$6,Cenários!U30,Cenários!U76,Cenários!U122)</f>
        <v>0.191065581648779</v>
      </c>
      <c r="V21" s="86" t="n">
        <f aca="false">CHOOSE(Premissas!$B$6,Cenários!V30,Cenários!V76,Cenários!V122)</f>
        <v>0.193632894854391</v>
      </c>
      <c r="W21" s="86" t="n">
        <f aca="false">CHOOSE(Premissas!$B$6,Cenários!W30,Cenários!W76,Cenários!W122)</f>
        <v>0.195496258947315</v>
      </c>
      <c r="X21" s="86" t="n">
        <f aca="false">CHOOSE(Premissas!$B$6,Cenários!X30,Cenários!X76,Cenários!X122)</f>
        <v>0.201145540852</v>
      </c>
      <c r="Y21" s="86" t="n">
        <f aca="false">CHOOSE(Premissas!$B$6,Cenários!Y30,Cenários!Y76,Cenários!Y122)</f>
        <v>0.205297540658413</v>
      </c>
      <c r="Z21" s="86" t="n">
        <f aca="false">CHOOSE(Premissas!$B$6,Cenários!Z30,Cenários!Z76,Cenários!Z122)</f>
        <v>0.208425082801468</v>
      </c>
      <c r="AA21" s="86" t="n">
        <f aca="false">CHOOSE(Premissas!$B$6,Cenários!AA30,Cenários!AA76,Cenários!AA122)</f>
        <v>0.211390119549705</v>
      </c>
      <c r="AB21" s="86" t="n">
        <f aca="false">CHOOSE(Premissas!$B$6,Cenários!AB30,Cenários!AB76,Cenários!AB122)</f>
        <v>0.163039841088372</v>
      </c>
      <c r="AC21" s="86" t="n">
        <f aca="false">CHOOSE(Premissas!$B$6,Cenários!AC30,Cenários!AC76,Cenários!AC122)</f>
        <v>0.178535616001447</v>
      </c>
      <c r="AD21" s="86" t="n">
        <f aca="false">CHOOSE(Premissas!$B$6,Cenários!AD30,Cenários!AD76,Cenários!AD122)</f>
        <v>0.19056167579252</v>
      </c>
      <c r="AE21" s="86" t="n">
        <f aca="false">CHOOSE(Premissas!$B$6,Cenários!AE30,Cenários!AE76,Cenários!AE122)</f>
        <v>0.1633</v>
      </c>
      <c r="AF21" s="86" t="n">
        <f aca="false">CHOOSE(Premissas!$B$6,Cenários!AF30,Cenários!AF76,Cenários!AF122)</f>
        <v>0.1633</v>
      </c>
      <c r="AG21" s="86" t="n">
        <f aca="false">CHOOSE(Premissas!$B$6,Cenários!AG30,Cenários!AG76,Cenários!AG122)</f>
        <v>0.1633</v>
      </c>
      <c r="AH21" s="86" t="n">
        <f aca="false">CHOOSE(Premissas!$B$6,Cenários!AH30,Cenários!AH76,Cenários!AH122)</f>
        <v>0.1633</v>
      </c>
      <c r="AI21" s="86" t="n">
        <f aca="false">CHOOSE(Premissas!$B$6,Cenários!AI30,Cenários!AI76,Cenários!AI122)</f>
        <v>0.1633</v>
      </c>
      <c r="AJ21" s="86" t="n">
        <f aca="false">CHOOSE(Premissas!$B$6,Cenários!AJ30,Cenários!AJ76,Cenários!AJ122)</f>
        <v>0.1633</v>
      </c>
      <c r="AK21" s="86" t="n">
        <f aca="false">CHOOSE(Premissas!$B$6,Cenários!AK30,Cenários!AK76,Cenários!AK122)</f>
        <v>0.1633</v>
      </c>
      <c r="AL21" s="86" t="n">
        <f aca="false">CHOOSE(Premissas!$B$6,Cenários!AL30,Cenários!AL76,Cenários!AL122)</f>
        <v>0.1633</v>
      </c>
      <c r="AM21" s="86" t="n">
        <f aca="false">CHOOSE(Premissas!$B$6,Cenários!AM30,Cenários!AM76,Cenários!AM122)</f>
        <v>0.1633</v>
      </c>
      <c r="AN21" s="86" t="n">
        <f aca="false">CHOOSE(Premissas!$B$6,Cenários!AN30,Cenários!AN76,Cenários!AN122)</f>
        <v>0.1633</v>
      </c>
      <c r="AO21" s="86" t="n">
        <f aca="false">CHOOSE(Premissas!$B$6,Cenários!AO30,Cenários!AO76,Cenários!AO122)</f>
        <v>0.1633</v>
      </c>
      <c r="AP21" s="86" t="n">
        <f aca="false">CHOOSE(Premissas!$B$6,Cenários!AP30,Cenários!AP76,Cenários!AP122)</f>
        <v>0.1633</v>
      </c>
      <c r="AQ21" s="86" t="n">
        <f aca="false">CHOOSE(Premissas!$B$6,Cenários!AQ30,Cenários!AQ76,Cenários!AQ122)</f>
        <v>0.1633</v>
      </c>
      <c r="AR21" s="86" t="n">
        <f aca="false">CHOOSE(Premissas!$B$6,Cenários!AR30,Cenários!AR76,Cenários!AR122)</f>
        <v>0.1633</v>
      </c>
      <c r="AS21" s="86" t="n">
        <f aca="false">CHOOSE(Premissas!$B$6,Cenários!AS30,Cenários!AS76,Cenários!AS122)</f>
        <v>0.1633</v>
      </c>
      <c r="AT21" s="86" t="n">
        <f aca="false">CHOOSE(Premissas!$B$6,Cenários!AT30,Cenários!AT76,Cenários!AT122)</f>
        <v>0.1633</v>
      </c>
      <c r="AU21" s="86" t="n">
        <f aca="false">CHOOSE(Premissas!$B$6,Cenários!AU30,Cenários!AU76,Cenários!AU122)</f>
        <v>0.1633</v>
      </c>
      <c r="AV21" s="86" t="n">
        <f aca="false">CHOOSE(Premissas!$B$6,Cenários!AV30,Cenários!AV76,Cenários!AV122)</f>
        <v>0.1633</v>
      </c>
      <c r="AW21" s="86" t="n">
        <f aca="false">CHOOSE(Premissas!$B$6,Cenários!AW30,Cenários!AW76,Cenários!AW122)</f>
        <v>0.1633</v>
      </c>
      <c r="AX21" s="86" t="n">
        <f aca="false">CHOOSE(Premissas!$B$6,Cenários!AX30,Cenários!AX76,Cenários!AX122)</f>
        <v>0.1633</v>
      </c>
      <c r="AY21" s="86" t="n">
        <f aca="false">CHOOSE(Premissas!$B$6,Cenários!AY30,Cenários!AY76,Cenários!AY122)</f>
        <v>0.1633</v>
      </c>
      <c r="AZ21" s="86" t="n">
        <f aca="false">CHOOSE(Premissas!$B$6,Cenários!AZ30,Cenários!AZ76,Cenários!AZ122)</f>
        <v>0.1633</v>
      </c>
      <c r="BA21" s="86" t="n">
        <f aca="false">CHOOSE(Premissas!$B$6,Cenários!BA30,Cenários!BA76,Cenários!BA122)</f>
        <v>0.1633</v>
      </c>
      <c r="BB21" s="86" t="n">
        <f aca="false">CHOOSE(Premissas!$B$6,Cenários!BB30,Cenários!BB76,Cenários!BB122)</f>
        <v>0.1633</v>
      </c>
      <c r="BC21" s="86" t="n">
        <f aca="false">CHOOSE(Premissas!$B$6,Cenários!BC30,Cenários!BC76,Cenários!BC122)</f>
        <v>0.1633</v>
      </c>
      <c r="BD21" s="86" t="n">
        <f aca="false">CHOOSE(Premissas!$B$6,Cenários!BD30,Cenários!BD76,Cenários!BD122)</f>
        <v>0.1633</v>
      </c>
      <c r="BE21" s="86" t="n">
        <f aca="false">CHOOSE(Premissas!$B$6,Cenários!BE30,Cenários!BE76,Cenários!BE122)</f>
        <v>0.1633</v>
      </c>
      <c r="BF21" s="86" t="n">
        <f aca="false">CHOOSE(Premissas!$B$6,Cenários!BF30,Cenários!BF76,Cenários!BF122)</f>
        <v>0.1633</v>
      </c>
      <c r="BG21" s="86" t="n">
        <f aca="false">CHOOSE(Premissas!$B$6,Cenários!BG30,Cenários!BG76,Cenários!BG122)</f>
        <v>0.1633</v>
      </c>
      <c r="BH21" s="86" t="n">
        <f aca="false">CHOOSE(Premissas!$B$6,Cenários!BH30,Cenários!BH76,Cenários!BH122)</f>
        <v>0.1633</v>
      </c>
      <c r="BI21" s="86" t="n">
        <f aca="false">CHOOSE(Premissas!$B$6,Cenários!BI30,Cenários!BI76,Cenários!BI122)</f>
        <v>0.1633</v>
      </c>
    </row>
    <row r="22" customFormat="false" ht="15" hidden="false" customHeight="false" outlineLevel="0" collapsed="false">
      <c r="A22" s="27" t="s">
        <v>331</v>
      </c>
      <c r="B22" s="87" t="n">
        <f aca="false">Premissas!$B$73*INDEX(Premissas!$C$74:$G$74,B$7)</f>
        <v>0.1275</v>
      </c>
      <c r="C22" s="87" t="n">
        <f aca="false">Premissas!$B$73*INDEX(Premissas!$C$74:$G$74,C$7)</f>
        <v>0.1275</v>
      </c>
      <c r="D22" s="87" t="n">
        <f aca="false">Premissas!$B$73*INDEX(Premissas!$C$74:$G$74,D$7)</f>
        <v>0.1275</v>
      </c>
      <c r="E22" s="87" t="n">
        <f aca="false">Premissas!$B$73*INDEX(Premissas!$C$74:$G$74,E$7)</f>
        <v>0.1275</v>
      </c>
      <c r="F22" s="87" t="n">
        <f aca="false">Premissas!$B$73*INDEX(Premissas!$C$74:$G$74,F$7)</f>
        <v>0.1275</v>
      </c>
      <c r="G22" s="87" t="n">
        <f aca="false">Premissas!$B$73*INDEX(Premissas!$C$74:$G$74,G$7)</f>
        <v>0.1275</v>
      </c>
      <c r="H22" s="87" t="n">
        <f aca="false">Premissas!$B$73*INDEX(Premissas!$C$74:$G$74,H$7)</f>
        <v>0.1275</v>
      </c>
      <c r="I22" s="87" t="n">
        <f aca="false">Premissas!$B$73*INDEX(Premissas!$C$74:$G$74,I$7)</f>
        <v>0.1275</v>
      </c>
      <c r="J22" s="87" t="n">
        <f aca="false">Premissas!$B$73*INDEX(Premissas!$C$74:$G$74,J$7)</f>
        <v>0.1275</v>
      </c>
      <c r="K22" s="87" t="n">
        <f aca="false">Premissas!$B$73*INDEX(Premissas!$C$74:$G$74,K$7)</f>
        <v>0.1275</v>
      </c>
      <c r="L22" s="87" t="n">
        <f aca="false">Premissas!$B$73*INDEX(Premissas!$C$74:$G$74,L$7)</f>
        <v>0.1275</v>
      </c>
      <c r="M22" s="87" t="n">
        <f aca="false">Premissas!$B$73*INDEX(Premissas!$C$74:$G$74,M$7)</f>
        <v>0.1275</v>
      </c>
      <c r="N22" s="87" t="n">
        <f aca="false">Premissas!$B$73*INDEX(Premissas!$C$74:$G$74,N$7)</f>
        <v>0.12</v>
      </c>
      <c r="O22" s="87" t="n">
        <f aca="false">Premissas!$B$73*INDEX(Premissas!$C$74:$G$74,O$7)</f>
        <v>0.12</v>
      </c>
      <c r="P22" s="87" t="n">
        <f aca="false">Premissas!$B$73*INDEX(Premissas!$C$74:$G$74,P$7)</f>
        <v>0.12</v>
      </c>
      <c r="Q22" s="87" t="n">
        <f aca="false">Premissas!$B$73*INDEX(Premissas!$C$74:$G$74,Q$7)</f>
        <v>0.12</v>
      </c>
      <c r="R22" s="87" t="n">
        <f aca="false">Premissas!$B$73*INDEX(Premissas!$C$74:$G$74,R$7)</f>
        <v>0.12</v>
      </c>
      <c r="S22" s="87" t="n">
        <f aca="false">Premissas!$B$73*INDEX(Premissas!$C$74:$G$74,S$7)</f>
        <v>0.12</v>
      </c>
      <c r="T22" s="87" t="n">
        <f aca="false">Premissas!$B$73*INDEX(Premissas!$C$74:$G$74,T$7)</f>
        <v>0.12</v>
      </c>
      <c r="U22" s="87" t="n">
        <f aca="false">Premissas!$B$73*INDEX(Premissas!$C$74:$G$74,U$7)</f>
        <v>0.12</v>
      </c>
      <c r="V22" s="87" t="n">
        <f aca="false">Premissas!$B$73*INDEX(Premissas!$C$74:$G$74,V$7)</f>
        <v>0.12</v>
      </c>
      <c r="W22" s="87" t="n">
        <f aca="false">Premissas!$B$73*INDEX(Premissas!$C$74:$G$74,W$7)</f>
        <v>0.12</v>
      </c>
      <c r="X22" s="87" t="n">
        <f aca="false">Premissas!$B$73*INDEX(Premissas!$C$74:$G$74,X$7)</f>
        <v>0.12</v>
      </c>
      <c r="Y22" s="87" t="n">
        <f aca="false">Premissas!$B$73*INDEX(Premissas!$C$74:$G$74,Y$7)</f>
        <v>0.12</v>
      </c>
      <c r="Z22" s="87" t="n">
        <f aca="false">Premissas!$B$73*INDEX(Premissas!$C$74:$G$74,Z$7)</f>
        <v>0.1125</v>
      </c>
      <c r="AA22" s="87" t="n">
        <f aca="false">Premissas!$B$73*INDEX(Premissas!$C$74:$G$74,AA$7)</f>
        <v>0.1125</v>
      </c>
      <c r="AB22" s="87" t="n">
        <f aca="false">Premissas!$B$73*INDEX(Premissas!$C$74:$G$74,AB$7)</f>
        <v>0.1125</v>
      </c>
      <c r="AC22" s="87" t="n">
        <f aca="false">Premissas!$B$73*INDEX(Premissas!$C$74:$G$74,AC$7)</f>
        <v>0.1125</v>
      </c>
      <c r="AD22" s="87" t="n">
        <f aca="false">Premissas!$B$73*INDEX(Premissas!$C$74:$G$74,AD$7)</f>
        <v>0.1125</v>
      </c>
      <c r="AE22" s="87" t="n">
        <f aca="false">Premissas!$B$73*INDEX(Premissas!$C$74:$G$74,AE$7)</f>
        <v>0.1125</v>
      </c>
      <c r="AF22" s="87" t="n">
        <f aca="false">Premissas!$B$73*INDEX(Premissas!$C$74:$G$74,AF$7)</f>
        <v>0.1125</v>
      </c>
      <c r="AG22" s="87" t="n">
        <f aca="false">Premissas!$B$73*INDEX(Premissas!$C$74:$G$74,AG$7)</f>
        <v>0.1125</v>
      </c>
      <c r="AH22" s="87" t="n">
        <f aca="false">Premissas!$B$73*INDEX(Premissas!$C$74:$G$74,AH$7)</f>
        <v>0.1125</v>
      </c>
      <c r="AI22" s="87" t="n">
        <f aca="false">Premissas!$B$73*INDEX(Premissas!$C$74:$G$74,AI$7)</f>
        <v>0.1125</v>
      </c>
      <c r="AJ22" s="87" t="n">
        <f aca="false">Premissas!$B$73*INDEX(Premissas!$C$74:$G$74,AJ$7)</f>
        <v>0.1125</v>
      </c>
      <c r="AK22" s="87" t="n">
        <f aca="false">Premissas!$B$73*INDEX(Premissas!$C$74:$G$74,AK$7)</f>
        <v>0.1125</v>
      </c>
      <c r="AL22" s="87" t="n">
        <f aca="false">Premissas!$B$73*INDEX(Premissas!$C$74:$G$74,AL$7)</f>
        <v>0.108</v>
      </c>
      <c r="AM22" s="87" t="n">
        <f aca="false">Premissas!$B$73*INDEX(Premissas!$C$74:$G$74,AM$7)</f>
        <v>0.108</v>
      </c>
      <c r="AN22" s="87" t="n">
        <f aca="false">Premissas!$B$73*INDEX(Premissas!$C$74:$G$74,AN$7)</f>
        <v>0.108</v>
      </c>
      <c r="AO22" s="87" t="n">
        <f aca="false">Premissas!$B$73*INDEX(Premissas!$C$74:$G$74,AO$7)</f>
        <v>0.108</v>
      </c>
      <c r="AP22" s="87" t="n">
        <f aca="false">Premissas!$B$73*INDEX(Premissas!$C$74:$G$74,AP$7)</f>
        <v>0.108</v>
      </c>
      <c r="AQ22" s="87" t="n">
        <f aca="false">Premissas!$B$73*INDEX(Premissas!$C$74:$G$74,AQ$7)</f>
        <v>0.108</v>
      </c>
      <c r="AR22" s="87" t="n">
        <f aca="false">Premissas!$B$73*INDEX(Premissas!$C$74:$G$74,AR$7)</f>
        <v>0.108</v>
      </c>
      <c r="AS22" s="87" t="n">
        <f aca="false">Premissas!$B$73*INDEX(Premissas!$C$74:$G$74,AS$7)</f>
        <v>0.108</v>
      </c>
      <c r="AT22" s="87" t="n">
        <f aca="false">Premissas!$B$73*INDEX(Premissas!$C$74:$G$74,AT$7)</f>
        <v>0.108</v>
      </c>
      <c r="AU22" s="87" t="n">
        <f aca="false">Premissas!$B$73*INDEX(Premissas!$C$74:$G$74,AU$7)</f>
        <v>0.108</v>
      </c>
      <c r="AV22" s="87" t="n">
        <f aca="false">Premissas!$B$73*INDEX(Premissas!$C$74:$G$74,AV$7)</f>
        <v>0.108</v>
      </c>
      <c r="AW22" s="87" t="n">
        <f aca="false">Premissas!$B$73*INDEX(Premissas!$C$74:$G$74,AW$7)</f>
        <v>0.108</v>
      </c>
      <c r="AX22" s="87" t="n">
        <f aca="false">Premissas!$B$73*INDEX(Premissas!$C$74:$G$74,AX$7)</f>
        <v>0.105</v>
      </c>
      <c r="AY22" s="87" t="n">
        <f aca="false">Premissas!$B$73*INDEX(Premissas!$C$74:$G$74,AY$7)</f>
        <v>0.105</v>
      </c>
      <c r="AZ22" s="87" t="n">
        <f aca="false">Premissas!$B$73*INDEX(Premissas!$C$74:$G$74,AZ$7)</f>
        <v>0.105</v>
      </c>
      <c r="BA22" s="87" t="n">
        <f aca="false">Premissas!$B$73*INDEX(Premissas!$C$74:$G$74,BA$7)</f>
        <v>0.105</v>
      </c>
      <c r="BB22" s="87" t="n">
        <f aca="false">Premissas!$B$73*INDEX(Premissas!$C$74:$G$74,BB$7)</f>
        <v>0.105</v>
      </c>
      <c r="BC22" s="87" t="n">
        <f aca="false">Premissas!$B$73*INDEX(Premissas!$C$74:$G$74,BC$7)</f>
        <v>0.105</v>
      </c>
      <c r="BD22" s="87" t="n">
        <f aca="false">Premissas!$B$73*INDEX(Premissas!$C$74:$G$74,BD$7)</f>
        <v>0.105</v>
      </c>
      <c r="BE22" s="87" t="n">
        <f aca="false">Premissas!$B$73*INDEX(Premissas!$C$74:$G$74,BE$7)</f>
        <v>0.105</v>
      </c>
      <c r="BF22" s="87" t="n">
        <f aca="false">Premissas!$B$73*INDEX(Premissas!$C$74:$G$74,BF$7)</f>
        <v>0.105</v>
      </c>
      <c r="BG22" s="87" t="n">
        <f aca="false">Premissas!$B$73*INDEX(Premissas!$C$74:$G$74,BG$7)</f>
        <v>0.105</v>
      </c>
      <c r="BH22" s="87" t="n">
        <f aca="false">Premissas!$B$73*INDEX(Premissas!$C$74:$G$74,BH$7)</f>
        <v>0.105</v>
      </c>
      <c r="BI22" s="87" t="n">
        <f aca="false">Premissas!$B$73*INDEX(Premissas!$C$74:$G$74,BI$7)</f>
        <v>0.105</v>
      </c>
      <c r="BK22" s="29" t="s">
        <v>332</v>
      </c>
    </row>
    <row r="23" customFormat="false" ht="15" hidden="false" customHeight="false" outlineLevel="0" collapsed="false">
      <c r="A23" s="27" t="s">
        <v>333</v>
      </c>
      <c r="B23" s="87" t="n">
        <f aca="false">Premissas!$B$75*(1-INDEX(Premissas!$C$74:$G$74,B$7))</f>
        <v>0.00675</v>
      </c>
      <c r="C23" s="87" t="n">
        <f aca="false">Premissas!$B$75*(1-INDEX(Premissas!$C$74:$G$74,C$7))</f>
        <v>0.00675</v>
      </c>
      <c r="D23" s="87" t="n">
        <f aca="false">Premissas!$B$75*(1-INDEX(Premissas!$C$74:$G$74,D$7))</f>
        <v>0.00675</v>
      </c>
      <c r="E23" s="87" t="n">
        <f aca="false">Premissas!$B$75*(1-INDEX(Premissas!$C$74:$G$74,E$7))</f>
        <v>0.00675</v>
      </c>
      <c r="F23" s="87" t="n">
        <f aca="false">Premissas!$B$75*(1-INDEX(Premissas!$C$74:$G$74,F$7))</f>
        <v>0.00675</v>
      </c>
      <c r="G23" s="87" t="n">
        <f aca="false">Premissas!$B$75*(1-INDEX(Premissas!$C$74:$G$74,G$7))</f>
        <v>0.00675</v>
      </c>
      <c r="H23" s="87" t="n">
        <f aca="false">Premissas!$B$75*(1-INDEX(Premissas!$C$74:$G$74,H$7))</f>
        <v>0.00675</v>
      </c>
      <c r="I23" s="87" t="n">
        <f aca="false">Premissas!$B$75*(1-INDEX(Premissas!$C$74:$G$74,I$7))</f>
        <v>0.00675</v>
      </c>
      <c r="J23" s="87" t="n">
        <f aca="false">Premissas!$B$75*(1-INDEX(Premissas!$C$74:$G$74,J$7))</f>
        <v>0.00675</v>
      </c>
      <c r="K23" s="87" t="n">
        <f aca="false">Premissas!$B$75*(1-INDEX(Premissas!$C$74:$G$74,K$7))</f>
        <v>0.00675</v>
      </c>
      <c r="L23" s="87" t="n">
        <f aca="false">Premissas!$B$75*(1-INDEX(Premissas!$C$74:$G$74,L$7))</f>
        <v>0.00675</v>
      </c>
      <c r="M23" s="87" t="n">
        <f aca="false">Premissas!$B$75*(1-INDEX(Premissas!$C$74:$G$74,M$7))</f>
        <v>0.00675</v>
      </c>
      <c r="N23" s="87" t="n">
        <f aca="false">Premissas!$B$75*(1-INDEX(Premissas!$C$74:$G$74,N$7))</f>
        <v>0.009</v>
      </c>
      <c r="O23" s="87" t="n">
        <f aca="false">Premissas!$B$75*(1-INDEX(Premissas!$C$74:$G$74,O$7))</f>
        <v>0.009</v>
      </c>
      <c r="P23" s="87" t="n">
        <f aca="false">Premissas!$B$75*(1-INDEX(Premissas!$C$74:$G$74,P$7))</f>
        <v>0.009</v>
      </c>
      <c r="Q23" s="87" t="n">
        <f aca="false">Premissas!$B$75*(1-INDEX(Premissas!$C$74:$G$74,Q$7))</f>
        <v>0.009</v>
      </c>
      <c r="R23" s="87" t="n">
        <f aca="false">Premissas!$B$75*(1-INDEX(Premissas!$C$74:$G$74,R$7))</f>
        <v>0.009</v>
      </c>
      <c r="S23" s="87" t="n">
        <f aca="false">Premissas!$B$75*(1-INDEX(Premissas!$C$74:$G$74,S$7))</f>
        <v>0.009</v>
      </c>
      <c r="T23" s="87" t="n">
        <f aca="false">Premissas!$B$75*(1-INDEX(Premissas!$C$74:$G$74,T$7))</f>
        <v>0.009</v>
      </c>
      <c r="U23" s="87" t="n">
        <f aca="false">Premissas!$B$75*(1-INDEX(Premissas!$C$74:$G$74,U$7))</f>
        <v>0.009</v>
      </c>
      <c r="V23" s="87" t="n">
        <f aca="false">Premissas!$B$75*(1-INDEX(Premissas!$C$74:$G$74,V$7))</f>
        <v>0.009</v>
      </c>
      <c r="W23" s="87" t="n">
        <f aca="false">Premissas!$B$75*(1-INDEX(Premissas!$C$74:$G$74,W$7))</f>
        <v>0.009</v>
      </c>
      <c r="X23" s="87" t="n">
        <f aca="false">Premissas!$B$75*(1-INDEX(Premissas!$C$74:$G$74,X$7))</f>
        <v>0.009</v>
      </c>
      <c r="Y23" s="87" t="n">
        <f aca="false">Premissas!$B$75*(1-INDEX(Premissas!$C$74:$G$74,Y$7))</f>
        <v>0.009</v>
      </c>
      <c r="Z23" s="87" t="n">
        <f aca="false">Premissas!$B$75*(1-INDEX(Premissas!$C$74:$G$74,Z$7))</f>
        <v>0.01125</v>
      </c>
      <c r="AA23" s="87" t="n">
        <f aca="false">Premissas!$B$75*(1-INDEX(Premissas!$C$74:$G$74,AA$7))</f>
        <v>0.01125</v>
      </c>
      <c r="AB23" s="87" t="n">
        <f aca="false">Premissas!$B$75*(1-INDEX(Premissas!$C$74:$G$74,AB$7))</f>
        <v>0.01125</v>
      </c>
      <c r="AC23" s="87" t="n">
        <f aca="false">Premissas!$B$75*(1-INDEX(Premissas!$C$74:$G$74,AC$7))</f>
        <v>0.01125</v>
      </c>
      <c r="AD23" s="87" t="n">
        <f aca="false">Premissas!$B$75*(1-INDEX(Premissas!$C$74:$G$74,AD$7))</f>
        <v>0.01125</v>
      </c>
      <c r="AE23" s="87" t="n">
        <f aca="false">Premissas!$B$75*(1-INDEX(Premissas!$C$74:$G$74,AE$7))</f>
        <v>0.01125</v>
      </c>
      <c r="AF23" s="87" t="n">
        <f aca="false">Premissas!$B$75*(1-INDEX(Premissas!$C$74:$G$74,AF$7))</f>
        <v>0.01125</v>
      </c>
      <c r="AG23" s="87" t="n">
        <f aca="false">Premissas!$B$75*(1-INDEX(Premissas!$C$74:$G$74,AG$7))</f>
        <v>0.01125</v>
      </c>
      <c r="AH23" s="87" t="n">
        <f aca="false">Premissas!$B$75*(1-INDEX(Premissas!$C$74:$G$74,AH$7))</f>
        <v>0.01125</v>
      </c>
      <c r="AI23" s="87" t="n">
        <f aca="false">Premissas!$B$75*(1-INDEX(Premissas!$C$74:$G$74,AI$7))</f>
        <v>0.01125</v>
      </c>
      <c r="AJ23" s="87" t="n">
        <f aca="false">Premissas!$B$75*(1-INDEX(Premissas!$C$74:$G$74,AJ$7))</f>
        <v>0.01125</v>
      </c>
      <c r="AK23" s="87" t="n">
        <f aca="false">Premissas!$B$75*(1-INDEX(Premissas!$C$74:$G$74,AK$7))</f>
        <v>0.01125</v>
      </c>
      <c r="AL23" s="87" t="n">
        <f aca="false">Premissas!$B$75*(1-INDEX(Premissas!$C$74:$G$74,AL$7))</f>
        <v>0.0126</v>
      </c>
      <c r="AM23" s="87" t="n">
        <f aca="false">Premissas!$B$75*(1-INDEX(Premissas!$C$74:$G$74,AM$7))</f>
        <v>0.0126</v>
      </c>
      <c r="AN23" s="87" t="n">
        <f aca="false">Premissas!$B$75*(1-INDEX(Premissas!$C$74:$G$74,AN$7))</f>
        <v>0.0126</v>
      </c>
      <c r="AO23" s="87" t="n">
        <f aca="false">Premissas!$B$75*(1-INDEX(Premissas!$C$74:$G$74,AO$7))</f>
        <v>0.0126</v>
      </c>
      <c r="AP23" s="87" t="n">
        <f aca="false">Premissas!$B$75*(1-INDEX(Premissas!$C$74:$G$74,AP$7))</f>
        <v>0.0126</v>
      </c>
      <c r="AQ23" s="87" t="n">
        <f aca="false">Premissas!$B$75*(1-INDEX(Premissas!$C$74:$G$74,AQ$7))</f>
        <v>0.0126</v>
      </c>
      <c r="AR23" s="87" t="n">
        <f aca="false">Premissas!$B$75*(1-INDEX(Premissas!$C$74:$G$74,AR$7))</f>
        <v>0.0126</v>
      </c>
      <c r="AS23" s="87" t="n">
        <f aca="false">Premissas!$B$75*(1-INDEX(Premissas!$C$74:$G$74,AS$7))</f>
        <v>0.0126</v>
      </c>
      <c r="AT23" s="87" t="n">
        <f aca="false">Premissas!$B$75*(1-INDEX(Premissas!$C$74:$G$74,AT$7))</f>
        <v>0.0126</v>
      </c>
      <c r="AU23" s="87" t="n">
        <f aca="false">Premissas!$B$75*(1-INDEX(Premissas!$C$74:$G$74,AU$7))</f>
        <v>0.0126</v>
      </c>
      <c r="AV23" s="87" t="n">
        <f aca="false">Premissas!$B$75*(1-INDEX(Premissas!$C$74:$G$74,AV$7))</f>
        <v>0.0126</v>
      </c>
      <c r="AW23" s="87" t="n">
        <f aca="false">Premissas!$B$75*(1-INDEX(Premissas!$C$74:$G$74,AW$7))</f>
        <v>0.0126</v>
      </c>
      <c r="AX23" s="87" t="n">
        <f aca="false">Premissas!$B$75*(1-INDEX(Premissas!$C$74:$G$74,AX$7))</f>
        <v>0.0135</v>
      </c>
      <c r="AY23" s="87" t="n">
        <f aca="false">Premissas!$B$75*(1-INDEX(Premissas!$C$74:$G$74,AY$7))</f>
        <v>0.0135</v>
      </c>
      <c r="AZ23" s="87" t="n">
        <f aca="false">Premissas!$B$75*(1-INDEX(Premissas!$C$74:$G$74,AZ$7))</f>
        <v>0.0135</v>
      </c>
      <c r="BA23" s="87" t="n">
        <f aca="false">Premissas!$B$75*(1-INDEX(Premissas!$C$74:$G$74,BA$7))</f>
        <v>0.0135</v>
      </c>
      <c r="BB23" s="87" t="n">
        <f aca="false">Premissas!$B$75*(1-INDEX(Premissas!$C$74:$G$74,BB$7))</f>
        <v>0.0135</v>
      </c>
      <c r="BC23" s="87" t="n">
        <f aca="false">Premissas!$B$75*(1-INDEX(Premissas!$C$74:$G$74,BC$7))</f>
        <v>0.0135</v>
      </c>
      <c r="BD23" s="87" t="n">
        <f aca="false">Premissas!$B$75*(1-INDEX(Premissas!$C$74:$G$74,BD$7))</f>
        <v>0.0135</v>
      </c>
      <c r="BE23" s="87" t="n">
        <f aca="false">Premissas!$B$75*(1-INDEX(Premissas!$C$74:$G$74,BE$7))</f>
        <v>0.0135</v>
      </c>
      <c r="BF23" s="87" t="n">
        <f aca="false">Premissas!$B$75*(1-INDEX(Premissas!$C$74:$G$74,BF$7))</f>
        <v>0.0135</v>
      </c>
      <c r="BG23" s="87" t="n">
        <f aca="false">Premissas!$B$75*(1-INDEX(Premissas!$C$74:$G$74,BG$7))</f>
        <v>0.0135</v>
      </c>
      <c r="BH23" s="87" t="n">
        <f aca="false">Premissas!$B$75*(1-INDEX(Premissas!$C$74:$G$74,BH$7))</f>
        <v>0.0135</v>
      </c>
      <c r="BI23" s="87" t="n">
        <f aca="false">Premissas!$B$75*(1-INDEX(Premissas!$C$74:$G$74,BI$7))</f>
        <v>0.0135</v>
      </c>
    </row>
    <row r="24" customFormat="false" ht="15" hidden="false" customHeight="false" outlineLevel="0" collapsed="false">
      <c r="A24" s="62" t="s">
        <v>334</v>
      </c>
      <c r="B24" s="88" t="n">
        <f aca="false">1-B21-B22-B23</f>
        <v>0.71075</v>
      </c>
      <c r="C24" s="88" t="n">
        <f aca="false">1-C21-C22-C23</f>
        <v>0.71075</v>
      </c>
      <c r="D24" s="88" t="n">
        <f aca="false">1-D21-D22-D23</f>
        <v>0.71075</v>
      </c>
      <c r="E24" s="88" t="n">
        <f aca="false">1-E21-E22-E23</f>
        <v>0.71075</v>
      </c>
      <c r="F24" s="88" t="n">
        <f aca="false">1-F21-F22-F23</f>
        <v>0.71075</v>
      </c>
      <c r="G24" s="88" t="n">
        <f aca="false">1-G21-G22-G23</f>
        <v>0.71075</v>
      </c>
      <c r="H24" s="88" t="n">
        <f aca="false">1-H21-H22-H23</f>
        <v>0.71075</v>
      </c>
      <c r="I24" s="88" t="n">
        <f aca="false">1-I21-I22-I23</f>
        <v>0.71075</v>
      </c>
      <c r="J24" s="88" t="n">
        <f aca="false">1-J21-J22-J23</f>
        <v>0.71075</v>
      </c>
      <c r="K24" s="88" t="n">
        <f aca="false">1-K21-K22-K23</f>
        <v>0.71075</v>
      </c>
      <c r="L24" s="88" t="n">
        <f aca="false">1-L21-L22-L23</f>
        <v>0.71075</v>
      </c>
      <c r="M24" s="88" t="n">
        <f aca="false">1-M21-M22-M23</f>
        <v>0.71075</v>
      </c>
      <c r="N24" s="88" t="n">
        <f aca="false">1-N21-N22-N23</f>
        <v>0.716</v>
      </c>
      <c r="O24" s="88" t="n">
        <f aca="false">1-O21-O22-O23</f>
        <v>0.716</v>
      </c>
      <c r="P24" s="88" t="n">
        <f aca="false">1-P21-P22-P23</f>
        <v>0.714406128298657</v>
      </c>
      <c r="Q24" s="88" t="n">
        <f aca="false">1-Q21-Q22-Q23</f>
        <v>0.704739518289603</v>
      </c>
      <c r="R24" s="88" t="n">
        <f aca="false">1-R21-R22-R23</f>
        <v>0.69512298910824</v>
      </c>
      <c r="S24" s="88" t="n">
        <f aca="false">1-S21-S22-S23</f>
        <v>0.689353115881043</v>
      </c>
      <c r="T24" s="88" t="n">
        <f aca="false">1-T21-T22-T23</f>
        <v>0.683641775132382</v>
      </c>
      <c r="U24" s="88" t="n">
        <f aca="false">1-U21-U22-U23</f>
        <v>0.679934418351221</v>
      </c>
      <c r="V24" s="88" t="n">
        <f aca="false">1-V21-V22-V23</f>
        <v>0.677367105145609</v>
      </c>
      <c r="W24" s="88" t="n">
        <f aca="false">1-W21-W22-W23</f>
        <v>0.675503741052685</v>
      </c>
      <c r="X24" s="88" t="n">
        <f aca="false">1-X21-X22-X23</f>
        <v>0.669854459148</v>
      </c>
      <c r="Y24" s="88" t="n">
        <f aca="false">1-Y21-Y22-Y23</f>
        <v>0.665702459341587</v>
      </c>
      <c r="Z24" s="88" t="n">
        <f aca="false">1-Z21-Z22-Z23</f>
        <v>0.667824917198532</v>
      </c>
      <c r="AA24" s="88" t="n">
        <f aca="false">1-AA21-AA22-AA23</f>
        <v>0.664859880450295</v>
      </c>
      <c r="AB24" s="88" t="n">
        <f aca="false">1-AB21-AB22-AB23</f>
        <v>0.713210158911628</v>
      </c>
      <c r="AC24" s="88" t="n">
        <f aca="false">1-AC21-AC22-AC23</f>
        <v>0.697714383998553</v>
      </c>
      <c r="AD24" s="88" t="n">
        <f aca="false">1-AD21-AD22-AD23</f>
        <v>0.68568832420748</v>
      </c>
      <c r="AE24" s="88" t="n">
        <f aca="false">1-AE21-AE22-AE23</f>
        <v>0.71295</v>
      </c>
      <c r="AF24" s="88" t="n">
        <f aca="false">1-AF21-AF22-AF23</f>
        <v>0.71295</v>
      </c>
      <c r="AG24" s="88" t="n">
        <f aca="false">1-AG21-AG22-AG23</f>
        <v>0.71295</v>
      </c>
      <c r="AH24" s="88" t="n">
        <f aca="false">1-AH21-AH22-AH23</f>
        <v>0.71295</v>
      </c>
      <c r="AI24" s="88" t="n">
        <f aca="false">1-AI21-AI22-AI23</f>
        <v>0.71295</v>
      </c>
      <c r="AJ24" s="88" t="n">
        <f aca="false">1-AJ21-AJ22-AJ23</f>
        <v>0.71295</v>
      </c>
      <c r="AK24" s="88" t="n">
        <f aca="false">1-AK21-AK22-AK23</f>
        <v>0.71295</v>
      </c>
      <c r="AL24" s="88" t="n">
        <f aca="false">1-AL21-AL22-AL23</f>
        <v>0.7161</v>
      </c>
      <c r="AM24" s="88" t="n">
        <f aca="false">1-AM21-AM22-AM23</f>
        <v>0.7161</v>
      </c>
      <c r="AN24" s="88" t="n">
        <f aca="false">1-AN21-AN22-AN23</f>
        <v>0.7161</v>
      </c>
      <c r="AO24" s="88" t="n">
        <f aca="false">1-AO21-AO22-AO23</f>
        <v>0.7161</v>
      </c>
      <c r="AP24" s="88" t="n">
        <f aca="false">1-AP21-AP22-AP23</f>
        <v>0.7161</v>
      </c>
      <c r="AQ24" s="88" t="n">
        <f aca="false">1-AQ21-AQ22-AQ23</f>
        <v>0.7161</v>
      </c>
      <c r="AR24" s="88" t="n">
        <f aca="false">1-AR21-AR22-AR23</f>
        <v>0.7161</v>
      </c>
      <c r="AS24" s="88" t="n">
        <f aca="false">1-AS21-AS22-AS23</f>
        <v>0.7161</v>
      </c>
      <c r="AT24" s="88" t="n">
        <f aca="false">1-AT21-AT22-AT23</f>
        <v>0.7161</v>
      </c>
      <c r="AU24" s="88" t="n">
        <f aca="false">1-AU21-AU22-AU23</f>
        <v>0.7161</v>
      </c>
      <c r="AV24" s="88" t="n">
        <f aca="false">1-AV21-AV22-AV23</f>
        <v>0.7161</v>
      </c>
      <c r="AW24" s="88" t="n">
        <f aca="false">1-AW21-AW22-AW23</f>
        <v>0.7161</v>
      </c>
      <c r="AX24" s="88" t="n">
        <f aca="false">1-AX21-AX22-AX23</f>
        <v>0.7182</v>
      </c>
      <c r="AY24" s="88" t="n">
        <f aca="false">1-AY21-AY22-AY23</f>
        <v>0.7182</v>
      </c>
      <c r="AZ24" s="88" t="n">
        <f aca="false">1-AZ21-AZ22-AZ23</f>
        <v>0.7182</v>
      </c>
      <c r="BA24" s="88" t="n">
        <f aca="false">1-BA21-BA22-BA23</f>
        <v>0.7182</v>
      </c>
      <c r="BB24" s="88" t="n">
        <f aca="false">1-BB21-BB22-BB23</f>
        <v>0.7182</v>
      </c>
      <c r="BC24" s="88" t="n">
        <f aca="false">1-BC21-BC22-BC23</f>
        <v>0.7182</v>
      </c>
      <c r="BD24" s="88" t="n">
        <f aca="false">1-BD21-BD22-BD23</f>
        <v>0.7182</v>
      </c>
      <c r="BE24" s="88" t="n">
        <f aca="false">1-BE21-BE22-BE23</f>
        <v>0.7182</v>
      </c>
      <c r="BF24" s="88" t="n">
        <f aca="false">1-BF21-BF22-BF23</f>
        <v>0.7182</v>
      </c>
      <c r="BG24" s="88" t="n">
        <f aca="false">1-BG21-BG22-BG23</f>
        <v>0.7182</v>
      </c>
      <c r="BH24" s="88" t="n">
        <f aca="false">1-BH21-BH22-BH23</f>
        <v>0.7182</v>
      </c>
      <c r="BI24" s="88" t="n">
        <f aca="false">1-BI21-BI22-BI23</f>
        <v>0.7182</v>
      </c>
      <c r="BK24" s="29" t="s">
        <v>335</v>
      </c>
    </row>
    <row r="26" customFormat="false" ht="18" hidden="false" customHeight="true" outlineLevel="0" collapsed="false">
      <c r="A26" s="25" t="s">
        <v>336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</row>
    <row r="27" customFormat="false" ht="15" hidden="false" customHeight="false" outlineLevel="0" collapsed="false">
      <c r="A27" s="27" t="s">
        <v>337</v>
      </c>
      <c r="B27" s="81" t="n">
        <f aca="false">INDEX(Premissas!$C$104:$G$104,B$7)</f>
        <v>1.5</v>
      </c>
      <c r="C27" s="81" t="n">
        <f aca="false">INDEX(Premissas!$C$104:$G$104,C$7)</f>
        <v>1.5</v>
      </c>
      <c r="D27" s="81" t="n">
        <f aca="false">INDEX(Premissas!$C$104:$G$104,D$7)</f>
        <v>1.5</v>
      </c>
      <c r="E27" s="81" t="n">
        <f aca="false">INDEX(Premissas!$C$104:$G$104,E$7)</f>
        <v>1.5</v>
      </c>
      <c r="F27" s="81" t="n">
        <f aca="false">INDEX(Premissas!$C$104:$G$104,F$7)</f>
        <v>1.5</v>
      </c>
      <c r="G27" s="81" t="n">
        <f aca="false">INDEX(Premissas!$C$104:$G$104,G$7)</f>
        <v>1.5</v>
      </c>
      <c r="H27" s="81" t="n">
        <f aca="false">INDEX(Premissas!$C$104:$G$104,H$7)</f>
        <v>1.5</v>
      </c>
      <c r="I27" s="81" t="n">
        <f aca="false">INDEX(Premissas!$C$104:$G$104,I$7)</f>
        <v>1.5</v>
      </c>
      <c r="J27" s="81" t="n">
        <f aca="false">INDEX(Premissas!$C$104:$G$104,J$7)</f>
        <v>1.5</v>
      </c>
      <c r="K27" s="81" t="n">
        <f aca="false">INDEX(Premissas!$C$104:$G$104,K$7)</f>
        <v>1.5</v>
      </c>
      <c r="L27" s="81" t="n">
        <f aca="false">INDEX(Premissas!$C$104:$G$104,L$7)</f>
        <v>1.5</v>
      </c>
      <c r="M27" s="81" t="n">
        <f aca="false">INDEX(Premissas!$C$104:$G$104,M$7)</f>
        <v>1.5</v>
      </c>
      <c r="N27" s="81" t="n">
        <f aca="false">INDEX(Premissas!$C$104:$G$104,N$7)</f>
        <v>1.35</v>
      </c>
      <c r="O27" s="81" t="n">
        <f aca="false">INDEX(Premissas!$C$104:$G$104,O$7)</f>
        <v>1.35</v>
      </c>
      <c r="P27" s="81" t="n">
        <f aca="false">INDEX(Premissas!$C$104:$G$104,P$7)</f>
        <v>1.35</v>
      </c>
      <c r="Q27" s="81" t="n">
        <f aca="false">INDEX(Premissas!$C$104:$G$104,Q$7)</f>
        <v>1.35</v>
      </c>
      <c r="R27" s="81" t="n">
        <f aca="false">INDEX(Premissas!$C$104:$G$104,R$7)</f>
        <v>1.35</v>
      </c>
      <c r="S27" s="81" t="n">
        <f aca="false">INDEX(Premissas!$C$104:$G$104,S$7)</f>
        <v>1.35</v>
      </c>
      <c r="T27" s="81" t="n">
        <f aca="false">INDEX(Premissas!$C$104:$G$104,T$7)</f>
        <v>1.35</v>
      </c>
      <c r="U27" s="81" t="n">
        <f aca="false">INDEX(Premissas!$C$104:$G$104,U$7)</f>
        <v>1.35</v>
      </c>
      <c r="V27" s="81" t="n">
        <f aca="false">INDEX(Premissas!$C$104:$G$104,V$7)</f>
        <v>1.35</v>
      </c>
      <c r="W27" s="81" t="n">
        <f aca="false">INDEX(Premissas!$C$104:$G$104,W$7)</f>
        <v>1.35</v>
      </c>
      <c r="X27" s="81" t="n">
        <f aca="false">INDEX(Premissas!$C$104:$G$104,X$7)</f>
        <v>1.35</v>
      </c>
      <c r="Y27" s="81" t="n">
        <f aca="false">INDEX(Premissas!$C$104:$G$104,Y$7)</f>
        <v>1.35</v>
      </c>
      <c r="Z27" s="81" t="n">
        <f aca="false">INDEX(Premissas!$C$104:$G$104,Z$7)</f>
        <v>1.15</v>
      </c>
      <c r="AA27" s="81" t="n">
        <f aca="false">INDEX(Premissas!$C$104:$G$104,AA$7)</f>
        <v>1.15</v>
      </c>
      <c r="AB27" s="81" t="n">
        <f aca="false">INDEX(Premissas!$C$104:$G$104,AB$7)</f>
        <v>1.15</v>
      </c>
      <c r="AC27" s="81" t="n">
        <f aca="false">INDEX(Premissas!$C$104:$G$104,AC$7)</f>
        <v>1.15</v>
      </c>
      <c r="AD27" s="81" t="n">
        <f aca="false">INDEX(Premissas!$C$104:$G$104,AD$7)</f>
        <v>1.15</v>
      </c>
      <c r="AE27" s="81" t="n">
        <f aca="false">INDEX(Premissas!$C$104:$G$104,AE$7)</f>
        <v>1.15</v>
      </c>
      <c r="AF27" s="81" t="n">
        <f aca="false">INDEX(Premissas!$C$104:$G$104,AF$7)</f>
        <v>1.15</v>
      </c>
      <c r="AG27" s="81" t="n">
        <f aca="false">INDEX(Premissas!$C$104:$G$104,AG$7)</f>
        <v>1.15</v>
      </c>
      <c r="AH27" s="81" t="n">
        <f aca="false">INDEX(Premissas!$C$104:$G$104,AH$7)</f>
        <v>1.15</v>
      </c>
      <c r="AI27" s="81" t="n">
        <f aca="false">INDEX(Premissas!$C$104:$G$104,AI$7)</f>
        <v>1.15</v>
      </c>
      <c r="AJ27" s="81" t="n">
        <f aca="false">INDEX(Premissas!$C$104:$G$104,AJ$7)</f>
        <v>1.15</v>
      </c>
      <c r="AK27" s="81" t="n">
        <f aca="false">INDEX(Premissas!$C$104:$G$104,AK$7)</f>
        <v>1.15</v>
      </c>
      <c r="AL27" s="81" t="n">
        <f aca="false">INDEX(Premissas!$C$104:$G$104,AL$7)</f>
        <v>1</v>
      </c>
      <c r="AM27" s="81" t="n">
        <f aca="false">INDEX(Premissas!$C$104:$G$104,AM$7)</f>
        <v>1</v>
      </c>
      <c r="AN27" s="81" t="n">
        <f aca="false">INDEX(Premissas!$C$104:$G$104,AN$7)</f>
        <v>1</v>
      </c>
      <c r="AO27" s="81" t="n">
        <f aca="false">INDEX(Premissas!$C$104:$G$104,AO$7)</f>
        <v>1</v>
      </c>
      <c r="AP27" s="81" t="n">
        <f aca="false">INDEX(Premissas!$C$104:$G$104,AP$7)</f>
        <v>1</v>
      </c>
      <c r="AQ27" s="81" t="n">
        <f aca="false">INDEX(Premissas!$C$104:$G$104,AQ$7)</f>
        <v>1</v>
      </c>
      <c r="AR27" s="81" t="n">
        <f aca="false">INDEX(Premissas!$C$104:$G$104,AR$7)</f>
        <v>1</v>
      </c>
      <c r="AS27" s="81" t="n">
        <f aca="false">INDEX(Premissas!$C$104:$G$104,AS$7)</f>
        <v>1</v>
      </c>
      <c r="AT27" s="81" t="n">
        <f aca="false">INDEX(Premissas!$C$104:$G$104,AT$7)</f>
        <v>1</v>
      </c>
      <c r="AU27" s="81" t="n">
        <f aca="false">INDEX(Premissas!$C$104:$G$104,AU$7)</f>
        <v>1</v>
      </c>
      <c r="AV27" s="81" t="n">
        <f aca="false">INDEX(Premissas!$C$104:$G$104,AV$7)</f>
        <v>1</v>
      </c>
      <c r="AW27" s="81" t="n">
        <f aca="false">INDEX(Premissas!$C$104:$G$104,AW$7)</f>
        <v>1</v>
      </c>
      <c r="AX27" s="81" t="n">
        <f aca="false">INDEX(Premissas!$C$104:$G$104,AX$7)</f>
        <v>0.9</v>
      </c>
      <c r="AY27" s="81" t="n">
        <f aca="false">INDEX(Premissas!$C$104:$G$104,AY$7)</f>
        <v>0.9</v>
      </c>
      <c r="AZ27" s="81" t="n">
        <f aca="false">INDEX(Premissas!$C$104:$G$104,AZ$7)</f>
        <v>0.9</v>
      </c>
      <c r="BA27" s="81" t="n">
        <f aca="false">INDEX(Premissas!$C$104:$G$104,BA$7)</f>
        <v>0.9</v>
      </c>
      <c r="BB27" s="81" t="n">
        <f aca="false">INDEX(Premissas!$C$104:$G$104,BB$7)</f>
        <v>0.9</v>
      </c>
      <c r="BC27" s="81" t="n">
        <f aca="false">INDEX(Premissas!$C$104:$G$104,BC$7)</f>
        <v>0.9</v>
      </c>
      <c r="BD27" s="81" t="n">
        <f aca="false">INDEX(Premissas!$C$104:$G$104,BD$7)</f>
        <v>0.9</v>
      </c>
      <c r="BE27" s="81" t="n">
        <f aca="false">INDEX(Premissas!$C$104:$G$104,BE$7)</f>
        <v>0.9</v>
      </c>
      <c r="BF27" s="81" t="n">
        <f aca="false">INDEX(Premissas!$C$104:$G$104,BF$7)</f>
        <v>0.9</v>
      </c>
      <c r="BG27" s="81" t="n">
        <f aca="false">INDEX(Premissas!$C$104:$G$104,BG$7)</f>
        <v>0.9</v>
      </c>
      <c r="BH27" s="81" t="n">
        <f aca="false">INDEX(Premissas!$C$104:$G$104,BH$7)</f>
        <v>0.9</v>
      </c>
      <c r="BI27" s="81" t="n">
        <f aca="false">INDEX(Premissas!$C$104:$G$104,BI$7)</f>
        <v>0.9</v>
      </c>
    </row>
    <row r="28" customFormat="false" ht="15" hidden="false" customHeight="false" outlineLevel="0" collapsed="false">
      <c r="A28" s="27" t="s">
        <v>338</v>
      </c>
      <c r="B28" s="81" t="n">
        <f aca="false">INDEX(Premissas!$C$106:$G$106,B$7)</f>
        <v>0.35</v>
      </c>
      <c r="C28" s="81" t="n">
        <f aca="false">INDEX(Premissas!$C$106:$G$106,C$7)</f>
        <v>0.35</v>
      </c>
      <c r="D28" s="81" t="n">
        <f aca="false">INDEX(Premissas!$C$106:$G$106,D$7)</f>
        <v>0.35</v>
      </c>
      <c r="E28" s="81" t="n">
        <f aca="false">INDEX(Premissas!$C$106:$G$106,E$7)</f>
        <v>0.35</v>
      </c>
      <c r="F28" s="81" t="n">
        <f aca="false">INDEX(Premissas!$C$106:$G$106,F$7)</f>
        <v>0.35</v>
      </c>
      <c r="G28" s="81" t="n">
        <f aca="false">INDEX(Premissas!$C$106:$G$106,G$7)</f>
        <v>0.35</v>
      </c>
      <c r="H28" s="81" t="n">
        <f aca="false">INDEX(Premissas!$C$106:$G$106,H$7)</f>
        <v>0.35</v>
      </c>
      <c r="I28" s="81" t="n">
        <f aca="false">INDEX(Premissas!$C$106:$G$106,I$7)</f>
        <v>0.35</v>
      </c>
      <c r="J28" s="81" t="n">
        <f aca="false">INDEX(Premissas!$C$106:$G$106,J$7)</f>
        <v>0.35</v>
      </c>
      <c r="K28" s="81" t="n">
        <f aca="false">INDEX(Premissas!$C$106:$G$106,K$7)</f>
        <v>0.35</v>
      </c>
      <c r="L28" s="81" t="n">
        <f aca="false">INDEX(Premissas!$C$106:$G$106,L$7)</f>
        <v>0.35</v>
      </c>
      <c r="M28" s="81" t="n">
        <f aca="false">INDEX(Premissas!$C$106:$G$106,M$7)</f>
        <v>0.35</v>
      </c>
      <c r="N28" s="81" t="n">
        <f aca="false">INDEX(Premissas!$C$106:$G$106,N$7)</f>
        <v>0.35</v>
      </c>
      <c r="O28" s="81" t="n">
        <f aca="false">INDEX(Premissas!$C$106:$G$106,O$7)</f>
        <v>0.35</v>
      </c>
      <c r="P28" s="81" t="n">
        <f aca="false">INDEX(Premissas!$C$106:$G$106,P$7)</f>
        <v>0.35</v>
      </c>
      <c r="Q28" s="81" t="n">
        <f aca="false">INDEX(Premissas!$C$106:$G$106,Q$7)</f>
        <v>0.35</v>
      </c>
      <c r="R28" s="81" t="n">
        <f aca="false">INDEX(Premissas!$C$106:$G$106,R$7)</f>
        <v>0.35</v>
      </c>
      <c r="S28" s="81" t="n">
        <f aca="false">INDEX(Premissas!$C$106:$G$106,S$7)</f>
        <v>0.35</v>
      </c>
      <c r="T28" s="81" t="n">
        <f aca="false">INDEX(Premissas!$C$106:$G$106,T$7)</f>
        <v>0.35</v>
      </c>
      <c r="U28" s="81" t="n">
        <f aca="false">INDEX(Premissas!$C$106:$G$106,U$7)</f>
        <v>0.35</v>
      </c>
      <c r="V28" s="81" t="n">
        <f aca="false">INDEX(Premissas!$C$106:$G$106,V$7)</f>
        <v>0.35</v>
      </c>
      <c r="W28" s="81" t="n">
        <f aca="false">INDEX(Premissas!$C$106:$G$106,W$7)</f>
        <v>0.35</v>
      </c>
      <c r="X28" s="81" t="n">
        <f aca="false">INDEX(Premissas!$C$106:$G$106,X$7)</f>
        <v>0.35</v>
      </c>
      <c r="Y28" s="81" t="n">
        <f aca="false">INDEX(Premissas!$C$106:$G$106,Y$7)</f>
        <v>0.35</v>
      </c>
      <c r="Z28" s="81" t="n">
        <f aca="false">INDEX(Premissas!$C$106:$G$106,Z$7)</f>
        <v>0.3</v>
      </c>
      <c r="AA28" s="81" t="n">
        <f aca="false">INDEX(Premissas!$C$106:$G$106,AA$7)</f>
        <v>0.3</v>
      </c>
      <c r="AB28" s="81" t="n">
        <f aca="false">INDEX(Premissas!$C$106:$G$106,AB$7)</f>
        <v>0.3</v>
      </c>
      <c r="AC28" s="81" t="n">
        <f aca="false">INDEX(Premissas!$C$106:$G$106,AC$7)</f>
        <v>0.3</v>
      </c>
      <c r="AD28" s="81" t="n">
        <f aca="false">INDEX(Premissas!$C$106:$G$106,AD$7)</f>
        <v>0.3</v>
      </c>
      <c r="AE28" s="81" t="n">
        <f aca="false">INDEX(Premissas!$C$106:$G$106,AE$7)</f>
        <v>0.3</v>
      </c>
      <c r="AF28" s="81" t="n">
        <f aca="false">INDEX(Premissas!$C$106:$G$106,AF$7)</f>
        <v>0.3</v>
      </c>
      <c r="AG28" s="81" t="n">
        <f aca="false">INDEX(Premissas!$C$106:$G$106,AG$7)</f>
        <v>0.3</v>
      </c>
      <c r="AH28" s="81" t="n">
        <f aca="false">INDEX(Premissas!$C$106:$G$106,AH$7)</f>
        <v>0.3</v>
      </c>
      <c r="AI28" s="81" t="n">
        <f aca="false">INDEX(Premissas!$C$106:$G$106,AI$7)</f>
        <v>0.3</v>
      </c>
      <c r="AJ28" s="81" t="n">
        <f aca="false">INDEX(Premissas!$C$106:$G$106,AJ$7)</f>
        <v>0.3</v>
      </c>
      <c r="AK28" s="81" t="n">
        <f aca="false">INDEX(Premissas!$C$106:$G$106,AK$7)</f>
        <v>0.3</v>
      </c>
      <c r="AL28" s="81" t="n">
        <f aca="false">INDEX(Premissas!$C$106:$G$106,AL$7)</f>
        <v>0.28</v>
      </c>
      <c r="AM28" s="81" t="n">
        <f aca="false">INDEX(Premissas!$C$106:$G$106,AM$7)</f>
        <v>0.28</v>
      </c>
      <c r="AN28" s="81" t="n">
        <f aca="false">INDEX(Premissas!$C$106:$G$106,AN$7)</f>
        <v>0.28</v>
      </c>
      <c r="AO28" s="81" t="n">
        <f aca="false">INDEX(Premissas!$C$106:$G$106,AO$7)</f>
        <v>0.28</v>
      </c>
      <c r="AP28" s="81" t="n">
        <f aca="false">INDEX(Premissas!$C$106:$G$106,AP$7)</f>
        <v>0.28</v>
      </c>
      <c r="AQ28" s="81" t="n">
        <f aca="false">INDEX(Premissas!$C$106:$G$106,AQ$7)</f>
        <v>0.28</v>
      </c>
      <c r="AR28" s="81" t="n">
        <f aca="false">INDEX(Premissas!$C$106:$G$106,AR$7)</f>
        <v>0.28</v>
      </c>
      <c r="AS28" s="81" t="n">
        <f aca="false">INDEX(Premissas!$C$106:$G$106,AS$7)</f>
        <v>0.28</v>
      </c>
      <c r="AT28" s="81" t="n">
        <f aca="false">INDEX(Premissas!$C$106:$G$106,AT$7)</f>
        <v>0.28</v>
      </c>
      <c r="AU28" s="81" t="n">
        <f aca="false">INDEX(Premissas!$C$106:$G$106,AU$7)</f>
        <v>0.28</v>
      </c>
      <c r="AV28" s="81" t="n">
        <f aca="false">INDEX(Premissas!$C$106:$G$106,AV$7)</f>
        <v>0.28</v>
      </c>
      <c r="AW28" s="81" t="n">
        <f aca="false">INDEX(Premissas!$C$106:$G$106,AW$7)</f>
        <v>0.28</v>
      </c>
      <c r="AX28" s="81" t="n">
        <f aca="false">INDEX(Premissas!$C$106:$G$106,AX$7)</f>
        <v>0.25</v>
      </c>
      <c r="AY28" s="81" t="n">
        <f aca="false">INDEX(Premissas!$C$106:$G$106,AY$7)</f>
        <v>0.25</v>
      </c>
      <c r="AZ28" s="81" t="n">
        <f aca="false">INDEX(Premissas!$C$106:$G$106,AZ$7)</f>
        <v>0.25</v>
      </c>
      <c r="BA28" s="81" t="n">
        <f aca="false">INDEX(Premissas!$C$106:$G$106,BA$7)</f>
        <v>0.25</v>
      </c>
      <c r="BB28" s="81" t="n">
        <f aca="false">INDEX(Premissas!$C$106:$G$106,BB$7)</f>
        <v>0.25</v>
      </c>
      <c r="BC28" s="81" t="n">
        <f aca="false">INDEX(Premissas!$C$106:$G$106,BC$7)</f>
        <v>0.25</v>
      </c>
      <c r="BD28" s="81" t="n">
        <f aca="false">INDEX(Premissas!$C$106:$G$106,BD$7)</f>
        <v>0.25</v>
      </c>
      <c r="BE28" s="81" t="n">
        <f aca="false">INDEX(Premissas!$C$106:$G$106,BE$7)</f>
        <v>0.25</v>
      </c>
      <c r="BF28" s="81" t="n">
        <f aca="false">INDEX(Premissas!$C$106:$G$106,BF$7)</f>
        <v>0.25</v>
      </c>
      <c r="BG28" s="81" t="n">
        <f aca="false">INDEX(Premissas!$C$106:$G$106,BG$7)</f>
        <v>0.25</v>
      </c>
      <c r="BH28" s="81" t="n">
        <f aca="false">INDEX(Premissas!$C$106:$G$106,BH$7)</f>
        <v>0.25</v>
      </c>
      <c r="BI28" s="81" t="n">
        <f aca="false">INDEX(Premissas!$C$106:$G$106,BI$7)</f>
        <v>0.25</v>
      </c>
    </row>
    <row r="29" customFormat="false" ht="15" hidden="false" customHeight="false" outlineLevel="0" collapsed="false">
      <c r="A29" s="27" t="s">
        <v>339</v>
      </c>
      <c r="B29" s="81" t="n">
        <f aca="false">IFERROR((CHOOSE(Premissas!$B$6,Cenários!B13,Cenários!B59,Cenários!B105)-CHOOSE(Premissas!$B$6,Cenários!B15,Cenários!B61,Cenários!B107))*INDEX(Premissas!$C$105:$G$105,B$7)/B9,0)</f>
        <v>0</v>
      </c>
      <c r="C29" s="81" t="n">
        <f aca="false">IFERROR((CHOOSE(Premissas!$B$6,Cenários!C13,Cenários!C59,Cenários!C105)-CHOOSE(Premissas!$B$6,Cenários!C15,Cenários!C61,Cenários!C107))*INDEX(Premissas!$C$105:$G$105,C$7)/C9,0)</f>
        <v>0</v>
      </c>
      <c r="D29" s="81" t="n">
        <f aca="false">IFERROR((CHOOSE(Premissas!$B$6,Cenários!D13,Cenários!D59,Cenários!D105)-CHOOSE(Premissas!$B$6,Cenários!D15,Cenários!D61,Cenários!D107))*INDEX(Premissas!$C$105:$G$105,D$7)/D9,0)</f>
        <v>0</v>
      </c>
      <c r="E29" s="81" t="n">
        <f aca="false">IFERROR((CHOOSE(Premissas!$B$6,Cenários!E13,Cenários!E59,Cenários!E105)-CHOOSE(Premissas!$B$6,Cenários!E15,Cenários!E61,Cenários!E107))*INDEX(Premissas!$C$105:$G$105,E$7)/E9,0)</f>
        <v>0</v>
      </c>
      <c r="F29" s="81" t="n">
        <f aca="false">IFERROR((CHOOSE(Premissas!$B$6,Cenários!F13,Cenários!F59,Cenários!F105)-CHOOSE(Premissas!$B$6,Cenários!F15,Cenários!F61,Cenários!F107))*INDEX(Premissas!$C$105:$G$105,F$7)/F9,0)</f>
        <v>0</v>
      </c>
      <c r="G29" s="81" t="n">
        <f aca="false">IFERROR((CHOOSE(Premissas!$B$6,Cenários!G13,Cenários!G59,Cenários!G105)-CHOOSE(Premissas!$B$6,Cenários!G15,Cenários!G61,Cenários!G107))*INDEX(Premissas!$C$105:$G$105,G$7)/G9,0)</f>
        <v>0</v>
      </c>
      <c r="H29" s="81" t="n">
        <f aca="false">IFERROR((CHOOSE(Premissas!$B$6,Cenários!H13,Cenários!H59,Cenários!H105)-CHOOSE(Premissas!$B$6,Cenários!H15,Cenários!H61,Cenários!H107))*INDEX(Premissas!$C$105:$G$105,H$7)/H9,0)</f>
        <v>0</v>
      </c>
      <c r="I29" s="81" t="n">
        <f aca="false">IFERROR((CHOOSE(Premissas!$B$6,Cenários!I13,Cenários!I59,Cenários!I105)-CHOOSE(Premissas!$B$6,Cenários!I15,Cenários!I61,Cenários!I107))*INDEX(Premissas!$C$105:$G$105,I$7)/I9,0)</f>
        <v>0</v>
      </c>
      <c r="J29" s="81" t="n">
        <f aca="false">IFERROR((CHOOSE(Premissas!$B$6,Cenários!J13,Cenários!J59,Cenários!J105)-CHOOSE(Premissas!$B$6,Cenários!J15,Cenários!J61,Cenários!J107))*INDEX(Premissas!$C$105:$G$105,J$7)/J9,0)</f>
        <v>0</v>
      </c>
      <c r="K29" s="81" t="n">
        <f aca="false">IFERROR((CHOOSE(Premissas!$B$6,Cenários!K13,Cenários!K59,Cenários!K105)-CHOOSE(Premissas!$B$6,Cenários!K15,Cenários!K61,Cenários!K107))*INDEX(Premissas!$C$105:$G$105,K$7)/K9,0)</f>
        <v>2.37735099337748</v>
      </c>
      <c r="L29" s="81" t="n">
        <f aca="false">IFERROR((CHOOSE(Premissas!$B$6,Cenários!L13,Cenários!L59,Cenários!L105)-CHOOSE(Premissas!$B$6,Cenários!L15,Cenários!L61,Cenários!L107))*INDEX(Premissas!$C$105:$G$105,L$7)/L9,0)</f>
        <v>1.18041450777202</v>
      </c>
      <c r="M29" s="81" t="n">
        <f aca="false">IFERROR((CHOOSE(Premissas!$B$6,Cenários!M13,Cenários!M59,Cenários!M105)-CHOOSE(Premissas!$B$6,Cenários!M15,Cenários!M61,Cenários!M107))*INDEX(Premissas!$C$105:$G$105,M$7)/M9,0)</f>
        <v>0.7798696485623</v>
      </c>
      <c r="N29" s="81" t="n">
        <f aca="false">IFERROR((CHOOSE(Premissas!$B$6,Cenários!N13,Cenários!N59,Cenários!N105)-CHOOSE(Premissas!$B$6,Cenários!N15,Cenários!N61,Cenários!N107))*INDEX(Premissas!$C$105:$G$105,N$7)/N9,0)</f>
        <v>0.535646275582451</v>
      </c>
      <c r="O29" s="81" t="n">
        <f aca="false">IFERROR((CHOOSE(Premissas!$B$6,Cenários!O13,Cenários!O59,Cenários!O105)-CHOOSE(Premissas!$B$6,Cenários!O15,Cenários!O61,Cenários!O107))*INDEX(Premissas!$C$105:$G$105,O$7)/O9,0)</f>
        <v>0.424414646048486</v>
      </c>
      <c r="P29" s="81" t="n">
        <f aca="false">IFERROR((CHOOSE(Premissas!$B$6,Cenários!P13,Cenários!P59,Cenários!P105)-CHOOSE(Premissas!$B$6,Cenários!P15,Cenários!P61,Cenários!P107))*INDEX(Premissas!$C$105:$G$105,P$7)/P9,0)</f>
        <v>0.350396873206352</v>
      </c>
      <c r="Q29" s="81" t="n">
        <f aca="false">IFERROR((CHOOSE(Premissas!$B$6,Cenários!Q13,Cenários!Q59,Cenários!Q105)-CHOOSE(Premissas!$B$6,Cenários!Q15,Cenários!Q61,Cenários!Q107))*INDEX(Premissas!$C$105:$G$105,Q$7)/Q9,0)</f>
        <v>0.350381585763542</v>
      </c>
      <c r="R29" s="81" t="n">
        <f aca="false">IFERROR((CHOOSE(Premissas!$B$6,Cenários!R13,Cenários!R59,Cenários!R105)-CHOOSE(Premissas!$B$6,Cenários!R15,Cenários!R61,Cenários!R107))*INDEX(Premissas!$C$105:$G$105,R$7)/R9,0)</f>
        <v>0.350365108427968</v>
      </c>
      <c r="S29" s="81" t="n">
        <f aca="false">IFERROR((CHOOSE(Premissas!$B$6,Cenários!S13,Cenários!S59,Cenários!S105)-CHOOSE(Premissas!$B$6,Cenários!S15,Cenários!S61,Cenários!S107))*INDEX(Premissas!$C$105:$G$105,S$7)/S9,0)</f>
        <v>0.350374106167839</v>
      </c>
      <c r="T29" s="81" t="n">
        <f aca="false">IFERROR((CHOOSE(Premissas!$B$6,Cenários!T13,Cenários!T59,Cenários!T105)-CHOOSE(Premissas!$B$6,Cenários!T15,Cenários!T61,Cenários!T107))*INDEX(Premissas!$C$105:$G$105,T$7)/T9,0)</f>
        <v>0.350372667692026</v>
      </c>
      <c r="U29" s="81" t="n">
        <f aca="false">IFERROR((CHOOSE(Premissas!$B$6,Cenários!U13,Cenários!U59,Cenários!U105)-CHOOSE(Premissas!$B$6,Cenários!U15,Cenários!U61,Cenários!U107))*INDEX(Premissas!$C$105:$G$105,U$7)/U9,0)</f>
        <v>0.350357154678557</v>
      </c>
      <c r="V29" s="81" t="n">
        <f aca="false">IFERROR((CHOOSE(Premissas!$B$6,Cenários!V13,Cenários!V59,Cenários!V105)-CHOOSE(Premissas!$B$6,Cenários!V15,Cenários!V61,Cenários!V107))*INDEX(Premissas!$C$105:$G$105,V$7)/V9,0)</f>
        <v>0.350378670809906</v>
      </c>
      <c r="W29" s="81" t="n">
        <f aca="false">IFERROR((CHOOSE(Premissas!$B$6,Cenários!W13,Cenários!W59,Cenários!W105)-CHOOSE(Premissas!$B$6,Cenários!W15,Cenários!W61,Cenários!W107))*INDEX(Premissas!$C$105:$G$105,W$7)/W9,0)</f>
        <v>0.350372548326792</v>
      </c>
      <c r="X29" s="81" t="n">
        <f aca="false">IFERROR((CHOOSE(Premissas!$B$6,Cenários!X13,Cenários!X59,Cenários!X105)-CHOOSE(Premissas!$B$6,Cenários!X15,Cenários!X61,Cenários!X107))*INDEX(Premissas!$C$105:$G$105,X$7)/X9,0)</f>
        <v>0.350367436010104</v>
      </c>
      <c r="Y29" s="81" t="n">
        <f aca="false">IFERROR((CHOOSE(Premissas!$B$6,Cenários!Y13,Cenários!Y59,Cenários!Y105)-CHOOSE(Premissas!$B$6,Cenários!Y15,Cenários!Y61,Cenários!Y107))*INDEX(Premissas!$C$105:$G$105,Y$7)/Y9,0)</f>
        <v>0.350378429413987</v>
      </c>
      <c r="Z29" s="81" t="n">
        <f aca="false">IFERROR((CHOOSE(Premissas!$B$6,Cenários!Z13,Cenários!Z59,Cenários!Z105)-CHOOSE(Premissas!$B$6,Cenários!Z15,Cenários!Z61,Cenários!Z107))*INDEX(Premissas!$C$105:$G$105,Z$7)/Z9,0)</f>
        <v>0.290634469883944</v>
      </c>
      <c r="AA29" s="81" t="n">
        <f aca="false">IFERROR((CHOOSE(Premissas!$B$6,Cenários!AA13,Cenários!AA59,Cenários!AA105)-CHOOSE(Premissas!$B$6,Cenários!AA15,Cenários!AA61,Cenários!AA107))*INDEX(Premissas!$C$105:$G$105,AA$7)/AA9,0)</f>
        <v>0.290639868652357</v>
      </c>
      <c r="AB29" s="81" t="n">
        <f aca="false">IFERROR((CHOOSE(Premissas!$B$6,Cenários!AB13,Cenários!AB59,Cenários!AB105)-CHOOSE(Premissas!$B$6,Cenários!AB15,Cenários!AB61,Cenários!AB107))*INDEX(Premissas!$C$105:$G$105,AB$7)/AB9,0)</f>
        <v>0.290640940748319</v>
      </c>
      <c r="AC29" s="81" t="n">
        <f aca="false">IFERROR((CHOOSE(Premissas!$B$6,Cenários!AC13,Cenários!AC59,Cenários!AC105)-CHOOSE(Premissas!$B$6,Cenários!AC15,Cenários!AC61,Cenários!AC107))*INDEX(Premissas!$C$105:$G$105,AC$7)/AC9,0)</f>
        <v>0.29064580722999</v>
      </c>
      <c r="AD29" s="81" t="n">
        <f aca="false">IFERROR((CHOOSE(Premissas!$B$6,Cenários!AD13,Cenários!AD59,Cenários!AD105)-CHOOSE(Premissas!$B$6,Cenários!AD15,Cenários!AD61,Cenários!AD107))*INDEX(Premissas!$C$105:$G$105,AD$7)/AD9,0)</f>
        <v>0.290638315978255</v>
      </c>
      <c r="AE29" s="81" t="n">
        <f aca="false">IFERROR((CHOOSE(Premissas!$B$6,Cenários!AE13,Cenários!AE59,Cenários!AE105)-CHOOSE(Premissas!$B$6,Cenários!AE15,Cenários!AE61,Cenários!AE107))*INDEX(Premissas!$C$105:$G$105,AE$7)/AE9,0)</f>
        <v>0.290643322317066</v>
      </c>
      <c r="AF29" s="81" t="n">
        <f aca="false">IFERROR((CHOOSE(Premissas!$B$6,Cenários!AF13,Cenários!AF59,Cenários!AF105)-CHOOSE(Premissas!$B$6,Cenários!AF15,Cenários!AF61,Cenários!AF107))*INDEX(Premissas!$C$105:$G$105,AF$7)/AF9,0)</f>
        <v>0.290647553204272</v>
      </c>
      <c r="AG29" s="81" t="n">
        <f aca="false">IFERROR((CHOOSE(Premissas!$B$6,Cenários!AG13,Cenários!AG59,Cenários!AG105)-CHOOSE(Premissas!$B$6,Cenários!AG15,Cenários!AG61,Cenários!AG107))*INDEX(Premissas!$C$105:$G$105,AG$7)/AG9,0)</f>
        <v>0.290648530364305</v>
      </c>
      <c r="AH29" s="81" t="n">
        <f aca="false">IFERROR((CHOOSE(Premissas!$B$6,Cenários!AH13,Cenários!AH59,Cenários!AH105)-CHOOSE(Premissas!$B$6,Cenários!AH15,Cenários!AH61,Cenários!AH107))*INDEX(Premissas!$C$105:$G$105,AH$7)/AH9,0)</f>
        <v>0.290639612048566</v>
      </c>
      <c r="AI29" s="81" t="n">
        <f aca="false">IFERROR((CHOOSE(Premissas!$B$6,Cenários!AI13,Cenários!AI59,Cenários!AI105)-CHOOSE(Premissas!$B$6,Cenários!AI15,Cenários!AI61,Cenários!AI107))*INDEX(Premissas!$C$105:$G$105,AI$7)/AI9,0)</f>
        <v>0.290636410417795</v>
      </c>
      <c r="AJ29" s="81" t="n">
        <f aca="false">IFERROR((CHOOSE(Premissas!$B$6,Cenários!AJ13,Cenários!AJ59,Cenários!AJ105)-CHOOSE(Premissas!$B$6,Cenários!AJ15,Cenários!AJ61,Cenários!AJ107))*INDEX(Premissas!$C$105:$G$105,AJ$7)/AJ9,0)</f>
        <v>0.290636658909018</v>
      </c>
      <c r="AK29" s="81" t="n">
        <f aca="false">IFERROR((CHOOSE(Premissas!$B$6,Cenários!AK13,Cenários!AK59,Cenários!AK105)-CHOOSE(Premissas!$B$6,Cenários!AK15,Cenários!AK61,Cenários!AK107))*INDEX(Premissas!$C$105:$G$105,AK$7)/AK9,0)</f>
        <v>0.290647199655101</v>
      </c>
      <c r="AL29" s="81" t="n">
        <f aca="false">IFERROR((CHOOSE(Premissas!$B$6,Cenários!AL13,Cenários!AL59,Cenários!AL105)-CHOOSE(Premissas!$B$6,Cenários!AL15,Cenários!AL61,Cenários!AL107))*INDEX(Premissas!$C$105:$G$105,AL$7)/AL9,0)</f>
        <v>0.22314735304949</v>
      </c>
      <c r="AM29" s="81" t="n">
        <f aca="false">IFERROR((CHOOSE(Premissas!$B$6,Cenários!AM13,Cenários!AM59,Cenários!AM105)-CHOOSE(Premissas!$B$6,Cenários!AM15,Cenários!AM61,Cenários!AM107))*INDEX(Premissas!$C$105:$G$105,AM$7)/AM9,0)</f>
        <v>0.223147053401473</v>
      </c>
      <c r="AN29" s="81" t="n">
        <f aca="false">IFERROR((CHOOSE(Premissas!$B$6,Cenários!AN13,Cenários!AN59,Cenários!AN105)-CHOOSE(Premissas!$B$6,Cenários!AN15,Cenários!AN61,Cenários!AN107))*INDEX(Premissas!$C$105:$G$105,AN$7)/AN9,0)</f>
        <v>0.223151222038234</v>
      </c>
      <c r="AO29" s="81" t="n">
        <f aca="false">IFERROR((CHOOSE(Premissas!$B$6,Cenários!AO13,Cenários!AO59,Cenários!AO105)-CHOOSE(Premissas!$B$6,Cenários!AO15,Cenários!AO61,Cenários!AO107))*INDEX(Premissas!$C$105:$G$105,AO$7)/AO9,0)</f>
        <v>0.223147802844767</v>
      </c>
      <c r="AP29" s="81" t="n">
        <f aca="false">IFERROR((CHOOSE(Premissas!$B$6,Cenários!AP13,Cenários!AP59,Cenários!AP105)-CHOOSE(Premissas!$B$6,Cenários!AP15,Cenários!AP61,Cenários!AP107))*INDEX(Premissas!$C$105:$G$105,AP$7)/AP9,0)</f>
        <v>0.223149446214134</v>
      </c>
      <c r="AQ29" s="81" t="n">
        <f aca="false">IFERROR((CHOOSE(Premissas!$B$6,Cenários!AQ13,Cenários!AQ59,Cenários!AQ105)-CHOOSE(Premissas!$B$6,Cenários!AQ15,Cenários!AQ61,Cenários!AQ107))*INDEX(Premissas!$C$105:$G$105,AQ$7)/AQ9,0)</f>
        <v>0.223150886844612</v>
      </c>
      <c r="AR29" s="81" t="n">
        <f aca="false">IFERROR((CHOOSE(Premissas!$B$6,Cenários!AR13,Cenários!AR59,Cenários!AR105)-CHOOSE(Premissas!$B$6,Cenários!AR15,Cenários!AR61,Cenários!AR107))*INDEX(Premissas!$C$105:$G$105,AR$7)/AR9,0)</f>
        <v>0.223150807982016</v>
      </c>
      <c r="AS29" s="81" t="n">
        <f aca="false">IFERROR((CHOOSE(Premissas!$B$6,Cenários!AS13,Cenários!AS59,Cenários!AS105)-CHOOSE(Premissas!$B$6,Cenários!AS15,Cenários!AS61,Cenários!AS107))*INDEX(Premissas!$C$105:$G$105,AS$7)/AS9,0)</f>
        <v>0.223151295499859</v>
      </c>
      <c r="AT29" s="81" t="n">
        <f aca="false">IFERROR((CHOOSE(Premissas!$B$6,Cenários!AT13,Cenários!AT59,Cenários!AT105)-CHOOSE(Premissas!$B$6,Cenários!AT15,Cenários!AT61,Cenários!AT107))*INDEX(Premissas!$C$105:$G$105,AT$7)/AT9,0)</f>
        <v>0.223151770305177</v>
      </c>
      <c r="AU29" s="81" t="n">
        <f aca="false">IFERROR((CHOOSE(Premissas!$B$6,Cenários!AU13,Cenários!AU59,Cenários!AU105)-CHOOSE(Premissas!$B$6,Cenários!AU15,Cenários!AU61,Cenários!AU107))*INDEX(Premissas!$C$105:$G$105,AU$7)/AU9,0)</f>
        <v>0.223149524858985</v>
      </c>
      <c r="AV29" s="81" t="n">
        <f aca="false">IFERROR((CHOOSE(Premissas!$B$6,Cenários!AV13,Cenários!AV59,Cenários!AV105)-CHOOSE(Premissas!$B$6,Cenários!AV15,Cenários!AV61,Cenários!AV107))*INDEX(Premissas!$C$105:$G$105,AV$7)/AV9,0)</f>
        <v>0.223151020758594</v>
      </c>
      <c r="AW29" s="81" t="n">
        <f aca="false">IFERROR((CHOOSE(Premissas!$B$6,Cenários!AW13,Cenários!AW59,Cenários!AW105)-CHOOSE(Premissas!$B$6,Cenários!AW15,Cenários!AW61,Cenários!AW107))*INDEX(Premissas!$C$105:$G$105,AW$7)/AW9,0)</f>
        <v>0.223149631689944</v>
      </c>
      <c r="AX29" s="81" t="n">
        <f aca="false">IFERROR((CHOOSE(Premissas!$B$6,Cenários!AX13,Cenários!AX59,Cenários!AX105)-CHOOSE(Premissas!$B$6,Cenários!AX15,Cenários!AX61,Cenários!AX107))*INDEX(Premissas!$C$105:$G$105,AX$7)/AX9,0)</f>
        <v>0.205510188675305</v>
      </c>
      <c r="AY29" s="81" t="n">
        <f aca="false">IFERROR((CHOOSE(Premissas!$B$6,Cenários!AY13,Cenários!AY59,Cenários!AY105)-CHOOSE(Premissas!$B$6,Cenários!AY15,Cenários!AY61,Cenários!AY107))*INDEX(Premissas!$C$105:$G$105,AY$7)/AY9,0)</f>
        <v>0.205508929278514</v>
      </c>
      <c r="AZ29" s="81" t="n">
        <f aca="false">IFERROR((CHOOSE(Premissas!$B$6,Cenários!AZ13,Cenários!AZ59,Cenários!AZ105)-CHOOSE(Premissas!$B$6,Cenários!AZ15,Cenários!AZ61,Cenários!AZ107))*INDEX(Premissas!$C$105:$G$105,AZ$7)/AZ9,0)</f>
        <v>0.205508095842249</v>
      </c>
      <c r="BA29" s="81" t="n">
        <f aca="false">IFERROR((CHOOSE(Premissas!$B$6,Cenários!BA13,Cenários!BA59,Cenários!BA105)-CHOOSE(Premissas!$B$6,Cenários!BA15,Cenários!BA61,Cenários!BA107))*INDEX(Premissas!$C$105:$G$105,BA$7)/BA9,0)</f>
        <v>0.205510566260589</v>
      </c>
      <c r="BB29" s="81" t="n">
        <f aca="false">IFERROR((CHOOSE(Premissas!$B$6,Cenários!BB13,Cenários!BB59,Cenários!BB105)-CHOOSE(Premissas!$B$6,Cenários!BB15,Cenários!BB61,Cenários!BB107))*INDEX(Premissas!$C$105:$G$105,BB$7)/BB9,0)</f>
        <v>0.205509090917149</v>
      </c>
      <c r="BC29" s="81" t="n">
        <f aca="false">IFERROR((CHOOSE(Premissas!$B$6,Cenários!BC13,Cenários!BC59,Cenários!BC105)-CHOOSE(Premissas!$B$6,Cenários!BC15,Cenários!BC61,Cenários!BC107))*INDEX(Premissas!$C$105:$G$105,BC$7)/BC9,0)</f>
        <v>0.205508790301279</v>
      </c>
      <c r="BD29" s="81" t="n">
        <f aca="false">IFERROR((CHOOSE(Premissas!$B$6,Cenários!BD13,Cenários!BD59,Cenários!BD105)-CHOOSE(Premissas!$B$6,Cenários!BD15,Cenários!BD61,Cenários!BD107))*INDEX(Premissas!$C$105:$G$105,BD$7)/BD9,0)</f>
        <v>0.20550863027698</v>
      </c>
      <c r="BE29" s="81" t="n">
        <f aca="false">IFERROR((CHOOSE(Premissas!$B$6,Cenários!BE13,Cenários!BE59,Cenários!BE105)-CHOOSE(Premissas!$B$6,Cenários!BE15,Cenários!BE61,Cenários!BE107))*INDEX(Premissas!$C$105:$G$105,BE$7)/BE9,0)</f>
        <v>0.205508970144199</v>
      </c>
      <c r="BF29" s="81" t="n">
        <f aca="false">IFERROR((CHOOSE(Premissas!$B$6,Cenários!BF13,Cenários!BF59,Cenários!BF105)-CHOOSE(Premissas!$B$6,Cenários!BF15,Cenários!BF61,Cenários!BF107))*INDEX(Premissas!$C$105:$G$105,BF$7)/BF9,0)</f>
        <v>0.20550836049721</v>
      </c>
      <c r="BG29" s="81" t="n">
        <f aca="false">IFERROR((CHOOSE(Premissas!$B$6,Cenários!BG13,Cenários!BG59,Cenários!BG105)-CHOOSE(Premissas!$B$6,Cenários!BG15,Cenários!BG61,Cenários!BG107))*INDEX(Premissas!$C$105:$G$105,BG$7)/BG9,0)</f>
        <v>0.205509948332602</v>
      </c>
      <c r="BH29" s="81" t="n">
        <f aca="false">IFERROR((CHOOSE(Premissas!$B$6,Cenários!BH13,Cenários!BH59,Cenários!BH105)-CHOOSE(Premissas!$B$6,Cenários!BH15,Cenários!BH61,Cenários!BH107))*INDEX(Premissas!$C$105:$G$105,BH$7)/BH9,0)</f>
        <v>0.205509172886724</v>
      </c>
      <c r="BI29" s="81" t="n">
        <f aca="false">IFERROR((CHOOSE(Premissas!$B$6,Cenários!BI13,Cenários!BI59,Cenários!BI105)-CHOOSE(Premissas!$B$6,Cenários!BI15,Cenários!BI61,Cenários!BI107))*INDEX(Premissas!$C$105:$G$105,BI$7)/BI9,0)</f>
        <v>0.205509218439193</v>
      </c>
      <c r="BK29" s="29" t="s">
        <v>340</v>
      </c>
    </row>
    <row r="30" customFormat="false" ht="15" hidden="false" customHeight="false" outlineLevel="0" collapsed="false">
      <c r="A30" s="27" t="s">
        <v>341</v>
      </c>
      <c r="B30" s="81" t="n">
        <f aca="false">IFERROR(CHOOSE(Premissas!$B$6,Cenários!B19,Cenários!B65,Cenários!B111)*Premissas!$B$80/B9,0)</f>
        <v>0</v>
      </c>
      <c r="C30" s="81" t="n">
        <f aca="false">IFERROR(CHOOSE(Premissas!$B$6,Cenários!C19,Cenários!C65,Cenários!C111)*Premissas!$B$80/C9,0)</f>
        <v>0</v>
      </c>
      <c r="D30" s="81" t="n">
        <f aca="false">IFERROR(CHOOSE(Premissas!$B$6,Cenários!D19,Cenários!D65,Cenários!D111)*Premissas!$B$80/D9,0)</f>
        <v>0</v>
      </c>
      <c r="E30" s="81" t="n">
        <f aca="false">IFERROR(CHOOSE(Premissas!$B$6,Cenários!E19,Cenários!E65,Cenários!E111)*Premissas!$B$80/E9,0)</f>
        <v>0</v>
      </c>
      <c r="F30" s="81" t="n">
        <f aca="false">IFERROR(CHOOSE(Premissas!$B$6,Cenários!F19,Cenários!F65,Cenários!F111)*Premissas!$B$80/F9,0)</f>
        <v>0</v>
      </c>
      <c r="G30" s="81" t="n">
        <f aca="false">IFERROR(CHOOSE(Premissas!$B$6,Cenários!G19,Cenários!G65,Cenários!G111)*Premissas!$B$80/G9,0)</f>
        <v>0</v>
      </c>
      <c r="H30" s="81" t="n">
        <f aca="false">IFERROR(CHOOSE(Premissas!$B$6,Cenários!H19,Cenários!H65,Cenários!H111)*Premissas!$B$80/H9,0)</f>
        <v>0</v>
      </c>
      <c r="I30" s="81" t="n">
        <f aca="false">IFERROR(CHOOSE(Premissas!$B$6,Cenários!I19,Cenários!I65,Cenários!I111)*Premissas!$B$80/I9,0)</f>
        <v>0</v>
      </c>
      <c r="J30" s="81" t="n">
        <f aca="false">IFERROR(CHOOSE(Premissas!$B$6,Cenários!J19,Cenários!J65,Cenários!J111)*Premissas!$B$80/J9,0)</f>
        <v>0</v>
      </c>
      <c r="K30" s="81" t="n">
        <f aca="false">IFERROR(CHOOSE(Premissas!$B$6,Cenários!K19,Cenários!K65,Cenários!K111)*Premissas!$B$80/K9,0)</f>
        <v>0</v>
      </c>
      <c r="L30" s="81" t="n">
        <f aca="false">IFERROR(CHOOSE(Premissas!$B$6,Cenários!L19,Cenários!L65,Cenários!L111)*Premissas!$B$80/L9,0)</f>
        <v>0</v>
      </c>
      <c r="M30" s="81" t="n">
        <f aca="false">IFERROR(CHOOSE(Premissas!$B$6,Cenários!M19,Cenários!M65,Cenários!M111)*Premissas!$B$80/M9,0)</f>
        <v>0</v>
      </c>
      <c r="N30" s="81" t="n">
        <f aca="false">IFERROR(CHOOSE(Premissas!$B$6,Cenários!N19,Cenários!N65,Cenários!N111)*Premissas!$B$80/N9,0)</f>
        <v>0</v>
      </c>
      <c r="O30" s="81" t="n">
        <f aca="false">IFERROR(CHOOSE(Premissas!$B$6,Cenários!O19,Cenários!O65,Cenários!O111)*Premissas!$B$80/O9,0)</f>
        <v>0</v>
      </c>
      <c r="P30" s="81" t="n">
        <f aca="false">IFERROR(CHOOSE(Premissas!$B$6,Cenários!P19,Cenários!P65,Cenários!P111)*Premissas!$B$80/P9,0)</f>
        <v>0</v>
      </c>
      <c r="Q30" s="81" t="n">
        <f aca="false">IFERROR(CHOOSE(Premissas!$B$6,Cenários!Q19,Cenários!Q65,Cenários!Q111)*Premissas!$B$80/Q9,0)</f>
        <v>0</v>
      </c>
      <c r="R30" s="81" t="n">
        <f aca="false">IFERROR(CHOOSE(Premissas!$B$6,Cenários!R19,Cenários!R65,Cenários!R111)*Premissas!$B$80/R9,0)</f>
        <v>0</v>
      </c>
      <c r="S30" s="81" t="n">
        <f aca="false">IFERROR(CHOOSE(Premissas!$B$6,Cenários!S19,Cenários!S65,Cenários!S111)*Premissas!$B$80/S9,0)</f>
        <v>0</v>
      </c>
      <c r="T30" s="81" t="n">
        <f aca="false">IFERROR(CHOOSE(Premissas!$B$6,Cenários!T19,Cenários!T65,Cenários!T111)*Premissas!$B$80/T9,0)</f>
        <v>0</v>
      </c>
      <c r="U30" s="81" t="n">
        <f aca="false">IFERROR(CHOOSE(Premissas!$B$6,Cenários!U19,Cenários!U65,Cenários!U111)*Premissas!$B$80/U9,0)</f>
        <v>0</v>
      </c>
      <c r="V30" s="81" t="n">
        <f aca="false">IFERROR(CHOOSE(Premissas!$B$6,Cenários!V19,Cenários!V65,Cenários!V111)*Premissas!$B$80/V9,0)</f>
        <v>0</v>
      </c>
      <c r="W30" s="81" t="n">
        <f aca="false">IFERROR(CHOOSE(Premissas!$B$6,Cenários!W19,Cenários!W65,Cenários!W111)*Premissas!$B$80/W9,0)</f>
        <v>0</v>
      </c>
      <c r="X30" s="81" t="n">
        <f aca="false">IFERROR(CHOOSE(Premissas!$B$6,Cenários!X19,Cenários!X65,Cenários!X111)*Premissas!$B$80/X9,0)</f>
        <v>0</v>
      </c>
      <c r="Y30" s="81" t="n">
        <f aca="false">IFERROR(CHOOSE(Premissas!$B$6,Cenários!Y19,Cenários!Y65,Cenários!Y111)*Premissas!$B$80/Y9,0)</f>
        <v>0</v>
      </c>
      <c r="Z30" s="81" t="n">
        <f aca="false">IFERROR(CHOOSE(Premissas!$B$6,Cenários!Z19,Cenários!Z65,Cenários!Z111)*Premissas!$B$80/Z9,0)</f>
        <v>0.257196846289177</v>
      </c>
      <c r="AA30" s="81" t="n">
        <f aca="false">IFERROR(CHOOSE(Premissas!$B$6,Cenários!AA19,Cenários!AA65,Cenários!AA111)*Premissas!$B$80/AA9,0)</f>
        <v>0.25720081745507</v>
      </c>
      <c r="AB30" s="81" t="n">
        <f aca="false">IFERROR(CHOOSE(Premissas!$B$6,Cenários!AB19,Cenários!AB65,Cenários!AB111)*Premissas!$B$80/AB9,0)</f>
        <v>0.257201726844584</v>
      </c>
      <c r="AC30" s="81" t="n">
        <f aca="false">IFERROR(CHOOSE(Premissas!$B$6,Cenários!AC19,Cenários!AC65,Cenários!AC111)*Premissas!$B$80/AC9,0)</f>
        <v>0.25720580474934</v>
      </c>
      <c r="AD30" s="81" t="n">
        <f aca="false">IFERROR(CHOOSE(Premissas!$B$6,Cenários!AD19,Cenários!AD65,Cenários!AD111)*Premissas!$B$80/AD9,0)</f>
        <v>0.257197538276794</v>
      </c>
      <c r="AE30" s="81" t="n">
        <f aca="false">IFERROR(CHOOSE(Premissas!$B$6,Cenários!AE19,Cenários!AE65,Cenários!AE111)*Premissas!$B$80/AE9,0)</f>
        <v>0.257203551651709</v>
      </c>
      <c r="AF30" s="81" t="n">
        <f aca="false">IFERROR(CHOOSE(Premissas!$B$6,Cenários!AF19,Cenários!AF65,Cenários!AF111)*Premissas!$B$80/AF9,0)</f>
        <v>0.257206299789397</v>
      </c>
      <c r="AG30" s="81" t="n">
        <f aca="false">IFERROR(CHOOSE(Premissas!$B$6,Cenários!AG19,Cenários!AG65,Cenários!AG111)*Premissas!$B$80/AG9,0)</f>
        <v>0.25720680986195</v>
      </c>
      <c r="AH30" s="81" t="n">
        <f aca="false">IFERROR(CHOOSE(Premissas!$B$6,Cenários!AH19,Cenários!AH65,Cenários!AH111)*Premissas!$B$80/AH9,0)</f>
        <v>0.257199522306577</v>
      </c>
      <c r="AI30" s="81" t="n">
        <f aca="false">IFERROR(CHOOSE(Premissas!$B$6,Cenários!AI19,Cenários!AI65,Cenários!AI111)*Premissas!$B$80/AI9,0)</f>
        <v>0.257196656182751</v>
      </c>
      <c r="AJ30" s="81" t="n">
        <f aca="false">IFERROR(CHOOSE(Premissas!$B$6,Cenários!AJ19,Cenários!AJ65,Cenários!AJ111)*Premissas!$B$80/AJ9,0)</f>
        <v>0.257196649349603</v>
      </c>
      <c r="AK30" s="81" t="n">
        <f aca="false">IFERROR(CHOOSE(Premissas!$B$6,Cenários!AK19,Cenários!AK65,Cenários!AK111)*Premissas!$B$80/AK9,0)</f>
        <v>0.257206286836935</v>
      </c>
      <c r="AL30" s="81" t="n">
        <f aca="false">IFERROR(CHOOSE(Premissas!$B$6,Cenários!AL19,Cenários!AL65,Cenários!AL111)*Premissas!$B$80/AL9,0)</f>
        <v>0.254024332384438</v>
      </c>
      <c r="AM30" s="81" t="n">
        <f aca="false">IFERROR(CHOOSE(Premissas!$B$6,Cenários!AM19,Cenários!AM65,Cenários!AM111)*Premissas!$B$80/AM9,0)</f>
        <v>0.254022933588151</v>
      </c>
      <c r="AN30" s="81" t="n">
        <f aca="false">IFERROR(CHOOSE(Premissas!$B$6,Cenários!AN19,Cenários!AN65,Cenários!AN111)*Premissas!$B$80/AN9,0)</f>
        <v>0.254027928580046</v>
      </c>
      <c r="AO30" s="81" t="n">
        <f aca="false">IFERROR(CHOOSE(Premissas!$B$6,Cenários!AO19,Cenários!AO65,Cenários!AO111)*Premissas!$B$80/AO9,0)</f>
        <v>0.254024309646275</v>
      </c>
      <c r="AP30" s="81" t="n">
        <f aca="false">IFERROR(CHOOSE(Premissas!$B$6,Cenários!AP19,Cenários!AP65,Cenários!AP111)*Premissas!$B$80/AP9,0)</f>
        <v>0.254026309995597</v>
      </c>
      <c r="AQ30" s="81" t="n">
        <f aca="false">IFERROR(CHOOSE(Premissas!$B$6,Cenários!AQ19,Cenários!AQ65,Cenários!AQ111)*Premissas!$B$80/AQ9,0)</f>
        <v>0.254027112181948</v>
      </c>
      <c r="AR30" s="81" t="n">
        <f aca="false">IFERROR(CHOOSE(Premissas!$B$6,Cenários!AR19,Cenários!AR65,Cenários!AR111)*Premissas!$B$80/AR9,0)</f>
        <v>0.254027411972281</v>
      </c>
      <c r="AS30" s="81" t="n">
        <f aca="false">IFERROR(CHOOSE(Premissas!$B$6,Cenários!AS19,Cenários!AS65,Cenários!AS111)*Premissas!$B$80/AS9,0)</f>
        <v>0.254027901675092</v>
      </c>
      <c r="AT30" s="81" t="n">
        <f aca="false">IFERROR(CHOOSE(Premissas!$B$6,Cenários!AT19,Cenários!AT65,Cenários!AT111)*Premissas!$B$80/AT9,0)</f>
        <v>0.254027985164491</v>
      </c>
      <c r="AU30" s="81" t="n">
        <f aca="false">IFERROR(CHOOSE(Premissas!$B$6,Cenários!AU19,Cenários!AU65,Cenários!AU111)*Premissas!$B$80/AU9,0)</f>
        <v>0.254025955739128</v>
      </c>
      <c r="AV30" s="81" t="n">
        <f aca="false">IFERROR(CHOOSE(Premissas!$B$6,Cenários!AV19,Cenários!AV65,Cenários!AV111)*Premissas!$B$80/AV9,0)</f>
        <v>0.254027322529626</v>
      </c>
      <c r="AW30" s="81" t="n">
        <f aca="false">IFERROR(CHOOSE(Premissas!$B$6,Cenários!AW19,Cenários!AW65,Cenários!AW111)*Premissas!$B$80/AW9,0)</f>
        <v>0.254026830581479</v>
      </c>
      <c r="AX30" s="81" t="n">
        <f aca="false">IFERROR(CHOOSE(Premissas!$B$6,Cenários!AX19,Cenários!AX65,Cenários!AX111)*Premissas!$B$80/AX9,0)</f>
        <v>0.257262303379536</v>
      </c>
      <c r="AY30" s="81" t="n">
        <f aca="false">IFERROR(CHOOSE(Premissas!$B$6,Cenários!AY19,Cenários!AY65,Cenários!AY111)*Premissas!$B$80/AY9,0)</f>
        <v>0.257260125383781</v>
      </c>
      <c r="AZ30" s="81" t="n">
        <f aca="false">IFERROR(CHOOSE(Premissas!$B$6,Cenários!AZ19,Cenários!AZ65,Cenários!AZ111)*Premissas!$B$80/AZ9,0)</f>
        <v>0.257259431407154</v>
      </c>
      <c r="BA30" s="81" t="n">
        <f aca="false">IFERROR(CHOOSE(Premissas!$B$6,Cenários!BA19,Cenários!BA65,Cenários!BA111)*Premissas!$B$80/BA9,0)</f>
        <v>0.257262010119058</v>
      </c>
      <c r="BB30" s="81" t="n">
        <f aca="false">IFERROR(CHOOSE(Premissas!$B$6,Cenários!BB19,Cenários!BB65,Cenários!BB111)*Premissas!$B$80/BB9,0)</f>
        <v>0.257260339852517</v>
      </c>
      <c r="BC30" s="81" t="n">
        <f aca="false">IFERROR(CHOOSE(Premissas!$B$6,Cenários!BC19,Cenários!BC65,Cenários!BC111)*Premissas!$B$80/BC9,0)</f>
        <v>0.257260070769659</v>
      </c>
      <c r="BD30" s="81" t="n">
        <f aca="false">IFERROR(CHOOSE(Premissas!$B$6,Cenários!BD19,Cenários!BD65,Cenários!BD111)*Premissas!$B$80/BD9,0)</f>
        <v>0.257259968912537</v>
      </c>
      <c r="BE30" s="81" t="n">
        <f aca="false">IFERROR(CHOOSE(Premissas!$B$6,Cenários!BE19,Cenários!BE65,Cenários!BE111)*Premissas!$B$80/BE9,0)</f>
        <v>0.257260520286535</v>
      </c>
      <c r="BF30" s="81" t="n">
        <f aca="false">IFERROR(CHOOSE(Premissas!$B$6,Cenários!BF19,Cenários!BF65,Cenários!BF111)*Premissas!$B$80/BF9,0)</f>
        <v>0.257260044013091</v>
      </c>
      <c r="BG30" s="81" t="n">
        <f aca="false">IFERROR(CHOOSE(Premissas!$B$6,Cenários!BG19,Cenários!BG65,Cenários!BG111)*Premissas!$B$80/BG9,0)</f>
        <v>0.257261359415625</v>
      </c>
      <c r="BH30" s="81" t="n">
        <f aca="false">IFERROR(CHOOSE(Premissas!$B$6,Cenários!BH19,Cenários!BH65,Cenários!BH111)*Premissas!$B$80/BH9,0)</f>
        <v>0.257260774876993</v>
      </c>
      <c r="BI30" s="81" t="n">
        <f aca="false">IFERROR(CHOOSE(Premissas!$B$6,Cenários!BI19,Cenários!BI65,Cenários!BI111)*Premissas!$B$80/BI9,0)</f>
        <v>0.257260474115804</v>
      </c>
    </row>
    <row r="31" customFormat="false" ht="15" hidden="false" customHeight="false" outlineLevel="0" collapsed="false">
      <c r="A31" s="62" t="s">
        <v>342</v>
      </c>
      <c r="B31" s="89" t="n">
        <f aca="false">SUM(B27:B30)</f>
        <v>1.85</v>
      </c>
      <c r="C31" s="89" t="n">
        <f aca="false">SUM(C27:C30)</f>
        <v>1.85</v>
      </c>
      <c r="D31" s="89" t="n">
        <f aca="false">SUM(D27:D30)</f>
        <v>1.85</v>
      </c>
      <c r="E31" s="89" t="n">
        <f aca="false">SUM(E27:E30)</f>
        <v>1.85</v>
      </c>
      <c r="F31" s="89" t="n">
        <f aca="false">SUM(F27:F30)</f>
        <v>1.85</v>
      </c>
      <c r="G31" s="89" t="n">
        <f aca="false">SUM(G27:G30)</f>
        <v>1.85</v>
      </c>
      <c r="H31" s="89" t="n">
        <f aca="false">SUM(H27:H30)</f>
        <v>1.85</v>
      </c>
      <c r="I31" s="89" t="n">
        <f aca="false">SUM(I27:I30)</f>
        <v>1.85</v>
      </c>
      <c r="J31" s="89" t="n">
        <f aca="false">SUM(J27:J30)</f>
        <v>1.85</v>
      </c>
      <c r="K31" s="89" t="n">
        <f aca="false">SUM(K27:K30)</f>
        <v>4.22735099337748</v>
      </c>
      <c r="L31" s="89" t="n">
        <f aca="false">SUM(L27:L30)</f>
        <v>3.03041450777202</v>
      </c>
      <c r="M31" s="89" t="n">
        <f aca="false">SUM(M27:M30)</f>
        <v>2.6298696485623</v>
      </c>
      <c r="N31" s="89" t="n">
        <f aca="false">SUM(N27:N30)</f>
        <v>2.23564627558245</v>
      </c>
      <c r="O31" s="89" t="n">
        <f aca="false">SUM(O27:O30)</f>
        <v>2.12441464604849</v>
      </c>
      <c r="P31" s="89" t="n">
        <f aca="false">SUM(P27:P30)</f>
        <v>2.05039687320635</v>
      </c>
      <c r="Q31" s="89" t="n">
        <f aca="false">SUM(Q27:Q30)</f>
        <v>2.05038158576354</v>
      </c>
      <c r="R31" s="89" t="n">
        <f aca="false">SUM(R27:R30)</f>
        <v>2.05036510842797</v>
      </c>
      <c r="S31" s="89" t="n">
        <f aca="false">SUM(S27:S30)</f>
        <v>2.05037410616784</v>
      </c>
      <c r="T31" s="89" t="n">
        <f aca="false">SUM(T27:T30)</f>
        <v>2.05037266769203</v>
      </c>
      <c r="U31" s="89" t="n">
        <f aca="false">SUM(U27:U30)</f>
        <v>2.05035715467856</v>
      </c>
      <c r="V31" s="89" t="n">
        <f aca="false">SUM(V27:V30)</f>
        <v>2.05037867080991</v>
      </c>
      <c r="W31" s="89" t="n">
        <f aca="false">SUM(W27:W30)</f>
        <v>2.05037254832679</v>
      </c>
      <c r="X31" s="89" t="n">
        <f aca="false">SUM(X27:X30)</f>
        <v>2.0503674360101</v>
      </c>
      <c r="Y31" s="89" t="n">
        <f aca="false">SUM(Y27:Y30)</f>
        <v>2.05037842941399</v>
      </c>
      <c r="Z31" s="89" t="n">
        <f aca="false">SUM(Z27:Z30)</f>
        <v>1.99783131617312</v>
      </c>
      <c r="AA31" s="89" t="n">
        <f aca="false">SUM(AA27:AA30)</f>
        <v>1.99784068610743</v>
      </c>
      <c r="AB31" s="89" t="n">
        <f aca="false">SUM(AB27:AB30)</f>
        <v>1.9978426675929</v>
      </c>
      <c r="AC31" s="89" t="n">
        <f aca="false">SUM(AC27:AC30)</f>
        <v>1.99785161197933</v>
      </c>
      <c r="AD31" s="89" t="n">
        <f aca="false">SUM(AD27:AD30)</f>
        <v>1.99783585425505</v>
      </c>
      <c r="AE31" s="89" t="n">
        <f aca="false">SUM(AE27:AE30)</f>
        <v>1.99784687396878</v>
      </c>
      <c r="AF31" s="89" t="n">
        <f aca="false">SUM(AF27:AF30)</f>
        <v>1.99785385299367</v>
      </c>
      <c r="AG31" s="89" t="n">
        <f aca="false">SUM(AG27:AG30)</f>
        <v>1.99785534022626</v>
      </c>
      <c r="AH31" s="89" t="n">
        <f aca="false">SUM(AH27:AH30)</f>
        <v>1.99783913435514</v>
      </c>
      <c r="AI31" s="89" t="n">
        <f aca="false">SUM(AI27:AI30)</f>
        <v>1.99783306660055</v>
      </c>
      <c r="AJ31" s="89" t="n">
        <f aca="false">SUM(AJ27:AJ30)</f>
        <v>1.99783330825862</v>
      </c>
      <c r="AK31" s="89" t="n">
        <f aca="false">SUM(AK27:AK30)</f>
        <v>1.99785348649204</v>
      </c>
      <c r="AL31" s="89" t="n">
        <f aca="false">SUM(AL27:AL30)</f>
        <v>1.75717168543393</v>
      </c>
      <c r="AM31" s="89" t="n">
        <f aca="false">SUM(AM27:AM30)</f>
        <v>1.75716998698962</v>
      </c>
      <c r="AN31" s="89" t="n">
        <f aca="false">SUM(AN27:AN30)</f>
        <v>1.75717915061828</v>
      </c>
      <c r="AO31" s="89" t="n">
        <f aca="false">SUM(AO27:AO30)</f>
        <v>1.75717211249104</v>
      </c>
      <c r="AP31" s="89" t="n">
        <f aca="false">SUM(AP27:AP30)</f>
        <v>1.75717575620973</v>
      </c>
      <c r="AQ31" s="89" t="n">
        <f aca="false">SUM(AQ27:AQ30)</f>
        <v>1.75717799902656</v>
      </c>
      <c r="AR31" s="89" t="n">
        <f aca="false">SUM(AR27:AR30)</f>
        <v>1.7571782199543</v>
      </c>
      <c r="AS31" s="89" t="n">
        <f aca="false">SUM(AS27:AS30)</f>
        <v>1.75717919717495</v>
      </c>
      <c r="AT31" s="89" t="n">
        <f aca="false">SUM(AT27:AT30)</f>
        <v>1.75717975546967</v>
      </c>
      <c r="AU31" s="89" t="n">
        <f aca="false">SUM(AU27:AU30)</f>
        <v>1.75717548059811</v>
      </c>
      <c r="AV31" s="89" t="n">
        <f aca="false">SUM(AV27:AV30)</f>
        <v>1.75717834328822</v>
      </c>
      <c r="AW31" s="89" t="n">
        <f aca="false">SUM(AW27:AW30)</f>
        <v>1.75717646227142</v>
      </c>
      <c r="AX31" s="89" t="n">
        <f aca="false">SUM(AX27:AX30)</f>
        <v>1.61277249205484</v>
      </c>
      <c r="AY31" s="89" t="n">
        <f aca="false">SUM(AY27:AY30)</f>
        <v>1.6127690546623</v>
      </c>
      <c r="AZ31" s="89" t="n">
        <f aca="false">SUM(AZ27:AZ30)</f>
        <v>1.6127675272494</v>
      </c>
      <c r="BA31" s="89" t="n">
        <f aca="false">SUM(BA27:BA30)</f>
        <v>1.61277257637965</v>
      </c>
      <c r="BB31" s="89" t="n">
        <f aca="false">SUM(BB27:BB30)</f>
        <v>1.61276943076967</v>
      </c>
      <c r="BC31" s="89" t="n">
        <f aca="false">SUM(BC27:BC30)</f>
        <v>1.61276886107094</v>
      </c>
      <c r="BD31" s="89" t="n">
        <f aca="false">SUM(BD27:BD30)</f>
        <v>1.61276859918952</v>
      </c>
      <c r="BE31" s="89" t="n">
        <f aca="false">SUM(BE27:BE30)</f>
        <v>1.61276949043073</v>
      </c>
      <c r="BF31" s="89" t="n">
        <f aca="false">SUM(BF27:BF30)</f>
        <v>1.6127684045103</v>
      </c>
      <c r="BG31" s="89" t="n">
        <f aca="false">SUM(BG27:BG30)</f>
        <v>1.61277130774823</v>
      </c>
      <c r="BH31" s="89" t="n">
        <f aca="false">SUM(BH27:BH30)</f>
        <v>1.61276994776372</v>
      </c>
      <c r="BI31" s="89" t="n">
        <f aca="false">SUM(BI27:BI30)</f>
        <v>1.612769692555</v>
      </c>
    </row>
    <row r="32" customFormat="false" ht="15" hidden="false" customHeight="false" outlineLevel="0" collapsed="false">
      <c r="A32" s="71" t="s">
        <v>343</v>
      </c>
      <c r="B32" s="84" t="n">
        <f aca="false">IFERROR((1-INDEX(Premissas!$C$70:$G$70,B$7))*CHOOSE(Premissas!$B$6,IF('Ajuste Mensal'!B$16="",INDEX(Premissas!$C$67:$G$67,B$7),'Ajuste Mensal'!B$16),IF('Ajuste Mensal'!B$22="",INDEX(Premissas!$C$68:$G$68,B$7),'Ajuste Mensal'!B$22),IF('Ajuste Mensal'!B$28="",INDEX(Premissas!$C$69:$G$69,B$7),'Ajuste Mensal'!B$28))/CHOOSE(Premissas!$B$6,Cenários!B14,Cenários!B60,Cenários!B106),0)</f>
        <v>0</v>
      </c>
      <c r="C32" s="84" t="n">
        <f aca="false">IFERROR((1-INDEX(Premissas!$C$70:$G$70,C$7))*CHOOSE(Premissas!$B$6,IF('Ajuste Mensal'!C$16="",INDEX(Premissas!$C$67:$G$67,C$7),'Ajuste Mensal'!C$16),IF('Ajuste Mensal'!C$22="",INDEX(Premissas!$C$68:$G$68,C$7),'Ajuste Mensal'!C$22),IF('Ajuste Mensal'!C$28="",INDEX(Premissas!$C$69:$G$69,C$7),'Ajuste Mensal'!C$28))/CHOOSE(Premissas!$B$6,Cenários!C14,Cenários!C60,Cenários!C106),0)</f>
        <v>0</v>
      </c>
      <c r="D32" s="84" t="n">
        <f aca="false">IFERROR((1-INDEX(Premissas!$C$70:$G$70,D$7))*CHOOSE(Premissas!$B$6,IF('Ajuste Mensal'!D$16="",INDEX(Premissas!$C$67:$G$67,D$7),'Ajuste Mensal'!D$16),IF('Ajuste Mensal'!D$22="",INDEX(Premissas!$C$68:$G$68,D$7),'Ajuste Mensal'!D$22),IF('Ajuste Mensal'!D$28="",INDEX(Premissas!$C$69:$G$69,D$7),'Ajuste Mensal'!D$28))/CHOOSE(Premissas!$B$6,Cenários!D14,Cenários!D60,Cenários!D106),0)</f>
        <v>0</v>
      </c>
      <c r="E32" s="84" t="n">
        <f aca="false">IFERROR((1-INDEX(Premissas!$C$70:$G$70,E$7))*CHOOSE(Premissas!$B$6,IF('Ajuste Mensal'!E$16="",INDEX(Premissas!$C$67:$G$67,E$7),'Ajuste Mensal'!E$16),IF('Ajuste Mensal'!E$22="",INDEX(Premissas!$C$68:$G$68,E$7),'Ajuste Mensal'!E$22),IF('Ajuste Mensal'!E$28="",INDEX(Premissas!$C$69:$G$69,E$7),'Ajuste Mensal'!E$28))/CHOOSE(Premissas!$B$6,Cenários!E14,Cenários!E60,Cenários!E106),0)</f>
        <v>0</v>
      </c>
      <c r="F32" s="84" t="n">
        <f aca="false">IFERROR((1-INDEX(Premissas!$C$70:$G$70,F$7))*CHOOSE(Premissas!$B$6,IF('Ajuste Mensal'!F$16="",INDEX(Premissas!$C$67:$G$67,F$7),'Ajuste Mensal'!F$16),IF('Ajuste Mensal'!F$22="",INDEX(Premissas!$C$68:$G$68,F$7),'Ajuste Mensal'!F$22),IF('Ajuste Mensal'!F$28="",INDEX(Premissas!$C$69:$G$69,F$7),'Ajuste Mensal'!F$28))/CHOOSE(Premissas!$B$6,Cenários!F14,Cenários!F60,Cenários!F106),0)</f>
        <v>0</v>
      </c>
      <c r="G32" s="84" t="n">
        <f aca="false">IFERROR((1-INDEX(Premissas!$C$70:$G$70,G$7))*CHOOSE(Premissas!$B$6,IF('Ajuste Mensal'!G$16="",INDEX(Premissas!$C$67:$G$67,G$7),'Ajuste Mensal'!G$16),IF('Ajuste Mensal'!G$22="",INDEX(Premissas!$C$68:$G$68,G$7),'Ajuste Mensal'!G$22),IF('Ajuste Mensal'!G$28="",INDEX(Premissas!$C$69:$G$69,G$7),'Ajuste Mensal'!G$28))/CHOOSE(Premissas!$B$6,Cenários!G14,Cenários!G60,Cenários!G106),0)</f>
        <v>0</v>
      </c>
      <c r="H32" s="84" t="n">
        <f aca="false">IFERROR((1-INDEX(Premissas!$C$70:$G$70,H$7))*CHOOSE(Premissas!$B$6,IF('Ajuste Mensal'!H$16="",INDEX(Premissas!$C$67:$G$67,H$7),'Ajuste Mensal'!H$16),IF('Ajuste Mensal'!H$22="",INDEX(Premissas!$C$68:$G$68,H$7),'Ajuste Mensal'!H$22),IF('Ajuste Mensal'!H$28="",INDEX(Premissas!$C$69:$G$69,H$7),'Ajuste Mensal'!H$28))/CHOOSE(Premissas!$B$6,Cenários!H14,Cenários!H60,Cenários!H106),0)</f>
        <v>0</v>
      </c>
      <c r="I32" s="84" t="n">
        <f aca="false">IFERROR((1-INDEX(Premissas!$C$70:$G$70,I$7))*CHOOSE(Premissas!$B$6,IF('Ajuste Mensal'!I$16="",INDEX(Premissas!$C$67:$G$67,I$7),'Ajuste Mensal'!I$16),IF('Ajuste Mensal'!I$22="",INDEX(Premissas!$C$68:$G$68,I$7),'Ajuste Mensal'!I$22),IF('Ajuste Mensal'!I$28="",INDEX(Premissas!$C$69:$G$69,I$7),'Ajuste Mensal'!I$28))/CHOOSE(Premissas!$B$6,Cenários!I14,Cenários!I60,Cenários!I106),0)</f>
        <v>0</v>
      </c>
      <c r="J32" s="84" t="n">
        <f aca="false">IFERROR((1-INDEX(Premissas!$C$70:$G$70,J$7))*CHOOSE(Premissas!$B$6,IF('Ajuste Mensal'!J$16="",INDEX(Premissas!$C$67:$G$67,J$7),'Ajuste Mensal'!J$16),IF('Ajuste Mensal'!J$22="",INDEX(Premissas!$C$68:$G$68,J$7),'Ajuste Mensal'!J$22),IF('Ajuste Mensal'!J$28="",INDEX(Premissas!$C$69:$G$69,J$7),'Ajuste Mensal'!J$28))/CHOOSE(Premissas!$B$6,Cenários!J14,Cenários!J60,Cenários!J106),0)</f>
        <v>0</v>
      </c>
      <c r="K32" s="84" t="n">
        <f aca="false">IFERROR((1-INDEX(Premissas!$C$70:$G$70,K$7))*CHOOSE(Premissas!$B$6,IF('Ajuste Mensal'!K$16="",INDEX(Premissas!$C$67:$G$67,K$7),'Ajuste Mensal'!K$16),IF('Ajuste Mensal'!K$22="",INDEX(Premissas!$C$68:$G$68,K$7),'Ajuste Mensal'!K$22),IF('Ajuste Mensal'!K$28="",INDEX(Premissas!$C$69:$G$69,K$7),'Ajuste Mensal'!K$28))/CHOOSE(Premissas!$B$6,Cenários!K14,Cenários!K60,Cenários!K106),0)</f>
        <v>210</v>
      </c>
      <c r="L32" s="84" t="n">
        <f aca="false">IFERROR((1-INDEX(Premissas!$C$70:$G$70,L$7))*CHOOSE(Premissas!$B$6,IF('Ajuste Mensal'!L$16="",INDEX(Premissas!$C$67:$G$67,L$7),'Ajuste Mensal'!L$16),IF('Ajuste Mensal'!L$22="",INDEX(Premissas!$C$68:$G$68,L$7),'Ajuste Mensal'!L$22),IF('Ajuste Mensal'!L$28="",INDEX(Premissas!$C$69:$G$69,L$7),'Ajuste Mensal'!L$28))/CHOOSE(Premissas!$B$6,Cenários!L14,Cenários!L60,Cenários!L106),0)</f>
        <v>105</v>
      </c>
      <c r="M32" s="84" t="n">
        <f aca="false">IFERROR((1-INDEX(Premissas!$C$70:$G$70,M$7))*CHOOSE(Premissas!$B$6,IF('Ajuste Mensal'!M$16="",INDEX(Premissas!$C$67:$G$67,M$7),'Ajuste Mensal'!M$16),IF('Ajuste Mensal'!M$22="",INDEX(Premissas!$C$68:$G$68,M$7),'Ajuste Mensal'!M$22),IF('Ajuste Mensal'!M$28="",INDEX(Premissas!$C$69:$G$69,M$7),'Ajuste Mensal'!M$28))/CHOOSE(Premissas!$B$6,Cenários!M14,Cenários!M60,Cenários!M106),0)</f>
        <v>70</v>
      </c>
      <c r="N32" s="84" t="n">
        <f aca="false">IFERROR((1-INDEX(Premissas!$C$70:$G$70,N$7))*CHOOSE(Premissas!$B$6,IF('Ajuste Mensal'!N$16="",INDEX(Premissas!$C$67:$G$67,N$7),'Ajuste Mensal'!N$16),IF('Ajuste Mensal'!N$22="",INDEX(Premissas!$C$68:$G$68,N$7),'Ajuste Mensal'!N$22),IF('Ajuste Mensal'!N$28="",INDEX(Premissas!$C$69:$G$69,N$7),'Ajuste Mensal'!N$28))/CHOOSE(Premissas!$B$6,Cenários!N14,Cenários!N60,Cenários!N106),0)</f>
        <v>54.3055555555555</v>
      </c>
      <c r="O32" s="84" t="n">
        <f aca="false">IFERROR((1-INDEX(Premissas!$C$70:$G$70,O$7))*CHOOSE(Premissas!$B$6,IF('Ajuste Mensal'!O$16="",INDEX(Premissas!$C$67:$G$67,O$7),'Ajuste Mensal'!O$16),IF('Ajuste Mensal'!O$22="",INDEX(Premissas!$C$68:$G$68,O$7),'Ajuste Mensal'!O$22),IF('Ajuste Mensal'!O$28="",INDEX(Premissas!$C$69:$G$69,O$7),'Ajuste Mensal'!O$28))/CHOOSE(Premissas!$B$6,Cenários!O14,Cenários!O60,Cenários!O106),0)</f>
        <v>43.4444444444444</v>
      </c>
      <c r="P32" s="84" t="n">
        <f aca="false">IFERROR((1-INDEX(Premissas!$C$70:$G$70,P$7))*CHOOSE(Premissas!$B$6,IF('Ajuste Mensal'!P$16="",INDEX(Premissas!$C$67:$G$67,P$7),'Ajuste Mensal'!P$16),IF('Ajuste Mensal'!P$22="",INDEX(Premissas!$C$68:$G$68,P$7),'Ajuste Mensal'!P$22),IF('Ajuste Mensal'!P$28="",INDEX(Premissas!$C$69:$G$69,P$7),'Ajuste Mensal'!P$28))/CHOOSE(Premissas!$B$6,Cenários!P14,Cenários!P60,Cenários!P106),0)</f>
        <v>36.2037037037037</v>
      </c>
      <c r="Q32" s="84" t="n">
        <f aca="false">IFERROR((1-INDEX(Premissas!$C$70:$G$70,Q$7))*CHOOSE(Premissas!$B$6,IF('Ajuste Mensal'!Q$16="",INDEX(Premissas!$C$67:$G$67,Q$7),'Ajuste Mensal'!Q$16),IF('Ajuste Mensal'!Q$22="",INDEX(Premissas!$C$68:$G$68,Q$7),'Ajuste Mensal'!Q$22),IF('Ajuste Mensal'!Q$28="",INDEX(Premissas!$C$69:$G$69,Q$7),'Ajuste Mensal'!Q$28))/CHOOSE(Premissas!$B$6,Cenários!Q14,Cenários!Q60,Cenários!Q106),0)</f>
        <v>36.2037037037037</v>
      </c>
      <c r="R32" s="84" t="n">
        <f aca="false">IFERROR((1-INDEX(Premissas!$C$70:$G$70,R$7))*CHOOSE(Premissas!$B$6,IF('Ajuste Mensal'!R$16="",INDEX(Premissas!$C$67:$G$67,R$7),'Ajuste Mensal'!R$16),IF('Ajuste Mensal'!R$22="",INDEX(Premissas!$C$68:$G$68,R$7),'Ajuste Mensal'!R$22),IF('Ajuste Mensal'!R$28="",INDEX(Premissas!$C$69:$G$69,R$7),'Ajuste Mensal'!R$28))/CHOOSE(Premissas!$B$6,Cenários!R14,Cenários!R60,Cenários!R106),0)</f>
        <v>36.2037037037037</v>
      </c>
      <c r="S32" s="84" t="n">
        <f aca="false">IFERROR((1-INDEX(Premissas!$C$70:$G$70,S$7))*CHOOSE(Premissas!$B$6,IF('Ajuste Mensal'!S$16="",INDEX(Premissas!$C$67:$G$67,S$7),'Ajuste Mensal'!S$16),IF('Ajuste Mensal'!S$22="",INDEX(Premissas!$C$68:$G$68,S$7),'Ajuste Mensal'!S$22),IF('Ajuste Mensal'!S$28="",INDEX(Premissas!$C$69:$G$69,S$7),'Ajuste Mensal'!S$28))/CHOOSE(Premissas!$B$6,Cenários!S14,Cenários!S60,Cenários!S106),0)</f>
        <v>36.2037037037037</v>
      </c>
      <c r="T32" s="84" t="n">
        <f aca="false">IFERROR((1-INDEX(Premissas!$C$70:$G$70,T$7))*CHOOSE(Premissas!$B$6,IF('Ajuste Mensal'!T$16="",INDEX(Premissas!$C$67:$G$67,T$7),'Ajuste Mensal'!T$16),IF('Ajuste Mensal'!T$22="",INDEX(Premissas!$C$68:$G$68,T$7),'Ajuste Mensal'!T$22),IF('Ajuste Mensal'!T$28="",INDEX(Premissas!$C$69:$G$69,T$7),'Ajuste Mensal'!T$28))/CHOOSE(Premissas!$B$6,Cenários!T14,Cenários!T60,Cenários!T106),0)</f>
        <v>36.2037037037037</v>
      </c>
      <c r="U32" s="84" t="n">
        <f aca="false">IFERROR((1-INDEX(Premissas!$C$70:$G$70,U$7))*CHOOSE(Premissas!$B$6,IF('Ajuste Mensal'!U$16="",INDEX(Premissas!$C$67:$G$67,U$7),'Ajuste Mensal'!U$16),IF('Ajuste Mensal'!U$22="",INDEX(Premissas!$C$68:$G$68,U$7),'Ajuste Mensal'!U$22),IF('Ajuste Mensal'!U$28="",INDEX(Premissas!$C$69:$G$69,U$7),'Ajuste Mensal'!U$28))/CHOOSE(Premissas!$B$6,Cenários!U14,Cenários!U60,Cenários!U106),0)</f>
        <v>36.2037037037037</v>
      </c>
      <c r="V32" s="84" t="n">
        <f aca="false">IFERROR((1-INDEX(Premissas!$C$70:$G$70,V$7))*CHOOSE(Premissas!$B$6,IF('Ajuste Mensal'!V$16="",INDEX(Premissas!$C$67:$G$67,V$7),'Ajuste Mensal'!V$16),IF('Ajuste Mensal'!V$22="",INDEX(Premissas!$C$68:$G$68,V$7),'Ajuste Mensal'!V$22),IF('Ajuste Mensal'!V$28="",INDEX(Premissas!$C$69:$G$69,V$7),'Ajuste Mensal'!V$28))/CHOOSE(Premissas!$B$6,Cenários!V14,Cenários!V60,Cenários!V106),0)</f>
        <v>36.2037037037037</v>
      </c>
      <c r="W32" s="84" t="n">
        <f aca="false">IFERROR((1-INDEX(Premissas!$C$70:$G$70,W$7))*CHOOSE(Premissas!$B$6,IF('Ajuste Mensal'!W$16="",INDEX(Premissas!$C$67:$G$67,W$7),'Ajuste Mensal'!W$16),IF('Ajuste Mensal'!W$22="",INDEX(Premissas!$C$68:$G$68,W$7),'Ajuste Mensal'!W$22),IF('Ajuste Mensal'!W$28="",INDEX(Premissas!$C$69:$G$69,W$7),'Ajuste Mensal'!W$28))/CHOOSE(Premissas!$B$6,Cenários!W14,Cenários!W60,Cenários!W106),0)</f>
        <v>36.2037037037037</v>
      </c>
      <c r="X32" s="84" t="n">
        <f aca="false">IFERROR((1-INDEX(Premissas!$C$70:$G$70,X$7))*CHOOSE(Premissas!$B$6,IF('Ajuste Mensal'!X$16="",INDEX(Premissas!$C$67:$G$67,X$7),'Ajuste Mensal'!X$16),IF('Ajuste Mensal'!X$22="",INDEX(Premissas!$C$68:$G$68,X$7),'Ajuste Mensal'!X$22),IF('Ajuste Mensal'!X$28="",INDEX(Premissas!$C$69:$G$69,X$7),'Ajuste Mensal'!X$28))/CHOOSE(Premissas!$B$6,Cenários!X14,Cenários!X60,Cenários!X106),0)</f>
        <v>36.2037037037037</v>
      </c>
      <c r="Y32" s="84" t="n">
        <f aca="false">IFERROR((1-INDEX(Premissas!$C$70:$G$70,Y$7))*CHOOSE(Premissas!$B$6,IF('Ajuste Mensal'!Y$16="",INDEX(Premissas!$C$67:$G$67,Y$7),'Ajuste Mensal'!Y$16),IF('Ajuste Mensal'!Y$22="",INDEX(Premissas!$C$68:$G$68,Y$7),'Ajuste Mensal'!Y$22),IF('Ajuste Mensal'!Y$28="",INDEX(Premissas!$C$69:$G$69,Y$7),'Ajuste Mensal'!Y$28))/CHOOSE(Premissas!$B$6,Cenários!Y14,Cenários!Y60,Cenários!Y106),0)</f>
        <v>36.2037037037037</v>
      </c>
      <c r="Z32" s="84" t="n">
        <f aca="false">IFERROR((1-INDEX(Premissas!$C$70:$G$70,Z$7))*CHOOSE(Premissas!$B$6,IF('Ajuste Mensal'!Z$16="",INDEX(Premissas!$C$67:$G$67,Z$7),'Ajuste Mensal'!Z$16),IF('Ajuste Mensal'!Z$22="",INDEX(Premissas!$C$68:$G$68,Z$7),'Ajuste Mensal'!Z$22),IF('Ajuste Mensal'!Z$28="",INDEX(Premissas!$C$69:$G$69,Z$7),'Ajuste Mensal'!Z$28))/CHOOSE(Premissas!$B$6,Cenários!Z14,Cenários!Z60,Cenários!Z106),0)</f>
        <v>36.849494170096</v>
      </c>
      <c r="AA32" s="84" t="n">
        <f aca="false">IFERROR((1-INDEX(Premissas!$C$70:$G$70,AA$7))*CHOOSE(Premissas!$B$6,IF('Ajuste Mensal'!AA$16="",INDEX(Premissas!$C$67:$G$67,AA$7),'Ajuste Mensal'!AA$16),IF('Ajuste Mensal'!AA$22="",INDEX(Premissas!$C$68:$G$68,AA$7),'Ajuste Mensal'!AA$22),IF('Ajuste Mensal'!AA$28="",INDEX(Premissas!$C$69:$G$69,AA$7),'Ajuste Mensal'!AA$28))/CHOOSE(Premissas!$B$6,Cenários!AA14,Cenários!AA60,Cenários!AA106),0)</f>
        <v>36.849494170096</v>
      </c>
      <c r="AB32" s="84" t="n">
        <f aca="false">IFERROR((1-INDEX(Premissas!$C$70:$G$70,AB$7))*CHOOSE(Premissas!$B$6,IF('Ajuste Mensal'!AB$16="",INDEX(Premissas!$C$67:$G$67,AB$7),'Ajuste Mensal'!AB$16),IF('Ajuste Mensal'!AB$22="",INDEX(Premissas!$C$68:$G$68,AB$7),'Ajuste Mensal'!AB$22),IF('Ajuste Mensal'!AB$28="",INDEX(Premissas!$C$69:$G$69,AB$7),'Ajuste Mensal'!AB$28))/CHOOSE(Premissas!$B$6,Cenários!AB14,Cenários!AB60,Cenários!AB106),0)</f>
        <v>36.849494170096</v>
      </c>
      <c r="AC32" s="84" t="n">
        <f aca="false">IFERROR((1-INDEX(Premissas!$C$70:$G$70,AC$7))*CHOOSE(Premissas!$B$6,IF('Ajuste Mensal'!AC$16="",INDEX(Premissas!$C$67:$G$67,AC$7),'Ajuste Mensal'!AC$16),IF('Ajuste Mensal'!AC$22="",INDEX(Premissas!$C$68:$G$68,AC$7),'Ajuste Mensal'!AC$22),IF('Ajuste Mensal'!AC$28="",INDEX(Premissas!$C$69:$G$69,AC$7),'Ajuste Mensal'!AC$28))/CHOOSE(Premissas!$B$6,Cenários!AC14,Cenários!AC60,Cenários!AC106),0)</f>
        <v>36.849494170096</v>
      </c>
      <c r="AD32" s="84" t="n">
        <f aca="false">IFERROR((1-INDEX(Premissas!$C$70:$G$70,AD$7))*CHOOSE(Premissas!$B$6,IF('Ajuste Mensal'!AD$16="",INDEX(Premissas!$C$67:$G$67,AD$7),'Ajuste Mensal'!AD$16),IF('Ajuste Mensal'!AD$22="",INDEX(Premissas!$C$68:$G$68,AD$7),'Ajuste Mensal'!AD$22),IF('Ajuste Mensal'!AD$28="",INDEX(Premissas!$C$69:$G$69,AD$7),'Ajuste Mensal'!AD$28))/CHOOSE(Premissas!$B$6,Cenários!AD14,Cenários!AD60,Cenários!AD106),0)</f>
        <v>36.849494170096</v>
      </c>
      <c r="AE32" s="84" t="n">
        <f aca="false">IFERROR((1-INDEX(Premissas!$C$70:$G$70,AE$7))*CHOOSE(Premissas!$B$6,IF('Ajuste Mensal'!AE$16="",INDEX(Premissas!$C$67:$G$67,AE$7),'Ajuste Mensal'!AE$16),IF('Ajuste Mensal'!AE$22="",INDEX(Premissas!$C$68:$G$68,AE$7),'Ajuste Mensal'!AE$22),IF('Ajuste Mensal'!AE$28="",INDEX(Premissas!$C$69:$G$69,AE$7),'Ajuste Mensal'!AE$28))/CHOOSE(Premissas!$B$6,Cenários!AE14,Cenários!AE60,Cenários!AE106),0)</f>
        <v>36.849494170096</v>
      </c>
      <c r="AF32" s="84" t="n">
        <f aca="false">IFERROR((1-INDEX(Premissas!$C$70:$G$70,AF$7))*CHOOSE(Premissas!$B$6,IF('Ajuste Mensal'!AF$16="",INDEX(Premissas!$C$67:$G$67,AF$7),'Ajuste Mensal'!AF$16),IF('Ajuste Mensal'!AF$22="",INDEX(Premissas!$C$68:$G$68,AF$7),'Ajuste Mensal'!AF$22),IF('Ajuste Mensal'!AF$28="",INDEX(Premissas!$C$69:$G$69,AF$7),'Ajuste Mensal'!AF$28))/CHOOSE(Premissas!$B$6,Cenários!AF14,Cenários!AF60,Cenários!AF106),0)</f>
        <v>36.849494170096</v>
      </c>
      <c r="AG32" s="84" t="n">
        <f aca="false">IFERROR((1-INDEX(Premissas!$C$70:$G$70,AG$7))*CHOOSE(Premissas!$B$6,IF('Ajuste Mensal'!AG$16="",INDEX(Premissas!$C$67:$G$67,AG$7),'Ajuste Mensal'!AG$16),IF('Ajuste Mensal'!AG$22="",INDEX(Premissas!$C$68:$G$68,AG$7),'Ajuste Mensal'!AG$22),IF('Ajuste Mensal'!AG$28="",INDEX(Premissas!$C$69:$G$69,AG$7),'Ajuste Mensal'!AG$28))/CHOOSE(Premissas!$B$6,Cenários!AG14,Cenários!AG60,Cenários!AG106),0)</f>
        <v>36.849494170096</v>
      </c>
      <c r="AH32" s="84" t="n">
        <f aca="false">IFERROR((1-INDEX(Premissas!$C$70:$G$70,AH$7))*CHOOSE(Premissas!$B$6,IF('Ajuste Mensal'!AH$16="",INDEX(Premissas!$C$67:$G$67,AH$7),'Ajuste Mensal'!AH$16),IF('Ajuste Mensal'!AH$22="",INDEX(Premissas!$C$68:$G$68,AH$7),'Ajuste Mensal'!AH$22),IF('Ajuste Mensal'!AH$28="",INDEX(Premissas!$C$69:$G$69,AH$7),'Ajuste Mensal'!AH$28))/CHOOSE(Premissas!$B$6,Cenários!AH14,Cenários!AH60,Cenários!AH106),0)</f>
        <v>36.849494170096</v>
      </c>
      <c r="AI32" s="84" t="n">
        <f aca="false">IFERROR((1-INDEX(Premissas!$C$70:$G$70,AI$7))*CHOOSE(Premissas!$B$6,IF('Ajuste Mensal'!AI$16="",INDEX(Premissas!$C$67:$G$67,AI$7),'Ajuste Mensal'!AI$16),IF('Ajuste Mensal'!AI$22="",INDEX(Premissas!$C$68:$G$68,AI$7),'Ajuste Mensal'!AI$22),IF('Ajuste Mensal'!AI$28="",INDEX(Premissas!$C$69:$G$69,AI$7),'Ajuste Mensal'!AI$28))/CHOOSE(Premissas!$B$6,Cenários!AI14,Cenários!AI60,Cenários!AI106),0)</f>
        <v>36.849494170096</v>
      </c>
      <c r="AJ32" s="84" t="n">
        <f aca="false">IFERROR((1-INDEX(Premissas!$C$70:$G$70,AJ$7))*CHOOSE(Premissas!$B$6,IF('Ajuste Mensal'!AJ$16="",INDEX(Premissas!$C$67:$G$67,AJ$7),'Ajuste Mensal'!AJ$16),IF('Ajuste Mensal'!AJ$22="",INDEX(Premissas!$C$68:$G$68,AJ$7),'Ajuste Mensal'!AJ$22),IF('Ajuste Mensal'!AJ$28="",INDEX(Premissas!$C$69:$G$69,AJ$7),'Ajuste Mensal'!AJ$28))/CHOOSE(Premissas!$B$6,Cenários!AJ14,Cenários!AJ60,Cenários!AJ106),0)</f>
        <v>36.849494170096</v>
      </c>
      <c r="AK32" s="84" t="n">
        <f aca="false">IFERROR((1-INDEX(Premissas!$C$70:$G$70,AK$7))*CHOOSE(Premissas!$B$6,IF('Ajuste Mensal'!AK$16="",INDEX(Premissas!$C$67:$G$67,AK$7),'Ajuste Mensal'!AK$16),IF('Ajuste Mensal'!AK$22="",INDEX(Premissas!$C$68:$G$68,AK$7),'Ajuste Mensal'!AK$22),IF('Ajuste Mensal'!AK$28="",INDEX(Premissas!$C$69:$G$69,AK$7),'Ajuste Mensal'!AK$28))/CHOOSE(Premissas!$B$6,Cenários!AK14,Cenários!AK60,Cenários!AK106),0)</f>
        <v>36.849494170096</v>
      </c>
      <c r="AL32" s="84" t="n">
        <f aca="false">IFERROR((1-INDEX(Premissas!$C$70:$G$70,AL$7))*CHOOSE(Premissas!$B$6,IF('Ajuste Mensal'!AL$16="",INDEX(Premissas!$C$67:$G$67,AL$7),'Ajuste Mensal'!AL$16),IF('Ajuste Mensal'!AL$22="",INDEX(Premissas!$C$68:$G$68,AL$7),'Ajuste Mensal'!AL$22),IF('Ajuste Mensal'!AL$28="",INDEX(Premissas!$C$69:$G$69,AL$7),'Ajuste Mensal'!AL$28))/CHOOSE(Premissas!$B$6,Cenários!AL14,Cenários!AL60,Cenários!AL106),0)</f>
        <v>37.4269078964081</v>
      </c>
      <c r="AM32" s="84" t="n">
        <f aca="false">IFERROR((1-INDEX(Premissas!$C$70:$G$70,AM$7))*CHOOSE(Premissas!$B$6,IF('Ajuste Mensal'!AM$16="",INDEX(Premissas!$C$67:$G$67,AM$7),'Ajuste Mensal'!AM$16),IF('Ajuste Mensal'!AM$22="",INDEX(Premissas!$C$68:$G$68,AM$7),'Ajuste Mensal'!AM$22),IF('Ajuste Mensal'!AM$28="",INDEX(Premissas!$C$69:$G$69,AM$7),'Ajuste Mensal'!AM$28))/CHOOSE(Premissas!$B$6,Cenários!AM14,Cenários!AM60,Cenários!AM106),0)</f>
        <v>37.4269078964081</v>
      </c>
      <c r="AN32" s="84" t="n">
        <f aca="false">IFERROR((1-INDEX(Premissas!$C$70:$G$70,AN$7))*CHOOSE(Premissas!$B$6,IF('Ajuste Mensal'!AN$16="",INDEX(Premissas!$C$67:$G$67,AN$7),'Ajuste Mensal'!AN$16),IF('Ajuste Mensal'!AN$22="",INDEX(Premissas!$C$68:$G$68,AN$7),'Ajuste Mensal'!AN$22),IF('Ajuste Mensal'!AN$28="",INDEX(Premissas!$C$69:$G$69,AN$7),'Ajuste Mensal'!AN$28))/CHOOSE(Premissas!$B$6,Cenários!AN14,Cenários!AN60,Cenários!AN106),0)</f>
        <v>37.4269078964081</v>
      </c>
      <c r="AO32" s="84" t="n">
        <f aca="false">IFERROR((1-INDEX(Premissas!$C$70:$G$70,AO$7))*CHOOSE(Premissas!$B$6,IF('Ajuste Mensal'!AO$16="",INDEX(Premissas!$C$67:$G$67,AO$7),'Ajuste Mensal'!AO$16),IF('Ajuste Mensal'!AO$22="",INDEX(Premissas!$C$68:$G$68,AO$7),'Ajuste Mensal'!AO$22),IF('Ajuste Mensal'!AO$28="",INDEX(Premissas!$C$69:$G$69,AO$7),'Ajuste Mensal'!AO$28))/CHOOSE(Premissas!$B$6,Cenários!AO14,Cenários!AO60,Cenários!AO106),0)</f>
        <v>37.4269078964081</v>
      </c>
      <c r="AP32" s="84" t="n">
        <f aca="false">IFERROR((1-INDEX(Premissas!$C$70:$G$70,AP$7))*CHOOSE(Premissas!$B$6,IF('Ajuste Mensal'!AP$16="",INDEX(Premissas!$C$67:$G$67,AP$7),'Ajuste Mensal'!AP$16),IF('Ajuste Mensal'!AP$22="",INDEX(Premissas!$C$68:$G$68,AP$7),'Ajuste Mensal'!AP$22),IF('Ajuste Mensal'!AP$28="",INDEX(Premissas!$C$69:$G$69,AP$7),'Ajuste Mensal'!AP$28))/CHOOSE(Premissas!$B$6,Cenários!AP14,Cenários!AP60,Cenários!AP106),0)</f>
        <v>37.4269078964081</v>
      </c>
      <c r="AQ32" s="84" t="n">
        <f aca="false">IFERROR((1-INDEX(Premissas!$C$70:$G$70,AQ$7))*CHOOSE(Premissas!$B$6,IF('Ajuste Mensal'!AQ$16="",INDEX(Premissas!$C$67:$G$67,AQ$7),'Ajuste Mensal'!AQ$16),IF('Ajuste Mensal'!AQ$22="",INDEX(Premissas!$C$68:$G$68,AQ$7),'Ajuste Mensal'!AQ$22),IF('Ajuste Mensal'!AQ$28="",INDEX(Premissas!$C$69:$G$69,AQ$7),'Ajuste Mensal'!AQ$28))/CHOOSE(Premissas!$B$6,Cenários!AQ14,Cenários!AQ60,Cenários!AQ106),0)</f>
        <v>37.4269078964081</v>
      </c>
      <c r="AR32" s="84" t="n">
        <f aca="false">IFERROR((1-INDEX(Premissas!$C$70:$G$70,AR$7))*CHOOSE(Premissas!$B$6,IF('Ajuste Mensal'!AR$16="",INDEX(Premissas!$C$67:$G$67,AR$7),'Ajuste Mensal'!AR$16),IF('Ajuste Mensal'!AR$22="",INDEX(Premissas!$C$68:$G$68,AR$7),'Ajuste Mensal'!AR$22),IF('Ajuste Mensal'!AR$28="",INDEX(Premissas!$C$69:$G$69,AR$7),'Ajuste Mensal'!AR$28))/CHOOSE(Premissas!$B$6,Cenários!AR14,Cenários!AR60,Cenários!AR106),0)</f>
        <v>37.4269078964081</v>
      </c>
      <c r="AS32" s="84" t="n">
        <f aca="false">IFERROR((1-INDEX(Premissas!$C$70:$G$70,AS$7))*CHOOSE(Premissas!$B$6,IF('Ajuste Mensal'!AS$16="",INDEX(Premissas!$C$67:$G$67,AS$7),'Ajuste Mensal'!AS$16),IF('Ajuste Mensal'!AS$22="",INDEX(Premissas!$C$68:$G$68,AS$7),'Ajuste Mensal'!AS$22),IF('Ajuste Mensal'!AS$28="",INDEX(Premissas!$C$69:$G$69,AS$7),'Ajuste Mensal'!AS$28))/CHOOSE(Premissas!$B$6,Cenários!AS14,Cenários!AS60,Cenários!AS106),0)</f>
        <v>37.4269078964081</v>
      </c>
      <c r="AT32" s="84" t="n">
        <f aca="false">IFERROR((1-INDEX(Premissas!$C$70:$G$70,AT$7))*CHOOSE(Premissas!$B$6,IF('Ajuste Mensal'!AT$16="",INDEX(Premissas!$C$67:$G$67,AT$7),'Ajuste Mensal'!AT$16),IF('Ajuste Mensal'!AT$22="",INDEX(Premissas!$C$68:$G$68,AT$7),'Ajuste Mensal'!AT$22),IF('Ajuste Mensal'!AT$28="",INDEX(Premissas!$C$69:$G$69,AT$7),'Ajuste Mensal'!AT$28))/CHOOSE(Premissas!$B$6,Cenários!AT14,Cenários!AT60,Cenários!AT106),0)</f>
        <v>37.4269078964081</v>
      </c>
      <c r="AU32" s="84" t="n">
        <f aca="false">IFERROR((1-INDEX(Premissas!$C$70:$G$70,AU$7))*CHOOSE(Premissas!$B$6,IF('Ajuste Mensal'!AU$16="",INDEX(Premissas!$C$67:$G$67,AU$7),'Ajuste Mensal'!AU$16),IF('Ajuste Mensal'!AU$22="",INDEX(Premissas!$C$68:$G$68,AU$7),'Ajuste Mensal'!AU$22),IF('Ajuste Mensal'!AU$28="",INDEX(Premissas!$C$69:$G$69,AU$7),'Ajuste Mensal'!AU$28))/CHOOSE(Premissas!$B$6,Cenários!AU14,Cenários!AU60,Cenários!AU106),0)</f>
        <v>37.4269078964081</v>
      </c>
      <c r="AV32" s="84" t="n">
        <f aca="false">IFERROR((1-INDEX(Premissas!$C$70:$G$70,AV$7))*CHOOSE(Premissas!$B$6,IF('Ajuste Mensal'!AV$16="",INDEX(Premissas!$C$67:$G$67,AV$7),'Ajuste Mensal'!AV$16),IF('Ajuste Mensal'!AV$22="",INDEX(Premissas!$C$68:$G$68,AV$7),'Ajuste Mensal'!AV$22),IF('Ajuste Mensal'!AV$28="",INDEX(Premissas!$C$69:$G$69,AV$7),'Ajuste Mensal'!AV$28))/CHOOSE(Premissas!$B$6,Cenários!AV14,Cenários!AV60,Cenários!AV106),0)</f>
        <v>37.4269078964081</v>
      </c>
      <c r="AW32" s="84" t="n">
        <f aca="false">IFERROR((1-INDEX(Premissas!$C$70:$G$70,AW$7))*CHOOSE(Premissas!$B$6,IF('Ajuste Mensal'!AW$16="",INDEX(Premissas!$C$67:$G$67,AW$7),'Ajuste Mensal'!AW$16),IF('Ajuste Mensal'!AW$22="",INDEX(Premissas!$C$68:$G$68,AW$7),'Ajuste Mensal'!AW$22),IF('Ajuste Mensal'!AW$28="",INDEX(Premissas!$C$69:$G$69,AW$7),'Ajuste Mensal'!AW$28))/CHOOSE(Premissas!$B$6,Cenários!AW14,Cenários!AW60,Cenários!AW106),0)</f>
        <v>37.4269078964081</v>
      </c>
      <c r="AX32" s="84" t="n">
        <f aca="false">IFERROR((1-INDEX(Premissas!$C$70:$G$70,AX$7))*CHOOSE(Premissas!$B$6,IF('Ajuste Mensal'!AX$16="",INDEX(Premissas!$C$67:$G$67,AX$7),'Ajuste Mensal'!AX$16),IF('Ajuste Mensal'!AX$22="",INDEX(Premissas!$C$68:$G$68,AX$7),'Ajuste Mensal'!AX$22),IF('Ajuste Mensal'!AX$28="",INDEX(Premissas!$C$69:$G$69,AX$7),'Ajuste Mensal'!AX$28))/CHOOSE(Premissas!$B$6,Cenários!AX14,Cenários!AX60,Cenários!AX106),0)</f>
        <v>38.5671541943273</v>
      </c>
      <c r="AY32" s="84" t="n">
        <f aca="false">IFERROR((1-INDEX(Premissas!$C$70:$G$70,AY$7))*CHOOSE(Premissas!$B$6,IF('Ajuste Mensal'!AY$16="",INDEX(Premissas!$C$67:$G$67,AY$7),'Ajuste Mensal'!AY$16),IF('Ajuste Mensal'!AY$22="",INDEX(Premissas!$C$68:$G$68,AY$7),'Ajuste Mensal'!AY$22),IF('Ajuste Mensal'!AY$28="",INDEX(Premissas!$C$69:$G$69,AY$7),'Ajuste Mensal'!AY$28))/CHOOSE(Premissas!$B$6,Cenários!AY14,Cenários!AY60,Cenários!AY106),0)</f>
        <v>38.5671541943273</v>
      </c>
      <c r="AZ32" s="84" t="n">
        <f aca="false">IFERROR((1-INDEX(Premissas!$C$70:$G$70,AZ$7))*CHOOSE(Premissas!$B$6,IF('Ajuste Mensal'!AZ$16="",INDEX(Premissas!$C$67:$G$67,AZ$7),'Ajuste Mensal'!AZ$16),IF('Ajuste Mensal'!AZ$22="",INDEX(Premissas!$C$68:$G$68,AZ$7),'Ajuste Mensal'!AZ$22),IF('Ajuste Mensal'!AZ$28="",INDEX(Premissas!$C$69:$G$69,AZ$7),'Ajuste Mensal'!AZ$28))/CHOOSE(Premissas!$B$6,Cenários!AZ14,Cenários!AZ60,Cenários!AZ106),0)</f>
        <v>38.5671541943273</v>
      </c>
      <c r="BA32" s="84" t="n">
        <f aca="false">IFERROR((1-INDEX(Premissas!$C$70:$G$70,BA$7))*CHOOSE(Premissas!$B$6,IF('Ajuste Mensal'!BA$16="",INDEX(Premissas!$C$67:$G$67,BA$7),'Ajuste Mensal'!BA$16),IF('Ajuste Mensal'!BA$22="",INDEX(Premissas!$C$68:$G$68,BA$7),'Ajuste Mensal'!BA$22),IF('Ajuste Mensal'!BA$28="",INDEX(Premissas!$C$69:$G$69,BA$7),'Ajuste Mensal'!BA$28))/CHOOSE(Premissas!$B$6,Cenários!BA14,Cenários!BA60,Cenários!BA106),0)</f>
        <v>38.5671541943273</v>
      </c>
      <c r="BB32" s="84" t="n">
        <f aca="false">IFERROR((1-INDEX(Premissas!$C$70:$G$70,BB$7))*CHOOSE(Premissas!$B$6,IF('Ajuste Mensal'!BB$16="",INDEX(Premissas!$C$67:$G$67,BB$7),'Ajuste Mensal'!BB$16),IF('Ajuste Mensal'!BB$22="",INDEX(Premissas!$C$68:$G$68,BB$7),'Ajuste Mensal'!BB$22),IF('Ajuste Mensal'!BB$28="",INDEX(Premissas!$C$69:$G$69,BB$7),'Ajuste Mensal'!BB$28))/CHOOSE(Premissas!$B$6,Cenários!BB14,Cenários!BB60,Cenários!BB106),0)</f>
        <v>38.5671541943273</v>
      </c>
      <c r="BC32" s="84" t="n">
        <f aca="false">IFERROR((1-INDEX(Premissas!$C$70:$G$70,BC$7))*CHOOSE(Premissas!$B$6,IF('Ajuste Mensal'!BC$16="",INDEX(Premissas!$C$67:$G$67,BC$7),'Ajuste Mensal'!BC$16),IF('Ajuste Mensal'!BC$22="",INDEX(Premissas!$C$68:$G$68,BC$7),'Ajuste Mensal'!BC$22),IF('Ajuste Mensal'!BC$28="",INDEX(Premissas!$C$69:$G$69,BC$7),'Ajuste Mensal'!BC$28))/CHOOSE(Premissas!$B$6,Cenários!BC14,Cenários!BC60,Cenários!BC106),0)</f>
        <v>38.5671541943273</v>
      </c>
      <c r="BD32" s="84" t="n">
        <f aca="false">IFERROR((1-INDEX(Premissas!$C$70:$G$70,BD$7))*CHOOSE(Premissas!$B$6,IF('Ajuste Mensal'!BD$16="",INDEX(Premissas!$C$67:$G$67,BD$7),'Ajuste Mensal'!BD$16),IF('Ajuste Mensal'!BD$22="",INDEX(Premissas!$C$68:$G$68,BD$7),'Ajuste Mensal'!BD$22),IF('Ajuste Mensal'!BD$28="",INDEX(Premissas!$C$69:$G$69,BD$7),'Ajuste Mensal'!BD$28))/CHOOSE(Premissas!$B$6,Cenários!BD14,Cenários!BD60,Cenários!BD106),0)</f>
        <v>38.5671541943273</v>
      </c>
      <c r="BE32" s="84" t="n">
        <f aca="false">IFERROR((1-INDEX(Premissas!$C$70:$G$70,BE$7))*CHOOSE(Premissas!$B$6,IF('Ajuste Mensal'!BE$16="",INDEX(Premissas!$C$67:$G$67,BE$7),'Ajuste Mensal'!BE$16),IF('Ajuste Mensal'!BE$22="",INDEX(Premissas!$C$68:$G$68,BE$7),'Ajuste Mensal'!BE$22),IF('Ajuste Mensal'!BE$28="",INDEX(Premissas!$C$69:$G$69,BE$7),'Ajuste Mensal'!BE$28))/CHOOSE(Premissas!$B$6,Cenários!BE14,Cenários!BE60,Cenários!BE106),0)</f>
        <v>38.5671541943273</v>
      </c>
      <c r="BF32" s="84" t="n">
        <f aca="false">IFERROR((1-INDEX(Premissas!$C$70:$G$70,BF$7))*CHOOSE(Premissas!$B$6,IF('Ajuste Mensal'!BF$16="",INDEX(Premissas!$C$67:$G$67,BF$7),'Ajuste Mensal'!BF$16),IF('Ajuste Mensal'!BF$22="",INDEX(Premissas!$C$68:$G$68,BF$7),'Ajuste Mensal'!BF$22),IF('Ajuste Mensal'!BF$28="",INDEX(Premissas!$C$69:$G$69,BF$7),'Ajuste Mensal'!BF$28))/CHOOSE(Premissas!$B$6,Cenários!BF14,Cenários!BF60,Cenários!BF106),0)</f>
        <v>38.5671541943273</v>
      </c>
      <c r="BG32" s="84" t="n">
        <f aca="false">IFERROR((1-INDEX(Premissas!$C$70:$G$70,BG$7))*CHOOSE(Premissas!$B$6,IF('Ajuste Mensal'!BG$16="",INDEX(Premissas!$C$67:$G$67,BG$7),'Ajuste Mensal'!BG$16),IF('Ajuste Mensal'!BG$22="",INDEX(Premissas!$C$68:$G$68,BG$7),'Ajuste Mensal'!BG$22),IF('Ajuste Mensal'!BG$28="",INDEX(Premissas!$C$69:$G$69,BG$7),'Ajuste Mensal'!BG$28))/CHOOSE(Premissas!$B$6,Cenários!BG14,Cenários!BG60,Cenários!BG106),0)</f>
        <v>38.5671541943273</v>
      </c>
      <c r="BH32" s="84" t="n">
        <f aca="false">IFERROR((1-INDEX(Premissas!$C$70:$G$70,BH$7))*CHOOSE(Premissas!$B$6,IF('Ajuste Mensal'!BH$16="",INDEX(Premissas!$C$67:$G$67,BH$7),'Ajuste Mensal'!BH$16),IF('Ajuste Mensal'!BH$22="",INDEX(Premissas!$C$68:$G$68,BH$7),'Ajuste Mensal'!BH$22),IF('Ajuste Mensal'!BH$28="",INDEX(Premissas!$C$69:$G$69,BH$7),'Ajuste Mensal'!BH$28))/CHOOSE(Premissas!$B$6,Cenários!BH14,Cenários!BH60,Cenários!BH106),0)</f>
        <v>38.5671541943273</v>
      </c>
      <c r="BI32" s="84" t="n">
        <f aca="false">IFERROR((1-INDEX(Premissas!$C$70:$G$70,BI$7))*CHOOSE(Premissas!$B$6,IF('Ajuste Mensal'!BI$16="",INDEX(Premissas!$C$67:$G$67,BI$7),'Ajuste Mensal'!BI$16),IF('Ajuste Mensal'!BI$22="",INDEX(Premissas!$C$68:$G$68,BI$7),'Ajuste Mensal'!BI$22),IF('Ajuste Mensal'!BI$28="",INDEX(Premissas!$C$69:$G$69,BI$7),'Ajuste Mensal'!BI$28))/CHOOSE(Premissas!$B$6,Cenários!BI14,Cenários!BI60,Cenários!BI106),0)</f>
        <v>38.5671541943273</v>
      </c>
      <c r="BK32" s="29" t="s">
        <v>344</v>
      </c>
    </row>
    <row r="33" customFormat="false" ht="15" hidden="false" customHeight="false" outlineLevel="0" collapsed="false">
      <c r="A33" s="71" t="s">
        <v>345</v>
      </c>
      <c r="B33" s="84" t="n">
        <f aca="false">B32*CHOOSE(Premissas!$B$6,IF('Ajuste Mensal'!B$14="",INDEX(Premissas!$C$59:$G$59,B$7),'Ajuste Mensal'!B$14),IF('Ajuste Mensal'!B$20="",INDEX(Premissas!$C$60:$G$60,B$7),'Ajuste Mensal'!B$20),IF('Ajuste Mensal'!B$26="",INDEX(Premissas!$C$61:$G$61,B$7),'Ajuste Mensal'!B$26))</f>
        <v>0</v>
      </c>
      <c r="C33" s="84" t="n">
        <f aca="false">C32*CHOOSE(Premissas!$B$6,IF('Ajuste Mensal'!C$14="",INDEX(Premissas!$C$59:$G$59,C$7),'Ajuste Mensal'!C$14),IF('Ajuste Mensal'!C$20="",INDEX(Premissas!$C$60:$G$60,C$7),'Ajuste Mensal'!C$20),IF('Ajuste Mensal'!C$26="",INDEX(Premissas!$C$61:$G$61,C$7),'Ajuste Mensal'!C$26))</f>
        <v>0</v>
      </c>
      <c r="D33" s="84" t="n">
        <f aca="false">D32*CHOOSE(Premissas!$B$6,IF('Ajuste Mensal'!D$14="",INDEX(Premissas!$C$59:$G$59,D$7),'Ajuste Mensal'!D$14),IF('Ajuste Mensal'!D$20="",INDEX(Premissas!$C$60:$G$60,D$7),'Ajuste Mensal'!D$20),IF('Ajuste Mensal'!D$26="",INDEX(Premissas!$C$61:$G$61,D$7),'Ajuste Mensal'!D$26))</f>
        <v>0</v>
      </c>
      <c r="E33" s="84" t="n">
        <f aca="false">E32*CHOOSE(Premissas!$B$6,IF('Ajuste Mensal'!E$14="",INDEX(Premissas!$C$59:$G$59,E$7),'Ajuste Mensal'!E$14),IF('Ajuste Mensal'!E$20="",INDEX(Premissas!$C$60:$G$60,E$7),'Ajuste Mensal'!E$20),IF('Ajuste Mensal'!E$26="",INDEX(Premissas!$C$61:$G$61,E$7),'Ajuste Mensal'!E$26))</f>
        <v>0</v>
      </c>
      <c r="F33" s="84" t="n">
        <f aca="false">F32*CHOOSE(Premissas!$B$6,IF('Ajuste Mensal'!F$14="",INDEX(Premissas!$C$59:$G$59,F$7),'Ajuste Mensal'!F$14),IF('Ajuste Mensal'!F$20="",INDEX(Premissas!$C$60:$G$60,F$7),'Ajuste Mensal'!F$20),IF('Ajuste Mensal'!F$26="",INDEX(Premissas!$C$61:$G$61,F$7),'Ajuste Mensal'!F$26))</f>
        <v>0</v>
      </c>
      <c r="G33" s="84" t="n">
        <f aca="false">G32*CHOOSE(Premissas!$B$6,IF('Ajuste Mensal'!G$14="",INDEX(Premissas!$C$59:$G$59,G$7),'Ajuste Mensal'!G$14),IF('Ajuste Mensal'!G$20="",INDEX(Premissas!$C$60:$G$60,G$7),'Ajuste Mensal'!G$20),IF('Ajuste Mensal'!G$26="",INDEX(Premissas!$C$61:$G$61,G$7),'Ajuste Mensal'!G$26))</f>
        <v>0</v>
      </c>
      <c r="H33" s="84" t="n">
        <f aca="false">H32*CHOOSE(Premissas!$B$6,IF('Ajuste Mensal'!H$14="",INDEX(Premissas!$C$59:$G$59,H$7),'Ajuste Mensal'!H$14),IF('Ajuste Mensal'!H$20="",INDEX(Premissas!$C$60:$G$60,H$7),'Ajuste Mensal'!H$20),IF('Ajuste Mensal'!H$26="",INDEX(Premissas!$C$61:$G$61,H$7),'Ajuste Mensal'!H$26))</f>
        <v>0</v>
      </c>
      <c r="I33" s="84" t="n">
        <f aca="false">I32*CHOOSE(Premissas!$B$6,IF('Ajuste Mensal'!I$14="",INDEX(Premissas!$C$59:$G$59,I$7),'Ajuste Mensal'!I$14),IF('Ajuste Mensal'!I$20="",INDEX(Premissas!$C$60:$G$60,I$7),'Ajuste Mensal'!I$20),IF('Ajuste Mensal'!I$26="",INDEX(Premissas!$C$61:$G$61,I$7),'Ajuste Mensal'!I$26))</f>
        <v>0</v>
      </c>
      <c r="J33" s="84" t="n">
        <f aca="false">J32*CHOOSE(Premissas!$B$6,IF('Ajuste Mensal'!J$14="",INDEX(Premissas!$C$59:$G$59,J$7),'Ajuste Mensal'!J$14),IF('Ajuste Mensal'!J$20="",INDEX(Premissas!$C$60:$G$60,J$7),'Ajuste Mensal'!J$20),IF('Ajuste Mensal'!J$26="",INDEX(Premissas!$C$61:$G$61,J$7),'Ajuste Mensal'!J$26))</f>
        <v>0</v>
      </c>
      <c r="K33" s="84" t="n">
        <f aca="false">K32*CHOOSE(Premissas!$B$6,IF('Ajuste Mensal'!K$14="",INDEX(Premissas!$C$59:$G$59,K$7),'Ajuste Mensal'!K$14),IF('Ajuste Mensal'!K$20="",INDEX(Premissas!$C$60:$G$60,K$7),'Ajuste Mensal'!K$20),IF('Ajuste Mensal'!K$26="",INDEX(Premissas!$C$61:$G$61,K$7),'Ajuste Mensal'!K$26))</f>
        <v>16.8</v>
      </c>
      <c r="L33" s="84" t="n">
        <f aca="false">L32*CHOOSE(Premissas!$B$6,IF('Ajuste Mensal'!L$14="",INDEX(Premissas!$C$59:$G$59,L$7),'Ajuste Mensal'!L$14),IF('Ajuste Mensal'!L$20="",INDEX(Premissas!$C$60:$G$60,L$7),'Ajuste Mensal'!L$20),IF('Ajuste Mensal'!L$26="",INDEX(Premissas!$C$61:$G$61,L$7),'Ajuste Mensal'!L$26))</f>
        <v>8.4</v>
      </c>
      <c r="M33" s="84" t="n">
        <f aca="false">M32*CHOOSE(Premissas!$B$6,IF('Ajuste Mensal'!M$14="",INDEX(Premissas!$C$59:$G$59,M$7),'Ajuste Mensal'!M$14),IF('Ajuste Mensal'!M$20="",INDEX(Premissas!$C$60:$G$60,M$7),'Ajuste Mensal'!M$20),IF('Ajuste Mensal'!M$26="",INDEX(Premissas!$C$61:$G$61,M$7),'Ajuste Mensal'!M$26))</f>
        <v>5.6</v>
      </c>
      <c r="N33" s="84" t="n">
        <f aca="false">N32*CHOOSE(Premissas!$B$6,IF('Ajuste Mensal'!N$14="",INDEX(Premissas!$C$59:$G$59,N$7),'Ajuste Mensal'!N$14),IF('Ajuste Mensal'!N$20="",INDEX(Premissas!$C$60:$G$60,N$7),'Ajuste Mensal'!N$20),IF('Ajuste Mensal'!N$26="",INDEX(Premissas!$C$61:$G$61,N$7),'Ajuste Mensal'!N$26))</f>
        <v>4.08377777777778</v>
      </c>
      <c r="O33" s="84" t="n">
        <f aca="false">O32*CHOOSE(Premissas!$B$6,IF('Ajuste Mensal'!O$14="",INDEX(Premissas!$C$59:$G$59,O$7),'Ajuste Mensal'!O$14),IF('Ajuste Mensal'!O$20="",INDEX(Premissas!$C$60:$G$60,O$7),'Ajuste Mensal'!O$20),IF('Ajuste Mensal'!O$26="",INDEX(Premissas!$C$61:$G$61,O$7),'Ajuste Mensal'!O$26))</f>
        <v>3.26702222222222</v>
      </c>
      <c r="P33" s="84" t="n">
        <f aca="false">P32*CHOOSE(Premissas!$B$6,IF('Ajuste Mensal'!P$14="",INDEX(Premissas!$C$59:$G$59,P$7),'Ajuste Mensal'!P$14),IF('Ajuste Mensal'!P$20="",INDEX(Premissas!$C$60:$G$60,P$7),'Ajuste Mensal'!P$20),IF('Ajuste Mensal'!P$26="",INDEX(Premissas!$C$61:$G$61,P$7),'Ajuste Mensal'!P$26))</f>
        <v>2.72251851851852</v>
      </c>
      <c r="Q33" s="84" t="n">
        <f aca="false">Q32*CHOOSE(Premissas!$B$6,IF('Ajuste Mensal'!Q$14="",INDEX(Premissas!$C$59:$G$59,Q$7),'Ajuste Mensal'!Q$14),IF('Ajuste Mensal'!Q$20="",INDEX(Premissas!$C$60:$G$60,Q$7),'Ajuste Mensal'!Q$20),IF('Ajuste Mensal'!Q$26="",INDEX(Premissas!$C$61:$G$61,Q$7),'Ajuste Mensal'!Q$26))</f>
        <v>2.72251851851852</v>
      </c>
      <c r="R33" s="84" t="n">
        <f aca="false">R32*CHOOSE(Premissas!$B$6,IF('Ajuste Mensal'!R$14="",INDEX(Premissas!$C$59:$G$59,R$7),'Ajuste Mensal'!R$14),IF('Ajuste Mensal'!R$20="",INDEX(Premissas!$C$60:$G$60,R$7),'Ajuste Mensal'!R$20),IF('Ajuste Mensal'!R$26="",INDEX(Premissas!$C$61:$G$61,R$7),'Ajuste Mensal'!R$26))</f>
        <v>2.72251851851852</v>
      </c>
      <c r="S33" s="84" t="n">
        <f aca="false">S32*CHOOSE(Premissas!$B$6,IF('Ajuste Mensal'!S$14="",INDEX(Premissas!$C$59:$G$59,S$7),'Ajuste Mensal'!S$14),IF('Ajuste Mensal'!S$20="",INDEX(Premissas!$C$60:$G$60,S$7),'Ajuste Mensal'!S$20),IF('Ajuste Mensal'!S$26="",INDEX(Premissas!$C$61:$G$61,S$7),'Ajuste Mensal'!S$26))</f>
        <v>2.72251851851852</v>
      </c>
      <c r="T33" s="84" t="n">
        <f aca="false">T32*CHOOSE(Premissas!$B$6,IF('Ajuste Mensal'!T$14="",INDEX(Premissas!$C$59:$G$59,T$7),'Ajuste Mensal'!T$14),IF('Ajuste Mensal'!T$20="",INDEX(Premissas!$C$60:$G$60,T$7),'Ajuste Mensal'!T$20),IF('Ajuste Mensal'!T$26="",INDEX(Premissas!$C$61:$G$61,T$7),'Ajuste Mensal'!T$26))</f>
        <v>2.72251851851852</v>
      </c>
      <c r="U33" s="84" t="n">
        <f aca="false">U32*CHOOSE(Premissas!$B$6,IF('Ajuste Mensal'!U$14="",INDEX(Premissas!$C$59:$G$59,U$7),'Ajuste Mensal'!U$14),IF('Ajuste Mensal'!U$20="",INDEX(Premissas!$C$60:$G$60,U$7),'Ajuste Mensal'!U$20),IF('Ajuste Mensal'!U$26="",INDEX(Premissas!$C$61:$G$61,U$7),'Ajuste Mensal'!U$26))</f>
        <v>2.72251851851852</v>
      </c>
      <c r="V33" s="84" t="n">
        <f aca="false">V32*CHOOSE(Premissas!$B$6,IF('Ajuste Mensal'!V$14="",INDEX(Premissas!$C$59:$G$59,V$7),'Ajuste Mensal'!V$14),IF('Ajuste Mensal'!V$20="",INDEX(Premissas!$C$60:$G$60,V$7),'Ajuste Mensal'!V$20),IF('Ajuste Mensal'!V$26="",INDEX(Premissas!$C$61:$G$61,V$7),'Ajuste Mensal'!V$26))</f>
        <v>2.72251851851852</v>
      </c>
      <c r="W33" s="84" t="n">
        <f aca="false">W32*CHOOSE(Premissas!$B$6,IF('Ajuste Mensal'!W$14="",INDEX(Premissas!$C$59:$G$59,W$7),'Ajuste Mensal'!W$14),IF('Ajuste Mensal'!W$20="",INDEX(Premissas!$C$60:$G$60,W$7),'Ajuste Mensal'!W$20),IF('Ajuste Mensal'!W$26="",INDEX(Premissas!$C$61:$G$61,W$7),'Ajuste Mensal'!W$26))</f>
        <v>2.72251851851852</v>
      </c>
      <c r="X33" s="84" t="n">
        <f aca="false">X32*CHOOSE(Premissas!$B$6,IF('Ajuste Mensal'!X$14="",INDEX(Premissas!$C$59:$G$59,X$7),'Ajuste Mensal'!X$14),IF('Ajuste Mensal'!X$20="",INDEX(Premissas!$C$60:$G$60,X$7),'Ajuste Mensal'!X$20),IF('Ajuste Mensal'!X$26="",INDEX(Premissas!$C$61:$G$61,X$7),'Ajuste Mensal'!X$26))</f>
        <v>2.72251851851852</v>
      </c>
      <c r="Y33" s="84" t="n">
        <f aca="false">Y32*CHOOSE(Premissas!$B$6,IF('Ajuste Mensal'!Y$14="",INDEX(Premissas!$C$59:$G$59,Y$7),'Ajuste Mensal'!Y$14),IF('Ajuste Mensal'!Y$20="",INDEX(Premissas!$C$60:$G$60,Y$7),'Ajuste Mensal'!Y$20),IF('Ajuste Mensal'!Y$26="",INDEX(Premissas!$C$61:$G$61,Y$7),'Ajuste Mensal'!Y$26))</f>
        <v>2.72251851851852</v>
      </c>
      <c r="Z33" s="84" t="n">
        <f aca="false">Z32*CHOOSE(Premissas!$B$6,IF('Ajuste Mensal'!Z$14="",INDEX(Premissas!$C$59:$G$59,Z$7),'Ajuste Mensal'!Z$14),IF('Ajuste Mensal'!Z$20="",INDEX(Premissas!$C$60:$G$60,Z$7),'Ajuste Mensal'!Z$20),IF('Ajuste Mensal'!Z$26="",INDEX(Premissas!$C$61:$G$61,Z$7),'Ajuste Mensal'!Z$26))</f>
        <v>2.60481704389575</v>
      </c>
      <c r="AA33" s="84" t="n">
        <f aca="false">AA32*CHOOSE(Premissas!$B$6,IF('Ajuste Mensal'!AA$14="",INDEX(Premissas!$C$59:$G$59,AA$7),'Ajuste Mensal'!AA$14),IF('Ajuste Mensal'!AA$20="",INDEX(Premissas!$C$60:$G$60,AA$7),'Ajuste Mensal'!AA$20),IF('Ajuste Mensal'!AA$26="",INDEX(Premissas!$C$61:$G$61,AA$7),'Ajuste Mensal'!AA$26))</f>
        <v>2.60481704389575</v>
      </c>
      <c r="AB33" s="84" t="n">
        <f aca="false">AB32*CHOOSE(Premissas!$B$6,IF('Ajuste Mensal'!AB$14="",INDEX(Premissas!$C$59:$G$59,AB$7),'Ajuste Mensal'!AB$14),IF('Ajuste Mensal'!AB$20="",INDEX(Premissas!$C$60:$G$60,AB$7),'Ajuste Mensal'!AB$20),IF('Ajuste Mensal'!AB$26="",INDEX(Premissas!$C$61:$G$61,AB$7),'Ajuste Mensal'!AB$26))</f>
        <v>2.60481704389575</v>
      </c>
      <c r="AC33" s="84" t="n">
        <f aca="false">AC32*CHOOSE(Premissas!$B$6,IF('Ajuste Mensal'!AC$14="",INDEX(Premissas!$C$59:$G$59,AC$7),'Ajuste Mensal'!AC$14),IF('Ajuste Mensal'!AC$20="",INDEX(Premissas!$C$60:$G$60,AC$7),'Ajuste Mensal'!AC$20),IF('Ajuste Mensal'!AC$26="",INDEX(Premissas!$C$61:$G$61,AC$7),'Ajuste Mensal'!AC$26))</f>
        <v>2.60481704389575</v>
      </c>
      <c r="AD33" s="84" t="n">
        <f aca="false">AD32*CHOOSE(Premissas!$B$6,IF('Ajuste Mensal'!AD$14="",INDEX(Premissas!$C$59:$G$59,AD$7),'Ajuste Mensal'!AD$14),IF('Ajuste Mensal'!AD$20="",INDEX(Premissas!$C$60:$G$60,AD$7),'Ajuste Mensal'!AD$20),IF('Ajuste Mensal'!AD$26="",INDEX(Premissas!$C$61:$G$61,AD$7),'Ajuste Mensal'!AD$26))</f>
        <v>2.60481704389575</v>
      </c>
      <c r="AE33" s="84" t="n">
        <f aca="false">AE32*CHOOSE(Premissas!$B$6,IF('Ajuste Mensal'!AE$14="",INDEX(Premissas!$C$59:$G$59,AE$7),'Ajuste Mensal'!AE$14),IF('Ajuste Mensal'!AE$20="",INDEX(Premissas!$C$60:$G$60,AE$7),'Ajuste Mensal'!AE$20),IF('Ajuste Mensal'!AE$26="",INDEX(Premissas!$C$61:$G$61,AE$7),'Ajuste Mensal'!AE$26))</f>
        <v>2.60481704389575</v>
      </c>
      <c r="AF33" s="84" t="n">
        <f aca="false">AF32*CHOOSE(Premissas!$B$6,IF('Ajuste Mensal'!AF$14="",INDEX(Premissas!$C$59:$G$59,AF$7),'Ajuste Mensal'!AF$14),IF('Ajuste Mensal'!AF$20="",INDEX(Premissas!$C$60:$G$60,AF$7),'Ajuste Mensal'!AF$20),IF('Ajuste Mensal'!AF$26="",INDEX(Premissas!$C$61:$G$61,AF$7),'Ajuste Mensal'!AF$26))</f>
        <v>2.60481704389575</v>
      </c>
      <c r="AG33" s="84" t="n">
        <f aca="false">AG32*CHOOSE(Premissas!$B$6,IF('Ajuste Mensal'!AG$14="",INDEX(Premissas!$C$59:$G$59,AG$7),'Ajuste Mensal'!AG$14),IF('Ajuste Mensal'!AG$20="",INDEX(Premissas!$C$60:$G$60,AG$7),'Ajuste Mensal'!AG$20),IF('Ajuste Mensal'!AG$26="",INDEX(Premissas!$C$61:$G$61,AG$7),'Ajuste Mensal'!AG$26))</f>
        <v>2.60481704389575</v>
      </c>
      <c r="AH33" s="84" t="n">
        <f aca="false">AH32*CHOOSE(Premissas!$B$6,IF('Ajuste Mensal'!AH$14="",INDEX(Premissas!$C$59:$G$59,AH$7),'Ajuste Mensal'!AH$14),IF('Ajuste Mensal'!AH$20="",INDEX(Premissas!$C$60:$G$60,AH$7),'Ajuste Mensal'!AH$20),IF('Ajuste Mensal'!AH$26="",INDEX(Premissas!$C$61:$G$61,AH$7),'Ajuste Mensal'!AH$26))</f>
        <v>2.60481704389575</v>
      </c>
      <c r="AI33" s="84" t="n">
        <f aca="false">AI32*CHOOSE(Premissas!$B$6,IF('Ajuste Mensal'!AI$14="",INDEX(Premissas!$C$59:$G$59,AI$7),'Ajuste Mensal'!AI$14),IF('Ajuste Mensal'!AI$20="",INDEX(Premissas!$C$60:$G$60,AI$7),'Ajuste Mensal'!AI$20),IF('Ajuste Mensal'!AI$26="",INDEX(Premissas!$C$61:$G$61,AI$7),'Ajuste Mensal'!AI$26))</f>
        <v>2.60481704389575</v>
      </c>
      <c r="AJ33" s="84" t="n">
        <f aca="false">AJ32*CHOOSE(Premissas!$B$6,IF('Ajuste Mensal'!AJ$14="",INDEX(Premissas!$C$59:$G$59,AJ$7),'Ajuste Mensal'!AJ$14),IF('Ajuste Mensal'!AJ$20="",INDEX(Premissas!$C$60:$G$60,AJ$7),'Ajuste Mensal'!AJ$20),IF('Ajuste Mensal'!AJ$26="",INDEX(Premissas!$C$61:$G$61,AJ$7),'Ajuste Mensal'!AJ$26))</f>
        <v>2.60481704389575</v>
      </c>
      <c r="AK33" s="84" t="n">
        <f aca="false">AK32*CHOOSE(Premissas!$B$6,IF('Ajuste Mensal'!AK$14="",INDEX(Premissas!$C$59:$G$59,AK$7),'Ajuste Mensal'!AK$14),IF('Ajuste Mensal'!AK$20="",INDEX(Premissas!$C$60:$G$60,AK$7),'Ajuste Mensal'!AK$20),IF('Ajuste Mensal'!AK$26="",INDEX(Premissas!$C$61:$G$61,AK$7),'Ajuste Mensal'!AK$26))</f>
        <v>2.60481704389575</v>
      </c>
      <c r="AL33" s="84" t="n">
        <f aca="false">AL32*CHOOSE(Premissas!$B$6,IF('Ajuste Mensal'!AL$14="",INDEX(Premissas!$C$59:$G$59,AL$7),'Ajuste Mensal'!AL$14),IF('Ajuste Mensal'!AL$20="",INDEX(Premissas!$C$60:$G$60,AL$7),'Ajuste Mensal'!AL$20),IF('Ajuste Mensal'!AL$26="",INDEX(Premissas!$C$61:$G$61,AL$7),'Ajuste Mensal'!AL$26))</f>
        <v>2.48689526945841</v>
      </c>
      <c r="AM33" s="84" t="n">
        <f aca="false">AM32*CHOOSE(Premissas!$B$6,IF('Ajuste Mensal'!AM$14="",INDEX(Premissas!$C$59:$G$59,AM$7),'Ajuste Mensal'!AM$14),IF('Ajuste Mensal'!AM$20="",INDEX(Premissas!$C$60:$G$60,AM$7),'Ajuste Mensal'!AM$20),IF('Ajuste Mensal'!AM$26="",INDEX(Premissas!$C$61:$G$61,AM$7),'Ajuste Mensal'!AM$26))</f>
        <v>2.48689526945841</v>
      </c>
      <c r="AN33" s="84" t="n">
        <f aca="false">AN32*CHOOSE(Premissas!$B$6,IF('Ajuste Mensal'!AN$14="",INDEX(Premissas!$C$59:$G$59,AN$7),'Ajuste Mensal'!AN$14),IF('Ajuste Mensal'!AN$20="",INDEX(Premissas!$C$60:$G$60,AN$7),'Ajuste Mensal'!AN$20),IF('Ajuste Mensal'!AN$26="",INDEX(Premissas!$C$61:$G$61,AN$7),'Ajuste Mensal'!AN$26))</f>
        <v>2.48689526945841</v>
      </c>
      <c r="AO33" s="84" t="n">
        <f aca="false">AO32*CHOOSE(Premissas!$B$6,IF('Ajuste Mensal'!AO$14="",INDEX(Premissas!$C$59:$G$59,AO$7),'Ajuste Mensal'!AO$14),IF('Ajuste Mensal'!AO$20="",INDEX(Premissas!$C$60:$G$60,AO$7),'Ajuste Mensal'!AO$20),IF('Ajuste Mensal'!AO$26="",INDEX(Premissas!$C$61:$G$61,AO$7),'Ajuste Mensal'!AO$26))</f>
        <v>2.48689526945841</v>
      </c>
      <c r="AP33" s="84" t="n">
        <f aca="false">AP32*CHOOSE(Premissas!$B$6,IF('Ajuste Mensal'!AP$14="",INDEX(Premissas!$C$59:$G$59,AP$7),'Ajuste Mensal'!AP$14),IF('Ajuste Mensal'!AP$20="",INDEX(Premissas!$C$60:$G$60,AP$7),'Ajuste Mensal'!AP$20),IF('Ajuste Mensal'!AP$26="",INDEX(Premissas!$C$61:$G$61,AP$7),'Ajuste Mensal'!AP$26))</f>
        <v>2.48689526945841</v>
      </c>
      <c r="AQ33" s="84" t="n">
        <f aca="false">AQ32*CHOOSE(Premissas!$B$6,IF('Ajuste Mensal'!AQ$14="",INDEX(Premissas!$C$59:$G$59,AQ$7),'Ajuste Mensal'!AQ$14),IF('Ajuste Mensal'!AQ$20="",INDEX(Premissas!$C$60:$G$60,AQ$7),'Ajuste Mensal'!AQ$20),IF('Ajuste Mensal'!AQ$26="",INDEX(Premissas!$C$61:$G$61,AQ$7),'Ajuste Mensal'!AQ$26))</f>
        <v>2.48689526945841</v>
      </c>
      <c r="AR33" s="84" t="n">
        <f aca="false">AR32*CHOOSE(Premissas!$B$6,IF('Ajuste Mensal'!AR$14="",INDEX(Premissas!$C$59:$G$59,AR$7),'Ajuste Mensal'!AR$14),IF('Ajuste Mensal'!AR$20="",INDEX(Premissas!$C$60:$G$60,AR$7),'Ajuste Mensal'!AR$20),IF('Ajuste Mensal'!AR$26="",INDEX(Premissas!$C$61:$G$61,AR$7),'Ajuste Mensal'!AR$26))</f>
        <v>2.48689526945841</v>
      </c>
      <c r="AS33" s="84" t="n">
        <f aca="false">AS32*CHOOSE(Premissas!$B$6,IF('Ajuste Mensal'!AS$14="",INDEX(Premissas!$C$59:$G$59,AS$7),'Ajuste Mensal'!AS$14),IF('Ajuste Mensal'!AS$20="",INDEX(Premissas!$C$60:$G$60,AS$7),'Ajuste Mensal'!AS$20),IF('Ajuste Mensal'!AS$26="",INDEX(Premissas!$C$61:$G$61,AS$7),'Ajuste Mensal'!AS$26))</f>
        <v>2.48689526945841</v>
      </c>
      <c r="AT33" s="84" t="n">
        <f aca="false">AT32*CHOOSE(Premissas!$B$6,IF('Ajuste Mensal'!AT$14="",INDEX(Premissas!$C$59:$G$59,AT$7),'Ajuste Mensal'!AT$14),IF('Ajuste Mensal'!AT$20="",INDEX(Premissas!$C$60:$G$60,AT$7),'Ajuste Mensal'!AT$20),IF('Ajuste Mensal'!AT$26="",INDEX(Premissas!$C$61:$G$61,AT$7),'Ajuste Mensal'!AT$26))</f>
        <v>2.48689526945841</v>
      </c>
      <c r="AU33" s="84" t="n">
        <f aca="false">AU32*CHOOSE(Premissas!$B$6,IF('Ajuste Mensal'!AU$14="",INDEX(Premissas!$C$59:$G$59,AU$7),'Ajuste Mensal'!AU$14),IF('Ajuste Mensal'!AU$20="",INDEX(Premissas!$C$60:$G$60,AU$7),'Ajuste Mensal'!AU$20),IF('Ajuste Mensal'!AU$26="",INDEX(Premissas!$C$61:$G$61,AU$7),'Ajuste Mensal'!AU$26))</f>
        <v>2.48689526945841</v>
      </c>
      <c r="AV33" s="84" t="n">
        <f aca="false">AV32*CHOOSE(Premissas!$B$6,IF('Ajuste Mensal'!AV$14="",INDEX(Premissas!$C$59:$G$59,AV$7),'Ajuste Mensal'!AV$14),IF('Ajuste Mensal'!AV$20="",INDEX(Premissas!$C$60:$G$60,AV$7),'Ajuste Mensal'!AV$20),IF('Ajuste Mensal'!AV$26="",INDEX(Premissas!$C$61:$G$61,AV$7),'Ajuste Mensal'!AV$26))</f>
        <v>2.48689526945841</v>
      </c>
      <c r="AW33" s="84" t="n">
        <f aca="false">AW32*CHOOSE(Premissas!$B$6,IF('Ajuste Mensal'!AW$14="",INDEX(Premissas!$C$59:$G$59,AW$7),'Ajuste Mensal'!AW$14),IF('Ajuste Mensal'!AW$20="",INDEX(Premissas!$C$60:$G$60,AW$7),'Ajuste Mensal'!AW$20),IF('Ajuste Mensal'!AW$26="",INDEX(Premissas!$C$61:$G$61,AW$7),'Ajuste Mensal'!AW$26))</f>
        <v>2.48689526945841</v>
      </c>
      <c r="AX33" s="84" t="n">
        <f aca="false">AX32*CHOOSE(Premissas!$B$6,IF('Ajuste Mensal'!AX$14="",INDEX(Premissas!$C$59:$G$59,AX$7),'Ajuste Mensal'!AX$14),IF('Ajuste Mensal'!AX$20="",INDEX(Premissas!$C$60:$G$60,AX$7),'Ajuste Mensal'!AX$20),IF('Ajuste Mensal'!AX$26="",INDEX(Premissas!$C$61:$G$61,AX$7),'Ajuste Mensal'!AX$26))</f>
        <v>2.40890124219045</v>
      </c>
      <c r="AY33" s="84" t="n">
        <f aca="false">AY32*CHOOSE(Premissas!$B$6,IF('Ajuste Mensal'!AY$14="",INDEX(Premissas!$C$59:$G$59,AY$7),'Ajuste Mensal'!AY$14),IF('Ajuste Mensal'!AY$20="",INDEX(Premissas!$C$60:$G$60,AY$7),'Ajuste Mensal'!AY$20),IF('Ajuste Mensal'!AY$26="",INDEX(Premissas!$C$61:$G$61,AY$7),'Ajuste Mensal'!AY$26))</f>
        <v>2.40890124219045</v>
      </c>
      <c r="AZ33" s="84" t="n">
        <f aca="false">AZ32*CHOOSE(Premissas!$B$6,IF('Ajuste Mensal'!AZ$14="",INDEX(Premissas!$C$59:$G$59,AZ$7),'Ajuste Mensal'!AZ$14),IF('Ajuste Mensal'!AZ$20="",INDEX(Premissas!$C$60:$G$60,AZ$7),'Ajuste Mensal'!AZ$20),IF('Ajuste Mensal'!AZ$26="",INDEX(Premissas!$C$61:$G$61,AZ$7),'Ajuste Mensal'!AZ$26))</f>
        <v>2.40890124219045</v>
      </c>
      <c r="BA33" s="84" t="n">
        <f aca="false">BA32*CHOOSE(Premissas!$B$6,IF('Ajuste Mensal'!BA$14="",INDEX(Premissas!$C$59:$G$59,BA$7),'Ajuste Mensal'!BA$14),IF('Ajuste Mensal'!BA$20="",INDEX(Premissas!$C$60:$G$60,BA$7),'Ajuste Mensal'!BA$20),IF('Ajuste Mensal'!BA$26="",INDEX(Premissas!$C$61:$G$61,BA$7),'Ajuste Mensal'!BA$26))</f>
        <v>2.40890124219045</v>
      </c>
      <c r="BB33" s="84" t="n">
        <f aca="false">BB32*CHOOSE(Premissas!$B$6,IF('Ajuste Mensal'!BB$14="",INDEX(Premissas!$C$59:$G$59,BB$7),'Ajuste Mensal'!BB$14),IF('Ajuste Mensal'!BB$20="",INDEX(Premissas!$C$60:$G$60,BB$7),'Ajuste Mensal'!BB$20),IF('Ajuste Mensal'!BB$26="",INDEX(Premissas!$C$61:$G$61,BB$7),'Ajuste Mensal'!BB$26))</f>
        <v>2.40890124219045</v>
      </c>
      <c r="BC33" s="84" t="n">
        <f aca="false">BC32*CHOOSE(Premissas!$B$6,IF('Ajuste Mensal'!BC$14="",INDEX(Premissas!$C$59:$G$59,BC$7),'Ajuste Mensal'!BC$14),IF('Ajuste Mensal'!BC$20="",INDEX(Premissas!$C$60:$G$60,BC$7),'Ajuste Mensal'!BC$20),IF('Ajuste Mensal'!BC$26="",INDEX(Premissas!$C$61:$G$61,BC$7),'Ajuste Mensal'!BC$26))</f>
        <v>2.40890124219045</v>
      </c>
      <c r="BD33" s="84" t="n">
        <f aca="false">BD32*CHOOSE(Premissas!$B$6,IF('Ajuste Mensal'!BD$14="",INDEX(Premissas!$C$59:$G$59,BD$7),'Ajuste Mensal'!BD$14),IF('Ajuste Mensal'!BD$20="",INDEX(Premissas!$C$60:$G$60,BD$7),'Ajuste Mensal'!BD$20),IF('Ajuste Mensal'!BD$26="",INDEX(Premissas!$C$61:$G$61,BD$7),'Ajuste Mensal'!BD$26))</f>
        <v>2.40890124219045</v>
      </c>
      <c r="BE33" s="84" t="n">
        <f aca="false">BE32*CHOOSE(Premissas!$B$6,IF('Ajuste Mensal'!BE$14="",INDEX(Premissas!$C$59:$G$59,BE$7),'Ajuste Mensal'!BE$14),IF('Ajuste Mensal'!BE$20="",INDEX(Premissas!$C$60:$G$60,BE$7),'Ajuste Mensal'!BE$20),IF('Ajuste Mensal'!BE$26="",INDEX(Premissas!$C$61:$G$61,BE$7),'Ajuste Mensal'!BE$26))</f>
        <v>2.40890124219045</v>
      </c>
      <c r="BF33" s="84" t="n">
        <f aca="false">BF32*CHOOSE(Premissas!$B$6,IF('Ajuste Mensal'!BF$14="",INDEX(Premissas!$C$59:$G$59,BF$7),'Ajuste Mensal'!BF$14),IF('Ajuste Mensal'!BF$20="",INDEX(Premissas!$C$60:$G$60,BF$7),'Ajuste Mensal'!BF$20),IF('Ajuste Mensal'!BF$26="",INDEX(Premissas!$C$61:$G$61,BF$7),'Ajuste Mensal'!BF$26))</f>
        <v>2.40890124219045</v>
      </c>
      <c r="BG33" s="84" t="n">
        <f aca="false">BG32*CHOOSE(Premissas!$B$6,IF('Ajuste Mensal'!BG$14="",INDEX(Premissas!$C$59:$G$59,BG$7),'Ajuste Mensal'!BG$14),IF('Ajuste Mensal'!BG$20="",INDEX(Premissas!$C$60:$G$60,BG$7),'Ajuste Mensal'!BG$20),IF('Ajuste Mensal'!BG$26="",INDEX(Premissas!$C$61:$G$61,BG$7),'Ajuste Mensal'!BG$26))</f>
        <v>2.40890124219045</v>
      </c>
      <c r="BH33" s="84" t="n">
        <f aca="false">BH32*CHOOSE(Premissas!$B$6,IF('Ajuste Mensal'!BH$14="",INDEX(Premissas!$C$59:$G$59,BH$7),'Ajuste Mensal'!BH$14),IF('Ajuste Mensal'!BH$20="",INDEX(Premissas!$C$60:$G$60,BH$7),'Ajuste Mensal'!BH$20),IF('Ajuste Mensal'!BH$26="",INDEX(Premissas!$C$61:$G$61,BH$7),'Ajuste Mensal'!BH$26))</f>
        <v>2.40890124219045</v>
      </c>
      <c r="BI33" s="84" t="n">
        <f aca="false">BI32*CHOOSE(Premissas!$B$6,IF('Ajuste Mensal'!BI$14="",INDEX(Premissas!$C$59:$G$59,BI$7),'Ajuste Mensal'!BI$14),IF('Ajuste Mensal'!BI$20="",INDEX(Premissas!$C$60:$G$60,BI$7),'Ajuste Mensal'!BI$20),IF('Ajuste Mensal'!BI$26="",INDEX(Premissas!$C$61:$G$61,BI$7),'Ajuste Mensal'!BI$26))</f>
        <v>2.40890124219045</v>
      </c>
      <c r="BK33" s="29" t="s">
        <v>346</v>
      </c>
    </row>
    <row r="35" customFormat="false" ht="15" hidden="false" customHeight="false" outlineLevel="0" collapsed="false">
      <c r="A35" s="64" t="s">
        <v>347</v>
      </c>
      <c r="B35" s="65" t="n">
        <f aca="false">-('Análise Fluxo'!B16+'Análise Fluxo'!B17+'Análise Fluxo'!B18+'Análise Fluxo'!B19+'Análise Fluxo'!B20+'Análise Fluxo'!B21+'Análise Fluxo'!B22+'Análise Fluxo'!B23+'Análise Fluxo'!B27)</f>
        <v>0</v>
      </c>
      <c r="C35" s="65" t="n">
        <f aca="false">-('Análise Fluxo'!C16+'Análise Fluxo'!C17+'Análise Fluxo'!C18+'Análise Fluxo'!C19+'Análise Fluxo'!C20+'Análise Fluxo'!C21+'Análise Fluxo'!C22+'Análise Fluxo'!C23+'Análise Fluxo'!C27)</f>
        <v>0</v>
      </c>
      <c r="D35" s="65" t="n">
        <f aca="false">-('Análise Fluxo'!D16+'Análise Fluxo'!D17+'Análise Fluxo'!D18+'Análise Fluxo'!D19+'Análise Fluxo'!D20+'Análise Fluxo'!D21+'Análise Fluxo'!D22+'Análise Fluxo'!D23+'Análise Fluxo'!D27)</f>
        <v>0</v>
      </c>
      <c r="E35" s="65" t="n">
        <f aca="false">-('Análise Fluxo'!E16+'Análise Fluxo'!E17+'Análise Fluxo'!E18+'Análise Fluxo'!E19+'Análise Fluxo'!E20+'Análise Fluxo'!E21+'Análise Fluxo'!E22+'Análise Fluxo'!E23+'Análise Fluxo'!E27)</f>
        <v>1500</v>
      </c>
      <c r="F35" s="65" t="n">
        <f aca="false">-('Análise Fluxo'!F16+'Análise Fluxo'!F17+'Análise Fluxo'!F18+'Análise Fluxo'!F19+'Análise Fluxo'!F20+'Análise Fluxo'!F21+'Análise Fluxo'!F22+'Análise Fluxo'!F23+'Análise Fluxo'!F27)</f>
        <v>2100</v>
      </c>
      <c r="G35" s="65" t="n">
        <f aca="false">-('Análise Fluxo'!G16+'Análise Fluxo'!G17+'Análise Fluxo'!G18+'Análise Fluxo'!G19+'Análise Fluxo'!G20+'Análise Fluxo'!G21+'Análise Fluxo'!G22+'Análise Fluxo'!G23+'Análise Fluxo'!G27)</f>
        <v>2100</v>
      </c>
      <c r="H35" s="65" t="n">
        <f aca="false">-('Análise Fluxo'!H16+'Análise Fluxo'!H17+'Análise Fluxo'!H18+'Análise Fluxo'!H19+'Análise Fluxo'!H20+'Análise Fluxo'!H21+'Análise Fluxo'!H22+'Análise Fluxo'!H23+'Análise Fluxo'!H27)</f>
        <v>2100</v>
      </c>
      <c r="I35" s="65" t="n">
        <f aca="false">-('Análise Fluxo'!I16+'Análise Fluxo'!I17+'Análise Fluxo'!I18+'Análise Fluxo'!I19+'Análise Fluxo'!I20+'Análise Fluxo'!I21+'Análise Fluxo'!I22+'Análise Fluxo'!I23+'Análise Fluxo'!I27)</f>
        <v>2100</v>
      </c>
      <c r="J35" s="65" t="n">
        <f aca="false">-('Análise Fluxo'!J16+'Análise Fluxo'!J17+'Análise Fluxo'!J18+'Análise Fluxo'!J19+'Análise Fluxo'!J20+'Análise Fluxo'!J21+'Análise Fluxo'!J22+'Análise Fluxo'!J23+'Análise Fluxo'!J27)</f>
        <v>2100</v>
      </c>
      <c r="K35" s="65" t="n">
        <f aca="false">-('Análise Fluxo'!K16+'Análise Fluxo'!K17+'Análise Fluxo'!K18+'Análise Fluxo'!K19+'Análise Fluxo'!K20+'Análise Fluxo'!K21+'Análise Fluxo'!K22+'Análise Fluxo'!K23+'Análise Fluxo'!K27)</f>
        <v>62413.33</v>
      </c>
      <c r="L35" s="65" t="n">
        <f aca="false">-('Análise Fluxo'!L16+'Análise Fluxo'!L17+'Análise Fluxo'!L18+'Análise Fluxo'!L19+'Análise Fluxo'!L20+'Análise Fluxo'!L21+'Análise Fluxo'!L22+'Análise Fluxo'!L23+'Análise Fluxo'!L27)</f>
        <v>38529.61</v>
      </c>
      <c r="M35" s="65" t="n">
        <f aca="false">-('Análise Fluxo'!M16+'Análise Fluxo'!M17+'Análise Fluxo'!M18+'Análise Fluxo'!M19+'Análise Fluxo'!M20+'Análise Fluxo'!M21+'Análise Fluxo'!M22+'Análise Fluxo'!M23+'Análise Fluxo'!M27)</f>
        <v>40067.5968</v>
      </c>
      <c r="N35" s="65" t="n">
        <f aca="false">-('Análise Fluxo'!N16+'Análise Fluxo'!N17+'Análise Fluxo'!N18+'Análise Fluxo'!N19+'Análise Fluxo'!N20+'Análise Fluxo'!N21+'Análise Fluxo'!N22+'Análise Fluxo'!N23+'Análise Fluxo'!N27)</f>
        <v>124989.29875264</v>
      </c>
      <c r="O35" s="65" t="n">
        <f aca="false">-('Análise Fluxo'!O16+'Análise Fluxo'!O17+'Análise Fluxo'!O18+'Análise Fluxo'!O19+'Análise Fluxo'!O20+'Análise Fluxo'!O21+'Análise Fluxo'!O22+'Análise Fluxo'!O23+'Análise Fluxo'!O27)</f>
        <v>128168.620270441</v>
      </c>
      <c r="P35" s="65" t="n">
        <f aca="false">-('Análise Fluxo'!P16+'Análise Fluxo'!P17+'Análise Fluxo'!P18+'Análise Fluxo'!P19+'Análise Fluxo'!P20+'Análise Fluxo'!P21+'Análise Fluxo'!P22+'Análise Fluxo'!P23+'Análise Fluxo'!P27)</f>
        <v>131819.416170104</v>
      </c>
      <c r="Q35" s="65" t="n">
        <f aca="false">-('Análise Fluxo'!Q16+'Análise Fluxo'!Q17+'Análise Fluxo'!Q18+'Análise Fluxo'!Q19+'Análise Fluxo'!Q20+'Análise Fluxo'!Q21+'Análise Fluxo'!Q22+'Análise Fluxo'!Q23+'Análise Fluxo'!Q27)</f>
        <v>133867.652378112</v>
      </c>
      <c r="R35" s="65" t="n">
        <f aca="false">-('Análise Fluxo'!R16+'Análise Fluxo'!R17+'Análise Fluxo'!R18+'Análise Fluxo'!R19+'Análise Fluxo'!R20+'Análise Fluxo'!R21+'Análise Fluxo'!R22+'Análise Fluxo'!R23+'Análise Fluxo'!R27)</f>
        <v>135762.070887278</v>
      </c>
      <c r="S35" s="65" t="n">
        <f aca="false">-('Análise Fluxo'!S16+'Análise Fluxo'!S17+'Análise Fluxo'!S18+'Análise Fluxo'!S19+'Análise Fluxo'!S20+'Análise Fluxo'!S21+'Análise Fluxo'!S22+'Análise Fluxo'!S23+'Análise Fluxo'!S27)</f>
        <v>137513.163588555</v>
      </c>
      <c r="T35" s="65" t="n">
        <f aca="false">-('Análise Fluxo'!T16+'Análise Fluxo'!T17+'Análise Fluxo'!T18+'Análise Fluxo'!T19+'Análise Fluxo'!T20+'Análise Fluxo'!T21+'Análise Fluxo'!T22+'Análise Fluxo'!T23+'Análise Fluxo'!T27)</f>
        <v>139132.945062696</v>
      </c>
      <c r="U35" s="65" t="n">
        <f aca="false">-('Análise Fluxo'!U16+'Análise Fluxo'!U17+'Análise Fluxo'!U18+'Análise Fluxo'!U19+'Análise Fluxo'!U20+'Análise Fluxo'!U21+'Análise Fluxo'!U22+'Análise Fluxo'!U23+'Análise Fluxo'!U27)</f>
        <v>140631.604409981</v>
      </c>
      <c r="V35" s="65" t="n">
        <f aca="false">-('Análise Fluxo'!V16+'Análise Fluxo'!V17+'Análise Fluxo'!V18+'Análise Fluxo'!V19+'Análise Fluxo'!V20+'Análise Fluxo'!V21+'Análise Fluxo'!V22+'Análise Fluxo'!V23+'Análise Fluxo'!V27)</f>
        <v>142015.83619035</v>
      </c>
      <c r="W35" s="65" t="n">
        <f aca="false">-('Análise Fluxo'!W16+'Análise Fluxo'!W17+'Análise Fluxo'!W18+'Análise Fluxo'!W19+'Análise Fluxo'!W20+'Análise Fluxo'!W21+'Análise Fluxo'!W22+'Análise Fluxo'!W23+'Análise Fluxo'!W27)</f>
        <v>143297.250540836</v>
      </c>
      <c r="X35" s="65" t="n">
        <f aca="false">-('Análise Fluxo'!X16+'Análise Fluxo'!X17+'Análise Fluxo'!X18+'Análise Fluxo'!X19+'Análise Fluxo'!X20+'Análise Fluxo'!X21+'Análise Fluxo'!X22+'Análise Fluxo'!X23+'Análise Fluxo'!X27)</f>
        <v>144482.302532165</v>
      </c>
      <c r="Y35" s="65" t="n">
        <f aca="false">-('Análise Fluxo'!Y16+'Análise Fluxo'!Y17+'Análise Fluxo'!Y18+'Análise Fluxo'!Y19+'Análise Fluxo'!Y20+'Análise Fluxo'!Y21+'Análise Fluxo'!Y22+'Análise Fluxo'!Y23+'Análise Fluxo'!Y27)</f>
        <v>145577.340821746</v>
      </c>
      <c r="Z35" s="65" t="n">
        <f aca="false">-('Análise Fluxo'!Z16+'Análise Fluxo'!Z17+'Análise Fluxo'!Z18+'Análise Fluxo'!Z19+'Análise Fluxo'!Z20+'Análise Fluxo'!Z21+'Análise Fluxo'!Z22+'Análise Fluxo'!Z23+'Análise Fluxo'!Z27)</f>
        <v>328681.287521809</v>
      </c>
      <c r="AA35" s="65" t="n">
        <f aca="false">-('Análise Fluxo'!AA16+'Análise Fluxo'!AA17+'Análise Fluxo'!AA18+'Análise Fluxo'!AA19+'Análise Fluxo'!AA20+'Análise Fluxo'!AA21+'Análise Fluxo'!AA22+'Análise Fluxo'!AA23+'Análise Fluxo'!AA27)</f>
        <v>331258.645807269</v>
      </c>
      <c r="AB35" s="65" t="n">
        <f aca="false">-('Análise Fluxo'!AB16+'Análise Fluxo'!AB17+'Análise Fluxo'!AB18+'Análise Fluxo'!AB19+'Análise Fluxo'!AB20+'Análise Fluxo'!AB21+'Análise Fluxo'!AB22+'Análise Fluxo'!AB23+'Análise Fluxo'!AB27)</f>
        <v>333654.092131687</v>
      </c>
      <c r="AC35" s="65" t="n">
        <f aca="false">-('Análise Fluxo'!AC16+'Análise Fluxo'!AC17+'Análise Fluxo'!AC18+'Análise Fluxo'!AC19+'Análise Fluxo'!AC20+'Análise Fluxo'!AC21+'Análise Fluxo'!AC22+'Análise Fluxo'!AC23+'Análise Fluxo'!AC27)</f>
        <v>335879.858359508</v>
      </c>
      <c r="AD35" s="65" t="n">
        <f aca="false">-('Análise Fluxo'!AD16+'Análise Fluxo'!AD17+'Análise Fluxo'!AD18+'Análise Fluxo'!AD19+'Análise Fluxo'!AD20+'Análise Fluxo'!AD21+'Análise Fluxo'!AD22+'Análise Fluxo'!AD23+'Análise Fluxo'!AD27)</f>
        <v>337949.317695641</v>
      </c>
      <c r="AE35" s="65" t="n">
        <f aca="false">-('Análise Fluxo'!AE16+'Análise Fluxo'!AE17+'Análise Fluxo'!AE18+'Análise Fluxo'!AE19+'Análise Fluxo'!AE20+'Análise Fluxo'!AE21+'Análise Fluxo'!AE22+'Análise Fluxo'!AE23+'Análise Fluxo'!AE27)</f>
        <v>339871.466628398</v>
      </c>
      <c r="AF35" s="65" t="n">
        <f aca="false">-('Análise Fluxo'!AF16+'Análise Fluxo'!AF17+'Análise Fluxo'!AF18+'Análise Fluxo'!AF19+'Análise Fluxo'!AF20+'Análise Fluxo'!AF21+'Análise Fluxo'!AF22+'Análise Fluxo'!AF23+'Análise Fluxo'!AF27)</f>
        <v>341657.694169588</v>
      </c>
      <c r="AG35" s="65" t="n">
        <f aca="false">-('Análise Fluxo'!AG16+'Análise Fluxo'!AG17+'Análise Fluxo'!AG18+'Análise Fluxo'!AG19+'Análise Fluxo'!AG20+'Análise Fluxo'!AG21+'Análise Fluxo'!AG22+'Análise Fluxo'!AG23+'Análise Fluxo'!AG27)</f>
        <v>343317.94444145</v>
      </c>
      <c r="AH35" s="65" t="n">
        <f aca="false">-('Análise Fluxo'!AH16+'Análise Fluxo'!AH17+'Análise Fluxo'!AH18+'Análise Fluxo'!AH19+'Análise Fluxo'!AH20+'Análise Fluxo'!AH21+'Análise Fluxo'!AH22+'Análise Fluxo'!AH23+'Análise Fluxo'!AH27)</f>
        <v>344861.906656591</v>
      </c>
      <c r="AI35" s="65" t="n">
        <f aca="false">-('Análise Fluxo'!AI16+'Análise Fluxo'!AI17+'Análise Fluxo'!AI18+'Análise Fluxo'!AI19+'Análise Fluxo'!AI20+'Análise Fluxo'!AI21+'Análise Fluxo'!AI22+'Análise Fluxo'!AI23+'Análise Fluxo'!AI27)</f>
        <v>346296.208533836</v>
      </c>
      <c r="AJ35" s="65" t="n">
        <f aca="false">-('Análise Fluxo'!AJ16+'Análise Fluxo'!AJ17+'Análise Fluxo'!AJ18+'Análise Fluxo'!AJ19+'Análise Fluxo'!AJ20+'Análise Fluxo'!AJ21+'Análise Fluxo'!AJ22+'Análise Fluxo'!AJ23+'Análise Fluxo'!AJ27)</f>
        <v>347628.76918987</v>
      </c>
      <c r="AK35" s="65" t="n">
        <f aca="false">-('Análise Fluxo'!AK16+'Análise Fluxo'!AK17+'Análise Fluxo'!AK18+'Análise Fluxo'!AK19+'Análise Fluxo'!AK20+'Análise Fluxo'!AK21+'Análise Fluxo'!AK22+'Análise Fluxo'!AK23+'Análise Fluxo'!AK27)</f>
        <v>348865.941543722</v>
      </c>
      <c r="AL35" s="65" t="n">
        <f aca="false">-('Análise Fluxo'!AL16+'Análise Fluxo'!AL17+'Análise Fluxo'!AL18+'Análise Fluxo'!AL19+'Análise Fluxo'!AL20+'Análise Fluxo'!AL21+'Análise Fluxo'!AL22+'Análise Fluxo'!AL23+'Análise Fluxo'!AL27)</f>
        <v>667155.622015659</v>
      </c>
      <c r="AM35" s="65" t="n">
        <f aca="false">-('Análise Fluxo'!AM16+'Análise Fluxo'!AM17+'Análise Fluxo'!AM18+'Análise Fluxo'!AM19+'Análise Fluxo'!AM20+'Análise Fluxo'!AM21+'Análise Fluxo'!AM22+'Análise Fluxo'!AM23+'Análise Fluxo'!AM27)</f>
        <v>670471.351663414</v>
      </c>
      <c r="AN35" s="65" t="n">
        <f aca="false">-('Análise Fluxo'!AN16+'Análise Fluxo'!AN17+'Análise Fluxo'!AN18+'Análise Fluxo'!AN19+'Análise Fluxo'!AN20+'Análise Fluxo'!AN21+'Análise Fluxo'!AN22+'Análise Fluxo'!AN23+'Análise Fluxo'!AN27)</f>
        <v>673566.031839775</v>
      </c>
      <c r="AO35" s="65" t="n">
        <f aca="false">-('Análise Fluxo'!AO16+'Análise Fluxo'!AO17+'Análise Fluxo'!AO18+'Análise Fluxo'!AO19+'Análise Fluxo'!AO20+'Análise Fluxo'!AO21+'Análise Fluxo'!AO22+'Análise Fluxo'!AO23+'Análise Fluxo'!AO27)</f>
        <v>676456.346608676</v>
      </c>
      <c r="AP35" s="65" t="n">
        <f aca="false">-('Análise Fluxo'!AP16+'Análise Fluxo'!AP17+'Análise Fluxo'!AP18+'Análise Fluxo'!AP19+'Análise Fluxo'!AP20+'Análise Fluxo'!AP21+'Análise Fluxo'!AP22+'Análise Fluxo'!AP23+'Análise Fluxo'!AP27)</f>
        <v>679153.738199512</v>
      </c>
      <c r="AQ35" s="65" t="n">
        <f aca="false">-('Análise Fluxo'!AQ16+'Análise Fluxo'!AQ17+'Análise Fluxo'!AQ18+'Análise Fluxo'!AQ19+'Análise Fluxo'!AQ20+'Análise Fluxo'!AQ21+'Análise Fluxo'!AQ22+'Análise Fluxo'!AQ23+'Análise Fluxo'!AQ27)</f>
        <v>681671.855767109</v>
      </c>
      <c r="AR35" s="65" t="n">
        <f aca="false">-('Análise Fluxo'!AR16+'Análise Fluxo'!AR17+'Análise Fluxo'!AR18+'Análise Fluxo'!AR19+'Análise Fluxo'!AR20+'Análise Fluxo'!AR21+'Análise Fluxo'!AR22+'Análise Fluxo'!AR23+'Análise Fluxo'!AR27)</f>
        <v>684022.968569628</v>
      </c>
      <c r="AS35" s="65" t="n">
        <f aca="false">-('Análise Fluxo'!AS16+'Análise Fluxo'!AS17+'Análise Fluxo'!AS18+'Análise Fluxo'!AS19+'Análise Fluxo'!AS20+'Análise Fluxo'!AS21+'Análise Fluxo'!AS22+'Análise Fluxo'!AS23+'Análise Fluxo'!AS27)</f>
        <v>686217.723603067</v>
      </c>
      <c r="AT35" s="65" t="n">
        <f aca="false">-('Análise Fluxo'!AT16+'Análise Fluxo'!AT17+'Análise Fluxo'!AT18+'Análise Fluxo'!AT19+'Análise Fluxo'!AT20+'Análise Fluxo'!AT21+'Análise Fluxo'!AT22+'Análise Fluxo'!AT23+'Análise Fluxo'!AT27)</f>
        <v>688266.617728487</v>
      </c>
      <c r="AU35" s="65" t="n">
        <f aca="false">-('Análise Fluxo'!AU16+'Análise Fluxo'!AU17+'Análise Fluxo'!AU18+'Análise Fluxo'!AU19+'Análise Fluxo'!AU20+'Análise Fluxo'!AU21+'Análise Fluxo'!AU22+'Análise Fluxo'!AU23+'Análise Fluxo'!AU27)</f>
        <v>690180.004325641</v>
      </c>
      <c r="AV35" s="65" t="n">
        <f aca="false">-('Análise Fluxo'!AV16+'Análise Fluxo'!AV17+'Análise Fluxo'!AV18+'Análise Fluxo'!AV19+'Análise Fluxo'!AV20+'Análise Fluxo'!AV21+'Análise Fluxo'!AV22+'Análise Fluxo'!AV23+'Análise Fluxo'!AV27)</f>
        <v>691965.41950451</v>
      </c>
      <c r="AW35" s="65" t="n">
        <f aca="false">-('Análise Fluxo'!AW16+'Análise Fluxo'!AW17+'Análise Fluxo'!AW18+'Análise Fluxo'!AW19+'Análise Fluxo'!AW20+'Análise Fluxo'!AW21+'Análise Fluxo'!AW22+'Análise Fluxo'!AW23+'Análise Fluxo'!AW27)</f>
        <v>693632.897904086</v>
      </c>
      <c r="AX35" s="65" t="n">
        <f aca="false">-('Análise Fluxo'!AX16+'Análise Fluxo'!AX17+'Análise Fluxo'!AX18+'Análise Fluxo'!AX19+'Análise Fluxo'!AX20+'Análise Fluxo'!AX21+'Análise Fluxo'!AX22+'Análise Fluxo'!AX23+'Análise Fluxo'!AX27)</f>
        <v>1087540.34078984</v>
      </c>
      <c r="AY35" s="65" t="n">
        <f aca="false">-('Análise Fluxo'!AY16+'Análise Fluxo'!AY17+'Análise Fluxo'!AY18+'Análise Fluxo'!AY19+'Análise Fluxo'!AY20+'Análise Fluxo'!AY21+'Análise Fluxo'!AY22+'Análise Fluxo'!AY23+'Análise Fluxo'!AY27)</f>
        <v>1092418.79060822</v>
      </c>
      <c r="AZ35" s="65" t="n">
        <f aca="false">-('Análise Fluxo'!AZ16+'Análise Fluxo'!AZ17+'Análise Fluxo'!AZ18+'Análise Fluxo'!AZ19+'Análise Fluxo'!AZ20+'Análise Fluxo'!AZ21+'Análise Fluxo'!AZ22+'Análise Fluxo'!AZ23+'Análise Fluxo'!AZ27)</f>
        <v>1096992.51623492</v>
      </c>
      <c r="BA35" s="65" t="n">
        <f aca="false">-('Análise Fluxo'!BA16+'Análise Fluxo'!BA17+'Análise Fluxo'!BA18+'Análise Fluxo'!BA19+'Análise Fluxo'!BA20+'Análise Fluxo'!BA21+'Análise Fluxo'!BA22+'Análise Fluxo'!BA23+'Análise Fluxo'!BA27)</f>
        <v>1101279.55469962</v>
      </c>
      <c r="BB35" s="65" t="n">
        <f aca="false">-('Análise Fluxo'!BB16+'Análise Fluxo'!BB17+'Análise Fluxo'!BB18+'Análise Fluxo'!BB19+'Análise Fluxo'!BB20+'Análise Fluxo'!BB21+'Análise Fluxo'!BB22+'Análise Fluxo'!BB23+'Análise Fluxo'!BB27)</f>
        <v>1105300.00050938</v>
      </c>
      <c r="BC35" s="65" t="n">
        <f aca="false">-('Análise Fluxo'!BC16+'Análise Fluxo'!BC17+'Análise Fluxo'!BC18+'Análise Fluxo'!BC19+'Análise Fluxo'!BC20+'Análise Fluxo'!BC21+'Análise Fluxo'!BC22+'Análise Fluxo'!BC23+'Análise Fluxo'!BC27)</f>
        <v>1109069.0057999</v>
      </c>
      <c r="BD35" s="65" t="n">
        <f aca="false">-('Análise Fluxo'!BD16+'Análise Fluxo'!BD17+'Análise Fluxo'!BD18+'Análise Fluxo'!BD19+'Análise Fluxo'!BD20+'Análise Fluxo'!BD21+'Análise Fluxo'!BD22+'Análise Fluxo'!BD23+'Análise Fluxo'!BD27)</f>
        <v>1112602.56485254</v>
      </c>
      <c r="BE35" s="65" t="n">
        <f aca="false">-('Análise Fluxo'!BE16+'Análise Fluxo'!BE17+'Análise Fluxo'!BE18+'Análise Fluxo'!BE19+'Análise Fluxo'!BE20+'Análise Fluxo'!BE21+'Análise Fluxo'!BE22+'Análise Fluxo'!BE23+'Análise Fluxo'!BE27)</f>
        <v>1115915.25301705</v>
      </c>
      <c r="BF35" s="65" t="n">
        <f aca="false">-('Análise Fluxo'!BF16+'Análise Fluxo'!BF17+'Análise Fluxo'!BF18+'Análise Fluxo'!BF19+'Análise Fluxo'!BF20+'Análise Fluxo'!BF21+'Análise Fluxo'!BF22+'Análise Fluxo'!BF23+'Análise Fluxo'!BF27)</f>
        <v>1119021.37007689</v>
      </c>
      <c r="BG35" s="65" t="n">
        <f aca="false">-('Análise Fluxo'!BG16+'Análise Fluxo'!BG17+'Análise Fluxo'!BG18+'Análise Fluxo'!BG19+'Análise Fluxo'!BG20+'Análise Fluxo'!BG21+'Análise Fluxo'!BG22+'Análise Fluxo'!BG23+'Análise Fluxo'!BG27)</f>
        <v>1121932.62809211</v>
      </c>
      <c r="BH35" s="65" t="n">
        <f aca="false">-('Análise Fluxo'!BH16+'Análise Fluxo'!BH17+'Análise Fluxo'!BH18+'Análise Fluxo'!BH19+'Análise Fluxo'!BH20+'Análise Fluxo'!BH21+'Análise Fluxo'!BH22+'Análise Fluxo'!BH23+'Análise Fluxo'!BH27)</f>
        <v>1124662.94875232</v>
      </c>
      <c r="BI35" s="65" t="n">
        <f aca="false">-('Análise Fluxo'!BI16+'Análise Fluxo'!BI17+'Análise Fluxo'!BI18+'Análise Fluxo'!BI19+'Análise Fluxo'!BI20+'Análise Fluxo'!BI21+'Análise Fluxo'!BI22+'Análise Fluxo'!BI23+'Análise Fluxo'!BI27)</f>
        <v>1127222.39527045</v>
      </c>
      <c r="BJ35" s="61" t="n">
        <f aca="false">SUM(B35:BI35)</f>
        <v>27376909.1175171</v>
      </c>
      <c r="BK35" s="29" t="s">
        <v>348</v>
      </c>
    </row>
    <row r="36" customFormat="false" ht="15" hidden="false" customHeight="false" outlineLevel="0" collapsed="false">
      <c r="A36" s="66" t="s">
        <v>349</v>
      </c>
      <c r="B36" s="67" t="n">
        <f aca="false">(CHOOSE(Premissas!$B$6,Cenários!B24,Cenários!B70,Cenários!B116))*(1-B21-Premissas!$B$75)+(CHOOSE(Premissas!$B$6,Cenários!B25,Cenários!B71,Cenários!B117)+CHOOSE(Premissas!$B$6,Cenários!B26,Cenários!B72,Cenários!B118)+CHOOSE(Premissas!$B$6,Cenários!B27,Cenários!B73,Cenários!B119))*(1-B21)</f>
        <v>0</v>
      </c>
      <c r="C36" s="67" t="n">
        <f aca="false">(CHOOSE(Premissas!$B$6,Cenários!C24,Cenários!C70,Cenários!C116))*(1-C21-Premissas!$B$75)+(CHOOSE(Premissas!$B$6,Cenários!C25,Cenários!C71,Cenários!C117)+CHOOSE(Premissas!$B$6,Cenários!C26,Cenários!C72,Cenários!C118)+CHOOSE(Premissas!$B$6,Cenários!C27,Cenários!C73,Cenários!C119))*(1-C21)</f>
        <v>0</v>
      </c>
      <c r="D36" s="67" t="n">
        <f aca="false">(CHOOSE(Premissas!$B$6,Cenários!D24,Cenários!D70,Cenários!D116))*(1-D21-Premissas!$B$75)+(CHOOSE(Premissas!$B$6,Cenários!D25,Cenários!D71,Cenários!D117)+CHOOSE(Premissas!$B$6,Cenários!D26,Cenários!D72,Cenários!D118)+CHOOSE(Premissas!$B$6,Cenários!D27,Cenários!D73,Cenários!D119))*(1-D21)</f>
        <v>0</v>
      </c>
      <c r="E36" s="67" t="n">
        <f aca="false">(CHOOSE(Premissas!$B$6,Cenários!E24,Cenários!E70,Cenários!E116))*(1-E21-Premissas!$B$75)+(CHOOSE(Premissas!$B$6,Cenários!E25,Cenários!E71,Cenários!E117)+CHOOSE(Premissas!$B$6,Cenários!E26,Cenários!E72,Cenários!E118)+CHOOSE(Premissas!$B$6,Cenários!E27,Cenários!E73,Cenários!E119))*(1-E21)</f>
        <v>0</v>
      </c>
      <c r="F36" s="67" t="n">
        <f aca="false">(CHOOSE(Premissas!$B$6,Cenários!F24,Cenários!F70,Cenários!F116))*(1-F21-Premissas!$B$75)+(CHOOSE(Premissas!$B$6,Cenários!F25,Cenários!F71,Cenários!F117)+CHOOSE(Premissas!$B$6,Cenários!F26,Cenários!F72,Cenários!F118)+CHOOSE(Premissas!$B$6,Cenários!F27,Cenários!F73,Cenários!F119))*(1-F21)</f>
        <v>0</v>
      </c>
      <c r="G36" s="67" t="n">
        <f aca="false">(CHOOSE(Premissas!$B$6,Cenários!G24,Cenários!G70,Cenários!G116))*(1-G21-Premissas!$B$75)+(CHOOSE(Premissas!$B$6,Cenários!G25,Cenários!G71,Cenários!G117)+CHOOSE(Premissas!$B$6,Cenários!G26,Cenários!G72,Cenários!G118)+CHOOSE(Premissas!$B$6,Cenários!G27,Cenários!G73,Cenários!G119))*(1-G21)</f>
        <v>0</v>
      </c>
      <c r="H36" s="67" t="n">
        <f aca="false">(CHOOSE(Premissas!$B$6,Cenários!H24,Cenários!H70,Cenários!H116))*(1-H21-Premissas!$B$75)+(CHOOSE(Premissas!$B$6,Cenários!H25,Cenários!H71,Cenários!H117)+CHOOSE(Premissas!$B$6,Cenários!H26,Cenários!H72,Cenários!H118)+CHOOSE(Premissas!$B$6,Cenários!H27,Cenários!H73,Cenários!H119))*(1-H21)</f>
        <v>0</v>
      </c>
      <c r="I36" s="67" t="n">
        <f aca="false">(CHOOSE(Premissas!$B$6,Cenários!I24,Cenários!I70,Cenários!I116))*(1-I21-Premissas!$B$75)+(CHOOSE(Premissas!$B$6,Cenários!I25,Cenários!I71,Cenários!I117)+CHOOSE(Premissas!$B$6,Cenários!I26,Cenários!I72,Cenários!I118)+CHOOSE(Premissas!$B$6,Cenários!I27,Cenários!I73,Cenários!I119))*(1-I21)</f>
        <v>0</v>
      </c>
      <c r="J36" s="67" t="n">
        <f aca="false">(CHOOSE(Premissas!$B$6,Cenários!J24,Cenários!J70,Cenários!J116))*(1-J21-Premissas!$B$75)+(CHOOSE(Premissas!$B$6,Cenários!J25,Cenários!J71,Cenários!J117)+CHOOSE(Premissas!$B$6,Cenários!J26,Cenários!J72,Cenários!J118)+CHOOSE(Premissas!$B$6,Cenários!J27,Cenários!J73,Cenários!J119))*(1-J21)</f>
        <v>0</v>
      </c>
      <c r="K36" s="67" t="n">
        <f aca="false">(CHOOSE(Premissas!$B$6,Cenários!K24,Cenários!K70,Cenários!K116))*(1-K21-Premissas!$B$75)+(CHOOSE(Premissas!$B$6,Cenários!K25,Cenários!K71,Cenários!K117)+CHOOSE(Premissas!$B$6,Cenários!K26,Cenários!K72,Cenários!K118)+CHOOSE(Premissas!$B$6,Cenários!K27,Cenários!K73,Cenários!K119))*(1-K21)</f>
        <v>0</v>
      </c>
      <c r="L36" s="67" t="n">
        <f aca="false">(CHOOSE(Premissas!$B$6,Cenários!L24,Cenários!L70,Cenários!L116))*(1-L21-Premissas!$B$75)+(CHOOSE(Premissas!$B$6,Cenários!L25,Cenários!L71,Cenários!L117)+CHOOSE(Premissas!$B$6,Cenários!L26,Cenários!L72,Cenários!L118)+CHOOSE(Premissas!$B$6,Cenários!L27,Cenários!L73,Cenários!L119))*(1-L21)</f>
        <v>0</v>
      </c>
      <c r="M36" s="67" t="n">
        <f aca="false">(CHOOSE(Premissas!$B$6,Cenários!M24,Cenários!M70,Cenários!M116))*(1-M21-Premissas!$B$75)+(CHOOSE(Premissas!$B$6,Cenários!M25,Cenários!M71,Cenários!M117)+CHOOSE(Premissas!$B$6,Cenários!M26,Cenários!M72,Cenários!M118)+CHOOSE(Premissas!$B$6,Cenários!M27,Cenários!M73,Cenários!M119))*(1-M21)</f>
        <v>0</v>
      </c>
      <c r="N36" s="67" t="n">
        <f aca="false">(CHOOSE(Premissas!$B$6,Cenários!N24,Cenários!N70,Cenários!N116))*(1-N21-Premissas!$B$75)+(CHOOSE(Premissas!$B$6,Cenários!N25,Cenários!N71,Cenários!N117)+CHOOSE(Premissas!$B$6,Cenários!N26,Cenários!N72,Cenários!N118)+CHOOSE(Premissas!$B$6,Cenários!N27,Cenários!N73,Cenários!N119))*(1-N21)</f>
        <v>3085.170380544</v>
      </c>
      <c r="O36" s="67" t="n">
        <f aca="false">(CHOOSE(Premissas!$B$6,Cenários!O24,Cenários!O70,Cenários!O116))*(1-O21-Premissas!$B$75)+(CHOOSE(Premissas!$B$6,Cenários!O25,Cenários!O71,Cenários!O117)+CHOOSE(Premissas!$B$6,Cenários!O26,Cenários!O72,Cenários!O118)+CHOOSE(Premissas!$B$6,Cenários!O27,Cenários!O73,Cenários!O119))*(1-O21)</f>
        <v>3993.46556792709</v>
      </c>
      <c r="P36" s="67" t="n">
        <f aca="false">(CHOOSE(Premissas!$B$6,Cenários!P24,Cenários!P70,Cenários!P116))*(1-P21-Premissas!$B$75)+(CHOOSE(Premissas!$B$6,Cenários!P25,Cenários!P71,Cenários!P117)+CHOOSE(Premissas!$B$6,Cenários!P26,Cenários!P72,Cenários!P118)+CHOOSE(Premissas!$B$6,Cenários!P27,Cenários!P73,Cenários!P119))*(1-P21)</f>
        <v>4823.82706938926</v>
      </c>
      <c r="Q36" s="67" t="n">
        <f aca="false">(CHOOSE(Premissas!$B$6,Cenários!Q24,Cenários!Q70,Cenários!Q116))*(1-Q21-Premissas!$B$75)+(CHOOSE(Premissas!$B$6,Cenários!Q25,Cenários!Q71,Cenários!Q117)+CHOOSE(Premissas!$B$6,Cenários!Q26,Cenários!Q72,Cenários!Q118)+CHOOSE(Premissas!$B$6,Cenários!Q27,Cenários!Q73,Cenários!Q119))*(1-Q21)</f>
        <v>5531.31291088169</v>
      </c>
      <c r="R36" s="67" t="n">
        <f aca="false">(CHOOSE(Premissas!$B$6,Cenários!R24,Cenários!R70,Cenários!R116))*(1-R21-Premissas!$B$75)+(CHOOSE(Premissas!$B$6,Cenários!R25,Cenários!R71,Cenários!R117)+CHOOSE(Premissas!$B$6,Cenários!R26,Cenários!R72,Cenários!R118)+CHOOSE(Premissas!$B$6,Cenários!R27,Cenários!R73,Cenários!R119))*(1-R21)</f>
        <v>6163.53275646916</v>
      </c>
      <c r="S36" s="67" t="n">
        <f aca="false">(CHOOSE(Premissas!$B$6,Cenários!S24,Cenários!S70,Cenários!S116))*(1-S21-Premissas!$B$75)+(CHOOSE(Premissas!$B$6,Cenários!S25,Cenários!S71,Cenários!S117)+CHOOSE(Premissas!$B$6,Cenários!S26,Cenários!S72,Cenários!S118)+CHOOSE(Premissas!$B$6,Cenários!S27,Cenários!S73,Cenários!S119))*(1-S21)</f>
        <v>6760.14111070613</v>
      </c>
      <c r="T36" s="67" t="n">
        <f aca="false">(CHOOSE(Premissas!$B$6,Cenários!T24,Cenários!T70,Cenários!T116))*(1-T21-Premissas!$B$75)+(CHOOSE(Premissas!$B$6,Cenários!T25,Cenários!T71,Cenários!T117)+CHOOSE(Premissas!$B$6,Cenários!T26,Cenários!T72,Cenários!T118)+CHOOSE(Premissas!$B$6,Cenários!T27,Cenários!T73,Cenários!T119))*(1-T21)</f>
        <v>7299.78547554122</v>
      </c>
      <c r="U36" s="67" t="n">
        <f aca="false">(CHOOSE(Premissas!$B$6,Cenários!U24,Cenários!U70,Cenários!U116))*(1-U21-Premissas!$B$75)+(CHOOSE(Premissas!$B$6,Cenários!U25,Cenários!U71,Cenários!U117)+CHOOSE(Premissas!$B$6,Cenários!U26,Cenários!U72,Cenários!U118)+CHOOSE(Premissas!$B$6,Cenários!U27,Cenários!U73,Cenários!U119))*(1-U21)</f>
        <v>7807.13116868226</v>
      </c>
      <c r="V36" s="67" t="n">
        <f aca="false">(CHOOSE(Premissas!$B$6,Cenários!V24,Cenários!V70,Cenários!V116))*(1-V21-Premissas!$B$75)+(CHOOSE(Premissas!$B$6,Cenários!V25,Cenários!V71,Cenários!V117)+CHOOSE(Premissas!$B$6,Cenários!V26,Cenários!V72,Cenários!V118)+CHOOSE(Premissas!$B$6,Cenários!V27,Cenários!V73,Cenários!V119))*(1-V21)</f>
        <v>8281.00456032044</v>
      </c>
      <c r="W36" s="67" t="n">
        <f aca="false">(CHOOSE(Premissas!$B$6,Cenários!W24,Cenários!W70,Cenários!W116))*(1-W21-Premissas!$B$75)+(CHOOSE(Premissas!$B$6,Cenários!W25,Cenários!W71,Cenários!W117)+CHOOSE(Premissas!$B$6,Cenários!W26,Cenários!W72,Cenários!W118)+CHOOSE(Premissas!$B$6,Cenários!W27,Cenários!W73,Cenários!W119))*(1-W21)</f>
        <v>8722.1078628441</v>
      </c>
      <c r="X36" s="67" t="n">
        <f aca="false">(CHOOSE(Premissas!$B$6,Cenários!X24,Cenários!X70,Cenários!X116))*(1-X21-Premissas!$B$75)+(CHOOSE(Premissas!$B$6,Cenários!X25,Cenários!X71,Cenários!X117)+CHOOSE(Premissas!$B$6,Cenários!X26,Cenários!X72,Cenários!X118)+CHOOSE(Premissas!$B$6,Cenários!X27,Cenários!X73,Cenários!X119))*(1-X21)</f>
        <v>9080.73322733146</v>
      </c>
      <c r="Y36" s="67" t="n">
        <f aca="false">(CHOOSE(Premissas!$B$6,Cenários!Y24,Cenários!Y70,Cenários!Y116))*(1-Y21-Premissas!$B$75)+(CHOOSE(Premissas!$B$6,Cenários!Y25,Cenários!Y71,Cenários!Y117)+CHOOSE(Premissas!$B$6,Cenários!Y26,Cenários!Y72,Cenários!Y118)+CHOOSE(Premissas!$B$6,Cenários!Y27,Cenários!Y73,Cenários!Y119))*(1-Y21)</f>
        <v>9420.21637559048</v>
      </c>
      <c r="Z36" s="67" t="n">
        <f aca="false">(CHOOSE(Premissas!$B$6,Cenários!Z24,Cenários!Z70,Cenários!Z116))*(1-Z21-Premissas!$B$75)+(CHOOSE(Premissas!$B$6,Cenários!Z25,Cenários!Z71,Cenários!Z117)+CHOOSE(Premissas!$B$6,Cenários!Z26,Cenários!Z72,Cenários!Z118)+CHOOSE(Premissas!$B$6,Cenários!Z27,Cenários!Z73,Cenários!Z119))*(1-Z21)</f>
        <v>17190.0390984644</v>
      </c>
      <c r="AA36" s="67" t="n">
        <f aca="false">(CHOOSE(Premissas!$B$6,Cenários!AA24,Cenários!AA70,Cenários!AA116))*(1-AA21-Premissas!$B$75)+(CHOOSE(Premissas!$B$6,Cenários!AA25,Cenários!AA71,Cenários!AA117)+CHOOSE(Premissas!$B$6,Cenários!AA26,Cenários!AA72,Cenários!AA118)+CHOOSE(Premissas!$B$6,Cenários!AA27,Cenários!AA73,Cenários!AA119))*(1-AA21)</f>
        <v>18561.2722849973</v>
      </c>
      <c r="AB36" s="67" t="n">
        <f aca="false">(CHOOSE(Premissas!$B$6,Cenários!AB24,Cenários!AB70,Cenários!AB116))*(1-AB21-Premissas!$B$75)+(CHOOSE(Premissas!$B$6,Cenários!AB25,Cenários!AB71,Cenários!AB117)+CHOOSE(Premissas!$B$6,Cenários!AB26,Cenários!AB72,Cenários!AB118)+CHOOSE(Premissas!$B$6,Cenários!AB27,Cenários!AB73,Cenários!AB119))*(1-AB21)</f>
        <v>21192.8751552735</v>
      </c>
      <c r="AC36" s="67" t="n">
        <f aca="false">(CHOOSE(Premissas!$B$6,Cenários!AC24,Cenários!AC70,Cenários!AC116))*(1-AC21-Premissas!$B$75)+(CHOOSE(Premissas!$B$6,Cenários!AC25,Cenários!AC71,Cenários!AC117)+CHOOSE(Premissas!$B$6,Cenários!AC26,Cenários!AC72,Cenários!AC118)+CHOOSE(Premissas!$B$6,Cenários!AC27,Cenários!AC73,Cenários!AC119))*(1-AC21)</f>
        <v>22076.320152044</v>
      </c>
      <c r="AD36" s="67" t="n">
        <f aca="false">(CHOOSE(Premissas!$B$6,Cenários!AD24,Cenários!AD70,Cenários!AD116))*(1-AD21-Premissas!$B$75)+(CHOOSE(Premissas!$B$6,Cenários!AD25,Cenários!AD71,Cenários!AD117)+CHOOSE(Premissas!$B$6,Cenários!AD26,Cenários!AD72,Cenários!AD118)+CHOOSE(Premissas!$B$6,Cenários!AD27,Cenários!AD73,Cenários!AD119))*(1-AD21)</f>
        <v>22922.0641399846</v>
      </c>
      <c r="AE36" s="67" t="n">
        <f aca="false">(CHOOSE(Premissas!$B$6,Cenários!AE24,Cenários!AE70,Cenários!AE116))*(1-AE21-Premissas!$B$75)+(CHOOSE(Premissas!$B$6,Cenários!AE25,Cenários!AE71,Cenários!AE117)+CHOOSE(Premissas!$B$6,Cenários!AE26,Cenários!AE72,Cenários!AE118)+CHOOSE(Premissas!$B$6,Cenários!AE27,Cenários!AE73,Cenários!AE119))*(1-AE21)</f>
        <v>24882.5934199129</v>
      </c>
      <c r="AF36" s="67" t="n">
        <f aca="false">(CHOOSE(Premissas!$B$6,Cenários!AF24,Cenários!AF70,Cenários!AF116))*(1-AF21-Premissas!$B$75)+(CHOOSE(Premissas!$B$6,Cenários!AF25,Cenários!AF71,Cenários!AF117)+CHOOSE(Premissas!$B$6,Cenários!AF26,Cenários!AF72,Cenários!AF118)+CHOOSE(Premissas!$B$6,Cenários!AF27,Cenários!AF73,Cenários!AF119))*(1-AF21)</f>
        <v>63596.3661249961</v>
      </c>
      <c r="AG36" s="67" t="n">
        <f aca="false">(CHOOSE(Premissas!$B$6,Cenários!AG24,Cenários!AG70,Cenários!AG116))*(1-AG21-Premissas!$B$75)+(CHOOSE(Premissas!$B$6,Cenários!AG25,Cenários!AG71,Cenários!AG117)+CHOOSE(Premissas!$B$6,Cenários!AG26,Cenários!AG72,Cenários!AG118)+CHOOSE(Premissas!$B$6,Cenários!AG27,Cenários!AG73,Cenários!AG119))*(1-AG21)</f>
        <v>64583.5488971024</v>
      </c>
      <c r="AH36" s="67" t="n">
        <f aca="false">(CHOOSE(Premissas!$B$6,Cenários!AH24,Cenários!AH70,Cenários!AH116))*(1-AH21-Premissas!$B$75)+(CHOOSE(Premissas!$B$6,Cenários!AH25,Cenários!AH71,Cenários!AH117)+CHOOSE(Premissas!$B$6,Cenários!AH26,Cenários!AH72,Cenários!AH118)+CHOOSE(Premissas!$B$6,Cenários!AH27,Cenários!AH73,Cenários!AH119))*(1-AH21)</f>
        <v>65500.949693414</v>
      </c>
      <c r="AI36" s="67" t="n">
        <f aca="false">(CHOOSE(Premissas!$B$6,Cenários!AI24,Cenários!AI70,Cenários!AI116))*(1-AI21-Premissas!$B$75)+(CHOOSE(Premissas!$B$6,Cenários!AI25,Cenários!AI71,Cenários!AI117)+CHOOSE(Premissas!$B$6,Cenários!AI26,Cenários!AI72,Cenários!AI118)+CHOOSE(Premissas!$B$6,Cenários!AI27,Cenários!AI73,Cenários!AI119))*(1-AI21)</f>
        <v>66353.5012622359</v>
      </c>
      <c r="AJ36" s="67" t="n">
        <f aca="false">(CHOOSE(Premissas!$B$6,Cenários!AJ24,Cenários!AJ70,Cenários!AJ116))*(1-AJ21-Premissas!$B$75)+(CHOOSE(Premissas!$B$6,Cenários!AJ25,Cenários!AJ71,Cenários!AJ117)+CHOOSE(Premissas!$B$6,Cenários!AJ26,Cenários!AJ72,Cenários!AJ118)+CHOOSE(Premissas!$B$6,Cenários!AJ27,Cenários!AJ73,Cenários!AJ119))*(1-AJ21)</f>
        <v>67145.787665761</v>
      </c>
      <c r="AK36" s="67" t="n">
        <f aca="false">(CHOOSE(Premissas!$B$6,Cenários!AK24,Cenários!AK70,Cenários!AK116))*(1-AK21-Premissas!$B$75)+(CHOOSE(Premissas!$B$6,Cenários!AK25,Cenários!AK71,Cenários!AK117)+CHOOSE(Premissas!$B$6,Cenários!AK26,Cenários!AK72,Cenários!AK118)+CHOOSE(Premissas!$B$6,Cenários!AK27,Cenários!AK73,Cenários!AK119))*(1-AK21)</f>
        <v>67882.0689279937</v>
      </c>
      <c r="AL36" s="67" t="n">
        <f aca="false">(CHOOSE(Premissas!$B$6,Cenários!AL24,Cenários!AL70,Cenários!AL116))*(1-AL21-Premissas!$B$75)+(CHOOSE(Premissas!$B$6,Cenários!AL25,Cenários!AL71,Cenários!AL117)+CHOOSE(Premissas!$B$6,Cenários!AL26,Cenários!AL72,Cenários!AL118)+CHOOSE(Premissas!$B$6,Cenários!AL27,Cenários!AL73,Cenários!AL119))*(1-AL21)</f>
        <v>110494.771171391</v>
      </c>
      <c r="AM36" s="67" t="n">
        <f aca="false">(CHOOSE(Premissas!$B$6,Cenários!AM24,Cenários!AM70,Cenários!AM116))*(1-AM21-Premissas!$B$75)+(CHOOSE(Premissas!$B$6,Cenários!AM25,Cenários!AM71,Cenários!AM117)+CHOOSE(Premissas!$B$6,Cenários!AM26,Cenários!AM72,Cenários!AM118)+CHOOSE(Premissas!$B$6,Cenários!AM27,Cenários!AM73,Cenários!AM119))*(1-AM21)</f>
        <v>113815.290318582</v>
      </c>
      <c r="AN36" s="67" t="n">
        <f aca="false">(CHOOSE(Premissas!$B$6,Cenários!AN24,Cenários!AN70,Cenários!AN116))*(1-AN21-Premissas!$B$75)+(CHOOSE(Premissas!$B$6,Cenários!AN25,Cenários!AN71,Cenários!AN117)+CHOOSE(Premissas!$B$6,Cenários!AN26,Cenários!AN72,Cenários!AN118)+CHOOSE(Premissas!$B$6,Cenários!AN27,Cenários!AN73,Cenários!AN119))*(1-AN21)</f>
        <v>116915.171859744</v>
      </c>
      <c r="AO36" s="67" t="n">
        <f aca="false">(CHOOSE(Premissas!$B$6,Cenários!AO24,Cenários!AO70,Cenários!AO116))*(1-AO21-Premissas!$B$75)+(CHOOSE(Premissas!$B$6,Cenários!AO25,Cenários!AO71,Cenários!AO117)+CHOOSE(Premissas!$B$6,Cenários!AO26,Cenários!AO72,Cenários!AO118)+CHOOSE(Premissas!$B$6,Cenários!AO27,Cenários!AO73,Cenários!AO119))*(1-AO21)</f>
        <v>119809.076440108</v>
      </c>
      <c r="AP36" s="67" t="n">
        <f aca="false">(CHOOSE(Premissas!$B$6,Cenários!AP24,Cenários!AP70,Cenários!AP116))*(1-AP21-Premissas!$B$75)+(CHOOSE(Premissas!$B$6,Cenários!AP25,Cenários!AP71,Cenários!AP117)+CHOOSE(Premissas!$B$6,Cenários!AP26,Cenários!AP72,Cenários!AP118)+CHOOSE(Premissas!$B$6,Cenários!AP27,Cenários!AP73,Cenários!AP119))*(1-AP21)</f>
        <v>122510.690553114</v>
      </c>
      <c r="AQ36" s="67" t="n">
        <f aca="false">(CHOOSE(Premissas!$B$6,Cenários!AQ24,Cenários!AQ70,Cenários!AQ116))*(1-AQ21-Premissas!$B$75)+(CHOOSE(Premissas!$B$6,Cenários!AQ25,Cenários!AQ71,Cenários!AQ117)+CHOOSE(Premissas!$B$6,Cenários!AQ26,Cenários!AQ72,Cenários!AQ118)+CHOOSE(Premissas!$B$6,Cenários!AQ27,Cenários!AQ73,Cenários!AQ119))*(1-AQ21)</f>
        <v>125032.791269604</v>
      </c>
      <c r="AR36" s="67" t="n">
        <f aca="false">(CHOOSE(Premissas!$B$6,Cenários!AR24,Cenários!AR70,Cenários!AR116))*(1-AR21-Premissas!$B$75)+(CHOOSE(Premissas!$B$6,Cenários!AR25,Cenários!AR71,Cenários!AR117)+CHOOSE(Premissas!$B$6,Cenários!AR26,Cenários!AR72,Cenários!AR118)+CHOOSE(Premissas!$B$6,Cenários!AR27,Cenários!AR73,Cenários!AR119))*(1-AR21)</f>
        <v>127387.306665974</v>
      </c>
      <c r="AS36" s="67" t="n">
        <f aca="false">(CHOOSE(Premissas!$B$6,Cenários!AS24,Cenários!AS70,Cenários!AS116))*(1-AS21-Premissas!$B$75)+(CHOOSE(Premissas!$B$6,Cenários!AS25,Cenários!AS71,Cenários!AS117)+CHOOSE(Premissas!$B$6,Cenários!AS26,Cenários!AS72,Cenários!AS118)+CHOOSE(Premissas!$B$6,Cenários!AS27,Cenários!AS73,Cenários!AS119))*(1-AS21)</f>
        <v>129585.372237066</v>
      </c>
      <c r="AT36" s="67" t="n">
        <f aca="false">(CHOOSE(Premissas!$B$6,Cenários!AT24,Cenários!AT70,Cenários!AT116))*(1-AT21-Premissas!$B$75)+(CHOOSE(Premissas!$B$6,Cenários!AT25,Cenários!AT71,Cenários!AT117)+CHOOSE(Premissas!$B$6,Cenários!AT26,Cenários!AT72,Cenários!AT118)+CHOOSE(Premissas!$B$6,Cenários!AT27,Cenários!AT73,Cenários!AT119))*(1-AT21)</f>
        <v>131637.383560614</v>
      </c>
      <c r="AU36" s="67" t="n">
        <f aca="false">(CHOOSE(Premissas!$B$6,Cenários!AU24,Cenários!AU70,Cenários!AU116))*(1-AU21-Premissas!$B$75)+(CHOOSE(Premissas!$B$6,Cenários!AU25,Cenários!AU71,Cenários!AU117)+CHOOSE(Premissas!$B$6,Cenários!AU26,Cenários!AU72,Cenários!AU118)+CHOOSE(Premissas!$B$6,Cenários!AU27,Cenários!AU73,Cenários!AU119))*(1-AU21)</f>
        <v>133553.045462309</v>
      </c>
      <c r="AV36" s="67" t="n">
        <f aca="false">(CHOOSE(Premissas!$B$6,Cenários!AV24,Cenários!AV70,Cenários!AV116))*(1-AV21-Premissas!$B$75)+(CHOOSE(Premissas!$B$6,Cenários!AV25,Cenários!AV71,Cenários!AV117)+CHOOSE(Premissas!$B$6,Cenários!AV26,Cenários!AV72,Cenários!AV118)+CHOOSE(Premissas!$B$6,Cenários!AV27,Cenários!AV73,Cenários!AV119))*(1-AV21)</f>
        <v>135341.417914008</v>
      </c>
      <c r="AW36" s="67" t="n">
        <f aca="false">(CHOOSE(Premissas!$B$6,Cenários!AW24,Cenários!AW70,Cenários!AW116))*(1-AW21-Premissas!$B$75)+(CHOOSE(Premissas!$B$6,Cenários!AW25,Cenários!AW71,Cenários!AW117)+CHOOSE(Premissas!$B$6,Cenários!AW26,Cenários!AW72,Cenários!AW118)+CHOOSE(Premissas!$B$6,Cenários!AW27,Cenários!AW73,Cenários!AW119))*(1-AW21)</f>
        <v>137010.958882153</v>
      </c>
      <c r="AX36" s="67" t="n">
        <f aca="false">(CHOOSE(Premissas!$B$6,Cenários!AX24,Cenários!AX70,Cenários!AX116))*(1-AX21-Premissas!$B$75)+(CHOOSE(Premissas!$B$6,Cenários!AX25,Cenários!AX71,Cenários!AX117)+CHOOSE(Premissas!$B$6,Cenários!AX26,Cenários!AX72,Cenários!AX118)+CHOOSE(Premissas!$B$6,Cenários!AX27,Cenários!AX73,Cenários!AX119))*(1-AX21)</f>
        <v>163192.381430306</v>
      </c>
      <c r="AY36" s="67" t="n">
        <f aca="false">(CHOOSE(Premissas!$B$6,Cenários!AY24,Cenários!AY70,Cenários!AY116))*(1-AY21-Premissas!$B$75)+(CHOOSE(Premissas!$B$6,Cenários!AY25,Cenários!AY71,Cenários!AY117)+CHOOSE(Premissas!$B$6,Cenários!AY26,Cenários!AY72,Cenários!AY118)+CHOOSE(Premissas!$B$6,Cenários!AY27,Cenários!AY73,Cenários!AY119))*(1-AY21)</f>
        <v>169352.894340209</v>
      </c>
      <c r="AZ36" s="67" t="n">
        <f aca="false">(CHOOSE(Premissas!$B$6,Cenários!AZ24,Cenários!AZ70,Cenários!AZ116))*(1-AZ21-Premissas!$B$75)+(CHOOSE(Premissas!$B$6,Cenários!AZ25,Cenários!AZ71,Cenários!AZ117)+CHOOSE(Premissas!$B$6,Cenários!AZ26,Cenários!AZ72,Cenários!AZ118)+CHOOSE(Premissas!$B$6,Cenários!AZ27,Cenários!AZ73,Cenários!AZ119))*(1-AZ21)</f>
        <v>175128.622126315</v>
      </c>
      <c r="BA36" s="67" t="n">
        <f aca="false">(CHOOSE(Premissas!$B$6,Cenários!BA24,Cenários!BA70,Cenários!BA116))*(1-BA21-Premissas!$B$75)+(CHOOSE(Premissas!$B$6,Cenários!BA25,Cenários!BA71,Cenários!BA117)+CHOOSE(Premissas!$B$6,Cenários!BA26,Cenários!BA72,Cenários!BA118)+CHOOSE(Premissas!$B$6,Cenários!BA27,Cenários!BA73,Cenários!BA119))*(1-BA21)</f>
        <v>180543.598435441</v>
      </c>
      <c r="BB36" s="67" t="n">
        <f aca="false">(CHOOSE(Premissas!$B$6,Cenários!BB24,Cenários!BB70,Cenários!BB116))*(1-BB21-Premissas!$B$75)+(CHOOSE(Premissas!$B$6,Cenários!BB25,Cenários!BB71,Cenários!BB117)+CHOOSE(Premissas!$B$6,Cenários!BB26,Cenários!BB72,Cenários!BB118)+CHOOSE(Premissas!$B$6,Cenários!BB27,Cenários!BB73,Cenários!BB119))*(1-BB21)</f>
        <v>185620.355774825</v>
      </c>
      <c r="BC36" s="67" t="n">
        <f aca="false">(CHOOSE(Premissas!$B$6,Cenários!BC24,Cenários!BC70,Cenários!BC116))*(1-BC21-Premissas!$B$75)+(CHOOSE(Premissas!$B$6,Cenários!BC25,Cenários!BC71,Cenários!BC117)+CHOOSE(Premissas!$B$6,Cenários!BC26,Cenários!BC72,Cenários!BC118)+CHOOSE(Premissas!$B$6,Cenários!BC27,Cenários!BC73,Cenários!BC119))*(1-BC21)</f>
        <v>190380.019273177</v>
      </c>
      <c r="BD36" s="67" t="n">
        <f aca="false">(CHOOSE(Premissas!$B$6,Cenários!BD24,Cenários!BD70,Cenários!BD116))*(1-BD21-Premissas!$B$75)+(CHOOSE(Premissas!$B$6,Cenários!BD25,Cenários!BD71,Cenários!BD117)+CHOOSE(Premissas!$B$6,Cenários!BD26,Cenários!BD72,Cenários!BD118)+CHOOSE(Premissas!$B$6,Cenários!BD27,Cenários!BD73,Cenários!BD119))*(1-BD21)</f>
        <v>194842.394585426</v>
      </c>
      <c r="BE36" s="67" t="n">
        <f aca="false">(CHOOSE(Premissas!$B$6,Cenários!BE24,Cenários!BE70,Cenários!BE116))*(1-BE21-Premissas!$B$75)+(CHOOSE(Premissas!$B$6,Cenários!BE25,Cenários!BE71,Cenários!BE117)+CHOOSE(Premissas!$B$6,Cenários!BE26,Cenários!BE72,Cenários!BE118)+CHOOSE(Premissas!$B$6,Cenários!BE27,Cenários!BE73,Cenários!BE119))*(1-BE21)</f>
        <v>199026.050306942</v>
      </c>
      <c r="BF36" s="67" t="n">
        <f aca="false">(CHOOSE(Premissas!$B$6,Cenários!BF24,Cenários!BF70,Cenários!BF116))*(1-BF21-Premissas!$B$75)+(CHOOSE(Premissas!$B$6,Cenários!BF25,Cenários!BF71,Cenários!BF117)+CHOOSE(Premissas!$B$6,Cenários!BF26,Cenários!BF72,Cenários!BF118)+CHOOSE(Premissas!$B$6,Cenários!BF27,Cenários!BF73,Cenários!BF119))*(1-BF21)</f>
        <v>202948.395240172</v>
      </c>
      <c r="BG36" s="67" t="n">
        <f aca="false">(CHOOSE(Premissas!$B$6,Cenários!BG24,Cenários!BG70,Cenários!BG116))*(1-BG21-Premissas!$B$75)+(CHOOSE(Premissas!$B$6,Cenários!BG25,Cenários!BG71,Cenários!BG117)+CHOOSE(Premissas!$B$6,Cenários!BG26,Cenários!BG72,Cenários!BG118)+CHOOSE(Premissas!$B$6,Cenários!BG27,Cenários!BG73,Cenários!BG119))*(1-BG21)</f>
        <v>206625.750835211</v>
      </c>
      <c r="BH36" s="67" t="n">
        <f aca="false">(CHOOSE(Premissas!$B$6,Cenários!BH24,Cenários!BH70,Cenários!BH116))*(1-BH21-Premissas!$B$75)+(CHOOSE(Premissas!$B$6,Cenários!BH25,Cenários!BH71,Cenários!BH117)+CHOOSE(Premissas!$B$6,Cenários!BH26,Cenários!BH72,Cenários!BH118)+CHOOSE(Premissas!$B$6,Cenários!BH27,Cenários!BH73,Cenários!BH119))*(1-BH21)</f>
        <v>210073.419105741</v>
      </c>
      <c r="BI36" s="67" t="n">
        <f aca="false">(CHOOSE(Premissas!$B$6,Cenários!BI24,Cenários!BI70,Cenários!BI116))*(1-BI21-Premissas!$B$75)+(CHOOSE(Premissas!$B$6,Cenários!BI25,Cenários!BI71,Cenários!BI117)+CHOOSE(Premissas!$B$6,Cenários!BI26,Cenários!BI72,Cenários!BI118)+CHOOSE(Premissas!$B$6,Cenários!BI27,Cenários!BI73,Cenários!BI119))*(1-BI21)</f>
        <v>213305.746302939</v>
      </c>
      <c r="BJ36" s="61" t="n">
        <f aca="false">SUM(B36:BI36)</f>
        <v>4396988.71937978</v>
      </c>
      <c r="BK36" s="29" t="s">
        <v>350</v>
      </c>
    </row>
    <row r="37" customFormat="false" ht="15" hidden="false" customHeight="false" outlineLevel="0" collapsed="false">
      <c r="A37" s="62" t="s">
        <v>351</v>
      </c>
      <c r="B37" s="61" t="n">
        <f aca="false">B35-B36</f>
        <v>0</v>
      </c>
      <c r="C37" s="61" t="n">
        <f aca="false">C35-C36</f>
        <v>0</v>
      </c>
      <c r="D37" s="61" t="n">
        <f aca="false">D35-D36</f>
        <v>0</v>
      </c>
      <c r="E37" s="61" t="n">
        <f aca="false">E35-E36</f>
        <v>1500</v>
      </c>
      <c r="F37" s="61" t="n">
        <f aca="false">F35-F36</f>
        <v>2100</v>
      </c>
      <c r="G37" s="61" t="n">
        <f aca="false">G35-G36</f>
        <v>2100</v>
      </c>
      <c r="H37" s="61" t="n">
        <f aca="false">H35-H36</f>
        <v>2100</v>
      </c>
      <c r="I37" s="61" t="n">
        <f aca="false">I35-I36</f>
        <v>2100</v>
      </c>
      <c r="J37" s="61" t="n">
        <f aca="false">J35-J36</f>
        <v>2100</v>
      </c>
      <c r="K37" s="61" t="n">
        <f aca="false">K35-K36</f>
        <v>62413.33</v>
      </c>
      <c r="L37" s="61" t="n">
        <f aca="false">L35-L36</f>
        <v>38529.61</v>
      </c>
      <c r="M37" s="61" t="n">
        <f aca="false">M35-M36</f>
        <v>40067.5968</v>
      </c>
      <c r="N37" s="61" t="n">
        <f aca="false">N35-N36</f>
        <v>121904.128372096</v>
      </c>
      <c r="O37" s="61" t="n">
        <f aca="false">O35-O36</f>
        <v>124175.154702514</v>
      </c>
      <c r="P37" s="61" t="n">
        <f aca="false">P35-P36</f>
        <v>126995.589100715</v>
      </c>
      <c r="Q37" s="61" t="n">
        <f aca="false">Q35-Q36</f>
        <v>128336.339467231</v>
      </c>
      <c r="R37" s="61" t="n">
        <f aca="false">R35-R36</f>
        <v>129598.538130809</v>
      </c>
      <c r="S37" s="61" t="n">
        <f aca="false">S35-S36</f>
        <v>130753.022477849</v>
      </c>
      <c r="T37" s="61" t="n">
        <f aca="false">T35-T36</f>
        <v>131833.159587154</v>
      </c>
      <c r="U37" s="61" t="n">
        <f aca="false">U35-U36</f>
        <v>132824.473241299</v>
      </c>
      <c r="V37" s="61" t="n">
        <f aca="false">V35-V36</f>
        <v>133734.83163003</v>
      </c>
      <c r="W37" s="61" t="n">
        <f aca="false">W35-W36</f>
        <v>134575.142677992</v>
      </c>
      <c r="X37" s="61" t="n">
        <f aca="false">X35-X36</f>
        <v>135401.569304834</v>
      </c>
      <c r="Y37" s="61" t="n">
        <f aca="false">Y35-Y36</f>
        <v>136157.124446156</v>
      </c>
      <c r="Z37" s="61" t="n">
        <f aca="false">Z35-Z36</f>
        <v>311491.248423344</v>
      </c>
      <c r="AA37" s="61" t="n">
        <f aca="false">AA35-AA36</f>
        <v>312697.373522272</v>
      </c>
      <c r="AB37" s="61" t="n">
        <f aca="false">AB35-AB36</f>
        <v>312461.216976414</v>
      </c>
      <c r="AC37" s="61" t="n">
        <f aca="false">AC35-AC36</f>
        <v>313803.538207464</v>
      </c>
      <c r="AD37" s="61" t="n">
        <f aca="false">AD35-AD36</f>
        <v>315027.253555657</v>
      </c>
      <c r="AE37" s="61" t="n">
        <f aca="false">AE35-AE36</f>
        <v>314988.873208485</v>
      </c>
      <c r="AF37" s="61" t="n">
        <f aca="false">AF35-AF36</f>
        <v>278061.328044592</v>
      </c>
      <c r="AG37" s="61" t="n">
        <f aca="false">AG35-AG36</f>
        <v>278734.395544348</v>
      </c>
      <c r="AH37" s="61" t="n">
        <f aca="false">AH35-AH36</f>
        <v>279360.956963177</v>
      </c>
      <c r="AI37" s="61" t="n">
        <f aca="false">AI35-AI36</f>
        <v>279942.7072716</v>
      </c>
      <c r="AJ37" s="61" t="n">
        <f aca="false">AJ35-AJ36</f>
        <v>280482.981524109</v>
      </c>
      <c r="AK37" s="61" t="n">
        <f aca="false">AK35-AK36</f>
        <v>280983.872615729</v>
      </c>
      <c r="AL37" s="61" t="n">
        <f aca="false">AL35-AL36</f>
        <v>556660.850844268</v>
      </c>
      <c r="AM37" s="61" t="n">
        <f aca="false">AM35-AM36</f>
        <v>556656.061344832</v>
      </c>
      <c r="AN37" s="61" t="n">
        <f aca="false">AN35-AN36</f>
        <v>556650.85998003</v>
      </c>
      <c r="AO37" s="61" t="n">
        <f aca="false">AO35-AO36</f>
        <v>556647.270168568</v>
      </c>
      <c r="AP37" s="61" t="n">
        <f aca="false">AP35-AP36</f>
        <v>556643.047646398</v>
      </c>
      <c r="AQ37" s="61" t="n">
        <f aca="false">AQ35-AQ36</f>
        <v>556639.064497505</v>
      </c>
      <c r="AR37" s="61" t="n">
        <f aca="false">AR35-AR36</f>
        <v>556635.661903653</v>
      </c>
      <c r="AS37" s="61" t="n">
        <f aca="false">AS35-AS36</f>
        <v>556632.351366001</v>
      </c>
      <c r="AT37" s="61" t="n">
        <f aca="false">AT35-AT36</f>
        <v>556629.234167873</v>
      </c>
      <c r="AU37" s="61" t="n">
        <f aca="false">AU35-AU36</f>
        <v>556626.958863332</v>
      </c>
      <c r="AV37" s="61" t="n">
        <f aca="false">AV35-AV36</f>
        <v>556624.001590502</v>
      </c>
      <c r="AW37" s="61" t="n">
        <f aca="false">AW35-AW36</f>
        <v>556621.939021933</v>
      </c>
      <c r="AX37" s="61" t="n">
        <f aca="false">AX35-AX36</f>
        <v>924347.959359536</v>
      </c>
      <c r="AY37" s="61" t="n">
        <f aca="false">AY35-AY36</f>
        <v>923065.896268006</v>
      </c>
      <c r="AZ37" s="61" t="n">
        <f aca="false">AZ35-AZ36</f>
        <v>921863.89410861</v>
      </c>
      <c r="BA37" s="61" t="n">
        <f aca="false">BA35-BA36</f>
        <v>920735.956264176</v>
      </c>
      <c r="BB37" s="61" t="n">
        <f aca="false">BB35-BB36</f>
        <v>919679.644734556</v>
      </c>
      <c r="BC37" s="61" t="n">
        <f aca="false">BC35-BC36</f>
        <v>918688.98652672</v>
      </c>
      <c r="BD37" s="61" t="n">
        <f aca="false">BD35-BD36</f>
        <v>917760.170267115</v>
      </c>
      <c r="BE37" s="61" t="n">
        <f aca="false">BE35-BE36</f>
        <v>916889.202710111</v>
      </c>
      <c r="BF37" s="61" t="n">
        <f aca="false">BF35-BF36</f>
        <v>916072.974836723</v>
      </c>
      <c r="BG37" s="61" t="n">
        <f aca="false">BG35-BG36</f>
        <v>915306.877256899</v>
      </c>
      <c r="BH37" s="61" t="n">
        <f aca="false">BH35-BH36</f>
        <v>914589.52964658</v>
      </c>
      <c r="BI37" s="61" t="n">
        <f aca="false">BI35-BI36</f>
        <v>913916.648967511</v>
      </c>
      <c r="BJ37" s="61" t="n">
        <f aca="false">SUM(B37:BI37)</f>
        <v>22979920.3981373</v>
      </c>
    </row>
    <row r="38" customFormat="false" ht="15" hidden="false" customHeight="false" outlineLevel="0" collapsed="false">
      <c r="A38" s="71" t="s">
        <v>352</v>
      </c>
      <c r="B38" s="90" t="n">
        <f aca="false">-'Análise Fluxo'!B13</f>
        <v>-0</v>
      </c>
      <c r="C38" s="90" t="n">
        <f aca="false">-'Análise Fluxo'!C13</f>
        <v>-0</v>
      </c>
      <c r="D38" s="90" t="n">
        <f aca="false">-'Análise Fluxo'!D13</f>
        <v>-0</v>
      </c>
      <c r="E38" s="90" t="n">
        <f aca="false">-'Análise Fluxo'!E13</f>
        <v>-0</v>
      </c>
      <c r="F38" s="90" t="n">
        <f aca="false">-'Análise Fluxo'!F13</f>
        <v>6000</v>
      </c>
      <c r="G38" s="90" t="n">
        <f aca="false">-'Análise Fluxo'!G13</f>
        <v>-0</v>
      </c>
      <c r="H38" s="90" t="n">
        <f aca="false">-'Análise Fluxo'!H13</f>
        <v>-0</v>
      </c>
      <c r="I38" s="90" t="n">
        <f aca="false">-'Análise Fluxo'!I13</f>
        <v>9127.82</v>
      </c>
      <c r="J38" s="90" t="n">
        <f aca="false">-'Análise Fluxo'!J13</f>
        <v>10500</v>
      </c>
      <c r="K38" s="90" t="n">
        <f aca="false">-'Análise Fluxo'!K13</f>
        <v>10500</v>
      </c>
      <c r="L38" s="90" t="n">
        <f aca="false">-'Análise Fluxo'!L13</f>
        <v>-0</v>
      </c>
      <c r="M38" s="90" t="n">
        <f aca="false">-'Análise Fluxo'!M13</f>
        <v>-0</v>
      </c>
      <c r="N38" s="90" t="n">
        <f aca="false">-'Análise Fluxo'!N13</f>
        <v>-0</v>
      </c>
      <c r="O38" s="90" t="n">
        <f aca="false">-'Análise Fluxo'!O13</f>
        <v>-0</v>
      </c>
      <c r="P38" s="90" t="n">
        <f aca="false">-'Análise Fluxo'!P13</f>
        <v>12000</v>
      </c>
      <c r="Q38" s="90" t="n">
        <f aca="false">-'Análise Fluxo'!Q13</f>
        <v>-0</v>
      </c>
      <c r="R38" s="90" t="n">
        <f aca="false">-'Análise Fluxo'!R13</f>
        <v>-0</v>
      </c>
      <c r="S38" s="90" t="n">
        <f aca="false">-'Análise Fluxo'!S13</f>
        <v>6000</v>
      </c>
      <c r="T38" s="90" t="n">
        <f aca="false">-'Análise Fluxo'!T13</f>
        <v>25000</v>
      </c>
      <c r="U38" s="90" t="n">
        <f aca="false">-'Análise Fluxo'!U13</f>
        <v>-0</v>
      </c>
      <c r="V38" s="90" t="n">
        <f aca="false">-'Análise Fluxo'!V13</f>
        <v>-0</v>
      </c>
      <c r="W38" s="90" t="n">
        <f aca="false">-'Análise Fluxo'!W13</f>
        <v>-0</v>
      </c>
      <c r="X38" s="90" t="n">
        <f aca="false">-'Análise Fluxo'!X13</f>
        <v>-0</v>
      </c>
      <c r="Y38" s="90" t="n">
        <f aca="false">-'Análise Fluxo'!Y13</f>
        <v>-0</v>
      </c>
      <c r="Z38" s="90" t="n">
        <f aca="false">-'Análise Fluxo'!Z13</f>
        <v>-0</v>
      </c>
      <c r="AA38" s="90" t="n">
        <f aca="false">-'Análise Fluxo'!AA13</f>
        <v>-0</v>
      </c>
      <c r="AB38" s="90" t="n">
        <f aca="false">-'Análise Fluxo'!AB13</f>
        <v>-0</v>
      </c>
      <c r="AC38" s="90" t="n">
        <f aca="false">-'Análise Fluxo'!AC13</f>
        <v>-0</v>
      </c>
      <c r="AD38" s="90" t="n">
        <f aca="false">-'Análise Fluxo'!AD13</f>
        <v>-0</v>
      </c>
      <c r="AE38" s="90" t="n">
        <f aca="false">-'Análise Fluxo'!AE13</f>
        <v>15000</v>
      </c>
      <c r="AF38" s="90" t="n">
        <f aca="false">-'Análise Fluxo'!AF13</f>
        <v>-0</v>
      </c>
      <c r="AG38" s="90" t="n">
        <f aca="false">-'Análise Fluxo'!AG13</f>
        <v>-0</v>
      </c>
      <c r="AH38" s="90" t="n">
        <f aca="false">-'Análise Fluxo'!AH13</f>
        <v>-0</v>
      </c>
      <c r="AI38" s="90" t="n">
        <f aca="false">-'Análise Fluxo'!AI13</f>
        <v>-0</v>
      </c>
      <c r="AJ38" s="90" t="n">
        <f aca="false">-'Análise Fluxo'!AJ13</f>
        <v>-0</v>
      </c>
      <c r="AK38" s="90" t="n">
        <f aca="false">-'Análise Fluxo'!AK13</f>
        <v>-0</v>
      </c>
      <c r="AL38" s="90" t="n">
        <f aca="false">-'Análise Fluxo'!AL13</f>
        <v>-0</v>
      </c>
      <c r="AM38" s="90" t="n">
        <f aca="false">-'Análise Fluxo'!AM13</f>
        <v>-0</v>
      </c>
      <c r="AN38" s="90" t="n">
        <f aca="false">-'Análise Fluxo'!AN13</f>
        <v>-0</v>
      </c>
      <c r="AO38" s="90" t="n">
        <f aca="false">-'Análise Fluxo'!AO13</f>
        <v>-0</v>
      </c>
      <c r="AP38" s="90" t="n">
        <f aca="false">-'Análise Fluxo'!AP13</f>
        <v>-0</v>
      </c>
      <c r="AQ38" s="90" t="n">
        <f aca="false">-'Análise Fluxo'!AQ13</f>
        <v>25000</v>
      </c>
      <c r="AR38" s="90" t="n">
        <f aca="false">-'Análise Fluxo'!AR13</f>
        <v>-0</v>
      </c>
      <c r="AS38" s="90" t="n">
        <f aca="false">-'Análise Fluxo'!AS13</f>
        <v>-0</v>
      </c>
      <c r="AT38" s="90" t="n">
        <f aca="false">-'Análise Fluxo'!AT13</f>
        <v>-0</v>
      </c>
      <c r="AU38" s="90" t="n">
        <f aca="false">-'Análise Fluxo'!AU13</f>
        <v>-0</v>
      </c>
      <c r="AV38" s="90" t="n">
        <f aca="false">-'Análise Fluxo'!AV13</f>
        <v>-0</v>
      </c>
      <c r="AW38" s="90" t="n">
        <f aca="false">-'Análise Fluxo'!AW13</f>
        <v>-0</v>
      </c>
      <c r="AX38" s="90" t="n">
        <f aca="false">-'Análise Fluxo'!AX13</f>
        <v>-0</v>
      </c>
      <c r="AY38" s="90" t="n">
        <f aca="false">-'Análise Fluxo'!AY13</f>
        <v>-0</v>
      </c>
      <c r="AZ38" s="90" t="n">
        <f aca="false">-'Análise Fluxo'!AZ13</f>
        <v>-0</v>
      </c>
      <c r="BA38" s="90" t="n">
        <f aca="false">-'Análise Fluxo'!BA13</f>
        <v>-0</v>
      </c>
      <c r="BB38" s="90" t="n">
        <f aca="false">-'Análise Fluxo'!BB13</f>
        <v>-0</v>
      </c>
      <c r="BC38" s="90" t="n">
        <f aca="false">-'Análise Fluxo'!BC13</f>
        <v>30000</v>
      </c>
      <c r="BD38" s="90" t="n">
        <f aca="false">-'Análise Fluxo'!BD13</f>
        <v>-0</v>
      </c>
      <c r="BE38" s="90" t="n">
        <f aca="false">-'Análise Fluxo'!BE13</f>
        <v>-0</v>
      </c>
      <c r="BF38" s="90" t="n">
        <f aca="false">-'Análise Fluxo'!BF13</f>
        <v>-0</v>
      </c>
      <c r="BG38" s="90" t="n">
        <f aca="false">-'Análise Fluxo'!BG13</f>
        <v>-0</v>
      </c>
      <c r="BH38" s="90" t="n">
        <f aca="false">-'Análise Fluxo'!BH13</f>
        <v>-0</v>
      </c>
      <c r="BI38" s="90" t="n">
        <f aca="false">-'Análise Fluxo'!BI13</f>
        <v>-0</v>
      </c>
      <c r="BJ38" s="61" t="n">
        <f aca="false">SUM(B38:BI38)</f>
        <v>149127.82</v>
      </c>
      <c r="BK38" s="29" t="s">
        <v>353</v>
      </c>
    </row>
    <row r="40" customFormat="false" ht="18" hidden="false" customHeight="true" outlineLevel="0" collapsed="false">
      <c r="A40" s="25" t="s">
        <v>354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</row>
    <row r="41" customFormat="false" ht="15" hidden="false" customHeight="false" outlineLevel="0" collapsed="false">
      <c r="A41" s="27" t="s">
        <v>355</v>
      </c>
      <c r="B41" s="81" t="n">
        <f aca="false">IFERROR(B31/B24,0)</f>
        <v>2.602884277172</v>
      </c>
      <c r="C41" s="81" t="n">
        <f aca="false">IFERROR(C31/C24,0)</f>
        <v>2.602884277172</v>
      </c>
      <c r="D41" s="81" t="n">
        <f aca="false">IFERROR(D31/D24,0)</f>
        <v>2.602884277172</v>
      </c>
      <c r="E41" s="81" t="n">
        <f aca="false">IFERROR(E31/E24,0)</f>
        <v>2.602884277172</v>
      </c>
      <c r="F41" s="81" t="n">
        <f aca="false">IFERROR(F31/F24,0)</f>
        <v>2.602884277172</v>
      </c>
      <c r="G41" s="81" t="n">
        <f aca="false">IFERROR(G31/G24,0)</f>
        <v>2.602884277172</v>
      </c>
      <c r="H41" s="81" t="n">
        <f aca="false">IFERROR(H31/H24,0)</f>
        <v>2.602884277172</v>
      </c>
      <c r="I41" s="81" t="n">
        <f aca="false">IFERROR(I31/I24,0)</f>
        <v>2.602884277172</v>
      </c>
      <c r="J41" s="81" t="n">
        <f aca="false">IFERROR(J31/J24,0)</f>
        <v>2.602884277172</v>
      </c>
      <c r="K41" s="81" t="n">
        <f aca="false">IFERROR(K31/K24,0)</f>
        <v>5.94773266743227</v>
      </c>
      <c r="L41" s="81" t="n">
        <f aca="false">IFERROR(L31/L24,0)</f>
        <v>4.26368555437499</v>
      </c>
      <c r="M41" s="81" t="n">
        <f aca="false">IFERROR(M31/M24,0)</f>
        <v>3.70013316716469</v>
      </c>
      <c r="N41" s="81" t="n">
        <f aca="false">IFERROR(N31/N24,0)</f>
        <v>3.12241099941683</v>
      </c>
      <c r="O41" s="81" t="n">
        <f aca="false">IFERROR(O31/O24,0)</f>
        <v>2.96705956152023</v>
      </c>
      <c r="P41" s="81" t="n">
        <f aca="false">IFERROR(P31/P24,0)</f>
        <v>2.87007178688309</v>
      </c>
      <c r="Q41" s="81" t="n">
        <f aca="false">IFERROR(Q31/Q24,0)</f>
        <v>2.90941763949864</v>
      </c>
      <c r="R41" s="81" t="n">
        <f aca="false">IFERROR(R31/R24,0)</f>
        <v>2.94964364659892</v>
      </c>
      <c r="S41" s="81" t="n">
        <f aca="false">IFERROR(S31/S24,0)</f>
        <v>2.97434516350494</v>
      </c>
      <c r="T41" s="81" t="n">
        <f aca="false">IFERROR(T31/T24,0)</f>
        <v>2.99919159752194</v>
      </c>
      <c r="U41" s="81" t="n">
        <f aca="false">IFERROR(U31/U24,0)</f>
        <v>3.0155219376164</v>
      </c>
      <c r="V41" s="81" t="n">
        <f aca="false">IFERROR(V31/V24,0)</f>
        <v>3.02698293913926</v>
      </c>
      <c r="W41" s="81" t="n">
        <f aca="false">IFERROR(W31/W24,0)</f>
        <v>3.03532374984564</v>
      </c>
      <c r="X41" s="81" t="n">
        <f aca="false">IFERROR(X31/X24,0)</f>
        <v>3.06091481217876</v>
      </c>
      <c r="Y41" s="81" t="n">
        <f aca="false">IFERROR(Y31/Y24,0)</f>
        <v>3.08002231423617</v>
      </c>
      <c r="Z41" s="81" t="n">
        <f aca="false">IFERROR(Z31/Z24,0)</f>
        <v>2.99154952851093</v>
      </c>
      <c r="AA41" s="81" t="n">
        <f aca="false">IFERROR(AA31/AA24,0)</f>
        <v>3.00490486018548</v>
      </c>
      <c r="AB41" s="81" t="n">
        <f aca="false">IFERROR(AB31/AB24,0)</f>
        <v>2.80119771518909</v>
      </c>
      <c r="AC41" s="81" t="n">
        <f aca="false">IFERROR(AC31/AC24,0)</f>
        <v>2.86342328293389</v>
      </c>
      <c r="AD41" s="81" t="n">
        <f aca="false">IFERROR(AD31/AD24,0)</f>
        <v>2.91362093202353</v>
      </c>
      <c r="AE41" s="81" t="n">
        <f aca="false">IFERROR(AE31/AE24,0)</f>
        <v>2.80222578577569</v>
      </c>
      <c r="AF41" s="81" t="n">
        <f aca="false">IFERROR(AF31/AF24,0)</f>
        <v>2.80223557471585</v>
      </c>
      <c r="AG41" s="81" t="n">
        <f aca="false">IFERROR(AG31/AG24,0)</f>
        <v>2.80223766074235</v>
      </c>
      <c r="AH41" s="81" t="n">
        <f aca="false">IFERROR(AH31/AH24,0)</f>
        <v>2.80221493001633</v>
      </c>
      <c r="AI41" s="81" t="n">
        <f aca="false">IFERROR(AI31/AI24,0)</f>
        <v>2.80220641924475</v>
      </c>
      <c r="AJ41" s="81" t="n">
        <f aca="false">IFERROR(AJ31/AJ24,0)</f>
        <v>2.8022067581999</v>
      </c>
      <c r="AK41" s="81" t="n">
        <f aca="false">IFERROR(AK31/AK24,0)</f>
        <v>2.80223506065227</v>
      </c>
      <c r="AL41" s="81" t="n">
        <f aca="false">IFERROR(AL31/AL24,0)</f>
        <v>2.45380768807978</v>
      </c>
      <c r="AM41" s="81" t="n">
        <f aca="false">IFERROR(AM31/AM24,0)</f>
        <v>2.45380531628212</v>
      </c>
      <c r="AN41" s="81" t="n">
        <f aca="false">IFERROR(AN31/AN24,0)</f>
        <v>2.45381811285893</v>
      </c>
      <c r="AO41" s="81" t="n">
        <f aca="false">IFERROR(AO31/AO24,0)</f>
        <v>2.45380828444497</v>
      </c>
      <c r="AP41" s="81" t="n">
        <f aca="false">IFERROR(AP31/AP24,0)</f>
        <v>2.4538133727269</v>
      </c>
      <c r="AQ41" s="81" t="n">
        <f aca="false">IFERROR(AQ31/AQ24,0)</f>
        <v>2.45381650471521</v>
      </c>
      <c r="AR41" s="81" t="n">
        <f aca="false">IFERROR(AR31/AR24,0)</f>
        <v>2.45381681323041</v>
      </c>
      <c r="AS41" s="81" t="n">
        <f aca="false">IFERROR(AS31/AS24,0)</f>
        <v>2.45381817787313</v>
      </c>
      <c r="AT41" s="81" t="n">
        <f aca="false">IFERROR(AT31/AT24,0)</f>
        <v>2.45381895750547</v>
      </c>
      <c r="AU41" s="81" t="n">
        <f aca="false">IFERROR(AU31/AU24,0)</f>
        <v>2.45381298784822</v>
      </c>
      <c r="AV41" s="81" t="n">
        <f aca="false">IFERROR(AV31/AV24,0)</f>
        <v>2.45381698546044</v>
      </c>
      <c r="AW41" s="81" t="n">
        <f aca="false">IFERROR(AW31/AW24,0)</f>
        <v>2.45381435870887</v>
      </c>
      <c r="AX41" s="81" t="n">
        <f aca="false">IFERROR(AX31/AX24,0)</f>
        <v>2.24557573385525</v>
      </c>
      <c r="AY41" s="81" t="n">
        <f aca="false">IFERROR(AY31/AY24,0)</f>
        <v>2.24557094773363</v>
      </c>
      <c r="AZ41" s="81" t="n">
        <f aca="false">IFERROR(AZ31/AZ24,0)</f>
        <v>2.24556882101003</v>
      </c>
      <c r="BA41" s="81" t="n">
        <f aca="false">IFERROR(BA31/BA24,0)</f>
        <v>2.24557585126656</v>
      </c>
      <c r="BB41" s="81" t="n">
        <f aca="false">IFERROR(BB31/BB24,0)</f>
        <v>2.24557147141418</v>
      </c>
      <c r="BC41" s="81" t="n">
        <f aca="false">IFERROR(BC31/BC24,0)</f>
        <v>2.24557067818287</v>
      </c>
      <c r="BD41" s="81" t="n">
        <f aca="false">IFERROR(BD31/BD24,0)</f>
        <v>2.24557031354709</v>
      </c>
      <c r="BE41" s="81" t="n">
        <f aca="false">IFERROR(BE31/BE24,0)</f>
        <v>2.24557155448445</v>
      </c>
      <c r="BF41" s="81" t="n">
        <f aca="false">IFERROR(BF31/BF24,0)</f>
        <v>2.24557004248162</v>
      </c>
      <c r="BG41" s="81" t="n">
        <f aca="false">IFERROR(BG31/BG24,0)</f>
        <v>2.24557408486247</v>
      </c>
      <c r="BH41" s="81" t="n">
        <f aca="false">IFERROR(BH31/BH24,0)</f>
        <v>2.24557219126109</v>
      </c>
      <c r="BI41" s="81" t="n">
        <f aca="false">IFERROR(BI31/BI24,0)</f>
        <v>2.24557183591618</v>
      </c>
      <c r="BK41" s="29" t="s">
        <v>356</v>
      </c>
    </row>
    <row r="42" customFormat="false" ht="15" hidden="false" customHeight="false" outlineLevel="0" collapsed="false">
      <c r="A42" s="27" t="s">
        <v>357</v>
      </c>
      <c r="B42" s="81" t="n">
        <f aca="false">IFERROR((B31+B33)/B24,0)</f>
        <v>2.602884277172</v>
      </c>
      <c r="C42" s="81" t="n">
        <f aca="false">IFERROR((C31+C33)/C24,0)</f>
        <v>2.602884277172</v>
      </c>
      <c r="D42" s="81" t="n">
        <f aca="false">IFERROR((D31+D33)/D24,0)</f>
        <v>2.602884277172</v>
      </c>
      <c r="E42" s="81" t="n">
        <f aca="false">IFERROR((E31+E33)/E24,0)</f>
        <v>2.602884277172</v>
      </c>
      <c r="F42" s="81" t="n">
        <f aca="false">IFERROR((F31+F33)/F24,0)</f>
        <v>2.602884277172</v>
      </c>
      <c r="G42" s="81" t="n">
        <f aca="false">IFERROR((G31+G33)/G24,0)</f>
        <v>2.602884277172</v>
      </c>
      <c r="H42" s="81" t="n">
        <f aca="false">IFERROR((H31+H33)/H24,0)</f>
        <v>2.602884277172</v>
      </c>
      <c r="I42" s="81" t="n">
        <f aca="false">IFERROR((I31+I33)/I24,0)</f>
        <v>2.602884277172</v>
      </c>
      <c r="J42" s="81" t="n">
        <f aca="false">IFERROR((J31+J33)/J24,0)</f>
        <v>2.602884277172</v>
      </c>
      <c r="K42" s="81" t="n">
        <f aca="false">IFERROR((K31+K33)/K24,0)</f>
        <v>29.5847358331023</v>
      </c>
      <c r="L42" s="81" t="n">
        <f aca="false">IFERROR((L31+L33)/L24,0)</f>
        <v>16.08218713721</v>
      </c>
      <c r="M42" s="81" t="n">
        <f aca="false">IFERROR((M31+M33)/M24,0)</f>
        <v>11.579134222388</v>
      </c>
      <c r="N42" s="81" t="n">
        <f aca="false">IFERROR((N31+N33)/N24,0)</f>
        <v>8.82601124770982</v>
      </c>
      <c r="O42" s="81" t="n">
        <f aca="false">IFERROR((O31+O33)/O24,0)</f>
        <v>7.52993976015462</v>
      </c>
      <c r="P42" s="81" t="n">
        <f aca="false">IFERROR((P31+P33)/P24,0)</f>
        <v>6.6809552755258</v>
      </c>
      <c r="Q42" s="81" t="n">
        <f aca="false">IFERROR((Q31+Q33)/Q24,0)</f>
        <v>6.77257338408644</v>
      </c>
      <c r="R42" s="81" t="n">
        <f aca="false">IFERROR((R31+R33)/R24,0)</f>
        <v>6.86624338675596</v>
      </c>
      <c r="S42" s="81" t="n">
        <f aca="false">IFERROR((S31+S33)/S24,0)</f>
        <v>6.92372677330436</v>
      </c>
      <c r="T42" s="81" t="n">
        <f aca="false">IFERROR((T31+T33)/T24,0)</f>
        <v>6.98156748142886</v>
      </c>
      <c r="U42" s="81" t="n">
        <f aca="false">IFERROR((U31+U33)/U24,0)</f>
        <v>7.01961181016673</v>
      </c>
      <c r="V42" s="81" t="n">
        <f aca="false">IFERROR((V31+V33)/V24,0)</f>
        <v>7.0462488554156</v>
      </c>
      <c r="W42" s="81" t="n">
        <f aca="false">IFERROR((W31+W33)/W24,0)</f>
        <v>7.06567673393988</v>
      </c>
      <c r="X42" s="81" t="n">
        <f aca="false">IFERROR((X31+X33)/X24,0)</f>
        <v>7.12525816518314</v>
      </c>
      <c r="Y42" s="81" t="n">
        <f aca="false">IFERROR((Y31+Y33)/Y24,0)</f>
        <v>7.16971505956751</v>
      </c>
      <c r="Z42" s="81" t="n">
        <f aca="false">IFERROR((Z31+Z33)/Z24,0)</f>
        <v>6.89199854862646</v>
      </c>
      <c r="AA42" s="81" t="n">
        <f aca="false">IFERROR((AA31+AA33)/AA24,0)</f>
        <v>6.92274848481742</v>
      </c>
      <c r="AB42" s="81" t="n">
        <f aca="false">IFERROR((AB31+AB33)/AB24,0)</f>
        <v>6.45344104255665</v>
      </c>
      <c r="AC42" s="81" t="n">
        <f aca="false">IFERROR((AC31+AC33)/AC24,0)</f>
        <v>6.59678051855187</v>
      </c>
      <c r="AD42" s="81" t="n">
        <f aca="false">IFERROR((AD31+AD33)/AD24,0)</f>
        <v>6.71245628029404</v>
      </c>
      <c r="AE42" s="81" t="n">
        <f aca="false">IFERROR((AE31+AE33)/AE24,0)</f>
        <v>6.45580183444074</v>
      </c>
      <c r="AF42" s="81" t="n">
        <f aca="false">IFERROR((AF31+AF33)/AF24,0)</f>
        <v>6.45581162338091</v>
      </c>
      <c r="AG42" s="81" t="n">
        <f aca="false">IFERROR((AG31+AG33)/AG24,0)</f>
        <v>6.4558137094074</v>
      </c>
      <c r="AH42" s="81" t="n">
        <f aca="false">IFERROR((AH31+AH33)/AH24,0)</f>
        <v>6.45579097868138</v>
      </c>
      <c r="AI42" s="81" t="n">
        <f aca="false">IFERROR((AI31+AI33)/AI24,0)</f>
        <v>6.4557824679098</v>
      </c>
      <c r="AJ42" s="81" t="n">
        <f aca="false">IFERROR((AJ31+AJ33)/AJ24,0)</f>
        <v>6.45578280686495</v>
      </c>
      <c r="AK42" s="81" t="n">
        <f aca="false">IFERROR((AK31+AK33)/AK24,0)</f>
        <v>6.45581110931732</v>
      </c>
      <c r="AL42" s="81" t="n">
        <f aca="false">IFERROR((AL31+AL33)/AL24,0)</f>
        <v>5.92664007106877</v>
      </c>
      <c r="AM42" s="81" t="n">
        <f aca="false">IFERROR((AM31+AM33)/AM24,0)</f>
        <v>5.92663769927111</v>
      </c>
      <c r="AN42" s="81" t="n">
        <f aca="false">IFERROR((AN31+AN33)/AN24,0)</f>
        <v>5.92665049584792</v>
      </c>
      <c r="AO42" s="81" t="n">
        <f aca="false">IFERROR((AO31+AO33)/AO24,0)</f>
        <v>5.92664066743396</v>
      </c>
      <c r="AP42" s="81" t="n">
        <f aca="false">IFERROR((AP31+AP33)/AP24,0)</f>
        <v>5.92664575571589</v>
      </c>
      <c r="AQ42" s="81" t="n">
        <f aca="false">IFERROR((AQ31+AQ33)/AQ24,0)</f>
        <v>5.9266488877042</v>
      </c>
      <c r="AR42" s="81" t="n">
        <f aca="false">IFERROR((AR31+AR33)/AR24,0)</f>
        <v>5.9266491962194</v>
      </c>
      <c r="AS42" s="81" t="n">
        <f aca="false">IFERROR((AS31+AS33)/AS24,0)</f>
        <v>5.92665056086212</v>
      </c>
      <c r="AT42" s="81" t="n">
        <f aca="false">IFERROR((AT31+AT33)/AT24,0)</f>
        <v>5.92665134049446</v>
      </c>
      <c r="AU42" s="81" t="n">
        <f aca="false">IFERROR((AU31+AU33)/AU24,0)</f>
        <v>5.92664537083721</v>
      </c>
      <c r="AV42" s="81" t="n">
        <f aca="false">IFERROR((AV31+AV33)/AV24,0)</f>
        <v>5.92664936844943</v>
      </c>
      <c r="AW42" s="81" t="n">
        <f aca="false">IFERROR((AW31+AW33)/AW24,0)</f>
        <v>5.92664674169786</v>
      </c>
      <c r="AX42" s="81" t="n">
        <f aca="false">IFERROR((AX31+AX33)/AX24,0)</f>
        <v>5.59965710699707</v>
      </c>
      <c r="AY42" s="81" t="n">
        <f aca="false">IFERROR((AY31+AY33)/AY24,0)</f>
        <v>5.59965232087545</v>
      </c>
      <c r="AZ42" s="81" t="n">
        <f aca="false">IFERROR((AZ31+AZ33)/AZ24,0)</f>
        <v>5.59965019415185</v>
      </c>
      <c r="BA42" s="81" t="n">
        <f aca="false">IFERROR((BA31+BA33)/BA24,0)</f>
        <v>5.59965722440838</v>
      </c>
      <c r="BB42" s="81" t="n">
        <f aca="false">IFERROR((BB31+BB33)/BB24,0)</f>
        <v>5.599652844556</v>
      </c>
      <c r="BC42" s="81" t="n">
        <f aca="false">IFERROR((BC31+BC33)/BC24,0)</f>
        <v>5.59965205132469</v>
      </c>
      <c r="BD42" s="81" t="n">
        <f aca="false">IFERROR((BD31+BD33)/BD24,0)</f>
        <v>5.5996516866889</v>
      </c>
      <c r="BE42" s="81" t="n">
        <f aca="false">IFERROR((BE31+BE33)/BE24,0)</f>
        <v>5.59965292762627</v>
      </c>
      <c r="BF42" s="81" t="n">
        <f aca="false">IFERROR((BF31+BF33)/BF24,0)</f>
        <v>5.59965141562344</v>
      </c>
      <c r="BG42" s="81" t="n">
        <f aca="false">IFERROR((BG31+BG33)/BG24,0)</f>
        <v>5.59965545800429</v>
      </c>
      <c r="BH42" s="81" t="n">
        <f aca="false">IFERROR((BH31+BH33)/BH24,0)</f>
        <v>5.59965356440291</v>
      </c>
      <c r="BI42" s="81" t="n">
        <f aca="false">IFERROR((BI31+BI33)/BI24,0)</f>
        <v>5.59965320905799</v>
      </c>
      <c r="BK42" s="29" t="s">
        <v>358</v>
      </c>
    </row>
    <row r="43" customFormat="false" ht="15" hidden="false" customHeight="false" outlineLevel="0" collapsed="false">
      <c r="A43" s="62" t="s">
        <v>359</v>
      </c>
      <c r="B43" s="85" t="n">
        <f aca="false">IFERROR(B37/(B16*B24),0)</f>
        <v>0</v>
      </c>
      <c r="C43" s="85" t="n">
        <f aca="false">IFERROR(C37/(C16*C24),0)</f>
        <v>0</v>
      </c>
      <c r="D43" s="85" t="n">
        <f aca="false">IFERROR(D37/(D16*D24),0)</f>
        <v>0</v>
      </c>
      <c r="E43" s="85" t="n">
        <f aca="false">IFERROR(E37/(E16*E24),0)</f>
        <v>0</v>
      </c>
      <c r="F43" s="85" t="n">
        <f aca="false">IFERROR(F37/(F16*F24),0)</f>
        <v>0</v>
      </c>
      <c r="G43" s="85" t="n">
        <f aca="false">IFERROR(G37/(G16*G24),0)</f>
        <v>0</v>
      </c>
      <c r="H43" s="85" t="n">
        <f aca="false">IFERROR(H37/(H16*H24),0)</f>
        <v>0</v>
      </c>
      <c r="I43" s="85" t="n">
        <f aca="false">IFERROR(I37/(I16*I24),0)</f>
        <v>0</v>
      </c>
      <c r="J43" s="85" t="n">
        <f aca="false">IFERROR(J37/(J16*J24),0)</f>
        <v>0</v>
      </c>
      <c r="K43" s="85" t="n">
        <f aca="false">IFERROR(K37/(K16*K24),0)</f>
        <v>581.545284921953</v>
      </c>
      <c r="L43" s="85" t="n">
        <f aca="false">IFERROR(L37/(L16*L24),0)</f>
        <v>93.6265845815891</v>
      </c>
      <c r="M43" s="85" t="n">
        <f aca="false">IFERROR(M37/(M16*M24),0)</f>
        <v>45.0269051613795</v>
      </c>
      <c r="N43" s="85" t="n">
        <f aca="false">IFERROR(N37/(N16*N24),0)</f>
        <v>64.3937831054691</v>
      </c>
      <c r="O43" s="85" t="n">
        <f aca="false">IFERROR(O37/(O16*O24),0)</f>
        <v>40.5302610457315</v>
      </c>
      <c r="P43" s="85" t="n">
        <f aca="false">IFERROR(P37/(P16*P24),0)</f>
        <v>28.6069934627951</v>
      </c>
      <c r="Q43" s="85" t="n">
        <f aca="false">IFERROR(Q37/(Q16*Q24),0)</f>
        <v>20.6749732068285</v>
      </c>
      <c r="R43" s="85" t="n">
        <f aca="false">IFERROR(R37/(R16*R24),0)</f>
        <v>18.7640718741306</v>
      </c>
      <c r="S43" s="85" t="n">
        <f aca="false">IFERROR(S37/(S16*S24),0)</f>
        <v>17.2762545394651</v>
      </c>
      <c r="T43" s="85" t="n">
        <f aca="false">IFERROR(T37/(T16*T24),0)</f>
        <v>16.1455570474337</v>
      </c>
      <c r="U43" s="85" t="n">
        <f aca="false">IFERROR(U37/(U16*U24),0)</f>
        <v>15.2180948295302</v>
      </c>
      <c r="V43" s="85" t="n">
        <f aca="false">IFERROR(V37/(V16*V24),0)</f>
        <v>14.4530022739453</v>
      </c>
      <c r="W43" s="85" t="n">
        <f aca="false">IFERROR(W37/(W16*W24),0)</f>
        <v>12.0290380501651</v>
      </c>
      <c r="X43" s="85" t="n">
        <f aca="false">IFERROR(X37/(X16*X24),0)</f>
        <v>11.6371314350291</v>
      </c>
      <c r="Y43" s="85" t="n">
        <f aca="false">IFERROR(Y37/(Y16*Y24),0)</f>
        <v>11.2888753282476</v>
      </c>
      <c r="Z43" s="85" t="n">
        <f aca="false">IFERROR(Z37/(Z16*Z24),0)</f>
        <v>20.5013451017511</v>
      </c>
      <c r="AA43" s="85" t="n">
        <f aca="false">IFERROR(AA37/(AA16*AA24),0)</f>
        <v>19.0697896536285</v>
      </c>
      <c r="AB43" s="85" t="n">
        <f aca="false">IFERROR(AB37/(AB16*AB24),0)</f>
        <v>16.5691530846198</v>
      </c>
      <c r="AC43" s="85" t="n">
        <f aca="false">IFERROR(AC37/(AC16*AC24),0)</f>
        <v>16.010393488724</v>
      </c>
      <c r="AD43" s="85" t="n">
        <f aca="false">IFERROR(AD37/(AD16*AD24),0)</f>
        <v>15.5065771016736</v>
      </c>
      <c r="AE43" s="85" t="n">
        <f aca="false">IFERROR(AE37/(AE16*AE24),0)</f>
        <v>14.226928259376</v>
      </c>
      <c r="AF43" s="85" t="n">
        <f aca="false">IFERROR(AF37/(AF16*AF24),0)</f>
        <v>12.0458046108769</v>
      </c>
      <c r="AG43" s="85" t="n">
        <f aca="false">IFERROR(AG37/(AG16*AG24),0)</f>
        <v>11.6316438484405</v>
      </c>
      <c r="AH43" s="85" t="n">
        <f aca="false">IFERROR(AH37/(AH16*AH24),0)</f>
        <v>11.2734640141195</v>
      </c>
      <c r="AI43" s="85" t="n">
        <f aca="false">IFERROR(AI37/(AI16*AI24),0)</f>
        <v>10.9617802495186</v>
      </c>
      <c r="AJ43" s="85" t="n">
        <f aca="false">IFERROR(AJ37/(AJ16*AJ24),0)</f>
        <v>10.6882495551679</v>
      </c>
      <c r="AK43" s="85" t="n">
        <f aca="false">IFERROR(AK37/(AK16*AK24),0)</f>
        <v>10.446374574037</v>
      </c>
      <c r="AL43" s="85" t="n">
        <f aca="false">IFERROR(AL37/(AL16*AL24),0)</f>
        <v>16.8564065120088</v>
      </c>
      <c r="AM43" s="85" t="n">
        <f aca="false">IFERROR(AM37/(AM16*AM24),0)</f>
        <v>15.8427094040154</v>
      </c>
      <c r="AN43" s="85" t="n">
        <f aca="false">IFERROR(AN37/(AN16*AN24),0)</f>
        <v>15.0011983256719</v>
      </c>
      <c r="AO43" s="85" t="n">
        <f aca="false">IFERROR(AO37/(AO16*AO24),0)</f>
        <v>14.2926206830278</v>
      </c>
      <c r="AP43" s="85" t="n">
        <f aca="false">IFERROR(AP37/(AP16*AP24),0)</f>
        <v>13.6883855626169</v>
      </c>
      <c r="AQ43" s="85" t="n">
        <f aca="false">IFERROR(AQ37/(AQ16*AQ24),0)</f>
        <v>13.1690530393803</v>
      </c>
      <c r="AR43" s="85" t="n">
        <f aca="false">IFERROR(AR37/(AR16*AR24),0)</f>
        <v>12.7182637219928</v>
      </c>
      <c r="AS43" s="85" t="n">
        <f aca="false">IFERROR(AS37/(AS16*AS24),0)</f>
        <v>12.3244626910596</v>
      </c>
      <c r="AT43" s="85" t="n">
        <f aca="false">IFERROR(AT37/(AT16*AT24),0)</f>
        <v>11.9786786330107</v>
      </c>
      <c r="AU43" s="85" t="n">
        <f aca="false">IFERROR(AU37/(AU16*AU24),0)</f>
        <v>11.6724647875054</v>
      </c>
      <c r="AV43" s="85" t="n">
        <f aca="false">IFERROR(AV37/(AV16*AV24),0)</f>
        <v>11.4003965867838</v>
      </c>
      <c r="AW43" s="85" t="n">
        <f aca="false">IFERROR(AW37/(AW16*AW24),0)</f>
        <v>11.157559631903</v>
      </c>
      <c r="AX43" s="85" t="n">
        <f aca="false">IFERROR(AX37/(AX16*AX24),0)</f>
        <v>15.247738731385</v>
      </c>
      <c r="AY43" s="85" t="n">
        <f aca="false">IFERROR(AY37/(AY16*AY24),0)</f>
        <v>14.3797771445856</v>
      </c>
      <c r="AZ43" s="85" t="n">
        <f aca="false">IFERROR(AZ37/(AZ16*AZ24),0)</f>
        <v>13.6495336026426</v>
      </c>
      <c r="BA43" s="85" t="n">
        <f aca="false">IFERROR(BA37/(BA16*BA24),0)</f>
        <v>13.0277651199475</v>
      </c>
      <c r="BB43" s="85" t="n">
        <f aca="false">IFERROR(BB37/(BB16*BB24),0)</f>
        <v>12.4924528906723</v>
      </c>
      <c r="BC43" s="85" t="n">
        <f aca="false">IFERROR(BC37/(BC16*BC24),0)</f>
        <v>12.0284471221987</v>
      </c>
      <c r="BD43" s="85" t="n">
        <f aca="false">IFERROR(BD37/(BD16*BD24),0)</f>
        <v>11.6228212037078</v>
      </c>
      <c r="BE43" s="85" t="n">
        <f aca="false">IFERROR(BE37/(BE16*BE24),0)</f>
        <v>11.2660948755042</v>
      </c>
      <c r="BF43" s="85" t="n">
        <f aca="false">IFERROR(BF37/(BF16*BF24),0)</f>
        <v>10.9499207381506</v>
      </c>
      <c r="BG43" s="85" t="n">
        <f aca="false">IFERROR(BG37/(BG16*BG24),0)</f>
        <v>10.6693007227899</v>
      </c>
      <c r="BH43" s="85" t="n">
        <f aca="false">IFERROR(BH37/(BH16*BH24),0)</f>
        <v>10.4183431113662</v>
      </c>
      <c r="BI43" s="85" t="n">
        <f aca="false">IFERROR(BI37/(BI16*BI24),0)</f>
        <v>10.1930993444332</v>
      </c>
      <c r="BK43" s="29" t="s">
        <v>360</v>
      </c>
    </row>
    <row r="44" customFormat="false" ht="15" hidden="false" customHeight="false" outlineLevel="0" collapsed="false">
      <c r="A44" s="27" t="s">
        <v>361</v>
      </c>
      <c r="B44" s="81" t="n">
        <f aca="false">IFERROR((B35/(1-Premissas!$B$49)-B36)/(B16*B24),0)</f>
        <v>0</v>
      </c>
      <c r="C44" s="81" t="n">
        <f aca="false">IFERROR((C35/(1-Premissas!$B$49)-C36)/(C16*C24),0)</f>
        <v>0</v>
      </c>
      <c r="D44" s="81" t="n">
        <f aca="false">IFERROR((D35/(1-Premissas!$B$49)-D36)/(D16*D24),0)</f>
        <v>0</v>
      </c>
      <c r="E44" s="81" t="n">
        <f aca="false">IFERROR((E35/(1-Premissas!$B$49)-E36)/(E16*E24),0)</f>
        <v>0</v>
      </c>
      <c r="F44" s="81" t="n">
        <f aca="false">IFERROR((F35/(1-Premissas!$B$49)-F36)/(F16*F24),0)</f>
        <v>0</v>
      </c>
      <c r="G44" s="81" t="n">
        <f aca="false">IFERROR((G35/(1-Premissas!$B$49)-G36)/(G16*G24),0)</f>
        <v>0</v>
      </c>
      <c r="H44" s="81" t="n">
        <f aca="false">IFERROR((H35/(1-Premissas!$B$49)-H36)/(H16*H24),0)</f>
        <v>0</v>
      </c>
      <c r="I44" s="81" t="n">
        <f aca="false">IFERROR((I35/(1-Premissas!$B$49)-I36)/(I16*I24),0)</f>
        <v>0</v>
      </c>
      <c r="J44" s="81" t="n">
        <f aca="false">IFERROR((J35/(1-Premissas!$B$49)-J36)/(J16*J24),0)</f>
        <v>0</v>
      </c>
      <c r="K44" s="81" t="n">
        <f aca="false">IFERROR((K35/(1-Premissas!$B$49)-K36)/(K16*K24),0)</f>
        <v>726.931606152441</v>
      </c>
      <c r="L44" s="81" t="n">
        <f aca="false">IFERROR((L35/(1-Premissas!$B$49)-L36)/(L16*L24),0)</f>
        <v>117.033230726986</v>
      </c>
      <c r="M44" s="81" t="n">
        <f aca="false">IFERROR((M35/(1-Premissas!$B$49)-M36)/(M16*M24),0)</f>
        <v>56.2836314517244</v>
      </c>
      <c r="N44" s="81" t="n">
        <f aca="false">IFERROR((N35/(1-Premissas!$B$49)-N36)/(N16*N24),0)</f>
        <v>80.8996510811112</v>
      </c>
      <c r="O44" s="81" t="n">
        <f aca="false">IFERROR((O35/(1-Premissas!$B$49)-O36)/(O16*O24),0)</f>
        <v>50.9886890015435</v>
      </c>
      <c r="P44" s="81" t="n">
        <f aca="false">IFERROR((P35/(1-Premissas!$B$49)-P36)/(P16*P24),0)</f>
        <v>36.0303953371253</v>
      </c>
      <c r="Q44" s="81" t="n">
        <f aca="false">IFERROR((Q35/(1-Premissas!$B$49)-Q36)/(Q16*Q24),0)</f>
        <v>26.0664900166196</v>
      </c>
      <c r="R44" s="81" t="n">
        <f aca="false">IFERROR((R35/(1-Premissas!$B$49)-R36)/(R16*R24),0)</f>
        <v>23.6781883692921</v>
      </c>
      <c r="S44" s="81" t="n">
        <f aca="false">IFERROR((S35/(1-Premissas!$B$49)-S36)/(S16*S24),0)</f>
        <v>21.8186206960208</v>
      </c>
      <c r="T44" s="81" t="n">
        <f aca="false">IFERROR((T35/(1-Premissas!$B$49)-T36)/(T16*T24),0)</f>
        <v>20.4054467988473</v>
      </c>
      <c r="U44" s="81" t="n">
        <f aca="false">IFERROR((U35/(1-Premissas!$B$49)-U36)/(U16*U24),0)</f>
        <v>19.2462400946956</v>
      </c>
      <c r="V44" s="81" t="n">
        <f aca="false">IFERROR((V35/(1-Premissas!$B$49)-V36)/(V16*V24),0)</f>
        <v>18.2899892024399</v>
      </c>
      <c r="W44" s="81" t="n">
        <f aca="false">IFERROR((W35/(1-Premissas!$B$49)-W36)/(W16*W24),0)</f>
        <v>15.2312045961896</v>
      </c>
      <c r="X44" s="81" t="n">
        <f aca="false">IFERROR((X35/(1-Premissas!$B$49)-X36)/(X16*X24),0)</f>
        <v>14.741525928451</v>
      </c>
      <c r="Y44" s="81" t="n">
        <f aca="false">IFERROR((Y35/(1-Premissas!$B$49)-Y36)/(Y16*Y24),0)</f>
        <v>14.3063532197633</v>
      </c>
      <c r="Z44" s="81" t="n">
        <f aca="false">IFERROR((Z35/(1-Premissas!$B$49)-Z36)/(Z16*Z24),0)</f>
        <v>25.9095295516192</v>
      </c>
      <c r="AA44" s="81" t="n">
        <f aca="false">IFERROR((AA35/(1-Premissas!$B$49)-AA36)/(AA16*AA24),0)</f>
        <v>24.1202259791198</v>
      </c>
      <c r="AB44" s="81" t="n">
        <f aca="false">IFERROR((AB35/(1-Premissas!$B$49)-AB36)/(AB16*AB24),0)</f>
        <v>20.9923946178698</v>
      </c>
      <c r="AC44" s="81" t="n">
        <f aca="false">IFERROR((AC35/(1-Premissas!$B$49)-AC36)/(AC16*AC24),0)</f>
        <v>20.2945777334196</v>
      </c>
      <c r="AD44" s="81" t="n">
        <f aca="false">IFERROR((AD35/(1-Premissas!$B$49)-AD36)/(AD16*AD24),0)</f>
        <v>19.6652943968897</v>
      </c>
      <c r="AE44" s="81" t="n">
        <f aca="false">IFERROR((AE35/(1-Premissas!$B$49)-AE36)/(AE16*AE24),0)</f>
        <v>18.0646249086881</v>
      </c>
      <c r="AF44" s="81" t="n">
        <f aca="false">IFERROR((AF35/(1-Premissas!$B$49)-AF36)/(AF16*AF24),0)</f>
        <v>15.7460151513998</v>
      </c>
      <c r="AG44" s="81" t="n">
        <f aca="false">IFERROR((AG35/(1-Premissas!$B$49)-AG36)/(AG16*AG24),0)</f>
        <v>15.2133260164439</v>
      </c>
      <c r="AH44" s="81" t="n">
        <f aca="false">IFERROR((AH35/(1-Premissas!$B$49)-AH36)/(AH16*AH24),0)</f>
        <v>14.7526440835146</v>
      </c>
      <c r="AI44" s="81" t="n">
        <f aca="false">IFERROR((AI35/(1-Premissas!$B$49)-AI36)/(AI16*AI24),0)</f>
        <v>14.3517800964395</v>
      </c>
      <c r="AJ44" s="81" t="n">
        <f aca="false">IFERROR((AJ35/(1-Premissas!$B$49)-AJ36)/(AJ16*AJ24),0)</f>
        <v>13.9999861688008</v>
      </c>
      <c r="AK44" s="81" t="n">
        <f aca="false">IFERROR((AK35/(1-Premissas!$B$49)-AK36)/(AK16*AK24),0)</f>
        <v>13.6888954592782</v>
      </c>
      <c r="AL44" s="81" t="n">
        <f aca="false">IFERROR((AL35/(1-Premissas!$B$49)-AL36)/(AL16*AL24),0)</f>
        <v>21.9069890859458</v>
      </c>
      <c r="AM44" s="81" t="n">
        <f aca="false">IFERROR((AM35/(1-Premissas!$B$49)-AM36)/(AM16*AM24),0)</f>
        <v>20.6131967505733</v>
      </c>
      <c r="AN44" s="81" t="n">
        <f aca="false">IFERROR((AN35/(1-Premissas!$B$49)-AN36)/(AN16*AN24),0)</f>
        <v>19.5391853995744</v>
      </c>
      <c r="AO44" s="81" t="n">
        <f aca="false">IFERROR((AO35/(1-Premissas!$B$49)-AO36)/(AO16*AO24),0)</f>
        <v>18.634838137798</v>
      </c>
      <c r="AP44" s="81" t="n">
        <f aca="false">IFERROR((AP35/(1-Premissas!$B$49)-AP36)/(AP16*AP24),0)</f>
        <v>17.8636457513838</v>
      </c>
      <c r="AQ44" s="81" t="n">
        <f aca="false">IFERROR((AQ35/(1-Premissas!$B$49)-AQ36)/(AQ16*AQ24),0)</f>
        <v>17.2008275754316</v>
      </c>
      <c r="AR44" s="81" t="n">
        <f aca="false">IFERROR((AR35/(1-Premissas!$B$49)-AR36)/(AR16*AR24),0)</f>
        <v>16.6254803726548</v>
      </c>
      <c r="AS44" s="81" t="n">
        <f aca="false">IFERROR((AS35/(1-Premissas!$B$49)-AS36)/(AS16*AS24),0)</f>
        <v>16.1228696250688</v>
      </c>
      <c r="AT44" s="81" t="n">
        <f aca="false">IFERROR((AT35/(1-Premissas!$B$49)-AT36)/(AT16*AT24),0)</f>
        <v>15.6815584502753</v>
      </c>
      <c r="AU44" s="81" t="n">
        <f aca="false">IFERROR((AU35/(1-Premissas!$B$49)-AU36)/(AU16*AU24),0)</f>
        <v>15.290732672869</v>
      </c>
      <c r="AV44" s="81" t="n">
        <f aca="false">IFERROR((AV35/(1-Premissas!$B$49)-AV36)/(AV16*AV24),0)</f>
        <v>14.9434885951011</v>
      </c>
      <c r="AW44" s="81" t="n">
        <f aca="false">IFERROR((AW35/(1-Premissas!$B$49)-AW36)/(AW16*AW24),0)</f>
        <v>14.6335501914081</v>
      </c>
      <c r="AX44" s="81" t="n">
        <f aca="false">IFERROR((AX35/(1-Premissas!$B$49)-AX36)/(AX16*AX24),0)</f>
        <v>19.732665324314</v>
      </c>
      <c r="AY44" s="81" t="n">
        <f aca="false">IFERROR((AY35/(1-Premissas!$B$49)-AY36)/(AY16*AY24),0)</f>
        <v>18.6342780477755</v>
      </c>
      <c r="AZ44" s="81" t="n">
        <f aca="false">IFERROR((AZ35/(1-Premissas!$B$49)-AZ36)/(AZ16*AZ24),0)</f>
        <v>17.7101753925769</v>
      </c>
      <c r="BA44" s="81" t="n">
        <f aca="false">IFERROR((BA35/(1-Premissas!$B$49)-BA36)/(BA16*BA24),0)</f>
        <v>16.9233475810257</v>
      </c>
      <c r="BB44" s="81" t="n">
        <f aca="false">IFERROR((BB35/(1-Premissas!$B$49)-BB36)/(BB16*BB24),0)</f>
        <v>16.2459088537019</v>
      </c>
      <c r="BC44" s="81" t="n">
        <f aca="false">IFERROR((BC35/(1-Premissas!$B$49)-BC36)/(BC16*BC24),0)</f>
        <v>15.6587230063065</v>
      </c>
      <c r="BD44" s="81" t="n">
        <f aca="false">IFERROR((BD35/(1-Premissas!$B$49)-BD36)/(BD16*BD24),0)</f>
        <v>15.1454137886268</v>
      </c>
      <c r="BE44" s="81" t="n">
        <f aca="false">IFERROR((BE35/(1-Premissas!$B$49)-BE36)/(BE16*BE24),0)</f>
        <v>14.6939919093967</v>
      </c>
      <c r="BF44" s="81" t="n">
        <f aca="false">IFERROR((BF35/(1-Premissas!$B$49)-BF36)/(BF16*BF24),0)</f>
        <v>14.2938670293351</v>
      </c>
      <c r="BG44" s="81" t="n">
        <f aca="false">IFERROR((BG35/(1-Premissas!$B$49)-BG36)/(BG16*BG24),0)</f>
        <v>13.9387606430788</v>
      </c>
      <c r="BH44" s="81" t="n">
        <f aca="false">IFERROR((BH35/(1-Premissas!$B$49)-BH36)/(BH16*BH24),0)</f>
        <v>13.6211800411936</v>
      </c>
      <c r="BI44" s="81" t="n">
        <f aca="false">IFERROR((BI35/(1-Premissas!$B$49)-BI36)/(BI16*BI24),0)</f>
        <v>13.3361348365763</v>
      </c>
    </row>
    <row r="46" customFormat="false" ht="15" hidden="false" customHeight="false" outlineLevel="0" collapsed="false">
      <c r="A46" s="62" t="s">
        <v>362</v>
      </c>
    </row>
    <row r="47" customFormat="false" ht="15" hidden="false" customHeight="false" outlineLevel="0" collapsed="false">
      <c r="A47" s="27" t="s">
        <v>363</v>
      </c>
      <c r="B47" s="81" t="n">
        <f aca="false">B43*B14</f>
        <v>0</v>
      </c>
      <c r="C47" s="81" t="n">
        <f aca="false">C43*C14</f>
        <v>0</v>
      </c>
      <c r="D47" s="81" t="n">
        <f aca="false">D43*D14</f>
        <v>0</v>
      </c>
      <c r="E47" s="81" t="n">
        <f aca="false">E43*E14</f>
        <v>0</v>
      </c>
      <c r="F47" s="81" t="n">
        <f aca="false">F43*F14</f>
        <v>0</v>
      </c>
      <c r="G47" s="81" t="n">
        <f aca="false">G43*G14</f>
        <v>0</v>
      </c>
      <c r="H47" s="81" t="n">
        <f aca="false">H43*H14</f>
        <v>0</v>
      </c>
      <c r="I47" s="81" t="n">
        <f aca="false">I43*I14</f>
        <v>0</v>
      </c>
      <c r="J47" s="81" t="n">
        <f aca="false">J43*J14</f>
        <v>0</v>
      </c>
      <c r="K47" s="81" t="n">
        <f aca="false">K43*K14</f>
        <v>1166.01290795909</v>
      </c>
      <c r="L47" s="81" t="n">
        <f aca="false">L43*L14</f>
        <v>187.723654512834</v>
      </c>
      <c r="M47" s="81" t="n">
        <f aca="false">M43*M14</f>
        <v>90.2800761778413</v>
      </c>
      <c r="N47" s="81" t="n">
        <f aca="false">N43*N14</f>
        <v>129.111153060714</v>
      </c>
      <c r="O47" s="81" t="n">
        <f aca="false">O43*O14</f>
        <v>81.2641917449591</v>
      </c>
      <c r="P47" s="81" t="n">
        <f aca="false">P43*P14</f>
        <v>57.3577406615842</v>
      </c>
      <c r="Q47" s="81" t="n">
        <f aca="false">Q43*Q14</f>
        <v>41.4538407513798</v>
      </c>
      <c r="R47" s="81" t="n">
        <f aca="false">R43*R14</f>
        <v>37.6224355667242</v>
      </c>
      <c r="S47" s="81" t="n">
        <f aca="false">S43*S14</f>
        <v>34.6393244283747</v>
      </c>
      <c r="T47" s="81" t="n">
        <f aca="false">T43*T14</f>
        <v>32.372247547367</v>
      </c>
      <c r="U47" s="81" t="n">
        <f aca="false">U43*U14</f>
        <v>30.5126624973998</v>
      </c>
      <c r="V47" s="81" t="n">
        <f aca="false">V43*V14</f>
        <v>28.978632700021</v>
      </c>
      <c r="W47" s="81" t="n">
        <f aca="false">W43*W14</f>
        <v>24.1185235277179</v>
      </c>
      <c r="X47" s="81" t="n">
        <f aca="false">X43*X14</f>
        <v>23.3327409174704</v>
      </c>
      <c r="Y47" s="81" t="n">
        <f aca="false">Y43*Y14</f>
        <v>22.6344786732201</v>
      </c>
      <c r="Z47" s="81" t="n">
        <f aca="false">Z43*Z14</f>
        <v>41.1057120381844</v>
      </c>
      <c r="AA47" s="81" t="n">
        <f aca="false">AA43*AA14</f>
        <v>38.2354073959686</v>
      </c>
      <c r="AB47" s="81" t="n">
        <f aca="false">AB43*AB14</f>
        <v>33.2215682450416</v>
      </c>
      <c r="AC47" s="81" t="n">
        <f aca="false">AC43*AC14</f>
        <v>32.1012412160849</v>
      </c>
      <c r="AD47" s="81" t="n">
        <f aca="false">AD43*AD14</f>
        <v>31.0910767013455</v>
      </c>
      <c r="AE47" s="81" t="n">
        <f aca="false">AE43*AE14</f>
        <v>28.525348620558</v>
      </c>
      <c r="AF47" s="81" t="n">
        <f aca="false">AF43*AF14</f>
        <v>24.1521409032155</v>
      </c>
      <c r="AG47" s="81" t="n">
        <f aca="false">AG43*AG14</f>
        <v>23.3217381684812</v>
      </c>
      <c r="AH47" s="81" t="n">
        <f aca="false">AH43*AH14</f>
        <v>22.6035786011743</v>
      </c>
      <c r="AI47" s="81" t="n">
        <f aca="false">AI43*AI14</f>
        <v>21.978644821899</v>
      </c>
      <c r="AJ47" s="81" t="n">
        <f aca="false">AJ43*AJ14</f>
        <v>21.4302089070955</v>
      </c>
      <c r="AK47" s="81" t="n">
        <f aca="false">AK43*AK14</f>
        <v>20.9452434926672</v>
      </c>
      <c r="AL47" s="81" t="n">
        <f aca="false">AL43*AL14</f>
        <v>33.7975185843794</v>
      </c>
      <c r="AM47" s="81" t="n">
        <f aca="false">AM43*AM14</f>
        <v>31.7650304130762</v>
      </c>
      <c r="AN47" s="81" t="n">
        <f aca="false">AN43*AN14</f>
        <v>30.077779557503</v>
      </c>
      <c r="AO47" s="81" t="n">
        <f aca="false">AO43*AO14</f>
        <v>28.6570635805432</v>
      </c>
      <c r="AP47" s="81" t="n">
        <f aca="false">AP43*AP14</f>
        <v>27.4455569823324</v>
      </c>
      <c r="AQ47" s="81" t="n">
        <f aca="false">AQ43*AQ14</f>
        <v>26.4042822246872</v>
      </c>
      <c r="AR47" s="81" t="n">
        <f aca="false">AR43*AR14</f>
        <v>25.5004383169604</v>
      </c>
      <c r="AS47" s="81" t="n">
        <f aca="false">AS43*AS14</f>
        <v>24.7108573554412</v>
      </c>
      <c r="AT47" s="81" t="n">
        <f aca="false">AT43*AT14</f>
        <v>24.0175516310114</v>
      </c>
      <c r="AU47" s="81" t="n">
        <f aca="false">AU43*AU14</f>
        <v>23.403585176958</v>
      </c>
      <c r="AV47" s="81" t="n">
        <f aca="false">AV43*AV14</f>
        <v>22.8580815986268</v>
      </c>
      <c r="AW47" s="81" t="n">
        <f aca="false">AW43*AW14</f>
        <v>22.3711874026598</v>
      </c>
      <c r="AX47" s="81" t="n">
        <f aca="false">AX43*AX14</f>
        <v>30.5720992654403</v>
      </c>
      <c r="AY47" s="81" t="n">
        <f aca="false">AY43*AY14</f>
        <v>28.8318144758275</v>
      </c>
      <c r="AZ47" s="81" t="n">
        <f aca="false">AZ43*AZ14</f>
        <v>27.367657826404</v>
      </c>
      <c r="BA47" s="81" t="n">
        <f aca="false">BA43*BA14</f>
        <v>26.1209963962767</v>
      </c>
      <c r="BB47" s="81" t="n">
        <f aca="false">BB43*BB14</f>
        <v>25.0476819265238</v>
      </c>
      <c r="BC47" s="81" t="n">
        <f aca="false">BC43*BC14</f>
        <v>24.1173387022979</v>
      </c>
      <c r="BD47" s="81" t="n">
        <f aca="false">BD43*BD14</f>
        <v>23.3040485441177</v>
      </c>
      <c r="BE47" s="81" t="n">
        <f aca="false">BE43*BE14</f>
        <v>22.5888032930963</v>
      </c>
      <c r="BF47" s="81" t="n">
        <f aca="false">BF43*BF14</f>
        <v>21.9548662036285</v>
      </c>
      <c r="BG47" s="81" t="n">
        <f aca="false">BG43*BG14</f>
        <v>21.3922160220763</v>
      </c>
      <c r="BH47" s="81" t="n">
        <f aca="false">BH43*BH14</f>
        <v>20.889039705704</v>
      </c>
      <c r="BI47" s="81" t="n">
        <f aca="false">BI43*BI14</f>
        <v>20.4374202936123</v>
      </c>
      <c r="BK47" s="29" t="s">
        <v>364</v>
      </c>
    </row>
    <row r="48" customFormat="false" ht="15" hidden="false" customHeight="false" outlineLevel="0" collapsed="false">
      <c r="A48" s="27" t="s">
        <v>365</v>
      </c>
      <c r="B48" s="81" t="n">
        <f aca="false">B43*B15</f>
        <v>0</v>
      </c>
      <c r="C48" s="81" t="n">
        <f aca="false">C43*C15</f>
        <v>0</v>
      </c>
      <c r="D48" s="81" t="n">
        <f aca="false">D43*D15</f>
        <v>0</v>
      </c>
      <c r="E48" s="81" t="n">
        <f aca="false">E43*E15</f>
        <v>0</v>
      </c>
      <c r="F48" s="81" t="n">
        <f aca="false">F43*F15</f>
        <v>0</v>
      </c>
      <c r="G48" s="81" t="n">
        <f aca="false">G43*G15</f>
        <v>0</v>
      </c>
      <c r="H48" s="81" t="n">
        <f aca="false">H43*H15</f>
        <v>0</v>
      </c>
      <c r="I48" s="81" t="n">
        <f aca="false">I43*I15</f>
        <v>0</v>
      </c>
      <c r="J48" s="81" t="n">
        <f aca="false">J43*J15</f>
        <v>0</v>
      </c>
      <c r="K48" s="81" t="n">
        <f aca="false">K43*K15</f>
        <v>2334.94815403337</v>
      </c>
      <c r="L48" s="81" t="n">
        <f aca="false">L43*L15</f>
        <v>375.917794375325</v>
      </c>
      <c r="M48" s="81" t="n">
        <f aca="false">M43*M15</f>
        <v>180.786418210765</v>
      </c>
      <c r="N48" s="81" t="n">
        <f aca="false">N43*N15</f>
        <v>258.545892971205</v>
      </c>
      <c r="O48" s="81" t="n">
        <f aca="false">O43*O15</f>
        <v>162.732053143414</v>
      </c>
      <c r="P48" s="81" t="n">
        <f aca="false">P43*P15</f>
        <v>114.859235059162</v>
      </c>
      <c r="Q48" s="81" t="n">
        <f aca="false">Q43*Q15</f>
        <v>83.0115758404824</v>
      </c>
      <c r="R48" s="81" t="n">
        <f aca="false">R43*R15</f>
        <v>75.3391629519113</v>
      </c>
      <c r="S48" s="81" t="n">
        <f aca="false">S43*S15</f>
        <v>69.365464206194</v>
      </c>
      <c r="T48" s="81" t="n">
        <f aca="false">T43*T15</f>
        <v>64.8256285472337</v>
      </c>
      <c r="U48" s="81" t="n">
        <f aca="false">U43*U15</f>
        <v>61.101797833139</v>
      </c>
      <c r="V48" s="81" t="n">
        <f aca="false">V43*V15</f>
        <v>58.0298935521724</v>
      </c>
      <c r="W48" s="81" t="n">
        <f aca="false">W43*W15</f>
        <v>48.2974944828236</v>
      </c>
      <c r="X48" s="81" t="n">
        <f aca="false">X43*X15</f>
        <v>46.7239598823531</v>
      </c>
      <c r="Y48" s="81" t="n">
        <f aca="false">Y43*Y15</f>
        <v>45.325685363165</v>
      </c>
      <c r="Z48" s="81" t="n">
        <f aca="false">Z43*Z15</f>
        <v>82.3144459110509</v>
      </c>
      <c r="AA48" s="81" t="n">
        <f aca="false">AA43*AA15</f>
        <v>76.566642880649</v>
      </c>
      <c r="AB48" s="81" t="n">
        <f aca="false">AB43*AB15</f>
        <v>66.5263985658854</v>
      </c>
      <c r="AC48" s="81" t="n">
        <f aca="false">AC43*AC15</f>
        <v>64.2829366708065</v>
      </c>
      <c r="AD48" s="81" t="n">
        <f aca="false">AD43*AD15</f>
        <v>62.2600759006893</v>
      </c>
      <c r="AE48" s="81" t="n">
        <f aca="false">AE43*AE15</f>
        <v>57.1221893429219</v>
      </c>
      <c r="AF48" s="81" t="n">
        <f aca="false">AF43*AF15</f>
        <v>48.3648134878927</v>
      </c>
      <c r="AG48" s="81" t="n">
        <f aca="false">AG43*AG15</f>
        <v>46.7019268085626</v>
      </c>
      <c r="AH48" s="81" t="n">
        <f aca="false">AH43*AH15</f>
        <v>45.263807775284</v>
      </c>
      <c r="AI48" s="81" t="n">
        <f aca="false">AI43*AI15</f>
        <v>44.01237396666</v>
      </c>
      <c r="AJ48" s="81" t="n">
        <f aca="false">AJ43*AJ15</f>
        <v>42.9141276109507</v>
      </c>
      <c r="AK48" s="81" t="n">
        <f aca="false">AK43*AK15</f>
        <v>41.9429813299275</v>
      </c>
      <c r="AL48" s="81" t="n">
        <f aca="false">AL43*AL15</f>
        <v>67.6797427291208</v>
      </c>
      <c r="AM48" s="81" t="n">
        <f aca="false">AM43*AM15</f>
        <v>63.6096724311977</v>
      </c>
      <c r="AN48" s="81" t="n">
        <f aca="false">AN43*AN15</f>
        <v>60.2309420211652</v>
      </c>
      <c r="AO48" s="81" t="n">
        <f aca="false">AO43*AO15</f>
        <v>57.3859493755739</v>
      </c>
      <c r="AP48" s="81" t="n">
        <f aca="false">AP43*AP15</f>
        <v>54.9598998217634</v>
      </c>
      <c r="AQ48" s="81" t="n">
        <f aca="false">AQ43*AQ15</f>
        <v>52.8747405953009</v>
      </c>
      <c r="AR48" s="81" t="n">
        <f aca="false">AR43*AR15</f>
        <v>51.0647875068956</v>
      </c>
      <c r="AS48" s="81" t="n">
        <f aca="false">AS43*AS15</f>
        <v>49.4836466842043</v>
      </c>
      <c r="AT48" s="81" t="n">
        <f aca="false">AT43*AT15</f>
        <v>48.0952976270128</v>
      </c>
      <c r="AU48" s="81" t="n">
        <f aca="false">AU43*AU15</f>
        <v>46.8658259558632</v>
      </c>
      <c r="AV48" s="81" t="n">
        <f aca="false">AV43*AV15</f>
        <v>45.7734516223129</v>
      </c>
      <c r="AW48" s="81" t="n">
        <f aca="false">AW43*AW15</f>
        <v>44.7984429441734</v>
      </c>
      <c r="AX48" s="81" t="n">
        <f aca="false">AX43*AX15</f>
        <v>61.220820333551</v>
      </c>
      <c r="AY48" s="81" t="n">
        <f aca="false">AY43*AY15</f>
        <v>57.7358891383111</v>
      </c>
      <c r="AZ48" s="81" t="n">
        <f aca="false">AZ43*AZ15</f>
        <v>54.8039062739268</v>
      </c>
      <c r="BA48" s="81" t="n">
        <f aca="false">BA43*BA15</f>
        <v>52.307458948935</v>
      </c>
      <c r="BB48" s="81" t="n">
        <f aca="false">BB43*BB15</f>
        <v>50.1581399982269</v>
      </c>
      <c r="BC48" s="81" t="n">
        <f aca="false">BC43*BC15</f>
        <v>48.2951218624964</v>
      </c>
      <c r="BD48" s="81" t="n">
        <f aca="false">BD43*BD15</f>
        <v>46.6665032249374</v>
      </c>
      <c r="BE48" s="81" t="n">
        <f aca="false">BE43*BE15</f>
        <v>45.2342201282806</v>
      </c>
      <c r="BF48" s="81" t="n">
        <f aca="false">BF43*BF15</f>
        <v>43.9647571345844</v>
      </c>
      <c r="BG48" s="81" t="n">
        <f aca="false">BG43*BG15</f>
        <v>42.8380466206491</v>
      </c>
      <c r="BH48" s="81" t="n">
        <f aca="false">BH43*BH15</f>
        <v>41.8304328943797</v>
      </c>
      <c r="BI48" s="81" t="n">
        <f aca="false">BI43*BI15</f>
        <v>40.9260621919705</v>
      </c>
    </row>
    <row r="49" customFormat="false" ht="15" hidden="false" customHeight="false" outlineLevel="0" collapsed="false">
      <c r="A49" s="27" t="s">
        <v>366</v>
      </c>
      <c r="B49" s="81" t="n">
        <f aca="false">B44*B14</f>
        <v>0</v>
      </c>
      <c r="C49" s="81" t="n">
        <f aca="false">C44*C14</f>
        <v>0</v>
      </c>
      <c r="D49" s="81" t="n">
        <f aca="false">D44*D14</f>
        <v>0</v>
      </c>
      <c r="E49" s="81" t="n">
        <f aca="false">E44*E14</f>
        <v>0</v>
      </c>
      <c r="F49" s="81" t="n">
        <f aca="false">F44*F14</f>
        <v>0</v>
      </c>
      <c r="G49" s="81" t="n">
        <f aca="false">G44*G14</f>
        <v>0</v>
      </c>
      <c r="H49" s="81" t="n">
        <f aca="false">H44*H14</f>
        <v>0</v>
      </c>
      <c r="I49" s="81" t="n">
        <f aca="false">I44*I14</f>
        <v>0</v>
      </c>
      <c r="J49" s="81" t="n">
        <f aca="false">J44*J14</f>
        <v>0</v>
      </c>
      <c r="K49" s="81" t="n">
        <f aca="false">K44*K14</f>
        <v>1457.51613494886</v>
      </c>
      <c r="L49" s="81" t="n">
        <f aca="false">L44*L14</f>
        <v>234.654568141043</v>
      </c>
      <c r="M49" s="81" t="n">
        <f aca="false">M44*M14</f>
        <v>112.850095222302</v>
      </c>
      <c r="N49" s="81" t="n">
        <f aca="false">N44*N14</f>
        <v>162.205833072178</v>
      </c>
      <c r="O49" s="81" t="n">
        <f aca="false">O44*O14</f>
        <v>102.233602570934</v>
      </c>
      <c r="P49" s="81" t="n">
        <f aca="false">P44*P14</f>
        <v>72.2418479372512</v>
      </c>
      <c r="Q49" s="81" t="n">
        <f aca="false">Q44*Q14</f>
        <v>52.2639674202574</v>
      </c>
      <c r="R49" s="81" t="n">
        <f aca="false">R44*R14</f>
        <v>47.4753626097867</v>
      </c>
      <c r="S49" s="81" t="n">
        <f aca="false">S44*S14</f>
        <v>43.7468827020718</v>
      </c>
      <c r="T49" s="81" t="n">
        <f aca="false">T44*T14</f>
        <v>40.9134335313572</v>
      </c>
      <c r="U49" s="81" t="n">
        <f aca="false">U44*U14</f>
        <v>38.5891949637364</v>
      </c>
      <c r="V49" s="81" t="n">
        <f aca="false">V44*V14</f>
        <v>36.6718878983593</v>
      </c>
      <c r="W49" s="81" t="n">
        <f aca="false">W44*W14</f>
        <v>30.5389479089429</v>
      </c>
      <c r="X49" s="81" t="n">
        <f aca="false">X44*X14</f>
        <v>29.557129876643</v>
      </c>
      <c r="Y49" s="81" t="n">
        <f aca="false">Y44*Y14</f>
        <v>28.6845976617365</v>
      </c>
      <c r="Z49" s="81" t="n">
        <f aca="false">Z44*Z14</f>
        <v>51.9492577442012</v>
      </c>
      <c r="AA49" s="81" t="n">
        <f aca="false">AA44*AA14</f>
        <v>48.3616591239638</v>
      </c>
      <c r="AB49" s="81" t="n">
        <f aca="false">AB44*AB14</f>
        <v>42.09027865593</v>
      </c>
      <c r="AC49" s="81" t="n">
        <f aca="false">AC44*AC14</f>
        <v>40.6911382695198</v>
      </c>
      <c r="AD49" s="81" t="n">
        <f aca="false">AD44*AD14</f>
        <v>39.4294093686382</v>
      </c>
      <c r="AE49" s="81" t="n">
        <f aca="false">AE44*AE14</f>
        <v>36.2200268269676</v>
      </c>
      <c r="AF49" s="81" t="n">
        <f aca="false">AF44*AF14</f>
        <v>31.571156007078</v>
      </c>
      <c r="AG49" s="81" t="n">
        <f aca="false">AG44*AG14</f>
        <v>30.5031009073424</v>
      </c>
      <c r="AH49" s="81" t="n">
        <f aca="false">AH44*AH14</f>
        <v>29.5794220568962</v>
      </c>
      <c r="AI49" s="81" t="n">
        <f aca="false">AI44*AI14</f>
        <v>28.775679690851</v>
      </c>
      <c r="AJ49" s="81" t="n">
        <f aca="false">AJ44*AJ14</f>
        <v>28.070324026892</v>
      </c>
      <c r="AK49" s="81" t="n">
        <f aca="false">AK44*AK14</f>
        <v>27.4465793379498</v>
      </c>
      <c r="AL49" s="81" t="n">
        <f aca="false">AL44*AL14</f>
        <v>43.9240635441828</v>
      </c>
      <c r="AM49" s="81" t="n">
        <f aca="false">AM44*AM14</f>
        <v>41.3299774044157</v>
      </c>
      <c r="AN49" s="81" t="n">
        <f aca="false">AN44*AN14</f>
        <v>39.1765576604532</v>
      </c>
      <c r="AO49" s="81" t="n">
        <f aca="false">AO44*AO14</f>
        <v>37.3633186782985</v>
      </c>
      <c r="AP49" s="81" t="n">
        <f aca="false">AP44*AP14</f>
        <v>35.8170585668449</v>
      </c>
      <c r="AQ49" s="81" t="n">
        <f aca="false">AQ44*AQ14</f>
        <v>34.4880914703378</v>
      </c>
      <c r="AR49" s="81" t="n">
        <f aca="false">AR44*AR14</f>
        <v>33.3345058728103</v>
      </c>
      <c r="AS49" s="81" t="n">
        <f aca="false">AS44*AS14</f>
        <v>32.3267586954898</v>
      </c>
      <c r="AT49" s="81" t="n">
        <f aca="false">AT44*AT14</f>
        <v>31.4419187018083</v>
      </c>
      <c r="AU49" s="81" t="n">
        <f aca="false">AU44*AU14</f>
        <v>30.6583031983655</v>
      </c>
      <c r="AV49" s="81" t="n">
        <f aca="false">AV44*AV14</f>
        <v>29.9620700977153</v>
      </c>
      <c r="AW49" s="81" t="n">
        <f aca="false">AW44*AW14</f>
        <v>29.3406358109136</v>
      </c>
      <c r="AX49" s="81" t="n">
        <f aca="false">AX44*AX14</f>
        <v>39.5644897708608</v>
      </c>
      <c r="AY49" s="81" t="n">
        <f aca="false">AY44*AY14</f>
        <v>37.3621956837307</v>
      </c>
      <c r="AZ49" s="81" t="n">
        <f aca="false">AZ44*AZ14</f>
        <v>35.5093466413979</v>
      </c>
      <c r="BA49" s="81" t="n">
        <f aca="false">BA44*BA14</f>
        <v>33.9317371096946</v>
      </c>
      <c r="BB49" s="81" t="n">
        <f aca="false">BB44*BB14</f>
        <v>32.573455440337</v>
      </c>
      <c r="BC49" s="81" t="n">
        <f aca="false">BC44*BC14</f>
        <v>31.396133062896</v>
      </c>
      <c r="BD49" s="81" t="n">
        <f aca="false">BD44*BD14</f>
        <v>30.3669351842317</v>
      </c>
      <c r="BE49" s="81" t="n">
        <f aca="false">BE44*BE14</f>
        <v>29.4618229741171</v>
      </c>
      <c r="BF49" s="81" t="n">
        <f aca="false">BF44*BF14</f>
        <v>28.6595625362046</v>
      </c>
      <c r="BG49" s="81" t="n">
        <f aca="false">BG44*BG14</f>
        <v>27.9475653094897</v>
      </c>
      <c r="BH49" s="81" t="n">
        <f aca="false">BH44*BH14</f>
        <v>27.3108082232978</v>
      </c>
      <c r="BI49" s="81" t="n">
        <f aca="false">BI44*BI14</f>
        <v>26.7392854261003</v>
      </c>
    </row>
    <row r="50" customFormat="false" ht="15" hidden="false" customHeight="false" outlineLevel="0" collapsed="false">
      <c r="A50" s="27" t="s">
        <v>367</v>
      </c>
      <c r="B50" s="81" t="n">
        <f aca="false">B44*B15</f>
        <v>0</v>
      </c>
      <c r="C50" s="81" t="n">
        <f aca="false">C44*C15</f>
        <v>0</v>
      </c>
      <c r="D50" s="81" t="n">
        <f aca="false">D44*D15</f>
        <v>0</v>
      </c>
      <c r="E50" s="81" t="n">
        <f aca="false">E44*E15</f>
        <v>0</v>
      </c>
      <c r="F50" s="81" t="n">
        <f aca="false">F44*F15</f>
        <v>0</v>
      </c>
      <c r="G50" s="81" t="n">
        <f aca="false">G44*G15</f>
        <v>0</v>
      </c>
      <c r="H50" s="81" t="n">
        <f aca="false">H44*H15</f>
        <v>0</v>
      </c>
      <c r="I50" s="81" t="n">
        <f aca="false">I44*I15</f>
        <v>0</v>
      </c>
      <c r="J50" s="81" t="n">
        <f aca="false">J44*J15</f>
        <v>0</v>
      </c>
      <c r="K50" s="81" t="n">
        <f aca="false">K44*K15</f>
        <v>2918.68519254171</v>
      </c>
      <c r="L50" s="81" t="n">
        <f aca="false">L44*L15</f>
        <v>469.897242969156</v>
      </c>
      <c r="M50" s="81" t="n">
        <f aca="false">M44*M15</f>
        <v>225.983022763456</v>
      </c>
      <c r="N50" s="81" t="n">
        <f aca="false">N44*N15</f>
        <v>324.818197054311</v>
      </c>
      <c r="O50" s="81" t="n">
        <f aca="false">O44*O15</f>
        <v>204.723429709715</v>
      </c>
      <c r="P50" s="81" t="n">
        <f aca="false">P44*P15</f>
        <v>144.664753137503</v>
      </c>
      <c r="Q50" s="81" t="n">
        <f aca="false">Q44*Q15</f>
        <v>104.658922227533</v>
      </c>
      <c r="R50" s="81" t="n">
        <f aca="false">R44*R15</f>
        <v>95.0697110907758</v>
      </c>
      <c r="S50" s="81" t="n">
        <f aca="false">S44*S15</f>
        <v>87.6034067141738</v>
      </c>
      <c r="T50" s="81" t="n">
        <f aca="false">T44*T15</f>
        <v>81.9294069963771</v>
      </c>
      <c r="U50" s="81" t="n">
        <f aca="false">U44*U15</f>
        <v>77.275104701818</v>
      </c>
      <c r="V50" s="81" t="n">
        <f aca="false">V44*V15</f>
        <v>73.4356852901983</v>
      </c>
      <c r="W50" s="81" t="n">
        <f aca="false">W44*W15</f>
        <v>61.1544345344496</v>
      </c>
      <c r="X50" s="81" t="n">
        <f aca="false">X44*X15</f>
        <v>59.188337773027</v>
      </c>
      <c r="Y50" s="81" t="n">
        <f aca="false">Y44*Y15</f>
        <v>57.4410865456828</v>
      </c>
      <c r="Z50" s="81" t="n">
        <f aca="false">Z44*Z15</f>
        <v>104.028714129365</v>
      </c>
      <c r="AA50" s="81" t="n">
        <f aca="false">AA44*AA15</f>
        <v>96.8445254136518</v>
      </c>
      <c r="AB50" s="81" t="n">
        <f aca="false">AB44*AB15</f>
        <v>84.2860467320503</v>
      </c>
      <c r="AC50" s="81" t="n">
        <f aca="false">AC44*AC15</f>
        <v>81.48425934172</v>
      </c>
      <c r="AD50" s="81" t="n">
        <f aca="false">AD44*AD15</f>
        <v>78.9576393121352</v>
      </c>
      <c r="AE50" s="81" t="n">
        <f aca="false">AE44*AE15</f>
        <v>72.5308306635266</v>
      </c>
      <c r="AF50" s="81" t="n">
        <f aca="false">AF44*AF15</f>
        <v>63.2214377184344</v>
      </c>
      <c r="AG50" s="81" t="n">
        <f aca="false">AG44*AG15</f>
        <v>61.0826506891392</v>
      </c>
      <c r="AH50" s="81" t="n">
        <f aca="false">AH44*AH15</f>
        <v>59.2329780036593</v>
      </c>
      <c r="AI50" s="81" t="n">
        <f aca="false">AI44*AI15</f>
        <v>57.623478879674</v>
      </c>
      <c r="AJ50" s="81" t="n">
        <f aca="false">AJ44*AJ15</f>
        <v>56.2109997430745</v>
      </c>
      <c r="AK50" s="81" t="n">
        <f aca="false">AK44*AK15</f>
        <v>54.961947095293</v>
      </c>
      <c r="AL50" s="81" t="n">
        <f aca="false">AL44*AL15</f>
        <v>87.9582124606568</v>
      </c>
      <c r="AM50" s="81" t="n">
        <f aca="false">AM44*AM15</f>
        <v>82.7635387121007</v>
      </c>
      <c r="AN50" s="81" t="n">
        <f aca="false">AN44*AN15</f>
        <v>78.4513021822108</v>
      </c>
      <c r="AO50" s="81" t="n">
        <f aca="false">AO44*AO15</f>
        <v>74.8202797592995</v>
      </c>
      <c r="AP50" s="81" t="n">
        <f aca="false">AP44*AP15</f>
        <v>71.7238841977672</v>
      </c>
      <c r="AQ50" s="81" t="n">
        <f aca="false">AQ44*AQ15</f>
        <v>69.0626192601501</v>
      </c>
      <c r="AR50" s="81" t="n">
        <f aca="false">AR44*AR15</f>
        <v>66.7525568731215</v>
      </c>
      <c r="AS50" s="81" t="n">
        <f aca="false">AS44*AS15</f>
        <v>64.7345368363317</v>
      </c>
      <c r="AT50" s="81" t="n">
        <f aca="false">AT44*AT15</f>
        <v>62.9626392048743</v>
      </c>
      <c r="AU50" s="81" t="n">
        <f aca="false">AU44*AU15</f>
        <v>61.3934442493585</v>
      </c>
      <c r="AV50" s="81" t="n">
        <f aca="false">AV44*AV15</f>
        <v>59.9992331029437</v>
      </c>
      <c r="AW50" s="81" t="n">
        <f aca="false">AW44*AW15</f>
        <v>58.7548070499248</v>
      </c>
      <c r="AX50" s="81" t="n">
        <f aca="false">AX44*AX15</f>
        <v>79.2281386639543</v>
      </c>
      <c r="AY50" s="81" t="n">
        <f aca="false">AY44*AY15</f>
        <v>74.8180309556412</v>
      </c>
      <c r="AZ50" s="81" t="n">
        <f aca="false">AZ44*AZ15</f>
        <v>71.10768913904</v>
      </c>
      <c r="BA50" s="81" t="n">
        <f aca="false">BA44*BA15</f>
        <v>67.9485161670327</v>
      </c>
      <c r="BB50" s="81" t="n">
        <f aca="false">BB44*BB15</f>
        <v>65.2285486136071</v>
      </c>
      <c r="BC50" s="81" t="n">
        <f aca="false">BC44*BC15</f>
        <v>62.8709531760749</v>
      </c>
      <c r="BD50" s="81" t="n">
        <f aca="false">BD44*BD15</f>
        <v>60.8099779754414</v>
      </c>
      <c r="BE50" s="81" t="n">
        <f aca="false">BE44*BE15</f>
        <v>58.9974851035578</v>
      </c>
      <c r="BF50" s="81" t="n">
        <f aca="false">BF44*BF15</f>
        <v>57.3909535499435</v>
      </c>
      <c r="BG50" s="81" t="n">
        <f aca="false">BG44*BG15</f>
        <v>55.9651746423114</v>
      </c>
      <c r="BH50" s="81" t="n">
        <f aca="false">BH44*BH15</f>
        <v>54.6900645875062</v>
      </c>
      <c r="BI50" s="81" t="n">
        <f aca="false">BI44*BI15</f>
        <v>53.5455866051482</v>
      </c>
    </row>
    <row r="52" customFormat="false" ht="18" hidden="false" customHeight="true" outlineLevel="0" collapsed="false">
      <c r="A52" s="25" t="s">
        <v>368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</row>
    <row r="53" customFormat="false" ht="15" hidden="false" customHeight="false" outlineLevel="0" collapsed="false">
      <c r="A53" s="62" t="s">
        <v>369</v>
      </c>
      <c r="B53" s="83" t="n">
        <f aca="false">IFERROR(B37/(B13*B24),0)</f>
        <v>0</v>
      </c>
      <c r="C53" s="83" t="n">
        <f aca="false">IFERROR(C37/(C13*C24),0)</f>
        <v>0</v>
      </c>
      <c r="D53" s="83" t="n">
        <f aca="false">IFERROR(D37/(D13*D24),0)</f>
        <v>0</v>
      </c>
      <c r="E53" s="83" t="n">
        <f aca="false">IFERROR(E37/(E13*E24),0)</f>
        <v>106.052598553796</v>
      </c>
      <c r="F53" s="83" t="n">
        <f aca="false">IFERROR(F37/(F13*F24),0)</f>
        <v>148.473637975315</v>
      </c>
      <c r="G53" s="83" t="n">
        <f aca="false">IFERROR(G37/(G13*G24),0)</f>
        <v>148.473637975315</v>
      </c>
      <c r="H53" s="83" t="n">
        <f aca="false">IFERROR(H37/(H13*H24),0)</f>
        <v>148.473637975315</v>
      </c>
      <c r="I53" s="83" t="n">
        <f aca="false">IFERROR(I37/(I13*I24),0)</f>
        <v>148.473637975315</v>
      </c>
      <c r="J53" s="83" t="n">
        <f aca="false">IFERROR(J37/(J13*J24),0)</f>
        <v>148.473637975315</v>
      </c>
      <c r="K53" s="83" t="n">
        <f aca="false">IFERROR(K37/(K13*K24),0)</f>
        <v>4412.7305539304</v>
      </c>
      <c r="L53" s="83" t="n">
        <f aca="false">IFERROR(L37/(L13*L24),0)</f>
        <v>2724.11017450955</v>
      </c>
      <c r="M53" s="83" t="n">
        <f aca="false">IFERROR(M37/(M13*M24),0)</f>
        <v>2832.84850563051</v>
      </c>
      <c r="N53" s="83" t="n">
        <f aca="false">IFERROR(N37/(N13*N24),0)</f>
        <v>8187.21177807027</v>
      </c>
      <c r="O53" s="83" t="n">
        <f aca="false">IFERROR(O37/(O13*O24),0)</f>
        <v>8339.73633789449</v>
      </c>
      <c r="P53" s="83" t="n">
        <f aca="false">IFERROR(P37/(P13*P24),0)</f>
        <v>8548.18866475002</v>
      </c>
      <c r="Q53" s="83" t="n">
        <f aca="false">IFERROR(Q37/(Q13*Q24),0)</f>
        <v>8756.92551436884</v>
      </c>
      <c r="R53" s="83" t="n">
        <f aca="false">IFERROR(R37/(R13*R24),0)</f>
        <v>8965.38788918483</v>
      </c>
      <c r="S53" s="83" t="n">
        <f aca="false">IFERROR(S37/(S13*S24),0)</f>
        <v>9120.96159287316</v>
      </c>
      <c r="T53" s="83" t="n">
        <f aca="false">IFERROR(T37/(T13*T24),0)</f>
        <v>9273.13752671517</v>
      </c>
      <c r="U53" s="83" t="n">
        <f aca="false">IFERROR(U37/(U13*U24),0)</f>
        <v>9393.80865397823</v>
      </c>
      <c r="V53" s="83" t="n">
        <f aca="false">IFERROR(V37/(V13*V24),0)</f>
        <v>9494.04019702333</v>
      </c>
      <c r="W53" s="83" t="n">
        <f aca="false">IFERROR(W37/(W13*W24),0)</f>
        <v>9580.04884784999</v>
      </c>
      <c r="X53" s="83" t="n">
        <f aca="false">IFERROR(X37/(X13*X24),0)</f>
        <v>9720.17039578309</v>
      </c>
      <c r="Y53" s="83" t="n">
        <f aca="false">IFERROR(Y37/(Y13*Y24),0)</f>
        <v>9835.37317347936</v>
      </c>
      <c r="Z53" s="83" t="n">
        <f aca="false">IFERROR(Z37/(Z13*Z24),0)</f>
        <v>21463.3532349957</v>
      </c>
      <c r="AA53" s="83" t="n">
        <f aca="false">IFERROR(AA37/(AA13*AA24),0)</f>
        <v>21642.5509686085</v>
      </c>
      <c r="AB53" s="83" t="n">
        <f aca="false">IFERROR(AB37/(AB13*AB24),0)</f>
        <v>20160.1120697377</v>
      </c>
      <c r="AC53" s="83" t="n">
        <f aca="false">IFERROR(AC37/(AC13*AC24),0)</f>
        <v>20696.3853649049</v>
      </c>
      <c r="AD53" s="83" t="n">
        <f aca="false">IFERROR(AD37/(AD13*AD24),0)</f>
        <v>21141.4959973421</v>
      </c>
      <c r="AE53" s="83" t="n">
        <f aca="false">IFERROR(AE37/(AE13*AE24),0)</f>
        <v>20330.6134081251</v>
      </c>
      <c r="AF53" s="83" t="n">
        <f aca="false">IFERROR(AF37/(AF13*AF24),0)</f>
        <v>17947.1652653671</v>
      </c>
      <c r="AG53" s="83" t="n">
        <f aca="false">IFERROR(AG37/(AG13*AG24),0)</f>
        <v>17990.6076733345</v>
      </c>
      <c r="AH53" s="83" t="n">
        <f aca="false">IFERROR(AH37/(AH13*AH24),0)</f>
        <v>18031.0483970112</v>
      </c>
      <c r="AI53" s="83" t="n">
        <f aca="false">IFERROR(AI37/(AI13*AI24),0)</f>
        <v>18068.5968364216</v>
      </c>
      <c r="AJ53" s="83" t="n">
        <f aca="false">IFERROR(AJ37/(AJ13*AJ24),0)</f>
        <v>18103.4682490218</v>
      </c>
      <c r="AK53" s="83" t="n">
        <f aca="false">IFERROR(AK37/(AK13*AK24),0)</f>
        <v>18135.7977184394</v>
      </c>
      <c r="AL53" s="83" t="n">
        <f aca="false">IFERROR(AL37/(AL13*AL24),0)</f>
        <v>34230.643035394</v>
      </c>
      <c r="AM53" s="83" t="n">
        <f aca="false">IFERROR(AM37/(AM13*AM24),0)</f>
        <v>34230.3485155886</v>
      </c>
      <c r="AN53" s="83" t="n">
        <f aca="false">IFERROR(AN37/(AN13*AN24),0)</f>
        <v>34230.0286690221</v>
      </c>
      <c r="AO53" s="83" t="n">
        <f aca="false">IFERROR(AO37/(AO13*AO24),0)</f>
        <v>34229.8079214079</v>
      </c>
      <c r="AP53" s="83" t="n">
        <f aca="false">IFERROR(AP37/(AP13*AP24),0)</f>
        <v>34229.5482666309</v>
      </c>
      <c r="AQ53" s="83" t="n">
        <f aca="false">IFERROR(AQ37/(AQ13*AQ24),0)</f>
        <v>34229.3033315906</v>
      </c>
      <c r="AR53" s="83" t="n">
        <f aca="false">IFERROR(AR37/(AR13*AR24),0)</f>
        <v>34229.0940965144</v>
      </c>
      <c r="AS53" s="83" t="n">
        <f aca="false">IFERROR(AS37/(AS13*AS24),0)</f>
        <v>34228.8905222331</v>
      </c>
      <c r="AT53" s="83" t="n">
        <f aca="false">IFERROR(AT37/(AT13*AT24),0)</f>
        <v>34228.6988369435</v>
      </c>
      <c r="AU53" s="83" t="n">
        <f aca="false">IFERROR(AU37/(AU13*AU24),0)</f>
        <v>34228.558922061</v>
      </c>
      <c r="AV53" s="83" t="n">
        <f aca="false">IFERROR(AV37/(AV13*AV24),0)</f>
        <v>34228.3770710283</v>
      </c>
      <c r="AW53" s="83" t="n">
        <f aca="false">IFERROR(AW37/(AW13*AW24),0)</f>
        <v>34228.2502378797</v>
      </c>
      <c r="AX53" s="83" t="n">
        <f aca="false">IFERROR(AX37/(AX13*AX24),0)</f>
        <v>54234.0263520456</v>
      </c>
      <c r="AY53" s="83" t="n">
        <f aca="false">IFERROR(AY37/(AY13*AY24),0)</f>
        <v>54158.8041991896</v>
      </c>
      <c r="AZ53" s="83" t="n">
        <f aca="false">IFERROR(AZ37/(AZ13*AZ24),0)</f>
        <v>54088.2794404905</v>
      </c>
      <c r="BA53" s="83" t="n">
        <f aca="false">IFERROR(BA37/(BA13*BA24),0)</f>
        <v>54022.1002379952</v>
      </c>
      <c r="BB53" s="83" t="n">
        <f aca="false">IFERROR(BB37/(BB13*BB24),0)</f>
        <v>53960.1235475581</v>
      </c>
      <c r="BC53" s="83" t="n">
        <f aca="false">IFERROR(BC37/(BC13*BC24),0)</f>
        <v>53901.9989173195</v>
      </c>
      <c r="BD53" s="83" t="n">
        <f aca="false">IFERROR(BD37/(BD13*BD24),0)</f>
        <v>53847.5027235544</v>
      </c>
      <c r="BE53" s="83" t="n">
        <f aca="false">IFERROR(BE37/(BE13*BE24),0)</f>
        <v>53796.4006716052</v>
      </c>
      <c r="BF53" s="83" t="n">
        <f aca="false">IFERROR(BF37/(BF13*BF24),0)</f>
        <v>53748.5103468131</v>
      </c>
      <c r="BG53" s="83" t="n">
        <f aca="false">IFERROR(BG37/(BG13*BG24),0)</f>
        <v>53703.5613036398</v>
      </c>
      <c r="BH53" s="83" t="n">
        <f aca="false">IFERROR(BH37/(BH13*BH24),0)</f>
        <v>53661.4725546923</v>
      </c>
      <c r="BI53" s="83" t="n">
        <f aca="false">IFERROR(BI37/(BI13*BI24),0)</f>
        <v>53621.9928023859</v>
      </c>
      <c r="BK53" s="29" t="s">
        <v>370</v>
      </c>
    </row>
    <row r="54" customFormat="false" ht="15" hidden="false" customHeight="false" outlineLevel="0" collapsed="false">
      <c r="A54" s="71" t="s">
        <v>371</v>
      </c>
      <c r="B54" s="72" t="n">
        <f aca="false">B16</f>
        <v>0</v>
      </c>
      <c r="C54" s="72" t="n">
        <f aca="false">C16</f>
        <v>0</v>
      </c>
      <c r="D54" s="72" t="n">
        <f aca="false">D16</f>
        <v>0</v>
      </c>
      <c r="E54" s="72" t="n">
        <f aca="false">E16</f>
        <v>0</v>
      </c>
      <c r="F54" s="72" t="n">
        <f aca="false">F16</f>
        <v>0</v>
      </c>
      <c r="G54" s="72" t="n">
        <f aca="false">G16</f>
        <v>0</v>
      </c>
      <c r="H54" s="72" t="n">
        <f aca="false">H16</f>
        <v>0</v>
      </c>
      <c r="I54" s="72" t="n">
        <f aca="false">I16</f>
        <v>0</v>
      </c>
      <c r="J54" s="72" t="n">
        <f aca="false">J16</f>
        <v>0</v>
      </c>
      <c r="K54" s="72" t="n">
        <f aca="false">K16</f>
        <v>151</v>
      </c>
      <c r="L54" s="72" t="n">
        <f aca="false">L16</f>
        <v>579</v>
      </c>
      <c r="M54" s="72" t="n">
        <f aca="false">M16</f>
        <v>1252</v>
      </c>
      <c r="N54" s="72" t="n">
        <f aca="false">N16</f>
        <v>2644</v>
      </c>
      <c r="O54" s="72" t="n">
        <f aca="false">O16</f>
        <v>4279</v>
      </c>
      <c r="P54" s="72" t="n">
        <f aca="false">P16</f>
        <v>6214</v>
      </c>
      <c r="Q54" s="72" t="n">
        <f aca="false">Q16</f>
        <v>8807.97487437186</v>
      </c>
      <c r="R54" s="72" t="n">
        <f aca="false">R16</f>
        <v>9935.99497487437</v>
      </c>
      <c r="S54" s="72" t="n">
        <f aca="false">S16</f>
        <v>10978.9396984925</v>
      </c>
      <c r="T54" s="72" t="n">
        <f aca="false">T16</f>
        <v>11943.8140703518</v>
      </c>
      <c r="U54" s="72" t="n">
        <f aca="false">U16</f>
        <v>12836.6231155779</v>
      </c>
      <c r="V54" s="72" t="n">
        <f aca="false">V16</f>
        <v>13660.3668341709</v>
      </c>
      <c r="W54" s="72" t="n">
        <f aca="false">W16</f>
        <v>16561.7487437186</v>
      </c>
      <c r="X54" s="72" t="n">
        <f aca="false">X16</f>
        <v>17369.8994974874</v>
      </c>
      <c r="Y54" s="72" t="n">
        <f aca="false">Y16</f>
        <v>18117.9698492462</v>
      </c>
      <c r="Z54" s="72" t="n">
        <f aca="false">Z16</f>
        <v>22751.0201005025</v>
      </c>
      <c r="AA54" s="72" t="n">
        <f aca="false">AA16</f>
        <v>24663.1306532663</v>
      </c>
      <c r="AB54" s="72" t="n">
        <f aca="false">AB16</f>
        <v>26441.0251256281</v>
      </c>
      <c r="AC54" s="72" t="n">
        <f aca="false">AC16</f>
        <v>28091.7085427136</v>
      </c>
      <c r="AD54" s="72" t="n">
        <f aca="false">AD16</f>
        <v>29628.2110552764</v>
      </c>
      <c r="AE54" s="72" t="n">
        <f aca="false">AE16</f>
        <v>31054.5326633166</v>
      </c>
      <c r="AF54" s="72" t="n">
        <f aca="false">AF16</f>
        <v>32377.6783919598</v>
      </c>
      <c r="AG54" s="72" t="n">
        <f aca="false">AG16</f>
        <v>33611.6934673367</v>
      </c>
      <c r="AH54" s="72" t="n">
        <f aca="false">AH16</f>
        <v>34757.5577889447</v>
      </c>
      <c r="AI54" s="72" t="n">
        <f aca="false">AI16</f>
        <v>35820.2814070352</v>
      </c>
      <c r="AJ54" s="72" t="n">
        <f aca="false">AJ16</f>
        <v>36807.8844221106</v>
      </c>
      <c r="AK54" s="72" t="n">
        <f aca="false">AK16</f>
        <v>37727.3869346734</v>
      </c>
      <c r="AL54" s="72" t="n">
        <f aca="false">AL16</f>
        <v>46116.040201005</v>
      </c>
      <c r="AM54" s="72" t="n">
        <f aca="false">AM16</f>
        <v>49066.3567839196</v>
      </c>
      <c r="AN54" s="72" t="n">
        <f aca="false">AN16</f>
        <v>51818.311557789</v>
      </c>
      <c r="AO54" s="72" t="n">
        <f aca="false">AO16</f>
        <v>54386.9296482412</v>
      </c>
      <c r="AP54" s="72" t="n">
        <f aca="false">AP16</f>
        <v>56787.256281407</v>
      </c>
      <c r="AQ54" s="72" t="n">
        <f aca="false">AQ16</f>
        <v>59026.2864321608</v>
      </c>
      <c r="AR54" s="72" t="n">
        <f aca="false">AR16</f>
        <v>61118.0552763819</v>
      </c>
      <c r="AS54" s="72" t="n">
        <f aca="false">AS16</f>
        <v>63070.5728643216</v>
      </c>
      <c r="AT54" s="72" t="n">
        <f aca="false">AT16</f>
        <v>64890.8442211055</v>
      </c>
      <c r="AU54" s="72" t="n">
        <f aca="false">AU16</f>
        <v>66592.9095477387</v>
      </c>
      <c r="AV54" s="72" t="n">
        <f aca="false">AV16</f>
        <v>68181.7738693467</v>
      </c>
      <c r="AW54" s="72" t="n">
        <f aca="false">AW16</f>
        <v>69665.4472361809</v>
      </c>
      <c r="AX54" s="72" t="n">
        <f aca="false">AX16</f>
        <v>84408.2010050251</v>
      </c>
      <c r="AY54" s="72" t="n">
        <f aca="false">AY16</f>
        <v>89378.9296482412</v>
      </c>
      <c r="AZ54" s="72" t="n">
        <f aca="false">AZ16</f>
        <v>94038.0452261307</v>
      </c>
      <c r="BA54" s="72" t="n">
        <f aca="false">BA16</f>
        <v>98405.5929648241</v>
      </c>
      <c r="BB54" s="72" t="n">
        <f aca="false">BB16</f>
        <v>102504.623115578</v>
      </c>
      <c r="BC54" s="72" t="n">
        <f aca="false">BC16</f>
        <v>106344.135678392</v>
      </c>
      <c r="BD54" s="72" t="n">
        <f aca="false">BD16</f>
        <v>109944.180904523</v>
      </c>
      <c r="BE54" s="72" t="n">
        <f aca="false">BE16</f>
        <v>113317.778894472</v>
      </c>
      <c r="BF54" s="72" t="n">
        <f aca="false">BF16</f>
        <v>116485.989949749</v>
      </c>
      <c r="BG54" s="72" t="n">
        <f aca="false">BG16</f>
        <v>119449.783919598</v>
      </c>
      <c r="BH54" s="72" t="n">
        <f aca="false">BH16</f>
        <v>122231.226130653</v>
      </c>
      <c r="BI54" s="72" t="n">
        <f aca="false">BI16</f>
        <v>124840.336683417</v>
      </c>
    </row>
    <row r="55" customFormat="false" ht="15" hidden="false" customHeight="false" outlineLevel="0" collapsed="false">
      <c r="A55" s="27" t="s">
        <v>372</v>
      </c>
      <c r="B55" s="91" t="n">
        <f aca="false">B54-B53</f>
        <v>0</v>
      </c>
      <c r="C55" s="91" t="n">
        <f aca="false">C54-C53</f>
        <v>0</v>
      </c>
      <c r="D55" s="91" t="n">
        <f aca="false">D54-D53</f>
        <v>0</v>
      </c>
      <c r="E55" s="91" t="n">
        <f aca="false">E54-E53</f>
        <v>-106.052598553796</v>
      </c>
      <c r="F55" s="91" t="n">
        <f aca="false">F54-F53</f>
        <v>-148.473637975315</v>
      </c>
      <c r="G55" s="91" t="n">
        <f aca="false">G54-G53</f>
        <v>-148.473637975315</v>
      </c>
      <c r="H55" s="91" t="n">
        <f aca="false">H54-H53</f>
        <v>-148.473637975315</v>
      </c>
      <c r="I55" s="91" t="n">
        <f aca="false">I54-I53</f>
        <v>-148.473637975315</v>
      </c>
      <c r="J55" s="91" t="n">
        <f aca="false">J54-J53</f>
        <v>-148.473637975315</v>
      </c>
      <c r="K55" s="91" t="n">
        <f aca="false">K54-K53</f>
        <v>-4261.7305539304</v>
      </c>
      <c r="L55" s="91" t="n">
        <f aca="false">L54-L53</f>
        <v>-2145.11017450955</v>
      </c>
      <c r="M55" s="91" t="n">
        <f aca="false">M54-M53</f>
        <v>-1580.84850563051</v>
      </c>
      <c r="N55" s="91" t="n">
        <f aca="false">N54-N53</f>
        <v>-5543.21177807027</v>
      </c>
      <c r="O55" s="91" t="n">
        <f aca="false">O54-O53</f>
        <v>-4060.73633789449</v>
      </c>
      <c r="P55" s="91" t="n">
        <f aca="false">P54-P53</f>
        <v>-2334.18866475002</v>
      </c>
      <c r="Q55" s="91" t="n">
        <f aca="false">Q54-Q53</f>
        <v>51.0493600030241</v>
      </c>
      <c r="R55" s="91" t="n">
        <f aca="false">R54-R53</f>
        <v>970.607085689539</v>
      </c>
      <c r="S55" s="91" t="n">
        <f aca="false">S54-S53</f>
        <v>1857.9781056193</v>
      </c>
      <c r="T55" s="91" t="n">
        <f aca="false">T54-T53</f>
        <v>2670.67654363659</v>
      </c>
      <c r="U55" s="91" t="n">
        <f aca="false">U54-U53</f>
        <v>3442.81446159966</v>
      </c>
      <c r="V55" s="91" t="n">
        <f aca="false">V54-V53</f>
        <v>4166.32663714753</v>
      </c>
      <c r="W55" s="91" t="n">
        <f aca="false">W54-W53</f>
        <v>6981.6998958686</v>
      </c>
      <c r="X55" s="91" t="n">
        <f aca="false">X54-X53</f>
        <v>7649.72910170434</v>
      </c>
      <c r="Y55" s="91" t="n">
        <f aca="false">Y54-Y53</f>
        <v>8282.59667576688</v>
      </c>
      <c r="Z55" s="91" t="n">
        <f aca="false">Z54-Z53</f>
        <v>1287.66686550686</v>
      </c>
      <c r="AA55" s="91" t="n">
        <f aca="false">AA54-AA53</f>
        <v>3020.57968465779</v>
      </c>
      <c r="AB55" s="91" t="n">
        <f aca="false">AB54-AB53</f>
        <v>6280.91305589045</v>
      </c>
      <c r="AC55" s="91" t="n">
        <f aca="false">AC54-AC53</f>
        <v>7395.32317780867</v>
      </c>
      <c r="AD55" s="91" t="n">
        <f aca="false">AD54-AD53</f>
        <v>8486.71505793428</v>
      </c>
      <c r="AE55" s="91" t="n">
        <f aca="false">AE54-AE53</f>
        <v>10723.9192551915</v>
      </c>
      <c r="AF55" s="91" t="n">
        <f aca="false">AF54-AF53</f>
        <v>14430.5131265927</v>
      </c>
      <c r="AG55" s="91" t="n">
        <f aca="false">AG54-AG53</f>
        <v>15621.0857940022</v>
      </c>
      <c r="AH55" s="91" t="n">
        <f aca="false">AH54-AH53</f>
        <v>16726.5093919335</v>
      </c>
      <c r="AI55" s="91" t="n">
        <f aca="false">AI54-AI53</f>
        <v>17751.6845706136</v>
      </c>
      <c r="AJ55" s="91" t="n">
        <f aca="false">AJ54-AJ53</f>
        <v>18704.4161730888</v>
      </c>
      <c r="AK55" s="91" t="n">
        <f aca="false">AK54-AK53</f>
        <v>19591.589216234</v>
      </c>
      <c r="AL55" s="91" t="n">
        <f aca="false">AL54-AL53</f>
        <v>11885.397165611</v>
      </c>
      <c r="AM55" s="91" t="n">
        <f aca="false">AM54-AM53</f>
        <v>14836.008268331</v>
      </c>
      <c r="AN55" s="91" t="n">
        <f aca="false">AN54-AN53</f>
        <v>17588.2828887669</v>
      </c>
      <c r="AO55" s="91" t="n">
        <f aca="false">AO54-AO53</f>
        <v>20157.1217268333</v>
      </c>
      <c r="AP55" s="91" t="n">
        <f aca="false">AP54-AP53</f>
        <v>22557.7080147762</v>
      </c>
      <c r="AQ55" s="91" t="n">
        <f aca="false">AQ54-AQ53</f>
        <v>24796.9831005702</v>
      </c>
      <c r="AR55" s="91" t="n">
        <f aca="false">AR54-AR53</f>
        <v>26888.9611798675</v>
      </c>
      <c r="AS55" s="91" t="n">
        <f aca="false">AS54-AS53</f>
        <v>28841.6823420885</v>
      </c>
      <c r="AT55" s="91" t="n">
        <f aca="false">AT54-AT53</f>
        <v>30662.145384162</v>
      </c>
      <c r="AU55" s="91" t="n">
        <f aca="false">AU54-AU53</f>
        <v>32364.3506256777</v>
      </c>
      <c r="AV55" s="91" t="n">
        <f aca="false">AV54-AV53</f>
        <v>33953.3967983184</v>
      </c>
      <c r="AW55" s="91" t="n">
        <f aca="false">AW54-AW53</f>
        <v>35437.1969983012</v>
      </c>
      <c r="AX55" s="91" t="n">
        <f aca="false">AX54-AX53</f>
        <v>30174.1746529796</v>
      </c>
      <c r="AY55" s="91" t="n">
        <f aca="false">AY54-AY53</f>
        <v>35220.1254490516</v>
      </c>
      <c r="AZ55" s="91" t="n">
        <f aca="false">AZ54-AZ53</f>
        <v>39949.7657856402</v>
      </c>
      <c r="BA55" s="91" t="n">
        <f aca="false">BA54-BA53</f>
        <v>44383.4927268289</v>
      </c>
      <c r="BB55" s="91" t="n">
        <f aca="false">BB54-BB53</f>
        <v>48544.4995680198</v>
      </c>
      <c r="BC55" s="91" t="n">
        <f aca="false">BC54-BC53</f>
        <v>52442.1367610725</v>
      </c>
      <c r="BD55" s="91" t="n">
        <f aca="false">BD54-BD53</f>
        <v>56096.6781809683</v>
      </c>
      <c r="BE55" s="91" t="n">
        <f aca="false">BE54-BE53</f>
        <v>59521.3782228672</v>
      </c>
      <c r="BF55" s="91" t="n">
        <f aca="false">BF54-BF53</f>
        <v>62737.4796029356</v>
      </c>
      <c r="BG55" s="91" t="n">
        <f aca="false">BG54-BG53</f>
        <v>65746.2226159582</v>
      </c>
      <c r="BH55" s="91" t="n">
        <f aca="false">BH54-BH53</f>
        <v>68569.753575961</v>
      </c>
      <c r="BI55" s="91" t="n">
        <f aca="false">BI54-BI53</f>
        <v>71218.3438810312</v>
      </c>
      <c r="BK55" s="29" t="s">
        <v>373</v>
      </c>
    </row>
    <row r="56" customFormat="false" ht="15" hidden="false" customHeight="false" outlineLevel="0" collapsed="false">
      <c r="A56" s="71" t="s">
        <v>374</v>
      </c>
      <c r="B56" s="72" t="n">
        <f aca="false">IF(AND(B54&gt;0,B54&gt;=B53),B$5,9999)</f>
        <v>9999</v>
      </c>
      <c r="C56" s="72" t="n">
        <f aca="false">IF(AND(C54&gt;0,C54&gt;=C53),C$5,9999)</f>
        <v>9999</v>
      </c>
      <c r="D56" s="72" t="n">
        <f aca="false">IF(AND(D54&gt;0,D54&gt;=D53),D$5,9999)</f>
        <v>9999</v>
      </c>
      <c r="E56" s="72" t="n">
        <f aca="false">IF(AND(E54&gt;0,E54&gt;=E53),E$5,9999)</f>
        <v>9999</v>
      </c>
      <c r="F56" s="72" t="n">
        <f aca="false">IF(AND(F54&gt;0,F54&gt;=F53),F$5,9999)</f>
        <v>9999</v>
      </c>
      <c r="G56" s="72" t="n">
        <f aca="false">IF(AND(G54&gt;0,G54&gt;=G53),G$5,9999)</f>
        <v>9999</v>
      </c>
      <c r="H56" s="72" t="n">
        <f aca="false">IF(AND(H54&gt;0,H54&gt;=H53),H$5,9999)</f>
        <v>9999</v>
      </c>
      <c r="I56" s="72" t="n">
        <f aca="false">IF(AND(I54&gt;0,I54&gt;=I53),I$5,9999)</f>
        <v>9999</v>
      </c>
      <c r="J56" s="72" t="n">
        <f aca="false">IF(AND(J54&gt;0,J54&gt;=J53),J$5,9999)</f>
        <v>9999</v>
      </c>
      <c r="K56" s="72" t="n">
        <f aca="false">IF(AND(K54&gt;0,K54&gt;=K53),K$5,9999)</f>
        <v>9999</v>
      </c>
      <c r="L56" s="72" t="n">
        <f aca="false">IF(AND(L54&gt;0,L54&gt;=L53),L$5,9999)</f>
        <v>9999</v>
      </c>
      <c r="M56" s="72" t="n">
        <f aca="false">IF(AND(M54&gt;0,M54&gt;=M53),M$5,9999)</f>
        <v>9999</v>
      </c>
      <c r="N56" s="72" t="n">
        <f aca="false">IF(AND(N54&gt;0,N54&gt;=N53),N$5,9999)</f>
        <v>9999</v>
      </c>
      <c r="O56" s="72" t="n">
        <f aca="false">IF(AND(O54&gt;0,O54&gt;=O53),O$5,9999)</f>
        <v>9999</v>
      </c>
      <c r="P56" s="72" t="n">
        <f aca="false">IF(AND(P54&gt;0,P54&gt;=P53),P$5,9999)</f>
        <v>9999</v>
      </c>
      <c r="Q56" s="72" t="n">
        <f aca="false">IF(AND(Q54&gt;0,Q54&gt;=Q53),Q$5,9999)</f>
        <v>16</v>
      </c>
      <c r="R56" s="72" t="n">
        <f aca="false">IF(AND(R54&gt;0,R54&gt;=R53),R$5,9999)</f>
        <v>17</v>
      </c>
      <c r="S56" s="72" t="n">
        <f aca="false">IF(AND(S54&gt;0,S54&gt;=S53),S$5,9999)</f>
        <v>18</v>
      </c>
      <c r="T56" s="72" t="n">
        <f aca="false">IF(AND(T54&gt;0,T54&gt;=T53),T$5,9999)</f>
        <v>19</v>
      </c>
      <c r="U56" s="72" t="n">
        <f aca="false">IF(AND(U54&gt;0,U54&gt;=U53),U$5,9999)</f>
        <v>20</v>
      </c>
      <c r="V56" s="72" t="n">
        <f aca="false">IF(AND(V54&gt;0,V54&gt;=V53),V$5,9999)</f>
        <v>21</v>
      </c>
      <c r="W56" s="72" t="n">
        <f aca="false">IF(AND(W54&gt;0,W54&gt;=W53),W$5,9999)</f>
        <v>22</v>
      </c>
      <c r="X56" s="72" t="n">
        <f aca="false">IF(AND(X54&gt;0,X54&gt;=X53),X$5,9999)</f>
        <v>23</v>
      </c>
      <c r="Y56" s="72" t="n">
        <f aca="false">IF(AND(Y54&gt;0,Y54&gt;=Y53),Y$5,9999)</f>
        <v>24</v>
      </c>
      <c r="Z56" s="72" t="n">
        <f aca="false">IF(AND(Z54&gt;0,Z54&gt;=Z53),Z$5,9999)</f>
        <v>25</v>
      </c>
      <c r="AA56" s="72" t="n">
        <f aca="false">IF(AND(AA54&gt;0,AA54&gt;=AA53),AA$5,9999)</f>
        <v>26</v>
      </c>
      <c r="AB56" s="72" t="n">
        <f aca="false">IF(AND(AB54&gt;0,AB54&gt;=AB53),AB$5,9999)</f>
        <v>27</v>
      </c>
      <c r="AC56" s="72" t="n">
        <f aca="false">IF(AND(AC54&gt;0,AC54&gt;=AC53),AC$5,9999)</f>
        <v>28</v>
      </c>
      <c r="AD56" s="72" t="n">
        <f aca="false">IF(AND(AD54&gt;0,AD54&gt;=AD53),AD$5,9999)</f>
        <v>29</v>
      </c>
      <c r="AE56" s="72" t="n">
        <f aca="false">IF(AND(AE54&gt;0,AE54&gt;=AE53),AE$5,9999)</f>
        <v>30</v>
      </c>
      <c r="AF56" s="72" t="n">
        <f aca="false">IF(AND(AF54&gt;0,AF54&gt;=AF53),AF$5,9999)</f>
        <v>31</v>
      </c>
      <c r="AG56" s="72" t="n">
        <f aca="false">IF(AND(AG54&gt;0,AG54&gt;=AG53),AG$5,9999)</f>
        <v>32</v>
      </c>
      <c r="AH56" s="72" t="n">
        <f aca="false">IF(AND(AH54&gt;0,AH54&gt;=AH53),AH$5,9999)</f>
        <v>33</v>
      </c>
      <c r="AI56" s="72" t="n">
        <f aca="false">IF(AND(AI54&gt;0,AI54&gt;=AI53),AI$5,9999)</f>
        <v>34</v>
      </c>
      <c r="AJ56" s="72" t="n">
        <f aca="false">IF(AND(AJ54&gt;0,AJ54&gt;=AJ53),AJ$5,9999)</f>
        <v>35</v>
      </c>
      <c r="AK56" s="72" t="n">
        <f aca="false">IF(AND(AK54&gt;0,AK54&gt;=AK53),AK$5,9999)</f>
        <v>36</v>
      </c>
      <c r="AL56" s="72" t="n">
        <f aca="false">IF(AND(AL54&gt;0,AL54&gt;=AL53),AL$5,9999)</f>
        <v>37</v>
      </c>
      <c r="AM56" s="72" t="n">
        <f aca="false">IF(AND(AM54&gt;0,AM54&gt;=AM53),AM$5,9999)</f>
        <v>38</v>
      </c>
      <c r="AN56" s="72" t="n">
        <f aca="false">IF(AND(AN54&gt;0,AN54&gt;=AN53),AN$5,9999)</f>
        <v>39</v>
      </c>
      <c r="AO56" s="72" t="n">
        <f aca="false">IF(AND(AO54&gt;0,AO54&gt;=AO53),AO$5,9999)</f>
        <v>40</v>
      </c>
      <c r="AP56" s="72" t="n">
        <f aca="false">IF(AND(AP54&gt;0,AP54&gt;=AP53),AP$5,9999)</f>
        <v>41</v>
      </c>
      <c r="AQ56" s="72" t="n">
        <f aca="false">IF(AND(AQ54&gt;0,AQ54&gt;=AQ53),AQ$5,9999)</f>
        <v>42</v>
      </c>
      <c r="AR56" s="72" t="n">
        <f aca="false">IF(AND(AR54&gt;0,AR54&gt;=AR53),AR$5,9999)</f>
        <v>43</v>
      </c>
      <c r="AS56" s="72" t="n">
        <f aca="false">IF(AND(AS54&gt;0,AS54&gt;=AS53),AS$5,9999)</f>
        <v>44</v>
      </c>
      <c r="AT56" s="72" t="n">
        <f aca="false">IF(AND(AT54&gt;0,AT54&gt;=AT53),AT$5,9999)</f>
        <v>45</v>
      </c>
      <c r="AU56" s="72" t="n">
        <f aca="false">IF(AND(AU54&gt;0,AU54&gt;=AU53),AU$5,9999)</f>
        <v>46</v>
      </c>
      <c r="AV56" s="72" t="n">
        <f aca="false">IF(AND(AV54&gt;0,AV54&gt;=AV53),AV$5,9999)</f>
        <v>47</v>
      </c>
      <c r="AW56" s="72" t="n">
        <f aca="false">IF(AND(AW54&gt;0,AW54&gt;=AW53),AW$5,9999)</f>
        <v>48</v>
      </c>
      <c r="AX56" s="72" t="n">
        <f aca="false">IF(AND(AX54&gt;0,AX54&gt;=AX53),AX$5,9999)</f>
        <v>49</v>
      </c>
      <c r="AY56" s="72" t="n">
        <f aca="false">IF(AND(AY54&gt;0,AY54&gt;=AY53),AY$5,9999)</f>
        <v>50</v>
      </c>
      <c r="AZ56" s="72" t="n">
        <f aca="false">IF(AND(AZ54&gt;0,AZ54&gt;=AZ53),AZ$5,9999)</f>
        <v>51</v>
      </c>
      <c r="BA56" s="72" t="n">
        <f aca="false">IF(AND(BA54&gt;0,BA54&gt;=BA53),BA$5,9999)</f>
        <v>52</v>
      </c>
      <c r="BB56" s="72" t="n">
        <f aca="false">IF(AND(BB54&gt;0,BB54&gt;=BB53),BB$5,9999)</f>
        <v>53</v>
      </c>
      <c r="BC56" s="72" t="n">
        <f aca="false">IF(AND(BC54&gt;0,BC54&gt;=BC53),BC$5,9999)</f>
        <v>54</v>
      </c>
      <c r="BD56" s="72" t="n">
        <f aca="false">IF(AND(BD54&gt;0,BD54&gt;=BD53),BD$5,9999)</f>
        <v>55</v>
      </c>
      <c r="BE56" s="72" t="n">
        <f aca="false">IF(AND(BE54&gt;0,BE54&gt;=BE53),BE$5,9999)</f>
        <v>56</v>
      </c>
      <c r="BF56" s="72" t="n">
        <f aca="false">IF(AND(BF54&gt;0,BF54&gt;=BF53),BF$5,9999)</f>
        <v>57</v>
      </c>
      <c r="BG56" s="72" t="n">
        <f aca="false">IF(AND(BG54&gt;0,BG54&gt;=BG53),BG$5,9999)</f>
        <v>58</v>
      </c>
      <c r="BH56" s="72" t="n">
        <f aca="false">IF(AND(BH54&gt;0,BH54&gt;=BH53),BH$5,9999)</f>
        <v>59</v>
      </c>
      <c r="BI56" s="72" t="n">
        <f aca="false">IF(AND(BI54&gt;0,BI54&gt;=BI53),BI$5,9999)</f>
        <v>60</v>
      </c>
    </row>
    <row r="57" customFormat="false" ht="15" hidden="false" customHeight="false" outlineLevel="0" collapsed="false">
      <c r="A57" s="71" t="s">
        <v>375</v>
      </c>
      <c r="B57" s="84" t="n">
        <f aca="false">B13*B16*B24+B36-B35-CHOOSE(Premissas!$B$6,Cenários!B40,Cenários!B86,Cenários!B132)</f>
        <v>0</v>
      </c>
      <c r="C57" s="84" t="n">
        <f aca="false">C13*C16*C24+C36-C35-CHOOSE(Premissas!$B$6,Cenários!C40,Cenários!C86,Cenários!C132)</f>
        <v>0</v>
      </c>
      <c r="D57" s="84" t="n">
        <f aca="false">D13*D16*D24+D36-D35-CHOOSE(Premissas!$B$6,Cenários!D40,Cenários!D86,Cenários!D132)</f>
        <v>0</v>
      </c>
      <c r="E57" s="84" t="n">
        <f aca="false">E13*E16*E24+E36-E35-CHOOSE(Premissas!$B$6,Cenários!E40,Cenários!E86,Cenários!E132)</f>
        <v>0</v>
      </c>
      <c r="F57" s="84" t="n">
        <f aca="false">F13*F16*F24+F36-F35-CHOOSE(Premissas!$B$6,Cenários!F40,Cenários!F86,Cenários!F132)</f>
        <v>0</v>
      </c>
      <c r="G57" s="84" t="n">
        <f aca="false">G13*G16*G24+G36-G35-CHOOSE(Premissas!$B$6,Cenários!G40,Cenários!G86,Cenários!G132)</f>
        <v>0</v>
      </c>
      <c r="H57" s="84" t="n">
        <f aca="false">H13*H16*H24+H36-H35-CHOOSE(Premissas!$B$6,Cenários!H40,Cenários!H86,Cenários!H132)</f>
        <v>0</v>
      </c>
      <c r="I57" s="84" t="n">
        <f aca="false">I13*I16*I24+I36-I35-CHOOSE(Premissas!$B$6,Cenários!I40,Cenários!I86,Cenários!I132)</f>
        <v>0</v>
      </c>
      <c r="J57" s="84" t="n">
        <f aca="false">J13*J16*J24+J36-J35-CHOOSE(Premissas!$B$6,Cenários!J40,Cenários!J86,Cenários!J132)</f>
        <v>0</v>
      </c>
      <c r="K57" s="84" t="n">
        <f aca="false">K13*K16*K24+K36-K35-CHOOSE(Premissas!$B$6,Cenários!K40,Cenários!K86,Cenários!K132)</f>
        <v>0</v>
      </c>
      <c r="L57" s="84" t="n">
        <f aca="false">L13*L16*L24+L36-L35-CHOOSE(Premissas!$B$6,Cenários!L40,Cenários!L86,Cenários!L132)</f>
        <v>0</v>
      </c>
      <c r="M57" s="84" t="n">
        <f aca="false">M13*M16*M24+M36-M35-CHOOSE(Premissas!$B$6,Cenários!M40,Cenários!M86,Cenários!M132)</f>
        <v>0</v>
      </c>
      <c r="N57" s="84" t="n">
        <f aca="false">N13*N16*N24+N36-N35-CHOOSE(Premissas!$B$6,Cenários!N40,Cenários!N86,Cenários!N132)</f>
        <v>0</v>
      </c>
      <c r="O57" s="84" t="n">
        <f aca="false">O13*O16*O24+O36-O35-CHOOSE(Premissas!$B$6,Cenários!O40,Cenários!O86,Cenários!O132)</f>
        <v>0</v>
      </c>
      <c r="P57" s="84" t="n">
        <f aca="false">P13*P16*P24+P36-P35-CHOOSE(Premissas!$B$6,Cenários!P40,Cenários!P86,Cenários!P132)</f>
        <v>0</v>
      </c>
      <c r="Q57" s="84" t="n">
        <f aca="false">Q13*Q16*Q24+Q36-Q35-CHOOSE(Premissas!$B$6,Cenários!Q40,Cenários!Q86,Cenários!Q132)</f>
        <v>5.45696821063757E-012</v>
      </c>
      <c r="R57" s="84" t="n">
        <f aca="false">R13*R16*R24+R36-R35-CHOOSE(Premissas!$B$6,Cenários!R40,Cenários!R86,Cenários!R132)</f>
        <v>0</v>
      </c>
      <c r="S57" s="84" t="n">
        <f aca="false">S13*S16*S24+S36-S35-CHOOSE(Premissas!$B$6,Cenários!S40,Cenários!S86,Cenários!S132)</f>
        <v>0</v>
      </c>
      <c r="T57" s="84" t="n">
        <f aca="false">T13*T16*T24+T36-T35-CHOOSE(Premissas!$B$6,Cenários!T40,Cenários!T86,Cenários!T132)</f>
        <v>0</v>
      </c>
      <c r="U57" s="84" t="n">
        <f aca="false">U13*U16*U24+U36-U35-CHOOSE(Premissas!$B$6,Cenários!U40,Cenários!U86,Cenários!U132)</f>
        <v>0</v>
      </c>
      <c r="V57" s="84" t="n">
        <f aca="false">V13*V16*V24+V36-V35-CHOOSE(Premissas!$B$6,Cenários!V40,Cenários!V86,Cenários!V132)</f>
        <v>0</v>
      </c>
      <c r="W57" s="84" t="n">
        <f aca="false">W13*W16*W24+W36-W35-CHOOSE(Premissas!$B$6,Cenários!W40,Cenários!W86,Cenários!W132)</f>
        <v>0</v>
      </c>
      <c r="X57" s="84" t="n">
        <f aca="false">X13*X16*X24+X36-X35-CHOOSE(Premissas!$B$6,Cenários!X40,Cenários!X86,Cenários!X132)</f>
        <v>0</v>
      </c>
      <c r="Y57" s="84" t="n">
        <f aca="false">Y13*Y16*Y24+Y36-Y35-CHOOSE(Premissas!$B$6,Cenários!Y40,Cenários!Y86,Cenários!Y132)</f>
        <v>0</v>
      </c>
      <c r="Z57" s="84" t="n">
        <f aca="false">Z13*Z16*Z24+Z36-Z35-CHOOSE(Premissas!$B$6,Cenários!Z40,Cenários!Z86,Cenários!Z132)</f>
        <v>0</v>
      </c>
      <c r="AA57" s="84" t="n">
        <f aca="false">AA13*AA16*AA24+AA36-AA35-CHOOSE(Premissas!$B$6,Cenários!AA40,Cenários!AA86,Cenários!AA132)</f>
        <v>0</v>
      </c>
      <c r="AB57" s="84" t="n">
        <f aca="false">AB13*AB16*AB24+AB36-AB35-CHOOSE(Premissas!$B$6,Cenários!AB40,Cenários!AB86,Cenários!AB132)</f>
        <v>0</v>
      </c>
      <c r="AC57" s="84" t="n">
        <f aca="false">AC13*AC16*AC24+AC36-AC35-CHOOSE(Premissas!$B$6,Cenários!AC40,Cenários!AC86,Cenários!AC132)</f>
        <v>0</v>
      </c>
      <c r="AD57" s="84" t="n">
        <f aca="false">AD13*AD16*AD24+AD36-AD35-CHOOSE(Premissas!$B$6,Cenários!AD40,Cenários!AD86,Cenários!AD132)</f>
        <v>0</v>
      </c>
      <c r="AE57" s="84" t="n">
        <f aca="false">AE13*AE16*AE24+AE36-AE35-CHOOSE(Premissas!$B$6,Cenários!AE40,Cenários!AE86,Cenários!AE132)</f>
        <v>0</v>
      </c>
      <c r="AF57" s="84" t="n">
        <f aca="false">AF13*AF16*AF24+AF36-AF35-CHOOSE(Premissas!$B$6,Cenários!AF40,Cenários!AF86,Cenários!AF132)</f>
        <v>0</v>
      </c>
      <c r="AG57" s="84" t="n">
        <f aca="false">AG13*AG16*AG24+AG36-AG35-CHOOSE(Premissas!$B$6,Cenários!AG40,Cenários!AG86,Cenários!AG132)</f>
        <v>0</v>
      </c>
      <c r="AH57" s="84" t="n">
        <f aca="false">AH13*AH16*AH24+AH36-AH35-CHOOSE(Premissas!$B$6,Cenários!AH40,Cenários!AH86,Cenários!AH132)</f>
        <v>0</v>
      </c>
      <c r="AI57" s="84" t="n">
        <f aca="false">AI13*AI16*AI24+AI36-AI35-CHOOSE(Premissas!$B$6,Cenários!AI40,Cenários!AI86,Cenários!AI132)</f>
        <v>0</v>
      </c>
      <c r="AJ57" s="84" t="n">
        <f aca="false">AJ13*AJ16*AJ24+AJ36-AJ35-CHOOSE(Premissas!$B$6,Cenários!AJ40,Cenários!AJ86,Cenários!AJ132)</f>
        <v>0</v>
      </c>
      <c r="AK57" s="84" t="n">
        <f aca="false">AK13*AK16*AK24+AK36-AK35-CHOOSE(Premissas!$B$6,Cenários!AK40,Cenários!AK86,Cenários!AK132)</f>
        <v>0</v>
      </c>
      <c r="AL57" s="84" t="n">
        <f aca="false">AL13*AL16*AL24+AL36-AL35-CHOOSE(Premissas!$B$6,Cenários!AL40,Cenários!AL86,Cenários!AL132)</f>
        <v>0</v>
      </c>
      <c r="AM57" s="84" t="n">
        <f aca="false">AM13*AM16*AM24+AM36-AM35-CHOOSE(Premissas!$B$6,Cenários!AM40,Cenários!AM86,Cenários!AM132)</f>
        <v>0</v>
      </c>
      <c r="AN57" s="84" t="n">
        <f aca="false">AN13*AN16*AN24+AN36-AN35-CHOOSE(Premissas!$B$6,Cenários!AN40,Cenários!AN86,Cenários!AN132)</f>
        <v>0</v>
      </c>
      <c r="AO57" s="84" t="n">
        <f aca="false">AO13*AO16*AO24+AO36-AO35-CHOOSE(Premissas!$B$6,Cenários!AO40,Cenários!AO86,Cenários!AO132)</f>
        <v>0</v>
      </c>
      <c r="AP57" s="84" t="n">
        <f aca="false">AP13*AP16*AP24+AP36-AP35-CHOOSE(Premissas!$B$6,Cenários!AP40,Cenários!AP86,Cenários!AP132)</f>
        <v>0</v>
      </c>
      <c r="AQ57" s="84" t="n">
        <f aca="false">AQ13*AQ16*AQ24+AQ36-AQ35-CHOOSE(Premissas!$B$6,Cenários!AQ40,Cenários!AQ86,Cenários!AQ132)</f>
        <v>0</v>
      </c>
      <c r="AR57" s="84" t="n">
        <f aca="false">AR13*AR16*AR24+AR36-AR35-CHOOSE(Premissas!$B$6,Cenários!AR40,Cenários!AR86,Cenários!AR132)</f>
        <v>0</v>
      </c>
      <c r="AS57" s="84" t="n">
        <f aca="false">AS13*AS16*AS24+AS36-AS35-CHOOSE(Premissas!$B$6,Cenários!AS40,Cenários!AS86,Cenários!AS132)</f>
        <v>0</v>
      </c>
      <c r="AT57" s="84" t="n">
        <f aca="false">AT13*AT16*AT24+AT36-AT35-CHOOSE(Premissas!$B$6,Cenários!AT40,Cenários!AT86,Cenários!AT132)</f>
        <v>0</v>
      </c>
      <c r="AU57" s="84" t="n">
        <f aca="false">AU13*AU16*AU24+AU36-AU35-CHOOSE(Premissas!$B$6,Cenários!AU40,Cenários!AU86,Cenários!AU132)</f>
        <v>0</v>
      </c>
      <c r="AV57" s="84" t="n">
        <f aca="false">AV13*AV16*AV24+AV36-AV35-CHOOSE(Premissas!$B$6,Cenários!AV40,Cenários!AV86,Cenários!AV132)</f>
        <v>0</v>
      </c>
      <c r="AW57" s="84" t="n">
        <f aca="false">AW13*AW16*AW24+AW36-AW35-CHOOSE(Premissas!$B$6,Cenários!AW40,Cenários!AW86,Cenários!AW132)</f>
        <v>0</v>
      </c>
      <c r="AX57" s="84" t="n">
        <f aca="false">AX13*AX16*AX24+AX36-AX35-CHOOSE(Premissas!$B$6,Cenários!AX40,Cenários!AX86,Cenários!AX132)</f>
        <v>0</v>
      </c>
      <c r="AY57" s="84" t="n">
        <f aca="false">AY13*AY16*AY24+AY36-AY35-CHOOSE(Premissas!$B$6,Cenários!AY40,Cenários!AY86,Cenários!AY132)</f>
        <v>0</v>
      </c>
      <c r="AZ57" s="84" t="n">
        <f aca="false">AZ13*AZ16*AZ24+AZ36-AZ35-CHOOSE(Premissas!$B$6,Cenários!AZ40,Cenários!AZ86,Cenários!AZ132)</f>
        <v>0</v>
      </c>
      <c r="BA57" s="84" t="n">
        <f aca="false">BA13*BA16*BA24+BA36-BA35-CHOOSE(Premissas!$B$6,Cenários!BA40,Cenários!BA86,Cenários!BA132)</f>
        <v>0</v>
      </c>
      <c r="BB57" s="84" t="n">
        <f aca="false">BB13*BB16*BB24+BB36-BB35-CHOOSE(Premissas!$B$6,Cenários!BB40,Cenários!BB86,Cenários!BB132)</f>
        <v>0</v>
      </c>
      <c r="BC57" s="84" t="n">
        <f aca="false">BC13*BC16*BC24+BC36-BC35-CHOOSE(Premissas!$B$6,Cenários!BC40,Cenários!BC86,Cenários!BC132)</f>
        <v>0</v>
      </c>
      <c r="BD57" s="84" t="n">
        <f aca="false">BD13*BD16*BD24+BD36-BD35-CHOOSE(Premissas!$B$6,Cenários!BD40,Cenários!BD86,Cenários!BD132)</f>
        <v>0</v>
      </c>
      <c r="BE57" s="84" t="n">
        <f aca="false">BE13*BE16*BE24+BE36-BE35-CHOOSE(Premissas!$B$6,Cenários!BE40,Cenários!BE86,Cenários!BE132)</f>
        <v>0</v>
      </c>
      <c r="BF57" s="84" t="n">
        <f aca="false">BF13*BF16*BF24+BF36-BF35-CHOOSE(Premissas!$B$6,Cenários!BF40,Cenários!BF86,Cenários!BF132)</f>
        <v>0</v>
      </c>
      <c r="BG57" s="84" t="n">
        <f aca="false">BG13*BG16*BG24+BG36-BG35-CHOOSE(Premissas!$B$6,Cenários!BG40,Cenários!BG86,Cenários!BG132)</f>
        <v>0</v>
      </c>
      <c r="BH57" s="84" t="n">
        <f aca="false">BH13*BH16*BH24+BH36-BH35-CHOOSE(Premissas!$B$6,Cenários!BH40,Cenários!BH86,Cenários!BH132)</f>
        <v>0</v>
      </c>
      <c r="BI57" s="84" t="n">
        <f aca="false">BI13*BI16*BI24+BI36-BI35-CHOOSE(Premissas!$B$6,Cenários!BI40,Cenários!BI86,Cenários!BI132)</f>
        <v>0</v>
      </c>
      <c r="BJ57" s="85" t="n">
        <f aca="false">SUM(B57:BI57)</f>
        <v>5.45696821063757E-012</v>
      </c>
      <c r="BK57" s="29" t="s">
        <v>376</v>
      </c>
    </row>
    <row r="60" customFormat="false" ht="18" hidden="false" customHeight="true" outlineLevel="0" collapsed="false">
      <c r="A60" s="25" t="s">
        <v>377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</row>
    <row r="61" customFormat="false" ht="15" hidden="false" customHeight="false" outlineLevel="0" collapsed="false">
      <c r="A61" s="27" t="s">
        <v>378</v>
      </c>
      <c r="B61" s="92" t="n">
        <f aca="false">Premissas!$B$13</f>
        <v>46296</v>
      </c>
    </row>
    <row r="62" customFormat="false" ht="15" hidden="false" customHeight="true" outlineLevel="0" collapsed="false">
      <c r="A62" s="27" t="s">
        <v>379</v>
      </c>
      <c r="B62" s="92" t="n">
        <f aca="false">EDATE(Premissas!$B$13,Premissas!$B$47-1)</f>
        <v>46447</v>
      </c>
      <c r="D62" s="77" t="s">
        <v>380</v>
      </c>
      <c r="E62" s="77"/>
      <c r="F62" s="77"/>
      <c r="G62" s="77"/>
      <c r="H62" s="77"/>
      <c r="I62" s="77"/>
      <c r="J62" s="77"/>
      <c r="K62" s="77"/>
      <c r="L62" s="77"/>
    </row>
    <row r="63" customFormat="false" ht="15" hidden="false" customHeight="false" outlineLevel="0" collapsed="false">
      <c r="A63" s="27" t="s">
        <v>381</v>
      </c>
      <c r="B63" s="30" t="n">
        <f aca="false">SUMPRODUCT(($B$5:$BI$5&gt;=Premissas!$B$14)*($B$5:$BI$5&lt;=Premissas!$B$14+Premissas!$B$47-1)*$B$35:$BI$35)</f>
        <v>525987.871993186</v>
      </c>
    </row>
    <row r="64" customFormat="false" ht="25.5" hidden="false" customHeight="true" outlineLevel="0" collapsed="false">
      <c r="A64" s="27" t="s">
        <v>382</v>
      </c>
      <c r="B64" s="30" t="n">
        <f aca="false">SUMPRODUCT(($B$5:$BI$5&lt;Premissas!$B$14)*$B$35:$BI$35)*Premissas!$B$48</f>
        <v>12000</v>
      </c>
      <c r="D64" s="77" t="s">
        <v>383</v>
      </c>
      <c r="E64" s="77"/>
      <c r="F64" s="77"/>
      <c r="G64" s="77"/>
      <c r="H64" s="77"/>
      <c r="I64" s="77"/>
      <c r="J64" s="77"/>
      <c r="K64" s="77"/>
      <c r="L64" s="77"/>
    </row>
    <row r="65" customFormat="false" ht="15" hidden="false" customHeight="false" outlineLevel="0" collapsed="false">
      <c r="A65" s="27" t="s">
        <v>384</v>
      </c>
      <c r="B65" s="30" t="n">
        <f aca="false">-SUMPRODUCT(($B$5:$BI$5&gt;=Premissas!$B$14)*($B$5:$BI$5&lt;=Premissas!$B$14+Premissas!$B$47-1)*$B$36:$BI$36)</f>
        <v>-11902.4630178603</v>
      </c>
    </row>
    <row r="66" customFormat="false" ht="15" hidden="false" customHeight="false" outlineLevel="0" collapsed="false">
      <c r="A66" s="31" t="s">
        <v>385</v>
      </c>
      <c r="B66" s="32" t="n">
        <f aca="false">B63+B64+B65</f>
        <v>526085.408975325</v>
      </c>
    </row>
    <row r="67" customFormat="false" ht="15" hidden="false" customHeight="false" outlineLevel="0" collapsed="false">
      <c r="A67" s="27" t="s">
        <v>386</v>
      </c>
      <c r="B67" s="93" t="n">
        <f aca="false">SUMPRODUCT(($B$5:$BI$5&gt;=Premissas!$B$14)*($B$5:$BI$5&lt;=Premissas!$B$14+Premissas!$B$47-1)*$B$16:$BI$16*$B$24:$BI$24)</f>
        <v>10804.8941812479</v>
      </c>
    </row>
    <row r="68" customFormat="false" ht="15" hidden="false" customHeight="true" outlineLevel="0" collapsed="false">
      <c r="A68" s="31" t="s">
        <v>387</v>
      </c>
      <c r="B68" s="36" t="n">
        <f aca="false">IFERROR(B66/B67,0)</f>
        <v>48.6895475467367</v>
      </c>
      <c r="D68" s="77" t="s">
        <v>388</v>
      </c>
      <c r="E68" s="77"/>
      <c r="F68" s="77"/>
      <c r="G68" s="77"/>
      <c r="H68" s="77"/>
      <c r="I68" s="77"/>
      <c r="J68" s="77"/>
      <c r="K68" s="77"/>
      <c r="L68" s="77"/>
    </row>
    <row r="69" customFormat="false" ht="15" hidden="false" customHeight="false" outlineLevel="0" collapsed="false">
      <c r="A69" s="27" t="s">
        <v>389</v>
      </c>
      <c r="B69" s="94" t="n">
        <f aca="false">B68*IFERROR(Premissas!$B$30/Premissas!$B$29,0)</f>
        <v>97.623766186673</v>
      </c>
    </row>
    <row r="70" customFormat="false" ht="15" hidden="false" customHeight="false" outlineLevel="0" collapsed="false">
      <c r="A70" s="27" t="s">
        <v>390</v>
      </c>
      <c r="B70" s="94" t="n">
        <f aca="false">B68*IFERROR(Premissas!$B$31/Premissas!$B$29,0)</f>
        <v>195.492203466546</v>
      </c>
    </row>
    <row r="71" customFormat="false" ht="15" hidden="false" customHeight="false" outlineLevel="0" collapsed="false">
      <c r="A71" s="27" t="s">
        <v>391</v>
      </c>
      <c r="B71" s="94" t="n">
        <f aca="false">Premissas!$B$29</f>
        <v>19.9</v>
      </c>
    </row>
    <row r="72" customFormat="false" ht="15" hidden="false" customHeight="true" outlineLevel="0" collapsed="false">
      <c r="A72" s="31" t="s">
        <v>392</v>
      </c>
      <c r="B72" s="37" t="n">
        <f aca="false">IFERROR(B68/B71,0)</f>
        <v>2.44671093199682</v>
      </c>
      <c r="D72" s="77" t="s">
        <v>393</v>
      </c>
      <c r="E72" s="77"/>
      <c r="F72" s="77"/>
      <c r="G72" s="77"/>
      <c r="H72" s="77"/>
      <c r="I72" s="77"/>
      <c r="J72" s="77"/>
      <c r="K72" s="77"/>
      <c r="L72" s="77"/>
    </row>
    <row r="73" customFormat="false" ht="15" hidden="false" customHeight="true" outlineLevel="0" collapsed="false">
      <c r="A73" s="31" t="s">
        <v>394</v>
      </c>
      <c r="B73" s="38" t="n">
        <f aca="false">IFERROR(B66/(B71*SUMPRODUCT(($B$5:$BI$5&gt;=Premissas!$B$14)*($B$5:$BI$5&lt;=Premissas!$B$14+Premissas!$B$47-1)*$B$24:$BI$24)),0)</f>
        <v>6178.68132413809</v>
      </c>
      <c r="D73" s="77" t="s">
        <v>395</v>
      </c>
      <c r="E73" s="77"/>
      <c r="F73" s="77"/>
      <c r="G73" s="77"/>
      <c r="H73" s="77"/>
      <c r="I73" s="77"/>
      <c r="J73" s="77"/>
      <c r="K73" s="77"/>
      <c r="L73" s="77"/>
    </row>
    <row r="74" customFormat="false" ht="15" hidden="false" customHeight="false" outlineLevel="0" collapsed="false">
      <c r="A74" s="27" t="s">
        <v>396</v>
      </c>
      <c r="B74" s="28" t="n">
        <f aca="false">IFERROR(INDEX($B$16:$BI$16,Premissas!$B$14+Premissas!$B$47-1),0)</f>
        <v>6214</v>
      </c>
    </row>
    <row r="75" customFormat="false" ht="15" hidden="false" customHeight="false" outlineLevel="0" collapsed="false">
      <c r="A75" s="27" t="s">
        <v>397</v>
      </c>
      <c r="B75" s="28" t="n">
        <f aca="false">IFERROR(SUMPRODUCT(($B$5:$BI$5&gt;=Premissas!$B$14)*($B$5:$BI$5&lt;=Premissas!$B$14+Premissas!$B$47-1)*$B$16:$BI$16)/Premissas!$B$47,0)</f>
        <v>2519.83333333333</v>
      </c>
    </row>
    <row r="76" customFormat="false" ht="15" hidden="false" customHeight="true" outlineLevel="0" collapsed="false">
      <c r="A76" s="31" t="s">
        <v>398</v>
      </c>
      <c r="B76" s="37" t="n">
        <f aca="false">IFERROR(B73/B75,0)</f>
        <v>2.45201983893304</v>
      </c>
      <c r="D76" s="77" t="s">
        <v>399</v>
      </c>
      <c r="E76" s="77"/>
      <c r="F76" s="77"/>
      <c r="G76" s="77"/>
      <c r="H76" s="77"/>
      <c r="I76" s="77"/>
      <c r="J76" s="77"/>
      <c r="K76" s="77"/>
      <c r="L76" s="77"/>
    </row>
    <row r="77" customFormat="false" ht="15" hidden="false" customHeight="false" outlineLevel="0" collapsed="false">
      <c r="A77" s="31" t="s">
        <v>400</v>
      </c>
      <c r="B77" s="39" t="str">
        <f aca="false">IF(B75&lt;=0,"Sem base na janela — nenhum preço cobre",IF(B72&lt;=1,"O preço de hoje cobre a janela",IF(B72&lt;=1.5,"Dá para fechar com reajuste: "&amp;TEXT(B68,"R$ 0.00"),"Nenhum preço de mercado cobre: a janela é financiada por capital")))</f>
        <v>Nenhum preço de mercado cobre: a janela é financiada por capital</v>
      </c>
    </row>
    <row r="79" customFormat="false" ht="57.75" hidden="false" customHeight="true" outlineLevel="0" collapsed="false">
      <c r="A79" s="95" t="s">
        <v>401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</row>
    <row r="81" customFormat="false" ht="18" hidden="false" customHeight="true" outlineLevel="0" collapsed="false">
      <c r="A81" s="25" t="s">
        <v>402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</row>
    <row r="82" customFormat="false" ht="21.75" hidden="false" customHeight="true" outlineLevel="0" collapsed="false">
      <c r="A82" s="19" t="s">
        <v>113</v>
      </c>
      <c r="B82" s="20" t="s">
        <v>114</v>
      </c>
      <c r="C82" s="21" t="s">
        <v>115</v>
      </c>
      <c r="D82" s="22" t="s">
        <v>116</v>
      </c>
    </row>
    <row r="83" customFormat="false" ht="15" hidden="false" customHeight="false" outlineLevel="0" collapsed="false">
      <c r="A83" s="27" t="s">
        <v>403</v>
      </c>
      <c r="B83" s="28" t="n">
        <f aca="false">IFERROR(INDEX(Cenários!$B$16:$BI$16,Premissas!$B$14+Premissas!$B$47-1)+INDEX(Cenários!$B$17:$BI$17,Premissas!$B$14+Premissas!$B$47-1)*Premissas!$B$30/Premissas!$B$29+INDEX(Cenários!$B$18:$BI$18,Premissas!$B$14+Premissas!$B$47-1)*Premissas!$B$31/Premissas!$B$29,0)</f>
        <v>2045</v>
      </c>
      <c r="C83" s="28" t="n">
        <f aca="false">IFERROR(INDEX(Cenários!$B$62:$BI$62,Premissas!$B$14+Premissas!$B$47-1)+INDEX(Cenários!$B$63:$BI$63,Premissas!$B$14+Premissas!$B$47-1)*Premissas!$B$30/Premissas!$B$29+INDEX(Cenários!$B$64:$BI$64,Premissas!$B$14+Premissas!$B$47-1)*Premissas!$B$31/Premissas!$B$29,0)</f>
        <v>6214</v>
      </c>
      <c r="D83" s="28" t="n">
        <f aca="false">IFERROR(INDEX(Cenários!$B$108:$BI$108,Premissas!$B$14+Premissas!$B$47-1)+INDEX(Cenários!$B$109:$BI$109,Premissas!$B$14+Premissas!$B$47-1)*Premissas!$B$30/Premissas!$B$29+INDEX(Cenários!$B$110:$BI$110,Premissas!$B$14+Premissas!$B$47-1)*Premissas!$B$31/Premissas!$B$29,0)</f>
        <v>13505</v>
      </c>
    </row>
    <row r="84" customFormat="false" ht="15" hidden="false" customHeight="true" outlineLevel="0" collapsed="false">
      <c r="A84" s="27" t="s">
        <v>404</v>
      </c>
      <c r="B84" s="30" t="n">
        <f aca="false">SUMPRODUCT(($B$5:$BI$5&gt;=Premissas!$B$14)*($B$5:$BI$5&lt;=Premissas!$B$14+Premissas!$B$47-1)*Cenários!$B$40:$BI$40)</f>
        <v>-407187.625817596</v>
      </c>
      <c r="C84" s="30" t="n">
        <f aca="false">SUMPRODUCT(($B$5:$BI$5&gt;=Premissas!$B$14)*($B$5:$BI$5&lt;=Premissas!$B$14+Premissas!$B$47-1)*Cenários!$B$86:$BI$86)</f>
        <v>-290653.728699936</v>
      </c>
      <c r="D84" s="30" t="n">
        <f aca="false">SUMPRODUCT(($B$5:$BI$5&gt;=Premissas!$B$14)*($B$5:$BI$5&lt;=Premissas!$B$14+Premissas!$B$47-1)*Cenários!$B$132:$BI$132)</f>
        <v>-37907.8882387206</v>
      </c>
      <c r="F84" s="77" t="s">
        <v>405</v>
      </c>
      <c r="G84" s="77"/>
      <c r="H84" s="77"/>
      <c r="I84" s="77"/>
      <c r="J84" s="77"/>
      <c r="K84" s="77"/>
      <c r="L84" s="77"/>
      <c r="M84" s="77"/>
      <c r="N84" s="77"/>
    </row>
    <row r="85" customFormat="false" ht="15" hidden="false" customHeight="false" outlineLevel="0" collapsed="false">
      <c r="A85" s="31" t="s">
        <v>406</v>
      </c>
      <c r="B85" s="32" t="n">
        <f aca="false">SUMPRODUCT(($B$5:$BI$5&lt;=Premissas!$B$14+Premissas!$B$47-1)*Cenários!$B$40:$BI$40)</f>
        <v>-419187.625817596</v>
      </c>
      <c r="C85" s="32" t="n">
        <f aca="false">SUMPRODUCT(($B$5:$BI$5&lt;=Premissas!$B$14+Premissas!$B$47-1)*Cenários!$B$86:$BI$86)</f>
        <v>-302653.728699936</v>
      </c>
      <c r="D85" s="32" t="n">
        <f aca="false">SUMPRODUCT(($B$5:$BI$5&lt;=Premissas!$B$14+Premissas!$B$47-1)*Cenários!$B$132:$BI$132)</f>
        <v>-49907.8882387206</v>
      </c>
    </row>
    <row r="86" customFormat="false" ht="15" hidden="false" customHeight="true" outlineLevel="0" collapsed="false">
      <c r="A86" s="27" t="s">
        <v>407</v>
      </c>
      <c r="B86" s="34" t="str">
        <f aca="false">IF(MAX(Cenários!$B$46:$BI$46)=0,"não atinge",CHOOSE(MOD(60-SUM(Cenários!$B$46:$BI$46),12)+1,"jan","fev","mar","abr","mai","jun","jul","ago","set","out","nov","dez")&amp;"/"&amp;(2026+INT((60-SUM(Cenários!$B$46:$BI$46))/12)))</f>
        <v>não atinge</v>
      </c>
      <c r="C86" s="34" t="str">
        <f aca="false">IF(MAX(Cenários!$B$92:$BI$92)=0,"não atinge",CHOOSE(MOD(60-SUM(Cenários!$B$92:$BI$92),12)+1,"jan","fev","mar","abr","mai","jun","jul","ago","set","out","nov","dez")&amp;"/"&amp;(2026+INT((60-SUM(Cenários!$B$92:$BI$92))/12)))</f>
        <v>abr/2027</v>
      </c>
      <c r="D86" s="34" t="str">
        <f aca="false">IF(MAX(Cenários!$B$138:$BI$138)=0,"não atinge",CHOOSE(MOD(60-SUM(Cenários!$B$138:$BI$138),12)+1,"jan","fev","mar","abr","mai","jun","jul","ago","set","out","nov","dez")&amp;"/"&amp;(2026+INT((60-SUM(Cenários!$B$138:$BI$138))/12)))</f>
        <v>fev/2027</v>
      </c>
      <c r="F86" s="77" t="s">
        <v>408</v>
      </c>
      <c r="G86" s="77"/>
      <c r="H86" s="77"/>
      <c r="I86" s="77"/>
      <c r="J86" s="77"/>
      <c r="K86" s="77"/>
      <c r="L86" s="77"/>
      <c r="M86" s="77"/>
      <c r="N86" s="77"/>
    </row>
  </sheetData>
  <mergeCells count="9">
    <mergeCell ref="D62:L62"/>
    <mergeCell ref="D64:L64"/>
    <mergeCell ref="D68:L68"/>
    <mergeCell ref="D72:L72"/>
    <mergeCell ref="D73:L73"/>
    <mergeCell ref="D76:L76"/>
    <mergeCell ref="A79:L79"/>
    <mergeCell ref="F84:N84"/>
    <mergeCell ref="F86:N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L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7"/>
    <col collapsed="false" customWidth="true" hidden="false" outlineLevel="0" max="7" min="3" style="0" width="14"/>
    <col collapsed="false" customWidth="true" hidden="false" outlineLevel="0" max="8" min="8" style="0" width="3"/>
    <col collapsed="false" customWidth="true" hidden="false" outlineLevel="0" max="9" min="9" style="0" width="72"/>
  </cols>
  <sheetData>
    <row r="1" customFormat="false" ht="25.5" hidden="false" customHeight="true" outlineLevel="0" collapsed="false">
      <c r="A1" s="1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410</v>
      </c>
    </row>
    <row r="4" customFormat="false" ht="18" hidden="false" customHeight="true" outlineLevel="0" collapsed="false">
      <c r="A4" s="25" t="s">
        <v>411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customFormat="false" ht="15" hidden="false" customHeight="false" outlineLevel="0" collapsed="false">
      <c r="A5" s="62" t="s">
        <v>412</v>
      </c>
      <c r="B5" s="96" t="s">
        <v>413</v>
      </c>
      <c r="C5" s="97" t="n">
        <v>2026</v>
      </c>
      <c r="D5" s="97" t="n">
        <v>2027</v>
      </c>
      <c r="E5" s="97" t="n">
        <v>2028</v>
      </c>
      <c r="F5" s="97" t="n">
        <v>2029</v>
      </c>
      <c r="G5" s="97" t="n">
        <v>2030</v>
      </c>
    </row>
    <row r="6" customFormat="false" ht="15" hidden="false" customHeight="false" outlineLevel="0" collapsed="false">
      <c r="A6" s="27" t="s">
        <v>414</v>
      </c>
      <c r="B6" s="98" t="n">
        <v>2</v>
      </c>
      <c r="D6" s="29" t="s">
        <v>415</v>
      </c>
    </row>
    <row r="7" customFormat="false" ht="15" hidden="false" customHeight="false" outlineLevel="0" collapsed="false">
      <c r="A7" s="27" t="s">
        <v>416</v>
      </c>
      <c r="B7" s="99" t="str">
        <f aca="false">CHOOSE($B$6,"CONSERVADOR","PROVÁVEL","AGRESSIVO")</f>
        <v>PROVÁVEL</v>
      </c>
    </row>
    <row r="8" customFormat="false" ht="15" hidden="false" customHeight="false" outlineLevel="0" collapsed="false">
      <c r="A8" s="27" t="s">
        <v>417</v>
      </c>
      <c r="B8" s="98" t="n">
        <v>1</v>
      </c>
      <c r="D8" s="29" t="s">
        <v>418</v>
      </c>
    </row>
    <row r="10" customFormat="false" ht="15" hidden="false" customHeight="false" outlineLevel="0" collapsed="false">
      <c r="A10" s="62" t="s">
        <v>419</v>
      </c>
    </row>
    <row r="11" customFormat="false" ht="15" hidden="false" customHeight="false" outlineLevel="0" collapsed="false">
      <c r="A11" s="27" t="s">
        <v>420</v>
      </c>
      <c r="B11" s="98" t="n">
        <v>2026</v>
      </c>
    </row>
    <row r="12" customFormat="false" ht="15" hidden="false" customHeight="false" outlineLevel="0" collapsed="false">
      <c r="A12" s="27" t="s">
        <v>421</v>
      </c>
      <c r="B12" s="98" t="n">
        <v>10</v>
      </c>
      <c r="D12" s="29" t="s">
        <v>422</v>
      </c>
    </row>
    <row r="13" customFormat="false" ht="15" hidden="false" customHeight="false" outlineLevel="0" collapsed="false">
      <c r="A13" s="27" t="s">
        <v>423</v>
      </c>
      <c r="B13" s="100" t="n">
        <f aca="false">DATE($B$11,$B$12,1)</f>
        <v>46296</v>
      </c>
    </row>
    <row r="14" customFormat="false" ht="15" hidden="false" customHeight="false" outlineLevel="0" collapsed="false">
      <c r="A14" s="101" t="s">
        <v>424</v>
      </c>
      <c r="B14" s="102" t="n">
        <f aca="false">($B$11-2026)*12+$B$12</f>
        <v>10</v>
      </c>
    </row>
    <row r="15" customFormat="false" ht="15" hidden="false" customHeight="false" outlineLevel="0" collapsed="false">
      <c r="A15" s="27" t="s">
        <v>425</v>
      </c>
      <c r="B15" s="103" t="n">
        <v>6</v>
      </c>
      <c r="D15" s="29" t="s">
        <v>426</v>
      </c>
    </row>
    <row r="17" customFormat="false" ht="15" hidden="false" customHeight="false" outlineLevel="0" collapsed="false">
      <c r="A17" s="62" t="s">
        <v>427</v>
      </c>
    </row>
    <row r="18" customFormat="false" ht="15" hidden="false" customHeight="false" outlineLevel="0" collapsed="false">
      <c r="A18" s="27" t="s">
        <v>428</v>
      </c>
      <c r="B18" s="104" t="n">
        <v>0.25</v>
      </c>
      <c r="D18" s="29" t="s">
        <v>429</v>
      </c>
    </row>
    <row r="19" customFormat="false" ht="15" hidden="false" customHeight="false" outlineLevel="0" collapsed="false">
      <c r="A19" s="27" t="s">
        <v>430</v>
      </c>
      <c r="B19" s="105" t="n">
        <f aca="false">(1+$B$18)^(1/12)-1</f>
        <v>0.0187692651215061</v>
      </c>
    </row>
    <row r="20" customFormat="false" ht="15" hidden="false" customHeight="false" outlineLevel="0" collapsed="false">
      <c r="A20" s="27" t="s">
        <v>431</v>
      </c>
      <c r="B20" s="106" t="n">
        <v>36</v>
      </c>
      <c r="D20" s="29" t="s">
        <v>432</v>
      </c>
    </row>
    <row r="22" customFormat="false" ht="18" hidden="false" customHeight="true" outlineLevel="0" collapsed="false">
      <c r="A22" s="25" t="s">
        <v>433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customFormat="false" ht="15" hidden="false" customHeight="false" outlineLevel="0" collapsed="false">
      <c r="A23" s="27" t="s">
        <v>434</v>
      </c>
      <c r="B23" s="98" t="n">
        <v>2</v>
      </c>
      <c r="D23" s="29" t="s">
        <v>435</v>
      </c>
    </row>
    <row r="24" customFormat="false" ht="15" hidden="false" customHeight="false" outlineLevel="0" collapsed="false">
      <c r="A24" s="27" t="s">
        <v>436</v>
      </c>
      <c r="B24" s="107" t="n">
        <v>0.1633</v>
      </c>
      <c r="D24" s="29" t="s">
        <v>437</v>
      </c>
    </row>
    <row r="25" customFormat="false" ht="15" hidden="false" customHeight="false" outlineLevel="0" collapsed="false">
      <c r="A25" s="27" t="s">
        <v>438</v>
      </c>
      <c r="B25" s="108" t="n">
        <v>4800000</v>
      </c>
      <c r="D25" s="29" t="s">
        <v>439</v>
      </c>
    </row>
    <row r="27" customFormat="false" ht="18" hidden="false" customHeight="true" outlineLevel="0" collapsed="false">
      <c r="A27" s="25" t="s">
        <v>440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customFormat="false" ht="27.75" hidden="false" customHeight="true" outlineLevel="0" collapsed="false">
      <c r="A28" s="109" t="s">
        <v>441</v>
      </c>
      <c r="B28" s="109"/>
      <c r="C28" s="109"/>
      <c r="D28" s="109"/>
      <c r="E28" s="109"/>
      <c r="F28" s="109"/>
      <c r="G28" s="109"/>
      <c r="H28" s="109"/>
      <c r="I28" s="109"/>
    </row>
    <row r="29" customFormat="false" ht="15" hidden="false" customHeight="false" outlineLevel="0" collapsed="false">
      <c r="A29" s="27" t="s">
        <v>442</v>
      </c>
      <c r="B29" s="110" t="n">
        <v>19.9</v>
      </c>
    </row>
    <row r="30" customFormat="false" ht="15" hidden="false" customHeight="false" outlineLevel="0" collapsed="false">
      <c r="A30" s="27" t="s">
        <v>443</v>
      </c>
      <c r="B30" s="110" t="n">
        <v>39.9</v>
      </c>
    </row>
    <row r="31" customFormat="false" ht="15" hidden="false" customHeight="false" outlineLevel="0" collapsed="false">
      <c r="A31" s="27" t="s">
        <v>444</v>
      </c>
      <c r="B31" s="110" t="n">
        <v>79.9</v>
      </c>
    </row>
    <row r="32" customFormat="false" ht="15" hidden="false" customHeight="false" outlineLevel="0" collapsed="false">
      <c r="A32" s="27" t="s">
        <v>445</v>
      </c>
      <c r="B32" s="111" t="n">
        <v>0.045</v>
      </c>
      <c r="D32" s="29" t="s">
        <v>446</v>
      </c>
    </row>
    <row r="33" customFormat="false" ht="15" hidden="false" customHeight="false" outlineLevel="0" collapsed="false">
      <c r="A33" s="62" t="s">
        <v>447</v>
      </c>
    </row>
    <row r="34" customFormat="false" ht="15" hidden="false" customHeight="false" outlineLevel="0" collapsed="false">
      <c r="A34" s="27" t="s">
        <v>448</v>
      </c>
      <c r="C34" s="104" t="n">
        <v>0.75</v>
      </c>
      <c r="D34" s="104" t="n">
        <v>0.72</v>
      </c>
      <c r="E34" s="104" t="n">
        <v>0.68</v>
      </c>
      <c r="F34" s="104" t="n">
        <v>0.64</v>
      </c>
      <c r="G34" s="104" t="n">
        <v>0.6</v>
      </c>
      <c r="I34" s="29" t="s">
        <v>449</v>
      </c>
    </row>
    <row r="35" customFormat="false" ht="15" hidden="false" customHeight="false" outlineLevel="0" collapsed="false">
      <c r="A35" s="27" t="s">
        <v>450</v>
      </c>
      <c r="C35" s="104" t="n">
        <v>0.2</v>
      </c>
      <c r="D35" s="104" t="n">
        <v>0.22</v>
      </c>
      <c r="E35" s="104" t="n">
        <v>0.24</v>
      </c>
      <c r="F35" s="104" t="n">
        <v>0.26</v>
      </c>
      <c r="G35" s="104" t="n">
        <v>0.28</v>
      </c>
      <c r="I35" s="29" t="s">
        <v>451</v>
      </c>
    </row>
    <row r="36" customFormat="false" ht="15" hidden="false" customHeight="false" outlineLevel="0" collapsed="false">
      <c r="A36" s="27" t="s">
        <v>452</v>
      </c>
      <c r="C36" s="104" t="n">
        <v>0.05</v>
      </c>
      <c r="D36" s="104" t="n">
        <v>0.06</v>
      </c>
      <c r="E36" s="104" t="n">
        <v>0.08</v>
      </c>
      <c r="F36" s="104" t="n">
        <v>0.1</v>
      </c>
      <c r="G36" s="104" t="n">
        <v>0.12</v>
      </c>
      <c r="I36" s="29" t="s">
        <v>453</v>
      </c>
    </row>
    <row r="37" customFormat="false" ht="15" hidden="false" customHeight="false" outlineLevel="0" collapsed="false">
      <c r="A37" s="112" t="s">
        <v>454</v>
      </c>
      <c r="C37" s="113" t="n">
        <f aca="false">SUM(C34:C36)</f>
        <v>1</v>
      </c>
      <c r="D37" s="113" t="n">
        <f aca="false">SUM(D34:D36)</f>
        <v>1</v>
      </c>
      <c r="E37" s="113" t="n">
        <f aca="false">SUM(E34:E36)</f>
        <v>1</v>
      </c>
      <c r="F37" s="113" t="n">
        <f aca="false">SUM(F34:F36)</f>
        <v>1</v>
      </c>
      <c r="G37" s="113" t="n">
        <f aca="false">SUM(G34:G36)</f>
        <v>1</v>
      </c>
    </row>
    <row r="38" customFormat="false" ht="15" hidden="false" customHeight="false" outlineLevel="0" collapsed="false">
      <c r="A38" s="112" t="s">
        <v>455</v>
      </c>
      <c r="C38" s="114" t="n">
        <f aca="false">(C34*$B$29+C35*$B$30+C36*$B$31)*(1+$B$32)^(C$5-2026)</f>
        <v>26.9</v>
      </c>
      <c r="D38" s="114" t="n">
        <f aca="false">(D34*$B$29+D35*$B$30+D36*$B$31)*(1+$B$32)^(D$5-2026)</f>
        <v>29.1555</v>
      </c>
      <c r="E38" s="114" t="n">
        <f aca="false">(E34*$B$29+E35*$B$30+E36*$B$31)*(1+$B$32)^(E$5-2026)</f>
        <v>32.2147375</v>
      </c>
      <c r="F38" s="114" t="n">
        <f aca="false">(F34*$B$29+F35*$B$30+F36*$B$31)*(1+$B$32)^(F$5-2026)</f>
        <v>35.4902664875</v>
      </c>
      <c r="G38" s="114" t="n">
        <f aca="false">(G34*$B$29+G35*$B$30+G36*$B$31)*(1+$B$32)^(G$5-2026)</f>
        <v>38.9953582404375</v>
      </c>
      <c r="I38" s="29" t="s">
        <v>456</v>
      </c>
    </row>
    <row r="40" customFormat="false" ht="15" hidden="false" customHeight="false" outlineLevel="0" collapsed="false">
      <c r="A40" s="62" t="s">
        <v>457</v>
      </c>
    </row>
    <row r="41" customFormat="false" ht="39.75" hidden="false" customHeight="true" outlineLevel="0" collapsed="false">
      <c r="A41" s="109" t="s">
        <v>458</v>
      </c>
      <c r="B41" s="109"/>
      <c r="C41" s="109"/>
      <c r="D41" s="109"/>
      <c r="E41" s="109"/>
      <c r="F41" s="109"/>
      <c r="G41" s="109"/>
      <c r="H41" s="109"/>
      <c r="I41" s="109"/>
    </row>
    <row r="42" customFormat="false" ht="15" hidden="false" customHeight="false" outlineLevel="0" collapsed="false">
      <c r="A42" s="27" t="s">
        <v>459</v>
      </c>
      <c r="B42" s="115" t="n">
        <v>46478</v>
      </c>
      <c r="D42" s="29" t="s">
        <v>460</v>
      </c>
    </row>
    <row r="43" customFormat="false" ht="15" hidden="false" customHeight="false" outlineLevel="0" collapsed="false">
      <c r="A43" s="27" t="s">
        <v>461</v>
      </c>
      <c r="B43" s="115" t="n">
        <v>46661</v>
      </c>
      <c r="D43" s="29" t="s">
        <v>462</v>
      </c>
    </row>
    <row r="45" customFormat="false" ht="15" hidden="false" customHeight="false" outlineLevel="0" collapsed="false">
      <c r="A45" s="62" t="s">
        <v>463</v>
      </c>
    </row>
    <row r="46" customFormat="false" ht="39.75" hidden="false" customHeight="true" outlineLevel="0" collapsed="false">
      <c r="A46" s="109" t="s">
        <v>464</v>
      </c>
      <c r="B46" s="109"/>
      <c r="C46" s="109"/>
      <c r="D46" s="109"/>
      <c r="E46" s="109"/>
      <c r="F46" s="109"/>
      <c r="G46" s="109"/>
      <c r="H46" s="109"/>
      <c r="I46" s="109"/>
    </row>
    <row r="47" customFormat="false" ht="15" hidden="false" customHeight="false" outlineLevel="0" collapsed="false">
      <c r="A47" s="27" t="s">
        <v>465</v>
      </c>
      <c r="B47" s="98" t="n">
        <v>6</v>
      </c>
      <c r="D47" s="29" t="s">
        <v>466</v>
      </c>
    </row>
    <row r="48" customFormat="false" ht="15" hidden="false" customHeight="false" outlineLevel="0" collapsed="false">
      <c r="A48" s="27" t="s">
        <v>467</v>
      </c>
      <c r="B48" s="98" t="n">
        <v>1</v>
      </c>
      <c r="D48" s="29" t="s">
        <v>468</v>
      </c>
    </row>
    <row r="49" customFormat="false" ht="15" hidden="false" customHeight="false" outlineLevel="0" collapsed="false">
      <c r="A49" s="27" t="s">
        <v>469</v>
      </c>
      <c r="B49" s="111" t="n">
        <v>0.2</v>
      </c>
      <c r="D49" s="29" t="s">
        <v>470</v>
      </c>
    </row>
    <row r="51" customFormat="false" ht="18" hidden="false" customHeight="true" outlineLevel="0" collapsed="false">
      <c r="A51" s="25" t="s">
        <v>471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 customFormat="false" ht="25.5" hidden="false" customHeight="true" outlineLevel="0" collapsed="false">
      <c r="A52" s="109" t="s">
        <v>472</v>
      </c>
      <c r="B52" s="109"/>
      <c r="C52" s="109"/>
      <c r="D52" s="109"/>
      <c r="E52" s="109"/>
      <c r="F52" s="109"/>
      <c r="G52" s="109"/>
      <c r="H52" s="109"/>
      <c r="I52" s="109"/>
    </row>
    <row r="53" customFormat="false" ht="25.5" hidden="false" customHeight="true" outlineLevel="0" collapsed="false">
      <c r="A53" s="109" t="s">
        <v>473</v>
      </c>
      <c r="B53" s="109"/>
      <c r="C53" s="109"/>
      <c r="D53" s="109"/>
      <c r="E53" s="109"/>
      <c r="F53" s="109"/>
      <c r="G53" s="109"/>
      <c r="H53" s="109"/>
      <c r="I53" s="109"/>
    </row>
    <row r="54" customFormat="false" ht="15" hidden="false" customHeight="false" outlineLevel="0" collapsed="false">
      <c r="A54" s="62" t="s">
        <v>474</v>
      </c>
    </row>
    <row r="55" customFormat="false" ht="15" hidden="false" customHeight="false" outlineLevel="0" collapsed="false">
      <c r="A55" s="27" t="s">
        <v>475</v>
      </c>
      <c r="B55" s="111" t="n">
        <v>0.4</v>
      </c>
      <c r="C55" s="106" t="n">
        <v>10860</v>
      </c>
      <c r="D55" s="28" t="n">
        <f aca="false">C55*(1+$B55)</f>
        <v>15204</v>
      </c>
      <c r="E55" s="28" t="n">
        <f aca="false">D55*(1+$B55)</f>
        <v>21285.6</v>
      </c>
      <c r="F55" s="28" t="n">
        <f aca="false">E55*(1+$B55)</f>
        <v>29799.84</v>
      </c>
      <c r="G55" s="28" t="n">
        <f aca="false">F55*(1+$B55)</f>
        <v>41719.776</v>
      </c>
    </row>
    <row r="56" customFormat="false" ht="15" hidden="false" customHeight="false" outlineLevel="0" collapsed="false">
      <c r="A56" s="27" t="s">
        <v>476</v>
      </c>
      <c r="B56" s="111" t="n">
        <v>0.5</v>
      </c>
      <c r="C56" s="103" t="n">
        <v>18100</v>
      </c>
      <c r="D56" s="28" t="n">
        <f aca="false">C56*(1+$B56)</f>
        <v>27150</v>
      </c>
      <c r="E56" s="28" t="n">
        <f aca="false">D56*(1+$B56)</f>
        <v>40725</v>
      </c>
      <c r="F56" s="28" t="n">
        <f aca="false">E56*(1+$B56)</f>
        <v>61087.5</v>
      </c>
      <c r="G56" s="28" t="n">
        <f aca="false">F56*(1+$B56)</f>
        <v>91631.25</v>
      </c>
      <c r="I56" s="29" t="s">
        <v>477</v>
      </c>
    </row>
    <row r="57" customFormat="false" ht="15" hidden="false" customHeight="false" outlineLevel="0" collapsed="false">
      <c r="A57" s="27" t="s">
        <v>478</v>
      </c>
      <c r="B57" s="111" t="n">
        <v>0.6</v>
      </c>
      <c r="C57" s="106" t="n">
        <v>25340</v>
      </c>
      <c r="D57" s="28" t="n">
        <f aca="false">C57*(1+$B57)</f>
        <v>40544</v>
      </c>
      <c r="E57" s="28" t="n">
        <f aca="false">D57*(1+$B57)</f>
        <v>64870.4</v>
      </c>
      <c r="F57" s="28" t="n">
        <f aca="false">E57*(1+$B57)</f>
        <v>103792.64</v>
      </c>
      <c r="G57" s="28" t="n">
        <f aca="false">F57*(1+$B57)</f>
        <v>166068.224</v>
      </c>
    </row>
    <row r="58" customFormat="false" ht="15" hidden="false" customHeight="false" outlineLevel="0" collapsed="false">
      <c r="A58" s="62" t="s">
        <v>479</v>
      </c>
    </row>
    <row r="59" customFormat="false" ht="15" hidden="false" customHeight="false" outlineLevel="0" collapsed="false">
      <c r="A59" s="27" t="s">
        <v>475</v>
      </c>
      <c r="B59" s="111" t="n">
        <v>-0.04</v>
      </c>
      <c r="C59" s="111" t="n">
        <v>0.1</v>
      </c>
      <c r="D59" s="33" t="n">
        <f aca="false">C59*(1+$B59)</f>
        <v>0.096</v>
      </c>
      <c r="E59" s="33" t="n">
        <f aca="false">D59*(1+$B59)</f>
        <v>0.09216</v>
      </c>
      <c r="F59" s="33" t="n">
        <f aca="false">E59*(1+$B59)</f>
        <v>0.0884736</v>
      </c>
      <c r="G59" s="33" t="n">
        <f aca="false">F59*(1+$B59)</f>
        <v>0.084934656</v>
      </c>
    </row>
    <row r="60" customFormat="false" ht="15" hidden="false" customHeight="false" outlineLevel="0" collapsed="false">
      <c r="A60" s="27" t="s">
        <v>476</v>
      </c>
      <c r="B60" s="111" t="n">
        <v>-0.06</v>
      </c>
      <c r="C60" s="104" t="n">
        <v>0.08</v>
      </c>
      <c r="D60" s="33" t="n">
        <f aca="false">C60*(1+$B60)</f>
        <v>0.0752</v>
      </c>
      <c r="E60" s="33" t="n">
        <f aca="false">D60*(1+$B60)</f>
        <v>0.070688</v>
      </c>
      <c r="F60" s="33" t="n">
        <f aca="false">E60*(1+$B60)</f>
        <v>0.06644672</v>
      </c>
      <c r="G60" s="33" t="n">
        <f aca="false">F60*(1+$B60)</f>
        <v>0.0624599168</v>
      </c>
      <c r="I60" s="29" t="s">
        <v>480</v>
      </c>
    </row>
    <row r="61" customFormat="false" ht="15" hidden="false" customHeight="false" outlineLevel="0" collapsed="false">
      <c r="A61" s="27" t="s">
        <v>478</v>
      </c>
      <c r="B61" s="111" t="n">
        <v>-0.08</v>
      </c>
      <c r="C61" s="111" t="n">
        <v>0.06</v>
      </c>
      <c r="D61" s="33" t="n">
        <f aca="false">C61*(1+$B61)</f>
        <v>0.0552</v>
      </c>
      <c r="E61" s="33" t="n">
        <f aca="false">D61*(1+$B61)</f>
        <v>0.050784</v>
      </c>
      <c r="F61" s="33" t="n">
        <f aca="false">E61*(1+$B61)</f>
        <v>0.04672128</v>
      </c>
      <c r="G61" s="33" t="n">
        <f aca="false">F61*(1+$B61)</f>
        <v>0.0429835776</v>
      </c>
    </row>
    <row r="62" customFormat="false" ht="15" hidden="false" customHeight="false" outlineLevel="0" collapsed="false">
      <c r="A62" s="62" t="s">
        <v>481</v>
      </c>
    </row>
    <row r="63" customFormat="false" ht="15" hidden="false" customHeight="false" outlineLevel="0" collapsed="false">
      <c r="A63" s="27" t="s">
        <v>475</v>
      </c>
      <c r="B63" s="111" t="n">
        <v>0.08</v>
      </c>
      <c r="C63" s="111" t="n">
        <v>0.03</v>
      </c>
      <c r="D63" s="33" t="n">
        <f aca="false">MIN(0.25,C63*(1+$B63))</f>
        <v>0.0324</v>
      </c>
      <c r="E63" s="33" t="n">
        <f aca="false">MIN(0.25,D63*(1+$B63))</f>
        <v>0.034992</v>
      </c>
      <c r="F63" s="33" t="n">
        <f aca="false">MIN(0.25,E63*(1+$B63))</f>
        <v>0.03779136</v>
      </c>
      <c r="G63" s="33" t="n">
        <f aca="false">MIN(0.25,F63*(1+$B63))</f>
        <v>0.0408146688</v>
      </c>
    </row>
    <row r="64" customFormat="false" ht="15" hidden="false" customHeight="false" outlineLevel="0" collapsed="false">
      <c r="A64" s="27" t="s">
        <v>476</v>
      </c>
      <c r="B64" s="111" t="n">
        <v>0.08</v>
      </c>
      <c r="C64" s="104" t="n">
        <v>0.05</v>
      </c>
      <c r="D64" s="33" t="n">
        <f aca="false">MIN(0.25,C64*(1+$B64))</f>
        <v>0.054</v>
      </c>
      <c r="E64" s="33" t="n">
        <f aca="false">MIN(0.25,D64*(1+$B64))</f>
        <v>0.05832</v>
      </c>
      <c r="F64" s="33" t="n">
        <f aca="false">MIN(0.25,E64*(1+$B64))</f>
        <v>0.0629856</v>
      </c>
      <c r="G64" s="33" t="n">
        <f aca="false">MIN(0.25,F64*(1+$B64))</f>
        <v>0.068024448</v>
      </c>
      <c r="I64" s="29" t="s">
        <v>482</v>
      </c>
    </row>
    <row r="65" customFormat="false" ht="15" hidden="false" customHeight="false" outlineLevel="0" collapsed="false">
      <c r="A65" s="27" t="s">
        <v>478</v>
      </c>
      <c r="B65" s="111" t="n">
        <v>0.1</v>
      </c>
      <c r="C65" s="111" t="n">
        <v>0.07</v>
      </c>
      <c r="D65" s="33" t="n">
        <f aca="false">MIN(0.25,C65*(1+$B65))</f>
        <v>0.077</v>
      </c>
      <c r="E65" s="33" t="n">
        <f aca="false">MIN(0.25,D65*(1+$B65))</f>
        <v>0.0847</v>
      </c>
      <c r="F65" s="33" t="n">
        <f aca="false">MIN(0.25,E65*(1+$B65))</f>
        <v>0.09317</v>
      </c>
      <c r="G65" s="33" t="n">
        <f aca="false">MIN(0.25,F65*(1+$B65))</f>
        <v>0.102487</v>
      </c>
    </row>
    <row r="66" customFormat="false" ht="15" hidden="false" customHeight="false" outlineLevel="0" collapsed="false">
      <c r="A66" s="62" t="s">
        <v>483</v>
      </c>
    </row>
    <row r="67" customFormat="false" ht="15" hidden="false" customHeight="false" outlineLevel="0" collapsed="false">
      <c r="A67" s="27" t="s">
        <v>475</v>
      </c>
      <c r="B67" s="111" t="n">
        <v>0.18</v>
      </c>
      <c r="C67" s="116" t="n">
        <v>4</v>
      </c>
      <c r="D67" s="94" t="n">
        <f aca="false">C67*(1+$B67)</f>
        <v>4.72</v>
      </c>
      <c r="E67" s="94" t="n">
        <f aca="false">D67*(1+$B67)</f>
        <v>5.5696</v>
      </c>
      <c r="F67" s="94" t="n">
        <f aca="false">E67*(1+$B67)</f>
        <v>6.572128</v>
      </c>
      <c r="G67" s="94" t="n">
        <f aca="false">F67*(1+$B67)</f>
        <v>7.75511104</v>
      </c>
    </row>
    <row r="68" customFormat="false" ht="15" hidden="false" customHeight="false" outlineLevel="0" collapsed="false">
      <c r="A68" s="27" t="s">
        <v>476</v>
      </c>
      <c r="B68" s="111" t="n">
        <v>0.15</v>
      </c>
      <c r="C68" s="110" t="n">
        <v>2.5</v>
      </c>
      <c r="D68" s="94" t="n">
        <f aca="false">C68*(1+$B68)</f>
        <v>2.875</v>
      </c>
      <c r="E68" s="94" t="n">
        <f aca="false">D68*(1+$B68)</f>
        <v>3.30625</v>
      </c>
      <c r="F68" s="94" t="n">
        <f aca="false">E68*(1+$B68)</f>
        <v>3.8021875</v>
      </c>
      <c r="G68" s="94" t="n">
        <f aca="false">F68*(1+$B68)</f>
        <v>4.372515625</v>
      </c>
      <c r="I68" s="29" t="s">
        <v>484</v>
      </c>
    </row>
    <row r="69" customFormat="false" ht="15" hidden="false" customHeight="false" outlineLevel="0" collapsed="false">
      <c r="A69" s="27" t="s">
        <v>478</v>
      </c>
      <c r="B69" s="111" t="n">
        <v>0.15</v>
      </c>
      <c r="C69" s="116" t="n">
        <v>1.5</v>
      </c>
      <c r="D69" s="94" t="n">
        <f aca="false">C69*(1+$B69)</f>
        <v>1.725</v>
      </c>
      <c r="E69" s="94" t="n">
        <f aca="false">D69*(1+$B69)</f>
        <v>1.98375</v>
      </c>
      <c r="F69" s="94" t="n">
        <f aca="false">E69*(1+$B69)</f>
        <v>2.2813125</v>
      </c>
      <c r="G69" s="94" t="n">
        <f aca="false">F69*(1+$B69)</f>
        <v>2.623509375</v>
      </c>
    </row>
    <row r="70" customFormat="false" ht="15" hidden="false" customHeight="false" outlineLevel="0" collapsed="false">
      <c r="A70" s="117" t="s">
        <v>485</v>
      </c>
      <c r="C70" s="111" t="n">
        <v>0.3</v>
      </c>
      <c r="D70" s="111" t="n">
        <v>0.32</v>
      </c>
      <c r="E70" s="111" t="n">
        <v>0.35</v>
      </c>
      <c r="F70" s="111" t="n">
        <v>0.38</v>
      </c>
      <c r="G70" s="111" t="n">
        <v>0.4</v>
      </c>
      <c r="I70" s="29" t="s">
        <v>486</v>
      </c>
    </row>
    <row r="72" customFormat="false" ht="18" hidden="false" customHeight="true" outlineLevel="0" collapsed="false">
      <c r="A72" s="25" t="s">
        <v>487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customFormat="false" ht="15" hidden="false" customHeight="false" outlineLevel="0" collapsed="false">
      <c r="A73" s="27" t="s">
        <v>488</v>
      </c>
      <c r="B73" s="104" t="n">
        <v>0.15</v>
      </c>
      <c r="D73" s="29" t="s">
        <v>489</v>
      </c>
    </row>
    <row r="74" customFormat="false" ht="15" hidden="false" customHeight="false" outlineLevel="0" collapsed="false">
      <c r="A74" s="27" t="s">
        <v>490</v>
      </c>
      <c r="C74" s="111" t="n">
        <v>0.85</v>
      </c>
      <c r="D74" s="111" t="n">
        <v>0.8</v>
      </c>
      <c r="E74" s="111" t="n">
        <v>0.75</v>
      </c>
      <c r="F74" s="111" t="n">
        <v>0.72</v>
      </c>
      <c r="G74" s="111" t="n">
        <v>0.7</v>
      </c>
      <c r="I74" s="29" t="s">
        <v>491</v>
      </c>
    </row>
    <row r="75" customFormat="false" ht="15" hidden="false" customHeight="false" outlineLevel="0" collapsed="false">
      <c r="A75" s="27" t="s">
        <v>492</v>
      </c>
      <c r="B75" s="111" t="n">
        <v>0.045</v>
      </c>
      <c r="D75" s="29" t="s">
        <v>493</v>
      </c>
    </row>
    <row r="76" customFormat="false" ht="15" hidden="false" customHeight="false" outlineLevel="0" collapsed="false">
      <c r="A76" s="62" t="s">
        <v>494</v>
      </c>
    </row>
    <row r="77" customFormat="false" ht="27.75" hidden="false" customHeight="true" outlineLevel="0" collapsed="false">
      <c r="A77" s="109" t="s">
        <v>495</v>
      </c>
      <c r="B77" s="109"/>
      <c r="C77" s="109"/>
      <c r="D77" s="109"/>
      <c r="E77" s="109"/>
      <c r="F77" s="109"/>
      <c r="G77" s="109"/>
      <c r="H77" s="109"/>
      <c r="I77" s="109"/>
    </row>
    <row r="78" customFormat="false" ht="15" hidden="false" customHeight="false" outlineLevel="0" collapsed="false">
      <c r="A78" s="27" t="s">
        <v>496</v>
      </c>
      <c r="C78" s="104" t="n">
        <v>0.25</v>
      </c>
      <c r="D78" s="104" t="n">
        <v>0.28</v>
      </c>
      <c r="E78" s="104" t="n">
        <v>0.3</v>
      </c>
      <c r="F78" s="104" t="n">
        <v>0.32</v>
      </c>
      <c r="G78" s="104" t="n">
        <v>0.35</v>
      </c>
      <c r="I78" s="29" t="s">
        <v>497</v>
      </c>
    </row>
    <row r="79" customFormat="false" ht="15" hidden="false" customHeight="false" outlineLevel="0" collapsed="false">
      <c r="A79" s="27" t="s">
        <v>498</v>
      </c>
      <c r="B79" s="103" t="n">
        <v>75000</v>
      </c>
      <c r="D79" s="29" t="s">
        <v>499</v>
      </c>
    </row>
    <row r="80" customFormat="false" ht="15" hidden="false" customHeight="false" outlineLevel="0" collapsed="false">
      <c r="A80" s="27" t="s">
        <v>500</v>
      </c>
      <c r="B80" s="116" t="n">
        <v>0.05</v>
      </c>
      <c r="D80" s="29" t="s">
        <v>501</v>
      </c>
    </row>
    <row r="81" customFormat="false" ht="15" hidden="false" customHeight="false" outlineLevel="0" collapsed="false">
      <c r="A81" s="27" t="s">
        <v>502</v>
      </c>
      <c r="B81" s="98" t="n">
        <v>0</v>
      </c>
      <c r="D81" s="29" t="s">
        <v>503</v>
      </c>
    </row>
    <row r="82" customFormat="false" ht="15" hidden="false" customHeight="false" outlineLevel="0" collapsed="false">
      <c r="A82" s="62" t="s">
        <v>504</v>
      </c>
    </row>
    <row r="83" customFormat="false" ht="30" hidden="false" customHeight="true" outlineLevel="0" collapsed="false">
      <c r="A83" s="78" t="s">
        <v>505</v>
      </c>
      <c r="B83" s="78"/>
      <c r="C83" s="78"/>
      <c r="D83" s="78"/>
      <c r="E83" s="78"/>
      <c r="F83" s="78"/>
      <c r="G83" s="78"/>
      <c r="H83" s="78"/>
      <c r="I83" s="78"/>
    </row>
    <row r="84" customFormat="false" ht="15" hidden="false" customHeight="false" outlineLevel="0" collapsed="false">
      <c r="A84" s="118" t="s">
        <v>506</v>
      </c>
      <c r="B84" s="118" t="s">
        <v>507</v>
      </c>
      <c r="C84" s="118" t="s">
        <v>508</v>
      </c>
      <c r="D84" s="118" t="s">
        <v>509</v>
      </c>
      <c r="E84" s="118" t="s">
        <v>510</v>
      </c>
      <c r="F84" s="118" t="s">
        <v>511</v>
      </c>
      <c r="G84" s="118" t="s">
        <v>512</v>
      </c>
    </row>
    <row r="85" customFormat="false" ht="15" hidden="false" customHeight="false" outlineLevel="0" collapsed="false">
      <c r="A85" s="119" t="s">
        <v>513</v>
      </c>
      <c r="B85" s="120" t="s">
        <v>514</v>
      </c>
      <c r="C85" s="120" t="s">
        <v>515</v>
      </c>
      <c r="D85" s="120" t="s">
        <v>516</v>
      </c>
      <c r="E85" s="121" t="n">
        <v>45000</v>
      </c>
      <c r="F85" s="122" t="n">
        <v>46935</v>
      </c>
      <c r="G85" s="122" t="n">
        <v>47818</v>
      </c>
      <c r="I85" s="29" t="s">
        <v>517</v>
      </c>
    </row>
    <row r="86" customFormat="false" ht="15" hidden="false" customHeight="false" outlineLevel="0" collapsed="false">
      <c r="A86" s="119" t="s">
        <v>518</v>
      </c>
      <c r="B86" s="120" t="s">
        <v>514</v>
      </c>
      <c r="C86" s="120" t="s">
        <v>515</v>
      </c>
      <c r="D86" s="120" t="s">
        <v>516</v>
      </c>
      <c r="E86" s="121" t="n">
        <v>25000</v>
      </c>
      <c r="F86" s="122" t="n">
        <v>47119</v>
      </c>
      <c r="G86" s="122" t="n">
        <v>47818</v>
      </c>
    </row>
    <row r="87" customFormat="false" ht="15" hidden="false" customHeight="false" outlineLevel="0" collapsed="false">
      <c r="A87" s="123" t="s">
        <v>519</v>
      </c>
      <c r="B87" s="124" t="s">
        <v>520</v>
      </c>
      <c r="C87" s="124" t="s">
        <v>521</v>
      </c>
      <c r="D87" s="124" t="s">
        <v>516</v>
      </c>
      <c r="E87" s="125" t="n">
        <v>0</v>
      </c>
      <c r="F87" s="126" t="n">
        <v>47119</v>
      </c>
      <c r="G87" s="126" t="n">
        <v>47818</v>
      </c>
    </row>
    <row r="88" customFormat="false" ht="15" hidden="false" customHeight="false" outlineLevel="0" collapsed="false">
      <c r="A88" s="127"/>
      <c r="B88" s="128" t="s">
        <v>520</v>
      </c>
      <c r="C88" s="128" t="s">
        <v>521</v>
      </c>
      <c r="D88" s="128" t="s">
        <v>516</v>
      </c>
      <c r="E88" s="129" t="n">
        <v>0</v>
      </c>
      <c r="F88" s="130" t="n">
        <v>47119</v>
      </c>
      <c r="G88" s="130" t="n">
        <v>47818</v>
      </c>
    </row>
    <row r="89" customFormat="false" ht="15" hidden="false" customHeight="false" outlineLevel="0" collapsed="false">
      <c r="A89" s="127"/>
      <c r="B89" s="128" t="s">
        <v>520</v>
      </c>
      <c r="C89" s="128" t="s">
        <v>521</v>
      </c>
      <c r="D89" s="128" t="s">
        <v>516</v>
      </c>
      <c r="E89" s="129" t="n">
        <v>0</v>
      </c>
      <c r="F89" s="130" t="n">
        <v>47119</v>
      </c>
      <c r="G89" s="130" t="n">
        <v>47818</v>
      </c>
    </row>
    <row r="90" customFormat="false" ht="15" hidden="false" customHeight="false" outlineLevel="0" collapsed="false">
      <c r="A90" s="127"/>
      <c r="B90" s="128" t="s">
        <v>520</v>
      </c>
      <c r="C90" s="128" t="s">
        <v>521</v>
      </c>
      <c r="D90" s="128" t="s">
        <v>516</v>
      </c>
      <c r="E90" s="129" t="n">
        <v>0</v>
      </c>
      <c r="F90" s="130" t="n">
        <v>47119</v>
      </c>
      <c r="G90" s="130" t="n">
        <v>47818</v>
      </c>
    </row>
    <row r="91" customFormat="false" ht="15" hidden="false" customHeight="false" outlineLevel="0" collapsed="false">
      <c r="A91" s="127"/>
      <c r="B91" s="128" t="s">
        <v>520</v>
      </c>
      <c r="C91" s="128" t="s">
        <v>521</v>
      </c>
      <c r="D91" s="128" t="s">
        <v>516</v>
      </c>
      <c r="E91" s="129" t="n">
        <v>0</v>
      </c>
      <c r="F91" s="130" t="n">
        <v>47119</v>
      </c>
      <c r="G91" s="130" t="n">
        <v>47818</v>
      </c>
    </row>
    <row r="92" customFormat="false" ht="15" hidden="false" customHeight="false" outlineLevel="0" collapsed="false">
      <c r="A92" s="127"/>
      <c r="B92" s="128" t="s">
        <v>520</v>
      </c>
      <c r="C92" s="128" t="s">
        <v>521</v>
      </c>
      <c r="D92" s="128" t="s">
        <v>516</v>
      </c>
      <c r="E92" s="129" t="n">
        <v>0</v>
      </c>
      <c r="F92" s="130" t="n">
        <v>47119</v>
      </c>
      <c r="G92" s="130" t="n">
        <v>47818</v>
      </c>
    </row>
    <row r="93" customFormat="false" ht="15" hidden="false" customHeight="false" outlineLevel="0" collapsed="false">
      <c r="A93" s="127"/>
      <c r="B93" s="128" t="s">
        <v>520</v>
      </c>
      <c r="C93" s="128" t="s">
        <v>521</v>
      </c>
      <c r="D93" s="128" t="s">
        <v>516</v>
      </c>
      <c r="E93" s="129" t="n">
        <v>0</v>
      </c>
      <c r="F93" s="130" t="n">
        <v>47119</v>
      </c>
      <c r="G93" s="130" t="n">
        <v>47818</v>
      </c>
    </row>
    <row r="96" customFormat="false" ht="15" hidden="false" customHeight="false" outlineLevel="0" collapsed="false">
      <c r="A96" s="62" t="s">
        <v>522</v>
      </c>
    </row>
    <row r="97" customFormat="false" ht="15" hidden="false" customHeight="false" outlineLevel="0" collapsed="false">
      <c r="A97" s="27" t="s">
        <v>523</v>
      </c>
      <c r="B97" s="104" t="n">
        <v>0.1</v>
      </c>
      <c r="D97" s="29" t="s">
        <v>524</v>
      </c>
    </row>
    <row r="98" customFormat="false" ht="15" hidden="false" customHeight="false" outlineLevel="0" collapsed="false">
      <c r="A98" s="27" t="s">
        <v>525</v>
      </c>
      <c r="B98" s="116" t="n">
        <v>350</v>
      </c>
      <c r="D98" s="29" t="s">
        <v>526</v>
      </c>
    </row>
    <row r="99" customFormat="false" ht="15" hidden="false" customHeight="false" outlineLevel="0" collapsed="false">
      <c r="A99" s="27" t="s">
        <v>527</v>
      </c>
      <c r="C99" s="131" t="n">
        <v>0</v>
      </c>
      <c r="D99" s="131" t="n">
        <v>0.0015</v>
      </c>
      <c r="E99" s="131" t="n">
        <v>0.0025</v>
      </c>
      <c r="F99" s="131" t="n">
        <v>0.004</v>
      </c>
      <c r="G99" s="131" t="n">
        <v>0.005</v>
      </c>
      <c r="I99" s="29" t="s">
        <v>528</v>
      </c>
    </row>
    <row r="101" customFormat="false" ht="18" hidden="false" customHeight="true" outlineLevel="0" collapsed="false">
      <c r="A101" s="25" t="s">
        <v>529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</row>
    <row r="102" customFormat="false" ht="15" hidden="false" customHeight="false" outlineLevel="0" collapsed="false">
      <c r="A102" s="27" t="s">
        <v>530</v>
      </c>
      <c r="B102" s="132" t="n">
        <v>46143</v>
      </c>
      <c r="D102" s="29" t="s">
        <v>531</v>
      </c>
    </row>
    <row r="103" customFormat="false" ht="15" hidden="false" customHeight="false" outlineLevel="0" collapsed="false">
      <c r="A103" s="27" t="s">
        <v>532</v>
      </c>
      <c r="C103" s="108" t="n">
        <v>600</v>
      </c>
      <c r="D103" s="108" t="n">
        <v>2500</v>
      </c>
      <c r="E103" s="108" t="n">
        <v>8000</v>
      </c>
      <c r="F103" s="108" t="n">
        <v>18000</v>
      </c>
      <c r="G103" s="108" t="n">
        <v>30000</v>
      </c>
      <c r="I103" s="29" t="s">
        <v>533</v>
      </c>
    </row>
    <row r="104" customFormat="false" ht="15" hidden="false" customHeight="false" outlineLevel="0" collapsed="false">
      <c r="A104" s="27" t="s">
        <v>534</v>
      </c>
      <c r="C104" s="110" t="n">
        <v>1.5</v>
      </c>
      <c r="D104" s="110" t="n">
        <v>1.35</v>
      </c>
      <c r="E104" s="110" t="n">
        <v>1.15</v>
      </c>
      <c r="F104" s="110" t="n">
        <v>1</v>
      </c>
      <c r="G104" s="110" t="n">
        <v>0.9</v>
      </c>
      <c r="I104" s="29" t="s">
        <v>535</v>
      </c>
    </row>
    <row r="105" customFormat="false" ht="15" hidden="false" customHeight="false" outlineLevel="0" collapsed="false">
      <c r="A105" s="27" t="s">
        <v>536</v>
      </c>
      <c r="C105" s="116" t="n">
        <v>0.02</v>
      </c>
      <c r="D105" s="116" t="n">
        <v>0.02</v>
      </c>
      <c r="E105" s="116" t="n">
        <v>0.018</v>
      </c>
      <c r="F105" s="116" t="n">
        <v>0.015</v>
      </c>
      <c r="G105" s="116" t="n">
        <v>0.015</v>
      </c>
      <c r="I105" s="29" t="s">
        <v>537</v>
      </c>
    </row>
    <row r="106" customFormat="false" ht="15" hidden="false" customHeight="false" outlineLevel="0" collapsed="false">
      <c r="A106" s="27" t="s">
        <v>538</v>
      </c>
      <c r="C106" s="116" t="n">
        <v>0.35</v>
      </c>
      <c r="D106" s="116" t="n">
        <v>0.35</v>
      </c>
      <c r="E106" s="116" t="n">
        <v>0.3</v>
      </c>
      <c r="F106" s="116" t="n">
        <v>0.28</v>
      </c>
      <c r="G106" s="116" t="n">
        <v>0.25</v>
      </c>
      <c r="I106" s="29" t="s">
        <v>539</v>
      </c>
    </row>
    <row r="107" customFormat="false" ht="15" hidden="false" customHeight="false" outlineLevel="0" collapsed="false">
      <c r="A107" s="27" t="s">
        <v>540</v>
      </c>
      <c r="B107" s="132" t="n">
        <v>46113</v>
      </c>
      <c r="D107" s="29" t="s">
        <v>541</v>
      </c>
    </row>
    <row r="108" customFormat="false" ht="15" hidden="false" customHeight="false" outlineLevel="0" collapsed="false">
      <c r="A108" s="27" t="s">
        <v>542</v>
      </c>
      <c r="C108" s="108" t="n">
        <v>1500</v>
      </c>
      <c r="D108" s="108" t="n">
        <v>6000</v>
      </c>
      <c r="E108" s="108" t="n">
        <v>25000</v>
      </c>
      <c r="F108" s="108" t="n">
        <v>60000</v>
      </c>
      <c r="G108" s="108" t="n">
        <v>110000</v>
      </c>
      <c r="I108" s="29" t="s">
        <v>543</v>
      </c>
    </row>
    <row r="109" customFormat="false" ht="15" hidden="false" customHeight="false" outlineLevel="0" collapsed="false">
      <c r="A109" s="27" t="s">
        <v>544</v>
      </c>
      <c r="C109" s="108" t="n">
        <v>3000</v>
      </c>
      <c r="D109" s="108" t="n">
        <v>15000</v>
      </c>
      <c r="E109" s="108" t="n">
        <v>60000</v>
      </c>
      <c r="F109" s="108" t="n">
        <v>140000</v>
      </c>
      <c r="G109" s="108" t="n">
        <v>250000</v>
      </c>
      <c r="I109" s="29" t="s">
        <v>545</v>
      </c>
    </row>
    <row r="110" customFormat="false" ht="15" hidden="false" customHeight="false" outlineLevel="0" collapsed="false">
      <c r="A110" s="27" t="s">
        <v>546</v>
      </c>
      <c r="B110" s="132" t="n">
        <v>46296</v>
      </c>
    </row>
    <row r="111" customFormat="false" ht="15" hidden="false" customHeight="false" outlineLevel="0" collapsed="false">
      <c r="A111" s="27" t="s">
        <v>547</v>
      </c>
      <c r="B111" s="108" t="n">
        <v>25000</v>
      </c>
    </row>
    <row r="112" customFormat="false" ht="15" hidden="false" customHeight="false" outlineLevel="0" collapsed="false">
      <c r="A112" s="27" t="s">
        <v>548</v>
      </c>
      <c r="B112" s="132" t="n">
        <v>46296</v>
      </c>
    </row>
    <row r="114" customFormat="false" ht="18" hidden="false" customHeight="true" outlineLevel="0" collapsed="false">
      <c r="A114" s="25" t="s">
        <v>549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</row>
    <row r="115" customFormat="false" ht="27.75" hidden="false" customHeight="true" outlineLevel="0" collapsed="false">
      <c r="A115" s="109" t="s">
        <v>550</v>
      </c>
      <c r="B115" s="109"/>
      <c r="C115" s="109"/>
      <c r="D115" s="109"/>
      <c r="E115" s="109"/>
      <c r="F115" s="109"/>
      <c r="G115" s="109"/>
      <c r="H115" s="109"/>
      <c r="I115" s="109"/>
    </row>
    <row r="116" customFormat="false" ht="15" hidden="false" customHeight="false" outlineLevel="0" collapsed="false">
      <c r="A116" s="27" t="s">
        <v>551</v>
      </c>
      <c r="B116" s="98" t="n">
        <v>1</v>
      </c>
      <c r="D116" s="29" t="s">
        <v>552</v>
      </c>
    </row>
    <row r="117" customFormat="false" ht="15" hidden="false" customHeight="false" outlineLevel="0" collapsed="false">
      <c r="A117" s="27" t="s">
        <v>553</v>
      </c>
      <c r="B117" s="98" t="n">
        <v>0</v>
      </c>
      <c r="D117" s="29" t="s">
        <v>554</v>
      </c>
    </row>
    <row r="118" customFormat="false" ht="15" hidden="false" customHeight="false" outlineLevel="0" collapsed="false">
      <c r="A118" s="27" t="s">
        <v>555</v>
      </c>
      <c r="B118" s="98" t="n">
        <v>3</v>
      </c>
      <c r="D118" s="29" t="s">
        <v>556</v>
      </c>
    </row>
    <row r="120" customFormat="false" ht="18" hidden="false" customHeight="true" outlineLevel="0" collapsed="false">
      <c r="A120" s="25" t="s">
        <v>557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</row>
    <row r="121" customFormat="false" ht="27.75" hidden="false" customHeight="true" outlineLevel="0" collapsed="false">
      <c r="A121" s="109" t="s">
        <v>558</v>
      </c>
      <c r="B121" s="109"/>
      <c r="C121" s="109"/>
      <c r="D121" s="109"/>
      <c r="E121" s="109"/>
      <c r="F121" s="109"/>
      <c r="G121" s="109"/>
      <c r="H121" s="109"/>
      <c r="I121" s="109"/>
    </row>
    <row r="122" customFormat="false" ht="27.75" hidden="false" customHeight="true" outlineLevel="0" collapsed="false">
      <c r="A122" s="109" t="s">
        <v>559</v>
      </c>
      <c r="B122" s="109"/>
      <c r="C122" s="109"/>
      <c r="D122" s="109"/>
      <c r="E122" s="109"/>
      <c r="F122" s="109"/>
      <c r="G122" s="109"/>
      <c r="H122" s="109"/>
      <c r="I122" s="109"/>
    </row>
    <row r="123" customFormat="false" ht="27.75" hidden="false" customHeight="true" outlineLevel="0" collapsed="false">
      <c r="A123" s="109" t="s">
        <v>560</v>
      </c>
      <c r="B123" s="109"/>
      <c r="C123" s="109"/>
      <c r="D123" s="109"/>
      <c r="E123" s="109"/>
      <c r="F123" s="109"/>
      <c r="G123" s="109"/>
      <c r="H123" s="109"/>
      <c r="I123" s="109"/>
    </row>
    <row r="124" customFormat="false" ht="27.75" hidden="false" customHeight="true" outlineLevel="0" collapsed="false">
      <c r="A124" s="109" t="s">
        <v>561</v>
      </c>
      <c r="B124" s="109"/>
      <c r="C124" s="109"/>
      <c r="D124" s="109"/>
      <c r="E124" s="109"/>
      <c r="F124" s="109"/>
      <c r="G124" s="109"/>
      <c r="H124" s="109"/>
      <c r="I124" s="109"/>
    </row>
    <row r="125" customFormat="false" ht="27.75" hidden="false" customHeight="true" outlineLevel="0" collapsed="false">
      <c r="A125" s="109" t="s">
        <v>562</v>
      </c>
      <c r="B125" s="109"/>
      <c r="C125" s="109"/>
      <c r="D125" s="109"/>
      <c r="E125" s="109"/>
      <c r="F125" s="109"/>
      <c r="G125" s="109"/>
      <c r="H125" s="109"/>
      <c r="I125" s="109"/>
    </row>
    <row r="126" customFormat="false" ht="27.75" hidden="false" customHeight="true" outlineLevel="0" collapsed="false">
      <c r="A126" s="109" t="s">
        <v>563</v>
      </c>
      <c r="B126" s="109"/>
      <c r="C126" s="109"/>
      <c r="D126" s="109"/>
      <c r="E126" s="109"/>
      <c r="F126" s="109"/>
      <c r="G126" s="109"/>
      <c r="H126" s="109"/>
      <c r="I126" s="109"/>
    </row>
    <row r="127" customFormat="false" ht="27.75" hidden="false" customHeight="true" outlineLevel="0" collapsed="false">
      <c r="A127" s="109" t="s">
        <v>564</v>
      </c>
      <c r="B127" s="109"/>
      <c r="C127" s="109"/>
      <c r="D127" s="109"/>
      <c r="E127" s="109"/>
      <c r="F127" s="109"/>
      <c r="G127" s="109"/>
      <c r="H127" s="109"/>
      <c r="I127" s="109"/>
    </row>
  </sheetData>
  <mergeCells count="15">
    <mergeCell ref="A28:I28"/>
    <mergeCell ref="A41:I41"/>
    <mergeCell ref="A46:I46"/>
    <mergeCell ref="A52:I52"/>
    <mergeCell ref="A53:I53"/>
    <mergeCell ref="A77:I77"/>
    <mergeCell ref="A83:I83"/>
    <mergeCell ref="A115:I115"/>
    <mergeCell ref="A121:I121"/>
    <mergeCell ref="A122:I122"/>
    <mergeCell ref="A123:I123"/>
    <mergeCell ref="A124:I124"/>
    <mergeCell ref="A125:I125"/>
    <mergeCell ref="A126:I126"/>
    <mergeCell ref="A127:I127"/>
  </mergeCells>
  <dataValidations count="3">
    <dataValidation allowBlank="true" errorStyle="stop" operator="between" showDropDown="false" showErrorMessage="false" showInputMessage="false" sqref="B85:B93" type="list">
      <formula1>"Dados,Outras"</formula1>
      <formula2>0</formula2>
    </dataValidation>
    <dataValidation allowBlank="true" errorStyle="stop" operator="between" showDropDown="false" showErrorMessage="false" showInputMessage="false" sqref="C85:C93" type="list">
      <formula1>"Planejado,Em estudo,Descartado"</formula1>
      <formula2>0</formula2>
    </dataValidation>
    <dataValidation allowBlank="true" errorStyle="stop" operator="between" showDropDown="false" showErrorMessage="false" showInputMessage="false" sqref="D85:D93" type="list">
      <formula1>"Fixo mensal,Por usuário"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B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1" min="2" style="0" width="11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565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3" t="s">
        <v>566</v>
      </c>
    </row>
    <row r="4" customFormat="false" ht="15" hidden="false" customHeight="false" outlineLevel="0" collapsed="false">
      <c r="A4" s="52" t="s">
        <v>229</v>
      </c>
      <c r="B4" s="53" t="n">
        <v>46023</v>
      </c>
      <c r="C4" s="53" t="n">
        <v>46054</v>
      </c>
      <c r="D4" s="53" t="n">
        <v>46082</v>
      </c>
      <c r="E4" s="53" t="n">
        <v>46113</v>
      </c>
      <c r="F4" s="53" t="n">
        <v>46143</v>
      </c>
      <c r="G4" s="53" t="n">
        <v>46174</v>
      </c>
      <c r="H4" s="53" t="n">
        <v>46204</v>
      </c>
      <c r="I4" s="53" t="n">
        <v>46235</v>
      </c>
      <c r="J4" s="53" t="n">
        <v>46266</v>
      </c>
      <c r="K4" s="53" t="n">
        <v>46296</v>
      </c>
      <c r="L4" s="53" t="n">
        <v>46327</v>
      </c>
      <c r="M4" s="53" t="n">
        <v>46357</v>
      </c>
      <c r="N4" s="53" t="n">
        <v>46388</v>
      </c>
      <c r="O4" s="53" t="n">
        <v>46419</v>
      </c>
      <c r="P4" s="53" t="n">
        <v>46447</v>
      </c>
      <c r="Q4" s="53" t="n">
        <v>46478</v>
      </c>
      <c r="R4" s="53" t="n">
        <v>46508</v>
      </c>
      <c r="S4" s="53" t="n">
        <v>46539</v>
      </c>
      <c r="T4" s="53" t="n">
        <v>46569</v>
      </c>
      <c r="U4" s="53" t="n">
        <v>46600</v>
      </c>
      <c r="V4" s="53" t="n">
        <v>46631</v>
      </c>
      <c r="W4" s="53" t="n">
        <v>46661</v>
      </c>
      <c r="X4" s="53" t="n">
        <v>46692</v>
      </c>
      <c r="Y4" s="53" t="n">
        <v>46722</v>
      </c>
      <c r="Z4" s="53" t="n">
        <v>46753</v>
      </c>
      <c r="AA4" s="53" t="n">
        <v>46784</v>
      </c>
      <c r="AB4" s="53" t="n">
        <v>46813</v>
      </c>
      <c r="AC4" s="53" t="n">
        <v>46844</v>
      </c>
      <c r="AD4" s="53" t="n">
        <v>46874</v>
      </c>
      <c r="AE4" s="53" t="n">
        <v>46905</v>
      </c>
      <c r="AF4" s="53" t="n">
        <v>46935</v>
      </c>
      <c r="AG4" s="53" t="n">
        <v>46966</v>
      </c>
      <c r="AH4" s="53" t="n">
        <v>46997</v>
      </c>
      <c r="AI4" s="53" t="n">
        <v>47027</v>
      </c>
      <c r="AJ4" s="53" t="n">
        <v>47058</v>
      </c>
      <c r="AK4" s="53" t="n">
        <v>47088</v>
      </c>
      <c r="AL4" s="53" t="n">
        <v>47119</v>
      </c>
      <c r="AM4" s="53" t="n">
        <v>47150</v>
      </c>
      <c r="AN4" s="53" t="n">
        <v>47178</v>
      </c>
      <c r="AO4" s="53" t="n">
        <v>47209</v>
      </c>
      <c r="AP4" s="53" t="n">
        <v>47239</v>
      </c>
      <c r="AQ4" s="53" t="n">
        <v>47270</v>
      </c>
      <c r="AR4" s="53" t="n">
        <v>47300</v>
      </c>
      <c r="AS4" s="53" t="n">
        <v>47331</v>
      </c>
      <c r="AT4" s="53" t="n">
        <v>47362</v>
      </c>
      <c r="AU4" s="53" t="n">
        <v>47392</v>
      </c>
      <c r="AV4" s="53" t="n">
        <v>47423</v>
      </c>
      <c r="AW4" s="53" t="n">
        <v>47453</v>
      </c>
      <c r="AX4" s="53" t="n">
        <v>47484</v>
      </c>
      <c r="AY4" s="53" t="n">
        <v>47515</v>
      </c>
      <c r="AZ4" s="53" t="n">
        <v>47543</v>
      </c>
      <c r="BA4" s="53" t="n">
        <v>47574</v>
      </c>
      <c r="BB4" s="53" t="n">
        <v>47604</v>
      </c>
      <c r="BC4" s="53" t="n">
        <v>47635</v>
      </c>
      <c r="BD4" s="53" t="n">
        <v>47665</v>
      </c>
      <c r="BE4" s="53" t="n">
        <v>47696</v>
      </c>
      <c r="BF4" s="53" t="n">
        <v>47727</v>
      </c>
      <c r="BG4" s="53" t="n">
        <v>47757</v>
      </c>
      <c r="BH4" s="53" t="n">
        <v>47788</v>
      </c>
      <c r="BI4" s="53" t="n">
        <v>47818</v>
      </c>
      <c r="BJ4" s="54" t="s">
        <v>230</v>
      </c>
      <c r="BK4" s="54" t="s">
        <v>231</v>
      </c>
    </row>
    <row r="5" customFormat="false" ht="15" hidden="false" customHeight="false" outlineLevel="0" collapsed="false">
      <c r="A5" s="55" t="s">
        <v>232</v>
      </c>
      <c r="B5" s="56" t="n">
        <v>1</v>
      </c>
      <c r="C5" s="56" t="n">
        <v>2</v>
      </c>
      <c r="D5" s="56" t="n">
        <v>3</v>
      </c>
      <c r="E5" s="56" t="n">
        <v>4</v>
      </c>
      <c r="F5" s="56" t="n">
        <v>5</v>
      </c>
      <c r="G5" s="56" t="n">
        <v>6</v>
      </c>
      <c r="H5" s="56" t="n">
        <v>7</v>
      </c>
      <c r="I5" s="56" t="n">
        <v>8</v>
      </c>
      <c r="J5" s="56" t="n">
        <v>9</v>
      </c>
      <c r="K5" s="56" t="n">
        <v>10</v>
      </c>
      <c r="L5" s="56" t="n">
        <v>11</v>
      </c>
      <c r="M5" s="56" t="n">
        <v>12</v>
      </c>
      <c r="N5" s="56" t="n">
        <v>13</v>
      </c>
      <c r="O5" s="56" t="n">
        <v>14</v>
      </c>
      <c r="P5" s="56" t="n">
        <v>15</v>
      </c>
      <c r="Q5" s="56" t="n">
        <v>16</v>
      </c>
      <c r="R5" s="56" t="n">
        <v>17</v>
      </c>
      <c r="S5" s="56" t="n">
        <v>18</v>
      </c>
      <c r="T5" s="56" t="n">
        <v>19</v>
      </c>
      <c r="U5" s="56" t="n">
        <v>20</v>
      </c>
      <c r="V5" s="56" t="n">
        <v>21</v>
      </c>
      <c r="W5" s="56" t="n">
        <v>22</v>
      </c>
      <c r="X5" s="56" t="n">
        <v>23</v>
      </c>
      <c r="Y5" s="56" t="n">
        <v>24</v>
      </c>
      <c r="Z5" s="56" t="n">
        <v>25</v>
      </c>
      <c r="AA5" s="56" t="n">
        <v>26</v>
      </c>
      <c r="AB5" s="56" t="n">
        <v>27</v>
      </c>
      <c r="AC5" s="56" t="n">
        <v>28</v>
      </c>
      <c r="AD5" s="56" t="n">
        <v>29</v>
      </c>
      <c r="AE5" s="56" t="n">
        <v>30</v>
      </c>
      <c r="AF5" s="56" t="n">
        <v>31</v>
      </c>
      <c r="AG5" s="56" t="n">
        <v>32</v>
      </c>
      <c r="AH5" s="56" t="n">
        <v>33</v>
      </c>
      <c r="AI5" s="56" t="n">
        <v>34</v>
      </c>
      <c r="AJ5" s="56" t="n">
        <v>35</v>
      </c>
      <c r="AK5" s="56" t="n">
        <v>36</v>
      </c>
      <c r="AL5" s="56" t="n">
        <v>37</v>
      </c>
      <c r="AM5" s="56" t="n">
        <v>38</v>
      </c>
      <c r="AN5" s="56" t="n">
        <v>39</v>
      </c>
      <c r="AO5" s="56" t="n">
        <v>40</v>
      </c>
      <c r="AP5" s="56" t="n">
        <v>41</v>
      </c>
      <c r="AQ5" s="56" t="n">
        <v>42</v>
      </c>
      <c r="AR5" s="56" t="n">
        <v>43</v>
      </c>
      <c r="AS5" s="56" t="n">
        <v>44</v>
      </c>
      <c r="AT5" s="56" t="n">
        <v>45</v>
      </c>
      <c r="AU5" s="56" t="n">
        <v>46</v>
      </c>
      <c r="AV5" s="56" t="n">
        <v>47</v>
      </c>
      <c r="AW5" s="56" t="n">
        <v>48</v>
      </c>
      <c r="AX5" s="56" t="n">
        <v>49</v>
      </c>
      <c r="AY5" s="56" t="n">
        <v>50</v>
      </c>
      <c r="AZ5" s="56" t="n">
        <v>51</v>
      </c>
      <c r="BA5" s="56" t="n">
        <v>52</v>
      </c>
      <c r="BB5" s="56" t="n">
        <v>53</v>
      </c>
      <c r="BC5" s="56" t="n">
        <v>54</v>
      </c>
      <c r="BD5" s="56" t="n">
        <v>55</v>
      </c>
      <c r="BE5" s="56" t="n">
        <v>56</v>
      </c>
      <c r="BF5" s="56" t="n">
        <v>57</v>
      </c>
      <c r="BG5" s="56" t="n">
        <v>58</v>
      </c>
      <c r="BH5" s="56" t="n">
        <v>59</v>
      </c>
      <c r="BI5" s="56" t="n">
        <v>60</v>
      </c>
    </row>
    <row r="6" customFormat="false" ht="15" hidden="false" customHeight="false" outlineLevel="0" collapsed="false">
      <c r="A6" s="55" t="s">
        <v>233</v>
      </c>
      <c r="B6" s="57" t="n">
        <f aca="false">YEAR(B4)</f>
        <v>2026</v>
      </c>
      <c r="C6" s="57" t="n">
        <f aca="false">YEAR(C4)</f>
        <v>2026</v>
      </c>
      <c r="D6" s="57" t="n">
        <f aca="false">YEAR(D4)</f>
        <v>2026</v>
      </c>
      <c r="E6" s="57" t="n">
        <f aca="false">YEAR(E4)</f>
        <v>2026</v>
      </c>
      <c r="F6" s="57" t="n">
        <f aca="false">YEAR(F4)</f>
        <v>2026</v>
      </c>
      <c r="G6" s="57" t="n">
        <f aca="false">YEAR(G4)</f>
        <v>2026</v>
      </c>
      <c r="H6" s="57" t="n">
        <f aca="false">YEAR(H4)</f>
        <v>2026</v>
      </c>
      <c r="I6" s="57" t="n">
        <f aca="false">YEAR(I4)</f>
        <v>2026</v>
      </c>
      <c r="J6" s="57" t="n">
        <f aca="false">YEAR(J4)</f>
        <v>2026</v>
      </c>
      <c r="K6" s="57" t="n">
        <f aca="false">YEAR(K4)</f>
        <v>2026</v>
      </c>
      <c r="L6" s="57" t="n">
        <f aca="false">YEAR(L4)</f>
        <v>2026</v>
      </c>
      <c r="M6" s="57" t="n">
        <f aca="false">YEAR(M4)</f>
        <v>2026</v>
      </c>
      <c r="N6" s="57" t="n">
        <f aca="false">YEAR(N4)</f>
        <v>2027</v>
      </c>
      <c r="O6" s="57" t="n">
        <f aca="false">YEAR(O4)</f>
        <v>2027</v>
      </c>
      <c r="P6" s="57" t="n">
        <f aca="false">YEAR(P4)</f>
        <v>2027</v>
      </c>
      <c r="Q6" s="57" t="n">
        <f aca="false">YEAR(Q4)</f>
        <v>2027</v>
      </c>
      <c r="R6" s="57" t="n">
        <f aca="false">YEAR(R4)</f>
        <v>2027</v>
      </c>
      <c r="S6" s="57" t="n">
        <f aca="false">YEAR(S4)</f>
        <v>2027</v>
      </c>
      <c r="T6" s="57" t="n">
        <f aca="false">YEAR(T4)</f>
        <v>2027</v>
      </c>
      <c r="U6" s="57" t="n">
        <f aca="false">YEAR(U4)</f>
        <v>2027</v>
      </c>
      <c r="V6" s="57" t="n">
        <f aca="false">YEAR(V4)</f>
        <v>2027</v>
      </c>
      <c r="W6" s="57" t="n">
        <f aca="false">YEAR(W4)</f>
        <v>2027</v>
      </c>
      <c r="X6" s="57" t="n">
        <f aca="false">YEAR(X4)</f>
        <v>2027</v>
      </c>
      <c r="Y6" s="57" t="n">
        <f aca="false">YEAR(Y4)</f>
        <v>2027</v>
      </c>
      <c r="Z6" s="57" t="n">
        <f aca="false">YEAR(Z4)</f>
        <v>2028</v>
      </c>
      <c r="AA6" s="57" t="n">
        <f aca="false">YEAR(AA4)</f>
        <v>2028</v>
      </c>
      <c r="AB6" s="57" t="n">
        <f aca="false">YEAR(AB4)</f>
        <v>2028</v>
      </c>
      <c r="AC6" s="57" t="n">
        <f aca="false">YEAR(AC4)</f>
        <v>2028</v>
      </c>
      <c r="AD6" s="57" t="n">
        <f aca="false">YEAR(AD4)</f>
        <v>2028</v>
      </c>
      <c r="AE6" s="57" t="n">
        <f aca="false">YEAR(AE4)</f>
        <v>2028</v>
      </c>
      <c r="AF6" s="57" t="n">
        <f aca="false">YEAR(AF4)</f>
        <v>2028</v>
      </c>
      <c r="AG6" s="57" t="n">
        <f aca="false">YEAR(AG4)</f>
        <v>2028</v>
      </c>
      <c r="AH6" s="57" t="n">
        <f aca="false">YEAR(AH4)</f>
        <v>2028</v>
      </c>
      <c r="AI6" s="57" t="n">
        <f aca="false">YEAR(AI4)</f>
        <v>2028</v>
      </c>
      <c r="AJ6" s="57" t="n">
        <f aca="false">YEAR(AJ4)</f>
        <v>2028</v>
      </c>
      <c r="AK6" s="57" t="n">
        <f aca="false">YEAR(AK4)</f>
        <v>2028</v>
      </c>
      <c r="AL6" s="57" t="n">
        <f aca="false">YEAR(AL4)</f>
        <v>2029</v>
      </c>
      <c r="AM6" s="57" t="n">
        <f aca="false">YEAR(AM4)</f>
        <v>2029</v>
      </c>
      <c r="AN6" s="57" t="n">
        <f aca="false">YEAR(AN4)</f>
        <v>2029</v>
      </c>
      <c r="AO6" s="57" t="n">
        <f aca="false">YEAR(AO4)</f>
        <v>2029</v>
      </c>
      <c r="AP6" s="57" t="n">
        <f aca="false">YEAR(AP4)</f>
        <v>2029</v>
      </c>
      <c r="AQ6" s="57" t="n">
        <f aca="false">YEAR(AQ4)</f>
        <v>2029</v>
      </c>
      <c r="AR6" s="57" t="n">
        <f aca="false">YEAR(AR4)</f>
        <v>2029</v>
      </c>
      <c r="AS6" s="57" t="n">
        <f aca="false">YEAR(AS4)</f>
        <v>2029</v>
      </c>
      <c r="AT6" s="57" t="n">
        <f aca="false">YEAR(AT4)</f>
        <v>2029</v>
      </c>
      <c r="AU6" s="57" t="n">
        <f aca="false">YEAR(AU4)</f>
        <v>2029</v>
      </c>
      <c r="AV6" s="57" t="n">
        <f aca="false">YEAR(AV4)</f>
        <v>2029</v>
      </c>
      <c r="AW6" s="57" t="n">
        <f aca="false">YEAR(AW4)</f>
        <v>2029</v>
      </c>
      <c r="AX6" s="57" t="n">
        <f aca="false">YEAR(AX4)</f>
        <v>2030</v>
      </c>
      <c r="AY6" s="57" t="n">
        <f aca="false">YEAR(AY4)</f>
        <v>2030</v>
      </c>
      <c r="AZ6" s="57" t="n">
        <f aca="false">YEAR(AZ4)</f>
        <v>2030</v>
      </c>
      <c r="BA6" s="57" t="n">
        <f aca="false">YEAR(BA4)</f>
        <v>2030</v>
      </c>
      <c r="BB6" s="57" t="n">
        <f aca="false">YEAR(BB4)</f>
        <v>2030</v>
      </c>
      <c r="BC6" s="57" t="n">
        <f aca="false">YEAR(BC4)</f>
        <v>2030</v>
      </c>
      <c r="BD6" s="57" t="n">
        <f aca="false">YEAR(BD4)</f>
        <v>2030</v>
      </c>
      <c r="BE6" s="57" t="n">
        <f aca="false">YEAR(BE4)</f>
        <v>2030</v>
      </c>
      <c r="BF6" s="57" t="n">
        <f aca="false">YEAR(BF4)</f>
        <v>2030</v>
      </c>
      <c r="BG6" s="57" t="n">
        <f aca="false">YEAR(BG4)</f>
        <v>2030</v>
      </c>
      <c r="BH6" s="57" t="n">
        <f aca="false">YEAR(BH4)</f>
        <v>2030</v>
      </c>
      <c r="BI6" s="57" t="n">
        <f aca="false">YEAR(BI4)</f>
        <v>2030</v>
      </c>
    </row>
    <row r="7" customFormat="false" ht="15" hidden="false" customHeight="false" outlineLevel="0" collapsed="false">
      <c r="A7" s="58" t="s">
        <v>234</v>
      </c>
      <c r="B7" s="59" t="n">
        <f aca="false">MATCH(B6,Premissas!$C$5:$G$5,0)</f>
        <v>1</v>
      </c>
      <c r="C7" s="59" t="n">
        <f aca="false">MATCH(C6,Premissas!$C$5:$G$5,0)</f>
        <v>1</v>
      </c>
      <c r="D7" s="59" t="n">
        <f aca="false">MATCH(D6,Premissas!$C$5:$G$5,0)</f>
        <v>1</v>
      </c>
      <c r="E7" s="59" t="n">
        <f aca="false">MATCH(E6,Premissas!$C$5:$G$5,0)</f>
        <v>1</v>
      </c>
      <c r="F7" s="59" t="n">
        <f aca="false">MATCH(F6,Premissas!$C$5:$G$5,0)</f>
        <v>1</v>
      </c>
      <c r="G7" s="59" t="n">
        <f aca="false">MATCH(G6,Premissas!$C$5:$G$5,0)</f>
        <v>1</v>
      </c>
      <c r="H7" s="59" t="n">
        <f aca="false">MATCH(H6,Premissas!$C$5:$G$5,0)</f>
        <v>1</v>
      </c>
      <c r="I7" s="59" t="n">
        <f aca="false">MATCH(I6,Premissas!$C$5:$G$5,0)</f>
        <v>1</v>
      </c>
      <c r="J7" s="59" t="n">
        <f aca="false">MATCH(J6,Premissas!$C$5:$G$5,0)</f>
        <v>1</v>
      </c>
      <c r="K7" s="59" t="n">
        <f aca="false">MATCH(K6,Premissas!$C$5:$G$5,0)</f>
        <v>1</v>
      </c>
      <c r="L7" s="59" t="n">
        <f aca="false">MATCH(L6,Premissas!$C$5:$G$5,0)</f>
        <v>1</v>
      </c>
      <c r="M7" s="59" t="n">
        <f aca="false">MATCH(M6,Premissas!$C$5:$G$5,0)</f>
        <v>1</v>
      </c>
      <c r="N7" s="59" t="n">
        <f aca="false">MATCH(N6,Premissas!$C$5:$G$5,0)</f>
        <v>2</v>
      </c>
      <c r="O7" s="59" t="n">
        <f aca="false">MATCH(O6,Premissas!$C$5:$G$5,0)</f>
        <v>2</v>
      </c>
      <c r="P7" s="59" t="n">
        <f aca="false">MATCH(P6,Premissas!$C$5:$G$5,0)</f>
        <v>2</v>
      </c>
      <c r="Q7" s="59" t="n">
        <f aca="false">MATCH(Q6,Premissas!$C$5:$G$5,0)</f>
        <v>2</v>
      </c>
      <c r="R7" s="59" t="n">
        <f aca="false">MATCH(R6,Premissas!$C$5:$G$5,0)</f>
        <v>2</v>
      </c>
      <c r="S7" s="59" t="n">
        <f aca="false">MATCH(S6,Premissas!$C$5:$G$5,0)</f>
        <v>2</v>
      </c>
      <c r="T7" s="59" t="n">
        <f aca="false">MATCH(T6,Premissas!$C$5:$G$5,0)</f>
        <v>2</v>
      </c>
      <c r="U7" s="59" t="n">
        <f aca="false">MATCH(U6,Premissas!$C$5:$G$5,0)</f>
        <v>2</v>
      </c>
      <c r="V7" s="59" t="n">
        <f aca="false">MATCH(V6,Premissas!$C$5:$G$5,0)</f>
        <v>2</v>
      </c>
      <c r="W7" s="59" t="n">
        <f aca="false">MATCH(W6,Premissas!$C$5:$G$5,0)</f>
        <v>2</v>
      </c>
      <c r="X7" s="59" t="n">
        <f aca="false">MATCH(X6,Premissas!$C$5:$G$5,0)</f>
        <v>2</v>
      </c>
      <c r="Y7" s="59" t="n">
        <f aca="false">MATCH(Y6,Premissas!$C$5:$G$5,0)</f>
        <v>2</v>
      </c>
      <c r="Z7" s="59" t="n">
        <f aca="false">MATCH(Z6,Premissas!$C$5:$G$5,0)</f>
        <v>3</v>
      </c>
      <c r="AA7" s="59" t="n">
        <f aca="false">MATCH(AA6,Premissas!$C$5:$G$5,0)</f>
        <v>3</v>
      </c>
      <c r="AB7" s="59" t="n">
        <f aca="false">MATCH(AB6,Premissas!$C$5:$G$5,0)</f>
        <v>3</v>
      </c>
      <c r="AC7" s="59" t="n">
        <f aca="false">MATCH(AC6,Premissas!$C$5:$G$5,0)</f>
        <v>3</v>
      </c>
      <c r="AD7" s="59" t="n">
        <f aca="false">MATCH(AD6,Premissas!$C$5:$G$5,0)</f>
        <v>3</v>
      </c>
      <c r="AE7" s="59" t="n">
        <f aca="false">MATCH(AE6,Premissas!$C$5:$G$5,0)</f>
        <v>3</v>
      </c>
      <c r="AF7" s="59" t="n">
        <f aca="false">MATCH(AF6,Premissas!$C$5:$G$5,0)</f>
        <v>3</v>
      </c>
      <c r="AG7" s="59" t="n">
        <f aca="false">MATCH(AG6,Premissas!$C$5:$G$5,0)</f>
        <v>3</v>
      </c>
      <c r="AH7" s="59" t="n">
        <f aca="false">MATCH(AH6,Premissas!$C$5:$G$5,0)</f>
        <v>3</v>
      </c>
      <c r="AI7" s="59" t="n">
        <f aca="false">MATCH(AI6,Premissas!$C$5:$G$5,0)</f>
        <v>3</v>
      </c>
      <c r="AJ7" s="59" t="n">
        <f aca="false">MATCH(AJ6,Premissas!$C$5:$G$5,0)</f>
        <v>3</v>
      </c>
      <c r="AK7" s="59" t="n">
        <f aca="false">MATCH(AK6,Premissas!$C$5:$G$5,0)</f>
        <v>3</v>
      </c>
      <c r="AL7" s="59" t="n">
        <f aca="false">MATCH(AL6,Premissas!$C$5:$G$5,0)</f>
        <v>4</v>
      </c>
      <c r="AM7" s="59" t="n">
        <f aca="false">MATCH(AM6,Premissas!$C$5:$G$5,0)</f>
        <v>4</v>
      </c>
      <c r="AN7" s="59" t="n">
        <f aca="false">MATCH(AN6,Premissas!$C$5:$G$5,0)</f>
        <v>4</v>
      </c>
      <c r="AO7" s="59" t="n">
        <f aca="false">MATCH(AO6,Premissas!$C$5:$G$5,0)</f>
        <v>4</v>
      </c>
      <c r="AP7" s="59" t="n">
        <f aca="false">MATCH(AP6,Premissas!$C$5:$G$5,0)</f>
        <v>4</v>
      </c>
      <c r="AQ7" s="59" t="n">
        <f aca="false">MATCH(AQ6,Premissas!$C$5:$G$5,0)</f>
        <v>4</v>
      </c>
      <c r="AR7" s="59" t="n">
        <f aca="false">MATCH(AR6,Premissas!$C$5:$G$5,0)</f>
        <v>4</v>
      </c>
      <c r="AS7" s="59" t="n">
        <f aca="false">MATCH(AS6,Premissas!$C$5:$G$5,0)</f>
        <v>4</v>
      </c>
      <c r="AT7" s="59" t="n">
        <f aca="false">MATCH(AT6,Premissas!$C$5:$G$5,0)</f>
        <v>4</v>
      </c>
      <c r="AU7" s="59" t="n">
        <f aca="false">MATCH(AU6,Premissas!$C$5:$G$5,0)</f>
        <v>4</v>
      </c>
      <c r="AV7" s="59" t="n">
        <f aca="false">MATCH(AV6,Premissas!$C$5:$G$5,0)</f>
        <v>4</v>
      </c>
      <c r="AW7" s="59" t="n">
        <f aca="false">MATCH(AW6,Premissas!$C$5:$G$5,0)</f>
        <v>4</v>
      </c>
      <c r="AX7" s="59" t="n">
        <f aca="false">MATCH(AX6,Premissas!$C$5:$G$5,0)</f>
        <v>5</v>
      </c>
      <c r="AY7" s="59" t="n">
        <f aca="false">MATCH(AY6,Premissas!$C$5:$G$5,0)</f>
        <v>5</v>
      </c>
      <c r="AZ7" s="59" t="n">
        <f aca="false">MATCH(AZ6,Premissas!$C$5:$G$5,0)</f>
        <v>5</v>
      </c>
      <c r="BA7" s="59" t="n">
        <f aca="false">MATCH(BA6,Premissas!$C$5:$G$5,0)</f>
        <v>5</v>
      </c>
      <c r="BB7" s="59" t="n">
        <f aca="false">MATCH(BB6,Premissas!$C$5:$G$5,0)</f>
        <v>5</v>
      </c>
      <c r="BC7" s="59" t="n">
        <f aca="false">MATCH(BC6,Premissas!$C$5:$G$5,0)</f>
        <v>5</v>
      </c>
      <c r="BD7" s="59" t="n">
        <f aca="false">MATCH(BD6,Premissas!$C$5:$G$5,0)</f>
        <v>5</v>
      </c>
      <c r="BE7" s="59" t="n">
        <f aca="false">MATCH(BE6,Premissas!$C$5:$G$5,0)</f>
        <v>5</v>
      </c>
      <c r="BF7" s="59" t="n">
        <f aca="false">MATCH(BF6,Premissas!$C$5:$G$5,0)</f>
        <v>5</v>
      </c>
      <c r="BG7" s="59" t="n">
        <f aca="false">MATCH(BG6,Premissas!$C$5:$G$5,0)</f>
        <v>5</v>
      </c>
      <c r="BH7" s="59" t="n">
        <f aca="false">MATCH(BH6,Premissas!$C$5:$G$5,0)</f>
        <v>5</v>
      </c>
      <c r="BI7" s="59" t="n">
        <f aca="false">MATCH(BI6,Premissas!$C$5:$G$5,0)</f>
        <v>5</v>
      </c>
    </row>
    <row r="8" customFormat="false" ht="25.5" hidden="false" customHeight="true" outlineLevel="0" collapsed="false">
      <c r="A8" s="109" t="s">
        <v>567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customFormat="false" ht="25.5" hidden="false" customHeight="true" outlineLevel="0" collapsed="false">
      <c r="A9" s="109" t="s">
        <v>568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customFormat="false" ht="25.5" hidden="false" customHeight="true" outlineLevel="0" collapsed="false">
      <c r="A10" s="109" t="s">
        <v>569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2" customFormat="false" ht="18" hidden="false" customHeight="true" outlineLevel="0" collapsed="false">
      <c r="A12" s="68" t="s">
        <v>249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</row>
    <row r="13" customFormat="false" ht="15" hidden="false" customHeight="false" outlineLevel="0" collapsed="false">
      <c r="A13" s="27" t="s">
        <v>570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4" t="n">
        <f aca="false">COUNT(B13:BI13)</f>
        <v>0</v>
      </c>
      <c r="BK13" s="29" t="s">
        <v>571</v>
      </c>
    </row>
    <row r="14" customFormat="false" ht="15" hidden="false" customHeight="false" outlineLevel="0" collapsed="false">
      <c r="A14" s="27" t="s">
        <v>572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4" t="n">
        <f aca="false">COUNT(B14:BI14)</f>
        <v>0</v>
      </c>
      <c r="BK14" s="29" t="s">
        <v>571</v>
      </c>
    </row>
    <row r="15" customFormat="false" ht="15" hidden="false" customHeight="false" outlineLevel="0" collapsed="false">
      <c r="A15" s="27" t="s">
        <v>573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4" t="n">
        <f aca="false">COUNT(B15:BI15)</f>
        <v>0</v>
      </c>
      <c r="BK15" s="29" t="s">
        <v>571</v>
      </c>
    </row>
    <row r="16" customFormat="false" ht="15" hidden="false" customHeight="false" outlineLevel="0" collapsed="false">
      <c r="A16" s="27" t="s">
        <v>574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4" t="n">
        <f aca="false">COUNT(B16:BI16)</f>
        <v>0</v>
      </c>
      <c r="BK16" s="29" t="s">
        <v>571</v>
      </c>
    </row>
    <row r="18" customFormat="false" ht="18" hidden="false" customHeight="true" outlineLevel="0" collapsed="false">
      <c r="A18" s="74" t="s">
        <v>272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customFormat="false" ht="15" hidden="false" customHeight="false" outlineLevel="0" collapsed="false">
      <c r="A19" s="27" t="s">
        <v>570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4" t="n">
        <f aca="false">COUNT(B19:BI19)</f>
        <v>0</v>
      </c>
      <c r="BK19" s="29" t="s">
        <v>571</v>
      </c>
    </row>
    <row r="20" customFormat="false" ht="15" hidden="false" customHeight="false" outlineLevel="0" collapsed="false">
      <c r="A20" s="27" t="s">
        <v>572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4" t="n">
        <f aca="false">COUNT(B20:BI20)</f>
        <v>0</v>
      </c>
      <c r="BK20" s="29" t="s">
        <v>571</v>
      </c>
    </row>
    <row r="21" customFormat="false" ht="15" hidden="false" customHeight="false" outlineLevel="0" collapsed="false">
      <c r="A21" s="27" t="s">
        <v>573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4" t="n">
        <f aca="false">COUNT(B21:BI21)</f>
        <v>0</v>
      </c>
      <c r="BK21" s="29" t="s">
        <v>571</v>
      </c>
    </row>
    <row r="22" customFormat="false" ht="15" hidden="false" customHeight="false" outlineLevel="0" collapsed="false">
      <c r="A22" s="27" t="s">
        <v>574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4" t="n">
        <f aca="false">COUNT(B22:BI22)</f>
        <v>0</v>
      </c>
      <c r="BK22" s="29" t="s">
        <v>571</v>
      </c>
    </row>
    <row r="24" customFormat="false" ht="18" hidden="false" customHeight="true" outlineLevel="0" collapsed="false">
      <c r="A24" s="75" t="s">
        <v>273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</row>
    <row r="25" customFormat="false" ht="15" hidden="false" customHeight="false" outlineLevel="0" collapsed="false">
      <c r="A25" s="27" t="s">
        <v>570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4" t="n">
        <f aca="false">COUNT(B25:BI25)</f>
        <v>0</v>
      </c>
      <c r="BK25" s="29" t="s">
        <v>571</v>
      </c>
    </row>
    <row r="26" customFormat="false" ht="15" hidden="false" customHeight="false" outlineLevel="0" collapsed="false">
      <c r="A26" s="27" t="s">
        <v>572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4" t="n">
        <f aca="false">COUNT(B26:BI26)</f>
        <v>0</v>
      </c>
      <c r="BK26" s="29" t="s">
        <v>571</v>
      </c>
    </row>
    <row r="27" customFormat="false" ht="15" hidden="false" customHeight="false" outlineLevel="0" collapsed="false">
      <c r="A27" s="27" t="s">
        <v>573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4" t="n">
        <f aca="false">COUNT(B27:BI27)</f>
        <v>0</v>
      </c>
      <c r="BK27" s="29" t="s">
        <v>571</v>
      </c>
    </row>
    <row r="28" customFormat="false" ht="15" hidden="false" customHeight="false" outlineLevel="0" collapsed="false">
      <c r="A28" s="27" t="s">
        <v>574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4" t="n">
        <f aca="false">COUNT(B28:BI28)</f>
        <v>0</v>
      </c>
      <c r="BK28" s="29" t="s">
        <v>571</v>
      </c>
    </row>
    <row r="30" customFormat="false" ht="18" hidden="false" customHeight="true" outlineLevel="0" collapsed="false">
      <c r="A30" s="137" t="s">
        <v>575</v>
      </c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</row>
    <row r="31" customFormat="false" ht="15" hidden="false" customHeight="false" outlineLevel="0" collapsed="false">
      <c r="A31" s="27" t="s">
        <v>576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4" t="n">
        <f aca="false">COUNT(B31:BI31)</f>
        <v>0</v>
      </c>
      <c r="BK31" s="29" t="s">
        <v>577</v>
      </c>
    </row>
    <row r="32" customFormat="false" ht="15" hidden="false" customHeight="false" outlineLevel="0" collapsed="false">
      <c r="A32" s="27" t="s">
        <v>578</v>
      </c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4" t="n">
        <f aca="false">COUNT(B32:BI32)</f>
        <v>0</v>
      </c>
      <c r="BK32" s="29" t="s">
        <v>579</v>
      </c>
    </row>
    <row r="33" customFormat="false" ht="15" hidden="false" customHeight="false" outlineLevel="0" collapsed="false">
      <c r="A33" s="27" t="s">
        <v>580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4" t="n">
        <f aca="false">COUNT(B33:BI33)</f>
        <v>0</v>
      </c>
      <c r="BK33" s="29" t="s">
        <v>581</v>
      </c>
    </row>
    <row r="36" customFormat="false" ht="18" hidden="false" customHeight="true" outlineLevel="0" collapsed="false">
      <c r="A36" s="25" t="s">
        <v>582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</row>
    <row r="37" customFormat="false" ht="15" hidden="false" customHeight="false" outlineLevel="0" collapsed="false">
      <c r="A37" s="27" t="s">
        <v>583</v>
      </c>
      <c r="B37" s="140" t="n">
        <f aca="false">SUMPRODUCT((B13:BI13&lt;&gt;"")*(B$4:BI$4&lt;Premissas!$B$13))+SUMPRODUCT((B19:BI19&lt;&gt;"")*(B$4:BI$4&lt;Premissas!$B$13))+SUMPRODUCT((B25:BI25&lt;&gt;"")*(B$4:BI$4&lt;Premissas!$B$13))</f>
        <v>0</v>
      </c>
      <c r="C37" s="141" t="str">
        <f aca="false">IF(B37=0,"✔ nada ignorado","⚠ "&amp;B37&amp;" célula(s) sem efeito — mude a data de início em Premissas ou apague o valor")</f>
        <v>✔ nada ignorado</v>
      </c>
      <c r="D37" s="141"/>
      <c r="E37" s="141"/>
      <c r="F37" s="141"/>
      <c r="G37" s="141"/>
      <c r="H37" s="141"/>
      <c r="I37" s="141"/>
      <c r="J37" s="141"/>
    </row>
    <row r="38" customFormat="false" ht="15" hidden="false" customHeight="false" outlineLevel="0" collapsed="false">
      <c r="A38" s="27" t="s">
        <v>584</v>
      </c>
      <c r="B38" s="140" t="n">
        <f aca="false">SUMPRODUCT((B15:BI15&lt;&gt;"")*(B$4:BI$4&lt;Premissas!$B$13))+SUMPRODUCT((B21:BI21&lt;&gt;"")*(B$4:BI$4&lt;Premissas!$B$13))+SUMPRODUCT((B27:BI27&lt;&gt;"")*(B$4:BI$4&lt;Premissas!$B$13))</f>
        <v>0</v>
      </c>
      <c r="C38" s="141" t="str">
        <f aca="false">IF(B38=0,"✔ nada ignorado","⚠ "&amp;B38&amp;" célula(s) sem efeito — mude a data de início em Premissas ou apague o valor")</f>
        <v>✔ nada ignorado</v>
      </c>
      <c r="D38" s="141"/>
      <c r="E38" s="141"/>
      <c r="F38" s="141"/>
      <c r="G38" s="141"/>
      <c r="H38" s="141"/>
      <c r="I38" s="141"/>
      <c r="J38" s="141"/>
    </row>
    <row r="39" customFormat="false" ht="15" hidden="false" customHeight="false" outlineLevel="0" collapsed="false">
      <c r="A39" s="27" t="s">
        <v>585</v>
      </c>
      <c r="B39" s="140" t="n">
        <f aca="false">SUMPRODUCT((B31:BI31&lt;&gt;"")*(B$4:BI$4&lt;Premissas!$B$102))</f>
        <v>0</v>
      </c>
      <c r="C39" s="141" t="str">
        <f aca="false">IF(B39=0,"✔ nada ignorado","⚠ "&amp;B39&amp;" célula(s) sem efeito — mude a data de início em Premissas ou apague o valor")</f>
        <v>✔ nada ignorado</v>
      </c>
      <c r="D39" s="141"/>
      <c r="E39" s="141"/>
      <c r="F39" s="141"/>
      <c r="G39" s="141"/>
      <c r="H39" s="141"/>
      <c r="I39" s="141"/>
      <c r="J39" s="141"/>
    </row>
    <row r="40" customFormat="false" ht="15" hidden="false" customHeight="false" outlineLevel="0" collapsed="false">
      <c r="A40" s="27" t="s">
        <v>586</v>
      </c>
      <c r="B40" s="140" t="n">
        <f aca="false">SUMPRODUCT((B32:BI32&lt;&gt;"")*(B$4:BI$4&lt;Premissas!$B$110))</f>
        <v>0</v>
      </c>
      <c r="C40" s="141" t="str">
        <f aca="false">IF(B40=0,"✔ nada ignorado","⚠ "&amp;B40&amp;" célula(s) sem efeito — mude a data de início em Premissas ou apague o valor")</f>
        <v>✔ nada ignorado</v>
      </c>
      <c r="D40" s="141"/>
      <c r="E40" s="141"/>
      <c r="F40" s="141"/>
      <c r="G40" s="141"/>
      <c r="H40" s="141"/>
      <c r="I40" s="141"/>
      <c r="J40" s="141"/>
    </row>
    <row r="41" customFormat="false" ht="15" hidden="false" customHeight="false" outlineLevel="0" collapsed="false">
      <c r="A41" s="27" t="s">
        <v>587</v>
      </c>
      <c r="B41" s="140" t="n">
        <f aca="false">SUMPRODUCT((B33:BI33&lt;&gt;"")*(B$4:BI$4&lt;Premissas!$B$107))</f>
        <v>0</v>
      </c>
      <c r="C41" s="141" t="str">
        <f aca="false">IF(B41=0,"✔ nada ignorado","⚠ "&amp;B41&amp;" célula(s) sem efeito — mude a data de início em Premissas ou apague o valor")</f>
        <v>✔ nada ignorado</v>
      </c>
      <c r="D41" s="141"/>
      <c r="E41" s="141"/>
      <c r="F41" s="141"/>
      <c r="G41" s="141"/>
      <c r="H41" s="141"/>
      <c r="I41" s="141"/>
      <c r="J41" s="141"/>
    </row>
    <row r="43" customFormat="false" ht="25.5" hidden="false" customHeight="true" outlineLevel="0" collapsed="false">
      <c r="A43" s="78" t="s">
        <v>588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</row>
  </sheetData>
  <mergeCells count="9">
    <mergeCell ref="A8:N8"/>
    <mergeCell ref="A9:N9"/>
    <mergeCell ref="A10:N10"/>
    <mergeCell ref="C37:J37"/>
    <mergeCell ref="C38:J38"/>
    <mergeCell ref="C39:J39"/>
    <mergeCell ref="C40:J40"/>
    <mergeCell ref="C41:J41"/>
    <mergeCell ref="A43:N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B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0" topLeftCell="B41" activePane="bottomRight" state="frozen"/>
      <selection pane="topLeft" activeCell="A1" activeCellId="0" sqref="A1"/>
      <selection pane="topRight" activeCell="B1" activeCellId="0" sqref="B1"/>
      <selection pane="bottomLeft" activeCell="A41" activeCellId="0" sqref="A4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61" min="11" style="0" width="12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589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3" t="s">
        <v>590</v>
      </c>
    </row>
    <row r="4" customFormat="false" ht="18" hidden="false" customHeight="true" outlineLevel="0" collapsed="false">
      <c r="A4" s="25" t="s">
        <v>591</v>
      </c>
      <c r="B4" s="26"/>
      <c r="C4" s="26"/>
      <c r="D4" s="26"/>
      <c r="E4" s="26"/>
      <c r="F4" s="26"/>
      <c r="G4" s="26"/>
      <c r="H4" s="26"/>
      <c r="I4" s="26"/>
      <c r="J4" s="26"/>
    </row>
    <row r="5" customFormat="false" ht="30" hidden="false" customHeight="true" outlineLevel="0" collapsed="false">
      <c r="A5" s="118" t="s">
        <v>592</v>
      </c>
      <c r="B5" s="118" t="s">
        <v>593</v>
      </c>
      <c r="C5" s="118" t="s">
        <v>508</v>
      </c>
      <c r="D5" s="118" t="s">
        <v>594</v>
      </c>
      <c r="E5" s="118" t="s">
        <v>595</v>
      </c>
      <c r="F5" s="118" t="s">
        <v>596</v>
      </c>
      <c r="G5" s="118" t="s">
        <v>597</v>
      </c>
      <c r="H5" s="118" t="s">
        <v>511</v>
      </c>
      <c r="I5" s="118" t="s">
        <v>512</v>
      </c>
      <c r="J5" s="118" t="s">
        <v>598</v>
      </c>
    </row>
    <row r="6" customFormat="false" ht="15" hidden="false" customHeight="false" outlineLevel="0" collapsed="false">
      <c r="A6" s="142" t="s">
        <v>599</v>
      </c>
      <c r="B6" s="143" t="s">
        <v>600</v>
      </c>
      <c r="C6" s="143" t="s">
        <v>601</v>
      </c>
      <c r="D6" s="144" t="n">
        <v>1</v>
      </c>
      <c r="E6" s="145" t="n">
        <v>10500</v>
      </c>
      <c r="F6" s="146" t="n">
        <v>0</v>
      </c>
      <c r="G6" s="147" t="n">
        <f aca="false">$D6*$E6*(1+$F6)</f>
        <v>10500</v>
      </c>
      <c r="H6" s="148" t="n">
        <v>46266</v>
      </c>
      <c r="I6" s="148" t="n">
        <v>46296</v>
      </c>
      <c r="J6" s="143" t="s">
        <v>602</v>
      </c>
    </row>
    <row r="7" customFormat="false" ht="15" hidden="false" customHeight="false" outlineLevel="0" collapsed="false">
      <c r="A7" s="149" t="s">
        <v>603</v>
      </c>
      <c r="B7" s="150" t="s">
        <v>600</v>
      </c>
      <c r="C7" s="150" t="s">
        <v>604</v>
      </c>
      <c r="D7" s="133" t="n">
        <v>2</v>
      </c>
      <c r="E7" s="139" t="n">
        <v>9000</v>
      </c>
      <c r="F7" s="135" t="n">
        <v>0</v>
      </c>
      <c r="G7" s="151" t="n">
        <f aca="false">$D7*$E7*(1+$F7)</f>
        <v>18000</v>
      </c>
      <c r="H7" s="152" t="n">
        <v>46388</v>
      </c>
      <c r="I7" s="152" t="n">
        <v>47818</v>
      </c>
      <c r="J7" s="150" t="s">
        <v>605</v>
      </c>
    </row>
    <row r="8" customFormat="false" ht="15" hidden="false" customHeight="false" outlineLevel="0" collapsed="false">
      <c r="A8" s="149" t="s">
        <v>606</v>
      </c>
      <c r="B8" s="150" t="s">
        <v>600</v>
      </c>
      <c r="C8" s="150" t="s">
        <v>604</v>
      </c>
      <c r="D8" s="133" t="n">
        <v>3</v>
      </c>
      <c r="E8" s="139" t="n">
        <v>9500</v>
      </c>
      <c r="F8" s="135" t="n">
        <v>0</v>
      </c>
      <c r="G8" s="151" t="n">
        <f aca="false">$D8*$E8*(1+$F8)</f>
        <v>28500</v>
      </c>
      <c r="H8" s="152" t="n">
        <v>46753</v>
      </c>
      <c r="I8" s="152" t="n">
        <v>47818</v>
      </c>
      <c r="J8" s="150" t="s">
        <v>605</v>
      </c>
    </row>
    <row r="9" customFormat="false" ht="15" hidden="false" customHeight="false" outlineLevel="0" collapsed="false">
      <c r="A9" s="149" t="s">
        <v>607</v>
      </c>
      <c r="B9" s="150" t="s">
        <v>600</v>
      </c>
      <c r="C9" s="150" t="s">
        <v>604</v>
      </c>
      <c r="D9" s="133" t="n">
        <v>5</v>
      </c>
      <c r="E9" s="139" t="n">
        <v>10000</v>
      </c>
      <c r="F9" s="135" t="n">
        <v>0</v>
      </c>
      <c r="G9" s="151" t="n">
        <f aca="false">$D9*$E9*(1+$F9)</f>
        <v>50000</v>
      </c>
      <c r="H9" s="152" t="n">
        <v>47119</v>
      </c>
      <c r="I9" s="152" t="n">
        <v>47818</v>
      </c>
      <c r="J9" s="150" t="s">
        <v>605</v>
      </c>
    </row>
    <row r="10" customFormat="false" ht="15" hidden="false" customHeight="false" outlineLevel="0" collapsed="false">
      <c r="A10" s="149" t="s">
        <v>608</v>
      </c>
      <c r="B10" s="150" t="s">
        <v>600</v>
      </c>
      <c r="C10" s="150" t="s">
        <v>604</v>
      </c>
      <c r="D10" s="133" t="n">
        <v>6</v>
      </c>
      <c r="E10" s="139" t="n">
        <v>10500</v>
      </c>
      <c r="F10" s="135" t="n">
        <v>0</v>
      </c>
      <c r="G10" s="151" t="n">
        <f aca="false">$D10*$E10*(1+$F10)</f>
        <v>63000</v>
      </c>
      <c r="H10" s="152" t="n">
        <v>47484</v>
      </c>
      <c r="I10" s="152" t="n">
        <v>47818</v>
      </c>
      <c r="J10" s="150" t="s">
        <v>605</v>
      </c>
    </row>
    <row r="11" customFormat="false" ht="15" hidden="false" customHeight="false" outlineLevel="0" collapsed="false">
      <c r="A11" s="149" t="s">
        <v>609</v>
      </c>
      <c r="B11" s="150" t="s">
        <v>600</v>
      </c>
      <c r="C11" s="150" t="s">
        <v>604</v>
      </c>
      <c r="D11" s="133" t="n">
        <v>1</v>
      </c>
      <c r="E11" s="139" t="n">
        <v>3500</v>
      </c>
      <c r="F11" s="135" t="n">
        <v>0</v>
      </c>
      <c r="G11" s="151" t="n">
        <f aca="false">$D11*$E11*(1+$F11)</f>
        <v>3500</v>
      </c>
      <c r="H11" s="152" t="n">
        <v>46388</v>
      </c>
      <c r="I11" s="152" t="n">
        <v>47818</v>
      </c>
      <c r="J11" s="150" t="s">
        <v>605</v>
      </c>
    </row>
    <row r="12" customFormat="false" ht="15" hidden="false" customHeight="false" outlineLevel="0" collapsed="false">
      <c r="A12" s="149" t="s">
        <v>610</v>
      </c>
      <c r="B12" s="150" t="s">
        <v>600</v>
      </c>
      <c r="C12" s="150" t="s">
        <v>604</v>
      </c>
      <c r="D12" s="133" t="n">
        <v>3</v>
      </c>
      <c r="E12" s="139" t="n">
        <v>3500</v>
      </c>
      <c r="F12" s="135" t="n">
        <v>0</v>
      </c>
      <c r="G12" s="151" t="n">
        <f aca="false">$D12*$E12*(1+$F12)</f>
        <v>10500</v>
      </c>
      <c r="H12" s="152" t="n">
        <v>46753</v>
      </c>
      <c r="I12" s="152" t="n">
        <v>47818</v>
      </c>
      <c r="J12" s="150" t="s">
        <v>605</v>
      </c>
    </row>
    <row r="13" customFormat="false" ht="15" hidden="false" customHeight="false" outlineLevel="0" collapsed="false">
      <c r="A13" s="149" t="s">
        <v>611</v>
      </c>
      <c r="B13" s="150" t="s">
        <v>600</v>
      </c>
      <c r="C13" s="150" t="s">
        <v>604</v>
      </c>
      <c r="D13" s="133" t="n">
        <v>6</v>
      </c>
      <c r="E13" s="139" t="n">
        <v>3800</v>
      </c>
      <c r="F13" s="135" t="n">
        <v>0</v>
      </c>
      <c r="G13" s="151" t="n">
        <f aca="false">$D13*$E13*(1+$F13)</f>
        <v>22800</v>
      </c>
      <c r="H13" s="152" t="n">
        <v>47119</v>
      </c>
      <c r="I13" s="152" t="n">
        <v>47818</v>
      </c>
      <c r="J13" s="150" t="s">
        <v>605</v>
      </c>
    </row>
    <row r="14" customFormat="false" ht="15" hidden="false" customHeight="false" outlineLevel="0" collapsed="false">
      <c r="A14" s="149" t="s">
        <v>612</v>
      </c>
      <c r="B14" s="150" t="s">
        <v>600</v>
      </c>
      <c r="C14" s="150" t="s">
        <v>604</v>
      </c>
      <c r="D14" s="133" t="n">
        <v>8</v>
      </c>
      <c r="E14" s="139" t="n">
        <v>4000</v>
      </c>
      <c r="F14" s="135" t="n">
        <v>0</v>
      </c>
      <c r="G14" s="151" t="n">
        <f aca="false">$D14*$E14*(1+$F14)</f>
        <v>32000</v>
      </c>
      <c r="H14" s="152" t="n">
        <v>47484</v>
      </c>
      <c r="I14" s="152" t="n">
        <v>47818</v>
      </c>
      <c r="J14" s="150" t="s">
        <v>605</v>
      </c>
    </row>
    <row r="15" customFormat="false" ht="15" hidden="false" customHeight="false" outlineLevel="0" collapsed="false">
      <c r="A15" s="149" t="s">
        <v>613</v>
      </c>
      <c r="B15" s="150" t="s">
        <v>600</v>
      </c>
      <c r="C15" s="150" t="s">
        <v>604</v>
      </c>
      <c r="D15" s="133" t="n">
        <v>1</v>
      </c>
      <c r="E15" s="139" t="n">
        <v>6000</v>
      </c>
      <c r="F15" s="135" t="n">
        <v>0</v>
      </c>
      <c r="G15" s="151" t="n">
        <f aca="false">$D15*$E15*(1+$F15)</f>
        <v>6000</v>
      </c>
      <c r="H15" s="152" t="n">
        <v>46388</v>
      </c>
      <c r="I15" s="152" t="n">
        <v>47818</v>
      </c>
      <c r="J15" s="150" t="s">
        <v>605</v>
      </c>
    </row>
    <row r="16" customFormat="false" ht="15" hidden="false" customHeight="false" outlineLevel="0" collapsed="false">
      <c r="A16" s="149" t="s">
        <v>614</v>
      </c>
      <c r="B16" s="150" t="s">
        <v>600</v>
      </c>
      <c r="C16" s="150" t="s">
        <v>604</v>
      </c>
      <c r="D16" s="133" t="n">
        <v>2</v>
      </c>
      <c r="E16" s="139" t="n">
        <v>7000</v>
      </c>
      <c r="F16" s="135" t="n">
        <v>0</v>
      </c>
      <c r="G16" s="151" t="n">
        <f aca="false">$D16*$E16*(1+$F16)</f>
        <v>14000</v>
      </c>
      <c r="H16" s="152" t="n">
        <v>46753</v>
      </c>
      <c r="I16" s="152" t="n">
        <v>47818</v>
      </c>
      <c r="J16" s="150" t="s">
        <v>605</v>
      </c>
    </row>
    <row r="17" customFormat="false" ht="15" hidden="false" customHeight="false" outlineLevel="0" collapsed="false">
      <c r="A17" s="149" t="s">
        <v>615</v>
      </c>
      <c r="B17" s="150" t="s">
        <v>600</v>
      </c>
      <c r="C17" s="150" t="s">
        <v>604</v>
      </c>
      <c r="D17" s="133" t="n">
        <v>3</v>
      </c>
      <c r="E17" s="139" t="n">
        <v>8000</v>
      </c>
      <c r="F17" s="135" t="n">
        <v>0</v>
      </c>
      <c r="G17" s="151" t="n">
        <f aca="false">$D17*$E17*(1+$F17)</f>
        <v>24000</v>
      </c>
      <c r="H17" s="152" t="n">
        <v>47119</v>
      </c>
      <c r="I17" s="152" t="n">
        <v>47818</v>
      </c>
      <c r="J17" s="150" t="s">
        <v>605</v>
      </c>
    </row>
    <row r="18" customFormat="false" ht="15" hidden="false" customHeight="false" outlineLevel="0" collapsed="false">
      <c r="A18" s="149" t="s">
        <v>616</v>
      </c>
      <c r="B18" s="150" t="s">
        <v>600</v>
      </c>
      <c r="C18" s="150" t="s">
        <v>604</v>
      </c>
      <c r="D18" s="133" t="n">
        <v>1</v>
      </c>
      <c r="E18" s="139" t="n">
        <v>10000</v>
      </c>
      <c r="F18" s="135" t="n">
        <v>0</v>
      </c>
      <c r="G18" s="151" t="n">
        <f aca="false">$D18*$E18*(1+$F18)</f>
        <v>10000</v>
      </c>
      <c r="H18" s="152" t="n">
        <v>46753</v>
      </c>
      <c r="I18" s="152" t="n">
        <v>47818</v>
      </c>
      <c r="J18" s="150" t="s">
        <v>605</v>
      </c>
    </row>
    <row r="19" customFormat="false" ht="15" hidden="false" customHeight="false" outlineLevel="0" collapsed="false">
      <c r="A19" s="149" t="s">
        <v>617</v>
      </c>
      <c r="B19" s="150" t="s">
        <v>600</v>
      </c>
      <c r="C19" s="150" t="s">
        <v>604</v>
      </c>
      <c r="D19" s="133" t="n">
        <v>2</v>
      </c>
      <c r="E19" s="139" t="n">
        <v>11000</v>
      </c>
      <c r="F19" s="135" t="n">
        <v>0</v>
      </c>
      <c r="G19" s="151" t="n">
        <f aca="false">$D19*$E19*(1+$F19)</f>
        <v>22000</v>
      </c>
      <c r="H19" s="152" t="n">
        <v>47119</v>
      </c>
      <c r="I19" s="152" t="n">
        <v>47818</v>
      </c>
      <c r="J19" s="150" t="s">
        <v>605</v>
      </c>
    </row>
    <row r="20" customFormat="false" ht="15" hidden="false" customHeight="false" outlineLevel="0" collapsed="false">
      <c r="A20" s="149" t="s">
        <v>618</v>
      </c>
      <c r="B20" s="150" t="s">
        <v>600</v>
      </c>
      <c r="C20" s="150" t="s">
        <v>604</v>
      </c>
      <c r="D20" s="133" t="n">
        <v>1</v>
      </c>
      <c r="E20" s="139" t="n">
        <v>12000</v>
      </c>
      <c r="F20" s="135" t="n">
        <v>0</v>
      </c>
      <c r="G20" s="151" t="n">
        <f aca="false">$D20*$E20*(1+$F20)</f>
        <v>12000</v>
      </c>
      <c r="H20" s="152" t="n">
        <v>46753</v>
      </c>
      <c r="I20" s="152" t="n">
        <v>47818</v>
      </c>
      <c r="J20" s="150" t="s">
        <v>605</v>
      </c>
    </row>
    <row r="21" customFormat="false" ht="15" hidden="false" customHeight="false" outlineLevel="0" collapsed="false">
      <c r="A21" s="149" t="s">
        <v>619</v>
      </c>
      <c r="B21" s="150" t="s">
        <v>600</v>
      </c>
      <c r="C21" s="150" t="s">
        <v>604</v>
      </c>
      <c r="D21" s="133" t="n">
        <v>2</v>
      </c>
      <c r="E21" s="139" t="n">
        <v>13000</v>
      </c>
      <c r="F21" s="135" t="n">
        <v>0</v>
      </c>
      <c r="G21" s="151" t="n">
        <f aca="false">$D21*$E21*(1+$F21)</f>
        <v>26000</v>
      </c>
      <c r="H21" s="152" t="n">
        <v>47484</v>
      </c>
      <c r="I21" s="152" t="n">
        <v>47818</v>
      </c>
      <c r="J21" s="150" t="s">
        <v>605</v>
      </c>
    </row>
    <row r="22" customFormat="false" ht="15" hidden="false" customHeight="false" outlineLevel="0" collapsed="false">
      <c r="A22" s="149" t="s">
        <v>620</v>
      </c>
      <c r="B22" s="150" t="s">
        <v>621</v>
      </c>
      <c r="C22" s="150" t="s">
        <v>604</v>
      </c>
      <c r="D22" s="133" t="n">
        <v>3</v>
      </c>
      <c r="E22" s="139" t="n">
        <v>5000</v>
      </c>
      <c r="F22" s="135" t="n">
        <v>0</v>
      </c>
      <c r="G22" s="151" t="n">
        <f aca="false">$D22*$E22*(1+$F22)</f>
        <v>15000</v>
      </c>
      <c r="H22" s="152" t="n">
        <v>46388</v>
      </c>
      <c r="I22" s="152" t="n">
        <v>47088</v>
      </c>
      <c r="J22" s="150" t="s">
        <v>605</v>
      </c>
    </row>
    <row r="23" customFormat="false" ht="15" hidden="false" customHeight="false" outlineLevel="0" collapsed="false">
      <c r="A23" s="149" t="s">
        <v>622</v>
      </c>
      <c r="B23" s="150" t="s">
        <v>621</v>
      </c>
      <c r="C23" s="150" t="s">
        <v>604</v>
      </c>
      <c r="D23" s="133" t="n">
        <v>4</v>
      </c>
      <c r="E23" s="139" t="n">
        <v>8000</v>
      </c>
      <c r="F23" s="135" t="n">
        <v>0</v>
      </c>
      <c r="G23" s="151" t="n">
        <f aca="false">$D23*$E23*(1+$F23)</f>
        <v>32000</v>
      </c>
      <c r="H23" s="152" t="n">
        <v>47119</v>
      </c>
      <c r="I23" s="152" t="n">
        <v>47818</v>
      </c>
      <c r="J23" s="150" t="s">
        <v>605</v>
      </c>
    </row>
    <row r="24" customFormat="false" ht="15" hidden="false" customHeight="false" outlineLevel="0" collapsed="false">
      <c r="A24" s="149" t="s">
        <v>623</v>
      </c>
      <c r="B24" s="150" t="s">
        <v>624</v>
      </c>
      <c r="C24" s="150" t="s">
        <v>604</v>
      </c>
      <c r="D24" s="133" t="n">
        <v>0</v>
      </c>
      <c r="E24" s="139" t="n">
        <v>8000</v>
      </c>
      <c r="F24" s="135" t="n">
        <v>0.7</v>
      </c>
      <c r="G24" s="151" t="n">
        <f aca="false">$D24*$E24*(1+$F24)</f>
        <v>0</v>
      </c>
      <c r="H24" s="152" t="n">
        <v>46753</v>
      </c>
      <c r="I24" s="152" t="n">
        <v>47818</v>
      </c>
      <c r="J24" s="150" t="s">
        <v>605</v>
      </c>
    </row>
    <row r="25" customFormat="false" ht="15" hidden="false" customHeight="false" outlineLevel="0" collapsed="false">
      <c r="A25" s="153"/>
      <c r="B25" s="154" t="s">
        <v>600</v>
      </c>
      <c r="C25" s="154" t="s">
        <v>604</v>
      </c>
      <c r="D25" s="155" t="n">
        <v>0</v>
      </c>
      <c r="E25" s="156" t="n">
        <v>0</v>
      </c>
      <c r="F25" s="157" t="n">
        <v>0</v>
      </c>
      <c r="G25" s="158" t="n">
        <f aca="false">$D25*$E25*(1+$F25)</f>
        <v>0</v>
      </c>
      <c r="H25" s="159" t="n">
        <v>46388</v>
      </c>
      <c r="I25" s="159" t="n">
        <v>47818</v>
      </c>
      <c r="J25" s="154" t="s">
        <v>605</v>
      </c>
    </row>
    <row r="26" customFormat="false" ht="15" hidden="false" customHeight="false" outlineLevel="0" collapsed="false">
      <c r="A26" s="153"/>
      <c r="B26" s="154" t="s">
        <v>600</v>
      </c>
      <c r="C26" s="154" t="s">
        <v>604</v>
      </c>
      <c r="D26" s="155" t="n">
        <v>0</v>
      </c>
      <c r="E26" s="156" t="n">
        <v>0</v>
      </c>
      <c r="F26" s="157" t="n">
        <v>0</v>
      </c>
      <c r="G26" s="158" t="n">
        <f aca="false">$D26*$E26*(1+$F26)</f>
        <v>0</v>
      </c>
      <c r="H26" s="159" t="n">
        <v>46388</v>
      </c>
      <c r="I26" s="159" t="n">
        <v>47818</v>
      </c>
      <c r="J26" s="154" t="s">
        <v>605</v>
      </c>
    </row>
    <row r="27" customFormat="false" ht="15" hidden="false" customHeight="false" outlineLevel="0" collapsed="false">
      <c r="A27" s="153"/>
      <c r="B27" s="154" t="s">
        <v>600</v>
      </c>
      <c r="C27" s="154" t="s">
        <v>604</v>
      </c>
      <c r="D27" s="155" t="n">
        <v>0</v>
      </c>
      <c r="E27" s="156" t="n">
        <v>0</v>
      </c>
      <c r="F27" s="157" t="n">
        <v>0</v>
      </c>
      <c r="G27" s="158" t="n">
        <f aca="false">$D27*$E27*(1+$F27)</f>
        <v>0</v>
      </c>
      <c r="H27" s="159" t="n">
        <v>46388</v>
      </c>
      <c r="I27" s="159" t="n">
        <v>47818</v>
      </c>
      <c r="J27" s="154" t="s">
        <v>605</v>
      </c>
    </row>
    <row r="28" customFormat="false" ht="15" hidden="false" customHeight="false" outlineLevel="0" collapsed="false">
      <c r="A28" s="153"/>
      <c r="B28" s="154" t="s">
        <v>600</v>
      </c>
      <c r="C28" s="154" t="s">
        <v>604</v>
      </c>
      <c r="D28" s="155" t="n">
        <v>0</v>
      </c>
      <c r="E28" s="156" t="n">
        <v>0</v>
      </c>
      <c r="F28" s="157" t="n">
        <v>0</v>
      </c>
      <c r="G28" s="158" t="n">
        <f aca="false">$D28*$E28*(1+$F28)</f>
        <v>0</v>
      </c>
      <c r="H28" s="159" t="n">
        <v>46388</v>
      </c>
      <c r="I28" s="159" t="n">
        <v>47818</v>
      </c>
      <c r="J28" s="154" t="s">
        <v>605</v>
      </c>
    </row>
    <row r="29" customFormat="false" ht="15" hidden="false" customHeight="false" outlineLevel="0" collapsed="false">
      <c r="A29" s="153"/>
      <c r="B29" s="154" t="s">
        <v>600</v>
      </c>
      <c r="C29" s="154" t="s">
        <v>604</v>
      </c>
      <c r="D29" s="155" t="n">
        <v>0</v>
      </c>
      <c r="E29" s="156" t="n">
        <v>0</v>
      </c>
      <c r="F29" s="157" t="n">
        <v>0</v>
      </c>
      <c r="G29" s="158" t="n">
        <f aca="false">$D29*$E29*(1+$F29)</f>
        <v>0</v>
      </c>
      <c r="H29" s="159" t="n">
        <v>46388</v>
      </c>
      <c r="I29" s="159" t="n">
        <v>47818</v>
      </c>
      <c r="J29" s="154" t="s">
        <v>605</v>
      </c>
    </row>
    <row r="30" customFormat="false" ht="15" hidden="false" customHeight="false" outlineLevel="0" collapsed="false">
      <c r="A30" s="153"/>
      <c r="B30" s="154" t="s">
        <v>600</v>
      </c>
      <c r="C30" s="154" t="s">
        <v>604</v>
      </c>
      <c r="D30" s="155" t="n">
        <v>0</v>
      </c>
      <c r="E30" s="156" t="n">
        <v>0</v>
      </c>
      <c r="F30" s="157" t="n">
        <v>0</v>
      </c>
      <c r="G30" s="158" t="n">
        <f aca="false">$D30*$E30*(1+$F30)</f>
        <v>0</v>
      </c>
      <c r="H30" s="159" t="n">
        <v>46388</v>
      </c>
      <c r="I30" s="159" t="n">
        <v>47818</v>
      </c>
      <c r="J30" s="154" t="s">
        <v>605</v>
      </c>
    </row>
    <row r="31" customFormat="false" ht="15" hidden="false" customHeight="false" outlineLevel="0" collapsed="false">
      <c r="A31" s="153"/>
      <c r="B31" s="154" t="s">
        <v>600</v>
      </c>
      <c r="C31" s="154" t="s">
        <v>604</v>
      </c>
      <c r="D31" s="155" t="n">
        <v>0</v>
      </c>
      <c r="E31" s="156" t="n">
        <v>0</v>
      </c>
      <c r="F31" s="157" t="n">
        <v>0</v>
      </c>
      <c r="G31" s="158" t="n">
        <f aca="false">$D31*$E31*(1+$F31)</f>
        <v>0</v>
      </c>
      <c r="H31" s="159" t="n">
        <v>46388</v>
      </c>
      <c r="I31" s="159" t="n">
        <v>47818</v>
      </c>
      <c r="J31" s="154" t="s">
        <v>605</v>
      </c>
    </row>
    <row r="32" customFormat="false" ht="15" hidden="false" customHeight="false" outlineLevel="0" collapsed="false">
      <c r="A32" s="153"/>
      <c r="B32" s="154" t="s">
        <v>600</v>
      </c>
      <c r="C32" s="154" t="s">
        <v>604</v>
      </c>
      <c r="D32" s="155" t="n">
        <v>0</v>
      </c>
      <c r="E32" s="156" t="n">
        <v>0</v>
      </c>
      <c r="F32" s="157" t="n">
        <v>0</v>
      </c>
      <c r="G32" s="158" t="n">
        <f aca="false">$D32*$E32*(1+$F32)</f>
        <v>0</v>
      </c>
      <c r="H32" s="159" t="n">
        <v>46388</v>
      </c>
      <c r="I32" s="159" t="n">
        <v>47818</v>
      </c>
      <c r="J32" s="154" t="s">
        <v>605</v>
      </c>
    </row>
    <row r="33" customFormat="false" ht="15" hidden="false" customHeight="false" outlineLevel="0" collapsed="false">
      <c r="A33" s="160" t="s">
        <v>625</v>
      </c>
      <c r="G33" s="161" t="n">
        <f aca="false">SUM(G6:G32)</f>
        <v>399800</v>
      </c>
    </row>
    <row r="34" customFormat="false" ht="15" hidden="false" customHeight="false" outlineLevel="0" collapsed="false">
      <c r="A34" s="29" t="s">
        <v>626</v>
      </c>
    </row>
    <row r="36" customFormat="false" ht="15" hidden="false" customHeight="false" outlineLevel="0" collapsed="false">
      <c r="A36" s="52" t="s">
        <v>229</v>
      </c>
      <c r="B36" s="53" t="n">
        <v>46023</v>
      </c>
      <c r="C36" s="53" t="n">
        <v>46054</v>
      </c>
      <c r="D36" s="53" t="n">
        <v>46082</v>
      </c>
      <c r="E36" s="53" t="n">
        <v>46113</v>
      </c>
      <c r="F36" s="53" t="n">
        <v>46143</v>
      </c>
      <c r="G36" s="53" t="n">
        <v>46174</v>
      </c>
      <c r="H36" s="53" t="n">
        <v>46204</v>
      </c>
      <c r="I36" s="53" t="n">
        <v>46235</v>
      </c>
      <c r="J36" s="53" t="n">
        <v>46266</v>
      </c>
      <c r="K36" s="53" t="n">
        <v>46296</v>
      </c>
      <c r="L36" s="53" t="n">
        <v>46327</v>
      </c>
      <c r="M36" s="53" t="n">
        <v>46357</v>
      </c>
      <c r="N36" s="53" t="n">
        <v>46388</v>
      </c>
      <c r="O36" s="53" t="n">
        <v>46419</v>
      </c>
      <c r="P36" s="53" t="n">
        <v>46447</v>
      </c>
      <c r="Q36" s="53" t="n">
        <v>46478</v>
      </c>
      <c r="R36" s="53" t="n">
        <v>46508</v>
      </c>
      <c r="S36" s="53" t="n">
        <v>46539</v>
      </c>
      <c r="T36" s="53" t="n">
        <v>46569</v>
      </c>
      <c r="U36" s="53" t="n">
        <v>46600</v>
      </c>
      <c r="V36" s="53" t="n">
        <v>46631</v>
      </c>
      <c r="W36" s="53" t="n">
        <v>46661</v>
      </c>
      <c r="X36" s="53" t="n">
        <v>46692</v>
      </c>
      <c r="Y36" s="53" t="n">
        <v>46722</v>
      </c>
      <c r="Z36" s="53" t="n">
        <v>46753</v>
      </c>
      <c r="AA36" s="53" t="n">
        <v>46784</v>
      </c>
      <c r="AB36" s="53" t="n">
        <v>46813</v>
      </c>
      <c r="AC36" s="53" t="n">
        <v>46844</v>
      </c>
      <c r="AD36" s="53" t="n">
        <v>46874</v>
      </c>
      <c r="AE36" s="53" t="n">
        <v>46905</v>
      </c>
      <c r="AF36" s="53" t="n">
        <v>46935</v>
      </c>
      <c r="AG36" s="53" t="n">
        <v>46966</v>
      </c>
      <c r="AH36" s="53" t="n">
        <v>46997</v>
      </c>
      <c r="AI36" s="53" t="n">
        <v>47027</v>
      </c>
      <c r="AJ36" s="53" t="n">
        <v>47058</v>
      </c>
      <c r="AK36" s="53" t="n">
        <v>47088</v>
      </c>
      <c r="AL36" s="53" t="n">
        <v>47119</v>
      </c>
      <c r="AM36" s="53" t="n">
        <v>47150</v>
      </c>
      <c r="AN36" s="53" t="n">
        <v>47178</v>
      </c>
      <c r="AO36" s="53" t="n">
        <v>47209</v>
      </c>
      <c r="AP36" s="53" t="n">
        <v>47239</v>
      </c>
      <c r="AQ36" s="53" t="n">
        <v>47270</v>
      </c>
      <c r="AR36" s="53" t="n">
        <v>47300</v>
      </c>
      <c r="AS36" s="53" t="n">
        <v>47331</v>
      </c>
      <c r="AT36" s="53" t="n">
        <v>47362</v>
      </c>
      <c r="AU36" s="53" t="n">
        <v>47392</v>
      </c>
      <c r="AV36" s="53" t="n">
        <v>47423</v>
      </c>
      <c r="AW36" s="53" t="n">
        <v>47453</v>
      </c>
      <c r="AX36" s="53" t="n">
        <v>47484</v>
      </c>
      <c r="AY36" s="53" t="n">
        <v>47515</v>
      </c>
      <c r="AZ36" s="53" t="n">
        <v>47543</v>
      </c>
      <c r="BA36" s="53" t="n">
        <v>47574</v>
      </c>
      <c r="BB36" s="53" t="n">
        <v>47604</v>
      </c>
      <c r="BC36" s="53" t="n">
        <v>47635</v>
      </c>
      <c r="BD36" s="53" t="n">
        <v>47665</v>
      </c>
      <c r="BE36" s="53" t="n">
        <v>47696</v>
      </c>
      <c r="BF36" s="53" t="n">
        <v>47727</v>
      </c>
      <c r="BG36" s="53" t="n">
        <v>47757</v>
      </c>
      <c r="BH36" s="53" t="n">
        <v>47788</v>
      </c>
      <c r="BI36" s="53" t="n">
        <v>47818</v>
      </c>
      <c r="BJ36" s="54" t="s">
        <v>230</v>
      </c>
      <c r="BK36" s="54" t="s">
        <v>231</v>
      </c>
    </row>
    <row r="37" customFormat="false" ht="15" hidden="false" customHeight="false" outlineLevel="0" collapsed="false">
      <c r="A37" s="55" t="s">
        <v>232</v>
      </c>
      <c r="B37" s="56" t="n">
        <v>1</v>
      </c>
      <c r="C37" s="56" t="n">
        <v>2</v>
      </c>
      <c r="D37" s="56" t="n">
        <v>3</v>
      </c>
      <c r="E37" s="56" t="n">
        <v>4</v>
      </c>
      <c r="F37" s="56" t="n">
        <v>5</v>
      </c>
      <c r="G37" s="56" t="n">
        <v>6</v>
      </c>
      <c r="H37" s="56" t="n">
        <v>7</v>
      </c>
      <c r="I37" s="56" t="n">
        <v>8</v>
      </c>
      <c r="J37" s="56" t="n">
        <v>9</v>
      </c>
      <c r="K37" s="56" t="n">
        <v>10</v>
      </c>
      <c r="L37" s="56" t="n">
        <v>11</v>
      </c>
      <c r="M37" s="56" t="n">
        <v>12</v>
      </c>
      <c r="N37" s="56" t="n">
        <v>13</v>
      </c>
      <c r="O37" s="56" t="n">
        <v>14</v>
      </c>
      <c r="P37" s="56" t="n">
        <v>15</v>
      </c>
      <c r="Q37" s="56" t="n">
        <v>16</v>
      </c>
      <c r="R37" s="56" t="n">
        <v>17</v>
      </c>
      <c r="S37" s="56" t="n">
        <v>18</v>
      </c>
      <c r="T37" s="56" t="n">
        <v>19</v>
      </c>
      <c r="U37" s="56" t="n">
        <v>20</v>
      </c>
      <c r="V37" s="56" t="n">
        <v>21</v>
      </c>
      <c r="W37" s="56" t="n">
        <v>22</v>
      </c>
      <c r="X37" s="56" t="n">
        <v>23</v>
      </c>
      <c r="Y37" s="56" t="n">
        <v>24</v>
      </c>
      <c r="Z37" s="56" t="n">
        <v>25</v>
      </c>
      <c r="AA37" s="56" t="n">
        <v>26</v>
      </c>
      <c r="AB37" s="56" t="n">
        <v>27</v>
      </c>
      <c r="AC37" s="56" t="n">
        <v>28</v>
      </c>
      <c r="AD37" s="56" t="n">
        <v>29</v>
      </c>
      <c r="AE37" s="56" t="n">
        <v>30</v>
      </c>
      <c r="AF37" s="56" t="n">
        <v>31</v>
      </c>
      <c r="AG37" s="56" t="n">
        <v>32</v>
      </c>
      <c r="AH37" s="56" t="n">
        <v>33</v>
      </c>
      <c r="AI37" s="56" t="n">
        <v>34</v>
      </c>
      <c r="AJ37" s="56" t="n">
        <v>35</v>
      </c>
      <c r="AK37" s="56" t="n">
        <v>36</v>
      </c>
      <c r="AL37" s="56" t="n">
        <v>37</v>
      </c>
      <c r="AM37" s="56" t="n">
        <v>38</v>
      </c>
      <c r="AN37" s="56" t="n">
        <v>39</v>
      </c>
      <c r="AO37" s="56" t="n">
        <v>40</v>
      </c>
      <c r="AP37" s="56" t="n">
        <v>41</v>
      </c>
      <c r="AQ37" s="56" t="n">
        <v>42</v>
      </c>
      <c r="AR37" s="56" t="n">
        <v>43</v>
      </c>
      <c r="AS37" s="56" t="n">
        <v>44</v>
      </c>
      <c r="AT37" s="56" t="n">
        <v>45</v>
      </c>
      <c r="AU37" s="56" t="n">
        <v>46</v>
      </c>
      <c r="AV37" s="56" t="n">
        <v>47</v>
      </c>
      <c r="AW37" s="56" t="n">
        <v>48</v>
      </c>
      <c r="AX37" s="56" t="n">
        <v>49</v>
      </c>
      <c r="AY37" s="56" t="n">
        <v>50</v>
      </c>
      <c r="AZ37" s="56" t="n">
        <v>51</v>
      </c>
      <c r="BA37" s="56" t="n">
        <v>52</v>
      </c>
      <c r="BB37" s="56" t="n">
        <v>53</v>
      </c>
      <c r="BC37" s="56" t="n">
        <v>54</v>
      </c>
      <c r="BD37" s="56" t="n">
        <v>55</v>
      </c>
      <c r="BE37" s="56" t="n">
        <v>56</v>
      </c>
      <c r="BF37" s="56" t="n">
        <v>57</v>
      </c>
      <c r="BG37" s="56" t="n">
        <v>58</v>
      </c>
      <c r="BH37" s="56" t="n">
        <v>59</v>
      </c>
      <c r="BI37" s="56" t="n">
        <v>60</v>
      </c>
    </row>
    <row r="38" customFormat="false" ht="15" hidden="false" customHeight="false" outlineLevel="0" collapsed="false">
      <c r="A38" s="55" t="s">
        <v>233</v>
      </c>
      <c r="B38" s="57" t="n">
        <f aca="false">YEAR(B36)</f>
        <v>2026</v>
      </c>
      <c r="C38" s="57" t="n">
        <f aca="false">YEAR(C36)</f>
        <v>2026</v>
      </c>
      <c r="D38" s="57" t="n">
        <f aca="false">YEAR(D36)</f>
        <v>2026</v>
      </c>
      <c r="E38" s="57" t="n">
        <f aca="false">YEAR(E36)</f>
        <v>2026</v>
      </c>
      <c r="F38" s="57" t="n">
        <f aca="false">YEAR(F36)</f>
        <v>2026</v>
      </c>
      <c r="G38" s="57" t="n">
        <f aca="false">YEAR(G36)</f>
        <v>2026</v>
      </c>
      <c r="H38" s="57" t="n">
        <f aca="false">YEAR(H36)</f>
        <v>2026</v>
      </c>
      <c r="I38" s="57" t="n">
        <f aca="false">YEAR(I36)</f>
        <v>2026</v>
      </c>
      <c r="J38" s="57" t="n">
        <f aca="false">YEAR(J36)</f>
        <v>2026</v>
      </c>
      <c r="K38" s="57" t="n">
        <f aca="false">YEAR(K36)</f>
        <v>2026</v>
      </c>
      <c r="L38" s="57" t="n">
        <f aca="false">YEAR(L36)</f>
        <v>2026</v>
      </c>
      <c r="M38" s="57" t="n">
        <f aca="false">YEAR(M36)</f>
        <v>2026</v>
      </c>
      <c r="N38" s="57" t="n">
        <f aca="false">YEAR(N36)</f>
        <v>2027</v>
      </c>
      <c r="O38" s="57" t="n">
        <f aca="false">YEAR(O36)</f>
        <v>2027</v>
      </c>
      <c r="P38" s="57" t="n">
        <f aca="false">YEAR(P36)</f>
        <v>2027</v>
      </c>
      <c r="Q38" s="57" t="n">
        <f aca="false">YEAR(Q36)</f>
        <v>2027</v>
      </c>
      <c r="R38" s="57" t="n">
        <f aca="false">YEAR(R36)</f>
        <v>2027</v>
      </c>
      <c r="S38" s="57" t="n">
        <f aca="false">YEAR(S36)</f>
        <v>2027</v>
      </c>
      <c r="T38" s="57" t="n">
        <f aca="false">YEAR(T36)</f>
        <v>2027</v>
      </c>
      <c r="U38" s="57" t="n">
        <f aca="false">YEAR(U36)</f>
        <v>2027</v>
      </c>
      <c r="V38" s="57" t="n">
        <f aca="false">YEAR(V36)</f>
        <v>2027</v>
      </c>
      <c r="W38" s="57" t="n">
        <f aca="false">YEAR(W36)</f>
        <v>2027</v>
      </c>
      <c r="X38" s="57" t="n">
        <f aca="false">YEAR(X36)</f>
        <v>2027</v>
      </c>
      <c r="Y38" s="57" t="n">
        <f aca="false">YEAR(Y36)</f>
        <v>2027</v>
      </c>
      <c r="Z38" s="57" t="n">
        <f aca="false">YEAR(Z36)</f>
        <v>2028</v>
      </c>
      <c r="AA38" s="57" t="n">
        <f aca="false">YEAR(AA36)</f>
        <v>2028</v>
      </c>
      <c r="AB38" s="57" t="n">
        <f aca="false">YEAR(AB36)</f>
        <v>2028</v>
      </c>
      <c r="AC38" s="57" t="n">
        <f aca="false">YEAR(AC36)</f>
        <v>2028</v>
      </c>
      <c r="AD38" s="57" t="n">
        <f aca="false">YEAR(AD36)</f>
        <v>2028</v>
      </c>
      <c r="AE38" s="57" t="n">
        <f aca="false">YEAR(AE36)</f>
        <v>2028</v>
      </c>
      <c r="AF38" s="57" t="n">
        <f aca="false">YEAR(AF36)</f>
        <v>2028</v>
      </c>
      <c r="AG38" s="57" t="n">
        <f aca="false">YEAR(AG36)</f>
        <v>2028</v>
      </c>
      <c r="AH38" s="57" t="n">
        <f aca="false">YEAR(AH36)</f>
        <v>2028</v>
      </c>
      <c r="AI38" s="57" t="n">
        <f aca="false">YEAR(AI36)</f>
        <v>2028</v>
      </c>
      <c r="AJ38" s="57" t="n">
        <f aca="false">YEAR(AJ36)</f>
        <v>2028</v>
      </c>
      <c r="AK38" s="57" t="n">
        <f aca="false">YEAR(AK36)</f>
        <v>2028</v>
      </c>
      <c r="AL38" s="57" t="n">
        <f aca="false">YEAR(AL36)</f>
        <v>2029</v>
      </c>
      <c r="AM38" s="57" t="n">
        <f aca="false">YEAR(AM36)</f>
        <v>2029</v>
      </c>
      <c r="AN38" s="57" t="n">
        <f aca="false">YEAR(AN36)</f>
        <v>2029</v>
      </c>
      <c r="AO38" s="57" t="n">
        <f aca="false">YEAR(AO36)</f>
        <v>2029</v>
      </c>
      <c r="AP38" s="57" t="n">
        <f aca="false">YEAR(AP36)</f>
        <v>2029</v>
      </c>
      <c r="AQ38" s="57" t="n">
        <f aca="false">YEAR(AQ36)</f>
        <v>2029</v>
      </c>
      <c r="AR38" s="57" t="n">
        <f aca="false">YEAR(AR36)</f>
        <v>2029</v>
      </c>
      <c r="AS38" s="57" t="n">
        <f aca="false">YEAR(AS36)</f>
        <v>2029</v>
      </c>
      <c r="AT38" s="57" t="n">
        <f aca="false">YEAR(AT36)</f>
        <v>2029</v>
      </c>
      <c r="AU38" s="57" t="n">
        <f aca="false">YEAR(AU36)</f>
        <v>2029</v>
      </c>
      <c r="AV38" s="57" t="n">
        <f aca="false">YEAR(AV36)</f>
        <v>2029</v>
      </c>
      <c r="AW38" s="57" t="n">
        <f aca="false">YEAR(AW36)</f>
        <v>2029</v>
      </c>
      <c r="AX38" s="57" t="n">
        <f aca="false">YEAR(AX36)</f>
        <v>2030</v>
      </c>
      <c r="AY38" s="57" t="n">
        <f aca="false">YEAR(AY36)</f>
        <v>2030</v>
      </c>
      <c r="AZ38" s="57" t="n">
        <f aca="false">YEAR(AZ36)</f>
        <v>2030</v>
      </c>
      <c r="BA38" s="57" t="n">
        <f aca="false">YEAR(BA36)</f>
        <v>2030</v>
      </c>
      <c r="BB38" s="57" t="n">
        <f aca="false">YEAR(BB36)</f>
        <v>2030</v>
      </c>
      <c r="BC38" s="57" t="n">
        <f aca="false">YEAR(BC36)</f>
        <v>2030</v>
      </c>
      <c r="BD38" s="57" t="n">
        <f aca="false">YEAR(BD36)</f>
        <v>2030</v>
      </c>
      <c r="BE38" s="57" t="n">
        <f aca="false">YEAR(BE36)</f>
        <v>2030</v>
      </c>
      <c r="BF38" s="57" t="n">
        <f aca="false">YEAR(BF36)</f>
        <v>2030</v>
      </c>
      <c r="BG38" s="57" t="n">
        <f aca="false">YEAR(BG36)</f>
        <v>2030</v>
      </c>
      <c r="BH38" s="57" t="n">
        <f aca="false">YEAR(BH36)</f>
        <v>2030</v>
      </c>
      <c r="BI38" s="57" t="n">
        <f aca="false">YEAR(BI36)</f>
        <v>2030</v>
      </c>
    </row>
    <row r="39" customFormat="false" ht="15" hidden="false" customHeight="false" outlineLevel="0" collapsed="false">
      <c r="A39" s="58" t="s">
        <v>234</v>
      </c>
      <c r="B39" s="59" t="n">
        <f aca="false">MATCH(B38,Premissas!$C$5:$G$5,0)</f>
        <v>1</v>
      </c>
      <c r="C39" s="59" t="n">
        <f aca="false">MATCH(C38,Premissas!$C$5:$G$5,0)</f>
        <v>1</v>
      </c>
      <c r="D39" s="59" t="n">
        <f aca="false">MATCH(D38,Premissas!$C$5:$G$5,0)</f>
        <v>1</v>
      </c>
      <c r="E39" s="59" t="n">
        <f aca="false">MATCH(E38,Premissas!$C$5:$G$5,0)</f>
        <v>1</v>
      </c>
      <c r="F39" s="59" t="n">
        <f aca="false">MATCH(F38,Premissas!$C$5:$G$5,0)</f>
        <v>1</v>
      </c>
      <c r="G39" s="59" t="n">
        <f aca="false">MATCH(G38,Premissas!$C$5:$G$5,0)</f>
        <v>1</v>
      </c>
      <c r="H39" s="59" t="n">
        <f aca="false">MATCH(H38,Premissas!$C$5:$G$5,0)</f>
        <v>1</v>
      </c>
      <c r="I39" s="59" t="n">
        <f aca="false">MATCH(I38,Premissas!$C$5:$G$5,0)</f>
        <v>1</v>
      </c>
      <c r="J39" s="59" t="n">
        <f aca="false">MATCH(J38,Premissas!$C$5:$G$5,0)</f>
        <v>1</v>
      </c>
      <c r="K39" s="59" t="n">
        <f aca="false">MATCH(K38,Premissas!$C$5:$G$5,0)</f>
        <v>1</v>
      </c>
      <c r="L39" s="59" t="n">
        <f aca="false">MATCH(L38,Premissas!$C$5:$G$5,0)</f>
        <v>1</v>
      </c>
      <c r="M39" s="59" t="n">
        <f aca="false">MATCH(M38,Premissas!$C$5:$G$5,0)</f>
        <v>1</v>
      </c>
      <c r="N39" s="59" t="n">
        <f aca="false">MATCH(N38,Premissas!$C$5:$G$5,0)</f>
        <v>2</v>
      </c>
      <c r="O39" s="59" t="n">
        <f aca="false">MATCH(O38,Premissas!$C$5:$G$5,0)</f>
        <v>2</v>
      </c>
      <c r="P39" s="59" t="n">
        <f aca="false">MATCH(P38,Premissas!$C$5:$G$5,0)</f>
        <v>2</v>
      </c>
      <c r="Q39" s="59" t="n">
        <f aca="false">MATCH(Q38,Premissas!$C$5:$G$5,0)</f>
        <v>2</v>
      </c>
      <c r="R39" s="59" t="n">
        <f aca="false">MATCH(R38,Premissas!$C$5:$G$5,0)</f>
        <v>2</v>
      </c>
      <c r="S39" s="59" t="n">
        <f aca="false">MATCH(S38,Premissas!$C$5:$G$5,0)</f>
        <v>2</v>
      </c>
      <c r="T39" s="59" t="n">
        <f aca="false">MATCH(T38,Premissas!$C$5:$G$5,0)</f>
        <v>2</v>
      </c>
      <c r="U39" s="59" t="n">
        <f aca="false">MATCH(U38,Premissas!$C$5:$G$5,0)</f>
        <v>2</v>
      </c>
      <c r="V39" s="59" t="n">
        <f aca="false">MATCH(V38,Premissas!$C$5:$G$5,0)</f>
        <v>2</v>
      </c>
      <c r="W39" s="59" t="n">
        <f aca="false">MATCH(W38,Premissas!$C$5:$G$5,0)</f>
        <v>2</v>
      </c>
      <c r="X39" s="59" t="n">
        <f aca="false">MATCH(X38,Premissas!$C$5:$G$5,0)</f>
        <v>2</v>
      </c>
      <c r="Y39" s="59" t="n">
        <f aca="false">MATCH(Y38,Premissas!$C$5:$G$5,0)</f>
        <v>2</v>
      </c>
      <c r="Z39" s="59" t="n">
        <f aca="false">MATCH(Z38,Premissas!$C$5:$G$5,0)</f>
        <v>3</v>
      </c>
      <c r="AA39" s="59" t="n">
        <f aca="false">MATCH(AA38,Premissas!$C$5:$G$5,0)</f>
        <v>3</v>
      </c>
      <c r="AB39" s="59" t="n">
        <f aca="false">MATCH(AB38,Premissas!$C$5:$G$5,0)</f>
        <v>3</v>
      </c>
      <c r="AC39" s="59" t="n">
        <f aca="false">MATCH(AC38,Premissas!$C$5:$G$5,0)</f>
        <v>3</v>
      </c>
      <c r="AD39" s="59" t="n">
        <f aca="false">MATCH(AD38,Premissas!$C$5:$G$5,0)</f>
        <v>3</v>
      </c>
      <c r="AE39" s="59" t="n">
        <f aca="false">MATCH(AE38,Premissas!$C$5:$G$5,0)</f>
        <v>3</v>
      </c>
      <c r="AF39" s="59" t="n">
        <f aca="false">MATCH(AF38,Premissas!$C$5:$G$5,0)</f>
        <v>3</v>
      </c>
      <c r="AG39" s="59" t="n">
        <f aca="false">MATCH(AG38,Premissas!$C$5:$G$5,0)</f>
        <v>3</v>
      </c>
      <c r="AH39" s="59" t="n">
        <f aca="false">MATCH(AH38,Premissas!$C$5:$G$5,0)</f>
        <v>3</v>
      </c>
      <c r="AI39" s="59" t="n">
        <f aca="false">MATCH(AI38,Premissas!$C$5:$G$5,0)</f>
        <v>3</v>
      </c>
      <c r="AJ39" s="59" t="n">
        <f aca="false">MATCH(AJ38,Premissas!$C$5:$G$5,0)</f>
        <v>3</v>
      </c>
      <c r="AK39" s="59" t="n">
        <f aca="false">MATCH(AK38,Premissas!$C$5:$G$5,0)</f>
        <v>3</v>
      </c>
      <c r="AL39" s="59" t="n">
        <f aca="false">MATCH(AL38,Premissas!$C$5:$G$5,0)</f>
        <v>4</v>
      </c>
      <c r="AM39" s="59" t="n">
        <f aca="false">MATCH(AM38,Premissas!$C$5:$G$5,0)</f>
        <v>4</v>
      </c>
      <c r="AN39" s="59" t="n">
        <f aca="false">MATCH(AN38,Premissas!$C$5:$G$5,0)</f>
        <v>4</v>
      </c>
      <c r="AO39" s="59" t="n">
        <f aca="false">MATCH(AO38,Premissas!$C$5:$G$5,0)</f>
        <v>4</v>
      </c>
      <c r="AP39" s="59" t="n">
        <f aca="false">MATCH(AP38,Premissas!$C$5:$G$5,0)</f>
        <v>4</v>
      </c>
      <c r="AQ39" s="59" t="n">
        <f aca="false">MATCH(AQ38,Premissas!$C$5:$G$5,0)</f>
        <v>4</v>
      </c>
      <c r="AR39" s="59" t="n">
        <f aca="false">MATCH(AR38,Premissas!$C$5:$G$5,0)</f>
        <v>4</v>
      </c>
      <c r="AS39" s="59" t="n">
        <f aca="false">MATCH(AS38,Premissas!$C$5:$G$5,0)</f>
        <v>4</v>
      </c>
      <c r="AT39" s="59" t="n">
        <f aca="false">MATCH(AT38,Premissas!$C$5:$G$5,0)</f>
        <v>4</v>
      </c>
      <c r="AU39" s="59" t="n">
        <f aca="false">MATCH(AU38,Premissas!$C$5:$G$5,0)</f>
        <v>4</v>
      </c>
      <c r="AV39" s="59" t="n">
        <f aca="false">MATCH(AV38,Premissas!$C$5:$G$5,0)</f>
        <v>4</v>
      </c>
      <c r="AW39" s="59" t="n">
        <f aca="false">MATCH(AW38,Premissas!$C$5:$G$5,0)</f>
        <v>4</v>
      </c>
      <c r="AX39" s="59" t="n">
        <f aca="false">MATCH(AX38,Premissas!$C$5:$G$5,0)</f>
        <v>5</v>
      </c>
      <c r="AY39" s="59" t="n">
        <f aca="false">MATCH(AY38,Premissas!$C$5:$G$5,0)</f>
        <v>5</v>
      </c>
      <c r="AZ39" s="59" t="n">
        <f aca="false">MATCH(AZ38,Premissas!$C$5:$G$5,0)</f>
        <v>5</v>
      </c>
      <c r="BA39" s="59" t="n">
        <f aca="false">MATCH(BA38,Premissas!$C$5:$G$5,0)</f>
        <v>5</v>
      </c>
      <c r="BB39" s="59" t="n">
        <f aca="false">MATCH(BB38,Premissas!$C$5:$G$5,0)</f>
        <v>5</v>
      </c>
      <c r="BC39" s="59" t="n">
        <f aca="false">MATCH(BC38,Premissas!$C$5:$G$5,0)</f>
        <v>5</v>
      </c>
      <c r="BD39" s="59" t="n">
        <f aca="false">MATCH(BD38,Premissas!$C$5:$G$5,0)</f>
        <v>5</v>
      </c>
      <c r="BE39" s="59" t="n">
        <f aca="false">MATCH(BE38,Premissas!$C$5:$G$5,0)</f>
        <v>5</v>
      </c>
      <c r="BF39" s="59" t="n">
        <f aca="false">MATCH(BF38,Premissas!$C$5:$G$5,0)</f>
        <v>5</v>
      </c>
      <c r="BG39" s="59" t="n">
        <f aca="false">MATCH(BG38,Premissas!$C$5:$G$5,0)</f>
        <v>5</v>
      </c>
      <c r="BH39" s="59" t="n">
        <f aca="false">MATCH(BH38,Premissas!$C$5:$G$5,0)</f>
        <v>5</v>
      </c>
      <c r="BI39" s="59" t="n">
        <f aca="false">MATCH(BI38,Premissas!$C$5:$G$5,0)</f>
        <v>5</v>
      </c>
    </row>
    <row r="40" customFormat="false" ht="18" hidden="false" customHeight="true" outlineLevel="0" collapsed="false">
      <c r="A40" s="25" t="s">
        <v>627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</row>
    <row r="41" customFormat="false" ht="15" hidden="false" customHeight="false" outlineLevel="0" collapsed="false">
      <c r="A41" s="27" t="s">
        <v>628</v>
      </c>
      <c r="B41" s="91" t="n">
        <f aca="false">SUMPRODUCT(($H$6:$H$32&lt;=B$36)*($I$6:$I$32&gt;=B$36)*(($C$6:$C$32="Contratado")+($C$6:$C$32="Plano")*Premissas!$B$8)*$D$6:$D$32)</f>
        <v>0</v>
      </c>
      <c r="C41" s="91" t="n">
        <f aca="false">SUMPRODUCT(($H$6:$H$32&lt;=C$36)*($I$6:$I$32&gt;=C$36)*(($C$6:$C$32="Contratado")+($C$6:$C$32="Plano")*Premissas!$B$8)*$D$6:$D$32)</f>
        <v>0</v>
      </c>
      <c r="D41" s="91" t="n">
        <f aca="false">SUMPRODUCT(($H$6:$H$32&lt;=D$36)*($I$6:$I$32&gt;=D$36)*(($C$6:$C$32="Contratado")+($C$6:$C$32="Plano")*Premissas!$B$8)*$D$6:$D$32)</f>
        <v>0</v>
      </c>
      <c r="E41" s="91" t="n">
        <f aca="false">SUMPRODUCT(($H$6:$H$32&lt;=E$36)*($I$6:$I$32&gt;=E$36)*(($C$6:$C$32="Contratado")+($C$6:$C$32="Plano")*Premissas!$B$8)*$D$6:$D$32)</f>
        <v>0</v>
      </c>
      <c r="F41" s="91" t="n">
        <f aca="false">SUMPRODUCT(($H$6:$H$32&lt;=F$36)*($I$6:$I$32&gt;=F$36)*(($C$6:$C$32="Contratado")+($C$6:$C$32="Plano")*Premissas!$B$8)*$D$6:$D$32)</f>
        <v>0</v>
      </c>
      <c r="G41" s="91" t="n">
        <f aca="false">SUMPRODUCT(($H$6:$H$32&lt;=G$36)*($I$6:$I$32&gt;=G$36)*(($C$6:$C$32="Contratado")+($C$6:$C$32="Plano")*Premissas!$B$8)*$D$6:$D$32)</f>
        <v>0</v>
      </c>
      <c r="H41" s="91" t="n">
        <f aca="false">SUMPRODUCT(($H$6:$H$32&lt;=H$36)*($I$6:$I$32&gt;=H$36)*(($C$6:$C$32="Contratado")+($C$6:$C$32="Plano")*Premissas!$B$8)*$D$6:$D$32)</f>
        <v>0</v>
      </c>
      <c r="I41" s="91" t="n">
        <f aca="false">SUMPRODUCT(($H$6:$H$32&lt;=I$36)*($I$6:$I$32&gt;=I$36)*(($C$6:$C$32="Contratado")+($C$6:$C$32="Plano")*Premissas!$B$8)*$D$6:$D$32)</f>
        <v>0</v>
      </c>
      <c r="J41" s="91" t="n">
        <f aca="false">SUMPRODUCT(($H$6:$H$32&lt;=J$36)*($I$6:$I$32&gt;=J$36)*(($C$6:$C$32="Contratado")+($C$6:$C$32="Plano")*Premissas!$B$8)*$D$6:$D$32)</f>
        <v>1</v>
      </c>
      <c r="K41" s="91" t="n">
        <f aca="false">SUMPRODUCT(($H$6:$H$32&lt;=K$36)*($I$6:$I$32&gt;=K$36)*(($C$6:$C$32="Contratado")+($C$6:$C$32="Plano")*Premissas!$B$8)*$D$6:$D$32)</f>
        <v>1</v>
      </c>
      <c r="L41" s="91" t="n">
        <f aca="false">SUMPRODUCT(($H$6:$H$32&lt;=L$36)*($I$6:$I$32&gt;=L$36)*(($C$6:$C$32="Contratado")+($C$6:$C$32="Plano")*Premissas!$B$8)*$D$6:$D$32)</f>
        <v>0</v>
      </c>
      <c r="M41" s="91" t="n">
        <f aca="false">SUMPRODUCT(($H$6:$H$32&lt;=M$36)*($I$6:$I$32&gt;=M$36)*(($C$6:$C$32="Contratado")+($C$6:$C$32="Plano")*Premissas!$B$8)*$D$6:$D$32)</f>
        <v>0</v>
      </c>
      <c r="N41" s="91" t="n">
        <f aca="false">SUMPRODUCT(($H$6:$H$32&lt;=N$36)*($I$6:$I$32&gt;=N$36)*(($C$6:$C$32="Contratado")+($C$6:$C$32="Plano")*Premissas!$B$8)*$D$6:$D$32)</f>
        <v>7</v>
      </c>
      <c r="O41" s="91" t="n">
        <f aca="false">SUMPRODUCT(($H$6:$H$32&lt;=O$36)*($I$6:$I$32&gt;=O$36)*(($C$6:$C$32="Contratado")+($C$6:$C$32="Plano")*Premissas!$B$8)*$D$6:$D$32)</f>
        <v>7</v>
      </c>
      <c r="P41" s="91" t="n">
        <f aca="false">SUMPRODUCT(($H$6:$H$32&lt;=P$36)*($I$6:$I$32&gt;=P$36)*(($C$6:$C$32="Contratado")+($C$6:$C$32="Plano")*Premissas!$B$8)*$D$6:$D$32)</f>
        <v>7</v>
      </c>
      <c r="Q41" s="91" t="n">
        <f aca="false">SUMPRODUCT(($H$6:$H$32&lt;=Q$36)*($I$6:$I$32&gt;=Q$36)*(($C$6:$C$32="Contratado")+($C$6:$C$32="Plano")*Premissas!$B$8)*$D$6:$D$32)</f>
        <v>7</v>
      </c>
      <c r="R41" s="91" t="n">
        <f aca="false">SUMPRODUCT(($H$6:$H$32&lt;=R$36)*($I$6:$I$32&gt;=R$36)*(($C$6:$C$32="Contratado")+($C$6:$C$32="Plano")*Premissas!$B$8)*$D$6:$D$32)</f>
        <v>7</v>
      </c>
      <c r="S41" s="91" t="n">
        <f aca="false">SUMPRODUCT(($H$6:$H$32&lt;=S$36)*($I$6:$I$32&gt;=S$36)*(($C$6:$C$32="Contratado")+($C$6:$C$32="Plano")*Premissas!$B$8)*$D$6:$D$32)</f>
        <v>7</v>
      </c>
      <c r="T41" s="91" t="n">
        <f aca="false">SUMPRODUCT(($H$6:$H$32&lt;=T$36)*($I$6:$I$32&gt;=T$36)*(($C$6:$C$32="Contratado")+($C$6:$C$32="Plano")*Premissas!$B$8)*$D$6:$D$32)</f>
        <v>7</v>
      </c>
      <c r="U41" s="91" t="n">
        <f aca="false">SUMPRODUCT(($H$6:$H$32&lt;=U$36)*($I$6:$I$32&gt;=U$36)*(($C$6:$C$32="Contratado")+($C$6:$C$32="Plano")*Premissas!$B$8)*$D$6:$D$32)</f>
        <v>7</v>
      </c>
      <c r="V41" s="91" t="n">
        <f aca="false">SUMPRODUCT(($H$6:$H$32&lt;=V$36)*($I$6:$I$32&gt;=V$36)*(($C$6:$C$32="Contratado")+($C$6:$C$32="Plano")*Premissas!$B$8)*$D$6:$D$32)</f>
        <v>7</v>
      </c>
      <c r="W41" s="91" t="n">
        <f aca="false">SUMPRODUCT(($H$6:$H$32&lt;=W$36)*($I$6:$I$32&gt;=W$36)*(($C$6:$C$32="Contratado")+($C$6:$C$32="Plano")*Premissas!$B$8)*$D$6:$D$32)</f>
        <v>7</v>
      </c>
      <c r="X41" s="91" t="n">
        <f aca="false">SUMPRODUCT(($H$6:$H$32&lt;=X$36)*($I$6:$I$32&gt;=X$36)*(($C$6:$C$32="Contratado")+($C$6:$C$32="Plano")*Premissas!$B$8)*$D$6:$D$32)</f>
        <v>7</v>
      </c>
      <c r="Y41" s="91" t="n">
        <f aca="false">SUMPRODUCT(($H$6:$H$32&lt;=Y$36)*($I$6:$I$32&gt;=Y$36)*(($C$6:$C$32="Contratado")+($C$6:$C$32="Plano")*Premissas!$B$8)*$D$6:$D$32)</f>
        <v>7</v>
      </c>
      <c r="Z41" s="91" t="n">
        <f aca="false">SUMPRODUCT(($H$6:$H$32&lt;=Z$36)*($I$6:$I$32&gt;=Z$36)*(($C$6:$C$32="Contratado")+($C$6:$C$32="Plano")*Premissas!$B$8)*$D$6:$D$32)</f>
        <v>17</v>
      </c>
      <c r="AA41" s="91" t="n">
        <f aca="false">SUMPRODUCT(($H$6:$H$32&lt;=AA$36)*($I$6:$I$32&gt;=AA$36)*(($C$6:$C$32="Contratado")+($C$6:$C$32="Plano")*Premissas!$B$8)*$D$6:$D$32)</f>
        <v>17</v>
      </c>
      <c r="AB41" s="91" t="n">
        <f aca="false">SUMPRODUCT(($H$6:$H$32&lt;=AB$36)*($I$6:$I$32&gt;=AB$36)*(($C$6:$C$32="Contratado")+($C$6:$C$32="Plano")*Premissas!$B$8)*$D$6:$D$32)</f>
        <v>17</v>
      </c>
      <c r="AC41" s="91" t="n">
        <f aca="false">SUMPRODUCT(($H$6:$H$32&lt;=AC$36)*($I$6:$I$32&gt;=AC$36)*(($C$6:$C$32="Contratado")+($C$6:$C$32="Plano")*Premissas!$B$8)*$D$6:$D$32)</f>
        <v>17</v>
      </c>
      <c r="AD41" s="91" t="n">
        <f aca="false">SUMPRODUCT(($H$6:$H$32&lt;=AD$36)*($I$6:$I$32&gt;=AD$36)*(($C$6:$C$32="Contratado")+($C$6:$C$32="Plano")*Premissas!$B$8)*$D$6:$D$32)</f>
        <v>17</v>
      </c>
      <c r="AE41" s="91" t="n">
        <f aca="false">SUMPRODUCT(($H$6:$H$32&lt;=AE$36)*($I$6:$I$32&gt;=AE$36)*(($C$6:$C$32="Contratado")+($C$6:$C$32="Plano")*Premissas!$B$8)*$D$6:$D$32)</f>
        <v>17</v>
      </c>
      <c r="AF41" s="91" t="n">
        <f aca="false">SUMPRODUCT(($H$6:$H$32&lt;=AF$36)*($I$6:$I$32&gt;=AF$36)*(($C$6:$C$32="Contratado")+($C$6:$C$32="Plano")*Premissas!$B$8)*$D$6:$D$32)</f>
        <v>17</v>
      </c>
      <c r="AG41" s="91" t="n">
        <f aca="false">SUMPRODUCT(($H$6:$H$32&lt;=AG$36)*($I$6:$I$32&gt;=AG$36)*(($C$6:$C$32="Contratado")+($C$6:$C$32="Plano")*Premissas!$B$8)*$D$6:$D$32)</f>
        <v>17</v>
      </c>
      <c r="AH41" s="91" t="n">
        <f aca="false">SUMPRODUCT(($H$6:$H$32&lt;=AH$36)*($I$6:$I$32&gt;=AH$36)*(($C$6:$C$32="Contratado")+($C$6:$C$32="Plano")*Premissas!$B$8)*$D$6:$D$32)</f>
        <v>17</v>
      </c>
      <c r="AI41" s="91" t="n">
        <f aca="false">SUMPRODUCT(($H$6:$H$32&lt;=AI$36)*($I$6:$I$32&gt;=AI$36)*(($C$6:$C$32="Contratado")+($C$6:$C$32="Plano")*Premissas!$B$8)*$D$6:$D$32)</f>
        <v>17</v>
      </c>
      <c r="AJ41" s="91" t="n">
        <f aca="false">SUMPRODUCT(($H$6:$H$32&lt;=AJ$36)*($I$6:$I$32&gt;=AJ$36)*(($C$6:$C$32="Contratado")+($C$6:$C$32="Plano")*Premissas!$B$8)*$D$6:$D$32)</f>
        <v>17</v>
      </c>
      <c r="AK41" s="91" t="n">
        <f aca="false">SUMPRODUCT(($H$6:$H$32&lt;=AK$36)*($I$6:$I$32&gt;=AK$36)*(($C$6:$C$32="Contratado")+($C$6:$C$32="Plano")*Premissas!$B$8)*$D$6:$D$32)</f>
        <v>17</v>
      </c>
      <c r="AL41" s="91" t="n">
        <f aca="false">SUMPRODUCT(($H$6:$H$32&lt;=AL$36)*($I$6:$I$32&gt;=AL$36)*(($C$6:$C$32="Contratado")+($C$6:$C$32="Plano")*Premissas!$B$8)*$D$6:$D$32)</f>
        <v>34</v>
      </c>
      <c r="AM41" s="91" t="n">
        <f aca="false">SUMPRODUCT(($H$6:$H$32&lt;=AM$36)*($I$6:$I$32&gt;=AM$36)*(($C$6:$C$32="Contratado")+($C$6:$C$32="Plano")*Premissas!$B$8)*$D$6:$D$32)</f>
        <v>34</v>
      </c>
      <c r="AN41" s="91" t="n">
        <f aca="false">SUMPRODUCT(($H$6:$H$32&lt;=AN$36)*($I$6:$I$32&gt;=AN$36)*(($C$6:$C$32="Contratado")+($C$6:$C$32="Plano")*Premissas!$B$8)*$D$6:$D$32)</f>
        <v>34</v>
      </c>
      <c r="AO41" s="91" t="n">
        <f aca="false">SUMPRODUCT(($H$6:$H$32&lt;=AO$36)*($I$6:$I$32&gt;=AO$36)*(($C$6:$C$32="Contratado")+($C$6:$C$32="Plano")*Premissas!$B$8)*$D$6:$D$32)</f>
        <v>34</v>
      </c>
      <c r="AP41" s="91" t="n">
        <f aca="false">SUMPRODUCT(($H$6:$H$32&lt;=AP$36)*($I$6:$I$32&gt;=AP$36)*(($C$6:$C$32="Contratado")+($C$6:$C$32="Plano")*Premissas!$B$8)*$D$6:$D$32)</f>
        <v>34</v>
      </c>
      <c r="AQ41" s="91" t="n">
        <f aca="false">SUMPRODUCT(($H$6:$H$32&lt;=AQ$36)*($I$6:$I$32&gt;=AQ$36)*(($C$6:$C$32="Contratado")+($C$6:$C$32="Plano")*Premissas!$B$8)*$D$6:$D$32)</f>
        <v>34</v>
      </c>
      <c r="AR41" s="91" t="n">
        <f aca="false">SUMPRODUCT(($H$6:$H$32&lt;=AR$36)*($I$6:$I$32&gt;=AR$36)*(($C$6:$C$32="Contratado")+($C$6:$C$32="Plano")*Premissas!$B$8)*$D$6:$D$32)</f>
        <v>34</v>
      </c>
      <c r="AS41" s="91" t="n">
        <f aca="false">SUMPRODUCT(($H$6:$H$32&lt;=AS$36)*($I$6:$I$32&gt;=AS$36)*(($C$6:$C$32="Contratado")+($C$6:$C$32="Plano")*Premissas!$B$8)*$D$6:$D$32)</f>
        <v>34</v>
      </c>
      <c r="AT41" s="91" t="n">
        <f aca="false">SUMPRODUCT(($H$6:$H$32&lt;=AT$36)*($I$6:$I$32&gt;=AT$36)*(($C$6:$C$32="Contratado")+($C$6:$C$32="Plano")*Premissas!$B$8)*$D$6:$D$32)</f>
        <v>34</v>
      </c>
      <c r="AU41" s="91" t="n">
        <f aca="false">SUMPRODUCT(($H$6:$H$32&lt;=AU$36)*($I$6:$I$32&gt;=AU$36)*(($C$6:$C$32="Contratado")+($C$6:$C$32="Plano")*Premissas!$B$8)*$D$6:$D$32)</f>
        <v>34</v>
      </c>
      <c r="AV41" s="91" t="n">
        <f aca="false">SUMPRODUCT(($H$6:$H$32&lt;=AV$36)*($I$6:$I$32&gt;=AV$36)*(($C$6:$C$32="Contratado")+($C$6:$C$32="Plano")*Premissas!$B$8)*$D$6:$D$32)</f>
        <v>34</v>
      </c>
      <c r="AW41" s="91" t="n">
        <f aca="false">SUMPRODUCT(($H$6:$H$32&lt;=AW$36)*($I$6:$I$32&gt;=AW$36)*(($C$6:$C$32="Contratado")+($C$6:$C$32="Plano")*Premissas!$B$8)*$D$6:$D$32)</f>
        <v>34</v>
      </c>
      <c r="AX41" s="91" t="n">
        <f aca="false">SUMPRODUCT(($H$6:$H$32&lt;=AX$36)*($I$6:$I$32&gt;=AX$36)*(($C$6:$C$32="Contratado")+($C$6:$C$32="Plano")*Premissas!$B$8)*$D$6:$D$32)</f>
        <v>50</v>
      </c>
      <c r="AY41" s="91" t="n">
        <f aca="false">SUMPRODUCT(($H$6:$H$32&lt;=AY$36)*($I$6:$I$32&gt;=AY$36)*(($C$6:$C$32="Contratado")+($C$6:$C$32="Plano")*Premissas!$B$8)*$D$6:$D$32)</f>
        <v>50</v>
      </c>
      <c r="AZ41" s="91" t="n">
        <f aca="false">SUMPRODUCT(($H$6:$H$32&lt;=AZ$36)*($I$6:$I$32&gt;=AZ$36)*(($C$6:$C$32="Contratado")+($C$6:$C$32="Plano")*Premissas!$B$8)*$D$6:$D$32)</f>
        <v>50</v>
      </c>
      <c r="BA41" s="91" t="n">
        <f aca="false">SUMPRODUCT(($H$6:$H$32&lt;=BA$36)*($I$6:$I$32&gt;=BA$36)*(($C$6:$C$32="Contratado")+($C$6:$C$32="Plano")*Premissas!$B$8)*$D$6:$D$32)</f>
        <v>50</v>
      </c>
      <c r="BB41" s="91" t="n">
        <f aca="false">SUMPRODUCT(($H$6:$H$32&lt;=BB$36)*($I$6:$I$32&gt;=BB$36)*(($C$6:$C$32="Contratado")+($C$6:$C$32="Plano")*Premissas!$B$8)*$D$6:$D$32)</f>
        <v>50</v>
      </c>
      <c r="BC41" s="91" t="n">
        <f aca="false">SUMPRODUCT(($H$6:$H$32&lt;=BC$36)*($I$6:$I$32&gt;=BC$36)*(($C$6:$C$32="Contratado")+($C$6:$C$32="Plano")*Premissas!$B$8)*$D$6:$D$32)</f>
        <v>50</v>
      </c>
      <c r="BD41" s="91" t="n">
        <f aca="false">SUMPRODUCT(($H$6:$H$32&lt;=BD$36)*($I$6:$I$32&gt;=BD$36)*(($C$6:$C$32="Contratado")+($C$6:$C$32="Plano")*Premissas!$B$8)*$D$6:$D$32)</f>
        <v>50</v>
      </c>
      <c r="BE41" s="91" t="n">
        <f aca="false">SUMPRODUCT(($H$6:$H$32&lt;=BE$36)*($I$6:$I$32&gt;=BE$36)*(($C$6:$C$32="Contratado")+($C$6:$C$32="Plano")*Premissas!$B$8)*$D$6:$D$32)</f>
        <v>50</v>
      </c>
      <c r="BF41" s="91" t="n">
        <f aca="false">SUMPRODUCT(($H$6:$H$32&lt;=BF$36)*($I$6:$I$32&gt;=BF$36)*(($C$6:$C$32="Contratado")+($C$6:$C$32="Plano")*Premissas!$B$8)*$D$6:$D$32)</f>
        <v>50</v>
      </c>
      <c r="BG41" s="91" t="n">
        <f aca="false">SUMPRODUCT(($H$6:$H$32&lt;=BG$36)*($I$6:$I$32&gt;=BG$36)*(($C$6:$C$32="Contratado")+($C$6:$C$32="Plano")*Premissas!$B$8)*$D$6:$D$32)</f>
        <v>50</v>
      </c>
      <c r="BH41" s="91" t="n">
        <f aca="false">SUMPRODUCT(($H$6:$H$32&lt;=BH$36)*($I$6:$I$32&gt;=BH$36)*(($C$6:$C$32="Contratado")+($C$6:$C$32="Plano")*Premissas!$B$8)*$D$6:$D$32)</f>
        <v>50</v>
      </c>
      <c r="BI41" s="91" t="n">
        <f aca="false">SUMPRODUCT(($H$6:$H$32&lt;=BI$36)*($I$6:$I$32&gt;=BI$36)*(($C$6:$C$32="Contratado")+($C$6:$C$32="Plano")*Premissas!$B$8)*$D$6:$D$32)</f>
        <v>50</v>
      </c>
      <c r="BJ41" s="134" t="n">
        <f aca="false">BI41</f>
        <v>50</v>
      </c>
      <c r="BK41" s="29" t="s">
        <v>629</v>
      </c>
    </row>
    <row r="42" customFormat="false" ht="15" hidden="false" customHeight="false" outlineLevel="0" collapsed="false">
      <c r="A42" s="27" t="s">
        <v>630</v>
      </c>
      <c r="B42" s="60" t="n">
        <f aca="false">SUMPRODUCT(($B$6:$B$32="PJ")*($J$6:$J$32="Despesa")*($H$6:$H$32&lt;=B$36)*($I$6:$I$32&gt;=B$36)*(($C$6:$C$32="Contratado")+($C$6:$C$32="Plano")*Premissas!$B$8)*$G$6:$G$32)</f>
        <v>0</v>
      </c>
      <c r="C42" s="60" t="n">
        <f aca="false">SUMPRODUCT(($B$6:$B$32="PJ")*($J$6:$J$32="Despesa")*($H$6:$H$32&lt;=C$36)*($I$6:$I$32&gt;=C$36)*(($C$6:$C$32="Contratado")+($C$6:$C$32="Plano")*Premissas!$B$8)*$G$6:$G$32)</f>
        <v>0</v>
      </c>
      <c r="D42" s="60" t="n">
        <f aca="false">SUMPRODUCT(($B$6:$B$32="PJ")*($J$6:$J$32="Despesa")*($H$6:$H$32&lt;=D$36)*($I$6:$I$32&gt;=D$36)*(($C$6:$C$32="Contratado")+($C$6:$C$32="Plano")*Premissas!$B$8)*$G$6:$G$32)</f>
        <v>0</v>
      </c>
      <c r="E42" s="60" t="n">
        <f aca="false">SUMPRODUCT(($B$6:$B$32="PJ")*($J$6:$J$32="Despesa")*($H$6:$H$32&lt;=E$36)*($I$6:$I$32&gt;=E$36)*(($C$6:$C$32="Contratado")+($C$6:$C$32="Plano")*Premissas!$B$8)*$G$6:$G$32)</f>
        <v>0</v>
      </c>
      <c r="F42" s="60" t="n">
        <f aca="false">SUMPRODUCT(($B$6:$B$32="PJ")*($J$6:$J$32="Despesa")*($H$6:$H$32&lt;=F$36)*($I$6:$I$32&gt;=F$36)*(($C$6:$C$32="Contratado")+($C$6:$C$32="Plano")*Premissas!$B$8)*$G$6:$G$32)</f>
        <v>0</v>
      </c>
      <c r="G42" s="60" t="n">
        <f aca="false">SUMPRODUCT(($B$6:$B$32="PJ")*($J$6:$J$32="Despesa")*($H$6:$H$32&lt;=G$36)*($I$6:$I$32&gt;=G$36)*(($C$6:$C$32="Contratado")+($C$6:$C$32="Plano")*Premissas!$B$8)*$G$6:$G$32)</f>
        <v>0</v>
      </c>
      <c r="H42" s="60" t="n">
        <f aca="false">SUMPRODUCT(($B$6:$B$32="PJ")*($J$6:$J$32="Despesa")*($H$6:$H$32&lt;=H$36)*($I$6:$I$32&gt;=H$36)*(($C$6:$C$32="Contratado")+($C$6:$C$32="Plano")*Premissas!$B$8)*$G$6:$G$32)</f>
        <v>0</v>
      </c>
      <c r="I42" s="60" t="n">
        <f aca="false">SUMPRODUCT(($B$6:$B$32="PJ")*($J$6:$J$32="Despesa")*($H$6:$H$32&lt;=I$36)*($I$6:$I$32&gt;=I$36)*(($C$6:$C$32="Contratado")+($C$6:$C$32="Plano")*Premissas!$B$8)*$G$6:$G$32)</f>
        <v>0</v>
      </c>
      <c r="J42" s="60" t="n">
        <f aca="false">SUMPRODUCT(($B$6:$B$32="PJ")*($J$6:$J$32="Despesa")*($H$6:$H$32&lt;=J$36)*($I$6:$I$32&gt;=J$36)*(($C$6:$C$32="Contratado")+($C$6:$C$32="Plano")*Premissas!$B$8)*$G$6:$G$32)</f>
        <v>0</v>
      </c>
      <c r="K42" s="60" t="n">
        <f aca="false">SUMPRODUCT(($B$6:$B$32="PJ")*($J$6:$J$32="Despesa")*($H$6:$H$32&lt;=K$36)*($I$6:$I$32&gt;=K$36)*(($C$6:$C$32="Contratado")+($C$6:$C$32="Plano")*Premissas!$B$8)*$G$6:$G$32)</f>
        <v>0</v>
      </c>
      <c r="L42" s="60" t="n">
        <f aca="false">SUMPRODUCT(($B$6:$B$32="PJ")*($J$6:$J$32="Despesa")*($H$6:$H$32&lt;=L$36)*($I$6:$I$32&gt;=L$36)*(($C$6:$C$32="Contratado")+($C$6:$C$32="Plano")*Premissas!$B$8)*$G$6:$G$32)</f>
        <v>0</v>
      </c>
      <c r="M42" s="60" t="n">
        <f aca="false">SUMPRODUCT(($B$6:$B$32="PJ")*($J$6:$J$32="Despesa")*($H$6:$H$32&lt;=M$36)*($I$6:$I$32&gt;=M$36)*(($C$6:$C$32="Contratado")+($C$6:$C$32="Plano")*Premissas!$B$8)*$G$6:$G$32)</f>
        <v>0</v>
      </c>
      <c r="N42" s="60" t="n">
        <f aca="false">SUMPRODUCT(($B$6:$B$32="PJ")*($J$6:$J$32="Despesa")*($H$6:$H$32&lt;=N$36)*($I$6:$I$32&gt;=N$36)*(($C$6:$C$32="Contratado")+($C$6:$C$32="Plano")*Premissas!$B$8)*$G$6:$G$32)</f>
        <v>27500</v>
      </c>
      <c r="O42" s="60" t="n">
        <f aca="false">SUMPRODUCT(($B$6:$B$32="PJ")*($J$6:$J$32="Despesa")*($H$6:$H$32&lt;=O$36)*($I$6:$I$32&gt;=O$36)*(($C$6:$C$32="Contratado")+($C$6:$C$32="Plano")*Premissas!$B$8)*$G$6:$G$32)</f>
        <v>27500</v>
      </c>
      <c r="P42" s="60" t="n">
        <f aca="false">SUMPRODUCT(($B$6:$B$32="PJ")*($J$6:$J$32="Despesa")*($H$6:$H$32&lt;=P$36)*($I$6:$I$32&gt;=P$36)*(($C$6:$C$32="Contratado")+($C$6:$C$32="Plano")*Premissas!$B$8)*$G$6:$G$32)</f>
        <v>27500</v>
      </c>
      <c r="Q42" s="60" t="n">
        <f aca="false">SUMPRODUCT(($B$6:$B$32="PJ")*($J$6:$J$32="Despesa")*($H$6:$H$32&lt;=Q$36)*($I$6:$I$32&gt;=Q$36)*(($C$6:$C$32="Contratado")+($C$6:$C$32="Plano")*Premissas!$B$8)*$G$6:$G$32)</f>
        <v>27500</v>
      </c>
      <c r="R42" s="60" t="n">
        <f aca="false">SUMPRODUCT(($B$6:$B$32="PJ")*($J$6:$J$32="Despesa")*($H$6:$H$32&lt;=R$36)*($I$6:$I$32&gt;=R$36)*(($C$6:$C$32="Contratado")+($C$6:$C$32="Plano")*Premissas!$B$8)*$G$6:$G$32)</f>
        <v>27500</v>
      </c>
      <c r="S42" s="60" t="n">
        <f aca="false">SUMPRODUCT(($B$6:$B$32="PJ")*($J$6:$J$32="Despesa")*($H$6:$H$32&lt;=S$36)*($I$6:$I$32&gt;=S$36)*(($C$6:$C$32="Contratado")+($C$6:$C$32="Plano")*Premissas!$B$8)*$G$6:$G$32)</f>
        <v>27500</v>
      </c>
      <c r="T42" s="60" t="n">
        <f aca="false">SUMPRODUCT(($B$6:$B$32="PJ")*($J$6:$J$32="Despesa")*($H$6:$H$32&lt;=T$36)*($I$6:$I$32&gt;=T$36)*(($C$6:$C$32="Contratado")+($C$6:$C$32="Plano")*Premissas!$B$8)*$G$6:$G$32)</f>
        <v>27500</v>
      </c>
      <c r="U42" s="60" t="n">
        <f aca="false">SUMPRODUCT(($B$6:$B$32="PJ")*($J$6:$J$32="Despesa")*($H$6:$H$32&lt;=U$36)*($I$6:$I$32&gt;=U$36)*(($C$6:$C$32="Contratado")+($C$6:$C$32="Plano")*Premissas!$B$8)*$G$6:$G$32)</f>
        <v>27500</v>
      </c>
      <c r="V42" s="60" t="n">
        <f aca="false">SUMPRODUCT(($B$6:$B$32="PJ")*($J$6:$J$32="Despesa")*($H$6:$H$32&lt;=V$36)*($I$6:$I$32&gt;=V$36)*(($C$6:$C$32="Contratado")+($C$6:$C$32="Plano")*Premissas!$B$8)*$G$6:$G$32)</f>
        <v>27500</v>
      </c>
      <c r="W42" s="60" t="n">
        <f aca="false">SUMPRODUCT(($B$6:$B$32="PJ")*($J$6:$J$32="Despesa")*($H$6:$H$32&lt;=W$36)*($I$6:$I$32&gt;=W$36)*(($C$6:$C$32="Contratado")+($C$6:$C$32="Plano")*Premissas!$B$8)*$G$6:$G$32)</f>
        <v>27500</v>
      </c>
      <c r="X42" s="60" t="n">
        <f aca="false">SUMPRODUCT(($B$6:$B$32="PJ")*($J$6:$J$32="Despesa")*($H$6:$H$32&lt;=X$36)*($I$6:$I$32&gt;=X$36)*(($C$6:$C$32="Contratado")+($C$6:$C$32="Plano")*Premissas!$B$8)*$G$6:$G$32)</f>
        <v>27500</v>
      </c>
      <c r="Y42" s="60" t="n">
        <f aca="false">SUMPRODUCT(($B$6:$B$32="PJ")*($J$6:$J$32="Despesa")*($H$6:$H$32&lt;=Y$36)*($I$6:$I$32&gt;=Y$36)*(($C$6:$C$32="Contratado")+($C$6:$C$32="Plano")*Premissas!$B$8)*$G$6:$G$32)</f>
        <v>27500</v>
      </c>
      <c r="Z42" s="60" t="n">
        <f aca="false">SUMPRODUCT(($B$6:$B$32="PJ")*($J$6:$J$32="Despesa")*($H$6:$H$32&lt;=Z$36)*($I$6:$I$32&gt;=Z$36)*(($C$6:$C$32="Contratado")+($C$6:$C$32="Plano")*Premissas!$B$8)*$G$6:$G$32)</f>
        <v>102500</v>
      </c>
      <c r="AA42" s="60" t="n">
        <f aca="false">SUMPRODUCT(($B$6:$B$32="PJ")*($J$6:$J$32="Despesa")*($H$6:$H$32&lt;=AA$36)*($I$6:$I$32&gt;=AA$36)*(($C$6:$C$32="Contratado")+($C$6:$C$32="Plano")*Premissas!$B$8)*$G$6:$G$32)</f>
        <v>102500</v>
      </c>
      <c r="AB42" s="60" t="n">
        <f aca="false">SUMPRODUCT(($B$6:$B$32="PJ")*($J$6:$J$32="Despesa")*($H$6:$H$32&lt;=AB$36)*($I$6:$I$32&gt;=AB$36)*(($C$6:$C$32="Contratado")+($C$6:$C$32="Plano")*Premissas!$B$8)*$G$6:$G$32)</f>
        <v>102500</v>
      </c>
      <c r="AC42" s="60" t="n">
        <f aca="false">SUMPRODUCT(($B$6:$B$32="PJ")*($J$6:$J$32="Despesa")*($H$6:$H$32&lt;=AC$36)*($I$6:$I$32&gt;=AC$36)*(($C$6:$C$32="Contratado")+($C$6:$C$32="Plano")*Premissas!$B$8)*$G$6:$G$32)</f>
        <v>102500</v>
      </c>
      <c r="AD42" s="60" t="n">
        <f aca="false">SUMPRODUCT(($B$6:$B$32="PJ")*($J$6:$J$32="Despesa")*($H$6:$H$32&lt;=AD$36)*($I$6:$I$32&gt;=AD$36)*(($C$6:$C$32="Contratado")+($C$6:$C$32="Plano")*Premissas!$B$8)*$G$6:$G$32)</f>
        <v>102500</v>
      </c>
      <c r="AE42" s="60" t="n">
        <f aca="false">SUMPRODUCT(($B$6:$B$32="PJ")*($J$6:$J$32="Despesa")*($H$6:$H$32&lt;=AE$36)*($I$6:$I$32&gt;=AE$36)*(($C$6:$C$32="Contratado")+($C$6:$C$32="Plano")*Premissas!$B$8)*$G$6:$G$32)</f>
        <v>102500</v>
      </c>
      <c r="AF42" s="60" t="n">
        <f aca="false">SUMPRODUCT(($B$6:$B$32="PJ")*($J$6:$J$32="Despesa")*($H$6:$H$32&lt;=AF$36)*($I$6:$I$32&gt;=AF$36)*(($C$6:$C$32="Contratado")+($C$6:$C$32="Plano")*Premissas!$B$8)*$G$6:$G$32)</f>
        <v>102500</v>
      </c>
      <c r="AG42" s="60" t="n">
        <f aca="false">SUMPRODUCT(($B$6:$B$32="PJ")*($J$6:$J$32="Despesa")*($H$6:$H$32&lt;=AG$36)*($I$6:$I$32&gt;=AG$36)*(($C$6:$C$32="Contratado")+($C$6:$C$32="Plano")*Premissas!$B$8)*$G$6:$G$32)</f>
        <v>102500</v>
      </c>
      <c r="AH42" s="60" t="n">
        <f aca="false">SUMPRODUCT(($B$6:$B$32="PJ")*($J$6:$J$32="Despesa")*($H$6:$H$32&lt;=AH$36)*($I$6:$I$32&gt;=AH$36)*(($C$6:$C$32="Contratado")+($C$6:$C$32="Plano")*Premissas!$B$8)*$G$6:$G$32)</f>
        <v>102500</v>
      </c>
      <c r="AI42" s="60" t="n">
        <f aca="false">SUMPRODUCT(($B$6:$B$32="PJ")*($J$6:$J$32="Despesa")*($H$6:$H$32&lt;=AI$36)*($I$6:$I$32&gt;=AI$36)*(($C$6:$C$32="Contratado")+($C$6:$C$32="Plano")*Premissas!$B$8)*$G$6:$G$32)</f>
        <v>102500</v>
      </c>
      <c r="AJ42" s="60" t="n">
        <f aca="false">SUMPRODUCT(($B$6:$B$32="PJ")*($J$6:$J$32="Despesa")*($H$6:$H$32&lt;=AJ$36)*($I$6:$I$32&gt;=AJ$36)*(($C$6:$C$32="Contratado")+($C$6:$C$32="Plano")*Premissas!$B$8)*$G$6:$G$32)</f>
        <v>102500</v>
      </c>
      <c r="AK42" s="60" t="n">
        <f aca="false">SUMPRODUCT(($B$6:$B$32="PJ")*($J$6:$J$32="Despesa")*($H$6:$H$32&lt;=AK$36)*($I$6:$I$32&gt;=AK$36)*(($C$6:$C$32="Contratado")+($C$6:$C$32="Plano")*Premissas!$B$8)*$G$6:$G$32)</f>
        <v>102500</v>
      </c>
      <c r="AL42" s="60" t="n">
        <f aca="false">SUMPRODUCT(($B$6:$B$32="PJ")*($J$6:$J$32="Despesa")*($H$6:$H$32&lt;=AL$36)*($I$6:$I$32&gt;=AL$36)*(($C$6:$C$32="Contratado")+($C$6:$C$32="Plano")*Premissas!$B$8)*$G$6:$G$32)</f>
        <v>221300</v>
      </c>
      <c r="AM42" s="60" t="n">
        <f aca="false">SUMPRODUCT(($B$6:$B$32="PJ")*($J$6:$J$32="Despesa")*($H$6:$H$32&lt;=AM$36)*($I$6:$I$32&gt;=AM$36)*(($C$6:$C$32="Contratado")+($C$6:$C$32="Plano")*Premissas!$B$8)*$G$6:$G$32)</f>
        <v>221300</v>
      </c>
      <c r="AN42" s="60" t="n">
        <f aca="false">SUMPRODUCT(($B$6:$B$32="PJ")*($J$6:$J$32="Despesa")*($H$6:$H$32&lt;=AN$36)*($I$6:$I$32&gt;=AN$36)*(($C$6:$C$32="Contratado")+($C$6:$C$32="Plano")*Premissas!$B$8)*$G$6:$G$32)</f>
        <v>221300</v>
      </c>
      <c r="AO42" s="60" t="n">
        <f aca="false">SUMPRODUCT(($B$6:$B$32="PJ")*($J$6:$J$32="Despesa")*($H$6:$H$32&lt;=AO$36)*($I$6:$I$32&gt;=AO$36)*(($C$6:$C$32="Contratado")+($C$6:$C$32="Plano")*Premissas!$B$8)*$G$6:$G$32)</f>
        <v>221300</v>
      </c>
      <c r="AP42" s="60" t="n">
        <f aca="false">SUMPRODUCT(($B$6:$B$32="PJ")*($J$6:$J$32="Despesa")*($H$6:$H$32&lt;=AP$36)*($I$6:$I$32&gt;=AP$36)*(($C$6:$C$32="Contratado")+($C$6:$C$32="Plano")*Premissas!$B$8)*$G$6:$G$32)</f>
        <v>221300</v>
      </c>
      <c r="AQ42" s="60" t="n">
        <f aca="false">SUMPRODUCT(($B$6:$B$32="PJ")*($J$6:$J$32="Despesa")*($H$6:$H$32&lt;=AQ$36)*($I$6:$I$32&gt;=AQ$36)*(($C$6:$C$32="Contratado")+($C$6:$C$32="Plano")*Premissas!$B$8)*$G$6:$G$32)</f>
        <v>221300</v>
      </c>
      <c r="AR42" s="60" t="n">
        <f aca="false">SUMPRODUCT(($B$6:$B$32="PJ")*($J$6:$J$32="Despesa")*($H$6:$H$32&lt;=AR$36)*($I$6:$I$32&gt;=AR$36)*(($C$6:$C$32="Contratado")+($C$6:$C$32="Plano")*Premissas!$B$8)*$G$6:$G$32)</f>
        <v>221300</v>
      </c>
      <c r="AS42" s="60" t="n">
        <f aca="false">SUMPRODUCT(($B$6:$B$32="PJ")*($J$6:$J$32="Despesa")*($H$6:$H$32&lt;=AS$36)*($I$6:$I$32&gt;=AS$36)*(($C$6:$C$32="Contratado")+($C$6:$C$32="Plano")*Premissas!$B$8)*$G$6:$G$32)</f>
        <v>221300</v>
      </c>
      <c r="AT42" s="60" t="n">
        <f aca="false">SUMPRODUCT(($B$6:$B$32="PJ")*($J$6:$J$32="Despesa")*($H$6:$H$32&lt;=AT$36)*($I$6:$I$32&gt;=AT$36)*(($C$6:$C$32="Contratado")+($C$6:$C$32="Plano")*Premissas!$B$8)*$G$6:$G$32)</f>
        <v>221300</v>
      </c>
      <c r="AU42" s="60" t="n">
        <f aca="false">SUMPRODUCT(($B$6:$B$32="PJ")*($J$6:$J$32="Despesa")*($H$6:$H$32&lt;=AU$36)*($I$6:$I$32&gt;=AU$36)*(($C$6:$C$32="Contratado")+($C$6:$C$32="Plano")*Premissas!$B$8)*$G$6:$G$32)</f>
        <v>221300</v>
      </c>
      <c r="AV42" s="60" t="n">
        <f aca="false">SUMPRODUCT(($B$6:$B$32="PJ")*($J$6:$J$32="Despesa")*($H$6:$H$32&lt;=AV$36)*($I$6:$I$32&gt;=AV$36)*(($C$6:$C$32="Contratado")+($C$6:$C$32="Plano")*Premissas!$B$8)*$G$6:$G$32)</f>
        <v>221300</v>
      </c>
      <c r="AW42" s="60" t="n">
        <f aca="false">SUMPRODUCT(($B$6:$B$32="PJ")*($J$6:$J$32="Despesa")*($H$6:$H$32&lt;=AW$36)*($I$6:$I$32&gt;=AW$36)*(($C$6:$C$32="Contratado")+($C$6:$C$32="Plano")*Premissas!$B$8)*$G$6:$G$32)</f>
        <v>221300</v>
      </c>
      <c r="AX42" s="60" t="n">
        <f aca="false">SUMPRODUCT(($B$6:$B$32="PJ")*($J$6:$J$32="Despesa")*($H$6:$H$32&lt;=AX$36)*($I$6:$I$32&gt;=AX$36)*(($C$6:$C$32="Contratado")+($C$6:$C$32="Plano")*Premissas!$B$8)*$G$6:$G$32)</f>
        <v>342300</v>
      </c>
      <c r="AY42" s="60" t="n">
        <f aca="false">SUMPRODUCT(($B$6:$B$32="PJ")*($J$6:$J$32="Despesa")*($H$6:$H$32&lt;=AY$36)*($I$6:$I$32&gt;=AY$36)*(($C$6:$C$32="Contratado")+($C$6:$C$32="Plano")*Premissas!$B$8)*$G$6:$G$32)</f>
        <v>342300</v>
      </c>
      <c r="AZ42" s="60" t="n">
        <f aca="false">SUMPRODUCT(($B$6:$B$32="PJ")*($J$6:$J$32="Despesa")*($H$6:$H$32&lt;=AZ$36)*($I$6:$I$32&gt;=AZ$36)*(($C$6:$C$32="Contratado")+($C$6:$C$32="Plano")*Premissas!$B$8)*$G$6:$G$32)</f>
        <v>342300</v>
      </c>
      <c r="BA42" s="60" t="n">
        <f aca="false">SUMPRODUCT(($B$6:$B$32="PJ")*($J$6:$J$32="Despesa")*($H$6:$H$32&lt;=BA$36)*($I$6:$I$32&gt;=BA$36)*(($C$6:$C$32="Contratado")+($C$6:$C$32="Plano")*Premissas!$B$8)*$G$6:$G$32)</f>
        <v>342300</v>
      </c>
      <c r="BB42" s="60" t="n">
        <f aca="false">SUMPRODUCT(($B$6:$B$32="PJ")*($J$6:$J$32="Despesa")*($H$6:$H$32&lt;=BB$36)*($I$6:$I$32&gt;=BB$36)*(($C$6:$C$32="Contratado")+($C$6:$C$32="Plano")*Premissas!$B$8)*$G$6:$G$32)</f>
        <v>342300</v>
      </c>
      <c r="BC42" s="60" t="n">
        <f aca="false">SUMPRODUCT(($B$6:$B$32="PJ")*($J$6:$J$32="Despesa")*($H$6:$H$32&lt;=BC$36)*($I$6:$I$32&gt;=BC$36)*(($C$6:$C$32="Contratado")+($C$6:$C$32="Plano")*Premissas!$B$8)*$G$6:$G$32)</f>
        <v>342300</v>
      </c>
      <c r="BD42" s="60" t="n">
        <f aca="false">SUMPRODUCT(($B$6:$B$32="PJ")*($J$6:$J$32="Despesa")*($H$6:$H$32&lt;=BD$36)*($I$6:$I$32&gt;=BD$36)*(($C$6:$C$32="Contratado")+($C$6:$C$32="Plano")*Premissas!$B$8)*$G$6:$G$32)</f>
        <v>342300</v>
      </c>
      <c r="BE42" s="60" t="n">
        <f aca="false">SUMPRODUCT(($B$6:$B$32="PJ")*($J$6:$J$32="Despesa")*($H$6:$H$32&lt;=BE$36)*($I$6:$I$32&gt;=BE$36)*(($C$6:$C$32="Contratado")+($C$6:$C$32="Plano")*Premissas!$B$8)*$G$6:$G$32)</f>
        <v>342300</v>
      </c>
      <c r="BF42" s="60" t="n">
        <f aca="false">SUMPRODUCT(($B$6:$B$32="PJ")*($J$6:$J$32="Despesa")*($H$6:$H$32&lt;=BF$36)*($I$6:$I$32&gt;=BF$36)*(($C$6:$C$32="Contratado")+($C$6:$C$32="Plano")*Premissas!$B$8)*$G$6:$G$32)</f>
        <v>342300</v>
      </c>
      <c r="BG42" s="60" t="n">
        <f aca="false">SUMPRODUCT(($B$6:$B$32="PJ")*($J$6:$J$32="Despesa")*($H$6:$H$32&lt;=BG$36)*($I$6:$I$32&gt;=BG$36)*(($C$6:$C$32="Contratado")+($C$6:$C$32="Plano")*Premissas!$B$8)*$G$6:$G$32)</f>
        <v>342300</v>
      </c>
      <c r="BH42" s="60" t="n">
        <f aca="false">SUMPRODUCT(($B$6:$B$32="PJ")*($J$6:$J$32="Despesa")*($H$6:$H$32&lt;=BH$36)*($I$6:$I$32&gt;=BH$36)*(($C$6:$C$32="Contratado")+($C$6:$C$32="Plano")*Premissas!$B$8)*$G$6:$G$32)</f>
        <v>342300</v>
      </c>
      <c r="BI42" s="60" t="n">
        <f aca="false">SUMPRODUCT(($B$6:$B$32="PJ")*($J$6:$J$32="Despesa")*($H$6:$H$32&lt;=BI$36)*($I$6:$I$32&gt;=BI$36)*(($C$6:$C$32="Contratado")+($C$6:$C$32="Plano")*Premissas!$B$8)*$G$6:$G$32)</f>
        <v>342300</v>
      </c>
      <c r="BJ42" s="61" t="n">
        <f aca="false">SUM(B42:BI42)</f>
        <v>8323200</v>
      </c>
    </row>
    <row r="43" customFormat="false" ht="15" hidden="false" customHeight="false" outlineLevel="0" collapsed="false">
      <c r="A43" s="27" t="s">
        <v>631</v>
      </c>
      <c r="B43" s="60" t="n">
        <f aca="false">SUMPRODUCT(($B$6:$B$32="CLT")*($J$6:$J$32="Despesa")*($H$6:$H$32&lt;=B$36)*($I$6:$I$32&gt;=B$36)*(($C$6:$C$32="Contratado")+($C$6:$C$32="Plano")*Premissas!$B$8)*$G$6:$G$32)</f>
        <v>0</v>
      </c>
      <c r="C43" s="60" t="n">
        <f aca="false">SUMPRODUCT(($B$6:$B$32="CLT")*($J$6:$J$32="Despesa")*($H$6:$H$32&lt;=C$36)*($I$6:$I$32&gt;=C$36)*(($C$6:$C$32="Contratado")+($C$6:$C$32="Plano")*Premissas!$B$8)*$G$6:$G$32)</f>
        <v>0</v>
      </c>
      <c r="D43" s="60" t="n">
        <f aca="false">SUMPRODUCT(($B$6:$B$32="CLT")*($J$6:$J$32="Despesa")*($H$6:$H$32&lt;=D$36)*($I$6:$I$32&gt;=D$36)*(($C$6:$C$32="Contratado")+($C$6:$C$32="Plano")*Premissas!$B$8)*$G$6:$G$32)</f>
        <v>0</v>
      </c>
      <c r="E43" s="60" t="n">
        <f aca="false">SUMPRODUCT(($B$6:$B$32="CLT")*($J$6:$J$32="Despesa")*($H$6:$H$32&lt;=E$36)*($I$6:$I$32&gt;=E$36)*(($C$6:$C$32="Contratado")+($C$6:$C$32="Plano")*Premissas!$B$8)*$G$6:$G$32)</f>
        <v>0</v>
      </c>
      <c r="F43" s="60" t="n">
        <f aca="false">SUMPRODUCT(($B$6:$B$32="CLT")*($J$6:$J$32="Despesa")*($H$6:$H$32&lt;=F$36)*($I$6:$I$32&gt;=F$36)*(($C$6:$C$32="Contratado")+($C$6:$C$32="Plano")*Premissas!$B$8)*$G$6:$G$32)</f>
        <v>0</v>
      </c>
      <c r="G43" s="60" t="n">
        <f aca="false">SUMPRODUCT(($B$6:$B$32="CLT")*($J$6:$J$32="Despesa")*($H$6:$H$32&lt;=G$36)*($I$6:$I$32&gt;=G$36)*(($C$6:$C$32="Contratado")+($C$6:$C$32="Plano")*Premissas!$B$8)*$G$6:$G$32)</f>
        <v>0</v>
      </c>
      <c r="H43" s="60" t="n">
        <f aca="false">SUMPRODUCT(($B$6:$B$32="CLT")*($J$6:$J$32="Despesa")*($H$6:$H$32&lt;=H$36)*($I$6:$I$32&gt;=H$36)*(($C$6:$C$32="Contratado")+($C$6:$C$32="Plano")*Premissas!$B$8)*$G$6:$G$32)</f>
        <v>0</v>
      </c>
      <c r="I43" s="60" t="n">
        <f aca="false">SUMPRODUCT(($B$6:$B$32="CLT")*($J$6:$J$32="Despesa")*($H$6:$H$32&lt;=I$36)*($I$6:$I$32&gt;=I$36)*(($C$6:$C$32="Contratado")+($C$6:$C$32="Plano")*Premissas!$B$8)*$G$6:$G$32)</f>
        <v>0</v>
      </c>
      <c r="J43" s="60" t="n">
        <f aca="false">SUMPRODUCT(($B$6:$B$32="CLT")*($J$6:$J$32="Despesa")*($H$6:$H$32&lt;=J$36)*($I$6:$I$32&gt;=J$36)*(($C$6:$C$32="Contratado")+($C$6:$C$32="Plano")*Premissas!$B$8)*$G$6:$G$32)</f>
        <v>0</v>
      </c>
      <c r="K43" s="60" t="n">
        <f aca="false">SUMPRODUCT(($B$6:$B$32="CLT")*($J$6:$J$32="Despesa")*($H$6:$H$32&lt;=K$36)*($I$6:$I$32&gt;=K$36)*(($C$6:$C$32="Contratado")+($C$6:$C$32="Plano")*Premissas!$B$8)*$G$6:$G$32)</f>
        <v>0</v>
      </c>
      <c r="L43" s="60" t="n">
        <f aca="false">SUMPRODUCT(($B$6:$B$32="CLT")*($J$6:$J$32="Despesa")*($H$6:$H$32&lt;=L$36)*($I$6:$I$32&gt;=L$36)*(($C$6:$C$32="Contratado")+($C$6:$C$32="Plano")*Premissas!$B$8)*$G$6:$G$32)</f>
        <v>0</v>
      </c>
      <c r="M43" s="60" t="n">
        <f aca="false">SUMPRODUCT(($B$6:$B$32="CLT")*($J$6:$J$32="Despesa")*($H$6:$H$32&lt;=M$36)*($I$6:$I$32&gt;=M$36)*(($C$6:$C$32="Contratado")+($C$6:$C$32="Plano")*Premissas!$B$8)*$G$6:$G$32)</f>
        <v>0</v>
      </c>
      <c r="N43" s="60" t="n">
        <f aca="false">SUMPRODUCT(($B$6:$B$32="CLT")*($J$6:$J$32="Despesa")*($H$6:$H$32&lt;=N$36)*($I$6:$I$32&gt;=N$36)*(($C$6:$C$32="Contratado")+($C$6:$C$32="Plano")*Premissas!$B$8)*$G$6:$G$32)</f>
        <v>0</v>
      </c>
      <c r="O43" s="60" t="n">
        <f aca="false">SUMPRODUCT(($B$6:$B$32="CLT")*($J$6:$J$32="Despesa")*($H$6:$H$32&lt;=O$36)*($I$6:$I$32&gt;=O$36)*(($C$6:$C$32="Contratado")+($C$6:$C$32="Plano")*Premissas!$B$8)*$G$6:$G$32)</f>
        <v>0</v>
      </c>
      <c r="P43" s="60" t="n">
        <f aca="false">SUMPRODUCT(($B$6:$B$32="CLT")*($J$6:$J$32="Despesa")*($H$6:$H$32&lt;=P$36)*($I$6:$I$32&gt;=P$36)*(($C$6:$C$32="Contratado")+($C$6:$C$32="Plano")*Premissas!$B$8)*$G$6:$G$32)</f>
        <v>0</v>
      </c>
      <c r="Q43" s="60" t="n">
        <f aca="false">SUMPRODUCT(($B$6:$B$32="CLT")*($J$6:$J$32="Despesa")*($H$6:$H$32&lt;=Q$36)*($I$6:$I$32&gt;=Q$36)*(($C$6:$C$32="Contratado")+($C$6:$C$32="Plano")*Premissas!$B$8)*$G$6:$G$32)</f>
        <v>0</v>
      </c>
      <c r="R43" s="60" t="n">
        <f aca="false">SUMPRODUCT(($B$6:$B$32="CLT")*($J$6:$J$32="Despesa")*($H$6:$H$32&lt;=R$36)*($I$6:$I$32&gt;=R$36)*(($C$6:$C$32="Contratado")+($C$6:$C$32="Plano")*Premissas!$B$8)*$G$6:$G$32)</f>
        <v>0</v>
      </c>
      <c r="S43" s="60" t="n">
        <f aca="false">SUMPRODUCT(($B$6:$B$32="CLT")*($J$6:$J$32="Despesa")*($H$6:$H$32&lt;=S$36)*($I$6:$I$32&gt;=S$36)*(($C$6:$C$32="Contratado")+($C$6:$C$32="Plano")*Premissas!$B$8)*$G$6:$G$32)</f>
        <v>0</v>
      </c>
      <c r="T43" s="60" t="n">
        <f aca="false">SUMPRODUCT(($B$6:$B$32="CLT")*($J$6:$J$32="Despesa")*($H$6:$H$32&lt;=T$36)*($I$6:$I$32&gt;=T$36)*(($C$6:$C$32="Contratado")+($C$6:$C$32="Plano")*Premissas!$B$8)*$G$6:$G$32)</f>
        <v>0</v>
      </c>
      <c r="U43" s="60" t="n">
        <f aca="false">SUMPRODUCT(($B$6:$B$32="CLT")*($J$6:$J$32="Despesa")*($H$6:$H$32&lt;=U$36)*($I$6:$I$32&gt;=U$36)*(($C$6:$C$32="Contratado")+($C$6:$C$32="Plano")*Premissas!$B$8)*$G$6:$G$32)</f>
        <v>0</v>
      </c>
      <c r="V43" s="60" t="n">
        <f aca="false">SUMPRODUCT(($B$6:$B$32="CLT")*($J$6:$J$32="Despesa")*($H$6:$H$32&lt;=V$36)*($I$6:$I$32&gt;=V$36)*(($C$6:$C$32="Contratado")+($C$6:$C$32="Plano")*Premissas!$B$8)*$G$6:$G$32)</f>
        <v>0</v>
      </c>
      <c r="W43" s="60" t="n">
        <f aca="false">SUMPRODUCT(($B$6:$B$32="CLT")*($J$6:$J$32="Despesa")*($H$6:$H$32&lt;=W$36)*($I$6:$I$32&gt;=W$36)*(($C$6:$C$32="Contratado")+($C$6:$C$32="Plano")*Premissas!$B$8)*$G$6:$G$32)</f>
        <v>0</v>
      </c>
      <c r="X43" s="60" t="n">
        <f aca="false">SUMPRODUCT(($B$6:$B$32="CLT")*($J$6:$J$32="Despesa")*($H$6:$H$32&lt;=X$36)*($I$6:$I$32&gt;=X$36)*(($C$6:$C$32="Contratado")+($C$6:$C$32="Plano")*Premissas!$B$8)*$G$6:$G$32)</f>
        <v>0</v>
      </c>
      <c r="Y43" s="60" t="n">
        <f aca="false">SUMPRODUCT(($B$6:$B$32="CLT")*($J$6:$J$32="Despesa")*($H$6:$H$32&lt;=Y$36)*($I$6:$I$32&gt;=Y$36)*(($C$6:$C$32="Contratado")+($C$6:$C$32="Plano")*Premissas!$B$8)*$G$6:$G$32)</f>
        <v>0</v>
      </c>
      <c r="Z43" s="60" t="n">
        <f aca="false">SUMPRODUCT(($B$6:$B$32="CLT")*($J$6:$J$32="Despesa")*($H$6:$H$32&lt;=Z$36)*($I$6:$I$32&gt;=Z$36)*(($C$6:$C$32="Contratado")+($C$6:$C$32="Plano")*Premissas!$B$8)*$G$6:$G$32)</f>
        <v>0</v>
      </c>
      <c r="AA43" s="60" t="n">
        <f aca="false">SUMPRODUCT(($B$6:$B$32="CLT")*($J$6:$J$32="Despesa")*($H$6:$H$32&lt;=AA$36)*($I$6:$I$32&gt;=AA$36)*(($C$6:$C$32="Contratado")+($C$6:$C$32="Plano")*Premissas!$B$8)*$G$6:$G$32)</f>
        <v>0</v>
      </c>
      <c r="AB43" s="60" t="n">
        <f aca="false">SUMPRODUCT(($B$6:$B$32="CLT")*($J$6:$J$32="Despesa")*($H$6:$H$32&lt;=AB$36)*($I$6:$I$32&gt;=AB$36)*(($C$6:$C$32="Contratado")+($C$6:$C$32="Plano")*Premissas!$B$8)*$G$6:$G$32)</f>
        <v>0</v>
      </c>
      <c r="AC43" s="60" t="n">
        <f aca="false">SUMPRODUCT(($B$6:$B$32="CLT")*($J$6:$J$32="Despesa")*($H$6:$H$32&lt;=AC$36)*($I$6:$I$32&gt;=AC$36)*(($C$6:$C$32="Contratado")+($C$6:$C$32="Plano")*Premissas!$B$8)*$G$6:$G$32)</f>
        <v>0</v>
      </c>
      <c r="AD43" s="60" t="n">
        <f aca="false">SUMPRODUCT(($B$6:$B$32="CLT")*($J$6:$J$32="Despesa")*($H$6:$H$32&lt;=AD$36)*($I$6:$I$32&gt;=AD$36)*(($C$6:$C$32="Contratado")+($C$6:$C$32="Plano")*Premissas!$B$8)*$G$6:$G$32)</f>
        <v>0</v>
      </c>
      <c r="AE43" s="60" t="n">
        <f aca="false">SUMPRODUCT(($B$6:$B$32="CLT")*($J$6:$J$32="Despesa")*($H$6:$H$32&lt;=AE$36)*($I$6:$I$32&gt;=AE$36)*(($C$6:$C$32="Contratado")+($C$6:$C$32="Plano")*Premissas!$B$8)*$G$6:$G$32)</f>
        <v>0</v>
      </c>
      <c r="AF43" s="60" t="n">
        <f aca="false">SUMPRODUCT(($B$6:$B$32="CLT")*($J$6:$J$32="Despesa")*($H$6:$H$32&lt;=AF$36)*($I$6:$I$32&gt;=AF$36)*(($C$6:$C$32="Contratado")+($C$6:$C$32="Plano")*Premissas!$B$8)*$G$6:$G$32)</f>
        <v>0</v>
      </c>
      <c r="AG43" s="60" t="n">
        <f aca="false">SUMPRODUCT(($B$6:$B$32="CLT")*($J$6:$J$32="Despesa")*($H$6:$H$32&lt;=AG$36)*($I$6:$I$32&gt;=AG$36)*(($C$6:$C$32="Contratado")+($C$6:$C$32="Plano")*Premissas!$B$8)*$G$6:$G$32)</f>
        <v>0</v>
      </c>
      <c r="AH43" s="60" t="n">
        <f aca="false">SUMPRODUCT(($B$6:$B$32="CLT")*($J$6:$J$32="Despesa")*($H$6:$H$32&lt;=AH$36)*($I$6:$I$32&gt;=AH$36)*(($C$6:$C$32="Contratado")+($C$6:$C$32="Plano")*Premissas!$B$8)*$G$6:$G$32)</f>
        <v>0</v>
      </c>
      <c r="AI43" s="60" t="n">
        <f aca="false">SUMPRODUCT(($B$6:$B$32="CLT")*($J$6:$J$32="Despesa")*($H$6:$H$32&lt;=AI$36)*($I$6:$I$32&gt;=AI$36)*(($C$6:$C$32="Contratado")+($C$6:$C$32="Plano")*Premissas!$B$8)*$G$6:$G$32)</f>
        <v>0</v>
      </c>
      <c r="AJ43" s="60" t="n">
        <f aca="false">SUMPRODUCT(($B$6:$B$32="CLT")*($J$6:$J$32="Despesa")*($H$6:$H$32&lt;=AJ$36)*($I$6:$I$32&gt;=AJ$36)*(($C$6:$C$32="Contratado")+($C$6:$C$32="Plano")*Premissas!$B$8)*$G$6:$G$32)</f>
        <v>0</v>
      </c>
      <c r="AK43" s="60" t="n">
        <f aca="false">SUMPRODUCT(($B$6:$B$32="CLT")*($J$6:$J$32="Despesa")*($H$6:$H$32&lt;=AK$36)*($I$6:$I$32&gt;=AK$36)*(($C$6:$C$32="Contratado")+($C$6:$C$32="Plano")*Premissas!$B$8)*$G$6:$G$32)</f>
        <v>0</v>
      </c>
      <c r="AL43" s="60" t="n">
        <f aca="false">SUMPRODUCT(($B$6:$B$32="CLT")*($J$6:$J$32="Despesa")*($H$6:$H$32&lt;=AL$36)*($I$6:$I$32&gt;=AL$36)*(($C$6:$C$32="Contratado")+($C$6:$C$32="Plano")*Premissas!$B$8)*$G$6:$G$32)</f>
        <v>0</v>
      </c>
      <c r="AM43" s="60" t="n">
        <f aca="false">SUMPRODUCT(($B$6:$B$32="CLT")*($J$6:$J$32="Despesa")*($H$6:$H$32&lt;=AM$36)*($I$6:$I$32&gt;=AM$36)*(($C$6:$C$32="Contratado")+($C$6:$C$32="Plano")*Premissas!$B$8)*$G$6:$G$32)</f>
        <v>0</v>
      </c>
      <c r="AN43" s="60" t="n">
        <f aca="false">SUMPRODUCT(($B$6:$B$32="CLT")*($J$6:$J$32="Despesa")*($H$6:$H$32&lt;=AN$36)*($I$6:$I$32&gt;=AN$36)*(($C$6:$C$32="Contratado")+($C$6:$C$32="Plano")*Premissas!$B$8)*$G$6:$G$32)</f>
        <v>0</v>
      </c>
      <c r="AO43" s="60" t="n">
        <f aca="false">SUMPRODUCT(($B$6:$B$32="CLT")*($J$6:$J$32="Despesa")*($H$6:$H$32&lt;=AO$36)*($I$6:$I$32&gt;=AO$36)*(($C$6:$C$32="Contratado")+($C$6:$C$32="Plano")*Premissas!$B$8)*$G$6:$G$32)</f>
        <v>0</v>
      </c>
      <c r="AP43" s="60" t="n">
        <f aca="false">SUMPRODUCT(($B$6:$B$32="CLT")*($J$6:$J$32="Despesa")*($H$6:$H$32&lt;=AP$36)*($I$6:$I$32&gt;=AP$36)*(($C$6:$C$32="Contratado")+($C$6:$C$32="Plano")*Premissas!$B$8)*$G$6:$G$32)</f>
        <v>0</v>
      </c>
      <c r="AQ43" s="60" t="n">
        <f aca="false">SUMPRODUCT(($B$6:$B$32="CLT")*($J$6:$J$32="Despesa")*($H$6:$H$32&lt;=AQ$36)*($I$6:$I$32&gt;=AQ$36)*(($C$6:$C$32="Contratado")+($C$6:$C$32="Plano")*Premissas!$B$8)*$G$6:$G$32)</f>
        <v>0</v>
      </c>
      <c r="AR43" s="60" t="n">
        <f aca="false">SUMPRODUCT(($B$6:$B$32="CLT")*($J$6:$J$32="Despesa")*($H$6:$H$32&lt;=AR$36)*($I$6:$I$32&gt;=AR$36)*(($C$6:$C$32="Contratado")+($C$6:$C$32="Plano")*Premissas!$B$8)*$G$6:$G$32)</f>
        <v>0</v>
      </c>
      <c r="AS43" s="60" t="n">
        <f aca="false">SUMPRODUCT(($B$6:$B$32="CLT")*($J$6:$J$32="Despesa")*($H$6:$H$32&lt;=AS$36)*($I$6:$I$32&gt;=AS$36)*(($C$6:$C$32="Contratado")+($C$6:$C$32="Plano")*Premissas!$B$8)*$G$6:$G$32)</f>
        <v>0</v>
      </c>
      <c r="AT43" s="60" t="n">
        <f aca="false">SUMPRODUCT(($B$6:$B$32="CLT")*($J$6:$J$32="Despesa")*($H$6:$H$32&lt;=AT$36)*($I$6:$I$32&gt;=AT$36)*(($C$6:$C$32="Contratado")+($C$6:$C$32="Plano")*Premissas!$B$8)*$G$6:$G$32)</f>
        <v>0</v>
      </c>
      <c r="AU43" s="60" t="n">
        <f aca="false">SUMPRODUCT(($B$6:$B$32="CLT")*($J$6:$J$32="Despesa")*($H$6:$H$32&lt;=AU$36)*($I$6:$I$32&gt;=AU$36)*(($C$6:$C$32="Contratado")+($C$6:$C$32="Plano")*Premissas!$B$8)*$G$6:$G$32)</f>
        <v>0</v>
      </c>
      <c r="AV43" s="60" t="n">
        <f aca="false">SUMPRODUCT(($B$6:$B$32="CLT")*($J$6:$J$32="Despesa")*($H$6:$H$32&lt;=AV$36)*($I$6:$I$32&gt;=AV$36)*(($C$6:$C$32="Contratado")+($C$6:$C$32="Plano")*Premissas!$B$8)*$G$6:$G$32)</f>
        <v>0</v>
      </c>
      <c r="AW43" s="60" t="n">
        <f aca="false">SUMPRODUCT(($B$6:$B$32="CLT")*($J$6:$J$32="Despesa")*($H$6:$H$32&lt;=AW$36)*($I$6:$I$32&gt;=AW$36)*(($C$6:$C$32="Contratado")+($C$6:$C$32="Plano")*Premissas!$B$8)*$G$6:$G$32)</f>
        <v>0</v>
      </c>
      <c r="AX43" s="60" t="n">
        <f aca="false">SUMPRODUCT(($B$6:$B$32="CLT")*($J$6:$J$32="Despesa")*($H$6:$H$32&lt;=AX$36)*($I$6:$I$32&gt;=AX$36)*(($C$6:$C$32="Contratado")+($C$6:$C$32="Plano")*Premissas!$B$8)*$G$6:$G$32)</f>
        <v>0</v>
      </c>
      <c r="AY43" s="60" t="n">
        <f aca="false">SUMPRODUCT(($B$6:$B$32="CLT")*($J$6:$J$32="Despesa")*($H$6:$H$32&lt;=AY$36)*($I$6:$I$32&gt;=AY$36)*(($C$6:$C$32="Contratado")+($C$6:$C$32="Plano")*Premissas!$B$8)*$G$6:$G$32)</f>
        <v>0</v>
      </c>
      <c r="AZ43" s="60" t="n">
        <f aca="false">SUMPRODUCT(($B$6:$B$32="CLT")*($J$6:$J$32="Despesa")*($H$6:$H$32&lt;=AZ$36)*($I$6:$I$32&gt;=AZ$36)*(($C$6:$C$32="Contratado")+($C$6:$C$32="Plano")*Premissas!$B$8)*$G$6:$G$32)</f>
        <v>0</v>
      </c>
      <c r="BA43" s="60" t="n">
        <f aca="false">SUMPRODUCT(($B$6:$B$32="CLT")*($J$6:$J$32="Despesa")*($H$6:$H$32&lt;=BA$36)*($I$6:$I$32&gt;=BA$36)*(($C$6:$C$32="Contratado")+($C$6:$C$32="Plano")*Premissas!$B$8)*$G$6:$G$32)</f>
        <v>0</v>
      </c>
      <c r="BB43" s="60" t="n">
        <f aca="false">SUMPRODUCT(($B$6:$B$32="CLT")*($J$6:$J$32="Despesa")*($H$6:$H$32&lt;=BB$36)*($I$6:$I$32&gt;=BB$36)*(($C$6:$C$32="Contratado")+($C$6:$C$32="Plano")*Premissas!$B$8)*$G$6:$G$32)</f>
        <v>0</v>
      </c>
      <c r="BC43" s="60" t="n">
        <f aca="false">SUMPRODUCT(($B$6:$B$32="CLT")*($J$6:$J$32="Despesa")*($H$6:$H$32&lt;=BC$36)*($I$6:$I$32&gt;=BC$36)*(($C$6:$C$32="Contratado")+($C$6:$C$32="Plano")*Premissas!$B$8)*$G$6:$G$32)</f>
        <v>0</v>
      </c>
      <c r="BD43" s="60" t="n">
        <f aca="false">SUMPRODUCT(($B$6:$B$32="CLT")*($J$6:$J$32="Despesa")*($H$6:$H$32&lt;=BD$36)*($I$6:$I$32&gt;=BD$36)*(($C$6:$C$32="Contratado")+($C$6:$C$32="Plano")*Premissas!$B$8)*$G$6:$G$32)</f>
        <v>0</v>
      </c>
      <c r="BE43" s="60" t="n">
        <f aca="false">SUMPRODUCT(($B$6:$B$32="CLT")*($J$6:$J$32="Despesa")*($H$6:$H$32&lt;=BE$36)*($I$6:$I$32&gt;=BE$36)*(($C$6:$C$32="Contratado")+($C$6:$C$32="Plano")*Premissas!$B$8)*$G$6:$G$32)</f>
        <v>0</v>
      </c>
      <c r="BF43" s="60" t="n">
        <f aca="false">SUMPRODUCT(($B$6:$B$32="CLT")*($J$6:$J$32="Despesa")*($H$6:$H$32&lt;=BF$36)*($I$6:$I$32&gt;=BF$36)*(($C$6:$C$32="Contratado")+($C$6:$C$32="Plano")*Premissas!$B$8)*$G$6:$G$32)</f>
        <v>0</v>
      </c>
      <c r="BG43" s="60" t="n">
        <f aca="false">SUMPRODUCT(($B$6:$B$32="CLT")*($J$6:$J$32="Despesa")*($H$6:$H$32&lt;=BG$36)*($I$6:$I$32&gt;=BG$36)*(($C$6:$C$32="Contratado")+($C$6:$C$32="Plano")*Premissas!$B$8)*$G$6:$G$32)</f>
        <v>0</v>
      </c>
      <c r="BH43" s="60" t="n">
        <f aca="false">SUMPRODUCT(($B$6:$B$32="CLT")*($J$6:$J$32="Despesa")*($H$6:$H$32&lt;=BH$36)*($I$6:$I$32&gt;=BH$36)*(($C$6:$C$32="Contratado")+($C$6:$C$32="Plano")*Premissas!$B$8)*$G$6:$G$32)</f>
        <v>0</v>
      </c>
      <c r="BI43" s="60" t="n">
        <f aca="false">SUMPRODUCT(($B$6:$B$32="CLT")*($J$6:$J$32="Despesa")*($H$6:$H$32&lt;=BI$36)*($I$6:$I$32&gt;=BI$36)*(($C$6:$C$32="Contratado")+($C$6:$C$32="Plano")*Premissas!$B$8)*$G$6:$G$32)</f>
        <v>0</v>
      </c>
      <c r="BJ43" s="61" t="n">
        <f aca="false">SUM(B43:BI43)</f>
        <v>0</v>
      </c>
    </row>
    <row r="44" customFormat="false" ht="15" hidden="false" customHeight="false" outlineLevel="0" collapsed="false">
      <c r="A44" s="27" t="s">
        <v>632</v>
      </c>
      <c r="B44" s="60" t="n">
        <f aca="false">SUMPRODUCT(($B$6:$B$32="Sócio")*($J$6:$J$32="Despesa")*($H$6:$H$32&lt;=B$36)*($I$6:$I$32&gt;=B$36)*(($C$6:$C$32="Contratado")+($C$6:$C$32="Plano")*Premissas!$B$8)*$G$6:$G$32)</f>
        <v>0</v>
      </c>
      <c r="C44" s="60" t="n">
        <f aca="false">SUMPRODUCT(($B$6:$B$32="Sócio")*($J$6:$J$32="Despesa")*($H$6:$H$32&lt;=C$36)*($I$6:$I$32&gt;=C$36)*(($C$6:$C$32="Contratado")+($C$6:$C$32="Plano")*Premissas!$B$8)*$G$6:$G$32)</f>
        <v>0</v>
      </c>
      <c r="D44" s="60" t="n">
        <f aca="false">SUMPRODUCT(($B$6:$B$32="Sócio")*($J$6:$J$32="Despesa")*($H$6:$H$32&lt;=D$36)*($I$6:$I$32&gt;=D$36)*(($C$6:$C$32="Contratado")+($C$6:$C$32="Plano")*Premissas!$B$8)*$G$6:$G$32)</f>
        <v>0</v>
      </c>
      <c r="E44" s="60" t="n">
        <f aca="false">SUMPRODUCT(($B$6:$B$32="Sócio")*($J$6:$J$32="Despesa")*($H$6:$H$32&lt;=E$36)*($I$6:$I$32&gt;=E$36)*(($C$6:$C$32="Contratado")+($C$6:$C$32="Plano")*Premissas!$B$8)*$G$6:$G$32)</f>
        <v>0</v>
      </c>
      <c r="F44" s="60" t="n">
        <f aca="false">SUMPRODUCT(($B$6:$B$32="Sócio")*($J$6:$J$32="Despesa")*($H$6:$H$32&lt;=F$36)*($I$6:$I$32&gt;=F$36)*(($C$6:$C$32="Contratado")+($C$6:$C$32="Plano")*Premissas!$B$8)*$G$6:$G$32)</f>
        <v>0</v>
      </c>
      <c r="G44" s="60" t="n">
        <f aca="false">SUMPRODUCT(($B$6:$B$32="Sócio")*($J$6:$J$32="Despesa")*($H$6:$H$32&lt;=G$36)*($I$6:$I$32&gt;=G$36)*(($C$6:$C$32="Contratado")+($C$6:$C$32="Plano")*Premissas!$B$8)*$G$6:$G$32)</f>
        <v>0</v>
      </c>
      <c r="H44" s="60" t="n">
        <f aca="false">SUMPRODUCT(($B$6:$B$32="Sócio")*($J$6:$J$32="Despesa")*($H$6:$H$32&lt;=H$36)*($I$6:$I$32&gt;=H$36)*(($C$6:$C$32="Contratado")+($C$6:$C$32="Plano")*Premissas!$B$8)*$G$6:$G$32)</f>
        <v>0</v>
      </c>
      <c r="I44" s="60" t="n">
        <f aca="false">SUMPRODUCT(($B$6:$B$32="Sócio")*($J$6:$J$32="Despesa")*($H$6:$H$32&lt;=I$36)*($I$6:$I$32&gt;=I$36)*(($C$6:$C$32="Contratado")+($C$6:$C$32="Plano")*Premissas!$B$8)*$G$6:$G$32)</f>
        <v>0</v>
      </c>
      <c r="J44" s="60" t="n">
        <f aca="false">SUMPRODUCT(($B$6:$B$32="Sócio")*($J$6:$J$32="Despesa")*($H$6:$H$32&lt;=J$36)*($I$6:$I$32&gt;=J$36)*(($C$6:$C$32="Contratado")+($C$6:$C$32="Plano")*Premissas!$B$8)*$G$6:$G$32)</f>
        <v>0</v>
      </c>
      <c r="K44" s="60" t="n">
        <f aca="false">SUMPRODUCT(($B$6:$B$32="Sócio")*($J$6:$J$32="Despesa")*($H$6:$H$32&lt;=K$36)*($I$6:$I$32&gt;=K$36)*(($C$6:$C$32="Contratado")+($C$6:$C$32="Plano")*Premissas!$B$8)*$G$6:$G$32)</f>
        <v>0</v>
      </c>
      <c r="L44" s="60" t="n">
        <f aca="false">SUMPRODUCT(($B$6:$B$32="Sócio")*($J$6:$J$32="Despesa")*($H$6:$H$32&lt;=L$36)*($I$6:$I$32&gt;=L$36)*(($C$6:$C$32="Contratado")+($C$6:$C$32="Plano")*Premissas!$B$8)*$G$6:$G$32)</f>
        <v>0</v>
      </c>
      <c r="M44" s="60" t="n">
        <f aca="false">SUMPRODUCT(($B$6:$B$32="Sócio")*($J$6:$J$32="Despesa")*($H$6:$H$32&lt;=M$36)*($I$6:$I$32&gt;=M$36)*(($C$6:$C$32="Contratado")+($C$6:$C$32="Plano")*Premissas!$B$8)*$G$6:$G$32)</f>
        <v>0</v>
      </c>
      <c r="N44" s="60" t="n">
        <f aca="false">SUMPRODUCT(($B$6:$B$32="Sócio")*($J$6:$J$32="Despesa")*($H$6:$H$32&lt;=N$36)*($I$6:$I$32&gt;=N$36)*(($C$6:$C$32="Contratado")+($C$6:$C$32="Plano")*Premissas!$B$8)*$G$6:$G$32)</f>
        <v>15000</v>
      </c>
      <c r="O44" s="60" t="n">
        <f aca="false">SUMPRODUCT(($B$6:$B$32="Sócio")*($J$6:$J$32="Despesa")*($H$6:$H$32&lt;=O$36)*($I$6:$I$32&gt;=O$36)*(($C$6:$C$32="Contratado")+($C$6:$C$32="Plano")*Premissas!$B$8)*$G$6:$G$32)</f>
        <v>15000</v>
      </c>
      <c r="P44" s="60" t="n">
        <f aca="false">SUMPRODUCT(($B$6:$B$32="Sócio")*($J$6:$J$32="Despesa")*($H$6:$H$32&lt;=P$36)*($I$6:$I$32&gt;=P$36)*(($C$6:$C$32="Contratado")+($C$6:$C$32="Plano")*Premissas!$B$8)*$G$6:$G$32)</f>
        <v>15000</v>
      </c>
      <c r="Q44" s="60" t="n">
        <f aca="false">SUMPRODUCT(($B$6:$B$32="Sócio")*($J$6:$J$32="Despesa")*($H$6:$H$32&lt;=Q$36)*($I$6:$I$32&gt;=Q$36)*(($C$6:$C$32="Contratado")+($C$6:$C$32="Plano")*Premissas!$B$8)*$G$6:$G$32)</f>
        <v>15000</v>
      </c>
      <c r="R44" s="60" t="n">
        <f aca="false">SUMPRODUCT(($B$6:$B$32="Sócio")*($J$6:$J$32="Despesa")*($H$6:$H$32&lt;=R$36)*($I$6:$I$32&gt;=R$36)*(($C$6:$C$32="Contratado")+($C$6:$C$32="Plano")*Premissas!$B$8)*$G$6:$G$32)</f>
        <v>15000</v>
      </c>
      <c r="S44" s="60" t="n">
        <f aca="false">SUMPRODUCT(($B$6:$B$32="Sócio")*($J$6:$J$32="Despesa")*($H$6:$H$32&lt;=S$36)*($I$6:$I$32&gt;=S$36)*(($C$6:$C$32="Contratado")+($C$6:$C$32="Plano")*Premissas!$B$8)*$G$6:$G$32)</f>
        <v>15000</v>
      </c>
      <c r="T44" s="60" t="n">
        <f aca="false">SUMPRODUCT(($B$6:$B$32="Sócio")*($J$6:$J$32="Despesa")*($H$6:$H$32&lt;=T$36)*($I$6:$I$32&gt;=T$36)*(($C$6:$C$32="Contratado")+($C$6:$C$32="Plano")*Premissas!$B$8)*$G$6:$G$32)</f>
        <v>15000</v>
      </c>
      <c r="U44" s="60" t="n">
        <f aca="false">SUMPRODUCT(($B$6:$B$32="Sócio")*($J$6:$J$32="Despesa")*($H$6:$H$32&lt;=U$36)*($I$6:$I$32&gt;=U$36)*(($C$6:$C$32="Contratado")+($C$6:$C$32="Plano")*Premissas!$B$8)*$G$6:$G$32)</f>
        <v>15000</v>
      </c>
      <c r="V44" s="60" t="n">
        <f aca="false">SUMPRODUCT(($B$6:$B$32="Sócio")*($J$6:$J$32="Despesa")*($H$6:$H$32&lt;=V$36)*($I$6:$I$32&gt;=V$36)*(($C$6:$C$32="Contratado")+($C$6:$C$32="Plano")*Premissas!$B$8)*$G$6:$G$32)</f>
        <v>15000</v>
      </c>
      <c r="W44" s="60" t="n">
        <f aca="false">SUMPRODUCT(($B$6:$B$32="Sócio")*($J$6:$J$32="Despesa")*($H$6:$H$32&lt;=W$36)*($I$6:$I$32&gt;=W$36)*(($C$6:$C$32="Contratado")+($C$6:$C$32="Plano")*Premissas!$B$8)*$G$6:$G$32)</f>
        <v>15000</v>
      </c>
      <c r="X44" s="60" t="n">
        <f aca="false">SUMPRODUCT(($B$6:$B$32="Sócio")*($J$6:$J$32="Despesa")*($H$6:$H$32&lt;=X$36)*($I$6:$I$32&gt;=X$36)*(($C$6:$C$32="Contratado")+($C$6:$C$32="Plano")*Premissas!$B$8)*$G$6:$G$32)</f>
        <v>15000</v>
      </c>
      <c r="Y44" s="60" t="n">
        <f aca="false">SUMPRODUCT(($B$6:$B$32="Sócio")*($J$6:$J$32="Despesa")*($H$6:$H$32&lt;=Y$36)*($I$6:$I$32&gt;=Y$36)*(($C$6:$C$32="Contratado")+($C$6:$C$32="Plano")*Premissas!$B$8)*$G$6:$G$32)</f>
        <v>15000</v>
      </c>
      <c r="Z44" s="60" t="n">
        <f aca="false">SUMPRODUCT(($B$6:$B$32="Sócio")*($J$6:$J$32="Despesa")*($H$6:$H$32&lt;=Z$36)*($I$6:$I$32&gt;=Z$36)*(($C$6:$C$32="Contratado")+($C$6:$C$32="Plano")*Premissas!$B$8)*$G$6:$G$32)</f>
        <v>15000</v>
      </c>
      <c r="AA44" s="60" t="n">
        <f aca="false">SUMPRODUCT(($B$6:$B$32="Sócio")*($J$6:$J$32="Despesa")*($H$6:$H$32&lt;=AA$36)*($I$6:$I$32&gt;=AA$36)*(($C$6:$C$32="Contratado")+($C$6:$C$32="Plano")*Premissas!$B$8)*$G$6:$G$32)</f>
        <v>15000</v>
      </c>
      <c r="AB44" s="60" t="n">
        <f aca="false">SUMPRODUCT(($B$6:$B$32="Sócio")*($J$6:$J$32="Despesa")*($H$6:$H$32&lt;=AB$36)*($I$6:$I$32&gt;=AB$36)*(($C$6:$C$32="Contratado")+($C$6:$C$32="Plano")*Premissas!$B$8)*$G$6:$G$32)</f>
        <v>15000</v>
      </c>
      <c r="AC44" s="60" t="n">
        <f aca="false">SUMPRODUCT(($B$6:$B$32="Sócio")*($J$6:$J$32="Despesa")*($H$6:$H$32&lt;=AC$36)*($I$6:$I$32&gt;=AC$36)*(($C$6:$C$32="Contratado")+($C$6:$C$32="Plano")*Premissas!$B$8)*$G$6:$G$32)</f>
        <v>15000</v>
      </c>
      <c r="AD44" s="60" t="n">
        <f aca="false">SUMPRODUCT(($B$6:$B$32="Sócio")*($J$6:$J$32="Despesa")*($H$6:$H$32&lt;=AD$36)*($I$6:$I$32&gt;=AD$36)*(($C$6:$C$32="Contratado")+($C$6:$C$32="Plano")*Premissas!$B$8)*$G$6:$G$32)</f>
        <v>15000</v>
      </c>
      <c r="AE44" s="60" t="n">
        <f aca="false">SUMPRODUCT(($B$6:$B$32="Sócio")*($J$6:$J$32="Despesa")*($H$6:$H$32&lt;=AE$36)*($I$6:$I$32&gt;=AE$36)*(($C$6:$C$32="Contratado")+($C$6:$C$32="Plano")*Premissas!$B$8)*$G$6:$G$32)</f>
        <v>15000</v>
      </c>
      <c r="AF44" s="60" t="n">
        <f aca="false">SUMPRODUCT(($B$6:$B$32="Sócio")*($J$6:$J$32="Despesa")*($H$6:$H$32&lt;=AF$36)*($I$6:$I$32&gt;=AF$36)*(($C$6:$C$32="Contratado")+($C$6:$C$32="Plano")*Premissas!$B$8)*$G$6:$G$32)</f>
        <v>15000</v>
      </c>
      <c r="AG44" s="60" t="n">
        <f aca="false">SUMPRODUCT(($B$6:$B$32="Sócio")*($J$6:$J$32="Despesa")*($H$6:$H$32&lt;=AG$36)*($I$6:$I$32&gt;=AG$36)*(($C$6:$C$32="Contratado")+($C$6:$C$32="Plano")*Premissas!$B$8)*$G$6:$G$32)</f>
        <v>15000</v>
      </c>
      <c r="AH44" s="60" t="n">
        <f aca="false">SUMPRODUCT(($B$6:$B$32="Sócio")*($J$6:$J$32="Despesa")*($H$6:$H$32&lt;=AH$36)*($I$6:$I$32&gt;=AH$36)*(($C$6:$C$32="Contratado")+($C$6:$C$32="Plano")*Premissas!$B$8)*$G$6:$G$32)</f>
        <v>15000</v>
      </c>
      <c r="AI44" s="60" t="n">
        <f aca="false">SUMPRODUCT(($B$6:$B$32="Sócio")*($J$6:$J$32="Despesa")*($H$6:$H$32&lt;=AI$36)*($I$6:$I$32&gt;=AI$36)*(($C$6:$C$32="Contratado")+($C$6:$C$32="Plano")*Premissas!$B$8)*$G$6:$G$32)</f>
        <v>15000</v>
      </c>
      <c r="AJ44" s="60" t="n">
        <f aca="false">SUMPRODUCT(($B$6:$B$32="Sócio")*($J$6:$J$32="Despesa")*($H$6:$H$32&lt;=AJ$36)*($I$6:$I$32&gt;=AJ$36)*(($C$6:$C$32="Contratado")+($C$6:$C$32="Plano")*Premissas!$B$8)*$G$6:$G$32)</f>
        <v>15000</v>
      </c>
      <c r="AK44" s="60" t="n">
        <f aca="false">SUMPRODUCT(($B$6:$B$32="Sócio")*($J$6:$J$32="Despesa")*($H$6:$H$32&lt;=AK$36)*($I$6:$I$32&gt;=AK$36)*(($C$6:$C$32="Contratado")+($C$6:$C$32="Plano")*Premissas!$B$8)*$G$6:$G$32)</f>
        <v>15000</v>
      </c>
      <c r="AL44" s="60" t="n">
        <f aca="false">SUMPRODUCT(($B$6:$B$32="Sócio")*($J$6:$J$32="Despesa")*($H$6:$H$32&lt;=AL$36)*($I$6:$I$32&gt;=AL$36)*(($C$6:$C$32="Contratado")+($C$6:$C$32="Plano")*Premissas!$B$8)*$G$6:$G$32)</f>
        <v>32000</v>
      </c>
      <c r="AM44" s="60" t="n">
        <f aca="false">SUMPRODUCT(($B$6:$B$32="Sócio")*($J$6:$J$32="Despesa")*($H$6:$H$32&lt;=AM$36)*($I$6:$I$32&gt;=AM$36)*(($C$6:$C$32="Contratado")+($C$6:$C$32="Plano")*Premissas!$B$8)*$G$6:$G$32)</f>
        <v>32000</v>
      </c>
      <c r="AN44" s="60" t="n">
        <f aca="false">SUMPRODUCT(($B$6:$B$32="Sócio")*($J$6:$J$32="Despesa")*($H$6:$H$32&lt;=AN$36)*($I$6:$I$32&gt;=AN$36)*(($C$6:$C$32="Contratado")+($C$6:$C$32="Plano")*Premissas!$B$8)*$G$6:$G$32)</f>
        <v>32000</v>
      </c>
      <c r="AO44" s="60" t="n">
        <f aca="false">SUMPRODUCT(($B$6:$B$32="Sócio")*($J$6:$J$32="Despesa")*($H$6:$H$32&lt;=AO$36)*($I$6:$I$32&gt;=AO$36)*(($C$6:$C$32="Contratado")+($C$6:$C$32="Plano")*Premissas!$B$8)*$G$6:$G$32)</f>
        <v>32000</v>
      </c>
      <c r="AP44" s="60" t="n">
        <f aca="false">SUMPRODUCT(($B$6:$B$32="Sócio")*($J$6:$J$32="Despesa")*($H$6:$H$32&lt;=AP$36)*($I$6:$I$32&gt;=AP$36)*(($C$6:$C$32="Contratado")+($C$6:$C$32="Plano")*Premissas!$B$8)*$G$6:$G$32)</f>
        <v>32000</v>
      </c>
      <c r="AQ44" s="60" t="n">
        <f aca="false">SUMPRODUCT(($B$6:$B$32="Sócio")*($J$6:$J$32="Despesa")*($H$6:$H$32&lt;=AQ$36)*($I$6:$I$32&gt;=AQ$36)*(($C$6:$C$32="Contratado")+($C$6:$C$32="Plano")*Premissas!$B$8)*$G$6:$G$32)</f>
        <v>32000</v>
      </c>
      <c r="AR44" s="60" t="n">
        <f aca="false">SUMPRODUCT(($B$6:$B$32="Sócio")*($J$6:$J$32="Despesa")*($H$6:$H$32&lt;=AR$36)*($I$6:$I$32&gt;=AR$36)*(($C$6:$C$32="Contratado")+($C$6:$C$32="Plano")*Premissas!$B$8)*$G$6:$G$32)</f>
        <v>32000</v>
      </c>
      <c r="AS44" s="60" t="n">
        <f aca="false">SUMPRODUCT(($B$6:$B$32="Sócio")*($J$6:$J$32="Despesa")*($H$6:$H$32&lt;=AS$36)*($I$6:$I$32&gt;=AS$36)*(($C$6:$C$32="Contratado")+($C$6:$C$32="Plano")*Premissas!$B$8)*$G$6:$G$32)</f>
        <v>32000</v>
      </c>
      <c r="AT44" s="60" t="n">
        <f aca="false">SUMPRODUCT(($B$6:$B$32="Sócio")*($J$6:$J$32="Despesa")*($H$6:$H$32&lt;=AT$36)*($I$6:$I$32&gt;=AT$36)*(($C$6:$C$32="Contratado")+($C$6:$C$32="Plano")*Premissas!$B$8)*$G$6:$G$32)</f>
        <v>32000</v>
      </c>
      <c r="AU44" s="60" t="n">
        <f aca="false">SUMPRODUCT(($B$6:$B$32="Sócio")*($J$6:$J$32="Despesa")*($H$6:$H$32&lt;=AU$36)*($I$6:$I$32&gt;=AU$36)*(($C$6:$C$32="Contratado")+($C$6:$C$32="Plano")*Premissas!$B$8)*$G$6:$G$32)</f>
        <v>32000</v>
      </c>
      <c r="AV44" s="60" t="n">
        <f aca="false">SUMPRODUCT(($B$6:$B$32="Sócio")*($J$6:$J$32="Despesa")*($H$6:$H$32&lt;=AV$36)*($I$6:$I$32&gt;=AV$36)*(($C$6:$C$32="Contratado")+($C$6:$C$32="Plano")*Premissas!$B$8)*$G$6:$G$32)</f>
        <v>32000</v>
      </c>
      <c r="AW44" s="60" t="n">
        <f aca="false">SUMPRODUCT(($B$6:$B$32="Sócio")*($J$6:$J$32="Despesa")*($H$6:$H$32&lt;=AW$36)*($I$6:$I$32&gt;=AW$36)*(($C$6:$C$32="Contratado")+($C$6:$C$32="Plano")*Premissas!$B$8)*$G$6:$G$32)</f>
        <v>32000</v>
      </c>
      <c r="AX44" s="60" t="n">
        <f aca="false">SUMPRODUCT(($B$6:$B$32="Sócio")*($J$6:$J$32="Despesa")*($H$6:$H$32&lt;=AX$36)*($I$6:$I$32&gt;=AX$36)*(($C$6:$C$32="Contratado")+($C$6:$C$32="Plano")*Premissas!$B$8)*$G$6:$G$32)</f>
        <v>32000</v>
      </c>
      <c r="AY44" s="60" t="n">
        <f aca="false">SUMPRODUCT(($B$6:$B$32="Sócio")*($J$6:$J$32="Despesa")*($H$6:$H$32&lt;=AY$36)*($I$6:$I$32&gt;=AY$36)*(($C$6:$C$32="Contratado")+($C$6:$C$32="Plano")*Premissas!$B$8)*$G$6:$G$32)</f>
        <v>32000</v>
      </c>
      <c r="AZ44" s="60" t="n">
        <f aca="false">SUMPRODUCT(($B$6:$B$32="Sócio")*($J$6:$J$32="Despesa")*($H$6:$H$32&lt;=AZ$36)*($I$6:$I$32&gt;=AZ$36)*(($C$6:$C$32="Contratado")+($C$6:$C$32="Plano")*Premissas!$B$8)*$G$6:$G$32)</f>
        <v>32000</v>
      </c>
      <c r="BA44" s="60" t="n">
        <f aca="false">SUMPRODUCT(($B$6:$B$32="Sócio")*($J$6:$J$32="Despesa")*($H$6:$H$32&lt;=BA$36)*($I$6:$I$32&gt;=BA$36)*(($C$6:$C$32="Contratado")+($C$6:$C$32="Plano")*Premissas!$B$8)*$G$6:$G$32)</f>
        <v>32000</v>
      </c>
      <c r="BB44" s="60" t="n">
        <f aca="false">SUMPRODUCT(($B$6:$B$32="Sócio")*($J$6:$J$32="Despesa")*($H$6:$H$32&lt;=BB$36)*($I$6:$I$32&gt;=BB$36)*(($C$6:$C$32="Contratado")+($C$6:$C$32="Plano")*Premissas!$B$8)*$G$6:$G$32)</f>
        <v>32000</v>
      </c>
      <c r="BC44" s="60" t="n">
        <f aca="false">SUMPRODUCT(($B$6:$B$32="Sócio")*($J$6:$J$32="Despesa")*($H$6:$H$32&lt;=BC$36)*($I$6:$I$32&gt;=BC$36)*(($C$6:$C$32="Contratado")+($C$6:$C$32="Plano")*Premissas!$B$8)*$G$6:$G$32)</f>
        <v>32000</v>
      </c>
      <c r="BD44" s="60" t="n">
        <f aca="false">SUMPRODUCT(($B$6:$B$32="Sócio")*($J$6:$J$32="Despesa")*($H$6:$H$32&lt;=BD$36)*($I$6:$I$32&gt;=BD$36)*(($C$6:$C$32="Contratado")+($C$6:$C$32="Plano")*Premissas!$B$8)*$G$6:$G$32)</f>
        <v>32000</v>
      </c>
      <c r="BE44" s="60" t="n">
        <f aca="false">SUMPRODUCT(($B$6:$B$32="Sócio")*($J$6:$J$32="Despesa")*($H$6:$H$32&lt;=BE$36)*($I$6:$I$32&gt;=BE$36)*(($C$6:$C$32="Contratado")+($C$6:$C$32="Plano")*Premissas!$B$8)*$G$6:$G$32)</f>
        <v>32000</v>
      </c>
      <c r="BF44" s="60" t="n">
        <f aca="false">SUMPRODUCT(($B$6:$B$32="Sócio")*($J$6:$J$32="Despesa")*($H$6:$H$32&lt;=BF$36)*($I$6:$I$32&gt;=BF$36)*(($C$6:$C$32="Contratado")+($C$6:$C$32="Plano")*Premissas!$B$8)*$G$6:$G$32)</f>
        <v>32000</v>
      </c>
      <c r="BG44" s="60" t="n">
        <f aca="false">SUMPRODUCT(($B$6:$B$32="Sócio")*($J$6:$J$32="Despesa")*($H$6:$H$32&lt;=BG$36)*($I$6:$I$32&gt;=BG$36)*(($C$6:$C$32="Contratado")+($C$6:$C$32="Plano")*Premissas!$B$8)*$G$6:$G$32)</f>
        <v>32000</v>
      </c>
      <c r="BH44" s="60" t="n">
        <f aca="false">SUMPRODUCT(($B$6:$B$32="Sócio")*($J$6:$J$32="Despesa")*($H$6:$H$32&lt;=BH$36)*($I$6:$I$32&gt;=BH$36)*(($C$6:$C$32="Contratado")+($C$6:$C$32="Plano")*Premissas!$B$8)*$G$6:$G$32)</f>
        <v>32000</v>
      </c>
      <c r="BI44" s="60" t="n">
        <f aca="false">SUMPRODUCT(($B$6:$B$32="Sócio")*($J$6:$J$32="Despesa")*($H$6:$H$32&lt;=BI$36)*($I$6:$I$32&gt;=BI$36)*(($C$6:$C$32="Contratado")+($C$6:$C$32="Plano")*Premissas!$B$8)*$G$6:$G$32)</f>
        <v>32000</v>
      </c>
      <c r="BJ44" s="61" t="n">
        <f aca="false">SUM(B44:BI44)</f>
        <v>1128000</v>
      </c>
    </row>
    <row r="45" customFormat="false" ht="15" hidden="false" customHeight="false" outlineLevel="0" collapsed="false">
      <c r="A45" s="62" t="s">
        <v>633</v>
      </c>
      <c r="B45" s="61" t="n">
        <f aca="false">SUMPRODUCT(($J$6:$J$32="Despesa")*($H$6:$H$32&lt;=B$36)*($I$6:$I$32&gt;=B$36)*(($C$6:$C$32="Contratado")+($C$6:$C$32="Plano")*Premissas!$B$8)*$G$6:$G$32)</f>
        <v>0</v>
      </c>
      <c r="C45" s="61" t="n">
        <f aca="false">SUMPRODUCT(($J$6:$J$32="Despesa")*($H$6:$H$32&lt;=C$36)*($I$6:$I$32&gt;=C$36)*(($C$6:$C$32="Contratado")+($C$6:$C$32="Plano")*Premissas!$B$8)*$G$6:$G$32)</f>
        <v>0</v>
      </c>
      <c r="D45" s="61" t="n">
        <f aca="false">SUMPRODUCT(($J$6:$J$32="Despesa")*($H$6:$H$32&lt;=D$36)*($I$6:$I$32&gt;=D$36)*(($C$6:$C$32="Contratado")+($C$6:$C$32="Plano")*Premissas!$B$8)*$G$6:$G$32)</f>
        <v>0</v>
      </c>
      <c r="E45" s="61" t="n">
        <f aca="false">SUMPRODUCT(($J$6:$J$32="Despesa")*($H$6:$H$32&lt;=E$36)*($I$6:$I$32&gt;=E$36)*(($C$6:$C$32="Contratado")+($C$6:$C$32="Plano")*Premissas!$B$8)*$G$6:$G$32)</f>
        <v>0</v>
      </c>
      <c r="F45" s="61" t="n">
        <f aca="false">SUMPRODUCT(($J$6:$J$32="Despesa")*($H$6:$H$32&lt;=F$36)*($I$6:$I$32&gt;=F$36)*(($C$6:$C$32="Contratado")+($C$6:$C$32="Plano")*Premissas!$B$8)*$G$6:$G$32)</f>
        <v>0</v>
      </c>
      <c r="G45" s="61" t="n">
        <f aca="false">SUMPRODUCT(($J$6:$J$32="Despesa")*($H$6:$H$32&lt;=G$36)*($I$6:$I$32&gt;=G$36)*(($C$6:$C$32="Contratado")+($C$6:$C$32="Plano")*Premissas!$B$8)*$G$6:$G$32)</f>
        <v>0</v>
      </c>
      <c r="H45" s="61" t="n">
        <f aca="false">SUMPRODUCT(($J$6:$J$32="Despesa")*($H$6:$H$32&lt;=H$36)*($I$6:$I$32&gt;=H$36)*(($C$6:$C$32="Contratado")+($C$6:$C$32="Plano")*Premissas!$B$8)*$G$6:$G$32)</f>
        <v>0</v>
      </c>
      <c r="I45" s="61" t="n">
        <f aca="false">SUMPRODUCT(($J$6:$J$32="Despesa")*($H$6:$H$32&lt;=I$36)*($I$6:$I$32&gt;=I$36)*(($C$6:$C$32="Contratado")+($C$6:$C$32="Plano")*Premissas!$B$8)*$G$6:$G$32)</f>
        <v>0</v>
      </c>
      <c r="J45" s="61" t="n">
        <f aca="false">SUMPRODUCT(($J$6:$J$32="Despesa")*($H$6:$H$32&lt;=J$36)*($I$6:$I$32&gt;=J$36)*(($C$6:$C$32="Contratado")+($C$6:$C$32="Plano")*Premissas!$B$8)*$G$6:$G$32)</f>
        <v>0</v>
      </c>
      <c r="K45" s="61" t="n">
        <f aca="false">SUMPRODUCT(($J$6:$J$32="Despesa")*($H$6:$H$32&lt;=K$36)*($I$6:$I$32&gt;=K$36)*(($C$6:$C$32="Contratado")+($C$6:$C$32="Plano")*Premissas!$B$8)*$G$6:$G$32)</f>
        <v>0</v>
      </c>
      <c r="L45" s="61" t="n">
        <f aca="false">SUMPRODUCT(($J$6:$J$32="Despesa")*($H$6:$H$32&lt;=L$36)*($I$6:$I$32&gt;=L$36)*(($C$6:$C$32="Contratado")+($C$6:$C$32="Plano")*Premissas!$B$8)*$G$6:$G$32)</f>
        <v>0</v>
      </c>
      <c r="M45" s="61" t="n">
        <f aca="false">SUMPRODUCT(($J$6:$J$32="Despesa")*($H$6:$H$32&lt;=M$36)*($I$6:$I$32&gt;=M$36)*(($C$6:$C$32="Contratado")+($C$6:$C$32="Plano")*Premissas!$B$8)*$G$6:$G$32)</f>
        <v>0</v>
      </c>
      <c r="N45" s="61" t="n">
        <f aca="false">SUMPRODUCT(($J$6:$J$32="Despesa")*($H$6:$H$32&lt;=N$36)*($I$6:$I$32&gt;=N$36)*(($C$6:$C$32="Contratado")+($C$6:$C$32="Plano")*Premissas!$B$8)*$G$6:$G$32)</f>
        <v>42500</v>
      </c>
      <c r="O45" s="61" t="n">
        <f aca="false">SUMPRODUCT(($J$6:$J$32="Despesa")*($H$6:$H$32&lt;=O$36)*($I$6:$I$32&gt;=O$36)*(($C$6:$C$32="Contratado")+($C$6:$C$32="Plano")*Premissas!$B$8)*$G$6:$G$32)</f>
        <v>42500</v>
      </c>
      <c r="P45" s="61" t="n">
        <f aca="false">SUMPRODUCT(($J$6:$J$32="Despesa")*($H$6:$H$32&lt;=P$36)*($I$6:$I$32&gt;=P$36)*(($C$6:$C$32="Contratado")+($C$6:$C$32="Plano")*Premissas!$B$8)*$G$6:$G$32)</f>
        <v>42500</v>
      </c>
      <c r="Q45" s="61" t="n">
        <f aca="false">SUMPRODUCT(($J$6:$J$32="Despesa")*($H$6:$H$32&lt;=Q$36)*($I$6:$I$32&gt;=Q$36)*(($C$6:$C$32="Contratado")+($C$6:$C$32="Plano")*Premissas!$B$8)*$G$6:$G$32)</f>
        <v>42500</v>
      </c>
      <c r="R45" s="61" t="n">
        <f aca="false">SUMPRODUCT(($J$6:$J$32="Despesa")*($H$6:$H$32&lt;=R$36)*($I$6:$I$32&gt;=R$36)*(($C$6:$C$32="Contratado")+($C$6:$C$32="Plano")*Premissas!$B$8)*$G$6:$G$32)</f>
        <v>42500</v>
      </c>
      <c r="S45" s="61" t="n">
        <f aca="false">SUMPRODUCT(($J$6:$J$32="Despesa")*($H$6:$H$32&lt;=S$36)*($I$6:$I$32&gt;=S$36)*(($C$6:$C$32="Contratado")+($C$6:$C$32="Plano")*Premissas!$B$8)*$G$6:$G$32)</f>
        <v>42500</v>
      </c>
      <c r="T45" s="61" t="n">
        <f aca="false">SUMPRODUCT(($J$6:$J$32="Despesa")*($H$6:$H$32&lt;=T$36)*($I$6:$I$32&gt;=T$36)*(($C$6:$C$32="Contratado")+($C$6:$C$32="Plano")*Premissas!$B$8)*$G$6:$G$32)</f>
        <v>42500</v>
      </c>
      <c r="U45" s="61" t="n">
        <f aca="false">SUMPRODUCT(($J$6:$J$32="Despesa")*($H$6:$H$32&lt;=U$36)*($I$6:$I$32&gt;=U$36)*(($C$6:$C$32="Contratado")+($C$6:$C$32="Plano")*Premissas!$B$8)*$G$6:$G$32)</f>
        <v>42500</v>
      </c>
      <c r="V45" s="61" t="n">
        <f aca="false">SUMPRODUCT(($J$6:$J$32="Despesa")*($H$6:$H$32&lt;=V$36)*($I$6:$I$32&gt;=V$36)*(($C$6:$C$32="Contratado")+($C$6:$C$32="Plano")*Premissas!$B$8)*$G$6:$G$32)</f>
        <v>42500</v>
      </c>
      <c r="W45" s="61" t="n">
        <f aca="false">SUMPRODUCT(($J$6:$J$32="Despesa")*($H$6:$H$32&lt;=W$36)*($I$6:$I$32&gt;=W$36)*(($C$6:$C$32="Contratado")+($C$6:$C$32="Plano")*Premissas!$B$8)*$G$6:$G$32)</f>
        <v>42500</v>
      </c>
      <c r="X45" s="61" t="n">
        <f aca="false">SUMPRODUCT(($J$6:$J$32="Despesa")*($H$6:$H$32&lt;=X$36)*($I$6:$I$32&gt;=X$36)*(($C$6:$C$32="Contratado")+($C$6:$C$32="Plano")*Premissas!$B$8)*$G$6:$G$32)</f>
        <v>42500</v>
      </c>
      <c r="Y45" s="61" t="n">
        <f aca="false">SUMPRODUCT(($J$6:$J$32="Despesa")*($H$6:$H$32&lt;=Y$36)*($I$6:$I$32&gt;=Y$36)*(($C$6:$C$32="Contratado")+($C$6:$C$32="Plano")*Premissas!$B$8)*$G$6:$G$32)</f>
        <v>42500</v>
      </c>
      <c r="Z45" s="61" t="n">
        <f aca="false">SUMPRODUCT(($J$6:$J$32="Despesa")*($H$6:$H$32&lt;=Z$36)*($I$6:$I$32&gt;=Z$36)*(($C$6:$C$32="Contratado")+($C$6:$C$32="Plano")*Premissas!$B$8)*$G$6:$G$32)</f>
        <v>117500</v>
      </c>
      <c r="AA45" s="61" t="n">
        <f aca="false">SUMPRODUCT(($J$6:$J$32="Despesa")*($H$6:$H$32&lt;=AA$36)*($I$6:$I$32&gt;=AA$36)*(($C$6:$C$32="Contratado")+($C$6:$C$32="Plano")*Premissas!$B$8)*$G$6:$G$32)</f>
        <v>117500</v>
      </c>
      <c r="AB45" s="61" t="n">
        <f aca="false">SUMPRODUCT(($J$6:$J$32="Despesa")*($H$6:$H$32&lt;=AB$36)*($I$6:$I$32&gt;=AB$36)*(($C$6:$C$32="Contratado")+($C$6:$C$32="Plano")*Premissas!$B$8)*$G$6:$G$32)</f>
        <v>117500</v>
      </c>
      <c r="AC45" s="61" t="n">
        <f aca="false">SUMPRODUCT(($J$6:$J$32="Despesa")*($H$6:$H$32&lt;=AC$36)*($I$6:$I$32&gt;=AC$36)*(($C$6:$C$32="Contratado")+($C$6:$C$32="Plano")*Premissas!$B$8)*$G$6:$G$32)</f>
        <v>117500</v>
      </c>
      <c r="AD45" s="61" t="n">
        <f aca="false">SUMPRODUCT(($J$6:$J$32="Despesa")*($H$6:$H$32&lt;=AD$36)*($I$6:$I$32&gt;=AD$36)*(($C$6:$C$32="Contratado")+($C$6:$C$32="Plano")*Premissas!$B$8)*$G$6:$G$32)</f>
        <v>117500</v>
      </c>
      <c r="AE45" s="61" t="n">
        <f aca="false">SUMPRODUCT(($J$6:$J$32="Despesa")*($H$6:$H$32&lt;=AE$36)*($I$6:$I$32&gt;=AE$36)*(($C$6:$C$32="Contratado")+($C$6:$C$32="Plano")*Premissas!$B$8)*$G$6:$G$32)</f>
        <v>117500</v>
      </c>
      <c r="AF45" s="61" t="n">
        <f aca="false">SUMPRODUCT(($J$6:$J$32="Despesa")*($H$6:$H$32&lt;=AF$36)*($I$6:$I$32&gt;=AF$36)*(($C$6:$C$32="Contratado")+($C$6:$C$32="Plano")*Premissas!$B$8)*$G$6:$G$32)</f>
        <v>117500</v>
      </c>
      <c r="AG45" s="61" t="n">
        <f aca="false">SUMPRODUCT(($J$6:$J$32="Despesa")*($H$6:$H$32&lt;=AG$36)*($I$6:$I$32&gt;=AG$36)*(($C$6:$C$32="Contratado")+($C$6:$C$32="Plano")*Premissas!$B$8)*$G$6:$G$32)</f>
        <v>117500</v>
      </c>
      <c r="AH45" s="61" t="n">
        <f aca="false">SUMPRODUCT(($J$6:$J$32="Despesa")*($H$6:$H$32&lt;=AH$36)*($I$6:$I$32&gt;=AH$36)*(($C$6:$C$32="Contratado")+($C$6:$C$32="Plano")*Premissas!$B$8)*$G$6:$G$32)</f>
        <v>117500</v>
      </c>
      <c r="AI45" s="61" t="n">
        <f aca="false">SUMPRODUCT(($J$6:$J$32="Despesa")*($H$6:$H$32&lt;=AI$36)*($I$6:$I$32&gt;=AI$36)*(($C$6:$C$32="Contratado")+($C$6:$C$32="Plano")*Premissas!$B$8)*$G$6:$G$32)</f>
        <v>117500</v>
      </c>
      <c r="AJ45" s="61" t="n">
        <f aca="false">SUMPRODUCT(($J$6:$J$32="Despesa")*($H$6:$H$32&lt;=AJ$36)*($I$6:$I$32&gt;=AJ$36)*(($C$6:$C$32="Contratado")+($C$6:$C$32="Plano")*Premissas!$B$8)*$G$6:$G$32)</f>
        <v>117500</v>
      </c>
      <c r="AK45" s="61" t="n">
        <f aca="false">SUMPRODUCT(($J$6:$J$32="Despesa")*($H$6:$H$32&lt;=AK$36)*($I$6:$I$32&gt;=AK$36)*(($C$6:$C$32="Contratado")+($C$6:$C$32="Plano")*Premissas!$B$8)*$G$6:$G$32)</f>
        <v>117500</v>
      </c>
      <c r="AL45" s="61" t="n">
        <f aca="false">SUMPRODUCT(($J$6:$J$32="Despesa")*($H$6:$H$32&lt;=AL$36)*($I$6:$I$32&gt;=AL$36)*(($C$6:$C$32="Contratado")+($C$6:$C$32="Plano")*Premissas!$B$8)*$G$6:$G$32)</f>
        <v>253300</v>
      </c>
      <c r="AM45" s="61" t="n">
        <f aca="false">SUMPRODUCT(($J$6:$J$32="Despesa")*($H$6:$H$32&lt;=AM$36)*($I$6:$I$32&gt;=AM$36)*(($C$6:$C$32="Contratado")+($C$6:$C$32="Plano")*Premissas!$B$8)*$G$6:$G$32)</f>
        <v>253300</v>
      </c>
      <c r="AN45" s="61" t="n">
        <f aca="false">SUMPRODUCT(($J$6:$J$32="Despesa")*($H$6:$H$32&lt;=AN$36)*($I$6:$I$32&gt;=AN$36)*(($C$6:$C$32="Contratado")+($C$6:$C$32="Plano")*Premissas!$B$8)*$G$6:$G$32)</f>
        <v>253300</v>
      </c>
      <c r="AO45" s="61" t="n">
        <f aca="false">SUMPRODUCT(($J$6:$J$32="Despesa")*($H$6:$H$32&lt;=AO$36)*($I$6:$I$32&gt;=AO$36)*(($C$6:$C$32="Contratado")+($C$6:$C$32="Plano")*Premissas!$B$8)*$G$6:$G$32)</f>
        <v>253300</v>
      </c>
      <c r="AP45" s="61" t="n">
        <f aca="false">SUMPRODUCT(($J$6:$J$32="Despesa")*($H$6:$H$32&lt;=AP$36)*($I$6:$I$32&gt;=AP$36)*(($C$6:$C$32="Contratado")+($C$6:$C$32="Plano")*Premissas!$B$8)*$G$6:$G$32)</f>
        <v>253300</v>
      </c>
      <c r="AQ45" s="61" t="n">
        <f aca="false">SUMPRODUCT(($J$6:$J$32="Despesa")*($H$6:$H$32&lt;=AQ$36)*($I$6:$I$32&gt;=AQ$36)*(($C$6:$C$32="Contratado")+($C$6:$C$32="Plano")*Premissas!$B$8)*$G$6:$G$32)</f>
        <v>253300</v>
      </c>
      <c r="AR45" s="61" t="n">
        <f aca="false">SUMPRODUCT(($J$6:$J$32="Despesa")*($H$6:$H$32&lt;=AR$36)*($I$6:$I$32&gt;=AR$36)*(($C$6:$C$32="Contratado")+($C$6:$C$32="Plano")*Premissas!$B$8)*$G$6:$G$32)</f>
        <v>253300</v>
      </c>
      <c r="AS45" s="61" t="n">
        <f aca="false">SUMPRODUCT(($J$6:$J$32="Despesa")*($H$6:$H$32&lt;=AS$36)*($I$6:$I$32&gt;=AS$36)*(($C$6:$C$32="Contratado")+($C$6:$C$32="Plano")*Premissas!$B$8)*$G$6:$G$32)</f>
        <v>253300</v>
      </c>
      <c r="AT45" s="61" t="n">
        <f aca="false">SUMPRODUCT(($J$6:$J$32="Despesa")*($H$6:$H$32&lt;=AT$36)*($I$6:$I$32&gt;=AT$36)*(($C$6:$C$32="Contratado")+($C$6:$C$32="Plano")*Premissas!$B$8)*$G$6:$G$32)</f>
        <v>253300</v>
      </c>
      <c r="AU45" s="61" t="n">
        <f aca="false">SUMPRODUCT(($J$6:$J$32="Despesa")*($H$6:$H$32&lt;=AU$36)*($I$6:$I$32&gt;=AU$36)*(($C$6:$C$32="Contratado")+($C$6:$C$32="Plano")*Premissas!$B$8)*$G$6:$G$32)</f>
        <v>253300</v>
      </c>
      <c r="AV45" s="61" t="n">
        <f aca="false">SUMPRODUCT(($J$6:$J$32="Despesa")*($H$6:$H$32&lt;=AV$36)*($I$6:$I$32&gt;=AV$36)*(($C$6:$C$32="Contratado")+($C$6:$C$32="Plano")*Premissas!$B$8)*$G$6:$G$32)</f>
        <v>253300</v>
      </c>
      <c r="AW45" s="61" t="n">
        <f aca="false">SUMPRODUCT(($J$6:$J$32="Despesa")*($H$6:$H$32&lt;=AW$36)*($I$6:$I$32&gt;=AW$36)*(($C$6:$C$32="Contratado")+($C$6:$C$32="Plano")*Premissas!$B$8)*$G$6:$G$32)</f>
        <v>253300</v>
      </c>
      <c r="AX45" s="61" t="n">
        <f aca="false">SUMPRODUCT(($J$6:$J$32="Despesa")*($H$6:$H$32&lt;=AX$36)*($I$6:$I$32&gt;=AX$36)*(($C$6:$C$32="Contratado")+($C$6:$C$32="Plano")*Premissas!$B$8)*$G$6:$G$32)</f>
        <v>374300</v>
      </c>
      <c r="AY45" s="61" t="n">
        <f aca="false">SUMPRODUCT(($J$6:$J$32="Despesa")*($H$6:$H$32&lt;=AY$36)*($I$6:$I$32&gt;=AY$36)*(($C$6:$C$32="Contratado")+($C$6:$C$32="Plano")*Premissas!$B$8)*$G$6:$G$32)</f>
        <v>374300</v>
      </c>
      <c r="AZ45" s="61" t="n">
        <f aca="false">SUMPRODUCT(($J$6:$J$32="Despesa")*($H$6:$H$32&lt;=AZ$36)*($I$6:$I$32&gt;=AZ$36)*(($C$6:$C$32="Contratado")+($C$6:$C$32="Plano")*Premissas!$B$8)*$G$6:$G$32)</f>
        <v>374300</v>
      </c>
      <c r="BA45" s="61" t="n">
        <f aca="false">SUMPRODUCT(($J$6:$J$32="Despesa")*($H$6:$H$32&lt;=BA$36)*($I$6:$I$32&gt;=BA$36)*(($C$6:$C$32="Contratado")+($C$6:$C$32="Plano")*Premissas!$B$8)*$G$6:$G$32)</f>
        <v>374300</v>
      </c>
      <c r="BB45" s="61" t="n">
        <f aca="false">SUMPRODUCT(($J$6:$J$32="Despesa")*($H$6:$H$32&lt;=BB$36)*($I$6:$I$32&gt;=BB$36)*(($C$6:$C$32="Contratado")+($C$6:$C$32="Plano")*Premissas!$B$8)*$G$6:$G$32)</f>
        <v>374300</v>
      </c>
      <c r="BC45" s="61" t="n">
        <f aca="false">SUMPRODUCT(($J$6:$J$32="Despesa")*($H$6:$H$32&lt;=BC$36)*($I$6:$I$32&gt;=BC$36)*(($C$6:$C$32="Contratado")+($C$6:$C$32="Plano")*Premissas!$B$8)*$G$6:$G$32)</f>
        <v>374300</v>
      </c>
      <c r="BD45" s="61" t="n">
        <f aca="false">SUMPRODUCT(($J$6:$J$32="Despesa")*($H$6:$H$32&lt;=BD$36)*($I$6:$I$32&gt;=BD$36)*(($C$6:$C$32="Contratado")+($C$6:$C$32="Plano")*Premissas!$B$8)*$G$6:$G$32)</f>
        <v>374300</v>
      </c>
      <c r="BE45" s="61" t="n">
        <f aca="false">SUMPRODUCT(($J$6:$J$32="Despesa")*($H$6:$H$32&lt;=BE$36)*($I$6:$I$32&gt;=BE$36)*(($C$6:$C$32="Contratado")+($C$6:$C$32="Plano")*Premissas!$B$8)*$G$6:$G$32)</f>
        <v>374300</v>
      </c>
      <c r="BF45" s="61" t="n">
        <f aca="false">SUMPRODUCT(($J$6:$J$32="Despesa")*($H$6:$H$32&lt;=BF$36)*($I$6:$I$32&gt;=BF$36)*(($C$6:$C$32="Contratado")+($C$6:$C$32="Plano")*Premissas!$B$8)*$G$6:$G$32)</f>
        <v>374300</v>
      </c>
      <c r="BG45" s="61" t="n">
        <f aca="false">SUMPRODUCT(($J$6:$J$32="Despesa")*($H$6:$H$32&lt;=BG$36)*($I$6:$I$32&gt;=BG$36)*(($C$6:$C$32="Contratado")+($C$6:$C$32="Plano")*Premissas!$B$8)*$G$6:$G$32)</f>
        <v>374300</v>
      </c>
      <c r="BH45" s="61" t="n">
        <f aca="false">SUMPRODUCT(($J$6:$J$32="Despesa")*($H$6:$H$32&lt;=BH$36)*($I$6:$I$32&gt;=BH$36)*(($C$6:$C$32="Contratado")+($C$6:$C$32="Plano")*Premissas!$B$8)*$G$6:$G$32)</f>
        <v>374300</v>
      </c>
      <c r="BI45" s="61" t="n">
        <f aca="false">SUMPRODUCT(($J$6:$J$32="Despesa")*($H$6:$H$32&lt;=BI$36)*($I$6:$I$32&gt;=BI$36)*(($C$6:$C$32="Contratado")+($C$6:$C$32="Plano")*Premissas!$B$8)*$G$6:$G$32)</f>
        <v>374300</v>
      </c>
      <c r="BJ45" s="61" t="n">
        <f aca="false">SUM(B45:BI45)</f>
        <v>9451200</v>
      </c>
    </row>
    <row r="46" customFormat="false" ht="15" hidden="false" customHeight="false" outlineLevel="0" collapsed="false">
      <c r="A46" s="66" t="s">
        <v>634</v>
      </c>
      <c r="B46" s="67" t="n">
        <f aca="false">SUMPRODUCT(($J$6:$J$32="Investimento")*($H$6:$H$32&lt;=B$36)*($I$6:$I$32&gt;=B$36)*(($C$6:$C$32="Contratado")+($C$6:$C$32="Plano")*Premissas!$B$8)*$G$6:$G$32)</f>
        <v>0</v>
      </c>
      <c r="C46" s="67" t="n">
        <f aca="false">SUMPRODUCT(($J$6:$J$32="Investimento")*($H$6:$H$32&lt;=C$36)*($I$6:$I$32&gt;=C$36)*(($C$6:$C$32="Contratado")+($C$6:$C$32="Plano")*Premissas!$B$8)*$G$6:$G$32)</f>
        <v>0</v>
      </c>
      <c r="D46" s="67" t="n">
        <f aca="false">SUMPRODUCT(($J$6:$J$32="Investimento")*($H$6:$H$32&lt;=D$36)*($I$6:$I$32&gt;=D$36)*(($C$6:$C$32="Contratado")+($C$6:$C$32="Plano")*Premissas!$B$8)*$G$6:$G$32)</f>
        <v>0</v>
      </c>
      <c r="E46" s="67" t="n">
        <f aca="false">SUMPRODUCT(($J$6:$J$32="Investimento")*($H$6:$H$32&lt;=E$36)*($I$6:$I$32&gt;=E$36)*(($C$6:$C$32="Contratado")+($C$6:$C$32="Plano")*Premissas!$B$8)*$G$6:$G$32)</f>
        <v>0</v>
      </c>
      <c r="F46" s="67" t="n">
        <f aca="false">SUMPRODUCT(($J$6:$J$32="Investimento")*($H$6:$H$32&lt;=F$36)*($I$6:$I$32&gt;=F$36)*(($C$6:$C$32="Contratado")+($C$6:$C$32="Plano")*Premissas!$B$8)*$G$6:$G$32)</f>
        <v>0</v>
      </c>
      <c r="G46" s="67" t="n">
        <f aca="false">SUMPRODUCT(($J$6:$J$32="Investimento")*($H$6:$H$32&lt;=G$36)*($I$6:$I$32&gt;=G$36)*(($C$6:$C$32="Contratado")+($C$6:$C$32="Plano")*Premissas!$B$8)*$G$6:$G$32)</f>
        <v>0</v>
      </c>
      <c r="H46" s="67" t="n">
        <f aca="false">SUMPRODUCT(($J$6:$J$32="Investimento")*($H$6:$H$32&lt;=H$36)*($I$6:$I$32&gt;=H$36)*(($C$6:$C$32="Contratado")+($C$6:$C$32="Plano")*Premissas!$B$8)*$G$6:$G$32)</f>
        <v>0</v>
      </c>
      <c r="I46" s="67" t="n">
        <f aca="false">SUMPRODUCT(($J$6:$J$32="Investimento")*($H$6:$H$32&lt;=I$36)*($I$6:$I$32&gt;=I$36)*(($C$6:$C$32="Contratado")+($C$6:$C$32="Plano")*Premissas!$B$8)*$G$6:$G$32)</f>
        <v>0</v>
      </c>
      <c r="J46" s="67" t="n">
        <f aca="false">SUMPRODUCT(($J$6:$J$32="Investimento")*($H$6:$H$32&lt;=J$36)*($I$6:$I$32&gt;=J$36)*(($C$6:$C$32="Contratado")+($C$6:$C$32="Plano")*Premissas!$B$8)*$G$6:$G$32)</f>
        <v>10500</v>
      </c>
      <c r="K46" s="67" t="n">
        <f aca="false">SUMPRODUCT(($J$6:$J$32="Investimento")*($H$6:$H$32&lt;=K$36)*($I$6:$I$32&gt;=K$36)*(($C$6:$C$32="Contratado")+($C$6:$C$32="Plano")*Premissas!$B$8)*$G$6:$G$32)</f>
        <v>10500</v>
      </c>
      <c r="L46" s="67" t="n">
        <f aca="false">SUMPRODUCT(($J$6:$J$32="Investimento")*($H$6:$H$32&lt;=L$36)*($I$6:$I$32&gt;=L$36)*(($C$6:$C$32="Contratado")+($C$6:$C$32="Plano")*Premissas!$B$8)*$G$6:$G$32)</f>
        <v>0</v>
      </c>
      <c r="M46" s="67" t="n">
        <f aca="false">SUMPRODUCT(($J$6:$J$32="Investimento")*($H$6:$H$32&lt;=M$36)*($I$6:$I$32&gt;=M$36)*(($C$6:$C$32="Contratado")+($C$6:$C$32="Plano")*Premissas!$B$8)*$G$6:$G$32)</f>
        <v>0</v>
      </c>
      <c r="N46" s="67" t="n">
        <f aca="false">SUMPRODUCT(($J$6:$J$32="Investimento")*($H$6:$H$32&lt;=N$36)*($I$6:$I$32&gt;=N$36)*(($C$6:$C$32="Contratado")+($C$6:$C$32="Plano")*Premissas!$B$8)*$G$6:$G$32)</f>
        <v>0</v>
      </c>
      <c r="O46" s="67" t="n">
        <f aca="false">SUMPRODUCT(($J$6:$J$32="Investimento")*($H$6:$H$32&lt;=O$36)*($I$6:$I$32&gt;=O$36)*(($C$6:$C$32="Contratado")+($C$6:$C$32="Plano")*Premissas!$B$8)*$G$6:$G$32)</f>
        <v>0</v>
      </c>
      <c r="P46" s="67" t="n">
        <f aca="false">SUMPRODUCT(($J$6:$J$32="Investimento")*($H$6:$H$32&lt;=P$36)*($I$6:$I$32&gt;=P$36)*(($C$6:$C$32="Contratado")+($C$6:$C$32="Plano")*Premissas!$B$8)*$G$6:$G$32)</f>
        <v>0</v>
      </c>
      <c r="Q46" s="67" t="n">
        <f aca="false">SUMPRODUCT(($J$6:$J$32="Investimento")*($H$6:$H$32&lt;=Q$36)*($I$6:$I$32&gt;=Q$36)*(($C$6:$C$32="Contratado")+($C$6:$C$32="Plano")*Premissas!$B$8)*$G$6:$G$32)</f>
        <v>0</v>
      </c>
      <c r="R46" s="67" t="n">
        <f aca="false">SUMPRODUCT(($J$6:$J$32="Investimento")*($H$6:$H$32&lt;=R$36)*($I$6:$I$32&gt;=R$36)*(($C$6:$C$32="Contratado")+($C$6:$C$32="Plano")*Premissas!$B$8)*$G$6:$G$32)</f>
        <v>0</v>
      </c>
      <c r="S46" s="67" t="n">
        <f aca="false">SUMPRODUCT(($J$6:$J$32="Investimento")*($H$6:$H$32&lt;=S$36)*($I$6:$I$32&gt;=S$36)*(($C$6:$C$32="Contratado")+($C$6:$C$32="Plano")*Premissas!$B$8)*$G$6:$G$32)</f>
        <v>0</v>
      </c>
      <c r="T46" s="67" t="n">
        <f aca="false">SUMPRODUCT(($J$6:$J$32="Investimento")*($H$6:$H$32&lt;=T$36)*($I$6:$I$32&gt;=T$36)*(($C$6:$C$32="Contratado")+($C$6:$C$32="Plano")*Premissas!$B$8)*$G$6:$G$32)</f>
        <v>0</v>
      </c>
      <c r="U46" s="67" t="n">
        <f aca="false">SUMPRODUCT(($J$6:$J$32="Investimento")*($H$6:$H$32&lt;=U$36)*($I$6:$I$32&gt;=U$36)*(($C$6:$C$32="Contratado")+($C$6:$C$32="Plano")*Premissas!$B$8)*$G$6:$G$32)</f>
        <v>0</v>
      </c>
      <c r="V46" s="67" t="n">
        <f aca="false">SUMPRODUCT(($J$6:$J$32="Investimento")*($H$6:$H$32&lt;=V$36)*($I$6:$I$32&gt;=V$36)*(($C$6:$C$32="Contratado")+($C$6:$C$32="Plano")*Premissas!$B$8)*$G$6:$G$32)</f>
        <v>0</v>
      </c>
      <c r="W46" s="67" t="n">
        <f aca="false">SUMPRODUCT(($J$6:$J$32="Investimento")*($H$6:$H$32&lt;=W$36)*($I$6:$I$32&gt;=W$36)*(($C$6:$C$32="Contratado")+($C$6:$C$32="Plano")*Premissas!$B$8)*$G$6:$G$32)</f>
        <v>0</v>
      </c>
      <c r="X46" s="67" t="n">
        <f aca="false">SUMPRODUCT(($J$6:$J$32="Investimento")*($H$6:$H$32&lt;=X$36)*($I$6:$I$32&gt;=X$36)*(($C$6:$C$32="Contratado")+($C$6:$C$32="Plano")*Premissas!$B$8)*$G$6:$G$32)</f>
        <v>0</v>
      </c>
      <c r="Y46" s="67" t="n">
        <f aca="false">SUMPRODUCT(($J$6:$J$32="Investimento")*($H$6:$H$32&lt;=Y$36)*($I$6:$I$32&gt;=Y$36)*(($C$6:$C$32="Contratado")+($C$6:$C$32="Plano")*Premissas!$B$8)*$G$6:$G$32)</f>
        <v>0</v>
      </c>
      <c r="Z46" s="67" t="n">
        <f aca="false">SUMPRODUCT(($J$6:$J$32="Investimento")*($H$6:$H$32&lt;=Z$36)*($I$6:$I$32&gt;=Z$36)*(($C$6:$C$32="Contratado")+($C$6:$C$32="Plano")*Premissas!$B$8)*$G$6:$G$32)</f>
        <v>0</v>
      </c>
      <c r="AA46" s="67" t="n">
        <f aca="false">SUMPRODUCT(($J$6:$J$32="Investimento")*($H$6:$H$32&lt;=AA$36)*($I$6:$I$32&gt;=AA$36)*(($C$6:$C$32="Contratado")+($C$6:$C$32="Plano")*Premissas!$B$8)*$G$6:$G$32)</f>
        <v>0</v>
      </c>
      <c r="AB46" s="67" t="n">
        <f aca="false">SUMPRODUCT(($J$6:$J$32="Investimento")*($H$6:$H$32&lt;=AB$36)*($I$6:$I$32&gt;=AB$36)*(($C$6:$C$32="Contratado")+($C$6:$C$32="Plano")*Premissas!$B$8)*$G$6:$G$32)</f>
        <v>0</v>
      </c>
      <c r="AC46" s="67" t="n">
        <f aca="false">SUMPRODUCT(($J$6:$J$32="Investimento")*($H$6:$H$32&lt;=AC$36)*($I$6:$I$32&gt;=AC$36)*(($C$6:$C$32="Contratado")+($C$6:$C$32="Plano")*Premissas!$B$8)*$G$6:$G$32)</f>
        <v>0</v>
      </c>
      <c r="AD46" s="67" t="n">
        <f aca="false">SUMPRODUCT(($J$6:$J$32="Investimento")*($H$6:$H$32&lt;=AD$36)*($I$6:$I$32&gt;=AD$36)*(($C$6:$C$32="Contratado")+($C$6:$C$32="Plano")*Premissas!$B$8)*$G$6:$G$32)</f>
        <v>0</v>
      </c>
      <c r="AE46" s="67" t="n">
        <f aca="false">SUMPRODUCT(($J$6:$J$32="Investimento")*($H$6:$H$32&lt;=AE$36)*($I$6:$I$32&gt;=AE$36)*(($C$6:$C$32="Contratado")+($C$6:$C$32="Plano")*Premissas!$B$8)*$G$6:$G$32)</f>
        <v>0</v>
      </c>
      <c r="AF46" s="67" t="n">
        <f aca="false">SUMPRODUCT(($J$6:$J$32="Investimento")*($H$6:$H$32&lt;=AF$36)*($I$6:$I$32&gt;=AF$36)*(($C$6:$C$32="Contratado")+($C$6:$C$32="Plano")*Premissas!$B$8)*$G$6:$G$32)</f>
        <v>0</v>
      </c>
      <c r="AG46" s="67" t="n">
        <f aca="false">SUMPRODUCT(($J$6:$J$32="Investimento")*($H$6:$H$32&lt;=AG$36)*($I$6:$I$32&gt;=AG$36)*(($C$6:$C$32="Contratado")+($C$6:$C$32="Plano")*Premissas!$B$8)*$G$6:$G$32)</f>
        <v>0</v>
      </c>
      <c r="AH46" s="67" t="n">
        <f aca="false">SUMPRODUCT(($J$6:$J$32="Investimento")*($H$6:$H$32&lt;=AH$36)*($I$6:$I$32&gt;=AH$36)*(($C$6:$C$32="Contratado")+($C$6:$C$32="Plano")*Premissas!$B$8)*$G$6:$G$32)</f>
        <v>0</v>
      </c>
      <c r="AI46" s="67" t="n">
        <f aca="false">SUMPRODUCT(($J$6:$J$32="Investimento")*($H$6:$H$32&lt;=AI$36)*($I$6:$I$32&gt;=AI$36)*(($C$6:$C$32="Contratado")+($C$6:$C$32="Plano")*Premissas!$B$8)*$G$6:$G$32)</f>
        <v>0</v>
      </c>
      <c r="AJ46" s="67" t="n">
        <f aca="false">SUMPRODUCT(($J$6:$J$32="Investimento")*($H$6:$H$32&lt;=AJ$36)*($I$6:$I$32&gt;=AJ$36)*(($C$6:$C$32="Contratado")+($C$6:$C$32="Plano")*Premissas!$B$8)*$G$6:$G$32)</f>
        <v>0</v>
      </c>
      <c r="AK46" s="67" t="n">
        <f aca="false">SUMPRODUCT(($J$6:$J$32="Investimento")*($H$6:$H$32&lt;=AK$36)*($I$6:$I$32&gt;=AK$36)*(($C$6:$C$32="Contratado")+($C$6:$C$32="Plano")*Premissas!$B$8)*$G$6:$G$32)</f>
        <v>0</v>
      </c>
      <c r="AL46" s="67" t="n">
        <f aca="false">SUMPRODUCT(($J$6:$J$32="Investimento")*($H$6:$H$32&lt;=AL$36)*($I$6:$I$32&gt;=AL$36)*(($C$6:$C$32="Contratado")+($C$6:$C$32="Plano")*Premissas!$B$8)*$G$6:$G$32)</f>
        <v>0</v>
      </c>
      <c r="AM46" s="67" t="n">
        <f aca="false">SUMPRODUCT(($J$6:$J$32="Investimento")*($H$6:$H$32&lt;=AM$36)*($I$6:$I$32&gt;=AM$36)*(($C$6:$C$32="Contratado")+($C$6:$C$32="Plano")*Premissas!$B$8)*$G$6:$G$32)</f>
        <v>0</v>
      </c>
      <c r="AN46" s="67" t="n">
        <f aca="false">SUMPRODUCT(($J$6:$J$32="Investimento")*($H$6:$H$32&lt;=AN$36)*($I$6:$I$32&gt;=AN$36)*(($C$6:$C$32="Contratado")+($C$6:$C$32="Plano")*Premissas!$B$8)*$G$6:$G$32)</f>
        <v>0</v>
      </c>
      <c r="AO46" s="67" t="n">
        <f aca="false">SUMPRODUCT(($J$6:$J$32="Investimento")*($H$6:$H$32&lt;=AO$36)*($I$6:$I$32&gt;=AO$36)*(($C$6:$C$32="Contratado")+($C$6:$C$32="Plano")*Premissas!$B$8)*$G$6:$G$32)</f>
        <v>0</v>
      </c>
      <c r="AP46" s="67" t="n">
        <f aca="false">SUMPRODUCT(($J$6:$J$32="Investimento")*($H$6:$H$32&lt;=AP$36)*($I$6:$I$32&gt;=AP$36)*(($C$6:$C$32="Contratado")+($C$6:$C$32="Plano")*Premissas!$B$8)*$G$6:$G$32)</f>
        <v>0</v>
      </c>
      <c r="AQ46" s="67" t="n">
        <f aca="false">SUMPRODUCT(($J$6:$J$32="Investimento")*($H$6:$H$32&lt;=AQ$36)*($I$6:$I$32&gt;=AQ$36)*(($C$6:$C$32="Contratado")+($C$6:$C$32="Plano")*Premissas!$B$8)*$G$6:$G$32)</f>
        <v>0</v>
      </c>
      <c r="AR46" s="67" t="n">
        <f aca="false">SUMPRODUCT(($J$6:$J$32="Investimento")*($H$6:$H$32&lt;=AR$36)*($I$6:$I$32&gt;=AR$36)*(($C$6:$C$32="Contratado")+($C$6:$C$32="Plano")*Premissas!$B$8)*$G$6:$G$32)</f>
        <v>0</v>
      </c>
      <c r="AS46" s="67" t="n">
        <f aca="false">SUMPRODUCT(($J$6:$J$32="Investimento")*($H$6:$H$32&lt;=AS$36)*($I$6:$I$32&gt;=AS$36)*(($C$6:$C$32="Contratado")+($C$6:$C$32="Plano")*Premissas!$B$8)*$G$6:$G$32)</f>
        <v>0</v>
      </c>
      <c r="AT46" s="67" t="n">
        <f aca="false">SUMPRODUCT(($J$6:$J$32="Investimento")*($H$6:$H$32&lt;=AT$36)*($I$6:$I$32&gt;=AT$36)*(($C$6:$C$32="Contratado")+($C$6:$C$32="Plano")*Premissas!$B$8)*$G$6:$G$32)</f>
        <v>0</v>
      </c>
      <c r="AU46" s="67" t="n">
        <f aca="false">SUMPRODUCT(($J$6:$J$32="Investimento")*($H$6:$H$32&lt;=AU$36)*($I$6:$I$32&gt;=AU$36)*(($C$6:$C$32="Contratado")+($C$6:$C$32="Plano")*Premissas!$B$8)*$G$6:$G$32)</f>
        <v>0</v>
      </c>
      <c r="AV46" s="67" t="n">
        <f aca="false">SUMPRODUCT(($J$6:$J$32="Investimento")*($H$6:$H$32&lt;=AV$36)*($I$6:$I$32&gt;=AV$36)*(($C$6:$C$32="Contratado")+($C$6:$C$32="Plano")*Premissas!$B$8)*$G$6:$G$32)</f>
        <v>0</v>
      </c>
      <c r="AW46" s="67" t="n">
        <f aca="false">SUMPRODUCT(($J$6:$J$32="Investimento")*($H$6:$H$32&lt;=AW$36)*($I$6:$I$32&gt;=AW$36)*(($C$6:$C$32="Contratado")+($C$6:$C$32="Plano")*Premissas!$B$8)*$G$6:$G$32)</f>
        <v>0</v>
      </c>
      <c r="AX46" s="67" t="n">
        <f aca="false">SUMPRODUCT(($J$6:$J$32="Investimento")*($H$6:$H$32&lt;=AX$36)*($I$6:$I$32&gt;=AX$36)*(($C$6:$C$32="Contratado")+($C$6:$C$32="Plano")*Premissas!$B$8)*$G$6:$G$32)</f>
        <v>0</v>
      </c>
      <c r="AY46" s="67" t="n">
        <f aca="false">SUMPRODUCT(($J$6:$J$32="Investimento")*($H$6:$H$32&lt;=AY$36)*($I$6:$I$32&gt;=AY$36)*(($C$6:$C$32="Contratado")+($C$6:$C$32="Plano")*Premissas!$B$8)*$G$6:$G$32)</f>
        <v>0</v>
      </c>
      <c r="AZ46" s="67" t="n">
        <f aca="false">SUMPRODUCT(($J$6:$J$32="Investimento")*($H$6:$H$32&lt;=AZ$36)*($I$6:$I$32&gt;=AZ$36)*(($C$6:$C$32="Contratado")+($C$6:$C$32="Plano")*Premissas!$B$8)*$G$6:$G$32)</f>
        <v>0</v>
      </c>
      <c r="BA46" s="67" t="n">
        <f aca="false">SUMPRODUCT(($J$6:$J$32="Investimento")*($H$6:$H$32&lt;=BA$36)*($I$6:$I$32&gt;=BA$36)*(($C$6:$C$32="Contratado")+($C$6:$C$32="Plano")*Premissas!$B$8)*$G$6:$G$32)</f>
        <v>0</v>
      </c>
      <c r="BB46" s="67" t="n">
        <f aca="false">SUMPRODUCT(($J$6:$J$32="Investimento")*($H$6:$H$32&lt;=BB$36)*($I$6:$I$32&gt;=BB$36)*(($C$6:$C$32="Contratado")+($C$6:$C$32="Plano")*Premissas!$B$8)*$G$6:$G$32)</f>
        <v>0</v>
      </c>
      <c r="BC46" s="67" t="n">
        <f aca="false">SUMPRODUCT(($J$6:$J$32="Investimento")*($H$6:$H$32&lt;=BC$36)*($I$6:$I$32&gt;=BC$36)*(($C$6:$C$32="Contratado")+($C$6:$C$32="Plano")*Premissas!$B$8)*$G$6:$G$32)</f>
        <v>0</v>
      </c>
      <c r="BD46" s="67" t="n">
        <f aca="false">SUMPRODUCT(($J$6:$J$32="Investimento")*($H$6:$H$32&lt;=BD$36)*($I$6:$I$32&gt;=BD$36)*(($C$6:$C$32="Contratado")+($C$6:$C$32="Plano")*Premissas!$B$8)*$G$6:$G$32)</f>
        <v>0</v>
      </c>
      <c r="BE46" s="67" t="n">
        <f aca="false">SUMPRODUCT(($J$6:$J$32="Investimento")*($H$6:$H$32&lt;=BE$36)*($I$6:$I$32&gt;=BE$36)*(($C$6:$C$32="Contratado")+($C$6:$C$32="Plano")*Premissas!$B$8)*$G$6:$G$32)</f>
        <v>0</v>
      </c>
      <c r="BF46" s="67" t="n">
        <f aca="false">SUMPRODUCT(($J$6:$J$32="Investimento")*($H$6:$H$32&lt;=BF$36)*($I$6:$I$32&gt;=BF$36)*(($C$6:$C$32="Contratado")+($C$6:$C$32="Plano")*Premissas!$B$8)*$G$6:$G$32)</f>
        <v>0</v>
      </c>
      <c r="BG46" s="67" t="n">
        <f aca="false">SUMPRODUCT(($J$6:$J$32="Investimento")*($H$6:$H$32&lt;=BG$36)*($I$6:$I$32&gt;=BG$36)*(($C$6:$C$32="Contratado")+($C$6:$C$32="Plano")*Premissas!$B$8)*$G$6:$G$32)</f>
        <v>0</v>
      </c>
      <c r="BH46" s="67" t="n">
        <f aca="false">SUMPRODUCT(($J$6:$J$32="Investimento")*($H$6:$H$32&lt;=BH$36)*($I$6:$I$32&gt;=BH$36)*(($C$6:$C$32="Contratado")+($C$6:$C$32="Plano")*Premissas!$B$8)*$G$6:$G$32)</f>
        <v>0</v>
      </c>
      <c r="BI46" s="67" t="n">
        <f aca="false">SUMPRODUCT(($J$6:$J$32="Investimento")*($H$6:$H$32&lt;=BI$36)*($I$6:$I$32&gt;=BI$36)*(($C$6:$C$32="Contratado")+($C$6:$C$32="Plano")*Premissas!$B$8)*$G$6:$G$32)</f>
        <v>0</v>
      </c>
      <c r="BJ46" s="61" t="n">
        <f aca="false">SUM(B46:BI46)</f>
        <v>21000</v>
      </c>
      <c r="BK46" s="29" t="s">
        <v>635</v>
      </c>
    </row>
    <row r="47" customFormat="false" ht="15" hidden="false" customHeight="false" outlineLevel="0" collapsed="false">
      <c r="A47" s="71" t="s">
        <v>636</v>
      </c>
      <c r="B47" s="90" t="n">
        <f aca="false">SUMPRODUCT((($B$6:$B$32="CLT")+($B$6:$B$32="Sócio"))*($H$6:$H$32&lt;=B$36)*($I$6:$I$32&gt;=B$36)*(($C$6:$C$32="Contratado")+($C$6:$C$32="Plano")*Premissas!$B$8)*$G$6:$G$32)</f>
        <v>0</v>
      </c>
      <c r="C47" s="90" t="n">
        <f aca="false">SUMPRODUCT((($B$6:$B$32="CLT")+($B$6:$B$32="Sócio"))*($H$6:$H$32&lt;=C$36)*($I$6:$I$32&gt;=C$36)*(($C$6:$C$32="Contratado")+($C$6:$C$32="Plano")*Premissas!$B$8)*$G$6:$G$32)</f>
        <v>0</v>
      </c>
      <c r="D47" s="90" t="n">
        <f aca="false">SUMPRODUCT((($B$6:$B$32="CLT")+($B$6:$B$32="Sócio"))*($H$6:$H$32&lt;=D$36)*($I$6:$I$32&gt;=D$36)*(($C$6:$C$32="Contratado")+($C$6:$C$32="Plano")*Premissas!$B$8)*$G$6:$G$32)</f>
        <v>0</v>
      </c>
      <c r="E47" s="90" t="n">
        <f aca="false">SUMPRODUCT((($B$6:$B$32="CLT")+($B$6:$B$32="Sócio"))*($H$6:$H$32&lt;=E$36)*($I$6:$I$32&gt;=E$36)*(($C$6:$C$32="Contratado")+($C$6:$C$32="Plano")*Premissas!$B$8)*$G$6:$G$32)</f>
        <v>0</v>
      </c>
      <c r="F47" s="90" t="n">
        <f aca="false">SUMPRODUCT((($B$6:$B$32="CLT")+($B$6:$B$32="Sócio"))*($H$6:$H$32&lt;=F$36)*($I$6:$I$32&gt;=F$36)*(($C$6:$C$32="Contratado")+($C$6:$C$32="Plano")*Premissas!$B$8)*$G$6:$G$32)</f>
        <v>0</v>
      </c>
      <c r="G47" s="90" t="n">
        <f aca="false">SUMPRODUCT((($B$6:$B$32="CLT")+($B$6:$B$32="Sócio"))*($H$6:$H$32&lt;=G$36)*($I$6:$I$32&gt;=G$36)*(($C$6:$C$32="Contratado")+($C$6:$C$32="Plano")*Premissas!$B$8)*$G$6:$G$32)</f>
        <v>0</v>
      </c>
      <c r="H47" s="90" t="n">
        <f aca="false">SUMPRODUCT((($B$6:$B$32="CLT")+($B$6:$B$32="Sócio"))*($H$6:$H$32&lt;=H$36)*($I$6:$I$32&gt;=H$36)*(($C$6:$C$32="Contratado")+($C$6:$C$32="Plano")*Premissas!$B$8)*$G$6:$G$32)</f>
        <v>0</v>
      </c>
      <c r="I47" s="90" t="n">
        <f aca="false">SUMPRODUCT((($B$6:$B$32="CLT")+($B$6:$B$32="Sócio"))*($H$6:$H$32&lt;=I$36)*($I$6:$I$32&gt;=I$36)*(($C$6:$C$32="Contratado")+($C$6:$C$32="Plano")*Premissas!$B$8)*$G$6:$G$32)</f>
        <v>0</v>
      </c>
      <c r="J47" s="90" t="n">
        <f aca="false">SUMPRODUCT((($B$6:$B$32="CLT")+($B$6:$B$32="Sócio"))*($H$6:$H$32&lt;=J$36)*($I$6:$I$32&gt;=J$36)*(($C$6:$C$32="Contratado")+($C$6:$C$32="Plano")*Premissas!$B$8)*$G$6:$G$32)</f>
        <v>0</v>
      </c>
      <c r="K47" s="90" t="n">
        <f aca="false">SUMPRODUCT((($B$6:$B$32="CLT")+($B$6:$B$32="Sócio"))*($H$6:$H$32&lt;=K$36)*($I$6:$I$32&gt;=K$36)*(($C$6:$C$32="Contratado")+($C$6:$C$32="Plano")*Premissas!$B$8)*$G$6:$G$32)</f>
        <v>0</v>
      </c>
      <c r="L47" s="90" t="n">
        <f aca="false">SUMPRODUCT((($B$6:$B$32="CLT")+($B$6:$B$32="Sócio"))*($H$6:$H$32&lt;=L$36)*($I$6:$I$32&gt;=L$36)*(($C$6:$C$32="Contratado")+($C$6:$C$32="Plano")*Premissas!$B$8)*$G$6:$G$32)</f>
        <v>0</v>
      </c>
      <c r="M47" s="90" t="n">
        <f aca="false">SUMPRODUCT((($B$6:$B$32="CLT")+($B$6:$B$32="Sócio"))*($H$6:$H$32&lt;=M$36)*($I$6:$I$32&gt;=M$36)*(($C$6:$C$32="Contratado")+($C$6:$C$32="Plano")*Premissas!$B$8)*$G$6:$G$32)</f>
        <v>0</v>
      </c>
      <c r="N47" s="90" t="n">
        <f aca="false">SUMPRODUCT((($B$6:$B$32="CLT")+($B$6:$B$32="Sócio"))*($H$6:$H$32&lt;=N$36)*($I$6:$I$32&gt;=N$36)*(($C$6:$C$32="Contratado")+($C$6:$C$32="Plano")*Premissas!$B$8)*$G$6:$G$32)</f>
        <v>15000</v>
      </c>
      <c r="O47" s="90" t="n">
        <f aca="false">SUMPRODUCT((($B$6:$B$32="CLT")+($B$6:$B$32="Sócio"))*($H$6:$H$32&lt;=O$36)*($I$6:$I$32&gt;=O$36)*(($C$6:$C$32="Contratado")+($C$6:$C$32="Plano")*Premissas!$B$8)*$G$6:$G$32)</f>
        <v>15000</v>
      </c>
      <c r="P47" s="90" t="n">
        <f aca="false">SUMPRODUCT((($B$6:$B$32="CLT")+($B$6:$B$32="Sócio"))*($H$6:$H$32&lt;=P$36)*($I$6:$I$32&gt;=P$36)*(($C$6:$C$32="Contratado")+($C$6:$C$32="Plano")*Premissas!$B$8)*$G$6:$G$32)</f>
        <v>15000</v>
      </c>
      <c r="Q47" s="90" t="n">
        <f aca="false">SUMPRODUCT((($B$6:$B$32="CLT")+($B$6:$B$32="Sócio"))*($H$6:$H$32&lt;=Q$36)*($I$6:$I$32&gt;=Q$36)*(($C$6:$C$32="Contratado")+($C$6:$C$32="Plano")*Premissas!$B$8)*$G$6:$G$32)</f>
        <v>15000</v>
      </c>
      <c r="R47" s="90" t="n">
        <f aca="false">SUMPRODUCT((($B$6:$B$32="CLT")+($B$6:$B$32="Sócio"))*($H$6:$H$32&lt;=R$36)*($I$6:$I$32&gt;=R$36)*(($C$6:$C$32="Contratado")+($C$6:$C$32="Plano")*Premissas!$B$8)*$G$6:$G$32)</f>
        <v>15000</v>
      </c>
      <c r="S47" s="90" t="n">
        <f aca="false">SUMPRODUCT((($B$6:$B$32="CLT")+($B$6:$B$32="Sócio"))*($H$6:$H$32&lt;=S$36)*($I$6:$I$32&gt;=S$36)*(($C$6:$C$32="Contratado")+($C$6:$C$32="Plano")*Premissas!$B$8)*$G$6:$G$32)</f>
        <v>15000</v>
      </c>
      <c r="T47" s="90" t="n">
        <f aca="false">SUMPRODUCT((($B$6:$B$32="CLT")+($B$6:$B$32="Sócio"))*($H$6:$H$32&lt;=T$36)*($I$6:$I$32&gt;=T$36)*(($C$6:$C$32="Contratado")+($C$6:$C$32="Plano")*Premissas!$B$8)*$G$6:$G$32)</f>
        <v>15000</v>
      </c>
      <c r="U47" s="90" t="n">
        <f aca="false">SUMPRODUCT((($B$6:$B$32="CLT")+($B$6:$B$32="Sócio"))*($H$6:$H$32&lt;=U$36)*($I$6:$I$32&gt;=U$36)*(($C$6:$C$32="Contratado")+($C$6:$C$32="Plano")*Premissas!$B$8)*$G$6:$G$32)</f>
        <v>15000</v>
      </c>
      <c r="V47" s="90" t="n">
        <f aca="false">SUMPRODUCT((($B$6:$B$32="CLT")+($B$6:$B$32="Sócio"))*($H$6:$H$32&lt;=V$36)*($I$6:$I$32&gt;=V$36)*(($C$6:$C$32="Contratado")+($C$6:$C$32="Plano")*Premissas!$B$8)*$G$6:$G$32)</f>
        <v>15000</v>
      </c>
      <c r="W47" s="90" t="n">
        <f aca="false">SUMPRODUCT((($B$6:$B$32="CLT")+($B$6:$B$32="Sócio"))*($H$6:$H$32&lt;=W$36)*($I$6:$I$32&gt;=W$36)*(($C$6:$C$32="Contratado")+($C$6:$C$32="Plano")*Premissas!$B$8)*$G$6:$G$32)</f>
        <v>15000</v>
      </c>
      <c r="X47" s="90" t="n">
        <f aca="false">SUMPRODUCT((($B$6:$B$32="CLT")+($B$6:$B$32="Sócio"))*($H$6:$H$32&lt;=X$36)*($I$6:$I$32&gt;=X$36)*(($C$6:$C$32="Contratado")+($C$6:$C$32="Plano")*Premissas!$B$8)*$G$6:$G$32)</f>
        <v>15000</v>
      </c>
      <c r="Y47" s="90" t="n">
        <f aca="false">SUMPRODUCT((($B$6:$B$32="CLT")+($B$6:$B$32="Sócio"))*($H$6:$H$32&lt;=Y$36)*($I$6:$I$32&gt;=Y$36)*(($C$6:$C$32="Contratado")+($C$6:$C$32="Plano")*Premissas!$B$8)*$G$6:$G$32)</f>
        <v>15000</v>
      </c>
      <c r="Z47" s="90" t="n">
        <f aca="false">SUMPRODUCT((($B$6:$B$32="CLT")+($B$6:$B$32="Sócio"))*($H$6:$H$32&lt;=Z$36)*($I$6:$I$32&gt;=Z$36)*(($C$6:$C$32="Contratado")+($C$6:$C$32="Plano")*Premissas!$B$8)*$G$6:$G$32)</f>
        <v>15000</v>
      </c>
      <c r="AA47" s="90" t="n">
        <f aca="false">SUMPRODUCT((($B$6:$B$32="CLT")+($B$6:$B$32="Sócio"))*($H$6:$H$32&lt;=AA$36)*($I$6:$I$32&gt;=AA$36)*(($C$6:$C$32="Contratado")+($C$6:$C$32="Plano")*Premissas!$B$8)*$G$6:$G$32)</f>
        <v>15000</v>
      </c>
      <c r="AB47" s="90" t="n">
        <f aca="false">SUMPRODUCT((($B$6:$B$32="CLT")+($B$6:$B$32="Sócio"))*($H$6:$H$32&lt;=AB$36)*($I$6:$I$32&gt;=AB$36)*(($C$6:$C$32="Contratado")+($C$6:$C$32="Plano")*Premissas!$B$8)*$G$6:$G$32)</f>
        <v>15000</v>
      </c>
      <c r="AC47" s="90" t="n">
        <f aca="false">SUMPRODUCT((($B$6:$B$32="CLT")+($B$6:$B$32="Sócio"))*($H$6:$H$32&lt;=AC$36)*($I$6:$I$32&gt;=AC$36)*(($C$6:$C$32="Contratado")+($C$6:$C$32="Plano")*Premissas!$B$8)*$G$6:$G$32)</f>
        <v>15000</v>
      </c>
      <c r="AD47" s="90" t="n">
        <f aca="false">SUMPRODUCT((($B$6:$B$32="CLT")+($B$6:$B$32="Sócio"))*($H$6:$H$32&lt;=AD$36)*($I$6:$I$32&gt;=AD$36)*(($C$6:$C$32="Contratado")+($C$6:$C$32="Plano")*Premissas!$B$8)*$G$6:$G$32)</f>
        <v>15000</v>
      </c>
      <c r="AE47" s="90" t="n">
        <f aca="false">SUMPRODUCT((($B$6:$B$32="CLT")+($B$6:$B$32="Sócio"))*($H$6:$H$32&lt;=AE$36)*($I$6:$I$32&gt;=AE$36)*(($C$6:$C$32="Contratado")+($C$6:$C$32="Plano")*Premissas!$B$8)*$G$6:$G$32)</f>
        <v>15000</v>
      </c>
      <c r="AF47" s="90" t="n">
        <f aca="false">SUMPRODUCT((($B$6:$B$32="CLT")+($B$6:$B$32="Sócio"))*($H$6:$H$32&lt;=AF$36)*($I$6:$I$32&gt;=AF$36)*(($C$6:$C$32="Contratado")+($C$6:$C$32="Plano")*Premissas!$B$8)*$G$6:$G$32)</f>
        <v>15000</v>
      </c>
      <c r="AG47" s="90" t="n">
        <f aca="false">SUMPRODUCT((($B$6:$B$32="CLT")+($B$6:$B$32="Sócio"))*($H$6:$H$32&lt;=AG$36)*($I$6:$I$32&gt;=AG$36)*(($C$6:$C$32="Contratado")+($C$6:$C$32="Plano")*Premissas!$B$8)*$G$6:$G$32)</f>
        <v>15000</v>
      </c>
      <c r="AH47" s="90" t="n">
        <f aca="false">SUMPRODUCT((($B$6:$B$32="CLT")+($B$6:$B$32="Sócio"))*($H$6:$H$32&lt;=AH$36)*($I$6:$I$32&gt;=AH$36)*(($C$6:$C$32="Contratado")+($C$6:$C$32="Plano")*Premissas!$B$8)*$G$6:$G$32)</f>
        <v>15000</v>
      </c>
      <c r="AI47" s="90" t="n">
        <f aca="false">SUMPRODUCT((($B$6:$B$32="CLT")+($B$6:$B$32="Sócio"))*($H$6:$H$32&lt;=AI$36)*($I$6:$I$32&gt;=AI$36)*(($C$6:$C$32="Contratado")+($C$6:$C$32="Plano")*Premissas!$B$8)*$G$6:$G$32)</f>
        <v>15000</v>
      </c>
      <c r="AJ47" s="90" t="n">
        <f aca="false">SUMPRODUCT((($B$6:$B$32="CLT")+($B$6:$B$32="Sócio"))*($H$6:$H$32&lt;=AJ$36)*($I$6:$I$32&gt;=AJ$36)*(($C$6:$C$32="Contratado")+($C$6:$C$32="Plano")*Premissas!$B$8)*$G$6:$G$32)</f>
        <v>15000</v>
      </c>
      <c r="AK47" s="90" t="n">
        <f aca="false">SUMPRODUCT((($B$6:$B$32="CLT")+($B$6:$B$32="Sócio"))*($H$6:$H$32&lt;=AK$36)*($I$6:$I$32&gt;=AK$36)*(($C$6:$C$32="Contratado")+($C$6:$C$32="Plano")*Premissas!$B$8)*$G$6:$G$32)</f>
        <v>15000</v>
      </c>
      <c r="AL47" s="90" t="n">
        <f aca="false">SUMPRODUCT((($B$6:$B$32="CLT")+($B$6:$B$32="Sócio"))*($H$6:$H$32&lt;=AL$36)*($I$6:$I$32&gt;=AL$36)*(($C$6:$C$32="Contratado")+($C$6:$C$32="Plano")*Premissas!$B$8)*$G$6:$G$32)</f>
        <v>32000</v>
      </c>
      <c r="AM47" s="90" t="n">
        <f aca="false">SUMPRODUCT((($B$6:$B$32="CLT")+($B$6:$B$32="Sócio"))*($H$6:$H$32&lt;=AM$36)*($I$6:$I$32&gt;=AM$36)*(($C$6:$C$32="Contratado")+($C$6:$C$32="Plano")*Premissas!$B$8)*$G$6:$G$32)</f>
        <v>32000</v>
      </c>
      <c r="AN47" s="90" t="n">
        <f aca="false">SUMPRODUCT((($B$6:$B$32="CLT")+($B$6:$B$32="Sócio"))*($H$6:$H$32&lt;=AN$36)*($I$6:$I$32&gt;=AN$36)*(($C$6:$C$32="Contratado")+($C$6:$C$32="Plano")*Premissas!$B$8)*$G$6:$G$32)</f>
        <v>32000</v>
      </c>
      <c r="AO47" s="90" t="n">
        <f aca="false">SUMPRODUCT((($B$6:$B$32="CLT")+($B$6:$B$32="Sócio"))*($H$6:$H$32&lt;=AO$36)*($I$6:$I$32&gt;=AO$36)*(($C$6:$C$32="Contratado")+($C$6:$C$32="Plano")*Premissas!$B$8)*$G$6:$G$32)</f>
        <v>32000</v>
      </c>
      <c r="AP47" s="90" t="n">
        <f aca="false">SUMPRODUCT((($B$6:$B$32="CLT")+($B$6:$B$32="Sócio"))*($H$6:$H$32&lt;=AP$36)*($I$6:$I$32&gt;=AP$36)*(($C$6:$C$32="Contratado")+($C$6:$C$32="Plano")*Premissas!$B$8)*$G$6:$G$32)</f>
        <v>32000</v>
      </c>
      <c r="AQ47" s="90" t="n">
        <f aca="false">SUMPRODUCT((($B$6:$B$32="CLT")+($B$6:$B$32="Sócio"))*($H$6:$H$32&lt;=AQ$36)*($I$6:$I$32&gt;=AQ$36)*(($C$6:$C$32="Contratado")+($C$6:$C$32="Plano")*Premissas!$B$8)*$G$6:$G$32)</f>
        <v>32000</v>
      </c>
      <c r="AR47" s="90" t="n">
        <f aca="false">SUMPRODUCT((($B$6:$B$32="CLT")+($B$6:$B$32="Sócio"))*($H$6:$H$32&lt;=AR$36)*($I$6:$I$32&gt;=AR$36)*(($C$6:$C$32="Contratado")+($C$6:$C$32="Plano")*Premissas!$B$8)*$G$6:$G$32)</f>
        <v>32000</v>
      </c>
      <c r="AS47" s="90" t="n">
        <f aca="false">SUMPRODUCT((($B$6:$B$32="CLT")+($B$6:$B$32="Sócio"))*($H$6:$H$32&lt;=AS$36)*($I$6:$I$32&gt;=AS$36)*(($C$6:$C$32="Contratado")+($C$6:$C$32="Plano")*Premissas!$B$8)*$G$6:$G$32)</f>
        <v>32000</v>
      </c>
      <c r="AT47" s="90" t="n">
        <f aca="false">SUMPRODUCT((($B$6:$B$32="CLT")+($B$6:$B$32="Sócio"))*($H$6:$H$32&lt;=AT$36)*($I$6:$I$32&gt;=AT$36)*(($C$6:$C$32="Contratado")+($C$6:$C$32="Plano")*Premissas!$B$8)*$G$6:$G$32)</f>
        <v>32000</v>
      </c>
      <c r="AU47" s="90" t="n">
        <f aca="false">SUMPRODUCT((($B$6:$B$32="CLT")+($B$6:$B$32="Sócio"))*($H$6:$H$32&lt;=AU$36)*($I$6:$I$32&gt;=AU$36)*(($C$6:$C$32="Contratado")+($C$6:$C$32="Plano")*Premissas!$B$8)*$G$6:$G$32)</f>
        <v>32000</v>
      </c>
      <c r="AV47" s="90" t="n">
        <f aca="false">SUMPRODUCT((($B$6:$B$32="CLT")+($B$6:$B$32="Sócio"))*($H$6:$H$32&lt;=AV$36)*($I$6:$I$32&gt;=AV$36)*(($C$6:$C$32="Contratado")+($C$6:$C$32="Plano")*Premissas!$B$8)*$G$6:$G$32)</f>
        <v>32000</v>
      </c>
      <c r="AW47" s="90" t="n">
        <f aca="false">SUMPRODUCT((($B$6:$B$32="CLT")+($B$6:$B$32="Sócio"))*($H$6:$H$32&lt;=AW$36)*($I$6:$I$32&gt;=AW$36)*(($C$6:$C$32="Contratado")+($C$6:$C$32="Plano")*Premissas!$B$8)*$G$6:$G$32)</f>
        <v>32000</v>
      </c>
      <c r="AX47" s="90" t="n">
        <f aca="false">SUMPRODUCT((($B$6:$B$32="CLT")+($B$6:$B$32="Sócio"))*($H$6:$H$32&lt;=AX$36)*($I$6:$I$32&gt;=AX$36)*(($C$6:$C$32="Contratado")+($C$6:$C$32="Plano")*Premissas!$B$8)*$G$6:$G$32)</f>
        <v>32000</v>
      </c>
      <c r="AY47" s="90" t="n">
        <f aca="false">SUMPRODUCT((($B$6:$B$32="CLT")+($B$6:$B$32="Sócio"))*($H$6:$H$32&lt;=AY$36)*($I$6:$I$32&gt;=AY$36)*(($C$6:$C$32="Contratado")+($C$6:$C$32="Plano")*Premissas!$B$8)*$G$6:$G$32)</f>
        <v>32000</v>
      </c>
      <c r="AZ47" s="90" t="n">
        <f aca="false">SUMPRODUCT((($B$6:$B$32="CLT")+($B$6:$B$32="Sócio"))*($H$6:$H$32&lt;=AZ$36)*($I$6:$I$32&gt;=AZ$36)*(($C$6:$C$32="Contratado")+($C$6:$C$32="Plano")*Premissas!$B$8)*$G$6:$G$32)</f>
        <v>32000</v>
      </c>
      <c r="BA47" s="90" t="n">
        <f aca="false">SUMPRODUCT((($B$6:$B$32="CLT")+($B$6:$B$32="Sócio"))*($H$6:$H$32&lt;=BA$36)*($I$6:$I$32&gt;=BA$36)*(($C$6:$C$32="Contratado")+($C$6:$C$32="Plano")*Premissas!$B$8)*$G$6:$G$32)</f>
        <v>32000</v>
      </c>
      <c r="BB47" s="90" t="n">
        <f aca="false">SUMPRODUCT((($B$6:$B$32="CLT")+($B$6:$B$32="Sócio"))*($H$6:$H$32&lt;=BB$36)*($I$6:$I$32&gt;=BB$36)*(($C$6:$C$32="Contratado")+($C$6:$C$32="Plano")*Premissas!$B$8)*$G$6:$G$32)</f>
        <v>32000</v>
      </c>
      <c r="BC47" s="90" t="n">
        <f aca="false">SUMPRODUCT((($B$6:$B$32="CLT")+($B$6:$B$32="Sócio"))*($H$6:$H$32&lt;=BC$36)*($I$6:$I$32&gt;=BC$36)*(($C$6:$C$32="Contratado")+($C$6:$C$32="Plano")*Premissas!$B$8)*$G$6:$G$32)</f>
        <v>32000</v>
      </c>
      <c r="BD47" s="90" t="n">
        <f aca="false">SUMPRODUCT((($B$6:$B$32="CLT")+($B$6:$B$32="Sócio"))*($H$6:$H$32&lt;=BD$36)*($I$6:$I$32&gt;=BD$36)*(($C$6:$C$32="Contratado")+($C$6:$C$32="Plano")*Premissas!$B$8)*$G$6:$G$32)</f>
        <v>32000</v>
      </c>
      <c r="BE47" s="90" t="n">
        <f aca="false">SUMPRODUCT((($B$6:$B$32="CLT")+($B$6:$B$32="Sócio"))*($H$6:$H$32&lt;=BE$36)*($I$6:$I$32&gt;=BE$36)*(($C$6:$C$32="Contratado")+($C$6:$C$32="Plano")*Premissas!$B$8)*$G$6:$G$32)</f>
        <v>32000</v>
      </c>
      <c r="BF47" s="90" t="n">
        <f aca="false">SUMPRODUCT((($B$6:$B$32="CLT")+($B$6:$B$32="Sócio"))*($H$6:$H$32&lt;=BF$36)*($I$6:$I$32&gt;=BF$36)*(($C$6:$C$32="Contratado")+($C$6:$C$32="Plano")*Premissas!$B$8)*$G$6:$G$32)</f>
        <v>32000</v>
      </c>
      <c r="BG47" s="90" t="n">
        <f aca="false">SUMPRODUCT((($B$6:$B$32="CLT")+($B$6:$B$32="Sócio"))*($H$6:$H$32&lt;=BG$36)*($I$6:$I$32&gt;=BG$36)*(($C$6:$C$32="Contratado")+($C$6:$C$32="Plano")*Premissas!$B$8)*$G$6:$G$32)</f>
        <v>32000</v>
      </c>
      <c r="BH47" s="90" t="n">
        <f aca="false">SUMPRODUCT((($B$6:$B$32="CLT")+($B$6:$B$32="Sócio"))*($H$6:$H$32&lt;=BH$36)*($I$6:$I$32&gt;=BH$36)*(($C$6:$C$32="Contratado")+($C$6:$C$32="Plano")*Premissas!$B$8)*$G$6:$G$32)</f>
        <v>32000</v>
      </c>
      <c r="BI47" s="90" t="n">
        <f aca="false">SUMPRODUCT((($B$6:$B$32="CLT")+($B$6:$B$32="Sócio"))*($H$6:$H$32&lt;=BI$36)*($I$6:$I$32&gt;=BI$36)*(($C$6:$C$32="Contratado")+($C$6:$C$32="Plano")*Premissas!$B$8)*$G$6:$G$32)</f>
        <v>32000</v>
      </c>
      <c r="BJ47" s="61" t="n">
        <f aca="false">SUM(B47:BI47)</f>
        <v>1128000</v>
      </c>
      <c r="BK47" s="29" t="s">
        <v>637</v>
      </c>
    </row>
    <row r="49" customFormat="false" ht="18" hidden="false" customHeight="true" outlineLevel="0" collapsed="false">
      <c r="A49" s="25" t="s">
        <v>638</v>
      </c>
      <c r="B49" s="26"/>
      <c r="C49" s="26"/>
      <c r="D49" s="26"/>
      <c r="E49" s="26"/>
      <c r="F49" s="26"/>
      <c r="G49" s="26"/>
      <c r="H49" s="26"/>
      <c r="I49" s="26"/>
      <c r="J49" s="26"/>
    </row>
    <row r="50" customFormat="false" ht="15" hidden="false" customHeight="false" outlineLevel="0" collapsed="false">
      <c r="A50" s="162"/>
      <c r="B50" s="97" t="n">
        <v>2026</v>
      </c>
      <c r="C50" s="97" t="n">
        <v>2027</v>
      </c>
      <c r="D50" s="97" t="n">
        <v>2028</v>
      </c>
      <c r="E50" s="97" t="n">
        <v>2029</v>
      </c>
      <c r="F50" s="97" t="n">
        <v>2030</v>
      </c>
    </row>
    <row r="51" customFormat="false" ht="15" hidden="false" customHeight="false" outlineLevel="0" collapsed="false">
      <c r="A51" s="62" t="s">
        <v>639</v>
      </c>
      <c r="B51" s="163" t="n">
        <f aca="false">SUMIFS($B$45:$BI$45,$B$38:$BI$38,B$50)</f>
        <v>0</v>
      </c>
      <c r="C51" s="163" t="n">
        <f aca="false">SUMIFS($B$45:$BI$45,$B$38:$BI$38,C$50)</f>
        <v>510000</v>
      </c>
      <c r="D51" s="163" t="n">
        <f aca="false">SUMIFS($B$45:$BI$45,$B$38:$BI$38,D$50)</f>
        <v>1410000</v>
      </c>
      <c r="E51" s="163" t="n">
        <f aca="false">SUMIFS($B$45:$BI$45,$B$38:$BI$38,E$50)</f>
        <v>3039600</v>
      </c>
      <c r="F51" s="163" t="n">
        <f aca="false">SUMIFS($B$45:$BI$45,$B$38:$BI$38,F$50)</f>
        <v>4491600</v>
      </c>
    </row>
    <row r="52" customFormat="false" ht="15" hidden="false" customHeight="false" outlineLevel="0" collapsed="false">
      <c r="A52" s="27" t="s">
        <v>640</v>
      </c>
      <c r="B52" s="164" t="n">
        <f aca="false">SUMIFS($B$46:$BI$46,$B$38:$BI$38,B$50)</f>
        <v>21000</v>
      </c>
      <c r="C52" s="164" t="n">
        <f aca="false">SUMIFS($B$46:$BI$46,$B$38:$BI$38,C$50)</f>
        <v>0</v>
      </c>
      <c r="D52" s="164" t="n">
        <f aca="false">SUMIFS($B$46:$BI$46,$B$38:$BI$38,D$50)</f>
        <v>0</v>
      </c>
      <c r="E52" s="164" t="n">
        <f aca="false">SUMIFS($B$46:$BI$46,$B$38:$BI$38,E$50)</f>
        <v>0</v>
      </c>
      <c r="F52" s="164" t="n">
        <f aca="false">SUMIFS($B$46:$BI$46,$B$38:$BI$38,F$50)</f>
        <v>0</v>
      </c>
    </row>
    <row r="53" customFormat="false" ht="15" hidden="false" customHeight="false" outlineLevel="0" collapsed="false">
      <c r="A53" s="27" t="s">
        <v>641</v>
      </c>
      <c r="B53" s="164" t="n">
        <f aca="false">SUMIFS($B$47:$BI$47,$B$38:$BI$38,B$50)</f>
        <v>0</v>
      </c>
      <c r="C53" s="164" t="n">
        <f aca="false">SUMIFS($B$47:$BI$47,$B$38:$BI$38,C$50)</f>
        <v>180000</v>
      </c>
      <c r="D53" s="164" t="n">
        <f aca="false">SUMIFS($B$47:$BI$47,$B$38:$BI$38,D$50)</f>
        <v>180000</v>
      </c>
      <c r="E53" s="164" t="n">
        <f aca="false">SUMIFS($B$47:$BI$47,$B$38:$BI$38,E$50)</f>
        <v>384000</v>
      </c>
      <c r="F53" s="164" t="n">
        <f aca="false">SUMIFS($B$47:$BI$47,$B$38:$BI$38,F$50)</f>
        <v>384000</v>
      </c>
    </row>
    <row r="54" customFormat="false" ht="15" hidden="false" customHeight="false" outlineLevel="0" collapsed="false">
      <c r="A54" s="27" t="s">
        <v>642</v>
      </c>
      <c r="B54" s="165" t="n">
        <f aca="false">M41</f>
        <v>0</v>
      </c>
      <c r="C54" s="165" t="n">
        <f aca="false">Y41</f>
        <v>7</v>
      </c>
      <c r="D54" s="165" t="n">
        <f aca="false">AK41</f>
        <v>17</v>
      </c>
      <c r="E54" s="165" t="n">
        <f aca="false">AW41</f>
        <v>34</v>
      </c>
      <c r="F54" s="165" t="n">
        <f aca="false">BI41</f>
        <v>50</v>
      </c>
    </row>
    <row r="55" customFormat="false" ht="15" hidden="false" customHeight="false" outlineLevel="0" collapsed="false">
      <c r="A55" s="27" t="s">
        <v>643</v>
      </c>
      <c r="B55" s="166" t="n">
        <f aca="false">SUMIFS(Faturamento!$B$16:$BI$16,Faturamento!$B$6:$BI$6,B$50)</f>
        <v>39441.8</v>
      </c>
      <c r="C55" s="166" t="n">
        <f aca="false">SUMIFS(Faturamento!$B$16:$BI$16,Faturamento!$B$6:$BI$6,C$50)</f>
        <v>2878342.44871288</v>
      </c>
      <c r="D55" s="166" t="n">
        <f aca="false">SUMIFS(Faturamento!$B$16:$BI$16,Faturamento!$B$6:$BI$6,D$50)</f>
        <v>8769934.84813165</v>
      </c>
      <c r="E55" s="166" t="n">
        <f aca="false">SUMIFS(Faturamento!$B$16:$BI$16,Faturamento!$B$6:$BI$6,E$50)</f>
        <v>17990723.4514481</v>
      </c>
      <c r="F55" s="166" t="n">
        <f aca="false">SUMIFS(Faturamento!$B$16:$BI$16,Faturamento!$B$6:$BI$6,F$50)</f>
        <v>33253920.4920794</v>
      </c>
    </row>
    <row r="56" customFormat="false" ht="15" hidden="false" customHeight="false" outlineLevel="0" collapsed="false">
      <c r="A56" s="62" t="s">
        <v>644</v>
      </c>
      <c r="B56" s="167" t="n">
        <f aca="false">IFERROR(B53/B55,0)</f>
        <v>0</v>
      </c>
      <c r="C56" s="167" t="n">
        <f aca="false">IFERROR(C53/C55,0)</f>
        <v>0.0625359918798027</v>
      </c>
      <c r="D56" s="167" t="n">
        <f aca="false">IFERROR(D53/D55,0)</f>
        <v>0.0205246678700637</v>
      </c>
      <c r="E56" s="167" t="n">
        <f aca="false">IFERROR(E53/E55,0)</f>
        <v>0.0213443334302985</v>
      </c>
      <c r="F56" s="167" t="n">
        <f aca="false">IFERROR(F53/F55,0)</f>
        <v>0.0115475106188295</v>
      </c>
    </row>
    <row r="57" customFormat="false" ht="15" hidden="false" customHeight="false" outlineLevel="0" collapsed="false">
      <c r="A57" s="27" t="s">
        <v>645</v>
      </c>
      <c r="B57" s="168" t="str">
        <f aca="false">IF(B56&gt;=0.28,"Anexo III","Anexo V")</f>
        <v>Anexo V</v>
      </c>
      <c r="C57" s="168" t="str">
        <f aca="false">IF(C56&gt;=0.28,"Anexo III","Anexo V")</f>
        <v>Anexo V</v>
      </c>
      <c r="D57" s="168" t="str">
        <f aca="false">IF(D56&gt;=0.28,"Anexo III","Anexo V")</f>
        <v>Anexo V</v>
      </c>
      <c r="E57" s="168" t="str">
        <f aca="false">IF(E56&gt;=0.28,"Anexo III","Anexo V")</f>
        <v>Anexo V</v>
      </c>
      <c r="F57" s="168" t="str">
        <f aca="false">IF(F56&gt;=0.28,"Anexo III","Anexo V")</f>
        <v>Anexo V</v>
      </c>
    </row>
    <row r="58" customFormat="false" ht="15" hidden="false" customHeight="false" outlineLevel="0" collapsed="false">
      <c r="A58" s="101" t="s">
        <v>646</v>
      </c>
      <c r="B58" s="169" t="str">
        <f aca="false">CHOOSE(Premissas!$B$23,"Anexo III","Anexo V","Lucro Presumido")</f>
        <v>Anexo V</v>
      </c>
      <c r="C58" s="169" t="str">
        <f aca="false">CHOOSE(Premissas!$B$23,"Anexo III","Anexo V","Lucro Presumido")</f>
        <v>Anexo V</v>
      </c>
      <c r="D58" s="169" t="str">
        <f aca="false">CHOOSE(Premissas!$B$23,"Anexo III","Anexo V","Lucro Presumido")</f>
        <v>Anexo V</v>
      </c>
      <c r="E58" s="169" t="str">
        <f aca="false">CHOOSE(Premissas!$B$23,"Anexo III","Anexo V","Lucro Presumido")</f>
        <v>Anexo V</v>
      </c>
      <c r="F58" s="169" t="str">
        <f aca="false">CHOOSE(Premissas!$B$23,"Anexo III","Anexo V","Lucro Presumido")</f>
        <v>Anexo V</v>
      </c>
    </row>
    <row r="59" customFormat="false" ht="15" hidden="false" customHeight="false" outlineLevel="0" collapsed="false">
      <c r="A59" s="62" t="s">
        <v>647</v>
      </c>
      <c r="B59" s="43" t="str">
        <f aca="false">IF(Premissas!$B$23=3,"n/a",IF(B58=B57,"✔ SIM","⚠ NÃO"))</f>
        <v>✔ SIM</v>
      </c>
      <c r="C59" s="43" t="str">
        <f aca="false">IF(Premissas!$B$23=3,"n/a",IF(C58=C57,"✔ SIM","⚠ NÃO"))</f>
        <v>✔ SIM</v>
      </c>
      <c r="D59" s="43" t="str">
        <f aca="false">IF(Premissas!$B$23=3,"n/a",IF(D58=D57,"✔ SIM","⚠ NÃO"))</f>
        <v>✔ SIM</v>
      </c>
      <c r="E59" s="43" t="str">
        <f aca="false">IF(Premissas!$B$23=3,"n/a",IF(E58=E57,"✔ SIM","⚠ NÃO"))</f>
        <v>✔ SIM</v>
      </c>
      <c r="F59" s="43" t="str">
        <f aca="false">IF(Premissas!$B$23=3,"n/a",IF(F58=F57,"✔ SIM","⚠ NÃO"))</f>
        <v>✔ SIM</v>
      </c>
    </row>
    <row r="60" customFormat="false" ht="15" hidden="false" customHeight="false" outlineLevel="0" collapsed="false">
      <c r="A60" s="101" t="s">
        <v>648</v>
      </c>
      <c r="B60" s="170" t="n">
        <f aca="false">IFERROR(B51/B55,0)</f>
        <v>0</v>
      </c>
      <c r="C60" s="170" t="n">
        <f aca="false">IFERROR(C51/C55,0)</f>
        <v>0.177185310326108</v>
      </c>
      <c r="D60" s="170" t="n">
        <f aca="false">IFERROR(D51/D55,0)</f>
        <v>0.160776564982166</v>
      </c>
      <c r="E60" s="170" t="n">
        <f aca="false">IFERROR(E51/E55,0)</f>
        <v>0.168953739309207</v>
      </c>
      <c r="F60" s="170" t="n">
        <f aca="false">IFERROR(F51/F55,0)</f>
        <v>0.135069788269622</v>
      </c>
    </row>
    <row r="62" customFormat="false" ht="15" hidden="false" customHeight="false" outlineLevel="0" collapsed="false">
      <c r="A62" s="171" t="s">
        <v>649</v>
      </c>
    </row>
    <row r="63" customFormat="false" ht="43.5" hidden="false" customHeight="true" outlineLevel="0" collapsed="false">
      <c r="A63" s="51" t="s">
        <v>650</v>
      </c>
      <c r="B63" s="51"/>
      <c r="C63" s="51"/>
      <c r="D63" s="51"/>
      <c r="E63" s="51"/>
      <c r="F63" s="51"/>
      <c r="G63" s="51"/>
      <c r="H63" s="51"/>
      <c r="I63" s="51"/>
      <c r="J63" s="51"/>
    </row>
    <row r="64" customFormat="false" ht="15" hidden="false" customHeight="false" outlineLevel="0" collapsed="false">
      <c r="A64" s="171" t="s">
        <v>651</v>
      </c>
    </row>
    <row r="65" customFormat="false" ht="43.5" hidden="false" customHeight="true" outlineLevel="0" collapsed="false">
      <c r="A65" s="51" t="s">
        <v>652</v>
      </c>
      <c r="B65" s="51"/>
      <c r="C65" s="51"/>
      <c r="D65" s="51"/>
      <c r="E65" s="51"/>
      <c r="F65" s="51"/>
      <c r="G65" s="51"/>
      <c r="H65" s="51"/>
      <c r="I65" s="51"/>
      <c r="J65" s="51"/>
    </row>
    <row r="66" customFormat="false" ht="15" hidden="false" customHeight="false" outlineLevel="0" collapsed="false">
      <c r="A66" s="171" t="s">
        <v>653</v>
      </c>
    </row>
    <row r="67" customFormat="false" ht="43.5" hidden="false" customHeight="true" outlineLevel="0" collapsed="false">
      <c r="A67" s="51" t="s">
        <v>654</v>
      </c>
      <c r="B67" s="51"/>
      <c r="C67" s="51"/>
      <c r="D67" s="51"/>
      <c r="E67" s="51"/>
      <c r="F67" s="51"/>
      <c r="G67" s="51"/>
      <c r="H67" s="51"/>
      <c r="I67" s="51"/>
      <c r="J67" s="51"/>
    </row>
  </sheetData>
  <mergeCells count="3">
    <mergeCell ref="A63:J63"/>
    <mergeCell ref="A65:J65"/>
    <mergeCell ref="A67:J67"/>
  </mergeCells>
  <dataValidations count="3">
    <dataValidation allowBlank="true" errorStyle="stop" operator="between" showDropDown="false" showErrorMessage="false" showInputMessage="false" sqref="B6:B32" type="list">
      <formula1>"PJ,CLT,Sócio"</formula1>
      <formula2>0</formula2>
    </dataValidation>
    <dataValidation allowBlank="true" errorStyle="stop" operator="between" showDropDown="false" showErrorMessage="false" showInputMessage="false" sqref="C6:C32" type="list">
      <formula1>"Contratado,Plano"</formula1>
      <formula2>0</formula2>
    </dataValidation>
    <dataValidation allowBlank="true" errorStyle="stop" operator="between" showDropDown="false" showErrorMessage="false" showInputMessage="false" sqref="J6:J32" type="list">
      <formula1>"Despesa,Investimento"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7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66"/>
  </cols>
  <sheetData>
    <row r="1" customFormat="false" ht="25.5" hidden="false" customHeight="true" outlineLevel="0" collapsed="false">
      <c r="A1" s="1" t="s">
        <v>655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656</v>
      </c>
    </row>
    <row r="4" customFormat="false" ht="18" hidden="false" customHeight="true" outlineLevel="0" collapsed="false">
      <c r="A4" s="25" t="s">
        <v>657</v>
      </c>
      <c r="B4" s="26"/>
      <c r="C4" s="26"/>
      <c r="D4" s="26"/>
      <c r="E4" s="26"/>
      <c r="F4" s="26"/>
      <c r="G4" s="26"/>
      <c r="H4" s="26"/>
      <c r="I4" s="26"/>
    </row>
    <row r="5" customFormat="false" ht="42" hidden="false" customHeight="true" outlineLevel="0" collapsed="false">
      <c r="A5" s="172" t="s">
        <v>658</v>
      </c>
      <c r="B5" s="172"/>
      <c r="C5" s="172"/>
      <c r="D5" s="172"/>
      <c r="E5" s="172"/>
      <c r="F5" s="172"/>
      <c r="G5" s="172"/>
    </row>
    <row r="6" customFormat="false" ht="30" hidden="false" customHeight="true" outlineLevel="0" collapsed="false">
      <c r="A6" s="118" t="s">
        <v>621</v>
      </c>
      <c r="B6" s="118" t="s">
        <v>593</v>
      </c>
      <c r="C6" s="118" t="s">
        <v>659</v>
      </c>
      <c r="D6" s="118" t="s">
        <v>660</v>
      </c>
      <c r="E6" s="118" t="s">
        <v>661</v>
      </c>
      <c r="F6" s="118" t="s">
        <v>662</v>
      </c>
      <c r="G6" s="118" t="s">
        <v>663</v>
      </c>
    </row>
    <row r="7" customFormat="false" ht="15" hidden="false" customHeight="false" outlineLevel="0" collapsed="false">
      <c r="A7" s="153" t="s">
        <v>664</v>
      </c>
      <c r="B7" s="154" t="s">
        <v>665</v>
      </c>
      <c r="C7" s="173" t="n">
        <v>0.13</v>
      </c>
      <c r="D7" s="173" t="n">
        <v>0.25</v>
      </c>
      <c r="E7" s="174" t="n">
        <f aca="false">IF($A7="",0,SUMIFS(Aportes!$C$6:$C$37,Aportes!$B$6:$B$37,$A7)+SUMIFS(Aportes!$C$43:$C$50,Aportes!$A$43:$A$50,$A7))</f>
        <v>20000</v>
      </c>
      <c r="F7" s="175" t="n">
        <f aca="false">IFERROR($E7/$E$20,0)</f>
        <v>0.1</v>
      </c>
      <c r="G7" s="175" t="n">
        <f aca="false">$C7-$F7</f>
        <v>0.03</v>
      </c>
    </row>
    <row r="8" customFormat="false" ht="15" hidden="false" customHeight="false" outlineLevel="0" collapsed="false">
      <c r="A8" s="153" t="s">
        <v>666</v>
      </c>
      <c r="B8" s="154" t="s">
        <v>665</v>
      </c>
      <c r="C8" s="173" t="n">
        <v>0.13</v>
      </c>
      <c r="D8" s="173" t="n">
        <v>0.25</v>
      </c>
      <c r="E8" s="174" t="n">
        <f aca="false">IF($A8="",0,SUMIFS(Aportes!$C$6:$C$37,Aportes!$B$6:$B$37,$A8)+SUMIFS(Aportes!$C$43:$C$50,Aportes!$A$43:$A$50,$A8))</f>
        <v>20000</v>
      </c>
      <c r="F8" s="175" t="n">
        <f aca="false">IFERROR($E8/$E$20,0)</f>
        <v>0.1</v>
      </c>
      <c r="G8" s="175" t="n">
        <f aca="false">$C8-$F8</f>
        <v>0.03</v>
      </c>
    </row>
    <row r="9" customFormat="false" ht="15" hidden="false" customHeight="false" outlineLevel="0" collapsed="false">
      <c r="A9" s="153" t="s">
        <v>667</v>
      </c>
      <c r="B9" s="154" t="s">
        <v>665</v>
      </c>
      <c r="C9" s="173" t="n">
        <v>0.13</v>
      </c>
      <c r="D9" s="173" t="n">
        <v>0.25</v>
      </c>
      <c r="E9" s="174" t="n">
        <f aca="false">IF($A9="",0,SUMIFS(Aportes!$C$6:$C$37,Aportes!$B$6:$B$37,$A9)+SUMIFS(Aportes!$C$43:$C$50,Aportes!$A$43:$A$50,$A9))</f>
        <v>20000</v>
      </c>
      <c r="F9" s="175" t="n">
        <f aca="false">IFERROR($E9/$E$20,0)</f>
        <v>0.1</v>
      </c>
      <c r="G9" s="175" t="n">
        <f aca="false">$C9-$F9</f>
        <v>0.03</v>
      </c>
    </row>
    <row r="10" customFormat="false" ht="15" hidden="false" customHeight="false" outlineLevel="0" collapsed="false">
      <c r="A10" s="153" t="s">
        <v>668</v>
      </c>
      <c r="B10" s="154" t="s">
        <v>665</v>
      </c>
      <c r="C10" s="173" t="n">
        <v>0.13</v>
      </c>
      <c r="D10" s="173" t="n">
        <v>0.25</v>
      </c>
      <c r="E10" s="174" t="n">
        <f aca="false">IF($A10="",0,SUMIFS(Aportes!$C$6:$C$37,Aportes!$B$6:$B$37,$A10)+SUMIFS(Aportes!$C$43:$C$50,Aportes!$A$43:$A$50,$A10))</f>
        <v>20000</v>
      </c>
      <c r="F10" s="175" t="n">
        <f aca="false">IFERROR($E10/$E$20,0)</f>
        <v>0.1</v>
      </c>
      <c r="G10" s="175" t="n">
        <f aca="false">$C10-$F10</f>
        <v>0.03</v>
      </c>
    </row>
    <row r="11" customFormat="false" ht="15" hidden="false" customHeight="false" outlineLevel="0" collapsed="false">
      <c r="A11" s="153" t="s">
        <v>669</v>
      </c>
      <c r="B11" s="154" t="s">
        <v>670</v>
      </c>
      <c r="C11" s="173" t="n">
        <v>0.16</v>
      </c>
      <c r="D11" s="173" t="n">
        <v>0</v>
      </c>
      <c r="E11" s="174" t="n">
        <f aca="false">IF($A11="",0,SUMIFS(Aportes!$C$6:$C$37,Aportes!$B$6:$B$37,$A11)+SUMIFS(Aportes!$C$43:$C$50,Aportes!$A$43:$A$50,$A11))</f>
        <v>40000</v>
      </c>
      <c r="F11" s="175" t="n">
        <f aca="false">IFERROR($E11/$E$20,0)</f>
        <v>0.2</v>
      </c>
      <c r="G11" s="175" t="n">
        <f aca="false">$C11-$F11</f>
        <v>-0.04</v>
      </c>
    </row>
    <row r="12" customFormat="false" ht="15" hidden="false" customHeight="false" outlineLevel="0" collapsed="false">
      <c r="A12" s="153" t="s">
        <v>671</v>
      </c>
      <c r="B12" s="154" t="s">
        <v>670</v>
      </c>
      <c r="C12" s="173" t="n">
        <v>0.16</v>
      </c>
      <c r="D12" s="173" t="n">
        <v>0</v>
      </c>
      <c r="E12" s="174" t="n">
        <f aca="false">IF($A12="",0,SUMIFS(Aportes!$C$6:$C$37,Aportes!$B$6:$B$37,$A12)+SUMIFS(Aportes!$C$43:$C$50,Aportes!$A$43:$A$50,$A12))</f>
        <v>40000</v>
      </c>
      <c r="F12" s="175" t="n">
        <f aca="false">IFERROR($E12/$E$20,0)</f>
        <v>0.2</v>
      </c>
      <c r="G12" s="175" t="n">
        <f aca="false">$C12-$F12</f>
        <v>-0.04</v>
      </c>
    </row>
    <row r="13" customFormat="false" ht="15" hidden="false" customHeight="false" outlineLevel="0" collapsed="false">
      <c r="A13" s="153" t="s">
        <v>672</v>
      </c>
      <c r="B13" s="154" t="s">
        <v>670</v>
      </c>
      <c r="C13" s="173" t="n">
        <v>0.16</v>
      </c>
      <c r="D13" s="173" t="n">
        <v>0</v>
      </c>
      <c r="E13" s="174" t="n">
        <f aca="false">IF($A13="",0,SUMIFS(Aportes!$C$6:$C$37,Aportes!$B$6:$B$37,$A13)+SUMIFS(Aportes!$C$43:$C$50,Aportes!$A$43:$A$50,$A13))</f>
        <v>40000</v>
      </c>
      <c r="F13" s="175" t="n">
        <f aca="false">IFERROR($E13/$E$20,0)</f>
        <v>0.2</v>
      </c>
      <c r="G13" s="175" t="n">
        <f aca="false">$C13-$F13</f>
        <v>-0.04</v>
      </c>
    </row>
    <row r="14" customFormat="false" ht="15" hidden="false" customHeight="false" outlineLevel="0" collapsed="false">
      <c r="A14" s="153"/>
      <c r="B14" s="154" t="s">
        <v>670</v>
      </c>
      <c r="C14" s="157" t="n">
        <v>0</v>
      </c>
      <c r="D14" s="157" t="n">
        <v>0</v>
      </c>
      <c r="E14" s="174" t="n">
        <f aca="false">IF($A14="",0,SUMIFS(Aportes!$C$6:$C$37,Aportes!$B$6:$B$37,$A14)+SUMIFS(Aportes!$C$43:$C$50,Aportes!$A$43:$A$50,$A14))</f>
        <v>0</v>
      </c>
      <c r="F14" s="175" t="n">
        <f aca="false">IFERROR($E14/$E$20,0)</f>
        <v>0</v>
      </c>
      <c r="G14" s="175" t="n">
        <f aca="false">$C14-$F14</f>
        <v>0</v>
      </c>
    </row>
    <row r="15" customFormat="false" ht="15" hidden="false" customHeight="false" outlineLevel="0" collapsed="false">
      <c r="A15" s="153"/>
      <c r="B15" s="154" t="s">
        <v>670</v>
      </c>
      <c r="C15" s="157" t="n">
        <v>0</v>
      </c>
      <c r="D15" s="157" t="n">
        <v>0</v>
      </c>
      <c r="E15" s="174" t="n">
        <f aca="false">IF($A15="",0,SUMIFS(Aportes!$C$6:$C$37,Aportes!$B$6:$B$37,$A15)+SUMIFS(Aportes!$C$43:$C$50,Aportes!$A$43:$A$50,$A15))</f>
        <v>0</v>
      </c>
      <c r="F15" s="175" t="n">
        <f aca="false">IFERROR($E15/$E$20,0)</f>
        <v>0</v>
      </c>
      <c r="G15" s="175" t="n">
        <f aca="false">$C15-$F15</f>
        <v>0</v>
      </c>
    </row>
    <row r="16" customFormat="false" ht="15" hidden="false" customHeight="false" outlineLevel="0" collapsed="false">
      <c r="A16" s="153"/>
      <c r="B16" s="154" t="s">
        <v>670</v>
      </c>
      <c r="C16" s="157" t="n">
        <v>0</v>
      </c>
      <c r="D16" s="157" t="n">
        <v>0</v>
      </c>
      <c r="E16" s="174" t="n">
        <f aca="false">IF($A16="",0,SUMIFS(Aportes!$C$6:$C$37,Aportes!$B$6:$B$37,$A16)+SUMIFS(Aportes!$C$43:$C$50,Aportes!$A$43:$A$50,$A16))</f>
        <v>0</v>
      </c>
      <c r="F16" s="175" t="n">
        <f aca="false">IFERROR($E16/$E$20,0)</f>
        <v>0</v>
      </c>
      <c r="G16" s="175" t="n">
        <f aca="false">$C16-$F16</f>
        <v>0</v>
      </c>
    </row>
    <row r="17" customFormat="false" ht="15" hidden="false" customHeight="false" outlineLevel="0" collapsed="false">
      <c r="A17" s="153"/>
      <c r="B17" s="154" t="s">
        <v>670</v>
      </c>
      <c r="C17" s="157" t="n">
        <v>0</v>
      </c>
      <c r="D17" s="157" t="n">
        <v>0</v>
      </c>
      <c r="E17" s="174" t="n">
        <f aca="false">IF($A17="",0,SUMIFS(Aportes!$C$6:$C$37,Aportes!$B$6:$B$37,$A17)+SUMIFS(Aportes!$C$43:$C$50,Aportes!$A$43:$A$50,$A17))</f>
        <v>0</v>
      </c>
      <c r="F17" s="175" t="n">
        <f aca="false">IFERROR($E17/$E$20,0)</f>
        <v>0</v>
      </c>
      <c r="G17" s="175" t="n">
        <f aca="false">$C17-$F17</f>
        <v>0</v>
      </c>
    </row>
    <row r="18" customFormat="false" ht="15" hidden="false" customHeight="false" outlineLevel="0" collapsed="false">
      <c r="A18" s="153"/>
      <c r="B18" s="154" t="s">
        <v>670</v>
      </c>
      <c r="C18" s="157" t="n">
        <v>0</v>
      </c>
      <c r="D18" s="157" t="n">
        <v>0</v>
      </c>
      <c r="E18" s="174" t="n">
        <f aca="false">IF($A18="",0,SUMIFS(Aportes!$C$6:$C$37,Aportes!$B$6:$B$37,$A18)+SUMIFS(Aportes!$C$43:$C$50,Aportes!$A$43:$A$50,$A18))</f>
        <v>0</v>
      </c>
      <c r="F18" s="175" t="n">
        <f aca="false">IFERROR($E18/$E$20,0)</f>
        <v>0</v>
      </c>
      <c r="G18" s="175" t="n">
        <f aca="false">$C18-$F18</f>
        <v>0</v>
      </c>
    </row>
    <row r="19" customFormat="false" ht="15" hidden="false" customHeight="false" outlineLevel="0" collapsed="false">
      <c r="A19" s="153"/>
      <c r="B19" s="154" t="s">
        <v>670</v>
      </c>
      <c r="C19" s="157" t="n">
        <v>0</v>
      </c>
      <c r="D19" s="157" t="n">
        <v>0</v>
      </c>
      <c r="E19" s="174" t="n">
        <f aca="false">IF($A19="",0,SUMIFS(Aportes!$C$6:$C$37,Aportes!$B$6:$B$37,$A19)+SUMIFS(Aportes!$C$43:$C$50,Aportes!$A$43:$A$50,$A19))</f>
        <v>0</v>
      </c>
      <c r="F19" s="175" t="n">
        <f aca="false">IFERROR($E19/$E$20,0)</f>
        <v>0</v>
      </c>
      <c r="G19" s="175" t="n">
        <f aca="false">$C19-$F19</f>
        <v>0</v>
      </c>
    </row>
    <row r="20" customFormat="false" ht="15" hidden="false" customHeight="false" outlineLevel="0" collapsed="false">
      <c r="A20" s="160" t="s">
        <v>230</v>
      </c>
      <c r="C20" s="176" t="n">
        <f aca="false">SUM(C7:C19)</f>
        <v>1</v>
      </c>
      <c r="D20" s="176" t="n">
        <f aca="false">SUM(D7:D19)</f>
        <v>1</v>
      </c>
      <c r="E20" s="32" t="n">
        <f aca="false">SUM(E7:E19)</f>
        <v>200000</v>
      </c>
      <c r="F20" s="176" t="n">
        <f aca="false">SUM(F7:F19)</f>
        <v>1</v>
      </c>
    </row>
    <row r="21" customFormat="false" ht="15" hidden="false" customHeight="false" outlineLevel="0" collapsed="false">
      <c r="A21" s="177" t="s">
        <v>673</v>
      </c>
      <c r="C21" s="178" t="str">
        <f aca="false">IF(ROUND(C20,6)=1,"✔ SIM","⚠ NÃO — ajuste")</f>
        <v>✔ SIM</v>
      </c>
      <c r="I21" s="29" t="s">
        <v>674</v>
      </c>
    </row>
    <row r="23" customFormat="false" ht="18" hidden="false" customHeight="true" outlineLevel="0" collapsed="false">
      <c r="A23" s="25" t="s">
        <v>675</v>
      </c>
      <c r="B23" s="26"/>
      <c r="C23" s="26"/>
      <c r="D23" s="26"/>
      <c r="E23" s="26"/>
      <c r="F23" s="26"/>
      <c r="G23" s="26"/>
      <c r="H23" s="26"/>
      <c r="I23" s="26"/>
    </row>
    <row r="24" customFormat="false" ht="15" hidden="false" customHeight="false" outlineLevel="0" collapsed="false">
      <c r="A24" s="27" t="s">
        <v>676</v>
      </c>
      <c r="B24" s="103" t="n">
        <v>6</v>
      </c>
    </row>
    <row r="25" customFormat="false" ht="15" hidden="false" customHeight="false" outlineLevel="0" collapsed="false">
      <c r="A25" s="27" t="s">
        <v>677</v>
      </c>
      <c r="B25" s="104" t="n">
        <v>0</v>
      </c>
      <c r="C25" s="104" t="n">
        <v>0</v>
      </c>
      <c r="D25" s="104" t="n">
        <v>0.3</v>
      </c>
      <c r="E25" s="104" t="n">
        <v>0.5</v>
      </c>
      <c r="F25" s="104" t="n">
        <v>0.5</v>
      </c>
      <c r="I25" s="29" t="s">
        <v>678</v>
      </c>
    </row>
    <row r="27" customFormat="false" ht="18" hidden="false" customHeight="true" outlineLevel="0" collapsed="false">
      <c r="A27" s="25" t="s">
        <v>679</v>
      </c>
      <c r="B27" s="26"/>
      <c r="C27" s="26"/>
      <c r="D27" s="26"/>
      <c r="E27" s="26"/>
      <c r="F27" s="26"/>
      <c r="G27" s="26"/>
      <c r="H27" s="26"/>
      <c r="I27" s="26"/>
    </row>
    <row r="28" customFormat="false" ht="15" hidden="false" customHeight="false" outlineLevel="0" collapsed="false">
      <c r="A28" s="162"/>
      <c r="B28" s="97" t="n">
        <v>2026</v>
      </c>
      <c r="C28" s="97" t="n">
        <v>2027</v>
      </c>
      <c r="D28" s="97" t="n">
        <v>2028</v>
      </c>
      <c r="E28" s="97" t="n">
        <v>2029</v>
      </c>
      <c r="F28" s="97" t="n">
        <v>2030</v>
      </c>
      <c r="G28" s="179" t="s">
        <v>230</v>
      </c>
    </row>
    <row r="29" customFormat="false" ht="15" hidden="false" customHeight="false" outlineLevel="0" collapsed="false">
      <c r="A29" s="66" t="s">
        <v>680</v>
      </c>
      <c r="B29" s="166" t="n">
        <f aca="false">'DRE Projetada'!B65</f>
        <v>-127160.798783333</v>
      </c>
      <c r="C29" s="166" t="n">
        <f aca="false">'DRE Projetada'!C65</f>
        <v>316660.501014253</v>
      </c>
      <c r="D29" s="166" t="n">
        <f aca="false">'DRE Projetada'!D65</f>
        <v>2140204.26885558</v>
      </c>
      <c r="E29" s="166" t="n">
        <f aca="false">'DRE Projetada'!E65</f>
        <v>4856792.82622393</v>
      </c>
      <c r="F29" s="166" t="n">
        <f aca="false">'DRE Projetada'!F65</f>
        <v>10789169.4675503</v>
      </c>
      <c r="G29" s="180" t="n">
        <f aca="false">SUM(B29:F29)</f>
        <v>17975666.2648608</v>
      </c>
      <c r="I29" s="29" t="s">
        <v>681</v>
      </c>
    </row>
    <row r="30" customFormat="false" ht="15" hidden="false" customHeight="false" outlineLevel="0" collapsed="false">
      <c r="A30" s="27" t="s">
        <v>682</v>
      </c>
      <c r="B30" s="164" t="n">
        <f aca="false">B29</f>
        <v>-127160.798783333</v>
      </c>
      <c r="C30" s="164" t="n">
        <f aca="false">B30+C29</f>
        <v>189499.702230919</v>
      </c>
      <c r="D30" s="164" t="n">
        <f aca="false">C30+D29</f>
        <v>2329703.9710865</v>
      </c>
      <c r="E30" s="164" t="n">
        <f aca="false">D30+E29</f>
        <v>7186496.79731044</v>
      </c>
      <c r="F30" s="164" t="n">
        <f aca="false">E30+F29</f>
        <v>17975666.2648608</v>
      </c>
      <c r="I30" s="29" t="s">
        <v>683</v>
      </c>
    </row>
    <row r="31" customFormat="false" ht="15" hidden="false" customHeight="false" outlineLevel="0" collapsed="false">
      <c r="A31" s="71" t="s">
        <v>684</v>
      </c>
      <c r="B31" s="181" t="n">
        <f aca="false">0</f>
        <v>0</v>
      </c>
      <c r="C31" s="181" t="n">
        <f aca="false">B40</f>
        <v>0</v>
      </c>
      <c r="D31" s="181" t="n">
        <f aca="false">C40</f>
        <v>0</v>
      </c>
      <c r="E31" s="181" t="n">
        <f aca="false">D40</f>
        <v>0</v>
      </c>
      <c r="F31" s="181" t="n">
        <f aca="false">E40</f>
        <v>381804.996682497</v>
      </c>
      <c r="I31" s="29" t="s">
        <v>685</v>
      </c>
    </row>
    <row r="32" customFormat="false" ht="15" hidden="false" customHeight="false" outlineLevel="0" collapsed="false">
      <c r="A32" s="27" t="s">
        <v>686</v>
      </c>
      <c r="B32" s="164" t="n">
        <f aca="false">MAX(0,B30-B31)</f>
        <v>0</v>
      </c>
      <c r="C32" s="164" t="n">
        <f aca="false">MAX(0,C30-C31)</f>
        <v>189499.702230919</v>
      </c>
      <c r="D32" s="164" t="n">
        <f aca="false">MAX(0,D30-D31)</f>
        <v>2329703.9710865</v>
      </c>
      <c r="E32" s="164" t="n">
        <f aca="false">MAX(0,E30-E31)</f>
        <v>7186496.79731044</v>
      </c>
      <c r="F32" s="164" t="n">
        <f aca="false">MAX(0,F30-F31)</f>
        <v>17593861.2681783</v>
      </c>
    </row>
    <row r="33" customFormat="false" ht="15" hidden="false" customHeight="false" outlineLevel="0" collapsed="false">
      <c r="A33" s="66" t="s">
        <v>687</v>
      </c>
      <c r="B33" s="166" t="n">
        <f aca="false">'Análise Fluxo'!M39</f>
        <v>8894.90255</v>
      </c>
      <c r="C33" s="166" t="n">
        <f aca="false">'Análise Fluxo'!Y39</f>
        <v>324264.300897586</v>
      </c>
      <c r="D33" s="166" t="n">
        <f aca="false">'Análise Fluxo'!AK39</f>
        <v>2466794.13375317</v>
      </c>
      <c r="E33" s="166" t="n">
        <f aca="false">'Análise Fluxo'!AW39</f>
        <v>7319912.5239771</v>
      </c>
      <c r="F33" s="166" t="n">
        <f aca="false">'Análise Fluxo'!BI39</f>
        <v>18105907.5555274</v>
      </c>
    </row>
    <row r="34" customFormat="false" ht="15" hidden="false" customHeight="false" outlineLevel="0" collapsed="false">
      <c r="A34" s="71" t="s">
        <v>688</v>
      </c>
      <c r="B34" s="181" t="n">
        <f aca="false">-B31</f>
        <v>-0</v>
      </c>
      <c r="C34" s="181" t="n">
        <f aca="false">-C31</f>
        <v>-0</v>
      </c>
      <c r="D34" s="181" t="n">
        <f aca="false">-D31</f>
        <v>-0</v>
      </c>
      <c r="E34" s="181" t="n">
        <f aca="false">-E31</f>
        <v>-0</v>
      </c>
      <c r="F34" s="181" t="n">
        <f aca="false">-F31</f>
        <v>-381804.996682497</v>
      </c>
    </row>
    <row r="35" customFormat="false" ht="15" hidden="false" customHeight="false" outlineLevel="0" collapsed="false">
      <c r="A35" s="27" t="s">
        <v>689</v>
      </c>
      <c r="B35" s="164" t="n">
        <f aca="false">-$B$24*ABS(SUMIFS('Análise Fluxo'!$B$28:$BI$28,'Análise Fluxo'!$B$6:$BI$6,B$28))/12</f>
        <v>-82209.538725</v>
      </c>
      <c r="C35" s="164" t="n">
        <f aca="false">-$B$24*ABS(SUMIFS('Análise Fluxo'!$B$28:$BI$28,'Análise Fluxo'!$B$6:$BI$6,C$28))/12</f>
        <v>-1274986.52518265</v>
      </c>
      <c r="D35" s="164" t="n">
        <f aca="false">-$B$24*ABS(SUMIFS('Análise Fluxo'!$B$28:$BI$28,'Análise Fluxo'!$B$6:$BI$6,D$28))/12</f>
        <v>-3306202.50763804</v>
      </c>
      <c r="E35" s="164" t="n">
        <f aca="false">-$B$24*ABS(SUMIFS('Análise Fluxo'!$B$28:$BI$28,'Análise Fluxo'!$B$6:$BI$6,E$28))/12</f>
        <v>-6556302.53061211</v>
      </c>
      <c r="F35" s="164" t="n">
        <f aca="false">-$B$24*ABS(SUMIFS('Análise Fluxo'!$B$28:$BI$28,'Análise Fluxo'!$B$6:$BI$6,F$28))/12</f>
        <v>-11218962.7302645</v>
      </c>
      <c r="I35" s="29" t="s">
        <v>690</v>
      </c>
    </row>
    <row r="36" customFormat="false" ht="15" hidden="false" customHeight="false" outlineLevel="0" collapsed="false">
      <c r="A36" s="27" t="s">
        <v>691</v>
      </c>
      <c r="B36" s="164" t="n">
        <f aca="false">MAX(0,B33+B34+B35)</f>
        <v>0</v>
      </c>
      <c r="C36" s="164" t="n">
        <f aca="false">MAX(0,C33+C34+C35)</f>
        <v>0</v>
      </c>
      <c r="D36" s="164" t="n">
        <f aca="false">MAX(0,D33+D34+D35)</f>
        <v>0</v>
      </c>
      <c r="E36" s="164" t="n">
        <f aca="false">MAX(0,E33+E34+E35)</f>
        <v>763609.993364994</v>
      </c>
      <c r="F36" s="164" t="n">
        <f aca="false">MAX(0,F33+F34+F35)</f>
        <v>6505139.82858039</v>
      </c>
    </row>
    <row r="37" customFormat="false" ht="15" hidden="false" customHeight="false" outlineLevel="0" collapsed="false">
      <c r="A37" s="62" t="s">
        <v>692</v>
      </c>
      <c r="B37" s="180" t="n">
        <f aca="false">MIN(B32,B36)</f>
        <v>0</v>
      </c>
      <c r="C37" s="180" t="n">
        <f aca="false">MIN(C32,C36)</f>
        <v>0</v>
      </c>
      <c r="D37" s="180" t="n">
        <f aca="false">MIN(D32,D36)</f>
        <v>0</v>
      </c>
      <c r="E37" s="180" t="n">
        <f aca="false">MIN(E32,E36)</f>
        <v>763609.993364994</v>
      </c>
      <c r="F37" s="180" t="n">
        <f aca="false">MIN(F32,F36)</f>
        <v>6505139.82858039</v>
      </c>
      <c r="I37" s="29" t="s">
        <v>693</v>
      </c>
    </row>
    <row r="38" customFormat="false" ht="15" hidden="false" customHeight="false" outlineLevel="0" collapsed="false">
      <c r="A38" s="71" t="s">
        <v>694</v>
      </c>
      <c r="B38" s="170" t="n">
        <f aca="false">B25</f>
        <v>0</v>
      </c>
      <c r="C38" s="170" t="n">
        <f aca="false">C25</f>
        <v>0</v>
      </c>
      <c r="D38" s="170" t="n">
        <f aca="false">D25</f>
        <v>0.3</v>
      </c>
      <c r="E38" s="170" t="n">
        <f aca="false">E25</f>
        <v>0.5</v>
      </c>
      <c r="F38" s="170" t="n">
        <f aca="false">F25</f>
        <v>0.5</v>
      </c>
    </row>
    <row r="39" customFormat="false" ht="15" hidden="false" customHeight="false" outlineLevel="0" collapsed="false">
      <c r="A39" s="62" t="s">
        <v>695</v>
      </c>
      <c r="B39" s="180" t="n">
        <f aca="false">B37*B38</f>
        <v>0</v>
      </c>
      <c r="C39" s="180" t="n">
        <f aca="false">C37*C38</f>
        <v>0</v>
      </c>
      <c r="D39" s="180" t="n">
        <f aca="false">D37*D38</f>
        <v>0</v>
      </c>
      <c r="E39" s="180" t="n">
        <f aca="false">E37*E38</f>
        <v>381804.996682497</v>
      </c>
      <c r="F39" s="180" t="n">
        <f aca="false">F37*F38</f>
        <v>3252569.9142902</v>
      </c>
      <c r="G39" s="180" t="n">
        <f aca="false">SUM(B39:F39)</f>
        <v>3634374.91097269</v>
      </c>
    </row>
    <row r="40" customFormat="false" ht="15" hidden="false" customHeight="false" outlineLevel="0" collapsed="false">
      <c r="A40" s="27" t="s">
        <v>696</v>
      </c>
      <c r="B40" s="164" t="n">
        <f aca="false">B39</f>
        <v>0</v>
      </c>
      <c r="C40" s="164" t="n">
        <f aca="false">B40+C39</f>
        <v>0</v>
      </c>
      <c r="D40" s="164" t="n">
        <f aca="false">C40+D39</f>
        <v>0</v>
      </c>
      <c r="E40" s="164" t="n">
        <f aca="false">D40+E39</f>
        <v>381804.996682497</v>
      </c>
      <c r="F40" s="164" t="n">
        <f aca="false">E40+F39</f>
        <v>3634374.91097269</v>
      </c>
    </row>
    <row r="41" customFormat="false" ht="15" hidden="false" customHeight="false" outlineLevel="0" collapsed="false">
      <c r="A41" s="66" t="s">
        <v>697</v>
      </c>
      <c r="B41" s="166" t="n">
        <f aca="false">SUMIFS(Pessoas!$B$44:$BI$44,Pessoas!$B$38:$BI$38,B$28)</f>
        <v>0</v>
      </c>
      <c r="C41" s="166" t="n">
        <f aca="false">SUMIFS(Pessoas!$B$44:$BI$44,Pessoas!$B$38:$BI$38,C$28)</f>
        <v>180000</v>
      </c>
      <c r="D41" s="166" t="n">
        <f aca="false">SUMIFS(Pessoas!$B$44:$BI$44,Pessoas!$B$38:$BI$38,D$28)</f>
        <v>180000</v>
      </c>
      <c r="E41" s="166" t="n">
        <f aca="false">SUMIFS(Pessoas!$B$44:$BI$44,Pessoas!$B$38:$BI$38,E$28)</f>
        <v>384000</v>
      </c>
      <c r="F41" s="166" t="n">
        <f aca="false">SUMIFS(Pessoas!$B$44:$BI$44,Pessoas!$B$38:$BI$38,F$28)</f>
        <v>384000</v>
      </c>
      <c r="G41" s="180" t="n">
        <f aca="false">SUM(B41:F41)</f>
        <v>1128000</v>
      </c>
      <c r="I41" s="29" t="s">
        <v>698</v>
      </c>
    </row>
    <row r="42" customFormat="false" ht="15" hidden="false" customHeight="false" outlineLevel="0" collapsed="false">
      <c r="A42" s="71" t="s">
        <v>699</v>
      </c>
      <c r="B42" s="181" t="n">
        <f aca="false">B30-B40</f>
        <v>-127160.798783333</v>
      </c>
      <c r="C42" s="181" t="n">
        <f aca="false">C30-C40</f>
        <v>189499.702230919</v>
      </c>
      <c r="D42" s="181" t="n">
        <f aca="false">D30-D40</f>
        <v>2329703.9710865</v>
      </c>
      <c r="E42" s="181" t="n">
        <f aca="false">E30-E40</f>
        <v>6804691.80062794</v>
      </c>
      <c r="F42" s="181" t="n">
        <f aca="false">F30-F40</f>
        <v>14341291.3538881</v>
      </c>
      <c r="I42" s="29" t="s">
        <v>700</v>
      </c>
    </row>
    <row r="44" customFormat="false" ht="18" hidden="false" customHeight="true" outlineLevel="0" collapsed="false">
      <c r="A44" s="25" t="s">
        <v>701</v>
      </c>
      <c r="B44" s="26"/>
      <c r="C44" s="26"/>
      <c r="D44" s="26"/>
      <c r="E44" s="26"/>
      <c r="F44" s="26"/>
      <c r="G44" s="26"/>
      <c r="H44" s="26"/>
      <c r="I44" s="26"/>
    </row>
    <row r="45" customFormat="false" ht="15" hidden="false" customHeight="false" outlineLevel="0" collapsed="false">
      <c r="A45" s="160" t="s">
        <v>702</v>
      </c>
      <c r="B45" s="97" t="n">
        <v>2026</v>
      </c>
      <c r="C45" s="97" t="n">
        <v>2027</v>
      </c>
      <c r="D45" s="97" t="n">
        <v>2028</v>
      </c>
      <c r="E45" s="97" t="n">
        <v>2029</v>
      </c>
      <c r="F45" s="97" t="n">
        <v>2030</v>
      </c>
      <c r="G45" s="179" t="s">
        <v>703</v>
      </c>
    </row>
    <row r="46" customFormat="false" ht="15" hidden="false" customHeight="false" outlineLevel="0" collapsed="false">
      <c r="A46" s="177" t="str">
        <f aca="false">IF($A7="","",$A7)</f>
        <v>Paulo Kapp</v>
      </c>
      <c r="B46" s="164" t="n">
        <f aca="false">$C7*B$39</f>
        <v>0</v>
      </c>
      <c r="C46" s="164" t="n">
        <f aca="false">$C7*C$39</f>
        <v>0</v>
      </c>
      <c r="D46" s="164" t="n">
        <f aca="false">$C7*D$39</f>
        <v>0</v>
      </c>
      <c r="E46" s="164" t="n">
        <f aca="false">$C7*E$39</f>
        <v>49634.6495687246</v>
      </c>
      <c r="F46" s="164" t="n">
        <f aca="false">$C7*F$39</f>
        <v>422834.088857726</v>
      </c>
      <c r="G46" s="182" t="n">
        <f aca="false">SUM(B46:F46)</f>
        <v>472468.73842645</v>
      </c>
    </row>
    <row r="47" customFormat="false" ht="15" hidden="false" customHeight="false" outlineLevel="0" collapsed="false">
      <c r="A47" s="177" t="str">
        <f aca="false">IF($A8="","",$A8)</f>
        <v>Lucas Medina</v>
      </c>
      <c r="B47" s="164" t="n">
        <f aca="false">$C8*B$39</f>
        <v>0</v>
      </c>
      <c r="C47" s="164" t="n">
        <f aca="false">$C8*C$39</f>
        <v>0</v>
      </c>
      <c r="D47" s="164" t="n">
        <f aca="false">$C8*D$39</f>
        <v>0</v>
      </c>
      <c r="E47" s="164" t="n">
        <f aca="false">$C8*E$39</f>
        <v>49634.6495687246</v>
      </c>
      <c r="F47" s="164" t="n">
        <f aca="false">$C8*F$39</f>
        <v>422834.088857726</v>
      </c>
      <c r="G47" s="182" t="n">
        <f aca="false">SUM(B47:F47)</f>
        <v>472468.73842645</v>
      </c>
    </row>
    <row r="48" customFormat="false" ht="15" hidden="false" customHeight="false" outlineLevel="0" collapsed="false">
      <c r="A48" s="177" t="str">
        <f aca="false">IF($A9="","",$A9)</f>
        <v>Felipe Toescher</v>
      </c>
      <c r="B48" s="164" t="n">
        <f aca="false">$C9*B$39</f>
        <v>0</v>
      </c>
      <c r="C48" s="164" t="n">
        <f aca="false">$C9*C$39</f>
        <v>0</v>
      </c>
      <c r="D48" s="164" t="n">
        <f aca="false">$C9*D$39</f>
        <v>0</v>
      </c>
      <c r="E48" s="164" t="n">
        <f aca="false">$C9*E$39</f>
        <v>49634.6495687246</v>
      </c>
      <c r="F48" s="164" t="n">
        <f aca="false">$C9*F$39</f>
        <v>422834.088857726</v>
      </c>
      <c r="G48" s="182" t="n">
        <f aca="false">SUM(B48:F48)</f>
        <v>472468.73842645</v>
      </c>
    </row>
    <row r="49" customFormat="false" ht="15" hidden="false" customHeight="false" outlineLevel="0" collapsed="false">
      <c r="A49" s="177" t="str">
        <f aca="false">IF($A10="","",$A10)</f>
        <v>Lucas Iung</v>
      </c>
      <c r="B49" s="164" t="n">
        <f aca="false">$C10*B$39</f>
        <v>0</v>
      </c>
      <c r="C49" s="164" t="n">
        <f aca="false">$C10*C$39</f>
        <v>0</v>
      </c>
      <c r="D49" s="164" t="n">
        <f aca="false">$C10*D$39</f>
        <v>0</v>
      </c>
      <c r="E49" s="164" t="n">
        <f aca="false">$C10*E$39</f>
        <v>49634.6495687246</v>
      </c>
      <c r="F49" s="164" t="n">
        <f aca="false">$C10*F$39</f>
        <v>422834.088857726</v>
      </c>
      <c r="G49" s="182" t="n">
        <f aca="false">SUM(B49:F49)</f>
        <v>472468.73842645</v>
      </c>
    </row>
    <row r="50" customFormat="false" ht="15" hidden="false" customHeight="false" outlineLevel="0" collapsed="false">
      <c r="A50" s="177" t="str">
        <f aca="false">IF($A11="","",$A11)</f>
        <v>C-ioT</v>
      </c>
      <c r="B50" s="164" t="n">
        <f aca="false">$C11*B$39</f>
        <v>0</v>
      </c>
      <c r="C50" s="164" t="n">
        <f aca="false">$C11*C$39</f>
        <v>0</v>
      </c>
      <c r="D50" s="164" t="n">
        <f aca="false">$C11*D$39</f>
        <v>0</v>
      </c>
      <c r="E50" s="164" t="n">
        <f aca="false">$C11*E$39</f>
        <v>61088.7994691996</v>
      </c>
      <c r="F50" s="164" t="n">
        <f aca="false">$C11*F$39</f>
        <v>520411.186286431</v>
      </c>
      <c r="G50" s="182" t="n">
        <f aca="false">SUM(B50:F50)</f>
        <v>581499.985755631</v>
      </c>
    </row>
    <row r="51" customFormat="false" ht="15" hidden="false" customHeight="false" outlineLevel="0" collapsed="false">
      <c r="A51" s="177" t="str">
        <f aca="false">IF($A12="","",$A12)</f>
        <v>Felipe Martinelli</v>
      </c>
      <c r="B51" s="164" t="n">
        <f aca="false">$C12*B$39</f>
        <v>0</v>
      </c>
      <c r="C51" s="164" t="n">
        <f aca="false">$C12*C$39</f>
        <v>0</v>
      </c>
      <c r="D51" s="164" t="n">
        <f aca="false">$C12*D$39</f>
        <v>0</v>
      </c>
      <c r="E51" s="164" t="n">
        <f aca="false">$C12*E$39</f>
        <v>61088.7994691996</v>
      </c>
      <c r="F51" s="164" t="n">
        <f aca="false">$C12*F$39</f>
        <v>520411.186286431</v>
      </c>
      <c r="G51" s="182" t="n">
        <f aca="false">SUM(B51:F51)</f>
        <v>581499.985755631</v>
      </c>
    </row>
    <row r="52" customFormat="false" ht="15" hidden="false" customHeight="false" outlineLevel="0" collapsed="false">
      <c r="A52" s="177" t="str">
        <f aca="false">IF($A13="","",$A13)</f>
        <v>Shaiane</v>
      </c>
      <c r="B52" s="164" t="n">
        <f aca="false">$C13*B$39</f>
        <v>0</v>
      </c>
      <c r="C52" s="164" t="n">
        <f aca="false">$C13*C$39</f>
        <v>0</v>
      </c>
      <c r="D52" s="164" t="n">
        <f aca="false">$C13*D$39</f>
        <v>0</v>
      </c>
      <c r="E52" s="164" t="n">
        <f aca="false">$C13*E$39</f>
        <v>61088.7994691996</v>
      </c>
      <c r="F52" s="164" t="n">
        <f aca="false">$C13*F$39</f>
        <v>520411.186286431</v>
      </c>
      <c r="G52" s="182" t="n">
        <f aca="false">SUM(B52:F52)</f>
        <v>581499.985755631</v>
      </c>
    </row>
    <row r="53" customFormat="false" ht="15" hidden="false" customHeight="false" outlineLevel="0" collapsed="false">
      <c r="A53" s="177" t="str">
        <f aca="false">IF($A14="","",$A14)</f>
        <v/>
      </c>
      <c r="B53" s="164" t="n">
        <f aca="false">$C14*B$39</f>
        <v>0</v>
      </c>
      <c r="C53" s="164" t="n">
        <f aca="false">$C14*C$39</f>
        <v>0</v>
      </c>
      <c r="D53" s="164" t="n">
        <f aca="false">$C14*D$39</f>
        <v>0</v>
      </c>
      <c r="E53" s="164" t="n">
        <f aca="false">$C14*E$39</f>
        <v>0</v>
      </c>
      <c r="F53" s="164" t="n">
        <f aca="false">$C14*F$39</f>
        <v>0</v>
      </c>
      <c r="G53" s="182" t="n">
        <f aca="false">SUM(B53:F53)</f>
        <v>0</v>
      </c>
    </row>
    <row r="54" customFormat="false" ht="15" hidden="false" customHeight="false" outlineLevel="0" collapsed="false">
      <c r="A54" s="177" t="str">
        <f aca="false">IF($A15="","",$A15)</f>
        <v/>
      </c>
      <c r="B54" s="164" t="n">
        <f aca="false">$C15*B$39</f>
        <v>0</v>
      </c>
      <c r="C54" s="164" t="n">
        <f aca="false">$C15*C$39</f>
        <v>0</v>
      </c>
      <c r="D54" s="164" t="n">
        <f aca="false">$C15*D$39</f>
        <v>0</v>
      </c>
      <c r="E54" s="164" t="n">
        <f aca="false">$C15*E$39</f>
        <v>0</v>
      </c>
      <c r="F54" s="164" t="n">
        <f aca="false">$C15*F$39</f>
        <v>0</v>
      </c>
      <c r="G54" s="182" t="n">
        <f aca="false">SUM(B54:F54)</f>
        <v>0</v>
      </c>
    </row>
    <row r="55" customFormat="false" ht="15" hidden="false" customHeight="false" outlineLevel="0" collapsed="false">
      <c r="A55" s="177" t="str">
        <f aca="false">IF($A16="","",$A16)</f>
        <v/>
      </c>
      <c r="B55" s="164" t="n">
        <f aca="false">$C16*B$39</f>
        <v>0</v>
      </c>
      <c r="C55" s="164" t="n">
        <f aca="false">$C16*C$39</f>
        <v>0</v>
      </c>
      <c r="D55" s="164" t="n">
        <f aca="false">$C16*D$39</f>
        <v>0</v>
      </c>
      <c r="E55" s="164" t="n">
        <f aca="false">$C16*E$39</f>
        <v>0</v>
      </c>
      <c r="F55" s="164" t="n">
        <f aca="false">$C16*F$39</f>
        <v>0</v>
      </c>
      <c r="G55" s="182" t="n">
        <f aca="false">SUM(B55:F55)</f>
        <v>0</v>
      </c>
    </row>
    <row r="56" customFormat="false" ht="15" hidden="false" customHeight="false" outlineLevel="0" collapsed="false">
      <c r="A56" s="177" t="str">
        <f aca="false">IF($A17="","",$A17)</f>
        <v/>
      </c>
      <c r="B56" s="164" t="n">
        <f aca="false">$C17*B$39</f>
        <v>0</v>
      </c>
      <c r="C56" s="164" t="n">
        <f aca="false">$C17*C$39</f>
        <v>0</v>
      </c>
      <c r="D56" s="164" t="n">
        <f aca="false">$C17*D$39</f>
        <v>0</v>
      </c>
      <c r="E56" s="164" t="n">
        <f aca="false">$C17*E$39</f>
        <v>0</v>
      </c>
      <c r="F56" s="164" t="n">
        <f aca="false">$C17*F$39</f>
        <v>0</v>
      </c>
      <c r="G56" s="182" t="n">
        <f aca="false">SUM(B56:F56)</f>
        <v>0</v>
      </c>
    </row>
    <row r="57" customFormat="false" ht="15" hidden="false" customHeight="false" outlineLevel="0" collapsed="false">
      <c r="A57" s="177" t="str">
        <f aca="false">IF($A18="","",$A18)</f>
        <v/>
      </c>
      <c r="B57" s="164" t="n">
        <f aca="false">$C18*B$39</f>
        <v>0</v>
      </c>
      <c r="C57" s="164" t="n">
        <f aca="false">$C18*C$39</f>
        <v>0</v>
      </c>
      <c r="D57" s="164" t="n">
        <f aca="false">$C18*D$39</f>
        <v>0</v>
      </c>
      <c r="E57" s="164" t="n">
        <f aca="false">$C18*E$39</f>
        <v>0</v>
      </c>
      <c r="F57" s="164" t="n">
        <f aca="false">$C18*F$39</f>
        <v>0</v>
      </c>
      <c r="G57" s="182" t="n">
        <f aca="false">SUM(B57:F57)</f>
        <v>0</v>
      </c>
    </row>
    <row r="58" customFormat="false" ht="15" hidden="false" customHeight="false" outlineLevel="0" collapsed="false">
      <c r="A58" s="177" t="str">
        <f aca="false">IF($A19="","",$A19)</f>
        <v/>
      </c>
      <c r="B58" s="164" t="n">
        <f aca="false">$C19*B$39</f>
        <v>0</v>
      </c>
      <c r="C58" s="164" t="n">
        <f aca="false">$C19*C$39</f>
        <v>0</v>
      </c>
      <c r="D58" s="164" t="n">
        <f aca="false">$C19*D$39</f>
        <v>0</v>
      </c>
      <c r="E58" s="164" t="n">
        <f aca="false">$C19*E$39</f>
        <v>0</v>
      </c>
      <c r="F58" s="164" t="n">
        <f aca="false">$C19*F$39</f>
        <v>0</v>
      </c>
      <c r="G58" s="182" t="n">
        <f aca="false">SUM(B58:F58)</f>
        <v>0</v>
      </c>
    </row>
    <row r="59" customFormat="false" ht="15" hidden="false" customHeight="false" outlineLevel="0" collapsed="false">
      <c r="A59" s="160" t="s">
        <v>704</v>
      </c>
      <c r="B59" s="180" t="n">
        <f aca="false">SUM(B46:B58)</f>
        <v>0</v>
      </c>
      <c r="C59" s="180" t="n">
        <f aca="false">SUM(C46:C58)</f>
        <v>0</v>
      </c>
      <c r="D59" s="180" t="n">
        <f aca="false">SUM(D46:D58)</f>
        <v>0</v>
      </c>
      <c r="E59" s="180" t="n">
        <f aca="false">SUM(E46:E58)</f>
        <v>381804.996682497</v>
      </c>
      <c r="F59" s="180" t="n">
        <f aca="false">SUM(F46:F58)</f>
        <v>3252569.9142902</v>
      </c>
      <c r="G59" s="180" t="n">
        <f aca="false">SUM(G46:G58)</f>
        <v>3634374.91097269</v>
      </c>
    </row>
    <row r="61" customFormat="false" ht="27.75" hidden="false" customHeight="true" outlineLevel="0" collapsed="false">
      <c r="A61" s="160" t="s">
        <v>705</v>
      </c>
      <c r="B61" s="183" t="s">
        <v>706</v>
      </c>
      <c r="C61" s="183" t="s">
        <v>707</v>
      </c>
      <c r="D61" s="183" t="s">
        <v>708</v>
      </c>
      <c r="E61" s="183" t="s">
        <v>709</v>
      </c>
    </row>
    <row r="62" customFormat="false" ht="15" hidden="false" customHeight="false" outlineLevel="0" collapsed="false">
      <c r="A62" s="184" t="str">
        <f aca="false">IF($A7="","",$A7)</f>
        <v>Paulo Kapp</v>
      </c>
      <c r="B62" s="174" t="n">
        <f aca="false">$G46</f>
        <v>472468.73842645</v>
      </c>
      <c r="C62" s="174" t="n">
        <f aca="false">$D7*$G$41</f>
        <v>282000</v>
      </c>
      <c r="D62" s="185" t="n">
        <f aca="false">$B62+$C62</f>
        <v>754468.73842645</v>
      </c>
      <c r="E62" s="174" t="n">
        <f aca="false">IFERROR($B62/$C7/100,0)</f>
        <v>36343.7491097269</v>
      </c>
    </row>
    <row r="63" customFormat="false" ht="15" hidden="false" customHeight="false" outlineLevel="0" collapsed="false">
      <c r="A63" s="184" t="str">
        <f aca="false">IF($A8="","",$A8)</f>
        <v>Lucas Medina</v>
      </c>
      <c r="B63" s="174" t="n">
        <f aca="false">$G47</f>
        <v>472468.73842645</v>
      </c>
      <c r="C63" s="174" t="n">
        <f aca="false">$D8*$G$41</f>
        <v>282000</v>
      </c>
      <c r="D63" s="185" t="n">
        <f aca="false">$B63+$C63</f>
        <v>754468.73842645</v>
      </c>
      <c r="E63" s="174" t="n">
        <f aca="false">IFERROR($B63/$C8/100,0)</f>
        <v>36343.7491097269</v>
      </c>
    </row>
    <row r="64" customFormat="false" ht="15" hidden="false" customHeight="false" outlineLevel="0" collapsed="false">
      <c r="A64" s="184" t="str">
        <f aca="false">IF($A9="","",$A9)</f>
        <v>Felipe Toescher</v>
      </c>
      <c r="B64" s="174" t="n">
        <f aca="false">$G48</f>
        <v>472468.73842645</v>
      </c>
      <c r="C64" s="174" t="n">
        <f aca="false">$D9*$G$41</f>
        <v>282000</v>
      </c>
      <c r="D64" s="185" t="n">
        <f aca="false">$B64+$C64</f>
        <v>754468.73842645</v>
      </c>
      <c r="E64" s="174" t="n">
        <f aca="false">IFERROR($B64/$C9/100,0)</f>
        <v>36343.7491097269</v>
      </c>
    </row>
    <row r="65" customFormat="false" ht="15" hidden="false" customHeight="false" outlineLevel="0" collapsed="false">
      <c r="A65" s="184" t="str">
        <f aca="false">IF($A10="","",$A10)</f>
        <v>Lucas Iung</v>
      </c>
      <c r="B65" s="174" t="n">
        <f aca="false">$G49</f>
        <v>472468.73842645</v>
      </c>
      <c r="C65" s="174" t="n">
        <f aca="false">$D10*$G$41</f>
        <v>282000</v>
      </c>
      <c r="D65" s="185" t="n">
        <f aca="false">$B65+$C65</f>
        <v>754468.73842645</v>
      </c>
      <c r="E65" s="174" t="n">
        <f aca="false">IFERROR($B65/$C10/100,0)</f>
        <v>36343.7491097269</v>
      </c>
    </row>
    <row r="66" customFormat="false" ht="15" hidden="false" customHeight="false" outlineLevel="0" collapsed="false">
      <c r="A66" s="184" t="str">
        <f aca="false">IF($A11="","",$A11)</f>
        <v>C-ioT</v>
      </c>
      <c r="B66" s="174" t="n">
        <f aca="false">$G50</f>
        <v>581499.985755631</v>
      </c>
      <c r="C66" s="174" t="n">
        <f aca="false">$D11*$G$41</f>
        <v>0</v>
      </c>
      <c r="D66" s="185" t="n">
        <f aca="false">$B66+$C66</f>
        <v>581499.985755631</v>
      </c>
      <c r="E66" s="174" t="n">
        <f aca="false">IFERROR($B66/$C11/100,0)</f>
        <v>36343.7491097269</v>
      </c>
    </row>
    <row r="67" customFormat="false" ht="15" hidden="false" customHeight="false" outlineLevel="0" collapsed="false">
      <c r="A67" s="184" t="str">
        <f aca="false">IF($A12="","",$A12)</f>
        <v>Felipe Martinelli</v>
      </c>
      <c r="B67" s="174" t="n">
        <f aca="false">$G51</f>
        <v>581499.985755631</v>
      </c>
      <c r="C67" s="174" t="n">
        <f aca="false">$D12*$G$41</f>
        <v>0</v>
      </c>
      <c r="D67" s="185" t="n">
        <f aca="false">$B67+$C67</f>
        <v>581499.985755631</v>
      </c>
      <c r="E67" s="174" t="n">
        <f aca="false">IFERROR($B67/$C12/100,0)</f>
        <v>36343.7491097269</v>
      </c>
    </row>
    <row r="68" customFormat="false" ht="15" hidden="false" customHeight="false" outlineLevel="0" collapsed="false">
      <c r="A68" s="184" t="str">
        <f aca="false">IF($A13="","",$A13)</f>
        <v>Shaiane</v>
      </c>
      <c r="B68" s="174" t="n">
        <f aca="false">$G52</f>
        <v>581499.985755631</v>
      </c>
      <c r="C68" s="174" t="n">
        <f aca="false">$D13*$G$41</f>
        <v>0</v>
      </c>
      <c r="D68" s="185" t="n">
        <f aca="false">$B68+$C68</f>
        <v>581499.985755631</v>
      </c>
      <c r="E68" s="174" t="n">
        <f aca="false">IFERROR($B68/$C13/100,0)</f>
        <v>36343.7491097269</v>
      </c>
    </row>
    <row r="69" customFormat="false" ht="15" hidden="false" customHeight="false" outlineLevel="0" collapsed="false">
      <c r="A69" s="184" t="str">
        <f aca="false">IF($A14="","",$A14)</f>
        <v/>
      </c>
      <c r="B69" s="174" t="n">
        <f aca="false">$G53</f>
        <v>0</v>
      </c>
      <c r="C69" s="174" t="n">
        <f aca="false">$D14*$G$41</f>
        <v>0</v>
      </c>
      <c r="D69" s="185" t="n">
        <f aca="false">$B69+$C69</f>
        <v>0</v>
      </c>
      <c r="E69" s="174" t="n">
        <f aca="false">IFERROR($B69/$C14/100,0)</f>
        <v>0</v>
      </c>
    </row>
    <row r="70" customFormat="false" ht="15" hidden="false" customHeight="false" outlineLevel="0" collapsed="false">
      <c r="A70" s="184" t="str">
        <f aca="false">IF($A15="","",$A15)</f>
        <v/>
      </c>
      <c r="B70" s="174" t="n">
        <f aca="false">$G54</f>
        <v>0</v>
      </c>
      <c r="C70" s="174" t="n">
        <f aca="false">$D15*$G$41</f>
        <v>0</v>
      </c>
      <c r="D70" s="185" t="n">
        <f aca="false">$B70+$C70</f>
        <v>0</v>
      </c>
      <c r="E70" s="174" t="n">
        <f aca="false">IFERROR($B70/$C15/100,0)</f>
        <v>0</v>
      </c>
    </row>
    <row r="71" customFormat="false" ht="15" hidden="false" customHeight="false" outlineLevel="0" collapsed="false">
      <c r="A71" s="184" t="str">
        <f aca="false">IF($A16="","",$A16)</f>
        <v/>
      </c>
      <c r="B71" s="174" t="n">
        <f aca="false">$G55</f>
        <v>0</v>
      </c>
      <c r="C71" s="174" t="n">
        <f aca="false">$D16*$G$41</f>
        <v>0</v>
      </c>
      <c r="D71" s="185" t="n">
        <f aca="false">$B71+$C71</f>
        <v>0</v>
      </c>
      <c r="E71" s="174" t="n">
        <f aca="false">IFERROR($B71/$C16/100,0)</f>
        <v>0</v>
      </c>
    </row>
    <row r="72" customFormat="false" ht="15" hidden="false" customHeight="false" outlineLevel="0" collapsed="false">
      <c r="A72" s="184" t="str">
        <f aca="false">IF($A17="","",$A17)</f>
        <v/>
      </c>
      <c r="B72" s="174" t="n">
        <f aca="false">$G56</f>
        <v>0</v>
      </c>
      <c r="C72" s="174" t="n">
        <f aca="false">$D17*$G$41</f>
        <v>0</v>
      </c>
      <c r="D72" s="185" t="n">
        <f aca="false">$B72+$C72</f>
        <v>0</v>
      </c>
      <c r="E72" s="174" t="n">
        <f aca="false">IFERROR($B72/$C17/100,0)</f>
        <v>0</v>
      </c>
    </row>
    <row r="73" customFormat="false" ht="15" hidden="false" customHeight="false" outlineLevel="0" collapsed="false">
      <c r="A73" s="184" t="str">
        <f aca="false">IF($A18="","",$A18)</f>
        <v/>
      </c>
      <c r="B73" s="174" t="n">
        <f aca="false">$G57</f>
        <v>0</v>
      </c>
      <c r="C73" s="174" t="n">
        <f aca="false">$D18*$G$41</f>
        <v>0</v>
      </c>
      <c r="D73" s="185" t="n">
        <f aca="false">$B73+$C73</f>
        <v>0</v>
      </c>
      <c r="E73" s="174" t="n">
        <f aca="false">IFERROR($B73/$C18/100,0)</f>
        <v>0</v>
      </c>
    </row>
    <row r="74" customFormat="false" ht="15" hidden="false" customHeight="false" outlineLevel="0" collapsed="false">
      <c r="A74" s="184" t="str">
        <f aca="false">IF($A19="","",$A19)</f>
        <v/>
      </c>
      <c r="B74" s="174" t="n">
        <f aca="false">$G58</f>
        <v>0</v>
      </c>
      <c r="C74" s="174" t="n">
        <f aca="false">$D19*$G$41</f>
        <v>0</v>
      </c>
      <c r="D74" s="185" t="n">
        <f aca="false">$B74+$C74</f>
        <v>0</v>
      </c>
      <c r="E74" s="174" t="n">
        <f aca="false">IFERROR($B74/$C19/100,0)</f>
        <v>0</v>
      </c>
    </row>
  </sheetData>
  <mergeCells count="1">
    <mergeCell ref="A5:G5"/>
  </mergeCells>
  <dataValidations count="1">
    <dataValidation allowBlank="true" errorStyle="stop" operator="between" showDropDown="false" showErrorMessage="false" showInputMessage="false" sqref="B7:B19" type="list">
      <formula1>"Fundador,Investidor"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040"/>
    <pageSetUpPr fitToPage="false"/>
  </sheetPr>
  <dimension ref="A1:B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1" min="2" style="0" width="11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710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79" t="str">
        <f aca="false">" Cenário ativo: "&amp;Premissas!B7</f>
        <v> Cenário ativo: PROVÁVEL</v>
      </c>
    </row>
    <row r="4" customFormat="false" ht="15" hidden="false" customHeight="false" outlineLevel="0" collapsed="false">
      <c r="A4" s="52" t="s">
        <v>229</v>
      </c>
      <c r="B4" s="53" t="n">
        <v>46023</v>
      </c>
      <c r="C4" s="53" t="n">
        <v>46054</v>
      </c>
      <c r="D4" s="53" t="n">
        <v>46082</v>
      </c>
      <c r="E4" s="53" t="n">
        <v>46113</v>
      </c>
      <c r="F4" s="53" t="n">
        <v>46143</v>
      </c>
      <c r="G4" s="53" t="n">
        <v>46174</v>
      </c>
      <c r="H4" s="53" t="n">
        <v>46204</v>
      </c>
      <c r="I4" s="53" t="n">
        <v>46235</v>
      </c>
      <c r="J4" s="53" t="n">
        <v>46266</v>
      </c>
      <c r="K4" s="53" t="n">
        <v>46296</v>
      </c>
      <c r="L4" s="53" t="n">
        <v>46327</v>
      </c>
      <c r="M4" s="53" t="n">
        <v>46357</v>
      </c>
      <c r="N4" s="53" t="n">
        <v>46388</v>
      </c>
      <c r="O4" s="53" t="n">
        <v>46419</v>
      </c>
      <c r="P4" s="53" t="n">
        <v>46447</v>
      </c>
      <c r="Q4" s="53" t="n">
        <v>46478</v>
      </c>
      <c r="R4" s="53" t="n">
        <v>46508</v>
      </c>
      <c r="S4" s="53" t="n">
        <v>46539</v>
      </c>
      <c r="T4" s="53" t="n">
        <v>46569</v>
      </c>
      <c r="U4" s="53" t="n">
        <v>46600</v>
      </c>
      <c r="V4" s="53" t="n">
        <v>46631</v>
      </c>
      <c r="W4" s="53" t="n">
        <v>46661</v>
      </c>
      <c r="X4" s="53" t="n">
        <v>46692</v>
      </c>
      <c r="Y4" s="53" t="n">
        <v>46722</v>
      </c>
      <c r="Z4" s="53" t="n">
        <v>46753</v>
      </c>
      <c r="AA4" s="53" t="n">
        <v>46784</v>
      </c>
      <c r="AB4" s="53" t="n">
        <v>46813</v>
      </c>
      <c r="AC4" s="53" t="n">
        <v>46844</v>
      </c>
      <c r="AD4" s="53" t="n">
        <v>46874</v>
      </c>
      <c r="AE4" s="53" t="n">
        <v>46905</v>
      </c>
      <c r="AF4" s="53" t="n">
        <v>46935</v>
      </c>
      <c r="AG4" s="53" t="n">
        <v>46966</v>
      </c>
      <c r="AH4" s="53" t="n">
        <v>46997</v>
      </c>
      <c r="AI4" s="53" t="n">
        <v>47027</v>
      </c>
      <c r="AJ4" s="53" t="n">
        <v>47058</v>
      </c>
      <c r="AK4" s="53" t="n">
        <v>47088</v>
      </c>
      <c r="AL4" s="53" t="n">
        <v>47119</v>
      </c>
      <c r="AM4" s="53" t="n">
        <v>47150</v>
      </c>
      <c r="AN4" s="53" t="n">
        <v>47178</v>
      </c>
      <c r="AO4" s="53" t="n">
        <v>47209</v>
      </c>
      <c r="AP4" s="53" t="n">
        <v>47239</v>
      </c>
      <c r="AQ4" s="53" t="n">
        <v>47270</v>
      </c>
      <c r="AR4" s="53" t="n">
        <v>47300</v>
      </c>
      <c r="AS4" s="53" t="n">
        <v>47331</v>
      </c>
      <c r="AT4" s="53" t="n">
        <v>47362</v>
      </c>
      <c r="AU4" s="53" t="n">
        <v>47392</v>
      </c>
      <c r="AV4" s="53" t="n">
        <v>47423</v>
      </c>
      <c r="AW4" s="53" t="n">
        <v>47453</v>
      </c>
      <c r="AX4" s="53" t="n">
        <v>47484</v>
      </c>
      <c r="AY4" s="53" t="n">
        <v>47515</v>
      </c>
      <c r="AZ4" s="53" t="n">
        <v>47543</v>
      </c>
      <c r="BA4" s="53" t="n">
        <v>47574</v>
      </c>
      <c r="BB4" s="53" t="n">
        <v>47604</v>
      </c>
      <c r="BC4" s="53" t="n">
        <v>47635</v>
      </c>
      <c r="BD4" s="53" t="n">
        <v>47665</v>
      </c>
      <c r="BE4" s="53" t="n">
        <v>47696</v>
      </c>
      <c r="BF4" s="53" t="n">
        <v>47727</v>
      </c>
      <c r="BG4" s="53" t="n">
        <v>47757</v>
      </c>
      <c r="BH4" s="53" t="n">
        <v>47788</v>
      </c>
      <c r="BI4" s="53" t="n">
        <v>47818</v>
      </c>
      <c r="BJ4" s="54" t="s">
        <v>230</v>
      </c>
      <c r="BK4" s="54" t="s">
        <v>231</v>
      </c>
    </row>
    <row r="5" customFormat="false" ht="15" hidden="false" customHeight="false" outlineLevel="0" collapsed="false">
      <c r="A5" s="55" t="s">
        <v>232</v>
      </c>
      <c r="B5" s="56" t="n">
        <v>1</v>
      </c>
      <c r="C5" s="56" t="n">
        <v>2</v>
      </c>
      <c r="D5" s="56" t="n">
        <v>3</v>
      </c>
      <c r="E5" s="56" t="n">
        <v>4</v>
      </c>
      <c r="F5" s="56" t="n">
        <v>5</v>
      </c>
      <c r="G5" s="56" t="n">
        <v>6</v>
      </c>
      <c r="H5" s="56" t="n">
        <v>7</v>
      </c>
      <c r="I5" s="56" t="n">
        <v>8</v>
      </c>
      <c r="J5" s="56" t="n">
        <v>9</v>
      </c>
      <c r="K5" s="56" t="n">
        <v>10</v>
      </c>
      <c r="L5" s="56" t="n">
        <v>11</v>
      </c>
      <c r="M5" s="56" t="n">
        <v>12</v>
      </c>
      <c r="N5" s="56" t="n">
        <v>13</v>
      </c>
      <c r="O5" s="56" t="n">
        <v>14</v>
      </c>
      <c r="P5" s="56" t="n">
        <v>15</v>
      </c>
      <c r="Q5" s="56" t="n">
        <v>16</v>
      </c>
      <c r="R5" s="56" t="n">
        <v>17</v>
      </c>
      <c r="S5" s="56" t="n">
        <v>18</v>
      </c>
      <c r="T5" s="56" t="n">
        <v>19</v>
      </c>
      <c r="U5" s="56" t="n">
        <v>20</v>
      </c>
      <c r="V5" s="56" t="n">
        <v>21</v>
      </c>
      <c r="W5" s="56" t="n">
        <v>22</v>
      </c>
      <c r="X5" s="56" t="n">
        <v>23</v>
      </c>
      <c r="Y5" s="56" t="n">
        <v>24</v>
      </c>
      <c r="Z5" s="56" t="n">
        <v>25</v>
      </c>
      <c r="AA5" s="56" t="n">
        <v>26</v>
      </c>
      <c r="AB5" s="56" t="n">
        <v>27</v>
      </c>
      <c r="AC5" s="56" t="n">
        <v>28</v>
      </c>
      <c r="AD5" s="56" t="n">
        <v>29</v>
      </c>
      <c r="AE5" s="56" t="n">
        <v>30</v>
      </c>
      <c r="AF5" s="56" t="n">
        <v>31</v>
      </c>
      <c r="AG5" s="56" t="n">
        <v>32</v>
      </c>
      <c r="AH5" s="56" t="n">
        <v>33</v>
      </c>
      <c r="AI5" s="56" t="n">
        <v>34</v>
      </c>
      <c r="AJ5" s="56" t="n">
        <v>35</v>
      </c>
      <c r="AK5" s="56" t="n">
        <v>36</v>
      </c>
      <c r="AL5" s="56" t="n">
        <v>37</v>
      </c>
      <c r="AM5" s="56" t="n">
        <v>38</v>
      </c>
      <c r="AN5" s="56" t="n">
        <v>39</v>
      </c>
      <c r="AO5" s="56" t="n">
        <v>40</v>
      </c>
      <c r="AP5" s="56" t="n">
        <v>41</v>
      </c>
      <c r="AQ5" s="56" t="n">
        <v>42</v>
      </c>
      <c r="AR5" s="56" t="n">
        <v>43</v>
      </c>
      <c r="AS5" s="56" t="n">
        <v>44</v>
      </c>
      <c r="AT5" s="56" t="n">
        <v>45</v>
      </c>
      <c r="AU5" s="56" t="n">
        <v>46</v>
      </c>
      <c r="AV5" s="56" t="n">
        <v>47</v>
      </c>
      <c r="AW5" s="56" t="n">
        <v>48</v>
      </c>
      <c r="AX5" s="56" t="n">
        <v>49</v>
      </c>
      <c r="AY5" s="56" t="n">
        <v>50</v>
      </c>
      <c r="AZ5" s="56" t="n">
        <v>51</v>
      </c>
      <c r="BA5" s="56" t="n">
        <v>52</v>
      </c>
      <c r="BB5" s="56" t="n">
        <v>53</v>
      </c>
      <c r="BC5" s="56" t="n">
        <v>54</v>
      </c>
      <c r="BD5" s="56" t="n">
        <v>55</v>
      </c>
      <c r="BE5" s="56" t="n">
        <v>56</v>
      </c>
      <c r="BF5" s="56" t="n">
        <v>57</v>
      </c>
      <c r="BG5" s="56" t="n">
        <v>58</v>
      </c>
      <c r="BH5" s="56" t="n">
        <v>59</v>
      </c>
      <c r="BI5" s="56" t="n">
        <v>60</v>
      </c>
    </row>
    <row r="6" customFormat="false" ht="15" hidden="false" customHeight="false" outlineLevel="0" collapsed="false">
      <c r="A6" s="55" t="s">
        <v>233</v>
      </c>
      <c r="B6" s="57" t="n">
        <f aca="false">YEAR(B4)</f>
        <v>2026</v>
      </c>
      <c r="C6" s="57" t="n">
        <f aca="false">YEAR(C4)</f>
        <v>2026</v>
      </c>
      <c r="D6" s="57" t="n">
        <f aca="false">YEAR(D4)</f>
        <v>2026</v>
      </c>
      <c r="E6" s="57" t="n">
        <f aca="false">YEAR(E4)</f>
        <v>2026</v>
      </c>
      <c r="F6" s="57" t="n">
        <f aca="false">YEAR(F4)</f>
        <v>2026</v>
      </c>
      <c r="G6" s="57" t="n">
        <f aca="false">YEAR(G4)</f>
        <v>2026</v>
      </c>
      <c r="H6" s="57" t="n">
        <f aca="false">YEAR(H4)</f>
        <v>2026</v>
      </c>
      <c r="I6" s="57" t="n">
        <f aca="false">YEAR(I4)</f>
        <v>2026</v>
      </c>
      <c r="J6" s="57" t="n">
        <f aca="false">YEAR(J4)</f>
        <v>2026</v>
      </c>
      <c r="K6" s="57" t="n">
        <f aca="false">YEAR(K4)</f>
        <v>2026</v>
      </c>
      <c r="L6" s="57" t="n">
        <f aca="false">YEAR(L4)</f>
        <v>2026</v>
      </c>
      <c r="M6" s="57" t="n">
        <f aca="false">YEAR(M4)</f>
        <v>2026</v>
      </c>
      <c r="N6" s="57" t="n">
        <f aca="false">YEAR(N4)</f>
        <v>2027</v>
      </c>
      <c r="O6" s="57" t="n">
        <f aca="false">YEAR(O4)</f>
        <v>2027</v>
      </c>
      <c r="P6" s="57" t="n">
        <f aca="false">YEAR(P4)</f>
        <v>2027</v>
      </c>
      <c r="Q6" s="57" t="n">
        <f aca="false">YEAR(Q4)</f>
        <v>2027</v>
      </c>
      <c r="R6" s="57" t="n">
        <f aca="false">YEAR(R4)</f>
        <v>2027</v>
      </c>
      <c r="S6" s="57" t="n">
        <f aca="false">YEAR(S4)</f>
        <v>2027</v>
      </c>
      <c r="T6" s="57" t="n">
        <f aca="false">YEAR(T4)</f>
        <v>2027</v>
      </c>
      <c r="U6" s="57" t="n">
        <f aca="false">YEAR(U4)</f>
        <v>2027</v>
      </c>
      <c r="V6" s="57" t="n">
        <f aca="false">YEAR(V4)</f>
        <v>2027</v>
      </c>
      <c r="W6" s="57" t="n">
        <f aca="false">YEAR(W4)</f>
        <v>2027</v>
      </c>
      <c r="X6" s="57" t="n">
        <f aca="false">YEAR(X4)</f>
        <v>2027</v>
      </c>
      <c r="Y6" s="57" t="n">
        <f aca="false">YEAR(Y4)</f>
        <v>2027</v>
      </c>
      <c r="Z6" s="57" t="n">
        <f aca="false">YEAR(Z4)</f>
        <v>2028</v>
      </c>
      <c r="AA6" s="57" t="n">
        <f aca="false">YEAR(AA4)</f>
        <v>2028</v>
      </c>
      <c r="AB6" s="57" t="n">
        <f aca="false">YEAR(AB4)</f>
        <v>2028</v>
      </c>
      <c r="AC6" s="57" t="n">
        <f aca="false">YEAR(AC4)</f>
        <v>2028</v>
      </c>
      <c r="AD6" s="57" t="n">
        <f aca="false">YEAR(AD4)</f>
        <v>2028</v>
      </c>
      <c r="AE6" s="57" t="n">
        <f aca="false">YEAR(AE4)</f>
        <v>2028</v>
      </c>
      <c r="AF6" s="57" t="n">
        <f aca="false">YEAR(AF4)</f>
        <v>2028</v>
      </c>
      <c r="AG6" s="57" t="n">
        <f aca="false">YEAR(AG4)</f>
        <v>2028</v>
      </c>
      <c r="AH6" s="57" t="n">
        <f aca="false">YEAR(AH4)</f>
        <v>2028</v>
      </c>
      <c r="AI6" s="57" t="n">
        <f aca="false">YEAR(AI4)</f>
        <v>2028</v>
      </c>
      <c r="AJ6" s="57" t="n">
        <f aca="false">YEAR(AJ4)</f>
        <v>2028</v>
      </c>
      <c r="AK6" s="57" t="n">
        <f aca="false">YEAR(AK4)</f>
        <v>2028</v>
      </c>
      <c r="AL6" s="57" t="n">
        <f aca="false">YEAR(AL4)</f>
        <v>2029</v>
      </c>
      <c r="AM6" s="57" t="n">
        <f aca="false">YEAR(AM4)</f>
        <v>2029</v>
      </c>
      <c r="AN6" s="57" t="n">
        <f aca="false">YEAR(AN4)</f>
        <v>2029</v>
      </c>
      <c r="AO6" s="57" t="n">
        <f aca="false">YEAR(AO4)</f>
        <v>2029</v>
      </c>
      <c r="AP6" s="57" t="n">
        <f aca="false">YEAR(AP4)</f>
        <v>2029</v>
      </c>
      <c r="AQ6" s="57" t="n">
        <f aca="false">YEAR(AQ4)</f>
        <v>2029</v>
      </c>
      <c r="AR6" s="57" t="n">
        <f aca="false">YEAR(AR4)</f>
        <v>2029</v>
      </c>
      <c r="AS6" s="57" t="n">
        <f aca="false">YEAR(AS4)</f>
        <v>2029</v>
      </c>
      <c r="AT6" s="57" t="n">
        <f aca="false">YEAR(AT4)</f>
        <v>2029</v>
      </c>
      <c r="AU6" s="57" t="n">
        <f aca="false">YEAR(AU4)</f>
        <v>2029</v>
      </c>
      <c r="AV6" s="57" t="n">
        <f aca="false">YEAR(AV4)</f>
        <v>2029</v>
      </c>
      <c r="AW6" s="57" t="n">
        <f aca="false">YEAR(AW4)</f>
        <v>2029</v>
      </c>
      <c r="AX6" s="57" t="n">
        <f aca="false">YEAR(AX4)</f>
        <v>2030</v>
      </c>
      <c r="AY6" s="57" t="n">
        <f aca="false">YEAR(AY4)</f>
        <v>2030</v>
      </c>
      <c r="AZ6" s="57" t="n">
        <f aca="false">YEAR(AZ4)</f>
        <v>2030</v>
      </c>
      <c r="BA6" s="57" t="n">
        <f aca="false">YEAR(BA4)</f>
        <v>2030</v>
      </c>
      <c r="BB6" s="57" t="n">
        <f aca="false">YEAR(BB4)</f>
        <v>2030</v>
      </c>
      <c r="BC6" s="57" t="n">
        <f aca="false">YEAR(BC4)</f>
        <v>2030</v>
      </c>
      <c r="BD6" s="57" t="n">
        <f aca="false">YEAR(BD4)</f>
        <v>2030</v>
      </c>
      <c r="BE6" s="57" t="n">
        <f aca="false">YEAR(BE4)</f>
        <v>2030</v>
      </c>
      <c r="BF6" s="57" t="n">
        <f aca="false">YEAR(BF4)</f>
        <v>2030</v>
      </c>
      <c r="BG6" s="57" t="n">
        <f aca="false">YEAR(BG4)</f>
        <v>2030</v>
      </c>
      <c r="BH6" s="57" t="n">
        <f aca="false">YEAR(BH4)</f>
        <v>2030</v>
      </c>
      <c r="BI6" s="57" t="n">
        <f aca="false">YEAR(BI4)</f>
        <v>2030</v>
      </c>
    </row>
    <row r="7" customFormat="false" ht="15" hidden="false" customHeight="false" outlineLevel="0" collapsed="false">
      <c r="A7" s="58" t="s">
        <v>234</v>
      </c>
      <c r="B7" s="59" t="n">
        <f aca="false">MATCH(B6,Premissas!$C$5:$G$5,0)</f>
        <v>1</v>
      </c>
      <c r="C7" s="59" t="n">
        <f aca="false">MATCH(C6,Premissas!$C$5:$G$5,0)</f>
        <v>1</v>
      </c>
      <c r="D7" s="59" t="n">
        <f aca="false">MATCH(D6,Premissas!$C$5:$G$5,0)</f>
        <v>1</v>
      </c>
      <c r="E7" s="59" t="n">
        <f aca="false">MATCH(E6,Premissas!$C$5:$G$5,0)</f>
        <v>1</v>
      </c>
      <c r="F7" s="59" t="n">
        <f aca="false">MATCH(F6,Premissas!$C$5:$G$5,0)</f>
        <v>1</v>
      </c>
      <c r="G7" s="59" t="n">
        <f aca="false">MATCH(G6,Premissas!$C$5:$G$5,0)</f>
        <v>1</v>
      </c>
      <c r="H7" s="59" t="n">
        <f aca="false">MATCH(H6,Premissas!$C$5:$G$5,0)</f>
        <v>1</v>
      </c>
      <c r="I7" s="59" t="n">
        <f aca="false">MATCH(I6,Premissas!$C$5:$G$5,0)</f>
        <v>1</v>
      </c>
      <c r="J7" s="59" t="n">
        <f aca="false">MATCH(J6,Premissas!$C$5:$G$5,0)</f>
        <v>1</v>
      </c>
      <c r="K7" s="59" t="n">
        <f aca="false">MATCH(K6,Premissas!$C$5:$G$5,0)</f>
        <v>1</v>
      </c>
      <c r="L7" s="59" t="n">
        <f aca="false">MATCH(L6,Premissas!$C$5:$G$5,0)</f>
        <v>1</v>
      </c>
      <c r="M7" s="59" t="n">
        <f aca="false">MATCH(M6,Premissas!$C$5:$G$5,0)</f>
        <v>1</v>
      </c>
      <c r="N7" s="59" t="n">
        <f aca="false">MATCH(N6,Premissas!$C$5:$G$5,0)</f>
        <v>2</v>
      </c>
      <c r="O7" s="59" t="n">
        <f aca="false">MATCH(O6,Premissas!$C$5:$G$5,0)</f>
        <v>2</v>
      </c>
      <c r="P7" s="59" t="n">
        <f aca="false">MATCH(P6,Premissas!$C$5:$G$5,0)</f>
        <v>2</v>
      </c>
      <c r="Q7" s="59" t="n">
        <f aca="false">MATCH(Q6,Premissas!$C$5:$G$5,0)</f>
        <v>2</v>
      </c>
      <c r="R7" s="59" t="n">
        <f aca="false">MATCH(R6,Premissas!$C$5:$G$5,0)</f>
        <v>2</v>
      </c>
      <c r="S7" s="59" t="n">
        <f aca="false">MATCH(S6,Premissas!$C$5:$G$5,0)</f>
        <v>2</v>
      </c>
      <c r="T7" s="59" t="n">
        <f aca="false">MATCH(T6,Premissas!$C$5:$G$5,0)</f>
        <v>2</v>
      </c>
      <c r="U7" s="59" t="n">
        <f aca="false">MATCH(U6,Premissas!$C$5:$G$5,0)</f>
        <v>2</v>
      </c>
      <c r="V7" s="59" t="n">
        <f aca="false">MATCH(V6,Premissas!$C$5:$G$5,0)</f>
        <v>2</v>
      </c>
      <c r="W7" s="59" t="n">
        <f aca="false">MATCH(W6,Premissas!$C$5:$G$5,0)</f>
        <v>2</v>
      </c>
      <c r="X7" s="59" t="n">
        <f aca="false">MATCH(X6,Premissas!$C$5:$G$5,0)</f>
        <v>2</v>
      </c>
      <c r="Y7" s="59" t="n">
        <f aca="false">MATCH(Y6,Premissas!$C$5:$G$5,0)</f>
        <v>2</v>
      </c>
      <c r="Z7" s="59" t="n">
        <f aca="false">MATCH(Z6,Premissas!$C$5:$G$5,0)</f>
        <v>3</v>
      </c>
      <c r="AA7" s="59" t="n">
        <f aca="false">MATCH(AA6,Premissas!$C$5:$G$5,0)</f>
        <v>3</v>
      </c>
      <c r="AB7" s="59" t="n">
        <f aca="false">MATCH(AB6,Premissas!$C$5:$G$5,0)</f>
        <v>3</v>
      </c>
      <c r="AC7" s="59" t="n">
        <f aca="false">MATCH(AC6,Premissas!$C$5:$G$5,0)</f>
        <v>3</v>
      </c>
      <c r="AD7" s="59" t="n">
        <f aca="false">MATCH(AD6,Premissas!$C$5:$G$5,0)</f>
        <v>3</v>
      </c>
      <c r="AE7" s="59" t="n">
        <f aca="false">MATCH(AE6,Premissas!$C$5:$G$5,0)</f>
        <v>3</v>
      </c>
      <c r="AF7" s="59" t="n">
        <f aca="false">MATCH(AF6,Premissas!$C$5:$G$5,0)</f>
        <v>3</v>
      </c>
      <c r="AG7" s="59" t="n">
        <f aca="false">MATCH(AG6,Premissas!$C$5:$G$5,0)</f>
        <v>3</v>
      </c>
      <c r="AH7" s="59" t="n">
        <f aca="false">MATCH(AH6,Premissas!$C$5:$G$5,0)</f>
        <v>3</v>
      </c>
      <c r="AI7" s="59" t="n">
        <f aca="false">MATCH(AI6,Premissas!$C$5:$G$5,0)</f>
        <v>3</v>
      </c>
      <c r="AJ7" s="59" t="n">
        <f aca="false">MATCH(AJ6,Premissas!$C$5:$G$5,0)</f>
        <v>3</v>
      </c>
      <c r="AK7" s="59" t="n">
        <f aca="false">MATCH(AK6,Premissas!$C$5:$G$5,0)</f>
        <v>3</v>
      </c>
      <c r="AL7" s="59" t="n">
        <f aca="false">MATCH(AL6,Premissas!$C$5:$G$5,0)</f>
        <v>4</v>
      </c>
      <c r="AM7" s="59" t="n">
        <f aca="false">MATCH(AM6,Premissas!$C$5:$G$5,0)</f>
        <v>4</v>
      </c>
      <c r="AN7" s="59" t="n">
        <f aca="false">MATCH(AN6,Premissas!$C$5:$G$5,0)</f>
        <v>4</v>
      </c>
      <c r="AO7" s="59" t="n">
        <f aca="false">MATCH(AO6,Premissas!$C$5:$G$5,0)</f>
        <v>4</v>
      </c>
      <c r="AP7" s="59" t="n">
        <f aca="false">MATCH(AP6,Premissas!$C$5:$G$5,0)</f>
        <v>4</v>
      </c>
      <c r="AQ7" s="59" t="n">
        <f aca="false">MATCH(AQ6,Premissas!$C$5:$G$5,0)</f>
        <v>4</v>
      </c>
      <c r="AR7" s="59" t="n">
        <f aca="false">MATCH(AR6,Premissas!$C$5:$G$5,0)</f>
        <v>4</v>
      </c>
      <c r="AS7" s="59" t="n">
        <f aca="false">MATCH(AS6,Premissas!$C$5:$G$5,0)</f>
        <v>4</v>
      </c>
      <c r="AT7" s="59" t="n">
        <f aca="false">MATCH(AT6,Premissas!$C$5:$G$5,0)</f>
        <v>4</v>
      </c>
      <c r="AU7" s="59" t="n">
        <f aca="false">MATCH(AU6,Premissas!$C$5:$G$5,0)</f>
        <v>4</v>
      </c>
      <c r="AV7" s="59" t="n">
        <f aca="false">MATCH(AV6,Premissas!$C$5:$G$5,0)</f>
        <v>4</v>
      </c>
      <c r="AW7" s="59" t="n">
        <f aca="false">MATCH(AW6,Premissas!$C$5:$G$5,0)</f>
        <v>4</v>
      </c>
      <c r="AX7" s="59" t="n">
        <f aca="false">MATCH(AX6,Premissas!$C$5:$G$5,0)</f>
        <v>5</v>
      </c>
      <c r="AY7" s="59" t="n">
        <f aca="false">MATCH(AY6,Premissas!$C$5:$G$5,0)</f>
        <v>5</v>
      </c>
      <c r="AZ7" s="59" t="n">
        <f aca="false">MATCH(AZ6,Premissas!$C$5:$G$5,0)</f>
        <v>5</v>
      </c>
      <c r="BA7" s="59" t="n">
        <f aca="false">MATCH(BA6,Premissas!$C$5:$G$5,0)</f>
        <v>5</v>
      </c>
      <c r="BB7" s="59" t="n">
        <f aca="false">MATCH(BB6,Premissas!$C$5:$G$5,0)</f>
        <v>5</v>
      </c>
      <c r="BC7" s="59" t="n">
        <f aca="false">MATCH(BC6,Premissas!$C$5:$G$5,0)</f>
        <v>5</v>
      </c>
      <c r="BD7" s="59" t="n">
        <f aca="false">MATCH(BD6,Premissas!$C$5:$G$5,0)</f>
        <v>5</v>
      </c>
      <c r="BE7" s="59" t="n">
        <f aca="false">MATCH(BE6,Premissas!$C$5:$G$5,0)</f>
        <v>5</v>
      </c>
      <c r="BF7" s="59" t="n">
        <f aca="false">MATCH(BF6,Premissas!$C$5:$G$5,0)</f>
        <v>5</v>
      </c>
      <c r="BG7" s="59" t="n">
        <f aca="false">MATCH(BG6,Premissas!$C$5:$G$5,0)</f>
        <v>5</v>
      </c>
      <c r="BH7" s="59" t="n">
        <f aca="false">MATCH(BH6,Premissas!$C$5:$G$5,0)</f>
        <v>5</v>
      </c>
      <c r="BI7" s="59" t="n">
        <f aca="false">MATCH(BI6,Premissas!$C$5:$G$5,0)</f>
        <v>5</v>
      </c>
    </row>
    <row r="8" customFormat="false" ht="18" hidden="false" customHeight="true" outlineLevel="0" collapsed="false">
      <c r="A8" s="25" t="s">
        <v>711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customFormat="false" ht="15" hidden="false" customHeight="false" outlineLevel="0" collapsed="false">
      <c r="A9" s="66" t="s">
        <v>712</v>
      </c>
      <c r="B9" s="67" t="n">
        <f aca="false">CHOOSE(Premissas!$B$6,Cenários!B20,Cenários!B66,Cenários!B112)</f>
        <v>0</v>
      </c>
      <c r="C9" s="67" t="n">
        <f aca="false">CHOOSE(Premissas!$B$6,Cenários!C20,Cenários!C66,Cenários!C112)</f>
        <v>0</v>
      </c>
      <c r="D9" s="67" t="n">
        <f aca="false">CHOOSE(Premissas!$B$6,Cenários!D20,Cenários!D66,Cenários!D112)</f>
        <v>0</v>
      </c>
      <c r="E9" s="67" t="n">
        <f aca="false">CHOOSE(Premissas!$B$6,Cenários!E20,Cenários!E66,Cenários!E112)</f>
        <v>0</v>
      </c>
      <c r="F9" s="67" t="n">
        <f aca="false">CHOOSE(Premissas!$B$6,Cenários!F20,Cenários!F66,Cenários!F112)</f>
        <v>0</v>
      </c>
      <c r="G9" s="67" t="n">
        <f aca="false">CHOOSE(Premissas!$B$6,Cenários!G20,Cenários!G66,Cenários!G112)</f>
        <v>0</v>
      </c>
      <c r="H9" s="67" t="n">
        <f aca="false">CHOOSE(Premissas!$B$6,Cenários!H20,Cenários!H66,Cenários!H112)</f>
        <v>0</v>
      </c>
      <c r="I9" s="67" t="n">
        <f aca="false">CHOOSE(Premissas!$B$6,Cenários!I20,Cenários!I66,Cenários!I112)</f>
        <v>0</v>
      </c>
      <c r="J9" s="67" t="n">
        <f aca="false">CHOOSE(Premissas!$B$6,Cenários!J20,Cenários!J66,Cenários!J112)</f>
        <v>0</v>
      </c>
      <c r="K9" s="67" t="n">
        <f aca="false">CHOOSE(Premissas!$B$6,Cenários!K20,Cenários!K66,Cenários!K112)</f>
        <v>3004.9</v>
      </c>
      <c r="L9" s="67" t="n">
        <f aca="false">CHOOSE(Premissas!$B$6,Cenários!L20,Cenários!L66,Cenários!L112)</f>
        <v>11522.1</v>
      </c>
      <c r="M9" s="67" t="n">
        <f aca="false">CHOOSE(Premissas!$B$6,Cenários!M20,Cenários!M66,Cenários!M112)</f>
        <v>24914.8</v>
      </c>
      <c r="N9" s="67" t="n">
        <f aca="false">CHOOSE(Premissas!$B$6,Cenários!N20,Cenários!N66,Cenários!N112)</f>
        <v>54983.302</v>
      </c>
      <c r="O9" s="67" t="n">
        <f aca="false">CHOOSE(Premissas!$B$6,Cenários!O20,Cenários!O66,Cenários!O112)</f>
        <v>88983.9445</v>
      </c>
      <c r="P9" s="67" t="n">
        <f aca="false">CHOOSE(Premissas!$B$6,Cenários!P20,Cenários!P66,Cenários!P112)</f>
        <v>129223.237</v>
      </c>
      <c r="Q9" s="67" t="n">
        <f aca="false">CHOOSE(Premissas!$B$6,Cenários!Q20,Cenários!Q66,Cenários!Q112)</f>
        <v>116995.483</v>
      </c>
      <c r="R9" s="67" t="n">
        <f aca="false">CHOOSE(Premissas!$B$6,Cenários!R20,Cenários!R66,Cenários!R112)</f>
        <v>131989.0385</v>
      </c>
      <c r="S9" s="67" t="n">
        <f aca="false">CHOOSE(Premissas!$B$6,Cenários!S20,Cenários!S66,Cenários!S112)</f>
        <v>145838.8415</v>
      </c>
      <c r="T9" s="67" t="n">
        <f aca="false">CHOOSE(Premissas!$B$6,Cenários!T20,Cenários!T66,Cenários!T112)</f>
        <v>158648.8695</v>
      </c>
      <c r="U9" s="67" t="n">
        <f aca="false">CHOOSE(Premissas!$B$6,Cenários!U20,Cenários!U66,Cenários!U112)</f>
        <v>170502.3045</v>
      </c>
      <c r="V9" s="67" t="n">
        <f aca="false">CHOOSE(Premissas!$B$6,Cenários!V20,Cenários!V66,Cenários!V112)</f>
        <v>181461.533</v>
      </c>
      <c r="W9" s="67" t="n">
        <f aca="false">CHOOSE(Premissas!$B$6,Cenários!W20,Cenários!W66,Cenários!W112)</f>
        <v>176844.932</v>
      </c>
      <c r="X9" s="67" t="n">
        <f aca="false">CHOOSE(Premissas!$B$6,Cenários!X20,Cenários!X66,Cenários!X112)</f>
        <v>185516.6555</v>
      </c>
      <c r="Y9" s="67" t="n">
        <f aca="false">CHOOSE(Premissas!$B$6,Cenários!Y20,Cenários!Y66,Cenários!Y112)</f>
        <v>193522.923</v>
      </c>
      <c r="Z9" s="67" t="n">
        <f aca="false">CHOOSE(Premissas!$B$6,Cenários!Z20,Cenários!Z66,Cenários!Z112)</f>
        <v>226787.82071</v>
      </c>
      <c r="AA9" s="67" t="n">
        <f aca="false">CHOOSE(Premissas!$B$6,Cenários!AA20,Cenários!AA66,Cenários!AA112)</f>
        <v>245846.1686175</v>
      </c>
      <c r="AB9" s="67" t="n">
        <f aca="false">CHOOSE(Premissas!$B$6,Cenários!AB20,Cenários!AB66,Cenários!AB112)</f>
        <v>263557.17608</v>
      </c>
      <c r="AC9" s="67" t="n">
        <f aca="false">CHOOSE(Premissas!$B$6,Cenários!AC20,Cenários!AC66,Cenários!AC112)</f>
        <v>280029.499585</v>
      </c>
      <c r="AD9" s="67" t="n">
        <f aca="false">CHOOSE(Premissas!$B$6,Cenários!AD20,Cenários!AD66,Cenários!AD112)</f>
        <v>295328.333025</v>
      </c>
      <c r="AE9" s="67" t="n">
        <f aca="false">CHOOSE(Premissas!$B$6,Cenários!AE20,Cenários!AE66,Cenários!AE112)</f>
        <v>309540.60159</v>
      </c>
      <c r="AF9" s="67" t="n">
        <f aca="false">CHOOSE(Premissas!$B$6,Cenários!AF20,Cenários!AF66,Cenários!AF112)</f>
        <v>322774.9617675</v>
      </c>
      <c r="AG9" s="67" t="n">
        <f aca="false">CHOOSE(Premissas!$B$6,Cenários!AG20,Cenários!AG66,Cenários!AG112)</f>
        <v>335031.4135575</v>
      </c>
      <c r="AH9" s="67" t="n">
        <f aca="false">CHOOSE(Premissas!$B$6,Cenários!AH20,Cenários!AH66,Cenários!AH112)</f>
        <v>346462.0760425</v>
      </c>
      <c r="AI9" s="67" t="n">
        <f aca="false">CHOOSE(Premissas!$B$6,Cenários!AI20,Cenários!AI66,Cenários!AI112)</f>
        <v>357088.68052</v>
      </c>
      <c r="AJ9" s="67" t="n">
        <f aca="false">CHOOSE(Premissas!$B$6,Cenários!AJ20,Cenários!AJ66,Cenários!AJ112)</f>
        <v>366954.689585</v>
      </c>
      <c r="AK9" s="67" t="n">
        <f aca="false">CHOOSE(Premissas!$B$6,Cenários!AK20,Cenários!AK66,Cenários!AK112)</f>
        <v>376081.834535</v>
      </c>
      <c r="AL9" s="67" t="n">
        <f aca="false">CHOOSE(Premissas!$B$6,Cenários!AL20,Cenários!AL66,Cenários!AL112)</f>
        <v>428863.353185437</v>
      </c>
      <c r="AM9" s="67" t="n">
        <f aca="false">CHOOSE(Premissas!$B$6,Cenários!AM20,Cenários!AM66,Cenários!AM112)</f>
        <v>456273.36469165</v>
      </c>
      <c r="AN9" s="67" t="n">
        <f aca="false">CHOOSE(Premissas!$B$6,Cenários!AN20,Cenários!AN66,Cenários!AN112)</f>
        <v>481866.639726862</v>
      </c>
      <c r="AO9" s="67" t="n">
        <f aca="false">CHOOSE(Premissas!$B$6,Cenários!AO20,Cenários!AO66,Cenários!AO112)</f>
        <v>505802.142732287</v>
      </c>
      <c r="AP9" s="67" t="n">
        <f aca="false">CHOOSE(Premissas!$B$6,Cenários!AP20,Cenários!AP66,Cenários!AP112)</f>
        <v>528102.582913812</v>
      </c>
      <c r="AQ9" s="67" t="n">
        <f aca="false">CHOOSE(Premissas!$B$6,Cenários!AQ20,Cenários!AQ66,Cenários!AQ112)</f>
        <v>548926.92471265</v>
      </c>
      <c r="AR9" s="67" t="n">
        <f aca="false">CHOOSE(Premissas!$B$6,Cenários!AR20,Cenários!AR66,Cenários!AR112)</f>
        <v>568366.00495235</v>
      </c>
      <c r="AS9" s="67" t="n">
        <f aca="false">CHOOSE(Premissas!$B$6,Cenários!AS20,Cenários!AS66,Cenários!AS112)</f>
        <v>586510.660456462</v>
      </c>
      <c r="AT9" s="67" t="n">
        <f aca="false">CHOOSE(Premissas!$B$6,Cenários!AT20,Cenários!AT66,Cenários!AT112)</f>
        <v>603474.437254425</v>
      </c>
      <c r="AU9" s="67" t="n">
        <f aca="false">CHOOSE(Premissas!$B$6,Cenários!AU20,Cenários!AU66,Cenários!AU112)</f>
        <v>619302.753758012</v>
      </c>
      <c r="AV9" s="67" t="n">
        <f aca="false">CHOOSE(Premissas!$B$6,Cenários!AV20,Cenários!AV66,Cenários!AV112)</f>
        <v>634063.737584887</v>
      </c>
      <c r="AW9" s="67" t="n">
        <f aca="false">CHOOSE(Premissas!$B$6,Cenários!AW20,Cenários!AW66,Cenários!AW112)</f>
        <v>647848.2255586</v>
      </c>
      <c r="AX9" s="67" t="n">
        <f aca="false">CHOOSE(Premissas!$B$6,Cenários!AX20,Cenários!AX66,Cenários!AX112)</f>
        <v>731416.854218276</v>
      </c>
      <c r="AY9" s="67" t="n">
        <f aca="false">CHOOSE(Premissas!$B$6,Cenários!AY20,Cenários!AY66,Cenários!AY112)</f>
        <v>774488.83729495</v>
      </c>
      <c r="AZ9" s="67" t="n">
        <f aca="false">CHOOSE(Premissas!$B$6,Cenários!AZ20,Cenários!AZ66,Cenários!AZ112)</f>
        <v>814879.203794399</v>
      </c>
      <c r="BA9" s="67" t="n">
        <f aca="false">CHOOSE(Premissas!$B$6,Cenários!BA20,Cenários!BA66,Cenários!BA112)</f>
        <v>852730.340437537</v>
      </c>
      <c r="BB9" s="67" t="n">
        <f aca="false">CHOOSE(Premissas!$B$6,Cenários!BB20,Cenários!BB66,Cenários!BB112)</f>
        <v>888208.365065431</v>
      </c>
      <c r="BC9" s="67" t="n">
        <f aca="false">CHOOSE(Premissas!$B$6,Cenários!BC20,Cenários!BC66,Cenários!BC112)</f>
        <v>921479.395519148</v>
      </c>
      <c r="BD9" s="67" t="n">
        <f aca="false">CHOOSE(Premissas!$B$6,Cenários!BD20,Cenários!BD66,Cenários!BD112)</f>
        <v>952685.818519603</v>
      </c>
      <c r="BE9" s="67" t="n">
        <f aca="false">CHOOSE(Premissas!$B$6,Cenários!BE20,Cenários!BE66,Cenários!BE112)</f>
        <v>981946.289667559</v>
      </c>
      <c r="BF9" s="67" t="n">
        <f aca="false">CHOOSE(Premissas!$B$6,Cenários!BF20,Cenários!BF66,Cenários!BF112)</f>
        <v>1009332.00232347</v>
      </c>
      <c r="BG9" s="67" t="n">
        <f aca="false">CHOOSE(Premissas!$B$6,Cenários!BG20,Cenários!BG66,Cenários!BG112)</f>
        <v>1035056.53656871</v>
      </c>
      <c r="BH9" s="67" t="n">
        <f aca="false">CHOOSE(Premissas!$B$6,Cenários!BH20,Cenários!BH66,Cenários!BH112)</f>
        <v>1059167.35464359</v>
      </c>
      <c r="BI9" s="67" t="n">
        <f aca="false">CHOOSE(Premissas!$B$6,Cenários!BI20,Cenários!BI66,Cenários!BI112)</f>
        <v>1081759.38102871</v>
      </c>
      <c r="BJ9" s="61" t="n">
        <f aca="false">SUM(B9:BI9)</f>
        <v>23211987.3262238</v>
      </c>
    </row>
    <row r="10" customFormat="false" ht="15" hidden="false" customHeight="false" outlineLevel="0" collapsed="false">
      <c r="A10" s="66" t="s">
        <v>713</v>
      </c>
      <c r="B10" s="67" t="n">
        <f aca="false">CHOOSE(Premissas!$B$6,Cenários!B21,Cenários!B67,Cenários!B113)</f>
        <v>0</v>
      </c>
      <c r="C10" s="67" t="n">
        <f aca="false">CHOOSE(Premissas!$B$6,Cenários!C21,Cenários!C67,Cenários!C113)</f>
        <v>0</v>
      </c>
      <c r="D10" s="67" t="n">
        <f aca="false">CHOOSE(Premissas!$B$6,Cenários!D21,Cenários!D67,Cenários!D113)</f>
        <v>0</v>
      </c>
      <c r="E10" s="67" t="n">
        <f aca="false">CHOOSE(Premissas!$B$6,Cenários!E21,Cenários!E67,Cenários!E113)</f>
        <v>0</v>
      </c>
      <c r="F10" s="67" t="n">
        <f aca="false">CHOOSE(Premissas!$B$6,Cenários!F21,Cenários!F67,Cenários!F113)</f>
        <v>0</v>
      </c>
      <c r="G10" s="67" t="n">
        <f aca="false">CHOOSE(Premissas!$B$6,Cenários!G21,Cenários!G67,Cenários!G113)</f>
        <v>0</v>
      </c>
      <c r="H10" s="67" t="n">
        <f aca="false">CHOOSE(Premissas!$B$6,Cenários!H21,Cenários!H67,Cenários!H113)</f>
        <v>0</v>
      </c>
      <c r="I10" s="67" t="n">
        <f aca="false">CHOOSE(Premissas!$B$6,Cenários!I21,Cenários!I67,Cenários!I113)</f>
        <v>0</v>
      </c>
      <c r="J10" s="67" t="n">
        <f aca="false">CHOOSE(Premissas!$B$6,Cenários!J21,Cenários!J67,Cenários!J113)</f>
        <v>0</v>
      </c>
      <c r="K10" s="67" t="n">
        <f aca="false">CHOOSE(Premissas!$B$6,Cenários!K21,Cenários!K67,Cenários!K113)</f>
        <v>0</v>
      </c>
      <c r="L10" s="67" t="n">
        <f aca="false">CHOOSE(Premissas!$B$6,Cenários!L21,Cenários!L67,Cenários!L113)</f>
        <v>0</v>
      </c>
      <c r="M10" s="67" t="n">
        <f aca="false">CHOOSE(Premissas!$B$6,Cenários!M21,Cenários!M67,Cenários!M113)</f>
        <v>0</v>
      </c>
      <c r="N10" s="67" t="n">
        <f aca="false">CHOOSE(Premissas!$B$6,Cenários!N21,Cenários!N67,Cenários!N113)</f>
        <v>0</v>
      </c>
      <c r="O10" s="67" t="n">
        <f aca="false">CHOOSE(Premissas!$B$6,Cenários!O21,Cenários!O67,Cenários!O113)</f>
        <v>0</v>
      </c>
      <c r="P10" s="67" t="n">
        <f aca="false">CHOOSE(Premissas!$B$6,Cenários!P21,Cenários!P67,Cenários!P113)</f>
        <v>0</v>
      </c>
      <c r="Q10" s="67" t="n">
        <f aca="false">CHOOSE(Premissas!$B$6,Cenários!Q21,Cenários!Q67,Cenários!Q113)</f>
        <v>66170.7585</v>
      </c>
      <c r="R10" s="67" t="n">
        <f aca="false">CHOOSE(Premissas!$B$6,Cenários!R21,Cenários!R67,Cenários!R113)</f>
        <v>74634.945</v>
      </c>
      <c r="S10" s="67" t="n">
        <f aca="false">CHOOSE(Premissas!$B$6,Cenários!S21,Cenários!S67,Cenários!S113)</f>
        <v>82473.699</v>
      </c>
      <c r="T10" s="67" t="n">
        <f aca="false">CHOOSE(Premissas!$B$6,Cenários!T21,Cenários!T67,Cenários!T113)</f>
        <v>89728.716</v>
      </c>
      <c r="U10" s="67" t="n">
        <f aca="false">CHOOSE(Premissas!$B$6,Cenários!U21,Cenários!U67,Cenários!U113)</f>
        <v>96441.6915</v>
      </c>
      <c r="V10" s="67" t="n">
        <f aca="false">CHOOSE(Premissas!$B$6,Cenários!V21,Cenários!V67,Cenários!V113)</f>
        <v>102612.6255</v>
      </c>
      <c r="W10" s="67" t="n">
        <f aca="false">CHOOSE(Premissas!$B$6,Cenários!W21,Cenários!W67,Cenários!W113)</f>
        <v>108366.6045</v>
      </c>
      <c r="X10" s="67" t="n">
        <f aca="false">CHOOSE(Premissas!$B$6,Cenários!X21,Cenários!X67,Cenários!X113)</f>
        <v>113661.933</v>
      </c>
      <c r="Y10" s="67" t="n">
        <f aca="false">CHOOSE(Premissas!$B$6,Cenários!Y21,Cenários!Y67,Cenários!Y113)</f>
        <v>118540.3065</v>
      </c>
      <c r="Z10" s="67" t="n">
        <f aca="false">CHOOSE(Premissas!$B$6,Cenários!Z21,Cenários!Z67,Cenários!Z113)</f>
        <v>160474.9301925</v>
      </c>
      <c r="AA10" s="67" t="n">
        <f aca="false">CHOOSE(Premissas!$B$6,Cenários!AA21,Cenários!AA67,Cenários!AA113)</f>
        <v>173982.1874175</v>
      </c>
      <c r="AB10" s="67" t="n">
        <f aca="false">CHOOSE(Premissas!$B$6,Cenários!AB21,Cenários!AB67,Cenários!AB113)</f>
        <v>186530.8650975</v>
      </c>
      <c r="AC10" s="67" t="n">
        <f aca="false">CHOOSE(Premissas!$B$6,Cenários!AC21,Cenários!AC67,Cenários!AC113)</f>
        <v>198164.53503</v>
      </c>
      <c r="AD10" s="67" t="n">
        <f aca="false">CHOOSE(Premissas!$B$6,Cenários!AD21,Cenários!AD67,Cenários!AD113)</f>
        <v>209013.9126075</v>
      </c>
      <c r="AE10" s="67" t="n">
        <f aca="false">CHOOSE(Premissas!$B$6,Cenários!AE21,Cenários!AE67,Cenários!AE113)</f>
        <v>219078.99783</v>
      </c>
      <c r="AF10" s="67" t="n">
        <f aca="false">CHOOSE(Premissas!$B$6,Cenários!AF21,Cenários!AF67,Cenários!AF113)</f>
        <v>228403.362495</v>
      </c>
      <c r="AG10" s="67" t="n">
        <f aca="false">CHOOSE(Premissas!$B$6,Cenários!AG21,Cenários!AG67,Cenários!AG113)</f>
        <v>237117.721995</v>
      </c>
      <c r="AH10" s="67" t="n">
        <f aca="false">CHOOSE(Premissas!$B$6,Cenários!AH21,Cenários!AH67,Cenários!AH113)</f>
        <v>245178.5045325</v>
      </c>
      <c r="AI10" s="67" t="n">
        <f aca="false">CHOOSE(Premissas!$B$6,Cenários!AI21,Cenários!AI67,Cenários!AI113)</f>
        <v>252672.8537025</v>
      </c>
      <c r="AJ10" s="67" t="n">
        <f aca="false">CHOOSE(Premissas!$B$6,Cenários!AJ21,Cenários!AJ67,Cenários!AJ113)</f>
        <v>259644.3413025</v>
      </c>
      <c r="AK10" s="67" t="n">
        <f aca="false">CHOOSE(Premissas!$B$6,Cenários!AK21,Cenários!AK67,Cenários!AK113)</f>
        <v>266136.53913</v>
      </c>
      <c r="AL10" s="67" t="n">
        <f aca="false">CHOOSE(Premissas!$B$6,Cenários!AL21,Cenários!AL67,Cenários!AL113)</f>
        <v>349325.5577889</v>
      </c>
      <c r="AM10" s="67" t="n">
        <f aca="false">CHOOSE(Premissas!$B$6,Cenários!AM21,Cenários!AM67,Cenários!AM113)</f>
        <v>371682.029227163</v>
      </c>
      <c r="AN10" s="67" t="n">
        <f aca="false">CHOOSE(Premissas!$B$6,Cenários!AN21,Cenários!AN67,Cenários!AN113)</f>
        <v>392535.927228637</v>
      </c>
      <c r="AO10" s="67" t="n">
        <f aca="false">CHOOSE(Premissas!$B$6,Cenários!AO21,Cenários!AO67,Cenários!AO113)</f>
        <v>411978.3168501</v>
      </c>
      <c r="AP10" s="67" t="n">
        <f aca="false">CHOOSE(Premissas!$B$6,Cenários!AP21,Cenários!AP67,Cenários!AP113)</f>
        <v>430145.795676712</v>
      </c>
      <c r="AQ10" s="67" t="n">
        <f aca="false">CHOOSE(Premissas!$B$6,Cenários!AQ21,Cenários!AQ67,Cenários!AQ113)</f>
        <v>447129.42876525</v>
      </c>
      <c r="AR10" s="67" t="n">
        <f aca="false">CHOOSE(Premissas!$B$6,Cenários!AR21,Cenários!AR67,Cenários!AR113)</f>
        <v>462974.7486441</v>
      </c>
      <c r="AS10" s="67" t="n">
        <f aca="false">CHOOSE(Premissas!$B$6,Cenários!AS21,Cenários!AS67,Cenários!AS113)</f>
        <v>477772.820370037</v>
      </c>
      <c r="AT10" s="67" t="n">
        <f aca="false">CHOOSE(Premissas!$B$6,Cenários!AT21,Cenários!AT67,Cenários!AT113)</f>
        <v>491569.17647145</v>
      </c>
      <c r="AU10" s="67" t="n">
        <f aca="false">CHOOSE(Premissas!$B$6,Cenários!AU21,Cenários!AU67,Cenários!AU113)</f>
        <v>504454.882005112</v>
      </c>
      <c r="AV10" s="67" t="n">
        <f aca="false">CHOOSE(Premissas!$B$6,Cenários!AV21,Cenários!AV67,Cenários!AV113)</f>
        <v>516475.469499412</v>
      </c>
      <c r="AW10" s="67" t="n">
        <f aca="false">CHOOSE(Premissas!$B$6,Cenários!AW21,Cenários!AW67,Cenários!AW113)</f>
        <v>527722.004011125</v>
      </c>
      <c r="AX10" s="67" t="n">
        <f aca="false">CHOOSE(Premissas!$B$6,Cenários!AX21,Cenários!AX67,Cenários!AX113)</f>
        <v>684364.601808296</v>
      </c>
      <c r="AY10" s="67" t="n">
        <f aca="false">CHOOSE(Premissas!$B$6,Cenários!AY21,Cenários!AY67,Cenários!AY113)</f>
        <v>724666.125671998</v>
      </c>
      <c r="AZ10" s="67" t="n">
        <f aca="false">CHOOSE(Premissas!$B$6,Cenários!AZ21,Cenários!AZ67,Cenários!AZ113)</f>
        <v>762445.830450958</v>
      </c>
      <c r="BA10" s="67" t="n">
        <f aca="false">CHOOSE(Premissas!$B$6,Cenários!BA21,Cenários!BA67,Cenários!BA113)</f>
        <v>797846.460621672</v>
      </c>
      <c r="BB10" s="67" t="n">
        <f aca="false">CHOOSE(Premissas!$B$6,Cenários!BB21,Cenários!BB67,Cenários!BB113)</f>
        <v>831058.342152798</v>
      </c>
      <c r="BC10" s="67" t="n">
        <f aca="false">CHOOSE(Premissas!$B$6,Cenários!BC21,Cenários!BC67,Cenários!BC113)</f>
        <v>862224.219520832</v>
      </c>
      <c r="BD10" s="67" t="n">
        <f aca="false">CHOOSE(Premissas!$B$6,Cenários!BD21,Cenários!BD67,Cenários!BD113)</f>
        <v>891391.674217939</v>
      </c>
      <c r="BE10" s="67" t="n">
        <f aca="false">CHOOSE(Premissas!$B$6,Cenários!BE21,Cenários!BE67,Cenários!BE113)</f>
        <v>918751.032212778</v>
      </c>
      <c r="BF10" s="67" t="n">
        <f aca="false">CHOOSE(Premissas!$B$6,Cenários!BF21,Cenários!BF67,Cenários!BF113)</f>
        <v>944445.037981844</v>
      </c>
      <c r="BG10" s="67" t="n">
        <f aca="false">CHOOSE(Premissas!$B$6,Cenários!BG21,Cenários!BG67,Cenários!BG113)</f>
        <v>968473.691525138</v>
      </c>
      <c r="BH10" s="67" t="n">
        <f aca="false">CHOOSE(Premissas!$B$6,Cenários!BH21,Cenários!BH67,Cenários!BH113)</f>
        <v>991027.318811318</v>
      </c>
      <c r="BI10" s="67" t="n">
        <f aca="false">CHOOSE(Premissas!$B$6,Cenários!BI21,Cenários!BI67,Cenários!BI113)</f>
        <v>1012153.50133255</v>
      </c>
      <c r="BJ10" s="61" t="n">
        <f aca="false">SUM(B10:BI10)</f>
        <v>19261644.0236786</v>
      </c>
    </row>
    <row r="11" customFormat="false" ht="15" hidden="false" customHeight="false" outlineLevel="0" collapsed="false">
      <c r="A11" s="66" t="s">
        <v>714</v>
      </c>
      <c r="B11" s="67" t="n">
        <f aca="false">CHOOSE(Premissas!$B$6,Cenários!B22,Cenários!B68,Cenários!B114)</f>
        <v>0</v>
      </c>
      <c r="C11" s="67" t="n">
        <f aca="false">CHOOSE(Premissas!$B$6,Cenários!C22,Cenários!C68,Cenários!C114)</f>
        <v>0</v>
      </c>
      <c r="D11" s="67" t="n">
        <f aca="false">CHOOSE(Premissas!$B$6,Cenários!D22,Cenários!D68,Cenários!D114)</f>
        <v>0</v>
      </c>
      <c r="E11" s="67" t="n">
        <f aca="false">CHOOSE(Premissas!$B$6,Cenários!E22,Cenários!E68,Cenários!E114)</f>
        <v>0</v>
      </c>
      <c r="F11" s="67" t="n">
        <f aca="false">CHOOSE(Premissas!$B$6,Cenários!F22,Cenários!F68,Cenários!F114)</f>
        <v>0</v>
      </c>
      <c r="G11" s="67" t="n">
        <f aca="false">CHOOSE(Premissas!$B$6,Cenários!G22,Cenários!G68,Cenários!G114)</f>
        <v>0</v>
      </c>
      <c r="H11" s="67" t="n">
        <f aca="false">CHOOSE(Premissas!$B$6,Cenários!H22,Cenários!H68,Cenários!H114)</f>
        <v>0</v>
      </c>
      <c r="I11" s="67" t="n">
        <f aca="false">CHOOSE(Premissas!$B$6,Cenários!I22,Cenários!I68,Cenários!I114)</f>
        <v>0</v>
      </c>
      <c r="J11" s="67" t="n">
        <f aca="false">CHOOSE(Premissas!$B$6,Cenários!J22,Cenários!J68,Cenários!J114)</f>
        <v>0</v>
      </c>
      <c r="K11" s="67" t="n">
        <f aca="false">CHOOSE(Premissas!$B$6,Cenários!K22,Cenários!K68,Cenários!K114)</f>
        <v>0</v>
      </c>
      <c r="L11" s="67" t="n">
        <f aca="false">CHOOSE(Premissas!$B$6,Cenários!L22,Cenários!L68,Cenários!L114)</f>
        <v>0</v>
      </c>
      <c r="M11" s="67" t="n">
        <f aca="false">CHOOSE(Premissas!$B$6,Cenários!M22,Cenários!M68,Cenários!M114)</f>
        <v>0</v>
      </c>
      <c r="N11" s="67" t="n">
        <f aca="false">CHOOSE(Premissas!$B$6,Cenários!N22,Cenários!N68,Cenários!N114)</f>
        <v>0</v>
      </c>
      <c r="O11" s="67" t="n">
        <f aca="false">CHOOSE(Premissas!$B$6,Cenários!O22,Cenários!O68,Cenários!O114)</f>
        <v>0</v>
      </c>
      <c r="P11" s="67" t="n">
        <f aca="false">CHOOSE(Premissas!$B$6,Cenários!P22,Cenários!P68,Cenários!P114)</f>
        <v>0</v>
      </c>
      <c r="Q11" s="67" t="n">
        <f aca="false">CHOOSE(Premissas!$B$6,Cenários!Q22,Cenários!Q68,Cenários!Q114)</f>
        <v>0</v>
      </c>
      <c r="R11" s="67" t="n">
        <f aca="false">CHOOSE(Premissas!$B$6,Cenários!R22,Cenários!R68,Cenários!R114)</f>
        <v>0</v>
      </c>
      <c r="S11" s="67" t="n">
        <f aca="false">CHOOSE(Premissas!$B$6,Cenários!S22,Cenários!S68,Cenários!S114)</f>
        <v>0</v>
      </c>
      <c r="T11" s="67" t="n">
        <f aca="false">CHOOSE(Premissas!$B$6,Cenários!T22,Cenários!T68,Cenários!T114)</f>
        <v>0</v>
      </c>
      <c r="U11" s="67" t="n">
        <f aca="false">CHOOSE(Premissas!$B$6,Cenários!U22,Cenários!U68,Cenários!U114)</f>
        <v>0</v>
      </c>
      <c r="V11" s="67" t="n">
        <f aca="false">CHOOSE(Premissas!$B$6,Cenários!V22,Cenários!V68,Cenários!V114)</f>
        <v>0</v>
      </c>
      <c r="W11" s="67" t="n">
        <f aca="false">CHOOSE(Premissas!$B$6,Cenários!W22,Cenários!W68,Cenários!W114)</f>
        <v>59198.3095</v>
      </c>
      <c r="X11" s="67" t="n">
        <f aca="false">CHOOSE(Premissas!$B$6,Cenários!X22,Cenários!X68,Cenários!X114)</f>
        <v>62037.1565</v>
      </c>
      <c r="Y11" s="67" t="n">
        <f aca="false">CHOOSE(Premissas!$B$6,Cenários!Y22,Cenários!Y68,Cenários!Y114)</f>
        <v>64709.0125</v>
      </c>
      <c r="Z11" s="67" t="n">
        <f aca="false">CHOOSE(Premissas!$B$6,Cenários!Z22,Cenários!Z68,Cenários!Z114)</f>
        <v>107146.43533</v>
      </c>
      <c r="AA11" s="67" t="n">
        <f aca="false">CHOOSE(Premissas!$B$6,Cenários!AA22,Cenários!AA68,Cenários!AA114)</f>
        <v>116133.4734725</v>
      </c>
      <c r="AB11" s="67" t="n">
        <f aca="false">CHOOSE(Premissas!$B$6,Cenários!AB22,Cenários!AB68,Cenários!AB114)</f>
        <v>124509.7420325</v>
      </c>
      <c r="AC11" s="67" t="n">
        <f aca="false">CHOOSE(Premissas!$B$6,Cenários!AC22,Cenários!AC68,Cenários!AC114)</f>
        <v>132275.24101</v>
      </c>
      <c r="AD11" s="67" t="n">
        <f aca="false">CHOOSE(Premissas!$B$6,Cenários!AD22,Cenários!AD68,Cenários!AD114)</f>
        <v>139517.2232025</v>
      </c>
      <c r="AE11" s="67" t="n">
        <f aca="false">CHOOSE(Premissas!$B$6,Cenários!AE22,Cenários!AE68,Cenários!AE114)</f>
        <v>146235.68861</v>
      </c>
      <c r="AF11" s="67" t="n">
        <f aca="false">CHOOSE(Premissas!$B$6,Cenários!AF22,Cenários!AF68,Cenários!AF114)</f>
        <v>152430.6372325</v>
      </c>
      <c r="AG11" s="67" t="n">
        <f aca="false">CHOOSE(Premissas!$B$6,Cenários!AG22,Cenários!AG68,Cenários!AG114)</f>
        <v>158276.574665</v>
      </c>
      <c r="AH11" s="67" t="n">
        <f aca="false">CHOOSE(Premissas!$B$6,Cenários!AH22,Cenários!AH68,Cenários!AH114)</f>
        <v>163686.24811</v>
      </c>
      <c r="AI11" s="67" t="n">
        <f aca="false">CHOOSE(Premissas!$B$6,Cenários!AI22,Cenários!AI68,Cenários!AI114)</f>
        <v>168659.6575675</v>
      </c>
      <c r="AJ11" s="67" t="n">
        <f aca="false">CHOOSE(Premissas!$B$6,Cenários!AJ22,Cenários!AJ68,Cenários!AJ114)</f>
        <v>173284.055835</v>
      </c>
      <c r="AK11" s="67" t="n">
        <f aca="false">CHOOSE(Premissas!$B$6,Cenários!AK22,Cenários!AK68,Cenários!AK114)</f>
        <v>177646.69571</v>
      </c>
      <c r="AL11" s="67" t="n">
        <f aca="false">CHOOSE(Premissas!$B$6,Cenários!AL22,Cenários!AL68,Cenários!AL114)</f>
        <v>269069.740666512</v>
      </c>
      <c r="AM11" s="67" t="n">
        <f aca="false">CHOOSE(Premissas!$B$6,Cenários!AM22,Cenários!AM68,Cenários!AM114)</f>
        <v>286302.60443675</v>
      </c>
      <c r="AN11" s="67" t="n">
        <f aca="false">CHOOSE(Premissas!$B$6,Cenários!AN22,Cenários!AN68,Cenários!AN114)</f>
        <v>302350.13895295</v>
      </c>
      <c r="AO11" s="67" t="n">
        <f aca="false">CHOOSE(Premissas!$B$6,Cenários!AO22,Cenários!AO68,Cenários!AO114)</f>
        <v>317303.5233885</v>
      </c>
      <c r="AP11" s="67" t="n">
        <f aca="false">CHOOSE(Premissas!$B$6,Cenários!AP22,Cenários!AP68,Cenários!AP114)</f>
        <v>331345.116090175</v>
      </c>
      <c r="AQ11" s="67" t="n">
        <f aca="false">CHOOSE(Premissas!$B$6,Cenários!AQ22,Cenários!AQ68,Cenários!AQ114)</f>
        <v>344383.737884588</v>
      </c>
      <c r="AR11" s="67" t="n">
        <f aca="false">CHOOSE(Premissas!$B$6,Cenários!AR22,Cenários!AR68,Cenários!AR114)</f>
        <v>356601.747118512</v>
      </c>
      <c r="AS11" s="67" t="n">
        <f aca="false">CHOOSE(Premissas!$B$6,Cenários!AS22,Cenários!AS68,Cenários!AS114)</f>
        <v>367999.14379195</v>
      </c>
      <c r="AT11" s="67" t="n">
        <f aca="false">CHOOSE(Premissas!$B$6,Cenários!AT22,Cenários!AT68,Cenários!AT114)</f>
        <v>378575.9279049</v>
      </c>
      <c r="AU11" s="67" t="n">
        <f aca="false">CHOOSE(Premissas!$B$6,Cenários!AU22,Cenários!AU68,Cenários!AU114)</f>
        <v>388514.457804137</v>
      </c>
      <c r="AV11" s="67" t="n">
        <f aca="false">CHOOSE(Premissas!$B$6,Cenários!AV22,Cenários!AV68,Cenários!AV114)</f>
        <v>397814.733489662</v>
      </c>
      <c r="AW11" s="67" t="n">
        <f aca="false">CHOOSE(Premissas!$B$6,Cenários!AW22,Cenários!AW68,Cenários!AW114)</f>
        <v>406476.754961475</v>
      </c>
      <c r="AX11" s="67" t="n">
        <f aca="false">CHOOSE(Premissas!$B$6,Cenários!AX22,Cenários!AX68,Cenários!AX114)</f>
        <v>587319.703874775</v>
      </c>
      <c r="AY11" s="67" t="n">
        <f aca="false">CHOOSE(Premissas!$B$6,Cenários!AY22,Cenários!AY68,Cenários!AY114)</f>
        <v>621907.155611722</v>
      </c>
      <c r="AZ11" s="67" t="n">
        <f aca="false">CHOOSE(Premissas!$B$6,Cenários!AZ22,Cenários!AZ68,Cenários!AZ114)</f>
        <v>654303.115916301</v>
      </c>
      <c r="BA11" s="67" t="n">
        <f aca="false">CHOOSE(Premissas!$B$6,Cenários!BA22,Cenários!BA68,Cenários!BA114)</f>
        <v>684698.149260891</v>
      </c>
      <c r="BB11" s="67" t="n">
        <f aca="false">CHOOSE(Premissas!$B$6,Cenários!BB22,Cenários!BB68,Cenários!BB114)</f>
        <v>713282.820117872</v>
      </c>
      <c r="BC11" s="67" t="n">
        <f aca="false">CHOOSE(Premissas!$B$6,Cenários!BC22,Cenários!BC68,Cenários!BC114)</f>
        <v>739961.846251054</v>
      </c>
      <c r="BD11" s="67" t="n">
        <f aca="false">CHOOSE(Premissas!$B$6,Cenários!BD22,Cenários!BD68,Cenários!BD114)</f>
        <v>765021.074369008</v>
      </c>
      <c r="BE11" s="67" t="n">
        <f aca="false">CHOOSE(Premissas!$B$6,Cenários!BE22,Cenários!BE68,Cenários!BE114)</f>
        <v>788460.504471733</v>
      </c>
      <c r="BF11" s="67" t="n">
        <f aca="false">CHOOSE(Premissas!$B$6,Cenários!BF22,Cenários!BF68,Cenários!BF114)</f>
        <v>810565.983267798</v>
      </c>
      <c r="BG11" s="67" t="n">
        <f aca="false">CHOOSE(Premissas!$B$6,Cenários!BG22,Cenários!BG68,Cenários!BG114)</f>
        <v>831146.946284825</v>
      </c>
      <c r="BH11" s="67" t="n">
        <f aca="false">CHOOSE(Premissas!$B$6,Cenários!BH22,Cenários!BH68,Cenários!BH114)</f>
        <v>850489.240231382</v>
      </c>
      <c r="BI11" s="67" t="n">
        <f aca="false">CHOOSE(Premissas!$B$6,Cenários!BI22,Cenários!BI68,Cenários!BI114)</f>
        <v>868688.14734366</v>
      </c>
      <c r="BJ11" s="61" t="n">
        <f aca="false">SUM(B11:BI11)</f>
        <v>15008328.4647686</v>
      </c>
    </row>
    <row r="12" customFormat="false" ht="15" hidden="false" customHeight="false" outlineLevel="0" collapsed="false">
      <c r="A12" s="66" t="s">
        <v>715</v>
      </c>
      <c r="B12" s="67" t="n">
        <f aca="false">CHOOSE(Premissas!$B$6,Cenários!B24,Cenários!B70,Cenários!B116)</f>
        <v>0</v>
      </c>
      <c r="C12" s="67" t="n">
        <f aca="false">CHOOSE(Premissas!$B$6,Cenários!C24,Cenários!C70,Cenários!C116)</f>
        <v>0</v>
      </c>
      <c r="D12" s="67" t="n">
        <f aca="false">CHOOSE(Premissas!$B$6,Cenários!D24,Cenários!D70,Cenários!D116)</f>
        <v>0</v>
      </c>
      <c r="E12" s="67" t="n">
        <f aca="false">CHOOSE(Premissas!$B$6,Cenários!E24,Cenários!E70,Cenários!E116)</f>
        <v>0</v>
      </c>
      <c r="F12" s="67" t="n">
        <f aca="false">CHOOSE(Premissas!$B$6,Cenários!F24,Cenários!F70,Cenários!F116)</f>
        <v>0</v>
      </c>
      <c r="G12" s="67" t="n">
        <f aca="false">CHOOSE(Premissas!$B$6,Cenários!G24,Cenários!G70,Cenários!G116)</f>
        <v>0</v>
      </c>
      <c r="H12" s="67" t="n">
        <f aca="false">CHOOSE(Premissas!$B$6,Cenários!H24,Cenários!H70,Cenários!H116)</f>
        <v>0</v>
      </c>
      <c r="I12" s="67" t="n">
        <f aca="false">CHOOSE(Premissas!$B$6,Cenários!I24,Cenários!I70,Cenários!I116)</f>
        <v>0</v>
      </c>
      <c r="J12" s="67" t="n">
        <f aca="false">CHOOSE(Premissas!$B$6,Cenários!J24,Cenários!J70,Cenários!J116)</f>
        <v>0</v>
      </c>
      <c r="K12" s="67" t="n">
        <f aca="false">CHOOSE(Premissas!$B$6,Cenários!K24,Cenários!K70,Cenários!K116)</f>
        <v>0</v>
      </c>
      <c r="L12" s="67" t="n">
        <f aca="false">CHOOSE(Premissas!$B$6,Cenários!L24,Cenários!L70,Cenários!L116)</f>
        <v>0</v>
      </c>
      <c r="M12" s="67" t="n">
        <f aca="false">CHOOSE(Premissas!$B$6,Cenários!M24,Cenários!M70,Cenários!M116)</f>
        <v>0</v>
      </c>
      <c r="N12" s="67" t="n">
        <f aca="false">CHOOSE(Premissas!$B$6,Cenários!N24,Cenários!N70,Cenários!N116)</f>
        <v>3856.46297568</v>
      </c>
      <c r="O12" s="67" t="n">
        <f aca="false">CHOOSE(Premissas!$B$6,Cenários!O24,Cenários!O70,Cenários!O116)</f>
        <v>4991.83195990886</v>
      </c>
      <c r="P12" s="67" t="n">
        <f aca="false">CHOOSE(Premissas!$B$6,Cenários!P24,Cenários!P70,Cenários!P116)</f>
        <v>6041.82119652372</v>
      </c>
      <c r="Q12" s="67" t="n">
        <f aca="false">CHOOSE(Premissas!$B$6,Cenários!Q24,Cenários!Q70,Cenários!Q116)</f>
        <v>7012.85124254513</v>
      </c>
      <c r="R12" s="67" t="n">
        <f aca="false">CHOOSE(Premissas!$B$6,Cenários!R24,Cenários!R70,Cenários!R116)</f>
        <v>7910.85982910574</v>
      </c>
      <c r="S12" s="67" t="n">
        <f aca="false">CHOOSE(Premissas!$B$6,Cenários!S24,Cenários!S70,Cenários!S116)</f>
        <v>8741.33816995699</v>
      </c>
      <c r="T12" s="67" t="n">
        <f aca="false">CHOOSE(Premissas!$B$6,Cenários!T24,Cenários!T70,Cenários!T116)</f>
        <v>9509.36453957622</v>
      </c>
      <c r="U12" s="67" t="n">
        <f aca="false">CHOOSE(Premissas!$B$6,Cenários!U24,Cenários!U70,Cenários!U116)</f>
        <v>10219.6353262001</v>
      </c>
      <c r="V12" s="67" t="n">
        <f aca="false">CHOOSE(Premissas!$B$6,Cenários!V24,Cenários!V70,Cenários!V116)</f>
        <v>10876.4937496698</v>
      </c>
      <c r="W12" s="67" t="n">
        <f aca="false">CHOOSE(Premissas!$B$6,Cenários!W24,Cenários!W70,Cenários!W116)</f>
        <v>11483.9564196947</v>
      </c>
      <c r="X12" s="67" t="n">
        <f aca="false">CHOOSE(Premissas!$B$6,Cenários!X24,Cenários!X70,Cenários!X116)</f>
        <v>12045.7378969336</v>
      </c>
      <c r="Y12" s="67" t="n">
        <f aca="false">CHOOSE(Premissas!$B$6,Cenários!Y24,Cenários!Y70,Cenários!Y116)</f>
        <v>12565.2734070842</v>
      </c>
      <c r="Z12" s="67" t="n">
        <f aca="false">CHOOSE(Premissas!$B$6,Cenários!Z24,Cenários!Z70,Cenários!Z116)</f>
        <v>23025.2031008071</v>
      </c>
      <c r="AA12" s="67" t="n">
        <f aca="false">CHOOSE(Premissas!$B$6,Cenários!AA24,Cenários!AA70,Cenários!AA116)</f>
        <v>24961.0350440172</v>
      </c>
      <c r="AB12" s="67" t="n">
        <f aca="false">CHOOSE(Premissas!$B$6,Cenários!AB24,Cenários!AB70,Cenários!AB116)</f>
        <v>26760.0268988258</v>
      </c>
      <c r="AC12" s="67" t="n">
        <f aca="false">CHOOSE(Premissas!$B$6,Cenários!AC24,Cenários!AC70,Cenários!AC116)</f>
        <v>28431.8516174016</v>
      </c>
      <c r="AD12" s="67" t="n">
        <f aca="false">CHOOSE(Premissas!$B$6,Cenários!AD24,Cenários!AD70,Cenários!AD116)</f>
        <v>29985.4983902707</v>
      </c>
      <c r="AE12" s="67" t="n">
        <f aca="false">CHOOSE(Premissas!$B$6,Cenários!AE24,Cenários!AE70,Cenários!AE116)</f>
        <v>31429.3209800592</v>
      </c>
      <c r="AF12" s="67" t="n">
        <f aca="false">CHOOSE(Premissas!$B$6,Cenários!AF24,Cenários!AF70,Cenários!AF116)</f>
        <v>32771.0826386208</v>
      </c>
      <c r="AG12" s="67" t="n">
        <f aca="false">CHOOSE(Premissas!$B$6,Cenários!AG24,Cenários!AG70,Cenários!AG116)</f>
        <v>34017.997849062</v>
      </c>
      <c r="AH12" s="67" t="n">
        <f aca="false">CHOOSE(Premissas!$B$6,Cenários!AH24,Cenários!AH70,Cenários!AH116)</f>
        <v>35176.7711171075</v>
      </c>
      <c r="AI12" s="67" t="n">
        <f aca="false">CHOOSE(Premissas!$B$6,Cenários!AI24,Cenários!AI70,Cenários!AI116)</f>
        <v>36253.6330203814</v>
      </c>
      <c r="AJ12" s="67" t="n">
        <f aca="false">CHOOSE(Premissas!$B$6,Cenários!AJ24,Cenários!AJ70,Cenários!AJ116)</f>
        <v>37254.3737094367</v>
      </c>
      <c r="AK12" s="67" t="n">
        <f aca="false">CHOOSE(Premissas!$B$6,Cenários!AK24,Cenários!AK70,Cenários!AK116)</f>
        <v>38184.374040664</v>
      </c>
      <c r="AL12" s="67" t="n">
        <f aca="false">CHOOSE(Premissas!$B$6,Cenários!AL24,Cenários!AL70,Cenários!AL116)</f>
        <v>65587.686208654</v>
      </c>
      <c r="AM12" s="67" t="n">
        <f aca="false">CHOOSE(Premissas!$B$6,Cenários!AM24,Cenários!AM70,Cenários!AM116)</f>
        <v>69781.8495876997</v>
      </c>
      <c r="AN12" s="67" t="n">
        <f aca="false">CHOOSE(Premissas!$B$6,Cenários!AN24,Cenários!AN70,Cenários!AN116)</f>
        <v>73697.3245670637</v>
      </c>
      <c r="AO12" s="67" t="n">
        <f aca="false">CHOOSE(Premissas!$B$6,Cenários!AO24,Cenários!AO70,Cenários!AO116)</f>
        <v>77352.6290768069</v>
      </c>
      <c r="AP12" s="67" t="n">
        <f aca="false">CHOOSE(Premissas!$B$6,Cenários!AP24,Cenários!AP70,Cenários!AP116)</f>
        <v>80765.0505912764</v>
      </c>
      <c r="AQ12" s="67" t="n">
        <f aca="false">CHOOSE(Premissas!$B$6,Cenários!AQ24,Cenários!AQ70,Cenários!AQ116)</f>
        <v>83950.7278888521</v>
      </c>
      <c r="AR12" s="67" t="n">
        <f aca="false">CHOOSE(Premissas!$B$6,Cenários!AR24,Cenários!AR70,Cenários!AR116)</f>
        <v>86924.7273790253</v>
      </c>
      <c r="AS12" s="67" t="n">
        <f aca="false">CHOOSE(Premissas!$B$6,Cenários!AS24,Cenários!AS70,Cenários!AS116)</f>
        <v>89701.1143577949</v>
      </c>
      <c r="AT12" s="67" t="n">
        <f aca="false">CHOOSE(Premissas!$B$6,Cenários!AT24,Cenários!AT70,Cenários!AT116)</f>
        <v>92293.0195283745</v>
      </c>
      <c r="AU12" s="67" t="n">
        <f aca="false">CHOOSE(Premissas!$B$6,Cenários!AU24,Cenários!AU70,Cenários!AU116)</f>
        <v>94712.7011018181</v>
      </c>
      <c r="AV12" s="67" t="n">
        <f aca="false">CHOOSE(Premissas!$B$6,Cenários!AV24,Cenários!AV70,Cenários!AV116)</f>
        <v>96971.6027712619</v>
      </c>
      <c r="AW12" s="67" t="n">
        <f aca="false">CHOOSE(Premissas!$B$6,Cenários!AW24,Cenários!AW70,Cenários!AW116)</f>
        <v>99080.4078339686</v>
      </c>
      <c r="AX12" s="67" t="n">
        <f aca="false">CHOOSE(Premissas!$B$6,Cenários!AX24,Cenários!AX70,Cenários!AX116)</f>
        <v>132150.286005186</v>
      </c>
      <c r="AY12" s="67" t="n">
        <f aca="false">CHOOSE(Premissas!$B$6,Cenários!AY24,Cenários!AY70,Cenários!AY116)</f>
        <v>139931.658886206</v>
      </c>
      <c r="AZ12" s="67" t="n">
        <f aca="false">CHOOSE(Premissas!$B$6,Cenários!AZ24,Cenários!AZ70,Cenários!AZ116)</f>
        <v>147227.007864488</v>
      </c>
      <c r="BA12" s="67" t="n">
        <f aca="false">CHOOSE(Premissas!$B$6,Cenários!BA24,Cenários!BA70,Cenários!BA116)</f>
        <v>154066.689952559</v>
      </c>
      <c r="BB12" s="67" t="n">
        <f aca="false">CHOOSE(Premissas!$B$6,Cenários!BB24,Cenários!BB70,Cenários!BB116)</f>
        <v>160479.166066471</v>
      </c>
      <c r="BC12" s="67" t="n">
        <f aca="false">CHOOSE(Premissas!$B$6,Cenários!BC24,Cenários!BC70,Cenários!BC116)</f>
        <v>166491.119455825</v>
      </c>
      <c r="BD12" s="67" t="n">
        <f aca="false">CHOOSE(Premissas!$B$6,Cenários!BD24,Cenários!BD70,Cenários!BD116)</f>
        <v>172127.566736676</v>
      </c>
      <c r="BE12" s="67" t="n">
        <f aca="false">CHOOSE(Premissas!$B$6,Cenários!BE24,Cenários!BE70,Cenários!BE116)</f>
        <v>177411.961989316</v>
      </c>
      <c r="BF12" s="67" t="n">
        <f aca="false">CHOOSE(Premissas!$B$6,Cenários!BF24,Cenários!BF70,Cenários!BF116)</f>
        <v>182366.294354139</v>
      </c>
      <c r="BG12" s="67" t="n">
        <f aca="false">CHOOSE(Premissas!$B$6,Cenários!BG24,Cenários!BG70,Cenários!BG116)</f>
        <v>187011.179531655</v>
      </c>
      <c r="BH12" s="67" t="n">
        <f aca="false">CHOOSE(Premissas!$B$6,Cenários!BH24,Cenários!BH70,Cenários!BH116)</f>
        <v>191365.945567438</v>
      </c>
      <c r="BI12" s="67" t="n">
        <f aca="false">CHOOSE(Premissas!$B$6,Cenários!BI24,Cenários!BI70,Cenários!BI116)</f>
        <v>195448.713278943</v>
      </c>
      <c r="BJ12" s="61" t="n">
        <f aca="false">SUM(B12:BI12)</f>
        <v>3500403.22570103</v>
      </c>
    </row>
    <row r="13" customFormat="false" ht="15" hidden="false" customHeight="false" outlineLevel="0" collapsed="false">
      <c r="A13" s="66" t="s">
        <v>716</v>
      </c>
      <c r="B13" s="67" t="n">
        <f aca="false">CHOOSE(Premissas!$B$6,Cenários!B25,Cenários!B71,Cenários!B117)</f>
        <v>0</v>
      </c>
      <c r="C13" s="67" t="n">
        <f aca="false">CHOOSE(Premissas!$B$6,Cenários!C25,Cenários!C71,Cenários!C117)</f>
        <v>0</v>
      </c>
      <c r="D13" s="67" t="n">
        <f aca="false">CHOOSE(Premissas!$B$6,Cenários!D25,Cenários!D71,Cenários!D117)</f>
        <v>0</v>
      </c>
      <c r="E13" s="67" t="n">
        <f aca="false">CHOOSE(Premissas!$B$6,Cenários!E25,Cenários!E71,Cenários!E117)</f>
        <v>0</v>
      </c>
      <c r="F13" s="67" t="n">
        <f aca="false">CHOOSE(Premissas!$B$6,Cenários!F25,Cenários!F71,Cenários!F117)</f>
        <v>0</v>
      </c>
      <c r="G13" s="67" t="n">
        <f aca="false">CHOOSE(Premissas!$B$6,Cenários!G25,Cenários!G71,Cenários!G117)</f>
        <v>0</v>
      </c>
      <c r="H13" s="67" t="n">
        <f aca="false">CHOOSE(Premissas!$B$6,Cenários!H25,Cenários!H71,Cenários!H117)</f>
        <v>0</v>
      </c>
      <c r="I13" s="67" t="n">
        <f aca="false">CHOOSE(Premissas!$B$6,Cenários!I25,Cenários!I71,Cenários!I117)</f>
        <v>0</v>
      </c>
      <c r="J13" s="67" t="n">
        <f aca="false">CHOOSE(Premissas!$B$6,Cenários!J25,Cenários!J71,Cenários!J117)</f>
        <v>0</v>
      </c>
      <c r="K13" s="67" t="n">
        <f aca="false">CHOOSE(Premissas!$B$6,Cenários!K25,Cenários!K71,Cenários!K117)</f>
        <v>0</v>
      </c>
      <c r="L13" s="67" t="n">
        <f aca="false">CHOOSE(Premissas!$B$6,Cenários!L25,Cenários!L71,Cenários!L117)</f>
        <v>0</v>
      </c>
      <c r="M13" s="67" t="n">
        <f aca="false">CHOOSE(Premissas!$B$6,Cenários!M25,Cenários!M71,Cenários!M117)</f>
        <v>0</v>
      </c>
      <c r="N13" s="67" t="n">
        <f aca="false">CHOOSE(Premissas!$B$6,Cenários!N25,Cenários!N71,Cenários!N117)</f>
        <v>0</v>
      </c>
      <c r="O13" s="67" t="n">
        <f aca="false">CHOOSE(Premissas!$B$6,Cenários!O25,Cenários!O71,Cenários!O117)</f>
        <v>0</v>
      </c>
      <c r="P13" s="67" t="n">
        <f aca="false">CHOOSE(Premissas!$B$6,Cenários!P25,Cenários!P71,Cenários!P117)</f>
        <v>0</v>
      </c>
      <c r="Q13" s="67" t="n">
        <f aca="false">CHOOSE(Premissas!$B$6,Cenários!Q25,Cenários!Q71,Cenários!Q117)</f>
        <v>0</v>
      </c>
      <c r="R13" s="67" t="n">
        <f aca="false">CHOOSE(Premissas!$B$6,Cenários!R25,Cenários!R71,Cenários!R117)</f>
        <v>0</v>
      </c>
      <c r="S13" s="67" t="n">
        <f aca="false">CHOOSE(Premissas!$B$6,Cenários!S25,Cenários!S71,Cenários!S117)</f>
        <v>0</v>
      </c>
      <c r="T13" s="67" t="n">
        <f aca="false">CHOOSE(Premissas!$B$6,Cenários!T25,Cenários!T71,Cenários!T117)</f>
        <v>0</v>
      </c>
      <c r="U13" s="67" t="n">
        <f aca="false">CHOOSE(Premissas!$B$6,Cenários!U25,Cenários!U71,Cenários!U117)</f>
        <v>0</v>
      </c>
      <c r="V13" s="67" t="n">
        <f aca="false">CHOOSE(Premissas!$B$6,Cenários!V25,Cenários!V71,Cenários!V117)</f>
        <v>0</v>
      </c>
      <c r="W13" s="67" t="n">
        <f aca="false">CHOOSE(Premissas!$B$6,Cenários!W25,Cenários!W71,Cenários!W117)</f>
        <v>0</v>
      </c>
      <c r="X13" s="67" t="n">
        <f aca="false">CHOOSE(Premissas!$B$6,Cenários!X25,Cenários!X71,Cenários!X117)</f>
        <v>0</v>
      </c>
      <c r="Y13" s="67" t="n">
        <f aca="false">CHOOSE(Premissas!$B$6,Cenários!Y25,Cenários!Y71,Cenários!Y117)</f>
        <v>0</v>
      </c>
      <c r="Z13" s="67" t="n">
        <f aca="false">CHOOSE(Premissas!$B$6,Cenários!Z25,Cenários!Z71,Cenários!Z117)</f>
        <v>0</v>
      </c>
      <c r="AA13" s="67" t="n">
        <f aca="false">CHOOSE(Premissas!$B$6,Cenários!AA25,Cenários!AA71,Cenários!AA117)</f>
        <v>0</v>
      </c>
      <c r="AB13" s="67" t="n">
        <f aca="false">CHOOSE(Premissas!$B$6,Cenários!AB25,Cenários!AB71,Cenários!AB117)</f>
        <v>0</v>
      </c>
      <c r="AC13" s="67" t="n">
        <f aca="false">CHOOSE(Premissas!$B$6,Cenários!AC25,Cenários!AC71,Cenários!AC117)</f>
        <v>0</v>
      </c>
      <c r="AD13" s="67" t="n">
        <f aca="false">CHOOSE(Premissas!$B$6,Cenários!AD25,Cenários!AD71,Cenários!AD117)</f>
        <v>0</v>
      </c>
      <c r="AE13" s="67" t="n">
        <f aca="false">CHOOSE(Premissas!$B$6,Cenários!AE25,Cenários!AE71,Cenários!AE117)</f>
        <v>0</v>
      </c>
      <c r="AF13" s="67" t="n">
        <f aca="false">CHOOSE(Premissas!$B$6,Cenários!AF25,Cenários!AF71,Cenários!AF117)</f>
        <v>0</v>
      </c>
      <c r="AG13" s="67" t="n">
        <f aca="false">CHOOSE(Premissas!$B$6,Cenários!AG25,Cenários!AG71,Cenários!AG117)</f>
        <v>0</v>
      </c>
      <c r="AH13" s="67" t="n">
        <f aca="false">CHOOSE(Premissas!$B$6,Cenários!AH25,Cenários!AH71,Cenários!AH117)</f>
        <v>0</v>
      </c>
      <c r="AI13" s="67" t="n">
        <f aca="false">CHOOSE(Premissas!$B$6,Cenários!AI25,Cenários!AI71,Cenários!AI117)</f>
        <v>0</v>
      </c>
      <c r="AJ13" s="67" t="n">
        <f aca="false">CHOOSE(Premissas!$B$6,Cenários!AJ25,Cenários!AJ71,Cenários!AJ117)</f>
        <v>0</v>
      </c>
      <c r="AK13" s="67" t="n">
        <f aca="false">CHOOSE(Premissas!$B$6,Cenários!AK25,Cenários!AK71,Cenários!AK117)</f>
        <v>0</v>
      </c>
      <c r="AL13" s="67" t="n">
        <f aca="false">CHOOSE(Premissas!$B$6,Cenários!AL25,Cenários!AL71,Cenários!AL117)</f>
        <v>0</v>
      </c>
      <c r="AM13" s="67" t="n">
        <f aca="false">CHOOSE(Premissas!$B$6,Cenários!AM25,Cenários!AM71,Cenários!AM117)</f>
        <v>0</v>
      </c>
      <c r="AN13" s="67" t="n">
        <f aca="false">CHOOSE(Premissas!$B$6,Cenários!AN25,Cenários!AN71,Cenários!AN117)</f>
        <v>0</v>
      </c>
      <c r="AO13" s="67" t="n">
        <f aca="false">CHOOSE(Premissas!$B$6,Cenários!AO25,Cenários!AO71,Cenários!AO117)</f>
        <v>0</v>
      </c>
      <c r="AP13" s="67" t="n">
        <f aca="false">CHOOSE(Premissas!$B$6,Cenários!AP25,Cenários!AP71,Cenários!AP117)</f>
        <v>0</v>
      </c>
      <c r="AQ13" s="67" t="n">
        <f aca="false">CHOOSE(Premissas!$B$6,Cenários!AQ25,Cenários!AQ71,Cenários!AQ117)</f>
        <v>0</v>
      </c>
      <c r="AR13" s="67" t="n">
        <f aca="false">CHOOSE(Premissas!$B$6,Cenários!AR25,Cenários!AR71,Cenários!AR117)</f>
        <v>0</v>
      </c>
      <c r="AS13" s="67" t="n">
        <f aca="false">CHOOSE(Premissas!$B$6,Cenários!AS25,Cenários!AS71,Cenários!AS117)</f>
        <v>0</v>
      </c>
      <c r="AT13" s="67" t="n">
        <f aca="false">CHOOSE(Premissas!$B$6,Cenários!AT25,Cenários!AT71,Cenários!AT117)</f>
        <v>0</v>
      </c>
      <c r="AU13" s="67" t="n">
        <f aca="false">CHOOSE(Premissas!$B$6,Cenários!AU25,Cenários!AU71,Cenários!AU117)</f>
        <v>0</v>
      </c>
      <c r="AV13" s="67" t="n">
        <f aca="false">CHOOSE(Premissas!$B$6,Cenários!AV25,Cenários!AV71,Cenários!AV117)</f>
        <v>0</v>
      </c>
      <c r="AW13" s="67" t="n">
        <f aca="false">CHOOSE(Premissas!$B$6,Cenários!AW25,Cenários!AW71,Cenários!AW117)</f>
        <v>0</v>
      </c>
      <c r="AX13" s="67" t="n">
        <f aca="false">CHOOSE(Premissas!$B$6,Cenários!AX25,Cenários!AX71,Cenários!AX117)</f>
        <v>0</v>
      </c>
      <c r="AY13" s="67" t="n">
        <f aca="false">CHOOSE(Premissas!$B$6,Cenários!AY25,Cenários!AY71,Cenários!AY117)</f>
        <v>0</v>
      </c>
      <c r="AZ13" s="67" t="n">
        <f aca="false">CHOOSE(Premissas!$B$6,Cenários!AZ25,Cenários!AZ71,Cenários!AZ117)</f>
        <v>0</v>
      </c>
      <c r="BA13" s="67" t="n">
        <f aca="false">CHOOSE(Premissas!$B$6,Cenários!BA25,Cenários!BA71,Cenários!BA117)</f>
        <v>0</v>
      </c>
      <c r="BB13" s="67" t="n">
        <f aca="false">CHOOSE(Premissas!$B$6,Cenários!BB25,Cenários!BB71,Cenários!BB117)</f>
        <v>0</v>
      </c>
      <c r="BC13" s="67" t="n">
        <f aca="false">CHOOSE(Premissas!$B$6,Cenários!BC25,Cenários!BC71,Cenários!BC117)</f>
        <v>0</v>
      </c>
      <c r="BD13" s="67" t="n">
        <f aca="false">CHOOSE(Premissas!$B$6,Cenários!BD25,Cenários!BD71,Cenários!BD117)</f>
        <v>0</v>
      </c>
      <c r="BE13" s="67" t="n">
        <f aca="false">CHOOSE(Premissas!$B$6,Cenários!BE25,Cenários!BE71,Cenários!BE117)</f>
        <v>0</v>
      </c>
      <c r="BF13" s="67" t="n">
        <f aca="false">CHOOSE(Premissas!$B$6,Cenários!BF25,Cenários!BF71,Cenários!BF117)</f>
        <v>0</v>
      </c>
      <c r="BG13" s="67" t="n">
        <f aca="false">CHOOSE(Premissas!$B$6,Cenários!BG25,Cenários!BG71,Cenários!BG117)</f>
        <v>0</v>
      </c>
      <c r="BH13" s="67" t="n">
        <f aca="false">CHOOSE(Premissas!$B$6,Cenários!BH25,Cenários!BH71,Cenários!BH117)</f>
        <v>0</v>
      </c>
      <c r="BI13" s="67" t="n">
        <f aca="false">CHOOSE(Premissas!$B$6,Cenários!BI25,Cenários!BI71,Cenários!BI117)</f>
        <v>0</v>
      </c>
      <c r="BJ13" s="61" t="n">
        <f aca="false">SUM(B13:BI13)</f>
        <v>0</v>
      </c>
    </row>
    <row r="14" customFormat="false" ht="15" hidden="false" customHeight="false" outlineLevel="0" collapsed="false">
      <c r="A14" s="66" t="s">
        <v>717</v>
      </c>
      <c r="B14" s="67" t="n">
        <f aca="false">CHOOSE(Premissas!$B$6,Cenários!B26,Cenários!B72,Cenários!B118)</f>
        <v>0</v>
      </c>
      <c r="C14" s="67" t="n">
        <f aca="false">CHOOSE(Premissas!$B$6,Cenários!C26,Cenários!C72,Cenários!C118)</f>
        <v>0</v>
      </c>
      <c r="D14" s="67" t="n">
        <f aca="false">CHOOSE(Premissas!$B$6,Cenários!D26,Cenários!D72,Cenários!D118)</f>
        <v>0</v>
      </c>
      <c r="E14" s="67" t="n">
        <f aca="false">CHOOSE(Premissas!$B$6,Cenários!E26,Cenários!E72,Cenários!E118)</f>
        <v>0</v>
      </c>
      <c r="F14" s="67" t="n">
        <f aca="false">CHOOSE(Premissas!$B$6,Cenários!F26,Cenários!F72,Cenários!F118)</f>
        <v>0</v>
      </c>
      <c r="G14" s="67" t="n">
        <f aca="false">CHOOSE(Premissas!$B$6,Cenários!G26,Cenários!G72,Cenários!G118)</f>
        <v>0</v>
      </c>
      <c r="H14" s="67" t="n">
        <f aca="false">CHOOSE(Premissas!$B$6,Cenários!H26,Cenários!H72,Cenários!H118)</f>
        <v>0</v>
      </c>
      <c r="I14" s="67" t="n">
        <f aca="false">CHOOSE(Premissas!$B$6,Cenários!I26,Cenários!I72,Cenários!I118)</f>
        <v>0</v>
      </c>
      <c r="J14" s="67" t="n">
        <f aca="false">CHOOSE(Premissas!$B$6,Cenários!J26,Cenários!J72,Cenários!J118)</f>
        <v>0</v>
      </c>
      <c r="K14" s="67" t="n">
        <f aca="false">CHOOSE(Premissas!$B$6,Cenários!K26,Cenários!K72,Cenários!K118)</f>
        <v>0</v>
      </c>
      <c r="L14" s="67" t="n">
        <f aca="false">CHOOSE(Premissas!$B$6,Cenários!L26,Cenários!L72,Cenários!L118)</f>
        <v>0</v>
      </c>
      <c r="M14" s="67" t="n">
        <f aca="false">CHOOSE(Premissas!$B$6,Cenários!M26,Cenários!M72,Cenários!M118)</f>
        <v>0</v>
      </c>
      <c r="N14" s="67" t="n">
        <f aca="false">CHOOSE(Premissas!$B$6,Cenários!N26,Cenários!N72,Cenários!N118)</f>
        <v>0</v>
      </c>
      <c r="O14" s="67" t="n">
        <f aca="false">CHOOSE(Premissas!$B$6,Cenários!O26,Cenários!O72,Cenários!O118)</f>
        <v>0</v>
      </c>
      <c r="P14" s="67" t="n">
        <f aca="false">CHOOSE(Premissas!$B$6,Cenários!P26,Cenários!P72,Cenários!P118)</f>
        <v>0</v>
      </c>
      <c r="Q14" s="67" t="n">
        <f aca="false">CHOOSE(Premissas!$B$6,Cenários!Q26,Cenários!Q72,Cenários!Q118)</f>
        <v>0</v>
      </c>
      <c r="R14" s="67" t="n">
        <f aca="false">CHOOSE(Premissas!$B$6,Cenários!R26,Cenários!R72,Cenários!R118)</f>
        <v>0</v>
      </c>
      <c r="S14" s="67" t="n">
        <f aca="false">CHOOSE(Premissas!$B$6,Cenários!S26,Cenários!S72,Cenários!S118)</f>
        <v>0</v>
      </c>
      <c r="T14" s="67" t="n">
        <f aca="false">CHOOSE(Premissas!$B$6,Cenários!T26,Cenários!T72,Cenários!T118)</f>
        <v>0</v>
      </c>
      <c r="U14" s="67" t="n">
        <f aca="false">CHOOSE(Premissas!$B$6,Cenários!U26,Cenários!U72,Cenários!U118)</f>
        <v>0</v>
      </c>
      <c r="V14" s="67" t="n">
        <f aca="false">CHOOSE(Premissas!$B$6,Cenários!V26,Cenários!V72,Cenários!V118)</f>
        <v>0</v>
      </c>
      <c r="W14" s="67" t="n">
        <f aca="false">CHOOSE(Premissas!$B$6,Cenários!W26,Cenários!W72,Cenários!W118)</f>
        <v>0</v>
      </c>
      <c r="X14" s="67" t="n">
        <f aca="false">CHOOSE(Premissas!$B$6,Cenários!X26,Cenários!X72,Cenários!X118)</f>
        <v>0</v>
      </c>
      <c r="Y14" s="67" t="n">
        <f aca="false">CHOOSE(Premissas!$B$6,Cenários!Y26,Cenários!Y72,Cenários!Y118)</f>
        <v>0</v>
      </c>
      <c r="Z14" s="67" t="n">
        <f aca="false">CHOOSE(Premissas!$B$6,Cenários!Z26,Cenários!Z72,Cenários!Z118)</f>
        <v>0</v>
      </c>
      <c r="AA14" s="67" t="n">
        <f aca="false">CHOOSE(Premissas!$B$6,Cenários!AA26,Cenários!AA72,Cenários!AA118)</f>
        <v>0</v>
      </c>
      <c r="AB14" s="67" t="n">
        <f aca="false">CHOOSE(Premissas!$B$6,Cenários!AB26,Cenários!AB72,Cenários!AB118)</f>
        <v>0</v>
      </c>
      <c r="AC14" s="67" t="n">
        <f aca="false">CHOOSE(Premissas!$B$6,Cenários!AC26,Cenários!AC72,Cenários!AC118)</f>
        <v>0</v>
      </c>
      <c r="AD14" s="67" t="n">
        <f aca="false">CHOOSE(Premissas!$B$6,Cenários!AD26,Cenários!AD72,Cenários!AD118)</f>
        <v>0</v>
      </c>
      <c r="AE14" s="67" t="n">
        <f aca="false">CHOOSE(Premissas!$B$6,Cenários!AE26,Cenários!AE72,Cenários!AE118)</f>
        <v>0</v>
      </c>
      <c r="AF14" s="67" t="n">
        <f aca="false">CHOOSE(Premissas!$B$6,Cenários!AF26,Cenários!AF72,Cenários!AF118)</f>
        <v>45000</v>
      </c>
      <c r="AG14" s="67" t="n">
        <f aca="false">CHOOSE(Premissas!$B$6,Cenários!AG26,Cenários!AG72,Cenários!AG118)</f>
        <v>45000</v>
      </c>
      <c r="AH14" s="67" t="n">
        <f aca="false">CHOOSE(Premissas!$B$6,Cenários!AH26,Cenários!AH72,Cenários!AH118)</f>
        <v>45000</v>
      </c>
      <c r="AI14" s="67" t="n">
        <f aca="false">CHOOSE(Premissas!$B$6,Cenários!AI26,Cenários!AI72,Cenários!AI118)</f>
        <v>45000</v>
      </c>
      <c r="AJ14" s="67" t="n">
        <f aca="false">CHOOSE(Premissas!$B$6,Cenários!AJ26,Cenários!AJ72,Cenários!AJ118)</f>
        <v>45000</v>
      </c>
      <c r="AK14" s="67" t="n">
        <f aca="false">CHOOSE(Premissas!$B$6,Cenários!AK26,Cenários!AK72,Cenários!AK118)</f>
        <v>45000</v>
      </c>
      <c r="AL14" s="67" t="n">
        <f aca="false">CHOOSE(Premissas!$B$6,Cenários!AL26,Cenários!AL72,Cenários!AL118)</f>
        <v>70000</v>
      </c>
      <c r="AM14" s="67" t="n">
        <f aca="false">CHOOSE(Premissas!$B$6,Cenários!AM26,Cenários!AM72,Cenários!AM118)</f>
        <v>70000</v>
      </c>
      <c r="AN14" s="67" t="n">
        <f aca="false">CHOOSE(Premissas!$B$6,Cenários!AN26,Cenários!AN72,Cenários!AN118)</f>
        <v>70000</v>
      </c>
      <c r="AO14" s="67" t="n">
        <f aca="false">CHOOSE(Premissas!$B$6,Cenários!AO26,Cenários!AO72,Cenários!AO118)</f>
        <v>70000</v>
      </c>
      <c r="AP14" s="67" t="n">
        <f aca="false">CHOOSE(Premissas!$B$6,Cenários!AP26,Cenários!AP72,Cenários!AP118)</f>
        <v>70000</v>
      </c>
      <c r="AQ14" s="67" t="n">
        <f aca="false">CHOOSE(Premissas!$B$6,Cenários!AQ26,Cenários!AQ72,Cenários!AQ118)</f>
        <v>70000</v>
      </c>
      <c r="AR14" s="67" t="n">
        <f aca="false">CHOOSE(Premissas!$B$6,Cenários!AR26,Cenários!AR72,Cenários!AR118)</f>
        <v>70000</v>
      </c>
      <c r="AS14" s="67" t="n">
        <f aca="false">CHOOSE(Premissas!$B$6,Cenários!AS26,Cenários!AS72,Cenários!AS118)</f>
        <v>70000</v>
      </c>
      <c r="AT14" s="67" t="n">
        <f aca="false">CHOOSE(Premissas!$B$6,Cenários!AT26,Cenários!AT72,Cenários!AT118)</f>
        <v>70000</v>
      </c>
      <c r="AU14" s="67" t="n">
        <f aca="false">CHOOSE(Premissas!$B$6,Cenários!AU26,Cenários!AU72,Cenários!AU118)</f>
        <v>70000</v>
      </c>
      <c r="AV14" s="67" t="n">
        <f aca="false">CHOOSE(Premissas!$B$6,Cenários!AV26,Cenários!AV72,Cenários!AV118)</f>
        <v>70000</v>
      </c>
      <c r="AW14" s="67" t="n">
        <f aca="false">CHOOSE(Premissas!$B$6,Cenários!AW26,Cenários!AW72,Cenários!AW118)</f>
        <v>70000</v>
      </c>
      <c r="AX14" s="67" t="n">
        <f aca="false">CHOOSE(Premissas!$B$6,Cenários!AX26,Cenários!AX72,Cenários!AX118)</f>
        <v>70000</v>
      </c>
      <c r="AY14" s="67" t="n">
        <f aca="false">CHOOSE(Premissas!$B$6,Cenários!AY26,Cenários!AY72,Cenários!AY118)</f>
        <v>70000</v>
      </c>
      <c r="AZ14" s="67" t="n">
        <f aca="false">CHOOSE(Premissas!$B$6,Cenários!AZ26,Cenários!AZ72,Cenários!AZ118)</f>
        <v>70000</v>
      </c>
      <c r="BA14" s="67" t="n">
        <f aca="false">CHOOSE(Premissas!$B$6,Cenários!BA26,Cenários!BA72,Cenários!BA118)</f>
        <v>70000</v>
      </c>
      <c r="BB14" s="67" t="n">
        <f aca="false">CHOOSE(Premissas!$B$6,Cenários!BB26,Cenários!BB72,Cenários!BB118)</f>
        <v>70000</v>
      </c>
      <c r="BC14" s="67" t="n">
        <f aca="false">CHOOSE(Premissas!$B$6,Cenários!BC26,Cenários!BC72,Cenários!BC118)</f>
        <v>70000</v>
      </c>
      <c r="BD14" s="67" t="n">
        <f aca="false">CHOOSE(Premissas!$B$6,Cenários!BD26,Cenários!BD72,Cenários!BD118)</f>
        <v>70000</v>
      </c>
      <c r="BE14" s="67" t="n">
        <f aca="false">CHOOSE(Premissas!$B$6,Cenários!BE26,Cenários!BE72,Cenários!BE118)</f>
        <v>70000</v>
      </c>
      <c r="BF14" s="67" t="n">
        <f aca="false">CHOOSE(Premissas!$B$6,Cenários!BF26,Cenários!BF72,Cenários!BF118)</f>
        <v>70000</v>
      </c>
      <c r="BG14" s="67" t="n">
        <f aca="false">CHOOSE(Premissas!$B$6,Cenários!BG26,Cenários!BG72,Cenários!BG118)</f>
        <v>70000</v>
      </c>
      <c r="BH14" s="67" t="n">
        <f aca="false">CHOOSE(Premissas!$B$6,Cenários!BH26,Cenários!BH72,Cenários!BH118)</f>
        <v>70000</v>
      </c>
      <c r="BI14" s="67" t="n">
        <f aca="false">CHOOSE(Premissas!$B$6,Cenários!BI26,Cenários!BI72,Cenários!BI118)</f>
        <v>70000</v>
      </c>
      <c r="BJ14" s="61" t="n">
        <f aca="false">SUM(B14:BI14)</f>
        <v>1950000</v>
      </c>
      <c r="BK14" s="29" t="s">
        <v>718</v>
      </c>
    </row>
    <row r="15" customFormat="false" ht="15" hidden="false" customHeight="false" outlineLevel="0" collapsed="false">
      <c r="A15" s="66" t="s">
        <v>719</v>
      </c>
      <c r="B15" s="67" t="n">
        <f aca="false">CHOOSE(Premissas!$B$6,Cenários!B27,Cenários!B73,Cenários!B119)</f>
        <v>0</v>
      </c>
      <c r="C15" s="67" t="n">
        <f aca="false">CHOOSE(Premissas!$B$6,Cenários!C27,Cenários!C73,Cenários!C119)</f>
        <v>0</v>
      </c>
      <c r="D15" s="67" t="n">
        <f aca="false">CHOOSE(Premissas!$B$6,Cenários!D27,Cenários!D73,Cenários!D119)</f>
        <v>0</v>
      </c>
      <c r="E15" s="67" t="n">
        <f aca="false">CHOOSE(Premissas!$B$6,Cenários!E27,Cenários!E73,Cenários!E119)</f>
        <v>0</v>
      </c>
      <c r="F15" s="67" t="n">
        <f aca="false">CHOOSE(Premissas!$B$6,Cenários!F27,Cenários!F73,Cenários!F119)</f>
        <v>0</v>
      </c>
      <c r="G15" s="67" t="n">
        <f aca="false">CHOOSE(Premissas!$B$6,Cenários!G27,Cenários!G73,Cenários!G119)</f>
        <v>0</v>
      </c>
      <c r="H15" s="67" t="n">
        <f aca="false">CHOOSE(Premissas!$B$6,Cenários!H27,Cenários!H73,Cenários!H119)</f>
        <v>0</v>
      </c>
      <c r="I15" s="67" t="n">
        <f aca="false">CHOOSE(Premissas!$B$6,Cenários!I27,Cenários!I73,Cenários!I119)</f>
        <v>0</v>
      </c>
      <c r="J15" s="67" t="n">
        <f aca="false">CHOOSE(Premissas!$B$6,Cenários!J27,Cenários!J73,Cenários!J119)</f>
        <v>0</v>
      </c>
      <c r="K15" s="67" t="n">
        <f aca="false">CHOOSE(Premissas!$B$6,Cenários!K27,Cenários!K73,Cenários!K119)</f>
        <v>0</v>
      </c>
      <c r="L15" s="67" t="n">
        <f aca="false">CHOOSE(Premissas!$B$6,Cenários!L27,Cenários!L73,Cenários!L119)</f>
        <v>0</v>
      </c>
      <c r="M15" s="67" t="n">
        <f aca="false">CHOOSE(Premissas!$B$6,Cenários!M27,Cenários!M73,Cenários!M119)</f>
        <v>0</v>
      </c>
      <c r="N15" s="67" t="n">
        <f aca="false">CHOOSE(Premissas!$B$6,Cenários!N27,Cenários!N73,Cenários!N119)</f>
        <v>0</v>
      </c>
      <c r="O15" s="67" t="n">
        <f aca="false">CHOOSE(Premissas!$B$6,Cenários!O27,Cenários!O73,Cenários!O119)</f>
        <v>0</v>
      </c>
      <c r="P15" s="67" t="n">
        <f aca="false">CHOOSE(Premissas!$B$6,Cenários!P27,Cenários!P73,Cenários!P119)</f>
        <v>0</v>
      </c>
      <c r="Q15" s="67" t="n">
        <f aca="false">CHOOSE(Premissas!$B$6,Cenários!Q27,Cenários!Q73,Cenários!Q119)</f>
        <v>0</v>
      </c>
      <c r="R15" s="67" t="n">
        <f aca="false">CHOOSE(Premissas!$B$6,Cenários!R27,Cenários!R73,Cenários!R119)</f>
        <v>0</v>
      </c>
      <c r="S15" s="67" t="n">
        <f aca="false">CHOOSE(Premissas!$B$6,Cenários!S27,Cenários!S73,Cenários!S119)</f>
        <v>0</v>
      </c>
      <c r="T15" s="67" t="n">
        <f aca="false">CHOOSE(Premissas!$B$6,Cenários!T27,Cenários!T73,Cenários!T119)</f>
        <v>0</v>
      </c>
      <c r="U15" s="67" t="n">
        <f aca="false">CHOOSE(Premissas!$B$6,Cenários!U27,Cenários!U73,Cenários!U119)</f>
        <v>0</v>
      </c>
      <c r="V15" s="67" t="n">
        <f aca="false">CHOOSE(Premissas!$B$6,Cenários!V27,Cenários!V73,Cenários!V119)</f>
        <v>0</v>
      </c>
      <c r="W15" s="67" t="n">
        <f aca="false">CHOOSE(Premissas!$B$6,Cenários!W27,Cenários!W73,Cenários!W119)</f>
        <v>0</v>
      </c>
      <c r="X15" s="67" t="n">
        <f aca="false">CHOOSE(Premissas!$B$6,Cenários!X27,Cenários!X73,Cenários!X119)</f>
        <v>0</v>
      </c>
      <c r="Y15" s="67" t="n">
        <f aca="false">CHOOSE(Premissas!$B$6,Cenários!Y27,Cenários!Y73,Cenários!Y119)</f>
        <v>0</v>
      </c>
      <c r="Z15" s="67" t="n">
        <f aca="false">CHOOSE(Premissas!$B$6,Cenários!Z27,Cenários!Z73,Cenários!Z119)</f>
        <v>0</v>
      </c>
      <c r="AA15" s="67" t="n">
        <f aca="false">CHOOSE(Premissas!$B$6,Cenários!AA27,Cenários!AA73,Cenários!AA119)</f>
        <v>0</v>
      </c>
      <c r="AB15" s="67" t="n">
        <f aca="false">CHOOSE(Premissas!$B$6,Cenários!AB27,Cenários!AB73,Cenários!AB119)</f>
        <v>0</v>
      </c>
      <c r="AC15" s="67" t="n">
        <f aca="false">CHOOSE(Premissas!$B$6,Cenários!AC27,Cenários!AC73,Cenários!AC119)</f>
        <v>0</v>
      </c>
      <c r="AD15" s="67" t="n">
        <f aca="false">CHOOSE(Premissas!$B$6,Cenários!AD27,Cenários!AD73,Cenários!AD119)</f>
        <v>0</v>
      </c>
      <c r="AE15" s="67" t="n">
        <f aca="false">CHOOSE(Premissas!$B$6,Cenários!AE27,Cenários!AE73,Cenários!AE119)</f>
        <v>0</v>
      </c>
      <c r="AF15" s="67" t="n">
        <f aca="false">CHOOSE(Premissas!$B$6,Cenários!AF27,Cenários!AF73,Cenários!AF119)</f>
        <v>0</v>
      </c>
      <c r="AG15" s="67" t="n">
        <f aca="false">CHOOSE(Premissas!$B$6,Cenários!AG27,Cenários!AG73,Cenários!AG119)</f>
        <v>0</v>
      </c>
      <c r="AH15" s="67" t="n">
        <f aca="false">CHOOSE(Premissas!$B$6,Cenários!AH27,Cenários!AH73,Cenários!AH119)</f>
        <v>0</v>
      </c>
      <c r="AI15" s="67" t="n">
        <f aca="false">CHOOSE(Premissas!$B$6,Cenários!AI27,Cenários!AI73,Cenários!AI119)</f>
        <v>0</v>
      </c>
      <c r="AJ15" s="67" t="n">
        <f aca="false">CHOOSE(Premissas!$B$6,Cenários!AJ27,Cenários!AJ73,Cenários!AJ119)</f>
        <v>0</v>
      </c>
      <c r="AK15" s="67" t="n">
        <f aca="false">CHOOSE(Premissas!$B$6,Cenários!AK27,Cenários!AK73,Cenários!AK119)</f>
        <v>0</v>
      </c>
      <c r="AL15" s="67" t="n">
        <f aca="false">CHOOSE(Premissas!$B$6,Cenários!AL27,Cenários!AL73,Cenários!AL119)</f>
        <v>0</v>
      </c>
      <c r="AM15" s="67" t="n">
        <f aca="false">CHOOSE(Premissas!$B$6,Cenários!AM27,Cenários!AM73,Cenários!AM119)</f>
        <v>0</v>
      </c>
      <c r="AN15" s="67" t="n">
        <f aca="false">CHOOSE(Premissas!$B$6,Cenários!AN27,Cenários!AN73,Cenários!AN119)</f>
        <v>0</v>
      </c>
      <c r="AO15" s="67" t="n">
        <f aca="false">CHOOSE(Premissas!$B$6,Cenários!AO27,Cenários!AO73,Cenários!AO119)</f>
        <v>0</v>
      </c>
      <c r="AP15" s="67" t="n">
        <f aca="false">CHOOSE(Premissas!$B$6,Cenários!AP27,Cenários!AP73,Cenários!AP119)</f>
        <v>0</v>
      </c>
      <c r="AQ15" s="67" t="n">
        <f aca="false">CHOOSE(Premissas!$B$6,Cenários!AQ27,Cenários!AQ73,Cenários!AQ119)</f>
        <v>0</v>
      </c>
      <c r="AR15" s="67" t="n">
        <f aca="false">CHOOSE(Premissas!$B$6,Cenários!AR27,Cenários!AR73,Cenários!AR119)</f>
        <v>0</v>
      </c>
      <c r="AS15" s="67" t="n">
        <f aca="false">CHOOSE(Premissas!$B$6,Cenários!AS27,Cenários!AS73,Cenários!AS119)</f>
        <v>0</v>
      </c>
      <c r="AT15" s="67" t="n">
        <f aca="false">CHOOSE(Premissas!$B$6,Cenários!AT27,Cenários!AT73,Cenários!AT119)</f>
        <v>0</v>
      </c>
      <c r="AU15" s="67" t="n">
        <f aca="false">CHOOSE(Premissas!$B$6,Cenários!AU27,Cenários!AU73,Cenários!AU119)</f>
        <v>0</v>
      </c>
      <c r="AV15" s="67" t="n">
        <f aca="false">CHOOSE(Premissas!$B$6,Cenários!AV27,Cenários!AV73,Cenários!AV119)</f>
        <v>0</v>
      </c>
      <c r="AW15" s="67" t="n">
        <f aca="false">CHOOSE(Premissas!$B$6,Cenários!AW27,Cenários!AW73,Cenários!AW119)</f>
        <v>0</v>
      </c>
      <c r="AX15" s="67" t="n">
        <f aca="false">CHOOSE(Premissas!$B$6,Cenários!AX27,Cenários!AX73,Cenários!AX119)</f>
        <v>0</v>
      </c>
      <c r="AY15" s="67" t="n">
        <f aca="false">CHOOSE(Premissas!$B$6,Cenários!AY27,Cenários!AY73,Cenários!AY119)</f>
        <v>0</v>
      </c>
      <c r="AZ15" s="67" t="n">
        <f aca="false">CHOOSE(Premissas!$B$6,Cenários!AZ27,Cenários!AZ73,Cenários!AZ119)</f>
        <v>0</v>
      </c>
      <c r="BA15" s="67" t="n">
        <f aca="false">CHOOSE(Premissas!$B$6,Cenários!BA27,Cenários!BA73,Cenários!BA119)</f>
        <v>0</v>
      </c>
      <c r="BB15" s="67" t="n">
        <f aca="false">CHOOSE(Premissas!$B$6,Cenários!BB27,Cenários!BB73,Cenários!BB119)</f>
        <v>0</v>
      </c>
      <c r="BC15" s="67" t="n">
        <f aca="false">CHOOSE(Premissas!$B$6,Cenários!BC27,Cenários!BC73,Cenários!BC119)</f>
        <v>0</v>
      </c>
      <c r="BD15" s="67" t="n">
        <f aca="false">CHOOSE(Premissas!$B$6,Cenários!BD27,Cenários!BD73,Cenários!BD119)</f>
        <v>0</v>
      </c>
      <c r="BE15" s="67" t="n">
        <f aca="false">CHOOSE(Premissas!$B$6,Cenários!BE27,Cenários!BE73,Cenários!BE119)</f>
        <v>0</v>
      </c>
      <c r="BF15" s="67" t="n">
        <f aca="false">CHOOSE(Premissas!$B$6,Cenários!BF27,Cenários!BF73,Cenários!BF119)</f>
        <v>0</v>
      </c>
      <c r="BG15" s="67" t="n">
        <f aca="false">CHOOSE(Premissas!$B$6,Cenários!BG27,Cenários!BG73,Cenários!BG119)</f>
        <v>0</v>
      </c>
      <c r="BH15" s="67" t="n">
        <f aca="false">CHOOSE(Premissas!$B$6,Cenários!BH27,Cenários!BH73,Cenários!BH119)</f>
        <v>0</v>
      </c>
      <c r="BI15" s="67" t="n">
        <f aca="false">CHOOSE(Premissas!$B$6,Cenários!BI27,Cenários!BI73,Cenários!BI119)</f>
        <v>0</v>
      </c>
      <c r="BJ15" s="61" t="n">
        <f aca="false">SUM(B15:BI15)</f>
        <v>0</v>
      </c>
    </row>
    <row r="16" customFormat="false" ht="15" hidden="false" customHeight="false" outlineLevel="0" collapsed="false">
      <c r="A16" s="62" t="s">
        <v>720</v>
      </c>
      <c r="B16" s="61" t="n">
        <f aca="false">SUM(B9:B15)</f>
        <v>0</v>
      </c>
      <c r="C16" s="61" t="n">
        <f aca="false">SUM(C9:C15)</f>
        <v>0</v>
      </c>
      <c r="D16" s="61" t="n">
        <f aca="false">SUM(D9:D15)</f>
        <v>0</v>
      </c>
      <c r="E16" s="61" t="n">
        <f aca="false">SUM(E9:E15)</f>
        <v>0</v>
      </c>
      <c r="F16" s="61" t="n">
        <f aca="false">SUM(F9:F15)</f>
        <v>0</v>
      </c>
      <c r="G16" s="61" t="n">
        <f aca="false">SUM(G9:G15)</f>
        <v>0</v>
      </c>
      <c r="H16" s="61" t="n">
        <f aca="false">SUM(H9:H15)</f>
        <v>0</v>
      </c>
      <c r="I16" s="61" t="n">
        <f aca="false">SUM(I9:I15)</f>
        <v>0</v>
      </c>
      <c r="J16" s="61" t="n">
        <f aca="false">SUM(J9:J15)</f>
        <v>0</v>
      </c>
      <c r="K16" s="61" t="n">
        <f aca="false">SUM(K9:K15)</f>
        <v>3004.9</v>
      </c>
      <c r="L16" s="61" t="n">
        <f aca="false">SUM(L9:L15)</f>
        <v>11522.1</v>
      </c>
      <c r="M16" s="61" t="n">
        <f aca="false">SUM(M9:M15)</f>
        <v>24914.8</v>
      </c>
      <c r="N16" s="61" t="n">
        <f aca="false">SUM(N9:N15)</f>
        <v>58839.76497568</v>
      </c>
      <c r="O16" s="61" t="n">
        <f aca="false">SUM(O9:O15)</f>
        <v>93975.7764599088</v>
      </c>
      <c r="P16" s="61" t="n">
        <f aca="false">SUM(P9:P15)</f>
        <v>135265.058196524</v>
      </c>
      <c r="Q16" s="61" t="n">
        <f aca="false">SUM(Q9:Q15)</f>
        <v>190179.092742545</v>
      </c>
      <c r="R16" s="61" t="n">
        <f aca="false">SUM(R9:R15)</f>
        <v>214534.843329106</v>
      </c>
      <c r="S16" s="61" t="n">
        <f aca="false">SUM(S9:S15)</f>
        <v>237053.878669957</v>
      </c>
      <c r="T16" s="61" t="n">
        <f aca="false">SUM(T9:T15)</f>
        <v>257886.950039576</v>
      </c>
      <c r="U16" s="61" t="n">
        <f aca="false">SUM(U9:U15)</f>
        <v>277163.6313262</v>
      </c>
      <c r="V16" s="61" t="n">
        <f aca="false">SUM(V9:V15)</f>
        <v>294950.65224967</v>
      </c>
      <c r="W16" s="61" t="n">
        <f aca="false">SUM(W9:W15)</f>
        <v>355893.802419695</v>
      </c>
      <c r="X16" s="61" t="n">
        <f aca="false">SUM(X9:X15)</f>
        <v>373261.482896934</v>
      </c>
      <c r="Y16" s="61" t="n">
        <f aca="false">SUM(Y9:Y15)</f>
        <v>389337.515407084</v>
      </c>
      <c r="Z16" s="61" t="n">
        <f aca="false">SUM(Z9:Z15)</f>
        <v>517434.389333307</v>
      </c>
      <c r="AA16" s="61" t="n">
        <f aca="false">SUM(AA9:AA15)</f>
        <v>560922.864551517</v>
      </c>
      <c r="AB16" s="61" t="n">
        <f aca="false">SUM(AB9:AB15)</f>
        <v>601357.810108826</v>
      </c>
      <c r="AC16" s="61" t="n">
        <f aca="false">SUM(AC9:AC15)</f>
        <v>638901.127242402</v>
      </c>
      <c r="AD16" s="61" t="n">
        <f aca="false">SUM(AD9:AD15)</f>
        <v>673844.967225271</v>
      </c>
      <c r="AE16" s="61" t="n">
        <f aca="false">SUM(AE9:AE15)</f>
        <v>706284.609010059</v>
      </c>
      <c r="AF16" s="61" t="n">
        <f aca="false">SUM(AF9:AF15)</f>
        <v>781380.044133621</v>
      </c>
      <c r="AG16" s="61" t="n">
        <f aca="false">SUM(AG9:AG15)</f>
        <v>809443.708066562</v>
      </c>
      <c r="AH16" s="61" t="n">
        <f aca="false">SUM(AH9:AH15)</f>
        <v>835503.599802107</v>
      </c>
      <c r="AI16" s="61" t="n">
        <f aca="false">SUM(AI9:AI15)</f>
        <v>859674.824810381</v>
      </c>
      <c r="AJ16" s="61" t="n">
        <f aca="false">SUM(AJ9:AJ15)</f>
        <v>882137.460431937</v>
      </c>
      <c r="AK16" s="61" t="n">
        <f aca="false">SUM(AK9:AK15)</f>
        <v>903049.443415664</v>
      </c>
      <c r="AL16" s="61" t="n">
        <f aca="false">SUM(AL9:AL15)</f>
        <v>1182846.3378495</v>
      </c>
      <c r="AM16" s="61" t="n">
        <f aca="false">SUM(AM9:AM15)</f>
        <v>1254039.84794326</v>
      </c>
      <c r="AN16" s="61" t="n">
        <f aca="false">SUM(AN9:AN15)</f>
        <v>1320450.03047551</v>
      </c>
      <c r="AO16" s="61" t="n">
        <f aca="false">SUM(AO9:AO15)</f>
        <v>1382436.61204769</v>
      </c>
      <c r="AP16" s="61" t="n">
        <f aca="false">SUM(AP9:AP15)</f>
        <v>1440358.54527198</v>
      </c>
      <c r="AQ16" s="61" t="n">
        <f aca="false">SUM(AQ9:AQ15)</f>
        <v>1494390.81925134</v>
      </c>
      <c r="AR16" s="61" t="n">
        <f aca="false">SUM(AR9:AR15)</f>
        <v>1544867.22809399</v>
      </c>
      <c r="AS16" s="61" t="n">
        <f aca="false">SUM(AS9:AS15)</f>
        <v>1591983.73897624</v>
      </c>
      <c r="AT16" s="61" t="n">
        <f aca="false">SUM(AT9:AT15)</f>
        <v>1635912.56115915</v>
      </c>
      <c r="AU16" s="61" t="n">
        <f aca="false">SUM(AU9:AU15)</f>
        <v>1676984.79466908</v>
      </c>
      <c r="AV16" s="61" t="n">
        <f aca="false">SUM(AV9:AV15)</f>
        <v>1715325.54334522</v>
      </c>
      <c r="AW16" s="61" t="n">
        <f aca="false">SUM(AW9:AW15)</f>
        <v>1751127.39236517</v>
      </c>
      <c r="AX16" s="61" t="n">
        <f aca="false">SUM(AX9:AX15)</f>
        <v>2205251.44590653</v>
      </c>
      <c r="AY16" s="61" t="n">
        <f aca="false">SUM(AY9:AY15)</f>
        <v>2330993.77746488</v>
      </c>
      <c r="AZ16" s="61" t="n">
        <f aca="false">SUM(AZ9:AZ15)</f>
        <v>2448855.15802615</v>
      </c>
      <c r="BA16" s="61" t="n">
        <f aca="false">SUM(BA9:BA15)</f>
        <v>2559341.64027266</v>
      </c>
      <c r="BB16" s="61" t="n">
        <f aca="false">SUM(BB9:BB15)</f>
        <v>2663028.69340257</v>
      </c>
      <c r="BC16" s="61" t="n">
        <f aca="false">SUM(BC9:BC15)</f>
        <v>2760156.58074686</v>
      </c>
      <c r="BD16" s="61" t="n">
        <f aca="false">SUM(BD9:BD15)</f>
        <v>2851226.13384323</v>
      </c>
      <c r="BE16" s="61" t="n">
        <f aca="false">SUM(BE9:BE15)</f>
        <v>2936569.78834139</v>
      </c>
      <c r="BF16" s="61" t="n">
        <f aca="false">SUM(BF9:BF15)</f>
        <v>3016709.31792725</v>
      </c>
      <c r="BG16" s="61" t="n">
        <f aca="false">SUM(BG9:BG15)</f>
        <v>3091688.35391033</v>
      </c>
      <c r="BH16" s="61" t="n">
        <f aca="false">SUM(BH9:BH15)</f>
        <v>3162049.85925373</v>
      </c>
      <c r="BI16" s="61" t="n">
        <f aca="false">SUM(BI9:BI15)</f>
        <v>3228049.74298386</v>
      </c>
      <c r="BJ16" s="61" t="n">
        <f aca="false">SUM(B16:BI16)</f>
        <v>62932363.0403721</v>
      </c>
    </row>
    <row r="18" customFormat="false" ht="18" hidden="false" customHeight="true" outlineLevel="0" collapsed="false">
      <c r="A18" s="25" t="s">
        <v>721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</row>
    <row r="19" customFormat="false" ht="15" hidden="false" customHeight="false" outlineLevel="0" collapsed="false">
      <c r="A19" s="66" t="s">
        <v>722</v>
      </c>
      <c r="B19" s="67" t="n">
        <f aca="false">CHOOSE(Premissas!$B$6,Cenários!B31,Cenários!B77,Cenários!B123)</f>
        <v>-0</v>
      </c>
      <c r="C19" s="67" t="n">
        <f aca="false">CHOOSE(Premissas!$B$6,Cenários!C31,Cenários!C77,Cenários!C123)</f>
        <v>-0</v>
      </c>
      <c r="D19" s="67" t="n">
        <f aca="false">CHOOSE(Premissas!$B$6,Cenários!D31,Cenários!D77,Cenários!D123)</f>
        <v>-0</v>
      </c>
      <c r="E19" s="67" t="n">
        <f aca="false">CHOOSE(Premissas!$B$6,Cenários!E31,Cenários!E77,Cenários!E123)</f>
        <v>-0</v>
      </c>
      <c r="F19" s="67" t="n">
        <f aca="false">CHOOSE(Premissas!$B$6,Cenários!F31,Cenários!F77,Cenários!F123)</f>
        <v>-0</v>
      </c>
      <c r="G19" s="67" t="n">
        <f aca="false">CHOOSE(Premissas!$B$6,Cenários!G31,Cenários!G77,Cenários!G123)</f>
        <v>-0</v>
      </c>
      <c r="H19" s="67" t="n">
        <f aca="false">CHOOSE(Premissas!$B$6,Cenários!H31,Cenários!H77,Cenários!H123)</f>
        <v>-0</v>
      </c>
      <c r="I19" s="67" t="n">
        <f aca="false">CHOOSE(Premissas!$B$6,Cenários!I31,Cenários!I77,Cenários!I123)</f>
        <v>-0</v>
      </c>
      <c r="J19" s="67" t="n">
        <f aca="false">CHOOSE(Premissas!$B$6,Cenários!J31,Cenários!J77,Cenários!J123)</f>
        <v>-0</v>
      </c>
      <c r="K19" s="67" t="n">
        <f aca="false">CHOOSE(Premissas!$B$6,Cenários!K31,Cenários!K77,Cenários!K123)</f>
        <v>-465.7595</v>
      </c>
      <c r="L19" s="67" t="n">
        <f aca="false">CHOOSE(Premissas!$B$6,Cenários!L31,Cenários!L77,Cenários!L123)</f>
        <v>-1785.9255</v>
      </c>
      <c r="M19" s="67" t="n">
        <f aca="false">CHOOSE(Premissas!$B$6,Cenários!M31,Cenários!M77,Cenários!M123)</f>
        <v>-3861.794</v>
      </c>
      <c r="N19" s="67" t="n">
        <f aca="false">CHOOSE(Premissas!$B$6,Cenários!N31,Cenários!N77,Cenários!N123)</f>
        <v>-9120.1635712304</v>
      </c>
      <c r="O19" s="67" t="n">
        <f aca="false">CHOOSE(Premissas!$B$6,Cenários!O31,Cenários!O77,Cenários!O123)</f>
        <v>-14566.2453512859</v>
      </c>
      <c r="P19" s="67" t="n">
        <f aca="false">CHOOSE(Premissas!$B$6,Cenários!P31,Cenários!P77,Cenários!P123)</f>
        <v>-21181.6791689012</v>
      </c>
      <c r="Q19" s="67" t="n">
        <f aca="false">CHOOSE(Premissas!$B$6,Cenários!Q31,Cenários!Q77,Cenários!Q123)</f>
        <v>-31619.2675706219</v>
      </c>
      <c r="R19" s="67" t="n">
        <f aca="false">CHOOSE(Premissas!$B$6,Cenários!R31,Cenários!R77,Cenários!R123)</f>
        <v>-37731.7469768552</v>
      </c>
      <c r="S19" s="67" t="n">
        <f aca="false">CHOOSE(Premissas!$B$6,Cenários!S31,Cenários!S77,Cenários!S123)</f>
        <v>-43060.0984287111</v>
      </c>
      <c r="T19" s="67" t="n">
        <f aca="false">CHOOSE(Premissas!$B$6,Cenários!T31,Cenários!T77,Cenários!T123)</f>
        <v>-48317.241175939</v>
      </c>
      <c r="U19" s="67" t="n">
        <f aca="false">CHOOSE(Premissas!$B$6,Cenários!U31,Cenários!U77,Cenários!U123)</f>
        <v>-52956.4304312282</v>
      </c>
      <c r="V19" s="67" t="n">
        <f aca="false">CHOOSE(Premissas!$B$6,Cenários!V31,Cenários!V77,Cenários!V123)</f>
        <v>-57112.1486342944</v>
      </c>
      <c r="W19" s="67" t="n">
        <f aca="false">CHOOSE(Premissas!$B$6,Cenários!W31,Cenários!W77,Cenários!W123)</f>
        <v>-69575.9069555851</v>
      </c>
      <c r="X19" s="67" t="n">
        <f aca="false">CHOOSE(Premissas!$B$6,Cenários!X31,Cenários!X77,Cenários!X123)</f>
        <v>-75079.8828565234</v>
      </c>
      <c r="Y19" s="67" t="n">
        <f aca="false">CHOOSE(Premissas!$B$6,Cenários!Y31,Cenários!Y77,Cenários!Y123)</f>
        <v>-79930.0343991313</v>
      </c>
      <c r="Z19" s="67" t="n">
        <f aca="false">CHOOSE(Premissas!$B$6,Cenários!Z31,Cenários!Z77,Cenários!Z123)</f>
        <v>-107846.305441122</v>
      </c>
      <c r="AA19" s="67" t="n">
        <f aca="false">CHOOSE(Premissas!$B$6,Cenários!AA31,Cenários!AA77,Cenários!AA123)</f>
        <v>-118573.551395708</v>
      </c>
      <c r="AB19" s="67" t="n">
        <f aca="false">CHOOSE(Premissas!$B$6,Cenários!AB31,Cenários!AB77,Cenários!AB123)</f>
        <v>-98045.2817973941</v>
      </c>
      <c r="AC19" s="67" t="n">
        <f aca="false">CHOOSE(Premissas!$B$6,Cenários!AC31,Cenários!AC77,Cenários!AC123)</f>
        <v>-114066.606316241</v>
      </c>
      <c r="AD19" s="67" t="n">
        <f aca="false">CHOOSE(Premissas!$B$6,Cenários!AD31,Cenários!AD77,Cenários!AD123)</f>
        <v>-128409.026178803</v>
      </c>
      <c r="AE19" s="67" t="n">
        <f aca="false">CHOOSE(Premissas!$B$6,Cenários!AE31,Cenários!AE77,Cenários!AE123)</f>
        <v>-115336.276651343</v>
      </c>
      <c r="AF19" s="67" t="n">
        <f aca="false">CHOOSE(Premissas!$B$6,Cenários!AF31,Cenários!AF77,Cenários!AF123)</f>
        <v>-127599.36120702</v>
      </c>
      <c r="AG19" s="67" t="n">
        <f aca="false">CHOOSE(Premissas!$B$6,Cenários!AG31,Cenários!AG77,Cenários!AG123)</f>
        <v>-132182.15752727</v>
      </c>
      <c r="AH19" s="67" t="n">
        <f aca="false">CHOOSE(Premissas!$B$6,Cenários!AH31,Cenários!AH77,Cenários!AH123)</f>
        <v>-136437.737847684</v>
      </c>
      <c r="AI19" s="67" t="n">
        <f aca="false">CHOOSE(Premissas!$B$6,Cenários!AI31,Cenários!AI77,Cenários!AI123)</f>
        <v>-140384.898891535</v>
      </c>
      <c r="AJ19" s="67" t="n">
        <f aca="false">CHOOSE(Premissas!$B$6,Cenários!AJ31,Cenários!AJ77,Cenários!AJ123)</f>
        <v>-144053.047288535</v>
      </c>
      <c r="AK19" s="67" t="n">
        <f aca="false">CHOOSE(Premissas!$B$6,Cenários!AK31,Cenários!AK77,Cenários!AK123)</f>
        <v>-147467.974109778</v>
      </c>
      <c r="AL19" s="67" t="n">
        <f aca="false">CHOOSE(Premissas!$B$6,Cenários!AL31,Cenários!AL77,Cenários!AL123)</f>
        <v>-193158.806970824</v>
      </c>
      <c r="AM19" s="67" t="n">
        <f aca="false">CHOOSE(Premissas!$B$6,Cenários!AM31,Cenários!AM77,Cenários!AM123)</f>
        <v>-204784.707169135</v>
      </c>
      <c r="AN19" s="67" t="n">
        <f aca="false">CHOOSE(Premissas!$B$6,Cenários!AN31,Cenários!AN77,Cenários!AN123)</f>
        <v>-215629.489976651</v>
      </c>
      <c r="AO19" s="67" t="n">
        <f aca="false">CHOOSE(Premissas!$B$6,Cenários!AO31,Cenários!AO77,Cenários!AO123)</f>
        <v>-225751.898747388</v>
      </c>
      <c r="AP19" s="67" t="n">
        <f aca="false">CHOOSE(Premissas!$B$6,Cenários!AP31,Cenários!AP77,Cenários!AP123)</f>
        <v>-235210.550442914</v>
      </c>
      <c r="AQ19" s="67" t="n">
        <f aca="false">CHOOSE(Premissas!$B$6,Cenários!AQ31,Cenários!AQ77,Cenários!AQ123)</f>
        <v>-244034.020783744</v>
      </c>
      <c r="AR19" s="67" t="n">
        <f aca="false">CHOOSE(Premissas!$B$6,Cenários!AR31,Cenários!AR77,Cenários!AR123)</f>
        <v>-252276.818347748</v>
      </c>
      <c r="AS19" s="67" t="n">
        <f aca="false">CHOOSE(Premissas!$B$6,Cenários!AS31,Cenários!AS77,Cenários!AS123)</f>
        <v>-259970.944574821</v>
      </c>
      <c r="AT19" s="67" t="n">
        <f aca="false">CHOOSE(Premissas!$B$6,Cenários!AT31,Cenários!AT77,Cenários!AT123)</f>
        <v>-267144.521237289</v>
      </c>
      <c r="AU19" s="67" t="n">
        <f aca="false">CHOOSE(Premissas!$B$6,Cenários!AU31,Cenários!AU77,Cenários!AU123)</f>
        <v>-273851.616969461</v>
      </c>
      <c r="AV19" s="67" t="n">
        <f aca="false">CHOOSE(Premissas!$B$6,Cenários!AV31,Cenários!AV77,Cenários!AV123)</f>
        <v>-280112.661228275</v>
      </c>
      <c r="AW19" s="67" t="n">
        <f aca="false">CHOOSE(Premissas!$B$6,Cenários!AW31,Cenários!AW77,Cenários!AW123)</f>
        <v>-285959.103173232</v>
      </c>
      <c r="AX19" s="67" t="n">
        <f aca="false">CHOOSE(Premissas!$B$6,Cenários!AX31,Cenários!AX77,Cenários!AX123)</f>
        <v>-360117.561116537</v>
      </c>
      <c r="AY19" s="67" t="n">
        <f aca="false">CHOOSE(Premissas!$B$6,Cenários!AY31,Cenários!AY77,Cenários!AY123)</f>
        <v>-380651.283860014</v>
      </c>
      <c r="AZ19" s="67" t="n">
        <f aca="false">CHOOSE(Premissas!$B$6,Cenários!AZ31,Cenários!AZ77,Cenários!AZ123)</f>
        <v>-399898.047305669</v>
      </c>
      <c r="BA19" s="67" t="n">
        <f aca="false">CHOOSE(Premissas!$B$6,Cenários!BA31,Cenários!BA77,Cenários!BA123)</f>
        <v>-417940.489856525</v>
      </c>
      <c r="BB19" s="67" t="n">
        <f aca="false">CHOOSE(Premissas!$B$6,Cenários!BB31,Cenários!BB77,Cenários!BB123)</f>
        <v>-434872.58563264</v>
      </c>
      <c r="BC19" s="67" t="n">
        <f aca="false">CHOOSE(Premissas!$B$6,Cenários!BC31,Cenários!BC77,Cenários!BC123)</f>
        <v>-450733.569635962</v>
      </c>
      <c r="BD19" s="67" t="n">
        <f aca="false">CHOOSE(Premissas!$B$6,Cenários!BD31,Cenários!BD77,Cenários!BD123)</f>
        <v>-465605.227656599</v>
      </c>
      <c r="BE19" s="67" t="n">
        <f aca="false">CHOOSE(Premissas!$B$6,Cenários!BE31,Cenários!BE77,Cenários!BE123)</f>
        <v>-479541.846436148</v>
      </c>
      <c r="BF19" s="67" t="n">
        <f aca="false">CHOOSE(Premissas!$B$6,Cenários!BF31,Cenários!BF77,Cenários!BF123)</f>
        <v>-492628.63161752</v>
      </c>
      <c r="BG19" s="67" t="n">
        <f aca="false">CHOOSE(Premissas!$B$6,Cenários!BG31,Cenários!BG77,Cenários!BG123)</f>
        <v>-504872.708193557</v>
      </c>
      <c r="BH19" s="67" t="n">
        <f aca="false">CHOOSE(Premissas!$B$6,Cenários!BH31,Cenários!BH77,Cenários!BH123)</f>
        <v>-516362.742016134</v>
      </c>
      <c r="BI19" s="67" t="n">
        <f aca="false">CHOOSE(Premissas!$B$6,Cenários!BI31,Cenários!BI77,Cenários!BI123)</f>
        <v>-527140.523029265</v>
      </c>
      <c r="BJ19" s="61" t="n">
        <f aca="false">SUM(B19:BI19)</f>
        <v>-10425016.9051508</v>
      </c>
      <c r="BK19" s="186" t="n">
        <f aca="false">IFERROR(BJ19/BJ$16,0)</f>
        <v>-0.165654305694242</v>
      </c>
    </row>
    <row r="20" customFormat="false" ht="15" hidden="false" customHeight="false" outlineLevel="0" collapsed="false">
      <c r="A20" s="66" t="s">
        <v>723</v>
      </c>
      <c r="B20" s="67" t="n">
        <f aca="false">CHOOSE(Premissas!$B$6,Cenários!B32,Cenários!B78,Cenários!B124)</f>
        <v>-0</v>
      </c>
      <c r="C20" s="67" t="n">
        <f aca="false">CHOOSE(Premissas!$B$6,Cenários!C32,Cenários!C78,Cenários!C124)</f>
        <v>-0</v>
      </c>
      <c r="D20" s="67" t="n">
        <f aca="false">CHOOSE(Premissas!$B$6,Cenários!D32,Cenários!D78,Cenários!D124)</f>
        <v>-0</v>
      </c>
      <c r="E20" s="67" t="n">
        <f aca="false">CHOOSE(Premissas!$B$6,Cenários!E32,Cenários!E78,Cenários!E124)</f>
        <v>-0</v>
      </c>
      <c r="F20" s="67" t="n">
        <f aca="false">CHOOSE(Premissas!$B$6,Cenários!F32,Cenários!F78,Cenários!F124)</f>
        <v>-0</v>
      </c>
      <c r="G20" s="67" t="n">
        <f aca="false">CHOOSE(Premissas!$B$6,Cenários!G32,Cenários!G78,Cenários!G124)</f>
        <v>-0</v>
      </c>
      <c r="H20" s="67" t="n">
        <f aca="false">CHOOSE(Premissas!$B$6,Cenários!H32,Cenários!H78,Cenários!H124)</f>
        <v>-0</v>
      </c>
      <c r="I20" s="67" t="n">
        <f aca="false">CHOOSE(Premissas!$B$6,Cenários!I32,Cenários!I78,Cenários!I124)</f>
        <v>-0</v>
      </c>
      <c r="J20" s="67" t="n">
        <f aca="false">CHOOSE(Premissas!$B$6,Cenários!J32,Cenários!J78,Cenários!J124)</f>
        <v>-0</v>
      </c>
      <c r="K20" s="67" t="n">
        <f aca="false">CHOOSE(Premissas!$B$6,Cenários!K32,Cenários!K78,Cenários!K124)</f>
        <v>-383.12475</v>
      </c>
      <c r="L20" s="67" t="n">
        <f aca="false">CHOOSE(Premissas!$B$6,Cenários!L32,Cenários!L78,Cenários!L124)</f>
        <v>-1469.06775</v>
      </c>
      <c r="M20" s="67" t="n">
        <f aca="false">CHOOSE(Premissas!$B$6,Cenários!M32,Cenários!M78,Cenários!M124)</f>
        <v>-3176.637</v>
      </c>
      <c r="N20" s="67" t="n">
        <f aca="false">CHOOSE(Premissas!$B$6,Cenários!N32,Cenários!N78,Cenários!N124)</f>
        <v>-6597.99624</v>
      </c>
      <c r="O20" s="67" t="n">
        <f aca="false">CHOOSE(Premissas!$B$6,Cenários!O32,Cenários!O78,Cenários!O124)</f>
        <v>-10678.07334</v>
      </c>
      <c r="P20" s="67" t="n">
        <f aca="false">CHOOSE(Premissas!$B$6,Cenários!P32,Cenários!P78,Cenários!P124)</f>
        <v>-15506.78844</v>
      </c>
      <c r="Q20" s="67" t="n">
        <f aca="false">CHOOSE(Premissas!$B$6,Cenários!Q32,Cenários!Q78,Cenários!Q124)</f>
        <v>-21979.94898</v>
      </c>
      <c r="R20" s="67" t="n">
        <f aca="false">CHOOSE(Premissas!$B$6,Cenários!R32,Cenários!R78,Cenários!R124)</f>
        <v>-24794.87802</v>
      </c>
      <c r="S20" s="67" t="n">
        <f aca="false">CHOOSE(Premissas!$B$6,Cenários!S32,Cenários!S78,Cenários!S124)</f>
        <v>-27397.50486</v>
      </c>
      <c r="T20" s="67" t="n">
        <f aca="false">CHOOSE(Premissas!$B$6,Cenários!T32,Cenários!T78,Cenários!T124)</f>
        <v>-29805.31026</v>
      </c>
      <c r="U20" s="67" t="n">
        <f aca="false">CHOOSE(Premissas!$B$6,Cenários!U32,Cenários!U78,Cenários!U124)</f>
        <v>-32033.27952</v>
      </c>
      <c r="V20" s="67" t="n">
        <f aca="false">CHOOSE(Premissas!$B$6,Cenários!V32,Cenários!V78,Cenários!V124)</f>
        <v>-34088.89902</v>
      </c>
      <c r="W20" s="67" t="n">
        <f aca="false">CHOOSE(Premissas!$B$6,Cenários!W32,Cenários!W78,Cenários!W124)</f>
        <v>-41329.18152</v>
      </c>
      <c r="X20" s="67" t="n">
        <f aca="false">CHOOSE(Premissas!$B$6,Cenários!X32,Cenários!X78,Cenários!X124)</f>
        <v>-43345.8894</v>
      </c>
      <c r="Y20" s="67" t="n">
        <f aca="false">CHOOSE(Premissas!$B$6,Cenários!Y32,Cenários!Y78,Cenários!Y124)</f>
        <v>-45212.66904</v>
      </c>
      <c r="Z20" s="67" t="n">
        <f aca="false">CHOOSE(Premissas!$B$6,Cenários!Z32,Cenários!Z78,Cenários!Z124)</f>
        <v>-55621.0334511562</v>
      </c>
      <c r="AA20" s="67" t="n">
        <f aca="false">CHOOSE(Premissas!$B$6,Cenários!AA32,Cenários!AA78,Cenários!AA124)</f>
        <v>-60295.7058195937</v>
      </c>
      <c r="AB20" s="67" t="n">
        <f aca="false">CHOOSE(Premissas!$B$6,Cenários!AB32,Cenários!AB78,Cenários!AB124)</f>
        <v>-64642.250611125</v>
      </c>
      <c r="AC20" s="67" t="n">
        <f aca="false">CHOOSE(Premissas!$B$6,Cenários!AC32,Cenários!AC78,Cenários!AC124)</f>
        <v>-68677.7935078125</v>
      </c>
      <c r="AD20" s="67" t="n">
        <f aca="false">CHOOSE(Premissas!$B$6,Cenários!AD32,Cenários!AD78,Cenários!AD124)</f>
        <v>-72434.1902439375</v>
      </c>
      <c r="AE20" s="67" t="n">
        <f aca="false">CHOOSE(Premissas!$B$6,Cenários!AE32,Cenários!AE78,Cenários!AE124)</f>
        <v>-75921.219903375</v>
      </c>
      <c r="AF20" s="67" t="n">
        <f aca="false">CHOOSE(Premissas!$B$6,Cenários!AF32,Cenários!AF78,Cenários!AF124)</f>
        <v>-79156.0081681875</v>
      </c>
      <c r="AG20" s="67" t="n">
        <f aca="false">CHOOSE(Premissas!$B$6,Cenários!AG32,Cenários!AG78,Cenários!AG124)</f>
        <v>-82172.8923994687</v>
      </c>
      <c r="AH20" s="67" t="n">
        <f aca="false">CHOOSE(Premissas!$B$6,Cenários!AH32,Cenários!AH78,Cenários!AH124)</f>
        <v>-84974.2682270625</v>
      </c>
      <c r="AI20" s="67" t="n">
        <f aca="false">CHOOSE(Premissas!$B$6,Cenários!AI32,Cenários!AI78,Cenários!AI124)</f>
        <v>-87572.384076375</v>
      </c>
      <c r="AJ20" s="67" t="n">
        <f aca="false">CHOOSE(Premissas!$B$6,Cenários!AJ32,Cenários!AJ78,Cenários!AJ124)</f>
        <v>-89986.8472562812</v>
      </c>
      <c r="AK20" s="67" t="n">
        <f aca="false">CHOOSE(Premissas!$B$6,Cenários!AK32,Cenários!AK78,Cenários!AK124)</f>
        <v>-92234.8203046875</v>
      </c>
      <c r="AL20" s="67" t="n">
        <f aca="false">CHOOSE(Premissas!$B$6,Cenários!AL32,Cenários!AL78,Cenários!AL124)</f>
        <v>-113103.934377212</v>
      </c>
      <c r="AM20" s="67" t="n">
        <f aca="false">CHOOSE(Premissas!$B$6,Cenários!AM32,Cenários!AM78,Cenários!AM124)</f>
        <v>-120339.863822401</v>
      </c>
      <c r="AN20" s="67" t="n">
        <f aca="false">CHOOSE(Premissas!$B$6,Cenários!AN32,Cenários!AN78,Cenários!AN124)</f>
        <v>-127089.292238113</v>
      </c>
      <c r="AO20" s="67" t="n">
        <f aca="false">CHOOSE(Premissas!$B$6,Cenários!AO32,Cenários!AO78,Cenários!AO124)</f>
        <v>-133389.070160856</v>
      </c>
      <c r="AP20" s="67" t="n">
        <f aca="false">CHOOSE(Premissas!$B$6,Cenários!AP32,Cenários!AP78,Cenários!AP124)</f>
        <v>-139276.097425516</v>
      </c>
      <c r="AQ20" s="67" t="n">
        <f aca="false">CHOOSE(Premissas!$B$6,Cenários!AQ32,Cenários!AQ78,Cenários!AQ124)</f>
        <v>-144767.529867149</v>
      </c>
      <c r="AR20" s="67" t="n">
        <f aca="false">CHOOSE(Premissas!$B$6,Cenários!AR32,Cenários!AR78,Cenários!AR124)</f>
        <v>-149897.790077216</v>
      </c>
      <c r="AS20" s="67" t="n">
        <f aca="false">CHOOSE(Premissas!$B$6,Cenários!AS32,Cenários!AS78,Cenários!AS124)</f>
        <v>-154686.523458793</v>
      </c>
      <c r="AT20" s="67" t="n">
        <f aca="false">CHOOSE(Premissas!$B$6,Cenários!AT32,Cenários!AT78,Cenários!AT124)</f>
        <v>-159150.910496124</v>
      </c>
      <c r="AU20" s="67" t="n">
        <f aca="false">CHOOSE(Premissas!$B$6,Cenários!AU32,Cenários!AU78,Cenários!AU124)</f>
        <v>-163325.386105264</v>
      </c>
      <c r="AV20" s="67" t="n">
        <f aca="false">CHOOSE(Premissas!$B$6,Cenários!AV32,Cenários!AV78,Cenários!AV124)</f>
        <v>-167222.225581988</v>
      </c>
      <c r="AW20" s="67" t="n">
        <f aca="false">CHOOSE(Premissas!$B$6,Cenários!AW32,Cenários!AW78,Cenários!AW124)</f>
        <v>-170861.07432937</v>
      </c>
      <c r="AX20" s="67" t="n">
        <f aca="false">CHOOSE(Premissas!$B$6,Cenários!AX32,Cenários!AX78,Cenários!AX124)</f>
        <v>-210325.621789641</v>
      </c>
      <c r="AY20" s="67" t="n">
        <f aca="false">CHOOSE(Premissas!$B$6,Cenários!AY32,Cenários!AY78,Cenários!AY124)</f>
        <v>-222711.52245076</v>
      </c>
      <c r="AZ20" s="67" t="n">
        <f aca="false">CHOOSE(Premissas!$B$6,Cenários!AZ32,Cenários!AZ78,Cenários!AZ124)</f>
        <v>-234320.955766974</v>
      </c>
      <c r="BA20" s="67" t="n">
        <f aca="false">CHOOSE(Premissas!$B$6,Cenários!BA32,Cenários!BA78,Cenários!BA124)</f>
        <v>-245203.86978361</v>
      </c>
      <c r="BB20" s="67" t="n">
        <f aca="false">CHOOSE(Premissas!$B$6,Cenários!BB32,Cenários!BB78,Cenários!BB124)</f>
        <v>-255417.700370291</v>
      </c>
      <c r="BC20" s="67" t="n">
        <f aca="false">CHOOSE(Premissas!$B$6,Cenários!BC32,Cenários!BC78,Cenários!BC124)</f>
        <v>-264984.873435559</v>
      </c>
      <c r="BD20" s="67" t="n">
        <f aca="false">CHOOSE(Premissas!$B$6,Cenários!BD32,Cenários!BD78,Cenários!BD124)</f>
        <v>-273955.349546188</v>
      </c>
      <c r="BE20" s="67" t="n">
        <f aca="false">CHOOSE(Premissas!$B$6,Cenários!BE32,Cenários!BE78,Cenários!BE124)</f>
        <v>-282361.571766967</v>
      </c>
      <c r="BF20" s="67" t="n">
        <f aca="false">CHOOSE(Premissas!$B$6,Cenários!BF32,Cenários!BF78,Cenários!BF124)</f>
        <v>-290256.017475177</v>
      </c>
      <c r="BG20" s="67" t="n">
        <f aca="false">CHOOSE(Premissas!$B$6,Cenários!BG32,Cenários!BG78,Cenários!BG124)</f>
        <v>-297641.103309761</v>
      </c>
      <c r="BH20" s="67" t="n">
        <f aca="false">CHOOSE(Premissas!$B$6,Cenários!BH32,Cenários!BH78,Cenários!BH124)</f>
        <v>-304571.81093706</v>
      </c>
      <c r="BI20" s="67" t="n">
        <f aca="false">CHOOSE(Premissas!$B$6,Cenários!BI32,Cenários!BI78,Cenários!BI124)</f>
        <v>-311073.108119017</v>
      </c>
      <c r="BJ20" s="61" t="n">
        <f aca="false">SUM(B20:BI20)</f>
        <v>-6187421.86480007</v>
      </c>
      <c r="BK20" s="187" t="s">
        <v>724</v>
      </c>
    </row>
    <row r="21" customFormat="false" ht="15" hidden="false" customHeight="false" outlineLevel="0" collapsed="false">
      <c r="A21" s="66" t="s">
        <v>725</v>
      </c>
      <c r="B21" s="67" t="n">
        <f aca="false">CHOOSE(Premissas!$B$6,Cenários!B33,Cenários!B79,Cenários!B125)</f>
        <v>-0</v>
      </c>
      <c r="C21" s="67" t="n">
        <f aca="false">CHOOSE(Premissas!$B$6,Cenários!C33,Cenários!C79,Cenários!C125)</f>
        <v>-0</v>
      </c>
      <c r="D21" s="67" t="n">
        <f aca="false">CHOOSE(Premissas!$B$6,Cenários!D33,Cenários!D79,Cenários!D125)</f>
        <v>-0</v>
      </c>
      <c r="E21" s="67" t="n">
        <f aca="false">CHOOSE(Premissas!$B$6,Cenários!E33,Cenários!E79,Cenários!E125)</f>
        <v>-0</v>
      </c>
      <c r="F21" s="67" t="n">
        <f aca="false">CHOOSE(Premissas!$B$6,Cenários!F33,Cenários!F79,Cenários!F125)</f>
        <v>-0</v>
      </c>
      <c r="G21" s="67" t="n">
        <f aca="false">CHOOSE(Premissas!$B$6,Cenários!G33,Cenários!G79,Cenários!G125)</f>
        <v>-0</v>
      </c>
      <c r="H21" s="67" t="n">
        <f aca="false">CHOOSE(Premissas!$B$6,Cenários!H33,Cenários!H79,Cenários!H125)</f>
        <v>-0</v>
      </c>
      <c r="I21" s="67" t="n">
        <f aca="false">CHOOSE(Premissas!$B$6,Cenários!I33,Cenários!I79,Cenários!I125)</f>
        <v>-0</v>
      </c>
      <c r="J21" s="67" t="n">
        <f aca="false">CHOOSE(Premissas!$B$6,Cenários!J33,Cenários!J79,Cenários!J125)</f>
        <v>-0</v>
      </c>
      <c r="K21" s="67" t="n">
        <f aca="false">CHOOSE(Premissas!$B$6,Cenários!K33,Cenários!K79,Cenários!K125)</f>
        <v>-20.283075</v>
      </c>
      <c r="L21" s="67" t="n">
        <f aca="false">CHOOSE(Premissas!$B$6,Cenários!L33,Cenários!L79,Cenários!L125)</f>
        <v>-77.774175</v>
      </c>
      <c r="M21" s="67" t="n">
        <f aca="false">CHOOSE(Premissas!$B$6,Cenários!M33,Cenários!M79,Cenários!M125)</f>
        <v>-168.1749</v>
      </c>
      <c r="N21" s="67" t="n">
        <f aca="false">CHOOSE(Premissas!$B$6,Cenários!N33,Cenários!N79,Cenários!N125)</f>
        <v>-668.3905519056</v>
      </c>
      <c r="O21" s="67" t="n">
        <f aca="false">CHOOSE(Premissas!$B$6,Cenários!O33,Cenários!O79,Cenários!O125)</f>
        <v>-1025.4879386959</v>
      </c>
      <c r="P21" s="67" t="n">
        <f aca="false">CHOOSE(Premissas!$B$6,Cenários!P33,Cenários!P79,Cenários!P125)</f>
        <v>-1434.89108684357</v>
      </c>
      <c r="Q21" s="67" t="n">
        <f aca="false">CHOOSE(Premissas!$B$6,Cenários!Q33,Cenários!Q79,Cenários!Q125)</f>
        <v>-1964.07447941453</v>
      </c>
      <c r="R21" s="67" t="n">
        <f aca="false">CHOOSE(Premissas!$B$6,Cenários!R33,Cenários!R79,Cenários!R125)</f>
        <v>-2215.60454380976</v>
      </c>
      <c r="S21" s="67" t="n">
        <f aca="false">CHOOSE(Premissas!$B$6,Cenários!S33,Cenários!S79,Cenários!S125)</f>
        <v>-2448.17308214806</v>
      </c>
      <c r="T21" s="67" t="n">
        <f aca="false">CHOOSE(Premissas!$B$6,Cenários!T33,Cenários!T79,Cenários!T125)</f>
        <v>-2663.31967378093</v>
      </c>
      <c r="U21" s="67" t="n">
        <f aca="false">CHOOSE(Premissas!$B$6,Cenários!U33,Cenários!U79,Cenários!U125)</f>
        <v>-2862.379553679</v>
      </c>
      <c r="V21" s="67" t="n">
        <f aca="false">CHOOSE(Premissas!$B$6,Cenários!V33,Cenários!V79,Cenários!V125)</f>
        <v>-3046.10964523514</v>
      </c>
      <c r="W21" s="67" t="n">
        <f aca="false">CHOOSE(Premissas!$B$6,Cenários!W33,Cenários!W79,Cenários!W125)</f>
        <v>-3616.46665288626</v>
      </c>
      <c r="X21" s="67" t="n">
        <f aca="false">CHOOSE(Premissas!$B$6,Cenários!X33,Cenários!X79,Cenários!X125)</f>
        <v>-3792.99991036201</v>
      </c>
      <c r="Y21" s="67" t="n">
        <f aca="false">CHOOSE(Premissas!$B$6,Cenários!Y33,Cenários!Y79,Cenários!Y125)</f>
        <v>-3956.38748131879</v>
      </c>
      <c r="Z21" s="67" t="n">
        <f aca="false">CHOOSE(Premissas!$B$6,Cenários!Z33,Cenários!Z79,Cenários!Z125)</f>
        <v>-6598.23748465194</v>
      </c>
      <c r="AA21" s="67" t="n">
        <f aca="false">CHOOSE(Premissas!$B$6,Cenários!AA33,Cenários!AA79,Cenários!AA125)</f>
        <v>-7152.81715894015</v>
      </c>
      <c r="AB21" s="67" t="n">
        <f aca="false">CHOOSE(Premissas!$B$6,Cenários!AB33,Cenários!AB79,Cenários!AB125)</f>
        <v>-7668.42627155966</v>
      </c>
      <c r="AC21" s="67" t="n">
        <f aca="false">CHOOSE(Premissas!$B$6,Cenários!AC33,Cenários!AC79,Cenários!AC125)</f>
        <v>-8147.21267356432</v>
      </c>
      <c r="AD21" s="67" t="n">
        <f aca="false">CHOOSE(Premissas!$B$6,Cenários!AD33,Cenários!AD79,Cenários!AD125)</f>
        <v>-8592.76645195593</v>
      </c>
      <c r="AE21" s="67" t="n">
        <f aca="false">CHOOSE(Premissas!$B$6,Cenários!AE33,Cenários!AE79,Cenários!AE125)</f>
        <v>-9006.44143444016</v>
      </c>
      <c r="AF21" s="67" t="n">
        <f aca="false">CHOOSE(Premissas!$B$6,Cenários!AF33,Cenários!AF79,Cenários!AF125)</f>
        <v>-9390.29953555668</v>
      </c>
      <c r="AG21" s="67" t="n">
        <f aca="false">CHOOSE(Premissas!$B$6,Cenários!AG33,Cenários!AG79,Cenários!AG125)</f>
        <v>-9748.09914315466</v>
      </c>
      <c r="AH21" s="67" t="n">
        <f aca="false">CHOOSE(Premissas!$B$6,Cenários!AH33,Cenários!AH79,Cenários!AH125)</f>
        <v>-10080.3815229761</v>
      </c>
      <c r="AI21" s="67" t="n">
        <f aca="false">CHOOSE(Premissas!$B$6,Cenários!AI33,Cenários!AI79,Cenários!AI125)</f>
        <v>-10388.6518935547</v>
      </c>
      <c r="AJ21" s="67" t="n">
        <f aca="false">CHOOSE(Premissas!$B$6,Cenários!AJ33,Cenários!AJ79,Cenários!AJ125)</f>
        <v>-10675.1315425528</v>
      </c>
      <c r="AK21" s="67" t="n">
        <f aca="false">CHOOSE(Premissas!$B$6,Cenários!AK33,Cenários!AK79,Cenários!AK125)</f>
        <v>-10941.7788622986</v>
      </c>
      <c r="AL21" s="67" t="n">
        <f aca="false">CHOOSE(Premissas!$B$6,Cenários!AL33,Cenários!AL79,Cenários!AL125)</f>
        <v>-16146.9048900641</v>
      </c>
      <c r="AM21" s="67" t="n">
        <f aca="false">CHOOSE(Premissas!$B$6,Cenários!AM33,Cenários!AM79,Cenários!AM125)</f>
        <v>-17179.8340107266</v>
      </c>
      <c r="AN21" s="67" t="n">
        <f aca="false">CHOOSE(Premissas!$B$6,Cenários!AN33,Cenários!AN79,Cenários!AN125)</f>
        <v>-18143.4636999643</v>
      </c>
      <c r="AO21" s="67" t="n">
        <f aca="false">CHOOSE(Premissas!$B$6,Cenários!AO33,Cenários!AO79,Cenários!AO125)</f>
        <v>-19042.9264938895</v>
      </c>
      <c r="AP21" s="67" t="n">
        <f aca="false">CHOOSE(Premissas!$B$6,Cenários!AP33,Cenários!AP79,Cenários!AP125)</f>
        <v>-19883.3053095843</v>
      </c>
      <c r="AQ21" s="67" t="n">
        <f aca="false">CHOOSE(Premissas!$B$6,Cenários!AQ33,Cenários!AQ79,Cenários!AQ125)</f>
        <v>-20667.3279061657</v>
      </c>
      <c r="AR21" s="67" t="n">
        <f aca="false">CHOOSE(Premissas!$B$6,Cenários!AR33,Cenários!AR79,Cenários!AR125)</f>
        <v>-21399.6882410647</v>
      </c>
      <c r="AS21" s="67" t="n">
        <f aca="false">CHOOSE(Premissas!$B$6,Cenários!AS33,Cenários!AS79,Cenários!AS125)</f>
        <v>-22083.3112162932</v>
      </c>
      <c r="AT21" s="67" t="n">
        <f aca="false">CHOOSE(Premissas!$B$6,Cenários!AT33,Cenários!AT79,Cenários!AT125)</f>
        <v>-22720.7921033246</v>
      </c>
      <c r="AU21" s="67" t="n">
        <f aca="false">CHOOSE(Premissas!$B$6,Cenários!AU33,Cenários!AU79,Cenários!AU125)</f>
        <v>-23316.6999285293</v>
      </c>
      <c r="AV21" s="67" t="n">
        <f aca="false">CHOOSE(Premissas!$B$6,Cenários!AV33,Cenários!AV79,Cenários!AV125)</f>
        <v>-23872.9817759387</v>
      </c>
      <c r="AW21" s="67" t="n">
        <f aca="false">CHOOSE(Premissas!$B$6,Cenários!AW33,Cenários!AW79,Cenários!AW125)</f>
        <v>-24392.4103576217</v>
      </c>
      <c r="AX21" s="67" t="n">
        <f aca="false">CHOOSE(Premissas!$B$6,Cenários!AX33,Cenários!AX79,Cenários!AX125)</f>
        <v>-32988.6285289016</v>
      </c>
      <c r="AY21" s="67" t="n">
        <f aca="false">CHOOSE(Premissas!$B$6,Cenários!AY33,Cenários!AY79,Cenários!AY125)</f>
        <v>-34931.2632506913</v>
      </c>
      <c r="AZ21" s="67" t="n">
        <f aca="false">CHOOSE(Premissas!$B$6,Cenários!AZ33,Cenários!AZ79,Cenários!AZ125)</f>
        <v>-36752.1953810843</v>
      </c>
      <c r="BA21" s="67" t="n">
        <f aca="false">CHOOSE(Premissas!$B$6,Cenários!BA33,Cenários!BA79,Cenários!BA125)</f>
        <v>-38459.2128771865</v>
      </c>
      <c r="BB21" s="67" t="n">
        <f aca="false">CHOOSE(Premissas!$B$6,Cenários!BB33,Cenários!BB79,Cenários!BB125)</f>
        <v>-40060.9810920285</v>
      </c>
      <c r="BC21" s="67" t="n">
        <f aca="false">CHOOSE(Premissas!$B$6,Cenários!BC33,Cenários!BC79,Cenários!BC125)</f>
        <v>-41561.5841029411</v>
      </c>
      <c r="BD21" s="67" t="n">
        <f aca="false">CHOOSE(Premissas!$B$6,Cenários!BD33,Cenários!BD79,Cenários!BD125)</f>
        <v>-42968.5711590888</v>
      </c>
      <c r="BE21" s="67" t="n">
        <f aca="false">CHOOSE(Premissas!$B$6,Cenários!BE33,Cenários!BE79,Cenários!BE125)</f>
        <v>-44287.1689452722</v>
      </c>
      <c r="BF21" s="67" t="n">
        <f aca="false">CHOOSE(Premissas!$B$6,Cenários!BF33,Cenários!BF79,Cenários!BF125)</f>
        <v>-45525.1140641733</v>
      </c>
      <c r="BG21" s="67" t="n">
        <f aca="false">CHOOSE(Premissas!$B$6,Cenários!BG33,Cenários!BG79,Cenários!BG125)</f>
        <v>-46683.6449330366</v>
      </c>
      <c r="BH21" s="67" t="n">
        <f aca="false">CHOOSE(Premissas!$B$6,Cenários!BH33,Cenários!BH79,Cenários!BH125)</f>
        <v>-47770.7003852996</v>
      </c>
      <c r="BI21" s="67" t="n">
        <f aca="false">CHOOSE(Premissas!$B$6,Cenários!BI33,Cenários!BI79,Cenários!BI125)</f>
        <v>-48790.3059985689</v>
      </c>
      <c r="BJ21" s="61" t="n">
        <f aca="false">SUM(B21:BI21)</f>
        <v>-887979.777376725</v>
      </c>
      <c r="BK21" s="186" t="n">
        <f aca="false">IFERROR(BJ21/BJ$16,0)</f>
        <v>-0.0141100657035089</v>
      </c>
    </row>
    <row r="22" customFormat="false" ht="15" hidden="false" customHeight="false" outlineLevel="0" collapsed="false">
      <c r="A22" s="62" t="s">
        <v>726</v>
      </c>
      <c r="B22" s="61" t="n">
        <f aca="false">B16+SUM(B19:B21)</f>
        <v>0</v>
      </c>
      <c r="C22" s="61" t="n">
        <f aca="false">C16+SUM(C19:C21)</f>
        <v>0</v>
      </c>
      <c r="D22" s="61" t="n">
        <f aca="false">D16+SUM(D19:D21)</f>
        <v>0</v>
      </c>
      <c r="E22" s="61" t="n">
        <f aca="false">E16+SUM(E19:E21)</f>
        <v>0</v>
      </c>
      <c r="F22" s="61" t="n">
        <f aca="false">F16+SUM(F19:F21)</f>
        <v>0</v>
      </c>
      <c r="G22" s="61" t="n">
        <f aca="false">G16+SUM(G19:G21)</f>
        <v>0</v>
      </c>
      <c r="H22" s="61" t="n">
        <f aca="false">H16+SUM(H19:H21)</f>
        <v>0</v>
      </c>
      <c r="I22" s="61" t="n">
        <f aca="false">I16+SUM(I19:I21)</f>
        <v>0</v>
      </c>
      <c r="J22" s="61" t="n">
        <f aca="false">J16+SUM(J19:J21)</f>
        <v>0</v>
      </c>
      <c r="K22" s="61" t="n">
        <f aca="false">K16+SUM(K19:K21)</f>
        <v>2135.732675</v>
      </c>
      <c r="L22" s="61" t="n">
        <f aca="false">L16+SUM(L19:L21)</f>
        <v>8189.332575</v>
      </c>
      <c r="M22" s="61" t="n">
        <f aca="false">M16+SUM(M19:M21)</f>
        <v>17708.1941</v>
      </c>
      <c r="N22" s="61" t="n">
        <f aca="false">N16+SUM(N19:N21)</f>
        <v>42453.214612544</v>
      </c>
      <c r="O22" s="61" t="n">
        <f aca="false">O16+SUM(O19:O21)</f>
        <v>67705.9698299271</v>
      </c>
      <c r="P22" s="61" t="n">
        <f aca="false">P16+SUM(P19:P21)</f>
        <v>97141.6995007789</v>
      </c>
      <c r="Q22" s="61" t="n">
        <f aca="false">Q16+SUM(Q19:Q21)</f>
        <v>134615.801712509</v>
      </c>
      <c r="R22" s="61" t="n">
        <f aca="false">R16+SUM(R19:R21)</f>
        <v>149792.613788441</v>
      </c>
      <c r="S22" s="61" t="n">
        <f aca="false">S16+SUM(S19:S21)</f>
        <v>164148.102299098</v>
      </c>
      <c r="T22" s="61" t="n">
        <f aca="false">T16+SUM(T19:T21)</f>
        <v>177101.078929856</v>
      </c>
      <c r="U22" s="61" t="n">
        <f aca="false">U16+SUM(U19:U21)</f>
        <v>189311.541821293</v>
      </c>
      <c r="V22" s="61" t="n">
        <f aca="false">V16+SUM(V19:V21)</f>
        <v>200703.49495014</v>
      </c>
      <c r="W22" s="61" t="n">
        <f aca="false">W16+SUM(W19:W21)</f>
        <v>241372.247291223</v>
      </c>
      <c r="X22" s="61" t="n">
        <f aca="false">X16+SUM(X19:X21)</f>
        <v>251042.710730048</v>
      </c>
      <c r="Y22" s="61" t="n">
        <f aca="false">Y16+SUM(Y19:Y21)</f>
        <v>260238.424486634</v>
      </c>
      <c r="Z22" s="61" t="n">
        <f aca="false">Z16+SUM(Z19:Z21)</f>
        <v>347368.812956377</v>
      </c>
      <c r="AA22" s="61" t="n">
        <f aca="false">AA16+SUM(AA19:AA21)</f>
        <v>374900.790177275</v>
      </c>
      <c r="AB22" s="61" t="n">
        <f aca="false">AB16+SUM(AB19:AB21)</f>
        <v>431001.851428747</v>
      </c>
      <c r="AC22" s="61" t="n">
        <f aca="false">AC16+SUM(AC19:AC21)</f>
        <v>448009.514744784</v>
      </c>
      <c r="AD22" s="61" t="n">
        <f aca="false">AD16+SUM(AD19:AD21)</f>
        <v>464408.984350574</v>
      </c>
      <c r="AE22" s="61" t="n">
        <f aca="false">AE16+SUM(AE19:AE21)</f>
        <v>506020.671020901</v>
      </c>
      <c r="AF22" s="61" t="n">
        <f aca="false">AF16+SUM(AF19:AF21)</f>
        <v>565234.375222856</v>
      </c>
      <c r="AG22" s="61" t="n">
        <f aca="false">AG16+SUM(AG19:AG21)</f>
        <v>585340.558996669</v>
      </c>
      <c r="AH22" s="61" t="n">
        <f aca="false">AH16+SUM(AH19:AH21)</f>
        <v>604011.212204385</v>
      </c>
      <c r="AI22" s="61" t="n">
        <f aca="false">AI16+SUM(AI19:AI21)</f>
        <v>621328.889948916</v>
      </c>
      <c r="AJ22" s="61" t="n">
        <f aca="false">AJ16+SUM(AJ19:AJ21)</f>
        <v>637422.434344567</v>
      </c>
      <c r="AK22" s="61" t="n">
        <f aca="false">AK16+SUM(AK19:AK21)</f>
        <v>652404.8701389</v>
      </c>
      <c r="AL22" s="61" t="n">
        <f aca="false">AL16+SUM(AL19:AL21)</f>
        <v>860436.691611404</v>
      </c>
      <c r="AM22" s="61" t="n">
        <f aca="false">AM16+SUM(AM19:AM21)</f>
        <v>911735.442941</v>
      </c>
      <c r="AN22" s="61" t="n">
        <f aca="false">AN16+SUM(AN19:AN21)</f>
        <v>959587.784560785</v>
      </c>
      <c r="AO22" s="61" t="n">
        <f aca="false">AO16+SUM(AO19:AO21)</f>
        <v>1004252.71664556</v>
      </c>
      <c r="AP22" s="61" t="n">
        <f aca="false">AP16+SUM(AP19:AP21)</f>
        <v>1045988.59209396</v>
      </c>
      <c r="AQ22" s="61" t="n">
        <f aca="false">AQ16+SUM(AQ19:AQ21)</f>
        <v>1084921.94069428</v>
      </c>
      <c r="AR22" s="61" t="n">
        <f aca="false">AR16+SUM(AR19:AR21)</f>
        <v>1121292.93142796</v>
      </c>
      <c r="AS22" s="61" t="n">
        <f aca="false">AS16+SUM(AS19:AS21)</f>
        <v>1155242.95972634</v>
      </c>
      <c r="AT22" s="61" t="n">
        <f aca="false">AT16+SUM(AT19:AT21)</f>
        <v>1186896.33732241</v>
      </c>
      <c r="AU22" s="61" t="n">
        <f aca="false">AU16+SUM(AU19:AU21)</f>
        <v>1216491.09166583</v>
      </c>
      <c r="AV22" s="61" t="n">
        <f aca="false">AV16+SUM(AV19:AV21)</f>
        <v>1244117.67475902</v>
      </c>
      <c r="AW22" s="61" t="n">
        <f aca="false">AW16+SUM(AW19:AW21)</f>
        <v>1269914.80450495</v>
      </c>
      <c r="AX22" s="61" t="n">
        <f aca="false">AX16+SUM(AX19:AX21)</f>
        <v>1601819.63447145</v>
      </c>
      <c r="AY22" s="61" t="n">
        <f aca="false">AY16+SUM(AY19:AY21)</f>
        <v>1692699.70790341</v>
      </c>
      <c r="AZ22" s="61" t="n">
        <f aca="false">AZ16+SUM(AZ19:AZ21)</f>
        <v>1777883.95957242</v>
      </c>
      <c r="BA22" s="61" t="n">
        <f aca="false">BA16+SUM(BA19:BA21)</f>
        <v>1857738.06775534</v>
      </c>
      <c r="BB22" s="61" t="n">
        <f aca="false">BB16+SUM(BB19:BB21)</f>
        <v>1932677.42630761</v>
      </c>
      <c r="BC22" s="61" t="n">
        <f aca="false">BC16+SUM(BC19:BC21)</f>
        <v>2002876.5535724</v>
      </c>
      <c r="BD22" s="61" t="n">
        <f aca="false">BD16+SUM(BD19:BD21)</f>
        <v>2068696.98548135</v>
      </c>
      <c r="BE22" s="61" t="n">
        <f aca="false">BE16+SUM(BE19:BE21)</f>
        <v>2130379.201193</v>
      </c>
      <c r="BF22" s="61" t="n">
        <f aca="false">BF16+SUM(BF19:BF21)</f>
        <v>2188299.55477038</v>
      </c>
      <c r="BG22" s="61" t="n">
        <f aca="false">BG16+SUM(BG19:BG21)</f>
        <v>2242490.89747398</v>
      </c>
      <c r="BH22" s="61" t="n">
        <f aca="false">BH16+SUM(BH19:BH21)</f>
        <v>2293344.60591523</v>
      </c>
      <c r="BI22" s="61" t="n">
        <f aca="false">BI16+SUM(BI19:BI21)</f>
        <v>2341045.80583701</v>
      </c>
      <c r="BJ22" s="61" t="n">
        <f aca="false">SUM(B22:BI22)</f>
        <v>45431944.4930445</v>
      </c>
      <c r="BK22" s="186" t="n">
        <f aca="false">IFERROR(BJ22/BJ$16,0)</f>
        <v>0.721917028030542</v>
      </c>
    </row>
    <row r="24" customFormat="false" ht="18" hidden="false" customHeight="true" outlineLevel="0" collapsed="false">
      <c r="A24" s="25" t="s">
        <v>727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</row>
    <row r="25" customFormat="false" ht="15" hidden="false" customHeight="false" outlineLevel="0" collapsed="false">
      <c r="A25" s="66" t="s">
        <v>728</v>
      </c>
      <c r="B25" s="67" t="n">
        <f aca="false">CHOOSE(Premissas!$B$6,Cenários!B35,Cenários!B81,Cenários!B127)</f>
        <v>-0</v>
      </c>
      <c r="C25" s="67" t="n">
        <f aca="false">CHOOSE(Premissas!$B$6,Cenários!C35,Cenários!C81,Cenários!C127)</f>
        <v>-0</v>
      </c>
      <c r="D25" s="67" t="n">
        <f aca="false">CHOOSE(Premissas!$B$6,Cenários!D35,Cenários!D81,Cenários!D127)</f>
        <v>-0</v>
      </c>
      <c r="E25" s="67" t="n">
        <f aca="false">CHOOSE(Premissas!$B$6,Cenários!E35,Cenários!E81,Cenários!E127)</f>
        <v>-0</v>
      </c>
      <c r="F25" s="67" t="n">
        <f aca="false">CHOOSE(Premissas!$B$6,Cenários!F35,Cenários!F81,Cenários!F127)</f>
        <v>-600</v>
      </c>
      <c r="G25" s="67" t="n">
        <f aca="false">CHOOSE(Premissas!$B$6,Cenários!G35,Cenários!G81,Cenários!G127)</f>
        <v>-600</v>
      </c>
      <c r="H25" s="67" t="n">
        <f aca="false">CHOOSE(Premissas!$B$6,Cenários!H35,Cenários!H81,Cenários!H127)</f>
        <v>-600</v>
      </c>
      <c r="I25" s="67" t="n">
        <f aca="false">CHOOSE(Premissas!$B$6,Cenários!I35,Cenários!I81,Cenários!I127)</f>
        <v>-600</v>
      </c>
      <c r="J25" s="67" t="n">
        <f aca="false">CHOOSE(Premissas!$B$6,Cenários!J35,Cenários!J81,Cenários!J127)</f>
        <v>-600</v>
      </c>
      <c r="K25" s="67" t="n">
        <f aca="false">CHOOSE(Premissas!$B$6,Cenários!K35,Cenários!K81,Cenários!K127)</f>
        <v>-1185.48</v>
      </c>
      <c r="L25" s="67" t="n">
        <f aca="false">CHOOSE(Premissas!$B$6,Cenários!L35,Cenários!L81,Cenários!L127)</f>
        <v>-2151.96</v>
      </c>
      <c r="M25" s="67" t="n">
        <f aca="false">CHOOSE(Premissas!$B$6,Cenários!M35,Cenários!M81,Cenários!M127)</f>
        <v>-3454.3968</v>
      </c>
      <c r="N25" s="67" t="n">
        <f aca="false">CHOOSE(Premissas!$B$6,Cenários!N35,Cenários!N81,Cenários!N127)</f>
        <v>-7485.64875264</v>
      </c>
      <c r="O25" s="67" t="n">
        <f aca="false">CHOOSE(Premissas!$B$6,Cenários!O35,Cenários!O81,Cenários!O127)</f>
        <v>-10092.7202704415</v>
      </c>
      <c r="P25" s="67" t="n">
        <f aca="false">CHOOSE(Premissas!$B$6,Cenários!P35,Cenários!P81,Cenários!P127)</f>
        <v>-13066.2661701043</v>
      </c>
      <c r="Q25" s="67" t="n">
        <f aca="false">CHOOSE(Premissas!$B$6,Cenários!Q35,Cenários!Q81,Cenários!Q127)</f>
        <v>-14764.8523781124</v>
      </c>
      <c r="R25" s="67" t="n">
        <f aca="false">CHOOSE(Premissas!$B$6,Cenários!R35,Cenários!R81,Cenários!R127)</f>
        <v>-16335.8708872784</v>
      </c>
      <c r="S25" s="67" t="n">
        <f aca="false">CHOOSE(Premissas!$B$6,Cenários!S35,Cenários!S81,Cenários!S127)</f>
        <v>-17788.063588555</v>
      </c>
      <c r="T25" s="67" t="n">
        <f aca="false">CHOOSE(Premissas!$B$6,Cenários!T35,Cenários!T81,Cenários!T127)</f>
        <v>-19131.3450626957</v>
      </c>
      <c r="U25" s="67" t="n">
        <f aca="false">CHOOSE(Premissas!$B$6,Cenários!U35,Cenários!U81,Cenários!U127)</f>
        <v>-20374.154409981</v>
      </c>
      <c r="V25" s="67" t="n">
        <f aca="false">CHOOSE(Premissas!$B$6,Cenários!V35,Cenários!V81,Cenários!V127)</f>
        <v>-21522.1361903504</v>
      </c>
      <c r="W25" s="67" t="n">
        <f aca="false">CHOOSE(Premissas!$B$6,Cenários!W35,Cenários!W81,Cenários!W127)</f>
        <v>-22584.8005408361</v>
      </c>
      <c r="X25" s="67" t="n">
        <f aca="false">CHOOSE(Premissas!$B$6,Cenários!X35,Cenários!X81,Cenários!X127)</f>
        <v>-23567.5525321652</v>
      </c>
      <c r="Y25" s="67" t="n">
        <f aca="false">CHOOSE(Premissas!$B$6,Cenários!Y35,Cenários!Y81,Cenários!Y127)</f>
        <v>-24475.6908217464</v>
      </c>
      <c r="Z25" s="67" t="n">
        <f aca="false">CHOOSE(Premissas!$B$6,Cenários!Z35,Cenários!Z81,Cenários!Z127)</f>
        <v>-34056.6172093089</v>
      </c>
      <c r="AA25" s="67" t="n">
        <f aca="false">CHOOSE(Premissas!$B$6,Cenários!AA35,Cenários!AA81,Cenários!AA127)</f>
        <v>-36246.9754947693</v>
      </c>
      <c r="AB25" s="67" t="n">
        <f aca="false">CHOOSE(Premissas!$B$6,Cenários!AB35,Cenários!AB81,Cenários!AB127)</f>
        <v>-38282.721819187</v>
      </c>
      <c r="AC25" s="67" t="n">
        <f aca="false">CHOOSE(Premissas!$B$6,Cenários!AC35,Cenários!AC81,Cenários!AC127)</f>
        <v>-40174.2880470083</v>
      </c>
      <c r="AD25" s="67" t="n">
        <f aca="false">CHOOSE(Premissas!$B$6,Cenários!AD35,Cenários!AD81,Cenários!AD127)</f>
        <v>-41932.9473831414</v>
      </c>
      <c r="AE25" s="67" t="n">
        <f aca="false">CHOOSE(Premissas!$B$6,Cenários!AE35,Cenários!AE81,Cenários!AE127)</f>
        <v>-43566.4963158979</v>
      </c>
      <c r="AF25" s="67" t="n">
        <f aca="false">CHOOSE(Premissas!$B$6,Cenários!AF35,Cenários!AF81,Cenários!AF127)</f>
        <v>-45084.5238570877</v>
      </c>
      <c r="AG25" s="67" t="n">
        <f aca="false">CHOOSE(Premissas!$B$6,Cenários!AG35,Cenários!AG81,Cenários!AG127)</f>
        <v>-46495.4741289499</v>
      </c>
      <c r="AH25" s="67" t="n">
        <f aca="false">CHOOSE(Premissas!$B$6,Cenários!AH35,Cenários!AH81,Cenários!AH127)</f>
        <v>-47807.5363440907</v>
      </c>
      <c r="AI25" s="67" t="n">
        <f aca="false">CHOOSE(Premissas!$B$6,Cenários!AI35,Cenários!AI81,Cenários!AI127)</f>
        <v>-49026.4382213356</v>
      </c>
      <c r="AJ25" s="67" t="n">
        <f aca="false">CHOOSE(Premissas!$B$6,Cenários!AJ35,Cenários!AJ81,Cenários!AJ127)</f>
        <v>-50158.8988773698</v>
      </c>
      <c r="AK25" s="67" t="n">
        <f aca="false">CHOOSE(Premissas!$B$6,Cenários!AK35,Cenários!AK81,Cenários!AK127)</f>
        <v>-51210.3712312223</v>
      </c>
      <c r="AL25" s="67" t="n">
        <f aca="false">CHOOSE(Premissas!$B$6,Cenários!AL35,Cenários!AL81,Cenários!AL127)</f>
        <v>-61588.3820937844</v>
      </c>
      <c r="AM25" s="67" t="n">
        <f aca="false">CHOOSE(Premissas!$B$6,Cenários!AM35,Cenários!AM81,Cenários!AM127)</f>
        <v>-64375.7517415393</v>
      </c>
      <c r="AN25" s="67" t="n">
        <f aca="false">CHOOSE(Premissas!$B$6,Cenários!AN35,Cenários!AN81,Cenários!AN127)</f>
        <v>-66977.3519178997</v>
      </c>
      <c r="AO25" s="67" t="n">
        <f aca="false">CHOOSE(Premissas!$B$6,Cenários!AO35,Cenários!AO81,Cenários!AO127)</f>
        <v>-69407.0666868007</v>
      </c>
      <c r="AP25" s="67" t="n">
        <f aca="false">CHOOSE(Premissas!$B$6,Cenários!AP35,Cenários!AP81,Cenários!AP127)</f>
        <v>-71674.6582776368</v>
      </c>
      <c r="AQ25" s="67" t="n">
        <f aca="false">CHOOSE(Premissas!$B$6,Cenários!AQ35,Cenários!AQ81,Cenários!AQ127)</f>
        <v>-73791.5358452342</v>
      </c>
      <c r="AR25" s="67" t="n">
        <f aca="false">CHOOSE(Premissas!$B$6,Cenários!AR35,Cenários!AR81,Cenários!AR127)</f>
        <v>-75768.0086477527</v>
      </c>
      <c r="AS25" s="67" t="n">
        <f aca="false">CHOOSE(Premissas!$B$6,Cenários!AS35,Cenários!AS81,Cenários!AS127)</f>
        <v>-77613.0436811923</v>
      </c>
      <c r="AT25" s="67" t="n">
        <f aca="false">CHOOSE(Premissas!$B$6,Cenários!AT35,Cenários!AT81,Cenários!AT127)</f>
        <v>-79335.4578066116</v>
      </c>
      <c r="AU25" s="67" t="n">
        <f aca="false">CHOOSE(Premissas!$B$6,Cenários!AU35,Cenários!AU81,Cenários!AU127)</f>
        <v>-80943.9244037662</v>
      </c>
      <c r="AV25" s="67" t="n">
        <f aca="false">CHOOSE(Premissas!$B$6,Cenários!AV35,Cenários!AV81,Cenários!AV127)</f>
        <v>-82444.8595826352</v>
      </c>
      <c r="AW25" s="67" t="n">
        <f aca="false">CHOOSE(Premissas!$B$6,Cenários!AW35,Cenários!AW81,Cenários!AW127)</f>
        <v>-83846.6179822109</v>
      </c>
      <c r="AX25" s="67" t="n">
        <f aca="false">CHOOSE(Premissas!$B$6,Cenários!AX35,Cenários!AX81,Cenários!AX127)</f>
        <v>-100002.897371873</v>
      </c>
      <c r="AY25" s="67" t="n">
        <f aca="false">CHOOSE(Premissas!$B$6,Cenários!AY35,Cenários!AY81,Cenários!AY127)</f>
        <v>-104125.097190246</v>
      </c>
      <c r="AZ25" s="67" t="n">
        <f aca="false">CHOOSE(Premissas!$B$6,Cenários!AZ35,Cenários!AZ81,Cenários!AZ127)</f>
        <v>-107989.822816956</v>
      </c>
      <c r="BA25" s="67" t="n">
        <f aca="false">CHOOSE(Premissas!$B$6,Cenários!BA35,Cenários!BA81,Cenários!BA127)</f>
        <v>-111612.361281648</v>
      </c>
      <c r="BB25" s="67" t="n">
        <f aca="false">CHOOSE(Premissas!$B$6,Cenários!BB35,Cenários!BB81,Cenários!BB127)</f>
        <v>-115009.557091412</v>
      </c>
      <c r="BC25" s="67" t="n">
        <f aca="false">CHOOSE(Premissas!$B$6,Cenários!BC35,Cenários!BC81,Cenários!BC127)</f>
        <v>-118194.312381928</v>
      </c>
      <c r="BD25" s="67" t="n">
        <f aca="false">CHOOSE(Premissas!$B$6,Cenários!BD35,Cenários!BD81,Cenários!BD127)</f>
        <v>-121180.121434572</v>
      </c>
      <c r="BE25" s="67" t="n">
        <f aca="false">CHOOSE(Premissas!$B$6,Cenários!BE35,Cenários!BE81,Cenários!BE127)</f>
        <v>-123979.309599084</v>
      </c>
      <c r="BF25" s="67" t="n">
        <f aca="false">CHOOSE(Premissas!$B$6,Cenários!BF35,Cenários!BF81,Cenários!BF127)</f>
        <v>-126603.926658926</v>
      </c>
      <c r="BG25" s="67" t="n">
        <f aca="false">CHOOSE(Premissas!$B$6,Cenários!BG35,Cenários!BG81,Cenários!BG127)</f>
        <v>-129063.934674142</v>
      </c>
      <c r="BH25" s="67" t="n">
        <f aca="false">CHOOSE(Premissas!$B$6,Cenários!BH35,Cenários!BH81,Cenários!BH127)</f>
        <v>-131371.005334352</v>
      </c>
      <c r="BI25" s="67" t="n">
        <f aca="false">CHOOSE(Premissas!$B$6,Cenários!BI35,Cenários!BI81,Cenários!BI127)</f>
        <v>-133533.701852481</v>
      </c>
      <c r="BJ25" s="61" t="n">
        <f aca="false">SUM(B25:BI25)</f>
        <v>-3055456.93368896</v>
      </c>
      <c r="BK25" s="186" t="n">
        <f aca="false">IFERROR(BJ25/BJ$16,0)</f>
        <v>-0.0485514413582219</v>
      </c>
    </row>
    <row r="26" customFormat="false" ht="15" hidden="false" customHeight="false" outlineLevel="0" collapsed="false">
      <c r="A26" s="66" t="s">
        <v>729</v>
      </c>
      <c r="B26" s="67" t="n">
        <f aca="false">CHOOSE(Premissas!$B$6,Cenários!B36,Cenários!B82,Cenários!B128)</f>
        <v>-0</v>
      </c>
      <c r="C26" s="67" t="n">
        <f aca="false">CHOOSE(Premissas!$B$6,Cenários!C36,Cenários!C82,Cenários!C128)</f>
        <v>-0</v>
      </c>
      <c r="D26" s="67" t="n">
        <f aca="false">CHOOSE(Premissas!$B$6,Cenários!D36,Cenários!D82,Cenários!D128)</f>
        <v>-0</v>
      </c>
      <c r="E26" s="67" t="n">
        <f aca="false">CHOOSE(Premissas!$B$6,Cenários!E36,Cenários!E82,Cenários!E128)</f>
        <v>-0</v>
      </c>
      <c r="F26" s="67" t="n">
        <f aca="false">CHOOSE(Premissas!$B$6,Cenários!F36,Cenários!F82,Cenários!F128)</f>
        <v>-0</v>
      </c>
      <c r="G26" s="67" t="n">
        <f aca="false">CHOOSE(Premissas!$B$6,Cenários!G36,Cenários!G82,Cenários!G128)</f>
        <v>-0</v>
      </c>
      <c r="H26" s="67" t="n">
        <f aca="false">CHOOSE(Premissas!$B$6,Cenários!H36,Cenários!H82,Cenários!H128)</f>
        <v>-0</v>
      </c>
      <c r="I26" s="67" t="n">
        <f aca="false">CHOOSE(Premissas!$B$6,Cenários!I36,Cenários!I82,Cenários!I128)</f>
        <v>-0</v>
      </c>
      <c r="J26" s="67" t="n">
        <f aca="false">CHOOSE(Premissas!$B$6,Cenários!J36,Cenários!J82,Cenários!J128)</f>
        <v>-0</v>
      </c>
      <c r="K26" s="67" t="n">
        <f aca="false">CHOOSE(Premissas!$B$6,Cenários!K36,Cenários!K82,Cenários!K128)</f>
        <v>-52.85</v>
      </c>
      <c r="L26" s="67" t="n">
        <f aca="false">CHOOSE(Premissas!$B$6,Cenários!L36,Cenários!L82,Cenários!L128)</f>
        <v>-202.65</v>
      </c>
      <c r="M26" s="67" t="n">
        <f aca="false">CHOOSE(Premissas!$B$6,Cenários!M36,Cenários!M82,Cenários!M128)</f>
        <v>-438.2</v>
      </c>
      <c r="N26" s="67" t="n">
        <f aca="false">CHOOSE(Premissas!$B$6,Cenários!N36,Cenários!N82,Cenários!N128)</f>
        <v>-925.4</v>
      </c>
      <c r="O26" s="67" t="n">
        <f aca="false">CHOOSE(Premissas!$B$6,Cenários!O36,Cenários!O82,Cenários!O128)</f>
        <v>-1497.65</v>
      </c>
      <c r="P26" s="67" t="n">
        <f aca="false">CHOOSE(Premissas!$B$6,Cenários!P36,Cenários!P82,Cenários!P128)</f>
        <v>-2174.9</v>
      </c>
      <c r="Q26" s="67" t="n">
        <f aca="false">CHOOSE(Premissas!$B$6,Cenários!Q36,Cenários!Q82,Cenários!Q128)</f>
        <v>-2524.55</v>
      </c>
      <c r="R26" s="67" t="n">
        <f aca="false">CHOOSE(Premissas!$B$6,Cenários!R36,Cenários!R82,Cenários!R128)</f>
        <v>-2847.95</v>
      </c>
      <c r="S26" s="67" t="n">
        <f aca="false">CHOOSE(Premissas!$B$6,Cenários!S36,Cenários!S82,Cenários!S128)</f>
        <v>-3146.85</v>
      </c>
      <c r="T26" s="67" t="n">
        <f aca="false">CHOOSE(Premissas!$B$6,Cenários!T36,Cenários!T82,Cenários!T128)</f>
        <v>-3423.35</v>
      </c>
      <c r="U26" s="67" t="n">
        <f aca="false">CHOOSE(Premissas!$B$6,Cenários!U36,Cenários!U82,Cenários!U128)</f>
        <v>-3679.2</v>
      </c>
      <c r="V26" s="67" t="n">
        <f aca="false">CHOOSE(Premissas!$B$6,Cenários!V36,Cenários!V82,Cenários!V128)</f>
        <v>-3915.45</v>
      </c>
      <c r="W26" s="67" t="n">
        <f aca="false">CHOOSE(Premissas!$B$6,Cenários!W36,Cenários!W82,Cenários!W128)</f>
        <v>-4134.2</v>
      </c>
      <c r="X26" s="67" t="n">
        <f aca="false">CHOOSE(Premissas!$B$6,Cenários!X36,Cenários!X82,Cenários!X128)</f>
        <v>-4336.5</v>
      </c>
      <c r="Y26" s="67" t="n">
        <f aca="false">CHOOSE(Premissas!$B$6,Cenários!Y36,Cenários!Y82,Cenários!Y128)</f>
        <v>-4523.4</v>
      </c>
      <c r="Z26" s="67" t="n">
        <f aca="false">CHOOSE(Premissas!$B$6,Cenários!Z36,Cenários!Z82,Cenários!Z128)</f>
        <v>-4604.1</v>
      </c>
      <c r="AA26" s="67" t="n">
        <f aca="false">CHOOSE(Premissas!$B$6,Cenários!AA36,Cenários!AA82,Cenários!AA128)</f>
        <v>-4991.1</v>
      </c>
      <c r="AB26" s="67" t="n">
        <f aca="false">CHOOSE(Premissas!$B$6,Cenários!AB36,Cenários!AB82,Cenários!AB128)</f>
        <v>-5350.8</v>
      </c>
      <c r="AC26" s="67" t="n">
        <f aca="false">CHOOSE(Premissas!$B$6,Cenários!AC36,Cenários!AC82,Cenários!AC128)</f>
        <v>-5685</v>
      </c>
      <c r="AD26" s="67" t="n">
        <f aca="false">CHOOSE(Premissas!$B$6,Cenários!AD36,Cenários!AD82,Cenários!AD128)</f>
        <v>-5995.8</v>
      </c>
      <c r="AE26" s="67" t="n">
        <f aca="false">CHOOSE(Premissas!$B$6,Cenários!AE36,Cenários!AE82,Cenários!AE128)</f>
        <v>-6284.4</v>
      </c>
      <c r="AF26" s="67" t="n">
        <f aca="false">CHOOSE(Premissas!$B$6,Cenários!AF36,Cenários!AF82,Cenários!AF128)</f>
        <v>-6552.6</v>
      </c>
      <c r="AG26" s="67" t="n">
        <f aca="false">CHOOSE(Premissas!$B$6,Cenários!AG36,Cenários!AG82,Cenários!AG128)</f>
        <v>-6801.9</v>
      </c>
      <c r="AH26" s="67" t="n">
        <f aca="false">CHOOSE(Premissas!$B$6,Cenários!AH36,Cenários!AH82,Cenários!AH128)</f>
        <v>-7033.8</v>
      </c>
      <c r="AI26" s="67" t="n">
        <f aca="false">CHOOSE(Premissas!$B$6,Cenários!AI36,Cenários!AI82,Cenários!AI128)</f>
        <v>-7249.2</v>
      </c>
      <c r="AJ26" s="67" t="n">
        <f aca="false">CHOOSE(Premissas!$B$6,Cenários!AJ36,Cenários!AJ82,Cenários!AJ128)</f>
        <v>-7449.3</v>
      </c>
      <c r="AK26" s="67" t="n">
        <f aca="false">CHOOSE(Premissas!$B$6,Cenários!AK36,Cenários!AK82,Cenários!AK128)</f>
        <v>-7635</v>
      </c>
      <c r="AL26" s="67" t="n">
        <f aca="false">CHOOSE(Premissas!$B$6,Cenários!AL36,Cenários!AL82,Cenários!AL128)</f>
        <v>-8262.24</v>
      </c>
      <c r="AM26" s="67" t="n">
        <f aca="false">CHOOSE(Premissas!$B$6,Cenários!AM36,Cenários!AM82,Cenários!AM128)</f>
        <v>-8790.6</v>
      </c>
      <c r="AN26" s="67" t="n">
        <f aca="false">CHOOSE(Premissas!$B$6,Cenários!AN36,Cenários!AN82,Cenários!AN128)</f>
        <v>-9283.68</v>
      </c>
      <c r="AO26" s="67" t="n">
        <f aca="false">CHOOSE(Premissas!$B$6,Cenários!AO36,Cenários!AO82,Cenários!AO128)</f>
        <v>-9744.28</v>
      </c>
      <c r="AP26" s="67" t="n">
        <f aca="false">CHOOSE(Premissas!$B$6,Cenários!AP36,Cenários!AP82,Cenários!AP128)</f>
        <v>-10174.08</v>
      </c>
      <c r="AQ26" s="67" t="n">
        <f aca="false">CHOOSE(Premissas!$B$6,Cenários!AQ36,Cenários!AQ82,Cenários!AQ128)</f>
        <v>-10575.32</v>
      </c>
      <c r="AR26" s="67" t="n">
        <f aca="false">CHOOSE(Premissas!$B$6,Cenários!AR36,Cenários!AR82,Cenários!AR128)</f>
        <v>-10949.96</v>
      </c>
      <c r="AS26" s="67" t="n">
        <f aca="false">CHOOSE(Premissas!$B$6,Cenários!AS36,Cenários!AS82,Cenários!AS128)</f>
        <v>-11299.68</v>
      </c>
      <c r="AT26" s="67" t="n">
        <f aca="false">CHOOSE(Premissas!$B$6,Cenários!AT36,Cenários!AT82,Cenários!AT128)</f>
        <v>-11626.16</v>
      </c>
      <c r="AU26" s="67" t="n">
        <f aca="false">CHOOSE(Premissas!$B$6,Cenários!AU36,Cenários!AU82,Cenários!AU128)</f>
        <v>-11931.08</v>
      </c>
      <c r="AV26" s="67" t="n">
        <f aca="false">CHOOSE(Premissas!$B$6,Cenários!AV36,Cenários!AV82,Cenários!AV128)</f>
        <v>-12215.56</v>
      </c>
      <c r="AW26" s="67" t="n">
        <f aca="false">CHOOSE(Premissas!$B$6,Cenários!AW36,Cenários!AW82,Cenários!AW128)</f>
        <v>-12481.28</v>
      </c>
      <c r="AX26" s="67" t="n">
        <f aca="false">CHOOSE(Premissas!$B$6,Cenários!AX36,Cenários!AX82,Cenários!AX128)</f>
        <v>-12842</v>
      </c>
      <c r="AY26" s="67" t="n">
        <f aca="false">CHOOSE(Premissas!$B$6,Cenários!AY36,Cenários!AY82,Cenários!AY128)</f>
        <v>-13598.25</v>
      </c>
      <c r="AZ26" s="67" t="n">
        <f aca="false">CHOOSE(Premissas!$B$6,Cenários!AZ36,Cenários!AZ82,Cenários!AZ128)</f>
        <v>-14307.25</v>
      </c>
      <c r="BA26" s="67" t="n">
        <f aca="false">CHOOSE(Premissas!$B$6,Cenários!BA36,Cenários!BA82,Cenários!BA128)</f>
        <v>-14971.75</v>
      </c>
      <c r="BB26" s="67" t="n">
        <f aca="false">CHOOSE(Premissas!$B$6,Cenários!BB36,Cenários!BB82,Cenários!BB128)</f>
        <v>-15595</v>
      </c>
      <c r="BC26" s="67" t="n">
        <f aca="false">CHOOSE(Premissas!$B$6,Cenários!BC36,Cenários!BC82,Cenários!BC128)</f>
        <v>-16179.25</v>
      </c>
      <c r="BD26" s="67" t="n">
        <f aca="false">CHOOSE(Premissas!$B$6,Cenários!BD36,Cenários!BD82,Cenários!BD128)</f>
        <v>-16727</v>
      </c>
      <c r="BE26" s="67" t="n">
        <f aca="false">CHOOSE(Premissas!$B$6,Cenários!BE36,Cenários!BE82,Cenários!BE128)</f>
        <v>-17240.5</v>
      </c>
      <c r="BF26" s="67" t="n">
        <f aca="false">CHOOSE(Premissas!$B$6,Cenários!BF36,Cenários!BF82,Cenários!BF128)</f>
        <v>-17722</v>
      </c>
      <c r="BG26" s="67" t="n">
        <f aca="false">CHOOSE(Premissas!$B$6,Cenários!BG36,Cenários!BG82,Cenários!BG128)</f>
        <v>-18173.25</v>
      </c>
      <c r="BH26" s="67" t="n">
        <f aca="false">CHOOSE(Premissas!$B$6,Cenários!BH36,Cenários!BH82,Cenários!BH128)</f>
        <v>-18596.5</v>
      </c>
      <c r="BI26" s="67" t="n">
        <f aca="false">CHOOSE(Premissas!$B$6,Cenários!BI36,Cenários!BI82,Cenários!BI128)</f>
        <v>-18993.25</v>
      </c>
      <c r="BJ26" s="61" t="n">
        <f aca="false">SUM(B26:BI26)</f>
        <v>-435736.02</v>
      </c>
      <c r="BK26" s="186" t="n">
        <f aca="false">IFERROR(BJ26/BJ$16,0)</f>
        <v>-0.00692387825514304</v>
      </c>
    </row>
    <row r="27" customFormat="false" ht="15" hidden="false" customHeight="false" outlineLevel="0" collapsed="false">
      <c r="A27" s="62" t="s">
        <v>730</v>
      </c>
      <c r="B27" s="61" t="n">
        <f aca="false">B22+B25+B26</f>
        <v>0</v>
      </c>
      <c r="C27" s="61" t="n">
        <f aca="false">C22+C25+C26</f>
        <v>0</v>
      </c>
      <c r="D27" s="61" t="n">
        <f aca="false">D22+D25+D26</f>
        <v>0</v>
      </c>
      <c r="E27" s="61" t="n">
        <f aca="false">E22+E25+E26</f>
        <v>0</v>
      </c>
      <c r="F27" s="61" t="n">
        <f aca="false">F22+F25+F26</f>
        <v>-600</v>
      </c>
      <c r="G27" s="61" t="n">
        <f aca="false">G22+G25+G26</f>
        <v>-600</v>
      </c>
      <c r="H27" s="61" t="n">
        <f aca="false">H22+H25+H26</f>
        <v>-600</v>
      </c>
      <c r="I27" s="61" t="n">
        <f aca="false">I22+I25+I26</f>
        <v>-600</v>
      </c>
      <c r="J27" s="61" t="n">
        <f aca="false">J22+J25+J26</f>
        <v>-600</v>
      </c>
      <c r="K27" s="61" t="n">
        <f aca="false">K22+K25+K26</f>
        <v>897.402675</v>
      </c>
      <c r="L27" s="61" t="n">
        <f aca="false">L22+L25+L26</f>
        <v>5834.722575</v>
      </c>
      <c r="M27" s="61" t="n">
        <f aca="false">M22+M25+M26</f>
        <v>13815.5973</v>
      </c>
      <c r="N27" s="61" t="n">
        <f aca="false">N22+N25+N26</f>
        <v>34042.165859904</v>
      </c>
      <c r="O27" s="61" t="n">
        <f aca="false">O22+O25+O26</f>
        <v>56115.5995594856</v>
      </c>
      <c r="P27" s="61" t="n">
        <f aca="false">P22+P25+P26</f>
        <v>81900.5333306747</v>
      </c>
      <c r="Q27" s="61" t="n">
        <f aca="false">Q22+Q25+Q26</f>
        <v>117326.399334396</v>
      </c>
      <c r="R27" s="61" t="n">
        <f aca="false">R22+R25+R26</f>
        <v>130608.792901162</v>
      </c>
      <c r="S27" s="61" t="n">
        <f aca="false">S22+S25+S26</f>
        <v>143213.188710543</v>
      </c>
      <c r="T27" s="61" t="n">
        <f aca="false">T22+T25+T26</f>
        <v>154546.383867161</v>
      </c>
      <c r="U27" s="61" t="n">
        <f aca="false">U22+U25+U26</f>
        <v>165258.187411312</v>
      </c>
      <c r="V27" s="61" t="n">
        <f aca="false">V22+V25+V26</f>
        <v>175265.90875979</v>
      </c>
      <c r="W27" s="61" t="n">
        <f aca="false">W22+W25+W26</f>
        <v>214653.246750387</v>
      </c>
      <c r="X27" s="61" t="n">
        <f aca="false">X22+X25+X26</f>
        <v>223138.658197883</v>
      </c>
      <c r="Y27" s="61" t="n">
        <f aca="false">Y22+Y25+Y26</f>
        <v>231239.333664888</v>
      </c>
      <c r="Z27" s="61" t="n">
        <f aca="false">Z22+Z25+Z26</f>
        <v>308708.095747068</v>
      </c>
      <c r="AA27" s="61" t="n">
        <f aca="false">AA22+AA25+AA26</f>
        <v>333662.714682506</v>
      </c>
      <c r="AB27" s="61" t="n">
        <f aca="false">AB22+AB25+AB26</f>
        <v>387368.32960956</v>
      </c>
      <c r="AC27" s="61" t="n">
        <f aca="false">AC22+AC25+AC26</f>
        <v>402150.226697776</v>
      </c>
      <c r="AD27" s="61" t="n">
        <f aca="false">AD22+AD25+AD26</f>
        <v>416480.236967433</v>
      </c>
      <c r="AE27" s="61" t="n">
        <f aca="false">AE22+AE25+AE26</f>
        <v>456169.774705003</v>
      </c>
      <c r="AF27" s="61" t="n">
        <f aca="false">AF22+AF25+AF26</f>
        <v>513597.251365769</v>
      </c>
      <c r="AG27" s="61" t="n">
        <f aca="false">AG22+AG25+AG26</f>
        <v>532043.184867719</v>
      </c>
      <c r="AH27" s="61" t="n">
        <f aca="false">AH22+AH25+AH26</f>
        <v>549169.875860294</v>
      </c>
      <c r="AI27" s="61" t="n">
        <f aca="false">AI22+AI25+AI26</f>
        <v>565053.251727581</v>
      </c>
      <c r="AJ27" s="61" t="n">
        <f aca="false">AJ22+AJ25+AJ26</f>
        <v>579814.235467198</v>
      </c>
      <c r="AK27" s="61" t="n">
        <f aca="false">AK22+AK25+AK26</f>
        <v>593559.498907678</v>
      </c>
      <c r="AL27" s="61" t="n">
        <f aca="false">AL22+AL25+AL26</f>
        <v>790586.06951762</v>
      </c>
      <c r="AM27" s="61" t="n">
        <f aca="false">AM22+AM25+AM26</f>
        <v>838569.091199461</v>
      </c>
      <c r="AN27" s="61" t="n">
        <f aca="false">AN22+AN25+AN26</f>
        <v>883326.752642885</v>
      </c>
      <c r="AO27" s="61" t="n">
        <f aca="false">AO22+AO25+AO26</f>
        <v>925101.36995876</v>
      </c>
      <c r="AP27" s="61" t="n">
        <f aca="false">AP22+AP25+AP26</f>
        <v>964139.853816326</v>
      </c>
      <c r="AQ27" s="61" t="n">
        <f aca="false">AQ22+AQ25+AQ26</f>
        <v>1000555.08484905</v>
      </c>
      <c r="AR27" s="61" t="n">
        <f aca="false">AR22+AR25+AR26</f>
        <v>1034574.96278021</v>
      </c>
      <c r="AS27" s="61" t="n">
        <f aca="false">AS22+AS25+AS26</f>
        <v>1066330.23604515</v>
      </c>
      <c r="AT27" s="61" t="n">
        <f aca="false">AT22+AT25+AT26</f>
        <v>1095934.7195158</v>
      </c>
      <c r="AU27" s="61" t="n">
        <f aca="false">AU22+AU25+AU26</f>
        <v>1123616.08726206</v>
      </c>
      <c r="AV27" s="61" t="n">
        <f aca="false">AV22+AV25+AV26</f>
        <v>1149457.25517639</v>
      </c>
      <c r="AW27" s="61" t="n">
        <f aca="false">AW22+AW25+AW26</f>
        <v>1173586.90652273</v>
      </c>
      <c r="AX27" s="61" t="n">
        <f aca="false">AX22+AX25+AX26</f>
        <v>1488974.73709958</v>
      </c>
      <c r="AY27" s="61" t="n">
        <f aca="false">AY22+AY25+AY26</f>
        <v>1574976.36071316</v>
      </c>
      <c r="AZ27" s="61" t="n">
        <f aca="false">AZ22+AZ25+AZ26</f>
        <v>1655586.88675546</v>
      </c>
      <c r="BA27" s="61" t="n">
        <f aca="false">BA22+BA25+BA26</f>
        <v>1731153.95647369</v>
      </c>
      <c r="BB27" s="61" t="n">
        <f aca="false">BB22+BB25+BB26</f>
        <v>1802072.8692162</v>
      </c>
      <c r="BC27" s="61" t="n">
        <f aca="false">BC22+BC25+BC26</f>
        <v>1868502.99119047</v>
      </c>
      <c r="BD27" s="61" t="n">
        <f aca="false">BD22+BD25+BD26</f>
        <v>1930789.86404678</v>
      </c>
      <c r="BE27" s="61" t="n">
        <f aca="false">BE22+BE25+BE26</f>
        <v>1989159.39159391</v>
      </c>
      <c r="BF27" s="61" t="n">
        <f aca="false">BF22+BF25+BF26</f>
        <v>2043973.62811146</v>
      </c>
      <c r="BG27" s="61" t="n">
        <f aca="false">BG22+BG25+BG26</f>
        <v>2095253.71279983</v>
      </c>
      <c r="BH27" s="61" t="n">
        <f aca="false">BH22+BH25+BH26</f>
        <v>2143377.10058088</v>
      </c>
      <c r="BI27" s="61" t="n">
        <f aca="false">BI22+BI25+BI26</f>
        <v>2188518.85398453</v>
      </c>
      <c r="BJ27" s="61" t="n">
        <f aca="false">SUM(B27:BI27)</f>
        <v>41940751.5393556</v>
      </c>
    </row>
    <row r="28" customFormat="false" ht="15" hidden="false" customHeight="false" outlineLevel="0" collapsed="false">
      <c r="A28" s="112" t="s">
        <v>731</v>
      </c>
      <c r="B28" s="186" t="n">
        <f aca="false">IFERROR(B27/B22,0)</f>
        <v>0</v>
      </c>
      <c r="C28" s="186" t="n">
        <f aca="false">IFERROR(C27/C22,0)</f>
        <v>0</v>
      </c>
      <c r="D28" s="186" t="n">
        <f aca="false">IFERROR(D27/D22,0)</f>
        <v>0</v>
      </c>
      <c r="E28" s="186" t="n">
        <f aca="false">IFERROR(E27/E22,0)</f>
        <v>0</v>
      </c>
      <c r="F28" s="186" t="n">
        <f aca="false">IFERROR(F27/F22,0)</f>
        <v>0</v>
      </c>
      <c r="G28" s="186" t="n">
        <f aca="false">IFERROR(G27/G22,0)</f>
        <v>0</v>
      </c>
      <c r="H28" s="186" t="n">
        <f aca="false">IFERROR(H27/H22,0)</f>
        <v>0</v>
      </c>
      <c r="I28" s="186" t="n">
        <f aca="false">IFERROR(I27/I22,0)</f>
        <v>0</v>
      </c>
      <c r="J28" s="186" t="n">
        <f aca="false">IFERROR(J27/J22,0)</f>
        <v>0</v>
      </c>
      <c r="K28" s="186" t="n">
        <f aca="false">IFERROR(K27/K22,0)</f>
        <v>0.420184925531469</v>
      </c>
      <c r="L28" s="186" t="n">
        <f aca="false">IFERROR(L27/L22,0)</f>
        <v>0.712478400597866</v>
      </c>
      <c r="M28" s="186" t="n">
        <f aca="false">IFERROR(M27/M22,0)</f>
        <v>0.780181040595212</v>
      </c>
      <c r="N28" s="186" t="n">
        <f aca="false">IFERROR(N27/N22,0)</f>
        <v>0.801874867912718</v>
      </c>
      <c r="O28" s="186" t="n">
        <f aca="false">IFERROR(O27/O22,0)</f>
        <v>0.828813171134603</v>
      </c>
      <c r="P28" s="186" t="n">
        <f aca="false">IFERROR(P27/P22,0)</f>
        <v>0.843103772649334</v>
      </c>
      <c r="Q28" s="186" t="n">
        <f aca="false">IFERROR(Q27/Q22,0)</f>
        <v>0.871564837424982</v>
      </c>
      <c r="R28" s="186" t="n">
        <f aca="false">IFERROR(R27/R22,0)</f>
        <v>0.871930795503892</v>
      </c>
      <c r="S28" s="186" t="n">
        <f aca="false">IFERROR(S27/S22,0)</f>
        <v>0.872463261558705</v>
      </c>
      <c r="T28" s="186" t="n">
        <f aca="false">IFERROR(T27/T22,0)</f>
        <v>0.872645072525906</v>
      </c>
      <c r="U28" s="186" t="n">
        <f aca="false">IFERROR(U27/U22,0)</f>
        <v>0.872943011405575</v>
      </c>
      <c r="V28" s="186" t="n">
        <f aca="false">IFERROR(V27/V22,0)</f>
        <v>0.873257881250799</v>
      </c>
      <c r="W28" s="186" t="n">
        <f aca="false">IFERROR(W27/W22,0)</f>
        <v>0.889303758652092</v>
      </c>
      <c r="X28" s="186" t="n">
        <f aca="false">IFERROR(X27/X22,0)</f>
        <v>0.888847389948036</v>
      </c>
      <c r="Y28" s="186" t="n">
        <f aca="false">IFERROR(Y27/Y22,0)</f>
        <v>0.888567221082159</v>
      </c>
      <c r="Z28" s="186" t="n">
        <f aca="false">IFERROR(Z27/Z22,0)</f>
        <v>0.888704121477469</v>
      </c>
      <c r="AA28" s="186" t="n">
        <f aca="false">IFERROR(AA27/AA22,0)</f>
        <v>0.890002697846357</v>
      </c>
      <c r="AB28" s="186" t="n">
        <f aca="false">IFERROR(AB27/AB22,0)</f>
        <v>0.898762565231346</v>
      </c>
      <c r="AC28" s="186" t="n">
        <f aca="false">IFERROR(AC27/AC22,0)</f>
        <v>0.897637691750514</v>
      </c>
      <c r="AD28" s="186" t="n">
        <f aca="false">IFERROR(AD27/AD22,0)</f>
        <v>0.896796252875761</v>
      </c>
      <c r="AE28" s="186" t="n">
        <f aca="false">IFERROR(AE27/AE22,0)</f>
        <v>0.901484466602277</v>
      </c>
      <c r="AF28" s="186" t="n">
        <f aca="false">IFERROR(AF27/AF22,0)</f>
        <v>0.908644756722858</v>
      </c>
      <c r="AG28" s="186" t="n">
        <f aca="false">IFERROR(AG27/AG22,0)</f>
        <v>0.908946384613588</v>
      </c>
      <c r="AH28" s="186" t="n">
        <f aca="false">IFERROR(AH27/AH22,0)</f>
        <v>0.909204770977772</v>
      </c>
      <c r="AI28" s="186" t="n">
        <f aca="false">IFERROR(AI27/AI22,0)</f>
        <v>0.909426973167202</v>
      </c>
      <c r="AJ28" s="186" t="n">
        <f aca="false">IFERROR(AJ27/AJ22,0)</f>
        <v>0.90962320154827</v>
      </c>
      <c r="AK28" s="186" t="n">
        <f aca="false">IFERROR(AK27/AK22,0)</f>
        <v>0.909802372844498</v>
      </c>
      <c r="AL28" s="186" t="n">
        <f aca="false">IFERROR(AL27/AL22,0)</f>
        <v>0.918819568278789</v>
      </c>
      <c r="AM28" s="186" t="n">
        <f aca="false">IFERROR(AM27/AM22,0)</f>
        <v>0.919750457977673</v>
      </c>
      <c r="AN28" s="186" t="n">
        <f aca="false">IFERROR(AN27/AN22,0)</f>
        <v>0.920527300216931</v>
      </c>
      <c r="AO28" s="186" t="n">
        <f aca="false">IFERROR(AO27/AO22,0)</f>
        <v>0.921183836125249</v>
      </c>
      <c r="AP28" s="186" t="n">
        <f aca="false">IFERROR(AP27/AP22,0)</f>
        <v>0.921749874810983</v>
      </c>
      <c r="AQ28" s="186" t="n">
        <f aca="false">IFERROR(AQ27/AQ22,0)</f>
        <v>0.922236934584211</v>
      </c>
      <c r="AR28" s="186" t="n">
        <f aca="false">IFERROR(AR27/AR22,0)</f>
        <v>0.922662520901369</v>
      </c>
      <c r="AS28" s="186" t="n">
        <f aca="false">IFERROR(AS27/AS22,0)</f>
        <v>0.923035476708506</v>
      </c>
      <c r="AT28" s="186" t="n">
        <f aca="false">IFERROR(AT27/AT22,0)</f>
        <v>0.923361784052837</v>
      </c>
      <c r="AU28" s="186" t="n">
        <f aca="false">IFERROR(AU27/AU22,0)</f>
        <v>0.923653362494759</v>
      </c>
      <c r="AV28" s="186" t="n">
        <f aca="false">IFERROR(AV27/AV22,0)</f>
        <v>0.92391361243142</v>
      </c>
      <c r="AW28" s="186" t="n">
        <f aca="false">IFERROR(AW27/AW22,0)</f>
        <v>0.924146172923968</v>
      </c>
      <c r="AX28" s="186" t="n">
        <f aca="false">IFERROR(AX27/AX22,0)</f>
        <v>0.92955205758287</v>
      </c>
      <c r="AY28" s="186" t="n">
        <f aca="false">IFERROR(AY27/AY22,0)</f>
        <v>0.930452314346968</v>
      </c>
      <c r="AZ28" s="186" t="n">
        <f aca="false">IFERROR(AZ27/AZ22,0)</f>
        <v>0.931212005058886</v>
      </c>
      <c r="BA28" s="186" t="n">
        <f aca="false">IFERROR(BA27/BA22,0)</f>
        <v>0.931861163056966</v>
      </c>
      <c r="BB28" s="186" t="n">
        <f aca="false">IFERROR(BB27/BB22,0)</f>
        <v>0.932422992417865</v>
      </c>
      <c r="BC28" s="186" t="n">
        <f aca="false">IFERROR(BC27/BC22,0)</f>
        <v>0.932909713211104</v>
      </c>
      <c r="BD28" s="186" t="n">
        <f aca="false">IFERROR(BD27/BD22,0)</f>
        <v>0.933336238993705</v>
      </c>
      <c r="BE28" s="186" t="n">
        <f aca="false">IFERROR(BE27/BE22,0)</f>
        <v>0.933711421177975</v>
      </c>
      <c r="BF28" s="186" t="n">
        <f aca="false">IFERROR(BF27/BF22,0)</f>
        <v>0.934046540226039</v>
      </c>
      <c r="BG28" s="186" t="n">
        <f aca="false">IFERROR(BG27/BG22,0)</f>
        <v>0.934342126052777</v>
      </c>
      <c r="BH28" s="186" t="n">
        <f aca="false">IFERROR(BH27/BH22,0)</f>
        <v>0.934607513869682</v>
      </c>
      <c r="BI28" s="186" t="n">
        <f aca="false">IFERROR(BI27/BI22,0)</f>
        <v>0.934846660636806</v>
      </c>
      <c r="BJ28" s="188" t="n">
        <f aca="false">IFERROR(BJ27/BJ22,0)</f>
        <v>0.923155546330986</v>
      </c>
    </row>
    <row r="30" customFormat="false" ht="18" hidden="false" customHeight="true" outlineLevel="0" collapsed="false">
      <c r="A30" s="25" t="s">
        <v>732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</row>
    <row r="31" customFormat="false" ht="15" hidden="false" customHeight="false" outlineLevel="0" collapsed="false">
      <c r="A31" s="66" t="s">
        <v>733</v>
      </c>
      <c r="B31" s="67" t="n">
        <f aca="false">'Análise Fluxo'!B18+'Análise Fluxo'!B19+'Análise Fluxo'!B20</f>
        <v>-0</v>
      </c>
      <c r="C31" s="67" t="n">
        <f aca="false">'Análise Fluxo'!C18+'Análise Fluxo'!C19+'Análise Fluxo'!C20</f>
        <v>-0</v>
      </c>
      <c r="D31" s="67" t="n">
        <f aca="false">'Análise Fluxo'!D18+'Análise Fluxo'!D19+'Análise Fluxo'!D20</f>
        <v>-0</v>
      </c>
      <c r="E31" s="67" t="n">
        <f aca="false">'Análise Fluxo'!E18+'Análise Fluxo'!E19+'Análise Fluxo'!E20</f>
        <v>-0</v>
      </c>
      <c r="F31" s="67" t="n">
        <f aca="false">'Análise Fluxo'!F18+'Análise Fluxo'!F19+'Análise Fluxo'!F20</f>
        <v>-0</v>
      </c>
      <c r="G31" s="67" t="n">
        <f aca="false">'Análise Fluxo'!G18+'Análise Fluxo'!G19+'Análise Fluxo'!G20</f>
        <v>-0</v>
      </c>
      <c r="H31" s="67" t="n">
        <f aca="false">'Análise Fluxo'!H18+'Análise Fluxo'!H19+'Análise Fluxo'!H20</f>
        <v>-0</v>
      </c>
      <c r="I31" s="67" t="n">
        <f aca="false">'Análise Fluxo'!I18+'Análise Fluxo'!I19+'Análise Fluxo'!I20</f>
        <v>-0</v>
      </c>
      <c r="J31" s="67" t="n">
        <f aca="false">'Análise Fluxo'!J18+'Análise Fluxo'!J19+'Análise Fluxo'!J20</f>
        <v>-0</v>
      </c>
      <c r="K31" s="67" t="n">
        <f aca="false">'Análise Fluxo'!K18+'Análise Fluxo'!K19+'Análise Fluxo'!K20</f>
        <v>-0</v>
      </c>
      <c r="L31" s="67" t="n">
        <f aca="false">'Análise Fluxo'!L18+'Análise Fluxo'!L19+'Análise Fluxo'!L20</f>
        <v>-0</v>
      </c>
      <c r="M31" s="67" t="n">
        <f aca="false">'Análise Fluxo'!M18+'Análise Fluxo'!M19+'Análise Fluxo'!M20</f>
        <v>-0</v>
      </c>
      <c r="N31" s="67" t="n">
        <f aca="false">'Análise Fluxo'!N18+'Análise Fluxo'!N19+'Análise Fluxo'!N20</f>
        <v>-42500</v>
      </c>
      <c r="O31" s="67" t="n">
        <f aca="false">'Análise Fluxo'!O18+'Análise Fluxo'!O19+'Análise Fluxo'!O20</f>
        <v>-42500</v>
      </c>
      <c r="P31" s="67" t="n">
        <f aca="false">'Análise Fluxo'!P18+'Análise Fluxo'!P19+'Análise Fluxo'!P20</f>
        <v>-42500</v>
      </c>
      <c r="Q31" s="67" t="n">
        <f aca="false">'Análise Fluxo'!Q18+'Análise Fluxo'!Q19+'Análise Fluxo'!Q20</f>
        <v>-42500</v>
      </c>
      <c r="R31" s="67" t="n">
        <f aca="false">'Análise Fluxo'!R18+'Análise Fluxo'!R19+'Análise Fluxo'!R20</f>
        <v>-42500</v>
      </c>
      <c r="S31" s="67" t="n">
        <f aca="false">'Análise Fluxo'!S18+'Análise Fluxo'!S19+'Análise Fluxo'!S20</f>
        <v>-42500</v>
      </c>
      <c r="T31" s="67" t="n">
        <f aca="false">'Análise Fluxo'!T18+'Análise Fluxo'!T19+'Análise Fluxo'!T20</f>
        <v>-42500</v>
      </c>
      <c r="U31" s="67" t="n">
        <f aca="false">'Análise Fluxo'!U18+'Análise Fluxo'!U19+'Análise Fluxo'!U20</f>
        <v>-42500</v>
      </c>
      <c r="V31" s="67" t="n">
        <f aca="false">'Análise Fluxo'!V18+'Análise Fluxo'!V19+'Análise Fluxo'!V20</f>
        <v>-42500</v>
      </c>
      <c r="W31" s="67" t="n">
        <f aca="false">'Análise Fluxo'!W18+'Análise Fluxo'!W19+'Análise Fluxo'!W20</f>
        <v>-42500</v>
      </c>
      <c r="X31" s="67" t="n">
        <f aca="false">'Análise Fluxo'!X18+'Análise Fluxo'!X19+'Análise Fluxo'!X20</f>
        <v>-42500</v>
      </c>
      <c r="Y31" s="67" t="n">
        <f aca="false">'Análise Fluxo'!Y18+'Análise Fluxo'!Y19+'Análise Fluxo'!Y20</f>
        <v>-42500</v>
      </c>
      <c r="Z31" s="67" t="n">
        <f aca="false">'Análise Fluxo'!Z18+'Análise Fluxo'!Z19+'Análise Fluxo'!Z20</f>
        <v>-117500</v>
      </c>
      <c r="AA31" s="67" t="n">
        <f aca="false">'Análise Fluxo'!AA18+'Análise Fluxo'!AA19+'Análise Fluxo'!AA20</f>
        <v>-117500</v>
      </c>
      <c r="AB31" s="67" t="n">
        <f aca="false">'Análise Fluxo'!AB18+'Análise Fluxo'!AB19+'Análise Fluxo'!AB20</f>
        <v>-117500</v>
      </c>
      <c r="AC31" s="67" t="n">
        <f aca="false">'Análise Fluxo'!AC18+'Análise Fluxo'!AC19+'Análise Fluxo'!AC20</f>
        <v>-117500</v>
      </c>
      <c r="AD31" s="67" t="n">
        <f aca="false">'Análise Fluxo'!AD18+'Análise Fluxo'!AD19+'Análise Fluxo'!AD20</f>
        <v>-117500</v>
      </c>
      <c r="AE31" s="67" t="n">
        <f aca="false">'Análise Fluxo'!AE18+'Análise Fluxo'!AE19+'Análise Fluxo'!AE20</f>
        <v>-117500</v>
      </c>
      <c r="AF31" s="67" t="n">
        <f aca="false">'Análise Fluxo'!AF18+'Análise Fluxo'!AF19+'Análise Fluxo'!AF20</f>
        <v>-117500</v>
      </c>
      <c r="AG31" s="67" t="n">
        <f aca="false">'Análise Fluxo'!AG18+'Análise Fluxo'!AG19+'Análise Fluxo'!AG20</f>
        <v>-117500</v>
      </c>
      <c r="AH31" s="67" t="n">
        <f aca="false">'Análise Fluxo'!AH18+'Análise Fluxo'!AH19+'Análise Fluxo'!AH20</f>
        <v>-117500</v>
      </c>
      <c r="AI31" s="67" t="n">
        <f aca="false">'Análise Fluxo'!AI18+'Análise Fluxo'!AI19+'Análise Fluxo'!AI20</f>
        <v>-117500</v>
      </c>
      <c r="AJ31" s="67" t="n">
        <f aca="false">'Análise Fluxo'!AJ18+'Análise Fluxo'!AJ19+'Análise Fluxo'!AJ20</f>
        <v>-117500</v>
      </c>
      <c r="AK31" s="67" t="n">
        <f aca="false">'Análise Fluxo'!AK18+'Análise Fluxo'!AK19+'Análise Fluxo'!AK20</f>
        <v>-117500</v>
      </c>
      <c r="AL31" s="67" t="n">
        <f aca="false">'Análise Fluxo'!AL18+'Análise Fluxo'!AL19+'Análise Fluxo'!AL20</f>
        <v>-253300</v>
      </c>
      <c r="AM31" s="67" t="n">
        <f aca="false">'Análise Fluxo'!AM18+'Análise Fluxo'!AM19+'Análise Fluxo'!AM20</f>
        <v>-253300</v>
      </c>
      <c r="AN31" s="67" t="n">
        <f aca="false">'Análise Fluxo'!AN18+'Análise Fluxo'!AN19+'Análise Fluxo'!AN20</f>
        <v>-253300</v>
      </c>
      <c r="AO31" s="67" t="n">
        <f aca="false">'Análise Fluxo'!AO18+'Análise Fluxo'!AO19+'Análise Fluxo'!AO20</f>
        <v>-253300</v>
      </c>
      <c r="AP31" s="67" t="n">
        <f aca="false">'Análise Fluxo'!AP18+'Análise Fluxo'!AP19+'Análise Fluxo'!AP20</f>
        <v>-253300</v>
      </c>
      <c r="AQ31" s="67" t="n">
        <f aca="false">'Análise Fluxo'!AQ18+'Análise Fluxo'!AQ19+'Análise Fluxo'!AQ20</f>
        <v>-253300</v>
      </c>
      <c r="AR31" s="67" t="n">
        <f aca="false">'Análise Fluxo'!AR18+'Análise Fluxo'!AR19+'Análise Fluxo'!AR20</f>
        <v>-253300</v>
      </c>
      <c r="AS31" s="67" t="n">
        <f aca="false">'Análise Fluxo'!AS18+'Análise Fluxo'!AS19+'Análise Fluxo'!AS20</f>
        <v>-253300</v>
      </c>
      <c r="AT31" s="67" t="n">
        <f aca="false">'Análise Fluxo'!AT18+'Análise Fluxo'!AT19+'Análise Fluxo'!AT20</f>
        <v>-253300</v>
      </c>
      <c r="AU31" s="67" t="n">
        <f aca="false">'Análise Fluxo'!AU18+'Análise Fluxo'!AU19+'Análise Fluxo'!AU20</f>
        <v>-253300</v>
      </c>
      <c r="AV31" s="67" t="n">
        <f aca="false">'Análise Fluxo'!AV18+'Análise Fluxo'!AV19+'Análise Fluxo'!AV20</f>
        <v>-253300</v>
      </c>
      <c r="AW31" s="67" t="n">
        <f aca="false">'Análise Fluxo'!AW18+'Análise Fluxo'!AW19+'Análise Fluxo'!AW20</f>
        <v>-253300</v>
      </c>
      <c r="AX31" s="67" t="n">
        <f aca="false">'Análise Fluxo'!AX18+'Análise Fluxo'!AX19+'Análise Fluxo'!AX20</f>
        <v>-374300</v>
      </c>
      <c r="AY31" s="67" t="n">
        <f aca="false">'Análise Fluxo'!AY18+'Análise Fluxo'!AY19+'Análise Fluxo'!AY20</f>
        <v>-374300</v>
      </c>
      <c r="AZ31" s="67" t="n">
        <f aca="false">'Análise Fluxo'!AZ18+'Análise Fluxo'!AZ19+'Análise Fluxo'!AZ20</f>
        <v>-374300</v>
      </c>
      <c r="BA31" s="67" t="n">
        <f aca="false">'Análise Fluxo'!BA18+'Análise Fluxo'!BA19+'Análise Fluxo'!BA20</f>
        <v>-374300</v>
      </c>
      <c r="BB31" s="67" t="n">
        <f aca="false">'Análise Fluxo'!BB18+'Análise Fluxo'!BB19+'Análise Fluxo'!BB20</f>
        <v>-374300</v>
      </c>
      <c r="BC31" s="67" t="n">
        <f aca="false">'Análise Fluxo'!BC18+'Análise Fluxo'!BC19+'Análise Fluxo'!BC20</f>
        <v>-374300</v>
      </c>
      <c r="BD31" s="67" t="n">
        <f aca="false">'Análise Fluxo'!BD18+'Análise Fluxo'!BD19+'Análise Fluxo'!BD20</f>
        <v>-374300</v>
      </c>
      <c r="BE31" s="67" t="n">
        <f aca="false">'Análise Fluxo'!BE18+'Análise Fluxo'!BE19+'Análise Fluxo'!BE20</f>
        <v>-374300</v>
      </c>
      <c r="BF31" s="67" t="n">
        <f aca="false">'Análise Fluxo'!BF18+'Análise Fluxo'!BF19+'Análise Fluxo'!BF20</f>
        <v>-374300</v>
      </c>
      <c r="BG31" s="67" t="n">
        <f aca="false">'Análise Fluxo'!BG18+'Análise Fluxo'!BG19+'Análise Fluxo'!BG20</f>
        <v>-374300</v>
      </c>
      <c r="BH31" s="67" t="n">
        <f aca="false">'Análise Fluxo'!BH18+'Análise Fluxo'!BH19+'Análise Fluxo'!BH20</f>
        <v>-374300</v>
      </c>
      <c r="BI31" s="67" t="n">
        <f aca="false">'Análise Fluxo'!BI18+'Análise Fluxo'!BI19+'Análise Fluxo'!BI20</f>
        <v>-374300</v>
      </c>
      <c r="BJ31" s="61" t="n">
        <f aca="false">SUM(B31:BI31)</f>
        <v>-9451200</v>
      </c>
      <c r="BK31" s="186" t="n">
        <f aca="false">IFERROR(BJ31/BJ$16,0)</f>
        <v>-0.150180281549843</v>
      </c>
    </row>
    <row r="32" customFormat="false" ht="15" hidden="false" customHeight="false" outlineLevel="0" collapsed="false">
      <c r="A32" s="66" t="s">
        <v>734</v>
      </c>
      <c r="B32" s="67" t="n">
        <f aca="false">'Análise Fluxo'!B21+'Análise Fluxo'!B22+'Análise Fluxo'!B23</f>
        <v>-0</v>
      </c>
      <c r="C32" s="67" t="n">
        <f aca="false">'Análise Fluxo'!C21+'Análise Fluxo'!C22+'Análise Fluxo'!C23</f>
        <v>-0</v>
      </c>
      <c r="D32" s="67" t="n">
        <f aca="false">'Análise Fluxo'!D21+'Análise Fluxo'!D22+'Análise Fluxo'!D23</f>
        <v>-0</v>
      </c>
      <c r="E32" s="67" t="n">
        <f aca="false">'Análise Fluxo'!E21+'Análise Fluxo'!E22+'Análise Fluxo'!E23</f>
        <v>-0</v>
      </c>
      <c r="F32" s="67" t="n">
        <f aca="false">'Análise Fluxo'!F21+'Análise Fluxo'!F22+'Análise Fluxo'!F23</f>
        <v>-0</v>
      </c>
      <c r="G32" s="67" t="n">
        <f aca="false">'Análise Fluxo'!G21+'Análise Fluxo'!G22+'Análise Fluxo'!G23</f>
        <v>-0</v>
      </c>
      <c r="H32" s="67" t="n">
        <f aca="false">'Análise Fluxo'!H21+'Análise Fluxo'!H22+'Análise Fluxo'!H23</f>
        <v>-0</v>
      </c>
      <c r="I32" s="67" t="n">
        <f aca="false">'Análise Fluxo'!I21+'Análise Fluxo'!I22+'Análise Fluxo'!I23</f>
        <v>-0</v>
      </c>
      <c r="J32" s="67" t="n">
        <f aca="false">'Análise Fluxo'!J21+'Análise Fluxo'!J22+'Análise Fluxo'!J23</f>
        <v>-0</v>
      </c>
      <c r="K32" s="67" t="n">
        <f aca="false">'Análise Fluxo'!K21+'Análise Fluxo'!K22+'Análise Fluxo'!K23</f>
        <v>-59675</v>
      </c>
      <c r="L32" s="67" t="n">
        <f aca="false">'Análise Fluxo'!L21+'Análise Fluxo'!L22+'Análise Fluxo'!L23</f>
        <v>-34675</v>
      </c>
      <c r="M32" s="67" t="n">
        <f aca="false">'Análise Fluxo'!M21+'Análise Fluxo'!M22+'Análise Fluxo'!M23</f>
        <v>-34675</v>
      </c>
      <c r="N32" s="67" t="n">
        <f aca="false">'Análise Fluxo'!N21+'Análise Fluxo'!N22+'Análise Fluxo'!N23</f>
        <v>-68078.25</v>
      </c>
      <c r="O32" s="67" t="n">
        <f aca="false">'Análise Fluxo'!O21+'Análise Fluxo'!O22+'Análise Fluxo'!O23</f>
        <v>-68078.25</v>
      </c>
      <c r="P32" s="67" t="n">
        <f aca="false">'Análise Fluxo'!P21+'Análise Fluxo'!P22+'Análise Fluxo'!P23</f>
        <v>-68078.25</v>
      </c>
      <c r="Q32" s="67" t="n">
        <f aca="false">'Análise Fluxo'!Q21+'Análise Fluxo'!Q22+'Análise Fluxo'!Q23</f>
        <v>-68078.25</v>
      </c>
      <c r="R32" s="67" t="n">
        <f aca="false">'Análise Fluxo'!R21+'Análise Fluxo'!R22+'Análise Fluxo'!R23</f>
        <v>-68078.25</v>
      </c>
      <c r="S32" s="67" t="n">
        <f aca="false">'Análise Fluxo'!S21+'Análise Fluxo'!S22+'Análise Fluxo'!S23</f>
        <v>-68078.25</v>
      </c>
      <c r="T32" s="67" t="n">
        <f aca="false">'Análise Fluxo'!T21+'Análise Fluxo'!T22+'Análise Fluxo'!T23</f>
        <v>-68078.25</v>
      </c>
      <c r="U32" s="67" t="n">
        <f aca="false">'Análise Fluxo'!U21+'Análise Fluxo'!U22+'Análise Fluxo'!U23</f>
        <v>-68078.25</v>
      </c>
      <c r="V32" s="67" t="n">
        <f aca="false">'Análise Fluxo'!V21+'Análise Fluxo'!V22+'Análise Fluxo'!V23</f>
        <v>-68078.25</v>
      </c>
      <c r="W32" s="67" t="n">
        <f aca="false">'Análise Fluxo'!W21+'Análise Fluxo'!W22+'Análise Fluxo'!W23</f>
        <v>-68078.25</v>
      </c>
      <c r="X32" s="67" t="n">
        <f aca="false">'Análise Fluxo'!X21+'Análise Fluxo'!X22+'Análise Fluxo'!X23</f>
        <v>-68078.25</v>
      </c>
      <c r="Y32" s="67" t="n">
        <f aca="false">'Análise Fluxo'!Y21+'Análise Fluxo'!Y22+'Análise Fluxo'!Y23</f>
        <v>-68078.25</v>
      </c>
      <c r="Z32" s="67" t="n">
        <f aca="false">'Análise Fluxo'!Z21+'Análise Fluxo'!Z22+'Análise Fluxo'!Z23</f>
        <v>-147520.5703125</v>
      </c>
      <c r="AA32" s="67" t="n">
        <f aca="false">'Análise Fluxo'!AA21+'Análise Fluxo'!AA22+'Análise Fluxo'!AA23</f>
        <v>-147520.5703125</v>
      </c>
      <c r="AB32" s="67" t="n">
        <f aca="false">'Análise Fluxo'!AB21+'Análise Fluxo'!AB22+'Análise Fluxo'!AB23</f>
        <v>-147520.5703125</v>
      </c>
      <c r="AC32" s="67" t="n">
        <f aca="false">'Análise Fluxo'!AC21+'Análise Fluxo'!AC22+'Análise Fluxo'!AC23</f>
        <v>-147520.5703125</v>
      </c>
      <c r="AD32" s="67" t="n">
        <f aca="false">'Análise Fluxo'!AD21+'Análise Fluxo'!AD22+'Análise Fluxo'!AD23</f>
        <v>-147520.5703125</v>
      </c>
      <c r="AE32" s="67" t="n">
        <f aca="false">'Análise Fluxo'!AE21+'Análise Fluxo'!AE22+'Análise Fluxo'!AE23</f>
        <v>-147520.5703125</v>
      </c>
      <c r="AF32" s="67" t="n">
        <f aca="false">'Análise Fluxo'!AF21+'Análise Fluxo'!AF22+'Análise Fluxo'!AF23</f>
        <v>-147520.5703125</v>
      </c>
      <c r="AG32" s="67" t="n">
        <f aca="false">'Análise Fluxo'!AG21+'Análise Fluxo'!AG22+'Análise Fluxo'!AG23</f>
        <v>-147520.5703125</v>
      </c>
      <c r="AH32" s="67" t="n">
        <f aca="false">'Análise Fluxo'!AH21+'Análise Fluxo'!AH22+'Análise Fluxo'!AH23</f>
        <v>-147520.5703125</v>
      </c>
      <c r="AI32" s="67" t="n">
        <f aca="false">'Análise Fluxo'!AI21+'Análise Fluxo'!AI22+'Análise Fluxo'!AI23</f>
        <v>-147520.5703125</v>
      </c>
      <c r="AJ32" s="67" t="n">
        <f aca="false">'Análise Fluxo'!AJ21+'Análise Fluxo'!AJ22+'Análise Fluxo'!AJ23</f>
        <v>-147520.5703125</v>
      </c>
      <c r="AK32" s="67" t="n">
        <f aca="false">'Análise Fluxo'!AK21+'Análise Fluxo'!AK22+'Análise Fluxo'!AK23</f>
        <v>-147520.5703125</v>
      </c>
      <c r="AL32" s="67" t="n">
        <f aca="false">'Análise Fluxo'!AL21+'Análise Fluxo'!AL22+'Análise Fluxo'!AL23</f>
        <v>-284004.999921875</v>
      </c>
      <c r="AM32" s="67" t="n">
        <f aca="false">'Análise Fluxo'!AM21+'Análise Fluxo'!AM22+'Análise Fluxo'!AM23</f>
        <v>-284004.999921875</v>
      </c>
      <c r="AN32" s="67" t="n">
        <f aca="false">'Análise Fluxo'!AN21+'Análise Fluxo'!AN22+'Análise Fluxo'!AN23</f>
        <v>-284004.999921875</v>
      </c>
      <c r="AO32" s="67" t="n">
        <f aca="false">'Análise Fluxo'!AO21+'Análise Fluxo'!AO22+'Análise Fluxo'!AO23</f>
        <v>-284004.999921875</v>
      </c>
      <c r="AP32" s="67" t="n">
        <f aca="false">'Análise Fluxo'!AP21+'Análise Fluxo'!AP22+'Análise Fluxo'!AP23</f>
        <v>-284004.999921875</v>
      </c>
      <c r="AQ32" s="67" t="n">
        <f aca="false">'Análise Fluxo'!AQ21+'Análise Fluxo'!AQ22+'Análise Fluxo'!AQ23</f>
        <v>-284004.999921875</v>
      </c>
      <c r="AR32" s="67" t="n">
        <f aca="false">'Análise Fluxo'!AR21+'Análise Fluxo'!AR22+'Análise Fluxo'!AR23</f>
        <v>-284004.999921875</v>
      </c>
      <c r="AS32" s="67" t="n">
        <f aca="false">'Análise Fluxo'!AS21+'Análise Fluxo'!AS22+'Análise Fluxo'!AS23</f>
        <v>-284004.999921875</v>
      </c>
      <c r="AT32" s="67" t="n">
        <f aca="false">'Análise Fluxo'!AT21+'Análise Fluxo'!AT22+'Análise Fluxo'!AT23</f>
        <v>-284004.999921875</v>
      </c>
      <c r="AU32" s="67" t="n">
        <f aca="false">'Análise Fluxo'!AU21+'Análise Fluxo'!AU22+'Análise Fluxo'!AU23</f>
        <v>-284004.999921875</v>
      </c>
      <c r="AV32" s="67" t="n">
        <f aca="false">'Análise Fluxo'!AV21+'Análise Fluxo'!AV22+'Análise Fluxo'!AV23</f>
        <v>-284004.999921875</v>
      </c>
      <c r="AW32" s="67" t="n">
        <f aca="false">'Análise Fluxo'!AW21+'Análise Fluxo'!AW22+'Análise Fluxo'!AW23</f>
        <v>-284004.999921875</v>
      </c>
      <c r="AX32" s="67" t="n">
        <f aca="false">'Análise Fluxo'!AX21+'Análise Fluxo'!AX22+'Análise Fluxo'!AX23</f>
        <v>-490395.443417969</v>
      </c>
      <c r="AY32" s="67" t="n">
        <f aca="false">'Análise Fluxo'!AY21+'Análise Fluxo'!AY22+'Análise Fluxo'!AY23</f>
        <v>-490395.443417969</v>
      </c>
      <c r="AZ32" s="67" t="n">
        <f aca="false">'Análise Fluxo'!AZ21+'Análise Fluxo'!AZ22+'Análise Fluxo'!AZ23</f>
        <v>-490395.443417969</v>
      </c>
      <c r="BA32" s="67" t="n">
        <f aca="false">'Análise Fluxo'!BA21+'Análise Fluxo'!BA22+'Análise Fluxo'!BA23</f>
        <v>-490395.443417969</v>
      </c>
      <c r="BB32" s="67" t="n">
        <f aca="false">'Análise Fluxo'!BB21+'Análise Fluxo'!BB22+'Análise Fluxo'!BB23</f>
        <v>-490395.443417969</v>
      </c>
      <c r="BC32" s="67" t="n">
        <f aca="false">'Análise Fluxo'!BC21+'Análise Fluxo'!BC22+'Análise Fluxo'!BC23</f>
        <v>-490395.443417969</v>
      </c>
      <c r="BD32" s="67" t="n">
        <f aca="false">'Análise Fluxo'!BD21+'Análise Fluxo'!BD22+'Análise Fluxo'!BD23</f>
        <v>-490395.443417969</v>
      </c>
      <c r="BE32" s="67" t="n">
        <f aca="false">'Análise Fluxo'!BE21+'Análise Fluxo'!BE22+'Análise Fluxo'!BE23</f>
        <v>-490395.443417969</v>
      </c>
      <c r="BF32" s="67" t="n">
        <f aca="false">'Análise Fluxo'!BF21+'Análise Fluxo'!BF22+'Análise Fluxo'!BF23</f>
        <v>-490395.443417969</v>
      </c>
      <c r="BG32" s="67" t="n">
        <f aca="false">'Análise Fluxo'!BG21+'Análise Fluxo'!BG22+'Análise Fluxo'!BG23</f>
        <v>-490395.443417969</v>
      </c>
      <c r="BH32" s="67" t="n">
        <f aca="false">'Análise Fluxo'!BH21+'Análise Fluxo'!BH22+'Análise Fluxo'!BH23</f>
        <v>-490395.443417969</v>
      </c>
      <c r="BI32" s="67" t="n">
        <f aca="false">'Análise Fluxo'!BI21+'Análise Fluxo'!BI22+'Análise Fluxo'!BI23</f>
        <v>-490395.443417969</v>
      </c>
      <c r="BJ32" s="61" t="n">
        <f aca="false">SUM(B32:BI32)</f>
        <v>-12009016.1638281</v>
      </c>
      <c r="BK32" s="187" t="s">
        <v>735</v>
      </c>
    </row>
    <row r="33" customFormat="false" ht="15" hidden="false" customHeight="false" outlineLevel="0" collapsed="false">
      <c r="A33" s="66" t="s">
        <v>736</v>
      </c>
      <c r="B33" s="67" t="n">
        <f aca="false">'Análise Fluxo'!B27</f>
        <v>-0</v>
      </c>
      <c r="C33" s="67" t="n">
        <f aca="false">'Análise Fluxo'!C27</f>
        <v>-0</v>
      </c>
      <c r="D33" s="67" t="n">
        <f aca="false">'Análise Fluxo'!D27</f>
        <v>-0</v>
      </c>
      <c r="E33" s="67" t="n">
        <f aca="false">'Análise Fluxo'!E27</f>
        <v>-1500</v>
      </c>
      <c r="F33" s="67" t="n">
        <f aca="false">'Análise Fluxo'!F27</f>
        <v>-1500</v>
      </c>
      <c r="G33" s="67" t="n">
        <f aca="false">'Análise Fluxo'!G27</f>
        <v>-1500</v>
      </c>
      <c r="H33" s="67" t="n">
        <f aca="false">'Análise Fluxo'!H27</f>
        <v>-1500</v>
      </c>
      <c r="I33" s="67" t="n">
        <f aca="false">'Análise Fluxo'!I27</f>
        <v>-1500</v>
      </c>
      <c r="J33" s="67" t="n">
        <f aca="false">'Análise Fluxo'!J27</f>
        <v>-1500</v>
      </c>
      <c r="K33" s="67" t="n">
        <f aca="false">'Análise Fluxo'!K27</f>
        <v>-1500</v>
      </c>
      <c r="L33" s="67" t="n">
        <f aca="false">'Análise Fluxo'!L27</f>
        <v>-1500</v>
      </c>
      <c r="M33" s="67" t="n">
        <f aca="false">'Análise Fluxo'!M27</f>
        <v>-1500</v>
      </c>
      <c r="N33" s="67" t="n">
        <f aca="false">'Análise Fluxo'!N27</f>
        <v>-6000</v>
      </c>
      <c r="O33" s="67" t="n">
        <f aca="false">'Análise Fluxo'!O27</f>
        <v>-6000</v>
      </c>
      <c r="P33" s="67" t="n">
        <f aca="false">'Análise Fluxo'!P27</f>
        <v>-6000</v>
      </c>
      <c r="Q33" s="67" t="n">
        <f aca="false">'Análise Fluxo'!Q27</f>
        <v>-6000</v>
      </c>
      <c r="R33" s="67" t="n">
        <f aca="false">'Análise Fluxo'!R27</f>
        <v>-6000</v>
      </c>
      <c r="S33" s="67" t="n">
        <f aca="false">'Análise Fluxo'!S27</f>
        <v>-6000</v>
      </c>
      <c r="T33" s="67" t="n">
        <f aca="false">'Análise Fluxo'!T27</f>
        <v>-6000</v>
      </c>
      <c r="U33" s="67" t="n">
        <f aca="false">'Análise Fluxo'!U27</f>
        <v>-6000</v>
      </c>
      <c r="V33" s="67" t="n">
        <f aca="false">'Análise Fluxo'!V27</f>
        <v>-6000</v>
      </c>
      <c r="W33" s="67" t="n">
        <f aca="false">'Análise Fluxo'!W27</f>
        <v>-6000</v>
      </c>
      <c r="X33" s="67" t="n">
        <f aca="false">'Análise Fluxo'!X27</f>
        <v>-6000</v>
      </c>
      <c r="Y33" s="67" t="n">
        <f aca="false">'Análise Fluxo'!Y27</f>
        <v>-6000</v>
      </c>
      <c r="Z33" s="67" t="n">
        <f aca="false">'Análise Fluxo'!Z27</f>
        <v>-25000</v>
      </c>
      <c r="AA33" s="67" t="n">
        <f aca="false">'Análise Fluxo'!AA27</f>
        <v>-25000</v>
      </c>
      <c r="AB33" s="67" t="n">
        <f aca="false">'Análise Fluxo'!AB27</f>
        <v>-25000</v>
      </c>
      <c r="AC33" s="67" t="n">
        <f aca="false">'Análise Fluxo'!AC27</f>
        <v>-25000</v>
      </c>
      <c r="AD33" s="67" t="n">
        <f aca="false">'Análise Fluxo'!AD27</f>
        <v>-25000</v>
      </c>
      <c r="AE33" s="67" t="n">
        <f aca="false">'Análise Fluxo'!AE27</f>
        <v>-25000</v>
      </c>
      <c r="AF33" s="67" t="n">
        <f aca="false">'Análise Fluxo'!AF27</f>
        <v>-25000</v>
      </c>
      <c r="AG33" s="67" t="n">
        <f aca="false">'Análise Fluxo'!AG27</f>
        <v>-25000</v>
      </c>
      <c r="AH33" s="67" t="n">
        <f aca="false">'Análise Fluxo'!AH27</f>
        <v>-25000</v>
      </c>
      <c r="AI33" s="67" t="n">
        <f aca="false">'Análise Fluxo'!AI27</f>
        <v>-25000</v>
      </c>
      <c r="AJ33" s="67" t="n">
        <f aca="false">'Análise Fluxo'!AJ27</f>
        <v>-25000</v>
      </c>
      <c r="AK33" s="67" t="n">
        <f aca="false">'Análise Fluxo'!AK27</f>
        <v>-25000</v>
      </c>
      <c r="AL33" s="67" t="n">
        <f aca="false">'Análise Fluxo'!AL27</f>
        <v>-60000</v>
      </c>
      <c r="AM33" s="67" t="n">
        <f aca="false">'Análise Fluxo'!AM27</f>
        <v>-60000</v>
      </c>
      <c r="AN33" s="67" t="n">
        <f aca="false">'Análise Fluxo'!AN27</f>
        <v>-60000</v>
      </c>
      <c r="AO33" s="67" t="n">
        <f aca="false">'Análise Fluxo'!AO27</f>
        <v>-60000</v>
      </c>
      <c r="AP33" s="67" t="n">
        <f aca="false">'Análise Fluxo'!AP27</f>
        <v>-60000</v>
      </c>
      <c r="AQ33" s="67" t="n">
        <f aca="false">'Análise Fluxo'!AQ27</f>
        <v>-60000</v>
      </c>
      <c r="AR33" s="67" t="n">
        <f aca="false">'Análise Fluxo'!AR27</f>
        <v>-60000</v>
      </c>
      <c r="AS33" s="67" t="n">
        <f aca="false">'Análise Fluxo'!AS27</f>
        <v>-60000</v>
      </c>
      <c r="AT33" s="67" t="n">
        <f aca="false">'Análise Fluxo'!AT27</f>
        <v>-60000</v>
      </c>
      <c r="AU33" s="67" t="n">
        <f aca="false">'Análise Fluxo'!AU27</f>
        <v>-60000</v>
      </c>
      <c r="AV33" s="67" t="n">
        <f aca="false">'Análise Fluxo'!AV27</f>
        <v>-60000</v>
      </c>
      <c r="AW33" s="67" t="n">
        <f aca="false">'Análise Fluxo'!AW27</f>
        <v>-60000</v>
      </c>
      <c r="AX33" s="67" t="n">
        <f aca="false">'Análise Fluxo'!AX27</f>
        <v>-110000</v>
      </c>
      <c r="AY33" s="67" t="n">
        <f aca="false">'Análise Fluxo'!AY27</f>
        <v>-110000</v>
      </c>
      <c r="AZ33" s="67" t="n">
        <f aca="false">'Análise Fluxo'!AZ27</f>
        <v>-110000</v>
      </c>
      <c r="BA33" s="67" t="n">
        <f aca="false">'Análise Fluxo'!BA27</f>
        <v>-110000</v>
      </c>
      <c r="BB33" s="67" t="n">
        <f aca="false">'Análise Fluxo'!BB27</f>
        <v>-110000</v>
      </c>
      <c r="BC33" s="67" t="n">
        <f aca="false">'Análise Fluxo'!BC27</f>
        <v>-110000</v>
      </c>
      <c r="BD33" s="67" t="n">
        <f aca="false">'Análise Fluxo'!BD27</f>
        <v>-110000</v>
      </c>
      <c r="BE33" s="67" t="n">
        <f aca="false">'Análise Fluxo'!BE27</f>
        <v>-110000</v>
      </c>
      <c r="BF33" s="67" t="n">
        <f aca="false">'Análise Fluxo'!BF27</f>
        <v>-110000</v>
      </c>
      <c r="BG33" s="67" t="n">
        <f aca="false">'Análise Fluxo'!BG27</f>
        <v>-110000</v>
      </c>
      <c r="BH33" s="67" t="n">
        <f aca="false">'Análise Fluxo'!BH27</f>
        <v>-110000</v>
      </c>
      <c r="BI33" s="67" t="n">
        <f aca="false">'Análise Fluxo'!BI27</f>
        <v>-110000</v>
      </c>
      <c r="BJ33" s="61" t="n">
        <f aca="false">SUM(B33:BI33)</f>
        <v>-2425500</v>
      </c>
      <c r="BK33" s="186" t="n">
        <f aca="false">IFERROR(BJ33/BJ$16,0)</f>
        <v>-0.0385413781212062</v>
      </c>
    </row>
    <row r="34" customFormat="false" ht="15" hidden="false" customHeight="false" outlineLevel="0" collapsed="false">
      <c r="A34" s="62" t="s">
        <v>737</v>
      </c>
      <c r="B34" s="61" t="n">
        <f aca="false">B27+SUM(B31:B33)</f>
        <v>0</v>
      </c>
      <c r="C34" s="61" t="n">
        <f aca="false">C27+SUM(C31:C33)</f>
        <v>0</v>
      </c>
      <c r="D34" s="61" t="n">
        <f aca="false">D27+SUM(D31:D33)</f>
        <v>0</v>
      </c>
      <c r="E34" s="61" t="n">
        <f aca="false">E27+SUM(E31:E33)</f>
        <v>-1500</v>
      </c>
      <c r="F34" s="61" t="n">
        <f aca="false">F27+SUM(F31:F33)</f>
        <v>-2100</v>
      </c>
      <c r="G34" s="61" t="n">
        <f aca="false">G27+SUM(G31:G33)</f>
        <v>-2100</v>
      </c>
      <c r="H34" s="61" t="n">
        <f aca="false">H27+SUM(H31:H33)</f>
        <v>-2100</v>
      </c>
      <c r="I34" s="61" t="n">
        <f aca="false">I27+SUM(I31:I33)</f>
        <v>-2100</v>
      </c>
      <c r="J34" s="61" t="n">
        <f aca="false">J27+SUM(J31:J33)</f>
        <v>-2100</v>
      </c>
      <c r="K34" s="61" t="n">
        <f aca="false">K27+SUM(K31:K33)</f>
        <v>-60277.597325</v>
      </c>
      <c r="L34" s="61" t="n">
        <f aca="false">L27+SUM(L31:L33)</f>
        <v>-30340.277425</v>
      </c>
      <c r="M34" s="61" t="n">
        <f aca="false">M27+SUM(M31:M33)</f>
        <v>-22359.4027</v>
      </c>
      <c r="N34" s="61" t="n">
        <f aca="false">N27+SUM(N31:N33)</f>
        <v>-82536.084140096</v>
      </c>
      <c r="O34" s="61" t="n">
        <f aca="false">O27+SUM(O31:O33)</f>
        <v>-60462.6504405144</v>
      </c>
      <c r="P34" s="61" t="n">
        <f aca="false">P27+SUM(P31:P33)</f>
        <v>-34677.7166693253</v>
      </c>
      <c r="Q34" s="61" t="n">
        <f aca="false">Q27+SUM(Q31:Q33)</f>
        <v>748.149334396279</v>
      </c>
      <c r="R34" s="61" t="n">
        <f aca="false">R27+SUM(R31:R33)</f>
        <v>14030.5429011624</v>
      </c>
      <c r="S34" s="61" t="n">
        <f aca="false">S27+SUM(S31:S33)</f>
        <v>26634.9387105428</v>
      </c>
      <c r="T34" s="61" t="n">
        <f aca="false">T27+SUM(T31:T33)</f>
        <v>37968.1338671606</v>
      </c>
      <c r="U34" s="61" t="n">
        <f aca="false">U27+SUM(U31:U33)</f>
        <v>48679.9374113119</v>
      </c>
      <c r="V34" s="61" t="n">
        <f aca="false">V27+SUM(V31:V33)</f>
        <v>58687.6587597899</v>
      </c>
      <c r="W34" s="61" t="n">
        <f aca="false">W27+SUM(W31:W33)</f>
        <v>98074.9967503872</v>
      </c>
      <c r="X34" s="61" t="n">
        <f aca="false">X27+SUM(X31:X33)</f>
        <v>106560.408197883</v>
      </c>
      <c r="Y34" s="61" t="n">
        <f aca="false">Y27+SUM(Y31:Y33)</f>
        <v>114661.083664888</v>
      </c>
      <c r="Z34" s="61" t="n">
        <f aca="false">Z27+SUM(Z31:Z33)</f>
        <v>18687.5254345684</v>
      </c>
      <c r="AA34" s="61" t="n">
        <f aca="false">AA27+SUM(AA31:AA33)</f>
        <v>43642.1443700059</v>
      </c>
      <c r="AB34" s="61" t="n">
        <f aca="false">AB27+SUM(AB31:AB33)</f>
        <v>97347.75929706</v>
      </c>
      <c r="AC34" s="61" t="n">
        <f aca="false">AC27+SUM(AC31:AC33)</f>
        <v>112129.656385275</v>
      </c>
      <c r="AD34" s="61" t="n">
        <f aca="false">AD27+SUM(AD31:AD33)</f>
        <v>126459.666654933</v>
      </c>
      <c r="AE34" s="61" t="n">
        <f aca="false">AE27+SUM(AE31:AE33)</f>
        <v>166149.204392503</v>
      </c>
      <c r="AF34" s="61" t="n">
        <f aca="false">AF27+SUM(AF31:AF33)</f>
        <v>223576.681053269</v>
      </c>
      <c r="AG34" s="61" t="n">
        <f aca="false">AG27+SUM(AG31:AG33)</f>
        <v>242022.614555219</v>
      </c>
      <c r="AH34" s="61" t="n">
        <f aca="false">AH27+SUM(AH31:AH33)</f>
        <v>259149.305547794</v>
      </c>
      <c r="AI34" s="61" t="n">
        <f aca="false">AI27+SUM(AI31:AI33)</f>
        <v>275032.681415081</v>
      </c>
      <c r="AJ34" s="61" t="n">
        <f aca="false">AJ27+SUM(AJ31:AJ33)</f>
        <v>289793.665154698</v>
      </c>
      <c r="AK34" s="61" t="n">
        <f aca="false">AK27+SUM(AK31:AK33)</f>
        <v>303538.928595178</v>
      </c>
      <c r="AL34" s="61" t="n">
        <f aca="false">AL27+SUM(AL31:AL33)</f>
        <v>193281.069595745</v>
      </c>
      <c r="AM34" s="61" t="n">
        <f aca="false">AM27+SUM(AM31:AM33)</f>
        <v>241264.091277586</v>
      </c>
      <c r="AN34" s="61" t="n">
        <f aca="false">AN27+SUM(AN31:AN33)</f>
        <v>286021.75272101</v>
      </c>
      <c r="AO34" s="61" t="n">
        <f aca="false">AO27+SUM(AO31:AO33)</f>
        <v>327796.370036885</v>
      </c>
      <c r="AP34" s="61" t="n">
        <f aca="false">AP27+SUM(AP31:AP33)</f>
        <v>366834.853894451</v>
      </c>
      <c r="AQ34" s="61" t="n">
        <f aca="false">AQ27+SUM(AQ31:AQ33)</f>
        <v>403250.084927172</v>
      </c>
      <c r="AR34" s="61" t="n">
        <f aca="false">AR27+SUM(AR31:AR33)</f>
        <v>437269.962858331</v>
      </c>
      <c r="AS34" s="61" t="n">
        <f aca="false">AS27+SUM(AS31:AS33)</f>
        <v>469025.236123271</v>
      </c>
      <c r="AT34" s="61" t="n">
        <f aca="false">AT27+SUM(AT31:AT33)</f>
        <v>498629.719593926</v>
      </c>
      <c r="AU34" s="61" t="n">
        <f aca="false">AU27+SUM(AU31:AU33)</f>
        <v>526311.087340185</v>
      </c>
      <c r="AV34" s="61" t="n">
        <f aca="false">AV27+SUM(AV31:AV33)</f>
        <v>552152.255254512</v>
      </c>
      <c r="AW34" s="61" t="n">
        <f aca="false">AW27+SUM(AW31:AW33)</f>
        <v>576281.906600859</v>
      </c>
      <c r="AX34" s="61" t="n">
        <f aca="false">AX27+SUM(AX31:AX33)</f>
        <v>514279.293681611</v>
      </c>
      <c r="AY34" s="61" t="n">
        <f aca="false">AY27+SUM(AY31:AY33)</f>
        <v>600280.917295195</v>
      </c>
      <c r="AZ34" s="61" t="n">
        <f aca="false">AZ27+SUM(AZ31:AZ33)</f>
        <v>680891.443337493</v>
      </c>
      <c r="BA34" s="61" t="n">
        <f aca="false">BA27+SUM(BA31:BA33)</f>
        <v>756458.513055719</v>
      </c>
      <c r="BB34" s="61" t="n">
        <f aca="false">BB27+SUM(BB31:BB33)</f>
        <v>827377.425798232</v>
      </c>
      <c r="BC34" s="61" t="n">
        <f aca="false">BC27+SUM(BC31:BC33)</f>
        <v>893807.547772501</v>
      </c>
      <c r="BD34" s="61" t="n">
        <f aca="false">BD27+SUM(BD31:BD33)</f>
        <v>956094.42062881</v>
      </c>
      <c r="BE34" s="61" t="n">
        <f aca="false">BE27+SUM(BE31:BE33)</f>
        <v>1014463.94817595</v>
      </c>
      <c r="BF34" s="61" t="n">
        <f aca="false">BF27+SUM(BF31:BF33)</f>
        <v>1069278.18469349</v>
      </c>
      <c r="BG34" s="61" t="n">
        <f aca="false">BG27+SUM(BG31:BG33)</f>
        <v>1120558.26938187</v>
      </c>
      <c r="BH34" s="61" t="n">
        <f aca="false">BH27+SUM(BH31:BH33)</f>
        <v>1168681.65716291</v>
      </c>
      <c r="BI34" s="61" t="n">
        <f aca="false">BI27+SUM(BI31:BI33)</f>
        <v>1213823.41056656</v>
      </c>
      <c r="BJ34" s="61" t="n">
        <f aca="false">SUM(B34:BI34)</f>
        <v>18055035.3755274</v>
      </c>
    </row>
    <row r="35" customFormat="false" ht="15" hidden="false" customHeight="false" outlineLevel="0" collapsed="false">
      <c r="A35" s="112" t="s">
        <v>738</v>
      </c>
      <c r="B35" s="186" t="n">
        <f aca="false">IFERROR(B34/B22,0)</f>
        <v>0</v>
      </c>
      <c r="C35" s="186" t="n">
        <f aca="false">IFERROR(C34/C22,0)</f>
        <v>0</v>
      </c>
      <c r="D35" s="186" t="n">
        <f aca="false">IFERROR(D34/D22,0)</f>
        <v>0</v>
      </c>
      <c r="E35" s="186" t="n">
        <f aca="false">IFERROR(E34/E22,0)</f>
        <v>0</v>
      </c>
      <c r="F35" s="186" t="n">
        <f aca="false">IFERROR(F34/F22,0)</f>
        <v>0</v>
      </c>
      <c r="G35" s="186" t="n">
        <f aca="false">IFERROR(G34/G22,0)</f>
        <v>0</v>
      </c>
      <c r="H35" s="186" t="n">
        <f aca="false">IFERROR(H34/H22,0)</f>
        <v>0</v>
      </c>
      <c r="I35" s="186" t="n">
        <f aca="false">IFERROR(I34/I22,0)</f>
        <v>0</v>
      </c>
      <c r="J35" s="186" t="n">
        <f aca="false">IFERROR(J34/J22,0)</f>
        <v>0</v>
      </c>
      <c r="K35" s="186" t="n">
        <f aca="false">IFERROR(K34/K22,0)</f>
        <v>-28.2233811518569</v>
      </c>
      <c r="L35" s="186" t="n">
        <f aca="false">IFERROR(L34/L22,0)</f>
        <v>-3.70485349656226</v>
      </c>
      <c r="M35" s="186" t="n">
        <f aca="false">IFERROR(M34/M22,0)</f>
        <v>-1.26265855082309</v>
      </c>
      <c r="N35" s="186" t="n">
        <f aca="false">IFERROR(N34/N22,0)</f>
        <v>-1.94416571026187</v>
      </c>
      <c r="O35" s="186" t="n">
        <f aca="false">IFERROR(O34/O22,0)</f>
        <v>-0.893018009968583</v>
      </c>
      <c r="P35" s="186" t="n">
        <f aca="false">IFERROR(P34/P22,0)</f>
        <v>-0.356980749230636</v>
      </c>
      <c r="Q35" s="186" t="n">
        <f aca="false">IFERROR(Q34/Q22,0)</f>
        <v>0.00555766354973734</v>
      </c>
      <c r="R35" s="186" t="n">
        <f aca="false">IFERROR(R34/R22,0)</f>
        <v>0.0936664535474251</v>
      </c>
      <c r="S35" s="186" t="n">
        <f aca="false">IFERROR(S34/S22,0)</f>
        <v>0.162261630426959</v>
      </c>
      <c r="T35" s="186" t="n">
        <f aca="false">IFERROR(T34/T22,0)</f>
        <v>0.214386801574475</v>
      </c>
      <c r="U35" s="186" t="n">
        <f aca="false">IFERROR(U34/U22,0)</f>
        <v>0.257141941494856</v>
      </c>
      <c r="V35" s="186" t="n">
        <f aca="false">IFERROR(V34/V22,0)</f>
        <v>0.292409749886863</v>
      </c>
      <c r="W35" s="186" t="n">
        <f aca="false">IFERROR(W34/W22,0)</f>
        <v>0.406322590318582</v>
      </c>
      <c r="X35" s="186" t="n">
        <f aca="false">IFERROR(X34/X22,0)</f>
        <v>0.424471229967198</v>
      </c>
      <c r="Y35" s="186" t="n">
        <f aca="false">IFERROR(Y34/Y22,0)</f>
        <v>0.440600130019527</v>
      </c>
      <c r="Z35" s="186" t="n">
        <f aca="false">IFERROR(Z34/Z22,0)</f>
        <v>0.053797361010976</v>
      </c>
      <c r="AA35" s="186" t="n">
        <f aca="false">IFERROR(AA34/AA22,0)</f>
        <v>0.116409848987967</v>
      </c>
      <c r="AB35" s="186" t="n">
        <f aca="false">IFERROR(AB34/AB22,0)</f>
        <v>0.225863900524691</v>
      </c>
      <c r="AC35" s="186" t="n">
        <f aca="false">IFERROR(AC34/AC22,0)</f>
        <v>0.250284095973167</v>
      </c>
      <c r="AD35" s="186" t="n">
        <f aca="false">IFERROR(AD34/AD22,0)</f>
        <v>0.272302369067586</v>
      </c>
      <c r="AE35" s="186" t="n">
        <f aca="false">IFERROR(AE34/AE22,0)</f>
        <v>0.328344697969148</v>
      </c>
      <c r="AF35" s="186" t="n">
        <f aca="false">IFERROR(AF34/AF22,0)</f>
        <v>0.395546857823568</v>
      </c>
      <c r="AG35" s="186" t="n">
        <f aca="false">IFERROR(AG34/AG22,0)</f>
        <v>0.413473166749404</v>
      </c>
      <c r="AH35" s="186" t="n">
        <f aca="false">IFERROR(AH34/AH22,0)</f>
        <v>0.429047177124426</v>
      </c>
      <c r="AI35" s="186" t="n">
        <f aca="false">IFERROR(AI34/AI22,0)</f>
        <v>0.442652330938117</v>
      </c>
      <c r="AJ35" s="186" t="n">
        <f aca="false">IFERROR(AJ34/AJ22,0)</f>
        <v>0.454633614288583</v>
      </c>
      <c r="AK35" s="186" t="n">
        <f aca="false">IFERROR(AK34/AK22,0)</f>
        <v>0.465261592131513</v>
      </c>
      <c r="AL35" s="186" t="n">
        <f aca="false">IFERROR(AL34/AL22,0)</f>
        <v>0.224631366235409</v>
      </c>
      <c r="AM35" s="186" t="n">
        <f aca="false">IFERROR(AM34/AM22,0)</f>
        <v>0.264620722102605</v>
      </c>
      <c r="AN35" s="186" t="n">
        <f aca="false">IFERROR(AN34/AN22,0)</f>
        <v>0.298067313197329</v>
      </c>
      <c r="AO35" s="186" t="n">
        <f aca="false">IFERROR(AO34/AO22,0)</f>
        <v>0.326408248246319</v>
      </c>
      <c r="AP35" s="186" t="n">
        <f aca="false">IFERROR(AP34/AP22,0)</f>
        <v>0.3507063620647</v>
      </c>
      <c r="AQ35" s="186" t="n">
        <f aca="false">IFERROR(AQ34/AQ22,0)</f>
        <v>0.371685805035077</v>
      </c>
      <c r="AR35" s="186" t="n">
        <f aca="false">IFERROR(AR34/AR22,0)</f>
        <v>0.389969427793923</v>
      </c>
      <c r="AS35" s="186" t="n">
        <f aca="false">IFERROR(AS34/AS22,0)</f>
        <v>0.40599705211307</v>
      </c>
      <c r="AT35" s="186" t="n">
        <f aca="false">IFERROR(AT34/AT22,0)</f>
        <v>0.420112274268883</v>
      </c>
      <c r="AU35" s="186" t="n">
        <f aca="false">IFERROR(AU34/AU22,0)</f>
        <v>0.432646889850603</v>
      </c>
      <c r="AV35" s="186" t="n">
        <f aca="false">IFERROR(AV34/AV22,0)</f>
        <v>0.443810313491013</v>
      </c>
      <c r="AW35" s="186" t="n">
        <f aca="false">IFERROR(AW34/AW22,0)</f>
        <v>0.453795722796942</v>
      </c>
      <c r="AX35" s="186" t="n">
        <f aca="false">IFERROR(AX34/AX22,0)</f>
        <v>0.321059426800762</v>
      </c>
      <c r="AY35" s="186" t="n">
        <f aca="false">IFERROR(AY34/AY22,0)</f>
        <v>0.354629302818695</v>
      </c>
      <c r="AZ35" s="186" t="n">
        <f aca="false">IFERROR(AZ34/AZ22,0)</f>
        <v>0.382978562617353</v>
      </c>
      <c r="BA35" s="186" t="n">
        <f aca="false">IFERROR(BA34/BA22,0)</f>
        <v>0.407193310071818</v>
      </c>
      <c r="BB35" s="186" t="n">
        <f aca="false">IFERROR(BB34/BB22,0)</f>
        <v>0.428099078788818</v>
      </c>
      <c r="BC35" s="186" t="n">
        <f aca="false">IFERROR(BC34/BC22,0)</f>
        <v>0.446261925717926</v>
      </c>
      <c r="BD35" s="186" t="n">
        <f aca="false">IFERROR(BD34/BD22,0)</f>
        <v>0.462172288807364</v>
      </c>
      <c r="BE35" s="186" t="n">
        <f aca="false">IFERROR(BE34/BE22,0)</f>
        <v>0.476189378683312</v>
      </c>
      <c r="BF35" s="186" t="n">
        <f aca="false">IFERROR(BF34/BF22,0)</f>
        <v>0.488634283346864</v>
      </c>
      <c r="BG35" s="186" t="n">
        <f aca="false">IFERROR(BG34/BG22,0)</f>
        <v>0.49969356426111</v>
      </c>
      <c r="BH35" s="186" t="n">
        <f aca="false">IFERROR(BH34/BH22,0)</f>
        <v>0.509597054951327</v>
      </c>
      <c r="BI35" s="186" t="n">
        <f aca="false">IFERROR(BI34/BI22,0)</f>
        <v>0.518496224012403</v>
      </c>
      <c r="BJ35" s="188" t="n">
        <f aca="false">IFERROR(BJ34/BJ22,0)</f>
        <v>0.397408378113589</v>
      </c>
    </row>
    <row r="37" customFormat="false" ht="18" hidden="false" customHeight="true" outlineLevel="0" collapsed="false">
      <c r="A37" s="25" t="s">
        <v>739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</row>
    <row r="38" customFormat="false" ht="15" hidden="false" customHeight="false" outlineLevel="0" collapsed="false">
      <c r="A38" s="66" t="s">
        <v>740</v>
      </c>
      <c r="B38" s="67" t="n">
        <f aca="false">-Investimentos!B30</f>
        <v>-0</v>
      </c>
      <c r="C38" s="67" t="n">
        <f aca="false">-Investimentos!C30</f>
        <v>-0</v>
      </c>
      <c r="D38" s="67" t="n">
        <f aca="false">-Investimentos!D30</f>
        <v>-0</v>
      </c>
      <c r="E38" s="67" t="n">
        <f aca="false">-Investimentos!E30</f>
        <v>-0</v>
      </c>
      <c r="F38" s="67" t="n">
        <f aca="false">-Investimentos!F30</f>
        <v>-0</v>
      </c>
      <c r="G38" s="67" t="n">
        <f aca="false">-Investimentos!G30</f>
        <v>-100</v>
      </c>
      <c r="H38" s="67" t="n">
        <f aca="false">-Investimentos!H30</f>
        <v>-100</v>
      </c>
      <c r="I38" s="67" t="n">
        <f aca="false">-Investimentos!I30</f>
        <v>-100</v>
      </c>
      <c r="J38" s="67" t="n">
        <f aca="false">-Investimentos!J30</f>
        <v>-252.130333333333</v>
      </c>
      <c r="K38" s="67" t="n">
        <f aca="false">-Investimentos!K30</f>
        <v>-427.130333333333</v>
      </c>
      <c r="L38" s="67" t="n">
        <f aca="false">-Investimentos!L30</f>
        <v>-602.130333333333</v>
      </c>
      <c r="M38" s="67" t="n">
        <f aca="false">-Investimentos!M30</f>
        <v>-602.130333333333</v>
      </c>
      <c r="N38" s="67" t="n">
        <f aca="false">-Investimentos!N30</f>
        <v>-602.130333333333</v>
      </c>
      <c r="O38" s="67" t="n">
        <f aca="false">-Investimentos!O30</f>
        <v>-602.130333333333</v>
      </c>
      <c r="P38" s="67" t="n">
        <f aca="false">-Investimentos!P30</f>
        <v>-602.130333333333</v>
      </c>
      <c r="Q38" s="67" t="n">
        <f aca="false">-Investimentos!Q30</f>
        <v>-802.130333333333</v>
      </c>
      <c r="R38" s="67" t="n">
        <f aca="false">-Investimentos!R30</f>
        <v>-802.130333333333</v>
      </c>
      <c r="S38" s="67" t="n">
        <f aca="false">-Investimentos!S30</f>
        <v>-802.130333333333</v>
      </c>
      <c r="T38" s="67" t="n">
        <f aca="false">-Investimentos!T30</f>
        <v>-902.130333333333</v>
      </c>
      <c r="U38" s="67" t="n">
        <f aca="false">-Investimentos!U30</f>
        <v>-1318.797</v>
      </c>
      <c r="V38" s="67" t="n">
        <f aca="false">-Investimentos!V30</f>
        <v>-1318.797</v>
      </c>
      <c r="W38" s="67" t="n">
        <f aca="false">-Investimentos!W30</f>
        <v>-1318.797</v>
      </c>
      <c r="X38" s="67" t="n">
        <f aca="false">-Investimentos!X30</f>
        <v>-1318.797</v>
      </c>
      <c r="Y38" s="67" t="n">
        <f aca="false">-Investimentos!Y30</f>
        <v>-1318.797</v>
      </c>
      <c r="Z38" s="67" t="n">
        <f aca="false">-Investimentos!Z30</f>
        <v>-1318.797</v>
      </c>
      <c r="AA38" s="67" t="n">
        <f aca="false">-Investimentos!AA30</f>
        <v>-1318.797</v>
      </c>
      <c r="AB38" s="67" t="n">
        <f aca="false">-Investimentos!AB30</f>
        <v>-1318.797</v>
      </c>
      <c r="AC38" s="67" t="n">
        <f aca="false">-Investimentos!AC30</f>
        <v>-1318.797</v>
      </c>
      <c r="AD38" s="67" t="n">
        <f aca="false">-Investimentos!AD30</f>
        <v>-1318.797</v>
      </c>
      <c r="AE38" s="67" t="n">
        <f aca="false">-Investimentos!AE30</f>
        <v>-1318.797</v>
      </c>
      <c r="AF38" s="67" t="n">
        <f aca="false">-Investimentos!AF30</f>
        <v>-1568.797</v>
      </c>
      <c r="AG38" s="67" t="n">
        <f aca="false">-Investimentos!AG30</f>
        <v>-1568.797</v>
      </c>
      <c r="AH38" s="67" t="n">
        <f aca="false">-Investimentos!AH30</f>
        <v>-1568.797</v>
      </c>
      <c r="AI38" s="67" t="n">
        <f aca="false">-Investimentos!AI30</f>
        <v>-1568.797</v>
      </c>
      <c r="AJ38" s="67" t="n">
        <f aca="false">-Investimentos!AJ30</f>
        <v>-1568.797</v>
      </c>
      <c r="AK38" s="67" t="n">
        <f aca="false">-Investimentos!AK30</f>
        <v>-1568.797</v>
      </c>
      <c r="AL38" s="67" t="n">
        <f aca="false">-Investimentos!AL30</f>
        <v>-1568.797</v>
      </c>
      <c r="AM38" s="67" t="n">
        <f aca="false">-Investimentos!AM30</f>
        <v>-1568.797</v>
      </c>
      <c r="AN38" s="67" t="n">
        <f aca="false">-Investimentos!AN30</f>
        <v>-1568.797</v>
      </c>
      <c r="AO38" s="67" t="n">
        <f aca="false">-Investimentos!AO30</f>
        <v>-1568.797</v>
      </c>
      <c r="AP38" s="67" t="n">
        <f aca="false">-Investimentos!AP30</f>
        <v>-1568.797</v>
      </c>
      <c r="AQ38" s="67" t="n">
        <f aca="false">-Investimentos!AQ30</f>
        <v>-1568.797</v>
      </c>
      <c r="AR38" s="67" t="n">
        <f aca="false">-Investimentos!AR30</f>
        <v>-1985.46366666667</v>
      </c>
      <c r="AS38" s="67" t="n">
        <f aca="false">-Investimentos!AS30</f>
        <v>-1985.46366666667</v>
      </c>
      <c r="AT38" s="67" t="n">
        <f aca="false">-Investimentos!AT30</f>
        <v>-1985.46366666667</v>
      </c>
      <c r="AU38" s="67" t="n">
        <f aca="false">-Investimentos!AU30</f>
        <v>-1985.46366666667</v>
      </c>
      <c r="AV38" s="67" t="n">
        <f aca="false">-Investimentos!AV30</f>
        <v>-1985.46366666667</v>
      </c>
      <c r="AW38" s="67" t="n">
        <f aca="false">-Investimentos!AW30</f>
        <v>-1985.46366666667</v>
      </c>
      <c r="AX38" s="67" t="n">
        <f aca="false">-Investimentos!AX30</f>
        <v>-1985.46366666667</v>
      </c>
      <c r="AY38" s="67" t="n">
        <f aca="false">-Investimentos!AY30</f>
        <v>-1985.46366666667</v>
      </c>
      <c r="AZ38" s="67" t="n">
        <f aca="false">-Investimentos!AZ30</f>
        <v>-1985.46366666667</v>
      </c>
      <c r="BA38" s="67" t="n">
        <f aca="false">-Investimentos!BA30</f>
        <v>-1985.46366666667</v>
      </c>
      <c r="BB38" s="67" t="n">
        <f aca="false">-Investimentos!BB30</f>
        <v>-1985.46366666667</v>
      </c>
      <c r="BC38" s="67" t="n">
        <f aca="false">-Investimentos!BC30</f>
        <v>-1985.46366666667</v>
      </c>
      <c r="BD38" s="67" t="n">
        <f aca="false">-Investimentos!BD30</f>
        <v>-2485.46366666667</v>
      </c>
      <c r="BE38" s="67" t="n">
        <f aca="false">-Investimentos!BE30</f>
        <v>-2485.46366666667</v>
      </c>
      <c r="BF38" s="67" t="n">
        <f aca="false">-Investimentos!BF30</f>
        <v>-2485.46366666667</v>
      </c>
      <c r="BG38" s="67" t="n">
        <f aca="false">-Investimentos!BG30</f>
        <v>-2485.46366666667</v>
      </c>
      <c r="BH38" s="67" t="n">
        <f aca="false">-Investimentos!BH30</f>
        <v>-2485.46366666667</v>
      </c>
      <c r="BI38" s="67" t="n">
        <f aca="false">-Investimentos!BI30</f>
        <v>-2485.46366666667</v>
      </c>
      <c r="BJ38" s="61" t="n">
        <f aca="false">SUM(B38:BI38)</f>
        <v>-79369.1106666667</v>
      </c>
      <c r="BK38" s="29" t="s">
        <v>741</v>
      </c>
    </row>
    <row r="39" customFormat="false" ht="15" hidden="false" customHeight="false" outlineLevel="0" collapsed="false">
      <c r="A39" s="62" t="s">
        <v>742</v>
      </c>
      <c r="B39" s="61" t="n">
        <f aca="false">B34+B38</f>
        <v>0</v>
      </c>
      <c r="C39" s="61" t="n">
        <f aca="false">C34+C38</f>
        <v>0</v>
      </c>
      <c r="D39" s="61" t="n">
        <f aca="false">D34+D38</f>
        <v>0</v>
      </c>
      <c r="E39" s="61" t="n">
        <f aca="false">E34+E38</f>
        <v>-1500</v>
      </c>
      <c r="F39" s="61" t="n">
        <f aca="false">F34+F38</f>
        <v>-2100</v>
      </c>
      <c r="G39" s="61" t="n">
        <f aca="false">G34+G38</f>
        <v>-2200</v>
      </c>
      <c r="H39" s="61" t="n">
        <f aca="false">H34+H38</f>
        <v>-2200</v>
      </c>
      <c r="I39" s="61" t="n">
        <f aca="false">I34+I38</f>
        <v>-2200</v>
      </c>
      <c r="J39" s="61" t="n">
        <f aca="false">J34+J38</f>
        <v>-2352.13033333333</v>
      </c>
      <c r="K39" s="61" t="n">
        <f aca="false">K34+K38</f>
        <v>-60704.7276583333</v>
      </c>
      <c r="L39" s="61" t="n">
        <f aca="false">L34+L38</f>
        <v>-30942.4077583333</v>
      </c>
      <c r="M39" s="61" t="n">
        <f aca="false">M34+M38</f>
        <v>-22961.5330333333</v>
      </c>
      <c r="N39" s="61" t="n">
        <f aca="false">N34+N38</f>
        <v>-83138.2144734293</v>
      </c>
      <c r="O39" s="61" t="n">
        <f aca="false">O34+O38</f>
        <v>-61064.7807738477</v>
      </c>
      <c r="P39" s="61" t="n">
        <f aca="false">P34+P38</f>
        <v>-35279.8470026587</v>
      </c>
      <c r="Q39" s="61" t="n">
        <f aca="false">Q34+Q38</f>
        <v>-53.980998937054</v>
      </c>
      <c r="R39" s="61" t="n">
        <f aca="false">R34+R38</f>
        <v>13228.412567829</v>
      </c>
      <c r="S39" s="61" t="n">
        <f aca="false">S34+S38</f>
        <v>25832.8083772095</v>
      </c>
      <c r="T39" s="61" t="n">
        <f aca="false">T34+T38</f>
        <v>37066.0035338273</v>
      </c>
      <c r="U39" s="61" t="n">
        <f aca="false">U34+U38</f>
        <v>47361.1404113119</v>
      </c>
      <c r="V39" s="61" t="n">
        <f aca="false">V34+V38</f>
        <v>57368.8617597899</v>
      </c>
      <c r="W39" s="61" t="n">
        <f aca="false">W34+W38</f>
        <v>96756.1997503872</v>
      </c>
      <c r="X39" s="61" t="n">
        <f aca="false">X34+X38</f>
        <v>105241.611197883</v>
      </c>
      <c r="Y39" s="61" t="n">
        <f aca="false">Y34+Y38</f>
        <v>113342.286664888</v>
      </c>
      <c r="Z39" s="61" t="n">
        <f aca="false">Z34+Z38</f>
        <v>17368.7284345684</v>
      </c>
      <c r="AA39" s="61" t="n">
        <f aca="false">AA34+AA38</f>
        <v>42323.3473700059</v>
      </c>
      <c r="AB39" s="61" t="n">
        <f aca="false">AB34+AB38</f>
        <v>96028.96229706</v>
      </c>
      <c r="AC39" s="61" t="n">
        <f aca="false">AC34+AC38</f>
        <v>110810.859385275</v>
      </c>
      <c r="AD39" s="61" t="n">
        <f aca="false">AD34+AD38</f>
        <v>125140.869654933</v>
      </c>
      <c r="AE39" s="61" t="n">
        <f aca="false">AE34+AE38</f>
        <v>164830.407392503</v>
      </c>
      <c r="AF39" s="61" t="n">
        <f aca="false">AF34+AF38</f>
        <v>222007.884053269</v>
      </c>
      <c r="AG39" s="61" t="n">
        <f aca="false">AG34+AG38</f>
        <v>240453.817555219</v>
      </c>
      <c r="AH39" s="61" t="n">
        <f aca="false">AH34+AH38</f>
        <v>257580.508547794</v>
      </c>
      <c r="AI39" s="61" t="n">
        <f aca="false">AI34+AI38</f>
        <v>273463.884415081</v>
      </c>
      <c r="AJ39" s="61" t="n">
        <f aca="false">AJ34+AJ38</f>
        <v>288224.868154697</v>
      </c>
      <c r="AK39" s="61" t="n">
        <f aca="false">AK34+AK38</f>
        <v>301970.131595178</v>
      </c>
      <c r="AL39" s="61" t="n">
        <f aca="false">AL34+AL38</f>
        <v>191712.272595745</v>
      </c>
      <c r="AM39" s="61" t="n">
        <f aca="false">AM34+AM38</f>
        <v>239695.294277586</v>
      </c>
      <c r="AN39" s="61" t="n">
        <f aca="false">AN34+AN38</f>
        <v>284452.95572101</v>
      </c>
      <c r="AO39" s="61" t="n">
        <f aca="false">AO34+AO38</f>
        <v>326227.573036885</v>
      </c>
      <c r="AP39" s="61" t="n">
        <f aca="false">AP34+AP38</f>
        <v>365266.056894451</v>
      </c>
      <c r="AQ39" s="61" t="n">
        <f aca="false">AQ34+AQ38</f>
        <v>401681.287927172</v>
      </c>
      <c r="AR39" s="61" t="n">
        <f aca="false">AR34+AR38</f>
        <v>435284.499191665</v>
      </c>
      <c r="AS39" s="61" t="n">
        <f aca="false">AS34+AS38</f>
        <v>467039.772456605</v>
      </c>
      <c r="AT39" s="61" t="n">
        <f aca="false">AT34+AT38</f>
        <v>496644.255927259</v>
      </c>
      <c r="AU39" s="61" t="n">
        <f aca="false">AU34+AU38</f>
        <v>524325.623673518</v>
      </c>
      <c r="AV39" s="61" t="n">
        <f aca="false">AV34+AV38</f>
        <v>550166.791587846</v>
      </c>
      <c r="AW39" s="61" t="n">
        <f aca="false">AW34+AW38</f>
        <v>574296.442934193</v>
      </c>
      <c r="AX39" s="61" t="n">
        <f aca="false">AX34+AX38</f>
        <v>512293.830014944</v>
      </c>
      <c r="AY39" s="61" t="n">
        <f aca="false">AY34+AY38</f>
        <v>598295.453628528</v>
      </c>
      <c r="AZ39" s="61" t="n">
        <f aca="false">AZ34+AZ38</f>
        <v>678905.979670826</v>
      </c>
      <c r="BA39" s="61" t="n">
        <f aca="false">BA34+BA38</f>
        <v>754473.049389053</v>
      </c>
      <c r="BB39" s="61" t="n">
        <f aca="false">BB34+BB38</f>
        <v>825391.962131565</v>
      </c>
      <c r="BC39" s="61" t="n">
        <f aca="false">BC34+BC38</f>
        <v>891822.084105835</v>
      </c>
      <c r="BD39" s="61" t="n">
        <f aca="false">BD34+BD38</f>
        <v>953608.956962143</v>
      </c>
      <c r="BE39" s="61" t="n">
        <f aca="false">BE34+BE38</f>
        <v>1011978.48450928</v>
      </c>
      <c r="BF39" s="61" t="n">
        <f aca="false">BF34+BF38</f>
        <v>1066792.72102682</v>
      </c>
      <c r="BG39" s="61" t="n">
        <f aca="false">BG34+BG38</f>
        <v>1118072.8057152</v>
      </c>
      <c r="BH39" s="61" t="n">
        <f aca="false">BH34+BH38</f>
        <v>1166196.19349625</v>
      </c>
      <c r="BI39" s="61" t="n">
        <f aca="false">BI34+BI38</f>
        <v>1211337.9468999</v>
      </c>
      <c r="BJ39" s="61" t="n">
        <f aca="false">SUM(B39:BI39)</f>
        <v>17975666.2648608</v>
      </c>
    </row>
    <row r="40" customFormat="false" ht="15" hidden="false" customHeight="false" outlineLevel="0" collapsed="false">
      <c r="A40" s="71" t="s">
        <v>743</v>
      </c>
      <c r="B40" s="90" t="n">
        <f aca="false">0</f>
        <v>0</v>
      </c>
      <c r="C40" s="90" t="n">
        <f aca="false">0</f>
        <v>0</v>
      </c>
      <c r="D40" s="90" t="n">
        <f aca="false">0</f>
        <v>0</v>
      </c>
      <c r="E40" s="90" t="n">
        <f aca="false">0</f>
        <v>0</v>
      </c>
      <c r="F40" s="90" t="n">
        <f aca="false">0</f>
        <v>0</v>
      </c>
      <c r="G40" s="90" t="n">
        <f aca="false">0</f>
        <v>0</v>
      </c>
      <c r="H40" s="90" t="n">
        <f aca="false">0</f>
        <v>0</v>
      </c>
      <c r="I40" s="90" t="n">
        <f aca="false">0</f>
        <v>0</v>
      </c>
      <c r="J40" s="90" t="n">
        <f aca="false">0</f>
        <v>0</v>
      </c>
      <c r="K40" s="90" t="n">
        <f aca="false">0</f>
        <v>0</v>
      </c>
      <c r="L40" s="90" t="n">
        <f aca="false">0</f>
        <v>0</v>
      </c>
      <c r="M40" s="90" t="n">
        <f aca="false">0</f>
        <v>0</v>
      </c>
      <c r="N40" s="90" t="n">
        <f aca="false">0</f>
        <v>0</v>
      </c>
      <c r="O40" s="90" t="n">
        <f aca="false">0</f>
        <v>0</v>
      </c>
      <c r="P40" s="90" t="n">
        <f aca="false">0</f>
        <v>0</v>
      </c>
      <c r="Q40" s="90" t="n">
        <f aca="false">0</f>
        <v>0</v>
      </c>
      <c r="R40" s="90" t="n">
        <f aca="false">0</f>
        <v>0</v>
      </c>
      <c r="S40" s="90" t="n">
        <f aca="false">0</f>
        <v>0</v>
      </c>
      <c r="T40" s="90" t="n">
        <f aca="false">0</f>
        <v>0</v>
      </c>
      <c r="U40" s="90" t="n">
        <f aca="false">0</f>
        <v>0</v>
      </c>
      <c r="V40" s="90" t="n">
        <f aca="false">0</f>
        <v>0</v>
      </c>
      <c r="W40" s="90" t="n">
        <f aca="false">0</f>
        <v>0</v>
      </c>
      <c r="X40" s="90" t="n">
        <f aca="false">0</f>
        <v>0</v>
      </c>
      <c r="Y40" s="90" t="n">
        <f aca="false">0</f>
        <v>0</v>
      </c>
      <c r="Z40" s="90" t="n">
        <f aca="false">0</f>
        <v>0</v>
      </c>
      <c r="AA40" s="90" t="n">
        <f aca="false">0</f>
        <v>0</v>
      </c>
      <c r="AB40" s="90" t="n">
        <f aca="false">0</f>
        <v>0</v>
      </c>
      <c r="AC40" s="90" t="n">
        <f aca="false">0</f>
        <v>0</v>
      </c>
      <c r="AD40" s="90" t="n">
        <f aca="false">0</f>
        <v>0</v>
      </c>
      <c r="AE40" s="90" t="n">
        <f aca="false">0</f>
        <v>0</v>
      </c>
      <c r="AF40" s="90" t="n">
        <f aca="false">0</f>
        <v>0</v>
      </c>
      <c r="AG40" s="90" t="n">
        <f aca="false">0</f>
        <v>0</v>
      </c>
      <c r="AH40" s="90" t="n">
        <f aca="false">0</f>
        <v>0</v>
      </c>
      <c r="AI40" s="90" t="n">
        <f aca="false">0</f>
        <v>0</v>
      </c>
      <c r="AJ40" s="90" t="n">
        <f aca="false">0</f>
        <v>0</v>
      </c>
      <c r="AK40" s="90" t="n">
        <f aca="false">0</f>
        <v>0</v>
      </c>
      <c r="AL40" s="90" t="n">
        <f aca="false">0</f>
        <v>0</v>
      </c>
      <c r="AM40" s="90" t="n">
        <f aca="false">0</f>
        <v>0</v>
      </c>
      <c r="AN40" s="90" t="n">
        <f aca="false">0</f>
        <v>0</v>
      </c>
      <c r="AO40" s="90" t="n">
        <f aca="false">0</f>
        <v>0</v>
      </c>
      <c r="AP40" s="90" t="n">
        <f aca="false">0</f>
        <v>0</v>
      </c>
      <c r="AQ40" s="90" t="n">
        <f aca="false">0</f>
        <v>0</v>
      </c>
      <c r="AR40" s="90" t="n">
        <f aca="false">0</f>
        <v>0</v>
      </c>
      <c r="AS40" s="90" t="n">
        <f aca="false">0</f>
        <v>0</v>
      </c>
      <c r="AT40" s="90" t="n">
        <f aca="false">0</f>
        <v>0</v>
      </c>
      <c r="AU40" s="90" t="n">
        <f aca="false">0</f>
        <v>0</v>
      </c>
      <c r="AV40" s="90" t="n">
        <f aca="false">0</f>
        <v>0</v>
      </c>
      <c r="AW40" s="90" t="n">
        <f aca="false">0</f>
        <v>0</v>
      </c>
      <c r="AX40" s="90" t="n">
        <f aca="false">0</f>
        <v>0</v>
      </c>
      <c r="AY40" s="90" t="n">
        <f aca="false">0</f>
        <v>0</v>
      </c>
      <c r="AZ40" s="90" t="n">
        <f aca="false">0</f>
        <v>0</v>
      </c>
      <c r="BA40" s="90" t="n">
        <f aca="false">0</f>
        <v>0</v>
      </c>
      <c r="BB40" s="90" t="n">
        <f aca="false">0</f>
        <v>0</v>
      </c>
      <c r="BC40" s="90" t="n">
        <f aca="false">0</f>
        <v>0</v>
      </c>
      <c r="BD40" s="90" t="n">
        <f aca="false">0</f>
        <v>0</v>
      </c>
      <c r="BE40" s="90" t="n">
        <f aca="false">0</f>
        <v>0</v>
      </c>
      <c r="BF40" s="90" t="n">
        <f aca="false">0</f>
        <v>0</v>
      </c>
      <c r="BG40" s="90" t="n">
        <f aca="false">0</f>
        <v>0</v>
      </c>
      <c r="BH40" s="90" t="n">
        <f aca="false">0</f>
        <v>0</v>
      </c>
      <c r="BI40" s="90" t="n">
        <f aca="false">0</f>
        <v>0</v>
      </c>
      <c r="BJ40" s="61" t="n">
        <f aca="false">SUM(B40:BI40)</f>
        <v>0</v>
      </c>
      <c r="BK40" s="29" t="s">
        <v>744</v>
      </c>
    </row>
    <row r="41" customFormat="false" ht="15" hidden="false" customHeight="false" outlineLevel="0" collapsed="false">
      <c r="A41" s="62" t="s">
        <v>745</v>
      </c>
      <c r="B41" s="63" t="n">
        <f aca="false">B39+B40</f>
        <v>0</v>
      </c>
      <c r="C41" s="63" t="n">
        <f aca="false">C39+C40</f>
        <v>0</v>
      </c>
      <c r="D41" s="63" t="n">
        <f aca="false">D39+D40</f>
        <v>0</v>
      </c>
      <c r="E41" s="63" t="n">
        <f aca="false">E39+E40</f>
        <v>-1500</v>
      </c>
      <c r="F41" s="63" t="n">
        <f aca="false">F39+F40</f>
        <v>-2100</v>
      </c>
      <c r="G41" s="63" t="n">
        <f aca="false">G39+G40</f>
        <v>-2200</v>
      </c>
      <c r="H41" s="63" t="n">
        <f aca="false">H39+H40</f>
        <v>-2200</v>
      </c>
      <c r="I41" s="63" t="n">
        <f aca="false">I39+I40</f>
        <v>-2200</v>
      </c>
      <c r="J41" s="63" t="n">
        <f aca="false">J39+J40</f>
        <v>-2352.13033333333</v>
      </c>
      <c r="K41" s="63" t="n">
        <f aca="false">K39+K40</f>
        <v>-60704.7276583333</v>
      </c>
      <c r="L41" s="63" t="n">
        <f aca="false">L39+L40</f>
        <v>-30942.4077583333</v>
      </c>
      <c r="M41" s="63" t="n">
        <f aca="false">M39+M40</f>
        <v>-22961.5330333333</v>
      </c>
      <c r="N41" s="63" t="n">
        <f aca="false">N39+N40</f>
        <v>-83138.2144734293</v>
      </c>
      <c r="O41" s="63" t="n">
        <f aca="false">O39+O40</f>
        <v>-61064.7807738477</v>
      </c>
      <c r="P41" s="63" t="n">
        <f aca="false">P39+P40</f>
        <v>-35279.8470026587</v>
      </c>
      <c r="Q41" s="63" t="n">
        <f aca="false">Q39+Q40</f>
        <v>-53.980998937054</v>
      </c>
      <c r="R41" s="63" t="n">
        <f aca="false">R39+R40</f>
        <v>13228.412567829</v>
      </c>
      <c r="S41" s="63" t="n">
        <f aca="false">S39+S40</f>
        <v>25832.8083772095</v>
      </c>
      <c r="T41" s="63" t="n">
        <f aca="false">T39+T40</f>
        <v>37066.0035338273</v>
      </c>
      <c r="U41" s="63" t="n">
        <f aca="false">U39+U40</f>
        <v>47361.1404113119</v>
      </c>
      <c r="V41" s="63" t="n">
        <f aca="false">V39+V40</f>
        <v>57368.8617597899</v>
      </c>
      <c r="W41" s="63" t="n">
        <f aca="false">W39+W40</f>
        <v>96756.1997503872</v>
      </c>
      <c r="X41" s="63" t="n">
        <f aca="false">X39+X40</f>
        <v>105241.611197883</v>
      </c>
      <c r="Y41" s="63" t="n">
        <f aca="false">Y39+Y40</f>
        <v>113342.286664888</v>
      </c>
      <c r="Z41" s="63" t="n">
        <f aca="false">Z39+Z40</f>
        <v>17368.7284345684</v>
      </c>
      <c r="AA41" s="63" t="n">
        <f aca="false">AA39+AA40</f>
        <v>42323.3473700059</v>
      </c>
      <c r="AB41" s="63" t="n">
        <f aca="false">AB39+AB40</f>
        <v>96028.96229706</v>
      </c>
      <c r="AC41" s="63" t="n">
        <f aca="false">AC39+AC40</f>
        <v>110810.859385275</v>
      </c>
      <c r="AD41" s="63" t="n">
        <f aca="false">AD39+AD40</f>
        <v>125140.869654933</v>
      </c>
      <c r="AE41" s="63" t="n">
        <f aca="false">AE39+AE40</f>
        <v>164830.407392503</v>
      </c>
      <c r="AF41" s="63" t="n">
        <f aca="false">AF39+AF40</f>
        <v>222007.884053269</v>
      </c>
      <c r="AG41" s="63" t="n">
        <f aca="false">AG39+AG40</f>
        <v>240453.817555219</v>
      </c>
      <c r="AH41" s="63" t="n">
        <f aca="false">AH39+AH40</f>
        <v>257580.508547794</v>
      </c>
      <c r="AI41" s="63" t="n">
        <f aca="false">AI39+AI40</f>
        <v>273463.884415081</v>
      </c>
      <c r="AJ41" s="63" t="n">
        <f aca="false">AJ39+AJ40</f>
        <v>288224.868154697</v>
      </c>
      <c r="AK41" s="63" t="n">
        <f aca="false">AK39+AK40</f>
        <v>301970.131595178</v>
      </c>
      <c r="AL41" s="63" t="n">
        <f aca="false">AL39+AL40</f>
        <v>191712.272595745</v>
      </c>
      <c r="AM41" s="63" t="n">
        <f aca="false">AM39+AM40</f>
        <v>239695.294277586</v>
      </c>
      <c r="AN41" s="63" t="n">
        <f aca="false">AN39+AN40</f>
        <v>284452.95572101</v>
      </c>
      <c r="AO41" s="63" t="n">
        <f aca="false">AO39+AO40</f>
        <v>326227.573036885</v>
      </c>
      <c r="AP41" s="63" t="n">
        <f aca="false">AP39+AP40</f>
        <v>365266.056894451</v>
      </c>
      <c r="AQ41" s="63" t="n">
        <f aca="false">AQ39+AQ40</f>
        <v>401681.287927172</v>
      </c>
      <c r="AR41" s="63" t="n">
        <f aca="false">AR39+AR40</f>
        <v>435284.499191665</v>
      </c>
      <c r="AS41" s="63" t="n">
        <f aca="false">AS39+AS40</f>
        <v>467039.772456605</v>
      </c>
      <c r="AT41" s="63" t="n">
        <f aca="false">AT39+AT40</f>
        <v>496644.255927259</v>
      </c>
      <c r="AU41" s="63" t="n">
        <f aca="false">AU39+AU40</f>
        <v>524325.623673518</v>
      </c>
      <c r="AV41" s="63" t="n">
        <f aca="false">AV39+AV40</f>
        <v>550166.791587846</v>
      </c>
      <c r="AW41" s="63" t="n">
        <f aca="false">AW39+AW40</f>
        <v>574296.442934193</v>
      </c>
      <c r="AX41" s="63" t="n">
        <f aca="false">AX39+AX40</f>
        <v>512293.830014944</v>
      </c>
      <c r="AY41" s="63" t="n">
        <f aca="false">AY39+AY40</f>
        <v>598295.453628528</v>
      </c>
      <c r="AZ41" s="63" t="n">
        <f aca="false">AZ39+AZ40</f>
        <v>678905.979670826</v>
      </c>
      <c r="BA41" s="63" t="n">
        <f aca="false">BA39+BA40</f>
        <v>754473.049389053</v>
      </c>
      <c r="BB41" s="63" t="n">
        <f aca="false">BB39+BB40</f>
        <v>825391.962131565</v>
      </c>
      <c r="BC41" s="63" t="n">
        <f aca="false">BC39+BC40</f>
        <v>891822.084105835</v>
      </c>
      <c r="BD41" s="63" t="n">
        <f aca="false">BD39+BD40</f>
        <v>953608.956962143</v>
      </c>
      <c r="BE41" s="63" t="n">
        <f aca="false">BE39+BE40</f>
        <v>1011978.48450928</v>
      </c>
      <c r="BF41" s="63" t="n">
        <f aca="false">BF39+BF40</f>
        <v>1066792.72102682</v>
      </c>
      <c r="BG41" s="63" t="n">
        <f aca="false">BG39+BG40</f>
        <v>1118072.8057152</v>
      </c>
      <c r="BH41" s="63" t="n">
        <f aca="false">BH39+BH40</f>
        <v>1166196.19349625</v>
      </c>
      <c r="BI41" s="63" t="n">
        <f aca="false">BI39+BI40</f>
        <v>1211337.9468999</v>
      </c>
      <c r="BJ41" s="61" t="n">
        <f aca="false">SUM(B41:BI41)</f>
        <v>17975666.2648608</v>
      </c>
    </row>
    <row r="42" customFormat="false" ht="15" hidden="false" customHeight="false" outlineLevel="0" collapsed="false">
      <c r="A42" s="71" t="s">
        <v>746</v>
      </c>
      <c r="B42" s="90" t="n">
        <f aca="false">0</f>
        <v>0</v>
      </c>
      <c r="C42" s="90" t="n">
        <f aca="false">0</f>
        <v>0</v>
      </c>
      <c r="D42" s="90" t="n">
        <f aca="false">0</f>
        <v>0</v>
      </c>
      <c r="E42" s="90" t="n">
        <f aca="false">0</f>
        <v>0</v>
      </c>
      <c r="F42" s="90" t="n">
        <f aca="false">0</f>
        <v>0</v>
      </c>
      <c r="G42" s="90" t="n">
        <f aca="false">0</f>
        <v>0</v>
      </c>
      <c r="H42" s="90" t="n">
        <f aca="false">0</f>
        <v>0</v>
      </c>
      <c r="I42" s="90" t="n">
        <f aca="false">0</f>
        <v>0</v>
      </c>
      <c r="J42" s="90" t="n">
        <f aca="false">0</f>
        <v>0</v>
      </c>
      <c r="K42" s="90" t="n">
        <f aca="false">0</f>
        <v>0</v>
      </c>
      <c r="L42" s="90" t="n">
        <f aca="false">0</f>
        <v>0</v>
      </c>
      <c r="M42" s="90" t="n">
        <f aca="false">0</f>
        <v>0</v>
      </c>
      <c r="N42" s="90" t="n">
        <f aca="false">0</f>
        <v>0</v>
      </c>
      <c r="O42" s="90" t="n">
        <f aca="false">0</f>
        <v>0</v>
      </c>
      <c r="P42" s="90" t="n">
        <f aca="false">0</f>
        <v>0</v>
      </c>
      <c r="Q42" s="90" t="n">
        <f aca="false">0</f>
        <v>0</v>
      </c>
      <c r="R42" s="90" t="n">
        <f aca="false">0</f>
        <v>0</v>
      </c>
      <c r="S42" s="90" t="n">
        <f aca="false">0</f>
        <v>0</v>
      </c>
      <c r="T42" s="90" t="n">
        <f aca="false">0</f>
        <v>0</v>
      </c>
      <c r="U42" s="90" t="n">
        <f aca="false">0</f>
        <v>0</v>
      </c>
      <c r="V42" s="90" t="n">
        <f aca="false">0</f>
        <v>0</v>
      </c>
      <c r="W42" s="90" t="n">
        <f aca="false">0</f>
        <v>0</v>
      </c>
      <c r="X42" s="90" t="n">
        <f aca="false">0</f>
        <v>0</v>
      </c>
      <c r="Y42" s="90" t="n">
        <f aca="false">0</f>
        <v>0</v>
      </c>
      <c r="Z42" s="90" t="n">
        <f aca="false">0</f>
        <v>0</v>
      </c>
      <c r="AA42" s="90" t="n">
        <f aca="false">0</f>
        <v>0</v>
      </c>
      <c r="AB42" s="90" t="n">
        <f aca="false">0</f>
        <v>0</v>
      </c>
      <c r="AC42" s="90" t="n">
        <f aca="false">0</f>
        <v>0</v>
      </c>
      <c r="AD42" s="90" t="n">
        <f aca="false">0</f>
        <v>0</v>
      </c>
      <c r="AE42" s="90" t="n">
        <f aca="false">0</f>
        <v>0</v>
      </c>
      <c r="AF42" s="90" t="n">
        <f aca="false">0</f>
        <v>0</v>
      </c>
      <c r="AG42" s="90" t="n">
        <f aca="false">0</f>
        <v>0</v>
      </c>
      <c r="AH42" s="90" t="n">
        <f aca="false">0</f>
        <v>0</v>
      </c>
      <c r="AI42" s="90" t="n">
        <f aca="false">0</f>
        <v>0</v>
      </c>
      <c r="AJ42" s="90" t="n">
        <f aca="false">0</f>
        <v>0</v>
      </c>
      <c r="AK42" s="90" t="n">
        <f aca="false">0</f>
        <v>0</v>
      </c>
      <c r="AL42" s="90" t="n">
        <f aca="false">0</f>
        <v>0</v>
      </c>
      <c r="AM42" s="90" t="n">
        <f aca="false">0</f>
        <v>0</v>
      </c>
      <c r="AN42" s="90" t="n">
        <f aca="false">0</f>
        <v>0</v>
      </c>
      <c r="AO42" s="90" t="n">
        <f aca="false">0</f>
        <v>0</v>
      </c>
      <c r="AP42" s="90" t="n">
        <f aca="false">0</f>
        <v>0</v>
      </c>
      <c r="AQ42" s="90" t="n">
        <f aca="false">0</f>
        <v>0</v>
      </c>
      <c r="AR42" s="90" t="n">
        <f aca="false">0</f>
        <v>0</v>
      </c>
      <c r="AS42" s="90" t="n">
        <f aca="false">0</f>
        <v>0</v>
      </c>
      <c r="AT42" s="90" t="n">
        <f aca="false">0</f>
        <v>0</v>
      </c>
      <c r="AU42" s="90" t="n">
        <f aca="false">0</f>
        <v>0</v>
      </c>
      <c r="AV42" s="90" t="n">
        <f aca="false">0</f>
        <v>0</v>
      </c>
      <c r="AW42" s="90" t="n">
        <f aca="false">0</f>
        <v>0</v>
      </c>
      <c r="AX42" s="90" t="n">
        <f aca="false">0</f>
        <v>0</v>
      </c>
      <c r="AY42" s="90" t="n">
        <f aca="false">0</f>
        <v>0</v>
      </c>
      <c r="AZ42" s="90" t="n">
        <f aca="false">0</f>
        <v>0</v>
      </c>
      <c r="BA42" s="90" t="n">
        <f aca="false">0</f>
        <v>0</v>
      </c>
      <c r="BB42" s="90" t="n">
        <f aca="false">0</f>
        <v>0</v>
      </c>
      <c r="BC42" s="90" t="n">
        <f aca="false">0</f>
        <v>0</v>
      </c>
      <c r="BD42" s="90" t="n">
        <f aca="false">0</f>
        <v>0</v>
      </c>
      <c r="BE42" s="90" t="n">
        <f aca="false">0</f>
        <v>0</v>
      </c>
      <c r="BF42" s="90" t="n">
        <f aca="false">0</f>
        <v>0</v>
      </c>
      <c r="BG42" s="90" t="n">
        <f aca="false">0</f>
        <v>0</v>
      </c>
      <c r="BH42" s="90" t="n">
        <f aca="false">0</f>
        <v>0</v>
      </c>
      <c r="BI42" s="90" t="n">
        <f aca="false">0</f>
        <v>0</v>
      </c>
      <c r="BJ42" s="61" t="n">
        <f aca="false">SUM(B42:BI42)</f>
        <v>0</v>
      </c>
      <c r="BK42" s="29" t="s">
        <v>747</v>
      </c>
    </row>
    <row r="43" customFormat="false" ht="15" hidden="false" customHeight="false" outlineLevel="0" collapsed="false">
      <c r="A43" s="62" t="s">
        <v>748</v>
      </c>
      <c r="B43" s="61" t="n">
        <f aca="false">B41+B42</f>
        <v>0</v>
      </c>
      <c r="C43" s="61" t="n">
        <f aca="false">C41+C42</f>
        <v>0</v>
      </c>
      <c r="D43" s="61" t="n">
        <f aca="false">D41+D42</f>
        <v>0</v>
      </c>
      <c r="E43" s="61" t="n">
        <f aca="false">E41+E42</f>
        <v>-1500</v>
      </c>
      <c r="F43" s="61" t="n">
        <f aca="false">F41+F42</f>
        <v>-2100</v>
      </c>
      <c r="G43" s="61" t="n">
        <f aca="false">G41+G42</f>
        <v>-2200</v>
      </c>
      <c r="H43" s="61" t="n">
        <f aca="false">H41+H42</f>
        <v>-2200</v>
      </c>
      <c r="I43" s="61" t="n">
        <f aca="false">I41+I42</f>
        <v>-2200</v>
      </c>
      <c r="J43" s="61" t="n">
        <f aca="false">J41+J42</f>
        <v>-2352.13033333333</v>
      </c>
      <c r="K43" s="61" t="n">
        <f aca="false">K41+K42</f>
        <v>-60704.7276583333</v>
      </c>
      <c r="L43" s="61" t="n">
        <f aca="false">L41+L42</f>
        <v>-30942.4077583333</v>
      </c>
      <c r="M43" s="61" t="n">
        <f aca="false">M41+M42</f>
        <v>-22961.5330333333</v>
      </c>
      <c r="N43" s="61" t="n">
        <f aca="false">N41+N42</f>
        <v>-83138.2144734293</v>
      </c>
      <c r="O43" s="61" t="n">
        <f aca="false">O41+O42</f>
        <v>-61064.7807738477</v>
      </c>
      <c r="P43" s="61" t="n">
        <f aca="false">P41+P42</f>
        <v>-35279.8470026587</v>
      </c>
      <c r="Q43" s="61" t="n">
        <f aca="false">Q41+Q42</f>
        <v>-53.980998937054</v>
      </c>
      <c r="R43" s="61" t="n">
        <f aca="false">R41+R42</f>
        <v>13228.412567829</v>
      </c>
      <c r="S43" s="61" t="n">
        <f aca="false">S41+S42</f>
        <v>25832.8083772095</v>
      </c>
      <c r="T43" s="61" t="n">
        <f aca="false">T41+T42</f>
        <v>37066.0035338273</v>
      </c>
      <c r="U43" s="61" t="n">
        <f aca="false">U41+U42</f>
        <v>47361.1404113119</v>
      </c>
      <c r="V43" s="61" t="n">
        <f aca="false">V41+V42</f>
        <v>57368.8617597899</v>
      </c>
      <c r="W43" s="61" t="n">
        <f aca="false">W41+W42</f>
        <v>96756.1997503872</v>
      </c>
      <c r="X43" s="61" t="n">
        <f aca="false">X41+X42</f>
        <v>105241.611197883</v>
      </c>
      <c r="Y43" s="61" t="n">
        <f aca="false">Y41+Y42</f>
        <v>113342.286664888</v>
      </c>
      <c r="Z43" s="61" t="n">
        <f aca="false">Z41+Z42</f>
        <v>17368.7284345684</v>
      </c>
      <c r="AA43" s="61" t="n">
        <f aca="false">AA41+AA42</f>
        <v>42323.3473700059</v>
      </c>
      <c r="AB43" s="61" t="n">
        <f aca="false">AB41+AB42</f>
        <v>96028.96229706</v>
      </c>
      <c r="AC43" s="61" t="n">
        <f aca="false">AC41+AC42</f>
        <v>110810.859385275</v>
      </c>
      <c r="AD43" s="61" t="n">
        <f aca="false">AD41+AD42</f>
        <v>125140.869654933</v>
      </c>
      <c r="AE43" s="61" t="n">
        <f aca="false">AE41+AE42</f>
        <v>164830.407392503</v>
      </c>
      <c r="AF43" s="61" t="n">
        <f aca="false">AF41+AF42</f>
        <v>222007.884053269</v>
      </c>
      <c r="AG43" s="61" t="n">
        <f aca="false">AG41+AG42</f>
        <v>240453.817555219</v>
      </c>
      <c r="AH43" s="61" t="n">
        <f aca="false">AH41+AH42</f>
        <v>257580.508547794</v>
      </c>
      <c r="AI43" s="61" t="n">
        <f aca="false">AI41+AI42</f>
        <v>273463.884415081</v>
      </c>
      <c r="AJ43" s="61" t="n">
        <f aca="false">AJ41+AJ42</f>
        <v>288224.868154697</v>
      </c>
      <c r="AK43" s="61" t="n">
        <f aca="false">AK41+AK42</f>
        <v>301970.131595178</v>
      </c>
      <c r="AL43" s="61" t="n">
        <f aca="false">AL41+AL42</f>
        <v>191712.272595745</v>
      </c>
      <c r="AM43" s="61" t="n">
        <f aca="false">AM41+AM42</f>
        <v>239695.294277586</v>
      </c>
      <c r="AN43" s="61" t="n">
        <f aca="false">AN41+AN42</f>
        <v>284452.95572101</v>
      </c>
      <c r="AO43" s="61" t="n">
        <f aca="false">AO41+AO42</f>
        <v>326227.573036885</v>
      </c>
      <c r="AP43" s="61" t="n">
        <f aca="false">AP41+AP42</f>
        <v>365266.056894451</v>
      </c>
      <c r="AQ43" s="61" t="n">
        <f aca="false">AQ41+AQ42</f>
        <v>401681.287927172</v>
      </c>
      <c r="AR43" s="61" t="n">
        <f aca="false">AR41+AR42</f>
        <v>435284.499191665</v>
      </c>
      <c r="AS43" s="61" t="n">
        <f aca="false">AS41+AS42</f>
        <v>467039.772456605</v>
      </c>
      <c r="AT43" s="61" t="n">
        <f aca="false">AT41+AT42</f>
        <v>496644.255927259</v>
      </c>
      <c r="AU43" s="61" t="n">
        <f aca="false">AU41+AU42</f>
        <v>524325.623673518</v>
      </c>
      <c r="AV43" s="61" t="n">
        <f aca="false">AV41+AV42</f>
        <v>550166.791587846</v>
      </c>
      <c r="AW43" s="61" t="n">
        <f aca="false">AW41+AW42</f>
        <v>574296.442934193</v>
      </c>
      <c r="AX43" s="61" t="n">
        <f aca="false">AX41+AX42</f>
        <v>512293.830014944</v>
      </c>
      <c r="AY43" s="61" t="n">
        <f aca="false">AY41+AY42</f>
        <v>598295.453628528</v>
      </c>
      <c r="AZ43" s="61" t="n">
        <f aca="false">AZ41+AZ42</f>
        <v>678905.979670826</v>
      </c>
      <c r="BA43" s="61" t="n">
        <f aca="false">BA41+BA42</f>
        <v>754473.049389053</v>
      </c>
      <c r="BB43" s="61" t="n">
        <f aca="false">BB41+BB42</f>
        <v>825391.962131565</v>
      </c>
      <c r="BC43" s="61" t="n">
        <f aca="false">BC41+BC42</f>
        <v>891822.084105835</v>
      </c>
      <c r="BD43" s="61" t="n">
        <f aca="false">BD41+BD42</f>
        <v>953608.956962143</v>
      </c>
      <c r="BE43" s="61" t="n">
        <f aca="false">BE41+BE42</f>
        <v>1011978.48450928</v>
      </c>
      <c r="BF43" s="61" t="n">
        <f aca="false">BF41+BF42</f>
        <v>1066792.72102682</v>
      </c>
      <c r="BG43" s="61" t="n">
        <f aca="false">BG41+BG42</f>
        <v>1118072.8057152</v>
      </c>
      <c r="BH43" s="61" t="n">
        <f aca="false">BH41+BH42</f>
        <v>1166196.19349625</v>
      </c>
      <c r="BI43" s="61" t="n">
        <f aca="false">BI41+BI42</f>
        <v>1211337.9468999</v>
      </c>
      <c r="BJ43" s="61" t="n">
        <f aca="false">SUM(B43:BI43)</f>
        <v>17975666.2648608</v>
      </c>
    </row>
    <row r="44" customFormat="false" ht="15" hidden="false" customHeight="false" outlineLevel="0" collapsed="false">
      <c r="A44" s="112" t="s">
        <v>749</v>
      </c>
      <c r="B44" s="186" t="n">
        <f aca="false">IFERROR(B43/B22,0)</f>
        <v>0</v>
      </c>
      <c r="C44" s="186" t="n">
        <f aca="false">IFERROR(C43/C22,0)</f>
        <v>0</v>
      </c>
      <c r="D44" s="186" t="n">
        <f aca="false">IFERROR(D43/D22,0)</f>
        <v>0</v>
      </c>
      <c r="E44" s="186" t="n">
        <f aca="false">IFERROR(E43/E22,0)</f>
        <v>0</v>
      </c>
      <c r="F44" s="186" t="n">
        <f aca="false">IFERROR(F43/F22,0)</f>
        <v>0</v>
      </c>
      <c r="G44" s="186" t="n">
        <f aca="false">IFERROR(G43/G22,0)</f>
        <v>0</v>
      </c>
      <c r="H44" s="186" t="n">
        <f aca="false">IFERROR(H43/H22,0)</f>
        <v>0</v>
      </c>
      <c r="I44" s="186" t="n">
        <f aca="false">IFERROR(I43/I22,0)</f>
        <v>0</v>
      </c>
      <c r="J44" s="186" t="n">
        <f aca="false">IFERROR(J43/J22,0)</f>
        <v>0</v>
      </c>
      <c r="K44" s="186" t="n">
        <f aca="false">IFERROR(K43/K22,0)</f>
        <v>-28.4233735658576</v>
      </c>
      <c r="L44" s="186" t="n">
        <f aca="false">IFERROR(L43/L22,0)</f>
        <v>-3.77837967562739</v>
      </c>
      <c r="M44" s="186" t="n">
        <f aca="false">IFERROR(M43/M22,0)</f>
        <v>-1.29666147229171</v>
      </c>
      <c r="N44" s="186" t="n">
        <f aca="false">IFERROR(N43/N22,0)</f>
        <v>-1.95834909634532</v>
      </c>
      <c r="O44" s="186" t="n">
        <f aca="false">IFERROR(O43/O22,0)</f>
        <v>-0.901911322254721</v>
      </c>
      <c r="P44" s="186" t="n">
        <f aca="false">IFERROR(P43/P22,0)</f>
        <v>-0.363179223587454</v>
      </c>
      <c r="Q44" s="186" t="n">
        <f aca="false">IFERROR(Q43/Q22,0)</f>
        <v>-0.000401000463915359</v>
      </c>
      <c r="R44" s="186" t="n">
        <f aca="false">IFERROR(R43/R22,0)</f>
        <v>0.0883115143882338</v>
      </c>
      <c r="S44" s="186" t="n">
        <f aca="false">IFERROR(S43/S22,0)</f>
        <v>0.157375004738946</v>
      </c>
      <c r="T44" s="186" t="n">
        <f aca="false">IFERROR(T43/T22,0)</f>
        <v>0.209292928974802</v>
      </c>
      <c r="U44" s="186" t="n">
        <f aca="false">IFERROR(U43/U22,0)</f>
        <v>0.250175662591244</v>
      </c>
      <c r="V44" s="186" t="n">
        <f aca="false">IFERROR(V43/V22,0)</f>
        <v>0.285838877763647</v>
      </c>
      <c r="W44" s="186" t="n">
        <f aca="false">IFERROR(W43/W22,0)</f>
        <v>0.400858842871226</v>
      </c>
      <c r="X44" s="186" t="n">
        <f aca="false">IFERROR(X43/X22,0)</f>
        <v>0.419217952562071</v>
      </c>
      <c r="Y44" s="186" t="n">
        <f aca="false">IFERROR(Y43/Y22,0)</f>
        <v>0.435532480987292</v>
      </c>
      <c r="Z44" s="186" t="n">
        <f aca="false">IFERROR(Z43/Z22,0)</f>
        <v>0.0500008284760716</v>
      </c>
      <c r="AA44" s="186" t="n">
        <f aca="false">IFERROR(AA43/AA22,0)</f>
        <v>0.112892126340926</v>
      </c>
      <c r="AB44" s="186" t="n">
        <f aca="false">IFERROR(AB43/AB22,0)</f>
        <v>0.222804059840414</v>
      </c>
      <c r="AC44" s="186" t="n">
        <f aca="false">IFERROR(AC43/AC22,0)</f>
        <v>0.247340415188282</v>
      </c>
      <c r="AD44" s="186" t="n">
        <f aca="false">IFERROR(AD43/AD22,0)</f>
        <v>0.26946263718375</v>
      </c>
      <c r="AE44" s="186" t="n">
        <f aca="false">IFERROR(AE43/AE22,0)</f>
        <v>0.325738486255821</v>
      </c>
      <c r="AF44" s="186" t="n">
        <f aca="false">IFERROR(AF43/AF22,0)</f>
        <v>0.392771377299438</v>
      </c>
      <c r="AG44" s="186" t="n">
        <f aca="false">IFERROR(AG43/AG22,0)</f>
        <v>0.410793022727454</v>
      </c>
      <c r="AH44" s="186" t="n">
        <f aca="false">IFERROR(AH43/AH22,0)</f>
        <v>0.42644987931223</v>
      </c>
      <c r="AI44" s="186" t="n">
        <f aca="false">IFERROR(AI43/AI22,0)</f>
        <v>0.440127425006045</v>
      </c>
      <c r="AJ44" s="186" t="n">
        <f aca="false">IFERROR(AJ43/AJ22,0)</f>
        <v>0.452172456796357</v>
      </c>
      <c r="AK44" s="186" t="n">
        <f aca="false">IFERROR(AK43/AK22,0)</f>
        <v>0.462856954962471</v>
      </c>
      <c r="AL44" s="186" t="n">
        <f aca="false">IFERROR(AL43/AL22,0)</f>
        <v>0.222808109492298</v>
      </c>
      <c r="AM44" s="186" t="n">
        <f aca="false">IFERROR(AM43/AM22,0)</f>
        <v>0.262900050813421</v>
      </c>
      <c r="AN44" s="186" t="n">
        <f aca="false">IFERROR(AN43/AN22,0)</f>
        <v>0.296432447658979</v>
      </c>
      <c r="AO44" s="186" t="n">
        <f aca="false">IFERROR(AO43/AO22,0)</f>
        <v>0.324846094642951</v>
      </c>
      <c r="AP44" s="186" t="n">
        <f aca="false">IFERROR(AP43/AP22,0)</f>
        <v>0.349206539779966</v>
      </c>
      <c r="AQ44" s="186" t="n">
        <f aca="false">IFERROR(AQ43/AQ22,0)</f>
        <v>0.370239805151439</v>
      </c>
      <c r="AR44" s="186" t="n">
        <f aca="false">IFERROR(AR43/AR22,0)</f>
        <v>0.388198736468741</v>
      </c>
      <c r="AS44" s="186" t="n">
        <f aca="false">IFERROR(AS43/AS22,0)</f>
        <v>0.404278397478605</v>
      </c>
      <c r="AT44" s="186" t="n">
        <f aca="false">IFERROR(AT43/AT22,0)</f>
        <v>0.418439454491592</v>
      </c>
      <c r="AU44" s="186" t="n">
        <f aca="false">IFERROR(AU43/AU22,0)</f>
        <v>0.431014766376565</v>
      </c>
      <c r="AV44" s="186" t="n">
        <f aca="false">IFERROR(AV43/AV22,0)</f>
        <v>0.442214432565159</v>
      </c>
      <c r="AW44" s="186" t="n">
        <f aca="false">IFERROR(AW43/AW22,0)</f>
        <v>0.452232260697262</v>
      </c>
      <c r="AX44" s="186" t="n">
        <f aca="false">IFERROR(AX43/AX22,0)</f>
        <v>0.319819921663018</v>
      </c>
      <c r="AY44" s="186" t="n">
        <f aca="false">IFERROR(AY43/AY22,0)</f>
        <v>0.353456345998654</v>
      </c>
      <c r="AZ44" s="186" t="n">
        <f aca="false">IFERROR(AZ43/AZ22,0)</f>
        <v>0.381861806005665</v>
      </c>
      <c r="BA44" s="186" t="n">
        <f aca="false">IFERROR(BA43/BA22,0)</f>
        <v>0.40612455678462</v>
      </c>
      <c r="BB44" s="186" t="n">
        <f aca="false">IFERROR(BB43/BB22,0)</f>
        <v>0.427071766294948</v>
      </c>
      <c r="BC44" s="186" t="n">
        <f aca="false">IFERROR(BC43/BC22,0)</f>
        <v>0.445270619657088</v>
      </c>
      <c r="BD44" s="186" t="n">
        <f aca="false">IFERROR(BD43/BD22,0)</f>
        <v>0.460970825430122</v>
      </c>
      <c r="BE44" s="186" t="n">
        <f aca="false">IFERROR(BE43/BE22,0)</f>
        <v>0.475022702034726</v>
      </c>
      <c r="BF44" s="186" t="n">
        <f aca="false">IFERROR(BF43/BF22,0)</f>
        <v>0.487498486530908</v>
      </c>
      <c r="BG44" s="186" t="n">
        <f aca="false">IFERROR(BG43/BG22,0)</f>
        <v>0.498585214760353</v>
      </c>
      <c r="BH44" s="186" t="n">
        <f aca="false">IFERROR(BH43/BH22,0)</f>
        <v>0.508513282516841</v>
      </c>
      <c r="BI44" s="186" t="n">
        <f aca="false">IFERROR(BI43/BI22,0)</f>
        <v>0.517434534548459</v>
      </c>
      <c r="BJ44" s="188" t="n">
        <f aca="false">IFERROR(BJ43/BJ22,0)</f>
        <v>0.395661389039001</v>
      </c>
    </row>
    <row r="45" customFormat="false" ht="15" hidden="false" customHeight="false" outlineLevel="0" collapsed="false">
      <c r="A45" s="101" t="s">
        <v>750</v>
      </c>
      <c r="B45" s="90" t="n">
        <f aca="false">B43</f>
        <v>0</v>
      </c>
      <c r="C45" s="90" t="n">
        <f aca="false">B45+C43</f>
        <v>0</v>
      </c>
      <c r="D45" s="90" t="n">
        <f aca="false">C45+D43</f>
        <v>0</v>
      </c>
      <c r="E45" s="90" t="n">
        <f aca="false">D45+E43</f>
        <v>-1500</v>
      </c>
      <c r="F45" s="90" t="n">
        <f aca="false">E45+F43</f>
        <v>-3600</v>
      </c>
      <c r="G45" s="90" t="n">
        <f aca="false">F45+G43</f>
        <v>-5800</v>
      </c>
      <c r="H45" s="90" t="n">
        <f aca="false">G45+H43</f>
        <v>-8000</v>
      </c>
      <c r="I45" s="90" t="n">
        <f aca="false">H45+I43</f>
        <v>-10200</v>
      </c>
      <c r="J45" s="90" t="n">
        <f aca="false">I45+J43</f>
        <v>-12552.1303333333</v>
      </c>
      <c r="K45" s="90" t="n">
        <f aca="false">J45+K43</f>
        <v>-73256.8579916667</v>
      </c>
      <c r="L45" s="90" t="n">
        <f aca="false">K45+L43</f>
        <v>-104199.26575</v>
      </c>
      <c r="M45" s="90" t="n">
        <f aca="false">L45+M43</f>
        <v>-127160.798783333</v>
      </c>
      <c r="N45" s="90" t="n">
        <f aca="false">M45+N43</f>
        <v>-210299.013256763</v>
      </c>
      <c r="O45" s="90" t="n">
        <f aca="false">N45+O43</f>
        <v>-271363.794030611</v>
      </c>
      <c r="P45" s="90" t="n">
        <f aca="false">O45+P43</f>
        <v>-306643.641033269</v>
      </c>
      <c r="Q45" s="90" t="n">
        <f aca="false">P45+Q43</f>
        <v>-306697.622032206</v>
      </c>
      <c r="R45" s="90" t="n">
        <f aca="false">Q45+R43</f>
        <v>-293469.209464377</v>
      </c>
      <c r="S45" s="90" t="n">
        <f aca="false">R45+S43</f>
        <v>-267636.401087168</v>
      </c>
      <c r="T45" s="90" t="n">
        <f aca="false">S45+T43</f>
        <v>-230570.39755334</v>
      </c>
      <c r="U45" s="90" t="n">
        <f aca="false">T45+U43</f>
        <v>-183209.257142028</v>
      </c>
      <c r="V45" s="90" t="n">
        <f aca="false">U45+V43</f>
        <v>-125840.395382239</v>
      </c>
      <c r="W45" s="90" t="n">
        <f aca="false">V45+W43</f>
        <v>-29084.1956318514</v>
      </c>
      <c r="X45" s="90" t="n">
        <f aca="false">W45+X43</f>
        <v>76157.4155660317</v>
      </c>
      <c r="Y45" s="90" t="n">
        <f aca="false">X45+Y43</f>
        <v>189499.702230919</v>
      </c>
      <c r="Z45" s="90" t="n">
        <f aca="false">Y45+Z43</f>
        <v>206868.430665488</v>
      </c>
      <c r="AA45" s="90" t="n">
        <f aca="false">Z45+AA43</f>
        <v>249191.778035494</v>
      </c>
      <c r="AB45" s="90" t="n">
        <f aca="false">AA45+AB43</f>
        <v>345220.740332554</v>
      </c>
      <c r="AC45" s="90" t="n">
        <f aca="false">AB45+AC43</f>
        <v>456031.599717829</v>
      </c>
      <c r="AD45" s="90" t="n">
        <f aca="false">AC45+AD43</f>
        <v>581172.469372762</v>
      </c>
      <c r="AE45" s="90" t="n">
        <f aca="false">AD45+AE43</f>
        <v>746002.876765265</v>
      </c>
      <c r="AF45" s="90" t="n">
        <f aca="false">AE45+AF43</f>
        <v>968010.760818534</v>
      </c>
      <c r="AG45" s="90" t="n">
        <f aca="false">AF45+AG43</f>
        <v>1208464.57837375</v>
      </c>
      <c r="AH45" s="90" t="n">
        <f aca="false">AG45+AH43</f>
        <v>1466045.08692155</v>
      </c>
      <c r="AI45" s="90" t="n">
        <f aca="false">AH45+AI43</f>
        <v>1739508.97133663</v>
      </c>
      <c r="AJ45" s="90" t="n">
        <f aca="false">AI45+AJ43</f>
        <v>2027733.83949132</v>
      </c>
      <c r="AK45" s="90" t="n">
        <f aca="false">AJ45+AK43</f>
        <v>2329703.9710865</v>
      </c>
      <c r="AL45" s="90" t="n">
        <f aca="false">AK45+AL43</f>
        <v>2521416.24368225</v>
      </c>
      <c r="AM45" s="90" t="n">
        <f aca="false">AL45+AM43</f>
        <v>2761111.53795983</v>
      </c>
      <c r="AN45" s="90" t="n">
        <f aca="false">AM45+AN43</f>
        <v>3045564.49368084</v>
      </c>
      <c r="AO45" s="90" t="n">
        <f aca="false">AN45+AO43</f>
        <v>3371792.06671773</v>
      </c>
      <c r="AP45" s="90" t="n">
        <f aca="false">AO45+AP43</f>
        <v>3737058.12361218</v>
      </c>
      <c r="AQ45" s="90" t="n">
        <f aca="false">AP45+AQ43</f>
        <v>4138739.41153935</v>
      </c>
      <c r="AR45" s="90" t="n">
        <f aca="false">AQ45+AR43</f>
        <v>4574023.91073102</v>
      </c>
      <c r="AS45" s="90" t="n">
        <f aca="false">AR45+AS43</f>
        <v>5041063.68318762</v>
      </c>
      <c r="AT45" s="90" t="n">
        <f aca="false">AS45+AT43</f>
        <v>5537707.93911488</v>
      </c>
      <c r="AU45" s="90" t="n">
        <f aca="false">AT45+AU43</f>
        <v>6062033.5627884</v>
      </c>
      <c r="AV45" s="90" t="n">
        <f aca="false">AU45+AV43</f>
        <v>6612200.35437624</v>
      </c>
      <c r="AW45" s="90" t="n">
        <f aca="false">AV45+AW43</f>
        <v>7186496.79731044</v>
      </c>
      <c r="AX45" s="90" t="n">
        <f aca="false">AW45+AX43</f>
        <v>7698790.62732538</v>
      </c>
      <c r="AY45" s="90" t="n">
        <f aca="false">AX45+AY43</f>
        <v>8297086.08095391</v>
      </c>
      <c r="AZ45" s="90" t="n">
        <f aca="false">AY45+AZ43</f>
        <v>8975992.06062473</v>
      </c>
      <c r="BA45" s="90" t="n">
        <f aca="false">AZ45+BA43</f>
        <v>9730465.11001379</v>
      </c>
      <c r="BB45" s="90" t="n">
        <f aca="false">BA45+BB43</f>
        <v>10555857.0721454</v>
      </c>
      <c r="BC45" s="90" t="n">
        <f aca="false">BB45+BC43</f>
        <v>11447679.1562512</v>
      </c>
      <c r="BD45" s="90" t="n">
        <f aca="false">BC45+BD43</f>
        <v>12401288.1132133</v>
      </c>
      <c r="BE45" s="90" t="n">
        <f aca="false">BD45+BE43</f>
        <v>13413266.5977226</v>
      </c>
      <c r="BF45" s="90" t="n">
        <f aca="false">BE45+BF43</f>
        <v>14480059.3187494</v>
      </c>
      <c r="BG45" s="90" t="n">
        <f aca="false">BF45+BG43</f>
        <v>15598132.1244646</v>
      </c>
      <c r="BH45" s="90" t="n">
        <f aca="false">BG45+BH43</f>
        <v>16764328.3179609</v>
      </c>
      <c r="BI45" s="90" t="n">
        <f aca="false">BH45+BI43</f>
        <v>17975666.2648608</v>
      </c>
    </row>
    <row r="47" customFormat="false" ht="18" hidden="false" customHeight="true" outlineLevel="0" collapsed="false">
      <c r="A47" s="25" t="s">
        <v>751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</row>
    <row r="48" customFormat="false" ht="15" hidden="false" customHeight="false" outlineLevel="0" collapsed="false">
      <c r="A48" s="189" t="s">
        <v>752</v>
      </c>
      <c r="B48" s="97" t="n">
        <v>2026</v>
      </c>
      <c r="C48" s="97" t="n">
        <v>2027</v>
      </c>
      <c r="D48" s="97" t="n">
        <v>2028</v>
      </c>
      <c r="E48" s="97" t="n">
        <v>2029</v>
      </c>
      <c r="F48" s="97" t="n">
        <v>2030</v>
      </c>
      <c r="G48" s="179" t="s">
        <v>753</v>
      </c>
    </row>
    <row r="49" customFormat="false" ht="15" hidden="false" customHeight="false" outlineLevel="0" collapsed="false">
      <c r="A49" s="62" t="s">
        <v>754</v>
      </c>
      <c r="B49" s="163" t="n">
        <f aca="false">SUMIFS($B$16:$BI$16,$B$6:$BI$6,B$48)</f>
        <v>39441.8</v>
      </c>
      <c r="C49" s="163" t="n">
        <f aca="false">SUMIFS($B$16:$BI$16,$B$6:$BI$6,C$48)</f>
        <v>2878342.44871288</v>
      </c>
      <c r="D49" s="163" t="n">
        <f aca="false">SUMIFS($B$16:$BI$16,$B$6:$BI$6,D$48)</f>
        <v>8769934.84813165</v>
      </c>
      <c r="E49" s="163" t="n">
        <f aca="false">SUMIFS($B$16:$BI$16,$B$6:$BI$6,E$48)</f>
        <v>17990723.4514481</v>
      </c>
      <c r="F49" s="163" t="n">
        <f aca="false">SUMIFS($B$16:$BI$16,$B$6:$BI$6,F$48)</f>
        <v>33253920.4920794</v>
      </c>
      <c r="G49" s="182" t="n">
        <f aca="false">SUM(B49:F49)</f>
        <v>62932363.0403721</v>
      </c>
    </row>
    <row r="50" customFormat="false" ht="15" hidden="false" customHeight="false" outlineLevel="0" collapsed="false">
      <c r="A50" s="27" t="s">
        <v>755</v>
      </c>
      <c r="B50" s="164" t="n">
        <f aca="false">SUMIFS($B$19:$BI$19,$B$6:$BI$6,B$48)</f>
        <v>-6113.479</v>
      </c>
      <c r="C50" s="164" t="n">
        <f aca="false">SUMIFS($B$19:$BI$19,$B$6:$BI$6,C$48)</f>
        <v>-540250.845520307</v>
      </c>
      <c r="D50" s="164" t="n">
        <f aca="false">SUMIFS($B$19:$BI$19,$B$6:$BI$6,D$48)</f>
        <v>-1510402.22465243</v>
      </c>
      <c r="E50" s="164" t="n">
        <f aca="false">SUMIFS($B$19:$BI$19,$B$6:$BI$6,E$48)</f>
        <v>-2937885.13962148</v>
      </c>
      <c r="F50" s="164" t="n">
        <f aca="false">SUMIFS($B$19:$BI$19,$B$6:$BI$6,F$48)</f>
        <v>-5430365.21635657</v>
      </c>
      <c r="G50" s="182" t="n">
        <f aca="false">SUM(B50:F50)</f>
        <v>-10425016.9051508</v>
      </c>
    </row>
    <row r="51" customFormat="false" ht="15" hidden="false" customHeight="false" outlineLevel="0" collapsed="false">
      <c r="A51" s="27" t="s">
        <v>723</v>
      </c>
      <c r="B51" s="164" t="n">
        <f aca="false">SUMIFS($B$20:$BI$20,$B$6:$BI$6,B$48)</f>
        <v>-5028.8295</v>
      </c>
      <c r="C51" s="164" t="n">
        <f aca="false">SUMIFS($B$20:$BI$20,$B$6:$BI$6,C$48)</f>
        <v>-332770.41864</v>
      </c>
      <c r="D51" s="164" t="n">
        <f aca="false">SUMIFS($B$20:$BI$20,$B$6:$BI$6,D$48)</f>
        <v>-913689.413969062</v>
      </c>
      <c r="E51" s="164" t="n">
        <f aca="false">SUMIFS($B$20:$BI$20,$B$6:$BI$6,E$48)</f>
        <v>-1743109.69794</v>
      </c>
      <c r="F51" s="164" t="n">
        <f aca="false">SUMIFS($B$20:$BI$20,$B$6:$BI$6,F$48)</f>
        <v>-3192823.50475101</v>
      </c>
      <c r="G51" s="182" t="n">
        <f aca="false">SUM(B51:F51)</f>
        <v>-6187421.86480007</v>
      </c>
    </row>
    <row r="52" customFormat="false" ht="15" hidden="false" customHeight="false" outlineLevel="0" collapsed="false">
      <c r="A52" s="27" t="s">
        <v>725</v>
      </c>
      <c r="B52" s="164" t="n">
        <f aca="false">SUMIFS($B$21:$BI$21,$B$6:$BI$6,B$48)</f>
        <v>-266.23215</v>
      </c>
      <c r="C52" s="164" t="n">
        <f aca="false">SUMIFS($B$21:$BI$21,$B$6:$BI$6,C$48)</f>
        <v>-29694.2846000796</v>
      </c>
      <c r="D52" s="164" t="n">
        <f aca="false">SUMIFS($B$21:$BI$21,$B$6:$BI$6,D$48)</f>
        <v>-108390.243975206</v>
      </c>
      <c r="E52" s="164" t="n">
        <f aca="false">SUMIFS($B$21:$BI$21,$B$6:$BI$6,E$48)</f>
        <v>-248849.645933167</v>
      </c>
      <c r="F52" s="164" t="n">
        <f aca="false">SUMIFS($B$21:$BI$21,$B$6:$BI$6,F$48)</f>
        <v>-500779.370718273</v>
      </c>
      <c r="G52" s="182" t="n">
        <f aca="false">SUM(B52:F52)</f>
        <v>-887979.777376725</v>
      </c>
    </row>
    <row r="53" customFormat="false" ht="15" hidden="false" customHeight="false" outlineLevel="0" collapsed="false">
      <c r="A53" s="62" t="s">
        <v>756</v>
      </c>
      <c r="B53" s="163" t="n">
        <f aca="false">SUMIFS($B$22:$BI$22,$B$6:$BI$6,B$48)</f>
        <v>28033.25935</v>
      </c>
      <c r="C53" s="163" t="n">
        <f aca="false">SUMIFS($B$22:$BI$22,$B$6:$BI$6,C$48)</f>
        <v>1975626.89995249</v>
      </c>
      <c r="D53" s="163" t="n">
        <f aca="false">SUMIFS($B$22:$BI$22,$B$6:$BI$6,D$48)</f>
        <v>6237452.96553495</v>
      </c>
      <c r="E53" s="163" t="n">
        <f aca="false">SUMIFS($B$22:$BI$22,$B$6:$BI$6,E$48)</f>
        <v>13060878.9679535</v>
      </c>
      <c r="F53" s="163" t="n">
        <f aca="false">SUMIFS($B$22:$BI$22,$B$6:$BI$6,F$48)</f>
        <v>24129952.4002536</v>
      </c>
      <c r="G53" s="182" t="n">
        <f aca="false">SUM(B53:F53)</f>
        <v>45431944.4930445</v>
      </c>
    </row>
    <row r="54" customFormat="false" ht="15" hidden="false" customHeight="false" outlineLevel="0" collapsed="false">
      <c r="A54" s="27" t="s">
        <v>728</v>
      </c>
      <c r="B54" s="164" t="n">
        <f aca="false">SUMIFS($B$25:$BI$25,$B$6:$BI$6,B$48)</f>
        <v>-9791.8368</v>
      </c>
      <c r="C54" s="164" t="n">
        <f aca="false">SUMIFS($B$25:$BI$25,$B$6:$BI$6,C$48)</f>
        <v>-211189.101604906</v>
      </c>
      <c r="D54" s="164" t="n">
        <f aca="false">SUMIFS($B$25:$BI$25,$B$6:$BI$6,D$48)</f>
        <v>-524043.288929369</v>
      </c>
      <c r="E54" s="164" t="n">
        <f aca="false">SUMIFS($B$25:$BI$25,$B$6:$BI$6,E$48)</f>
        <v>-887766.658667064</v>
      </c>
      <c r="F54" s="164" t="n">
        <f aca="false">SUMIFS($B$25:$BI$25,$B$6:$BI$6,F$48)</f>
        <v>-1422666.04768762</v>
      </c>
      <c r="G54" s="182" t="n">
        <f aca="false">SUM(B54:F54)</f>
        <v>-3055456.93368896</v>
      </c>
    </row>
    <row r="55" customFormat="false" ht="15" hidden="false" customHeight="false" outlineLevel="0" collapsed="false">
      <c r="A55" s="27" t="s">
        <v>729</v>
      </c>
      <c r="B55" s="164" t="n">
        <f aca="false">SUMIFS($B$26:$BI$26,$B$6:$BI$6,B$48)</f>
        <v>-693.7</v>
      </c>
      <c r="C55" s="164" t="n">
        <f aca="false">SUMIFS($B$26:$BI$26,$B$6:$BI$6,C$48)</f>
        <v>-37129.4</v>
      </c>
      <c r="D55" s="164" t="n">
        <f aca="false">SUMIFS($B$26:$BI$26,$B$6:$BI$6,D$48)</f>
        <v>-75633</v>
      </c>
      <c r="E55" s="164" t="n">
        <f aca="false">SUMIFS($B$26:$BI$26,$B$6:$BI$6,E$48)</f>
        <v>-127333.92</v>
      </c>
      <c r="F55" s="164" t="n">
        <f aca="false">SUMIFS($B$26:$BI$26,$B$6:$BI$6,F$48)</f>
        <v>-194946</v>
      </c>
      <c r="G55" s="182" t="n">
        <f aca="false">SUM(B55:F55)</f>
        <v>-435736.02</v>
      </c>
    </row>
    <row r="56" customFormat="false" ht="15" hidden="false" customHeight="false" outlineLevel="0" collapsed="false">
      <c r="A56" s="62" t="s">
        <v>730</v>
      </c>
      <c r="B56" s="163" t="n">
        <f aca="false">SUMIFS($B$27:$BI$27,$B$6:$BI$6,B$48)</f>
        <v>17547.72255</v>
      </c>
      <c r="C56" s="163" t="n">
        <f aca="false">SUMIFS($B$27:$BI$27,$B$6:$BI$6,C$48)</f>
        <v>1727308.39834759</v>
      </c>
      <c r="D56" s="163" t="n">
        <f aca="false">SUMIFS($B$27:$BI$27,$B$6:$BI$6,D$48)</f>
        <v>5637776.67660558</v>
      </c>
      <c r="E56" s="163" t="n">
        <f aca="false">SUMIFS($B$27:$BI$27,$B$6:$BI$6,E$48)</f>
        <v>12045778.3892864</v>
      </c>
      <c r="F56" s="163" t="n">
        <f aca="false">SUMIFS($B$27:$BI$27,$B$6:$BI$6,F$48)</f>
        <v>22512340.352566</v>
      </c>
      <c r="G56" s="182" t="n">
        <f aca="false">SUM(B56:F56)</f>
        <v>41940751.5393556</v>
      </c>
    </row>
    <row r="57" customFormat="false" ht="15" hidden="false" customHeight="false" outlineLevel="0" collapsed="false">
      <c r="A57" s="27" t="s">
        <v>757</v>
      </c>
      <c r="B57" s="170" t="n">
        <f aca="false">IFERROR(B56/B53,0)</f>
        <v>0.625960839262881</v>
      </c>
      <c r="C57" s="170" t="n">
        <f aca="false">IFERROR(C56/C53,0)</f>
        <v>0.874309009656187</v>
      </c>
      <c r="D57" s="170" t="n">
        <f aca="false">IFERROR(D56/D53,0)</f>
        <v>0.903858787834894</v>
      </c>
      <c r="E57" s="170" t="n">
        <f aca="false">IFERROR(E56/E53,0)</f>
        <v>0.922279305921314</v>
      </c>
      <c r="F57" s="170" t="n">
        <f aca="false">IFERROR(F56/F53,0)</f>
        <v>0.932962484929286</v>
      </c>
      <c r="G57" s="190" t="n">
        <f aca="false">IFERROR(G56/G53,0)</f>
        <v>0.923155546330986</v>
      </c>
    </row>
    <row r="58" customFormat="false" ht="15" hidden="false" customHeight="false" outlineLevel="0" collapsed="false">
      <c r="A58" s="27" t="s">
        <v>758</v>
      </c>
      <c r="B58" s="164" t="n">
        <f aca="false">SUMIFS($B$31:$BI$31,$B$6:$BI$6,B$48)</f>
        <v>0</v>
      </c>
      <c r="C58" s="164" t="n">
        <f aca="false">SUMIFS($B$31:$BI$31,$B$6:$BI$6,C$48)</f>
        <v>-510000</v>
      </c>
      <c r="D58" s="164" t="n">
        <f aca="false">SUMIFS($B$31:$BI$31,$B$6:$BI$6,D$48)</f>
        <v>-1410000</v>
      </c>
      <c r="E58" s="164" t="n">
        <f aca="false">SUMIFS($B$31:$BI$31,$B$6:$BI$6,E$48)</f>
        <v>-3039600</v>
      </c>
      <c r="F58" s="164" t="n">
        <f aca="false">SUMIFS($B$31:$BI$31,$B$6:$BI$6,F$48)</f>
        <v>-4491600</v>
      </c>
      <c r="G58" s="182" t="n">
        <f aca="false">SUM(B58:F58)</f>
        <v>-9451200</v>
      </c>
    </row>
    <row r="59" customFormat="false" ht="15" hidden="false" customHeight="false" outlineLevel="0" collapsed="false">
      <c r="A59" s="27" t="s">
        <v>734</v>
      </c>
      <c r="B59" s="164" t="n">
        <f aca="false">SUMIFS($B$32:$BI$32,$B$6:$BI$6,B$48)</f>
        <v>-129025</v>
      </c>
      <c r="C59" s="164" t="n">
        <f aca="false">SUMIFS($B$32:$BI$32,$B$6:$BI$6,C$48)</f>
        <v>-816939</v>
      </c>
      <c r="D59" s="164" t="n">
        <f aca="false">SUMIFS($B$32:$BI$32,$B$6:$BI$6,D$48)</f>
        <v>-1770246.84375</v>
      </c>
      <c r="E59" s="164" t="n">
        <f aca="false">SUMIFS($B$32:$BI$32,$B$6:$BI$6,E$48)</f>
        <v>-3408059.9990625</v>
      </c>
      <c r="F59" s="164" t="n">
        <f aca="false">SUMIFS($B$32:$BI$32,$B$6:$BI$6,F$48)</f>
        <v>-5884745.32101562</v>
      </c>
      <c r="G59" s="182" t="n">
        <f aca="false">SUM(B59:F59)</f>
        <v>-12009016.1638281</v>
      </c>
    </row>
    <row r="60" customFormat="false" ht="15" hidden="false" customHeight="false" outlineLevel="0" collapsed="false">
      <c r="A60" s="27" t="s">
        <v>736</v>
      </c>
      <c r="B60" s="164" t="n">
        <f aca="false">SUMIFS($B$33:$BI$33,$B$6:$BI$6,B$48)</f>
        <v>-13500</v>
      </c>
      <c r="C60" s="164" t="n">
        <f aca="false">SUMIFS($B$33:$BI$33,$B$6:$BI$6,C$48)</f>
        <v>-72000</v>
      </c>
      <c r="D60" s="164" t="n">
        <f aca="false">SUMIFS($B$33:$BI$33,$B$6:$BI$6,D$48)</f>
        <v>-300000</v>
      </c>
      <c r="E60" s="164" t="n">
        <f aca="false">SUMIFS($B$33:$BI$33,$B$6:$BI$6,E$48)</f>
        <v>-720000</v>
      </c>
      <c r="F60" s="164" t="n">
        <f aca="false">SUMIFS($B$33:$BI$33,$B$6:$BI$6,F$48)</f>
        <v>-1320000</v>
      </c>
      <c r="G60" s="182" t="n">
        <f aca="false">SUM(B60:F60)</f>
        <v>-2425500</v>
      </c>
    </row>
    <row r="61" customFormat="false" ht="15" hidden="false" customHeight="false" outlineLevel="0" collapsed="false">
      <c r="A61" s="62" t="s">
        <v>737</v>
      </c>
      <c r="B61" s="163" t="n">
        <f aca="false">SUMIFS($B$34:$BI$34,$B$6:$BI$6,B$48)</f>
        <v>-124977.27745</v>
      </c>
      <c r="C61" s="163" t="n">
        <f aca="false">SUMIFS($B$34:$BI$34,$B$6:$BI$6,C$48)</f>
        <v>328369.398347586</v>
      </c>
      <c r="D61" s="163" t="n">
        <f aca="false">SUMIFS($B$34:$BI$34,$B$6:$BI$6,D$48)</f>
        <v>2157529.83285558</v>
      </c>
      <c r="E61" s="163" t="n">
        <f aca="false">SUMIFS($B$34:$BI$34,$B$6:$BI$6,E$48)</f>
        <v>4878118.39022393</v>
      </c>
      <c r="F61" s="163" t="n">
        <f aca="false">SUMIFS($B$34:$BI$34,$B$6:$BI$6,F$48)</f>
        <v>10815995.0315503</v>
      </c>
      <c r="G61" s="182" t="n">
        <f aca="false">SUM(B61:F61)</f>
        <v>18055035.3755274</v>
      </c>
    </row>
    <row r="62" customFormat="false" ht="15" hidden="false" customHeight="false" outlineLevel="0" collapsed="false">
      <c r="A62" s="27" t="s">
        <v>759</v>
      </c>
      <c r="B62" s="170" t="n">
        <f aca="false">IFERROR(B61/B53,0)</f>
        <v>-4.45817861881979</v>
      </c>
      <c r="C62" s="170" t="n">
        <f aca="false">IFERROR(C61/C53,0)</f>
        <v>0.166210228437101</v>
      </c>
      <c r="D62" s="170" t="n">
        <f aca="false">IFERROR(D61/D53,0)</f>
        <v>0.345899174675467</v>
      </c>
      <c r="E62" s="170" t="n">
        <f aca="false">IFERROR(E61/E53,0)</f>
        <v>0.37349081958366</v>
      </c>
      <c r="F62" s="170" t="n">
        <f aca="false">IFERROR(F61/F53,0)</f>
        <v>0.44823938531419</v>
      </c>
      <c r="G62" s="190" t="n">
        <f aca="false">IFERROR(G61/G53,0)</f>
        <v>0.397408378113589</v>
      </c>
    </row>
    <row r="63" customFormat="false" ht="15" hidden="false" customHeight="false" outlineLevel="0" collapsed="false">
      <c r="A63" s="27" t="s">
        <v>740</v>
      </c>
      <c r="B63" s="164" t="n">
        <f aca="false">SUMIFS($B$38:$BI$38,$B$6:$BI$6,B$48)</f>
        <v>-2183.52133333333</v>
      </c>
      <c r="C63" s="164" t="n">
        <f aca="false">SUMIFS($B$38:$BI$38,$B$6:$BI$6,C$48)</f>
        <v>-11708.8973333333</v>
      </c>
      <c r="D63" s="164" t="n">
        <f aca="false">SUMIFS($B$38:$BI$38,$B$6:$BI$6,D$48)</f>
        <v>-17325.564</v>
      </c>
      <c r="E63" s="164" t="n">
        <f aca="false">SUMIFS($B$38:$BI$38,$B$6:$BI$6,E$48)</f>
        <v>-21325.564</v>
      </c>
      <c r="F63" s="164" t="n">
        <f aca="false">SUMIFS($B$38:$BI$38,$B$6:$BI$6,F$48)</f>
        <v>-26825.564</v>
      </c>
      <c r="G63" s="182" t="n">
        <f aca="false">SUM(B63:F63)</f>
        <v>-79369.1106666667</v>
      </c>
    </row>
    <row r="64" customFormat="false" ht="15" hidden="false" customHeight="false" outlineLevel="0" collapsed="false">
      <c r="A64" s="62" t="s">
        <v>760</v>
      </c>
      <c r="B64" s="163" t="n">
        <f aca="false">SUMIFS($B$39:$BI$39,$B$6:$BI$6,B$48)</f>
        <v>-127160.798783333</v>
      </c>
      <c r="C64" s="163" t="n">
        <f aca="false">SUMIFS($B$39:$BI$39,$B$6:$BI$6,C$48)</f>
        <v>316660.501014253</v>
      </c>
      <c r="D64" s="163" t="n">
        <f aca="false">SUMIFS($B$39:$BI$39,$B$6:$BI$6,D$48)</f>
        <v>2140204.26885558</v>
      </c>
      <c r="E64" s="163" t="n">
        <f aca="false">SUMIFS($B$39:$BI$39,$B$6:$BI$6,E$48)</f>
        <v>4856792.82622393</v>
      </c>
      <c r="F64" s="163" t="n">
        <f aca="false">SUMIFS($B$39:$BI$39,$B$6:$BI$6,F$48)</f>
        <v>10789169.4675503</v>
      </c>
      <c r="G64" s="182" t="n">
        <f aca="false">SUM(B64:F64)</f>
        <v>17975666.2648608</v>
      </c>
    </row>
    <row r="65" customFormat="false" ht="15" hidden="false" customHeight="false" outlineLevel="0" collapsed="false">
      <c r="A65" s="62" t="s">
        <v>761</v>
      </c>
      <c r="B65" s="163" t="n">
        <f aca="false">SUMIFS($B$43:$BI$43,$B$6:$BI$6,B$48)</f>
        <v>-127160.798783333</v>
      </c>
      <c r="C65" s="163" t="n">
        <f aca="false">SUMIFS($B$43:$BI$43,$B$6:$BI$6,C$48)</f>
        <v>316660.501014253</v>
      </c>
      <c r="D65" s="163" t="n">
        <f aca="false">SUMIFS($B$43:$BI$43,$B$6:$BI$6,D$48)</f>
        <v>2140204.26885558</v>
      </c>
      <c r="E65" s="163" t="n">
        <f aca="false">SUMIFS($B$43:$BI$43,$B$6:$BI$6,E$48)</f>
        <v>4856792.82622393</v>
      </c>
      <c r="F65" s="163" t="n">
        <f aca="false">SUMIFS($B$43:$BI$43,$B$6:$BI$6,F$48)</f>
        <v>10789169.4675503</v>
      </c>
      <c r="G65" s="182" t="n">
        <f aca="false">SUM(B65:F65)</f>
        <v>17975666.2648608</v>
      </c>
    </row>
    <row r="66" customFormat="false" ht="15" hidden="false" customHeight="false" outlineLevel="0" collapsed="false">
      <c r="A66" s="27" t="s">
        <v>762</v>
      </c>
      <c r="B66" s="170" t="n">
        <f aca="false">IFERROR(B65/B53,0)</f>
        <v>-4.53606900274097</v>
      </c>
      <c r="C66" s="170" t="n">
        <f aca="false">IFERROR(C65/C53,0)</f>
        <v>0.160283554056622</v>
      </c>
      <c r="D66" s="170" t="n">
        <f aca="false">IFERROR(D65/D53,0)</f>
        <v>0.343121508199145</v>
      </c>
      <c r="E66" s="170" t="n">
        <f aca="false">IFERROR(E65/E53,0)</f>
        <v>0.371858037896277</v>
      </c>
      <c r="F66" s="170" t="n">
        <f aca="false">IFERROR(F65/F53,0)</f>
        <v>0.447127673050733</v>
      </c>
      <c r="G66" s="190" t="n">
        <f aca="false">IFERROR(G65/G53,0)</f>
        <v>0.395661389039001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040"/>
    <pageSetUpPr fitToPage="false"/>
  </sheetPr>
  <dimension ref="A1:B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1" min="2" style="0" width="11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763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79" t="str">
        <f aca="false">" Cenário ativo: "&amp;Premissas!B7</f>
        <v> Cenário ativo: PROVÁVEL</v>
      </c>
    </row>
    <row r="4" customFormat="false" ht="15" hidden="false" customHeight="false" outlineLevel="0" collapsed="false">
      <c r="A4" s="52" t="s">
        <v>229</v>
      </c>
      <c r="B4" s="53" t="n">
        <v>46023</v>
      </c>
      <c r="C4" s="53" t="n">
        <v>46054</v>
      </c>
      <c r="D4" s="53" t="n">
        <v>46082</v>
      </c>
      <c r="E4" s="53" t="n">
        <v>46113</v>
      </c>
      <c r="F4" s="53" t="n">
        <v>46143</v>
      </c>
      <c r="G4" s="53" t="n">
        <v>46174</v>
      </c>
      <c r="H4" s="53" t="n">
        <v>46204</v>
      </c>
      <c r="I4" s="53" t="n">
        <v>46235</v>
      </c>
      <c r="J4" s="53" t="n">
        <v>46266</v>
      </c>
      <c r="K4" s="53" t="n">
        <v>46296</v>
      </c>
      <c r="L4" s="53" t="n">
        <v>46327</v>
      </c>
      <c r="M4" s="53" t="n">
        <v>46357</v>
      </c>
      <c r="N4" s="53" t="n">
        <v>46388</v>
      </c>
      <c r="O4" s="53" t="n">
        <v>46419</v>
      </c>
      <c r="P4" s="53" t="n">
        <v>46447</v>
      </c>
      <c r="Q4" s="53" t="n">
        <v>46478</v>
      </c>
      <c r="R4" s="53" t="n">
        <v>46508</v>
      </c>
      <c r="S4" s="53" t="n">
        <v>46539</v>
      </c>
      <c r="T4" s="53" t="n">
        <v>46569</v>
      </c>
      <c r="U4" s="53" t="n">
        <v>46600</v>
      </c>
      <c r="V4" s="53" t="n">
        <v>46631</v>
      </c>
      <c r="W4" s="53" t="n">
        <v>46661</v>
      </c>
      <c r="X4" s="53" t="n">
        <v>46692</v>
      </c>
      <c r="Y4" s="53" t="n">
        <v>46722</v>
      </c>
      <c r="Z4" s="53" t="n">
        <v>46753</v>
      </c>
      <c r="AA4" s="53" t="n">
        <v>46784</v>
      </c>
      <c r="AB4" s="53" t="n">
        <v>46813</v>
      </c>
      <c r="AC4" s="53" t="n">
        <v>46844</v>
      </c>
      <c r="AD4" s="53" t="n">
        <v>46874</v>
      </c>
      <c r="AE4" s="53" t="n">
        <v>46905</v>
      </c>
      <c r="AF4" s="53" t="n">
        <v>46935</v>
      </c>
      <c r="AG4" s="53" t="n">
        <v>46966</v>
      </c>
      <c r="AH4" s="53" t="n">
        <v>46997</v>
      </c>
      <c r="AI4" s="53" t="n">
        <v>47027</v>
      </c>
      <c r="AJ4" s="53" t="n">
        <v>47058</v>
      </c>
      <c r="AK4" s="53" t="n">
        <v>47088</v>
      </c>
      <c r="AL4" s="53" t="n">
        <v>47119</v>
      </c>
      <c r="AM4" s="53" t="n">
        <v>47150</v>
      </c>
      <c r="AN4" s="53" t="n">
        <v>47178</v>
      </c>
      <c r="AO4" s="53" t="n">
        <v>47209</v>
      </c>
      <c r="AP4" s="53" t="n">
        <v>47239</v>
      </c>
      <c r="AQ4" s="53" t="n">
        <v>47270</v>
      </c>
      <c r="AR4" s="53" t="n">
        <v>47300</v>
      </c>
      <c r="AS4" s="53" t="n">
        <v>47331</v>
      </c>
      <c r="AT4" s="53" t="n">
        <v>47362</v>
      </c>
      <c r="AU4" s="53" t="n">
        <v>47392</v>
      </c>
      <c r="AV4" s="53" t="n">
        <v>47423</v>
      </c>
      <c r="AW4" s="53" t="n">
        <v>47453</v>
      </c>
      <c r="AX4" s="53" t="n">
        <v>47484</v>
      </c>
      <c r="AY4" s="53" t="n">
        <v>47515</v>
      </c>
      <c r="AZ4" s="53" t="n">
        <v>47543</v>
      </c>
      <c r="BA4" s="53" t="n">
        <v>47574</v>
      </c>
      <c r="BB4" s="53" t="n">
        <v>47604</v>
      </c>
      <c r="BC4" s="53" t="n">
        <v>47635</v>
      </c>
      <c r="BD4" s="53" t="n">
        <v>47665</v>
      </c>
      <c r="BE4" s="53" t="n">
        <v>47696</v>
      </c>
      <c r="BF4" s="53" t="n">
        <v>47727</v>
      </c>
      <c r="BG4" s="53" t="n">
        <v>47757</v>
      </c>
      <c r="BH4" s="53" t="n">
        <v>47788</v>
      </c>
      <c r="BI4" s="53" t="n">
        <v>47818</v>
      </c>
      <c r="BJ4" s="54" t="s">
        <v>230</v>
      </c>
      <c r="BK4" s="54" t="s">
        <v>231</v>
      </c>
    </row>
    <row r="5" customFormat="false" ht="15" hidden="false" customHeight="false" outlineLevel="0" collapsed="false">
      <c r="A5" s="55" t="s">
        <v>232</v>
      </c>
      <c r="B5" s="56" t="n">
        <v>1</v>
      </c>
      <c r="C5" s="56" t="n">
        <v>2</v>
      </c>
      <c r="D5" s="56" t="n">
        <v>3</v>
      </c>
      <c r="E5" s="56" t="n">
        <v>4</v>
      </c>
      <c r="F5" s="56" t="n">
        <v>5</v>
      </c>
      <c r="G5" s="56" t="n">
        <v>6</v>
      </c>
      <c r="H5" s="56" t="n">
        <v>7</v>
      </c>
      <c r="I5" s="56" t="n">
        <v>8</v>
      </c>
      <c r="J5" s="56" t="n">
        <v>9</v>
      </c>
      <c r="K5" s="56" t="n">
        <v>10</v>
      </c>
      <c r="L5" s="56" t="n">
        <v>11</v>
      </c>
      <c r="M5" s="56" t="n">
        <v>12</v>
      </c>
      <c r="N5" s="56" t="n">
        <v>13</v>
      </c>
      <c r="O5" s="56" t="n">
        <v>14</v>
      </c>
      <c r="P5" s="56" t="n">
        <v>15</v>
      </c>
      <c r="Q5" s="56" t="n">
        <v>16</v>
      </c>
      <c r="R5" s="56" t="n">
        <v>17</v>
      </c>
      <c r="S5" s="56" t="n">
        <v>18</v>
      </c>
      <c r="T5" s="56" t="n">
        <v>19</v>
      </c>
      <c r="U5" s="56" t="n">
        <v>20</v>
      </c>
      <c r="V5" s="56" t="n">
        <v>21</v>
      </c>
      <c r="W5" s="56" t="n">
        <v>22</v>
      </c>
      <c r="X5" s="56" t="n">
        <v>23</v>
      </c>
      <c r="Y5" s="56" t="n">
        <v>24</v>
      </c>
      <c r="Z5" s="56" t="n">
        <v>25</v>
      </c>
      <c r="AA5" s="56" t="n">
        <v>26</v>
      </c>
      <c r="AB5" s="56" t="n">
        <v>27</v>
      </c>
      <c r="AC5" s="56" t="n">
        <v>28</v>
      </c>
      <c r="AD5" s="56" t="n">
        <v>29</v>
      </c>
      <c r="AE5" s="56" t="n">
        <v>30</v>
      </c>
      <c r="AF5" s="56" t="n">
        <v>31</v>
      </c>
      <c r="AG5" s="56" t="n">
        <v>32</v>
      </c>
      <c r="AH5" s="56" t="n">
        <v>33</v>
      </c>
      <c r="AI5" s="56" t="n">
        <v>34</v>
      </c>
      <c r="AJ5" s="56" t="n">
        <v>35</v>
      </c>
      <c r="AK5" s="56" t="n">
        <v>36</v>
      </c>
      <c r="AL5" s="56" t="n">
        <v>37</v>
      </c>
      <c r="AM5" s="56" t="n">
        <v>38</v>
      </c>
      <c r="AN5" s="56" t="n">
        <v>39</v>
      </c>
      <c r="AO5" s="56" t="n">
        <v>40</v>
      </c>
      <c r="AP5" s="56" t="n">
        <v>41</v>
      </c>
      <c r="AQ5" s="56" t="n">
        <v>42</v>
      </c>
      <c r="AR5" s="56" t="n">
        <v>43</v>
      </c>
      <c r="AS5" s="56" t="n">
        <v>44</v>
      </c>
      <c r="AT5" s="56" t="n">
        <v>45</v>
      </c>
      <c r="AU5" s="56" t="n">
        <v>46</v>
      </c>
      <c r="AV5" s="56" t="n">
        <v>47</v>
      </c>
      <c r="AW5" s="56" t="n">
        <v>48</v>
      </c>
      <c r="AX5" s="56" t="n">
        <v>49</v>
      </c>
      <c r="AY5" s="56" t="n">
        <v>50</v>
      </c>
      <c r="AZ5" s="56" t="n">
        <v>51</v>
      </c>
      <c r="BA5" s="56" t="n">
        <v>52</v>
      </c>
      <c r="BB5" s="56" t="n">
        <v>53</v>
      </c>
      <c r="BC5" s="56" t="n">
        <v>54</v>
      </c>
      <c r="BD5" s="56" t="n">
        <v>55</v>
      </c>
      <c r="BE5" s="56" t="n">
        <v>56</v>
      </c>
      <c r="BF5" s="56" t="n">
        <v>57</v>
      </c>
      <c r="BG5" s="56" t="n">
        <v>58</v>
      </c>
      <c r="BH5" s="56" t="n">
        <v>59</v>
      </c>
      <c r="BI5" s="56" t="n">
        <v>60</v>
      </c>
    </row>
    <row r="6" customFormat="false" ht="15" hidden="false" customHeight="false" outlineLevel="0" collapsed="false">
      <c r="A6" s="55" t="s">
        <v>233</v>
      </c>
      <c r="B6" s="57" t="n">
        <f aca="false">YEAR(B4)</f>
        <v>2026</v>
      </c>
      <c r="C6" s="57" t="n">
        <f aca="false">YEAR(C4)</f>
        <v>2026</v>
      </c>
      <c r="D6" s="57" t="n">
        <f aca="false">YEAR(D4)</f>
        <v>2026</v>
      </c>
      <c r="E6" s="57" t="n">
        <f aca="false">YEAR(E4)</f>
        <v>2026</v>
      </c>
      <c r="F6" s="57" t="n">
        <f aca="false">YEAR(F4)</f>
        <v>2026</v>
      </c>
      <c r="G6" s="57" t="n">
        <f aca="false">YEAR(G4)</f>
        <v>2026</v>
      </c>
      <c r="H6" s="57" t="n">
        <f aca="false">YEAR(H4)</f>
        <v>2026</v>
      </c>
      <c r="I6" s="57" t="n">
        <f aca="false">YEAR(I4)</f>
        <v>2026</v>
      </c>
      <c r="J6" s="57" t="n">
        <f aca="false">YEAR(J4)</f>
        <v>2026</v>
      </c>
      <c r="K6" s="57" t="n">
        <f aca="false">YEAR(K4)</f>
        <v>2026</v>
      </c>
      <c r="L6" s="57" t="n">
        <f aca="false">YEAR(L4)</f>
        <v>2026</v>
      </c>
      <c r="M6" s="57" t="n">
        <f aca="false">YEAR(M4)</f>
        <v>2026</v>
      </c>
      <c r="N6" s="57" t="n">
        <f aca="false">YEAR(N4)</f>
        <v>2027</v>
      </c>
      <c r="O6" s="57" t="n">
        <f aca="false">YEAR(O4)</f>
        <v>2027</v>
      </c>
      <c r="P6" s="57" t="n">
        <f aca="false">YEAR(P4)</f>
        <v>2027</v>
      </c>
      <c r="Q6" s="57" t="n">
        <f aca="false">YEAR(Q4)</f>
        <v>2027</v>
      </c>
      <c r="R6" s="57" t="n">
        <f aca="false">YEAR(R4)</f>
        <v>2027</v>
      </c>
      <c r="S6" s="57" t="n">
        <f aca="false">YEAR(S4)</f>
        <v>2027</v>
      </c>
      <c r="T6" s="57" t="n">
        <f aca="false">YEAR(T4)</f>
        <v>2027</v>
      </c>
      <c r="U6" s="57" t="n">
        <f aca="false">YEAR(U4)</f>
        <v>2027</v>
      </c>
      <c r="V6" s="57" t="n">
        <f aca="false">YEAR(V4)</f>
        <v>2027</v>
      </c>
      <c r="W6" s="57" t="n">
        <f aca="false">YEAR(W4)</f>
        <v>2027</v>
      </c>
      <c r="X6" s="57" t="n">
        <f aca="false">YEAR(X4)</f>
        <v>2027</v>
      </c>
      <c r="Y6" s="57" t="n">
        <f aca="false">YEAR(Y4)</f>
        <v>2027</v>
      </c>
      <c r="Z6" s="57" t="n">
        <f aca="false">YEAR(Z4)</f>
        <v>2028</v>
      </c>
      <c r="AA6" s="57" t="n">
        <f aca="false">YEAR(AA4)</f>
        <v>2028</v>
      </c>
      <c r="AB6" s="57" t="n">
        <f aca="false">YEAR(AB4)</f>
        <v>2028</v>
      </c>
      <c r="AC6" s="57" t="n">
        <f aca="false">YEAR(AC4)</f>
        <v>2028</v>
      </c>
      <c r="AD6" s="57" t="n">
        <f aca="false">YEAR(AD4)</f>
        <v>2028</v>
      </c>
      <c r="AE6" s="57" t="n">
        <f aca="false">YEAR(AE4)</f>
        <v>2028</v>
      </c>
      <c r="AF6" s="57" t="n">
        <f aca="false">YEAR(AF4)</f>
        <v>2028</v>
      </c>
      <c r="AG6" s="57" t="n">
        <f aca="false">YEAR(AG4)</f>
        <v>2028</v>
      </c>
      <c r="AH6" s="57" t="n">
        <f aca="false">YEAR(AH4)</f>
        <v>2028</v>
      </c>
      <c r="AI6" s="57" t="n">
        <f aca="false">YEAR(AI4)</f>
        <v>2028</v>
      </c>
      <c r="AJ6" s="57" t="n">
        <f aca="false">YEAR(AJ4)</f>
        <v>2028</v>
      </c>
      <c r="AK6" s="57" t="n">
        <f aca="false">YEAR(AK4)</f>
        <v>2028</v>
      </c>
      <c r="AL6" s="57" t="n">
        <f aca="false">YEAR(AL4)</f>
        <v>2029</v>
      </c>
      <c r="AM6" s="57" t="n">
        <f aca="false">YEAR(AM4)</f>
        <v>2029</v>
      </c>
      <c r="AN6" s="57" t="n">
        <f aca="false">YEAR(AN4)</f>
        <v>2029</v>
      </c>
      <c r="AO6" s="57" t="n">
        <f aca="false">YEAR(AO4)</f>
        <v>2029</v>
      </c>
      <c r="AP6" s="57" t="n">
        <f aca="false">YEAR(AP4)</f>
        <v>2029</v>
      </c>
      <c r="AQ6" s="57" t="n">
        <f aca="false">YEAR(AQ4)</f>
        <v>2029</v>
      </c>
      <c r="AR6" s="57" t="n">
        <f aca="false">YEAR(AR4)</f>
        <v>2029</v>
      </c>
      <c r="AS6" s="57" t="n">
        <f aca="false">YEAR(AS4)</f>
        <v>2029</v>
      </c>
      <c r="AT6" s="57" t="n">
        <f aca="false">YEAR(AT4)</f>
        <v>2029</v>
      </c>
      <c r="AU6" s="57" t="n">
        <f aca="false">YEAR(AU4)</f>
        <v>2029</v>
      </c>
      <c r="AV6" s="57" t="n">
        <f aca="false">YEAR(AV4)</f>
        <v>2029</v>
      </c>
      <c r="AW6" s="57" t="n">
        <f aca="false">YEAR(AW4)</f>
        <v>2029</v>
      </c>
      <c r="AX6" s="57" t="n">
        <f aca="false">YEAR(AX4)</f>
        <v>2030</v>
      </c>
      <c r="AY6" s="57" t="n">
        <f aca="false">YEAR(AY4)</f>
        <v>2030</v>
      </c>
      <c r="AZ6" s="57" t="n">
        <f aca="false">YEAR(AZ4)</f>
        <v>2030</v>
      </c>
      <c r="BA6" s="57" t="n">
        <f aca="false">YEAR(BA4)</f>
        <v>2030</v>
      </c>
      <c r="BB6" s="57" t="n">
        <f aca="false">YEAR(BB4)</f>
        <v>2030</v>
      </c>
      <c r="BC6" s="57" t="n">
        <f aca="false">YEAR(BC4)</f>
        <v>2030</v>
      </c>
      <c r="BD6" s="57" t="n">
        <f aca="false">YEAR(BD4)</f>
        <v>2030</v>
      </c>
      <c r="BE6" s="57" t="n">
        <f aca="false">YEAR(BE4)</f>
        <v>2030</v>
      </c>
      <c r="BF6" s="57" t="n">
        <f aca="false">YEAR(BF4)</f>
        <v>2030</v>
      </c>
      <c r="BG6" s="57" t="n">
        <f aca="false">YEAR(BG4)</f>
        <v>2030</v>
      </c>
      <c r="BH6" s="57" t="n">
        <f aca="false">YEAR(BH4)</f>
        <v>2030</v>
      </c>
      <c r="BI6" s="57" t="n">
        <f aca="false">YEAR(BI4)</f>
        <v>2030</v>
      </c>
    </row>
    <row r="7" customFormat="false" ht="15" hidden="false" customHeight="false" outlineLevel="0" collapsed="false">
      <c r="A7" s="58" t="s">
        <v>234</v>
      </c>
      <c r="B7" s="59" t="n">
        <f aca="false">MATCH(B6,Premissas!$C$5:$G$5,0)</f>
        <v>1</v>
      </c>
      <c r="C7" s="59" t="n">
        <f aca="false">MATCH(C6,Premissas!$C$5:$G$5,0)</f>
        <v>1</v>
      </c>
      <c r="D7" s="59" t="n">
        <f aca="false">MATCH(D6,Premissas!$C$5:$G$5,0)</f>
        <v>1</v>
      </c>
      <c r="E7" s="59" t="n">
        <f aca="false">MATCH(E6,Premissas!$C$5:$G$5,0)</f>
        <v>1</v>
      </c>
      <c r="F7" s="59" t="n">
        <f aca="false">MATCH(F6,Premissas!$C$5:$G$5,0)</f>
        <v>1</v>
      </c>
      <c r="G7" s="59" t="n">
        <f aca="false">MATCH(G6,Premissas!$C$5:$G$5,0)</f>
        <v>1</v>
      </c>
      <c r="H7" s="59" t="n">
        <f aca="false">MATCH(H6,Premissas!$C$5:$G$5,0)</f>
        <v>1</v>
      </c>
      <c r="I7" s="59" t="n">
        <f aca="false">MATCH(I6,Premissas!$C$5:$G$5,0)</f>
        <v>1</v>
      </c>
      <c r="J7" s="59" t="n">
        <f aca="false">MATCH(J6,Premissas!$C$5:$G$5,0)</f>
        <v>1</v>
      </c>
      <c r="K7" s="59" t="n">
        <f aca="false">MATCH(K6,Premissas!$C$5:$G$5,0)</f>
        <v>1</v>
      </c>
      <c r="L7" s="59" t="n">
        <f aca="false">MATCH(L6,Premissas!$C$5:$G$5,0)</f>
        <v>1</v>
      </c>
      <c r="M7" s="59" t="n">
        <f aca="false">MATCH(M6,Premissas!$C$5:$G$5,0)</f>
        <v>1</v>
      </c>
      <c r="N7" s="59" t="n">
        <f aca="false">MATCH(N6,Premissas!$C$5:$G$5,0)</f>
        <v>2</v>
      </c>
      <c r="O7" s="59" t="n">
        <f aca="false">MATCH(O6,Premissas!$C$5:$G$5,0)</f>
        <v>2</v>
      </c>
      <c r="P7" s="59" t="n">
        <f aca="false">MATCH(P6,Premissas!$C$5:$G$5,0)</f>
        <v>2</v>
      </c>
      <c r="Q7" s="59" t="n">
        <f aca="false">MATCH(Q6,Premissas!$C$5:$G$5,0)</f>
        <v>2</v>
      </c>
      <c r="R7" s="59" t="n">
        <f aca="false">MATCH(R6,Premissas!$C$5:$G$5,0)</f>
        <v>2</v>
      </c>
      <c r="S7" s="59" t="n">
        <f aca="false">MATCH(S6,Premissas!$C$5:$G$5,0)</f>
        <v>2</v>
      </c>
      <c r="T7" s="59" t="n">
        <f aca="false">MATCH(T6,Premissas!$C$5:$G$5,0)</f>
        <v>2</v>
      </c>
      <c r="U7" s="59" t="n">
        <f aca="false">MATCH(U6,Premissas!$C$5:$G$5,0)</f>
        <v>2</v>
      </c>
      <c r="V7" s="59" t="n">
        <f aca="false">MATCH(V6,Premissas!$C$5:$G$5,0)</f>
        <v>2</v>
      </c>
      <c r="W7" s="59" t="n">
        <f aca="false">MATCH(W6,Premissas!$C$5:$G$5,0)</f>
        <v>2</v>
      </c>
      <c r="X7" s="59" t="n">
        <f aca="false">MATCH(X6,Premissas!$C$5:$G$5,0)</f>
        <v>2</v>
      </c>
      <c r="Y7" s="59" t="n">
        <f aca="false">MATCH(Y6,Premissas!$C$5:$G$5,0)</f>
        <v>2</v>
      </c>
      <c r="Z7" s="59" t="n">
        <f aca="false">MATCH(Z6,Premissas!$C$5:$G$5,0)</f>
        <v>3</v>
      </c>
      <c r="AA7" s="59" t="n">
        <f aca="false">MATCH(AA6,Premissas!$C$5:$G$5,0)</f>
        <v>3</v>
      </c>
      <c r="AB7" s="59" t="n">
        <f aca="false">MATCH(AB6,Premissas!$C$5:$G$5,0)</f>
        <v>3</v>
      </c>
      <c r="AC7" s="59" t="n">
        <f aca="false">MATCH(AC6,Premissas!$C$5:$G$5,0)</f>
        <v>3</v>
      </c>
      <c r="AD7" s="59" t="n">
        <f aca="false">MATCH(AD6,Premissas!$C$5:$G$5,0)</f>
        <v>3</v>
      </c>
      <c r="AE7" s="59" t="n">
        <f aca="false">MATCH(AE6,Premissas!$C$5:$G$5,0)</f>
        <v>3</v>
      </c>
      <c r="AF7" s="59" t="n">
        <f aca="false">MATCH(AF6,Premissas!$C$5:$G$5,0)</f>
        <v>3</v>
      </c>
      <c r="AG7" s="59" t="n">
        <f aca="false">MATCH(AG6,Premissas!$C$5:$G$5,0)</f>
        <v>3</v>
      </c>
      <c r="AH7" s="59" t="n">
        <f aca="false">MATCH(AH6,Premissas!$C$5:$G$5,0)</f>
        <v>3</v>
      </c>
      <c r="AI7" s="59" t="n">
        <f aca="false">MATCH(AI6,Premissas!$C$5:$G$5,0)</f>
        <v>3</v>
      </c>
      <c r="AJ7" s="59" t="n">
        <f aca="false">MATCH(AJ6,Premissas!$C$5:$G$5,0)</f>
        <v>3</v>
      </c>
      <c r="AK7" s="59" t="n">
        <f aca="false">MATCH(AK6,Premissas!$C$5:$G$5,0)</f>
        <v>3</v>
      </c>
      <c r="AL7" s="59" t="n">
        <f aca="false">MATCH(AL6,Premissas!$C$5:$G$5,0)</f>
        <v>4</v>
      </c>
      <c r="AM7" s="59" t="n">
        <f aca="false">MATCH(AM6,Premissas!$C$5:$G$5,0)</f>
        <v>4</v>
      </c>
      <c r="AN7" s="59" t="n">
        <f aca="false">MATCH(AN6,Premissas!$C$5:$G$5,0)</f>
        <v>4</v>
      </c>
      <c r="AO7" s="59" t="n">
        <f aca="false">MATCH(AO6,Premissas!$C$5:$G$5,0)</f>
        <v>4</v>
      </c>
      <c r="AP7" s="59" t="n">
        <f aca="false">MATCH(AP6,Premissas!$C$5:$G$5,0)</f>
        <v>4</v>
      </c>
      <c r="AQ7" s="59" t="n">
        <f aca="false">MATCH(AQ6,Premissas!$C$5:$G$5,0)</f>
        <v>4</v>
      </c>
      <c r="AR7" s="59" t="n">
        <f aca="false">MATCH(AR6,Premissas!$C$5:$G$5,0)</f>
        <v>4</v>
      </c>
      <c r="AS7" s="59" t="n">
        <f aca="false">MATCH(AS6,Premissas!$C$5:$G$5,0)</f>
        <v>4</v>
      </c>
      <c r="AT7" s="59" t="n">
        <f aca="false">MATCH(AT6,Premissas!$C$5:$G$5,0)</f>
        <v>4</v>
      </c>
      <c r="AU7" s="59" t="n">
        <f aca="false">MATCH(AU6,Premissas!$C$5:$G$5,0)</f>
        <v>4</v>
      </c>
      <c r="AV7" s="59" t="n">
        <f aca="false">MATCH(AV6,Premissas!$C$5:$G$5,0)</f>
        <v>4</v>
      </c>
      <c r="AW7" s="59" t="n">
        <f aca="false">MATCH(AW6,Premissas!$C$5:$G$5,0)</f>
        <v>4</v>
      </c>
      <c r="AX7" s="59" t="n">
        <f aca="false">MATCH(AX6,Premissas!$C$5:$G$5,0)</f>
        <v>5</v>
      </c>
      <c r="AY7" s="59" t="n">
        <f aca="false">MATCH(AY6,Premissas!$C$5:$G$5,0)</f>
        <v>5</v>
      </c>
      <c r="AZ7" s="59" t="n">
        <f aca="false">MATCH(AZ6,Premissas!$C$5:$G$5,0)</f>
        <v>5</v>
      </c>
      <c r="BA7" s="59" t="n">
        <f aca="false">MATCH(BA6,Premissas!$C$5:$G$5,0)</f>
        <v>5</v>
      </c>
      <c r="BB7" s="59" t="n">
        <f aca="false">MATCH(BB6,Premissas!$C$5:$G$5,0)</f>
        <v>5</v>
      </c>
      <c r="BC7" s="59" t="n">
        <f aca="false">MATCH(BC6,Premissas!$C$5:$G$5,0)</f>
        <v>5</v>
      </c>
      <c r="BD7" s="59" t="n">
        <f aca="false">MATCH(BD6,Premissas!$C$5:$G$5,0)</f>
        <v>5</v>
      </c>
      <c r="BE7" s="59" t="n">
        <f aca="false">MATCH(BE6,Premissas!$C$5:$G$5,0)</f>
        <v>5</v>
      </c>
      <c r="BF7" s="59" t="n">
        <f aca="false">MATCH(BF6,Premissas!$C$5:$G$5,0)</f>
        <v>5</v>
      </c>
      <c r="BG7" s="59" t="n">
        <f aca="false">MATCH(BG6,Premissas!$C$5:$G$5,0)</f>
        <v>5</v>
      </c>
      <c r="BH7" s="59" t="n">
        <f aca="false">MATCH(BH6,Premissas!$C$5:$G$5,0)</f>
        <v>5</v>
      </c>
      <c r="BI7" s="59" t="n">
        <f aca="false">MATCH(BI6,Premissas!$C$5:$G$5,0)</f>
        <v>5</v>
      </c>
    </row>
    <row r="8" customFormat="false" ht="18" hidden="false" customHeight="true" outlineLevel="0" collapsed="false">
      <c r="A8" s="25" t="s">
        <v>764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customFormat="false" ht="15" hidden="false" customHeight="false" outlineLevel="0" collapsed="false">
      <c r="A9" s="27" t="s">
        <v>765</v>
      </c>
      <c r="B9" s="67" t="n">
        <f aca="false">-Investimentos!B24</f>
        <v>-0</v>
      </c>
      <c r="C9" s="67" t="n">
        <f aca="false">-Investimentos!C24</f>
        <v>-0</v>
      </c>
      <c r="D9" s="67" t="n">
        <f aca="false">-Investimentos!D24</f>
        <v>-0</v>
      </c>
      <c r="E9" s="67" t="n">
        <f aca="false">-Investimentos!E24</f>
        <v>-0</v>
      </c>
      <c r="F9" s="67" t="n">
        <f aca="false">-Investimentos!F24</f>
        <v>-0</v>
      </c>
      <c r="G9" s="67" t="n">
        <f aca="false">-Investimentos!G24</f>
        <v>-0</v>
      </c>
      <c r="H9" s="67" t="n">
        <f aca="false">-Investimentos!H24</f>
        <v>-0</v>
      </c>
      <c r="I9" s="67" t="n">
        <f aca="false">-Investimentos!I24</f>
        <v>-0</v>
      </c>
      <c r="J9" s="67" t="n">
        <f aca="false">-Investimentos!J24</f>
        <v>-10500</v>
      </c>
      <c r="K9" s="67" t="n">
        <f aca="false">-Investimentos!K24</f>
        <v>-10500</v>
      </c>
      <c r="L9" s="67" t="n">
        <f aca="false">-Investimentos!L24</f>
        <v>-0</v>
      </c>
      <c r="M9" s="67" t="n">
        <f aca="false">-Investimentos!M24</f>
        <v>-0</v>
      </c>
      <c r="N9" s="67" t="n">
        <f aca="false">-Investimentos!N24</f>
        <v>-0</v>
      </c>
      <c r="O9" s="67" t="n">
        <f aca="false">-Investimentos!O24</f>
        <v>-0</v>
      </c>
      <c r="P9" s="67" t="n">
        <f aca="false">-Investimentos!P24</f>
        <v>-0</v>
      </c>
      <c r="Q9" s="67" t="n">
        <f aca="false">-Investimentos!Q24</f>
        <v>-0</v>
      </c>
      <c r="R9" s="67" t="n">
        <f aca="false">-Investimentos!R24</f>
        <v>-0</v>
      </c>
      <c r="S9" s="67" t="n">
        <f aca="false">-Investimentos!S24</f>
        <v>-0</v>
      </c>
      <c r="T9" s="67" t="n">
        <f aca="false">-Investimentos!T24</f>
        <v>-0</v>
      </c>
      <c r="U9" s="67" t="n">
        <f aca="false">-Investimentos!U24</f>
        <v>-0</v>
      </c>
      <c r="V9" s="67" t="n">
        <f aca="false">-Investimentos!V24</f>
        <v>-0</v>
      </c>
      <c r="W9" s="67" t="n">
        <f aca="false">-Investimentos!W24</f>
        <v>-0</v>
      </c>
      <c r="X9" s="67" t="n">
        <f aca="false">-Investimentos!X24</f>
        <v>-0</v>
      </c>
      <c r="Y9" s="67" t="n">
        <f aca="false">-Investimentos!Y24</f>
        <v>-0</v>
      </c>
      <c r="Z9" s="67" t="n">
        <f aca="false">-Investimentos!Z24</f>
        <v>-0</v>
      </c>
      <c r="AA9" s="67" t="n">
        <f aca="false">-Investimentos!AA24</f>
        <v>-0</v>
      </c>
      <c r="AB9" s="67" t="n">
        <f aca="false">-Investimentos!AB24</f>
        <v>-0</v>
      </c>
      <c r="AC9" s="67" t="n">
        <f aca="false">-Investimentos!AC24</f>
        <v>-0</v>
      </c>
      <c r="AD9" s="67" t="n">
        <f aca="false">-Investimentos!AD24</f>
        <v>-0</v>
      </c>
      <c r="AE9" s="67" t="n">
        <f aca="false">-Investimentos!AE24</f>
        <v>-0</v>
      </c>
      <c r="AF9" s="67" t="n">
        <f aca="false">-Investimentos!AF24</f>
        <v>-0</v>
      </c>
      <c r="AG9" s="67" t="n">
        <f aca="false">-Investimentos!AG24</f>
        <v>-0</v>
      </c>
      <c r="AH9" s="67" t="n">
        <f aca="false">-Investimentos!AH24</f>
        <v>-0</v>
      </c>
      <c r="AI9" s="67" t="n">
        <f aca="false">-Investimentos!AI24</f>
        <v>-0</v>
      </c>
      <c r="AJ9" s="67" t="n">
        <f aca="false">-Investimentos!AJ24</f>
        <v>-0</v>
      </c>
      <c r="AK9" s="67" t="n">
        <f aca="false">-Investimentos!AK24</f>
        <v>-0</v>
      </c>
      <c r="AL9" s="67" t="n">
        <f aca="false">-Investimentos!AL24</f>
        <v>-0</v>
      </c>
      <c r="AM9" s="67" t="n">
        <f aca="false">-Investimentos!AM24</f>
        <v>-0</v>
      </c>
      <c r="AN9" s="67" t="n">
        <f aca="false">-Investimentos!AN24</f>
        <v>-0</v>
      </c>
      <c r="AO9" s="67" t="n">
        <f aca="false">-Investimentos!AO24</f>
        <v>-0</v>
      </c>
      <c r="AP9" s="67" t="n">
        <f aca="false">-Investimentos!AP24</f>
        <v>-0</v>
      </c>
      <c r="AQ9" s="67" t="n">
        <f aca="false">-Investimentos!AQ24</f>
        <v>-0</v>
      </c>
      <c r="AR9" s="67" t="n">
        <f aca="false">-Investimentos!AR24</f>
        <v>-0</v>
      </c>
      <c r="AS9" s="67" t="n">
        <f aca="false">-Investimentos!AS24</f>
        <v>-0</v>
      </c>
      <c r="AT9" s="67" t="n">
        <f aca="false">-Investimentos!AT24</f>
        <v>-0</v>
      </c>
      <c r="AU9" s="67" t="n">
        <f aca="false">-Investimentos!AU24</f>
        <v>-0</v>
      </c>
      <c r="AV9" s="67" t="n">
        <f aca="false">-Investimentos!AV24</f>
        <v>-0</v>
      </c>
      <c r="AW9" s="67" t="n">
        <f aca="false">-Investimentos!AW24</f>
        <v>-0</v>
      </c>
      <c r="AX9" s="67" t="n">
        <f aca="false">-Investimentos!AX24</f>
        <v>-0</v>
      </c>
      <c r="AY9" s="67" t="n">
        <f aca="false">-Investimentos!AY24</f>
        <v>-0</v>
      </c>
      <c r="AZ9" s="67" t="n">
        <f aca="false">-Investimentos!AZ24</f>
        <v>-0</v>
      </c>
      <c r="BA9" s="67" t="n">
        <f aca="false">-Investimentos!BA24</f>
        <v>-0</v>
      </c>
      <c r="BB9" s="67" t="n">
        <f aca="false">-Investimentos!BB24</f>
        <v>-0</v>
      </c>
      <c r="BC9" s="67" t="n">
        <f aca="false">-Investimentos!BC24</f>
        <v>-0</v>
      </c>
      <c r="BD9" s="67" t="n">
        <f aca="false">-Investimentos!BD24</f>
        <v>-0</v>
      </c>
      <c r="BE9" s="67" t="n">
        <f aca="false">-Investimentos!BE24</f>
        <v>-0</v>
      </c>
      <c r="BF9" s="67" t="n">
        <f aca="false">-Investimentos!BF24</f>
        <v>-0</v>
      </c>
      <c r="BG9" s="67" t="n">
        <f aca="false">-Investimentos!BG24</f>
        <v>-0</v>
      </c>
      <c r="BH9" s="67" t="n">
        <f aca="false">-Investimentos!BH24</f>
        <v>-0</v>
      </c>
      <c r="BI9" s="67" t="n">
        <f aca="false">-Investimentos!BI24</f>
        <v>-0</v>
      </c>
      <c r="BJ9" s="61" t="n">
        <f aca="false">SUM(B9:BI9)</f>
        <v>-21000</v>
      </c>
      <c r="BK9" s="186" t="n">
        <f aca="false">IFERROR(BJ9/BJ$13,0)</f>
        <v>0.140818795580865</v>
      </c>
    </row>
    <row r="10" customFormat="false" ht="15" hidden="false" customHeight="false" outlineLevel="0" collapsed="false">
      <c r="A10" s="27" t="s">
        <v>766</v>
      </c>
      <c r="B10" s="67" t="n">
        <f aca="false">-Investimentos!B21</f>
        <v>-0</v>
      </c>
      <c r="C10" s="67" t="n">
        <f aca="false">-Investimentos!C21</f>
        <v>-0</v>
      </c>
      <c r="D10" s="67" t="n">
        <f aca="false">-Investimentos!D21</f>
        <v>-0</v>
      </c>
      <c r="E10" s="67" t="n">
        <f aca="false">-Investimentos!E21</f>
        <v>-0</v>
      </c>
      <c r="F10" s="67" t="n">
        <f aca="false">-Investimentos!F21</f>
        <v>-0</v>
      </c>
      <c r="G10" s="67" t="n">
        <f aca="false">-Investimentos!G21</f>
        <v>-0</v>
      </c>
      <c r="H10" s="67" t="n">
        <f aca="false">-Investimentos!H21</f>
        <v>-0</v>
      </c>
      <c r="I10" s="67" t="n">
        <f aca="false">-Investimentos!I21</f>
        <v>-9127.82</v>
      </c>
      <c r="J10" s="67" t="n">
        <f aca="false">-Investimentos!J21</f>
        <v>-0</v>
      </c>
      <c r="K10" s="67" t="n">
        <f aca="false">-Investimentos!K21</f>
        <v>-0</v>
      </c>
      <c r="L10" s="67" t="n">
        <f aca="false">-Investimentos!L21</f>
        <v>-0</v>
      </c>
      <c r="M10" s="67" t="n">
        <f aca="false">-Investimentos!M21</f>
        <v>-0</v>
      </c>
      <c r="N10" s="67" t="n">
        <f aca="false">-Investimentos!N21</f>
        <v>-0</v>
      </c>
      <c r="O10" s="67" t="n">
        <f aca="false">-Investimentos!O21</f>
        <v>-0</v>
      </c>
      <c r="P10" s="67" t="n">
        <f aca="false">-Investimentos!P21</f>
        <v>-0</v>
      </c>
      <c r="Q10" s="67" t="n">
        <f aca="false">-Investimentos!Q21</f>
        <v>-0</v>
      </c>
      <c r="R10" s="67" t="n">
        <f aca="false">-Investimentos!R21</f>
        <v>-0</v>
      </c>
      <c r="S10" s="67" t="n">
        <f aca="false">-Investimentos!S21</f>
        <v>-6000</v>
      </c>
      <c r="T10" s="67" t="n">
        <f aca="false">-Investimentos!T21</f>
        <v>-0</v>
      </c>
      <c r="U10" s="67" t="n">
        <f aca="false">-Investimentos!U21</f>
        <v>-0</v>
      </c>
      <c r="V10" s="67" t="n">
        <f aca="false">-Investimentos!V21</f>
        <v>-0</v>
      </c>
      <c r="W10" s="67" t="n">
        <f aca="false">-Investimentos!W21</f>
        <v>-0</v>
      </c>
      <c r="X10" s="67" t="n">
        <f aca="false">-Investimentos!X21</f>
        <v>-0</v>
      </c>
      <c r="Y10" s="67" t="n">
        <f aca="false">-Investimentos!Y21</f>
        <v>-0</v>
      </c>
      <c r="Z10" s="67" t="n">
        <f aca="false">-Investimentos!Z21</f>
        <v>-0</v>
      </c>
      <c r="AA10" s="67" t="n">
        <f aca="false">-Investimentos!AA21</f>
        <v>-0</v>
      </c>
      <c r="AB10" s="67" t="n">
        <f aca="false">-Investimentos!AB21</f>
        <v>-0</v>
      </c>
      <c r="AC10" s="67" t="n">
        <f aca="false">-Investimentos!AC21</f>
        <v>-0</v>
      </c>
      <c r="AD10" s="67" t="n">
        <f aca="false">-Investimentos!AD21</f>
        <v>-0</v>
      </c>
      <c r="AE10" s="67" t="n">
        <f aca="false">-Investimentos!AE21</f>
        <v>-15000</v>
      </c>
      <c r="AF10" s="67" t="n">
        <f aca="false">-Investimentos!AF21</f>
        <v>-0</v>
      </c>
      <c r="AG10" s="67" t="n">
        <f aca="false">-Investimentos!AG21</f>
        <v>-0</v>
      </c>
      <c r="AH10" s="67" t="n">
        <f aca="false">-Investimentos!AH21</f>
        <v>-0</v>
      </c>
      <c r="AI10" s="67" t="n">
        <f aca="false">-Investimentos!AI21</f>
        <v>-0</v>
      </c>
      <c r="AJ10" s="67" t="n">
        <f aca="false">-Investimentos!AJ21</f>
        <v>-0</v>
      </c>
      <c r="AK10" s="67" t="n">
        <f aca="false">-Investimentos!AK21</f>
        <v>-0</v>
      </c>
      <c r="AL10" s="67" t="n">
        <f aca="false">-Investimentos!AL21</f>
        <v>-0</v>
      </c>
      <c r="AM10" s="67" t="n">
        <f aca="false">-Investimentos!AM21</f>
        <v>-0</v>
      </c>
      <c r="AN10" s="67" t="n">
        <f aca="false">-Investimentos!AN21</f>
        <v>-0</v>
      </c>
      <c r="AO10" s="67" t="n">
        <f aca="false">-Investimentos!AO21</f>
        <v>-0</v>
      </c>
      <c r="AP10" s="67" t="n">
        <f aca="false">-Investimentos!AP21</f>
        <v>-0</v>
      </c>
      <c r="AQ10" s="67" t="n">
        <f aca="false">-Investimentos!AQ21</f>
        <v>-25000</v>
      </c>
      <c r="AR10" s="67" t="n">
        <f aca="false">-Investimentos!AR21</f>
        <v>-0</v>
      </c>
      <c r="AS10" s="67" t="n">
        <f aca="false">-Investimentos!AS21</f>
        <v>-0</v>
      </c>
      <c r="AT10" s="67" t="n">
        <f aca="false">-Investimentos!AT21</f>
        <v>-0</v>
      </c>
      <c r="AU10" s="67" t="n">
        <f aca="false">-Investimentos!AU21</f>
        <v>-0</v>
      </c>
      <c r="AV10" s="67" t="n">
        <f aca="false">-Investimentos!AV21</f>
        <v>-0</v>
      </c>
      <c r="AW10" s="67" t="n">
        <f aca="false">-Investimentos!AW21</f>
        <v>-0</v>
      </c>
      <c r="AX10" s="67" t="n">
        <f aca="false">-Investimentos!AX21</f>
        <v>-0</v>
      </c>
      <c r="AY10" s="67" t="n">
        <f aca="false">-Investimentos!AY21</f>
        <v>-0</v>
      </c>
      <c r="AZ10" s="67" t="n">
        <f aca="false">-Investimentos!AZ21</f>
        <v>-0</v>
      </c>
      <c r="BA10" s="67" t="n">
        <f aca="false">-Investimentos!BA21</f>
        <v>-0</v>
      </c>
      <c r="BB10" s="67" t="n">
        <f aca="false">-Investimentos!BB21</f>
        <v>-0</v>
      </c>
      <c r="BC10" s="67" t="n">
        <f aca="false">-Investimentos!BC21</f>
        <v>-30000</v>
      </c>
      <c r="BD10" s="67" t="n">
        <f aca="false">-Investimentos!BD21</f>
        <v>-0</v>
      </c>
      <c r="BE10" s="67" t="n">
        <f aca="false">-Investimentos!BE21</f>
        <v>-0</v>
      </c>
      <c r="BF10" s="67" t="n">
        <f aca="false">-Investimentos!BF21</f>
        <v>-0</v>
      </c>
      <c r="BG10" s="67" t="n">
        <f aca="false">-Investimentos!BG21</f>
        <v>-0</v>
      </c>
      <c r="BH10" s="67" t="n">
        <f aca="false">-Investimentos!BH21</f>
        <v>-0</v>
      </c>
      <c r="BI10" s="67" t="n">
        <f aca="false">-Investimentos!BI21</f>
        <v>-0</v>
      </c>
      <c r="BJ10" s="61" t="n">
        <f aca="false">SUM(B10:BI10)</f>
        <v>-85127.82</v>
      </c>
      <c r="BK10" s="186" t="n">
        <f aca="false">IFERROR(BJ10/BJ$13,0)</f>
        <v>0.570837956324984</v>
      </c>
    </row>
    <row r="11" customFormat="false" ht="15" hidden="false" customHeight="false" outlineLevel="0" collapsed="false">
      <c r="A11" s="27" t="s">
        <v>767</v>
      </c>
      <c r="B11" s="67" t="n">
        <f aca="false">-Investimentos!B22</f>
        <v>-0</v>
      </c>
      <c r="C11" s="67" t="n">
        <f aca="false">-Investimentos!C22</f>
        <v>-0</v>
      </c>
      <c r="D11" s="67" t="n">
        <f aca="false">-Investimentos!D22</f>
        <v>-0</v>
      </c>
      <c r="E11" s="67" t="n">
        <f aca="false">-Investimentos!E22</f>
        <v>-0</v>
      </c>
      <c r="F11" s="67" t="n">
        <f aca="false">-Investimentos!F22</f>
        <v>-6000</v>
      </c>
      <c r="G11" s="67" t="n">
        <f aca="false">-Investimentos!G22</f>
        <v>-0</v>
      </c>
      <c r="H11" s="67" t="n">
        <f aca="false">-Investimentos!H22</f>
        <v>-0</v>
      </c>
      <c r="I11" s="67" t="n">
        <f aca="false">-Investimentos!I22</f>
        <v>-0</v>
      </c>
      <c r="J11" s="67" t="n">
        <f aca="false">-Investimentos!J22</f>
        <v>-0</v>
      </c>
      <c r="K11" s="67" t="n">
        <f aca="false">-Investimentos!K22</f>
        <v>-0</v>
      </c>
      <c r="L11" s="67" t="n">
        <f aca="false">-Investimentos!L22</f>
        <v>-0</v>
      </c>
      <c r="M11" s="67" t="n">
        <f aca="false">-Investimentos!M22</f>
        <v>-0</v>
      </c>
      <c r="N11" s="67" t="n">
        <f aca="false">-Investimentos!N22</f>
        <v>-0</v>
      </c>
      <c r="O11" s="67" t="n">
        <f aca="false">-Investimentos!O22</f>
        <v>-0</v>
      </c>
      <c r="P11" s="67" t="n">
        <f aca="false">-Investimentos!P22</f>
        <v>-0</v>
      </c>
      <c r="Q11" s="67" t="n">
        <f aca="false">-Investimentos!Q22</f>
        <v>-0</v>
      </c>
      <c r="R11" s="67" t="n">
        <f aca="false">-Investimentos!R22</f>
        <v>-0</v>
      </c>
      <c r="S11" s="67" t="n">
        <f aca="false">-Investimentos!S22</f>
        <v>-0</v>
      </c>
      <c r="T11" s="67" t="n">
        <f aca="false">-Investimentos!T22</f>
        <v>-0</v>
      </c>
      <c r="U11" s="67" t="n">
        <f aca="false">-Investimentos!U22</f>
        <v>-0</v>
      </c>
      <c r="V11" s="67" t="n">
        <f aca="false">-Investimentos!V22</f>
        <v>-0</v>
      </c>
      <c r="W11" s="67" t="n">
        <f aca="false">-Investimentos!W22</f>
        <v>-0</v>
      </c>
      <c r="X11" s="67" t="n">
        <f aca="false">-Investimentos!X22</f>
        <v>-0</v>
      </c>
      <c r="Y11" s="67" t="n">
        <f aca="false">-Investimentos!Y22</f>
        <v>-0</v>
      </c>
      <c r="Z11" s="67" t="n">
        <f aca="false">-Investimentos!Z22</f>
        <v>-0</v>
      </c>
      <c r="AA11" s="67" t="n">
        <f aca="false">-Investimentos!AA22</f>
        <v>-0</v>
      </c>
      <c r="AB11" s="67" t="n">
        <f aca="false">-Investimentos!AB22</f>
        <v>-0</v>
      </c>
      <c r="AC11" s="67" t="n">
        <f aca="false">-Investimentos!AC22</f>
        <v>-0</v>
      </c>
      <c r="AD11" s="67" t="n">
        <f aca="false">-Investimentos!AD22</f>
        <v>-0</v>
      </c>
      <c r="AE11" s="67" t="n">
        <f aca="false">-Investimentos!AE22</f>
        <v>-0</v>
      </c>
      <c r="AF11" s="67" t="n">
        <f aca="false">-Investimentos!AF22</f>
        <v>-0</v>
      </c>
      <c r="AG11" s="67" t="n">
        <f aca="false">-Investimentos!AG22</f>
        <v>-0</v>
      </c>
      <c r="AH11" s="67" t="n">
        <f aca="false">-Investimentos!AH22</f>
        <v>-0</v>
      </c>
      <c r="AI11" s="67" t="n">
        <f aca="false">-Investimentos!AI22</f>
        <v>-0</v>
      </c>
      <c r="AJ11" s="67" t="n">
        <f aca="false">-Investimentos!AJ22</f>
        <v>-0</v>
      </c>
      <c r="AK11" s="67" t="n">
        <f aca="false">-Investimentos!AK22</f>
        <v>-0</v>
      </c>
      <c r="AL11" s="67" t="n">
        <f aca="false">-Investimentos!AL22</f>
        <v>-0</v>
      </c>
      <c r="AM11" s="67" t="n">
        <f aca="false">-Investimentos!AM22</f>
        <v>-0</v>
      </c>
      <c r="AN11" s="67" t="n">
        <f aca="false">-Investimentos!AN22</f>
        <v>-0</v>
      </c>
      <c r="AO11" s="67" t="n">
        <f aca="false">-Investimentos!AO22</f>
        <v>-0</v>
      </c>
      <c r="AP11" s="67" t="n">
        <f aca="false">-Investimentos!AP22</f>
        <v>-0</v>
      </c>
      <c r="AQ11" s="67" t="n">
        <f aca="false">-Investimentos!AQ22</f>
        <v>-0</v>
      </c>
      <c r="AR11" s="67" t="n">
        <f aca="false">-Investimentos!AR22</f>
        <v>-0</v>
      </c>
      <c r="AS11" s="67" t="n">
        <f aca="false">-Investimentos!AS22</f>
        <v>-0</v>
      </c>
      <c r="AT11" s="67" t="n">
        <f aca="false">-Investimentos!AT22</f>
        <v>-0</v>
      </c>
      <c r="AU11" s="67" t="n">
        <f aca="false">-Investimentos!AU22</f>
        <v>-0</v>
      </c>
      <c r="AV11" s="67" t="n">
        <f aca="false">-Investimentos!AV22</f>
        <v>-0</v>
      </c>
      <c r="AW11" s="67" t="n">
        <f aca="false">-Investimentos!AW22</f>
        <v>-0</v>
      </c>
      <c r="AX11" s="67" t="n">
        <f aca="false">-Investimentos!AX22</f>
        <v>-0</v>
      </c>
      <c r="AY11" s="67" t="n">
        <f aca="false">-Investimentos!AY22</f>
        <v>-0</v>
      </c>
      <c r="AZ11" s="67" t="n">
        <f aca="false">-Investimentos!AZ22</f>
        <v>-0</v>
      </c>
      <c r="BA11" s="67" t="n">
        <f aca="false">-Investimentos!BA22</f>
        <v>-0</v>
      </c>
      <c r="BB11" s="67" t="n">
        <f aca="false">-Investimentos!BB22</f>
        <v>-0</v>
      </c>
      <c r="BC11" s="67" t="n">
        <f aca="false">-Investimentos!BC22</f>
        <v>-0</v>
      </c>
      <c r="BD11" s="67" t="n">
        <f aca="false">-Investimentos!BD22</f>
        <v>-0</v>
      </c>
      <c r="BE11" s="67" t="n">
        <f aca="false">-Investimentos!BE22</f>
        <v>-0</v>
      </c>
      <c r="BF11" s="67" t="n">
        <f aca="false">-Investimentos!BF22</f>
        <v>-0</v>
      </c>
      <c r="BG11" s="67" t="n">
        <f aca="false">-Investimentos!BG22</f>
        <v>-0</v>
      </c>
      <c r="BH11" s="67" t="n">
        <f aca="false">-Investimentos!BH22</f>
        <v>-0</v>
      </c>
      <c r="BI11" s="67" t="n">
        <f aca="false">-Investimentos!BI22</f>
        <v>-0</v>
      </c>
      <c r="BJ11" s="61" t="n">
        <f aca="false">SUM(B11:BI11)</f>
        <v>-6000</v>
      </c>
      <c r="BK11" s="186" t="n">
        <f aca="false">IFERROR(BJ11/BJ$13,0)</f>
        <v>0.0402339415945328</v>
      </c>
    </row>
    <row r="12" customFormat="false" ht="15" hidden="false" customHeight="false" outlineLevel="0" collapsed="false">
      <c r="A12" s="27" t="s">
        <v>768</v>
      </c>
      <c r="B12" s="67" t="n">
        <f aca="false">-Investimentos!B23</f>
        <v>-0</v>
      </c>
      <c r="C12" s="67" t="n">
        <f aca="false">-Investimentos!C23</f>
        <v>-0</v>
      </c>
      <c r="D12" s="67" t="n">
        <f aca="false">-Investimentos!D23</f>
        <v>-0</v>
      </c>
      <c r="E12" s="67" t="n">
        <f aca="false">-Investimentos!E23</f>
        <v>-0</v>
      </c>
      <c r="F12" s="67" t="n">
        <f aca="false">-Investimentos!F23</f>
        <v>-0</v>
      </c>
      <c r="G12" s="67" t="n">
        <f aca="false">-Investimentos!G23</f>
        <v>-0</v>
      </c>
      <c r="H12" s="67" t="n">
        <f aca="false">-Investimentos!H23</f>
        <v>-0</v>
      </c>
      <c r="I12" s="67" t="n">
        <f aca="false">-Investimentos!I23</f>
        <v>-0</v>
      </c>
      <c r="J12" s="67" t="n">
        <f aca="false">-Investimentos!J23</f>
        <v>-0</v>
      </c>
      <c r="K12" s="67" t="n">
        <f aca="false">-Investimentos!K23</f>
        <v>-0</v>
      </c>
      <c r="L12" s="67" t="n">
        <f aca="false">-Investimentos!L23</f>
        <v>-0</v>
      </c>
      <c r="M12" s="67" t="n">
        <f aca="false">-Investimentos!M23</f>
        <v>-0</v>
      </c>
      <c r="N12" s="67" t="n">
        <f aca="false">-Investimentos!N23</f>
        <v>-0</v>
      </c>
      <c r="O12" s="67" t="n">
        <f aca="false">-Investimentos!O23</f>
        <v>-0</v>
      </c>
      <c r="P12" s="67" t="n">
        <f aca="false">-Investimentos!P23</f>
        <v>-12000</v>
      </c>
      <c r="Q12" s="67" t="n">
        <f aca="false">-Investimentos!Q23</f>
        <v>-0</v>
      </c>
      <c r="R12" s="67" t="n">
        <f aca="false">-Investimentos!R23</f>
        <v>-0</v>
      </c>
      <c r="S12" s="67" t="n">
        <f aca="false">-Investimentos!S23</f>
        <v>-0</v>
      </c>
      <c r="T12" s="67" t="n">
        <f aca="false">-Investimentos!T23</f>
        <v>-25000</v>
      </c>
      <c r="U12" s="67" t="n">
        <f aca="false">-Investimentos!U23</f>
        <v>-0</v>
      </c>
      <c r="V12" s="67" t="n">
        <f aca="false">-Investimentos!V23</f>
        <v>-0</v>
      </c>
      <c r="W12" s="67" t="n">
        <f aca="false">-Investimentos!W23</f>
        <v>-0</v>
      </c>
      <c r="X12" s="67" t="n">
        <f aca="false">-Investimentos!X23</f>
        <v>-0</v>
      </c>
      <c r="Y12" s="67" t="n">
        <f aca="false">-Investimentos!Y23</f>
        <v>-0</v>
      </c>
      <c r="Z12" s="67" t="n">
        <f aca="false">-Investimentos!Z23</f>
        <v>-0</v>
      </c>
      <c r="AA12" s="67" t="n">
        <f aca="false">-Investimentos!AA23</f>
        <v>-0</v>
      </c>
      <c r="AB12" s="67" t="n">
        <f aca="false">-Investimentos!AB23</f>
        <v>-0</v>
      </c>
      <c r="AC12" s="67" t="n">
        <f aca="false">-Investimentos!AC23</f>
        <v>-0</v>
      </c>
      <c r="AD12" s="67" t="n">
        <f aca="false">-Investimentos!AD23</f>
        <v>-0</v>
      </c>
      <c r="AE12" s="67" t="n">
        <f aca="false">-Investimentos!AE23</f>
        <v>-0</v>
      </c>
      <c r="AF12" s="67" t="n">
        <f aca="false">-Investimentos!AF23</f>
        <v>-0</v>
      </c>
      <c r="AG12" s="67" t="n">
        <f aca="false">-Investimentos!AG23</f>
        <v>-0</v>
      </c>
      <c r="AH12" s="67" t="n">
        <f aca="false">-Investimentos!AH23</f>
        <v>-0</v>
      </c>
      <c r="AI12" s="67" t="n">
        <f aca="false">-Investimentos!AI23</f>
        <v>-0</v>
      </c>
      <c r="AJ12" s="67" t="n">
        <f aca="false">-Investimentos!AJ23</f>
        <v>-0</v>
      </c>
      <c r="AK12" s="67" t="n">
        <f aca="false">-Investimentos!AK23</f>
        <v>-0</v>
      </c>
      <c r="AL12" s="67" t="n">
        <f aca="false">-Investimentos!AL23</f>
        <v>-0</v>
      </c>
      <c r="AM12" s="67" t="n">
        <f aca="false">-Investimentos!AM23</f>
        <v>-0</v>
      </c>
      <c r="AN12" s="67" t="n">
        <f aca="false">-Investimentos!AN23</f>
        <v>-0</v>
      </c>
      <c r="AO12" s="67" t="n">
        <f aca="false">-Investimentos!AO23</f>
        <v>-0</v>
      </c>
      <c r="AP12" s="67" t="n">
        <f aca="false">-Investimentos!AP23</f>
        <v>-0</v>
      </c>
      <c r="AQ12" s="67" t="n">
        <f aca="false">-Investimentos!AQ23</f>
        <v>-0</v>
      </c>
      <c r="AR12" s="67" t="n">
        <f aca="false">-Investimentos!AR23</f>
        <v>-0</v>
      </c>
      <c r="AS12" s="67" t="n">
        <f aca="false">-Investimentos!AS23</f>
        <v>-0</v>
      </c>
      <c r="AT12" s="67" t="n">
        <f aca="false">-Investimentos!AT23</f>
        <v>-0</v>
      </c>
      <c r="AU12" s="67" t="n">
        <f aca="false">-Investimentos!AU23</f>
        <v>-0</v>
      </c>
      <c r="AV12" s="67" t="n">
        <f aca="false">-Investimentos!AV23</f>
        <v>-0</v>
      </c>
      <c r="AW12" s="67" t="n">
        <f aca="false">-Investimentos!AW23</f>
        <v>-0</v>
      </c>
      <c r="AX12" s="67" t="n">
        <f aca="false">-Investimentos!AX23</f>
        <v>-0</v>
      </c>
      <c r="AY12" s="67" t="n">
        <f aca="false">-Investimentos!AY23</f>
        <v>-0</v>
      </c>
      <c r="AZ12" s="67" t="n">
        <f aca="false">-Investimentos!AZ23</f>
        <v>-0</v>
      </c>
      <c r="BA12" s="67" t="n">
        <f aca="false">-Investimentos!BA23</f>
        <v>-0</v>
      </c>
      <c r="BB12" s="67" t="n">
        <f aca="false">-Investimentos!BB23</f>
        <v>-0</v>
      </c>
      <c r="BC12" s="67" t="n">
        <f aca="false">-Investimentos!BC23</f>
        <v>-0</v>
      </c>
      <c r="BD12" s="67" t="n">
        <f aca="false">-Investimentos!BD23</f>
        <v>-0</v>
      </c>
      <c r="BE12" s="67" t="n">
        <f aca="false">-Investimentos!BE23</f>
        <v>-0</v>
      </c>
      <c r="BF12" s="67" t="n">
        <f aca="false">-Investimentos!BF23</f>
        <v>-0</v>
      </c>
      <c r="BG12" s="67" t="n">
        <f aca="false">-Investimentos!BG23</f>
        <v>-0</v>
      </c>
      <c r="BH12" s="67" t="n">
        <f aca="false">-Investimentos!BH23</f>
        <v>-0</v>
      </c>
      <c r="BI12" s="67" t="n">
        <f aca="false">-Investimentos!BI23</f>
        <v>-0</v>
      </c>
      <c r="BJ12" s="61" t="n">
        <f aca="false">SUM(B12:BI12)</f>
        <v>-37000</v>
      </c>
      <c r="BK12" s="186" t="n">
        <f aca="false">IFERROR(BJ12/BJ$13,0)</f>
        <v>0.248109306499619</v>
      </c>
    </row>
    <row r="13" customFormat="false" ht="15" hidden="false" customHeight="false" outlineLevel="0" collapsed="false">
      <c r="A13" s="62" t="s">
        <v>769</v>
      </c>
      <c r="B13" s="61" t="n">
        <f aca="false">SUM(B9:B12)</f>
        <v>0</v>
      </c>
      <c r="C13" s="61" t="n">
        <f aca="false">SUM(C9:C12)</f>
        <v>0</v>
      </c>
      <c r="D13" s="61" t="n">
        <f aca="false">SUM(D9:D12)</f>
        <v>0</v>
      </c>
      <c r="E13" s="61" t="n">
        <f aca="false">SUM(E9:E12)</f>
        <v>0</v>
      </c>
      <c r="F13" s="61" t="n">
        <f aca="false">SUM(F9:F12)</f>
        <v>-6000</v>
      </c>
      <c r="G13" s="61" t="n">
        <f aca="false">SUM(G9:G12)</f>
        <v>0</v>
      </c>
      <c r="H13" s="61" t="n">
        <f aca="false">SUM(H9:H12)</f>
        <v>0</v>
      </c>
      <c r="I13" s="61" t="n">
        <f aca="false">SUM(I9:I12)</f>
        <v>-9127.82</v>
      </c>
      <c r="J13" s="61" t="n">
        <f aca="false">SUM(J9:J12)</f>
        <v>-10500</v>
      </c>
      <c r="K13" s="61" t="n">
        <f aca="false">SUM(K9:K12)</f>
        <v>-10500</v>
      </c>
      <c r="L13" s="61" t="n">
        <f aca="false">SUM(L9:L12)</f>
        <v>0</v>
      </c>
      <c r="M13" s="61" t="n">
        <f aca="false">SUM(M9:M12)</f>
        <v>0</v>
      </c>
      <c r="N13" s="61" t="n">
        <f aca="false">SUM(N9:N12)</f>
        <v>0</v>
      </c>
      <c r="O13" s="61" t="n">
        <f aca="false">SUM(O9:O12)</f>
        <v>0</v>
      </c>
      <c r="P13" s="61" t="n">
        <f aca="false">SUM(P9:P12)</f>
        <v>-12000</v>
      </c>
      <c r="Q13" s="61" t="n">
        <f aca="false">SUM(Q9:Q12)</f>
        <v>0</v>
      </c>
      <c r="R13" s="61" t="n">
        <f aca="false">SUM(R9:R12)</f>
        <v>0</v>
      </c>
      <c r="S13" s="61" t="n">
        <f aca="false">SUM(S9:S12)</f>
        <v>-6000</v>
      </c>
      <c r="T13" s="61" t="n">
        <f aca="false">SUM(T9:T12)</f>
        <v>-25000</v>
      </c>
      <c r="U13" s="61" t="n">
        <f aca="false">SUM(U9:U12)</f>
        <v>0</v>
      </c>
      <c r="V13" s="61" t="n">
        <f aca="false">SUM(V9:V12)</f>
        <v>0</v>
      </c>
      <c r="W13" s="61" t="n">
        <f aca="false">SUM(W9:W12)</f>
        <v>0</v>
      </c>
      <c r="X13" s="61" t="n">
        <f aca="false">SUM(X9:X12)</f>
        <v>0</v>
      </c>
      <c r="Y13" s="61" t="n">
        <f aca="false">SUM(Y9:Y12)</f>
        <v>0</v>
      </c>
      <c r="Z13" s="61" t="n">
        <f aca="false">SUM(Z9:Z12)</f>
        <v>0</v>
      </c>
      <c r="AA13" s="61" t="n">
        <f aca="false">SUM(AA9:AA12)</f>
        <v>0</v>
      </c>
      <c r="AB13" s="61" t="n">
        <f aca="false">SUM(AB9:AB12)</f>
        <v>0</v>
      </c>
      <c r="AC13" s="61" t="n">
        <f aca="false">SUM(AC9:AC12)</f>
        <v>0</v>
      </c>
      <c r="AD13" s="61" t="n">
        <f aca="false">SUM(AD9:AD12)</f>
        <v>0</v>
      </c>
      <c r="AE13" s="61" t="n">
        <f aca="false">SUM(AE9:AE12)</f>
        <v>-15000</v>
      </c>
      <c r="AF13" s="61" t="n">
        <f aca="false">SUM(AF9:AF12)</f>
        <v>0</v>
      </c>
      <c r="AG13" s="61" t="n">
        <f aca="false">SUM(AG9:AG12)</f>
        <v>0</v>
      </c>
      <c r="AH13" s="61" t="n">
        <f aca="false">SUM(AH9:AH12)</f>
        <v>0</v>
      </c>
      <c r="AI13" s="61" t="n">
        <f aca="false">SUM(AI9:AI12)</f>
        <v>0</v>
      </c>
      <c r="AJ13" s="61" t="n">
        <f aca="false">SUM(AJ9:AJ12)</f>
        <v>0</v>
      </c>
      <c r="AK13" s="61" t="n">
        <f aca="false">SUM(AK9:AK12)</f>
        <v>0</v>
      </c>
      <c r="AL13" s="61" t="n">
        <f aca="false">SUM(AL9:AL12)</f>
        <v>0</v>
      </c>
      <c r="AM13" s="61" t="n">
        <f aca="false">SUM(AM9:AM12)</f>
        <v>0</v>
      </c>
      <c r="AN13" s="61" t="n">
        <f aca="false">SUM(AN9:AN12)</f>
        <v>0</v>
      </c>
      <c r="AO13" s="61" t="n">
        <f aca="false">SUM(AO9:AO12)</f>
        <v>0</v>
      </c>
      <c r="AP13" s="61" t="n">
        <f aca="false">SUM(AP9:AP12)</f>
        <v>0</v>
      </c>
      <c r="AQ13" s="61" t="n">
        <f aca="false">SUM(AQ9:AQ12)</f>
        <v>-25000</v>
      </c>
      <c r="AR13" s="61" t="n">
        <f aca="false">SUM(AR9:AR12)</f>
        <v>0</v>
      </c>
      <c r="AS13" s="61" t="n">
        <f aca="false">SUM(AS9:AS12)</f>
        <v>0</v>
      </c>
      <c r="AT13" s="61" t="n">
        <f aca="false">SUM(AT9:AT12)</f>
        <v>0</v>
      </c>
      <c r="AU13" s="61" t="n">
        <f aca="false">SUM(AU9:AU12)</f>
        <v>0</v>
      </c>
      <c r="AV13" s="61" t="n">
        <f aca="false">SUM(AV9:AV12)</f>
        <v>0</v>
      </c>
      <c r="AW13" s="61" t="n">
        <f aca="false">SUM(AW9:AW12)</f>
        <v>0</v>
      </c>
      <c r="AX13" s="61" t="n">
        <f aca="false">SUM(AX9:AX12)</f>
        <v>0</v>
      </c>
      <c r="AY13" s="61" t="n">
        <f aca="false">SUM(AY9:AY12)</f>
        <v>0</v>
      </c>
      <c r="AZ13" s="61" t="n">
        <f aca="false">SUM(AZ9:AZ12)</f>
        <v>0</v>
      </c>
      <c r="BA13" s="61" t="n">
        <f aca="false">SUM(BA9:BA12)</f>
        <v>0</v>
      </c>
      <c r="BB13" s="61" t="n">
        <f aca="false">SUM(BB9:BB12)</f>
        <v>0</v>
      </c>
      <c r="BC13" s="61" t="n">
        <f aca="false">SUM(BC9:BC12)</f>
        <v>-30000</v>
      </c>
      <c r="BD13" s="61" t="n">
        <f aca="false">SUM(BD9:BD12)</f>
        <v>0</v>
      </c>
      <c r="BE13" s="61" t="n">
        <f aca="false">SUM(BE9:BE12)</f>
        <v>0</v>
      </c>
      <c r="BF13" s="61" t="n">
        <f aca="false">SUM(BF9:BF12)</f>
        <v>0</v>
      </c>
      <c r="BG13" s="61" t="n">
        <f aca="false">SUM(BG9:BG12)</f>
        <v>0</v>
      </c>
      <c r="BH13" s="61" t="n">
        <f aca="false">SUM(BH9:BH12)</f>
        <v>0</v>
      </c>
      <c r="BI13" s="61" t="n">
        <f aca="false">SUM(BI9:BI12)</f>
        <v>0</v>
      </c>
      <c r="BJ13" s="61" t="n">
        <f aca="false">SUM(B13:BI13)</f>
        <v>-149127.82</v>
      </c>
    </row>
    <row r="15" customFormat="false" ht="18" hidden="false" customHeight="true" outlineLevel="0" collapsed="false">
      <c r="A15" s="25" t="s">
        <v>770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</row>
    <row r="16" customFormat="false" ht="15" hidden="false" customHeight="false" outlineLevel="0" collapsed="false">
      <c r="A16" s="27" t="s">
        <v>771</v>
      </c>
      <c r="B16" s="60" t="n">
        <f aca="false">CHOOSE(Premissas!$B$6,Cenários!B35,Cenários!B81,Cenários!B127)</f>
        <v>-0</v>
      </c>
      <c r="C16" s="60" t="n">
        <f aca="false">CHOOSE(Premissas!$B$6,Cenários!C35,Cenários!C81,Cenários!C127)</f>
        <v>-0</v>
      </c>
      <c r="D16" s="60" t="n">
        <f aca="false">CHOOSE(Premissas!$B$6,Cenários!D35,Cenários!D81,Cenários!D127)</f>
        <v>-0</v>
      </c>
      <c r="E16" s="60" t="n">
        <f aca="false">CHOOSE(Premissas!$B$6,Cenários!E35,Cenários!E81,Cenários!E127)</f>
        <v>-0</v>
      </c>
      <c r="F16" s="60" t="n">
        <f aca="false">CHOOSE(Premissas!$B$6,Cenários!F35,Cenários!F81,Cenários!F127)</f>
        <v>-600</v>
      </c>
      <c r="G16" s="60" t="n">
        <f aca="false">CHOOSE(Premissas!$B$6,Cenários!G35,Cenários!G81,Cenários!G127)</f>
        <v>-600</v>
      </c>
      <c r="H16" s="60" t="n">
        <f aca="false">CHOOSE(Premissas!$B$6,Cenários!H35,Cenários!H81,Cenários!H127)</f>
        <v>-600</v>
      </c>
      <c r="I16" s="60" t="n">
        <f aca="false">CHOOSE(Premissas!$B$6,Cenários!I35,Cenários!I81,Cenários!I127)</f>
        <v>-600</v>
      </c>
      <c r="J16" s="60" t="n">
        <f aca="false">CHOOSE(Premissas!$B$6,Cenários!J35,Cenários!J81,Cenários!J127)</f>
        <v>-600</v>
      </c>
      <c r="K16" s="60" t="n">
        <f aca="false">CHOOSE(Premissas!$B$6,Cenários!K35,Cenários!K81,Cenários!K127)</f>
        <v>-1185.48</v>
      </c>
      <c r="L16" s="60" t="n">
        <f aca="false">CHOOSE(Premissas!$B$6,Cenários!L35,Cenários!L81,Cenários!L127)</f>
        <v>-2151.96</v>
      </c>
      <c r="M16" s="60" t="n">
        <f aca="false">CHOOSE(Premissas!$B$6,Cenários!M35,Cenários!M81,Cenários!M127)</f>
        <v>-3454.3968</v>
      </c>
      <c r="N16" s="60" t="n">
        <f aca="false">CHOOSE(Premissas!$B$6,Cenários!N35,Cenários!N81,Cenários!N127)</f>
        <v>-7485.64875264</v>
      </c>
      <c r="O16" s="60" t="n">
        <f aca="false">CHOOSE(Premissas!$B$6,Cenários!O35,Cenários!O81,Cenários!O127)</f>
        <v>-10092.7202704415</v>
      </c>
      <c r="P16" s="60" t="n">
        <f aca="false">CHOOSE(Premissas!$B$6,Cenários!P35,Cenários!P81,Cenários!P127)</f>
        <v>-13066.2661701043</v>
      </c>
      <c r="Q16" s="60" t="n">
        <f aca="false">CHOOSE(Premissas!$B$6,Cenários!Q35,Cenários!Q81,Cenários!Q127)</f>
        <v>-14764.8523781124</v>
      </c>
      <c r="R16" s="60" t="n">
        <f aca="false">CHOOSE(Premissas!$B$6,Cenários!R35,Cenários!R81,Cenários!R127)</f>
        <v>-16335.8708872784</v>
      </c>
      <c r="S16" s="60" t="n">
        <f aca="false">CHOOSE(Premissas!$B$6,Cenários!S35,Cenários!S81,Cenários!S127)</f>
        <v>-17788.063588555</v>
      </c>
      <c r="T16" s="60" t="n">
        <f aca="false">CHOOSE(Premissas!$B$6,Cenários!T35,Cenários!T81,Cenários!T127)</f>
        <v>-19131.3450626957</v>
      </c>
      <c r="U16" s="60" t="n">
        <f aca="false">CHOOSE(Premissas!$B$6,Cenários!U35,Cenários!U81,Cenários!U127)</f>
        <v>-20374.154409981</v>
      </c>
      <c r="V16" s="60" t="n">
        <f aca="false">CHOOSE(Premissas!$B$6,Cenários!V35,Cenários!V81,Cenários!V127)</f>
        <v>-21522.1361903504</v>
      </c>
      <c r="W16" s="60" t="n">
        <f aca="false">CHOOSE(Premissas!$B$6,Cenários!W35,Cenários!W81,Cenários!W127)</f>
        <v>-22584.8005408361</v>
      </c>
      <c r="X16" s="60" t="n">
        <f aca="false">CHOOSE(Premissas!$B$6,Cenários!X35,Cenários!X81,Cenários!X127)</f>
        <v>-23567.5525321652</v>
      </c>
      <c r="Y16" s="60" t="n">
        <f aca="false">CHOOSE(Premissas!$B$6,Cenários!Y35,Cenários!Y81,Cenários!Y127)</f>
        <v>-24475.6908217464</v>
      </c>
      <c r="Z16" s="60" t="n">
        <f aca="false">CHOOSE(Premissas!$B$6,Cenários!Z35,Cenários!Z81,Cenários!Z127)</f>
        <v>-34056.6172093089</v>
      </c>
      <c r="AA16" s="60" t="n">
        <f aca="false">CHOOSE(Premissas!$B$6,Cenários!AA35,Cenários!AA81,Cenários!AA127)</f>
        <v>-36246.9754947693</v>
      </c>
      <c r="AB16" s="60" t="n">
        <f aca="false">CHOOSE(Premissas!$B$6,Cenários!AB35,Cenários!AB81,Cenários!AB127)</f>
        <v>-38282.721819187</v>
      </c>
      <c r="AC16" s="60" t="n">
        <f aca="false">CHOOSE(Premissas!$B$6,Cenários!AC35,Cenários!AC81,Cenários!AC127)</f>
        <v>-40174.2880470083</v>
      </c>
      <c r="AD16" s="60" t="n">
        <f aca="false">CHOOSE(Premissas!$B$6,Cenários!AD35,Cenários!AD81,Cenários!AD127)</f>
        <v>-41932.9473831414</v>
      </c>
      <c r="AE16" s="60" t="n">
        <f aca="false">CHOOSE(Premissas!$B$6,Cenários!AE35,Cenários!AE81,Cenários!AE127)</f>
        <v>-43566.4963158979</v>
      </c>
      <c r="AF16" s="60" t="n">
        <f aca="false">CHOOSE(Premissas!$B$6,Cenários!AF35,Cenários!AF81,Cenários!AF127)</f>
        <v>-45084.5238570877</v>
      </c>
      <c r="AG16" s="60" t="n">
        <f aca="false">CHOOSE(Premissas!$B$6,Cenários!AG35,Cenários!AG81,Cenários!AG127)</f>
        <v>-46495.4741289499</v>
      </c>
      <c r="AH16" s="60" t="n">
        <f aca="false">CHOOSE(Premissas!$B$6,Cenários!AH35,Cenários!AH81,Cenários!AH127)</f>
        <v>-47807.5363440907</v>
      </c>
      <c r="AI16" s="60" t="n">
        <f aca="false">CHOOSE(Premissas!$B$6,Cenários!AI35,Cenários!AI81,Cenários!AI127)</f>
        <v>-49026.4382213356</v>
      </c>
      <c r="AJ16" s="60" t="n">
        <f aca="false">CHOOSE(Premissas!$B$6,Cenários!AJ35,Cenários!AJ81,Cenários!AJ127)</f>
        <v>-50158.8988773698</v>
      </c>
      <c r="AK16" s="60" t="n">
        <f aca="false">CHOOSE(Premissas!$B$6,Cenários!AK35,Cenários!AK81,Cenários!AK127)</f>
        <v>-51210.3712312223</v>
      </c>
      <c r="AL16" s="60" t="n">
        <f aca="false">CHOOSE(Premissas!$B$6,Cenários!AL35,Cenários!AL81,Cenários!AL127)</f>
        <v>-61588.3820937844</v>
      </c>
      <c r="AM16" s="60" t="n">
        <f aca="false">CHOOSE(Premissas!$B$6,Cenários!AM35,Cenários!AM81,Cenários!AM127)</f>
        <v>-64375.7517415393</v>
      </c>
      <c r="AN16" s="60" t="n">
        <f aca="false">CHOOSE(Premissas!$B$6,Cenários!AN35,Cenários!AN81,Cenários!AN127)</f>
        <v>-66977.3519178997</v>
      </c>
      <c r="AO16" s="60" t="n">
        <f aca="false">CHOOSE(Premissas!$B$6,Cenários!AO35,Cenários!AO81,Cenários!AO127)</f>
        <v>-69407.0666868007</v>
      </c>
      <c r="AP16" s="60" t="n">
        <f aca="false">CHOOSE(Premissas!$B$6,Cenários!AP35,Cenários!AP81,Cenários!AP127)</f>
        <v>-71674.6582776368</v>
      </c>
      <c r="AQ16" s="60" t="n">
        <f aca="false">CHOOSE(Premissas!$B$6,Cenários!AQ35,Cenários!AQ81,Cenários!AQ127)</f>
        <v>-73791.5358452342</v>
      </c>
      <c r="AR16" s="60" t="n">
        <f aca="false">CHOOSE(Premissas!$B$6,Cenários!AR35,Cenários!AR81,Cenários!AR127)</f>
        <v>-75768.0086477527</v>
      </c>
      <c r="AS16" s="60" t="n">
        <f aca="false">CHOOSE(Premissas!$B$6,Cenários!AS35,Cenários!AS81,Cenários!AS127)</f>
        <v>-77613.0436811923</v>
      </c>
      <c r="AT16" s="60" t="n">
        <f aca="false">CHOOSE(Premissas!$B$6,Cenários!AT35,Cenários!AT81,Cenários!AT127)</f>
        <v>-79335.4578066116</v>
      </c>
      <c r="AU16" s="60" t="n">
        <f aca="false">CHOOSE(Premissas!$B$6,Cenários!AU35,Cenários!AU81,Cenários!AU127)</f>
        <v>-80943.9244037662</v>
      </c>
      <c r="AV16" s="60" t="n">
        <f aca="false">CHOOSE(Premissas!$B$6,Cenários!AV35,Cenários!AV81,Cenários!AV127)</f>
        <v>-82444.8595826352</v>
      </c>
      <c r="AW16" s="60" t="n">
        <f aca="false">CHOOSE(Premissas!$B$6,Cenários!AW35,Cenários!AW81,Cenários!AW127)</f>
        <v>-83846.6179822109</v>
      </c>
      <c r="AX16" s="60" t="n">
        <f aca="false">CHOOSE(Premissas!$B$6,Cenários!AX35,Cenários!AX81,Cenários!AX127)</f>
        <v>-100002.897371873</v>
      </c>
      <c r="AY16" s="60" t="n">
        <f aca="false">CHOOSE(Premissas!$B$6,Cenários!AY35,Cenários!AY81,Cenários!AY127)</f>
        <v>-104125.097190246</v>
      </c>
      <c r="AZ16" s="60" t="n">
        <f aca="false">CHOOSE(Premissas!$B$6,Cenários!AZ35,Cenários!AZ81,Cenários!AZ127)</f>
        <v>-107989.822816956</v>
      </c>
      <c r="BA16" s="60" t="n">
        <f aca="false">CHOOSE(Premissas!$B$6,Cenários!BA35,Cenários!BA81,Cenários!BA127)</f>
        <v>-111612.361281648</v>
      </c>
      <c r="BB16" s="60" t="n">
        <f aca="false">CHOOSE(Premissas!$B$6,Cenários!BB35,Cenários!BB81,Cenários!BB127)</f>
        <v>-115009.557091412</v>
      </c>
      <c r="BC16" s="60" t="n">
        <f aca="false">CHOOSE(Premissas!$B$6,Cenários!BC35,Cenários!BC81,Cenários!BC127)</f>
        <v>-118194.312381928</v>
      </c>
      <c r="BD16" s="60" t="n">
        <f aca="false">CHOOSE(Premissas!$B$6,Cenários!BD35,Cenários!BD81,Cenários!BD127)</f>
        <v>-121180.121434572</v>
      </c>
      <c r="BE16" s="60" t="n">
        <f aca="false">CHOOSE(Premissas!$B$6,Cenários!BE35,Cenários!BE81,Cenários!BE127)</f>
        <v>-123979.309599084</v>
      </c>
      <c r="BF16" s="60" t="n">
        <f aca="false">CHOOSE(Premissas!$B$6,Cenários!BF35,Cenários!BF81,Cenários!BF127)</f>
        <v>-126603.926658926</v>
      </c>
      <c r="BG16" s="60" t="n">
        <f aca="false">CHOOSE(Premissas!$B$6,Cenários!BG35,Cenários!BG81,Cenários!BG127)</f>
        <v>-129063.934674142</v>
      </c>
      <c r="BH16" s="60" t="n">
        <f aca="false">CHOOSE(Premissas!$B$6,Cenários!BH35,Cenários!BH81,Cenários!BH127)</f>
        <v>-131371.005334352</v>
      </c>
      <c r="BI16" s="60" t="n">
        <f aca="false">CHOOSE(Premissas!$B$6,Cenários!BI35,Cenários!BI81,Cenários!BI127)</f>
        <v>-133533.701852481</v>
      </c>
      <c r="BJ16" s="61" t="n">
        <f aca="false">SUM(B16:BI16)</f>
        <v>-3055456.93368896</v>
      </c>
      <c r="BK16" s="186" t="n">
        <f aca="false">IFERROR(BJ16/BJ$28,0)</f>
        <v>0.0680846452468804</v>
      </c>
    </row>
    <row r="17" customFormat="false" ht="15" hidden="false" customHeight="false" outlineLevel="0" collapsed="false">
      <c r="A17" s="27" t="s">
        <v>772</v>
      </c>
      <c r="B17" s="60" t="n">
        <f aca="false">CHOOSE(Premissas!$B$6,Cenários!B36,Cenários!B82,Cenários!B128)</f>
        <v>-0</v>
      </c>
      <c r="C17" s="60" t="n">
        <f aca="false">CHOOSE(Premissas!$B$6,Cenários!C36,Cenários!C82,Cenários!C128)</f>
        <v>-0</v>
      </c>
      <c r="D17" s="60" t="n">
        <f aca="false">CHOOSE(Premissas!$B$6,Cenários!D36,Cenários!D82,Cenários!D128)</f>
        <v>-0</v>
      </c>
      <c r="E17" s="60" t="n">
        <f aca="false">CHOOSE(Premissas!$B$6,Cenários!E36,Cenários!E82,Cenários!E128)</f>
        <v>-0</v>
      </c>
      <c r="F17" s="60" t="n">
        <f aca="false">CHOOSE(Premissas!$B$6,Cenários!F36,Cenários!F82,Cenários!F128)</f>
        <v>-0</v>
      </c>
      <c r="G17" s="60" t="n">
        <f aca="false">CHOOSE(Premissas!$B$6,Cenários!G36,Cenários!G82,Cenários!G128)</f>
        <v>-0</v>
      </c>
      <c r="H17" s="60" t="n">
        <f aca="false">CHOOSE(Premissas!$B$6,Cenários!H36,Cenários!H82,Cenários!H128)</f>
        <v>-0</v>
      </c>
      <c r="I17" s="60" t="n">
        <f aca="false">CHOOSE(Premissas!$B$6,Cenários!I36,Cenários!I82,Cenários!I128)</f>
        <v>-0</v>
      </c>
      <c r="J17" s="60" t="n">
        <f aca="false">CHOOSE(Premissas!$B$6,Cenários!J36,Cenários!J82,Cenários!J128)</f>
        <v>-0</v>
      </c>
      <c r="K17" s="60" t="n">
        <f aca="false">CHOOSE(Premissas!$B$6,Cenários!K36,Cenários!K82,Cenários!K128)</f>
        <v>-52.85</v>
      </c>
      <c r="L17" s="60" t="n">
        <f aca="false">CHOOSE(Premissas!$B$6,Cenários!L36,Cenários!L82,Cenários!L128)</f>
        <v>-202.65</v>
      </c>
      <c r="M17" s="60" t="n">
        <f aca="false">CHOOSE(Premissas!$B$6,Cenários!M36,Cenários!M82,Cenários!M128)</f>
        <v>-438.2</v>
      </c>
      <c r="N17" s="60" t="n">
        <f aca="false">CHOOSE(Premissas!$B$6,Cenários!N36,Cenários!N82,Cenários!N128)</f>
        <v>-925.4</v>
      </c>
      <c r="O17" s="60" t="n">
        <f aca="false">CHOOSE(Premissas!$B$6,Cenários!O36,Cenários!O82,Cenários!O128)</f>
        <v>-1497.65</v>
      </c>
      <c r="P17" s="60" t="n">
        <f aca="false">CHOOSE(Premissas!$B$6,Cenários!P36,Cenários!P82,Cenários!P128)</f>
        <v>-2174.9</v>
      </c>
      <c r="Q17" s="60" t="n">
        <f aca="false">CHOOSE(Premissas!$B$6,Cenários!Q36,Cenários!Q82,Cenários!Q128)</f>
        <v>-2524.55</v>
      </c>
      <c r="R17" s="60" t="n">
        <f aca="false">CHOOSE(Premissas!$B$6,Cenários!R36,Cenários!R82,Cenários!R128)</f>
        <v>-2847.95</v>
      </c>
      <c r="S17" s="60" t="n">
        <f aca="false">CHOOSE(Premissas!$B$6,Cenários!S36,Cenários!S82,Cenários!S128)</f>
        <v>-3146.85</v>
      </c>
      <c r="T17" s="60" t="n">
        <f aca="false">CHOOSE(Premissas!$B$6,Cenários!T36,Cenários!T82,Cenários!T128)</f>
        <v>-3423.35</v>
      </c>
      <c r="U17" s="60" t="n">
        <f aca="false">CHOOSE(Premissas!$B$6,Cenários!U36,Cenários!U82,Cenários!U128)</f>
        <v>-3679.2</v>
      </c>
      <c r="V17" s="60" t="n">
        <f aca="false">CHOOSE(Premissas!$B$6,Cenários!V36,Cenários!V82,Cenários!V128)</f>
        <v>-3915.45</v>
      </c>
      <c r="W17" s="60" t="n">
        <f aca="false">CHOOSE(Premissas!$B$6,Cenários!W36,Cenários!W82,Cenários!W128)</f>
        <v>-4134.2</v>
      </c>
      <c r="X17" s="60" t="n">
        <f aca="false">CHOOSE(Premissas!$B$6,Cenários!X36,Cenários!X82,Cenários!X128)</f>
        <v>-4336.5</v>
      </c>
      <c r="Y17" s="60" t="n">
        <f aca="false">CHOOSE(Premissas!$B$6,Cenários!Y36,Cenários!Y82,Cenários!Y128)</f>
        <v>-4523.4</v>
      </c>
      <c r="Z17" s="60" t="n">
        <f aca="false">CHOOSE(Premissas!$B$6,Cenários!Z36,Cenários!Z82,Cenários!Z128)</f>
        <v>-4604.1</v>
      </c>
      <c r="AA17" s="60" t="n">
        <f aca="false">CHOOSE(Premissas!$B$6,Cenários!AA36,Cenários!AA82,Cenários!AA128)</f>
        <v>-4991.1</v>
      </c>
      <c r="AB17" s="60" t="n">
        <f aca="false">CHOOSE(Premissas!$B$6,Cenários!AB36,Cenários!AB82,Cenários!AB128)</f>
        <v>-5350.8</v>
      </c>
      <c r="AC17" s="60" t="n">
        <f aca="false">CHOOSE(Premissas!$B$6,Cenários!AC36,Cenários!AC82,Cenários!AC128)</f>
        <v>-5685</v>
      </c>
      <c r="AD17" s="60" t="n">
        <f aca="false">CHOOSE(Premissas!$B$6,Cenários!AD36,Cenários!AD82,Cenários!AD128)</f>
        <v>-5995.8</v>
      </c>
      <c r="AE17" s="60" t="n">
        <f aca="false">CHOOSE(Premissas!$B$6,Cenários!AE36,Cenários!AE82,Cenários!AE128)</f>
        <v>-6284.4</v>
      </c>
      <c r="AF17" s="60" t="n">
        <f aca="false">CHOOSE(Premissas!$B$6,Cenários!AF36,Cenários!AF82,Cenários!AF128)</f>
        <v>-6552.6</v>
      </c>
      <c r="AG17" s="60" t="n">
        <f aca="false">CHOOSE(Premissas!$B$6,Cenários!AG36,Cenários!AG82,Cenários!AG128)</f>
        <v>-6801.9</v>
      </c>
      <c r="AH17" s="60" t="n">
        <f aca="false">CHOOSE(Premissas!$B$6,Cenários!AH36,Cenários!AH82,Cenários!AH128)</f>
        <v>-7033.8</v>
      </c>
      <c r="AI17" s="60" t="n">
        <f aca="false">CHOOSE(Premissas!$B$6,Cenários!AI36,Cenários!AI82,Cenários!AI128)</f>
        <v>-7249.2</v>
      </c>
      <c r="AJ17" s="60" t="n">
        <f aca="false">CHOOSE(Premissas!$B$6,Cenários!AJ36,Cenários!AJ82,Cenários!AJ128)</f>
        <v>-7449.3</v>
      </c>
      <c r="AK17" s="60" t="n">
        <f aca="false">CHOOSE(Premissas!$B$6,Cenários!AK36,Cenários!AK82,Cenários!AK128)</f>
        <v>-7635</v>
      </c>
      <c r="AL17" s="60" t="n">
        <f aca="false">CHOOSE(Premissas!$B$6,Cenários!AL36,Cenários!AL82,Cenários!AL128)</f>
        <v>-8262.24</v>
      </c>
      <c r="AM17" s="60" t="n">
        <f aca="false">CHOOSE(Premissas!$B$6,Cenários!AM36,Cenários!AM82,Cenários!AM128)</f>
        <v>-8790.6</v>
      </c>
      <c r="AN17" s="60" t="n">
        <f aca="false">CHOOSE(Premissas!$B$6,Cenários!AN36,Cenários!AN82,Cenários!AN128)</f>
        <v>-9283.68</v>
      </c>
      <c r="AO17" s="60" t="n">
        <f aca="false">CHOOSE(Premissas!$B$6,Cenários!AO36,Cenários!AO82,Cenários!AO128)</f>
        <v>-9744.28</v>
      </c>
      <c r="AP17" s="60" t="n">
        <f aca="false">CHOOSE(Premissas!$B$6,Cenários!AP36,Cenários!AP82,Cenários!AP128)</f>
        <v>-10174.08</v>
      </c>
      <c r="AQ17" s="60" t="n">
        <f aca="false">CHOOSE(Premissas!$B$6,Cenários!AQ36,Cenários!AQ82,Cenários!AQ128)</f>
        <v>-10575.32</v>
      </c>
      <c r="AR17" s="60" t="n">
        <f aca="false">CHOOSE(Premissas!$B$6,Cenários!AR36,Cenários!AR82,Cenários!AR128)</f>
        <v>-10949.96</v>
      </c>
      <c r="AS17" s="60" t="n">
        <f aca="false">CHOOSE(Premissas!$B$6,Cenários!AS36,Cenários!AS82,Cenários!AS128)</f>
        <v>-11299.68</v>
      </c>
      <c r="AT17" s="60" t="n">
        <f aca="false">CHOOSE(Premissas!$B$6,Cenários!AT36,Cenários!AT82,Cenários!AT128)</f>
        <v>-11626.16</v>
      </c>
      <c r="AU17" s="60" t="n">
        <f aca="false">CHOOSE(Premissas!$B$6,Cenários!AU36,Cenários!AU82,Cenários!AU128)</f>
        <v>-11931.08</v>
      </c>
      <c r="AV17" s="60" t="n">
        <f aca="false">CHOOSE(Premissas!$B$6,Cenários!AV36,Cenários!AV82,Cenários!AV128)</f>
        <v>-12215.56</v>
      </c>
      <c r="AW17" s="60" t="n">
        <f aca="false">CHOOSE(Premissas!$B$6,Cenários!AW36,Cenários!AW82,Cenários!AW128)</f>
        <v>-12481.28</v>
      </c>
      <c r="AX17" s="60" t="n">
        <f aca="false">CHOOSE(Premissas!$B$6,Cenários!AX36,Cenários!AX82,Cenários!AX128)</f>
        <v>-12842</v>
      </c>
      <c r="AY17" s="60" t="n">
        <f aca="false">CHOOSE(Premissas!$B$6,Cenários!AY36,Cenários!AY82,Cenários!AY128)</f>
        <v>-13598.25</v>
      </c>
      <c r="AZ17" s="60" t="n">
        <f aca="false">CHOOSE(Premissas!$B$6,Cenários!AZ36,Cenários!AZ82,Cenários!AZ128)</f>
        <v>-14307.25</v>
      </c>
      <c r="BA17" s="60" t="n">
        <f aca="false">CHOOSE(Premissas!$B$6,Cenários!BA36,Cenários!BA82,Cenários!BA128)</f>
        <v>-14971.75</v>
      </c>
      <c r="BB17" s="60" t="n">
        <f aca="false">CHOOSE(Premissas!$B$6,Cenários!BB36,Cenários!BB82,Cenários!BB128)</f>
        <v>-15595</v>
      </c>
      <c r="BC17" s="60" t="n">
        <f aca="false">CHOOSE(Premissas!$B$6,Cenários!BC36,Cenários!BC82,Cenários!BC128)</f>
        <v>-16179.25</v>
      </c>
      <c r="BD17" s="60" t="n">
        <f aca="false">CHOOSE(Premissas!$B$6,Cenários!BD36,Cenários!BD82,Cenários!BD128)</f>
        <v>-16727</v>
      </c>
      <c r="BE17" s="60" t="n">
        <f aca="false">CHOOSE(Premissas!$B$6,Cenários!BE36,Cenários!BE82,Cenários!BE128)</f>
        <v>-17240.5</v>
      </c>
      <c r="BF17" s="60" t="n">
        <f aca="false">CHOOSE(Premissas!$B$6,Cenários!BF36,Cenários!BF82,Cenários!BF128)</f>
        <v>-17722</v>
      </c>
      <c r="BG17" s="60" t="n">
        <f aca="false">CHOOSE(Premissas!$B$6,Cenários!BG36,Cenários!BG82,Cenários!BG128)</f>
        <v>-18173.25</v>
      </c>
      <c r="BH17" s="60" t="n">
        <f aca="false">CHOOSE(Premissas!$B$6,Cenários!BH36,Cenários!BH82,Cenários!BH128)</f>
        <v>-18596.5</v>
      </c>
      <c r="BI17" s="60" t="n">
        <f aca="false">CHOOSE(Premissas!$B$6,Cenários!BI36,Cenários!BI82,Cenários!BI128)</f>
        <v>-18993.25</v>
      </c>
      <c r="BJ17" s="61" t="n">
        <f aca="false">SUM(B17:BI17)</f>
        <v>-435736.02</v>
      </c>
      <c r="BK17" s="186" t="n">
        <f aca="false">IFERROR(BJ17/BJ$28,0)</f>
        <v>0.00970949124364507</v>
      </c>
    </row>
    <row r="18" customFormat="false" ht="15" hidden="false" customHeight="false" outlineLevel="0" collapsed="false">
      <c r="A18" s="27" t="s">
        <v>773</v>
      </c>
      <c r="B18" s="60" t="n">
        <f aca="false">-Pessoas!B42</f>
        <v>-0</v>
      </c>
      <c r="C18" s="60" t="n">
        <f aca="false">-Pessoas!C42</f>
        <v>-0</v>
      </c>
      <c r="D18" s="60" t="n">
        <f aca="false">-Pessoas!D42</f>
        <v>-0</v>
      </c>
      <c r="E18" s="60" t="n">
        <f aca="false">-Pessoas!E42</f>
        <v>-0</v>
      </c>
      <c r="F18" s="60" t="n">
        <f aca="false">-Pessoas!F42</f>
        <v>-0</v>
      </c>
      <c r="G18" s="60" t="n">
        <f aca="false">-Pessoas!G42</f>
        <v>-0</v>
      </c>
      <c r="H18" s="60" t="n">
        <f aca="false">-Pessoas!H42</f>
        <v>-0</v>
      </c>
      <c r="I18" s="60" t="n">
        <f aca="false">-Pessoas!I42</f>
        <v>-0</v>
      </c>
      <c r="J18" s="60" t="n">
        <f aca="false">-Pessoas!J42</f>
        <v>-0</v>
      </c>
      <c r="K18" s="60" t="n">
        <f aca="false">-Pessoas!K42</f>
        <v>-0</v>
      </c>
      <c r="L18" s="60" t="n">
        <f aca="false">-Pessoas!L42</f>
        <v>-0</v>
      </c>
      <c r="M18" s="60" t="n">
        <f aca="false">-Pessoas!M42</f>
        <v>-0</v>
      </c>
      <c r="N18" s="60" t="n">
        <f aca="false">-Pessoas!N42</f>
        <v>-27500</v>
      </c>
      <c r="O18" s="60" t="n">
        <f aca="false">-Pessoas!O42</f>
        <v>-27500</v>
      </c>
      <c r="P18" s="60" t="n">
        <f aca="false">-Pessoas!P42</f>
        <v>-27500</v>
      </c>
      <c r="Q18" s="60" t="n">
        <f aca="false">-Pessoas!Q42</f>
        <v>-27500</v>
      </c>
      <c r="R18" s="60" t="n">
        <f aca="false">-Pessoas!R42</f>
        <v>-27500</v>
      </c>
      <c r="S18" s="60" t="n">
        <f aca="false">-Pessoas!S42</f>
        <v>-27500</v>
      </c>
      <c r="T18" s="60" t="n">
        <f aca="false">-Pessoas!T42</f>
        <v>-27500</v>
      </c>
      <c r="U18" s="60" t="n">
        <f aca="false">-Pessoas!U42</f>
        <v>-27500</v>
      </c>
      <c r="V18" s="60" t="n">
        <f aca="false">-Pessoas!V42</f>
        <v>-27500</v>
      </c>
      <c r="W18" s="60" t="n">
        <f aca="false">-Pessoas!W42</f>
        <v>-27500</v>
      </c>
      <c r="X18" s="60" t="n">
        <f aca="false">-Pessoas!X42</f>
        <v>-27500</v>
      </c>
      <c r="Y18" s="60" t="n">
        <f aca="false">-Pessoas!Y42</f>
        <v>-27500</v>
      </c>
      <c r="Z18" s="60" t="n">
        <f aca="false">-Pessoas!Z42</f>
        <v>-102500</v>
      </c>
      <c r="AA18" s="60" t="n">
        <f aca="false">-Pessoas!AA42</f>
        <v>-102500</v>
      </c>
      <c r="AB18" s="60" t="n">
        <f aca="false">-Pessoas!AB42</f>
        <v>-102500</v>
      </c>
      <c r="AC18" s="60" t="n">
        <f aca="false">-Pessoas!AC42</f>
        <v>-102500</v>
      </c>
      <c r="AD18" s="60" t="n">
        <f aca="false">-Pessoas!AD42</f>
        <v>-102500</v>
      </c>
      <c r="AE18" s="60" t="n">
        <f aca="false">-Pessoas!AE42</f>
        <v>-102500</v>
      </c>
      <c r="AF18" s="60" t="n">
        <f aca="false">-Pessoas!AF42</f>
        <v>-102500</v>
      </c>
      <c r="AG18" s="60" t="n">
        <f aca="false">-Pessoas!AG42</f>
        <v>-102500</v>
      </c>
      <c r="AH18" s="60" t="n">
        <f aca="false">-Pessoas!AH42</f>
        <v>-102500</v>
      </c>
      <c r="AI18" s="60" t="n">
        <f aca="false">-Pessoas!AI42</f>
        <v>-102500</v>
      </c>
      <c r="AJ18" s="60" t="n">
        <f aca="false">-Pessoas!AJ42</f>
        <v>-102500</v>
      </c>
      <c r="AK18" s="60" t="n">
        <f aca="false">-Pessoas!AK42</f>
        <v>-102500</v>
      </c>
      <c r="AL18" s="60" t="n">
        <f aca="false">-Pessoas!AL42</f>
        <v>-221300</v>
      </c>
      <c r="AM18" s="60" t="n">
        <f aca="false">-Pessoas!AM42</f>
        <v>-221300</v>
      </c>
      <c r="AN18" s="60" t="n">
        <f aca="false">-Pessoas!AN42</f>
        <v>-221300</v>
      </c>
      <c r="AO18" s="60" t="n">
        <f aca="false">-Pessoas!AO42</f>
        <v>-221300</v>
      </c>
      <c r="AP18" s="60" t="n">
        <f aca="false">-Pessoas!AP42</f>
        <v>-221300</v>
      </c>
      <c r="AQ18" s="60" t="n">
        <f aca="false">-Pessoas!AQ42</f>
        <v>-221300</v>
      </c>
      <c r="AR18" s="60" t="n">
        <f aca="false">-Pessoas!AR42</f>
        <v>-221300</v>
      </c>
      <c r="AS18" s="60" t="n">
        <f aca="false">-Pessoas!AS42</f>
        <v>-221300</v>
      </c>
      <c r="AT18" s="60" t="n">
        <f aca="false">-Pessoas!AT42</f>
        <v>-221300</v>
      </c>
      <c r="AU18" s="60" t="n">
        <f aca="false">-Pessoas!AU42</f>
        <v>-221300</v>
      </c>
      <c r="AV18" s="60" t="n">
        <f aca="false">-Pessoas!AV42</f>
        <v>-221300</v>
      </c>
      <c r="AW18" s="60" t="n">
        <f aca="false">-Pessoas!AW42</f>
        <v>-221300</v>
      </c>
      <c r="AX18" s="60" t="n">
        <f aca="false">-Pessoas!AX42</f>
        <v>-342300</v>
      </c>
      <c r="AY18" s="60" t="n">
        <f aca="false">-Pessoas!AY42</f>
        <v>-342300</v>
      </c>
      <c r="AZ18" s="60" t="n">
        <f aca="false">-Pessoas!AZ42</f>
        <v>-342300</v>
      </c>
      <c r="BA18" s="60" t="n">
        <f aca="false">-Pessoas!BA42</f>
        <v>-342300</v>
      </c>
      <c r="BB18" s="60" t="n">
        <f aca="false">-Pessoas!BB42</f>
        <v>-342300</v>
      </c>
      <c r="BC18" s="60" t="n">
        <f aca="false">-Pessoas!BC42</f>
        <v>-342300</v>
      </c>
      <c r="BD18" s="60" t="n">
        <f aca="false">-Pessoas!BD42</f>
        <v>-342300</v>
      </c>
      <c r="BE18" s="60" t="n">
        <f aca="false">-Pessoas!BE42</f>
        <v>-342300</v>
      </c>
      <c r="BF18" s="60" t="n">
        <f aca="false">-Pessoas!BF42</f>
        <v>-342300</v>
      </c>
      <c r="BG18" s="60" t="n">
        <f aca="false">-Pessoas!BG42</f>
        <v>-342300</v>
      </c>
      <c r="BH18" s="60" t="n">
        <f aca="false">-Pessoas!BH42</f>
        <v>-342300</v>
      </c>
      <c r="BI18" s="60" t="n">
        <f aca="false">-Pessoas!BI42</f>
        <v>-342300</v>
      </c>
      <c r="BJ18" s="61" t="n">
        <f aca="false">SUM(B18:BI18)</f>
        <v>-8323200</v>
      </c>
      <c r="BK18" s="186" t="n">
        <f aca="false">IFERROR(BJ18/BJ$28,0)</f>
        <v>0.185465588819365</v>
      </c>
    </row>
    <row r="19" customFormat="false" ht="15" hidden="false" customHeight="false" outlineLevel="0" collapsed="false">
      <c r="A19" s="27" t="s">
        <v>774</v>
      </c>
      <c r="B19" s="60" t="n">
        <f aca="false">-Pessoas!B43</f>
        <v>-0</v>
      </c>
      <c r="C19" s="60" t="n">
        <f aca="false">-Pessoas!C43</f>
        <v>-0</v>
      </c>
      <c r="D19" s="60" t="n">
        <f aca="false">-Pessoas!D43</f>
        <v>-0</v>
      </c>
      <c r="E19" s="60" t="n">
        <f aca="false">-Pessoas!E43</f>
        <v>-0</v>
      </c>
      <c r="F19" s="60" t="n">
        <f aca="false">-Pessoas!F43</f>
        <v>-0</v>
      </c>
      <c r="G19" s="60" t="n">
        <f aca="false">-Pessoas!G43</f>
        <v>-0</v>
      </c>
      <c r="H19" s="60" t="n">
        <f aca="false">-Pessoas!H43</f>
        <v>-0</v>
      </c>
      <c r="I19" s="60" t="n">
        <f aca="false">-Pessoas!I43</f>
        <v>-0</v>
      </c>
      <c r="J19" s="60" t="n">
        <f aca="false">-Pessoas!J43</f>
        <v>-0</v>
      </c>
      <c r="K19" s="60" t="n">
        <f aca="false">-Pessoas!K43</f>
        <v>-0</v>
      </c>
      <c r="L19" s="60" t="n">
        <f aca="false">-Pessoas!L43</f>
        <v>-0</v>
      </c>
      <c r="M19" s="60" t="n">
        <f aca="false">-Pessoas!M43</f>
        <v>-0</v>
      </c>
      <c r="N19" s="60" t="n">
        <f aca="false">-Pessoas!N43</f>
        <v>-0</v>
      </c>
      <c r="O19" s="60" t="n">
        <f aca="false">-Pessoas!O43</f>
        <v>-0</v>
      </c>
      <c r="P19" s="60" t="n">
        <f aca="false">-Pessoas!P43</f>
        <v>-0</v>
      </c>
      <c r="Q19" s="60" t="n">
        <f aca="false">-Pessoas!Q43</f>
        <v>-0</v>
      </c>
      <c r="R19" s="60" t="n">
        <f aca="false">-Pessoas!R43</f>
        <v>-0</v>
      </c>
      <c r="S19" s="60" t="n">
        <f aca="false">-Pessoas!S43</f>
        <v>-0</v>
      </c>
      <c r="T19" s="60" t="n">
        <f aca="false">-Pessoas!T43</f>
        <v>-0</v>
      </c>
      <c r="U19" s="60" t="n">
        <f aca="false">-Pessoas!U43</f>
        <v>-0</v>
      </c>
      <c r="V19" s="60" t="n">
        <f aca="false">-Pessoas!V43</f>
        <v>-0</v>
      </c>
      <c r="W19" s="60" t="n">
        <f aca="false">-Pessoas!W43</f>
        <v>-0</v>
      </c>
      <c r="X19" s="60" t="n">
        <f aca="false">-Pessoas!X43</f>
        <v>-0</v>
      </c>
      <c r="Y19" s="60" t="n">
        <f aca="false">-Pessoas!Y43</f>
        <v>-0</v>
      </c>
      <c r="Z19" s="60" t="n">
        <f aca="false">-Pessoas!Z43</f>
        <v>-0</v>
      </c>
      <c r="AA19" s="60" t="n">
        <f aca="false">-Pessoas!AA43</f>
        <v>-0</v>
      </c>
      <c r="AB19" s="60" t="n">
        <f aca="false">-Pessoas!AB43</f>
        <v>-0</v>
      </c>
      <c r="AC19" s="60" t="n">
        <f aca="false">-Pessoas!AC43</f>
        <v>-0</v>
      </c>
      <c r="AD19" s="60" t="n">
        <f aca="false">-Pessoas!AD43</f>
        <v>-0</v>
      </c>
      <c r="AE19" s="60" t="n">
        <f aca="false">-Pessoas!AE43</f>
        <v>-0</v>
      </c>
      <c r="AF19" s="60" t="n">
        <f aca="false">-Pessoas!AF43</f>
        <v>-0</v>
      </c>
      <c r="AG19" s="60" t="n">
        <f aca="false">-Pessoas!AG43</f>
        <v>-0</v>
      </c>
      <c r="AH19" s="60" t="n">
        <f aca="false">-Pessoas!AH43</f>
        <v>-0</v>
      </c>
      <c r="AI19" s="60" t="n">
        <f aca="false">-Pessoas!AI43</f>
        <v>-0</v>
      </c>
      <c r="AJ19" s="60" t="n">
        <f aca="false">-Pessoas!AJ43</f>
        <v>-0</v>
      </c>
      <c r="AK19" s="60" t="n">
        <f aca="false">-Pessoas!AK43</f>
        <v>-0</v>
      </c>
      <c r="AL19" s="60" t="n">
        <f aca="false">-Pessoas!AL43</f>
        <v>-0</v>
      </c>
      <c r="AM19" s="60" t="n">
        <f aca="false">-Pessoas!AM43</f>
        <v>-0</v>
      </c>
      <c r="AN19" s="60" t="n">
        <f aca="false">-Pessoas!AN43</f>
        <v>-0</v>
      </c>
      <c r="AO19" s="60" t="n">
        <f aca="false">-Pessoas!AO43</f>
        <v>-0</v>
      </c>
      <c r="AP19" s="60" t="n">
        <f aca="false">-Pessoas!AP43</f>
        <v>-0</v>
      </c>
      <c r="AQ19" s="60" t="n">
        <f aca="false">-Pessoas!AQ43</f>
        <v>-0</v>
      </c>
      <c r="AR19" s="60" t="n">
        <f aca="false">-Pessoas!AR43</f>
        <v>-0</v>
      </c>
      <c r="AS19" s="60" t="n">
        <f aca="false">-Pessoas!AS43</f>
        <v>-0</v>
      </c>
      <c r="AT19" s="60" t="n">
        <f aca="false">-Pessoas!AT43</f>
        <v>-0</v>
      </c>
      <c r="AU19" s="60" t="n">
        <f aca="false">-Pessoas!AU43</f>
        <v>-0</v>
      </c>
      <c r="AV19" s="60" t="n">
        <f aca="false">-Pessoas!AV43</f>
        <v>-0</v>
      </c>
      <c r="AW19" s="60" t="n">
        <f aca="false">-Pessoas!AW43</f>
        <v>-0</v>
      </c>
      <c r="AX19" s="60" t="n">
        <f aca="false">-Pessoas!AX43</f>
        <v>-0</v>
      </c>
      <c r="AY19" s="60" t="n">
        <f aca="false">-Pessoas!AY43</f>
        <v>-0</v>
      </c>
      <c r="AZ19" s="60" t="n">
        <f aca="false">-Pessoas!AZ43</f>
        <v>-0</v>
      </c>
      <c r="BA19" s="60" t="n">
        <f aca="false">-Pessoas!BA43</f>
        <v>-0</v>
      </c>
      <c r="BB19" s="60" t="n">
        <f aca="false">-Pessoas!BB43</f>
        <v>-0</v>
      </c>
      <c r="BC19" s="60" t="n">
        <f aca="false">-Pessoas!BC43</f>
        <v>-0</v>
      </c>
      <c r="BD19" s="60" t="n">
        <f aca="false">-Pessoas!BD43</f>
        <v>-0</v>
      </c>
      <c r="BE19" s="60" t="n">
        <f aca="false">-Pessoas!BE43</f>
        <v>-0</v>
      </c>
      <c r="BF19" s="60" t="n">
        <f aca="false">-Pessoas!BF43</f>
        <v>-0</v>
      </c>
      <c r="BG19" s="60" t="n">
        <f aca="false">-Pessoas!BG43</f>
        <v>-0</v>
      </c>
      <c r="BH19" s="60" t="n">
        <f aca="false">-Pessoas!BH43</f>
        <v>-0</v>
      </c>
      <c r="BI19" s="60" t="n">
        <f aca="false">-Pessoas!BI43</f>
        <v>-0</v>
      </c>
      <c r="BJ19" s="61" t="n">
        <f aca="false">SUM(B19:BI19)</f>
        <v>0</v>
      </c>
      <c r="BK19" s="186" t="n">
        <f aca="false">IFERROR(BJ19/BJ$28,0)</f>
        <v>-0</v>
      </c>
    </row>
    <row r="20" customFormat="false" ht="15" hidden="false" customHeight="false" outlineLevel="0" collapsed="false">
      <c r="A20" s="27" t="s">
        <v>775</v>
      </c>
      <c r="B20" s="60" t="n">
        <f aca="false">-Pessoas!B44</f>
        <v>-0</v>
      </c>
      <c r="C20" s="60" t="n">
        <f aca="false">-Pessoas!C44</f>
        <v>-0</v>
      </c>
      <c r="D20" s="60" t="n">
        <f aca="false">-Pessoas!D44</f>
        <v>-0</v>
      </c>
      <c r="E20" s="60" t="n">
        <f aca="false">-Pessoas!E44</f>
        <v>-0</v>
      </c>
      <c r="F20" s="60" t="n">
        <f aca="false">-Pessoas!F44</f>
        <v>-0</v>
      </c>
      <c r="G20" s="60" t="n">
        <f aca="false">-Pessoas!G44</f>
        <v>-0</v>
      </c>
      <c r="H20" s="60" t="n">
        <f aca="false">-Pessoas!H44</f>
        <v>-0</v>
      </c>
      <c r="I20" s="60" t="n">
        <f aca="false">-Pessoas!I44</f>
        <v>-0</v>
      </c>
      <c r="J20" s="60" t="n">
        <f aca="false">-Pessoas!J44</f>
        <v>-0</v>
      </c>
      <c r="K20" s="60" t="n">
        <f aca="false">-Pessoas!K44</f>
        <v>-0</v>
      </c>
      <c r="L20" s="60" t="n">
        <f aca="false">-Pessoas!L44</f>
        <v>-0</v>
      </c>
      <c r="M20" s="60" t="n">
        <f aca="false">-Pessoas!M44</f>
        <v>-0</v>
      </c>
      <c r="N20" s="60" t="n">
        <f aca="false">-Pessoas!N44</f>
        <v>-15000</v>
      </c>
      <c r="O20" s="60" t="n">
        <f aca="false">-Pessoas!O44</f>
        <v>-15000</v>
      </c>
      <c r="P20" s="60" t="n">
        <f aca="false">-Pessoas!P44</f>
        <v>-15000</v>
      </c>
      <c r="Q20" s="60" t="n">
        <f aca="false">-Pessoas!Q44</f>
        <v>-15000</v>
      </c>
      <c r="R20" s="60" t="n">
        <f aca="false">-Pessoas!R44</f>
        <v>-15000</v>
      </c>
      <c r="S20" s="60" t="n">
        <f aca="false">-Pessoas!S44</f>
        <v>-15000</v>
      </c>
      <c r="T20" s="60" t="n">
        <f aca="false">-Pessoas!T44</f>
        <v>-15000</v>
      </c>
      <c r="U20" s="60" t="n">
        <f aca="false">-Pessoas!U44</f>
        <v>-15000</v>
      </c>
      <c r="V20" s="60" t="n">
        <f aca="false">-Pessoas!V44</f>
        <v>-15000</v>
      </c>
      <c r="W20" s="60" t="n">
        <f aca="false">-Pessoas!W44</f>
        <v>-15000</v>
      </c>
      <c r="X20" s="60" t="n">
        <f aca="false">-Pessoas!X44</f>
        <v>-15000</v>
      </c>
      <c r="Y20" s="60" t="n">
        <f aca="false">-Pessoas!Y44</f>
        <v>-15000</v>
      </c>
      <c r="Z20" s="60" t="n">
        <f aca="false">-Pessoas!Z44</f>
        <v>-15000</v>
      </c>
      <c r="AA20" s="60" t="n">
        <f aca="false">-Pessoas!AA44</f>
        <v>-15000</v>
      </c>
      <c r="AB20" s="60" t="n">
        <f aca="false">-Pessoas!AB44</f>
        <v>-15000</v>
      </c>
      <c r="AC20" s="60" t="n">
        <f aca="false">-Pessoas!AC44</f>
        <v>-15000</v>
      </c>
      <c r="AD20" s="60" t="n">
        <f aca="false">-Pessoas!AD44</f>
        <v>-15000</v>
      </c>
      <c r="AE20" s="60" t="n">
        <f aca="false">-Pessoas!AE44</f>
        <v>-15000</v>
      </c>
      <c r="AF20" s="60" t="n">
        <f aca="false">-Pessoas!AF44</f>
        <v>-15000</v>
      </c>
      <c r="AG20" s="60" t="n">
        <f aca="false">-Pessoas!AG44</f>
        <v>-15000</v>
      </c>
      <c r="AH20" s="60" t="n">
        <f aca="false">-Pessoas!AH44</f>
        <v>-15000</v>
      </c>
      <c r="AI20" s="60" t="n">
        <f aca="false">-Pessoas!AI44</f>
        <v>-15000</v>
      </c>
      <c r="AJ20" s="60" t="n">
        <f aca="false">-Pessoas!AJ44</f>
        <v>-15000</v>
      </c>
      <c r="AK20" s="60" t="n">
        <f aca="false">-Pessoas!AK44</f>
        <v>-15000</v>
      </c>
      <c r="AL20" s="60" t="n">
        <f aca="false">-Pessoas!AL44</f>
        <v>-32000</v>
      </c>
      <c r="AM20" s="60" t="n">
        <f aca="false">-Pessoas!AM44</f>
        <v>-32000</v>
      </c>
      <c r="AN20" s="60" t="n">
        <f aca="false">-Pessoas!AN44</f>
        <v>-32000</v>
      </c>
      <c r="AO20" s="60" t="n">
        <f aca="false">-Pessoas!AO44</f>
        <v>-32000</v>
      </c>
      <c r="AP20" s="60" t="n">
        <f aca="false">-Pessoas!AP44</f>
        <v>-32000</v>
      </c>
      <c r="AQ20" s="60" t="n">
        <f aca="false">-Pessoas!AQ44</f>
        <v>-32000</v>
      </c>
      <c r="AR20" s="60" t="n">
        <f aca="false">-Pessoas!AR44</f>
        <v>-32000</v>
      </c>
      <c r="AS20" s="60" t="n">
        <f aca="false">-Pessoas!AS44</f>
        <v>-32000</v>
      </c>
      <c r="AT20" s="60" t="n">
        <f aca="false">-Pessoas!AT44</f>
        <v>-32000</v>
      </c>
      <c r="AU20" s="60" t="n">
        <f aca="false">-Pessoas!AU44</f>
        <v>-32000</v>
      </c>
      <c r="AV20" s="60" t="n">
        <f aca="false">-Pessoas!AV44</f>
        <v>-32000</v>
      </c>
      <c r="AW20" s="60" t="n">
        <f aca="false">-Pessoas!AW44</f>
        <v>-32000</v>
      </c>
      <c r="AX20" s="60" t="n">
        <f aca="false">-Pessoas!AX44</f>
        <v>-32000</v>
      </c>
      <c r="AY20" s="60" t="n">
        <f aca="false">-Pessoas!AY44</f>
        <v>-32000</v>
      </c>
      <c r="AZ20" s="60" t="n">
        <f aca="false">-Pessoas!AZ44</f>
        <v>-32000</v>
      </c>
      <c r="BA20" s="60" t="n">
        <f aca="false">-Pessoas!BA44</f>
        <v>-32000</v>
      </c>
      <c r="BB20" s="60" t="n">
        <f aca="false">-Pessoas!BB44</f>
        <v>-32000</v>
      </c>
      <c r="BC20" s="60" t="n">
        <f aca="false">-Pessoas!BC44</f>
        <v>-32000</v>
      </c>
      <c r="BD20" s="60" t="n">
        <f aca="false">-Pessoas!BD44</f>
        <v>-32000</v>
      </c>
      <c r="BE20" s="60" t="n">
        <f aca="false">-Pessoas!BE44</f>
        <v>-32000</v>
      </c>
      <c r="BF20" s="60" t="n">
        <f aca="false">-Pessoas!BF44</f>
        <v>-32000</v>
      </c>
      <c r="BG20" s="60" t="n">
        <f aca="false">-Pessoas!BG44</f>
        <v>-32000</v>
      </c>
      <c r="BH20" s="60" t="n">
        <f aca="false">-Pessoas!BH44</f>
        <v>-32000</v>
      </c>
      <c r="BI20" s="60" t="n">
        <f aca="false">-Pessoas!BI44</f>
        <v>-32000</v>
      </c>
      <c r="BJ20" s="61" t="n">
        <f aca="false">SUM(B20:BI20)</f>
        <v>-1128000</v>
      </c>
      <c r="BK20" s="186" t="n">
        <f aca="false">IFERROR(BJ20/BJ$28,0)</f>
        <v>0.0251351864893603</v>
      </c>
    </row>
    <row r="21" customFormat="false" ht="15" hidden="false" customHeight="false" outlineLevel="0" collapsed="false">
      <c r="A21" s="27" t="s">
        <v>776</v>
      </c>
      <c r="B21" s="60" t="n">
        <f aca="false">-CHOOSE(Premissas!$B$6,Cenários!B10,Cenários!B56,Cenários!B102)*(1-INDEX(Premissas!$C$70:$G$70,B$7))*CHOOSE(Premissas!$B$6,IF('Ajuste Mensal'!B$16="",INDEX(Premissas!$C$67:$G$67,B$7),'Ajuste Mensal'!B$16),IF('Ajuste Mensal'!B$22="",INDEX(Premissas!$C$68:$G$68,B$7),'Ajuste Mensal'!B$22),IF('Ajuste Mensal'!B$28="",INDEX(Premissas!$C$69:$G$69,B$7),'Ajuste Mensal'!B$28))</f>
        <v>-0</v>
      </c>
      <c r="C21" s="60" t="n">
        <f aca="false">-CHOOSE(Premissas!$B$6,Cenários!C10,Cenários!C56,Cenários!C102)*(1-INDEX(Premissas!$C$70:$G$70,C$7))*CHOOSE(Premissas!$B$6,IF('Ajuste Mensal'!C$16="",INDEX(Premissas!$C$67:$G$67,C$7),'Ajuste Mensal'!C$16),IF('Ajuste Mensal'!C$22="",INDEX(Premissas!$C$68:$G$68,C$7),'Ajuste Mensal'!C$22),IF('Ajuste Mensal'!C$28="",INDEX(Premissas!$C$69:$G$69,C$7),'Ajuste Mensal'!C$28))</f>
        <v>-0</v>
      </c>
      <c r="D21" s="60" t="n">
        <f aca="false">-CHOOSE(Premissas!$B$6,Cenários!D10,Cenários!D56,Cenários!D102)*(1-INDEX(Premissas!$C$70:$G$70,D$7))*CHOOSE(Premissas!$B$6,IF('Ajuste Mensal'!D$16="",INDEX(Premissas!$C$67:$G$67,D$7),'Ajuste Mensal'!D$16),IF('Ajuste Mensal'!D$22="",INDEX(Premissas!$C$68:$G$68,D$7),'Ajuste Mensal'!D$22),IF('Ajuste Mensal'!D$28="",INDEX(Premissas!$C$69:$G$69,D$7),'Ajuste Mensal'!D$28))</f>
        <v>-0</v>
      </c>
      <c r="E21" s="60" t="n">
        <f aca="false">-CHOOSE(Premissas!$B$6,Cenários!E10,Cenários!E56,Cenários!E102)*(1-INDEX(Premissas!$C$70:$G$70,E$7))*CHOOSE(Premissas!$B$6,IF('Ajuste Mensal'!E$16="",INDEX(Premissas!$C$67:$G$67,E$7),'Ajuste Mensal'!E$16),IF('Ajuste Mensal'!E$22="",INDEX(Premissas!$C$68:$G$68,E$7),'Ajuste Mensal'!E$22),IF('Ajuste Mensal'!E$28="",INDEX(Premissas!$C$69:$G$69,E$7),'Ajuste Mensal'!E$28))</f>
        <v>-0</v>
      </c>
      <c r="F21" s="60" t="n">
        <f aca="false">-CHOOSE(Premissas!$B$6,Cenários!F10,Cenários!F56,Cenários!F102)*(1-INDEX(Premissas!$C$70:$G$70,F$7))*CHOOSE(Premissas!$B$6,IF('Ajuste Mensal'!F$16="",INDEX(Premissas!$C$67:$G$67,F$7),'Ajuste Mensal'!F$16),IF('Ajuste Mensal'!F$22="",INDEX(Premissas!$C$68:$G$68,F$7),'Ajuste Mensal'!F$22),IF('Ajuste Mensal'!F$28="",INDEX(Premissas!$C$69:$G$69,F$7),'Ajuste Mensal'!F$28))</f>
        <v>-0</v>
      </c>
      <c r="G21" s="60" t="n">
        <f aca="false">-CHOOSE(Premissas!$B$6,Cenários!G10,Cenários!G56,Cenários!G102)*(1-INDEX(Premissas!$C$70:$G$70,G$7))*CHOOSE(Premissas!$B$6,IF('Ajuste Mensal'!G$16="",INDEX(Premissas!$C$67:$G$67,G$7),'Ajuste Mensal'!G$16),IF('Ajuste Mensal'!G$22="",INDEX(Premissas!$C$68:$G$68,G$7),'Ajuste Mensal'!G$22),IF('Ajuste Mensal'!G$28="",INDEX(Premissas!$C$69:$G$69,G$7),'Ajuste Mensal'!G$28))</f>
        <v>-0</v>
      </c>
      <c r="H21" s="60" t="n">
        <f aca="false">-CHOOSE(Premissas!$B$6,Cenários!H10,Cenários!H56,Cenários!H102)*(1-INDEX(Premissas!$C$70:$G$70,H$7))*CHOOSE(Premissas!$B$6,IF('Ajuste Mensal'!H$16="",INDEX(Premissas!$C$67:$G$67,H$7),'Ajuste Mensal'!H$16),IF('Ajuste Mensal'!H$22="",INDEX(Premissas!$C$68:$G$68,H$7),'Ajuste Mensal'!H$22),IF('Ajuste Mensal'!H$28="",INDEX(Premissas!$C$69:$G$69,H$7),'Ajuste Mensal'!H$28))</f>
        <v>-0</v>
      </c>
      <c r="I21" s="60" t="n">
        <f aca="false">-CHOOSE(Premissas!$B$6,Cenários!I10,Cenários!I56,Cenários!I102)*(1-INDEX(Premissas!$C$70:$G$70,I$7))*CHOOSE(Premissas!$B$6,IF('Ajuste Mensal'!I$16="",INDEX(Premissas!$C$67:$G$67,I$7),'Ajuste Mensal'!I$16),IF('Ajuste Mensal'!I$22="",INDEX(Premissas!$C$68:$G$68,I$7),'Ajuste Mensal'!I$22),IF('Ajuste Mensal'!I$28="",INDEX(Premissas!$C$69:$G$69,I$7),'Ajuste Mensal'!I$28))</f>
        <v>-0</v>
      </c>
      <c r="J21" s="60" t="n">
        <f aca="false">-CHOOSE(Premissas!$B$6,Cenários!J10,Cenários!J56,Cenários!J102)*(1-INDEX(Premissas!$C$70:$G$70,J$7))*CHOOSE(Premissas!$B$6,IF('Ajuste Mensal'!J$16="",INDEX(Premissas!$C$67:$G$67,J$7),'Ajuste Mensal'!J$16),IF('Ajuste Mensal'!J$22="",INDEX(Premissas!$C$68:$G$68,J$7),'Ajuste Mensal'!J$22),IF('Ajuste Mensal'!J$28="",INDEX(Premissas!$C$69:$G$69,J$7),'Ajuste Mensal'!J$28))</f>
        <v>-0</v>
      </c>
      <c r="K21" s="60" t="n">
        <f aca="false">-CHOOSE(Premissas!$B$6,Cenários!K10,Cenários!K56,Cenários!K102)*(1-INDEX(Premissas!$C$70:$G$70,K$7))*CHOOSE(Premissas!$B$6,IF('Ajuste Mensal'!K$16="",INDEX(Premissas!$C$67:$G$67,K$7),'Ajuste Mensal'!K$16),IF('Ajuste Mensal'!K$22="",INDEX(Premissas!$C$68:$G$68,K$7),'Ajuste Mensal'!K$22),IF('Ajuste Mensal'!K$28="",INDEX(Premissas!$C$69:$G$69,K$7),'Ajuste Mensal'!K$28))</f>
        <v>-31675</v>
      </c>
      <c r="L21" s="60" t="n">
        <f aca="false">-CHOOSE(Premissas!$B$6,Cenários!L10,Cenários!L56,Cenários!L102)*(1-INDEX(Premissas!$C$70:$G$70,L$7))*CHOOSE(Premissas!$B$6,IF('Ajuste Mensal'!L$16="",INDEX(Premissas!$C$67:$G$67,L$7),'Ajuste Mensal'!L$16),IF('Ajuste Mensal'!L$22="",INDEX(Premissas!$C$68:$G$68,L$7),'Ajuste Mensal'!L$22),IF('Ajuste Mensal'!L$28="",INDEX(Premissas!$C$69:$G$69,L$7),'Ajuste Mensal'!L$28))</f>
        <v>-31675</v>
      </c>
      <c r="M21" s="60" t="n">
        <f aca="false">-CHOOSE(Premissas!$B$6,Cenários!M10,Cenários!M56,Cenários!M102)*(1-INDEX(Premissas!$C$70:$G$70,M$7))*CHOOSE(Premissas!$B$6,IF('Ajuste Mensal'!M$16="",INDEX(Premissas!$C$67:$G$67,M$7),'Ajuste Mensal'!M$16),IF('Ajuste Mensal'!M$22="",INDEX(Premissas!$C$68:$G$68,M$7),'Ajuste Mensal'!M$22),IF('Ajuste Mensal'!M$28="",INDEX(Premissas!$C$69:$G$69,M$7),'Ajuste Mensal'!M$28))</f>
        <v>-31675</v>
      </c>
      <c r="N21" s="60" t="n">
        <f aca="false">-CHOOSE(Premissas!$B$6,Cenários!N10,Cenários!N56,Cenários!N102)*(1-INDEX(Premissas!$C$70:$G$70,N$7))*CHOOSE(Premissas!$B$6,IF('Ajuste Mensal'!N$16="",INDEX(Premissas!$C$67:$G$67,N$7),'Ajuste Mensal'!N$16),IF('Ajuste Mensal'!N$22="",INDEX(Premissas!$C$68:$G$68,N$7),'Ajuste Mensal'!N$22),IF('Ajuste Mensal'!N$28="",INDEX(Premissas!$C$69:$G$69,N$7),'Ajuste Mensal'!N$28))</f>
        <v>-53078.25</v>
      </c>
      <c r="O21" s="60" t="n">
        <f aca="false">-CHOOSE(Premissas!$B$6,Cenários!O10,Cenários!O56,Cenários!O102)*(1-INDEX(Premissas!$C$70:$G$70,O$7))*CHOOSE(Premissas!$B$6,IF('Ajuste Mensal'!O$16="",INDEX(Premissas!$C$67:$G$67,O$7),'Ajuste Mensal'!O$16),IF('Ajuste Mensal'!O$22="",INDEX(Premissas!$C$68:$G$68,O$7),'Ajuste Mensal'!O$22),IF('Ajuste Mensal'!O$28="",INDEX(Premissas!$C$69:$G$69,O$7),'Ajuste Mensal'!O$28))</f>
        <v>-53078.25</v>
      </c>
      <c r="P21" s="60" t="n">
        <f aca="false">-CHOOSE(Premissas!$B$6,Cenários!P10,Cenários!P56,Cenários!P102)*(1-INDEX(Premissas!$C$70:$G$70,P$7))*CHOOSE(Premissas!$B$6,IF('Ajuste Mensal'!P$16="",INDEX(Premissas!$C$67:$G$67,P$7),'Ajuste Mensal'!P$16),IF('Ajuste Mensal'!P$22="",INDEX(Premissas!$C$68:$G$68,P$7),'Ajuste Mensal'!P$22),IF('Ajuste Mensal'!P$28="",INDEX(Premissas!$C$69:$G$69,P$7),'Ajuste Mensal'!P$28))</f>
        <v>-53078.25</v>
      </c>
      <c r="Q21" s="60" t="n">
        <f aca="false">-CHOOSE(Premissas!$B$6,Cenários!Q10,Cenários!Q56,Cenários!Q102)*(1-INDEX(Premissas!$C$70:$G$70,Q$7))*CHOOSE(Premissas!$B$6,IF('Ajuste Mensal'!Q$16="",INDEX(Premissas!$C$67:$G$67,Q$7),'Ajuste Mensal'!Q$16),IF('Ajuste Mensal'!Q$22="",INDEX(Premissas!$C$68:$G$68,Q$7),'Ajuste Mensal'!Q$22),IF('Ajuste Mensal'!Q$28="",INDEX(Premissas!$C$69:$G$69,Q$7),'Ajuste Mensal'!Q$28))</f>
        <v>-53078.25</v>
      </c>
      <c r="R21" s="60" t="n">
        <f aca="false">-CHOOSE(Premissas!$B$6,Cenários!R10,Cenários!R56,Cenários!R102)*(1-INDEX(Premissas!$C$70:$G$70,R$7))*CHOOSE(Premissas!$B$6,IF('Ajuste Mensal'!R$16="",INDEX(Premissas!$C$67:$G$67,R$7),'Ajuste Mensal'!R$16),IF('Ajuste Mensal'!R$22="",INDEX(Premissas!$C$68:$G$68,R$7),'Ajuste Mensal'!R$22),IF('Ajuste Mensal'!R$28="",INDEX(Premissas!$C$69:$G$69,R$7),'Ajuste Mensal'!R$28))</f>
        <v>-53078.25</v>
      </c>
      <c r="S21" s="60" t="n">
        <f aca="false">-CHOOSE(Premissas!$B$6,Cenários!S10,Cenários!S56,Cenários!S102)*(1-INDEX(Premissas!$C$70:$G$70,S$7))*CHOOSE(Premissas!$B$6,IF('Ajuste Mensal'!S$16="",INDEX(Premissas!$C$67:$G$67,S$7),'Ajuste Mensal'!S$16),IF('Ajuste Mensal'!S$22="",INDEX(Premissas!$C$68:$G$68,S$7),'Ajuste Mensal'!S$22),IF('Ajuste Mensal'!S$28="",INDEX(Premissas!$C$69:$G$69,S$7),'Ajuste Mensal'!S$28))</f>
        <v>-53078.25</v>
      </c>
      <c r="T21" s="60" t="n">
        <f aca="false">-CHOOSE(Premissas!$B$6,Cenários!T10,Cenários!T56,Cenários!T102)*(1-INDEX(Premissas!$C$70:$G$70,T$7))*CHOOSE(Premissas!$B$6,IF('Ajuste Mensal'!T$16="",INDEX(Premissas!$C$67:$G$67,T$7),'Ajuste Mensal'!T$16),IF('Ajuste Mensal'!T$22="",INDEX(Premissas!$C$68:$G$68,T$7),'Ajuste Mensal'!T$22),IF('Ajuste Mensal'!T$28="",INDEX(Premissas!$C$69:$G$69,T$7),'Ajuste Mensal'!T$28))</f>
        <v>-53078.25</v>
      </c>
      <c r="U21" s="60" t="n">
        <f aca="false">-CHOOSE(Premissas!$B$6,Cenários!U10,Cenários!U56,Cenários!U102)*(1-INDEX(Premissas!$C$70:$G$70,U$7))*CHOOSE(Premissas!$B$6,IF('Ajuste Mensal'!U$16="",INDEX(Premissas!$C$67:$G$67,U$7),'Ajuste Mensal'!U$16),IF('Ajuste Mensal'!U$22="",INDEX(Premissas!$C$68:$G$68,U$7),'Ajuste Mensal'!U$22),IF('Ajuste Mensal'!U$28="",INDEX(Premissas!$C$69:$G$69,U$7),'Ajuste Mensal'!U$28))</f>
        <v>-53078.25</v>
      </c>
      <c r="V21" s="60" t="n">
        <f aca="false">-CHOOSE(Premissas!$B$6,Cenários!V10,Cenários!V56,Cenários!V102)*(1-INDEX(Premissas!$C$70:$G$70,V$7))*CHOOSE(Premissas!$B$6,IF('Ajuste Mensal'!V$16="",INDEX(Premissas!$C$67:$G$67,V$7),'Ajuste Mensal'!V$16),IF('Ajuste Mensal'!V$22="",INDEX(Premissas!$C$68:$G$68,V$7),'Ajuste Mensal'!V$22),IF('Ajuste Mensal'!V$28="",INDEX(Premissas!$C$69:$G$69,V$7),'Ajuste Mensal'!V$28))</f>
        <v>-53078.25</v>
      </c>
      <c r="W21" s="60" t="n">
        <f aca="false">-CHOOSE(Premissas!$B$6,Cenários!W10,Cenários!W56,Cenários!W102)*(1-INDEX(Premissas!$C$70:$G$70,W$7))*CHOOSE(Premissas!$B$6,IF('Ajuste Mensal'!W$16="",INDEX(Premissas!$C$67:$G$67,W$7),'Ajuste Mensal'!W$16),IF('Ajuste Mensal'!W$22="",INDEX(Premissas!$C$68:$G$68,W$7),'Ajuste Mensal'!W$22),IF('Ajuste Mensal'!W$28="",INDEX(Premissas!$C$69:$G$69,W$7),'Ajuste Mensal'!W$28))</f>
        <v>-53078.25</v>
      </c>
      <c r="X21" s="60" t="n">
        <f aca="false">-CHOOSE(Premissas!$B$6,Cenários!X10,Cenários!X56,Cenários!X102)*(1-INDEX(Premissas!$C$70:$G$70,X$7))*CHOOSE(Premissas!$B$6,IF('Ajuste Mensal'!X$16="",INDEX(Premissas!$C$67:$G$67,X$7),'Ajuste Mensal'!X$16),IF('Ajuste Mensal'!X$22="",INDEX(Premissas!$C$68:$G$68,X$7),'Ajuste Mensal'!X$22),IF('Ajuste Mensal'!X$28="",INDEX(Premissas!$C$69:$G$69,X$7),'Ajuste Mensal'!X$28))</f>
        <v>-53078.25</v>
      </c>
      <c r="Y21" s="60" t="n">
        <f aca="false">-CHOOSE(Premissas!$B$6,Cenários!Y10,Cenários!Y56,Cenários!Y102)*(1-INDEX(Premissas!$C$70:$G$70,Y$7))*CHOOSE(Premissas!$B$6,IF('Ajuste Mensal'!Y$16="",INDEX(Premissas!$C$67:$G$67,Y$7),'Ajuste Mensal'!Y$16),IF('Ajuste Mensal'!Y$22="",INDEX(Premissas!$C$68:$G$68,Y$7),'Ajuste Mensal'!Y$22),IF('Ajuste Mensal'!Y$28="",INDEX(Premissas!$C$69:$G$69,Y$7),'Ajuste Mensal'!Y$28))</f>
        <v>-53078.25</v>
      </c>
      <c r="Z21" s="60" t="n">
        <f aca="false">-CHOOSE(Premissas!$B$6,Cenários!Z10,Cenários!Z56,Cenários!Z102)*(1-INDEX(Premissas!$C$70:$G$70,Z$7))*CHOOSE(Premissas!$B$6,IF('Ajuste Mensal'!Z$16="",INDEX(Premissas!$C$67:$G$67,Z$7),'Ajuste Mensal'!Z$16),IF('Ajuste Mensal'!Z$22="",INDEX(Premissas!$C$68:$G$68,Z$7),'Ajuste Mensal'!Z$22),IF('Ajuste Mensal'!Z$28="",INDEX(Premissas!$C$69:$G$69,Z$7),'Ajuste Mensal'!Z$28))</f>
        <v>-87520.5703125</v>
      </c>
      <c r="AA21" s="60" t="n">
        <f aca="false">-CHOOSE(Premissas!$B$6,Cenários!AA10,Cenários!AA56,Cenários!AA102)*(1-INDEX(Premissas!$C$70:$G$70,AA$7))*CHOOSE(Premissas!$B$6,IF('Ajuste Mensal'!AA$16="",INDEX(Premissas!$C$67:$G$67,AA$7),'Ajuste Mensal'!AA$16),IF('Ajuste Mensal'!AA$22="",INDEX(Premissas!$C$68:$G$68,AA$7),'Ajuste Mensal'!AA$22),IF('Ajuste Mensal'!AA$28="",INDEX(Premissas!$C$69:$G$69,AA$7),'Ajuste Mensal'!AA$28))</f>
        <v>-87520.5703125</v>
      </c>
      <c r="AB21" s="60" t="n">
        <f aca="false">-CHOOSE(Premissas!$B$6,Cenários!AB10,Cenários!AB56,Cenários!AB102)*(1-INDEX(Premissas!$C$70:$G$70,AB$7))*CHOOSE(Premissas!$B$6,IF('Ajuste Mensal'!AB$16="",INDEX(Premissas!$C$67:$G$67,AB$7),'Ajuste Mensal'!AB$16),IF('Ajuste Mensal'!AB$22="",INDEX(Premissas!$C$68:$G$68,AB$7),'Ajuste Mensal'!AB$22),IF('Ajuste Mensal'!AB$28="",INDEX(Premissas!$C$69:$G$69,AB$7),'Ajuste Mensal'!AB$28))</f>
        <v>-87520.5703125</v>
      </c>
      <c r="AC21" s="60" t="n">
        <f aca="false">-CHOOSE(Premissas!$B$6,Cenários!AC10,Cenários!AC56,Cenários!AC102)*(1-INDEX(Premissas!$C$70:$G$70,AC$7))*CHOOSE(Premissas!$B$6,IF('Ajuste Mensal'!AC$16="",INDEX(Premissas!$C$67:$G$67,AC$7),'Ajuste Mensal'!AC$16),IF('Ajuste Mensal'!AC$22="",INDEX(Premissas!$C$68:$G$68,AC$7),'Ajuste Mensal'!AC$22),IF('Ajuste Mensal'!AC$28="",INDEX(Premissas!$C$69:$G$69,AC$7),'Ajuste Mensal'!AC$28))</f>
        <v>-87520.5703125</v>
      </c>
      <c r="AD21" s="60" t="n">
        <f aca="false">-CHOOSE(Premissas!$B$6,Cenários!AD10,Cenários!AD56,Cenários!AD102)*(1-INDEX(Premissas!$C$70:$G$70,AD$7))*CHOOSE(Premissas!$B$6,IF('Ajuste Mensal'!AD$16="",INDEX(Premissas!$C$67:$G$67,AD$7),'Ajuste Mensal'!AD$16),IF('Ajuste Mensal'!AD$22="",INDEX(Premissas!$C$68:$G$68,AD$7),'Ajuste Mensal'!AD$22),IF('Ajuste Mensal'!AD$28="",INDEX(Premissas!$C$69:$G$69,AD$7),'Ajuste Mensal'!AD$28))</f>
        <v>-87520.5703125</v>
      </c>
      <c r="AE21" s="60" t="n">
        <f aca="false">-CHOOSE(Premissas!$B$6,Cenários!AE10,Cenários!AE56,Cenários!AE102)*(1-INDEX(Premissas!$C$70:$G$70,AE$7))*CHOOSE(Premissas!$B$6,IF('Ajuste Mensal'!AE$16="",INDEX(Premissas!$C$67:$G$67,AE$7),'Ajuste Mensal'!AE$16),IF('Ajuste Mensal'!AE$22="",INDEX(Premissas!$C$68:$G$68,AE$7),'Ajuste Mensal'!AE$22),IF('Ajuste Mensal'!AE$28="",INDEX(Premissas!$C$69:$G$69,AE$7),'Ajuste Mensal'!AE$28))</f>
        <v>-87520.5703125</v>
      </c>
      <c r="AF21" s="60" t="n">
        <f aca="false">-CHOOSE(Premissas!$B$6,Cenários!AF10,Cenários!AF56,Cenários!AF102)*(1-INDEX(Premissas!$C$70:$G$70,AF$7))*CHOOSE(Premissas!$B$6,IF('Ajuste Mensal'!AF$16="",INDEX(Premissas!$C$67:$G$67,AF$7),'Ajuste Mensal'!AF$16),IF('Ajuste Mensal'!AF$22="",INDEX(Premissas!$C$68:$G$68,AF$7),'Ajuste Mensal'!AF$22),IF('Ajuste Mensal'!AF$28="",INDEX(Premissas!$C$69:$G$69,AF$7),'Ajuste Mensal'!AF$28))</f>
        <v>-87520.5703125</v>
      </c>
      <c r="AG21" s="60" t="n">
        <f aca="false">-CHOOSE(Premissas!$B$6,Cenários!AG10,Cenários!AG56,Cenários!AG102)*(1-INDEX(Premissas!$C$70:$G$70,AG$7))*CHOOSE(Premissas!$B$6,IF('Ajuste Mensal'!AG$16="",INDEX(Premissas!$C$67:$G$67,AG$7),'Ajuste Mensal'!AG$16),IF('Ajuste Mensal'!AG$22="",INDEX(Premissas!$C$68:$G$68,AG$7),'Ajuste Mensal'!AG$22),IF('Ajuste Mensal'!AG$28="",INDEX(Premissas!$C$69:$G$69,AG$7),'Ajuste Mensal'!AG$28))</f>
        <v>-87520.5703125</v>
      </c>
      <c r="AH21" s="60" t="n">
        <f aca="false">-CHOOSE(Premissas!$B$6,Cenários!AH10,Cenários!AH56,Cenários!AH102)*(1-INDEX(Premissas!$C$70:$G$70,AH$7))*CHOOSE(Premissas!$B$6,IF('Ajuste Mensal'!AH$16="",INDEX(Premissas!$C$67:$G$67,AH$7),'Ajuste Mensal'!AH$16),IF('Ajuste Mensal'!AH$22="",INDEX(Premissas!$C$68:$G$68,AH$7),'Ajuste Mensal'!AH$22),IF('Ajuste Mensal'!AH$28="",INDEX(Premissas!$C$69:$G$69,AH$7),'Ajuste Mensal'!AH$28))</f>
        <v>-87520.5703125</v>
      </c>
      <c r="AI21" s="60" t="n">
        <f aca="false">-CHOOSE(Premissas!$B$6,Cenários!AI10,Cenários!AI56,Cenários!AI102)*(1-INDEX(Premissas!$C$70:$G$70,AI$7))*CHOOSE(Premissas!$B$6,IF('Ajuste Mensal'!AI$16="",INDEX(Premissas!$C$67:$G$67,AI$7),'Ajuste Mensal'!AI$16),IF('Ajuste Mensal'!AI$22="",INDEX(Premissas!$C$68:$G$68,AI$7),'Ajuste Mensal'!AI$22),IF('Ajuste Mensal'!AI$28="",INDEX(Premissas!$C$69:$G$69,AI$7),'Ajuste Mensal'!AI$28))</f>
        <v>-87520.5703125</v>
      </c>
      <c r="AJ21" s="60" t="n">
        <f aca="false">-CHOOSE(Premissas!$B$6,Cenários!AJ10,Cenários!AJ56,Cenários!AJ102)*(1-INDEX(Premissas!$C$70:$G$70,AJ$7))*CHOOSE(Premissas!$B$6,IF('Ajuste Mensal'!AJ$16="",INDEX(Premissas!$C$67:$G$67,AJ$7),'Ajuste Mensal'!AJ$16),IF('Ajuste Mensal'!AJ$22="",INDEX(Premissas!$C$68:$G$68,AJ$7),'Ajuste Mensal'!AJ$22),IF('Ajuste Mensal'!AJ$28="",INDEX(Premissas!$C$69:$G$69,AJ$7),'Ajuste Mensal'!AJ$28))</f>
        <v>-87520.5703125</v>
      </c>
      <c r="AK21" s="60" t="n">
        <f aca="false">-CHOOSE(Premissas!$B$6,Cenários!AK10,Cenários!AK56,Cenários!AK102)*(1-INDEX(Premissas!$C$70:$G$70,AK$7))*CHOOSE(Premissas!$B$6,IF('Ajuste Mensal'!AK$16="",INDEX(Premissas!$C$67:$G$67,AK$7),'Ajuste Mensal'!AK$16),IF('Ajuste Mensal'!AK$22="",INDEX(Premissas!$C$68:$G$68,AK$7),'Ajuste Mensal'!AK$22),IF('Ajuste Mensal'!AK$28="",INDEX(Premissas!$C$69:$G$69,AK$7),'Ajuste Mensal'!AK$28))</f>
        <v>-87520.5703125</v>
      </c>
      <c r="AL21" s="60" t="n">
        <f aca="false">-CHOOSE(Premissas!$B$6,Cenários!AL10,Cenários!AL56,Cenários!AL102)*(1-INDEX(Premissas!$C$70:$G$70,AL$7))*CHOOSE(Premissas!$B$6,IF('Ajuste Mensal'!AL$16="",INDEX(Premissas!$C$67:$G$67,AL$7),'Ajuste Mensal'!AL$16),IF('Ajuste Mensal'!AL$22="",INDEX(Premissas!$C$68:$G$68,AL$7),'Ajuste Mensal'!AL$22),IF('Ajuste Mensal'!AL$28="",INDEX(Premissas!$C$69:$G$69,AL$7),'Ajuste Mensal'!AL$28))</f>
        <v>-144004.999921875</v>
      </c>
      <c r="AM21" s="60" t="n">
        <f aca="false">-CHOOSE(Premissas!$B$6,Cenários!AM10,Cenários!AM56,Cenários!AM102)*(1-INDEX(Premissas!$C$70:$G$70,AM$7))*CHOOSE(Premissas!$B$6,IF('Ajuste Mensal'!AM$16="",INDEX(Premissas!$C$67:$G$67,AM$7),'Ajuste Mensal'!AM$16),IF('Ajuste Mensal'!AM$22="",INDEX(Premissas!$C$68:$G$68,AM$7),'Ajuste Mensal'!AM$22),IF('Ajuste Mensal'!AM$28="",INDEX(Premissas!$C$69:$G$69,AM$7),'Ajuste Mensal'!AM$28))</f>
        <v>-144004.999921875</v>
      </c>
      <c r="AN21" s="60" t="n">
        <f aca="false">-CHOOSE(Premissas!$B$6,Cenários!AN10,Cenários!AN56,Cenários!AN102)*(1-INDEX(Premissas!$C$70:$G$70,AN$7))*CHOOSE(Premissas!$B$6,IF('Ajuste Mensal'!AN$16="",INDEX(Premissas!$C$67:$G$67,AN$7),'Ajuste Mensal'!AN$16),IF('Ajuste Mensal'!AN$22="",INDEX(Premissas!$C$68:$G$68,AN$7),'Ajuste Mensal'!AN$22),IF('Ajuste Mensal'!AN$28="",INDEX(Premissas!$C$69:$G$69,AN$7),'Ajuste Mensal'!AN$28))</f>
        <v>-144004.999921875</v>
      </c>
      <c r="AO21" s="60" t="n">
        <f aca="false">-CHOOSE(Premissas!$B$6,Cenários!AO10,Cenários!AO56,Cenários!AO102)*(1-INDEX(Premissas!$C$70:$G$70,AO$7))*CHOOSE(Premissas!$B$6,IF('Ajuste Mensal'!AO$16="",INDEX(Premissas!$C$67:$G$67,AO$7),'Ajuste Mensal'!AO$16),IF('Ajuste Mensal'!AO$22="",INDEX(Premissas!$C$68:$G$68,AO$7),'Ajuste Mensal'!AO$22),IF('Ajuste Mensal'!AO$28="",INDEX(Premissas!$C$69:$G$69,AO$7),'Ajuste Mensal'!AO$28))</f>
        <v>-144004.999921875</v>
      </c>
      <c r="AP21" s="60" t="n">
        <f aca="false">-CHOOSE(Premissas!$B$6,Cenários!AP10,Cenários!AP56,Cenários!AP102)*(1-INDEX(Premissas!$C$70:$G$70,AP$7))*CHOOSE(Premissas!$B$6,IF('Ajuste Mensal'!AP$16="",INDEX(Premissas!$C$67:$G$67,AP$7),'Ajuste Mensal'!AP$16),IF('Ajuste Mensal'!AP$22="",INDEX(Premissas!$C$68:$G$68,AP$7),'Ajuste Mensal'!AP$22),IF('Ajuste Mensal'!AP$28="",INDEX(Premissas!$C$69:$G$69,AP$7),'Ajuste Mensal'!AP$28))</f>
        <v>-144004.999921875</v>
      </c>
      <c r="AQ21" s="60" t="n">
        <f aca="false">-CHOOSE(Premissas!$B$6,Cenários!AQ10,Cenários!AQ56,Cenários!AQ102)*(1-INDEX(Premissas!$C$70:$G$70,AQ$7))*CHOOSE(Premissas!$B$6,IF('Ajuste Mensal'!AQ$16="",INDEX(Premissas!$C$67:$G$67,AQ$7),'Ajuste Mensal'!AQ$16),IF('Ajuste Mensal'!AQ$22="",INDEX(Premissas!$C$68:$G$68,AQ$7),'Ajuste Mensal'!AQ$22),IF('Ajuste Mensal'!AQ$28="",INDEX(Premissas!$C$69:$G$69,AQ$7),'Ajuste Mensal'!AQ$28))</f>
        <v>-144004.999921875</v>
      </c>
      <c r="AR21" s="60" t="n">
        <f aca="false">-CHOOSE(Premissas!$B$6,Cenários!AR10,Cenários!AR56,Cenários!AR102)*(1-INDEX(Premissas!$C$70:$G$70,AR$7))*CHOOSE(Premissas!$B$6,IF('Ajuste Mensal'!AR$16="",INDEX(Premissas!$C$67:$G$67,AR$7),'Ajuste Mensal'!AR$16),IF('Ajuste Mensal'!AR$22="",INDEX(Premissas!$C$68:$G$68,AR$7),'Ajuste Mensal'!AR$22),IF('Ajuste Mensal'!AR$28="",INDEX(Premissas!$C$69:$G$69,AR$7),'Ajuste Mensal'!AR$28))</f>
        <v>-144004.999921875</v>
      </c>
      <c r="AS21" s="60" t="n">
        <f aca="false">-CHOOSE(Premissas!$B$6,Cenários!AS10,Cenários!AS56,Cenários!AS102)*(1-INDEX(Premissas!$C$70:$G$70,AS$7))*CHOOSE(Premissas!$B$6,IF('Ajuste Mensal'!AS$16="",INDEX(Premissas!$C$67:$G$67,AS$7),'Ajuste Mensal'!AS$16),IF('Ajuste Mensal'!AS$22="",INDEX(Premissas!$C$68:$G$68,AS$7),'Ajuste Mensal'!AS$22),IF('Ajuste Mensal'!AS$28="",INDEX(Premissas!$C$69:$G$69,AS$7),'Ajuste Mensal'!AS$28))</f>
        <v>-144004.999921875</v>
      </c>
      <c r="AT21" s="60" t="n">
        <f aca="false">-CHOOSE(Premissas!$B$6,Cenários!AT10,Cenários!AT56,Cenários!AT102)*(1-INDEX(Premissas!$C$70:$G$70,AT$7))*CHOOSE(Premissas!$B$6,IF('Ajuste Mensal'!AT$16="",INDEX(Premissas!$C$67:$G$67,AT$7),'Ajuste Mensal'!AT$16),IF('Ajuste Mensal'!AT$22="",INDEX(Premissas!$C$68:$G$68,AT$7),'Ajuste Mensal'!AT$22),IF('Ajuste Mensal'!AT$28="",INDEX(Premissas!$C$69:$G$69,AT$7),'Ajuste Mensal'!AT$28))</f>
        <v>-144004.999921875</v>
      </c>
      <c r="AU21" s="60" t="n">
        <f aca="false">-CHOOSE(Premissas!$B$6,Cenários!AU10,Cenários!AU56,Cenários!AU102)*(1-INDEX(Premissas!$C$70:$G$70,AU$7))*CHOOSE(Premissas!$B$6,IF('Ajuste Mensal'!AU$16="",INDEX(Premissas!$C$67:$G$67,AU$7),'Ajuste Mensal'!AU$16),IF('Ajuste Mensal'!AU$22="",INDEX(Premissas!$C$68:$G$68,AU$7),'Ajuste Mensal'!AU$22),IF('Ajuste Mensal'!AU$28="",INDEX(Premissas!$C$69:$G$69,AU$7),'Ajuste Mensal'!AU$28))</f>
        <v>-144004.999921875</v>
      </c>
      <c r="AV21" s="60" t="n">
        <f aca="false">-CHOOSE(Premissas!$B$6,Cenários!AV10,Cenários!AV56,Cenários!AV102)*(1-INDEX(Premissas!$C$70:$G$70,AV$7))*CHOOSE(Premissas!$B$6,IF('Ajuste Mensal'!AV$16="",INDEX(Premissas!$C$67:$G$67,AV$7),'Ajuste Mensal'!AV$16),IF('Ajuste Mensal'!AV$22="",INDEX(Premissas!$C$68:$G$68,AV$7),'Ajuste Mensal'!AV$22),IF('Ajuste Mensal'!AV$28="",INDEX(Premissas!$C$69:$G$69,AV$7),'Ajuste Mensal'!AV$28))</f>
        <v>-144004.999921875</v>
      </c>
      <c r="AW21" s="60" t="n">
        <f aca="false">-CHOOSE(Premissas!$B$6,Cenários!AW10,Cenários!AW56,Cenários!AW102)*(1-INDEX(Premissas!$C$70:$G$70,AW$7))*CHOOSE(Premissas!$B$6,IF('Ajuste Mensal'!AW$16="",INDEX(Premissas!$C$67:$G$67,AW$7),'Ajuste Mensal'!AW$16),IF('Ajuste Mensal'!AW$22="",INDEX(Premissas!$C$68:$G$68,AW$7),'Ajuste Mensal'!AW$22),IF('Ajuste Mensal'!AW$28="",INDEX(Premissas!$C$69:$G$69,AW$7),'Ajuste Mensal'!AW$28))</f>
        <v>-144004.999921875</v>
      </c>
      <c r="AX21" s="60" t="n">
        <f aca="false">-CHOOSE(Premissas!$B$6,Cenários!AX10,Cenários!AX56,Cenários!AX102)*(1-INDEX(Premissas!$C$70:$G$70,AX$7))*CHOOSE(Premissas!$B$6,IF('Ajuste Mensal'!AX$16="",INDEX(Premissas!$C$67:$G$67,AX$7),'Ajuste Mensal'!AX$16),IF('Ajuste Mensal'!AX$22="",INDEX(Premissas!$C$68:$G$68,AX$7),'Ajuste Mensal'!AX$22),IF('Ajuste Mensal'!AX$28="",INDEX(Premissas!$C$69:$G$69,AX$7),'Ajuste Mensal'!AX$28))</f>
        <v>-240395.443417969</v>
      </c>
      <c r="AY21" s="60" t="n">
        <f aca="false">-CHOOSE(Premissas!$B$6,Cenários!AY10,Cenários!AY56,Cenários!AY102)*(1-INDEX(Premissas!$C$70:$G$70,AY$7))*CHOOSE(Premissas!$B$6,IF('Ajuste Mensal'!AY$16="",INDEX(Premissas!$C$67:$G$67,AY$7),'Ajuste Mensal'!AY$16),IF('Ajuste Mensal'!AY$22="",INDEX(Premissas!$C$68:$G$68,AY$7),'Ajuste Mensal'!AY$22),IF('Ajuste Mensal'!AY$28="",INDEX(Premissas!$C$69:$G$69,AY$7),'Ajuste Mensal'!AY$28))</f>
        <v>-240395.443417969</v>
      </c>
      <c r="AZ21" s="60" t="n">
        <f aca="false">-CHOOSE(Premissas!$B$6,Cenários!AZ10,Cenários!AZ56,Cenários!AZ102)*(1-INDEX(Premissas!$C$70:$G$70,AZ$7))*CHOOSE(Premissas!$B$6,IF('Ajuste Mensal'!AZ$16="",INDEX(Premissas!$C$67:$G$67,AZ$7),'Ajuste Mensal'!AZ$16),IF('Ajuste Mensal'!AZ$22="",INDEX(Premissas!$C$68:$G$68,AZ$7),'Ajuste Mensal'!AZ$22),IF('Ajuste Mensal'!AZ$28="",INDEX(Premissas!$C$69:$G$69,AZ$7),'Ajuste Mensal'!AZ$28))</f>
        <v>-240395.443417969</v>
      </c>
      <c r="BA21" s="60" t="n">
        <f aca="false">-CHOOSE(Premissas!$B$6,Cenários!BA10,Cenários!BA56,Cenários!BA102)*(1-INDEX(Premissas!$C$70:$G$70,BA$7))*CHOOSE(Premissas!$B$6,IF('Ajuste Mensal'!BA$16="",INDEX(Premissas!$C$67:$G$67,BA$7),'Ajuste Mensal'!BA$16),IF('Ajuste Mensal'!BA$22="",INDEX(Premissas!$C$68:$G$68,BA$7),'Ajuste Mensal'!BA$22),IF('Ajuste Mensal'!BA$28="",INDEX(Premissas!$C$69:$G$69,BA$7),'Ajuste Mensal'!BA$28))</f>
        <v>-240395.443417969</v>
      </c>
      <c r="BB21" s="60" t="n">
        <f aca="false">-CHOOSE(Premissas!$B$6,Cenários!BB10,Cenários!BB56,Cenários!BB102)*(1-INDEX(Premissas!$C$70:$G$70,BB$7))*CHOOSE(Premissas!$B$6,IF('Ajuste Mensal'!BB$16="",INDEX(Premissas!$C$67:$G$67,BB$7),'Ajuste Mensal'!BB$16),IF('Ajuste Mensal'!BB$22="",INDEX(Premissas!$C$68:$G$68,BB$7),'Ajuste Mensal'!BB$22),IF('Ajuste Mensal'!BB$28="",INDEX(Premissas!$C$69:$G$69,BB$7),'Ajuste Mensal'!BB$28))</f>
        <v>-240395.443417969</v>
      </c>
      <c r="BC21" s="60" t="n">
        <f aca="false">-CHOOSE(Premissas!$B$6,Cenários!BC10,Cenários!BC56,Cenários!BC102)*(1-INDEX(Premissas!$C$70:$G$70,BC$7))*CHOOSE(Premissas!$B$6,IF('Ajuste Mensal'!BC$16="",INDEX(Premissas!$C$67:$G$67,BC$7),'Ajuste Mensal'!BC$16),IF('Ajuste Mensal'!BC$22="",INDEX(Premissas!$C$68:$G$68,BC$7),'Ajuste Mensal'!BC$22),IF('Ajuste Mensal'!BC$28="",INDEX(Premissas!$C$69:$G$69,BC$7),'Ajuste Mensal'!BC$28))</f>
        <v>-240395.443417969</v>
      </c>
      <c r="BD21" s="60" t="n">
        <f aca="false">-CHOOSE(Premissas!$B$6,Cenários!BD10,Cenários!BD56,Cenários!BD102)*(1-INDEX(Premissas!$C$70:$G$70,BD$7))*CHOOSE(Premissas!$B$6,IF('Ajuste Mensal'!BD$16="",INDEX(Premissas!$C$67:$G$67,BD$7),'Ajuste Mensal'!BD$16),IF('Ajuste Mensal'!BD$22="",INDEX(Premissas!$C$68:$G$68,BD$7),'Ajuste Mensal'!BD$22),IF('Ajuste Mensal'!BD$28="",INDEX(Premissas!$C$69:$G$69,BD$7),'Ajuste Mensal'!BD$28))</f>
        <v>-240395.443417969</v>
      </c>
      <c r="BE21" s="60" t="n">
        <f aca="false">-CHOOSE(Premissas!$B$6,Cenários!BE10,Cenários!BE56,Cenários!BE102)*(1-INDEX(Premissas!$C$70:$G$70,BE$7))*CHOOSE(Premissas!$B$6,IF('Ajuste Mensal'!BE$16="",INDEX(Premissas!$C$67:$G$67,BE$7),'Ajuste Mensal'!BE$16),IF('Ajuste Mensal'!BE$22="",INDEX(Premissas!$C$68:$G$68,BE$7),'Ajuste Mensal'!BE$22),IF('Ajuste Mensal'!BE$28="",INDEX(Premissas!$C$69:$G$69,BE$7),'Ajuste Mensal'!BE$28))</f>
        <v>-240395.443417969</v>
      </c>
      <c r="BF21" s="60" t="n">
        <f aca="false">-CHOOSE(Premissas!$B$6,Cenários!BF10,Cenários!BF56,Cenários!BF102)*(1-INDEX(Premissas!$C$70:$G$70,BF$7))*CHOOSE(Premissas!$B$6,IF('Ajuste Mensal'!BF$16="",INDEX(Premissas!$C$67:$G$67,BF$7),'Ajuste Mensal'!BF$16),IF('Ajuste Mensal'!BF$22="",INDEX(Premissas!$C$68:$G$68,BF$7),'Ajuste Mensal'!BF$22),IF('Ajuste Mensal'!BF$28="",INDEX(Premissas!$C$69:$G$69,BF$7),'Ajuste Mensal'!BF$28))</f>
        <v>-240395.443417969</v>
      </c>
      <c r="BG21" s="60" t="n">
        <f aca="false">-CHOOSE(Premissas!$B$6,Cenários!BG10,Cenários!BG56,Cenários!BG102)*(1-INDEX(Premissas!$C$70:$G$70,BG$7))*CHOOSE(Premissas!$B$6,IF('Ajuste Mensal'!BG$16="",INDEX(Premissas!$C$67:$G$67,BG$7),'Ajuste Mensal'!BG$16),IF('Ajuste Mensal'!BG$22="",INDEX(Premissas!$C$68:$G$68,BG$7),'Ajuste Mensal'!BG$22),IF('Ajuste Mensal'!BG$28="",INDEX(Premissas!$C$69:$G$69,BG$7),'Ajuste Mensal'!BG$28))</f>
        <v>-240395.443417969</v>
      </c>
      <c r="BH21" s="60" t="n">
        <f aca="false">-CHOOSE(Premissas!$B$6,Cenários!BH10,Cenários!BH56,Cenários!BH102)*(1-INDEX(Premissas!$C$70:$G$70,BH$7))*CHOOSE(Premissas!$B$6,IF('Ajuste Mensal'!BH$16="",INDEX(Premissas!$C$67:$G$67,BH$7),'Ajuste Mensal'!BH$16),IF('Ajuste Mensal'!BH$22="",INDEX(Premissas!$C$68:$G$68,BH$7),'Ajuste Mensal'!BH$22),IF('Ajuste Mensal'!BH$28="",INDEX(Premissas!$C$69:$G$69,BH$7),'Ajuste Mensal'!BH$28))</f>
        <v>-240395.443417969</v>
      </c>
      <c r="BI21" s="60" t="n">
        <f aca="false">-CHOOSE(Premissas!$B$6,Cenários!BI10,Cenários!BI56,Cenários!BI102)*(1-INDEX(Premissas!$C$70:$G$70,BI$7))*CHOOSE(Premissas!$B$6,IF('Ajuste Mensal'!BI$16="",INDEX(Premissas!$C$67:$G$67,BI$7),'Ajuste Mensal'!BI$16),IF('Ajuste Mensal'!BI$22="",INDEX(Premissas!$C$68:$G$68,BI$7),'Ajuste Mensal'!BI$22),IF('Ajuste Mensal'!BI$28="",INDEX(Premissas!$C$69:$G$69,BI$7),'Ajuste Mensal'!BI$28))</f>
        <v>-240395.443417969</v>
      </c>
      <c r="BJ21" s="61" t="n">
        <f aca="false">SUM(B21:BI21)</f>
        <v>-6395016.16382812</v>
      </c>
      <c r="BK21" s="186" t="n">
        <f aca="false">IFERROR(BJ21/BJ$28,0)</f>
        <v>0.142499932517991</v>
      </c>
    </row>
    <row r="22" customFormat="false" ht="15" hidden="false" customHeight="false" outlineLevel="0" collapsed="false">
      <c r="A22" s="27" t="s">
        <v>777</v>
      </c>
      <c r="B22" s="60" t="n">
        <f aca="false">-IF(B$4&gt;=Premissas!$B$110,IF('Ajuste Mensal'!B$32="",INDEX(Premissas!$C$109:$G$109,B$7),'Ajuste Mensal'!B$32),0)</f>
        <v>-0</v>
      </c>
      <c r="C22" s="60" t="n">
        <f aca="false">-IF(C$4&gt;=Premissas!$B$110,IF('Ajuste Mensal'!C$32="",INDEX(Premissas!$C$109:$G$109,C$7),'Ajuste Mensal'!C$32),0)</f>
        <v>-0</v>
      </c>
      <c r="D22" s="60" t="n">
        <f aca="false">-IF(D$4&gt;=Premissas!$B$110,IF('Ajuste Mensal'!D$32="",INDEX(Premissas!$C$109:$G$109,D$7),'Ajuste Mensal'!D$32),0)</f>
        <v>-0</v>
      </c>
      <c r="E22" s="60" t="n">
        <f aca="false">-IF(E$4&gt;=Premissas!$B$110,IF('Ajuste Mensal'!E$32="",INDEX(Premissas!$C$109:$G$109,E$7),'Ajuste Mensal'!E$32),0)</f>
        <v>-0</v>
      </c>
      <c r="F22" s="60" t="n">
        <f aca="false">-IF(F$4&gt;=Premissas!$B$110,IF('Ajuste Mensal'!F$32="",INDEX(Premissas!$C$109:$G$109,F$7),'Ajuste Mensal'!F$32),0)</f>
        <v>-0</v>
      </c>
      <c r="G22" s="60" t="n">
        <f aca="false">-IF(G$4&gt;=Premissas!$B$110,IF('Ajuste Mensal'!G$32="",INDEX(Premissas!$C$109:$G$109,G$7),'Ajuste Mensal'!G$32),0)</f>
        <v>-0</v>
      </c>
      <c r="H22" s="60" t="n">
        <f aca="false">-IF(H$4&gt;=Premissas!$B$110,IF('Ajuste Mensal'!H$32="",INDEX(Premissas!$C$109:$G$109,H$7),'Ajuste Mensal'!H$32),0)</f>
        <v>-0</v>
      </c>
      <c r="I22" s="60" t="n">
        <f aca="false">-IF(I$4&gt;=Premissas!$B$110,IF('Ajuste Mensal'!I$32="",INDEX(Premissas!$C$109:$G$109,I$7),'Ajuste Mensal'!I$32),0)</f>
        <v>-0</v>
      </c>
      <c r="J22" s="60" t="n">
        <f aca="false">-IF(J$4&gt;=Premissas!$B$110,IF('Ajuste Mensal'!J$32="",INDEX(Premissas!$C$109:$G$109,J$7),'Ajuste Mensal'!J$32),0)</f>
        <v>-0</v>
      </c>
      <c r="K22" s="60" t="n">
        <f aca="false">-IF(K$4&gt;=Premissas!$B$110,IF('Ajuste Mensal'!K$32="",INDEX(Premissas!$C$109:$G$109,K$7),'Ajuste Mensal'!K$32),0)</f>
        <v>-3000</v>
      </c>
      <c r="L22" s="60" t="n">
        <f aca="false">-IF(L$4&gt;=Premissas!$B$110,IF('Ajuste Mensal'!L$32="",INDEX(Premissas!$C$109:$G$109,L$7),'Ajuste Mensal'!L$32),0)</f>
        <v>-3000</v>
      </c>
      <c r="M22" s="60" t="n">
        <f aca="false">-IF(M$4&gt;=Premissas!$B$110,IF('Ajuste Mensal'!M$32="",INDEX(Premissas!$C$109:$G$109,M$7),'Ajuste Mensal'!M$32),0)</f>
        <v>-3000</v>
      </c>
      <c r="N22" s="60" t="n">
        <f aca="false">-IF(N$4&gt;=Premissas!$B$110,IF('Ajuste Mensal'!N$32="",INDEX(Premissas!$C$109:$G$109,N$7),'Ajuste Mensal'!N$32),0)</f>
        <v>-15000</v>
      </c>
      <c r="O22" s="60" t="n">
        <f aca="false">-IF(O$4&gt;=Premissas!$B$110,IF('Ajuste Mensal'!O$32="",INDEX(Premissas!$C$109:$G$109,O$7),'Ajuste Mensal'!O$32),0)</f>
        <v>-15000</v>
      </c>
      <c r="P22" s="60" t="n">
        <f aca="false">-IF(P$4&gt;=Premissas!$B$110,IF('Ajuste Mensal'!P$32="",INDEX(Premissas!$C$109:$G$109,P$7),'Ajuste Mensal'!P$32),0)</f>
        <v>-15000</v>
      </c>
      <c r="Q22" s="60" t="n">
        <f aca="false">-IF(Q$4&gt;=Premissas!$B$110,IF('Ajuste Mensal'!Q$32="",INDEX(Premissas!$C$109:$G$109,Q$7),'Ajuste Mensal'!Q$32),0)</f>
        <v>-15000</v>
      </c>
      <c r="R22" s="60" t="n">
        <f aca="false">-IF(R$4&gt;=Premissas!$B$110,IF('Ajuste Mensal'!R$32="",INDEX(Premissas!$C$109:$G$109,R$7),'Ajuste Mensal'!R$32),0)</f>
        <v>-15000</v>
      </c>
      <c r="S22" s="60" t="n">
        <f aca="false">-IF(S$4&gt;=Premissas!$B$110,IF('Ajuste Mensal'!S$32="",INDEX(Premissas!$C$109:$G$109,S$7),'Ajuste Mensal'!S$32),0)</f>
        <v>-15000</v>
      </c>
      <c r="T22" s="60" t="n">
        <f aca="false">-IF(T$4&gt;=Premissas!$B$110,IF('Ajuste Mensal'!T$32="",INDEX(Premissas!$C$109:$G$109,T$7),'Ajuste Mensal'!T$32),0)</f>
        <v>-15000</v>
      </c>
      <c r="U22" s="60" t="n">
        <f aca="false">-IF(U$4&gt;=Premissas!$B$110,IF('Ajuste Mensal'!U$32="",INDEX(Premissas!$C$109:$G$109,U$7),'Ajuste Mensal'!U$32),0)</f>
        <v>-15000</v>
      </c>
      <c r="V22" s="60" t="n">
        <f aca="false">-IF(V$4&gt;=Premissas!$B$110,IF('Ajuste Mensal'!V$32="",INDEX(Premissas!$C$109:$G$109,V$7),'Ajuste Mensal'!V$32),0)</f>
        <v>-15000</v>
      </c>
      <c r="W22" s="60" t="n">
        <f aca="false">-IF(W$4&gt;=Premissas!$B$110,IF('Ajuste Mensal'!W$32="",INDEX(Premissas!$C$109:$G$109,W$7),'Ajuste Mensal'!W$32),0)</f>
        <v>-15000</v>
      </c>
      <c r="X22" s="60" t="n">
        <f aca="false">-IF(X$4&gt;=Premissas!$B$110,IF('Ajuste Mensal'!X$32="",INDEX(Premissas!$C$109:$G$109,X$7),'Ajuste Mensal'!X$32),0)</f>
        <v>-15000</v>
      </c>
      <c r="Y22" s="60" t="n">
        <f aca="false">-IF(Y$4&gt;=Premissas!$B$110,IF('Ajuste Mensal'!Y$32="",INDEX(Premissas!$C$109:$G$109,Y$7),'Ajuste Mensal'!Y$32),0)</f>
        <v>-15000</v>
      </c>
      <c r="Z22" s="60" t="n">
        <f aca="false">-IF(Z$4&gt;=Premissas!$B$110,IF('Ajuste Mensal'!Z$32="",INDEX(Premissas!$C$109:$G$109,Z$7),'Ajuste Mensal'!Z$32),0)</f>
        <v>-60000</v>
      </c>
      <c r="AA22" s="60" t="n">
        <f aca="false">-IF(AA$4&gt;=Premissas!$B$110,IF('Ajuste Mensal'!AA$32="",INDEX(Premissas!$C$109:$G$109,AA$7),'Ajuste Mensal'!AA$32),0)</f>
        <v>-60000</v>
      </c>
      <c r="AB22" s="60" t="n">
        <f aca="false">-IF(AB$4&gt;=Premissas!$B$110,IF('Ajuste Mensal'!AB$32="",INDEX(Premissas!$C$109:$G$109,AB$7),'Ajuste Mensal'!AB$32),0)</f>
        <v>-60000</v>
      </c>
      <c r="AC22" s="60" t="n">
        <f aca="false">-IF(AC$4&gt;=Premissas!$B$110,IF('Ajuste Mensal'!AC$32="",INDEX(Premissas!$C$109:$G$109,AC$7),'Ajuste Mensal'!AC$32),0)</f>
        <v>-60000</v>
      </c>
      <c r="AD22" s="60" t="n">
        <f aca="false">-IF(AD$4&gt;=Premissas!$B$110,IF('Ajuste Mensal'!AD$32="",INDEX(Premissas!$C$109:$G$109,AD$7),'Ajuste Mensal'!AD$32),0)</f>
        <v>-60000</v>
      </c>
      <c r="AE22" s="60" t="n">
        <f aca="false">-IF(AE$4&gt;=Premissas!$B$110,IF('Ajuste Mensal'!AE$32="",INDEX(Premissas!$C$109:$G$109,AE$7),'Ajuste Mensal'!AE$32),0)</f>
        <v>-60000</v>
      </c>
      <c r="AF22" s="60" t="n">
        <f aca="false">-IF(AF$4&gt;=Premissas!$B$110,IF('Ajuste Mensal'!AF$32="",INDEX(Premissas!$C$109:$G$109,AF$7),'Ajuste Mensal'!AF$32),0)</f>
        <v>-60000</v>
      </c>
      <c r="AG22" s="60" t="n">
        <f aca="false">-IF(AG$4&gt;=Premissas!$B$110,IF('Ajuste Mensal'!AG$32="",INDEX(Premissas!$C$109:$G$109,AG$7),'Ajuste Mensal'!AG$32),0)</f>
        <v>-60000</v>
      </c>
      <c r="AH22" s="60" t="n">
        <f aca="false">-IF(AH$4&gt;=Premissas!$B$110,IF('Ajuste Mensal'!AH$32="",INDEX(Premissas!$C$109:$G$109,AH$7),'Ajuste Mensal'!AH$32),0)</f>
        <v>-60000</v>
      </c>
      <c r="AI22" s="60" t="n">
        <f aca="false">-IF(AI$4&gt;=Premissas!$B$110,IF('Ajuste Mensal'!AI$32="",INDEX(Premissas!$C$109:$G$109,AI$7),'Ajuste Mensal'!AI$32),0)</f>
        <v>-60000</v>
      </c>
      <c r="AJ22" s="60" t="n">
        <f aca="false">-IF(AJ$4&gt;=Premissas!$B$110,IF('Ajuste Mensal'!AJ$32="",INDEX(Premissas!$C$109:$G$109,AJ$7),'Ajuste Mensal'!AJ$32),0)</f>
        <v>-60000</v>
      </c>
      <c r="AK22" s="60" t="n">
        <f aca="false">-IF(AK$4&gt;=Premissas!$B$110,IF('Ajuste Mensal'!AK$32="",INDEX(Premissas!$C$109:$G$109,AK$7),'Ajuste Mensal'!AK$32),0)</f>
        <v>-60000</v>
      </c>
      <c r="AL22" s="60" t="n">
        <f aca="false">-IF(AL$4&gt;=Premissas!$B$110,IF('Ajuste Mensal'!AL$32="",INDEX(Premissas!$C$109:$G$109,AL$7),'Ajuste Mensal'!AL$32),0)</f>
        <v>-140000</v>
      </c>
      <c r="AM22" s="60" t="n">
        <f aca="false">-IF(AM$4&gt;=Premissas!$B$110,IF('Ajuste Mensal'!AM$32="",INDEX(Premissas!$C$109:$G$109,AM$7),'Ajuste Mensal'!AM$32),0)</f>
        <v>-140000</v>
      </c>
      <c r="AN22" s="60" t="n">
        <f aca="false">-IF(AN$4&gt;=Premissas!$B$110,IF('Ajuste Mensal'!AN$32="",INDEX(Premissas!$C$109:$G$109,AN$7),'Ajuste Mensal'!AN$32),0)</f>
        <v>-140000</v>
      </c>
      <c r="AO22" s="60" t="n">
        <f aca="false">-IF(AO$4&gt;=Premissas!$B$110,IF('Ajuste Mensal'!AO$32="",INDEX(Premissas!$C$109:$G$109,AO$7),'Ajuste Mensal'!AO$32),0)</f>
        <v>-140000</v>
      </c>
      <c r="AP22" s="60" t="n">
        <f aca="false">-IF(AP$4&gt;=Premissas!$B$110,IF('Ajuste Mensal'!AP$32="",INDEX(Premissas!$C$109:$G$109,AP$7),'Ajuste Mensal'!AP$32),0)</f>
        <v>-140000</v>
      </c>
      <c r="AQ22" s="60" t="n">
        <f aca="false">-IF(AQ$4&gt;=Premissas!$B$110,IF('Ajuste Mensal'!AQ$32="",INDEX(Premissas!$C$109:$G$109,AQ$7),'Ajuste Mensal'!AQ$32),0)</f>
        <v>-140000</v>
      </c>
      <c r="AR22" s="60" t="n">
        <f aca="false">-IF(AR$4&gt;=Premissas!$B$110,IF('Ajuste Mensal'!AR$32="",INDEX(Premissas!$C$109:$G$109,AR$7),'Ajuste Mensal'!AR$32),0)</f>
        <v>-140000</v>
      </c>
      <c r="AS22" s="60" t="n">
        <f aca="false">-IF(AS$4&gt;=Premissas!$B$110,IF('Ajuste Mensal'!AS$32="",INDEX(Premissas!$C$109:$G$109,AS$7),'Ajuste Mensal'!AS$32),0)</f>
        <v>-140000</v>
      </c>
      <c r="AT22" s="60" t="n">
        <f aca="false">-IF(AT$4&gt;=Premissas!$B$110,IF('Ajuste Mensal'!AT$32="",INDEX(Premissas!$C$109:$G$109,AT$7),'Ajuste Mensal'!AT$32),0)</f>
        <v>-140000</v>
      </c>
      <c r="AU22" s="60" t="n">
        <f aca="false">-IF(AU$4&gt;=Premissas!$B$110,IF('Ajuste Mensal'!AU$32="",INDEX(Premissas!$C$109:$G$109,AU$7),'Ajuste Mensal'!AU$32),0)</f>
        <v>-140000</v>
      </c>
      <c r="AV22" s="60" t="n">
        <f aca="false">-IF(AV$4&gt;=Premissas!$B$110,IF('Ajuste Mensal'!AV$32="",INDEX(Premissas!$C$109:$G$109,AV$7),'Ajuste Mensal'!AV$32),0)</f>
        <v>-140000</v>
      </c>
      <c r="AW22" s="60" t="n">
        <f aca="false">-IF(AW$4&gt;=Premissas!$B$110,IF('Ajuste Mensal'!AW$32="",INDEX(Premissas!$C$109:$G$109,AW$7),'Ajuste Mensal'!AW$32),0)</f>
        <v>-140000</v>
      </c>
      <c r="AX22" s="60" t="n">
        <f aca="false">-IF(AX$4&gt;=Premissas!$B$110,IF('Ajuste Mensal'!AX$32="",INDEX(Premissas!$C$109:$G$109,AX$7),'Ajuste Mensal'!AX$32),0)</f>
        <v>-250000</v>
      </c>
      <c r="AY22" s="60" t="n">
        <f aca="false">-IF(AY$4&gt;=Premissas!$B$110,IF('Ajuste Mensal'!AY$32="",INDEX(Premissas!$C$109:$G$109,AY$7),'Ajuste Mensal'!AY$32),0)</f>
        <v>-250000</v>
      </c>
      <c r="AZ22" s="60" t="n">
        <f aca="false">-IF(AZ$4&gt;=Premissas!$B$110,IF('Ajuste Mensal'!AZ$32="",INDEX(Premissas!$C$109:$G$109,AZ$7),'Ajuste Mensal'!AZ$32),0)</f>
        <v>-250000</v>
      </c>
      <c r="BA22" s="60" t="n">
        <f aca="false">-IF(BA$4&gt;=Premissas!$B$110,IF('Ajuste Mensal'!BA$32="",INDEX(Premissas!$C$109:$G$109,BA$7),'Ajuste Mensal'!BA$32),0)</f>
        <v>-250000</v>
      </c>
      <c r="BB22" s="60" t="n">
        <f aca="false">-IF(BB$4&gt;=Premissas!$B$110,IF('Ajuste Mensal'!BB$32="",INDEX(Premissas!$C$109:$G$109,BB$7),'Ajuste Mensal'!BB$32),0)</f>
        <v>-250000</v>
      </c>
      <c r="BC22" s="60" t="n">
        <f aca="false">-IF(BC$4&gt;=Premissas!$B$110,IF('Ajuste Mensal'!BC$32="",INDEX(Premissas!$C$109:$G$109,BC$7),'Ajuste Mensal'!BC$32),0)</f>
        <v>-250000</v>
      </c>
      <c r="BD22" s="60" t="n">
        <f aca="false">-IF(BD$4&gt;=Premissas!$B$110,IF('Ajuste Mensal'!BD$32="",INDEX(Premissas!$C$109:$G$109,BD$7),'Ajuste Mensal'!BD$32),0)</f>
        <v>-250000</v>
      </c>
      <c r="BE22" s="60" t="n">
        <f aca="false">-IF(BE$4&gt;=Premissas!$B$110,IF('Ajuste Mensal'!BE$32="",INDEX(Premissas!$C$109:$G$109,BE$7),'Ajuste Mensal'!BE$32),0)</f>
        <v>-250000</v>
      </c>
      <c r="BF22" s="60" t="n">
        <f aca="false">-IF(BF$4&gt;=Premissas!$B$110,IF('Ajuste Mensal'!BF$32="",INDEX(Premissas!$C$109:$G$109,BF$7),'Ajuste Mensal'!BF$32),0)</f>
        <v>-250000</v>
      </c>
      <c r="BG22" s="60" t="n">
        <f aca="false">-IF(BG$4&gt;=Premissas!$B$110,IF('Ajuste Mensal'!BG$32="",INDEX(Premissas!$C$109:$G$109,BG$7),'Ajuste Mensal'!BG$32),0)</f>
        <v>-250000</v>
      </c>
      <c r="BH22" s="60" t="n">
        <f aca="false">-IF(BH$4&gt;=Premissas!$B$110,IF('Ajuste Mensal'!BH$32="",INDEX(Premissas!$C$109:$G$109,BH$7),'Ajuste Mensal'!BH$32),0)</f>
        <v>-250000</v>
      </c>
      <c r="BI22" s="60" t="n">
        <f aca="false">-IF(BI$4&gt;=Premissas!$B$110,IF('Ajuste Mensal'!BI$32="",INDEX(Premissas!$C$109:$G$109,BI$7),'Ajuste Mensal'!BI$32),0)</f>
        <v>-250000</v>
      </c>
      <c r="BJ22" s="61" t="n">
        <f aca="false">SUM(B22:BI22)</f>
        <v>-5589000</v>
      </c>
      <c r="BK22" s="186" t="n">
        <f aca="false">IFERROR(BJ22/BJ$28,0)</f>
        <v>0.124539501142761</v>
      </c>
    </row>
    <row r="23" customFormat="false" ht="15" hidden="false" customHeight="false" outlineLevel="0" collapsed="false">
      <c r="A23" s="27" t="s">
        <v>778</v>
      </c>
      <c r="B23" s="60" t="n">
        <f aca="false">-IF(B$4=DATE(YEAR(Premissas!$B$112),MONTH(Premissas!$B$112),1),Premissas!$B$111,0)</f>
        <v>-0</v>
      </c>
      <c r="C23" s="60" t="n">
        <f aca="false">-IF(C$4=DATE(YEAR(Premissas!$B$112),MONTH(Premissas!$B$112),1),Premissas!$B$111,0)</f>
        <v>-0</v>
      </c>
      <c r="D23" s="60" t="n">
        <f aca="false">-IF(D$4=DATE(YEAR(Premissas!$B$112),MONTH(Premissas!$B$112),1),Premissas!$B$111,0)</f>
        <v>-0</v>
      </c>
      <c r="E23" s="60" t="n">
        <f aca="false">-IF(E$4=DATE(YEAR(Premissas!$B$112),MONTH(Premissas!$B$112),1),Premissas!$B$111,0)</f>
        <v>-0</v>
      </c>
      <c r="F23" s="60" t="n">
        <f aca="false">-IF(F$4=DATE(YEAR(Premissas!$B$112),MONTH(Premissas!$B$112),1),Premissas!$B$111,0)</f>
        <v>-0</v>
      </c>
      <c r="G23" s="60" t="n">
        <f aca="false">-IF(G$4=DATE(YEAR(Premissas!$B$112),MONTH(Premissas!$B$112),1),Premissas!$B$111,0)</f>
        <v>-0</v>
      </c>
      <c r="H23" s="60" t="n">
        <f aca="false">-IF(H$4=DATE(YEAR(Premissas!$B$112),MONTH(Premissas!$B$112),1),Premissas!$B$111,0)</f>
        <v>-0</v>
      </c>
      <c r="I23" s="60" t="n">
        <f aca="false">-IF(I$4=DATE(YEAR(Premissas!$B$112),MONTH(Premissas!$B$112),1),Premissas!$B$111,0)</f>
        <v>-0</v>
      </c>
      <c r="J23" s="60" t="n">
        <f aca="false">-IF(J$4=DATE(YEAR(Premissas!$B$112),MONTH(Premissas!$B$112),1),Premissas!$B$111,0)</f>
        <v>-0</v>
      </c>
      <c r="K23" s="60" t="n">
        <f aca="false">-IF(K$4=DATE(YEAR(Premissas!$B$112),MONTH(Premissas!$B$112),1),Premissas!$B$111,0)</f>
        <v>-25000</v>
      </c>
      <c r="L23" s="60" t="n">
        <f aca="false">-IF(L$4=DATE(YEAR(Premissas!$B$112),MONTH(Premissas!$B$112),1),Premissas!$B$111,0)</f>
        <v>-0</v>
      </c>
      <c r="M23" s="60" t="n">
        <f aca="false">-IF(M$4=DATE(YEAR(Premissas!$B$112),MONTH(Premissas!$B$112),1),Premissas!$B$111,0)</f>
        <v>-0</v>
      </c>
      <c r="N23" s="60" t="n">
        <f aca="false">-IF(N$4=DATE(YEAR(Premissas!$B$112),MONTH(Premissas!$B$112),1),Premissas!$B$111,0)</f>
        <v>-0</v>
      </c>
      <c r="O23" s="60" t="n">
        <f aca="false">-IF(O$4=DATE(YEAR(Premissas!$B$112),MONTH(Premissas!$B$112),1),Premissas!$B$111,0)</f>
        <v>-0</v>
      </c>
      <c r="P23" s="60" t="n">
        <f aca="false">-IF(P$4=DATE(YEAR(Premissas!$B$112),MONTH(Premissas!$B$112),1),Premissas!$B$111,0)</f>
        <v>-0</v>
      </c>
      <c r="Q23" s="60" t="n">
        <f aca="false">-IF(Q$4=DATE(YEAR(Premissas!$B$112),MONTH(Premissas!$B$112),1),Premissas!$B$111,0)</f>
        <v>-0</v>
      </c>
      <c r="R23" s="60" t="n">
        <f aca="false">-IF(R$4=DATE(YEAR(Premissas!$B$112),MONTH(Premissas!$B$112),1),Premissas!$B$111,0)</f>
        <v>-0</v>
      </c>
      <c r="S23" s="60" t="n">
        <f aca="false">-IF(S$4=DATE(YEAR(Premissas!$B$112),MONTH(Premissas!$B$112),1),Premissas!$B$111,0)</f>
        <v>-0</v>
      </c>
      <c r="T23" s="60" t="n">
        <f aca="false">-IF(T$4=DATE(YEAR(Premissas!$B$112),MONTH(Premissas!$B$112),1),Premissas!$B$111,0)</f>
        <v>-0</v>
      </c>
      <c r="U23" s="60" t="n">
        <f aca="false">-IF(U$4=DATE(YEAR(Premissas!$B$112),MONTH(Premissas!$B$112),1),Premissas!$B$111,0)</f>
        <v>-0</v>
      </c>
      <c r="V23" s="60" t="n">
        <f aca="false">-IF(V$4=DATE(YEAR(Premissas!$B$112),MONTH(Premissas!$B$112),1),Premissas!$B$111,0)</f>
        <v>-0</v>
      </c>
      <c r="W23" s="60" t="n">
        <f aca="false">-IF(W$4=DATE(YEAR(Premissas!$B$112),MONTH(Premissas!$B$112),1),Premissas!$B$111,0)</f>
        <v>-0</v>
      </c>
      <c r="X23" s="60" t="n">
        <f aca="false">-IF(X$4=DATE(YEAR(Premissas!$B$112),MONTH(Premissas!$B$112),1),Premissas!$B$111,0)</f>
        <v>-0</v>
      </c>
      <c r="Y23" s="60" t="n">
        <f aca="false">-IF(Y$4=DATE(YEAR(Premissas!$B$112),MONTH(Premissas!$B$112),1),Premissas!$B$111,0)</f>
        <v>-0</v>
      </c>
      <c r="Z23" s="60" t="n">
        <f aca="false">-IF(Z$4=DATE(YEAR(Premissas!$B$112),MONTH(Premissas!$B$112),1),Premissas!$B$111,0)</f>
        <v>-0</v>
      </c>
      <c r="AA23" s="60" t="n">
        <f aca="false">-IF(AA$4=DATE(YEAR(Premissas!$B$112),MONTH(Premissas!$B$112),1),Premissas!$B$111,0)</f>
        <v>-0</v>
      </c>
      <c r="AB23" s="60" t="n">
        <f aca="false">-IF(AB$4=DATE(YEAR(Premissas!$B$112),MONTH(Premissas!$B$112),1),Premissas!$B$111,0)</f>
        <v>-0</v>
      </c>
      <c r="AC23" s="60" t="n">
        <f aca="false">-IF(AC$4=DATE(YEAR(Premissas!$B$112),MONTH(Premissas!$B$112),1),Premissas!$B$111,0)</f>
        <v>-0</v>
      </c>
      <c r="AD23" s="60" t="n">
        <f aca="false">-IF(AD$4=DATE(YEAR(Premissas!$B$112),MONTH(Premissas!$B$112),1),Premissas!$B$111,0)</f>
        <v>-0</v>
      </c>
      <c r="AE23" s="60" t="n">
        <f aca="false">-IF(AE$4=DATE(YEAR(Premissas!$B$112),MONTH(Premissas!$B$112),1),Premissas!$B$111,0)</f>
        <v>-0</v>
      </c>
      <c r="AF23" s="60" t="n">
        <f aca="false">-IF(AF$4=DATE(YEAR(Premissas!$B$112),MONTH(Premissas!$B$112),1),Premissas!$B$111,0)</f>
        <v>-0</v>
      </c>
      <c r="AG23" s="60" t="n">
        <f aca="false">-IF(AG$4=DATE(YEAR(Premissas!$B$112),MONTH(Premissas!$B$112),1),Premissas!$B$111,0)</f>
        <v>-0</v>
      </c>
      <c r="AH23" s="60" t="n">
        <f aca="false">-IF(AH$4=DATE(YEAR(Premissas!$B$112),MONTH(Premissas!$B$112),1),Premissas!$B$111,0)</f>
        <v>-0</v>
      </c>
      <c r="AI23" s="60" t="n">
        <f aca="false">-IF(AI$4=DATE(YEAR(Premissas!$B$112),MONTH(Premissas!$B$112),1),Premissas!$B$111,0)</f>
        <v>-0</v>
      </c>
      <c r="AJ23" s="60" t="n">
        <f aca="false">-IF(AJ$4=DATE(YEAR(Premissas!$B$112),MONTH(Premissas!$B$112),1),Premissas!$B$111,0)</f>
        <v>-0</v>
      </c>
      <c r="AK23" s="60" t="n">
        <f aca="false">-IF(AK$4=DATE(YEAR(Premissas!$B$112),MONTH(Premissas!$B$112),1),Premissas!$B$111,0)</f>
        <v>-0</v>
      </c>
      <c r="AL23" s="60" t="n">
        <f aca="false">-IF(AL$4=DATE(YEAR(Premissas!$B$112),MONTH(Premissas!$B$112),1),Premissas!$B$111,0)</f>
        <v>-0</v>
      </c>
      <c r="AM23" s="60" t="n">
        <f aca="false">-IF(AM$4=DATE(YEAR(Premissas!$B$112),MONTH(Premissas!$B$112),1),Premissas!$B$111,0)</f>
        <v>-0</v>
      </c>
      <c r="AN23" s="60" t="n">
        <f aca="false">-IF(AN$4=DATE(YEAR(Premissas!$B$112),MONTH(Premissas!$B$112),1),Premissas!$B$111,0)</f>
        <v>-0</v>
      </c>
      <c r="AO23" s="60" t="n">
        <f aca="false">-IF(AO$4=DATE(YEAR(Premissas!$B$112),MONTH(Premissas!$B$112),1),Premissas!$B$111,0)</f>
        <v>-0</v>
      </c>
      <c r="AP23" s="60" t="n">
        <f aca="false">-IF(AP$4=DATE(YEAR(Premissas!$B$112),MONTH(Premissas!$B$112),1),Premissas!$B$111,0)</f>
        <v>-0</v>
      </c>
      <c r="AQ23" s="60" t="n">
        <f aca="false">-IF(AQ$4=DATE(YEAR(Premissas!$B$112),MONTH(Premissas!$B$112),1),Premissas!$B$111,0)</f>
        <v>-0</v>
      </c>
      <c r="AR23" s="60" t="n">
        <f aca="false">-IF(AR$4=DATE(YEAR(Premissas!$B$112),MONTH(Premissas!$B$112),1),Premissas!$B$111,0)</f>
        <v>-0</v>
      </c>
      <c r="AS23" s="60" t="n">
        <f aca="false">-IF(AS$4=DATE(YEAR(Premissas!$B$112),MONTH(Premissas!$B$112),1),Premissas!$B$111,0)</f>
        <v>-0</v>
      </c>
      <c r="AT23" s="60" t="n">
        <f aca="false">-IF(AT$4=DATE(YEAR(Premissas!$B$112),MONTH(Premissas!$B$112),1),Premissas!$B$111,0)</f>
        <v>-0</v>
      </c>
      <c r="AU23" s="60" t="n">
        <f aca="false">-IF(AU$4=DATE(YEAR(Premissas!$B$112),MONTH(Premissas!$B$112),1),Premissas!$B$111,0)</f>
        <v>-0</v>
      </c>
      <c r="AV23" s="60" t="n">
        <f aca="false">-IF(AV$4=DATE(YEAR(Premissas!$B$112),MONTH(Premissas!$B$112),1),Premissas!$B$111,0)</f>
        <v>-0</v>
      </c>
      <c r="AW23" s="60" t="n">
        <f aca="false">-IF(AW$4=DATE(YEAR(Premissas!$B$112),MONTH(Premissas!$B$112),1),Premissas!$B$111,0)</f>
        <v>-0</v>
      </c>
      <c r="AX23" s="60" t="n">
        <f aca="false">-IF(AX$4=DATE(YEAR(Premissas!$B$112),MONTH(Premissas!$B$112),1),Premissas!$B$111,0)</f>
        <v>-0</v>
      </c>
      <c r="AY23" s="60" t="n">
        <f aca="false">-IF(AY$4=DATE(YEAR(Premissas!$B$112),MONTH(Premissas!$B$112),1),Premissas!$B$111,0)</f>
        <v>-0</v>
      </c>
      <c r="AZ23" s="60" t="n">
        <f aca="false">-IF(AZ$4=DATE(YEAR(Premissas!$B$112),MONTH(Premissas!$B$112),1),Premissas!$B$111,0)</f>
        <v>-0</v>
      </c>
      <c r="BA23" s="60" t="n">
        <f aca="false">-IF(BA$4=DATE(YEAR(Premissas!$B$112),MONTH(Premissas!$B$112),1),Premissas!$B$111,0)</f>
        <v>-0</v>
      </c>
      <c r="BB23" s="60" t="n">
        <f aca="false">-IF(BB$4=DATE(YEAR(Premissas!$B$112),MONTH(Premissas!$B$112),1),Premissas!$B$111,0)</f>
        <v>-0</v>
      </c>
      <c r="BC23" s="60" t="n">
        <f aca="false">-IF(BC$4=DATE(YEAR(Premissas!$B$112),MONTH(Premissas!$B$112),1),Premissas!$B$111,0)</f>
        <v>-0</v>
      </c>
      <c r="BD23" s="60" t="n">
        <f aca="false">-IF(BD$4=DATE(YEAR(Premissas!$B$112),MONTH(Premissas!$B$112),1),Premissas!$B$111,0)</f>
        <v>-0</v>
      </c>
      <c r="BE23" s="60" t="n">
        <f aca="false">-IF(BE$4=DATE(YEAR(Premissas!$B$112),MONTH(Premissas!$B$112),1),Premissas!$B$111,0)</f>
        <v>-0</v>
      </c>
      <c r="BF23" s="60" t="n">
        <f aca="false">-IF(BF$4=DATE(YEAR(Premissas!$B$112),MONTH(Premissas!$B$112),1),Premissas!$B$111,0)</f>
        <v>-0</v>
      </c>
      <c r="BG23" s="60" t="n">
        <f aca="false">-IF(BG$4=DATE(YEAR(Premissas!$B$112),MONTH(Premissas!$B$112),1),Premissas!$B$111,0)</f>
        <v>-0</v>
      </c>
      <c r="BH23" s="60" t="n">
        <f aca="false">-IF(BH$4=DATE(YEAR(Premissas!$B$112),MONTH(Premissas!$B$112),1),Premissas!$B$111,0)</f>
        <v>-0</v>
      </c>
      <c r="BI23" s="60" t="n">
        <f aca="false">-IF(BI$4=DATE(YEAR(Premissas!$B$112),MONTH(Premissas!$B$112),1),Premissas!$B$111,0)</f>
        <v>-0</v>
      </c>
      <c r="BJ23" s="61" t="n">
        <f aca="false">SUM(B23:BI23)</f>
        <v>-25000</v>
      </c>
      <c r="BK23" s="186" t="n">
        <f aca="false">IFERROR(BJ23/BJ$28,0)</f>
        <v>0.00055707416864717</v>
      </c>
    </row>
    <row r="24" customFormat="false" ht="15" hidden="false" customHeight="false" outlineLevel="0" collapsed="false">
      <c r="A24" s="27" t="s">
        <v>779</v>
      </c>
      <c r="B24" s="60" t="n">
        <f aca="false">CHOOSE(Premissas!$B$6,Cenários!B32,Cenários!B78,Cenários!B124)</f>
        <v>-0</v>
      </c>
      <c r="C24" s="60" t="n">
        <f aca="false">CHOOSE(Premissas!$B$6,Cenários!C32,Cenários!C78,Cenários!C124)</f>
        <v>-0</v>
      </c>
      <c r="D24" s="60" t="n">
        <f aca="false">CHOOSE(Premissas!$B$6,Cenários!D32,Cenários!D78,Cenários!D124)</f>
        <v>-0</v>
      </c>
      <c r="E24" s="60" t="n">
        <f aca="false">CHOOSE(Premissas!$B$6,Cenários!E32,Cenários!E78,Cenários!E124)</f>
        <v>-0</v>
      </c>
      <c r="F24" s="60" t="n">
        <f aca="false">CHOOSE(Premissas!$B$6,Cenários!F32,Cenários!F78,Cenários!F124)</f>
        <v>-0</v>
      </c>
      <c r="G24" s="60" t="n">
        <f aca="false">CHOOSE(Premissas!$B$6,Cenários!G32,Cenários!G78,Cenários!G124)</f>
        <v>-0</v>
      </c>
      <c r="H24" s="60" t="n">
        <f aca="false">CHOOSE(Premissas!$B$6,Cenários!H32,Cenários!H78,Cenários!H124)</f>
        <v>-0</v>
      </c>
      <c r="I24" s="60" t="n">
        <f aca="false">CHOOSE(Premissas!$B$6,Cenários!I32,Cenários!I78,Cenários!I124)</f>
        <v>-0</v>
      </c>
      <c r="J24" s="60" t="n">
        <f aca="false">CHOOSE(Premissas!$B$6,Cenários!J32,Cenários!J78,Cenários!J124)</f>
        <v>-0</v>
      </c>
      <c r="K24" s="60" t="n">
        <f aca="false">CHOOSE(Premissas!$B$6,Cenários!K32,Cenários!K78,Cenários!K124)</f>
        <v>-383.12475</v>
      </c>
      <c r="L24" s="60" t="n">
        <f aca="false">CHOOSE(Premissas!$B$6,Cenários!L32,Cenários!L78,Cenários!L124)</f>
        <v>-1469.06775</v>
      </c>
      <c r="M24" s="60" t="n">
        <f aca="false">CHOOSE(Premissas!$B$6,Cenários!M32,Cenários!M78,Cenários!M124)</f>
        <v>-3176.637</v>
      </c>
      <c r="N24" s="60" t="n">
        <f aca="false">CHOOSE(Premissas!$B$6,Cenários!N32,Cenários!N78,Cenários!N124)</f>
        <v>-6597.99624</v>
      </c>
      <c r="O24" s="60" t="n">
        <f aca="false">CHOOSE(Premissas!$B$6,Cenários!O32,Cenários!O78,Cenários!O124)</f>
        <v>-10678.07334</v>
      </c>
      <c r="P24" s="60" t="n">
        <f aca="false">CHOOSE(Premissas!$B$6,Cenários!P32,Cenários!P78,Cenários!P124)</f>
        <v>-15506.78844</v>
      </c>
      <c r="Q24" s="60" t="n">
        <f aca="false">CHOOSE(Premissas!$B$6,Cenários!Q32,Cenários!Q78,Cenários!Q124)</f>
        <v>-21979.94898</v>
      </c>
      <c r="R24" s="60" t="n">
        <f aca="false">CHOOSE(Premissas!$B$6,Cenários!R32,Cenários!R78,Cenários!R124)</f>
        <v>-24794.87802</v>
      </c>
      <c r="S24" s="60" t="n">
        <f aca="false">CHOOSE(Premissas!$B$6,Cenários!S32,Cenários!S78,Cenários!S124)</f>
        <v>-27397.50486</v>
      </c>
      <c r="T24" s="60" t="n">
        <f aca="false">CHOOSE(Premissas!$B$6,Cenários!T32,Cenários!T78,Cenários!T124)</f>
        <v>-29805.31026</v>
      </c>
      <c r="U24" s="60" t="n">
        <f aca="false">CHOOSE(Premissas!$B$6,Cenários!U32,Cenários!U78,Cenários!U124)</f>
        <v>-32033.27952</v>
      </c>
      <c r="V24" s="60" t="n">
        <f aca="false">CHOOSE(Premissas!$B$6,Cenários!V32,Cenários!V78,Cenários!V124)</f>
        <v>-34088.89902</v>
      </c>
      <c r="W24" s="60" t="n">
        <f aca="false">CHOOSE(Premissas!$B$6,Cenários!W32,Cenários!W78,Cenários!W124)</f>
        <v>-41329.18152</v>
      </c>
      <c r="X24" s="60" t="n">
        <f aca="false">CHOOSE(Premissas!$B$6,Cenários!X32,Cenários!X78,Cenários!X124)</f>
        <v>-43345.8894</v>
      </c>
      <c r="Y24" s="60" t="n">
        <f aca="false">CHOOSE(Premissas!$B$6,Cenários!Y32,Cenários!Y78,Cenários!Y124)</f>
        <v>-45212.66904</v>
      </c>
      <c r="Z24" s="60" t="n">
        <f aca="false">CHOOSE(Premissas!$B$6,Cenários!Z32,Cenários!Z78,Cenários!Z124)</f>
        <v>-55621.0334511562</v>
      </c>
      <c r="AA24" s="60" t="n">
        <f aca="false">CHOOSE(Premissas!$B$6,Cenários!AA32,Cenários!AA78,Cenários!AA124)</f>
        <v>-60295.7058195937</v>
      </c>
      <c r="AB24" s="60" t="n">
        <f aca="false">CHOOSE(Premissas!$B$6,Cenários!AB32,Cenários!AB78,Cenários!AB124)</f>
        <v>-64642.250611125</v>
      </c>
      <c r="AC24" s="60" t="n">
        <f aca="false">CHOOSE(Premissas!$B$6,Cenários!AC32,Cenários!AC78,Cenários!AC124)</f>
        <v>-68677.7935078125</v>
      </c>
      <c r="AD24" s="60" t="n">
        <f aca="false">CHOOSE(Premissas!$B$6,Cenários!AD32,Cenários!AD78,Cenários!AD124)</f>
        <v>-72434.1902439375</v>
      </c>
      <c r="AE24" s="60" t="n">
        <f aca="false">CHOOSE(Premissas!$B$6,Cenários!AE32,Cenários!AE78,Cenários!AE124)</f>
        <v>-75921.219903375</v>
      </c>
      <c r="AF24" s="60" t="n">
        <f aca="false">CHOOSE(Premissas!$B$6,Cenários!AF32,Cenários!AF78,Cenários!AF124)</f>
        <v>-79156.0081681875</v>
      </c>
      <c r="AG24" s="60" t="n">
        <f aca="false">CHOOSE(Premissas!$B$6,Cenários!AG32,Cenários!AG78,Cenários!AG124)</f>
        <v>-82172.8923994687</v>
      </c>
      <c r="AH24" s="60" t="n">
        <f aca="false">CHOOSE(Premissas!$B$6,Cenários!AH32,Cenários!AH78,Cenários!AH124)</f>
        <v>-84974.2682270625</v>
      </c>
      <c r="AI24" s="60" t="n">
        <f aca="false">CHOOSE(Premissas!$B$6,Cenários!AI32,Cenários!AI78,Cenários!AI124)</f>
        <v>-87572.384076375</v>
      </c>
      <c r="AJ24" s="60" t="n">
        <f aca="false">CHOOSE(Premissas!$B$6,Cenários!AJ32,Cenários!AJ78,Cenários!AJ124)</f>
        <v>-89986.8472562812</v>
      </c>
      <c r="AK24" s="60" t="n">
        <f aca="false">CHOOSE(Premissas!$B$6,Cenários!AK32,Cenários!AK78,Cenários!AK124)</f>
        <v>-92234.8203046875</v>
      </c>
      <c r="AL24" s="60" t="n">
        <f aca="false">CHOOSE(Premissas!$B$6,Cenários!AL32,Cenários!AL78,Cenários!AL124)</f>
        <v>-113103.934377212</v>
      </c>
      <c r="AM24" s="60" t="n">
        <f aca="false">CHOOSE(Premissas!$B$6,Cenários!AM32,Cenários!AM78,Cenários!AM124)</f>
        <v>-120339.863822401</v>
      </c>
      <c r="AN24" s="60" t="n">
        <f aca="false">CHOOSE(Premissas!$B$6,Cenários!AN32,Cenários!AN78,Cenários!AN124)</f>
        <v>-127089.292238113</v>
      </c>
      <c r="AO24" s="60" t="n">
        <f aca="false">CHOOSE(Premissas!$B$6,Cenários!AO32,Cenários!AO78,Cenários!AO124)</f>
        <v>-133389.070160856</v>
      </c>
      <c r="AP24" s="60" t="n">
        <f aca="false">CHOOSE(Premissas!$B$6,Cenários!AP32,Cenários!AP78,Cenários!AP124)</f>
        <v>-139276.097425516</v>
      </c>
      <c r="AQ24" s="60" t="n">
        <f aca="false">CHOOSE(Premissas!$B$6,Cenários!AQ32,Cenários!AQ78,Cenários!AQ124)</f>
        <v>-144767.529867149</v>
      </c>
      <c r="AR24" s="60" t="n">
        <f aca="false">CHOOSE(Premissas!$B$6,Cenários!AR32,Cenários!AR78,Cenários!AR124)</f>
        <v>-149897.790077216</v>
      </c>
      <c r="AS24" s="60" t="n">
        <f aca="false">CHOOSE(Premissas!$B$6,Cenários!AS32,Cenários!AS78,Cenários!AS124)</f>
        <v>-154686.523458793</v>
      </c>
      <c r="AT24" s="60" t="n">
        <f aca="false">CHOOSE(Premissas!$B$6,Cenários!AT32,Cenários!AT78,Cenários!AT124)</f>
        <v>-159150.910496124</v>
      </c>
      <c r="AU24" s="60" t="n">
        <f aca="false">CHOOSE(Premissas!$B$6,Cenários!AU32,Cenários!AU78,Cenários!AU124)</f>
        <v>-163325.386105264</v>
      </c>
      <c r="AV24" s="60" t="n">
        <f aca="false">CHOOSE(Premissas!$B$6,Cenários!AV32,Cenários!AV78,Cenários!AV124)</f>
        <v>-167222.225581988</v>
      </c>
      <c r="AW24" s="60" t="n">
        <f aca="false">CHOOSE(Premissas!$B$6,Cenários!AW32,Cenários!AW78,Cenários!AW124)</f>
        <v>-170861.07432937</v>
      </c>
      <c r="AX24" s="60" t="n">
        <f aca="false">CHOOSE(Premissas!$B$6,Cenários!AX32,Cenários!AX78,Cenários!AX124)</f>
        <v>-210325.621789641</v>
      </c>
      <c r="AY24" s="60" t="n">
        <f aca="false">CHOOSE(Premissas!$B$6,Cenários!AY32,Cenários!AY78,Cenários!AY124)</f>
        <v>-222711.52245076</v>
      </c>
      <c r="AZ24" s="60" t="n">
        <f aca="false">CHOOSE(Premissas!$B$6,Cenários!AZ32,Cenários!AZ78,Cenários!AZ124)</f>
        <v>-234320.955766974</v>
      </c>
      <c r="BA24" s="60" t="n">
        <f aca="false">CHOOSE(Premissas!$B$6,Cenários!BA32,Cenários!BA78,Cenários!BA124)</f>
        <v>-245203.86978361</v>
      </c>
      <c r="BB24" s="60" t="n">
        <f aca="false">CHOOSE(Premissas!$B$6,Cenários!BB32,Cenários!BB78,Cenários!BB124)</f>
        <v>-255417.700370291</v>
      </c>
      <c r="BC24" s="60" t="n">
        <f aca="false">CHOOSE(Premissas!$B$6,Cenários!BC32,Cenários!BC78,Cenários!BC124)</f>
        <v>-264984.873435559</v>
      </c>
      <c r="BD24" s="60" t="n">
        <f aca="false">CHOOSE(Premissas!$B$6,Cenários!BD32,Cenários!BD78,Cenários!BD124)</f>
        <v>-273955.349546188</v>
      </c>
      <c r="BE24" s="60" t="n">
        <f aca="false">CHOOSE(Premissas!$B$6,Cenários!BE32,Cenários!BE78,Cenários!BE124)</f>
        <v>-282361.571766967</v>
      </c>
      <c r="BF24" s="60" t="n">
        <f aca="false">CHOOSE(Premissas!$B$6,Cenários!BF32,Cenários!BF78,Cenários!BF124)</f>
        <v>-290256.017475177</v>
      </c>
      <c r="BG24" s="60" t="n">
        <f aca="false">CHOOSE(Premissas!$B$6,Cenários!BG32,Cenários!BG78,Cenários!BG124)</f>
        <v>-297641.103309761</v>
      </c>
      <c r="BH24" s="60" t="n">
        <f aca="false">CHOOSE(Premissas!$B$6,Cenários!BH32,Cenários!BH78,Cenários!BH124)</f>
        <v>-304571.81093706</v>
      </c>
      <c r="BI24" s="60" t="n">
        <f aca="false">CHOOSE(Premissas!$B$6,Cenários!BI32,Cenários!BI78,Cenários!BI124)</f>
        <v>-311073.108119017</v>
      </c>
      <c r="BJ24" s="61" t="n">
        <f aca="false">SUM(B24:BI24)</f>
        <v>-6187421.86480007</v>
      </c>
      <c r="BK24" s="186" t="n">
        <f aca="false">IFERROR(BJ24/BJ$28,0)</f>
        <v>0.137874115656113</v>
      </c>
    </row>
    <row r="25" customFormat="false" ht="15" hidden="false" customHeight="false" outlineLevel="0" collapsed="false">
      <c r="A25" s="27" t="s">
        <v>780</v>
      </c>
      <c r="B25" s="60" t="n">
        <f aca="false">CHOOSE(Premissas!$B$6,Cenários!B33,Cenários!B79,Cenários!B125)</f>
        <v>-0</v>
      </c>
      <c r="C25" s="60" t="n">
        <f aca="false">CHOOSE(Premissas!$B$6,Cenários!C33,Cenários!C79,Cenários!C125)</f>
        <v>-0</v>
      </c>
      <c r="D25" s="60" t="n">
        <f aca="false">CHOOSE(Premissas!$B$6,Cenários!D33,Cenários!D79,Cenários!D125)</f>
        <v>-0</v>
      </c>
      <c r="E25" s="60" t="n">
        <f aca="false">CHOOSE(Premissas!$B$6,Cenários!E33,Cenários!E79,Cenários!E125)</f>
        <v>-0</v>
      </c>
      <c r="F25" s="60" t="n">
        <f aca="false">CHOOSE(Premissas!$B$6,Cenários!F33,Cenários!F79,Cenários!F125)</f>
        <v>-0</v>
      </c>
      <c r="G25" s="60" t="n">
        <f aca="false">CHOOSE(Premissas!$B$6,Cenários!G33,Cenários!G79,Cenários!G125)</f>
        <v>-0</v>
      </c>
      <c r="H25" s="60" t="n">
        <f aca="false">CHOOSE(Premissas!$B$6,Cenários!H33,Cenários!H79,Cenários!H125)</f>
        <v>-0</v>
      </c>
      <c r="I25" s="60" t="n">
        <f aca="false">CHOOSE(Premissas!$B$6,Cenários!I33,Cenários!I79,Cenários!I125)</f>
        <v>-0</v>
      </c>
      <c r="J25" s="60" t="n">
        <f aca="false">CHOOSE(Premissas!$B$6,Cenários!J33,Cenários!J79,Cenários!J125)</f>
        <v>-0</v>
      </c>
      <c r="K25" s="60" t="n">
        <f aca="false">CHOOSE(Premissas!$B$6,Cenários!K33,Cenários!K79,Cenários!K125)</f>
        <v>-20.283075</v>
      </c>
      <c r="L25" s="60" t="n">
        <f aca="false">CHOOSE(Premissas!$B$6,Cenários!L33,Cenários!L79,Cenários!L125)</f>
        <v>-77.774175</v>
      </c>
      <c r="M25" s="60" t="n">
        <f aca="false">CHOOSE(Premissas!$B$6,Cenários!M33,Cenários!M79,Cenários!M125)</f>
        <v>-168.1749</v>
      </c>
      <c r="N25" s="60" t="n">
        <f aca="false">CHOOSE(Premissas!$B$6,Cenários!N33,Cenários!N79,Cenários!N125)</f>
        <v>-668.3905519056</v>
      </c>
      <c r="O25" s="60" t="n">
        <f aca="false">CHOOSE(Premissas!$B$6,Cenários!O33,Cenários!O79,Cenários!O125)</f>
        <v>-1025.4879386959</v>
      </c>
      <c r="P25" s="60" t="n">
        <f aca="false">CHOOSE(Premissas!$B$6,Cenários!P33,Cenários!P79,Cenários!P125)</f>
        <v>-1434.89108684357</v>
      </c>
      <c r="Q25" s="60" t="n">
        <f aca="false">CHOOSE(Premissas!$B$6,Cenários!Q33,Cenários!Q79,Cenários!Q125)</f>
        <v>-1964.07447941453</v>
      </c>
      <c r="R25" s="60" t="n">
        <f aca="false">CHOOSE(Premissas!$B$6,Cenários!R33,Cenários!R79,Cenários!R125)</f>
        <v>-2215.60454380976</v>
      </c>
      <c r="S25" s="60" t="n">
        <f aca="false">CHOOSE(Premissas!$B$6,Cenários!S33,Cenários!S79,Cenários!S125)</f>
        <v>-2448.17308214806</v>
      </c>
      <c r="T25" s="60" t="n">
        <f aca="false">CHOOSE(Premissas!$B$6,Cenários!T33,Cenários!T79,Cenários!T125)</f>
        <v>-2663.31967378093</v>
      </c>
      <c r="U25" s="60" t="n">
        <f aca="false">CHOOSE(Premissas!$B$6,Cenários!U33,Cenários!U79,Cenários!U125)</f>
        <v>-2862.379553679</v>
      </c>
      <c r="V25" s="60" t="n">
        <f aca="false">CHOOSE(Premissas!$B$6,Cenários!V33,Cenários!V79,Cenários!V125)</f>
        <v>-3046.10964523514</v>
      </c>
      <c r="W25" s="60" t="n">
        <f aca="false">CHOOSE(Premissas!$B$6,Cenários!W33,Cenários!W79,Cenários!W125)</f>
        <v>-3616.46665288626</v>
      </c>
      <c r="X25" s="60" t="n">
        <f aca="false">CHOOSE(Premissas!$B$6,Cenários!X33,Cenários!X79,Cenários!X125)</f>
        <v>-3792.99991036201</v>
      </c>
      <c r="Y25" s="60" t="n">
        <f aca="false">CHOOSE(Premissas!$B$6,Cenários!Y33,Cenários!Y79,Cenários!Y125)</f>
        <v>-3956.38748131879</v>
      </c>
      <c r="Z25" s="60" t="n">
        <f aca="false">CHOOSE(Premissas!$B$6,Cenários!Z33,Cenários!Z79,Cenários!Z125)</f>
        <v>-6598.23748465194</v>
      </c>
      <c r="AA25" s="60" t="n">
        <f aca="false">CHOOSE(Premissas!$B$6,Cenários!AA33,Cenários!AA79,Cenários!AA125)</f>
        <v>-7152.81715894015</v>
      </c>
      <c r="AB25" s="60" t="n">
        <f aca="false">CHOOSE(Premissas!$B$6,Cenários!AB33,Cenários!AB79,Cenários!AB125)</f>
        <v>-7668.42627155966</v>
      </c>
      <c r="AC25" s="60" t="n">
        <f aca="false">CHOOSE(Premissas!$B$6,Cenários!AC33,Cenários!AC79,Cenários!AC125)</f>
        <v>-8147.21267356432</v>
      </c>
      <c r="AD25" s="60" t="n">
        <f aca="false">CHOOSE(Premissas!$B$6,Cenários!AD33,Cenários!AD79,Cenários!AD125)</f>
        <v>-8592.76645195593</v>
      </c>
      <c r="AE25" s="60" t="n">
        <f aca="false">CHOOSE(Premissas!$B$6,Cenários!AE33,Cenários!AE79,Cenários!AE125)</f>
        <v>-9006.44143444016</v>
      </c>
      <c r="AF25" s="60" t="n">
        <f aca="false">CHOOSE(Premissas!$B$6,Cenários!AF33,Cenários!AF79,Cenários!AF125)</f>
        <v>-9390.29953555668</v>
      </c>
      <c r="AG25" s="60" t="n">
        <f aca="false">CHOOSE(Premissas!$B$6,Cenários!AG33,Cenários!AG79,Cenários!AG125)</f>
        <v>-9748.09914315466</v>
      </c>
      <c r="AH25" s="60" t="n">
        <f aca="false">CHOOSE(Premissas!$B$6,Cenários!AH33,Cenários!AH79,Cenários!AH125)</f>
        <v>-10080.3815229761</v>
      </c>
      <c r="AI25" s="60" t="n">
        <f aca="false">CHOOSE(Premissas!$B$6,Cenários!AI33,Cenários!AI79,Cenários!AI125)</f>
        <v>-10388.6518935547</v>
      </c>
      <c r="AJ25" s="60" t="n">
        <f aca="false">CHOOSE(Premissas!$B$6,Cenários!AJ33,Cenários!AJ79,Cenários!AJ125)</f>
        <v>-10675.1315425528</v>
      </c>
      <c r="AK25" s="60" t="n">
        <f aca="false">CHOOSE(Premissas!$B$6,Cenários!AK33,Cenários!AK79,Cenários!AK125)</f>
        <v>-10941.7788622986</v>
      </c>
      <c r="AL25" s="60" t="n">
        <f aca="false">CHOOSE(Premissas!$B$6,Cenários!AL33,Cenários!AL79,Cenários!AL125)</f>
        <v>-16146.9048900641</v>
      </c>
      <c r="AM25" s="60" t="n">
        <f aca="false">CHOOSE(Premissas!$B$6,Cenários!AM33,Cenários!AM79,Cenários!AM125)</f>
        <v>-17179.8340107266</v>
      </c>
      <c r="AN25" s="60" t="n">
        <f aca="false">CHOOSE(Premissas!$B$6,Cenários!AN33,Cenários!AN79,Cenários!AN125)</f>
        <v>-18143.4636999643</v>
      </c>
      <c r="AO25" s="60" t="n">
        <f aca="false">CHOOSE(Premissas!$B$6,Cenários!AO33,Cenários!AO79,Cenários!AO125)</f>
        <v>-19042.9264938895</v>
      </c>
      <c r="AP25" s="60" t="n">
        <f aca="false">CHOOSE(Premissas!$B$6,Cenários!AP33,Cenários!AP79,Cenários!AP125)</f>
        <v>-19883.3053095843</v>
      </c>
      <c r="AQ25" s="60" t="n">
        <f aca="false">CHOOSE(Premissas!$B$6,Cenários!AQ33,Cenários!AQ79,Cenários!AQ125)</f>
        <v>-20667.3279061657</v>
      </c>
      <c r="AR25" s="60" t="n">
        <f aca="false">CHOOSE(Premissas!$B$6,Cenários!AR33,Cenários!AR79,Cenários!AR125)</f>
        <v>-21399.6882410647</v>
      </c>
      <c r="AS25" s="60" t="n">
        <f aca="false">CHOOSE(Premissas!$B$6,Cenários!AS33,Cenários!AS79,Cenários!AS125)</f>
        <v>-22083.3112162932</v>
      </c>
      <c r="AT25" s="60" t="n">
        <f aca="false">CHOOSE(Premissas!$B$6,Cenários!AT33,Cenários!AT79,Cenários!AT125)</f>
        <v>-22720.7921033246</v>
      </c>
      <c r="AU25" s="60" t="n">
        <f aca="false">CHOOSE(Premissas!$B$6,Cenários!AU33,Cenários!AU79,Cenários!AU125)</f>
        <v>-23316.6999285293</v>
      </c>
      <c r="AV25" s="60" t="n">
        <f aca="false">CHOOSE(Premissas!$B$6,Cenários!AV33,Cenários!AV79,Cenários!AV125)</f>
        <v>-23872.9817759387</v>
      </c>
      <c r="AW25" s="60" t="n">
        <f aca="false">CHOOSE(Premissas!$B$6,Cenários!AW33,Cenários!AW79,Cenários!AW125)</f>
        <v>-24392.4103576217</v>
      </c>
      <c r="AX25" s="60" t="n">
        <f aca="false">CHOOSE(Premissas!$B$6,Cenários!AX33,Cenários!AX79,Cenários!AX125)</f>
        <v>-32988.6285289016</v>
      </c>
      <c r="AY25" s="60" t="n">
        <f aca="false">CHOOSE(Premissas!$B$6,Cenários!AY33,Cenários!AY79,Cenários!AY125)</f>
        <v>-34931.2632506913</v>
      </c>
      <c r="AZ25" s="60" t="n">
        <f aca="false">CHOOSE(Premissas!$B$6,Cenários!AZ33,Cenários!AZ79,Cenários!AZ125)</f>
        <v>-36752.1953810843</v>
      </c>
      <c r="BA25" s="60" t="n">
        <f aca="false">CHOOSE(Premissas!$B$6,Cenários!BA33,Cenários!BA79,Cenários!BA125)</f>
        <v>-38459.2128771865</v>
      </c>
      <c r="BB25" s="60" t="n">
        <f aca="false">CHOOSE(Premissas!$B$6,Cenários!BB33,Cenários!BB79,Cenários!BB125)</f>
        <v>-40060.9810920285</v>
      </c>
      <c r="BC25" s="60" t="n">
        <f aca="false">CHOOSE(Premissas!$B$6,Cenários!BC33,Cenários!BC79,Cenários!BC125)</f>
        <v>-41561.5841029411</v>
      </c>
      <c r="BD25" s="60" t="n">
        <f aca="false">CHOOSE(Premissas!$B$6,Cenários!BD33,Cenários!BD79,Cenários!BD125)</f>
        <v>-42968.5711590888</v>
      </c>
      <c r="BE25" s="60" t="n">
        <f aca="false">CHOOSE(Premissas!$B$6,Cenários!BE33,Cenários!BE79,Cenários!BE125)</f>
        <v>-44287.1689452722</v>
      </c>
      <c r="BF25" s="60" t="n">
        <f aca="false">CHOOSE(Premissas!$B$6,Cenários!BF33,Cenários!BF79,Cenários!BF125)</f>
        <v>-45525.1140641733</v>
      </c>
      <c r="BG25" s="60" t="n">
        <f aca="false">CHOOSE(Premissas!$B$6,Cenários!BG33,Cenários!BG79,Cenários!BG125)</f>
        <v>-46683.6449330366</v>
      </c>
      <c r="BH25" s="60" t="n">
        <f aca="false">CHOOSE(Premissas!$B$6,Cenários!BH33,Cenários!BH79,Cenários!BH125)</f>
        <v>-47770.7003852996</v>
      </c>
      <c r="BI25" s="60" t="n">
        <f aca="false">CHOOSE(Premissas!$B$6,Cenários!BI33,Cenários!BI79,Cenários!BI125)</f>
        <v>-48790.3059985689</v>
      </c>
      <c r="BJ25" s="61" t="n">
        <f aca="false">SUM(B25:BI25)</f>
        <v>-887979.777376725</v>
      </c>
      <c r="BK25" s="186" t="n">
        <f aca="false">IFERROR(BJ25/BJ$28,0)</f>
        <v>0.0197868238503055</v>
      </c>
    </row>
    <row r="26" customFormat="false" ht="15" hidden="false" customHeight="false" outlineLevel="0" collapsed="false">
      <c r="A26" s="27" t="s">
        <v>781</v>
      </c>
      <c r="B26" s="60" t="n">
        <f aca="false">CHOOSE(Premissas!$B$6,Cenários!B31,Cenários!B77,Cenários!B123)</f>
        <v>-0</v>
      </c>
      <c r="C26" s="60" t="n">
        <f aca="false">CHOOSE(Premissas!$B$6,Cenários!C31,Cenários!C77,Cenários!C123)</f>
        <v>-0</v>
      </c>
      <c r="D26" s="60" t="n">
        <f aca="false">CHOOSE(Premissas!$B$6,Cenários!D31,Cenários!D77,Cenários!D123)</f>
        <v>-0</v>
      </c>
      <c r="E26" s="60" t="n">
        <f aca="false">CHOOSE(Premissas!$B$6,Cenários!E31,Cenários!E77,Cenários!E123)</f>
        <v>-0</v>
      </c>
      <c r="F26" s="60" t="n">
        <f aca="false">CHOOSE(Premissas!$B$6,Cenários!F31,Cenários!F77,Cenários!F123)</f>
        <v>-0</v>
      </c>
      <c r="G26" s="60" t="n">
        <f aca="false">CHOOSE(Premissas!$B$6,Cenários!G31,Cenários!G77,Cenários!G123)</f>
        <v>-0</v>
      </c>
      <c r="H26" s="60" t="n">
        <f aca="false">CHOOSE(Premissas!$B$6,Cenários!H31,Cenários!H77,Cenários!H123)</f>
        <v>-0</v>
      </c>
      <c r="I26" s="60" t="n">
        <f aca="false">CHOOSE(Premissas!$B$6,Cenários!I31,Cenários!I77,Cenários!I123)</f>
        <v>-0</v>
      </c>
      <c r="J26" s="60" t="n">
        <f aca="false">CHOOSE(Premissas!$B$6,Cenários!J31,Cenários!J77,Cenários!J123)</f>
        <v>-0</v>
      </c>
      <c r="K26" s="60" t="n">
        <f aca="false">CHOOSE(Premissas!$B$6,Cenários!K31,Cenários!K77,Cenários!K123)</f>
        <v>-465.7595</v>
      </c>
      <c r="L26" s="60" t="n">
        <f aca="false">CHOOSE(Premissas!$B$6,Cenários!L31,Cenários!L77,Cenários!L123)</f>
        <v>-1785.9255</v>
      </c>
      <c r="M26" s="60" t="n">
        <f aca="false">CHOOSE(Premissas!$B$6,Cenários!M31,Cenários!M77,Cenários!M123)</f>
        <v>-3861.794</v>
      </c>
      <c r="N26" s="60" t="n">
        <f aca="false">CHOOSE(Premissas!$B$6,Cenários!N31,Cenários!N77,Cenários!N123)</f>
        <v>-9120.1635712304</v>
      </c>
      <c r="O26" s="60" t="n">
        <f aca="false">CHOOSE(Premissas!$B$6,Cenários!O31,Cenários!O77,Cenários!O123)</f>
        <v>-14566.2453512859</v>
      </c>
      <c r="P26" s="60" t="n">
        <f aca="false">CHOOSE(Premissas!$B$6,Cenários!P31,Cenários!P77,Cenários!P123)</f>
        <v>-21181.6791689012</v>
      </c>
      <c r="Q26" s="60" t="n">
        <f aca="false">CHOOSE(Premissas!$B$6,Cenários!Q31,Cenários!Q77,Cenários!Q123)</f>
        <v>-31619.2675706219</v>
      </c>
      <c r="R26" s="60" t="n">
        <f aca="false">CHOOSE(Premissas!$B$6,Cenários!R31,Cenários!R77,Cenários!R123)</f>
        <v>-37731.7469768552</v>
      </c>
      <c r="S26" s="60" t="n">
        <f aca="false">CHOOSE(Premissas!$B$6,Cenários!S31,Cenários!S77,Cenários!S123)</f>
        <v>-43060.0984287111</v>
      </c>
      <c r="T26" s="60" t="n">
        <f aca="false">CHOOSE(Premissas!$B$6,Cenários!T31,Cenários!T77,Cenários!T123)</f>
        <v>-48317.241175939</v>
      </c>
      <c r="U26" s="60" t="n">
        <f aca="false">CHOOSE(Premissas!$B$6,Cenários!U31,Cenários!U77,Cenários!U123)</f>
        <v>-52956.4304312282</v>
      </c>
      <c r="V26" s="60" t="n">
        <f aca="false">CHOOSE(Premissas!$B$6,Cenários!V31,Cenários!V77,Cenários!V123)</f>
        <v>-57112.1486342944</v>
      </c>
      <c r="W26" s="60" t="n">
        <f aca="false">CHOOSE(Premissas!$B$6,Cenários!W31,Cenários!W77,Cenários!W123)</f>
        <v>-69575.9069555851</v>
      </c>
      <c r="X26" s="60" t="n">
        <f aca="false">CHOOSE(Premissas!$B$6,Cenários!X31,Cenários!X77,Cenários!X123)</f>
        <v>-75079.8828565234</v>
      </c>
      <c r="Y26" s="60" t="n">
        <f aca="false">CHOOSE(Premissas!$B$6,Cenários!Y31,Cenários!Y77,Cenários!Y123)</f>
        <v>-79930.0343991313</v>
      </c>
      <c r="Z26" s="60" t="n">
        <f aca="false">CHOOSE(Premissas!$B$6,Cenários!Z31,Cenários!Z77,Cenários!Z123)</f>
        <v>-107846.305441122</v>
      </c>
      <c r="AA26" s="60" t="n">
        <f aca="false">CHOOSE(Premissas!$B$6,Cenários!AA31,Cenários!AA77,Cenários!AA123)</f>
        <v>-118573.551395708</v>
      </c>
      <c r="AB26" s="60" t="n">
        <f aca="false">CHOOSE(Premissas!$B$6,Cenários!AB31,Cenários!AB77,Cenários!AB123)</f>
        <v>-98045.2817973941</v>
      </c>
      <c r="AC26" s="60" t="n">
        <f aca="false">CHOOSE(Premissas!$B$6,Cenários!AC31,Cenários!AC77,Cenários!AC123)</f>
        <v>-114066.606316241</v>
      </c>
      <c r="AD26" s="60" t="n">
        <f aca="false">CHOOSE(Premissas!$B$6,Cenários!AD31,Cenários!AD77,Cenários!AD123)</f>
        <v>-128409.026178803</v>
      </c>
      <c r="AE26" s="60" t="n">
        <f aca="false">CHOOSE(Premissas!$B$6,Cenários!AE31,Cenários!AE77,Cenários!AE123)</f>
        <v>-115336.276651343</v>
      </c>
      <c r="AF26" s="60" t="n">
        <f aca="false">CHOOSE(Premissas!$B$6,Cenários!AF31,Cenários!AF77,Cenários!AF123)</f>
        <v>-127599.36120702</v>
      </c>
      <c r="AG26" s="60" t="n">
        <f aca="false">CHOOSE(Premissas!$B$6,Cenários!AG31,Cenários!AG77,Cenários!AG123)</f>
        <v>-132182.15752727</v>
      </c>
      <c r="AH26" s="60" t="n">
        <f aca="false">CHOOSE(Premissas!$B$6,Cenários!AH31,Cenários!AH77,Cenários!AH123)</f>
        <v>-136437.737847684</v>
      </c>
      <c r="AI26" s="60" t="n">
        <f aca="false">CHOOSE(Premissas!$B$6,Cenários!AI31,Cenários!AI77,Cenários!AI123)</f>
        <v>-140384.898891535</v>
      </c>
      <c r="AJ26" s="60" t="n">
        <f aca="false">CHOOSE(Premissas!$B$6,Cenários!AJ31,Cenários!AJ77,Cenários!AJ123)</f>
        <v>-144053.047288535</v>
      </c>
      <c r="AK26" s="60" t="n">
        <f aca="false">CHOOSE(Premissas!$B$6,Cenários!AK31,Cenários!AK77,Cenários!AK123)</f>
        <v>-147467.974109778</v>
      </c>
      <c r="AL26" s="60" t="n">
        <f aca="false">CHOOSE(Premissas!$B$6,Cenários!AL31,Cenários!AL77,Cenários!AL123)</f>
        <v>-193158.806970824</v>
      </c>
      <c r="AM26" s="60" t="n">
        <f aca="false">CHOOSE(Premissas!$B$6,Cenários!AM31,Cenários!AM77,Cenários!AM123)</f>
        <v>-204784.707169135</v>
      </c>
      <c r="AN26" s="60" t="n">
        <f aca="false">CHOOSE(Premissas!$B$6,Cenários!AN31,Cenários!AN77,Cenários!AN123)</f>
        <v>-215629.489976651</v>
      </c>
      <c r="AO26" s="60" t="n">
        <f aca="false">CHOOSE(Premissas!$B$6,Cenários!AO31,Cenários!AO77,Cenários!AO123)</f>
        <v>-225751.898747388</v>
      </c>
      <c r="AP26" s="60" t="n">
        <f aca="false">CHOOSE(Premissas!$B$6,Cenários!AP31,Cenários!AP77,Cenários!AP123)</f>
        <v>-235210.550442914</v>
      </c>
      <c r="AQ26" s="60" t="n">
        <f aca="false">CHOOSE(Premissas!$B$6,Cenários!AQ31,Cenários!AQ77,Cenários!AQ123)</f>
        <v>-244034.020783744</v>
      </c>
      <c r="AR26" s="60" t="n">
        <f aca="false">CHOOSE(Premissas!$B$6,Cenários!AR31,Cenários!AR77,Cenários!AR123)</f>
        <v>-252276.818347748</v>
      </c>
      <c r="AS26" s="60" t="n">
        <f aca="false">CHOOSE(Premissas!$B$6,Cenários!AS31,Cenários!AS77,Cenários!AS123)</f>
        <v>-259970.944574821</v>
      </c>
      <c r="AT26" s="60" t="n">
        <f aca="false">CHOOSE(Premissas!$B$6,Cenários!AT31,Cenários!AT77,Cenários!AT123)</f>
        <v>-267144.521237289</v>
      </c>
      <c r="AU26" s="60" t="n">
        <f aca="false">CHOOSE(Premissas!$B$6,Cenários!AU31,Cenários!AU77,Cenários!AU123)</f>
        <v>-273851.616969461</v>
      </c>
      <c r="AV26" s="60" t="n">
        <f aca="false">CHOOSE(Premissas!$B$6,Cenários!AV31,Cenários!AV77,Cenários!AV123)</f>
        <v>-280112.661228275</v>
      </c>
      <c r="AW26" s="60" t="n">
        <f aca="false">CHOOSE(Premissas!$B$6,Cenários!AW31,Cenários!AW77,Cenários!AW123)</f>
        <v>-285959.103173232</v>
      </c>
      <c r="AX26" s="60" t="n">
        <f aca="false">CHOOSE(Premissas!$B$6,Cenários!AX31,Cenários!AX77,Cenários!AX123)</f>
        <v>-360117.561116537</v>
      </c>
      <c r="AY26" s="60" t="n">
        <f aca="false">CHOOSE(Premissas!$B$6,Cenários!AY31,Cenários!AY77,Cenários!AY123)</f>
        <v>-380651.283860014</v>
      </c>
      <c r="AZ26" s="60" t="n">
        <f aca="false">CHOOSE(Premissas!$B$6,Cenários!AZ31,Cenários!AZ77,Cenários!AZ123)</f>
        <v>-399898.047305669</v>
      </c>
      <c r="BA26" s="60" t="n">
        <f aca="false">CHOOSE(Premissas!$B$6,Cenários!BA31,Cenários!BA77,Cenários!BA123)</f>
        <v>-417940.489856525</v>
      </c>
      <c r="BB26" s="60" t="n">
        <f aca="false">CHOOSE(Premissas!$B$6,Cenários!BB31,Cenários!BB77,Cenários!BB123)</f>
        <v>-434872.58563264</v>
      </c>
      <c r="BC26" s="60" t="n">
        <f aca="false">CHOOSE(Premissas!$B$6,Cenários!BC31,Cenários!BC77,Cenários!BC123)</f>
        <v>-450733.569635962</v>
      </c>
      <c r="BD26" s="60" t="n">
        <f aca="false">CHOOSE(Premissas!$B$6,Cenários!BD31,Cenários!BD77,Cenários!BD123)</f>
        <v>-465605.227656599</v>
      </c>
      <c r="BE26" s="60" t="n">
        <f aca="false">CHOOSE(Premissas!$B$6,Cenários!BE31,Cenários!BE77,Cenários!BE123)</f>
        <v>-479541.846436148</v>
      </c>
      <c r="BF26" s="60" t="n">
        <f aca="false">CHOOSE(Premissas!$B$6,Cenários!BF31,Cenários!BF77,Cenários!BF123)</f>
        <v>-492628.63161752</v>
      </c>
      <c r="BG26" s="60" t="n">
        <f aca="false">CHOOSE(Premissas!$B$6,Cenários!BG31,Cenários!BG77,Cenários!BG123)</f>
        <v>-504872.708193557</v>
      </c>
      <c r="BH26" s="60" t="n">
        <f aca="false">CHOOSE(Premissas!$B$6,Cenários!BH31,Cenários!BH77,Cenários!BH123)</f>
        <v>-516362.742016134</v>
      </c>
      <c r="BI26" s="60" t="n">
        <f aca="false">CHOOSE(Premissas!$B$6,Cenários!BI31,Cenários!BI77,Cenários!BI123)</f>
        <v>-527140.523029265</v>
      </c>
      <c r="BJ26" s="61" t="n">
        <f aca="false">SUM(B26:BI26)</f>
        <v>-10425016.9051508</v>
      </c>
      <c r="BK26" s="186" t="n">
        <f aca="false">IFERROR(BJ26/BJ$28,0)</f>
        <v>0.232300305022783</v>
      </c>
    </row>
    <row r="27" customFormat="false" ht="15" hidden="false" customHeight="false" outlineLevel="0" collapsed="false">
      <c r="A27" s="27" t="s">
        <v>580</v>
      </c>
      <c r="B27" s="60" t="n">
        <f aca="false">-IF(B$4&gt;=Premissas!$B$107,IF('Ajuste Mensal'!B$33="",INDEX(Premissas!$C$108:$G$108,B$7),'Ajuste Mensal'!B$33),0)</f>
        <v>-0</v>
      </c>
      <c r="C27" s="60" t="n">
        <f aca="false">-IF(C$4&gt;=Premissas!$B$107,IF('Ajuste Mensal'!C$33="",INDEX(Premissas!$C$108:$G$108,C$7),'Ajuste Mensal'!C$33),0)</f>
        <v>-0</v>
      </c>
      <c r="D27" s="60" t="n">
        <f aca="false">-IF(D$4&gt;=Premissas!$B$107,IF('Ajuste Mensal'!D$33="",INDEX(Premissas!$C$108:$G$108,D$7),'Ajuste Mensal'!D$33),0)</f>
        <v>-0</v>
      </c>
      <c r="E27" s="60" t="n">
        <f aca="false">-IF(E$4&gt;=Premissas!$B$107,IF('Ajuste Mensal'!E$33="",INDEX(Premissas!$C$108:$G$108,E$7),'Ajuste Mensal'!E$33),0)</f>
        <v>-1500</v>
      </c>
      <c r="F27" s="60" t="n">
        <f aca="false">-IF(F$4&gt;=Premissas!$B$107,IF('Ajuste Mensal'!F$33="",INDEX(Premissas!$C$108:$G$108,F$7),'Ajuste Mensal'!F$33),0)</f>
        <v>-1500</v>
      </c>
      <c r="G27" s="60" t="n">
        <f aca="false">-IF(G$4&gt;=Premissas!$B$107,IF('Ajuste Mensal'!G$33="",INDEX(Premissas!$C$108:$G$108,G$7),'Ajuste Mensal'!G$33),0)</f>
        <v>-1500</v>
      </c>
      <c r="H27" s="60" t="n">
        <f aca="false">-IF(H$4&gt;=Premissas!$B$107,IF('Ajuste Mensal'!H$33="",INDEX(Premissas!$C$108:$G$108,H$7),'Ajuste Mensal'!H$33),0)</f>
        <v>-1500</v>
      </c>
      <c r="I27" s="60" t="n">
        <f aca="false">-IF(I$4&gt;=Premissas!$B$107,IF('Ajuste Mensal'!I$33="",INDEX(Premissas!$C$108:$G$108,I$7),'Ajuste Mensal'!I$33),0)</f>
        <v>-1500</v>
      </c>
      <c r="J27" s="60" t="n">
        <f aca="false">-IF(J$4&gt;=Premissas!$B$107,IF('Ajuste Mensal'!J$33="",INDEX(Premissas!$C$108:$G$108,J$7),'Ajuste Mensal'!J$33),0)</f>
        <v>-1500</v>
      </c>
      <c r="K27" s="60" t="n">
        <f aca="false">-IF(K$4&gt;=Premissas!$B$107,IF('Ajuste Mensal'!K$33="",INDEX(Premissas!$C$108:$G$108,K$7),'Ajuste Mensal'!K$33),0)</f>
        <v>-1500</v>
      </c>
      <c r="L27" s="60" t="n">
        <f aca="false">-IF(L$4&gt;=Premissas!$B$107,IF('Ajuste Mensal'!L$33="",INDEX(Premissas!$C$108:$G$108,L$7),'Ajuste Mensal'!L$33),0)</f>
        <v>-1500</v>
      </c>
      <c r="M27" s="60" t="n">
        <f aca="false">-IF(M$4&gt;=Premissas!$B$107,IF('Ajuste Mensal'!M$33="",INDEX(Premissas!$C$108:$G$108,M$7),'Ajuste Mensal'!M$33),0)</f>
        <v>-1500</v>
      </c>
      <c r="N27" s="60" t="n">
        <f aca="false">-IF(N$4&gt;=Premissas!$B$107,IF('Ajuste Mensal'!N$33="",INDEX(Premissas!$C$108:$G$108,N$7),'Ajuste Mensal'!N$33),0)</f>
        <v>-6000</v>
      </c>
      <c r="O27" s="60" t="n">
        <f aca="false">-IF(O$4&gt;=Premissas!$B$107,IF('Ajuste Mensal'!O$33="",INDEX(Premissas!$C$108:$G$108,O$7),'Ajuste Mensal'!O$33),0)</f>
        <v>-6000</v>
      </c>
      <c r="P27" s="60" t="n">
        <f aca="false">-IF(P$4&gt;=Premissas!$B$107,IF('Ajuste Mensal'!P$33="",INDEX(Premissas!$C$108:$G$108,P$7),'Ajuste Mensal'!P$33),0)</f>
        <v>-6000</v>
      </c>
      <c r="Q27" s="60" t="n">
        <f aca="false">-IF(Q$4&gt;=Premissas!$B$107,IF('Ajuste Mensal'!Q$33="",INDEX(Premissas!$C$108:$G$108,Q$7),'Ajuste Mensal'!Q$33),0)</f>
        <v>-6000</v>
      </c>
      <c r="R27" s="60" t="n">
        <f aca="false">-IF(R$4&gt;=Premissas!$B$107,IF('Ajuste Mensal'!R$33="",INDEX(Premissas!$C$108:$G$108,R$7),'Ajuste Mensal'!R$33),0)</f>
        <v>-6000</v>
      </c>
      <c r="S27" s="60" t="n">
        <f aca="false">-IF(S$4&gt;=Premissas!$B$107,IF('Ajuste Mensal'!S$33="",INDEX(Premissas!$C$108:$G$108,S$7),'Ajuste Mensal'!S$33),0)</f>
        <v>-6000</v>
      </c>
      <c r="T27" s="60" t="n">
        <f aca="false">-IF(T$4&gt;=Premissas!$B$107,IF('Ajuste Mensal'!T$33="",INDEX(Premissas!$C$108:$G$108,T$7),'Ajuste Mensal'!T$33),0)</f>
        <v>-6000</v>
      </c>
      <c r="U27" s="60" t="n">
        <f aca="false">-IF(U$4&gt;=Premissas!$B$107,IF('Ajuste Mensal'!U$33="",INDEX(Premissas!$C$108:$G$108,U$7),'Ajuste Mensal'!U$33),0)</f>
        <v>-6000</v>
      </c>
      <c r="V27" s="60" t="n">
        <f aca="false">-IF(V$4&gt;=Premissas!$B$107,IF('Ajuste Mensal'!V$33="",INDEX(Premissas!$C$108:$G$108,V$7),'Ajuste Mensal'!V$33),0)</f>
        <v>-6000</v>
      </c>
      <c r="W27" s="60" t="n">
        <f aca="false">-IF(W$4&gt;=Premissas!$B$107,IF('Ajuste Mensal'!W$33="",INDEX(Premissas!$C$108:$G$108,W$7),'Ajuste Mensal'!W$33),0)</f>
        <v>-6000</v>
      </c>
      <c r="X27" s="60" t="n">
        <f aca="false">-IF(X$4&gt;=Premissas!$B$107,IF('Ajuste Mensal'!X$33="",INDEX(Premissas!$C$108:$G$108,X$7),'Ajuste Mensal'!X$33),0)</f>
        <v>-6000</v>
      </c>
      <c r="Y27" s="60" t="n">
        <f aca="false">-IF(Y$4&gt;=Premissas!$B$107,IF('Ajuste Mensal'!Y$33="",INDEX(Premissas!$C$108:$G$108,Y$7),'Ajuste Mensal'!Y$33),0)</f>
        <v>-6000</v>
      </c>
      <c r="Z27" s="60" t="n">
        <f aca="false">-IF(Z$4&gt;=Premissas!$B$107,IF('Ajuste Mensal'!Z$33="",INDEX(Premissas!$C$108:$G$108,Z$7),'Ajuste Mensal'!Z$33),0)</f>
        <v>-25000</v>
      </c>
      <c r="AA27" s="60" t="n">
        <f aca="false">-IF(AA$4&gt;=Premissas!$B$107,IF('Ajuste Mensal'!AA$33="",INDEX(Premissas!$C$108:$G$108,AA$7),'Ajuste Mensal'!AA$33),0)</f>
        <v>-25000</v>
      </c>
      <c r="AB27" s="60" t="n">
        <f aca="false">-IF(AB$4&gt;=Premissas!$B$107,IF('Ajuste Mensal'!AB$33="",INDEX(Premissas!$C$108:$G$108,AB$7),'Ajuste Mensal'!AB$33),0)</f>
        <v>-25000</v>
      </c>
      <c r="AC27" s="60" t="n">
        <f aca="false">-IF(AC$4&gt;=Premissas!$B$107,IF('Ajuste Mensal'!AC$33="",INDEX(Premissas!$C$108:$G$108,AC$7),'Ajuste Mensal'!AC$33),0)</f>
        <v>-25000</v>
      </c>
      <c r="AD27" s="60" t="n">
        <f aca="false">-IF(AD$4&gt;=Premissas!$B$107,IF('Ajuste Mensal'!AD$33="",INDEX(Premissas!$C$108:$G$108,AD$7),'Ajuste Mensal'!AD$33),0)</f>
        <v>-25000</v>
      </c>
      <c r="AE27" s="60" t="n">
        <f aca="false">-IF(AE$4&gt;=Premissas!$B$107,IF('Ajuste Mensal'!AE$33="",INDEX(Premissas!$C$108:$G$108,AE$7),'Ajuste Mensal'!AE$33),0)</f>
        <v>-25000</v>
      </c>
      <c r="AF27" s="60" t="n">
        <f aca="false">-IF(AF$4&gt;=Premissas!$B$107,IF('Ajuste Mensal'!AF$33="",INDEX(Premissas!$C$108:$G$108,AF$7),'Ajuste Mensal'!AF$33),0)</f>
        <v>-25000</v>
      </c>
      <c r="AG27" s="60" t="n">
        <f aca="false">-IF(AG$4&gt;=Premissas!$B$107,IF('Ajuste Mensal'!AG$33="",INDEX(Premissas!$C$108:$G$108,AG$7),'Ajuste Mensal'!AG$33),0)</f>
        <v>-25000</v>
      </c>
      <c r="AH27" s="60" t="n">
        <f aca="false">-IF(AH$4&gt;=Premissas!$B$107,IF('Ajuste Mensal'!AH$33="",INDEX(Premissas!$C$108:$G$108,AH$7),'Ajuste Mensal'!AH$33),0)</f>
        <v>-25000</v>
      </c>
      <c r="AI27" s="60" t="n">
        <f aca="false">-IF(AI$4&gt;=Premissas!$B$107,IF('Ajuste Mensal'!AI$33="",INDEX(Premissas!$C$108:$G$108,AI$7),'Ajuste Mensal'!AI$33),0)</f>
        <v>-25000</v>
      </c>
      <c r="AJ27" s="60" t="n">
        <f aca="false">-IF(AJ$4&gt;=Premissas!$B$107,IF('Ajuste Mensal'!AJ$33="",INDEX(Premissas!$C$108:$G$108,AJ$7),'Ajuste Mensal'!AJ$33),0)</f>
        <v>-25000</v>
      </c>
      <c r="AK27" s="60" t="n">
        <f aca="false">-IF(AK$4&gt;=Premissas!$B$107,IF('Ajuste Mensal'!AK$33="",INDEX(Premissas!$C$108:$G$108,AK$7),'Ajuste Mensal'!AK$33),0)</f>
        <v>-25000</v>
      </c>
      <c r="AL27" s="60" t="n">
        <f aca="false">-IF(AL$4&gt;=Premissas!$B$107,IF('Ajuste Mensal'!AL$33="",INDEX(Premissas!$C$108:$G$108,AL$7),'Ajuste Mensal'!AL$33),0)</f>
        <v>-60000</v>
      </c>
      <c r="AM27" s="60" t="n">
        <f aca="false">-IF(AM$4&gt;=Premissas!$B$107,IF('Ajuste Mensal'!AM$33="",INDEX(Premissas!$C$108:$G$108,AM$7),'Ajuste Mensal'!AM$33),0)</f>
        <v>-60000</v>
      </c>
      <c r="AN27" s="60" t="n">
        <f aca="false">-IF(AN$4&gt;=Premissas!$B$107,IF('Ajuste Mensal'!AN$33="",INDEX(Premissas!$C$108:$G$108,AN$7),'Ajuste Mensal'!AN$33),0)</f>
        <v>-60000</v>
      </c>
      <c r="AO27" s="60" t="n">
        <f aca="false">-IF(AO$4&gt;=Premissas!$B$107,IF('Ajuste Mensal'!AO$33="",INDEX(Premissas!$C$108:$G$108,AO$7),'Ajuste Mensal'!AO$33),0)</f>
        <v>-60000</v>
      </c>
      <c r="AP27" s="60" t="n">
        <f aca="false">-IF(AP$4&gt;=Premissas!$B$107,IF('Ajuste Mensal'!AP$33="",INDEX(Premissas!$C$108:$G$108,AP$7),'Ajuste Mensal'!AP$33),0)</f>
        <v>-60000</v>
      </c>
      <c r="AQ27" s="60" t="n">
        <f aca="false">-IF(AQ$4&gt;=Premissas!$B$107,IF('Ajuste Mensal'!AQ$33="",INDEX(Premissas!$C$108:$G$108,AQ$7),'Ajuste Mensal'!AQ$33),0)</f>
        <v>-60000</v>
      </c>
      <c r="AR27" s="60" t="n">
        <f aca="false">-IF(AR$4&gt;=Premissas!$B$107,IF('Ajuste Mensal'!AR$33="",INDEX(Premissas!$C$108:$G$108,AR$7),'Ajuste Mensal'!AR$33),0)</f>
        <v>-60000</v>
      </c>
      <c r="AS27" s="60" t="n">
        <f aca="false">-IF(AS$4&gt;=Premissas!$B$107,IF('Ajuste Mensal'!AS$33="",INDEX(Premissas!$C$108:$G$108,AS$7),'Ajuste Mensal'!AS$33),0)</f>
        <v>-60000</v>
      </c>
      <c r="AT27" s="60" t="n">
        <f aca="false">-IF(AT$4&gt;=Premissas!$B$107,IF('Ajuste Mensal'!AT$33="",INDEX(Premissas!$C$108:$G$108,AT$7),'Ajuste Mensal'!AT$33),0)</f>
        <v>-60000</v>
      </c>
      <c r="AU27" s="60" t="n">
        <f aca="false">-IF(AU$4&gt;=Premissas!$B$107,IF('Ajuste Mensal'!AU$33="",INDEX(Premissas!$C$108:$G$108,AU$7),'Ajuste Mensal'!AU$33),0)</f>
        <v>-60000</v>
      </c>
      <c r="AV27" s="60" t="n">
        <f aca="false">-IF(AV$4&gt;=Premissas!$B$107,IF('Ajuste Mensal'!AV$33="",INDEX(Premissas!$C$108:$G$108,AV$7),'Ajuste Mensal'!AV$33),0)</f>
        <v>-60000</v>
      </c>
      <c r="AW27" s="60" t="n">
        <f aca="false">-IF(AW$4&gt;=Premissas!$B$107,IF('Ajuste Mensal'!AW$33="",INDEX(Premissas!$C$108:$G$108,AW$7),'Ajuste Mensal'!AW$33),0)</f>
        <v>-60000</v>
      </c>
      <c r="AX27" s="60" t="n">
        <f aca="false">-IF(AX$4&gt;=Premissas!$B$107,IF('Ajuste Mensal'!AX$33="",INDEX(Premissas!$C$108:$G$108,AX$7),'Ajuste Mensal'!AX$33),0)</f>
        <v>-110000</v>
      </c>
      <c r="AY27" s="60" t="n">
        <f aca="false">-IF(AY$4&gt;=Premissas!$B$107,IF('Ajuste Mensal'!AY$33="",INDEX(Premissas!$C$108:$G$108,AY$7),'Ajuste Mensal'!AY$33),0)</f>
        <v>-110000</v>
      </c>
      <c r="AZ27" s="60" t="n">
        <f aca="false">-IF(AZ$4&gt;=Premissas!$B$107,IF('Ajuste Mensal'!AZ$33="",INDEX(Premissas!$C$108:$G$108,AZ$7),'Ajuste Mensal'!AZ$33),0)</f>
        <v>-110000</v>
      </c>
      <c r="BA27" s="60" t="n">
        <f aca="false">-IF(BA$4&gt;=Premissas!$B$107,IF('Ajuste Mensal'!BA$33="",INDEX(Premissas!$C$108:$G$108,BA$7),'Ajuste Mensal'!BA$33),0)</f>
        <v>-110000</v>
      </c>
      <c r="BB27" s="60" t="n">
        <f aca="false">-IF(BB$4&gt;=Premissas!$B$107,IF('Ajuste Mensal'!BB$33="",INDEX(Premissas!$C$108:$G$108,BB$7),'Ajuste Mensal'!BB$33),0)</f>
        <v>-110000</v>
      </c>
      <c r="BC27" s="60" t="n">
        <f aca="false">-IF(BC$4&gt;=Premissas!$B$107,IF('Ajuste Mensal'!BC$33="",INDEX(Premissas!$C$108:$G$108,BC$7),'Ajuste Mensal'!BC$33),0)</f>
        <v>-110000</v>
      </c>
      <c r="BD27" s="60" t="n">
        <f aca="false">-IF(BD$4&gt;=Premissas!$B$107,IF('Ajuste Mensal'!BD$33="",INDEX(Premissas!$C$108:$G$108,BD$7),'Ajuste Mensal'!BD$33),0)</f>
        <v>-110000</v>
      </c>
      <c r="BE27" s="60" t="n">
        <f aca="false">-IF(BE$4&gt;=Premissas!$B$107,IF('Ajuste Mensal'!BE$33="",INDEX(Premissas!$C$108:$G$108,BE$7),'Ajuste Mensal'!BE$33),0)</f>
        <v>-110000</v>
      </c>
      <c r="BF27" s="60" t="n">
        <f aca="false">-IF(BF$4&gt;=Premissas!$B$107,IF('Ajuste Mensal'!BF$33="",INDEX(Premissas!$C$108:$G$108,BF$7),'Ajuste Mensal'!BF$33),0)</f>
        <v>-110000</v>
      </c>
      <c r="BG27" s="60" t="n">
        <f aca="false">-IF(BG$4&gt;=Premissas!$B$107,IF('Ajuste Mensal'!BG$33="",INDEX(Premissas!$C$108:$G$108,BG$7),'Ajuste Mensal'!BG$33),0)</f>
        <v>-110000</v>
      </c>
      <c r="BH27" s="60" t="n">
        <f aca="false">-IF(BH$4&gt;=Premissas!$B$107,IF('Ajuste Mensal'!BH$33="",INDEX(Premissas!$C$108:$G$108,BH$7),'Ajuste Mensal'!BH$33),0)</f>
        <v>-110000</v>
      </c>
      <c r="BI27" s="60" t="n">
        <f aca="false">-IF(BI$4&gt;=Premissas!$B$107,IF('Ajuste Mensal'!BI$33="",INDEX(Premissas!$C$108:$G$108,BI$7),'Ajuste Mensal'!BI$33),0)</f>
        <v>-110000</v>
      </c>
      <c r="BJ27" s="61" t="n">
        <f aca="false">SUM(B27:BI27)</f>
        <v>-2425500</v>
      </c>
      <c r="BK27" s="186" t="n">
        <f aca="false">IFERROR(BJ27/BJ$28,0)</f>
        <v>0.0540473358421485</v>
      </c>
    </row>
    <row r="28" customFormat="false" ht="15" hidden="false" customHeight="false" outlineLevel="0" collapsed="false">
      <c r="A28" s="62" t="s">
        <v>782</v>
      </c>
      <c r="B28" s="61" t="n">
        <f aca="false">SUM(B16:B27)</f>
        <v>0</v>
      </c>
      <c r="C28" s="61" t="n">
        <f aca="false">SUM(C16:C27)</f>
        <v>0</v>
      </c>
      <c r="D28" s="61" t="n">
        <f aca="false">SUM(D16:D27)</f>
        <v>0</v>
      </c>
      <c r="E28" s="61" t="n">
        <f aca="false">SUM(E16:E27)</f>
        <v>-1500</v>
      </c>
      <c r="F28" s="61" t="n">
        <f aca="false">SUM(F16:F27)</f>
        <v>-2100</v>
      </c>
      <c r="G28" s="61" t="n">
        <f aca="false">SUM(G16:G27)</f>
        <v>-2100</v>
      </c>
      <c r="H28" s="61" t="n">
        <f aca="false">SUM(H16:H27)</f>
        <v>-2100</v>
      </c>
      <c r="I28" s="61" t="n">
        <f aca="false">SUM(I16:I27)</f>
        <v>-2100</v>
      </c>
      <c r="J28" s="61" t="n">
        <f aca="false">SUM(J16:J27)</f>
        <v>-2100</v>
      </c>
      <c r="K28" s="61" t="n">
        <f aca="false">SUM(K16:K27)</f>
        <v>-63282.497325</v>
      </c>
      <c r="L28" s="61" t="n">
        <f aca="false">SUM(L16:L27)</f>
        <v>-41862.377425</v>
      </c>
      <c r="M28" s="61" t="n">
        <f aca="false">SUM(M16:M27)</f>
        <v>-47274.2027</v>
      </c>
      <c r="N28" s="61" t="n">
        <f aca="false">SUM(N16:N27)</f>
        <v>-141375.849115776</v>
      </c>
      <c r="O28" s="61" t="n">
        <f aca="false">SUM(O16:O27)</f>
        <v>-154438.426900423</v>
      </c>
      <c r="P28" s="61" t="n">
        <f aca="false">SUM(P16:P27)</f>
        <v>-169942.774865849</v>
      </c>
      <c r="Q28" s="61" t="n">
        <f aca="false">SUM(Q16:Q27)</f>
        <v>-189430.943408149</v>
      </c>
      <c r="R28" s="61" t="n">
        <f aca="false">SUM(R16:R27)</f>
        <v>-200504.300427943</v>
      </c>
      <c r="S28" s="61" t="n">
        <f aca="false">SUM(S16:S27)</f>
        <v>-210418.939959414</v>
      </c>
      <c r="T28" s="61" t="n">
        <f aca="false">SUM(T16:T27)</f>
        <v>-219918.816172416</v>
      </c>
      <c r="U28" s="61" t="n">
        <f aca="false">SUM(U16:U27)</f>
        <v>-228483.693914888</v>
      </c>
      <c r="V28" s="61" t="n">
        <f aca="false">SUM(V16:V27)</f>
        <v>-236262.99348988</v>
      </c>
      <c r="W28" s="61" t="n">
        <f aca="false">SUM(W16:W27)</f>
        <v>-257818.805669307</v>
      </c>
      <c r="X28" s="61" t="n">
        <f aca="false">SUM(X16:X27)</f>
        <v>-266701.074699051</v>
      </c>
      <c r="Y28" s="61" t="n">
        <f aca="false">SUM(Y16:Y27)</f>
        <v>-274676.431742197</v>
      </c>
      <c r="Z28" s="61" t="n">
        <f aca="false">SUM(Z16:Z27)</f>
        <v>-498746.863898739</v>
      </c>
      <c r="AA28" s="61" t="n">
        <f aca="false">SUM(AA16:AA27)</f>
        <v>-517280.720181511</v>
      </c>
      <c r="AB28" s="61" t="n">
        <f aca="false">SUM(AB16:AB27)</f>
        <v>-504010.050811766</v>
      </c>
      <c r="AC28" s="61" t="n">
        <f aca="false">SUM(AC16:AC27)</f>
        <v>-526771.470857126</v>
      </c>
      <c r="AD28" s="61" t="n">
        <f aca="false">SUM(AD16:AD27)</f>
        <v>-547385.300570338</v>
      </c>
      <c r="AE28" s="61" t="n">
        <f aca="false">SUM(AE16:AE27)</f>
        <v>-540135.404617556</v>
      </c>
      <c r="AF28" s="61" t="n">
        <f aca="false">SUM(AF16:AF27)</f>
        <v>-557803.363080352</v>
      </c>
      <c r="AG28" s="61" t="n">
        <f aca="false">SUM(AG16:AG27)</f>
        <v>-567421.093511343</v>
      </c>
      <c r="AH28" s="61" t="n">
        <f aca="false">SUM(AH16:AH27)</f>
        <v>-576354.294254313</v>
      </c>
      <c r="AI28" s="61" t="n">
        <f aca="false">SUM(AI16:AI27)</f>
        <v>-584642.143395301</v>
      </c>
      <c r="AJ28" s="61" t="n">
        <f aca="false">SUM(AJ16:AJ27)</f>
        <v>-592343.795277239</v>
      </c>
      <c r="AK28" s="61" t="n">
        <f aca="false">SUM(AK16:AK27)</f>
        <v>-599510.514820486</v>
      </c>
      <c r="AL28" s="61" t="n">
        <f aca="false">SUM(AL16:AL27)</f>
        <v>-989565.268253759</v>
      </c>
      <c r="AM28" s="61" t="n">
        <f aca="false">SUM(AM16:AM27)</f>
        <v>-1012775.75666568</v>
      </c>
      <c r="AN28" s="61" t="n">
        <f aca="false">SUM(AN16:AN27)</f>
        <v>-1034428.2777545</v>
      </c>
      <c r="AO28" s="61" t="n">
        <f aca="false">SUM(AO16:AO27)</f>
        <v>-1054640.24201081</v>
      </c>
      <c r="AP28" s="61" t="n">
        <f aca="false">SUM(AP16:AP27)</f>
        <v>-1073523.69137753</v>
      </c>
      <c r="AQ28" s="61" t="n">
        <f aca="false">SUM(AQ16:AQ27)</f>
        <v>-1091140.73432417</v>
      </c>
      <c r="AR28" s="61" t="n">
        <f aca="false">SUM(AR16:AR27)</f>
        <v>-1107597.26523566</v>
      </c>
      <c r="AS28" s="61" t="n">
        <f aca="false">SUM(AS16:AS27)</f>
        <v>-1122958.50285297</v>
      </c>
      <c r="AT28" s="61" t="n">
        <f aca="false">SUM(AT16:AT27)</f>
        <v>-1137282.84156522</v>
      </c>
      <c r="AU28" s="61" t="n">
        <f aca="false">SUM(AU16:AU27)</f>
        <v>-1150673.7073289</v>
      </c>
      <c r="AV28" s="61" t="n">
        <f aca="false">SUM(AV16:AV27)</f>
        <v>-1163173.28809071</v>
      </c>
      <c r="AW28" s="61" t="n">
        <f aca="false">SUM(AW16:AW27)</f>
        <v>-1174845.48576431</v>
      </c>
      <c r="AX28" s="61" t="n">
        <f aca="false">SUM(AX16:AX27)</f>
        <v>-1690972.15222492</v>
      </c>
      <c r="AY28" s="61" t="n">
        <f aca="false">SUM(AY16:AY27)</f>
        <v>-1730712.86016968</v>
      </c>
      <c r="AZ28" s="61" t="n">
        <f aca="false">SUM(AZ16:AZ27)</f>
        <v>-1767963.71468865</v>
      </c>
      <c r="BA28" s="61" t="n">
        <f aca="false">SUM(BA16:BA27)</f>
        <v>-1802883.12721694</v>
      </c>
      <c r="BB28" s="61" t="n">
        <f aca="false">SUM(BB16:BB27)</f>
        <v>-1835651.26760434</v>
      </c>
      <c r="BC28" s="61" t="n">
        <f aca="false">SUM(BC16:BC27)</f>
        <v>-1866349.03297436</v>
      </c>
      <c r="BD28" s="61" t="n">
        <f aca="false">SUM(BD16:BD27)</f>
        <v>-1895131.71321442</v>
      </c>
      <c r="BE28" s="61" t="n">
        <f aca="false">SUM(BE16:BE27)</f>
        <v>-1922105.84016544</v>
      </c>
      <c r="BF28" s="61" t="n">
        <f aca="false">SUM(BF16:BF27)</f>
        <v>-1947431.13323377</v>
      </c>
      <c r="BG28" s="61" t="n">
        <f aca="false">SUM(BG16:BG27)</f>
        <v>-1971130.08452847</v>
      </c>
      <c r="BH28" s="61" t="n">
        <f aca="false">SUM(BH16:BH27)</f>
        <v>-1993368.20209081</v>
      </c>
      <c r="BI28" s="61" t="n">
        <f aca="false">SUM(BI16:BI27)</f>
        <v>-2014226.3324173</v>
      </c>
      <c r="BJ28" s="61" t="n">
        <f aca="false">SUM(B28:BI28)</f>
        <v>-44877327.6648447</v>
      </c>
    </row>
    <row r="30" customFormat="false" ht="18" hidden="false" customHeight="true" outlineLevel="0" collapsed="false">
      <c r="A30" s="25" t="s">
        <v>783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</row>
    <row r="31" customFormat="false" ht="15" hidden="false" customHeight="false" outlineLevel="0" collapsed="false">
      <c r="A31" s="27" t="s">
        <v>784</v>
      </c>
      <c r="B31" s="67" t="n">
        <f aca="false">CHOOSE(Premissas!$B$6,Cenários!B28,Cenários!B74,Cenários!B120)</f>
        <v>0</v>
      </c>
      <c r="C31" s="67" t="n">
        <f aca="false">CHOOSE(Premissas!$B$6,Cenários!C28,Cenários!C74,Cenários!C120)</f>
        <v>0</v>
      </c>
      <c r="D31" s="67" t="n">
        <f aca="false">CHOOSE(Premissas!$B$6,Cenários!D28,Cenários!D74,Cenários!D120)</f>
        <v>0</v>
      </c>
      <c r="E31" s="67" t="n">
        <f aca="false">CHOOSE(Premissas!$B$6,Cenários!E28,Cenários!E74,Cenários!E120)</f>
        <v>0</v>
      </c>
      <c r="F31" s="67" t="n">
        <f aca="false">CHOOSE(Premissas!$B$6,Cenários!F28,Cenários!F74,Cenários!F120)</f>
        <v>0</v>
      </c>
      <c r="G31" s="67" t="n">
        <f aca="false">CHOOSE(Premissas!$B$6,Cenários!G28,Cenários!G74,Cenários!G120)</f>
        <v>0</v>
      </c>
      <c r="H31" s="67" t="n">
        <f aca="false">CHOOSE(Premissas!$B$6,Cenários!H28,Cenários!H74,Cenários!H120)</f>
        <v>0</v>
      </c>
      <c r="I31" s="67" t="n">
        <f aca="false">CHOOSE(Premissas!$B$6,Cenários!I28,Cenários!I74,Cenários!I120)</f>
        <v>0</v>
      </c>
      <c r="J31" s="67" t="n">
        <f aca="false">CHOOSE(Premissas!$B$6,Cenários!J28,Cenários!J74,Cenários!J120)</f>
        <v>0</v>
      </c>
      <c r="K31" s="67" t="n">
        <f aca="false">CHOOSE(Premissas!$B$6,Cenários!K28,Cenários!K74,Cenários!K120)</f>
        <v>3004.9</v>
      </c>
      <c r="L31" s="67" t="n">
        <f aca="false">CHOOSE(Premissas!$B$6,Cenários!L28,Cenários!L74,Cenários!L120)</f>
        <v>11522.1</v>
      </c>
      <c r="M31" s="67" t="n">
        <f aca="false">CHOOSE(Premissas!$B$6,Cenários!M28,Cenários!M74,Cenários!M120)</f>
        <v>24914.8</v>
      </c>
      <c r="N31" s="67" t="n">
        <f aca="false">CHOOSE(Premissas!$B$6,Cenários!N28,Cenários!N74,Cenários!N120)</f>
        <v>58839.76497568</v>
      </c>
      <c r="O31" s="67" t="n">
        <f aca="false">CHOOSE(Premissas!$B$6,Cenários!O28,Cenários!O74,Cenários!O120)</f>
        <v>93975.7764599088</v>
      </c>
      <c r="P31" s="67" t="n">
        <f aca="false">CHOOSE(Premissas!$B$6,Cenários!P28,Cenários!P74,Cenários!P120)</f>
        <v>135265.058196524</v>
      </c>
      <c r="Q31" s="67" t="n">
        <f aca="false">CHOOSE(Premissas!$B$6,Cenários!Q28,Cenários!Q74,Cenários!Q120)</f>
        <v>190179.092742545</v>
      </c>
      <c r="R31" s="67" t="n">
        <f aca="false">CHOOSE(Premissas!$B$6,Cenários!R28,Cenários!R74,Cenários!R120)</f>
        <v>214534.843329106</v>
      </c>
      <c r="S31" s="67" t="n">
        <f aca="false">CHOOSE(Premissas!$B$6,Cenários!S28,Cenários!S74,Cenários!S120)</f>
        <v>237053.878669957</v>
      </c>
      <c r="T31" s="67" t="n">
        <f aca="false">CHOOSE(Premissas!$B$6,Cenários!T28,Cenários!T74,Cenários!T120)</f>
        <v>257886.950039576</v>
      </c>
      <c r="U31" s="67" t="n">
        <f aca="false">CHOOSE(Premissas!$B$6,Cenários!U28,Cenários!U74,Cenários!U120)</f>
        <v>277163.6313262</v>
      </c>
      <c r="V31" s="67" t="n">
        <f aca="false">CHOOSE(Premissas!$B$6,Cenários!V28,Cenários!V74,Cenários!V120)</f>
        <v>294950.65224967</v>
      </c>
      <c r="W31" s="67" t="n">
        <f aca="false">CHOOSE(Premissas!$B$6,Cenários!W28,Cenários!W74,Cenários!W120)</f>
        <v>355893.802419695</v>
      </c>
      <c r="X31" s="67" t="n">
        <f aca="false">CHOOSE(Premissas!$B$6,Cenários!X28,Cenários!X74,Cenários!X120)</f>
        <v>373261.482896934</v>
      </c>
      <c r="Y31" s="67" t="n">
        <f aca="false">CHOOSE(Premissas!$B$6,Cenários!Y28,Cenários!Y74,Cenários!Y120)</f>
        <v>389337.515407084</v>
      </c>
      <c r="Z31" s="67" t="n">
        <f aca="false">CHOOSE(Premissas!$B$6,Cenários!Z28,Cenários!Z74,Cenários!Z120)</f>
        <v>517434.389333307</v>
      </c>
      <c r="AA31" s="67" t="n">
        <f aca="false">CHOOSE(Premissas!$B$6,Cenários!AA28,Cenários!AA74,Cenários!AA120)</f>
        <v>560922.864551517</v>
      </c>
      <c r="AB31" s="67" t="n">
        <f aca="false">CHOOSE(Premissas!$B$6,Cenários!AB28,Cenários!AB74,Cenários!AB120)</f>
        <v>601357.810108826</v>
      </c>
      <c r="AC31" s="67" t="n">
        <f aca="false">CHOOSE(Premissas!$B$6,Cenários!AC28,Cenários!AC74,Cenários!AC120)</f>
        <v>638901.127242402</v>
      </c>
      <c r="AD31" s="67" t="n">
        <f aca="false">CHOOSE(Premissas!$B$6,Cenários!AD28,Cenários!AD74,Cenários!AD120)</f>
        <v>673844.967225271</v>
      </c>
      <c r="AE31" s="67" t="n">
        <f aca="false">CHOOSE(Premissas!$B$6,Cenários!AE28,Cenários!AE74,Cenários!AE120)</f>
        <v>706284.609010059</v>
      </c>
      <c r="AF31" s="67" t="n">
        <f aca="false">CHOOSE(Premissas!$B$6,Cenários!AF28,Cenários!AF74,Cenários!AF120)</f>
        <v>781380.044133621</v>
      </c>
      <c r="AG31" s="67" t="n">
        <f aca="false">CHOOSE(Premissas!$B$6,Cenários!AG28,Cenários!AG74,Cenários!AG120)</f>
        <v>809443.708066562</v>
      </c>
      <c r="AH31" s="67" t="n">
        <f aca="false">CHOOSE(Premissas!$B$6,Cenários!AH28,Cenários!AH74,Cenários!AH120)</f>
        <v>835503.599802107</v>
      </c>
      <c r="AI31" s="67" t="n">
        <f aca="false">CHOOSE(Premissas!$B$6,Cenários!AI28,Cenários!AI74,Cenários!AI120)</f>
        <v>859674.824810381</v>
      </c>
      <c r="AJ31" s="67" t="n">
        <f aca="false">CHOOSE(Premissas!$B$6,Cenários!AJ28,Cenários!AJ74,Cenários!AJ120)</f>
        <v>882137.460431936</v>
      </c>
      <c r="AK31" s="67" t="n">
        <f aca="false">CHOOSE(Premissas!$B$6,Cenários!AK28,Cenários!AK74,Cenários!AK120)</f>
        <v>903049.443415664</v>
      </c>
      <c r="AL31" s="67" t="n">
        <f aca="false">CHOOSE(Premissas!$B$6,Cenários!AL28,Cenários!AL74,Cenários!AL120)</f>
        <v>1182846.3378495</v>
      </c>
      <c r="AM31" s="67" t="n">
        <f aca="false">CHOOSE(Premissas!$B$6,Cenários!AM28,Cenários!AM74,Cenários!AM120)</f>
        <v>1254039.84794326</v>
      </c>
      <c r="AN31" s="67" t="n">
        <f aca="false">CHOOSE(Premissas!$B$6,Cenários!AN28,Cenários!AN74,Cenários!AN120)</f>
        <v>1320450.03047551</v>
      </c>
      <c r="AO31" s="67" t="n">
        <f aca="false">CHOOSE(Premissas!$B$6,Cenários!AO28,Cenários!AO74,Cenários!AO120)</f>
        <v>1382436.61204769</v>
      </c>
      <c r="AP31" s="67" t="n">
        <f aca="false">CHOOSE(Premissas!$B$6,Cenários!AP28,Cenários!AP74,Cenários!AP120)</f>
        <v>1440358.54527198</v>
      </c>
      <c r="AQ31" s="67" t="n">
        <f aca="false">CHOOSE(Premissas!$B$6,Cenários!AQ28,Cenários!AQ74,Cenários!AQ120)</f>
        <v>1494390.81925134</v>
      </c>
      <c r="AR31" s="67" t="n">
        <f aca="false">CHOOSE(Premissas!$B$6,Cenários!AR28,Cenários!AR74,Cenários!AR120)</f>
        <v>1544867.22809399</v>
      </c>
      <c r="AS31" s="67" t="n">
        <f aca="false">CHOOSE(Premissas!$B$6,Cenários!AS28,Cenários!AS74,Cenários!AS120)</f>
        <v>1591983.73897624</v>
      </c>
      <c r="AT31" s="67" t="n">
        <f aca="false">CHOOSE(Premissas!$B$6,Cenários!AT28,Cenários!AT74,Cenários!AT120)</f>
        <v>1635912.56115915</v>
      </c>
      <c r="AU31" s="67" t="n">
        <f aca="false">CHOOSE(Premissas!$B$6,Cenários!AU28,Cenários!AU74,Cenários!AU120)</f>
        <v>1676984.79466908</v>
      </c>
      <c r="AV31" s="67" t="n">
        <f aca="false">CHOOSE(Premissas!$B$6,Cenários!AV28,Cenários!AV74,Cenários!AV120)</f>
        <v>1715325.54334522</v>
      </c>
      <c r="AW31" s="67" t="n">
        <f aca="false">CHOOSE(Premissas!$B$6,Cenários!AW28,Cenários!AW74,Cenários!AW120)</f>
        <v>1751127.39236517</v>
      </c>
      <c r="AX31" s="67" t="n">
        <f aca="false">CHOOSE(Premissas!$B$6,Cenários!AX28,Cenários!AX74,Cenários!AX120)</f>
        <v>2205251.44590653</v>
      </c>
      <c r="AY31" s="67" t="n">
        <f aca="false">CHOOSE(Premissas!$B$6,Cenários!AY28,Cenários!AY74,Cenários!AY120)</f>
        <v>2330993.77746488</v>
      </c>
      <c r="AZ31" s="67" t="n">
        <f aca="false">CHOOSE(Premissas!$B$6,Cenários!AZ28,Cenários!AZ74,Cenários!AZ120)</f>
        <v>2448855.15802615</v>
      </c>
      <c r="BA31" s="67" t="n">
        <f aca="false">CHOOSE(Premissas!$B$6,Cenários!BA28,Cenários!BA74,Cenários!BA120)</f>
        <v>2559341.64027266</v>
      </c>
      <c r="BB31" s="67" t="n">
        <f aca="false">CHOOSE(Premissas!$B$6,Cenários!BB28,Cenários!BB74,Cenários!BB120)</f>
        <v>2663028.69340257</v>
      </c>
      <c r="BC31" s="67" t="n">
        <f aca="false">CHOOSE(Premissas!$B$6,Cenários!BC28,Cenários!BC74,Cenários!BC120)</f>
        <v>2760156.58074686</v>
      </c>
      <c r="BD31" s="67" t="n">
        <f aca="false">CHOOSE(Premissas!$B$6,Cenários!BD28,Cenários!BD74,Cenários!BD120)</f>
        <v>2851226.13384323</v>
      </c>
      <c r="BE31" s="67" t="n">
        <f aca="false">CHOOSE(Premissas!$B$6,Cenários!BE28,Cenários!BE74,Cenários!BE120)</f>
        <v>2936569.78834139</v>
      </c>
      <c r="BF31" s="67" t="n">
        <f aca="false">CHOOSE(Premissas!$B$6,Cenários!BF28,Cenários!BF74,Cenários!BF120)</f>
        <v>3016709.31792725</v>
      </c>
      <c r="BG31" s="67" t="n">
        <f aca="false">CHOOSE(Premissas!$B$6,Cenários!BG28,Cenários!BG74,Cenários!BG120)</f>
        <v>3091688.35391033</v>
      </c>
      <c r="BH31" s="67" t="n">
        <f aca="false">CHOOSE(Premissas!$B$6,Cenários!BH28,Cenários!BH74,Cenários!BH120)</f>
        <v>3162049.85925373</v>
      </c>
      <c r="BI31" s="67" t="n">
        <f aca="false">CHOOSE(Premissas!$B$6,Cenários!BI28,Cenários!BI74,Cenários!BI120)</f>
        <v>3228049.74298386</v>
      </c>
      <c r="BJ31" s="61" t="n">
        <f aca="false">SUM(B31:BI31)</f>
        <v>62932363.0403721</v>
      </c>
    </row>
    <row r="32" customFormat="false" ht="15" hidden="false" customHeight="false" outlineLevel="0" collapsed="false">
      <c r="A32" s="62" t="s">
        <v>785</v>
      </c>
      <c r="B32" s="61" t="n">
        <f aca="false">B31+B13+B28</f>
        <v>0</v>
      </c>
      <c r="C32" s="61" t="n">
        <f aca="false">C31+C13+C28</f>
        <v>0</v>
      </c>
      <c r="D32" s="61" t="n">
        <f aca="false">D31+D13+D28</f>
        <v>0</v>
      </c>
      <c r="E32" s="61" t="n">
        <f aca="false">E31+E13+E28</f>
        <v>-1500</v>
      </c>
      <c r="F32" s="61" t="n">
        <f aca="false">F31+F13+F28</f>
        <v>-8100</v>
      </c>
      <c r="G32" s="61" t="n">
        <f aca="false">G31+G13+G28</f>
        <v>-2100</v>
      </c>
      <c r="H32" s="61" t="n">
        <f aca="false">H31+H13+H28</f>
        <v>-2100</v>
      </c>
      <c r="I32" s="61" t="n">
        <f aca="false">I31+I13+I28</f>
        <v>-11227.82</v>
      </c>
      <c r="J32" s="61" t="n">
        <f aca="false">J31+J13+J28</f>
        <v>-12600</v>
      </c>
      <c r="K32" s="61" t="n">
        <f aca="false">K31+K13+K28</f>
        <v>-70777.597325</v>
      </c>
      <c r="L32" s="61" t="n">
        <f aca="false">L31+L13+L28</f>
        <v>-30340.277425</v>
      </c>
      <c r="M32" s="61" t="n">
        <f aca="false">M31+M13+M28</f>
        <v>-22359.4027</v>
      </c>
      <c r="N32" s="61" t="n">
        <f aca="false">N31+N13+N28</f>
        <v>-82536.084140096</v>
      </c>
      <c r="O32" s="61" t="n">
        <f aca="false">O31+O13+O28</f>
        <v>-60462.6504405144</v>
      </c>
      <c r="P32" s="61" t="n">
        <f aca="false">P31+P13+P28</f>
        <v>-46677.7166693253</v>
      </c>
      <c r="Q32" s="61" t="n">
        <f aca="false">Q31+Q13+Q28</f>
        <v>748.149334396294</v>
      </c>
      <c r="R32" s="61" t="n">
        <f aca="false">R31+R13+R28</f>
        <v>14030.5429011624</v>
      </c>
      <c r="S32" s="61" t="n">
        <f aca="false">S31+S13+S28</f>
        <v>20634.9387105428</v>
      </c>
      <c r="T32" s="61" t="n">
        <f aca="false">T31+T13+T28</f>
        <v>12968.1338671606</v>
      </c>
      <c r="U32" s="61" t="n">
        <f aca="false">U31+U13+U28</f>
        <v>48679.9374113119</v>
      </c>
      <c r="V32" s="61" t="n">
        <f aca="false">V31+V13+V28</f>
        <v>58687.6587597899</v>
      </c>
      <c r="W32" s="61" t="n">
        <f aca="false">W31+W13+W28</f>
        <v>98074.9967503871</v>
      </c>
      <c r="X32" s="61" t="n">
        <f aca="false">X31+X13+X28</f>
        <v>106560.408197883</v>
      </c>
      <c r="Y32" s="61" t="n">
        <f aca="false">Y31+Y13+Y28</f>
        <v>114661.083664888</v>
      </c>
      <c r="Z32" s="61" t="n">
        <f aca="false">Z31+Z13+Z28</f>
        <v>18687.5254345684</v>
      </c>
      <c r="AA32" s="61" t="n">
        <f aca="false">AA31+AA13+AA28</f>
        <v>43642.1443700059</v>
      </c>
      <c r="AB32" s="61" t="n">
        <f aca="false">AB31+AB13+AB28</f>
        <v>97347.75929706</v>
      </c>
      <c r="AC32" s="61" t="n">
        <f aca="false">AC31+AC13+AC28</f>
        <v>112129.656385276</v>
      </c>
      <c r="AD32" s="61" t="n">
        <f aca="false">AD31+AD13+AD28</f>
        <v>126459.666654933</v>
      </c>
      <c r="AE32" s="61" t="n">
        <f aca="false">AE31+AE13+AE28</f>
        <v>151149.204392503</v>
      </c>
      <c r="AF32" s="61" t="n">
        <f aca="false">AF31+AF13+AF28</f>
        <v>223576.681053269</v>
      </c>
      <c r="AG32" s="61" t="n">
        <f aca="false">AG31+AG13+AG28</f>
        <v>242022.614555219</v>
      </c>
      <c r="AH32" s="61" t="n">
        <f aca="false">AH31+AH13+AH28</f>
        <v>259149.305547794</v>
      </c>
      <c r="AI32" s="61" t="n">
        <f aca="false">AI31+AI13+AI28</f>
        <v>275032.681415081</v>
      </c>
      <c r="AJ32" s="61" t="n">
        <f aca="false">AJ31+AJ13+AJ28</f>
        <v>289793.665154697</v>
      </c>
      <c r="AK32" s="61" t="n">
        <f aca="false">AK31+AK13+AK28</f>
        <v>303538.928595178</v>
      </c>
      <c r="AL32" s="61" t="n">
        <f aca="false">AL31+AL13+AL28</f>
        <v>193281.069595745</v>
      </c>
      <c r="AM32" s="61" t="n">
        <f aca="false">AM31+AM13+AM28</f>
        <v>241264.091277586</v>
      </c>
      <c r="AN32" s="61" t="n">
        <f aca="false">AN31+AN13+AN28</f>
        <v>286021.752721011</v>
      </c>
      <c r="AO32" s="61" t="n">
        <f aca="false">AO31+AO13+AO28</f>
        <v>327796.370036884</v>
      </c>
      <c r="AP32" s="61" t="n">
        <f aca="false">AP31+AP13+AP28</f>
        <v>366834.853894451</v>
      </c>
      <c r="AQ32" s="61" t="n">
        <f aca="false">AQ31+AQ13+AQ28</f>
        <v>378250.084927172</v>
      </c>
      <c r="AR32" s="61" t="n">
        <f aca="false">AR31+AR13+AR28</f>
        <v>437269.962858331</v>
      </c>
      <c r="AS32" s="61" t="n">
        <f aca="false">AS31+AS13+AS28</f>
        <v>469025.236123271</v>
      </c>
      <c r="AT32" s="61" t="n">
        <f aca="false">AT31+AT13+AT28</f>
        <v>498629.719593925</v>
      </c>
      <c r="AU32" s="61" t="n">
        <f aca="false">AU31+AU13+AU28</f>
        <v>526311.087340185</v>
      </c>
      <c r="AV32" s="61" t="n">
        <f aca="false">AV31+AV13+AV28</f>
        <v>552152.255254512</v>
      </c>
      <c r="AW32" s="61" t="n">
        <f aca="false">AW31+AW13+AW28</f>
        <v>576281.906600859</v>
      </c>
      <c r="AX32" s="61" t="n">
        <f aca="false">AX31+AX13+AX28</f>
        <v>514279.293681611</v>
      </c>
      <c r="AY32" s="61" t="n">
        <f aca="false">AY31+AY13+AY28</f>
        <v>600280.917295195</v>
      </c>
      <c r="AZ32" s="61" t="n">
        <f aca="false">AZ31+AZ13+AZ28</f>
        <v>680891.443337492</v>
      </c>
      <c r="BA32" s="61" t="n">
        <f aca="false">BA31+BA13+BA28</f>
        <v>756458.513055719</v>
      </c>
      <c r="BB32" s="61" t="n">
        <f aca="false">BB31+BB13+BB28</f>
        <v>827377.425798232</v>
      </c>
      <c r="BC32" s="61" t="n">
        <f aca="false">BC31+BC13+BC28</f>
        <v>863807.547772502</v>
      </c>
      <c r="BD32" s="61" t="n">
        <f aca="false">BD31+BD13+BD28</f>
        <v>956094.42062881</v>
      </c>
      <c r="BE32" s="61" t="n">
        <f aca="false">BE31+BE13+BE28</f>
        <v>1014463.94817595</v>
      </c>
      <c r="BF32" s="61" t="n">
        <f aca="false">BF31+BF13+BF28</f>
        <v>1069278.18469349</v>
      </c>
      <c r="BG32" s="61" t="n">
        <f aca="false">BG31+BG13+BG28</f>
        <v>1120558.26938187</v>
      </c>
      <c r="BH32" s="61" t="n">
        <f aca="false">BH31+BH13+BH28</f>
        <v>1168681.65716291</v>
      </c>
      <c r="BI32" s="61" t="n">
        <f aca="false">BI31+BI13+BI28</f>
        <v>1213823.41056656</v>
      </c>
      <c r="BJ32" s="61" t="n">
        <f aca="false">SUM(B32:BI32)</f>
        <v>17905907.5555274</v>
      </c>
      <c r="BK32" s="29" t="s">
        <v>786</v>
      </c>
    </row>
    <row r="33" customFormat="false" ht="15" hidden="false" customHeight="false" outlineLevel="0" collapsed="false">
      <c r="A33" s="27" t="s">
        <v>787</v>
      </c>
      <c r="B33" s="60" t="n">
        <f aca="false">B32/(1+Premissas!$B$19)^B$5</f>
        <v>0</v>
      </c>
      <c r="C33" s="60" t="n">
        <f aca="false">C32/(1+Premissas!$B$19)^C$5</f>
        <v>0</v>
      </c>
      <c r="D33" s="60" t="n">
        <f aca="false">D32/(1+Premissas!$B$19)^D$5</f>
        <v>0</v>
      </c>
      <c r="E33" s="60" t="n">
        <f aca="false">E32/(1+Premissas!$B$19)^E$5</f>
        <v>-1392.47665008383</v>
      </c>
      <c r="F33" s="60" t="n">
        <f aca="false">F32/(1+Premissas!$B$19)^F$5</f>
        <v>-7380.84094984538</v>
      </c>
      <c r="G33" s="60" t="n">
        <f aca="false">G32/(1+Premissas!$B$19)^G$5</f>
        <v>-1878.29710109982</v>
      </c>
      <c r="H33" s="60" t="n">
        <f aca="false">H32/(1+Premissas!$B$19)^H$5</f>
        <v>-1843.69235056949</v>
      </c>
      <c r="I33" s="60" t="n">
        <f aca="false">I32/(1+Premissas!$B$19)^I$5</f>
        <v>-9675.84196057351</v>
      </c>
      <c r="J33" s="60" t="n">
        <f aca="false">J32/(1+Premissas!$B$19)^J$5</f>
        <v>-10658.3023354809</v>
      </c>
      <c r="K33" s="60" t="n">
        <f aca="false">K32/(1+Premissas!$B$19)^K$5</f>
        <v>-58767.5345686028</v>
      </c>
      <c r="L33" s="60" t="n">
        <f aca="false">L32/(1+Premissas!$B$19)^L$5</f>
        <v>-24727.7937086799</v>
      </c>
      <c r="M33" s="60" t="n">
        <f aca="false">M32/(1+Premissas!$B$19)^M$5</f>
        <v>-17887.52216</v>
      </c>
      <c r="N33" s="60" t="n">
        <f aca="false">N32/(1+Premissas!$B$19)^N$5</f>
        <v>-64812.3864476827</v>
      </c>
      <c r="O33" s="60" t="n">
        <f aca="false">O32/(1+Premissas!$B$19)^O$5</f>
        <v>-46604.2474096753</v>
      </c>
      <c r="P33" s="60" t="n">
        <f aca="false">P32/(1+Premissas!$B$19)^P$5</f>
        <v>-35316.0470939536</v>
      </c>
      <c r="Q33" s="60" t="n">
        <f aca="false">Q32/(1+Premissas!$B$19)^Q$5</f>
        <v>555.616255425387</v>
      </c>
      <c r="R33" s="60" t="n">
        <f aca="false">R32/(1+Premissas!$B$19)^R$5</f>
        <v>10227.8721573789</v>
      </c>
      <c r="S33" s="60" t="n">
        <f aca="false">S32/(1+Premissas!$B$19)^S$5</f>
        <v>14765.160213861</v>
      </c>
      <c r="T33" s="60" t="n">
        <f aca="false">T32/(1+Premissas!$B$19)^T$5</f>
        <v>9108.28541411244</v>
      </c>
      <c r="U33" s="60" t="n">
        <f aca="false">U32/(1+Premissas!$B$19)^U$5</f>
        <v>33560.8786776035</v>
      </c>
      <c r="V33" s="60" t="n">
        <f aca="false">V32/(1+Premissas!$B$19)^V$5</f>
        <v>39714.9720903729</v>
      </c>
      <c r="W33" s="60" t="n">
        <f aca="false">W32/(1+Premissas!$B$19)^W$5</f>
        <v>65146.3285522765</v>
      </c>
      <c r="X33" s="60" t="n">
        <f aca="false">X32/(1+Premissas!$B$19)^X$5</f>
        <v>69478.700000515</v>
      </c>
      <c r="Y33" s="60" t="n">
        <f aca="false">Y32/(1+Premissas!$B$19)^Y$5</f>
        <v>73383.093545528</v>
      </c>
      <c r="Z33" s="60" t="n">
        <f aca="false">Z32/(1+Premissas!$B$19)^Z$5</f>
        <v>11739.6712755143</v>
      </c>
      <c r="AA33" s="60" t="n">
        <f aca="false">AA32/(1+Premissas!$B$19)^AA$5</f>
        <v>26911.2819751038</v>
      </c>
      <c r="AB33" s="60" t="n">
        <f aca="false">AB32/(1+Premissas!$B$19)^AB$5</f>
        <v>58922.1289666913</v>
      </c>
      <c r="AC33" s="60" t="n">
        <f aca="false">AC32/(1+Premissas!$B$19)^AC$5</f>
        <v>66618.8494073256</v>
      </c>
      <c r="AD33" s="60" t="n">
        <f aca="false">AD32/(1+Premissas!$B$19)^AD$5</f>
        <v>73748.4393995473</v>
      </c>
      <c r="AE33" s="60" t="n">
        <f aca="false">AE32/(1+Premissas!$B$19)^AE$5</f>
        <v>86522.8533162616</v>
      </c>
      <c r="AF33" s="60" t="n">
        <f aca="false">AF32/(1+Premissas!$B$19)^AF$5</f>
        <v>125624.873637676</v>
      </c>
      <c r="AG33" s="60" t="n">
        <f aca="false">AG32/(1+Premissas!$B$19)^AG$5</f>
        <v>133484.010641914</v>
      </c>
      <c r="AH33" s="60" t="n">
        <f aca="false">AH32/(1+Premissas!$B$19)^AH$5</f>
        <v>140296.718656929</v>
      </c>
      <c r="AI33" s="60" t="n">
        <f aca="false">AI32/(1+Premissas!$B$19)^AI$5</f>
        <v>146152.393737477</v>
      </c>
      <c r="AJ33" s="60" t="n">
        <f aca="false">AJ32/(1+Premissas!$B$19)^AJ$5</f>
        <v>151159.234194697</v>
      </c>
      <c r="AK33" s="60" t="n">
        <f aca="false">AK32/(1+Premissas!$B$19)^AK$5</f>
        <v>155411.93144073</v>
      </c>
      <c r="AL33" s="60" t="n">
        <f aca="false">AL32/(1+Premissas!$B$19)^AL$5</f>
        <v>97136.7227310476</v>
      </c>
      <c r="AM33" s="60" t="n">
        <f aca="false">AM32/(1+Premissas!$B$19)^AM$5</f>
        <v>119017.542965658</v>
      </c>
      <c r="AN33" s="60" t="n">
        <f aca="false">AN32/(1+Premissas!$B$19)^AN$5</f>
        <v>138497.368385677</v>
      </c>
      <c r="AO33" s="60" t="n">
        <f aca="false">AO32/(1+Premissas!$B$19)^AO$5</f>
        <v>155801.187416269</v>
      </c>
      <c r="AP33" s="60" t="n">
        <f aca="false">AP32/(1+Premissas!$B$19)^AP$5</f>
        <v>171143.882995655</v>
      </c>
      <c r="AQ33" s="60" t="n">
        <f aca="false">AQ32/(1+Premissas!$B$19)^AQ$5</f>
        <v>173218.386409927</v>
      </c>
      <c r="AR33" s="60" t="n">
        <f aca="false">AR32/(1+Premissas!$B$19)^AR$5</f>
        <v>196557.113455106</v>
      </c>
      <c r="AS33" s="60" t="n">
        <f aca="false">AS32/(1+Premissas!$B$19)^AS$5</f>
        <v>206947.172189054</v>
      </c>
      <c r="AT33" s="60" t="n">
        <f aca="false">AT32/(1+Premissas!$B$19)^AT$5</f>
        <v>215956.167309738</v>
      </c>
      <c r="AU33" s="60" t="n">
        <f aca="false">AU32/(1+Premissas!$B$19)^AU$5</f>
        <v>223745.410529599</v>
      </c>
      <c r="AV33" s="60" t="n">
        <f aca="false">AV32/(1+Premissas!$B$19)^AV$5</f>
        <v>230406.450102608</v>
      </c>
      <c r="AW33" s="60" t="n">
        <f aca="false">AW32/(1+Premissas!$B$19)^AW$5</f>
        <v>236045.068943711</v>
      </c>
      <c r="AX33" s="60" t="n">
        <f aca="false">AX32/(1+Premissas!$B$19)^AX$5</f>
        <v>206767.916842155</v>
      </c>
      <c r="AY33" s="60" t="n">
        <f aca="false">AY32/(1+Premissas!$B$19)^AY$5</f>
        <v>236898.775900955</v>
      </c>
      <c r="AZ33" s="60" t="n">
        <f aca="false">AZ32/(1+Premissas!$B$19)^AZ$5</f>
        <v>263760.84241551</v>
      </c>
      <c r="BA33" s="60" t="n">
        <f aca="false">BA32/(1+Premissas!$B$19)^BA$5</f>
        <v>287634.996206857</v>
      </c>
      <c r="BB33" s="60" t="n">
        <f aca="false">BB32/(1+Premissas!$B$19)^BB$5</f>
        <v>308805.085123785</v>
      </c>
      <c r="BC33" s="60" t="n">
        <f aca="false">BC32/(1+Premissas!$B$19)^BC$5</f>
        <v>316462.267809252</v>
      </c>
      <c r="BD33" s="60" t="n">
        <f aca="false">BD32/(1+Premissas!$B$19)^BD$5</f>
        <v>343819.014287457</v>
      </c>
      <c r="BE33" s="60" t="n">
        <f aca="false">BE32/(1+Premissas!$B$19)^BE$5</f>
        <v>358088.101353382</v>
      </c>
      <c r="BF33" s="60" t="n">
        <f aca="false">BF32/(1+Premissas!$B$19)^BF$5</f>
        <v>370482.880550922</v>
      </c>
      <c r="BG33" s="60" t="n">
        <f aca="false">BG32/(1+Premissas!$B$19)^BG$5</f>
        <v>381097.455152987</v>
      </c>
      <c r="BH33" s="60" t="n">
        <f aca="false">BH32/(1+Premissas!$B$19)^BH$5</f>
        <v>390141.36316849</v>
      </c>
      <c r="BI33" s="60" t="n">
        <f aca="false">BI32/(1+Premissas!$B$19)^BI$5</f>
        <v>397745.655174449</v>
      </c>
      <c r="BJ33" s="61" t="n">
        <f aca="false">SUM(B33:BI33)</f>
        <v>7237765.13824095</v>
      </c>
    </row>
    <row r="34" customFormat="false" ht="15" hidden="false" customHeight="false" outlineLevel="0" collapsed="false">
      <c r="A34" s="27" t="s">
        <v>788</v>
      </c>
      <c r="B34" s="60" t="n">
        <f aca="false">B33</f>
        <v>0</v>
      </c>
      <c r="C34" s="60" t="n">
        <f aca="false">B34+C33</f>
        <v>0</v>
      </c>
      <c r="D34" s="60" t="n">
        <f aca="false">C34+D33</f>
        <v>0</v>
      </c>
      <c r="E34" s="60" t="n">
        <f aca="false">D34+E33</f>
        <v>-1392.47665008383</v>
      </c>
      <c r="F34" s="60" t="n">
        <f aca="false">E34+F33</f>
        <v>-8773.31759992921</v>
      </c>
      <c r="G34" s="60" t="n">
        <f aca="false">F34+G33</f>
        <v>-10651.614701029</v>
      </c>
      <c r="H34" s="60" t="n">
        <f aca="false">G34+H33</f>
        <v>-12495.3070515985</v>
      </c>
      <c r="I34" s="60" t="n">
        <f aca="false">H34+I33</f>
        <v>-22171.149012172</v>
      </c>
      <c r="J34" s="60" t="n">
        <f aca="false">I34+J33</f>
        <v>-32829.4513476529</v>
      </c>
      <c r="K34" s="60" t="n">
        <f aca="false">J34+K33</f>
        <v>-91596.9859162557</v>
      </c>
      <c r="L34" s="60" t="n">
        <f aca="false">K34+L33</f>
        <v>-116324.779624936</v>
      </c>
      <c r="M34" s="60" t="n">
        <f aca="false">L34+M33</f>
        <v>-134212.301784936</v>
      </c>
      <c r="N34" s="60" t="n">
        <f aca="false">M34+N33</f>
        <v>-199024.688232618</v>
      </c>
      <c r="O34" s="60" t="n">
        <f aca="false">N34+O33</f>
        <v>-245628.935642294</v>
      </c>
      <c r="P34" s="60" t="n">
        <f aca="false">O34+P33</f>
        <v>-280944.982736247</v>
      </c>
      <c r="Q34" s="60" t="n">
        <f aca="false">P34+Q33</f>
        <v>-280389.366480822</v>
      </c>
      <c r="R34" s="60" t="n">
        <f aca="false">Q34+R33</f>
        <v>-270161.494323443</v>
      </c>
      <c r="S34" s="60" t="n">
        <f aca="false">R34+S33</f>
        <v>-255396.334109582</v>
      </c>
      <c r="T34" s="60" t="n">
        <f aca="false">S34+T33</f>
        <v>-246288.04869547</v>
      </c>
      <c r="U34" s="60" t="n">
        <f aca="false">T34+U33</f>
        <v>-212727.170017866</v>
      </c>
      <c r="V34" s="60" t="n">
        <f aca="false">U34+V33</f>
        <v>-173012.197927493</v>
      </c>
      <c r="W34" s="60" t="n">
        <f aca="false">V34+W33</f>
        <v>-107865.869375217</v>
      </c>
      <c r="X34" s="60" t="n">
        <f aca="false">W34+X33</f>
        <v>-38387.1693747016</v>
      </c>
      <c r="Y34" s="60" t="n">
        <f aca="false">X34+Y33</f>
        <v>34995.9241708264</v>
      </c>
      <c r="Z34" s="60" t="n">
        <f aca="false">Y34+Z33</f>
        <v>46735.5954463407</v>
      </c>
      <c r="AA34" s="60" t="n">
        <f aca="false">Z34+AA33</f>
        <v>73646.8774214445</v>
      </c>
      <c r="AB34" s="60" t="n">
        <f aca="false">AA34+AB33</f>
        <v>132569.006388136</v>
      </c>
      <c r="AC34" s="60" t="n">
        <f aca="false">AB34+AC33</f>
        <v>199187.855795461</v>
      </c>
      <c r="AD34" s="60" t="n">
        <f aca="false">AC34+AD33</f>
        <v>272936.295195009</v>
      </c>
      <c r="AE34" s="60" t="n">
        <f aca="false">AD34+AE33</f>
        <v>359459.14851127</v>
      </c>
      <c r="AF34" s="60" t="n">
        <f aca="false">AE34+AF33</f>
        <v>485084.022148947</v>
      </c>
      <c r="AG34" s="60" t="n">
        <f aca="false">AF34+AG33</f>
        <v>618568.032790861</v>
      </c>
      <c r="AH34" s="60" t="n">
        <f aca="false">AG34+AH33</f>
        <v>758864.75144779</v>
      </c>
      <c r="AI34" s="60" t="n">
        <f aca="false">AH34+AI33</f>
        <v>905017.145185267</v>
      </c>
      <c r="AJ34" s="60" t="n">
        <f aca="false">AI34+AJ33</f>
        <v>1056176.37937996</v>
      </c>
      <c r="AK34" s="60" t="n">
        <f aca="false">AJ34+AK33</f>
        <v>1211588.31082069</v>
      </c>
      <c r="AL34" s="60" t="n">
        <f aca="false">AK34+AL33</f>
        <v>1308725.03355174</v>
      </c>
      <c r="AM34" s="60" t="n">
        <f aca="false">AL34+AM33</f>
        <v>1427742.5765174</v>
      </c>
      <c r="AN34" s="60" t="n">
        <f aca="false">AM34+AN33</f>
        <v>1566239.94490308</v>
      </c>
      <c r="AO34" s="60" t="n">
        <f aca="false">AN34+AO33</f>
        <v>1722041.13231935</v>
      </c>
      <c r="AP34" s="60" t="n">
        <f aca="false">AO34+AP33</f>
        <v>1893185.015315</v>
      </c>
      <c r="AQ34" s="60" t="n">
        <f aca="false">AP34+AQ33</f>
        <v>2066403.40172493</v>
      </c>
      <c r="AR34" s="60" t="n">
        <f aca="false">AQ34+AR33</f>
        <v>2262960.51518003</v>
      </c>
      <c r="AS34" s="60" t="n">
        <f aca="false">AR34+AS33</f>
        <v>2469907.68736909</v>
      </c>
      <c r="AT34" s="60" t="n">
        <f aca="false">AS34+AT33</f>
        <v>2685863.85467883</v>
      </c>
      <c r="AU34" s="60" t="n">
        <f aca="false">AT34+AU33</f>
        <v>2909609.26520843</v>
      </c>
      <c r="AV34" s="60" t="n">
        <f aca="false">AU34+AV33</f>
        <v>3140015.71531103</v>
      </c>
      <c r="AW34" s="60" t="n">
        <f aca="false">AV34+AW33</f>
        <v>3376060.78425474</v>
      </c>
      <c r="AX34" s="60" t="n">
        <f aca="false">AW34+AX33</f>
        <v>3582828.7010969</v>
      </c>
      <c r="AY34" s="60" t="n">
        <f aca="false">AX34+AY33</f>
        <v>3819727.47699785</v>
      </c>
      <c r="AZ34" s="60" t="n">
        <f aca="false">AY34+AZ33</f>
        <v>4083488.31941337</v>
      </c>
      <c r="BA34" s="60" t="n">
        <f aca="false">AZ34+BA33</f>
        <v>4371123.31562022</v>
      </c>
      <c r="BB34" s="60" t="n">
        <f aca="false">BA34+BB33</f>
        <v>4679928.40074401</v>
      </c>
      <c r="BC34" s="60" t="n">
        <f aca="false">BB34+BC33</f>
        <v>4996390.66855326</v>
      </c>
      <c r="BD34" s="60" t="n">
        <f aca="false">BC34+BD33</f>
        <v>5340209.68284072</v>
      </c>
      <c r="BE34" s="60" t="n">
        <f aca="false">BD34+BE33</f>
        <v>5698297.7841941</v>
      </c>
      <c r="BF34" s="60" t="n">
        <f aca="false">BE34+BF33</f>
        <v>6068780.66474502</v>
      </c>
      <c r="BG34" s="60" t="n">
        <f aca="false">BF34+BG33</f>
        <v>6449878.11989801</v>
      </c>
      <c r="BH34" s="60" t="n">
        <f aca="false">BG34+BH33</f>
        <v>6840019.4830665</v>
      </c>
      <c r="BI34" s="60" t="n">
        <f aca="false">BH34+BI33</f>
        <v>7237765.13824095</v>
      </c>
    </row>
    <row r="35" customFormat="false" ht="15" hidden="false" customHeight="false" outlineLevel="0" collapsed="false">
      <c r="A35" s="27" t="s">
        <v>789</v>
      </c>
      <c r="B35" s="60" t="n">
        <f aca="false">B32</f>
        <v>0</v>
      </c>
      <c r="C35" s="60" t="n">
        <f aca="false">B35+C32</f>
        <v>0</v>
      </c>
      <c r="D35" s="60" t="n">
        <f aca="false">C35+D32</f>
        <v>0</v>
      </c>
      <c r="E35" s="60" t="n">
        <f aca="false">D35+E32</f>
        <v>-1500</v>
      </c>
      <c r="F35" s="60" t="n">
        <f aca="false">E35+F32</f>
        <v>-9600</v>
      </c>
      <c r="G35" s="60" t="n">
        <f aca="false">F35+G32</f>
        <v>-11700</v>
      </c>
      <c r="H35" s="60" t="n">
        <f aca="false">G35+H32</f>
        <v>-13800</v>
      </c>
      <c r="I35" s="60" t="n">
        <f aca="false">H35+I32</f>
        <v>-25027.82</v>
      </c>
      <c r="J35" s="60" t="n">
        <f aca="false">I35+J32</f>
        <v>-37627.82</v>
      </c>
      <c r="K35" s="60" t="n">
        <f aca="false">J35+K32</f>
        <v>-108405.417325</v>
      </c>
      <c r="L35" s="60" t="n">
        <f aca="false">K35+L32</f>
        <v>-138745.69475</v>
      </c>
      <c r="M35" s="60" t="n">
        <f aca="false">L35+M32</f>
        <v>-161105.09745</v>
      </c>
      <c r="N35" s="60" t="n">
        <f aca="false">M35+N32</f>
        <v>-243641.181590096</v>
      </c>
      <c r="O35" s="60" t="n">
        <f aca="false">N35+O32</f>
        <v>-304103.83203061</v>
      </c>
      <c r="P35" s="60" t="n">
        <f aca="false">O35+P32</f>
        <v>-350781.548699936</v>
      </c>
      <c r="Q35" s="60" t="n">
        <f aca="false">P35+Q32</f>
        <v>-350033.39936554</v>
      </c>
      <c r="R35" s="60" t="n">
        <f aca="false">Q35+R32</f>
        <v>-336002.856464377</v>
      </c>
      <c r="S35" s="60" t="n">
        <f aca="false">R35+S32</f>
        <v>-315367.917753834</v>
      </c>
      <c r="T35" s="60" t="n">
        <f aca="false">S35+T32</f>
        <v>-302399.783886674</v>
      </c>
      <c r="U35" s="60" t="n">
        <f aca="false">T35+U32</f>
        <v>-253719.846475362</v>
      </c>
      <c r="V35" s="60" t="n">
        <f aca="false">U35+V32</f>
        <v>-195032.187715572</v>
      </c>
      <c r="W35" s="60" t="n">
        <f aca="false">V35+W32</f>
        <v>-96957.1909651848</v>
      </c>
      <c r="X35" s="60" t="n">
        <f aca="false">W35+X32</f>
        <v>9603.2172326982</v>
      </c>
      <c r="Y35" s="60" t="n">
        <f aca="false">X35+Y32</f>
        <v>124264.300897586</v>
      </c>
      <c r="Z35" s="60" t="n">
        <f aca="false">Y35+Z32</f>
        <v>142951.826332154</v>
      </c>
      <c r="AA35" s="60" t="n">
        <f aca="false">Z35+AA32</f>
        <v>186593.97070216</v>
      </c>
      <c r="AB35" s="60" t="n">
        <f aca="false">AA35+AB32</f>
        <v>283941.72999922</v>
      </c>
      <c r="AC35" s="60" t="n">
        <f aca="false">AB35+AC32</f>
        <v>396071.386384496</v>
      </c>
      <c r="AD35" s="60" t="n">
        <f aca="false">AC35+AD32</f>
        <v>522531.053039428</v>
      </c>
      <c r="AE35" s="60" t="n">
        <f aca="false">AD35+AE32</f>
        <v>673680.257431932</v>
      </c>
      <c r="AF35" s="60" t="n">
        <f aca="false">AE35+AF32</f>
        <v>897256.9384852</v>
      </c>
      <c r="AG35" s="60" t="n">
        <f aca="false">AF35+AG32</f>
        <v>1139279.55304042</v>
      </c>
      <c r="AH35" s="60" t="n">
        <f aca="false">AG35+AH32</f>
        <v>1398428.85858821</v>
      </c>
      <c r="AI35" s="60" t="n">
        <f aca="false">AH35+AI32</f>
        <v>1673461.54000329</v>
      </c>
      <c r="AJ35" s="60" t="n">
        <f aca="false">AI35+AJ32</f>
        <v>1963255.20515799</v>
      </c>
      <c r="AK35" s="60" t="n">
        <f aca="false">AJ35+AK32</f>
        <v>2266794.13375317</v>
      </c>
      <c r="AL35" s="60" t="n">
        <f aca="false">AK35+AL32</f>
        <v>2460075.20334891</v>
      </c>
      <c r="AM35" s="60" t="n">
        <f aca="false">AL35+AM32</f>
        <v>2701339.2946265</v>
      </c>
      <c r="AN35" s="60" t="n">
        <f aca="false">AM35+AN32</f>
        <v>2987361.04734751</v>
      </c>
      <c r="AO35" s="60" t="n">
        <f aca="false">AN35+AO32</f>
        <v>3315157.41738439</v>
      </c>
      <c r="AP35" s="60" t="n">
        <f aca="false">AO35+AP32</f>
        <v>3681992.27127885</v>
      </c>
      <c r="AQ35" s="60" t="n">
        <f aca="false">AP35+AQ32</f>
        <v>4060242.35620602</v>
      </c>
      <c r="AR35" s="60" t="n">
        <f aca="false">AQ35+AR32</f>
        <v>4497512.31906435</v>
      </c>
      <c r="AS35" s="60" t="n">
        <f aca="false">AR35+AS32</f>
        <v>4966537.55518762</v>
      </c>
      <c r="AT35" s="60" t="n">
        <f aca="false">AS35+AT32</f>
        <v>5465167.27478155</v>
      </c>
      <c r="AU35" s="60" t="n">
        <f aca="false">AT35+AU32</f>
        <v>5991478.36212173</v>
      </c>
      <c r="AV35" s="60" t="n">
        <f aca="false">AU35+AV32</f>
        <v>6543630.61737624</v>
      </c>
      <c r="AW35" s="60" t="n">
        <f aca="false">AV35+AW32</f>
        <v>7119912.5239771</v>
      </c>
      <c r="AX35" s="60" t="n">
        <f aca="false">AW35+AX32</f>
        <v>7634191.81765871</v>
      </c>
      <c r="AY35" s="60" t="n">
        <f aca="false">AX35+AY32</f>
        <v>8234472.73495391</v>
      </c>
      <c r="AZ35" s="60" t="n">
        <f aca="false">AY35+AZ32</f>
        <v>8915364.1782914</v>
      </c>
      <c r="BA35" s="60" t="n">
        <f aca="false">AZ35+BA32</f>
        <v>9671822.69134712</v>
      </c>
      <c r="BB35" s="60" t="n">
        <f aca="false">BA35+BB32</f>
        <v>10499200.1171454</v>
      </c>
      <c r="BC35" s="60" t="n">
        <f aca="false">BB35+BC32</f>
        <v>11363007.6649179</v>
      </c>
      <c r="BD35" s="60" t="n">
        <f aca="false">BC35+BD32</f>
        <v>12319102.0855467</v>
      </c>
      <c r="BE35" s="60" t="n">
        <f aca="false">BD35+BE32</f>
        <v>13333566.0337226</v>
      </c>
      <c r="BF35" s="60" t="n">
        <f aca="false">BE35+BF32</f>
        <v>14402844.2184161</v>
      </c>
      <c r="BG35" s="60" t="n">
        <f aca="false">BF35+BG32</f>
        <v>15523402.487798</v>
      </c>
      <c r="BH35" s="60" t="n">
        <f aca="false">BG35+BH32</f>
        <v>16692084.1449609</v>
      </c>
      <c r="BI35" s="60" t="n">
        <f aca="false">BH35+BI32</f>
        <v>17905907.5555274</v>
      </c>
    </row>
    <row r="37" customFormat="false" ht="15" hidden="false" customHeight="false" outlineLevel="0" collapsed="false">
      <c r="A37" s="27" t="s">
        <v>790</v>
      </c>
      <c r="B37" s="67" t="n">
        <f aca="false">Aportes!B98</f>
        <v>0</v>
      </c>
      <c r="C37" s="67" t="n">
        <f aca="false">Aportes!C98</f>
        <v>0</v>
      </c>
      <c r="D37" s="67" t="n">
        <f aca="false">Aportes!D98</f>
        <v>0</v>
      </c>
      <c r="E37" s="67" t="n">
        <f aca="false">Aportes!E98</f>
        <v>10000</v>
      </c>
      <c r="F37" s="67" t="n">
        <f aca="false">Aportes!F98</f>
        <v>0</v>
      </c>
      <c r="G37" s="67" t="n">
        <f aca="false">Aportes!G98</f>
        <v>0</v>
      </c>
      <c r="H37" s="67" t="n">
        <f aca="false">Aportes!H98</f>
        <v>5000</v>
      </c>
      <c r="I37" s="67" t="n">
        <f aca="false">Aportes!I98</f>
        <v>18000</v>
      </c>
      <c r="J37" s="67" t="n">
        <f aca="false">Aportes!J98</f>
        <v>0</v>
      </c>
      <c r="K37" s="67" t="n">
        <f aca="false">Aportes!K98</f>
        <v>80000</v>
      </c>
      <c r="L37" s="67" t="n">
        <f aca="false">Aportes!L98</f>
        <v>40000</v>
      </c>
      <c r="M37" s="67" t="n">
        <f aca="false">Aportes!M98</f>
        <v>17000</v>
      </c>
      <c r="N37" s="67" t="n">
        <f aca="false">Aportes!N98</f>
        <v>0</v>
      </c>
      <c r="O37" s="67" t="n">
        <f aca="false">Aportes!O98</f>
        <v>0</v>
      </c>
      <c r="P37" s="67" t="n">
        <f aca="false">Aportes!P98</f>
        <v>0</v>
      </c>
      <c r="Q37" s="67" t="n">
        <f aca="false">Aportes!Q98</f>
        <v>0</v>
      </c>
      <c r="R37" s="67" t="n">
        <f aca="false">Aportes!R98</f>
        <v>0</v>
      </c>
      <c r="S37" s="67" t="n">
        <f aca="false">Aportes!S98</f>
        <v>15000</v>
      </c>
      <c r="T37" s="67" t="n">
        <f aca="false">Aportes!T98</f>
        <v>0</v>
      </c>
      <c r="U37" s="67" t="n">
        <f aca="false">Aportes!U98</f>
        <v>0</v>
      </c>
      <c r="V37" s="67" t="n">
        <f aca="false">Aportes!V98</f>
        <v>0</v>
      </c>
      <c r="W37" s="67" t="n">
        <f aca="false">Aportes!W98</f>
        <v>0</v>
      </c>
      <c r="X37" s="67" t="n">
        <f aca="false">Aportes!X98</f>
        <v>0</v>
      </c>
      <c r="Y37" s="67" t="n">
        <f aca="false">Aportes!Y98</f>
        <v>15000</v>
      </c>
      <c r="Z37" s="67" t="n">
        <f aca="false">Aportes!Z98</f>
        <v>0</v>
      </c>
      <c r="AA37" s="67" t="n">
        <f aca="false">Aportes!AA98</f>
        <v>0</v>
      </c>
      <c r="AB37" s="67" t="n">
        <f aca="false">Aportes!AB98</f>
        <v>0</v>
      </c>
      <c r="AC37" s="67" t="n">
        <f aca="false">Aportes!AC98</f>
        <v>0</v>
      </c>
      <c r="AD37" s="67" t="n">
        <f aca="false">Aportes!AD98</f>
        <v>0</v>
      </c>
      <c r="AE37" s="67" t="n">
        <f aca="false">Aportes!AE98</f>
        <v>0</v>
      </c>
      <c r="AF37" s="67" t="n">
        <f aca="false">Aportes!AF98</f>
        <v>0</v>
      </c>
      <c r="AG37" s="67" t="n">
        <f aca="false">Aportes!AG98</f>
        <v>0</v>
      </c>
      <c r="AH37" s="67" t="n">
        <f aca="false">Aportes!AH98</f>
        <v>0</v>
      </c>
      <c r="AI37" s="67" t="n">
        <f aca="false">Aportes!AI98</f>
        <v>0</v>
      </c>
      <c r="AJ37" s="67" t="n">
        <f aca="false">Aportes!AJ98</f>
        <v>0</v>
      </c>
      <c r="AK37" s="67" t="n">
        <f aca="false">Aportes!AK98</f>
        <v>0</v>
      </c>
      <c r="AL37" s="67" t="n">
        <f aca="false">Aportes!AL98</f>
        <v>0</v>
      </c>
      <c r="AM37" s="67" t="n">
        <f aca="false">Aportes!AM98</f>
        <v>0</v>
      </c>
      <c r="AN37" s="67" t="n">
        <f aca="false">Aportes!AN98</f>
        <v>0</v>
      </c>
      <c r="AO37" s="67" t="n">
        <f aca="false">Aportes!AO98</f>
        <v>0</v>
      </c>
      <c r="AP37" s="67" t="n">
        <f aca="false">Aportes!AP98</f>
        <v>0</v>
      </c>
      <c r="AQ37" s="67" t="n">
        <f aca="false">Aportes!AQ98</f>
        <v>0</v>
      </c>
      <c r="AR37" s="67" t="n">
        <f aca="false">Aportes!AR98</f>
        <v>0</v>
      </c>
      <c r="AS37" s="67" t="n">
        <f aca="false">Aportes!AS98</f>
        <v>0</v>
      </c>
      <c r="AT37" s="67" t="n">
        <f aca="false">Aportes!AT98</f>
        <v>0</v>
      </c>
      <c r="AU37" s="67" t="n">
        <f aca="false">Aportes!AU98</f>
        <v>0</v>
      </c>
      <c r="AV37" s="67" t="n">
        <f aca="false">Aportes!AV98</f>
        <v>0</v>
      </c>
      <c r="AW37" s="67" t="n">
        <f aca="false">Aportes!AW98</f>
        <v>0</v>
      </c>
      <c r="AX37" s="67" t="n">
        <f aca="false">Aportes!AX98</f>
        <v>0</v>
      </c>
      <c r="AY37" s="67" t="n">
        <f aca="false">Aportes!AY98</f>
        <v>0</v>
      </c>
      <c r="AZ37" s="67" t="n">
        <f aca="false">Aportes!AZ98</f>
        <v>0</v>
      </c>
      <c r="BA37" s="67" t="n">
        <f aca="false">Aportes!BA98</f>
        <v>0</v>
      </c>
      <c r="BB37" s="67" t="n">
        <f aca="false">Aportes!BB98</f>
        <v>0</v>
      </c>
      <c r="BC37" s="67" t="n">
        <f aca="false">Aportes!BC98</f>
        <v>0</v>
      </c>
      <c r="BD37" s="67" t="n">
        <f aca="false">Aportes!BD98</f>
        <v>0</v>
      </c>
      <c r="BE37" s="67" t="n">
        <f aca="false">Aportes!BE98</f>
        <v>0</v>
      </c>
      <c r="BF37" s="67" t="n">
        <f aca="false">Aportes!BF98</f>
        <v>0</v>
      </c>
      <c r="BG37" s="67" t="n">
        <f aca="false">Aportes!BG98</f>
        <v>0</v>
      </c>
      <c r="BH37" s="67" t="n">
        <f aca="false">Aportes!BH98</f>
        <v>0</v>
      </c>
      <c r="BI37" s="67" t="n">
        <f aca="false">Aportes!BI98</f>
        <v>0</v>
      </c>
      <c r="BJ37" s="61" t="n">
        <f aca="false">SUM(B37:BI37)</f>
        <v>200000</v>
      </c>
    </row>
    <row r="38" customFormat="false" ht="15" hidden="false" customHeight="false" outlineLevel="0" collapsed="false">
      <c r="A38" s="31" t="s">
        <v>791</v>
      </c>
      <c r="B38" s="63" t="n">
        <f aca="false">B32+B37</f>
        <v>0</v>
      </c>
      <c r="C38" s="63" t="n">
        <f aca="false">C32+C37</f>
        <v>0</v>
      </c>
      <c r="D38" s="63" t="n">
        <f aca="false">D32+D37</f>
        <v>0</v>
      </c>
      <c r="E38" s="63" t="n">
        <f aca="false">E32+E37</f>
        <v>8500</v>
      </c>
      <c r="F38" s="63" t="n">
        <f aca="false">F32+F37</f>
        <v>-8100</v>
      </c>
      <c r="G38" s="63" t="n">
        <f aca="false">G32+G37</f>
        <v>-2100</v>
      </c>
      <c r="H38" s="63" t="n">
        <f aca="false">H32+H37</f>
        <v>2900</v>
      </c>
      <c r="I38" s="63" t="n">
        <f aca="false">I32+I37</f>
        <v>6772.18</v>
      </c>
      <c r="J38" s="63" t="n">
        <f aca="false">J32+J37</f>
        <v>-12600</v>
      </c>
      <c r="K38" s="63" t="n">
        <f aca="false">K32+K37</f>
        <v>9222.40267500001</v>
      </c>
      <c r="L38" s="63" t="n">
        <f aca="false">L32+L37</f>
        <v>9659.722575</v>
      </c>
      <c r="M38" s="63" t="n">
        <f aca="false">M32+M37</f>
        <v>-5359.4027</v>
      </c>
      <c r="N38" s="63" t="n">
        <f aca="false">N32+N37</f>
        <v>-82536.084140096</v>
      </c>
      <c r="O38" s="63" t="n">
        <f aca="false">O32+O37</f>
        <v>-60462.6504405144</v>
      </c>
      <c r="P38" s="63" t="n">
        <f aca="false">P32+P37</f>
        <v>-46677.7166693253</v>
      </c>
      <c r="Q38" s="63" t="n">
        <f aca="false">Q32+Q37</f>
        <v>748.149334396294</v>
      </c>
      <c r="R38" s="63" t="n">
        <f aca="false">R32+R37</f>
        <v>14030.5429011624</v>
      </c>
      <c r="S38" s="63" t="n">
        <f aca="false">S32+S37</f>
        <v>35634.9387105428</v>
      </c>
      <c r="T38" s="63" t="n">
        <f aca="false">T32+T37</f>
        <v>12968.1338671606</v>
      </c>
      <c r="U38" s="63" t="n">
        <f aca="false">U32+U37</f>
        <v>48679.9374113119</v>
      </c>
      <c r="V38" s="63" t="n">
        <f aca="false">V32+V37</f>
        <v>58687.6587597899</v>
      </c>
      <c r="W38" s="63" t="n">
        <f aca="false">W32+W37</f>
        <v>98074.9967503871</v>
      </c>
      <c r="X38" s="63" t="n">
        <f aca="false">X32+X37</f>
        <v>106560.408197883</v>
      </c>
      <c r="Y38" s="63" t="n">
        <f aca="false">Y32+Y37</f>
        <v>129661.083664888</v>
      </c>
      <c r="Z38" s="63" t="n">
        <f aca="false">Z32+Z37</f>
        <v>18687.5254345684</v>
      </c>
      <c r="AA38" s="63" t="n">
        <f aca="false">AA32+AA37</f>
        <v>43642.1443700059</v>
      </c>
      <c r="AB38" s="63" t="n">
        <f aca="false">AB32+AB37</f>
        <v>97347.75929706</v>
      </c>
      <c r="AC38" s="63" t="n">
        <f aca="false">AC32+AC37</f>
        <v>112129.656385276</v>
      </c>
      <c r="AD38" s="63" t="n">
        <f aca="false">AD32+AD37</f>
        <v>126459.666654933</v>
      </c>
      <c r="AE38" s="63" t="n">
        <f aca="false">AE32+AE37</f>
        <v>151149.204392503</v>
      </c>
      <c r="AF38" s="63" t="n">
        <f aca="false">AF32+AF37</f>
        <v>223576.681053269</v>
      </c>
      <c r="AG38" s="63" t="n">
        <f aca="false">AG32+AG37</f>
        <v>242022.614555219</v>
      </c>
      <c r="AH38" s="63" t="n">
        <f aca="false">AH32+AH37</f>
        <v>259149.305547794</v>
      </c>
      <c r="AI38" s="63" t="n">
        <f aca="false">AI32+AI37</f>
        <v>275032.681415081</v>
      </c>
      <c r="AJ38" s="63" t="n">
        <f aca="false">AJ32+AJ37</f>
        <v>289793.665154697</v>
      </c>
      <c r="AK38" s="63" t="n">
        <f aca="false">AK32+AK37</f>
        <v>303538.928595178</v>
      </c>
      <c r="AL38" s="63" t="n">
        <f aca="false">AL32+AL37</f>
        <v>193281.069595745</v>
      </c>
      <c r="AM38" s="63" t="n">
        <f aca="false">AM32+AM37</f>
        <v>241264.091277586</v>
      </c>
      <c r="AN38" s="63" t="n">
        <f aca="false">AN32+AN37</f>
        <v>286021.752721011</v>
      </c>
      <c r="AO38" s="63" t="n">
        <f aca="false">AO32+AO37</f>
        <v>327796.370036884</v>
      </c>
      <c r="AP38" s="63" t="n">
        <f aca="false">AP32+AP37</f>
        <v>366834.853894451</v>
      </c>
      <c r="AQ38" s="63" t="n">
        <f aca="false">AQ32+AQ37</f>
        <v>378250.084927172</v>
      </c>
      <c r="AR38" s="63" t="n">
        <f aca="false">AR32+AR37</f>
        <v>437269.962858331</v>
      </c>
      <c r="AS38" s="63" t="n">
        <f aca="false">AS32+AS37</f>
        <v>469025.236123271</v>
      </c>
      <c r="AT38" s="63" t="n">
        <f aca="false">AT32+AT37</f>
        <v>498629.719593925</v>
      </c>
      <c r="AU38" s="63" t="n">
        <f aca="false">AU32+AU37</f>
        <v>526311.087340185</v>
      </c>
      <c r="AV38" s="63" t="n">
        <f aca="false">AV32+AV37</f>
        <v>552152.255254512</v>
      </c>
      <c r="AW38" s="63" t="n">
        <f aca="false">AW32+AW37</f>
        <v>576281.906600859</v>
      </c>
      <c r="AX38" s="63" t="n">
        <f aca="false">AX32+AX37</f>
        <v>514279.293681611</v>
      </c>
      <c r="AY38" s="63" t="n">
        <f aca="false">AY32+AY37</f>
        <v>600280.917295195</v>
      </c>
      <c r="AZ38" s="63" t="n">
        <f aca="false">AZ32+AZ37</f>
        <v>680891.443337492</v>
      </c>
      <c r="BA38" s="63" t="n">
        <f aca="false">BA32+BA37</f>
        <v>756458.513055719</v>
      </c>
      <c r="BB38" s="63" t="n">
        <f aca="false">BB32+BB37</f>
        <v>827377.425798232</v>
      </c>
      <c r="BC38" s="63" t="n">
        <f aca="false">BC32+BC37</f>
        <v>863807.547772502</v>
      </c>
      <c r="BD38" s="63" t="n">
        <f aca="false">BD32+BD37</f>
        <v>956094.42062881</v>
      </c>
      <c r="BE38" s="63" t="n">
        <f aca="false">BE32+BE37</f>
        <v>1014463.94817595</v>
      </c>
      <c r="BF38" s="63" t="n">
        <f aca="false">BF32+BF37</f>
        <v>1069278.18469349</v>
      </c>
      <c r="BG38" s="63" t="n">
        <f aca="false">BG32+BG37</f>
        <v>1120558.26938187</v>
      </c>
      <c r="BH38" s="63" t="n">
        <f aca="false">BH32+BH37</f>
        <v>1168681.65716291</v>
      </c>
      <c r="BI38" s="63" t="n">
        <f aca="false">BI32+BI37</f>
        <v>1213823.41056656</v>
      </c>
      <c r="BJ38" s="61" t="n">
        <f aca="false">SUM(B38:BI38)</f>
        <v>18105907.5555274</v>
      </c>
    </row>
    <row r="39" customFormat="false" ht="15" hidden="false" customHeight="false" outlineLevel="0" collapsed="false">
      <c r="A39" s="62" t="s">
        <v>792</v>
      </c>
      <c r="B39" s="61" t="n">
        <f aca="false">B38</f>
        <v>0</v>
      </c>
      <c r="C39" s="61" t="n">
        <f aca="false">B39+C38</f>
        <v>0</v>
      </c>
      <c r="D39" s="61" t="n">
        <f aca="false">C39+D38</f>
        <v>0</v>
      </c>
      <c r="E39" s="61" t="n">
        <f aca="false">D39+E38</f>
        <v>8500</v>
      </c>
      <c r="F39" s="61" t="n">
        <f aca="false">E39+F38</f>
        <v>400</v>
      </c>
      <c r="G39" s="61" t="n">
        <f aca="false">F39+G38</f>
        <v>-1700</v>
      </c>
      <c r="H39" s="61" t="n">
        <f aca="false">G39+H38</f>
        <v>1200</v>
      </c>
      <c r="I39" s="61" t="n">
        <f aca="false">H39+I38</f>
        <v>7972.18</v>
      </c>
      <c r="J39" s="61" t="n">
        <f aca="false">I39+J38</f>
        <v>-4627.82</v>
      </c>
      <c r="K39" s="61" t="n">
        <f aca="false">J39+K38</f>
        <v>4594.58267500001</v>
      </c>
      <c r="L39" s="61" t="n">
        <f aca="false">K39+L38</f>
        <v>14254.30525</v>
      </c>
      <c r="M39" s="61" t="n">
        <f aca="false">L39+M38</f>
        <v>8894.90255</v>
      </c>
      <c r="N39" s="61" t="n">
        <f aca="false">M39+N38</f>
        <v>-73641.181590096</v>
      </c>
      <c r="O39" s="61" t="n">
        <f aca="false">N39+O38</f>
        <v>-134103.83203061</v>
      </c>
      <c r="P39" s="61" t="n">
        <f aca="false">O39+P38</f>
        <v>-180781.548699936</v>
      </c>
      <c r="Q39" s="61" t="n">
        <f aca="false">P39+Q38</f>
        <v>-180033.399365539</v>
      </c>
      <c r="R39" s="61" t="n">
        <f aca="false">Q39+R38</f>
        <v>-166002.856464377</v>
      </c>
      <c r="S39" s="61" t="n">
        <f aca="false">R39+S38</f>
        <v>-130367.917753834</v>
      </c>
      <c r="T39" s="61" t="n">
        <f aca="false">S39+T38</f>
        <v>-117399.783886674</v>
      </c>
      <c r="U39" s="61" t="n">
        <f aca="false">T39+U38</f>
        <v>-68719.8464753618</v>
      </c>
      <c r="V39" s="61" t="n">
        <f aca="false">U39+V38</f>
        <v>-10032.1877155719</v>
      </c>
      <c r="W39" s="61" t="n">
        <f aca="false">V39+W38</f>
        <v>88042.8090348153</v>
      </c>
      <c r="X39" s="61" t="n">
        <f aca="false">W39+X38</f>
        <v>194603.217232698</v>
      </c>
      <c r="Y39" s="61" t="n">
        <f aca="false">X39+Y38</f>
        <v>324264.300897586</v>
      </c>
      <c r="Z39" s="61" t="n">
        <f aca="false">Y39+Z38</f>
        <v>342951.826332154</v>
      </c>
      <c r="AA39" s="61" t="n">
        <f aca="false">Z39+AA38</f>
        <v>386593.97070216</v>
      </c>
      <c r="AB39" s="61" t="n">
        <f aca="false">AA39+AB38</f>
        <v>483941.72999922</v>
      </c>
      <c r="AC39" s="61" t="n">
        <f aca="false">AB39+AC38</f>
        <v>596071.386384496</v>
      </c>
      <c r="AD39" s="61" t="n">
        <f aca="false">AC39+AD38</f>
        <v>722531.053039428</v>
      </c>
      <c r="AE39" s="61" t="n">
        <f aca="false">AD39+AE38</f>
        <v>873680.257431932</v>
      </c>
      <c r="AF39" s="61" t="n">
        <f aca="false">AE39+AF38</f>
        <v>1097256.9384852</v>
      </c>
      <c r="AG39" s="61" t="n">
        <f aca="false">AF39+AG38</f>
        <v>1339279.55304042</v>
      </c>
      <c r="AH39" s="61" t="n">
        <f aca="false">AG39+AH38</f>
        <v>1598428.85858821</v>
      </c>
      <c r="AI39" s="61" t="n">
        <f aca="false">AH39+AI38</f>
        <v>1873461.54000329</v>
      </c>
      <c r="AJ39" s="61" t="n">
        <f aca="false">AI39+AJ38</f>
        <v>2163255.20515799</v>
      </c>
      <c r="AK39" s="61" t="n">
        <f aca="false">AJ39+AK38</f>
        <v>2466794.13375317</v>
      </c>
      <c r="AL39" s="61" t="n">
        <f aca="false">AK39+AL38</f>
        <v>2660075.20334891</v>
      </c>
      <c r="AM39" s="61" t="n">
        <f aca="false">AL39+AM38</f>
        <v>2901339.2946265</v>
      </c>
      <c r="AN39" s="61" t="n">
        <f aca="false">AM39+AN38</f>
        <v>3187361.04734751</v>
      </c>
      <c r="AO39" s="61" t="n">
        <f aca="false">AN39+AO38</f>
        <v>3515157.4173844</v>
      </c>
      <c r="AP39" s="61" t="n">
        <f aca="false">AO39+AP38</f>
        <v>3881992.27127885</v>
      </c>
      <c r="AQ39" s="61" t="n">
        <f aca="false">AP39+AQ38</f>
        <v>4260242.35620602</v>
      </c>
      <c r="AR39" s="61" t="n">
        <f aca="false">AQ39+AR38</f>
        <v>4697512.31906435</v>
      </c>
      <c r="AS39" s="61" t="n">
        <f aca="false">AR39+AS38</f>
        <v>5166537.55518762</v>
      </c>
      <c r="AT39" s="61" t="n">
        <f aca="false">AS39+AT38</f>
        <v>5665167.27478155</v>
      </c>
      <c r="AU39" s="61" t="n">
        <f aca="false">AT39+AU38</f>
        <v>6191478.36212173</v>
      </c>
      <c r="AV39" s="61" t="n">
        <f aca="false">AU39+AV38</f>
        <v>6743630.61737624</v>
      </c>
      <c r="AW39" s="61" t="n">
        <f aca="false">AV39+AW38</f>
        <v>7319912.5239771</v>
      </c>
      <c r="AX39" s="61" t="n">
        <f aca="false">AW39+AX38</f>
        <v>7834191.81765871</v>
      </c>
      <c r="AY39" s="61" t="n">
        <f aca="false">AX39+AY38</f>
        <v>8434472.73495391</v>
      </c>
      <c r="AZ39" s="61" t="n">
        <f aca="false">AY39+AZ38</f>
        <v>9115364.1782914</v>
      </c>
      <c r="BA39" s="61" t="n">
        <f aca="false">AZ39+BA38</f>
        <v>9871822.69134712</v>
      </c>
      <c r="BB39" s="61" t="n">
        <f aca="false">BA39+BB38</f>
        <v>10699200.1171454</v>
      </c>
      <c r="BC39" s="61" t="n">
        <f aca="false">BB39+BC38</f>
        <v>11563007.6649179</v>
      </c>
      <c r="BD39" s="61" t="n">
        <f aca="false">BC39+BD38</f>
        <v>12519102.0855467</v>
      </c>
      <c r="BE39" s="61" t="n">
        <f aca="false">BD39+BE38</f>
        <v>13533566.0337226</v>
      </c>
      <c r="BF39" s="61" t="n">
        <f aca="false">BE39+BF38</f>
        <v>14602844.2184161</v>
      </c>
      <c r="BG39" s="61" t="n">
        <f aca="false">BF39+BG38</f>
        <v>15723402.487798</v>
      </c>
      <c r="BH39" s="61" t="n">
        <f aca="false">BG39+BH38</f>
        <v>16892084.1449609</v>
      </c>
      <c r="BI39" s="61" t="n">
        <f aca="false">BH39+BI38</f>
        <v>18105907.5555274</v>
      </c>
    </row>
    <row r="40" customFormat="false" ht="15" hidden="false" customHeight="false" outlineLevel="0" collapsed="false">
      <c r="A40" s="101" t="s">
        <v>793</v>
      </c>
      <c r="B40" s="72" t="n">
        <f aca="false">IF(B35&lt;0,B$5,0)</f>
        <v>0</v>
      </c>
      <c r="C40" s="72" t="n">
        <f aca="false">IF(C35&lt;0,C$5,0)</f>
        <v>0</v>
      </c>
      <c r="D40" s="72" t="n">
        <f aca="false">IF(D35&lt;0,D$5,0)</f>
        <v>0</v>
      </c>
      <c r="E40" s="72" t="n">
        <f aca="false">IF(E35&lt;0,E$5,0)</f>
        <v>4</v>
      </c>
      <c r="F40" s="72" t="n">
        <f aca="false">IF(F35&lt;0,F$5,0)</f>
        <v>5</v>
      </c>
      <c r="G40" s="72" t="n">
        <f aca="false">IF(G35&lt;0,G$5,0)</f>
        <v>6</v>
      </c>
      <c r="H40" s="72" t="n">
        <f aca="false">IF(H35&lt;0,H$5,0)</f>
        <v>7</v>
      </c>
      <c r="I40" s="72" t="n">
        <f aca="false">IF(I35&lt;0,I$5,0)</f>
        <v>8</v>
      </c>
      <c r="J40" s="72" t="n">
        <f aca="false">IF(J35&lt;0,J$5,0)</f>
        <v>9</v>
      </c>
      <c r="K40" s="72" t="n">
        <f aca="false">IF(K35&lt;0,K$5,0)</f>
        <v>10</v>
      </c>
      <c r="L40" s="72" t="n">
        <f aca="false">IF(L35&lt;0,L$5,0)</f>
        <v>11</v>
      </c>
      <c r="M40" s="72" t="n">
        <f aca="false">IF(M35&lt;0,M$5,0)</f>
        <v>12</v>
      </c>
      <c r="N40" s="72" t="n">
        <f aca="false">IF(N35&lt;0,N$5,0)</f>
        <v>13</v>
      </c>
      <c r="O40" s="72" t="n">
        <f aca="false">IF(O35&lt;0,O$5,0)</f>
        <v>14</v>
      </c>
      <c r="P40" s="72" t="n">
        <f aca="false">IF(P35&lt;0,P$5,0)</f>
        <v>15</v>
      </c>
      <c r="Q40" s="72" t="n">
        <f aca="false">IF(Q35&lt;0,Q$5,0)</f>
        <v>16</v>
      </c>
      <c r="R40" s="72" t="n">
        <f aca="false">IF(R35&lt;0,R$5,0)</f>
        <v>17</v>
      </c>
      <c r="S40" s="72" t="n">
        <f aca="false">IF(S35&lt;0,S$5,0)</f>
        <v>18</v>
      </c>
      <c r="T40" s="72" t="n">
        <f aca="false">IF(T35&lt;0,T$5,0)</f>
        <v>19</v>
      </c>
      <c r="U40" s="72" t="n">
        <f aca="false">IF(U35&lt;0,U$5,0)</f>
        <v>20</v>
      </c>
      <c r="V40" s="72" t="n">
        <f aca="false">IF(V35&lt;0,V$5,0)</f>
        <v>21</v>
      </c>
      <c r="W40" s="72" t="n">
        <f aca="false">IF(W35&lt;0,W$5,0)</f>
        <v>22</v>
      </c>
      <c r="X40" s="72" t="n">
        <f aca="false">IF(X35&lt;0,X$5,0)</f>
        <v>0</v>
      </c>
      <c r="Y40" s="72" t="n">
        <f aca="false">IF(Y35&lt;0,Y$5,0)</f>
        <v>0</v>
      </c>
      <c r="Z40" s="72" t="n">
        <f aca="false">IF(Z35&lt;0,Z$5,0)</f>
        <v>0</v>
      </c>
      <c r="AA40" s="72" t="n">
        <f aca="false">IF(AA35&lt;0,AA$5,0)</f>
        <v>0</v>
      </c>
      <c r="AB40" s="72" t="n">
        <f aca="false">IF(AB35&lt;0,AB$5,0)</f>
        <v>0</v>
      </c>
      <c r="AC40" s="72" t="n">
        <f aca="false">IF(AC35&lt;0,AC$5,0)</f>
        <v>0</v>
      </c>
      <c r="AD40" s="72" t="n">
        <f aca="false">IF(AD35&lt;0,AD$5,0)</f>
        <v>0</v>
      </c>
      <c r="AE40" s="72" t="n">
        <f aca="false">IF(AE35&lt;0,AE$5,0)</f>
        <v>0</v>
      </c>
      <c r="AF40" s="72" t="n">
        <f aca="false">IF(AF35&lt;0,AF$5,0)</f>
        <v>0</v>
      </c>
      <c r="AG40" s="72" t="n">
        <f aca="false">IF(AG35&lt;0,AG$5,0)</f>
        <v>0</v>
      </c>
      <c r="AH40" s="72" t="n">
        <f aca="false">IF(AH35&lt;0,AH$5,0)</f>
        <v>0</v>
      </c>
      <c r="AI40" s="72" t="n">
        <f aca="false">IF(AI35&lt;0,AI$5,0)</f>
        <v>0</v>
      </c>
      <c r="AJ40" s="72" t="n">
        <f aca="false">IF(AJ35&lt;0,AJ$5,0)</f>
        <v>0</v>
      </c>
      <c r="AK40" s="72" t="n">
        <f aca="false">IF(AK35&lt;0,AK$5,0)</f>
        <v>0</v>
      </c>
      <c r="AL40" s="72" t="n">
        <f aca="false">IF(AL35&lt;0,AL$5,0)</f>
        <v>0</v>
      </c>
      <c r="AM40" s="72" t="n">
        <f aca="false">IF(AM35&lt;0,AM$5,0)</f>
        <v>0</v>
      </c>
      <c r="AN40" s="72" t="n">
        <f aca="false">IF(AN35&lt;0,AN$5,0)</f>
        <v>0</v>
      </c>
      <c r="AO40" s="72" t="n">
        <f aca="false">IF(AO35&lt;0,AO$5,0)</f>
        <v>0</v>
      </c>
      <c r="AP40" s="72" t="n">
        <f aca="false">IF(AP35&lt;0,AP$5,0)</f>
        <v>0</v>
      </c>
      <c r="AQ40" s="72" t="n">
        <f aca="false">IF(AQ35&lt;0,AQ$5,0)</f>
        <v>0</v>
      </c>
      <c r="AR40" s="72" t="n">
        <f aca="false">IF(AR35&lt;0,AR$5,0)</f>
        <v>0</v>
      </c>
      <c r="AS40" s="72" t="n">
        <f aca="false">IF(AS35&lt;0,AS$5,0)</f>
        <v>0</v>
      </c>
      <c r="AT40" s="72" t="n">
        <f aca="false">IF(AT35&lt;0,AT$5,0)</f>
        <v>0</v>
      </c>
      <c r="AU40" s="72" t="n">
        <f aca="false">IF(AU35&lt;0,AU$5,0)</f>
        <v>0</v>
      </c>
      <c r="AV40" s="72" t="n">
        <f aca="false">IF(AV35&lt;0,AV$5,0)</f>
        <v>0</v>
      </c>
      <c r="AW40" s="72" t="n">
        <f aca="false">IF(AW35&lt;0,AW$5,0)</f>
        <v>0</v>
      </c>
      <c r="AX40" s="72" t="n">
        <f aca="false">IF(AX35&lt;0,AX$5,0)</f>
        <v>0</v>
      </c>
      <c r="AY40" s="72" t="n">
        <f aca="false">IF(AY35&lt;0,AY$5,0)</f>
        <v>0</v>
      </c>
      <c r="AZ40" s="72" t="n">
        <f aca="false">IF(AZ35&lt;0,AZ$5,0)</f>
        <v>0</v>
      </c>
      <c r="BA40" s="72" t="n">
        <f aca="false">IF(BA35&lt;0,BA$5,0)</f>
        <v>0</v>
      </c>
      <c r="BB40" s="72" t="n">
        <f aca="false">IF(BB35&lt;0,BB$5,0)</f>
        <v>0</v>
      </c>
      <c r="BC40" s="72" t="n">
        <f aca="false">IF(BC35&lt;0,BC$5,0)</f>
        <v>0</v>
      </c>
      <c r="BD40" s="72" t="n">
        <f aca="false">IF(BD35&lt;0,BD$5,0)</f>
        <v>0</v>
      </c>
      <c r="BE40" s="72" t="n">
        <f aca="false">IF(BE35&lt;0,BE$5,0)</f>
        <v>0</v>
      </c>
      <c r="BF40" s="72" t="n">
        <f aca="false">IF(BF35&lt;0,BF$5,0)</f>
        <v>0</v>
      </c>
      <c r="BG40" s="72" t="n">
        <f aca="false">IF(BG35&lt;0,BG$5,0)</f>
        <v>0</v>
      </c>
      <c r="BH40" s="72" t="n">
        <f aca="false">IF(BH35&lt;0,BH$5,0)</f>
        <v>0</v>
      </c>
      <c r="BI40" s="72" t="n">
        <f aca="false">IF(BI35&lt;0,BI$5,0)</f>
        <v>0</v>
      </c>
      <c r="BK40" s="29" t="s">
        <v>794</v>
      </c>
    </row>
    <row r="41" customFormat="false" ht="15" hidden="false" customHeight="false" outlineLevel="0" collapsed="false">
      <c r="A41" s="101" t="s">
        <v>795</v>
      </c>
      <c r="B41" s="72" t="n">
        <f aca="false">IF(B34&lt;0,B$5,0)</f>
        <v>0</v>
      </c>
      <c r="C41" s="72" t="n">
        <f aca="false">IF(C34&lt;0,C$5,0)</f>
        <v>0</v>
      </c>
      <c r="D41" s="72" t="n">
        <f aca="false">IF(D34&lt;0,D$5,0)</f>
        <v>0</v>
      </c>
      <c r="E41" s="72" t="n">
        <f aca="false">IF(E34&lt;0,E$5,0)</f>
        <v>4</v>
      </c>
      <c r="F41" s="72" t="n">
        <f aca="false">IF(F34&lt;0,F$5,0)</f>
        <v>5</v>
      </c>
      <c r="G41" s="72" t="n">
        <f aca="false">IF(G34&lt;0,G$5,0)</f>
        <v>6</v>
      </c>
      <c r="H41" s="72" t="n">
        <f aca="false">IF(H34&lt;0,H$5,0)</f>
        <v>7</v>
      </c>
      <c r="I41" s="72" t="n">
        <f aca="false">IF(I34&lt;0,I$5,0)</f>
        <v>8</v>
      </c>
      <c r="J41" s="72" t="n">
        <f aca="false">IF(J34&lt;0,J$5,0)</f>
        <v>9</v>
      </c>
      <c r="K41" s="72" t="n">
        <f aca="false">IF(K34&lt;0,K$5,0)</f>
        <v>10</v>
      </c>
      <c r="L41" s="72" t="n">
        <f aca="false">IF(L34&lt;0,L$5,0)</f>
        <v>11</v>
      </c>
      <c r="M41" s="72" t="n">
        <f aca="false">IF(M34&lt;0,M$5,0)</f>
        <v>12</v>
      </c>
      <c r="N41" s="72" t="n">
        <f aca="false">IF(N34&lt;0,N$5,0)</f>
        <v>13</v>
      </c>
      <c r="O41" s="72" t="n">
        <f aca="false">IF(O34&lt;0,O$5,0)</f>
        <v>14</v>
      </c>
      <c r="P41" s="72" t="n">
        <f aca="false">IF(P34&lt;0,P$5,0)</f>
        <v>15</v>
      </c>
      <c r="Q41" s="72" t="n">
        <f aca="false">IF(Q34&lt;0,Q$5,0)</f>
        <v>16</v>
      </c>
      <c r="R41" s="72" t="n">
        <f aca="false">IF(R34&lt;0,R$5,0)</f>
        <v>17</v>
      </c>
      <c r="S41" s="72" t="n">
        <f aca="false">IF(S34&lt;0,S$5,0)</f>
        <v>18</v>
      </c>
      <c r="T41" s="72" t="n">
        <f aca="false">IF(T34&lt;0,T$5,0)</f>
        <v>19</v>
      </c>
      <c r="U41" s="72" t="n">
        <f aca="false">IF(U34&lt;0,U$5,0)</f>
        <v>20</v>
      </c>
      <c r="V41" s="72" t="n">
        <f aca="false">IF(V34&lt;0,V$5,0)</f>
        <v>21</v>
      </c>
      <c r="W41" s="72" t="n">
        <f aca="false">IF(W34&lt;0,W$5,0)</f>
        <v>22</v>
      </c>
      <c r="X41" s="72" t="n">
        <f aca="false">IF(X34&lt;0,X$5,0)</f>
        <v>23</v>
      </c>
      <c r="Y41" s="72" t="n">
        <f aca="false">IF(Y34&lt;0,Y$5,0)</f>
        <v>0</v>
      </c>
      <c r="Z41" s="72" t="n">
        <f aca="false">IF(Z34&lt;0,Z$5,0)</f>
        <v>0</v>
      </c>
      <c r="AA41" s="72" t="n">
        <f aca="false">IF(AA34&lt;0,AA$5,0)</f>
        <v>0</v>
      </c>
      <c r="AB41" s="72" t="n">
        <f aca="false">IF(AB34&lt;0,AB$5,0)</f>
        <v>0</v>
      </c>
      <c r="AC41" s="72" t="n">
        <f aca="false">IF(AC34&lt;0,AC$5,0)</f>
        <v>0</v>
      </c>
      <c r="AD41" s="72" t="n">
        <f aca="false">IF(AD34&lt;0,AD$5,0)</f>
        <v>0</v>
      </c>
      <c r="AE41" s="72" t="n">
        <f aca="false">IF(AE34&lt;0,AE$5,0)</f>
        <v>0</v>
      </c>
      <c r="AF41" s="72" t="n">
        <f aca="false">IF(AF34&lt;0,AF$5,0)</f>
        <v>0</v>
      </c>
      <c r="AG41" s="72" t="n">
        <f aca="false">IF(AG34&lt;0,AG$5,0)</f>
        <v>0</v>
      </c>
      <c r="AH41" s="72" t="n">
        <f aca="false">IF(AH34&lt;0,AH$5,0)</f>
        <v>0</v>
      </c>
      <c r="AI41" s="72" t="n">
        <f aca="false">IF(AI34&lt;0,AI$5,0)</f>
        <v>0</v>
      </c>
      <c r="AJ41" s="72" t="n">
        <f aca="false">IF(AJ34&lt;0,AJ$5,0)</f>
        <v>0</v>
      </c>
      <c r="AK41" s="72" t="n">
        <f aca="false">IF(AK34&lt;0,AK$5,0)</f>
        <v>0</v>
      </c>
      <c r="AL41" s="72" t="n">
        <f aca="false">IF(AL34&lt;0,AL$5,0)</f>
        <v>0</v>
      </c>
      <c r="AM41" s="72" t="n">
        <f aca="false">IF(AM34&lt;0,AM$5,0)</f>
        <v>0</v>
      </c>
      <c r="AN41" s="72" t="n">
        <f aca="false">IF(AN34&lt;0,AN$5,0)</f>
        <v>0</v>
      </c>
      <c r="AO41" s="72" t="n">
        <f aca="false">IF(AO34&lt;0,AO$5,0)</f>
        <v>0</v>
      </c>
      <c r="AP41" s="72" t="n">
        <f aca="false">IF(AP34&lt;0,AP$5,0)</f>
        <v>0</v>
      </c>
      <c r="AQ41" s="72" t="n">
        <f aca="false">IF(AQ34&lt;0,AQ$5,0)</f>
        <v>0</v>
      </c>
      <c r="AR41" s="72" t="n">
        <f aca="false">IF(AR34&lt;0,AR$5,0)</f>
        <v>0</v>
      </c>
      <c r="AS41" s="72" t="n">
        <f aca="false">IF(AS34&lt;0,AS$5,0)</f>
        <v>0</v>
      </c>
      <c r="AT41" s="72" t="n">
        <f aca="false">IF(AT34&lt;0,AT$5,0)</f>
        <v>0</v>
      </c>
      <c r="AU41" s="72" t="n">
        <f aca="false">IF(AU34&lt;0,AU$5,0)</f>
        <v>0</v>
      </c>
      <c r="AV41" s="72" t="n">
        <f aca="false">IF(AV34&lt;0,AV$5,0)</f>
        <v>0</v>
      </c>
      <c r="AW41" s="72" t="n">
        <f aca="false">IF(AW34&lt;0,AW$5,0)</f>
        <v>0</v>
      </c>
      <c r="AX41" s="72" t="n">
        <f aca="false">IF(AX34&lt;0,AX$5,0)</f>
        <v>0</v>
      </c>
      <c r="AY41" s="72" t="n">
        <f aca="false">IF(AY34&lt;0,AY$5,0)</f>
        <v>0</v>
      </c>
      <c r="AZ41" s="72" t="n">
        <f aca="false">IF(AZ34&lt;0,AZ$5,0)</f>
        <v>0</v>
      </c>
      <c r="BA41" s="72" t="n">
        <f aca="false">IF(BA34&lt;0,BA$5,0)</f>
        <v>0</v>
      </c>
      <c r="BB41" s="72" t="n">
        <f aca="false">IF(BB34&lt;0,BB$5,0)</f>
        <v>0</v>
      </c>
      <c r="BC41" s="72" t="n">
        <f aca="false">IF(BC34&lt;0,BC$5,0)</f>
        <v>0</v>
      </c>
      <c r="BD41" s="72" t="n">
        <f aca="false">IF(BD34&lt;0,BD$5,0)</f>
        <v>0</v>
      </c>
      <c r="BE41" s="72" t="n">
        <f aca="false">IF(BE34&lt;0,BE$5,0)</f>
        <v>0</v>
      </c>
      <c r="BF41" s="72" t="n">
        <f aca="false">IF(BF34&lt;0,BF$5,0)</f>
        <v>0</v>
      </c>
      <c r="BG41" s="72" t="n">
        <f aca="false">IF(BG34&lt;0,BG$5,0)</f>
        <v>0</v>
      </c>
      <c r="BH41" s="72" t="n">
        <f aca="false">IF(BH34&lt;0,BH$5,0)</f>
        <v>0</v>
      </c>
      <c r="BI41" s="72" t="n">
        <f aca="false">IF(BI34&lt;0,BI$5,0)</f>
        <v>0</v>
      </c>
    </row>
    <row r="42" customFormat="false" ht="15" hidden="false" customHeight="false" outlineLevel="0" collapsed="false">
      <c r="A42" s="101" t="s">
        <v>796</v>
      </c>
      <c r="B42" s="84" t="n">
        <f aca="false">ROUND(B32-CHOOSE(Premissas!$B$6,Cenários!B42,Cenários!B88,Cenários!B134),2)</f>
        <v>0</v>
      </c>
      <c r="C42" s="84" t="n">
        <f aca="false">ROUND(C32-CHOOSE(Premissas!$B$6,Cenários!C42,Cenários!C88,Cenários!C134),2)</f>
        <v>0</v>
      </c>
      <c r="D42" s="84" t="n">
        <f aca="false">ROUND(D32-CHOOSE(Premissas!$B$6,Cenários!D42,Cenários!D88,Cenários!D134),2)</f>
        <v>0</v>
      </c>
      <c r="E42" s="84" t="n">
        <f aca="false">ROUND(E32-CHOOSE(Premissas!$B$6,Cenários!E42,Cenários!E88,Cenários!E134),2)</f>
        <v>0</v>
      </c>
      <c r="F42" s="84" t="n">
        <f aca="false">ROUND(F32-CHOOSE(Premissas!$B$6,Cenários!F42,Cenários!F88,Cenários!F134),2)</f>
        <v>0</v>
      </c>
      <c r="G42" s="84" t="n">
        <f aca="false">ROUND(G32-CHOOSE(Premissas!$B$6,Cenários!G42,Cenários!G88,Cenários!G134),2)</f>
        <v>0</v>
      </c>
      <c r="H42" s="84" t="n">
        <f aca="false">ROUND(H32-CHOOSE(Premissas!$B$6,Cenários!H42,Cenários!H88,Cenários!H134),2)</f>
        <v>0</v>
      </c>
      <c r="I42" s="84" t="n">
        <f aca="false">ROUND(I32-CHOOSE(Premissas!$B$6,Cenários!I42,Cenários!I88,Cenários!I134),2)</f>
        <v>0</v>
      </c>
      <c r="J42" s="84" t="n">
        <f aca="false">ROUND(J32-CHOOSE(Premissas!$B$6,Cenários!J42,Cenários!J88,Cenários!J134),2)</f>
        <v>0</v>
      </c>
      <c r="K42" s="84" t="n">
        <f aca="false">ROUND(K32-CHOOSE(Premissas!$B$6,Cenários!K42,Cenários!K88,Cenários!K134),2)</f>
        <v>0</v>
      </c>
      <c r="L42" s="84" t="n">
        <f aca="false">ROUND(L32-CHOOSE(Premissas!$B$6,Cenários!L42,Cenários!L88,Cenários!L134),2)</f>
        <v>0</v>
      </c>
      <c r="M42" s="84" t="n">
        <f aca="false">ROUND(M32-CHOOSE(Premissas!$B$6,Cenários!M42,Cenários!M88,Cenários!M134),2)</f>
        <v>0</v>
      </c>
      <c r="N42" s="84" t="n">
        <f aca="false">ROUND(N32-CHOOSE(Premissas!$B$6,Cenários!N42,Cenários!N88,Cenários!N134),2)</f>
        <v>0</v>
      </c>
      <c r="O42" s="84" t="n">
        <f aca="false">ROUND(O32-CHOOSE(Premissas!$B$6,Cenários!O42,Cenários!O88,Cenários!O134),2)</f>
        <v>0</v>
      </c>
      <c r="P42" s="84" t="n">
        <f aca="false">ROUND(P32-CHOOSE(Premissas!$B$6,Cenários!P42,Cenários!P88,Cenários!P134),2)</f>
        <v>0</v>
      </c>
      <c r="Q42" s="84" t="n">
        <f aca="false">ROUND(Q32-CHOOSE(Premissas!$B$6,Cenários!Q42,Cenários!Q88,Cenários!Q134),2)</f>
        <v>0</v>
      </c>
      <c r="R42" s="84" t="n">
        <f aca="false">ROUND(R32-CHOOSE(Premissas!$B$6,Cenários!R42,Cenários!R88,Cenários!R134),2)</f>
        <v>0</v>
      </c>
      <c r="S42" s="84" t="n">
        <f aca="false">ROUND(S32-CHOOSE(Premissas!$B$6,Cenários!S42,Cenários!S88,Cenários!S134),2)</f>
        <v>0</v>
      </c>
      <c r="T42" s="84" t="n">
        <f aca="false">ROUND(T32-CHOOSE(Premissas!$B$6,Cenários!T42,Cenários!T88,Cenários!T134),2)</f>
        <v>0</v>
      </c>
      <c r="U42" s="84" t="n">
        <f aca="false">ROUND(U32-CHOOSE(Premissas!$B$6,Cenários!U42,Cenários!U88,Cenários!U134),2)</f>
        <v>0</v>
      </c>
      <c r="V42" s="84" t="n">
        <f aca="false">ROUND(V32-CHOOSE(Premissas!$B$6,Cenários!V42,Cenários!V88,Cenários!V134),2)</f>
        <v>0</v>
      </c>
      <c r="W42" s="84" t="n">
        <f aca="false">ROUND(W32-CHOOSE(Premissas!$B$6,Cenários!W42,Cenários!W88,Cenários!W134),2)</f>
        <v>0</v>
      </c>
      <c r="X42" s="84" t="n">
        <f aca="false">ROUND(X32-CHOOSE(Premissas!$B$6,Cenários!X42,Cenários!X88,Cenários!X134),2)</f>
        <v>0</v>
      </c>
      <c r="Y42" s="84" t="n">
        <f aca="false">ROUND(Y32-CHOOSE(Premissas!$B$6,Cenários!Y42,Cenários!Y88,Cenários!Y134),2)</f>
        <v>0</v>
      </c>
      <c r="Z42" s="84" t="n">
        <f aca="false">ROUND(Z32-CHOOSE(Premissas!$B$6,Cenários!Z42,Cenários!Z88,Cenários!Z134),2)</f>
        <v>0</v>
      </c>
      <c r="AA42" s="84" t="n">
        <f aca="false">ROUND(AA32-CHOOSE(Premissas!$B$6,Cenários!AA42,Cenários!AA88,Cenários!AA134),2)</f>
        <v>0</v>
      </c>
      <c r="AB42" s="84" t="n">
        <f aca="false">ROUND(AB32-CHOOSE(Premissas!$B$6,Cenários!AB42,Cenários!AB88,Cenários!AB134),2)</f>
        <v>0</v>
      </c>
      <c r="AC42" s="84" t="n">
        <f aca="false">ROUND(AC32-CHOOSE(Premissas!$B$6,Cenários!AC42,Cenários!AC88,Cenários!AC134),2)</f>
        <v>0</v>
      </c>
      <c r="AD42" s="84" t="n">
        <f aca="false">ROUND(AD32-CHOOSE(Premissas!$B$6,Cenários!AD42,Cenários!AD88,Cenários!AD134),2)</f>
        <v>0</v>
      </c>
      <c r="AE42" s="84" t="n">
        <f aca="false">ROUND(AE32-CHOOSE(Premissas!$B$6,Cenários!AE42,Cenários!AE88,Cenários!AE134),2)</f>
        <v>0</v>
      </c>
      <c r="AF42" s="84" t="n">
        <f aca="false">ROUND(AF32-CHOOSE(Premissas!$B$6,Cenários!AF42,Cenários!AF88,Cenários!AF134),2)</f>
        <v>0</v>
      </c>
      <c r="AG42" s="84" t="n">
        <f aca="false">ROUND(AG32-CHOOSE(Premissas!$B$6,Cenários!AG42,Cenários!AG88,Cenários!AG134),2)</f>
        <v>0</v>
      </c>
      <c r="AH42" s="84" t="n">
        <f aca="false">ROUND(AH32-CHOOSE(Premissas!$B$6,Cenários!AH42,Cenários!AH88,Cenários!AH134),2)</f>
        <v>0</v>
      </c>
      <c r="AI42" s="84" t="n">
        <f aca="false">ROUND(AI32-CHOOSE(Premissas!$B$6,Cenários!AI42,Cenários!AI88,Cenários!AI134),2)</f>
        <v>0</v>
      </c>
      <c r="AJ42" s="84" t="n">
        <f aca="false">ROUND(AJ32-CHOOSE(Premissas!$B$6,Cenários!AJ42,Cenários!AJ88,Cenários!AJ134),2)</f>
        <v>0</v>
      </c>
      <c r="AK42" s="84" t="n">
        <f aca="false">ROUND(AK32-CHOOSE(Premissas!$B$6,Cenários!AK42,Cenários!AK88,Cenários!AK134),2)</f>
        <v>0</v>
      </c>
      <c r="AL42" s="84" t="n">
        <f aca="false">ROUND(AL32-CHOOSE(Premissas!$B$6,Cenários!AL42,Cenários!AL88,Cenários!AL134),2)</f>
        <v>0</v>
      </c>
      <c r="AM42" s="84" t="n">
        <f aca="false">ROUND(AM32-CHOOSE(Premissas!$B$6,Cenários!AM42,Cenários!AM88,Cenários!AM134),2)</f>
        <v>0</v>
      </c>
      <c r="AN42" s="84" t="n">
        <f aca="false">ROUND(AN32-CHOOSE(Premissas!$B$6,Cenários!AN42,Cenários!AN88,Cenários!AN134),2)</f>
        <v>0</v>
      </c>
      <c r="AO42" s="84" t="n">
        <f aca="false">ROUND(AO32-CHOOSE(Premissas!$B$6,Cenários!AO42,Cenários!AO88,Cenários!AO134),2)</f>
        <v>0</v>
      </c>
      <c r="AP42" s="84" t="n">
        <f aca="false">ROUND(AP32-CHOOSE(Premissas!$B$6,Cenários!AP42,Cenários!AP88,Cenários!AP134),2)</f>
        <v>0</v>
      </c>
      <c r="AQ42" s="84" t="n">
        <f aca="false">ROUND(AQ32-CHOOSE(Premissas!$B$6,Cenários!AQ42,Cenários!AQ88,Cenários!AQ134),2)</f>
        <v>0</v>
      </c>
      <c r="AR42" s="84" t="n">
        <f aca="false">ROUND(AR32-CHOOSE(Premissas!$B$6,Cenários!AR42,Cenários!AR88,Cenários!AR134),2)</f>
        <v>0</v>
      </c>
      <c r="AS42" s="84" t="n">
        <f aca="false">ROUND(AS32-CHOOSE(Premissas!$B$6,Cenários!AS42,Cenários!AS88,Cenários!AS134),2)</f>
        <v>0</v>
      </c>
      <c r="AT42" s="84" t="n">
        <f aca="false">ROUND(AT32-CHOOSE(Premissas!$B$6,Cenários!AT42,Cenários!AT88,Cenários!AT134),2)</f>
        <v>0</v>
      </c>
      <c r="AU42" s="84" t="n">
        <f aca="false">ROUND(AU32-CHOOSE(Premissas!$B$6,Cenários!AU42,Cenários!AU88,Cenários!AU134),2)</f>
        <v>0</v>
      </c>
      <c r="AV42" s="84" t="n">
        <f aca="false">ROUND(AV32-CHOOSE(Premissas!$B$6,Cenários!AV42,Cenários!AV88,Cenários!AV134),2)</f>
        <v>0</v>
      </c>
      <c r="AW42" s="84" t="n">
        <f aca="false">ROUND(AW32-CHOOSE(Premissas!$B$6,Cenários!AW42,Cenários!AW88,Cenários!AW134),2)</f>
        <v>0</v>
      </c>
      <c r="AX42" s="84" t="n">
        <f aca="false">ROUND(AX32-CHOOSE(Premissas!$B$6,Cenários!AX42,Cenários!AX88,Cenários!AX134),2)</f>
        <v>0</v>
      </c>
      <c r="AY42" s="84" t="n">
        <f aca="false">ROUND(AY32-CHOOSE(Premissas!$B$6,Cenários!AY42,Cenários!AY88,Cenários!AY134),2)</f>
        <v>0</v>
      </c>
      <c r="AZ42" s="84" t="n">
        <f aca="false">ROUND(AZ32-CHOOSE(Premissas!$B$6,Cenários!AZ42,Cenários!AZ88,Cenários!AZ134),2)</f>
        <v>0</v>
      </c>
      <c r="BA42" s="84" t="n">
        <f aca="false">ROUND(BA32-CHOOSE(Premissas!$B$6,Cenários!BA42,Cenários!BA88,Cenários!BA134),2)</f>
        <v>0</v>
      </c>
      <c r="BB42" s="84" t="n">
        <f aca="false">ROUND(BB32-CHOOSE(Premissas!$B$6,Cenários!BB42,Cenários!BB88,Cenários!BB134),2)</f>
        <v>0</v>
      </c>
      <c r="BC42" s="84" t="n">
        <f aca="false">ROUND(BC32-CHOOSE(Premissas!$B$6,Cenários!BC42,Cenários!BC88,Cenários!BC134),2)</f>
        <v>0</v>
      </c>
      <c r="BD42" s="84" t="n">
        <f aca="false">ROUND(BD32-CHOOSE(Premissas!$B$6,Cenários!BD42,Cenários!BD88,Cenários!BD134),2)</f>
        <v>0</v>
      </c>
      <c r="BE42" s="84" t="n">
        <f aca="false">ROUND(BE32-CHOOSE(Premissas!$B$6,Cenários!BE42,Cenários!BE88,Cenários!BE134),2)</f>
        <v>0</v>
      </c>
      <c r="BF42" s="84" t="n">
        <f aca="false">ROUND(BF32-CHOOSE(Premissas!$B$6,Cenários!BF42,Cenários!BF88,Cenários!BF134),2)</f>
        <v>0</v>
      </c>
      <c r="BG42" s="84" t="n">
        <f aca="false">ROUND(BG32-CHOOSE(Premissas!$B$6,Cenários!BG42,Cenários!BG88,Cenários!BG134),2)</f>
        <v>0</v>
      </c>
      <c r="BH42" s="84" t="n">
        <f aca="false">ROUND(BH32-CHOOSE(Premissas!$B$6,Cenários!BH42,Cenários!BH88,Cenários!BH134),2)</f>
        <v>0</v>
      </c>
      <c r="BI42" s="84" t="n">
        <f aca="false">ROUND(BI32-CHOOSE(Premissas!$B$6,Cenários!BI42,Cenários!BI88,Cenários!BI134),2)</f>
        <v>0</v>
      </c>
      <c r="BJ42" s="191" t="n">
        <f aca="false">SUM(B42:BI42)</f>
        <v>0</v>
      </c>
      <c r="BK42" s="29" t="s">
        <v>797</v>
      </c>
    </row>
    <row r="44" customFormat="false" ht="18" hidden="false" customHeight="true" outlineLevel="0" collapsed="false">
      <c r="A44" s="25" t="s">
        <v>798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</row>
    <row r="45" customFormat="false" ht="15" hidden="false" customHeight="false" outlineLevel="0" collapsed="false">
      <c r="A45" s="27" t="s">
        <v>164</v>
      </c>
      <c r="B45" s="32" t="n">
        <f aca="false">NPV(Premissas!$B$19,B32:BI32)</f>
        <v>7237765.13824095</v>
      </c>
      <c r="D45" s="29" t="s">
        <v>799</v>
      </c>
    </row>
    <row r="46" customFormat="false" ht="15" hidden="false" customHeight="false" outlineLevel="0" collapsed="false">
      <c r="A46" s="27" t="s">
        <v>166</v>
      </c>
      <c r="B46" s="192" t="n">
        <f aca="false">IFERROR(IRR(B32:BI32),"n/d")</f>
        <v>0.14689889987841</v>
      </c>
      <c r="D46" s="29" t="s">
        <v>800</v>
      </c>
    </row>
    <row r="47" customFormat="false" ht="15" hidden="false" customHeight="false" outlineLevel="0" collapsed="false">
      <c r="A47" s="27" t="s">
        <v>167</v>
      </c>
      <c r="B47" s="41" t="n">
        <f aca="false">IFERROR((1+$B46)^12-1,"n/d")</f>
        <v>4.17966454279644</v>
      </c>
      <c r="D47" s="29" t="s">
        <v>801</v>
      </c>
    </row>
    <row r="48" customFormat="false" ht="15" hidden="false" customHeight="false" outlineLevel="0" collapsed="false">
      <c r="A48" s="27" t="s">
        <v>169</v>
      </c>
      <c r="B48" s="38" t="n">
        <f aca="false">IF(BI35&lt;0,"&gt; 60 meses",MAX(B40:BI40)+1)</f>
        <v>23</v>
      </c>
      <c r="D48" s="29" t="s">
        <v>170</v>
      </c>
    </row>
    <row r="49" customFormat="false" ht="15" hidden="false" customHeight="false" outlineLevel="0" collapsed="false">
      <c r="A49" s="27" t="s">
        <v>171</v>
      </c>
      <c r="B49" s="38" t="n">
        <f aca="false">IF(BI34&lt;0,"&gt; 60 meses",MAX(B41:BI41)+1)</f>
        <v>24</v>
      </c>
      <c r="D49" s="29" t="s">
        <v>802</v>
      </c>
    </row>
    <row r="50" customFormat="false" ht="15" hidden="false" customHeight="false" outlineLevel="0" collapsed="false">
      <c r="A50" s="27" t="s">
        <v>803</v>
      </c>
      <c r="B50" s="32" t="n">
        <f aca="false">-MIN(B35:BI35)</f>
        <v>350781.548699936</v>
      </c>
      <c r="D50" s="29" t="s">
        <v>804</v>
      </c>
    </row>
    <row r="51" customFormat="false" ht="15" hidden="false" customHeight="false" outlineLevel="0" collapsed="false">
      <c r="A51" s="27" t="s">
        <v>140</v>
      </c>
      <c r="B51" s="32" t="n">
        <f aca="false">MIN(B39:BI39)</f>
        <v>-180781.548699936</v>
      </c>
      <c r="D51" s="29" t="s">
        <v>805</v>
      </c>
    </row>
    <row r="52" customFormat="false" ht="15" hidden="false" customHeight="false" outlineLevel="0" collapsed="false">
      <c r="A52" s="27" t="s">
        <v>136</v>
      </c>
      <c r="B52" s="32" t="n">
        <f aca="false">-BJ13</f>
        <v>149127.82</v>
      </c>
    </row>
    <row r="53" customFormat="false" ht="15" hidden="false" customHeight="false" outlineLevel="0" collapsed="false">
      <c r="A53" s="27" t="s">
        <v>806</v>
      </c>
      <c r="B53" s="32" t="n">
        <f aca="false">BJ31</f>
        <v>62932363.0403721</v>
      </c>
    </row>
    <row r="54" customFormat="false" ht="15" hidden="false" customHeight="false" outlineLevel="0" collapsed="false">
      <c r="A54" s="27" t="s">
        <v>807</v>
      </c>
      <c r="B54" s="32" t="n">
        <f aca="false">BJ32</f>
        <v>17905907.5555274</v>
      </c>
    </row>
    <row r="55" customFormat="false" ht="15" hidden="false" customHeight="false" outlineLevel="0" collapsed="false">
      <c r="A55" s="27" t="s">
        <v>174</v>
      </c>
      <c r="B55" s="37" t="n">
        <f aca="false">IFERROR(BJ32/$B50,0)</f>
        <v>51.045750900782</v>
      </c>
      <c r="D55" s="29" t="s">
        <v>808</v>
      </c>
    </row>
    <row r="56" customFormat="false" ht="15" hidden="false" customHeight="false" outlineLevel="0" collapsed="false">
      <c r="A56" s="27" t="s">
        <v>809</v>
      </c>
      <c r="B56" s="176" t="n">
        <f aca="false">Premissas!$B$18</f>
        <v>0.25</v>
      </c>
    </row>
    <row r="57" customFormat="false" ht="15" hidden="false" customHeight="false" outlineLevel="0" collapsed="false">
      <c r="A57" s="27" t="s">
        <v>810</v>
      </c>
      <c r="B57" s="192" t="n">
        <f aca="false">IFERROR(-BJ26/BJ31,0)</f>
        <v>0.165654305694242</v>
      </c>
    </row>
    <row r="59" customFormat="false" ht="18" hidden="false" customHeight="true" outlineLevel="0" collapsed="false">
      <c r="A59" s="25" t="s">
        <v>811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</row>
    <row r="60" customFormat="false" ht="15" hidden="false" customHeight="false" outlineLevel="0" collapsed="false">
      <c r="A60" s="27" t="s">
        <v>812</v>
      </c>
      <c r="B60" s="193" t="n">
        <f aca="false">Premissas!$B$29</f>
        <v>19.9</v>
      </c>
    </row>
    <row r="61" customFormat="false" ht="15" hidden="false" customHeight="false" outlineLevel="0" collapsed="false">
      <c r="A61" s="27" t="s">
        <v>813</v>
      </c>
      <c r="B61" s="193" t="n">
        <f aca="false">Premissas!$B$30</f>
        <v>39.9</v>
      </c>
    </row>
    <row r="62" customFormat="false" ht="15" hidden="false" customHeight="false" outlineLevel="0" collapsed="false">
      <c r="A62" s="27" t="s">
        <v>814</v>
      </c>
      <c r="B62" s="193" t="n">
        <f aca="false">Premissas!$B$31</f>
        <v>79.9</v>
      </c>
    </row>
    <row r="63" customFormat="false" ht="15" hidden="false" customHeight="false" outlineLevel="0" collapsed="false">
      <c r="A63" s="27" t="s">
        <v>815</v>
      </c>
      <c r="B63" s="194" t="n">
        <f aca="false">Premissas!$B$73</f>
        <v>0.15</v>
      </c>
    </row>
    <row r="64" customFormat="false" ht="15" hidden="false" customHeight="false" outlineLevel="0" collapsed="false">
      <c r="A64" s="27" t="s">
        <v>816</v>
      </c>
      <c r="B64" s="194" t="n">
        <f aca="false">Premissas!$B$97</f>
        <v>0.1</v>
      </c>
    </row>
    <row r="65" customFormat="false" ht="15" hidden="false" customHeight="false" outlineLevel="0" collapsed="false">
      <c r="A65" s="27" t="s">
        <v>817</v>
      </c>
      <c r="B65" s="194" t="n">
        <f aca="false">Premissas!$B$18</f>
        <v>0.25</v>
      </c>
    </row>
    <row r="66" customFormat="false" ht="15" hidden="false" customHeight="false" outlineLevel="0" collapsed="false">
      <c r="A66" s="27" t="s">
        <v>818</v>
      </c>
      <c r="B66" s="195" t="n">
        <f aca="false">Premissas!$B$20</f>
        <v>36</v>
      </c>
    </row>
    <row r="67" customFormat="false" ht="15" hidden="false" customHeight="false" outlineLevel="0" collapsed="false">
      <c r="A67" s="27" t="s">
        <v>819</v>
      </c>
      <c r="B67" s="195" t="n">
        <f aca="false">Premissas!$B$15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B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1" min="2" style="0" width="11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820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79" t="str">
        <f aca="false">" Cenário ativo: "&amp;Premissas!B7</f>
        <v> Cenário ativo: PROVÁVEL</v>
      </c>
    </row>
    <row r="4" customFormat="false" ht="15" hidden="false" customHeight="false" outlineLevel="0" collapsed="false">
      <c r="A4" s="52" t="s">
        <v>229</v>
      </c>
      <c r="B4" s="53" t="n">
        <v>46023</v>
      </c>
      <c r="C4" s="53" t="n">
        <v>46054</v>
      </c>
      <c r="D4" s="53" t="n">
        <v>46082</v>
      </c>
      <c r="E4" s="53" t="n">
        <v>46113</v>
      </c>
      <c r="F4" s="53" t="n">
        <v>46143</v>
      </c>
      <c r="G4" s="53" t="n">
        <v>46174</v>
      </c>
      <c r="H4" s="53" t="n">
        <v>46204</v>
      </c>
      <c r="I4" s="53" t="n">
        <v>46235</v>
      </c>
      <c r="J4" s="53" t="n">
        <v>46266</v>
      </c>
      <c r="K4" s="53" t="n">
        <v>46296</v>
      </c>
      <c r="L4" s="53" t="n">
        <v>46327</v>
      </c>
      <c r="M4" s="53" t="n">
        <v>46357</v>
      </c>
      <c r="N4" s="53" t="n">
        <v>46388</v>
      </c>
      <c r="O4" s="53" t="n">
        <v>46419</v>
      </c>
      <c r="P4" s="53" t="n">
        <v>46447</v>
      </c>
      <c r="Q4" s="53" t="n">
        <v>46478</v>
      </c>
      <c r="R4" s="53" t="n">
        <v>46508</v>
      </c>
      <c r="S4" s="53" t="n">
        <v>46539</v>
      </c>
      <c r="T4" s="53" t="n">
        <v>46569</v>
      </c>
      <c r="U4" s="53" t="n">
        <v>46600</v>
      </c>
      <c r="V4" s="53" t="n">
        <v>46631</v>
      </c>
      <c r="W4" s="53" t="n">
        <v>46661</v>
      </c>
      <c r="X4" s="53" t="n">
        <v>46692</v>
      </c>
      <c r="Y4" s="53" t="n">
        <v>46722</v>
      </c>
      <c r="Z4" s="53" t="n">
        <v>46753</v>
      </c>
      <c r="AA4" s="53" t="n">
        <v>46784</v>
      </c>
      <c r="AB4" s="53" t="n">
        <v>46813</v>
      </c>
      <c r="AC4" s="53" t="n">
        <v>46844</v>
      </c>
      <c r="AD4" s="53" t="n">
        <v>46874</v>
      </c>
      <c r="AE4" s="53" t="n">
        <v>46905</v>
      </c>
      <c r="AF4" s="53" t="n">
        <v>46935</v>
      </c>
      <c r="AG4" s="53" t="n">
        <v>46966</v>
      </c>
      <c r="AH4" s="53" t="n">
        <v>46997</v>
      </c>
      <c r="AI4" s="53" t="n">
        <v>47027</v>
      </c>
      <c r="AJ4" s="53" t="n">
        <v>47058</v>
      </c>
      <c r="AK4" s="53" t="n">
        <v>47088</v>
      </c>
      <c r="AL4" s="53" t="n">
        <v>47119</v>
      </c>
      <c r="AM4" s="53" t="n">
        <v>47150</v>
      </c>
      <c r="AN4" s="53" t="n">
        <v>47178</v>
      </c>
      <c r="AO4" s="53" t="n">
        <v>47209</v>
      </c>
      <c r="AP4" s="53" t="n">
        <v>47239</v>
      </c>
      <c r="AQ4" s="53" t="n">
        <v>47270</v>
      </c>
      <c r="AR4" s="53" t="n">
        <v>47300</v>
      </c>
      <c r="AS4" s="53" t="n">
        <v>47331</v>
      </c>
      <c r="AT4" s="53" t="n">
        <v>47362</v>
      </c>
      <c r="AU4" s="53" t="n">
        <v>47392</v>
      </c>
      <c r="AV4" s="53" t="n">
        <v>47423</v>
      </c>
      <c r="AW4" s="53" t="n">
        <v>47453</v>
      </c>
      <c r="AX4" s="53" t="n">
        <v>47484</v>
      </c>
      <c r="AY4" s="53" t="n">
        <v>47515</v>
      </c>
      <c r="AZ4" s="53" t="n">
        <v>47543</v>
      </c>
      <c r="BA4" s="53" t="n">
        <v>47574</v>
      </c>
      <c r="BB4" s="53" t="n">
        <v>47604</v>
      </c>
      <c r="BC4" s="53" t="n">
        <v>47635</v>
      </c>
      <c r="BD4" s="53" t="n">
        <v>47665</v>
      </c>
      <c r="BE4" s="53" t="n">
        <v>47696</v>
      </c>
      <c r="BF4" s="53" t="n">
        <v>47727</v>
      </c>
      <c r="BG4" s="53" t="n">
        <v>47757</v>
      </c>
      <c r="BH4" s="53" t="n">
        <v>47788</v>
      </c>
      <c r="BI4" s="53" t="n">
        <v>47818</v>
      </c>
      <c r="BJ4" s="54" t="s">
        <v>230</v>
      </c>
      <c r="BK4" s="54" t="s">
        <v>231</v>
      </c>
    </row>
    <row r="5" customFormat="false" ht="15" hidden="false" customHeight="false" outlineLevel="0" collapsed="false">
      <c r="A5" s="55" t="s">
        <v>232</v>
      </c>
      <c r="B5" s="56" t="n">
        <v>1</v>
      </c>
      <c r="C5" s="56" t="n">
        <v>2</v>
      </c>
      <c r="D5" s="56" t="n">
        <v>3</v>
      </c>
      <c r="E5" s="56" t="n">
        <v>4</v>
      </c>
      <c r="F5" s="56" t="n">
        <v>5</v>
      </c>
      <c r="G5" s="56" t="n">
        <v>6</v>
      </c>
      <c r="H5" s="56" t="n">
        <v>7</v>
      </c>
      <c r="I5" s="56" t="n">
        <v>8</v>
      </c>
      <c r="J5" s="56" t="n">
        <v>9</v>
      </c>
      <c r="K5" s="56" t="n">
        <v>10</v>
      </c>
      <c r="L5" s="56" t="n">
        <v>11</v>
      </c>
      <c r="M5" s="56" t="n">
        <v>12</v>
      </c>
      <c r="N5" s="56" t="n">
        <v>13</v>
      </c>
      <c r="O5" s="56" t="n">
        <v>14</v>
      </c>
      <c r="P5" s="56" t="n">
        <v>15</v>
      </c>
      <c r="Q5" s="56" t="n">
        <v>16</v>
      </c>
      <c r="R5" s="56" t="n">
        <v>17</v>
      </c>
      <c r="S5" s="56" t="n">
        <v>18</v>
      </c>
      <c r="T5" s="56" t="n">
        <v>19</v>
      </c>
      <c r="U5" s="56" t="n">
        <v>20</v>
      </c>
      <c r="V5" s="56" t="n">
        <v>21</v>
      </c>
      <c r="W5" s="56" t="n">
        <v>22</v>
      </c>
      <c r="X5" s="56" t="n">
        <v>23</v>
      </c>
      <c r="Y5" s="56" t="n">
        <v>24</v>
      </c>
      <c r="Z5" s="56" t="n">
        <v>25</v>
      </c>
      <c r="AA5" s="56" t="n">
        <v>26</v>
      </c>
      <c r="AB5" s="56" t="n">
        <v>27</v>
      </c>
      <c r="AC5" s="56" t="n">
        <v>28</v>
      </c>
      <c r="AD5" s="56" t="n">
        <v>29</v>
      </c>
      <c r="AE5" s="56" t="n">
        <v>30</v>
      </c>
      <c r="AF5" s="56" t="n">
        <v>31</v>
      </c>
      <c r="AG5" s="56" t="n">
        <v>32</v>
      </c>
      <c r="AH5" s="56" t="n">
        <v>33</v>
      </c>
      <c r="AI5" s="56" t="n">
        <v>34</v>
      </c>
      <c r="AJ5" s="56" t="n">
        <v>35</v>
      </c>
      <c r="AK5" s="56" t="n">
        <v>36</v>
      </c>
      <c r="AL5" s="56" t="n">
        <v>37</v>
      </c>
      <c r="AM5" s="56" t="n">
        <v>38</v>
      </c>
      <c r="AN5" s="56" t="n">
        <v>39</v>
      </c>
      <c r="AO5" s="56" t="n">
        <v>40</v>
      </c>
      <c r="AP5" s="56" t="n">
        <v>41</v>
      </c>
      <c r="AQ5" s="56" t="n">
        <v>42</v>
      </c>
      <c r="AR5" s="56" t="n">
        <v>43</v>
      </c>
      <c r="AS5" s="56" t="n">
        <v>44</v>
      </c>
      <c r="AT5" s="56" t="n">
        <v>45</v>
      </c>
      <c r="AU5" s="56" t="n">
        <v>46</v>
      </c>
      <c r="AV5" s="56" t="n">
        <v>47</v>
      </c>
      <c r="AW5" s="56" t="n">
        <v>48</v>
      </c>
      <c r="AX5" s="56" t="n">
        <v>49</v>
      </c>
      <c r="AY5" s="56" t="n">
        <v>50</v>
      </c>
      <c r="AZ5" s="56" t="n">
        <v>51</v>
      </c>
      <c r="BA5" s="56" t="n">
        <v>52</v>
      </c>
      <c r="BB5" s="56" t="n">
        <v>53</v>
      </c>
      <c r="BC5" s="56" t="n">
        <v>54</v>
      </c>
      <c r="BD5" s="56" t="n">
        <v>55</v>
      </c>
      <c r="BE5" s="56" t="n">
        <v>56</v>
      </c>
      <c r="BF5" s="56" t="n">
        <v>57</v>
      </c>
      <c r="BG5" s="56" t="n">
        <v>58</v>
      </c>
      <c r="BH5" s="56" t="n">
        <v>59</v>
      </c>
      <c r="BI5" s="56" t="n">
        <v>60</v>
      </c>
    </row>
    <row r="6" customFormat="false" ht="15" hidden="false" customHeight="false" outlineLevel="0" collapsed="false">
      <c r="A6" s="55" t="s">
        <v>233</v>
      </c>
      <c r="B6" s="57" t="n">
        <f aca="false">YEAR(B4)</f>
        <v>2026</v>
      </c>
      <c r="C6" s="57" t="n">
        <f aca="false">YEAR(C4)</f>
        <v>2026</v>
      </c>
      <c r="D6" s="57" t="n">
        <f aca="false">YEAR(D4)</f>
        <v>2026</v>
      </c>
      <c r="E6" s="57" t="n">
        <f aca="false">YEAR(E4)</f>
        <v>2026</v>
      </c>
      <c r="F6" s="57" t="n">
        <f aca="false">YEAR(F4)</f>
        <v>2026</v>
      </c>
      <c r="G6" s="57" t="n">
        <f aca="false">YEAR(G4)</f>
        <v>2026</v>
      </c>
      <c r="H6" s="57" t="n">
        <f aca="false">YEAR(H4)</f>
        <v>2026</v>
      </c>
      <c r="I6" s="57" t="n">
        <f aca="false">YEAR(I4)</f>
        <v>2026</v>
      </c>
      <c r="J6" s="57" t="n">
        <f aca="false">YEAR(J4)</f>
        <v>2026</v>
      </c>
      <c r="K6" s="57" t="n">
        <f aca="false">YEAR(K4)</f>
        <v>2026</v>
      </c>
      <c r="L6" s="57" t="n">
        <f aca="false">YEAR(L4)</f>
        <v>2026</v>
      </c>
      <c r="M6" s="57" t="n">
        <f aca="false">YEAR(M4)</f>
        <v>2026</v>
      </c>
      <c r="N6" s="57" t="n">
        <f aca="false">YEAR(N4)</f>
        <v>2027</v>
      </c>
      <c r="O6" s="57" t="n">
        <f aca="false">YEAR(O4)</f>
        <v>2027</v>
      </c>
      <c r="P6" s="57" t="n">
        <f aca="false">YEAR(P4)</f>
        <v>2027</v>
      </c>
      <c r="Q6" s="57" t="n">
        <f aca="false">YEAR(Q4)</f>
        <v>2027</v>
      </c>
      <c r="R6" s="57" t="n">
        <f aca="false">YEAR(R4)</f>
        <v>2027</v>
      </c>
      <c r="S6" s="57" t="n">
        <f aca="false">YEAR(S4)</f>
        <v>2027</v>
      </c>
      <c r="T6" s="57" t="n">
        <f aca="false">YEAR(T4)</f>
        <v>2027</v>
      </c>
      <c r="U6" s="57" t="n">
        <f aca="false">YEAR(U4)</f>
        <v>2027</v>
      </c>
      <c r="V6" s="57" t="n">
        <f aca="false">YEAR(V4)</f>
        <v>2027</v>
      </c>
      <c r="W6" s="57" t="n">
        <f aca="false">YEAR(W4)</f>
        <v>2027</v>
      </c>
      <c r="X6" s="57" t="n">
        <f aca="false">YEAR(X4)</f>
        <v>2027</v>
      </c>
      <c r="Y6" s="57" t="n">
        <f aca="false">YEAR(Y4)</f>
        <v>2027</v>
      </c>
      <c r="Z6" s="57" t="n">
        <f aca="false">YEAR(Z4)</f>
        <v>2028</v>
      </c>
      <c r="AA6" s="57" t="n">
        <f aca="false">YEAR(AA4)</f>
        <v>2028</v>
      </c>
      <c r="AB6" s="57" t="n">
        <f aca="false">YEAR(AB4)</f>
        <v>2028</v>
      </c>
      <c r="AC6" s="57" t="n">
        <f aca="false">YEAR(AC4)</f>
        <v>2028</v>
      </c>
      <c r="AD6" s="57" t="n">
        <f aca="false">YEAR(AD4)</f>
        <v>2028</v>
      </c>
      <c r="AE6" s="57" t="n">
        <f aca="false">YEAR(AE4)</f>
        <v>2028</v>
      </c>
      <c r="AF6" s="57" t="n">
        <f aca="false">YEAR(AF4)</f>
        <v>2028</v>
      </c>
      <c r="AG6" s="57" t="n">
        <f aca="false">YEAR(AG4)</f>
        <v>2028</v>
      </c>
      <c r="AH6" s="57" t="n">
        <f aca="false">YEAR(AH4)</f>
        <v>2028</v>
      </c>
      <c r="AI6" s="57" t="n">
        <f aca="false">YEAR(AI4)</f>
        <v>2028</v>
      </c>
      <c r="AJ6" s="57" t="n">
        <f aca="false">YEAR(AJ4)</f>
        <v>2028</v>
      </c>
      <c r="AK6" s="57" t="n">
        <f aca="false">YEAR(AK4)</f>
        <v>2028</v>
      </c>
      <c r="AL6" s="57" t="n">
        <f aca="false">YEAR(AL4)</f>
        <v>2029</v>
      </c>
      <c r="AM6" s="57" t="n">
        <f aca="false">YEAR(AM4)</f>
        <v>2029</v>
      </c>
      <c r="AN6" s="57" t="n">
        <f aca="false">YEAR(AN4)</f>
        <v>2029</v>
      </c>
      <c r="AO6" s="57" t="n">
        <f aca="false">YEAR(AO4)</f>
        <v>2029</v>
      </c>
      <c r="AP6" s="57" t="n">
        <f aca="false">YEAR(AP4)</f>
        <v>2029</v>
      </c>
      <c r="AQ6" s="57" t="n">
        <f aca="false">YEAR(AQ4)</f>
        <v>2029</v>
      </c>
      <c r="AR6" s="57" t="n">
        <f aca="false">YEAR(AR4)</f>
        <v>2029</v>
      </c>
      <c r="AS6" s="57" t="n">
        <f aca="false">YEAR(AS4)</f>
        <v>2029</v>
      </c>
      <c r="AT6" s="57" t="n">
        <f aca="false">YEAR(AT4)</f>
        <v>2029</v>
      </c>
      <c r="AU6" s="57" t="n">
        <f aca="false">YEAR(AU4)</f>
        <v>2029</v>
      </c>
      <c r="AV6" s="57" t="n">
        <f aca="false">YEAR(AV4)</f>
        <v>2029</v>
      </c>
      <c r="AW6" s="57" t="n">
        <f aca="false">YEAR(AW4)</f>
        <v>2029</v>
      </c>
      <c r="AX6" s="57" t="n">
        <f aca="false">YEAR(AX4)</f>
        <v>2030</v>
      </c>
      <c r="AY6" s="57" t="n">
        <f aca="false">YEAR(AY4)</f>
        <v>2030</v>
      </c>
      <c r="AZ6" s="57" t="n">
        <f aca="false">YEAR(AZ4)</f>
        <v>2030</v>
      </c>
      <c r="BA6" s="57" t="n">
        <f aca="false">YEAR(BA4)</f>
        <v>2030</v>
      </c>
      <c r="BB6" s="57" t="n">
        <f aca="false">YEAR(BB4)</f>
        <v>2030</v>
      </c>
      <c r="BC6" s="57" t="n">
        <f aca="false">YEAR(BC4)</f>
        <v>2030</v>
      </c>
      <c r="BD6" s="57" t="n">
        <f aca="false">YEAR(BD4)</f>
        <v>2030</v>
      </c>
      <c r="BE6" s="57" t="n">
        <f aca="false">YEAR(BE4)</f>
        <v>2030</v>
      </c>
      <c r="BF6" s="57" t="n">
        <f aca="false">YEAR(BF4)</f>
        <v>2030</v>
      </c>
      <c r="BG6" s="57" t="n">
        <f aca="false">YEAR(BG4)</f>
        <v>2030</v>
      </c>
      <c r="BH6" s="57" t="n">
        <f aca="false">YEAR(BH4)</f>
        <v>2030</v>
      </c>
      <c r="BI6" s="57" t="n">
        <f aca="false">YEAR(BI4)</f>
        <v>2030</v>
      </c>
    </row>
    <row r="7" customFormat="false" ht="15" hidden="false" customHeight="false" outlineLevel="0" collapsed="false">
      <c r="A7" s="58" t="s">
        <v>234</v>
      </c>
      <c r="B7" s="59" t="n">
        <f aca="false">MATCH(B6,Premissas!$C$5:$G$5,0)</f>
        <v>1</v>
      </c>
      <c r="C7" s="59" t="n">
        <f aca="false">MATCH(C6,Premissas!$C$5:$G$5,0)</f>
        <v>1</v>
      </c>
      <c r="D7" s="59" t="n">
        <f aca="false">MATCH(D6,Premissas!$C$5:$G$5,0)</f>
        <v>1</v>
      </c>
      <c r="E7" s="59" t="n">
        <f aca="false">MATCH(E6,Premissas!$C$5:$G$5,0)</f>
        <v>1</v>
      </c>
      <c r="F7" s="59" t="n">
        <f aca="false">MATCH(F6,Premissas!$C$5:$G$5,0)</f>
        <v>1</v>
      </c>
      <c r="G7" s="59" t="n">
        <f aca="false">MATCH(G6,Premissas!$C$5:$G$5,0)</f>
        <v>1</v>
      </c>
      <c r="H7" s="59" t="n">
        <f aca="false">MATCH(H6,Premissas!$C$5:$G$5,0)</f>
        <v>1</v>
      </c>
      <c r="I7" s="59" t="n">
        <f aca="false">MATCH(I6,Premissas!$C$5:$G$5,0)</f>
        <v>1</v>
      </c>
      <c r="J7" s="59" t="n">
        <f aca="false">MATCH(J6,Premissas!$C$5:$G$5,0)</f>
        <v>1</v>
      </c>
      <c r="K7" s="59" t="n">
        <f aca="false">MATCH(K6,Premissas!$C$5:$G$5,0)</f>
        <v>1</v>
      </c>
      <c r="L7" s="59" t="n">
        <f aca="false">MATCH(L6,Premissas!$C$5:$G$5,0)</f>
        <v>1</v>
      </c>
      <c r="M7" s="59" t="n">
        <f aca="false">MATCH(M6,Premissas!$C$5:$G$5,0)</f>
        <v>1</v>
      </c>
      <c r="N7" s="59" t="n">
        <f aca="false">MATCH(N6,Premissas!$C$5:$G$5,0)</f>
        <v>2</v>
      </c>
      <c r="O7" s="59" t="n">
        <f aca="false">MATCH(O6,Premissas!$C$5:$G$5,0)</f>
        <v>2</v>
      </c>
      <c r="P7" s="59" t="n">
        <f aca="false">MATCH(P6,Premissas!$C$5:$G$5,0)</f>
        <v>2</v>
      </c>
      <c r="Q7" s="59" t="n">
        <f aca="false">MATCH(Q6,Premissas!$C$5:$G$5,0)</f>
        <v>2</v>
      </c>
      <c r="R7" s="59" t="n">
        <f aca="false">MATCH(R6,Premissas!$C$5:$G$5,0)</f>
        <v>2</v>
      </c>
      <c r="S7" s="59" t="n">
        <f aca="false">MATCH(S6,Premissas!$C$5:$G$5,0)</f>
        <v>2</v>
      </c>
      <c r="T7" s="59" t="n">
        <f aca="false">MATCH(T6,Premissas!$C$5:$G$5,0)</f>
        <v>2</v>
      </c>
      <c r="U7" s="59" t="n">
        <f aca="false">MATCH(U6,Premissas!$C$5:$G$5,0)</f>
        <v>2</v>
      </c>
      <c r="V7" s="59" t="n">
        <f aca="false">MATCH(V6,Premissas!$C$5:$G$5,0)</f>
        <v>2</v>
      </c>
      <c r="W7" s="59" t="n">
        <f aca="false">MATCH(W6,Premissas!$C$5:$G$5,0)</f>
        <v>2</v>
      </c>
      <c r="X7" s="59" t="n">
        <f aca="false">MATCH(X6,Premissas!$C$5:$G$5,0)</f>
        <v>2</v>
      </c>
      <c r="Y7" s="59" t="n">
        <f aca="false">MATCH(Y6,Premissas!$C$5:$G$5,0)</f>
        <v>2</v>
      </c>
      <c r="Z7" s="59" t="n">
        <f aca="false">MATCH(Z6,Premissas!$C$5:$G$5,0)</f>
        <v>3</v>
      </c>
      <c r="AA7" s="59" t="n">
        <f aca="false">MATCH(AA6,Premissas!$C$5:$G$5,0)</f>
        <v>3</v>
      </c>
      <c r="AB7" s="59" t="n">
        <f aca="false">MATCH(AB6,Premissas!$C$5:$G$5,0)</f>
        <v>3</v>
      </c>
      <c r="AC7" s="59" t="n">
        <f aca="false">MATCH(AC6,Premissas!$C$5:$G$5,0)</f>
        <v>3</v>
      </c>
      <c r="AD7" s="59" t="n">
        <f aca="false">MATCH(AD6,Premissas!$C$5:$G$5,0)</f>
        <v>3</v>
      </c>
      <c r="AE7" s="59" t="n">
        <f aca="false">MATCH(AE6,Premissas!$C$5:$G$5,0)</f>
        <v>3</v>
      </c>
      <c r="AF7" s="59" t="n">
        <f aca="false">MATCH(AF6,Premissas!$C$5:$G$5,0)</f>
        <v>3</v>
      </c>
      <c r="AG7" s="59" t="n">
        <f aca="false">MATCH(AG6,Premissas!$C$5:$G$5,0)</f>
        <v>3</v>
      </c>
      <c r="AH7" s="59" t="n">
        <f aca="false">MATCH(AH6,Premissas!$C$5:$G$5,0)</f>
        <v>3</v>
      </c>
      <c r="AI7" s="59" t="n">
        <f aca="false">MATCH(AI6,Premissas!$C$5:$G$5,0)</f>
        <v>3</v>
      </c>
      <c r="AJ7" s="59" t="n">
        <f aca="false">MATCH(AJ6,Premissas!$C$5:$G$5,0)</f>
        <v>3</v>
      </c>
      <c r="AK7" s="59" t="n">
        <f aca="false">MATCH(AK6,Premissas!$C$5:$G$5,0)</f>
        <v>3</v>
      </c>
      <c r="AL7" s="59" t="n">
        <f aca="false">MATCH(AL6,Premissas!$C$5:$G$5,0)</f>
        <v>4</v>
      </c>
      <c r="AM7" s="59" t="n">
        <f aca="false">MATCH(AM6,Premissas!$C$5:$G$5,0)</f>
        <v>4</v>
      </c>
      <c r="AN7" s="59" t="n">
        <f aca="false">MATCH(AN6,Premissas!$C$5:$G$5,0)</f>
        <v>4</v>
      </c>
      <c r="AO7" s="59" t="n">
        <f aca="false">MATCH(AO6,Premissas!$C$5:$G$5,0)</f>
        <v>4</v>
      </c>
      <c r="AP7" s="59" t="n">
        <f aca="false">MATCH(AP6,Premissas!$C$5:$G$5,0)</f>
        <v>4</v>
      </c>
      <c r="AQ7" s="59" t="n">
        <f aca="false">MATCH(AQ6,Premissas!$C$5:$G$5,0)</f>
        <v>4</v>
      </c>
      <c r="AR7" s="59" t="n">
        <f aca="false">MATCH(AR6,Premissas!$C$5:$G$5,0)</f>
        <v>4</v>
      </c>
      <c r="AS7" s="59" t="n">
        <f aca="false">MATCH(AS6,Premissas!$C$5:$G$5,0)</f>
        <v>4</v>
      </c>
      <c r="AT7" s="59" t="n">
        <f aca="false">MATCH(AT6,Premissas!$C$5:$G$5,0)</f>
        <v>4</v>
      </c>
      <c r="AU7" s="59" t="n">
        <f aca="false">MATCH(AU6,Premissas!$C$5:$G$5,0)</f>
        <v>4</v>
      </c>
      <c r="AV7" s="59" t="n">
        <f aca="false">MATCH(AV6,Premissas!$C$5:$G$5,0)</f>
        <v>4</v>
      </c>
      <c r="AW7" s="59" t="n">
        <f aca="false">MATCH(AW6,Premissas!$C$5:$G$5,0)</f>
        <v>4</v>
      </c>
      <c r="AX7" s="59" t="n">
        <f aca="false">MATCH(AX6,Premissas!$C$5:$G$5,0)</f>
        <v>5</v>
      </c>
      <c r="AY7" s="59" t="n">
        <f aca="false">MATCH(AY6,Premissas!$C$5:$G$5,0)</f>
        <v>5</v>
      </c>
      <c r="AZ7" s="59" t="n">
        <f aca="false">MATCH(AZ6,Premissas!$C$5:$G$5,0)</f>
        <v>5</v>
      </c>
      <c r="BA7" s="59" t="n">
        <f aca="false">MATCH(BA6,Premissas!$C$5:$G$5,0)</f>
        <v>5</v>
      </c>
      <c r="BB7" s="59" t="n">
        <f aca="false">MATCH(BB6,Premissas!$C$5:$G$5,0)</f>
        <v>5</v>
      </c>
      <c r="BC7" s="59" t="n">
        <f aca="false">MATCH(BC6,Premissas!$C$5:$G$5,0)</f>
        <v>5</v>
      </c>
      <c r="BD7" s="59" t="n">
        <f aca="false">MATCH(BD6,Premissas!$C$5:$G$5,0)</f>
        <v>5</v>
      </c>
      <c r="BE7" s="59" t="n">
        <f aca="false">MATCH(BE6,Premissas!$C$5:$G$5,0)</f>
        <v>5</v>
      </c>
      <c r="BF7" s="59" t="n">
        <f aca="false">MATCH(BF6,Premissas!$C$5:$G$5,0)</f>
        <v>5</v>
      </c>
      <c r="BG7" s="59" t="n">
        <f aca="false">MATCH(BG6,Premissas!$C$5:$G$5,0)</f>
        <v>5</v>
      </c>
      <c r="BH7" s="59" t="n">
        <f aca="false">MATCH(BH6,Premissas!$C$5:$G$5,0)</f>
        <v>5</v>
      </c>
      <c r="BI7" s="59" t="n">
        <f aca="false">MATCH(BI6,Premissas!$C$5:$G$5,0)</f>
        <v>5</v>
      </c>
    </row>
    <row r="8" customFormat="false" ht="18" hidden="false" customHeight="true" outlineLevel="0" collapsed="false">
      <c r="A8" s="25" t="s">
        <v>754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customFormat="false" ht="15" hidden="false" customHeight="false" outlineLevel="0" collapsed="false">
      <c r="A9" s="27" t="s">
        <v>712</v>
      </c>
      <c r="B9" s="67" t="n">
        <f aca="false">CHOOSE(Premissas!$B$6,Cenários!B20,Cenários!B66,Cenários!B112)</f>
        <v>0</v>
      </c>
      <c r="C9" s="67" t="n">
        <f aca="false">CHOOSE(Premissas!$B$6,Cenários!C20,Cenários!C66,Cenários!C112)</f>
        <v>0</v>
      </c>
      <c r="D9" s="67" t="n">
        <f aca="false">CHOOSE(Premissas!$B$6,Cenários!D20,Cenários!D66,Cenários!D112)</f>
        <v>0</v>
      </c>
      <c r="E9" s="67" t="n">
        <f aca="false">CHOOSE(Premissas!$B$6,Cenários!E20,Cenários!E66,Cenários!E112)</f>
        <v>0</v>
      </c>
      <c r="F9" s="67" t="n">
        <f aca="false">CHOOSE(Premissas!$B$6,Cenários!F20,Cenários!F66,Cenários!F112)</f>
        <v>0</v>
      </c>
      <c r="G9" s="67" t="n">
        <f aca="false">CHOOSE(Premissas!$B$6,Cenários!G20,Cenários!G66,Cenários!G112)</f>
        <v>0</v>
      </c>
      <c r="H9" s="67" t="n">
        <f aca="false">CHOOSE(Premissas!$B$6,Cenários!H20,Cenários!H66,Cenários!H112)</f>
        <v>0</v>
      </c>
      <c r="I9" s="67" t="n">
        <f aca="false">CHOOSE(Premissas!$B$6,Cenários!I20,Cenários!I66,Cenários!I112)</f>
        <v>0</v>
      </c>
      <c r="J9" s="67" t="n">
        <f aca="false">CHOOSE(Premissas!$B$6,Cenários!J20,Cenários!J66,Cenários!J112)</f>
        <v>0</v>
      </c>
      <c r="K9" s="67" t="n">
        <f aca="false">CHOOSE(Premissas!$B$6,Cenários!K20,Cenários!K66,Cenários!K112)</f>
        <v>3004.9</v>
      </c>
      <c r="L9" s="67" t="n">
        <f aca="false">CHOOSE(Premissas!$B$6,Cenários!L20,Cenários!L66,Cenários!L112)</f>
        <v>11522.1</v>
      </c>
      <c r="M9" s="67" t="n">
        <f aca="false">CHOOSE(Premissas!$B$6,Cenários!M20,Cenários!M66,Cenários!M112)</f>
        <v>24914.8</v>
      </c>
      <c r="N9" s="67" t="n">
        <f aca="false">CHOOSE(Premissas!$B$6,Cenários!N20,Cenários!N66,Cenários!N112)</f>
        <v>54983.302</v>
      </c>
      <c r="O9" s="67" t="n">
        <f aca="false">CHOOSE(Premissas!$B$6,Cenários!O20,Cenários!O66,Cenários!O112)</f>
        <v>88983.9445</v>
      </c>
      <c r="P9" s="67" t="n">
        <f aca="false">CHOOSE(Premissas!$B$6,Cenários!P20,Cenários!P66,Cenários!P112)</f>
        <v>129223.237</v>
      </c>
      <c r="Q9" s="67" t="n">
        <f aca="false">CHOOSE(Premissas!$B$6,Cenários!Q20,Cenários!Q66,Cenários!Q112)</f>
        <v>116995.483</v>
      </c>
      <c r="R9" s="67" t="n">
        <f aca="false">CHOOSE(Premissas!$B$6,Cenários!R20,Cenários!R66,Cenários!R112)</f>
        <v>131989.0385</v>
      </c>
      <c r="S9" s="67" t="n">
        <f aca="false">CHOOSE(Premissas!$B$6,Cenários!S20,Cenários!S66,Cenários!S112)</f>
        <v>145838.8415</v>
      </c>
      <c r="T9" s="67" t="n">
        <f aca="false">CHOOSE(Premissas!$B$6,Cenários!T20,Cenários!T66,Cenários!T112)</f>
        <v>158648.8695</v>
      </c>
      <c r="U9" s="67" t="n">
        <f aca="false">CHOOSE(Premissas!$B$6,Cenários!U20,Cenários!U66,Cenários!U112)</f>
        <v>170502.3045</v>
      </c>
      <c r="V9" s="67" t="n">
        <f aca="false">CHOOSE(Premissas!$B$6,Cenários!V20,Cenários!V66,Cenários!V112)</f>
        <v>181461.533</v>
      </c>
      <c r="W9" s="67" t="n">
        <f aca="false">CHOOSE(Premissas!$B$6,Cenários!W20,Cenários!W66,Cenários!W112)</f>
        <v>176844.932</v>
      </c>
      <c r="X9" s="67" t="n">
        <f aca="false">CHOOSE(Premissas!$B$6,Cenários!X20,Cenários!X66,Cenários!X112)</f>
        <v>185516.6555</v>
      </c>
      <c r="Y9" s="67" t="n">
        <f aca="false">CHOOSE(Premissas!$B$6,Cenários!Y20,Cenários!Y66,Cenários!Y112)</f>
        <v>193522.923</v>
      </c>
      <c r="Z9" s="67" t="n">
        <f aca="false">CHOOSE(Premissas!$B$6,Cenários!Z20,Cenários!Z66,Cenários!Z112)</f>
        <v>226787.82071</v>
      </c>
      <c r="AA9" s="67" t="n">
        <f aca="false">CHOOSE(Premissas!$B$6,Cenários!AA20,Cenários!AA66,Cenários!AA112)</f>
        <v>245846.1686175</v>
      </c>
      <c r="AB9" s="67" t="n">
        <f aca="false">CHOOSE(Premissas!$B$6,Cenários!AB20,Cenários!AB66,Cenários!AB112)</f>
        <v>263557.17608</v>
      </c>
      <c r="AC9" s="67" t="n">
        <f aca="false">CHOOSE(Premissas!$B$6,Cenários!AC20,Cenários!AC66,Cenários!AC112)</f>
        <v>280029.499585</v>
      </c>
      <c r="AD9" s="67" t="n">
        <f aca="false">CHOOSE(Premissas!$B$6,Cenários!AD20,Cenários!AD66,Cenários!AD112)</f>
        <v>295328.333025</v>
      </c>
      <c r="AE9" s="67" t="n">
        <f aca="false">CHOOSE(Premissas!$B$6,Cenários!AE20,Cenários!AE66,Cenários!AE112)</f>
        <v>309540.60159</v>
      </c>
      <c r="AF9" s="67" t="n">
        <f aca="false">CHOOSE(Premissas!$B$6,Cenários!AF20,Cenários!AF66,Cenários!AF112)</f>
        <v>322774.9617675</v>
      </c>
      <c r="AG9" s="67" t="n">
        <f aca="false">CHOOSE(Premissas!$B$6,Cenários!AG20,Cenários!AG66,Cenários!AG112)</f>
        <v>335031.4135575</v>
      </c>
      <c r="AH9" s="67" t="n">
        <f aca="false">CHOOSE(Premissas!$B$6,Cenários!AH20,Cenários!AH66,Cenários!AH112)</f>
        <v>346462.0760425</v>
      </c>
      <c r="AI9" s="67" t="n">
        <f aca="false">CHOOSE(Premissas!$B$6,Cenários!AI20,Cenários!AI66,Cenários!AI112)</f>
        <v>357088.68052</v>
      </c>
      <c r="AJ9" s="67" t="n">
        <f aca="false">CHOOSE(Premissas!$B$6,Cenários!AJ20,Cenários!AJ66,Cenários!AJ112)</f>
        <v>366954.689585</v>
      </c>
      <c r="AK9" s="67" t="n">
        <f aca="false">CHOOSE(Premissas!$B$6,Cenários!AK20,Cenários!AK66,Cenários!AK112)</f>
        <v>376081.834535</v>
      </c>
      <c r="AL9" s="67" t="n">
        <f aca="false">CHOOSE(Premissas!$B$6,Cenários!AL20,Cenários!AL66,Cenários!AL112)</f>
        <v>428863.353185437</v>
      </c>
      <c r="AM9" s="67" t="n">
        <f aca="false">CHOOSE(Premissas!$B$6,Cenários!AM20,Cenários!AM66,Cenários!AM112)</f>
        <v>456273.36469165</v>
      </c>
      <c r="AN9" s="67" t="n">
        <f aca="false">CHOOSE(Premissas!$B$6,Cenários!AN20,Cenários!AN66,Cenários!AN112)</f>
        <v>481866.639726862</v>
      </c>
      <c r="AO9" s="67" t="n">
        <f aca="false">CHOOSE(Premissas!$B$6,Cenários!AO20,Cenários!AO66,Cenários!AO112)</f>
        <v>505802.142732287</v>
      </c>
      <c r="AP9" s="67" t="n">
        <f aca="false">CHOOSE(Premissas!$B$6,Cenários!AP20,Cenários!AP66,Cenários!AP112)</f>
        <v>528102.582913812</v>
      </c>
      <c r="AQ9" s="67" t="n">
        <f aca="false">CHOOSE(Premissas!$B$6,Cenários!AQ20,Cenários!AQ66,Cenários!AQ112)</f>
        <v>548926.92471265</v>
      </c>
      <c r="AR9" s="67" t="n">
        <f aca="false">CHOOSE(Premissas!$B$6,Cenários!AR20,Cenários!AR66,Cenários!AR112)</f>
        <v>568366.00495235</v>
      </c>
      <c r="AS9" s="67" t="n">
        <f aca="false">CHOOSE(Premissas!$B$6,Cenários!AS20,Cenários!AS66,Cenários!AS112)</f>
        <v>586510.660456462</v>
      </c>
      <c r="AT9" s="67" t="n">
        <f aca="false">CHOOSE(Premissas!$B$6,Cenários!AT20,Cenários!AT66,Cenários!AT112)</f>
        <v>603474.437254425</v>
      </c>
      <c r="AU9" s="67" t="n">
        <f aca="false">CHOOSE(Premissas!$B$6,Cenários!AU20,Cenários!AU66,Cenários!AU112)</f>
        <v>619302.753758012</v>
      </c>
      <c r="AV9" s="67" t="n">
        <f aca="false">CHOOSE(Premissas!$B$6,Cenários!AV20,Cenários!AV66,Cenários!AV112)</f>
        <v>634063.737584887</v>
      </c>
      <c r="AW9" s="67" t="n">
        <f aca="false">CHOOSE(Premissas!$B$6,Cenários!AW20,Cenários!AW66,Cenários!AW112)</f>
        <v>647848.2255586</v>
      </c>
      <c r="AX9" s="67" t="n">
        <f aca="false">CHOOSE(Premissas!$B$6,Cenários!AX20,Cenários!AX66,Cenários!AX112)</f>
        <v>731416.854218276</v>
      </c>
      <c r="AY9" s="67" t="n">
        <f aca="false">CHOOSE(Premissas!$B$6,Cenários!AY20,Cenários!AY66,Cenários!AY112)</f>
        <v>774488.83729495</v>
      </c>
      <c r="AZ9" s="67" t="n">
        <f aca="false">CHOOSE(Premissas!$B$6,Cenários!AZ20,Cenários!AZ66,Cenários!AZ112)</f>
        <v>814879.203794399</v>
      </c>
      <c r="BA9" s="67" t="n">
        <f aca="false">CHOOSE(Premissas!$B$6,Cenários!BA20,Cenários!BA66,Cenários!BA112)</f>
        <v>852730.340437537</v>
      </c>
      <c r="BB9" s="67" t="n">
        <f aca="false">CHOOSE(Premissas!$B$6,Cenários!BB20,Cenários!BB66,Cenários!BB112)</f>
        <v>888208.365065431</v>
      </c>
      <c r="BC9" s="67" t="n">
        <f aca="false">CHOOSE(Premissas!$B$6,Cenários!BC20,Cenários!BC66,Cenários!BC112)</f>
        <v>921479.395519148</v>
      </c>
      <c r="BD9" s="67" t="n">
        <f aca="false">CHOOSE(Premissas!$B$6,Cenários!BD20,Cenários!BD66,Cenários!BD112)</f>
        <v>952685.818519603</v>
      </c>
      <c r="BE9" s="67" t="n">
        <f aca="false">CHOOSE(Premissas!$B$6,Cenários!BE20,Cenários!BE66,Cenários!BE112)</f>
        <v>981946.289667559</v>
      </c>
      <c r="BF9" s="67" t="n">
        <f aca="false">CHOOSE(Premissas!$B$6,Cenários!BF20,Cenários!BF66,Cenários!BF112)</f>
        <v>1009332.00232347</v>
      </c>
      <c r="BG9" s="67" t="n">
        <f aca="false">CHOOSE(Premissas!$B$6,Cenários!BG20,Cenários!BG66,Cenários!BG112)</f>
        <v>1035056.53656871</v>
      </c>
      <c r="BH9" s="67" t="n">
        <f aca="false">CHOOSE(Premissas!$B$6,Cenários!BH20,Cenários!BH66,Cenários!BH112)</f>
        <v>1059167.35464359</v>
      </c>
      <c r="BI9" s="67" t="n">
        <f aca="false">CHOOSE(Premissas!$B$6,Cenários!BI20,Cenários!BI66,Cenários!BI112)</f>
        <v>1081759.38102871</v>
      </c>
      <c r="BJ9" s="61" t="n">
        <f aca="false">SUM(B9:BI9)</f>
        <v>23211987.3262238</v>
      </c>
      <c r="BK9" s="186" t="n">
        <f aca="false">IFERROR(BJ9/BJ$16,0)</f>
        <v>0.36884023108004</v>
      </c>
    </row>
    <row r="10" customFormat="false" ht="15" hidden="false" customHeight="false" outlineLevel="0" collapsed="false">
      <c r="A10" s="27" t="s">
        <v>713</v>
      </c>
      <c r="B10" s="67" t="n">
        <f aca="false">CHOOSE(Premissas!$B$6,Cenários!B21,Cenários!B67,Cenários!B113)</f>
        <v>0</v>
      </c>
      <c r="C10" s="67" t="n">
        <f aca="false">CHOOSE(Premissas!$B$6,Cenários!C21,Cenários!C67,Cenários!C113)</f>
        <v>0</v>
      </c>
      <c r="D10" s="67" t="n">
        <f aca="false">CHOOSE(Premissas!$B$6,Cenários!D21,Cenários!D67,Cenários!D113)</f>
        <v>0</v>
      </c>
      <c r="E10" s="67" t="n">
        <f aca="false">CHOOSE(Premissas!$B$6,Cenários!E21,Cenários!E67,Cenários!E113)</f>
        <v>0</v>
      </c>
      <c r="F10" s="67" t="n">
        <f aca="false">CHOOSE(Premissas!$B$6,Cenários!F21,Cenários!F67,Cenários!F113)</f>
        <v>0</v>
      </c>
      <c r="G10" s="67" t="n">
        <f aca="false">CHOOSE(Premissas!$B$6,Cenários!G21,Cenários!G67,Cenários!G113)</f>
        <v>0</v>
      </c>
      <c r="H10" s="67" t="n">
        <f aca="false">CHOOSE(Premissas!$B$6,Cenários!H21,Cenários!H67,Cenários!H113)</f>
        <v>0</v>
      </c>
      <c r="I10" s="67" t="n">
        <f aca="false">CHOOSE(Premissas!$B$6,Cenários!I21,Cenários!I67,Cenários!I113)</f>
        <v>0</v>
      </c>
      <c r="J10" s="67" t="n">
        <f aca="false">CHOOSE(Premissas!$B$6,Cenários!J21,Cenários!J67,Cenários!J113)</f>
        <v>0</v>
      </c>
      <c r="K10" s="67" t="n">
        <f aca="false">CHOOSE(Premissas!$B$6,Cenários!K21,Cenários!K67,Cenários!K113)</f>
        <v>0</v>
      </c>
      <c r="L10" s="67" t="n">
        <f aca="false">CHOOSE(Premissas!$B$6,Cenários!L21,Cenários!L67,Cenários!L113)</f>
        <v>0</v>
      </c>
      <c r="M10" s="67" t="n">
        <f aca="false">CHOOSE(Premissas!$B$6,Cenários!M21,Cenários!M67,Cenários!M113)</f>
        <v>0</v>
      </c>
      <c r="N10" s="67" t="n">
        <f aca="false">CHOOSE(Premissas!$B$6,Cenários!N21,Cenários!N67,Cenários!N113)</f>
        <v>0</v>
      </c>
      <c r="O10" s="67" t="n">
        <f aca="false">CHOOSE(Premissas!$B$6,Cenários!O21,Cenários!O67,Cenários!O113)</f>
        <v>0</v>
      </c>
      <c r="P10" s="67" t="n">
        <f aca="false">CHOOSE(Premissas!$B$6,Cenários!P21,Cenários!P67,Cenários!P113)</f>
        <v>0</v>
      </c>
      <c r="Q10" s="67" t="n">
        <f aca="false">CHOOSE(Premissas!$B$6,Cenários!Q21,Cenários!Q67,Cenários!Q113)</f>
        <v>66170.7585</v>
      </c>
      <c r="R10" s="67" t="n">
        <f aca="false">CHOOSE(Premissas!$B$6,Cenários!R21,Cenários!R67,Cenários!R113)</f>
        <v>74634.945</v>
      </c>
      <c r="S10" s="67" t="n">
        <f aca="false">CHOOSE(Premissas!$B$6,Cenários!S21,Cenários!S67,Cenários!S113)</f>
        <v>82473.699</v>
      </c>
      <c r="T10" s="67" t="n">
        <f aca="false">CHOOSE(Premissas!$B$6,Cenários!T21,Cenários!T67,Cenários!T113)</f>
        <v>89728.716</v>
      </c>
      <c r="U10" s="67" t="n">
        <f aca="false">CHOOSE(Premissas!$B$6,Cenários!U21,Cenários!U67,Cenários!U113)</f>
        <v>96441.6915</v>
      </c>
      <c r="V10" s="67" t="n">
        <f aca="false">CHOOSE(Premissas!$B$6,Cenários!V21,Cenários!V67,Cenários!V113)</f>
        <v>102612.6255</v>
      </c>
      <c r="W10" s="67" t="n">
        <f aca="false">CHOOSE(Premissas!$B$6,Cenários!W21,Cenários!W67,Cenários!W113)</f>
        <v>108366.6045</v>
      </c>
      <c r="X10" s="67" t="n">
        <f aca="false">CHOOSE(Premissas!$B$6,Cenários!X21,Cenários!X67,Cenários!X113)</f>
        <v>113661.933</v>
      </c>
      <c r="Y10" s="67" t="n">
        <f aca="false">CHOOSE(Premissas!$B$6,Cenários!Y21,Cenários!Y67,Cenários!Y113)</f>
        <v>118540.3065</v>
      </c>
      <c r="Z10" s="67" t="n">
        <f aca="false">CHOOSE(Premissas!$B$6,Cenários!Z21,Cenários!Z67,Cenários!Z113)</f>
        <v>160474.9301925</v>
      </c>
      <c r="AA10" s="67" t="n">
        <f aca="false">CHOOSE(Premissas!$B$6,Cenários!AA21,Cenários!AA67,Cenários!AA113)</f>
        <v>173982.1874175</v>
      </c>
      <c r="AB10" s="67" t="n">
        <f aca="false">CHOOSE(Premissas!$B$6,Cenários!AB21,Cenários!AB67,Cenários!AB113)</f>
        <v>186530.8650975</v>
      </c>
      <c r="AC10" s="67" t="n">
        <f aca="false">CHOOSE(Premissas!$B$6,Cenários!AC21,Cenários!AC67,Cenários!AC113)</f>
        <v>198164.53503</v>
      </c>
      <c r="AD10" s="67" t="n">
        <f aca="false">CHOOSE(Premissas!$B$6,Cenários!AD21,Cenários!AD67,Cenários!AD113)</f>
        <v>209013.9126075</v>
      </c>
      <c r="AE10" s="67" t="n">
        <f aca="false">CHOOSE(Premissas!$B$6,Cenários!AE21,Cenários!AE67,Cenários!AE113)</f>
        <v>219078.99783</v>
      </c>
      <c r="AF10" s="67" t="n">
        <f aca="false">CHOOSE(Premissas!$B$6,Cenários!AF21,Cenários!AF67,Cenários!AF113)</f>
        <v>228403.362495</v>
      </c>
      <c r="AG10" s="67" t="n">
        <f aca="false">CHOOSE(Premissas!$B$6,Cenários!AG21,Cenários!AG67,Cenários!AG113)</f>
        <v>237117.721995</v>
      </c>
      <c r="AH10" s="67" t="n">
        <f aca="false">CHOOSE(Premissas!$B$6,Cenários!AH21,Cenários!AH67,Cenários!AH113)</f>
        <v>245178.5045325</v>
      </c>
      <c r="AI10" s="67" t="n">
        <f aca="false">CHOOSE(Premissas!$B$6,Cenários!AI21,Cenários!AI67,Cenários!AI113)</f>
        <v>252672.8537025</v>
      </c>
      <c r="AJ10" s="67" t="n">
        <f aca="false">CHOOSE(Premissas!$B$6,Cenários!AJ21,Cenários!AJ67,Cenários!AJ113)</f>
        <v>259644.3413025</v>
      </c>
      <c r="AK10" s="67" t="n">
        <f aca="false">CHOOSE(Premissas!$B$6,Cenários!AK21,Cenários!AK67,Cenários!AK113)</f>
        <v>266136.53913</v>
      </c>
      <c r="AL10" s="67" t="n">
        <f aca="false">CHOOSE(Premissas!$B$6,Cenários!AL21,Cenários!AL67,Cenários!AL113)</f>
        <v>349325.5577889</v>
      </c>
      <c r="AM10" s="67" t="n">
        <f aca="false">CHOOSE(Premissas!$B$6,Cenários!AM21,Cenários!AM67,Cenários!AM113)</f>
        <v>371682.029227163</v>
      </c>
      <c r="AN10" s="67" t="n">
        <f aca="false">CHOOSE(Premissas!$B$6,Cenários!AN21,Cenários!AN67,Cenários!AN113)</f>
        <v>392535.927228637</v>
      </c>
      <c r="AO10" s="67" t="n">
        <f aca="false">CHOOSE(Premissas!$B$6,Cenários!AO21,Cenários!AO67,Cenários!AO113)</f>
        <v>411978.3168501</v>
      </c>
      <c r="AP10" s="67" t="n">
        <f aca="false">CHOOSE(Premissas!$B$6,Cenários!AP21,Cenários!AP67,Cenários!AP113)</f>
        <v>430145.795676712</v>
      </c>
      <c r="AQ10" s="67" t="n">
        <f aca="false">CHOOSE(Premissas!$B$6,Cenários!AQ21,Cenários!AQ67,Cenários!AQ113)</f>
        <v>447129.42876525</v>
      </c>
      <c r="AR10" s="67" t="n">
        <f aca="false">CHOOSE(Premissas!$B$6,Cenários!AR21,Cenários!AR67,Cenários!AR113)</f>
        <v>462974.7486441</v>
      </c>
      <c r="AS10" s="67" t="n">
        <f aca="false">CHOOSE(Premissas!$B$6,Cenários!AS21,Cenários!AS67,Cenários!AS113)</f>
        <v>477772.820370037</v>
      </c>
      <c r="AT10" s="67" t="n">
        <f aca="false">CHOOSE(Premissas!$B$6,Cenários!AT21,Cenários!AT67,Cenários!AT113)</f>
        <v>491569.17647145</v>
      </c>
      <c r="AU10" s="67" t="n">
        <f aca="false">CHOOSE(Premissas!$B$6,Cenários!AU21,Cenários!AU67,Cenários!AU113)</f>
        <v>504454.882005112</v>
      </c>
      <c r="AV10" s="67" t="n">
        <f aca="false">CHOOSE(Premissas!$B$6,Cenários!AV21,Cenários!AV67,Cenários!AV113)</f>
        <v>516475.469499412</v>
      </c>
      <c r="AW10" s="67" t="n">
        <f aca="false">CHOOSE(Premissas!$B$6,Cenários!AW21,Cenários!AW67,Cenários!AW113)</f>
        <v>527722.004011125</v>
      </c>
      <c r="AX10" s="67" t="n">
        <f aca="false">CHOOSE(Premissas!$B$6,Cenários!AX21,Cenários!AX67,Cenários!AX113)</f>
        <v>684364.601808296</v>
      </c>
      <c r="AY10" s="67" t="n">
        <f aca="false">CHOOSE(Premissas!$B$6,Cenários!AY21,Cenários!AY67,Cenários!AY113)</f>
        <v>724666.125671998</v>
      </c>
      <c r="AZ10" s="67" t="n">
        <f aca="false">CHOOSE(Premissas!$B$6,Cenários!AZ21,Cenários!AZ67,Cenários!AZ113)</f>
        <v>762445.830450958</v>
      </c>
      <c r="BA10" s="67" t="n">
        <f aca="false">CHOOSE(Premissas!$B$6,Cenários!BA21,Cenários!BA67,Cenários!BA113)</f>
        <v>797846.460621672</v>
      </c>
      <c r="BB10" s="67" t="n">
        <f aca="false">CHOOSE(Premissas!$B$6,Cenários!BB21,Cenários!BB67,Cenários!BB113)</f>
        <v>831058.342152798</v>
      </c>
      <c r="BC10" s="67" t="n">
        <f aca="false">CHOOSE(Premissas!$B$6,Cenários!BC21,Cenários!BC67,Cenários!BC113)</f>
        <v>862224.219520832</v>
      </c>
      <c r="BD10" s="67" t="n">
        <f aca="false">CHOOSE(Premissas!$B$6,Cenários!BD21,Cenários!BD67,Cenários!BD113)</f>
        <v>891391.674217939</v>
      </c>
      <c r="BE10" s="67" t="n">
        <f aca="false">CHOOSE(Premissas!$B$6,Cenários!BE21,Cenários!BE67,Cenários!BE113)</f>
        <v>918751.032212778</v>
      </c>
      <c r="BF10" s="67" t="n">
        <f aca="false">CHOOSE(Premissas!$B$6,Cenários!BF21,Cenários!BF67,Cenários!BF113)</f>
        <v>944445.037981844</v>
      </c>
      <c r="BG10" s="67" t="n">
        <f aca="false">CHOOSE(Premissas!$B$6,Cenários!BG21,Cenários!BG67,Cenários!BG113)</f>
        <v>968473.691525138</v>
      </c>
      <c r="BH10" s="67" t="n">
        <f aca="false">CHOOSE(Premissas!$B$6,Cenários!BH21,Cenários!BH67,Cenários!BH113)</f>
        <v>991027.318811318</v>
      </c>
      <c r="BI10" s="67" t="n">
        <f aca="false">CHOOSE(Premissas!$B$6,Cenários!BI21,Cenários!BI67,Cenários!BI113)</f>
        <v>1012153.50133255</v>
      </c>
      <c r="BJ10" s="61" t="n">
        <f aca="false">SUM(B10:BI10)</f>
        <v>19261644.0236786</v>
      </c>
      <c r="BK10" s="186" t="n">
        <f aca="false">IFERROR(BJ10/BJ$16,0)</f>
        <v>0.306068977758264</v>
      </c>
    </row>
    <row r="11" customFormat="false" ht="15" hidden="false" customHeight="false" outlineLevel="0" collapsed="false">
      <c r="A11" s="27" t="s">
        <v>714</v>
      </c>
      <c r="B11" s="67" t="n">
        <f aca="false">CHOOSE(Premissas!$B$6,Cenários!B22,Cenários!B68,Cenários!B114)</f>
        <v>0</v>
      </c>
      <c r="C11" s="67" t="n">
        <f aca="false">CHOOSE(Premissas!$B$6,Cenários!C22,Cenários!C68,Cenários!C114)</f>
        <v>0</v>
      </c>
      <c r="D11" s="67" t="n">
        <f aca="false">CHOOSE(Premissas!$B$6,Cenários!D22,Cenários!D68,Cenários!D114)</f>
        <v>0</v>
      </c>
      <c r="E11" s="67" t="n">
        <f aca="false">CHOOSE(Premissas!$B$6,Cenários!E22,Cenários!E68,Cenários!E114)</f>
        <v>0</v>
      </c>
      <c r="F11" s="67" t="n">
        <f aca="false">CHOOSE(Premissas!$B$6,Cenários!F22,Cenários!F68,Cenários!F114)</f>
        <v>0</v>
      </c>
      <c r="G11" s="67" t="n">
        <f aca="false">CHOOSE(Premissas!$B$6,Cenários!G22,Cenários!G68,Cenários!G114)</f>
        <v>0</v>
      </c>
      <c r="H11" s="67" t="n">
        <f aca="false">CHOOSE(Premissas!$B$6,Cenários!H22,Cenários!H68,Cenários!H114)</f>
        <v>0</v>
      </c>
      <c r="I11" s="67" t="n">
        <f aca="false">CHOOSE(Premissas!$B$6,Cenários!I22,Cenários!I68,Cenários!I114)</f>
        <v>0</v>
      </c>
      <c r="J11" s="67" t="n">
        <f aca="false">CHOOSE(Premissas!$B$6,Cenários!J22,Cenários!J68,Cenários!J114)</f>
        <v>0</v>
      </c>
      <c r="K11" s="67" t="n">
        <f aca="false">CHOOSE(Premissas!$B$6,Cenários!K22,Cenários!K68,Cenários!K114)</f>
        <v>0</v>
      </c>
      <c r="L11" s="67" t="n">
        <f aca="false">CHOOSE(Premissas!$B$6,Cenários!L22,Cenários!L68,Cenários!L114)</f>
        <v>0</v>
      </c>
      <c r="M11" s="67" t="n">
        <f aca="false">CHOOSE(Premissas!$B$6,Cenários!M22,Cenários!M68,Cenários!M114)</f>
        <v>0</v>
      </c>
      <c r="N11" s="67" t="n">
        <f aca="false">CHOOSE(Premissas!$B$6,Cenários!N22,Cenários!N68,Cenários!N114)</f>
        <v>0</v>
      </c>
      <c r="O11" s="67" t="n">
        <f aca="false">CHOOSE(Premissas!$B$6,Cenários!O22,Cenários!O68,Cenários!O114)</f>
        <v>0</v>
      </c>
      <c r="P11" s="67" t="n">
        <f aca="false">CHOOSE(Premissas!$B$6,Cenários!P22,Cenários!P68,Cenários!P114)</f>
        <v>0</v>
      </c>
      <c r="Q11" s="67" t="n">
        <f aca="false">CHOOSE(Premissas!$B$6,Cenários!Q22,Cenários!Q68,Cenários!Q114)</f>
        <v>0</v>
      </c>
      <c r="R11" s="67" t="n">
        <f aca="false">CHOOSE(Premissas!$B$6,Cenários!R22,Cenários!R68,Cenários!R114)</f>
        <v>0</v>
      </c>
      <c r="S11" s="67" t="n">
        <f aca="false">CHOOSE(Premissas!$B$6,Cenários!S22,Cenários!S68,Cenários!S114)</f>
        <v>0</v>
      </c>
      <c r="T11" s="67" t="n">
        <f aca="false">CHOOSE(Premissas!$B$6,Cenários!T22,Cenários!T68,Cenários!T114)</f>
        <v>0</v>
      </c>
      <c r="U11" s="67" t="n">
        <f aca="false">CHOOSE(Premissas!$B$6,Cenários!U22,Cenários!U68,Cenários!U114)</f>
        <v>0</v>
      </c>
      <c r="V11" s="67" t="n">
        <f aca="false">CHOOSE(Premissas!$B$6,Cenários!V22,Cenários!V68,Cenários!V114)</f>
        <v>0</v>
      </c>
      <c r="W11" s="67" t="n">
        <f aca="false">CHOOSE(Premissas!$B$6,Cenários!W22,Cenários!W68,Cenários!W114)</f>
        <v>59198.3095</v>
      </c>
      <c r="X11" s="67" t="n">
        <f aca="false">CHOOSE(Premissas!$B$6,Cenários!X22,Cenários!X68,Cenários!X114)</f>
        <v>62037.1565</v>
      </c>
      <c r="Y11" s="67" t="n">
        <f aca="false">CHOOSE(Premissas!$B$6,Cenários!Y22,Cenários!Y68,Cenários!Y114)</f>
        <v>64709.0125</v>
      </c>
      <c r="Z11" s="67" t="n">
        <f aca="false">CHOOSE(Premissas!$B$6,Cenários!Z22,Cenários!Z68,Cenários!Z114)</f>
        <v>107146.43533</v>
      </c>
      <c r="AA11" s="67" t="n">
        <f aca="false">CHOOSE(Premissas!$B$6,Cenários!AA22,Cenários!AA68,Cenários!AA114)</f>
        <v>116133.4734725</v>
      </c>
      <c r="AB11" s="67" t="n">
        <f aca="false">CHOOSE(Premissas!$B$6,Cenários!AB22,Cenários!AB68,Cenários!AB114)</f>
        <v>124509.7420325</v>
      </c>
      <c r="AC11" s="67" t="n">
        <f aca="false">CHOOSE(Premissas!$B$6,Cenários!AC22,Cenários!AC68,Cenários!AC114)</f>
        <v>132275.24101</v>
      </c>
      <c r="AD11" s="67" t="n">
        <f aca="false">CHOOSE(Premissas!$B$6,Cenários!AD22,Cenários!AD68,Cenários!AD114)</f>
        <v>139517.2232025</v>
      </c>
      <c r="AE11" s="67" t="n">
        <f aca="false">CHOOSE(Premissas!$B$6,Cenários!AE22,Cenários!AE68,Cenários!AE114)</f>
        <v>146235.68861</v>
      </c>
      <c r="AF11" s="67" t="n">
        <f aca="false">CHOOSE(Premissas!$B$6,Cenários!AF22,Cenários!AF68,Cenários!AF114)</f>
        <v>152430.6372325</v>
      </c>
      <c r="AG11" s="67" t="n">
        <f aca="false">CHOOSE(Premissas!$B$6,Cenários!AG22,Cenários!AG68,Cenários!AG114)</f>
        <v>158276.574665</v>
      </c>
      <c r="AH11" s="67" t="n">
        <f aca="false">CHOOSE(Premissas!$B$6,Cenários!AH22,Cenários!AH68,Cenários!AH114)</f>
        <v>163686.24811</v>
      </c>
      <c r="AI11" s="67" t="n">
        <f aca="false">CHOOSE(Premissas!$B$6,Cenários!AI22,Cenários!AI68,Cenários!AI114)</f>
        <v>168659.6575675</v>
      </c>
      <c r="AJ11" s="67" t="n">
        <f aca="false">CHOOSE(Premissas!$B$6,Cenários!AJ22,Cenários!AJ68,Cenários!AJ114)</f>
        <v>173284.055835</v>
      </c>
      <c r="AK11" s="67" t="n">
        <f aca="false">CHOOSE(Premissas!$B$6,Cenários!AK22,Cenários!AK68,Cenários!AK114)</f>
        <v>177646.69571</v>
      </c>
      <c r="AL11" s="67" t="n">
        <f aca="false">CHOOSE(Premissas!$B$6,Cenários!AL22,Cenários!AL68,Cenários!AL114)</f>
        <v>269069.740666512</v>
      </c>
      <c r="AM11" s="67" t="n">
        <f aca="false">CHOOSE(Premissas!$B$6,Cenários!AM22,Cenários!AM68,Cenários!AM114)</f>
        <v>286302.60443675</v>
      </c>
      <c r="AN11" s="67" t="n">
        <f aca="false">CHOOSE(Premissas!$B$6,Cenários!AN22,Cenários!AN68,Cenários!AN114)</f>
        <v>302350.13895295</v>
      </c>
      <c r="AO11" s="67" t="n">
        <f aca="false">CHOOSE(Premissas!$B$6,Cenários!AO22,Cenários!AO68,Cenários!AO114)</f>
        <v>317303.5233885</v>
      </c>
      <c r="AP11" s="67" t="n">
        <f aca="false">CHOOSE(Premissas!$B$6,Cenários!AP22,Cenários!AP68,Cenários!AP114)</f>
        <v>331345.116090175</v>
      </c>
      <c r="AQ11" s="67" t="n">
        <f aca="false">CHOOSE(Premissas!$B$6,Cenários!AQ22,Cenários!AQ68,Cenários!AQ114)</f>
        <v>344383.737884588</v>
      </c>
      <c r="AR11" s="67" t="n">
        <f aca="false">CHOOSE(Premissas!$B$6,Cenários!AR22,Cenários!AR68,Cenários!AR114)</f>
        <v>356601.747118512</v>
      </c>
      <c r="AS11" s="67" t="n">
        <f aca="false">CHOOSE(Premissas!$B$6,Cenários!AS22,Cenários!AS68,Cenários!AS114)</f>
        <v>367999.14379195</v>
      </c>
      <c r="AT11" s="67" t="n">
        <f aca="false">CHOOSE(Premissas!$B$6,Cenários!AT22,Cenários!AT68,Cenários!AT114)</f>
        <v>378575.9279049</v>
      </c>
      <c r="AU11" s="67" t="n">
        <f aca="false">CHOOSE(Premissas!$B$6,Cenários!AU22,Cenários!AU68,Cenários!AU114)</f>
        <v>388514.457804137</v>
      </c>
      <c r="AV11" s="67" t="n">
        <f aca="false">CHOOSE(Premissas!$B$6,Cenários!AV22,Cenários!AV68,Cenários!AV114)</f>
        <v>397814.733489662</v>
      </c>
      <c r="AW11" s="67" t="n">
        <f aca="false">CHOOSE(Premissas!$B$6,Cenários!AW22,Cenários!AW68,Cenários!AW114)</f>
        <v>406476.754961475</v>
      </c>
      <c r="AX11" s="67" t="n">
        <f aca="false">CHOOSE(Premissas!$B$6,Cenários!AX22,Cenários!AX68,Cenários!AX114)</f>
        <v>587319.703874775</v>
      </c>
      <c r="AY11" s="67" t="n">
        <f aca="false">CHOOSE(Premissas!$B$6,Cenários!AY22,Cenários!AY68,Cenários!AY114)</f>
        <v>621907.155611722</v>
      </c>
      <c r="AZ11" s="67" t="n">
        <f aca="false">CHOOSE(Premissas!$B$6,Cenários!AZ22,Cenários!AZ68,Cenários!AZ114)</f>
        <v>654303.115916301</v>
      </c>
      <c r="BA11" s="67" t="n">
        <f aca="false">CHOOSE(Premissas!$B$6,Cenários!BA22,Cenários!BA68,Cenários!BA114)</f>
        <v>684698.149260891</v>
      </c>
      <c r="BB11" s="67" t="n">
        <f aca="false">CHOOSE(Premissas!$B$6,Cenários!BB22,Cenários!BB68,Cenários!BB114)</f>
        <v>713282.820117872</v>
      </c>
      <c r="BC11" s="67" t="n">
        <f aca="false">CHOOSE(Premissas!$B$6,Cenários!BC22,Cenários!BC68,Cenários!BC114)</f>
        <v>739961.846251054</v>
      </c>
      <c r="BD11" s="67" t="n">
        <f aca="false">CHOOSE(Premissas!$B$6,Cenários!BD22,Cenários!BD68,Cenários!BD114)</f>
        <v>765021.074369008</v>
      </c>
      <c r="BE11" s="67" t="n">
        <f aca="false">CHOOSE(Premissas!$B$6,Cenários!BE22,Cenários!BE68,Cenários!BE114)</f>
        <v>788460.504471733</v>
      </c>
      <c r="BF11" s="67" t="n">
        <f aca="false">CHOOSE(Premissas!$B$6,Cenários!BF22,Cenários!BF68,Cenários!BF114)</f>
        <v>810565.983267798</v>
      </c>
      <c r="BG11" s="67" t="n">
        <f aca="false">CHOOSE(Premissas!$B$6,Cenários!BG22,Cenários!BG68,Cenários!BG114)</f>
        <v>831146.946284825</v>
      </c>
      <c r="BH11" s="67" t="n">
        <f aca="false">CHOOSE(Premissas!$B$6,Cenários!BH22,Cenários!BH68,Cenários!BH114)</f>
        <v>850489.240231382</v>
      </c>
      <c r="BI11" s="67" t="n">
        <f aca="false">CHOOSE(Premissas!$B$6,Cenários!BI22,Cenários!BI68,Cenários!BI114)</f>
        <v>868688.14734366</v>
      </c>
      <c r="BJ11" s="61" t="n">
        <f aca="false">SUM(B11:BI11)</f>
        <v>15008328.4647686</v>
      </c>
      <c r="BK11" s="186" t="n">
        <f aca="false">IFERROR(BJ11/BJ$16,0)</f>
        <v>0.23848347240895</v>
      </c>
    </row>
    <row r="12" customFormat="false" ht="15" hidden="false" customHeight="false" outlineLevel="0" collapsed="false">
      <c r="A12" s="27" t="s">
        <v>821</v>
      </c>
      <c r="B12" s="67" t="n">
        <f aca="false">CHOOSE(Premissas!$B$6,Cenários!B24,Cenários!B70,Cenários!B116)</f>
        <v>0</v>
      </c>
      <c r="C12" s="67" t="n">
        <f aca="false">CHOOSE(Premissas!$B$6,Cenários!C24,Cenários!C70,Cenários!C116)</f>
        <v>0</v>
      </c>
      <c r="D12" s="67" t="n">
        <f aca="false">CHOOSE(Premissas!$B$6,Cenários!D24,Cenários!D70,Cenários!D116)</f>
        <v>0</v>
      </c>
      <c r="E12" s="67" t="n">
        <f aca="false">CHOOSE(Premissas!$B$6,Cenários!E24,Cenários!E70,Cenários!E116)</f>
        <v>0</v>
      </c>
      <c r="F12" s="67" t="n">
        <f aca="false">CHOOSE(Premissas!$B$6,Cenários!F24,Cenários!F70,Cenários!F116)</f>
        <v>0</v>
      </c>
      <c r="G12" s="67" t="n">
        <f aca="false">CHOOSE(Premissas!$B$6,Cenários!G24,Cenários!G70,Cenários!G116)</f>
        <v>0</v>
      </c>
      <c r="H12" s="67" t="n">
        <f aca="false">CHOOSE(Premissas!$B$6,Cenários!H24,Cenários!H70,Cenários!H116)</f>
        <v>0</v>
      </c>
      <c r="I12" s="67" t="n">
        <f aca="false">CHOOSE(Premissas!$B$6,Cenários!I24,Cenários!I70,Cenários!I116)</f>
        <v>0</v>
      </c>
      <c r="J12" s="67" t="n">
        <f aca="false">CHOOSE(Premissas!$B$6,Cenários!J24,Cenários!J70,Cenários!J116)</f>
        <v>0</v>
      </c>
      <c r="K12" s="67" t="n">
        <f aca="false">CHOOSE(Premissas!$B$6,Cenários!K24,Cenários!K70,Cenários!K116)</f>
        <v>0</v>
      </c>
      <c r="L12" s="67" t="n">
        <f aca="false">CHOOSE(Premissas!$B$6,Cenários!L24,Cenários!L70,Cenários!L116)</f>
        <v>0</v>
      </c>
      <c r="M12" s="67" t="n">
        <f aca="false">CHOOSE(Premissas!$B$6,Cenários!M24,Cenários!M70,Cenários!M116)</f>
        <v>0</v>
      </c>
      <c r="N12" s="67" t="n">
        <f aca="false">CHOOSE(Premissas!$B$6,Cenários!N24,Cenários!N70,Cenários!N116)</f>
        <v>3856.46297568</v>
      </c>
      <c r="O12" s="67" t="n">
        <f aca="false">CHOOSE(Premissas!$B$6,Cenários!O24,Cenários!O70,Cenários!O116)</f>
        <v>4991.83195990886</v>
      </c>
      <c r="P12" s="67" t="n">
        <f aca="false">CHOOSE(Premissas!$B$6,Cenários!P24,Cenários!P70,Cenários!P116)</f>
        <v>6041.82119652372</v>
      </c>
      <c r="Q12" s="67" t="n">
        <f aca="false">CHOOSE(Premissas!$B$6,Cenários!Q24,Cenários!Q70,Cenários!Q116)</f>
        <v>7012.85124254513</v>
      </c>
      <c r="R12" s="67" t="n">
        <f aca="false">CHOOSE(Premissas!$B$6,Cenários!R24,Cenários!R70,Cenários!R116)</f>
        <v>7910.85982910574</v>
      </c>
      <c r="S12" s="67" t="n">
        <f aca="false">CHOOSE(Premissas!$B$6,Cenários!S24,Cenários!S70,Cenários!S116)</f>
        <v>8741.33816995699</v>
      </c>
      <c r="T12" s="67" t="n">
        <f aca="false">CHOOSE(Premissas!$B$6,Cenários!T24,Cenários!T70,Cenários!T116)</f>
        <v>9509.36453957622</v>
      </c>
      <c r="U12" s="67" t="n">
        <f aca="false">CHOOSE(Premissas!$B$6,Cenários!U24,Cenários!U70,Cenários!U116)</f>
        <v>10219.6353262001</v>
      </c>
      <c r="V12" s="67" t="n">
        <f aca="false">CHOOSE(Premissas!$B$6,Cenários!V24,Cenários!V70,Cenários!V116)</f>
        <v>10876.4937496698</v>
      </c>
      <c r="W12" s="67" t="n">
        <f aca="false">CHOOSE(Premissas!$B$6,Cenários!W24,Cenários!W70,Cenários!W116)</f>
        <v>11483.9564196947</v>
      </c>
      <c r="X12" s="67" t="n">
        <f aca="false">CHOOSE(Premissas!$B$6,Cenários!X24,Cenários!X70,Cenários!X116)</f>
        <v>12045.7378969336</v>
      </c>
      <c r="Y12" s="67" t="n">
        <f aca="false">CHOOSE(Premissas!$B$6,Cenários!Y24,Cenários!Y70,Cenários!Y116)</f>
        <v>12565.2734070842</v>
      </c>
      <c r="Z12" s="67" t="n">
        <f aca="false">CHOOSE(Premissas!$B$6,Cenários!Z24,Cenários!Z70,Cenários!Z116)</f>
        <v>23025.2031008071</v>
      </c>
      <c r="AA12" s="67" t="n">
        <f aca="false">CHOOSE(Premissas!$B$6,Cenários!AA24,Cenários!AA70,Cenários!AA116)</f>
        <v>24961.0350440172</v>
      </c>
      <c r="AB12" s="67" t="n">
        <f aca="false">CHOOSE(Premissas!$B$6,Cenários!AB24,Cenários!AB70,Cenários!AB116)</f>
        <v>26760.0268988258</v>
      </c>
      <c r="AC12" s="67" t="n">
        <f aca="false">CHOOSE(Premissas!$B$6,Cenários!AC24,Cenários!AC70,Cenários!AC116)</f>
        <v>28431.8516174016</v>
      </c>
      <c r="AD12" s="67" t="n">
        <f aca="false">CHOOSE(Premissas!$B$6,Cenários!AD24,Cenários!AD70,Cenários!AD116)</f>
        <v>29985.4983902707</v>
      </c>
      <c r="AE12" s="67" t="n">
        <f aca="false">CHOOSE(Premissas!$B$6,Cenários!AE24,Cenários!AE70,Cenários!AE116)</f>
        <v>31429.3209800592</v>
      </c>
      <c r="AF12" s="67" t="n">
        <f aca="false">CHOOSE(Premissas!$B$6,Cenários!AF24,Cenários!AF70,Cenários!AF116)</f>
        <v>32771.0826386208</v>
      </c>
      <c r="AG12" s="67" t="n">
        <f aca="false">CHOOSE(Premissas!$B$6,Cenários!AG24,Cenários!AG70,Cenários!AG116)</f>
        <v>34017.997849062</v>
      </c>
      <c r="AH12" s="67" t="n">
        <f aca="false">CHOOSE(Premissas!$B$6,Cenários!AH24,Cenários!AH70,Cenários!AH116)</f>
        <v>35176.7711171075</v>
      </c>
      <c r="AI12" s="67" t="n">
        <f aca="false">CHOOSE(Premissas!$B$6,Cenários!AI24,Cenários!AI70,Cenários!AI116)</f>
        <v>36253.6330203814</v>
      </c>
      <c r="AJ12" s="67" t="n">
        <f aca="false">CHOOSE(Premissas!$B$6,Cenários!AJ24,Cenários!AJ70,Cenários!AJ116)</f>
        <v>37254.3737094367</v>
      </c>
      <c r="AK12" s="67" t="n">
        <f aca="false">CHOOSE(Premissas!$B$6,Cenários!AK24,Cenários!AK70,Cenários!AK116)</f>
        <v>38184.374040664</v>
      </c>
      <c r="AL12" s="67" t="n">
        <f aca="false">CHOOSE(Premissas!$B$6,Cenários!AL24,Cenários!AL70,Cenários!AL116)</f>
        <v>65587.686208654</v>
      </c>
      <c r="AM12" s="67" t="n">
        <f aca="false">CHOOSE(Premissas!$B$6,Cenários!AM24,Cenários!AM70,Cenários!AM116)</f>
        <v>69781.8495876997</v>
      </c>
      <c r="AN12" s="67" t="n">
        <f aca="false">CHOOSE(Premissas!$B$6,Cenários!AN24,Cenários!AN70,Cenários!AN116)</f>
        <v>73697.3245670637</v>
      </c>
      <c r="AO12" s="67" t="n">
        <f aca="false">CHOOSE(Premissas!$B$6,Cenários!AO24,Cenários!AO70,Cenários!AO116)</f>
        <v>77352.6290768069</v>
      </c>
      <c r="AP12" s="67" t="n">
        <f aca="false">CHOOSE(Premissas!$B$6,Cenários!AP24,Cenários!AP70,Cenários!AP116)</f>
        <v>80765.0505912764</v>
      </c>
      <c r="AQ12" s="67" t="n">
        <f aca="false">CHOOSE(Premissas!$B$6,Cenários!AQ24,Cenários!AQ70,Cenários!AQ116)</f>
        <v>83950.7278888521</v>
      </c>
      <c r="AR12" s="67" t="n">
        <f aca="false">CHOOSE(Premissas!$B$6,Cenários!AR24,Cenários!AR70,Cenários!AR116)</f>
        <v>86924.7273790253</v>
      </c>
      <c r="AS12" s="67" t="n">
        <f aca="false">CHOOSE(Premissas!$B$6,Cenários!AS24,Cenários!AS70,Cenários!AS116)</f>
        <v>89701.1143577949</v>
      </c>
      <c r="AT12" s="67" t="n">
        <f aca="false">CHOOSE(Premissas!$B$6,Cenários!AT24,Cenários!AT70,Cenários!AT116)</f>
        <v>92293.0195283745</v>
      </c>
      <c r="AU12" s="67" t="n">
        <f aca="false">CHOOSE(Premissas!$B$6,Cenários!AU24,Cenários!AU70,Cenários!AU116)</f>
        <v>94712.7011018181</v>
      </c>
      <c r="AV12" s="67" t="n">
        <f aca="false">CHOOSE(Premissas!$B$6,Cenários!AV24,Cenários!AV70,Cenários!AV116)</f>
        <v>96971.6027712619</v>
      </c>
      <c r="AW12" s="67" t="n">
        <f aca="false">CHOOSE(Premissas!$B$6,Cenários!AW24,Cenários!AW70,Cenários!AW116)</f>
        <v>99080.4078339686</v>
      </c>
      <c r="AX12" s="67" t="n">
        <f aca="false">CHOOSE(Premissas!$B$6,Cenários!AX24,Cenários!AX70,Cenários!AX116)</f>
        <v>132150.286005186</v>
      </c>
      <c r="AY12" s="67" t="n">
        <f aca="false">CHOOSE(Premissas!$B$6,Cenários!AY24,Cenários!AY70,Cenários!AY116)</f>
        <v>139931.658886206</v>
      </c>
      <c r="AZ12" s="67" t="n">
        <f aca="false">CHOOSE(Premissas!$B$6,Cenários!AZ24,Cenários!AZ70,Cenários!AZ116)</f>
        <v>147227.007864488</v>
      </c>
      <c r="BA12" s="67" t="n">
        <f aca="false">CHOOSE(Premissas!$B$6,Cenários!BA24,Cenários!BA70,Cenários!BA116)</f>
        <v>154066.689952559</v>
      </c>
      <c r="BB12" s="67" t="n">
        <f aca="false">CHOOSE(Premissas!$B$6,Cenários!BB24,Cenários!BB70,Cenários!BB116)</f>
        <v>160479.166066471</v>
      </c>
      <c r="BC12" s="67" t="n">
        <f aca="false">CHOOSE(Premissas!$B$6,Cenários!BC24,Cenários!BC70,Cenários!BC116)</f>
        <v>166491.119455825</v>
      </c>
      <c r="BD12" s="67" t="n">
        <f aca="false">CHOOSE(Premissas!$B$6,Cenários!BD24,Cenários!BD70,Cenários!BD116)</f>
        <v>172127.566736676</v>
      </c>
      <c r="BE12" s="67" t="n">
        <f aca="false">CHOOSE(Premissas!$B$6,Cenários!BE24,Cenários!BE70,Cenários!BE116)</f>
        <v>177411.961989316</v>
      </c>
      <c r="BF12" s="67" t="n">
        <f aca="false">CHOOSE(Premissas!$B$6,Cenários!BF24,Cenários!BF70,Cenários!BF116)</f>
        <v>182366.294354139</v>
      </c>
      <c r="BG12" s="67" t="n">
        <f aca="false">CHOOSE(Premissas!$B$6,Cenários!BG24,Cenários!BG70,Cenários!BG116)</f>
        <v>187011.179531655</v>
      </c>
      <c r="BH12" s="67" t="n">
        <f aca="false">CHOOSE(Premissas!$B$6,Cenários!BH24,Cenários!BH70,Cenários!BH116)</f>
        <v>191365.945567438</v>
      </c>
      <c r="BI12" s="67" t="n">
        <f aca="false">CHOOSE(Premissas!$B$6,Cenários!BI24,Cenários!BI70,Cenários!BI116)</f>
        <v>195448.713278943</v>
      </c>
      <c r="BJ12" s="61" t="n">
        <f aca="false">SUM(B12:BI12)</f>
        <v>3500403.22570103</v>
      </c>
      <c r="BK12" s="186" t="n">
        <f aca="false">IFERROR(BJ12/BJ$16,0)</f>
        <v>0.055621671530997</v>
      </c>
    </row>
    <row r="13" customFormat="false" ht="15" hidden="false" customHeight="false" outlineLevel="0" collapsed="false">
      <c r="A13" s="27" t="s">
        <v>716</v>
      </c>
      <c r="B13" s="67" t="n">
        <f aca="false">CHOOSE(Premissas!$B$6,Cenários!B25,Cenários!B71,Cenários!B117)</f>
        <v>0</v>
      </c>
      <c r="C13" s="67" t="n">
        <f aca="false">CHOOSE(Premissas!$B$6,Cenários!C25,Cenários!C71,Cenários!C117)</f>
        <v>0</v>
      </c>
      <c r="D13" s="67" t="n">
        <f aca="false">CHOOSE(Premissas!$B$6,Cenários!D25,Cenários!D71,Cenários!D117)</f>
        <v>0</v>
      </c>
      <c r="E13" s="67" t="n">
        <f aca="false">CHOOSE(Premissas!$B$6,Cenários!E25,Cenários!E71,Cenários!E117)</f>
        <v>0</v>
      </c>
      <c r="F13" s="67" t="n">
        <f aca="false">CHOOSE(Premissas!$B$6,Cenários!F25,Cenários!F71,Cenários!F117)</f>
        <v>0</v>
      </c>
      <c r="G13" s="67" t="n">
        <f aca="false">CHOOSE(Premissas!$B$6,Cenários!G25,Cenários!G71,Cenários!G117)</f>
        <v>0</v>
      </c>
      <c r="H13" s="67" t="n">
        <f aca="false">CHOOSE(Premissas!$B$6,Cenários!H25,Cenários!H71,Cenários!H117)</f>
        <v>0</v>
      </c>
      <c r="I13" s="67" t="n">
        <f aca="false">CHOOSE(Premissas!$B$6,Cenários!I25,Cenários!I71,Cenários!I117)</f>
        <v>0</v>
      </c>
      <c r="J13" s="67" t="n">
        <f aca="false">CHOOSE(Premissas!$B$6,Cenários!J25,Cenários!J71,Cenários!J117)</f>
        <v>0</v>
      </c>
      <c r="K13" s="67" t="n">
        <f aca="false">CHOOSE(Premissas!$B$6,Cenários!K25,Cenários!K71,Cenários!K117)</f>
        <v>0</v>
      </c>
      <c r="L13" s="67" t="n">
        <f aca="false">CHOOSE(Premissas!$B$6,Cenários!L25,Cenários!L71,Cenários!L117)</f>
        <v>0</v>
      </c>
      <c r="M13" s="67" t="n">
        <f aca="false">CHOOSE(Premissas!$B$6,Cenários!M25,Cenários!M71,Cenários!M117)</f>
        <v>0</v>
      </c>
      <c r="N13" s="67" t="n">
        <f aca="false">CHOOSE(Premissas!$B$6,Cenários!N25,Cenários!N71,Cenários!N117)</f>
        <v>0</v>
      </c>
      <c r="O13" s="67" t="n">
        <f aca="false">CHOOSE(Premissas!$B$6,Cenários!O25,Cenários!O71,Cenários!O117)</f>
        <v>0</v>
      </c>
      <c r="P13" s="67" t="n">
        <f aca="false">CHOOSE(Premissas!$B$6,Cenários!P25,Cenários!P71,Cenários!P117)</f>
        <v>0</v>
      </c>
      <c r="Q13" s="67" t="n">
        <f aca="false">CHOOSE(Premissas!$B$6,Cenários!Q25,Cenários!Q71,Cenários!Q117)</f>
        <v>0</v>
      </c>
      <c r="R13" s="67" t="n">
        <f aca="false">CHOOSE(Premissas!$B$6,Cenários!R25,Cenários!R71,Cenários!R117)</f>
        <v>0</v>
      </c>
      <c r="S13" s="67" t="n">
        <f aca="false">CHOOSE(Premissas!$B$6,Cenários!S25,Cenários!S71,Cenários!S117)</f>
        <v>0</v>
      </c>
      <c r="T13" s="67" t="n">
        <f aca="false">CHOOSE(Premissas!$B$6,Cenários!T25,Cenários!T71,Cenários!T117)</f>
        <v>0</v>
      </c>
      <c r="U13" s="67" t="n">
        <f aca="false">CHOOSE(Premissas!$B$6,Cenários!U25,Cenários!U71,Cenários!U117)</f>
        <v>0</v>
      </c>
      <c r="V13" s="67" t="n">
        <f aca="false">CHOOSE(Premissas!$B$6,Cenários!V25,Cenários!V71,Cenários!V117)</f>
        <v>0</v>
      </c>
      <c r="W13" s="67" t="n">
        <f aca="false">CHOOSE(Premissas!$B$6,Cenários!W25,Cenários!W71,Cenários!W117)</f>
        <v>0</v>
      </c>
      <c r="X13" s="67" t="n">
        <f aca="false">CHOOSE(Premissas!$B$6,Cenários!X25,Cenários!X71,Cenários!X117)</f>
        <v>0</v>
      </c>
      <c r="Y13" s="67" t="n">
        <f aca="false">CHOOSE(Premissas!$B$6,Cenários!Y25,Cenários!Y71,Cenários!Y117)</f>
        <v>0</v>
      </c>
      <c r="Z13" s="67" t="n">
        <f aca="false">CHOOSE(Premissas!$B$6,Cenários!Z25,Cenários!Z71,Cenários!Z117)</f>
        <v>0</v>
      </c>
      <c r="AA13" s="67" t="n">
        <f aca="false">CHOOSE(Premissas!$B$6,Cenários!AA25,Cenários!AA71,Cenários!AA117)</f>
        <v>0</v>
      </c>
      <c r="AB13" s="67" t="n">
        <f aca="false">CHOOSE(Premissas!$B$6,Cenários!AB25,Cenários!AB71,Cenários!AB117)</f>
        <v>0</v>
      </c>
      <c r="AC13" s="67" t="n">
        <f aca="false">CHOOSE(Premissas!$B$6,Cenários!AC25,Cenários!AC71,Cenários!AC117)</f>
        <v>0</v>
      </c>
      <c r="AD13" s="67" t="n">
        <f aca="false">CHOOSE(Premissas!$B$6,Cenários!AD25,Cenários!AD71,Cenários!AD117)</f>
        <v>0</v>
      </c>
      <c r="AE13" s="67" t="n">
        <f aca="false">CHOOSE(Premissas!$B$6,Cenários!AE25,Cenários!AE71,Cenários!AE117)</f>
        <v>0</v>
      </c>
      <c r="AF13" s="67" t="n">
        <f aca="false">CHOOSE(Premissas!$B$6,Cenários!AF25,Cenários!AF71,Cenários!AF117)</f>
        <v>0</v>
      </c>
      <c r="AG13" s="67" t="n">
        <f aca="false">CHOOSE(Premissas!$B$6,Cenários!AG25,Cenários!AG71,Cenários!AG117)</f>
        <v>0</v>
      </c>
      <c r="AH13" s="67" t="n">
        <f aca="false">CHOOSE(Premissas!$B$6,Cenários!AH25,Cenários!AH71,Cenários!AH117)</f>
        <v>0</v>
      </c>
      <c r="AI13" s="67" t="n">
        <f aca="false">CHOOSE(Premissas!$B$6,Cenários!AI25,Cenários!AI71,Cenários!AI117)</f>
        <v>0</v>
      </c>
      <c r="AJ13" s="67" t="n">
        <f aca="false">CHOOSE(Premissas!$B$6,Cenários!AJ25,Cenários!AJ71,Cenários!AJ117)</f>
        <v>0</v>
      </c>
      <c r="AK13" s="67" t="n">
        <f aca="false">CHOOSE(Premissas!$B$6,Cenários!AK25,Cenários!AK71,Cenários!AK117)</f>
        <v>0</v>
      </c>
      <c r="AL13" s="67" t="n">
        <f aca="false">CHOOSE(Premissas!$B$6,Cenários!AL25,Cenários!AL71,Cenários!AL117)</f>
        <v>0</v>
      </c>
      <c r="AM13" s="67" t="n">
        <f aca="false">CHOOSE(Premissas!$B$6,Cenários!AM25,Cenários!AM71,Cenários!AM117)</f>
        <v>0</v>
      </c>
      <c r="AN13" s="67" t="n">
        <f aca="false">CHOOSE(Premissas!$B$6,Cenários!AN25,Cenários!AN71,Cenários!AN117)</f>
        <v>0</v>
      </c>
      <c r="AO13" s="67" t="n">
        <f aca="false">CHOOSE(Premissas!$B$6,Cenários!AO25,Cenários!AO71,Cenários!AO117)</f>
        <v>0</v>
      </c>
      <c r="AP13" s="67" t="n">
        <f aca="false">CHOOSE(Premissas!$B$6,Cenários!AP25,Cenários!AP71,Cenários!AP117)</f>
        <v>0</v>
      </c>
      <c r="AQ13" s="67" t="n">
        <f aca="false">CHOOSE(Premissas!$B$6,Cenários!AQ25,Cenários!AQ71,Cenários!AQ117)</f>
        <v>0</v>
      </c>
      <c r="AR13" s="67" t="n">
        <f aca="false">CHOOSE(Premissas!$B$6,Cenários!AR25,Cenários!AR71,Cenários!AR117)</f>
        <v>0</v>
      </c>
      <c r="AS13" s="67" t="n">
        <f aca="false">CHOOSE(Premissas!$B$6,Cenários!AS25,Cenários!AS71,Cenários!AS117)</f>
        <v>0</v>
      </c>
      <c r="AT13" s="67" t="n">
        <f aca="false">CHOOSE(Premissas!$B$6,Cenários!AT25,Cenários!AT71,Cenários!AT117)</f>
        <v>0</v>
      </c>
      <c r="AU13" s="67" t="n">
        <f aca="false">CHOOSE(Premissas!$B$6,Cenários!AU25,Cenários!AU71,Cenários!AU117)</f>
        <v>0</v>
      </c>
      <c r="AV13" s="67" t="n">
        <f aca="false">CHOOSE(Premissas!$B$6,Cenários!AV25,Cenários!AV71,Cenários!AV117)</f>
        <v>0</v>
      </c>
      <c r="AW13" s="67" t="n">
        <f aca="false">CHOOSE(Premissas!$B$6,Cenários!AW25,Cenários!AW71,Cenários!AW117)</f>
        <v>0</v>
      </c>
      <c r="AX13" s="67" t="n">
        <f aca="false">CHOOSE(Premissas!$B$6,Cenários!AX25,Cenários!AX71,Cenários!AX117)</f>
        <v>0</v>
      </c>
      <c r="AY13" s="67" t="n">
        <f aca="false">CHOOSE(Premissas!$B$6,Cenários!AY25,Cenários!AY71,Cenários!AY117)</f>
        <v>0</v>
      </c>
      <c r="AZ13" s="67" t="n">
        <f aca="false">CHOOSE(Premissas!$B$6,Cenários!AZ25,Cenários!AZ71,Cenários!AZ117)</f>
        <v>0</v>
      </c>
      <c r="BA13" s="67" t="n">
        <f aca="false">CHOOSE(Premissas!$B$6,Cenários!BA25,Cenários!BA71,Cenários!BA117)</f>
        <v>0</v>
      </c>
      <c r="BB13" s="67" t="n">
        <f aca="false">CHOOSE(Premissas!$B$6,Cenários!BB25,Cenários!BB71,Cenários!BB117)</f>
        <v>0</v>
      </c>
      <c r="BC13" s="67" t="n">
        <f aca="false">CHOOSE(Premissas!$B$6,Cenários!BC25,Cenários!BC71,Cenários!BC117)</f>
        <v>0</v>
      </c>
      <c r="BD13" s="67" t="n">
        <f aca="false">CHOOSE(Premissas!$B$6,Cenários!BD25,Cenários!BD71,Cenários!BD117)</f>
        <v>0</v>
      </c>
      <c r="BE13" s="67" t="n">
        <f aca="false">CHOOSE(Premissas!$B$6,Cenários!BE25,Cenários!BE71,Cenários!BE117)</f>
        <v>0</v>
      </c>
      <c r="BF13" s="67" t="n">
        <f aca="false">CHOOSE(Premissas!$B$6,Cenários!BF25,Cenários!BF71,Cenários!BF117)</f>
        <v>0</v>
      </c>
      <c r="BG13" s="67" t="n">
        <f aca="false">CHOOSE(Premissas!$B$6,Cenários!BG25,Cenários!BG71,Cenários!BG117)</f>
        <v>0</v>
      </c>
      <c r="BH13" s="67" t="n">
        <f aca="false">CHOOSE(Premissas!$B$6,Cenários!BH25,Cenários!BH71,Cenários!BH117)</f>
        <v>0</v>
      </c>
      <c r="BI13" s="67" t="n">
        <f aca="false">CHOOSE(Premissas!$B$6,Cenários!BI25,Cenários!BI71,Cenários!BI117)</f>
        <v>0</v>
      </c>
      <c r="BJ13" s="61" t="n">
        <f aca="false">SUM(B13:BI13)</f>
        <v>0</v>
      </c>
      <c r="BK13" s="186" t="n">
        <f aca="false">IFERROR(BJ13/BJ$16,0)</f>
        <v>0</v>
      </c>
    </row>
    <row r="14" customFormat="false" ht="15" hidden="false" customHeight="false" outlineLevel="0" collapsed="false">
      <c r="A14" s="27" t="s">
        <v>717</v>
      </c>
      <c r="B14" s="67" t="n">
        <f aca="false">CHOOSE(Premissas!$B$6,Cenários!B26,Cenários!B72,Cenários!B118)</f>
        <v>0</v>
      </c>
      <c r="C14" s="67" t="n">
        <f aca="false">CHOOSE(Premissas!$B$6,Cenários!C26,Cenários!C72,Cenários!C118)</f>
        <v>0</v>
      </c>
      <c r="D14" s="67" t="n">
        <f aca="false">CHOOSE(Premissas!$B$6,Cenários!D26,Cenários!D72,Cenários!D118)</f>
        <v>0</v>
      </c>
      <c r="E14" s="67" t="n">
        <f aca="false">CHOOSE(Premissas!$B$6,Cenários!E26,Cenários!E72,Cenários!E118)</f>
        <v>0</v>
      </c>
      <c r="F14" s="67" t="n">
        <f aca="false">CHOOSE(Premissas!$B$6,Cenários!F26,Cenários!F72,Cenários!F118)</f>
        <v>0</v>
      </c>
      <c r="G14" s="67" t="n">
        <f aca="false">CHOOSE(Premissas!$B$6,Cenários!G26,Cenários!G72,Cenários!G118)</f>
        <v>0</v>
      </c>
      <c r="H14" s="67" t="n">
        <f aca="false">CHOOSE(Premissas!$B$6,Cenários!H26,Cenários!H72,Cenários!H118)</f>
        <v>0</v>
      </c>
      <c r="I14" s="67" t="n">
        <f aca="false">CHOOSE(Premissas!$B$6,Cenários!I26,Cenários!I72,Cenários!I118)</f>
        <v>0</v>
      </c>
      <c r="J14" s="67" t="n">
        <f aca="false">CHOOSE(Premissas!$B$6,Cenários!J26,Cenários!J72,Cenários!J118)</f>
        <v>0</v>
      </c>
      <c r="K14" s="67" t="n">
        <f aca="false">CHOOSE(Premissas!$B$6,Cenários!K26,Cenários!K72,Cenários!K118)</f>
        <v>0</v>
      </c>
      <c r="L14" s="67" t="n">
        <f aca="false">CHOOSE(Premissas!$B$6,Cenários!L26,Cenários!L72,Cenários!L118)</f>
        <v>0</v>
      </c>
      <c r="M14" s="67" t="n">
        <f aca="false">CHOOSE(Premissas!$B$6,Cenários!M26,Cenários!M72,Cenários!M118)</f>
        <v>0</v>
      </c>
      <c r="N14" s="67" t="n">
        <f aca="false">CHOOSE(Premissas!$B$6,Cenários!N26,Cenários!N72,Cenários!N118)</f>
        <v>0</v>
      </c>
      <c r="O14" s="67" t="n">
        <f aca="false">CHOOSE(Premissas!$B$6,Cenários!O26,Cenários!O72,Cenários!O118)</f>
        <v>0</v>
      </c>
      <c r="P14" s="67" t="n">
        <f aca="false">CHOOSE(Premissas!$B$6,Cenários!P26,Cenários!P72,Cenários!P118)</f>
        <v>0</v>
      </c>
      <c r="Q14" s="67" t="n">
        <f aca="false">CHOOSE(Premissas!$B$6,Cenários!Q26,Cenários!Q72,Cenários!Q118)</f>
        <v>0</v>
      </c>
      <c r="R14" s="67" t="n">
        <f aca="false">CHOOSE(Premissas!$B$6,Cenários!R26,Cenários!R72,Cenários!R118)</f>
        <v>0</v>
      </c>
      <c r="S14" s="67" t="n">
        <f aca="false">CHOOSE(Premissas!$B$6,Cenários!S26,Cenários!S72,Cenários!S118)</f>
        <v>0</v>
      </c>
      <c r="T14" s="67" t="n">
        <f aca="false">CHOOSE(Premissas!$B$6,Cenários!T26,Cenários!T72,Cenários!T118)</f>
        <v>0</v>
      </c>
      <c r="U14" s="67" t="n">
        <f aca="false">CHOOSE(Premissas!$B$6,Cenários!U26,Cenários!U72,Cenários!U118)</f>
        <v>0</v>
      </c>
      <c r="V14" s="67" t="n">
        <f aca="false">CHOOSE(Premissas!$B$6,Cenários!V26,Cenários!V72,Cenários!V118)</f>
        <v>0</v>
      </c>
      <c r="W14" s="67" t="n">
        <f aca="false">CHOOSE(Premissas!$B$6,Cenários!W26,Cenários!W72,Cenários!W118)</f>
        <v>0</v>
      </c>
      <c r="X14" s="67" t="n">
        <f aca="false">CHOOSE(Premissas!$B$6,Cenários!X26,Cenários!X72,Cenários!X118)</f>
        <v>0</v>
      </c>
      <c r="Y14" s="67" t="n">
        <f aca="false">CHOOSE(Premissas!$B$6,Cenários!Y26,Cenários!Y72,Cenários!Y118)</f>
        <v>0</v>
      </c>
      <c r="Z14" s="67" t="n">
        <f aca="false">CHOOSE(Premissas!$B$6,Cenários!Z26,Cenários!Z72,Cenários!Z118)</f>
        <v>0</v>
      </c>
      <c r="AA14" s="67" t="n">
        <f aca="false">CHOOSE(Premissas!$B$6,Cenários!AA26,Cenários!AA72,Cenários!AA118)</f>
        <v>0</v>
      </c>
      <c r="AB14" s="67" t="n">
        <f aca="false">CHOOSE(Premissas!$B$6,Cenários!AB26,Cenários!AB72,Cenários!AB118)</f>
        <v>0</v>
      </c>
      <c r="AC14" s="67" t="n">
        <f aca="false">CHOOSE(Premissas!$B$6,Cenários!AC26,Cenários!AC72,Cenários!AC118)</f>
        <v>0</v>
      </c>
      <c r="AD14" s="67" t="n">
        <f aca="false">CHOOSE(Premissas!$B$6,Cenários!AD26,Cenários!AD72,Cenários!AD118)</f>
        <v>0</v>
      </c>
      <c r="AE14" s="67" t="n">
        <f aca="false">CHOOSE(Premissas!$B$6,Cenários!AE26,Cenários!AE72,Cenários!AE118)</f>
        <v>0</v>
      </c>
      <c r="AF14" s="67" t="n">
        <f aca="false">CHOOSE(Premissas!$B$6,Cenários!AF26,Cenários!AF72,Cenários!AF118)</f>
        <v>45000</v>
      </c>
      <c r="AG14" s="67" t="n">
        <f aca="false">CHOOSE(Premissas!$B$6,Cenários!AG26,Cenários!AG72,Cenários!AG118)</f>
        <v>45000</v>
      </c>
      <c r="AH14" s="67" t="n">
        <f aca="false">CHOOSE(Premissas!$B$6,Cenários!AH26,Cenários!AH72,Cenários!AH118)</f>
        <v>45000</v>
      </c>
      <c r="AI14" s="67" t="n">
        <f aca="false">CHOOSE(Premissas!$B$6,Cenários!AI26,Cenários!AI72,Cenários!AI118)</f>
        <v>45000</v>
      </c>
      <c r="AJ14" s="67" t="n">
        <f aca="false">CHOOSE(Premissas!$B$6,Cenários!AJ26,Cenários!AJ72,Cenários!AJ118)</f>
        <v>45000</v>
      </c>
      <c r="AK14" s="67" t="n">
        <f aca="false">CHOOSE(Premissas!$B$6,Cenários!AK26,Cenários!AK72,Cenários!AK118)</f>
        <v>45000</v>
      </c>
      <c r="AL14" s="67" t="n">
        <f aca="false">CHOOSE(Premissas!$B$6,Cenários!AL26,Cenários!AL72,Cenários!AL118)</f>
        <v>70000</v>
      </c>
      <c r="AM14" s="67" t="n">
        <f aca="false">CHOOSE(Premissas!$B$6,Cenários!AM26,Cenários!AM72,Cenários!AM118)</f>
        <v>70000</v>
      </c>
      <c r="AN14" s="67" t="n">
        <f aca="false">CHOOSE(Premissas!$B$6,Cenários!AN26,Cenários!AN72,Cenários!AN118)</f>
        <v>70000</v>
      </c>
      <c r="AO14" s="67" t="n">
        <f aca="false">CHOOSE(Premissas!$B$6,Cenários!AO26,Cenários!AO72,Cenários!AO118)</f>
        <v>70000</v>
      </c>
      <c r="AP14" s="67" t="n">
        <f aca="false">CHOOSE(Premissas!$B$6,Cenários!AP26,Cenários!AP72,Cenários!AP118)</f>
        <v>70000</v>
      </c>
      <c r="AQ14" s="67" t="n">
        <f aca="false">CHOOSE(Premissas!$B$6,Cenários!AQ26,Cenários!AQ72,Cenários!AQ118)</f>
        <v>70000</v>
      </c>
      <c r="AR14" s="67" t="n">
        <f aca="false">CHOOSE(Premissas!$B$6,Cenários!AR26,Cenários!AR72,Cenários!AR118)</f>
        <v>70000</v>
      </c>
      <c r="AS14" s="67" t="n">
        <f aca="false">CHOOSE(Premissas!$B$6,Cenários!AS26,Cenários!AS72,Cenários!AS118)</f>
        <v>70000</v>
      </c>
      <c r="AT14" s="67" t="n">
        <f aca="false">CHOOSE(Premissas!$B$6,Cenários!AT26,Cenários!AT72,Cenários!AT118)</f>
        <v>70000</v>
      </c>
      <c r="AU14" s="67" t="n">
        <f aca="false">CHOOSE(Premissas!$B$6,Cenários!AU26,Cenários!AU72,Cenários!AU118)</f>
        <v>70000</v>
      </c>
      <c r="AV14" s="67" t="n">
        <f aca="false">CHOOSE(Premissas!$B$6,Cenários!AV26,Cenários!AV72,Cenários!AV118)</f>
        <v>70000</v>
      </c>
      <c r="AW14" s="67" t="n">
        <f aca="false">CHOOSE(Premissas!$B$6,Cenários!AW26,Cenários!AW72,Cenários!AW118)</f>
        <v>70000</v>
      </c>
      <c r="AX14" s="67" t="n">
        <f aca="false">CHOOSE(Premissas!$B$6,Cenários!AX26,Cenários!AX72,Cenários!AX118)</f>
        <v>70000</v>
      </c>
      <c r="AY14" s="67" t="n">
        <f aca="false">CHOOSE(Premissas!$B$6,Cenários!AY26,Cenários!AY72,Cenários!AY118)</f>
        <v>70000</v>
      </c>
      <c r="AZ14" s="67" t="n">
        <f aca="false">CHOOSE(Premissas!$B$6,Cenários!AZ26,Cenários!AZ72,Cenários!AZ118)</f>
        <v>70000</v>
      </c>
      <c r="BA14" s="67" t="n">
        <f aca="false">CHOOSE(Premissas!$B$6,Cenários!BA26,Cenários!BA72,Cenários!BA118)</f>
        <v>70000</v>
      </c>
      <c r="BB14" s="67" t="n">
        <f aca="false">CHOOSE(Premissas!$B$6,Cenários!BB26,Cenários!BB72,Cenários!BB118)</f>
        <v>70000</v>
      </c>
      <c r="BC14" s="67" t="n">
        <f aca="false">CHOOSE(Premissas!$B$6,Cenários!BC26,Cenários!BC72,Cenários!BC118)</f>
        <v>70000</v>
      </c>
      <c r="BD14" s="67" t="n">
        <f aca="false">CHOOSE(Premissas!$B$6,Cenários!BD26,Cenários!BD72,Cenários!BD118)</f>
        <v>70000</v>
      </c>
      <c r="BE14" s="67" t="n">
        <f aca="false">CHOOSE(Premissas!$B$6,Cenários!BE26,Cenários!BE72,Cenários!BE118)</f>
        <v>70000</v>
      </c>
      <c r="BF14" s="67" t="n">
        <f aca="false">CHOOSE(Premissas!$B$6,Cenários!BF26,Cenários!BF72,Cenários!BF118)</f>
        <v>70000</v>
      </c>
      <c r="BG14" s="67" t="n">
        <f aca="false">CHOOSE(Premissas!$B$6,Cenários!BG26,Cenários!BG72,Cenários!BG118)</f>
        <v>70000</v>
      </c>
      <c r="BH14" s="67" t="n">
        <f aca="false">CHOOSE(Premissas!$B$6,Cenários!BH26,Cenários!BH72,Cenários!BH118)</f>
        <v>70000</v>
      </c>
      <c r="BI14" s="67" t="n">
        <f aca="false">CHOOSE(Premissas!$B$6,Cenários!BI26,Cenários!BI72,Cenários!BI118)</f>
        <v>70000</v>
      </c>
      <c r="BJ14" s="61" t="n">
        <f aca="false">SUM(B14:BI14)</f>
        <v>1950000</v>
      </c>
      <c r="BK14" s="186" t="n">
        <f aca="false">IFERROR(BJ14/BJ$16,0)</f>
        <v>0.0309856472217489</v>
      </c>
    </row>
    <row r="15" customFormat="false" ht="15" hidden="false" customHeight="false" outlineLevel="0" collapsed="false">
      <c r="A15" s="27" t="s">
        <v>719</v>
      </c>
      <c r="B15" s="67" t="n">
        <f aca="false">CHOOSE(Premissas!$B$6,Cenários!B27,Cenários!B73,Cenários!B119)</f>
        <v>0</v>
      </c>
      <c r="C15" s="67" t="n">
        <f aca="false">CHOOSE(Premissas!$B$6,Cenários!C27,Cenários!C73,Cenários!C119)</f>
        <v>0</v>
      </c>
      <c r="D15" s="67" t="n">
        <f aca="false">CHOOSE(Premissas!$B$6,Cenários!D27,Cenários!D73,Cenários!D119)</f>
        <v>0</v>
      </c>
      <c r="E15" s="67" t="n">
        <f aca="false">CHOOSE(Premissas!$B$6,Cenários!E27,Cenários!E73,Cenários!E119)</f>
        <v>0</v>
      </c>
      <c r="F15" s="67" t="n">
        <f aca="false">CHOOSE(Premissas!$B$6,Cenários!F27,Cenários!F73,Cenários!F119)</f>
        <v>0</v>
      </c>
      <c r="G15" s="67" t="n">
        <f aca="false">CHOOSE(Premissas!$B$6,Cenários!G27,Cenários!G73,Cenários!G119)</f>
        <v>0</v>
      </c>
      <c r="H15" s="67" t="n">
        <f aca="false">CHOOSE(Premissas!$B$6,Cenários!H27,Cenários!H73,Cenários!H119)</f>
        <v>0</v>
      </c>
      <c r="I15" s="67" t="n">
        <f aca="false">CHOOSE(Premissas!$B$6,Cenários!I27,Cenários!I73,Cenários!I119)</f>
        <v>0</v>
      </c>
      <c r="J15" s="67" t="n">
        <f aca="false">CHOOSE(Premissas!$B$6,Cenários!J27,Cenários!J73,Cenários!J119)</f>
        <v>0</v>
      </c>
      <c r="K15" s="67" t="n">
        <f aca="false">CHOOSE(Premissas!$B$6,Cenários!K27,Cenários!K73,Cenários!K119)</f>
        <v>0</v>
      </c>
      <c r="L15" s="67" t="n">
        <f aca="false">CHOOSE(Premissas!$B$6,Cenários!L27,Cenários!L73,Cenários!L119)</f>
        <v>0</v>
      </c>
      <c r="M15" s="67" t="n">
        <f aca="false">CHOOSE(Premissas!$B$6,Cenários!M27,Cenários!M73,Cenários!M119)</f>
        <v>0</v>
      </c>
      <c r="N15" s="67" t="n">
        <f aca="false">CHOOSE(Premissas!$B$6,Cenários!N27,Cenários!N73,Cenários!N119)</f>
        <v>0</v>
      </c>
      <c r="O15" s="67" t="n">
        <f aca="false">CHOOSE(Premissas!$B$6,Cenários!O27,Cenários!O73,Cenários!O119)</f>
        <v>0</v>
      </c>
      <c r="P15" s="67" t="n">
        <f aca="false">CHOOSE(Premissas!$B$6,Cenários!P27,Cenários!P73,Cenários!P119)</f>
        <v>0</v>
      </c>
      <c r="Q15" s="67" t="n">
        <f aca="false">CHOOSE(Premissas!$B$6,Cenários!Q27,Cenários!Q73,Cenários!Q119)</f>
        <v>0</v>
      </c>
      <c r="R15" s="67" t="n">
        <f aca="false">CHOOSE(Premissas!$B$6,Cenários!R27,Cenários!R73,Cenários!R119)</f>
        <v>0</v>
      </c>
      <c r="S15" s="67" t="n">
        <f aca="false">CHOOSE(Premissas!$B$6,Cenários!S27,Cenários!S73,Cenários!S119)</f>
        <v>0</v>
      </c>
      <c r="T15" s="67" t="n">
        <f aca="false">CHOOSE(Premissas!$B$6,Cenários!T27,Cenários!T73,Cenários!T119)</f>
        <v>0</v>
      </c>
      <c r="U15" s="67" t="n">
        <f aca="false">CHOOSE(Premissas!$B$6,Cenários!U27,Cenários!U73,Cenários!U119)</f>
        <v>0</v>
      </c>
      <c r="V15" s="67" t="n">
        <f aca="false">CHOOSE(Premissas!$B$6,Cenários!V27,Cenários!V73,Cenários!V119)</f>
        <v>0</v>
      </c>
      <c r="W15" s="67" t="n">
        <f aca="false">CHOOSE(Premissas!$B$6,Cenários!W27,Cenários!W73,Cenários!W119)</f>
        <v>0</v>
      </c>
      <c r="X15" s="67" t="n">
        <f aca="false">CHOOSE(Premissas!$B$6,Cenários!X27,Cenários!X73,Cenários!X119)</f>
        <v>0</v>
      </c>
      <c r="Y15" s="67" t="n">
        <f aca="false">CHOOSE(Premissas!$B$6,Cenários!Y27,Cenários!Y73,Cenários!Y119)</f>
        <v>0</v>
      </c>
      <c r="Z15" s="67" t="n">
        <f aca="false">CHOOSE(Premissas!$B$6,Cenários!Z27,Cenários!Z73,Cenários!Z119)</f>
        <v>0</v>
      </c>
      <c r="AA15" s="67" t="n">
        <f aca="false">CHOOSE(Premissas!$B$6,Cenários!AA27,Cenários!AA73,Cenários!AA119)</f>
        <v>0</v>
      </c>
      <c r="AB15" s="67" t="n">
        <f aca="false">CHOOSE(Premissas!$B$6,Cenários!AB27,Cenários!AB73,Cenários!AB119)</f>
        <v>0</v>
      </c>
      <c r="AC15" s="67" t="n">
        <f aca="false">CHOOSE(Premissas!$B$6,Cenários!AC27,Cenários!AC73,Cenários!AC119)</f>
        <v>0</v>
      </c>
      <c r="AD15" s="67" t="n">
        <f aca="false">CHOOSE(Premissas!$B$6,Cenários!AD27,Cenários!AD73,Cenários!AD119)</f>
        <v>0</v>
      </c>
      <c r="AE15" s="67" t="n">
        <f aca="false">CHOOSE(Premissas!$B$6,Cenários!AE27,Cenários!AE73,Cenários!AE119)</f>
        <v>0</v>
      </c>
      <c r="AF15" s="67" t="n">
        <f aca="false">CHOOSE(Premissas!$B$6,Cenários!AF27,Cenários!AF73,Cenários!AF119)</f>
        <v>0</v>
      </c>
      <c r="AG15" s="67" t="n">
        <f aca="false">CHOOSE(Premissas!$B$6,Cenários!AG27,Cenários!AG73,Cenários!AG119)</f>
        <v>0</v>
      </c>
      <c r="AH15" s="67" t="n">
        <f aca="false">CHOOSE(Premissas!$B$6,Cenários!AH27,Cenários!AH73,Cenários!AH119)</f>
        <v>0</v>
      </c>
      <c r="AI15" s="67" t="n">
        <f aca="false">CHOOSE(Premissas!$B$6,Cenários!AI27,Cenários!AI73,Cenários!AI119)</f>
        <v>0</v>
      </c>
      <c r="AJ15" s="67" t="n">
        <f aca="false">CHOOSE(Premissas!$B$6,Cenários!AJ27,Cenários!AJ73,Cenários!AJ119)</f>
        <v>0</v>
      </c>
      <c r="AK15" s="67" t="n">
        <f aca="false">CHOOSE(Premissas!$B$6,Cenários!AK27,Cenários!AK73,Cenários!AK119)</f>
        <v>0</v>
      </c>
      <c r="AL15" s="67" t="n">
        <f aca="false">CHOOSE(Premissas!$B$6,Cenários!AL27,Cenários!AL73,Cenários!AL119)</f>
        <v>0</v>
      </c>
      <c r="AM15" s="67" t="n">
        <f aca="false">CHOOSE(Premissas!$B$6,Cenários!AM27,Cenários!AM73,Cenários!AM119)</f>
        <v>0</v>
      </c>
      <c r="AN15" s="67" t="n">
        <f aca="false">CHOOSE(Premissas!$B$6,Cenários!AN27,Cenários!AN73,Cenários!AN119)</f>
        <v>0</v>
      </c>
      <c r="AO15" s="67" t="n">
        <f aca="false">CHOOSE(Premissas!$B$6,Cenários!AO27,Cenários!AO73,Cenários!AO119)</f>
        <v>0</v>
      </c>
      <c r="AP15" s="67" t="n">
        <f aca="false">CHOOSE(Premissas!$B$6,Cenários!AP27,Cenários!AP73,Cenários!AP119)</f>
        <v>0</v>
      </c>
      <c r="AQ15" s="67" t="n">
        <f aca="false">CHOOSE(Premissas!$B$6,Cenários!AQ27,Cenários!AQ73,Cenários!AQ119)</f>
        <v>0</v>
      </c>
      <c r="AR15" s="67" t="n">
        <f aca="false">CHOOSE(Premissas!$B$6,Cenários!AR27,Cenários!AR73,Cenários!AR119)</f>
        <v>0</v>
      </c>
      <c r="AS15" s="67" t="n">
        <f aca="false">CHOOSE(Premissas!$B$6,Cenários!AS27,Cenários!AS73,Cenários!AS119)</f>
        <v>0</v>
      </c>
      <c r="AT15" s="67" t="n">
        <f aca="false">CHOOSE(Premissas!$B$6,Cenários!AT27,Cenários!AT73,Cenários!AT119)</f>
        <v>0</v>
      </c>
      <c r="AU15" s="67" t="n">
        <f aca="false">CHOOSE(Premissas!$B$6,Cenários!AU27,Cenários!AU73,Cenários!AU119)</f>
        <v>0</v>
      </c>
      <c r="AV15" s="67" t="n">
        <f aca="false">CHOOSE(Premissas!$B$6,Cenários!AV27,Cenários!AV73,Cenários!AV119)</f>
        <v>0</v>
      </c>
      <c r="AW15" s="67" t="n">
        <f aca="false">CHOOSE(Premissas!$B$6,Cenários!AW27,Cenários!AW73,Cenários!AW119)</f>
        <v>0</v>
      </c>
      <c r="AX15" s="67" t="n">
        <f aca="false">CHOOSE(Premissas!$B$6,Cenários!AX27,Cenários!AX73,Cenários!AX119)</f>
        <v>0</v>
      </c>
      <c r="AY15" s="67" t="n">
        <f aca="false">CHOOSE(Premissas!$B$6,Cenários!AY27,Cenários!AY73,Cenários!AY119)</f>
        <v>0</v>
      </c>
      <c r="AZ15" s="67" t="n">
        <f aca="false">CHOOSE(Premissas!$B$6,Cenários!AZ27,Cenários!AZ73,Cenários!AZ119)</f>
        <v>0</v>
      </c>
      <c r="BA15" s="67" t="n">
        <f aca="false">CHOOSE(Premissas!$B$6,Cenários!BA27,Cenários!BA73,Cenários!BA119)</f>
        <v>0</v>
      </c>
      <c r="BB15" s="67" t="n">
        <f aca="false">CHOOSE(Premissas!$B$6,Cenários!BB27,Cenários!BB73,Cenários!BB119)</f>
        <v>0</v>
      </c>
      <c r="BC15" s="67" t="n">
        <f aca="false">CHOOSE(Premissas!$B$6,Cenários!BC27,Cenários!BC73,Cenários!BC119)</f>
        <v>0</v>
      </c>
      <c r="BD15" s="67" t="n">
        <f aca="false">CHOOSE(Premissas!$B$6,Cenários!BD27,Cenários!BD73,Cenários!BD119)</f>
        <v>0</v>
      </c>
      <c r="BE15" s="67" t="n">
        <f aca="false">CHOOSE(Premissas!$B$6,Cenários!BE27,Cenários!BE73,Cenários!BE119)</f>
        <v>0</v>
      </c>
      <c r="BF15" s="67" t="n">
        <f aca="false">CHOOSE(Premissas!$B$6,Cenários!BF27,Cenários!BF73,Cenários!BF119)</f>
        <v>0</v>
      </c>
      <c r="BG15" s="67" t="n">
        <f aca="false">CHOOSE(Premissas!$B$6,Cenários!BG27,Cenários!BG73,Cenários!BG119)</f>
        <v>0</v>
      </c>
      <c r="BH15" s="67" t="n">
        <f aca="false">CHOOSE(Premissas!$B$6,Cenários!BH27,Cenários!BH73,Cenários!BH119)</f>
        <v>0</v>
      </c>
      <c r="BI15" s="67" t="n">
        <f aca="false">CHOOSE(Premissas!$B$6,Cenários!BI27,Cenários!BI73,Cenários!BI119)</f>
        <v>0</v>
      </c>
      <c r="BJ15" s="61" t="n">
        <f aca="false">SUM(B15:BI15)</f>
        <v>0</v>
      </c>
      <c r="BK15" s="186" t="n">
        <f aca="false">IFERROR(BJ15/BJ$16,0)</f>
        <v>0</v>
      </c>
    </row>
    <row r="16" customFormat="false" ht="15" hidden="false" customHeight="false" outlineLevel="0" collapsed="false">
      <c r="A16" s="62" t="s">
        <v>822</v>
      </c>
      <c r="B16" s="61" t="n">
        <f aca="false">SUM(B9:B15)</f>
        <v>0</v>
      </c>
      <c r="C16" s="61" t="n">
        <f aca="false">SUM(C9:C15)</f>
        <v>0</v>
      </c>
      <c r="D16" s="61" t="n">
        <f aca="false">SUM(D9:D15)</f>
        <v>0</v>
      </c>
      <c r="E16" s="61" t="n">
        <f aca="false">SUM(E9:E15)</f>
        <v>0</v>
      </c>
      <c r="F16" s="61" t="n">
        <f aca="false">SUM(F9:F15)</f>
        <v>0</v>
      </c>
      <c r="G16" s="61" t="n">
        <f aca="false">SUM(G9:G15)</f>
        <v>0</v>
      </c>
      <c r="H16" s="61" t="n">
        <f aca="false">SUM(H9:H15)</f>
        <v>0</v>
      </c>
      <c r="I16" s="61" t="n">
        <f aca="false">SUM(I9:I15)</f>
        <v>0</v>
      </c>
      <c r="J16" s="61" t="n">
        <f aca="false">SUM(J9:J15)</f>
        <v>0</v>
      </c>
      <c r="K16" s="61" t="n">
        <f aca="false">SUM(K9:K15)</f>
        <v>3004.9</v>
      </c>
      <c r="L16" s="61" t="n">
        <f aca="false">SUM(L9:L15)</f>
        <v>11522.1</v>
      </c>
      <c r="M16" s="61" t="n">
        <f aca="false">SUM(M9:M15)</f>
        <v>24914.8</v>
      </c>
      <c r="N16" s="61" t="n">
        <f aca="false">SUM(N9:N15)</f>
        <v>58839.76497568</v>
      </c>
      <c r="O16" s="61" t="n">
        <f aca="false">SUM(O9:O15)</f>
        <v>93975.7764599088</v>
      </c>
      <c r="P16" s="61" t="n">
        <f aca="false">SUM(P9:P15)</f>
        <v>135265.058196524</v>
      </c>
      <c r="Q16" s="61" t="n">
        <f aca="false">SUM(Q9:Q15)</f>
        <v>190179.092742545</v>
      </c>
      <c r="R16" s="61" t="n">
        <f aca="false">SUM(R9:R15)</f>
        <v>214534.843329106</v>
      </c>
      <c r="S16" s="61" t="n">
        <f aca="false">SUM(S9:S15)</f>
        <v>237053.878669957</v>
      </c>
      <c r="T16" s="61" t="n">
        <f aca="false">SUM(T9:T15)</f>
        <v>257886.950039576</v>
      </c>
      <c r="U16" s="61" t="n">
        <f aca="false">SUM(U9:U15)</f>
        <v>277163.6313262</v>
      </c>
      <c r="V16" s="61" t="n">
        <f aca="false">SUM(V9:V15)</f>
        <v>294950.65224967</v>
      </c>
      <c r="W16" s="61" t="n">
        <f aca="false">SUM(W9:W15)</f>
        <v>355893.802419695</v>
      </c>
      <c r="X16" s="61" t="n">
        <f aca="false">SUM(X9:X15)</f>
        <v>373261.482896934</v>
      </c>
      <c r="Y16" s="61" t="n">
        <f aca="false">SUM(Y9:Y15)</f>
        <v>389337.515407084</v>
      </c>
      <c r="Z16" s="61" t="n">
        <f aca="false">SUM(Z9:Z15)</f>
        <v>517434.389333307</v>
      </c>
      <c r="AA16" s="61" t="n">
        <f aca="false">SUM(AA9:AA15)</f>
        <v>560922.864551517</v>
      </c>
      <c r="AB16" s="61" t="n">
        <f aca="false">SUM(AB9:AB15)</f>
        <v>601357.810108826</v>
      </c>
      <c r="AC16" s="61" t="n">
        <f aca="false">SUM(AC9:AC15)</f>
        <v>638901.127242402</v>
      </c>
      <c r="AD16" s="61" t="n">
        <f aca="false">SUM(AD9:AD15)</f>
        <v>673844.967225271</v>
      </c>
      <c r="AE16" s="61" t="n">
        <f aca="false">SUM(AE9:AE15)</f>
        <v>706284.609010059</v>
      </c>
      <c r="AF16" s="61" t="n">
        <f aca="false">SUM(AF9:AF15)</f>
        <v>781380.044133621</v>
      </c>
      <c r="AG16" s="61" t="n">
        <f aca="false">SUM(AG9:AG15)</f>
        <v>809443.708066562</v>
      </c>
      <c r="AH16" s="61" t="n">
        <f aca="false">SUM(AH9:AH15)</f>
        <v>835503.599802107</v>
      </c>
      <c r="AI16" s="61" t="n">
        <f aca="false">SUM(AI9:AI15)</f>
        <v>859674.824810381</v>
      </c>
      <c r="AJ16" s="61" t="n">
        <f aca="false">SUM(AJ9:AJ15)</f>
        <v>882137.460431937</v>
      </c>
      <c r="AK16" s="61" t="n">
        <f aca="false">SUM(AK9:AK15)</f>
        <v>903049.443415664</v>
      </c>
      <c r="AL16" s="61" t="n">
        <f aca="false">SUM(AL9:AL15)</f>
        <v>1182846.3378495</v>
      </c>
      <c r="AM16" s="61" t="n">
        <f aca="false">SUM(AM9:AM15)</f>
        <v>1254039.84794326</v>
      </c>
      <c r="AN16" s="61" t="n">
        <f aca="false">SUM(AN9:AN15)</f>
        <v>1320450.03047551</v>
      </c>
      <c r="AO16" s="61" t="n">
        <f aca="false">SUM(AO9:AO15)</f>
        <v>1382436.61204769</v>
      </c>
      <c r="AP16" s="61" t="n">
        <f aca="false">SUM(AP9:AP15)</f>
        <v>1440358.54527198</v>
      </c>
      <c r="AQ16" s="61" t="n">
        <f aca="false">SUM(AQ9:AQ15)</f>
        <v>1494390.81925134</v>
      </c>
      <c r="AR16" s="61" t="n">
        <f aca="false">SUM(AR9:AR15)</f>
        <v>1544867.22809399</v>
      </c>
      <c r="AS16" s="61" t="n">
        <f aca="false">SUM(AS9:AS15)</f>
        <v>1591983.73897624</v>
      </c>
      <c r="AT16" s="61" t="n">
        <f aca="false">SUM(AT9:AT15)</f>
        <v>1635912.56115915</v>
      </c>
      <c r="AU16" s="61" t="n">
        <f aca="false">SUM(AU9:AU15)</f>
        <v>1676984.79466908</v>
      </c>
      <c r="AV16" s="61" t="n">
        <f aca="false">SUM(AV9:AV15)</f>
        <v>1715325.54334522</v>
      </c>
      <c r="AW16" s="61" t="n">
        <f aca="false">SUM(AW9:AW15)</f>
        <v>1751127.39236517</v>
      </c>
      <c r="AX16" s="61" t="n">
        <f aca="false">SUM(AX9:AX15)</f>
        <v>2205251.44590653</v>
      </c>
      <c r="AY16" s="61" t="n">
        <f aca="false">SUM(AY9:AY15)</f>
        <v>2330993.77746488</v>
      </c>
      <c r="AZ16" s="61" t="n">
        <f aca="false">SUM(AZ9:AZ15)</f>
        <v>2448855.15802615</v>
      </c>
      <c r="BA16" s="61" t="n">
        <f aca="false">SUM(BA9:BA15)</f>
        <v>2559341.64027266</v>
      </c>
      <c r="BB16" s="61" t="n">
        <f aca="false">SUM(BB9:BB15)</f>
        <v>2663028.69340257</v>
      </c>
      <c r="BC16" s="61" t="n">
        <f aca="false">SUM(BC9:BC15)</f>
        <v>2760156.58074686</v>
      </c>
      <c r="BD16" s="61" t="n">
        <f aca="false">SUM(BD9:BD15)</f>
        <v>2851226.13384323</v>
      </c>
      <c r="BE16" s="61" t="n">
        <f aca="false">SUM(BE9:BE15)</f>
        <v>2936569.78834139</v>
      </c>
      <c r="BF16" s="61" t="n">
        <f aca="false">SUM(BF9:BF15)</f>
        <v>3016709.31792725</v>
      </c>
      <c r="BG16" s="61" t="n">
        <f aca="false">SUM(BG9:BG15)</f>
        <v>3091688.35391033</v>
      </c>
      <c r="BH16" s="61" t="n">
        <f aca="false">SUM(BH9:BH15)</f>
        <v>3162049.85925373</v>
      </c>
      <c r="BI16" s="61" t="n">
        <f aca="false">SUM(BI9:BI15)</f>
        <v>3228049.74298386</v>
      </c>
      <c r="BJ16" s="61" t="n">
        <f aca="false">SUM(B16:BI16)</f>
        <v>62932363.0403721</v>
      </c>
    </row>
    <row r="18" customFormat="false" ht="18" hidden="false" customHeight="true" outlineLevel="0" collapsed="false">
      <c r="A18" s="25" t="s">
        <v>823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</row>
    <row r="19" customFormat="false" ht="15" hidden="false" customHeight="false" outlineLevel="0" collapsed="false">
      <c r="A19" s="27" t="s">
        <v>755</v>
      </c>
      <c r="B19" s="67" t="n">
        <f aca="false">CHOOSE(Premissas!$B$6,Cenários!B31,Cenários!B77,Cenários!B123)</f>
        <v>-0</v>
      </c>
      <c r="C19" s="67" t="n">
        <f aca="false">CHOOSE(Premissas!$B$6,Cenários!C31,Cenários!C77,Cenários!C123)</f>
        <v>-0</v>
      </c>
      <c r="D19" s="67" t="n">
        <f aca="false">CHOOSE(Premissas!$B$6,Cenários!D31,Cenários!D77,Cenários!D123)</f>
        <v>-0</v>
      </c>
      <c r="E19" s="67" t="n">
        <f aca="false">CHOOSE(Premissas!$B$6,Cenários!E31,Cenários!E77,Cenários!E123)</f>
        <v>-0</v>
      </c>
      <c r="F19" s="67" t="n">
        <f aca="false">CHOOSE(Premissas!$B$6,Cenários!F31,Cenários!F77,Cenários!F123)</f>
        <v>-0</v>
      </c>
      <c r="G19" s="67" t="n">
        <f aca="false">CHOOSE(Premissas!$B$6,Cenários!G31,Cenários!G77,Cenários!G123)</f>
        <v>-0</v>
      </c>
      <c r="H19" s="67" t="n">
        <f aca="false">CHOOSE(Premissas!$B$6,Cenários!H31,Cenários!H77,Cenários!H123)</f>
        <v>-0</v>
      </c>
      <c r="I19" s="67" t="n">
        <f aca="false">CHOOSE(Premissas!$B$6,Cenários!I31,Cenários!I77,Cenários!I123)</f>
        <v>-0</v>
      </c>
      <c r="J19" s="67" t="n">
        <f aca="false">CHOOSE(Premissas!$B$6,Cenários!J31,Cenários!J77,Cenários!J123)</f>
        <v>-0</v>
      </c>
      <c r="K19" s="67" t="n">
        <f aca="false">CHOOSE(Premissas!$B$6,Cenários!K31,Cenários!K77,Cenários!K123)</f>
        <v>-465.7595</v>
      </c>
      <c r="L19" s="67" t="n">
        <f aca="false">CHOOSE(Premissas!$B$6,Cenários!L31,Cenários!L77,Cenários!L123)</f>
        <v>-1785.9255</v>
      </c>
      <c r="M19" s="67" t="n">
        <f aca="false">CHOOSE(Premissas!$B$6,Cenários!M31,Cenários!M77,Cenários!M123)</f>
        <v>-3861.794</v>
      </c>
      <c r="N19" s="67" t="n">
        <f aca="false">CHOOSE(Premissas!$B$6,Cenários!N31,Cenários!N77,Cenários!N123)</f>
        <v>-9120.1635712304</v>
      </c>
      <c r="O19" s="67" t="n">
        <f aca="false">CHOOSE(Premissas!$B$6,Cenários!O31,Cenários!O77,Cenários!O123)</f>
        <v>-14566.2453512859</v>
      </c>
      <c r="P19" s="67" t="n">
        <f aca="false">CHOOSE(Premissas!$B$6,Cenários!P31,Cenários!P77,Cenários!P123)</f>
        <v>-21181.6791689012</v>
      </c>
      <c r="Q19" s="67" t="n">
        <f aca="false">CHOOSE(Premissas!$B$6,Cenários!Q31,Cenários!Q77,Cenários!Q123)</f>
        <v>-31619.2675706219</v>
      </c>
      <c r="R19" s="67" t="n">
        <f aca="false">CHOOSE(Premissas!$B$6,Cenários!R31,Cenários!R77,Cenários!R123)</f>
        <v>-37731.7469768552</v>
      </c>
      <c r="S19" s="67" t="n">
        <f aca="false">CHOOSE(Premissas!$B$6,Cenários!S31,Cenários!S77,Cenários!S123)</f>
        <v>-43060.0984287111</v>
      </c>
      <c r="T19" s="67" t="n">
        <f aca="false">CHOOSE(Premissas!$B$6,Cenários!T31,Cenários!T77,Cenários!T123)</f>
        <v>-48317.241175939</v>
      </c>
      <c r="U19" s="67" t="n">
        <f aca="false">CHOOSE(Premissas!$B$6,Cenários!U31,Cenários!U77,Cenários!U123)</f>
        <v>-52956.4304312282</v>
      </c>
      <c r="V19" s="67" t="n">
        <f aca="false">CHOOSE(Premissas!$B$6,Cenários!V31,Cenários!V77,Cenários!V123)</f>
        <v>-57112.1486342944</v>
      </c>
      <c r="W19" s="67" t="n">
        <f aca="false">CHOOSE(Premissas!$B$6,Cenários!W31,Cenários!W77,Cenários!W123)</f>
        <v>-69575.9069555851</v>
      </c>
      <c r="X19" s="67" t="n">
        <f aca="false">CHOOSE(Premissas!$B$6,Cenários!X31,Cenários!X77,Cenários!X123)</f>
        <v>-75079.8828565234</v>
      </c>
      <c r="Y19" s="67" t="n">
        <f aca="false">CHOOSE(Premissas!$B$6,Cenários!Y31,Cenários!Y77,Cenários!Y123)</f>
        <v>-79930.0343991313</v>
      </c>
      <c r="Z19" s="67" t="n">
        <f aca="false">CHOOSE(Premissas!$B$6,Cenários!Z31,Cenários!Z77,Cenários!Z123)</f>
        <v>-107846.305441122</v>
      </c>
      <c r="AA19" s="67" t="n">
        <f aca="false">CHOOSE(Premissas!$B$6,Cenários!AA31,Cenários!AA77,Cenários!AA123)</f>
        <v>-118573.551395708</v>
      </c>
      <c r="AB19" s="67" t="n">
        <f aca="false">CHOOSE(Premissas!$B$6,Cenários!AB31,Cenários!AB77,Cenários!AB123)</f>
        <v>-98045.2817973941</v>
      </c>
      <c r="AC19" s="67" t="n">
        <f aca="false">CHOOSE(Premissas!$B$6,Cenários!AC31,Cenários!AC77,Cenários!AC123)</f>
        <v>-114066.606316241</v>
      </c>
      <c r="AD19" s="67" t="n">
        <f aca="false">CHOOSE(Premissas!$B$6,Cenários!AD31,Cenários!AD77,Cenários!AD123)</f>
        <v>-128409.026178803</v>
      </c>
      <c r="AE19" s="67" t="n">
        <f aca="false">CHOOSE(Premissas!$B$6,Cenários!AE31,Cenários!AE77,Cenários!AE123)</f>
        <v>-115336.276651343</v>
      </c>
      <c r="AF19" s="67" t="n">
        <f aca="false">CHOOSE(Premissas!$B$6,Cenários!AF31,Cenários!AF77,Cenários!AF123)</f>
        <v>-127599.36120702</v>
      </c>
      <c r="AG19" s="67" t="n">
        <f aca="false">CHOOSE(Premissas!$B$6,Cenários!AG31,Cenários!AG77,Cenários!AG123)</f>
        <v>-132182.15752727</v>
      </c>
      <c r="AH19" s="67" t="n">
        <f aca="false">CHOOSE(Premissas!$B$6,Cenários!AH31,Cenários!AH77,Cenários!AH123)</f>
        <v>-136437.737847684</v>
      </c>
      <c r="AI19" s="67" t="n">
        <f aca="false">CHOOSE(Premissas!$B$6,Cenários!AI31,Cenários!AI77,Cenários!AI123)</f>
        <v>-140384.898891535</v>
      </c>
      <c r="AJ19" s="67" t="n">
        <f aca="false">CHOOSE(Premissas!$B$6,Cenários!AJ31,Cenários!AJ77,Cenários!AJ123)</f>
        <v>-144053.047288535</v>
      </c>
      <c r="AK19" s="67" t="n">
        <f aca="false">CHOOSE(Premissas!$B$6,Cenários!AK31,Cenários!AK77,Cenários!AK123)</f>
        <v>-147467.974109778</v>
      </c>
      <c r="AL19" s="67" t="n">
        <f aca="false">CHOOSE(Premissas!$B$6,Cenários!AL31,Cenários!AL77,Cenários!AL123)</f>
        <v>-193158.806970824</v>
      </c>
      <c r="AM19" s="67" t="n">
        <f aca="false">CHOOSE(Premissas!$B$6,Cenários!AM31,Cenários!AM77,Cenários!AM123)</f>
        <v>-204784.707169135</v>
      </c>
      <c r="AN19" s="67" t="n">
        <f aca="false">CHOOSE(Premissas!$B$6,Cenários!AN31,Cenários!AN77,Cenários!AN123)</f>
        <v>-215629.489976651</v>
      </c>
      <c r="AO19" s="67" t="n">
        <f aca="false">CHOOSE(Premissas!$B$6,Cenários!AO31,Cenários!AO77,Cenários!AO123)</f>
        <v>-225751.898747388</v>
      </c>
      <c r="AP19" s="67" t="n">
        <f aca="false">CHOOSE(Premissas!$B$6,Cenários!AP31,Cenários!AP77,Cenários!AP123)</f>
        <v>-235210.550442914</v>
      </c>
      <c r="AQ19" s="67" t="n">
        <f aca="false">CHOOSE(Premissas!$B$6,Cenários!AQ31,Cenários!AQ77,Cenários!AQ123)</f>
        <v>-244034.020783744</v>
      </c>
      <c r="AR19" s="67" t="n">
        <f aca="false">CHOOSE(Premissas!$B$6,Cenários!AR31,Cenários!AR77,Cenários!AR123)</f>
        <v>-252276.818347748</v>
      </c>
      <c r="AS19" s="67" t="n">
        <f aca="false">CHOOSE(Premissas!$B$6,Cenários!AS31,Cenários!AS77,Cenários!AS123)</f>
        <v>-259970.944574821</v>
      </c>
      <c r="AT19" s="67" t="n">
        <f aca="false">CHOOSE(Premissas!$B$6,Cenários!AT31,Cenários!AT77,Cenários!AT123)</f>
        <v>-267144.521237289</v>
      </c>
      <c r="AU19" s="67" t="n">
        <f aca="false">CHOOSE(Premissas!$B$6,Cenários!AU31,Cenários!AU77,Cenários!AU123)</f>
        <v>-273851.616969461</v>
      </c>
      <c r="AV19" s="67" t="n">
        <f aca="false">CHOOSE(Premissas!$B$6,Cenários!AV31,Cenários!AV77,Cenários!AV123)</f>
        <v>-280112.661228275</v>
      </c>
      <c r="AW19" s="67" t="n">
        <f aca="false">CHOOSE(Premissas!$B$6,Cenários!AW31,Cenários!AW77,Cenários!AW123)</f>
        <v>-285959.103173232</v>
      </c>
      <c r="AX19" s="67" t="n">
        <f aca="false">CHOOSE(Premissas!$B$6,Cenários!AX31,Cenários!AX77,Cenários!AX123)</f>
        <v>-360117.561116537</v>
      </c>
      <c r="AY19" s="67" t="n">
        <f aca="false">CHOOSE(Premissas!$B$6,Cenários!AY31,Cenários!AY77,Cenários!AY123)</f>
        <v>-380651.283860014</v>
      </c>
      <c r="AZ19" s="67" t="n">
        <f aca="false">CHOOSE(Premissas!$B$6,Cenários!AZ31,Cenários!AZ77,Cenários!AZ123)</f>
        <v>-399898.047305669</v>
      </c>
      <c r="BA19" s="67" t="n">
        <f aca="false">CHOOSE(Premissas!$B$6,Cenários!BA31,Cenários!BA77,Cenários!BA123)</f>
        <v>-417940.489856525</v>
      </c>
      <c r="BB19" s="67" t="n">
        <f aca="false">CHOOSE(Premissas!$B$6,Cenários!BB31,Cenários!BB77,Cenários!BB123)</f>
        <v>-434872.58563264</v>
      </c>
      <c r="BC19" s="67" t="n">
        <f aca="false">CHOOSE(Premissas!$B$6,Cenários!BC31,Cenários!BC77,Cenários!BC123)</f>
        <v>-450733.569635962</v>
      </c>
      <c r="BD19" s="67" t="n">
        <f aca="false">CHOOSE(Premissas!$B$6,Cenários!BD31,Cenários!BD77,Cenários!BD123)</f>
        <v>-465605.227656599</v>
      </c>
      <c r="BE19" s="67" t="n">
        <f aca="false">CHOOSE(Premissas!$B$6,Cenários!BE31,Cenários!BE77,Cenários!BE123)</f>
        <v>-479541.846436148</v>
      </c>
      <c r="BF19" s="67" t="n">
        <f aca="false">CHOOSE(Premissas!$B$6,Cenários!BF31,Cenários!BF77,Cenários!BF123)</f>
        <v>-492628.63161752</v>
      </c>
      <c r="BG19" s="67" t="n">
        <f aca="false">CHOOSE(Premissas!$B$6,Cenários!BG31,Cenários!BG77,Cenários!BG123)</f>
        <v>-504872.708193557</v>
      </c>
      <c r="BH19" s="67" t="n">
        <f aca="false">CHOOSE(Premissas!$B$6,Cenários!BH31,Cenários!BH77,Cenários!BH123)</f>
        <v>-516362.742016134</v>
      </c>
      <c r="BI19" s="67" t="n">
        <f aca="false">CHOOSE(Premissas!$B$6,Cenários!BI31,Cenários!BI77,Cenários!BI123)</f>
        <v>-527140.523029265</v>
      </c>
      <c r="BJ19" s="61" t="n">
        <f aca="false">SUM(B19:BI19)</f>
        <v>-10425016.9051508</v>
      </c>
      <c r="BK19" s="186" t="n">
        <f aca="false">IFERROR(BJ19/BJ$16,0)</f>
        <v>-0.165654305694242</v>
      </c>
    </row>
    <row r="20" customFormat="false" ht="15" hidden="false" customHeight="false" outlineLevel="0" collapsed="false">
      <c r="A20" s="27" t="s">
        <v>723</v>
      </c>
      <c r="B20" s="67" t="n">
        <f aca="false">CHOOSE(Premissas!$B$6,Cenários!B32,Cenários!B78,Cenários!B124)</f>
        <v>-0</v>
      </c>
      <c r="C20" s="67" t="n">
        <f aca="false">CHOOSE(Premissas!$B$6,Cenários!C32,Cenários!C78,Cenários!C124)</f>
        <v>-0</v>
      </c>
      <c r="D20" s="67" t="n">
        <f aca="false">CHOOSE(Premissas!$B$6,Cenários!D32,Cenários!D78,Cenários!D124)</f>
        <v>-0</v>
      </c>
      <c r="E20" s="67" t="n">
        <f aca="false">CHOOSE(Premissas!$B$6,Cenários!E32,Cenários!E78,Cenários!E124)</f>
        <v>-0</v>
      </c>
      <c r="F20" s="67" t="n">
        <f aca="false">CHOOSE(Premissas!$B$6,Cenários!F32,Cenários!F78,Cenários!F124)</f>
        <v>-0</v>
      </c>
      <c r="G20" s="67" t="n">
        <f aca="false">CHOOSE(Premissas!$B$6,Cenários!G32,Cenários!G78,Cenários!G124)</f>
        <v>-0</v>
      </c>
      <c r="H20" s="67" t="n">
        <f aca="false">CHOOSE(Premissas!$B$6,Cenários!H32,Cenários!H78,Cenários!H124)</f>
        <v>-0</v>
      </c>
      <c r="I20" s="67" t="n">
        <f aca="false">CHOOSE(Premissas!$B$6,Cenários!I32,Cenários!I78,Cenários!I124)</f>
        <v>-0</v>
      </c>
      <c r="J20" s="67" t="n">
        <f aca="false">CHOOSE(Premissas!$B$6,Cenários!J32,Cenários!J78,Cenários!J124)</f>
        <v>-0</v>
      </c>
      <c r="K20" s="67" t="n">
        <f aca="false">CHOOSE(Premissas!$B$6,Cenários!K32,Cenários!K78,Cenários!K124)</f>
        <v>-383.12475</v>
      </c>
      <c r="L20" s="67" t="n">
        <f aca="false">CHOOSE(Premissas!$B$6,Cenários!L32,Cenários!L78,Cenários!L124)</f>
        <v>-1469.06775</v>
      </c>
      <c r="M20" s="67" t="n">
        <f aca="false">CHOOSE(Premissas!$B$6,Cenários!M32,Cenários!M78,Cenários!M124)</f>
        <v>-3176.637</v>
      </c>
      <c r="N20" s="67" t="n">
        <f aca="false">CHOOSE(Premissas!$B$6,Cenários!N32,Cenários!N78,Cenários!N124)</f>
        <v>-6597.99624</v>
      </c>
      <c r="O20" s="67" t="n">
        <f aca="false">CHOOSE(Premissas!$B$6,Cenários!O32,Cenários!O78,Cenários!O124)</f>
        <v>-10678.07334</v>
      </c>
      <c r="P20" s="67" t="n">
        <f aca="false">CHOOSE(Premissas!$B$6,Cenários!P32,Cenários!P78,Cenários!P124)</f>
        <v>-15506.78844</v>
      </c>
      <c r="Q20" s="67" t="n">
        <f aca="false">CHOOSE(Premissas!$B$6,Cenários!Q32,Cenários!Q78,Cenários!Q124)</f>
        <v>-21979.94898</v>
      </c>
      <c r="R20" s="67" t="n">
        <f aca="false">CHOOSE(Premissas!$B$6,Cenários!R32,Cenários!R78,Cenários!R124)</f>
        <v>-24794.87802</v>
      </c>
      <c r="S20" s="67" t="n">
        <f aca="false">CHOOSE(Premissas!$B$6,Cenários!S32,Cenários!S78,Cenários!S124)</f>
        <v>-27397.50486</v>
      </c>
      <c r="T20" s="67" t="n">
        <f aca="false">CHOOSE(Premissas!$B$6,Cenários!T32,Cenários!T78,Cenários!T124)</f>
        <v>-29805.31026</v>
      </c>
      <c r="U20" s="67" t="n">
        <f aca="false">CHOOSE(Premissas!$B$6,Cenários!U32,Cenários!U78,Cenários!U124)</f>
        <v>-32033.27952</v>
      </c>
      <c r="V20" s="67" t="n">
        <f aca="false">CHOOSE(Premissas!$B$6,Cenários!V32,Cenários!V78,Cenários!V124)</f>
        <v>-34088.89902</v>
      </c>
      <c r="W20" s="67" t="n">
        <f aca="false">CHOOSE(Premissas!$B$6,Cenários!W32,Cenários!W78,Cenários!W124)</f>
        <v>-41329.18152</v>
      </c>
      <c r="X20" s="67" t="n">
        <f aca="false">CHOOSE(Premissas!$B$6,Cenários!X32,Cenários!X78,Cenários!X124)</f>
        <v>-43345.8894</v>
      </c>
      <c r="Y20" s="67" t="n">
        <f aca="false">CHOOSE(Premissas!$B$6,Cenários!Y32,Cenários!Y78,Cenários!Y124)</f>
        <v>-45212.66904</v>
      </c>
      <c r="Z20" s="67" t="n">
        <f aca="false">CHOOSE(Premissas!$B$6,Cenários!Z32,Cenários!Z78,Cenários!Z124)</f>
        <v>-55621.0334511562</v>
      </c>
      <c r="AA20" s="67" t="n">
        <f aca="false">CHOOSE(Premissas!$B$6,Cenários!AA32,Cenários!AA78,Cenários!AA124)</f>
        <v>-60295.7058195937</v>
      </c>
      <c r="AB20" s="67" t="n">
        <f aca="false">CHOOSE(Premissas!$B$6,Cenários!AB32,Cenários!AB78,Cenários!AB124)</f>
        <v>-64642.250611125</v>
      </c>
      <c r="AC20" s="67" t="n">
        <f aca="false">CHOOSE(Premissas!$B$6,Cenários!AC32,Cenários!AC78,Cenários!AC124)</f>
        <v>-68677.7935078125</v>
      </c>
      <c r="AD20" s="67" t="n">
        <f aca="false">CHOOSE(Premissas!$B$6,Cenários!AD32,Cenários!AD78,Cenários!AD124)</f>
        <v>-72434.1902439375</v>
      </c>
      <c r="AE20" s="67" t="n">
        <f aca="false">CHOOSE(Premissas!$B$6,Cenários!AE32,Cenários!AE78,Cenários!AE124)</f>
        <v>-75921.219903375</v>
      </c>
      <c r="AF20" s="67" t="n">
        <f aca="false">CHOOSE(Premissas!$B$6,Cenários!AF32,Cenários!AF78,Cenários!AF124)</f>
        <v>-79156.0081681875</v>
      </c>
      <c r="AG20" s="67" t="n">
        <f aca="false">CHOOSE(Premissas!$B$6,Cenários!AG32,Cenários!AG78,Cenários!AG124)</f>
        <v>-82172.8923994687</v>
      </c>
      <c r="AH20" s="67" t="n">
        <f aca="false">CHOOSE(Premissas!$B$6,Cenários!AH32,Cenários!AH78,Cenários!AH124)</f>
        <v>-84974.2682270625</v>
      </c>
      <c r="AI20" s="67" t="n">
        <f aca="false">CHOOSE(Premissas!$B$6,Cenários!AI32,Cenários!AI78,Cenários!AI124)</f>
        <v>-87572.384076375</v>
      </c>
      <c r="AJ20" s="67" t="n">
        <f aca="false">CHOOSE(Premissas!$B$6,Cenários!AJ32,Cenários!AJ78,Cenários!AJ124)</f>
        <v>-89986.8472562812</v>
      </c>
      <c r="AK20" s="67" t="n">
        <f aca="false">CHOOSE(Premissas!$B$6,Cenários!AK32,Cenários!AK78,Cenários!AK124)</f>
        <v>-92234.8203046875</v>
      </c>
      <c r="AL20" s="67" t="n">
        <f aca="false">CHOOSE(Premissas!$B$6,Cenários!AL32,Cenários!AL78,Cenários!AL124)</f>
        <v>-113103.934377212</v>
      </c>
      <c r="AM20" s="67" t="n">
        <f aca="false">CHOOSE(Premissas!$B$6,Cenários!AM32,Cenários!AM78,Cenários!AM124)</f>
        <v>-120339.863822401</v>
      </c>
      <c r="AN20" s="67" t="n">
        <f aca="false">CHOOSE(Premissas!$B$6,Cenários!AN32,Cenários!AN78,Cenários!AN124)</f>
        <v>-127089.292238113</v>
      </c>
      <c r="AO20" s="67" t="n">
        <f aca="false">CHOOSE(Premissas!$B$6,Cenários!AO32,Cenários!AO78,Cenários!AO124)</f>
        <v>-133389.070160856</v>
      </c>
      <c r="AP20" s="67" t="n">
        <f aca="false">CHOOSE(Premissas!$B$6,Cenários!AP32,Cenários!AP78,Cenários!AP124)</f>
        <v>-139276.097425516</v>
      </c>
      <c r="AQ20" s="67" t="n">
        <f aca="false">CHOOSE(Premissas!$B$6,Cenários!AQ32,Cenários!AQ78,Cenários!AQ124)</f>
        <v>-144767.529867149</v>
      </c>
      <c r="AR20" s="67" t="n">
        <f aca="false">CHOOSE(Premissas!$B$6,Cenários!AR32,Cenários!AR78,Cenários!AR124)</f>
        <v>-149897.790077216</v>
      </c>
      <c r="AS20" s="67" t="n">
        <f aca="false">CHOOSE(Premissas!$B$6,Cenários!AS32,Cenários!AS78,Cenários!AS124)</f>
        <v>-154686.523458793</v>
      </c>
      <c r="AT20" s="67" t="n">
        <f aca="false">CHOOSE(Premissas!$B$6,Cenários!AT32,Cenários!AT78,Cenários!AT124)</f>
        <v>-159150.910496124</v>
      </c>
      <c r="AU20" s="67" t="n">
        <f aca="false">CHOOSE(Premissas!$B$6,Cenários!AU32,Cenários!AU78,Cenários!AU124)</f>
        <v>-163325.386105264</v>
      </c>
      <c r="AV20" s="67" t="n">
        <f aca="false">CHOOSE(Premissas!$B$6,Cenários!AV32,Cenários!AV78,Cenários!AV124)</f>
        <v>-167222.225581988</v>
      </c>
      <c r="AW20" s="67" t="n">
        <f aca="false">CHOOSE(Premissas!$B$6,Cenários!AW32,Cenários!AW78,Cenários!AW124)</f>
        <v>-170861.07432937</v>
      </c>
      <c r="AX20" s="67" t="n">
        <f aca="false">CHOOSE(Premissas!$B$6,Cenários!AX32,Cenários!AX78,Cenários!AX124)</f>
        <v>-210325.621789641</v>
      </c>
      <c r="AY20" s="67" t="n">
        <f aca="false">CHOOSE(Premissas!$B$6,Cenários!AY32,Cenários!AY78,Cenários!AY124)</f>
        <v>-222711.52245076</v>
      </c>
      <c r="AZ20" s="67" t="n">
        <f aca="false">CHOOSE(Premissas!$B$6,Cenários!AZ32,Cenários!AZ78,Cenários!AZ124)</f>
        <v>-234320.955766974</v>
      </c>
      <c r="BA20" s="67" t="n">
        <f aca="false">CHOOSE(Premissas!$B$6,Cenários!BA32,Cenários!BA78,Cenários!BA124)</f>
        <v>-245203.86978361</v>
      </c>
      <c r="BB20" s="67" t="n">
        <f aca="false">CHOOSE(Premissas!$B$6,Cenários!BB32,Cenários!BB78,Cenários!BB124)</f>
        <v>-255417.700370291</v>
      </c>
      <c r="BC20" s="67" t="n">
        <f aca="false">CHOOSE(Premissas!$B$6,Cenários!BC32,Cenários!BC78,Cenários!BC124)</f>
        <v>-264984.873435559</v>
      </c>
      <c r="BD20" s="67" t="n">
        <f aca="false">CHOOSE(Premissas!$B$6,Cenários!BD32,Cenários!BD78,Cenários!BD124)</f>
        <v>-273955.349546188</v>
      </c>
      <c r="BE20" s="67" t="n">
        <f aca="false">CHOOSE(Premissas!$B$6,Cenários!BE32,Cenários!BE78,Cenários!BE124)</f>
        <v>-282361.571766967</v>
      </c>
      <c r="BF20" s="67" t="n">
        <f aca="false">CHOOSE(Premissas!$B$6,Cenários!BF32,Cenários!BF78,Cenários!BF124)</f>
        <v>-290256.017475177</v>
      </c>
      <c r="BG20" s="67" t="n">
        <f aca="false">CHOOSE(Premissas!$B$6,Cenários!BG32,Cenários!BG78,Cenários!BG124)</f>
        <v>-297641.103309761</v>
      </c>
      <c r="BH20" s="67" t="n">
        <f aca="false">CHOOSE(Premissas!$B$6,Cenários!BH32,Cenários!BH78,Cenários!BH124)</f>
        <v>-304571.81093706</v>
      </c>
      <c r="BI20" s="67" t="n">
        <f aca="false">CHOOSE(Premissas!$B$6,Cenários!BI32,Cenários!BI78,Cenários!BI124)</f>
        <v>-311073.108119017</v>
      </c>
      <c r="BJ20" s="61" t="n">
        <f aca="false">SUM(B20:BI20)</f>
        <v>-6187421.86480007</v>
      </c>
      <c r="BK20" s="186" t="n">
        <f aca="false">IFERROR(BJ20/BJ$16,0)</f>
        <v>-0.098318600571708</v>
      </c>
    </row>
    <row r="21" customFormat="false" ht="15" hidden="false" customHeight="false" outlineLevel="0" collapsed="false">
      <c r="A21" s="27" t="s">
        <v>725</v>
      </c>
      <c r="B21" s="67" t="n">
        <f aca="false">CHOOSE(Premissas!$B$6,Cenários!B33,Cenários!B79,Cenários!B125)</f>
        <v>-0</v>
      </c>
      <c r="C21" s="67" t="n">
        <f aca="false">CHOOSE(Premissas!$B$6,Cenários!C33,Cenários!C79,Cenários!C125)</f>
        <v>-0</v>
      </c>
      <c r="D21" s="67" t="n">
        <f aca="false">CHOOSE(Premissas!$B$6,Cenários!D33,Cenários!D79,Cenários!D125)</f>
        <v>-0</v>
      </c>
      <c r="E21" s="67" t="n">
        <f aca="false">CHOOSE(Premissas!$B$6,Cenários!E33,Cenários!E79,Cenários!E125)</f>
        <v>-0</v>
      </c>
      <c r="F21" s="67" t="n">
        <f aca="false">CHOOSE(Premissas!$B$6,Cenários!F33,Cenários!F79,Cenários!F125)</f>
        <v>-0</v>
      </c>
      <c r="G21" s="67" t="n">
        <f aca="false">CHOOSE(Premissas!$B$6,Cenários!G33,Cenários!G79,Cenários!G125)</f>
        <v>-0</v>
      </c>
      <c r="H21" s="67" t="n">
        <f aca="false">CHOOSE(Premissas!$B$6,Cenários!H33,Cenários!H79,Cenários!H125)</f>
        <v>-0</v>
      </c>
      <c r="I21" s="67" t="n">
        <f aca="false">CHOOSE(Premissas!$B$6,Cenários!I33,Cenários!I79,Cenários!I125)</f>
        <v>-0</v>
      </c>
      <c r="J21" s="67" t="n">
        <f aca="false">CHOOSE(Premissas!$B$6,Cenários!J33,Cenários!J79,Cenários!J125)</f>
        <v>-0</v>
      </c>
      <c r="K21" s="67" t="n">
        <f aca="false">CHOOSE(Premissas!$B$6,Cenários!K33,Cenários!K79,Cenários!K125)</f>
        <v>-20.283075</v>
      </c>
      <c r="L21" s="67" t="n">
        <f aca="false">CHOOSE(Premissas!$B$6,Cenários!L33,Cenários!L79,Cenários!L125)</f>
        <v>-77.774175</v>
      </c>
      <c r="M21" s="67" t="n">
        <f aca="false">CHOOSE(Premissas!$B$6,Cenários!M33,Cenários!M79,Cenários!M125)</f>
        <v>-168.1749</v>
      </c>
      <c r="N21" s="67" t="n">
        <f aca="false">CHOOSE(Premissas!$B$6,Cenários!N33,Cenários!N79,Cenários!N125)</f>
        <v>-668.3905519056</v>
      </c>
      <c r="O21" s="67" t="n">
        <f aca="false">CHOOSE(Premissas!$B$6,Cenários!O33,Cenários!O79,Cenários!O125)</f>
        <v>-1025.4879386959</v>
      </c>
      <c r="P21" s="67" t="n">
        <f aca="false">CHOOSE(Premissas!$B$6,Cenários!P33,Cenários!P79,Cenários!P125)</f>
        <v>-1434.89108684357</v>
      </c>
      <c r="Q21" s="67" t="n">
        <f aca="false">CHOOSE(Premissas!$B$6,Cenários!Q33,Cenários!Q79,Cenários!Q125)</f>
        <v>-1964.07447941453</v>
      </c>
      <c r="R21" s="67" t="n">
        <f aca="false">CHOOSE(Premissas!$B$6,Cenários!R33,Cenários!R79,Cenários!R125)</f>
        <v>-2215.60454380976</v>
      </c>
      <c r="S21" s="67" t="n">
        <f aca="false">CHOOSE(Premissas!$B$6,Cenários!S33,Cenários!S79,Cenários!S125)</f>
        <v>-2448.17308214806</v>
      </c>
      <c r="T21" s="67" t="n">
        <f aca="false">CHOOSE(Premissas!$B$6,Cenários!T33,Cenários!T79,Cenários!T125)</f>
        <v>-2663.31967378093</v>
      </c>
      <c r="U21" s="67" t="n">
        <f aca="false">CHOOSE(Premissas!$B$6,Cenários!U33,Cenários!U79,Cenários!U125)</f>
        <v>-2862.379553679</v>
      </c>
      <c r="V21" s="67" t="n">
        <f aca="false">CHOOSE(Premissas!$B$6,Cenários!V33,Cenários!V79,Cenários!V125)</f>
        <v>-3046.10964523514</v>
      </c>
      <c r="W21" s="67" t="n">
        <f aca="false">CHOOSE(Premissas!$B$6,Cenários!W33,Cenários!W79,Cenários!W125)</f>
        <v>-3616.46665288626</v>
      </c>
      <c r="X21" s="67" t="n">
        <f aca="false">CHOOSE(Premissas!$B$6,Cenários!X33,Cenários!X79,Cenários!X125)</f>
        <v>-3792.99991036201</v>
      </c>
      <c r="Y21" s="67" t="n">
        <f aca="false">CHOOSE(Premissas!$B$6,Cenários!Y33,Cenários!Y79,Cenários!Y125)</f>
        <v>-3956.38748131879</v>
      </c>
      <c r="Z21" s="67" t="n">
        <f aca="false">CHOOSE(Premissas!$B$6,Cenários!Z33,Cenários!Z79,Cenários!Z125)</f>
        <v>-6598.23748465194</v>
      </c>
      <c r="AA21" s="67" t="n">
        <f aca="false">CHOOSE(Premissas!$B$6,Cenários!AA33,Cenários!AA79,Cenários!AA125)</f>
        <v>-7152.81715894015</v>
      </c>
      <c r="AB21" s="67" t="n">
        <f aca="false">CHOOSE(Premissas!$B$6,Cenários!AB33,Cenários!AB79,Cenários!AB125)</f>
        <v>-7668.42627155966</v>
      </c>
      <c r="AC21" s="67" t="n">
        <f aca="false">CHOOSE(Premissas!$B$6,Cenários!AC33,Cenários!AC79,Cenários!AC125)</f>
        <v>-8147.21267356432</v>
      </c>
      <c r="AD21" s="67" t="n">
        <f aca="false">CHOOSE(Premissas!$B$6,Cenários!AD33,Cenários!AD79,Cenários!AD125)</f>
        <v>-8592.76645195593</v>
      </c>
      <c r="AE21" s="67" t="n">
        <f aca="false">CHOOSE(Premissas!$B$6,Cenários!AE33,Cenários!AE79,Cenários!AE125)</f>
        <v>-9006.44143444016</v>
      </c>
      <c r="AF21" s="67" t="n">
        <f aca="false">CHOOSE(Premissas!$B$6,Cenários!AF33,Cenários!AF79,Cenários!AF125)</f>
        <v>-9390.29953555668</v>
      </c>
      <c r="AG21" s="67" t="n">
        <f aca="false">CHOOSE(Premissas!$B$6,Cenários!AG33,Cenários!AG79,Cenários!AG125)</f>
        <v>-9748.09914315466</v>
      </c>
      <c r="AH21" s="67" t="n">
        <f aca="false">CHOOSE(Premissas!$B$6,Cenários!AH33,Cenários!AH79,Cenários!AH125)</f>
        <v>-10080.3815229761</v>
      </c>
      <c r="AI21" s="67" t="n">
        <f aca="false">CHOOSE(Premissas!$B$6,Cenários!AI33,Cenários!AI79,Cenários!AI125)</f>
        <v>-10388.6518935547</v>
      </c>
      <c r="AJ21" s="67" t="n">
        <f aca="false">CHOOSE(Premissas!$B$6,Cenários!AJ33,Cenários!AJ79,Cenários!AJ125)</f>
        <v>-10675.1315425528</v>
      </c>
      <c r="AK21" s="67" t="n">
        <f aca="false">CHOOSE(Premissas!$B$6,Cenários!AK33,Cenários!AK79,Cenários!AK125)</f>
        <v>-10941.7788622986</v>
      </c>
      <c r="AL21" s="67" t="n">
        <f aca="false">CHOOSE(Premissas!$B$6,Cenários!AL33,Cenários!AL79,Cenários!AL125)</f>
        <v>-16146.9048900641</v>
      </c>
      <c r="AM21" s="67" t="n">
        <f aca="false">CHOOSE(Premissas!$B$6,Cenários!AM33,Cenários!AM79,Cenários!AM125)</f>
        <v>-17179.8340107266</v>
      </c>
      <c r="AN21" s="67" t="n">
        <f aca="false">CHOOSE(Premissas!$B$6,Cenários!AN33,Cenários!AN79,Cenários!AN125)</f>
        <v>-18143.4636999643</v>
      </c>
      <c r="AO21" s="67" t="n">
        <f aca="false">CHOOSE(Premissas!$B$6,Cenários!AO33,Cenários!AO79,Cenários!AO125)</f>
        <v>-19042.9264938895</v>
      </c>
      <c r="AP21" s="67" t="n">
        <f aca="false">CHOOSE(Premissas!$B$6,Cenários!AP33,Cenários!AP79,Cenários!AP125)</f>
        <v>-19883.3053095843</v>
      </c>
      <c r="AQ21" s="67" t="n">
        <f aca="false">CHOOSE(Premissas!$B$6,Cenários!AQ33,Cenários!AQ79,Cenários!AQ125)</f>
        <v>-20667.3279061657</v>
      </c>
      <c r="AR21" s="67" t="n">
        <f aca="false">CHOOSE(Premissas!$B$6,Cenários!AR33,Cenários!AR79,Cenários!AR125)</f>
        <v>-21399.6882410647</v>
      </c>
      <c r="AS21" s="67" t="n">
        <f aca="false">CHOOSE(Premissas!$B$6,Cenários!AS33,Cenários!AS79,Cenários!AS125)</f>
        <v>-22083.3112162932</v>
      </c>
      <c r="AT21" s="67" t="n">
        <f aca="false">CHOOSE(Premissas!$B$6,Cenários!AT33,Cenários!AT79,Cenários!AT125)</f>
        <v>-22720.7921033246</v>
      </c>
      <c r="AU21" s="67" t="n">
        <f aca="false">CHOOSE(Premissas!$B$6,Cenários!AU33,Cenários!AU79,Cenários!AU125)</f>
        <v>-23316.6999285293</v>
      </c>
      <c r="AV21" s="67" t="n">
        <f aca="false">CHOOSE(Premissas!$B$6,Cenários!AV33,Cenários!AV79,Cenários!AV125)</f>
        <v>-23872.9817759387</v>
      </c>
      <c r="AW21" s="67" t="n">
        <f aca="false">CHOOSE(Premissas!$B$6,Cenários!AW33,Cenários!AW79,Cenários!AW125)</f>
        <v>-24392.4103576217</v>
      </c>
      <c r="AX21" s="67" t="n">
        <f aca="false">CHOOSE(Premissas!$B$6,Cenários!AX33,Cenários!AX79,Cenários!AX125)</f>
        <v>-32988.6285289016</v>
      </c>
      <c r="AY21" s="67" t="n">
        <f aca="false">CHOOSE(Premissas!$B$6,Cenários!AY33,Cenários!AY79,Cenários!AY125)</f>
        <v>-34931.2632506913</v>
      </c>
      <c r="AZ21" s="67" t="n">
        <f aca="false">CHOOSE(Premissas!$B$6,Cenários!AZ33,Cenários!AZ79,Cenários!AZ125)</f>
        <v>-36752.1953810843</v>
      </c>
      <c r="BA21" s="67" t="n">
        <f aca="false">CHOOSE(Premissas!$B$6,Cenários!BA33,Cenários!BA79,Cenários!BA125)</f>
        <v>-38459.2128771865</v>
      </c>
      <c r="BB21" s="67" t="n">
        <f aca="false">CHOOSE(Premissas!$B$6,Cenários!BB33,Cenários!BB79,Cenários!BB125)</f>
        <v>-40060.9810920285</v>
      </c>
      <c r="BC21" s="67" t="n">
        <f aca="false">CHOOSE(Premissas!$B$6,Cenários!BC33,Cenários!BC79,Cenários!BC125)</f>
        <v>-41561.5841029411</v>
      </c>
      <c r="BD21" s="67" t="n">
        <f aca="false">CHOOSE(Premissas!$B$6,Cenários!BD33,Cenários!BD79,Cenários!BD125)</f>
        <v>-42968.5711590888</v>
      </c>
      <c r="BE21" s="67" t="n">
        <f aca="false">CHOOSE(Premissas!$B$6,Cenários!BE33,Cenários!BE79,Cenários!BE125)</f>
        <v>-44287.1689452722</v>
      </c>
      <c r="BF21" s="67" t="n">
        <f aca="false">CHOOSE(Premissas!$B$6,Cenários!BF33,Cenários!BF79,Cenários!BF125)</f>
        <v>-45525.1140641733</v>
      </c>
      <c r="BG21" s="67" t="n">
        <f aca="false">CHOOSE(Premissas!$B$6,Cenários!BG33,Cenários!BG79,Cenários!BG125)</f>
        <v>-46683.6449330366</v>
      </c>
      <c r="BH21" s="67" t="n">
        <f aca="false">CHOOSE(Premissas!$B$6,Cenários!BH33,Cenários!BH79,Cenários!BH125)</f>
        <v>-47770.7003852996</v>
      </c>
      <c r="BI21" s="67" t="n">
        <f aca="false">CHOOSE(Premissas!$B$6,Cenários!BI33,Cenários!BI79,Cenários!BI125)</f>
        <v>-48790.3059985689</v>
      </c>
      <c r="BJ21" s="61" t="n">
        <f aca="false">SUM(B21:BI21)</f>
        <v>-887979.777376725</v>
      </c>
      <c r="BK21" s="186" t="n">
        <f aca="false">IFERROR(BJ21/BJ$16,0)</f>
        <v>-0.0141100657035089</v>
      </c>
    </row>
    <row r="22" customFormat="false" ht="15" hidden="false" customHeight="false" outlineLevel="0" collapsed="false">
      <c r="A22" s="62" t="s">
        <v>824</v>
      </c>
      <c r="B22" s="61" t="n">
        <f aca="false">B16+SUM(B19:B21)</f>
        <v>0</v>
      </c>
      <c r="C22" s="61" t="n">
        <f aca="false">C16+SUM(C19:C21)</f>
        <v>0</v>
      </c>
      <c r="D22" s="61" t="n">
        <f aca="false">D16+SUM(D19:D21)</f>
        <v>0</v>
      </c>
      <c r="E22" s="61" t="n">
        <f aca="false">E16+SUM(E19:E21)</f>
        <v>0</v>
      </c>
      <c r="F22" s="61" t="n">
        <f aca="false">F16+SUM(F19:F21)</f>
        <v>0</v>
      </c>
      <c r="G22" s="61" t="n">
        <f aca="false">G16+SUM(G19:G21)</f>
        <v>0</v>
      </c>
      <c r="H22" s="61" t="n">
        <f aca="false">H16+SUM(H19:H21)</f>
        <v>0</v>
      </c>
      <c r="I22" s="61" t="n">
        <f aca="false">I16+SUM(I19:I21)</f>
        <v>0</v>
      </c>
      <c r="J22" s="61" t="n">
        <f aca="false">J16+SUM(J19:J21)</f>
        <v>0</v>
      </c>
      <c r="K22" s="61" t="n">
        <f aca="false">K16+SUM(K19:K21)</f>
        <v>2135.732675</v>
      </c>
      <c r="L22" s="61" t="n">
        <f aca="false">L16+SUM(L19:L21)</f>
        <v>8189.332575</v>
      </c>
      <c r="M22" s="61" t="n">
        <f aca="false">M16+SUM(M19:M21)</f>
        <v>17708.1941</v>
      </c>
      <c r="N22" s="61" t="n">
        <f aca="false">N16+SUM(N19:N21)</f>
        <v>42453.214612544</v>
      </c>
      <c r="O22" s="61" t="n">
        <f aca="false">O16+SUM(O19:O21)</f>
        <v>67705.9698299271</v>
      </c>
      <c r="P22" s="61" t="n">
        <f aca="false">P16+SUM(P19:P21)</f>
        <v>97141.6995007789</v>
      </c>
      <c r="Q22" s="61" t="n">
        <f aca="false">Q16+SUM(Q19:Q21)</f>
        <v>134615.801712509</v>
      </c>
      <c r="R22" s="61" t="n">
        <f aca="false">R16+SUM(R19:R21)</f>
        <v>149792.613788441</v>
      </c>
      <c r="S22" s="61" t="n">
        <f aca="false">S16+SUM(S19:S21)</f>
        <v>164148.102299098</v>
      </c>
      <c r="T22" s="61" t="n">
        <f aca="false">T16+SUM(T19:T21)</f>
        <v>177101.078929856</v>
      </c>
      <c r="U22" s="61" t="n">
        <f aca="false">U16+SUM(U19:U21)</f>
        <v>189311.541821293</v>
      </c>
      <c r="V22" s="61" t="n">
        <f aca="false">V16+SUM(V19:V21)</f>
        <v>200703.49495014</v>
      </c>
      <c r="W22" s="61" t="n">
        <f aca="false">W16+SUM(W19:W21)</f>
        <v>241372.247291223</v>
      </c>
      <c r="X22" s="61" t="n">
        <f aca="false">X16+SUM(X19:X21)</f>
        <v>251042.710730048</v>
      </c>
      <c r="Y22" s="61" t="n">
        <f aca="false">Y16+SUM(Y19:Y21)</f>
        <v>260238.424486634</v>
      </c>
      <c r="Z22" s="61" t="n">
        <f aca="false">Z16+SUM(Z19:Z21)</f>
        <v>347368.812956377</v>
      </c>
      <c r="AA22" s="61" t="n">
        <f aca="false">AA16+SUM(AA19:AA21)</f>
        <v>374900.790177275</v>
      </c>
      <c r="AB22" s="61" t="n">
        <f aca="false">AB16+SUM(AB19:AB21)</f>
        <v>431001.851428747</v>
      </c>
      <c r="AC22" s="61" t="n">
        <f aca="false">AC16+SUM(AC19:AC21)</f>
        <v>448009.514744784</v>
      </c>
      <c r="AD22" s="61" t="n">
        <f aca="false">AD16+SUM(AD19:AD21)</f>
        <v>464408.984350574</v>
      </c>
      <c r="AE22" s="61" t="n">
        <f aca="false">AE16+SUM(AE19:AE21)</f>
        <v>506020.671020901</v>
      </c>
      <c r="AF22" s="61" t="n">
        <f aca="false">AF16+SUM(AF19:AF21)</f>
        <v>565234.375222856</v>
      </c>
      <c r="AG22" s="61" t="n">
        <f aca="false">AG16+SUM(AG19:AG21)</f>
        <v>585340.558996669</v>
      </c>
      <c r="AH22" s="61" t="n">
        <f aca="false">AH16+SUM(AH19:AH21)</f>
        <v>604011.212204385</v>
      </c>
      <c r="AI22" s="61" t="n">
        <f aca="false">AI16+SUM(AI19:AI21)</f>
        <v>621328.889948916</v>
      </c>
      <c r="AJ22" s="61" t="n">
        <f aca="false">AJ16+SUM(AJ19:AJ21)</f>
        <v>637422.434344567</v>
      </c>
      <c r="AK22" s="61" t="n">
        <f aca="false">AK16+SUM(AK19:AK21)</f>
        <v>652404.8701389</v>
      </c>
      <c r="AL22" s="61" t="n">
        <f aca="false">AL16+SUM(AL19:AL21)</f>
        <v>860436.691611404</v>
      </c>
      <c r="AM22" s="61" t="n">
        <f aca="false">AM16+SUM(AM19:AM21)</f>
        <v>911735.442941</v>
      </c>
      <c r="AN22" s="61" t="n">
        <f aca="false">AN16+SUM(AN19:AN21)</f>
        <v>959587.784560785</v>
      </c>
      <c r="AO22" s="61" t="n">
        <f aca="false">AO16+SUM(AO19:AO21)</f>
        <v>1004252.71664556</v>
      </c>
      <c r="AP22" s="61" t="n">
        <f aca="false">AP16+SUM(AP19:AP21)</f>
        <v>1045988.59209396</v>
      </c>
      <c r="AQ22" s="61" t="n">
        <f aca="false">AQ16+SUM(AQ19:AQ21)</f>
        <v>1084921.94069428</v>
      </c>
      <c r="AR22" s="61" t="n">
        <f aca="false">AR16+SUM(AR19:AR21)</f>
        <v>1121292.93142796</v>
      </c>
      <c r="AS22" s="61" t="n">
        <f aca="false">AS16+SUM(AS19:AS21)</f>
        <v>1155242.95972634</v>
      </c>
      <c r="AT22" s="61" t="n">
        <f aca="false">AT16+SUM(AT19:AT21)</f>
        <v>1186896.33732241</v>
      </c>
      <c r="AU22" s="61" t="n">
        <f aca="false">AU16+SUM(AU19:AU21)</f>
        <v>1216491.09166583</v>
      </c>
      <c r="AV22" s="61" t="n">
        <f aca="false">AV16+SUM(AV19:AV21)</f>
        <v>1244117.67475902</v>
      </c>
      <c r="AW22" s="61" t="n">
        <f aca="false">AW16+SUM(AW19:AW21)</f>
        <v>1269914.80450495</v>
      </c>
      <c r="AX22" s="61" t="n">
        <f aca="false">AX16+SUM(AX19:AX21)</f>
        <v>1601819.63447145</v>
      </c>
      <c r="AY22" s="61" t="n">
        <f aca="false">AY16+SUM(AY19:AY21)</f>
        <v>1692699.70790341</v>
      </c>
      <c r="AZ22" s="61" t="n">
        <f aca="false">AZ16+SUM(AZ19:AZ21)</f>
        <v>1777883.95957242</v>
      </c>
      <c r="BA22" s="61" t="n">
        <f aca="false">BA16+SUM(BA19:BA21)</f>
        <v>1857738.06775534</v>
      </c>
      <c r="BB22" s="61" t="n">
        <f aca="false">BB16+SUM(BB19:BB21)</f>
        <v>1932677.42630761</v>
      </c>
      <c r="BC22" s="61" t="n">
        <f aca="false">BC16+SUM(BC19:BC21)</f>
        <v>2002876.5535724</v>
      </c>
      <c r="BD22" s="61" t="n">
        <f aca="false">BD16+SUM(BD19:BD21)</f>
        <v>2068696.98548135</v>
      </c>
      <c r="BE22" s="61" t="n">
        <f aca="false">BE16+SUM(BE19:BE21)</f>
        <v>2130379.201193</v>
      </c>
      <c r="BF22" s="61" t="n">
        <f aca="false">BF16+SUM(BF19:BF21)</f>
        <v>2188299.55477038</v>
      </c>
      <c r="BG22" s="61" t="n">
        <f aca="false">BG16+SUM(BG19:BG21)</f>
        <v>2242490.89747398</v>
      </c>
      <c r="BH22" s="61" t="n">
        <f aca="false">BH16+SUM(BH19:BH21)</f>
        <v>2293344.60591523</v>
      </c>
      <c r="BI22" s="61" t="n">
        <f aca="false">BI16+SUM(BI19:BI21)</f>
        <v>2341045.80583701</v>
      </c>
      <c r="BJ22" s="61" t="n">
        <f aca="false">SUM(B22:BI22)</f>
        <v>45431944.4930445</v>
      </c>
      <c r="BK22" s="186" t="n">
        <f aca="false">IFERROR(BJ22/BJ$16,0)</f>
        <v>0.721917028030542</v>
      </c>
    </row>
    <row r="23" customFormat="false" ht="15" hidden="false" customHeight="false" outlineLevel="0" collapsed="false">
      <c r="A23" s="101" t="s">
        <v>825</v>
      </c>
      <c r="B23" s="196" t="n">
        <f aca="false">CHOOSE(Premissas!$B$6,Cenários!B30,Cenários!B76,Cenários!B122)</f>
        <v>0.155</v>
      </c>
      <c r="C23" s="196" t="n">
        <f aca="false">CHOOSE(Premissas!$B$6,Cenários!C30,Cenários!C76,Cenários!C122)</f>
        <v>0.155</v>
      </c>
      <c r="D23" s="196" t="n">
        <f aca="false">CHOOSE(Premissas!$B$6,Cenários!D30,Cenários!D76,Cenários!D122)</f>
        <v>0.155</v>
      </c>
      <c r="E23" s="196" t="n">
        <f aca="false">CHOOSE(Premissas!$B$6,Cenários!E30,Cenários!E76,Cenários!E122)</f>
        <v>0.155</v>
      </c>
      <c r="F23" s="196" t="n">
        <f aca="false">CHOOSE(Premissas!$B$6,Cenários!F30,Cenários!F76,Cenários!F122)</f>
        <v>0.155</v>
      </c>
      <c r="G23" s="196" t="n">
        <f aca="false">CHOOSE(Premissas!$B$6,Cenários!G30,Cenários!G76,Cenários!G122)</f>
        <v>0.155</v>
      </c>
      <c r="H23" s="196" t="n">
        <f aca="false">CHOOSE(Premissas!$B$6,Cenários!H30,Cenários!H76,Cenários!H122)</f>
        <v>0.155</v>
      </c>
      <c r="I23" s="196" t="n">
        <f aca="false">CHOOSE(Premissas!$B$6,Cenários!I30,Cenários!I76,Cenários!I122)</f>
        <v>0.155</v>
      </c>
      <c r="J23" s="196" t="n">
        <f aca="false">CHOOSE(Premissas!$B$6,Cenários!J30,Cenários!J76,Cenários!J122)</f>
        <v>0.155</v>
      </c>
      <c r="K23" s="196" t="n">
        <f aca="false">CHOOSE(Premissas!$B$6,Cenários!K30,Cenários!K76,Cenários!K122)</f>
        <v>0.155</v>
      </c>
      <c r="L23" s="196" t="n">
        <f aca="false">CHOOSE(Premissas!$B$6,Cenários!L30,Cenários!L76,Cenários!L122)</f>
        <v>0.155</v>
      </c>
      <c r="M23" s="196" t="n">
        <f aca="false">CHOOSE(Premissas!$B$6,Cenários!M30,Cenários!M76,Cenários!M122)</f>
        <v>0.155</v>
      </c>
      <c r="N23" s="196" t="n">
        <f aca="false">CHOOSE(Premissas!$B$6,Cenários!N30,Cenários!N76,Cenários!N122)</f>
        <v>0.155</v>
      </c>
      <c r="O23" s="196" t="n">
        <f aca="false">CHOOSE(Premissas!$B$6,Cenários!O30,Cenários!O76,Cenários!O122)</f>
        <v>0.155</v>
      </c>
      <c r="P23" s="196" t="n">
        <f aca="false">CHOOSE(Premissas!$B$6,Cenários!P30,Cenários!P76,Cenários!P122)</f>
        <v>0.156593871701344</v>
      </c>
      <c r="Q23" s="196" t="n">
        <f aca="false">CHOOSE(Premissas!$B$6,Cenários!Q30,Cenários!Q76,Cenários!Q122)</f>
        <v>0.166260481710397</v>
      </c>
      <c r="R23" s="196" t="n">
        <f aca="false">CHOOSE(Premissas!$B$6,Cenários!R30,Cenários!R76,Cenários!R122)</f>
        <v>0.17587701089176</v>
      </c>
      <c r="S23" s="196" t="n">
        <f aca="false">CHOOSE(Premissas!$B$6,Cenários!S30,Cenários!S76,Cenários!S122)</f>
        <v>0.181646884118957</v>
      </c>
      <c r="T23" s="196" t="n">
        <f aca="false">CHOOSE(Premissas!$B$6,Cenários!T30,Cenários!T76,Cenários!T122)</f>
        <v>0.187358224867618</v>
      </c>
      <c r="U23" s="196" t="n">
        <f aca="false">CHOOSE(Premissas!$B$6,Cenários!U30,Cenários!U76,Cenários!U122)</f>
        <v>0.191065581648779</v>
      </c>
      <c r="V23" s="196" t="n">
        <f aca="false">CHOOSE(Premissas!$B$6,Cenários!V30,Cenários!V76,Cenários!V122)</f>
        <v>0.193632894854391</v>
      </c>
      <c r="W23" s="196" t="n">
        <f aca="false">CHOOSE(Premissas!$B$6,Cenários!W30,Cenários!W76,Cenários!W122)</f>
        <v>0.195496258947315</v>
      </c>
      <c r="X23" s="196" t="n">
        <f aca="false">CHOOSE(Premissas!$B$6,Cenários!X30,Cenários!X76,Cenários!X122)</f>
        <v>0.201145540852</v>
      </c>
      <c r="Y23" s="196" t="n">
        <f aca="false">CHOOSE(Premissas!$B$6,Cenários!Y30,Cenários!Y76,Cenários!Y122)</f>
        <v>0.205297540658413</v>
      </c>
      <c r="Z23" s="196" t="n">
        <f aca="false">CHOOSE(Premissas!$B$6,Cenários!Z30,Cenários!Z76,Cenários!Z122)</f>
        <v>0.208425082801468</v>
      </c>
      <c r="AA23" s="196" t="n">
        <f aca="false">CHOOSE(Premissas!$B$6,Cenários!AA30,Cenários!AA76,Cenários!AA122)</f>
        <v>0.211390119549705</v>
      </c>
      <c r="AB23" s="196" t="n">
        <f aca="false">CHOOSE(Premissas!$B$6,Cenários!AB30,Cenários!AB76,Cenários!AB122)</f>
        <v>0.163039841088372</v>
      </c>
      <c r="AC23" s="196" t="n">
        <f aca="false">CHOOSE(Premissas!$B$6,Cenários!AC30,Cenários!AC76,Cenários!AC122)</f>
        <v>0.178535616001447</v>
      </c>
      <c r="AD23" s="196" t="n">
        <f aca="false">CHOOSE(Premissas!$B$6,Cenários!AD30,Cenários!AD76,Cenários!AD122)</f>
        <v>0.19056167579252</v>
      </c>
      <c r="AE23" s="196" t="n">
        <f aca="false">CHOOSE(Premissas!$B$6,Cenários!AE30,Cenários!AE76,Cenários!AE122)</f>
        <v>0.1633</v>
      </c>
      <c r="AF23" s="196" t="n">
        <f aca="false">CHOOSE(Premissas!$B$6,Cenários!AF30,Cenários!AF76,Cenários!AF122)</f>
        <v>0.1633</v>
      </c>
      <c r="AG23" s="196" t="n">
        <f aca="false">CHOOSE(Premissas!$B$6,Cenários!AG30,Cenários!AG76,Cenários!AG122)</f>
        <v>0.1633</v>
      </c>
      <c r="AH23" s="196" t="n">
        <f aca="false">CHOOSE(Premissas!$B$6,Cenários!AH30,Cenários!AH76,Cenários!AH122)</f>
        <v>0.1633</v>
      </c>
      <c r="AI23" s="196" t="n">
        <f aca="false">CHOOSE(Premissas!$B$6,Cenários!AI30,Cenários!AI76,Cenários!AI122)</f>
        <v>0.1633</v>
      </c>
      <c r="AJ23" s="196" t="n">
        <f aca="false">CHOOSE(Premissas!$B$6,Cenários!AJ30,Cenários!AJ76,Cenários!AJ122)</f>
        <v>0.1633</v>
      </c>
      <c r="AK23" s="196" t="n">
        <f aca="false">CHOOSE(Premissas!$B$6,Cenários!AK30,Cenários!AK76,Cenários!AK122)</f>
        <v>0.1633</v>
      </c>
      <c r="AL23" s="196" t="n">
        <f aca="false">CHOOSE(Premissas!$B$6,Cenários!AL30,Cenários!AL76,Cenários!AL122)</f>
        <v>0.1633</v>
      </c>
      <c r="AM23" s="196" t="n">
        <f aca="false">CHOOSE(Premissas!$B$6,Cenários!AM30,Cenários!AM76,Cenários!AM122)</f>
        <v>0.1633</v>
      </c>
      <c r="AN23" s="196" t="n">
        <f aca="false">CHOOSE(Premissas!$B$6,Cenários!AN30,Cenários!AN76,Cenários!AN122)</f>
        <v>0.1633</v>
      </c>
      <c r="AO23" s="196" t="n">
        <f aca="false">CHOOSE(Premissas!$B$6,Cenários!AO30,Cenários!AO76,Cenários!AO122)</f>
        <v>0.1633</v>
      </c>
      <c r="AP23" s="196" t="n">
        <f aca="false">CHOOSE(Premissas!$B$6,Cenários!AP30,Cenários!AP76,Cenários!AP122)</f>
        <v>0.1633</v>
      </c>
      <c r="AQ23" s="196" t="n">
        <f aca="false">CHOOSE(Premissas!$B$6,Cenários!AQ30,Cenários!AQ76,Cenários!AQ122)</f>
        <v>0.1633</v>
      </c>
      <c r="AR23" s="196" t="n">
        <f aca="false">CHOOSE(Premissas!$B$6,Cenários!AR30,Cenários!AR76,Cenários!AR122)</f>
        <v>0.1633</v>
      </c>
      <c r="AS23" s="196" t="n">
        <f aca="false">CHOOSE(Premissas!$B$6,Cenários!AS30,Cenários!AS76,Cenários!AS122)</f>
        <v>0.1633</v>
      </c>
      <c r="AT23" s="196" t="n">
        <f aca="false">CHOOSE(Premissas!$B$6,Cenários!AT30,Cenários!AT76,Cenários!AT122)</f>
        <v>0.1633</v>
      </c>
      <c r="AU23" s="196" t="n">
        <f aca="false">CHOOSE(Premissas!$B$6,Cenários!AU30,Cenários!AU76,Cenários!AU122)</f>
        <v>0.1633</v>
      </c>
      <c r="AV23" s="196" t="n">
        <f aca="false">CHOOSE(Premissas!$B$6,Cenários!AV30,Cenários!AV76,Cenários!AV122)</f>
        <v>0.1633</v>
      </c>
      <c r="AW23" s="196" t="n">
        <f aca="false">CHOOSE(Premissas!$B$6,Cenários!AW30,Cenários!AW76,Cenários!AW122)</f>
        <v>0.1633</v>
      </c>
      <c r="AX23" s="196" t="n">
        <f aca="false">CHOOSE(Premissas!$B$6,Cenários!AX30,Cenários!AX76,Cenários!AX122)</f>
        <v>0.1633</v>
      </c>
      <c r="AY23" s="196" t="n">
        <f aca="false">CHOOSE(Premissas!$B$6,Cenários!AY30,Cenários!AY76,Cenários!AY122)</f>
        <v>0.1633</v>
      </c>
      <c r="AZ23" s="196" t="n">
        <f aca="false">CHOOSE(Premissas!$B$6,Cenários!AZ30,Cenários!AZ76,Cenários!AZ122)</f>
        <v>0.1633</v>
      </c>
      <c r="BA23" s="196" t="n">
        <f aca="false">CHOOSE(Premissas!$B$6,Cenários!BA30,Cenários!BA76,Cenários!BA122)</f>
        <v>0.1633</v>
      </c>
      <c r="BB23" s="196" t="n">
        <f aca="false">CHOOSE(Premissas!$B$6,Cenários!BB30,Cenários!BB76,Cenários!BB122)</f>
        <v>0.1633</v>
      </c>
      <c r="BC23" s="196" t="n">
        <f aca="false">CHOOSE(Premissas!$B$6,Cenários!BC30,Cenários!BC76,Cenários!BC122)</f>
        <v>0.1633</v>
      </c>
      <c r="BD23" s="196" t="n">
        <f aca="false">CHOOSE(Premissas!$B$6,Cenários!BD30,Cenários!BD76,Cenários!BD122)</f>
        <v>0.1633</v>
      </c>
      <c r="BE23" s="196" t="n">
        <f aca="false">CHOOSE(Premissas!$B$6,Cenários!BE30,Cenários!BE76,Cenários!BE122)</f>
        <v>0.1633</v>
      </c>
      <c r="BF23" s="196" t="n">
        <f aca="false">CHOOSE(Premissas!$B$6,Cenários!BF30,Cenários!BF76,Cenários!BF122)</f>
        <v>0.1633</v>
      </c>
      <c r="BG23" s="196" t="n">
        <f aca="false">CHOOSE(Premissas!$B$6,Cenários!BG30,Cenários!BG76,Cenários!BG122)</f>
        <v>0.1633</v>
      </c>
      <c r="BH23" s="196" t="n">
        <f aca="false">CHOOSE(Premissas!$B$6,Cenários!BH30,Cenários!BH76,Cenários!BH122)</f>
        <v>0.1633</v>
      </c>
      <c r="BI23" s="196" t="n">
        <f aca="false">CHOOSE(Premissas!$B$6,Cenários!BI30,Cenários!BI76,Cenários!BI122)</f>
        <v>0.1633</v>
      </c>
      <c r="BK23" s="29" t="s">
        <v>826</v>
      </c>
    </row>
    <row r="25" customFormat="false" ht="18" hidden="false" customHeight="true" outlineLevel="0" collapsed="false">
      <c r="A25" s="25" t="s">
        <v>827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</row>
    <row r="26" customFormat="false" ht="15" hidden="false" customHeight="false" outlineLevel="0" collapsed="false">
      <c r="A26" s="197" t="s">
        <v>233</v>
      </c>
      <c r="B26" s="97" t="n">
        <v>2026</v>
      </c>
      <c r="C26" s="97" t="n">
        <v>2027</v>
      </c>
      <c r="D26" s="97" t="n">
        <v>2028</v>
      </c>
      <c r="E26" s="97" t="n">
        <v>2029</v>
      </c>
      <c r="F26" s="97" t="n">
        <v>2030</v>
      </c>
      <c r="G26" s="179" t="s">
        <v>230</v>
      </c>
    </row>
    <row r="27" customFormat="false" ht="15" hidden="false" customHeight="false" outlineLevel="0" collapsed="false">
      <c r="A27" s="31" t="s">
        <v>828</v>
      </c>
      <c r="B27" s="63" t="n">
        <f aca="false">SUMIFS($B$16:$BI$16,$B$6:$BI$6,B$26)</f>
        <v>39441.8</v>
      </c>
      <c r="C27" s="63" t="n">
        <f aca="false">SUMIFS($B$16:$BI$16,$B$6:$BI$6,C$26)</f>
        <v>2878342.44871288</v>
      </c>
      <c r="D27" s="63" t="n">
        <f aca="false">SUMIFS($B$16:$BI$16,$B$6:$BI$6,D$26)</f>
        <v>8769934.84813165</v>
      </c>
      <c r="E27" s="63" t="n">
        <f aca="false">SUMIFS($B$16:$BI$16,$B$6:$BI$6,E$26)</f>
        <v>17990723.4514481</v>
      </c>
      <c r="F27" s="63" t="n">
        <f aca="false">SUMIFS($B$16:$BI$16,$B$6:$BI$6,F$26)</f>
        <v>33253920.4920794</v>
      </c>
      <c r="G27" s="61" t="n">
        <f aca="false">SUM(B27:F27)</f>
        <v>62932363.0403721</v>
      </c>
    </row>
    <row r="28" customFormat="false" ht="15" hidden="false" customHeight="false" outlineLevel="0" collapsed="false">
      <c r="A28" s="27" t="s">
        <v>829</v>
      </c>
      <c r="B28" s="60" t="n">
        <f aca="false">SUMIFS($B$22:$BI$22,$B$6:$BI$6,B$26)</f>
        <v>28033.25935</v>
      </c>
      <c r="C28" s="60" t="n">
        <f aca="false">SUMIFS($B$22:$BI$22,$B$6:$BI$6,C$26)</f>
        <v>1975626.89995249</v>
      </c>
      <c r="D28" s="60" t="n">
        <f aca="false">SUMIFS($B$22:$BI$22,$B$6:$BI$6,D$26)</f>
        <v>6237452.96553495</v>
      </c>
      <c r="E28" s="60" t="n">
        <f aca="false">SUMIFS($B$22:$BI$22,$B$6:$BI$6,E$26)</f>
        <v>13060878.9679535</v>
      </c>
      <c r="F28" s="60" t="n">
        <f aca="false">SUMIFS($B$22:$BI$22,$B$6:$BI$6,F$26)</f>
        <v>24129952.4002536</v>
      </c>
      <c r="G28" s="61" t="n">
        <f aca="false">SUM(B28:F28)</f>
        <v>45431944.4930445</v>
      </c>
    </row>
    <row r="29" customFormat="false" ht="15" hidden="false" customHeight="false" outlineLevel="0" collapsed="false">
      <c r="A29" s="27" t="s">
        <v>830</v>
      </c>
      <c r="B29" s="60" t="n">
        <f aca="false">SUMIFS($B$19:$BI$19,$B$6:$BI$6,B$26)</f>
        <v>-6113.479</v>
      </c>
      <c r="C29" s="60" t="n">
        <f aca="false">SUMIFS($B$19:$BI$19,$B$6:$BI$6,C$26)</f>
        <v>-540250.845520307</v>
      </c>
      <c r="D29" s="60" t="n">
        <f aca="false">SUMIFS($B$19:$BI$19,$B$6:$BI$6,D$26)</f>
        <v>-1510402.22465243</v>
      </c>
      <c r="E29" s="60" t="n">
        <f aca="false">SUMIFS($B$19:$BI$19,$B$6:$BI$6,E$26)</f>
        <v>-2937885.13962148</v>
      </c>
      <c r="F29" s="60" t="n">
        <f aca="false">SUMIFS($B$19:$BI$19,$B$6:$BI$6,F$26)</f>
        <v>-5430365.21635657</v>
      </c>
      <c r="G29" s="61" t="n">
        <f aca="false">SUM(B29:F29)</f>
        <v>-10425016.9051508</v>
      </c>
    </row>
    <row r="30" customFormat="false" ht="15" hidden="false" customHeight="false" outlineLevel="0" collapsed="false">
      <c r="A30" s="27" t="s">
        <v>831</v>
      </c>
      <c r="B30" s="60" t="n">
        <f aca="false">SUMIFS($B$20:$BI$20,$B$6:$BI$6,B$26)</f>
        <v>-5028.8295</v>
      </c>
      <c r="C30" s="60" t="n">
        <f aca="false">SUMIFS($B$20:$BI$20,$B$6:$BI$6,C$26)</f>
        <v>-332770.41864</v>
      </c>
      <c r="D30" s="60" t="n">
        <f aca="false">SUMIFS($B$20:$BI$20,$B$6:$BI$6,D$26)</f>
        <v>-913689.413969062</v>
      </c>
      <c r="E30" s="60" t="n">
        <f aca="false">SUMIFS($B$20:$BI$20,$B$6:$BI$6,E$26)</f>
        <v>-1743109.69794</v>
      </c>
      <c r="F30" s="60" t="n">
        <f aca="false">SUMIFS($B$20:$BI$20,$B$6:$BI$6,F$26)</f>
        <v>-3192823.50475101</v>
      </c>
      <c r="G30" s="61" t="n">
        <f aca="false">SUM(B30:F30)</f>
        <v>-6187421.86480007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B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1" min="2" style="0" width="11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832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79" t="str">
        <f aca="false">" Cenário ativo: "&amp;Premissas!B7&amp;"  ·  todas as linhas recalculam ao trocar o cenário."</f>
        <v> Cenário ativo: PROVÁVEL  ·  todas as linhas recalculam ao trocar o cenário.</v>
      </c>
    </row>
    <row r="4" customFormat="false" ht="15" hidden="false" customHeight="false" outlineLevel="0" collapsed="false">
      <c r="A4" s="52" t="s">
        <v>229</v>
      </c>
      <c r="B4" s="53" t="n">
        <v>46023</v>
      </c>
      <c r="C4" s="53" t="n">
        <v>46054</v>
      </c>
      <c r="D4" s="53" t="n">
        <v>46082</v>
      </c>
      <c r="E4" s="53" t="n">
        <v>46113</v>
      </c>
      <c r="F4" s="53" t="n">
        <v>46143</v>
      </c>
      <c r="G4" s="53" t="n">
        <v>46174</v>
      </c>
      <c r="H4" s="53" t="n">
        <v>46204</v>
      </c>
      <c r="I4" s="53" t="n">
        <v>46235</v>
      </c>
      <c r="J4" s="53" t="n">
        <v>46266</v>
      </c>
      <c r="K4" s="53" t="n">
        <v>46296</v>
      </c>
      <c r="L4" s="53" t="n">
        <v>46327</v>
      </c>
      <c r="M4" s="53" t="n">
        <v>46357</v>
      </c>
      <c r="N4" s="53" t="n">
        <v>46388</v>
      </c>
      <c r="O4" s="53" t="n">
        <v>46419</v>
      </c>
      <c r="P4" s="53" t="n">
        <v>46447</v>
      </c>
      <c r="Q4" s="53" t="n">
        <v>46478</v>
      </c>
      <c r="R4" s="53" t="n">
        <v>46508</v>
      </c>
      <c r="S4" s="53" t="n">
        <v>46539</v>
      </c>
      <c r="T4" s="53" t="n">
        <v>46569</v>
      </c>
      <c r="U4" s="53" t="n">
        <v>46600</v>
      </c>
      <c r="V4" s="53" t="n">
        <v>46631</v>
      </c>
      <c r="W4" s="53" t="n">
        <v>46661</v>
      </c>
      <c r="X4" s="53" t="n">
        <v>46692</v>
      </c>
      <c r="Y4" s="53" t="n">
        <v>46722</v>
      </c>
      <c r="Z4" s="53" t="n">
        <v>46753</v>
      </c>
      <c r="AA4" s="53" t="n">
        <v>46784</v>
      </c>
      <c r="AB4" s="53" t="n">
        <v>46813</v>
      </c>
      <c r="AC4" s="53" t="n">
        <v>46844</v>
      </c>
      <c r="AD4" s="53" t="n">
        <v>46874</v>
      </c>
      <c r="AE4" s="53" t="n">
        <v>46905</v>
      </c>
      <c r="AF4" s="53" t="n">
        <v>46935</v>
      </c>
      <c r="AG4" s="53" t="n">
        <v>46966</v>
      </c>
      <c r="AH4" s="53" t="n">
        <v>46997</v>
      </c>
      <c r="AI4" s="53" t="n">
        <v>47027</v>
      </c>
      <c r="AJ4" s="53" t="n">
        <v>47058</v>
      </c>
      <c r="AK4" s="53" t="n">
        <v>47088</v>
      </c>
      <c r="AL4" s="53" t="n">
        <v>47119</v>
      </c>
      <c r="AM4" s="53" t="n">
        <v>47150</v>
      </c>
      <c r="AN4" s="53" t="n">
        <v>47178</v>
      </c>
      <c r="AO4" s="53" t="n">
        <v>47209</v>
      </c>
      <c r="AP4" s="53" t="n">
        <v>47239</v>
      </c>
      <c r="AQ4" s="53" t="n">
        <v>47270</v>
      </c>
      <c r="AR4" s="53" t="n">
        <v>47300</v>
      </c>
      <c r="AS4" s="53" t="n">
        <v>47331</v>
      </c>
      <c r="AT4" s="53" t="n">
        <v>47362</v>
      </c>
      <c r="AU4" s="53" t="n">
        <v>47392</v>
      </c>
      <c r="AV4" s="53" t="n">
        <v>47423</v>
      </c>
      <c r="AW4" s="53" t="n">
        <v>47453</v>
      </c>
      <c r="AX4" s="53" t="n">
        <v>47484</v>
      </c>
      <c r="AY4" s="53" t="n">
        <v>47515</v>
      </c>
      <c r="AZ4" s="53" t="n">
        <v>47543</v>
      </c>
      <c r="BA4" s="53" t="n">
        <v>47574</v>
      </c>
      <c r="BB4" s="53" t="n">
        <v>47604</v>
      </c>
      <c r="BC4" s="53" t="n">
        <v>47635</v>
      </c>
      <c r="BD4" s="53" t="n">
        <v>47665</v>
      </c>
      <c r="BE4" s="53" t="n">
        <v>47696</v>
      </c>
      <c r="BF4" s="53" t="n">
        <v>47727</v>
      </c>
      <c r="BG4" s="53" t="n">
        <v>47757</v>
      </c>
      <c r="BH4" s="53" t="n">
        <v>47788</v>
      </c>
      <c r="BI4" s="53" t="n">
        <v>47818</v>
      </c>
      <c r="BJ4" s="54" t="s">
        <v>230</v>
      </c>
      <c r="BK4" s="54" t="s">
        <v>231</v>
      </c>
    </row>
    <row r="5" customFormat="false" ht="15" hidden="false" customHeight="false" outlineLevel="0" collapsed="false">
      <c r="A5" s="55" t="s">
        <v>232</v>
      </c>
      <c r="B5" s="56" t="n">
        <v>1</v>
      </c>
      <c r="C5" s="56" t="n">
        <v>2</v>
      </c>
      <c r="D5" s="56" t="n">
        <v>3</v>
      </c>
      <c r="E5" s="56" t="n">
        <v>4</v>
      </c>
      <c r="F5" s="56" t="n">
        <v>5</v>
      </c>
      <c r="G5" s="56" t="n">
        <v>6</v>
      </c>
      <c r="H5" s="56" t="n">
        <v>7</v>
      </c>
      <c r="I5" s="56" t="n">
        <v>8</v>
      </c>
      <c r="J5" s="56" t="n">
        <v>9</v>
      </c>
      <c r="K5" s="56" t="n">
        <v>10</v>
      </c>
      <c r="L5" s="56" t="n">
        <v>11</v>
      </c>
      <c r="M5" s="56" t="n">
        <v>12</v>
      </c>
      <c r="N5" s="56" t="n">
        <v>13</v>
      </c>
      <c r="O5" s="56" t="n">
        <v>14</v>
      </c>
      <c r="P5" s="56" t="n">
        <v>15</v>
      </c>
      <c r="Q5" s="56" t="n">
        <v>16</v>
      </c>
      <c r="R5" s="56" t="n">
        <v>17</v>
      </c>
      <c r="S5" s="56" t="n">
        <v>18</v>
      </c>
      <c r="T5" s="56" t="n">
        <v>19</v>
      </c>
      <c r="U5" s="56" t="n">
        <v>20</v>
      </c>
      <c r="V5" s="56" t="n">
        <v>21</v>
      </c>
      <c r="W5" s="56" t="n">
        <v>22</v>
      </c>
      <c r="X5" s="56" t="n">
        <v>23</v>
      </c>
      <c r="Y5" s="56" t="n">
        <v>24</v>
      </c>
      <c r="Z5" s="56" t="n">
        <v>25</v>
      </c>
      <c r="AA5" s="56" t="n">
        <v>26</v>
      </c>
      <c r="AB5" s="56" t="n">
        <v>27</v>
      </c>
      <c r="AC5" s="56" t="n">
        <v>28</v>
      </c>
      <c r="AD5" s="56" t="n">
        <v>29</v>
      </c>
      <c r="AE5" s="56" t="n">
        <v>30</v>
      </c>
      <c r="AF5" s="56" t="n">
        <v>31</v>
      </c>
      <c r="AG5" s="56" t="n">
        <v>32</v>
      </c>
      <c r="AH5" s="56" t="n">
        <v>33</v>
      </c>
      <c r="AI5" s="56" t="n">
        <v>34</v>
      </c>
      <c r="AJ5" s="56" t="n">
        <v>35</v>
      </c>
      <c r="AK5" s="56" t="n">
        <v>36</v>
      </c>
      <c r="AL5" s="56" t="n">
        <v>37</v>
      </c>
      <c r="AM5" s="56" t="n">
        <v>38</v>
      </c>
      <c r="AN5" s="56" t="n">
        <v>39</v>
      </c>
      <c r="AO5" s="56" t="n">
        <v>40</v>
      </c>
      <c r="AP5" s="56" t="n">
        <v>41</v>
      </c>
      <c r="AQ5" s="56" t="n">
        <v>42</v>
      </c>
      <c r="AR5" s="56" t="n">
        <v>43</v>
      </c>
      <c r="AS5" s="56" t="n">
        <v>44</v>
      </c>
      <c r="AT5" s="56" t="n">
        <v>45</v>
      </c>
      <c r="AU5" s="56" t="n">
        <v>46</v>
      </c>
      <c r="AV5" s="56" t="n">
        <v>47</v>
      </c>
      <c r="AW5" s="56" t="n">
        <v>48</v>
      </c>
      <c r="AX5" s="56" t="n">
        <v>49</v>
      </c>
      <c r="AY5" s="56" t="n">
        <v>50</v>
      </c>
      <c r="AZ5" s="56" t="n">
        <v>51</v>
      </c>
      <c r="BA5" s="56" t="n">
        <v>52</v>
      </c>
      <c r="BB5" s="56" t="n">
        <v>53</v>
      </c>
      <c r="BC5" s="56" t="n">
        <v>54</v>
      </c>
      <c r="BD5" s="56" t="n">
        <v>55</v>
      </c>
      <c r="BE5" s="56" t="n">
        <v>56</v>
      </c>
      <c r="BF5" s="56" t="n">
        <v>57</v>
      </c>
      <c r="BG5" s="56" t="n">
        <v>58</v>
      </c>
      <c r="BH5" s="56" t="n">
        <v>59</v>
      </c>
      <c r="BI5" s="56" t="n">
        <v>60</v>
      </c>
    </row>
    <row r="6" customFormat="false" ht="15" hidden="false" customHeight="false" outlineLevel="0" collapsed="false">
      <c r="A6" s="55" t="s">
        <v>233</v>
      </c>
      <c r="B6" s="57" t="n">
        <f aca="false">YEAR(B4)</f>
        <v>2026</v>
      </c>
      <c r="C6" s="57" t="n">
        <f aca="false">YEAR(C4)</f>
        <v>2026</v>
      </c>
      <c r="D6" s="57" t="n">
        <f aca="false">YEAR(D4)</f>
        <v>2026</v>
      </c>
      <c r="E6" s="57" t="n">
        <f aca="false">YEAR(E4)</f>
        <v>2026</v>
      </c>
      <c r="F6" s="57" t="n">
        <f aca="false">YEAR(F4)</f>
        <v>2026</v>
      </c>
      <c r="G6" s="57" t="n">
        <f aca="false">YEAR(G4)</f>
        <v>2026</v>
      </c>
      <c r="H6" s="57" t="n">
        <f aca="false">YEAR(H4)</f>
        <v>2026</v>
      </c>
      <c r="I6" s="57" t="n">
        <f aca="false">YEAR(I4)</f>
        <v>2026</v>
      </c>
      <c r="J6" s="57" t="n">
        <f aca="false">YEAR(J4)</f>
        <v>2026</v>
      </c>
      <c r="K6" s="57" t="n">
        <f aca="false">YEAR(K4)</f>
        <v>2026</v>
      </c>
      <c r="L6" s="57" t="n">
        <f aca="false">YEAR(L4)</f>
        <v>2026</v>
      </c>
      <c r="M6" s="57" t="n">
        <f aca="false">YEAR(M4)</f>
        <v>2026</v>
      </c>
      <c r="N6" s="57" t="n">
        <f aca="false">YEAR(N4)</f>
        <v>2027</v>
      </c>
      <c r="O6" s="57" t="n">
        <f aca="false">YEAR(O4)</f>
        <v>2027</v>
      </c>
      <c r="P6" s="57" t="n">
        <f aca="false">YEAR(P4)</f>
        <v>2027</v>
      </c>
      <c r="Q6" s="57" t="n">
        <f aca="false">YEAR(Q4)</f>
        <v>2027</v>
      </c>
      <c r="R6" s="57" t="n">
        <f aca="false">YEAR(R4)</f>
        <v>2027</v>
      </c>
      <c r="S6" s="57" t="n">
        <f aca="false">YEAR(S4)</f>
        <v>2027</v>
      </c>
      <c r="T6" s="57" t="n">
        <f aca="false">YEAR(T4)</f>
        <v>2027</v>
      </c>
      <c r="U6" s="57" t="n">
        <f aca="false">YEAR(U4)</f>
        <v>2027</v>
      </c>
      <c r="V6" s="57" t="n">
        <f aca="false">YEAR(V4)</f>
        <v>2027</v>
      </c>
      <c r="W6" s="57" t="n">
        <f aca="false">YEAR(W4)</f>
        <v>2027</v>
      </c>
      <c r="X6" s="57" t="n">
        <f aca="false">YEAR(X4)</f>
        <v>2027</v>
      </c>
      <c r="Y6" s="57" t="n">
        <f aca="false">YEAR(Y4)</f>
        <v>2027</v>
      </c>
      <c r="Z6" s="57" t="n">
        <f aca="false">YEAR(Z4)</f>
        <v>2028</v>
      </c>
      <c r="AA6" s="57" t="n">
        <f aca="false">YEAR(AA4)</f>
        <v>2028</v>
      </c>
      <c r="AB6" s="57" t="n">
        <f aca="false">YEAR(AB4)</f>
        <v>2028</v>
      </c>
      <c r="AC6" s="57" t="n">
        <f aca="false">YEAR(AC4)</f>
        <v>2028</v>
      </c>
      <c r="AD6" s="57" t="n">
        <f aca="false">YEAR(AD4)</f>
        <v>2028</v>
      </c>
      <c r="AE6" s="57" t="n">
        <f aca="false">YEAR(AE4)</f>
        <v>2028</v>
      </c>
      <c r="AF6" s="57" t="n">
        <f aca="false">YEAR(AF4)</f>
        <v>2028</v>
      </c>
      <c r="AG6" s="57" t="n">
        <f aca="false">YEAR(AG4)</f>
        <v>2028</v>
      </c>
      <c r="AH6" s="57" t="n">
        <f aca="false">YEAR(AH4)</f>
        <v>2028</v>
      </c>
      <c r="AI6" s="57" t="n">
        <f aca="false">YEAR(AI4)</f>
        <v>2028</v>
      </c>
      <c r="AJ6" s="57" t="n">
        <f aca="false">YEAR(AJ4)</f>
        <v>2028</v>
      </c>
      <c r="AK6" s="57" t="n">
        <f aca="false">YEAR(AK4)</f>
        <v>2028</v>
      </c>
      <c r="AL6" s="57" t="n">
        <f aca="false">YEAR(AL4)</f>
        <v>2029</v>
      </c>
      <c r="AM6" s="57" t="n">
        <f aca="false">YEAR(AM4)</f>
        <v>2029</v>
      </c>
      <c r="AN6" s="57" t="n">
        <f aca="false">YEAR(AN4)</f>
        <v>2029</v>
      </c>
      <c r="AO6" s="57" t="n">
        <f aca="false">YEAR(AO4)</f>
        <v>2029</v>
      </c>
      <c r="AP6" s="57" t="n">
        <f aca="false">YEAR(AP4)</f>
        <v>2029</v>
      </c>
      <c r="AQ6" s="57" t="n">
        <f aca="false">YEAR(AQ4)</f>
        <v>2029</v>
      </c>
      <c r="AR6" s="57" t="n">
        <f aca="false">YEAR(AR4)</f>
        <v>2029</v>
      </c>
      <c r="AS6" s="57" t="n">
        <f aca="false">YEAR(AS4)</f>
        <v>2029</v>
      </c>
      <c r="AT6" s="57" t="n">
        <f aca="false">YEAR(AT4)</f>
        <v>2029</v>
      </c>
      <c r="AU6" s="57" t="n">
        <f aca="false">YEAR(AU4)</f>
        <v>2029</v>
      </c>
      <c r="AV6" s="57" t="n">
        <f aca="false">YEAR(AV4)</f>
        <v>2029</v>
      </c>
      <c r="AW6" s="57" t="n">
        <f aca="false">YEAR(AW4)</f>
        <v>2029</v>
      </c>
      <c r="AX6" s="57" t="n">
        <f aca="false">YEAR(AX4)</f>
        <v>2030</v>
      </c>
      <c r="AY6" s="57" t="n">
        <f aca="false">YEAR(AY4)</f>
        <v>2030</v>
      </c>
      <c r="AZ6" s="57" t="n">
        <f aca="false">YEAR(AZ4)</f>
        <v>2030</v>
      </c>
      <c r="BA6" s="57" t="n">
        <f aca="false">YEAR(BA4)</f>
        <v>2030</v>
      </c>
      <c r="BB6" s="57" t="n">
        <f aca="false">YEAR(BB4)</f>
        <v>2030</v>
      </c>
      <c r="BC6" s="57" t="n">
        <f aca="false">YEAR(BC4)</f>
        <v>2030</v>
      </c>
      <c r="BD6" s="57" t="n">
        <f aca="false">YEAR(BD4)</f>
        <v>2030</v>
      </c>
      <c r="BE6" s="57" t="n">
        <f aca="false">YEAR(BE4)</f>
        <v>2030</v>
      </c>
      <c r="BF6" s="57" t="n">
        <f aca="false">YEAR(BF4)</f>
        <v>2030</v>
      </c>
      <c r="BG6" s="57" t="n">
        <f aca="false">YEAR(BG4)</f>
        <v>2030</v>
      </c>
      <c r="BH6" s="57" t="n">
        <f aca="false">YEAR(BH4)</f>
        <v>2030</v>
      </c>
      <c r="BI6" s="57" t="n">
        <f aca="false">YEAR(BI4)</f>
        <v>2030</v>
      </c>
    </row>
    <row r="7" customFormat="false" ht="15" hidden="false" customHeight="false" outlineLevel="0" collapsed="false">
      <c r="A7" s="58" t="s">
        <v>234</v>
      </c>
      <c r="B7" s="59" t="n">
        <f aca="false">MATCH(B6,Premissas!$C$5:$G$5,0)</f>
        <v>1</v>
      </c>
      <c r="C7" s="59" t="n">
        <f aca="false">MATCH(C6,Premissas!$C$5:$G$5,0)</f>
        <v>1</v>
      </c>
      <c r="D7" s="59" t="n">
        <f aca="false">MATCH(D6,Premissas!$C$5:$G$5,0)</f>
        <v>1</v>
      </c>
      <c r="E7" s="59" t="n">
        <f aca="false">MATCH(E6,Premissas!$C$5:$G$5,0)</f>
        <v>1</v>
      </c>
      <c r="F7" s="59" t="n">
        <f aca="false">MATCH(F6,Premissas!$C$5:$G$5,0)</f>
        <v>1</v>
      </c>
      <c r="G7" s="59" t="n">
        <f aca="false">MATCH(G6,Premissas!$C$5:$G$5,0)</f>
        <v>1</v>
      </c>
      <c r="H7" s="59" t="n">
        <f aca="false">MATCH(H6,Premissas!$C$5:$G$5,0)</f>
        <v>1</v>
      </c>
      <c r="I7" s="59" t="n">
        <f aca="false">MATCH(I6,Premissas!$C$5:$G$5,0)</f>
        <v>1</v>
      </c>
      <c r="J7" s="59" t="n">
        <f aca="false">MATCH(J6,Premissas!$C$5:$G$5,0)</f>
        <v>1</v>
      </c>
      <c r="K7" s="59" t="n">
        <f aca="false">MATCH(K6,Premissas!$C$5:$G$5,0)</f>
        <v>1</v>
      </c>
      <c r="L7" s="59" t="n">
        <f aca="false">MATCH(L6,Premissas!$C$5:$G$5,0)</f>
        <v>1</v>
      </c>
      <c r="M7" s="59" t="n">
        <f aca="false">MATCH(M6,Premissas!$C$5:$G$5,0)</f>
        <v>1</v>
      </c>
      <c r="N7" s="59" t="n">
        <f aca="false">MATCH(N6,Premissas!$C$5:$G$5,0)</f>
        <v>2</v>
      </c>
      <c r="O7" s="59" t="n">
        <f aca="false">MATCH(O6,Premissas!$C$5:$G$5,0)</f>
        <v>2</v>
      </c>
      <c r="P7" s="59" t="n">
        <f aca="false">MATCH(P6,Premissas!$C$5:$G$5,0)</f>
        <v>2</v>
      </c>
      <c r="Q7" s="59" t="n">
        <f aca="false">MATCH(Q6,Premissas!$C$5:$G$5,0)</f>
        <v>2</v>
      </c>
      <c r="R7" s="59" t="n">
        <f aca="false">MATCH(R6,Premissas!$C$5:$G$5,0)</f>
        <v>2</v>
      </c>
      <c r="S7" s="59" t="n">
        <f aca="false">MATCH(S6,Premissas!$C$5:$G$5,0)</f>
        <v>2</v>
      </c>
      <c r="T7" s="59" t="n">
        <f aca="false">MATCH(T6,Premissas!$C$5:$G$5,0)</f>
        <v>2</v>
      </c>
      <c r="U7" s="59" t="n">
        <f aca="false">MATCH(U6,Premissas!$C$5:$G$5,0)</f>
        <v>2</v>
      </c>
      <c r="V7" s="59" t="n">
        <f aca="false">MATCH(V6,Premissas!$C$5:$G$5,0)</f>
        <v>2</v>
      </c>
      <c r="W7" s="59" t="n">
        <f aca="false">MATCH(W6,Premissas!$C$5:$G$5,0)</f>
        <v>2</v>
      </c>
      <c r="X7" s="59" t="n">
        <f aca="false">MATCH(X6,Premissas!$C$5:$G$5,0)</f>
        <v>2</v>
      </c>
      <c r="Y7" s="59" t="n">
        <f aca="false">MATCH(Y6,Premissas!$C$5:$G$5,0)</f>
        <v>2</v>
      </c>
      <c r="Z7" s="59" t="n">
        <f aca="false">MATCH(Z6,Premissas!$C$5:$G$5,0)</f>
        <v>3</v>
      </c>
      <c r="AA7" s="59" t="n">
        <f aca="false">MATCH(AA6,Premissas!$C$5:$G$5,0)</f>
        <v>3</v>
      </c>
      <c r="AB7" s="59" t="n">
        <f aca="false">MATCH(AB6,Premissas!$C$5:$G$5,0)</f>
        <v>3</v>
      </c>
      <c r="AC7" s="59" t="n">
        <f aca="false">MATCH(AC6,Premissas!$C$5:$G$5,0)</f>
        <v>3</v>
      </c>
      <c r="AD7" s="59" t="n">
        <f aca="false">MATCH(AD6,Premissas!$C$5:$G$5,0)</f>
        <v>3</v>
      </c>
      <c r="AE7" s="59" t="n">
        <f aca="false">MATCH(AE6,Premissas!$C$5:$G$5,0)</f>
        <v>3</v>
      </c>
      <c r="AF7" s="59" t="n">
        <f aca="false">MATCH(AF6,Premissas!$C$5:$G$5,0)</f>
        <v>3</v>
      </c>
      <c r="AG7" s="59" t="n">
        <f aca="false">MATCH(AG6,Premissas!$C$5:$G$5,0)</f>
        <v>3</v>
      </c>
      <c r="AH7" s="59" t="n">
        <f aca="false">MATCH(AH6,Premissas!$C$5:$G$5,0)</f>
        <v>3</v>
      </c>
      <c r="AI7" s="59" t="n">
        <f aca="false">MATCH(AI6,Premissas!$C$5:$G$5,0)</f>
        <v>3</v>
      </c>
      <c r="AJ7" s="59" t="n">
        <f aca="false">MATCH(AJ6,Premissas!$C$5:$G$5,0)</f>
        <v>3</v>
      </c>
      <c r="AK7" s="59" t="n">
        <f aca="false">MATCH(AK6,Premissas!$C$5:$G$5,0)</f>
        <v>3</v>
      </c>
      <c r="AL7" s="59" t="n">
        <f aca="false">MATCH(AL6,Premissas!$C$5:$G$5,0)</f>
        <v>4</v>
      </c>
      <c r="AM7" s="59" t="n">
        <f aca="false">MATCH(AM6,Premissas!$C$5:$G$5,0)</f>
        <v>4</v>
      </c>
      <c r="AN7" s="59" t="n">
        <f aca="false">MATCH(AN6,Premissas!$C$5:$G$5,0)</f>
        <v>4</v>
      </c>
      <c r="AO7" s="59" t="n">
        <f aca="false">MATCH(AO6,Premissas!$C$5:$G$5,0)</f>
        <v>4</v>
      </c>
      <c r="AP7" s="59" t="n">
        <f aca="false">MATCH(AP6,Premissas!$C$5:$G$5,0)</f>
        <v>4</v>
      </c>
      <c r="AQ7" s="59" t="n">
        <f aca="false">MATCH(AQ6,Premissas!$C$5:$G$5,0)</f>
        <v>4</v>
      </c>
      <c r="AR7" s="59" t="n">
        <f aca="false">MATCH(AR6,Premissas!$C$5:$G$5,0)</f>
        <v>4</v>
      </c>
      <c r="AS7" s="59" t="n">
        <f aca="false">MATCH(AS6,Premissas!$C$5:$G$5,0)</f>
        <v>4</v>
      </c>
      <c r="AT7" s="59" t="n">
        <f aca="false">MATCH(AT6,Premissas!$C$5:$G$5,0)</f>
        <v>4</v>
      </c>
      <c r="AU7" s="59" t="n">
        <f aca="false">MATCH(AU6,Premissas!$C$5:$G$5,0)</f>
        <v>4</v>
      </c>
      <c r="AV7" s="59" t="n">
        <f aca="false">MATCH(AV6,Premissas!$C$5:$G$5,0)</f>
        <v>4</v>
      </c>
      <c r="AW7" s="59" t="n">
        <f aca="false">MATCH(AW6,Premissas!$C$5:$G$5,0)</f>
        <v>4</v>
      </c>
      <c r="AX7" s="59" t="n">
        <f aca="false">MATCH(AX6,Premissas!$C$5:$G$5,0)</f>
        <v>5</v>
      </c>
      <c r="AY7" s="59" t="n">
        <f aca="false">MATCH(AY6,Premissas!$C$5:$G$5,0)</f>
        <v>5</v>
      </c>
      <c r="AZ7" s="59" t="n">
        <f aca="false">MATCH(AZ6,Premissas!$C$5:$G$5,0)</f>
        <v>5</v>
      </c>
      <c r="BA7" s="59" t="n">
        <f aca="false">MATCH(BA6,Premissas!$C$5:$G$5,0)</f>
        <v>5</v>
      </c>
      <c r="BB7" s="59" t="n">
        <f aca="false">MATCH(BB6,Premissas!$C$5:$G$5,0)</f>
        <v>5</v>
      </c>
      <c r="BC7" s="59" t="n">
        <f aca="false">MATCH(BC6,Premissas!$C$5:$G$5,0)</f>
        <v>5</v>
      </c>
      <c r="BD7" s="59" t="n">
        <f aca="false">MATCH(BD6,Premissas!$C$5:$G$5,0)</f>
        <v>5</v>
      </c>
      <c r="BE7" s="59" t="n">
        <f aca="false">MATCH(BE6,Premissas!$C$5:$G$5,0)</f>
        <v>5</v>
      </c>
      <c r="BF7" s="59" t="n">
        <f aca="false">MATCH(BF6,Premissas!$C$5:$G$5,0)</f>
        <v>5</v>
      </c>
      <c r="BG7" s="59" t="n">
        <f aca="false">MATCH(BG6,Premissas!$C$5:$G$5,0)</f>
        <v>5</v>
      </c>
      <c r="BH7" s="59" t="n">
        <f aca="false">MATCH(BH6,Premissas!$C$5:$G$5,0)</f>
        <v>5</v>
      </c>
      <c r="BI7" s="59" t="n">
        <f aca="false">MATCH(BI6,Premissas!$C$5:$G$5,0)</f>
        <v>5</v>
      </c>
    </row>
    <row r="8" customFormat="false" ht="18" hidden="false" customHeight="true" outlineLevel="0" collapsed="false">
      <c r="A8" s="25" t="s">
        <v>833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customFormat="false" ht="15" hidden="false" customHeight="false" outlineLevel="0" collapsed="false">
      <c r="A9" s="27" t="s">
        <v>834</v>
      </c>
      <c r="B9" s="80" t="n">
        <f aca="false">CHOOSE(Premissas!$B$6,Cenários!B10,Cenários!B56,Cenários!B102)</f>
        <v>0</v>
      </c>
      <c r="C9" s="80" t="n">
        <f aca="false">CHOOSE(Premissas!$B$6,Cenários!C10,Cenários!C56,Cenários!C102)</f>
        <v>0</v>
      </c>
      <c r="D9" s="80" t="n">
        <f aca="false">CHOOSE(Premissas!$B$6,Cenários!D10,Cenários!D56,Cenários!D102)</f>
        <v>0</v>
      </c>
      <c r="E9" s="80" t="n">
        <f aca="false">CHOOSE(Premissas!$B$6,Cenários!E10,Cenários!E56,Cenários!E102)</f>
        <v>0</v>
      </c>
      <c r="F9" s="80" t="n">
        <f aca="false">CHOOSE(Premissas!$B$6,Cenários!F10,Cenários!F56,Cenários!F102)</f>
        <v>0</v>
      </c>
      <c r="G9" s="80" t="n">
        <f aca="false">CHOOSE(Premissas!$B$6,Cenários!G10,Cenários!G56,Cenários!G102)</f>
        <v>0</v>
      </c>
      <c r="H9" s="80" t="n">
        <f aca="false">CHOOSE(Premissas!$B$6,Cenários!H10,Cenários!H56,Cenários!H102)</f>
        <v>0</v>
      </c>
      <c r="I9" s="80" t="n">
        <f aca="false">CHOOSE(Premissas!$B$6,Cenários!I10,Cenários!I56,Cenários!I102)</f>
        <v>0</v>
      </c>
      <c r="J9" s="80" t="n">
        <f aca="false">CHOOSE(Premissas!$B$6,Cenários!J10,Cenários!J56,Cenários!J102)</f>
        <v>0</v>
      </c>
      <c r="K9" s="80" t="n">
        <f aca="false">CHOOSE(Premissas!$B$6,Cenários!K10,Cenários!K56,Cenários!K102)</f>
        <v>18100</v>
      </c>
      <c r="L9" s="80" t="n">
        <f aca="false">CHOOSE(Premissas!$B$6,Cenários!L10,Cenários!L56,Cenários!L102)</f>
        <v>18100</v>
      </c>
      <c r="M9" s="80" t="n">
        <f aca="false">CHOOSE(Premissas!$B$6,Cenários!M10,Cenários!M56,Cenários!M102)</f>
        <v>18100</v>
      </c>
      <c r="N9" s="80" t="n">
        <f aca="false">CHOOSE(Premissas!$B$6,Cenários!N10,Cenários!N56,Cenários!N102)</f>
        <v>27150</v>
      </c>
      <c r="O9" s="80" t="n">
        <f aca="false">CHOOSE(Premissas!$B$6,Cenários!O10,Cenários!O56,Cenários!O102)</f>
        <v>27150</v>
      </c>
      <c r="P9" s="80" t="n">
        <f aca="false">CHOOSE(Premissas!$B$6,Cenários!P10,Cenários!P56,Cenários!P102)</f>
        <v>27150</v>
      </c>
      <c r="Q9" s="80" t="n">
        <f aca="false">CHOOSE(Premissas!$B$6,Cenários!Q10,Cenários!Q56,Cenários!Q102)</f>
        <v>27150</v>
      </c>
      <c r="R9" s="80" t="n">
        <f aca="false">CHOOSE(Premissas!$B$6,Cenários!R10,Cenários!R56,Cenários!R102)</f>
        <v>27150</v>
      </c>
      <c r="S9" s="80" t="n">
        <f aca="false">CHOOSE(Premissas!$B$6,Cenários!S10,Cenários!S56,Cenários!S102)</f>
        <v>27150</v>
      </c>
      <c r="T9" s="80" t="n">
        <f aca="false">CHOOSE(Premissas!$B$6,Cenários!T10,Cenários!T56,Cenários!T102)</f>
        <v>27150</v>
      </c>
      <c r="U9" s="80" t="n">
        <f aca="false">CHOOSE(Premissas!$B$6,Cenários!U10,Cenários!U56,Cenários!U102)</f>
        <v>27150</v>
      </c>
      <c r="V9" s="80" t="n">
        <f aca="false">CHOOSE(Premissas!$B$6,Cenários!V10,Cenários!V56,Cenários!V102)</f>
        <v>27150</v>
      </c>
      <c r="W9" s="80" t="n">
        <f aca="false">CHOOSE(Premissas!$B$6,Cenários!W10,Cenários!W56,Cenários!W102)</f>
        <v>27150</v>
      </c>
      <c r="X9" s="80" t="n">
        <f aca="false">CHOOSE(Premissas!$B$6,Cenários!X10,Cenários!X56,Cenários!X102)</f>
        <v>27150</v>
      </c>
      <c r="Y9" s="80" t="n">
        <f aca="false">CHOOSE(Premissas!$B$6,Cenários!Y10,Cenários!Y56,Cenários!Y102)</f>
        <v>27150</v>
      </c>
      <c r="Z9" s="80" t="n">
        <f aca="false">CHOOSE(Premissas!$B$6,Cenários!Z10,Cenários!Z56,Cenários!Z102)</f>
        <v>40725</v>
      </c>
      <c r="AA9" s="80" t="n">
        <f aca="false">CHOOSE(Premissas!$B$6,Cenários!AA10,Cenários!AA56,Cenários!AA102)</f>
        <v>40725</v>
      </c>
      <c r="AB9" s="80" t="n">
        <f aca="false">CHOOSE(Premissas!$B$6,Cenários!AB10,Cenários!AB56,Cenários!AB102)</f>
        <v>40725</v>
      </c>
      <c r="AC9" s="80" t="n">
        <f aca="false">CHOOSE(Premissas!$B$6,Cenários!AC10,Cenários!AC56,Cenários!AC102)</f>
        <v>40725</v>
      </c>
      <c r="AD9" s="80" t="n">
        <f aca="false">CHOOSE(Premissas!$B$6,Cenários!AD10,Cenários!AD56,Cenários!AD102)</f>
        <v>40725</v>
      </c>
      <c r="AE9" s="80" t="n">
        <f aca="false">CHOOSE(Premissas!$B$6,Cenários!AE10,Cenários!AE56,Cenários!AE102)</f>
        <v>40725</v>
      </c>
      <c r="AF9" s="80" t="n">
        <f aca="false">CHOOSE(Premissas!$B$6,Cenários!AF10,Cenários!AF56,Cenários!AF102)</f>
        <v>40725</v>
      </c>
      <c r="AG9" s="80" t="n">
        <f aca="false">CHOOSE(Premissas!$B$6,Cenários!AG10,Cenários!AG56,Cenários!AG102)</f>
        <v>40725</v>
      </c>
      <c r="AH9" s="80" t="n">
        <f aca="false">CHOOSE(Premissas!$B$6,Cenários!AH10,Cenários!AH56,Cenários!AH102)</f>
        <v>40725</v>
      </c>
      <c r="AI9" s="80" t="n">
        <f aca="false">CHOOSE(Premissas!$B$6,Cenários!AI10,Cenários!AI56,Cenários!AI102)</f>
        <v>40725</v>
      </c>
      <c r="AJ9" s="80" t="n">
        <f aca="false">CHOOSE(Premissas!$B$6,Cenários!AJ10,Cenários!AJ56,Cenários!AJ102)</f>
        <v>40725</v>
      </c>
      <c r="AK9" s="80" t="n">
        <f aca="false">CHOOSE(Premissas!$B$6,Cenários!AK10,Cenários!AK56,Cenários!AK102)</f>
        <v>40725</v>
      </c>
      <c r="AL9" s="80" t="n">
        <f aca="false">CHOOSE(Premissas!$B$6,Cenários!AL10,Cenários!AL56,Cenários!AL102)</f>
        <v>61087.5</v>
      </c>
      <c r="AM9" s="80" t="n">
        <f aca="false">CHOOSE(Premissas!$B$6,Cenários!AM10,Cenários!AM56,Cenários!AM102)</f>
        <v>61087.5</v>
      </c>
      <c r="AN9" s="80" t="n">
        <f aca="false">CHOOSE(Premissas!$B$6,Cenários!AN10,Cenários!AN56,Cenários!AN102)</f>
        <v>61087.5</v>
      </c>
      <c r="AO9" s="80" t="n">
        <f aca="false">CHOOSE(Premissas!$B$6,Cenários!AO10,Cenários!AO56,Cenários!AO102)</f>
        <v>61087.5</v>
      </c>
      <c r="AP9" s="80" t="n">
        <f aca="false">CHOOSE(Premissas!$B$6,Cenários!AP10,Cenários!AP56,Cenários!AP102)</f>
        <v>61087.5</v>
      </c>
      <c r="AQ9" s="80" t="n">
        <f aca="false">CHOOSE(Premissas!$B$6,Cenários!AQ10,Cenários!AQ56,Cenários!AQ102)</f>
        <v>61087.5</v>
      </c>
      <c r="AR9" s="80" t="n">
        <f aca="false">CHOOSE(Premissas!$B$6,Cenários!AR10,Cenários!AR56,Cenários!AR102)</f>
        <v>61087.5</v>
      </c>
      <c r="AS9" s="80" t="n">
        <f aca="false">CHOOSE(Premissas!$B$6,Cenários!AS10,Cenários!AS56,Cenários!AS102)</f>
        <v>61087.5</v>
      </c>
      <c r="AT9" s="80" t="n">
        <f aca="false">CHOOSE(Premissas!$B$6,Cenários!AT10,Cenários!AT56,Cenários!AT102)</f>
        <v>61087.5</v>
      </c>
      <c r="AU9" s="80" t="n">
        <f aca="false">CHOOSE(Premissas!$B$6,Cenários!AU10,Cenários!AU56,Cenários!AU102)</f>
        <v>61087.5</v>
      </c>
      <c r="AV9" s="80" t="n">
        <f aca="false">CHOOSE(Premissas!$B$6,Cenários!AV10,Cenários!AV56,Cenários!AV102)</f>
        <v>61087.5</v>
      </c>
      <c r="AW9" s="80" t="n">
        <f aca="false">CHOOSE(Premissas!$B$6,Cenários!AW10,Cenários!AW56,Cenários!AW102)</f>
        <v>61087.5</v>
      </c>
      <c r="AX9" s="80" t="n">
        <f aca="false">CHOOSE(Premissas!$B$6,Cenários!AX10,Cenários!AX56,Cenários!AX102)</f>
        <v>91631.25</v>
      </c>
      <c r="AY9" s="80" t="n">
        <f aca="false">CHOOSE(Premissas!$B$6,Cenários!AY10,Cenários!AY56,Cenários!AY102)</f>
        <v>91631.25</v>
      </c>
      <c r="AZ9" s="80" t="n">
        <f aca="false">CHOOSE(Premissas!$B$6,Cenários!AZ10,Cenários!AZ56,Cenários!AZ102)</f>
        <v>91631.25</v>
      </c>
      <c r="BA9" s="80" t="n">
        <f aca="false">CHOOSE(Premissas!$B$6,Cenários!BA10,Cenários!BA56,Cenários!BA102)</f>
        <v>91631.25</v>
      </c>
      <c r="BB9" s="80" t="n">
        <f aca="false">CHOOSE(Premissas!$B$6,Cenários!BB10,Cenários!BB56,Cenários!BB102)</f>
        <v>91631.25</v>
      </c>
      <c r="BC9" s="80" t="n">
        <f aca="false">CHOOSE(Premissas!$B$6,Cenários!BC10,Cenários!BC56,Cenários!BC102)</f>
        <v>91631.25</v>
      </c>
      <c r="BD9" s="80" t="n">
        <f aca="false">CHOOSE(Premissas!$B$6,Cenários!BD10,Cenários!BD56,Cenários!BD102)</f>
        <v>91631.25</v>
      </c>
      <c r="BE9" s="80" t="n">
        <f aca="false">CHOOSE(Premissas!$B$6,Cenários!BE10,Cenários!BE56,Cenários!BE102)</f>
        <v>91631.25</v>
      </c>
      <c r="BF9" s="80" t="n">
        <f aca="false">CHOOSE(Premissas!$B$6,Cenários!BF10,Cenários!BF56,Cenários!BF102)</f>
        <v>91631.25</v>
      </c>
      <c r="BG9" s="80" t="n">
        <f aca="false">CHOOSE(Premissas!$B$6,Cenários!BG10,Cenários!BG56,Cenários!BG102)</f>
        <v>91631.25</v>
      </c>
      <c r="BH9" s="80" t="n">
        <f aca="false">CHOOSE(Premissas!$B$6,Cenários!BH10,Cenários!BH56,Cenários!BH102)</f>
        <v>91631.25</v>
      </c>
      <c r="BI9" s="80" t="n">
        <f aca="false">CHOOSE(Premissas!$B$6,Cenários!BI10,Cenários!BI56,Cenários!BI102)</f>
        <v>91631.25</v>
      </c>
      <c r="BJ9" s="134" t="n">
        <f aca="false">SUM(B9:BI9)</f>
        <v>2701425</v>
      </c>
    </row>
    <row r="10" customFormat="false" ht="15" hidden="false" customHeight="false" outlineLevel="0" collapsed="false">
      <c r="A10" s="27" t="s">
        <v>835</v>
      </c>
      <c r="B10" s="80" t="n">
        <f aca="false">CHOOSE(Premissas!$B$6,Cenários!B11,Cenários!B57,Cenários!B103)</f>
        <v>0</v>
      </c>
      <c r="C10" s="80" t="n">
        <f aca="false">CHOOSE(Premissas!$B$6,Cenários!C11,Cenários!C57,Cenários!C103)</f>
        <v>0</v>
      </c>
      <c r="D10" s="80" t="n">
        <f aca="false">CHOOSE(Premissas!$B$6,Cenários!D11,Cenários!D57,Cenários!D103)</f>
        <v>0</v>
      </c>
      <c r="E10" s="80" t="n">
        <f aca="false">CHOOSE(Premissas!$B$6,Cenários!E11,Cenários!E57,Cenários!E103)</f>
        <v>0</v>
      </c>
      <c r="F10" s="80" t="n">
        <f aca="false">CHOOSE(Premissas!$B$6,Cenários!F11,Cenários!F57,Cenários!F103)</f>
        <v>0</v>
      </c>
      <c r="G10" s="80" t="n">
        <f aca="false">CHOOSE(Premissas!$B$6,Cenários!G11,Cenários!G57,Cenários!G103)</f>
        <v>0</v>
      </c>
      <c r="H10" s="80" t="n">
        <f aca="false">CHOOSE(Premissas!$B$6,Cenários!H11,Cenários!H57,Cenários!H103)</f>
        <v>0</v>
      </c>
      <c r="I10" s="80" t="n">
        <f aca="false">CHOOSE(Premissas!$B$6,Cenários!I11,Cenários!I57,Cenários!I103)</f>
        <v>0</v>
      </c>
      <c r="J10" s="80" t="n">
        <f aca="false">CHOOSE(Premissas!$B$6,Cenários!J11,Cenários!J57,Cenários!J103)</f>
        <v>0</v>
      </c>
      <c r="K10" s="80" t="n">
        <f aca="false">CHOOSE(Premissas!$B$6,Cenários!K11,Cenários!K57,Cenários!K103)</f>
        <v>0</v>
      </c>
      <c r="L10" s="80" t="n">
        <f aca="false">CHOOSE(Premissas!$B$6,Cenários!L11,Cenários!L57,Cenários!L103)</f>
        <v>18100</v>
      </c>
      <c r="M10" s="80" t="n">
        <f aca="false">CHOOSE(Premissas!$B$6,Cenários!M11,Cenários!M57,Cenários!M103)</f>
        <v>34752</v>
      </c>
      <c r="N10" s="80" t="n">
        <f aca="false">CHOOSE(Premissas!$B$6,Cenários!N11,Cenários!N57,Cenários!N103)</f>
        <v>50071.84</v>
      </c>
      <c r="O10" s="80" t="n">
        <f aca="false">CHOOSE(Premissas!$B$6,Cenários!O11,Cenários!O57,Cenários!O103)</f>
        <v>73456.437632</v>
      </c>
      <c r="P10" s="80" t="n">
        <f aca="false">CHOOSE(Premissas!$B$6,Cenários!P11,Cenários!P57,Cenários!P103)</f>
        <v>95082.5135220736</v>
      </c>
      <c r="Q10" s="80" t="n">
        <f aca="false">CHOOSE(Premissas!$B$6,Cenários!Q11,Cenários!Q57,Cenários!Q103)</f>
        <v>115082.308505214</v>
      </c>
      <c r="R10" s="80" t="n">
        <f aca="false">CHOOSE(Premissas!$B$6,Cenários!R11,Cenários!R57,Cenários!R103)</f>
        <v>133578.118905622</v>
      </c>
      <c r="S10" s="80" t="n">
        <f aca="false">CHOOSE(Premissas!$B$6,Cenários!S11,Cenários!S57,Cenários!S103)</f>
        <v>150683.044363919</v>
      </c>
      <c r="T10" s="80" t="n">
        <f aca="false">CHOOSE(Premissas!$B$6,Cenários!T11,Cenários!T57,Cenários!T103)</f>
        <v>166501.679427752</v>
      </c>
      <c r="U10" s="80" t="n">
        <f aca="false">CHOOSE(Premissas!$B$6,Cenários!U11,Cenários!U57,Cenários!U103)</f>
        <v>181130.753134785</v>
      </c>
      <c r="V10" s="80" t="n">
        <f aca="false">CHOOSE(Premissas!$B$6,Cenários!V11,Cenários!V57,Cenários!V103)</f>
        <v>194659.720499049</v>
      </c>
      <c r="W10" s="80" t="n">
        <f aca="false">CHOOSE(Premissas!$B$6,Cenários!W11,Cenários!W57,Cenários!W103)</f>
        <v>207171.309517521</v>
      </c>
      <c r="X10" s="80" t="n">
        <f aca="false">CHOOSE(Premissas!$B$6,Cenários!X11,Cenários!X57,Cenários!X103)</f>
        <v>218742.027041803</v>
      </c>
      <c r="Y10" s="80" t="n">
        <f aca="false">CHOOSE(Premissas!$B$6,Cenários!Y11,Cenários!Y57,Cenários!Y103)</f>
        <v>229442.62660826</v>
      </c>
      <c r="Z10" s="80" t="n">
        <f aca="false">CHOOSE(Premissas!$B$6,Cenários!Z11,Cenários!Z57,Cenários!Z103)</f>
        <v>239338.541087319</v>
      </c>
      <c r="AA10" s="80" t="n">
        <f aca="false">CHOOSE(Premissas!$B$6,Cenários!AA11,Cenários!AA57,Cenários!AA103)</f>
        <v>263145.178294938</v>
      </c>
      <c r="AB10" s="80" t="n">
        <f aca="false">CHOOSE(Premissas!$B$6,Cenários!AB11,Cenários!AB57,Cenários!AB103)</f>
        <v>285268.971931626</v>
      </c>
      <c r="AC10" s="80" t="n">
        <f aca="false">CHOOSE(Premissas!$B$6,Cenários!AC11,Cenários!AC57,Cenários!AC103)</f>
        <v>305828.878843723</v>
      </c>
      <c r="AD10" s="80" t="n">
        <f aca="false">CHOOSE(Premissas!$B$6,Cenários!AD11,Cenários!AD57,Cenários!AD103)</f>
        <v>324935.447056018</v>
      </c>
      <c r="AE10" s="80" t="n">
        <f aca="false">CHOOSE(Premissas!$B$6,Cenários!AE11,Cenários!AE57,Cenários!AE103)</f>
        <v>342691.410174522</v>
      </c>
      <c r="AF10" s="80" t="n">
        <f aca="false">CHOOSE(Premissas!$B$6,Cenários!AF11,Cenários!AF57,Cenários!AF103)</f>
        <v>359192.239772105</v>
      </c>
      <c r="AG10" s="80" t="n">
        <f aca="false">CHOOSE(Premissas!$B$6,Cenários!AG11,Cenários!AG57,Cenários!AG103)</f>
        <v>374526.658727095</v>
      </c>
      <c r="AH10" s="80" t="n">
        <f aca="false">CHOOSE(Premissas!$B$6,Cenários!AH11,Cenários!AH57,Cenários!AH103)</f>
        <v>388777.118274994</v>
      </c>
      <c r="AI10" s="80" t="n">
        <f aca="false">CHOOSE(Premissas!$B$6,Cenários!AI11,Cenários!AI57,Cenários!AI103)</f>
        <v>402020.241338371</v>
      </c>
      <c r="AJ10" s="80" t="n">
        <f aca="false">CHOOSE(Premissas!$B$6,Cenários!AJ11,Cenários!AJ57,Cenários!AJ103)</f>
        <v>414327.234518644</v>
      </c>
      <c r="AK10" s="80" t="n">
        <f aca="false">CHOOSE(Premissas!$B$6,Cenários!AK11,Cenários!AK57,Cenários!AK103)</f>
        <v>425764.27096499</v>
      </c>
      <c r="AL10" s="80" t="n">
        <f aca="false">CHOOSE(Premissas!$B$6,Cenários!AL11,Cenários!AL57,Cenários!AL103)</f>
        <v>436392.846179017</v>
      </c>
      <c r="AM10" s="80" t="n">
        <f aca="false">CHOOSE(Premissas!$B$6,Cenários!AM11,Cenários!AM57,Cenários!AM103)</f>
        <v>468483.472918957</v>
      </c>
      <c r="AN10" s="80" t="n">
        <f aca="false">CHOOSE(Premissas!$B$6,Cenários!AN11,Cenários!AN57,Cenários!AN103)</f>
        <v>498441.782769284</v>
      </c>
      <c r="AO10" s="80" t="n">
        <f aca="false">CHOOSE(Premissas!$B$6,Cenários!AO11,Cenários!AO57,Cenários!AO103)</f>
        <v>526409.461193312</v>
      </c>
      <c r="AP10" s="80" t="n">
        <f aca="false">CHOOSE(Premissas!$B$6,Cenários!AP11,Cenários!AP57,Cenários!AP103)</f>
        <v>552518.779120049</v>
      </c>
      <c r="AQ10" s="80" t="n">
        <f aca="false">CHOOSE(Premissas!$B$6,Cenários!AQ11,Cenários!AQ57,Cenários!AQ103)</f>
        <v>576893.218509117</v>
      </c>
      <c r="AR10" s="80" t="n">
        <f aca="false">CHOOSE(Premissas!$B$6,Cenários!AR11,Cenários!AR57,Cenários!AR103)</f>
        <v>599648.056348943</v>
      </c>
      <c r="AS10" s="80" t="n">
        <f aca="false">CHOOSE(Premissas!$B$6,Cenários!AS11,Cenários!AS57,Cenários!AS103)</f>
        <v>620890.909850181</v>
      </c>
      <c r="AT10" s="80" t="n">
        <f aca="false">CHOOSE(Premissas!$B$6,Cenários!AT11,Cenários!AT57,Cenários!AT103)</f>
        <v>640722.245412821</v>
      </c>
      <c r="AU10" s="80" t="n">
        <f aca="false">CHOOSE(Premissas!$B$6,Cenários!AU11,Cenários!AU57,Cenários!AU103)</f>
        <v>659235.853774104</v>
      </c>
      <c r="AV10" s="80" t="n">
        <f aca="false">CHOOSE(Premissas!$B$6,Cenários!AV11,Cenários!AV57,Cenários!AV103)</f>
        <v>676519.293584415</v>
      </c>
      <c r="AW10" s="80" t="n">
        <f aca="false">CHOOSE(Premissas!$B$6,Cenários!AW11,Cenários!AW57,Cenários!AW103)</f>
        <v>692654.305509013</v>
      </c>
      <c r="AX10" s="80" t="n">
        <f aca="false">CHOOSE(Premissas!$B$6,Cenários!AX11,Cenários!AX57,Cenários!AX103)</f>
        <v>707717.198814062</v>
      </c>
      <c r="AY10" s="80" t="n">
        <f aca="false">CHOOSE(Premissas!$B$6,Cenários!AY11,Cenários!AY57,Cenários!AY103)</f>
        <v>755144.491458206</v>
      </c>
      <c r="AZ10" s="80" t="n">
        <f aca="false">CHOOSE(Premissas!$B$6,Cenários!AZ11,Cenários!AZ57,Cenários!AZ103)</f>
        <v>799609.479349748</v>
      </c>
      <c r="BA10" s="80" t="n">
        <f aca="false">CHOOSE(Premissas!$B$6,Cenários!BA11,Cenários!BA57,Cenários!BA103)</f>
        <v>841297.187797072</v>
      </c>
      <c r="BB10" s="80" t="n">
        <f aca="false">CHOOSE(Premissas!$B$6,Cenários!BB11,Cenários!BB57,Cenários!BB103)</f>
        <v>880381.085443193</v>
      </c>
      <c r="BC10" s="80" t="n">
        <f aca="false">CHOOSE(Premissas!$B$6,Cenários!BC11,Cenários!BC57,Cenários!BC103)</f>
        <v>917023.806094117</v>
      </c>
      <c r="BD10" s="80" t="n">
        <f aca="false">CHOOSE(Premissas!$B$6,Cenários!BD11,Cenários!BD57,Cenários!BD103)</f>
        <v>951377.825461859</v>
      </c>
      <c r="BE10" s="80" t="n">
        <f aca="false">CHOOSE(Premissas!$B$6,Cenários!BE11,Cenários!BE57,Cenários!BE103)</f>
        <v>983586.095638147</v>
      </c>
      <c r="BF10" s="80" t="n">
        <f aca="false">CHOOSE(Premissas!$B$6,Cenários!BF11,Cenários!BF57,Cenários!BF103)</f>
        <v>1013782.63993895</v>
      </c>
      <c r="BG10" s="80" t="n">
        <f aca="false">CHOOSE(Premissas!$B$6,Cenários!BG11,Cenários!BG57,Cenários!BG103)</f>
        <v>1042093.11059508</v>
      </c>
      <c r="BH10" s="80" t="n">
        <f aca="false">CHOOSE(Premissas!$B$6,Cenários!BH11,Cenários!BH57,Cenários!BH103)</f>
        <v>1068635.31160946</v>
      </c>
      <c r="BI10" s="80" t="n">
        <f aca="false">CHOOSE(Premissas!$B$6,Cenários!BI11,Cenários!BI57,Cenários!BI103)</f>
        <v>1093519.68895679</v>
      </c>
      <c r="BJ10" s="134" t="n">
        <f aca="false">BI10</f>
        <v>1093519.68895679</v>
      </c>
      <c r="BK10" s="29" t="s">
        <v>836</v>
      </c>
    </row>
    <row r="11" customFormat="false" ht="15" hidden="false" customHeight="false" outlineLevel="0" collapsed="false">
      <c r="A11" s="27" t="s">
        <v>837</v>
      </c>
      <c r="B11" s="80" t="n">
        <f aca="false">CHOOSE(Premissas!$B$6,Cenários!B12,Cenários!B58,Cenários!B104)</f>
        <v>-0</v>
      </c>
      <c r="C11" s="80" t="n">
        <f aca="false">CHOOSE(Premissas!$B$6,Cenários!C12,Cenários!C58,Cenários!C104)</f>
        <v>-0</v>
      </c>
      <c r="D11" s="80" t="n">
        <f aca="false">CHOOSE(Premissas!$B$6,Cenários!D12,Cenários!D58,Cenários!D104)</f>
        <v>-0</v>
      </c>
      <c r="E11" s="80" t="n">
        <f aca="false">CHOOSE(Premissas!$B$6,Cenários!E12,Cenários!E58,Cenários!E104)</f>
        <v>-0</v>
      </c>
      <c r="F11" s="80" t="n">
        <f aca="false">CHOOSE(Premissas!$B$6,Cenários!F12,Cenários!F58,Cenários!F104)</f>
        <v>-0</v>
      </c>
      <c r="G11" s="80" t="n">
        <f aca="false">CHOOSE(Premissas!$B$6,Cenários!G12,Cenários!G58,Cenários!G104)</f>
        <v>-0</v>
      </c>
      <c r="H11" s="80" t="n">
        <f aca="false">CHOOSE(Premissas!$B$6,Cenários!H12,Cenários!H58,Cenários!H104)</f>
        <v>-0</v>
      </c>
      <c r="I11" s="80" t="n">
        <f aca="false">CHOOSE(Premissas!$B$6,Cenários!I12,Cenários!I58,Cenários!I104)</f>
        <v>-0</v>
      </c>
      <c r="J11" s="80" t="n">
        <f aca="false">CHOOSE(Premissas!$B$6,Cenários!J12,Cenários!J58,Cenários!J104)</f>
        <v>-0</v>
      </c>
      <c r="K11" s="80" t="n">
        <f aca="false">CHOOSE(Premissas!$B$6,Cenários!K12,Cenários!K58,Cenários!K104)</f>
        <v>-0</v>
      </c>
      <c r="L11" s="80" t="n">
        <f aca="false">CHOOSE(Premissas!$B$6,Cenários!L12,Cenários!L58,Cenários!L104)</f>
        <v>-1448</v>
      </c>
      <c r="M11" s="80" t="n">
        <f aca="false">CHOOSE(Premissas!$B$6,Cenários!M12,Cenários!M58,Cenários!M104)</f>
        <v>-2780.16</v>
      </c>
      <c r="N11" s="80" t="n">
        <f aca="false">CHOOSE(Premissas!$B$6,Cenários!N12,Cenários!N58,Cenários!N104)</f>
        <v>-3765.402368</v>
      </c>
      <c r="O11" s="80" t="n">
        <f aca="false">CHOOSE(Premissas!$B$6,Cenários!O12,Cenários!O58,Cenários!O104)</f>
        <v>-5523.9241099264</v>
      </c>
      <c r="P11" s="80" t="n">
        <f aca="false">CHOOSE(Premissas!$B$6,Cenários!P12,Cenários!P58,Cenários!P104)</f>
        <v>-7150.20501685993</v>
      </c>
      <c r="Q11" s="80" t="n">
        <f aca="false">CHOOSE(Premissas!$B$6,Cenários!Q12,Cenários!Q58,Cenários!Q104)</f>
        <v>-8654.18959959207</v>
      </c>
      <c r="R11" s="80" t="n">
        <f aca="false">CHOOSE(Premissas!$B$6,Cenários!R12,Cenários!R58,Cenários!R104)</f>
        <v>-10045.0745417027</v>
      </c>
      <c r="S11" s="80" t="n">
        <f aca="false">CHOOSE(Premissas!$B$6,Cenários!S12,Cenários!S58,Cenários!S104)</f>
        <v>-11331.3649361667</v>
      </c>
      <c r="T11" s="80" t="n">
        <f aca="false">CHOOSE(Premissas!$B$6,Cenários!T12,Cenários!T58,Cenários!T104)</f>
        <v>-12520.926292967</v>
      </c>
      <c r="U11" s="80" t="n">
        <f aca="false">CHOOSE(Premissas!$B$6,Cenários!U12,Cenários!U58,Cenários!U104)</f>
        <v>-13621.0326357358</v>
      </c>
      <c r="V11" s="80" t="n">
        <f aca="false">CHOOSE(Premissas!$B$6,Cenários!V12,Cenários!V58,Cenários!V104)</f>
        <v>-14638.4109815285</v>
      </c>
      <c r="W11" s="80" t="n">
        <f aca="false">CHOOSE(Premissas!$B$6,Cenários!W12,Cenários!W58,Cenários!W104)</f>
        <v>-15579.2824757176</v>
      </c>
      <c r="X11" s="80" t="n">
        <f aca="false">CHOOSE(Premissas!$B$6,Cenários!X12,Cenários!X58,Cenários!X104)</f>
        <v>-16449.4004335436</v>
      </c>
      <c r="Y11" s="80" t="n">
        <f aca="false">CHOOSE(Premissas!$B$6,Cenários!Y12,Cenários!Y58,Cenários!Y104)</f>
        <v>-17254.0855209411</v>
      </c>
      <c r="Z11" s="80" t="n">
        <f aca="false">CHOOSE(Premissas!$B$6,Cenários!Z12,Cenários!Z58,Cenários!Z104)</f>
        <v>-16918.3627923804</v>
      </c>
      <c r="AA11" s="80" t="n">
        <f aca="false">CHOOSE(Premissas!$B$6,Cenários!AA12,Cenários!AA58,Cenários!AA104)</f>
        <v>-18601.2063633126</v>
      </c>
      <c r="AB11" s="80" t="n">
        <f aca="false">CHOOSE(Premissas!$B$6,Cenários!AB12,Cenários!AB58,Cenários!AB104)</f>
        <v>-20165.0930879028</v>
      </c>
      <c r="AC11" s="80" t="n">
        <f aca="false">CHOOSE(Premissas!$B$6,Cenários!AC12,Cenários!AC58,Cenários!AC104)</f>
        <v>-21618.4317877051</v>
      </c>
      <c r="AD11" s="80" t="n">
        <f aca="false">CHOOSE(Premissas!$B$6,Cenários!AD12,Cenários!AD58,Cenários!AD104)</f>
        <v>-22969.0368814958</v>
      </c>
      <c r="AE11" s="80" t="n">
        <f aca="false">CHOOSE(Premissas!$B$6,Cenários!AE12,Cenários!AE58,Cenários!AE104)</f>
        <v>-24224.1704024166</v>
      </c>
      <c r="AF11" s="80" t="n">
        <f aca="false">CHOOSE(Premissas!$B$6,Cenários!AF12,Cenários!AF58,Cenários!AF104)</f>
        <v>-25390.5810450106</v>
      </c>
      <c r="AG11" s="80" t="n">
        <f aca="false">CHOOSE(Premissas!$B$6,Cenários!AG12,Cenários!AG58,Cenários!AG104)</f>
        <v>-26474.5404521009</v>
      </c>
      <c r="AH11" s="80" t="n">
        <f aca="false">CHOOSE(Premissas!$B$6,Cenários!AH12,Cenários!AH58,Cenários!AH104)</f>
        <v>-27481.8769366228</v>
      </c>
      <c r="AI11" s="80" t="n">
        <f aca="false">CHOOSE(Premissas!$B$6,Cenários!AI12,Cenários!AI58,Cenários!AI104)</f>
        <v>-28418.0068197268</v>
      </c>
      <c r="AJ11" s="80" t="n">
        <f aca="false">CHOOSE(Premissas!$B$6,Cenários!AJ12,Cenários!AJ58,Cenários!AJ104)</f>
        <v>-29287.9635536539</v>
      </c>
      <c r="AK11" s="80" t="n">
        <f aca="false">CHOOSE(Premissas!$B$6,Cenários!AK12,Cenários!AK58,Cenários!AK104)</f>
        <v>-30096.4247859732</v>
      </c>
      <c r="AL11" s="80" t="n">
        <f aca="false">CHOOSE(Premissas!$B$6,Cenários!AL12,Cenários!AL58,Cenários!AL104)</f>
        <v>-28996.8732600602</v>
      </c>
      <c r="AM11" s="80" t="n">
        <f aca="false">CHOOSE(Premissas!$B$6,Cenários!AM12,Cenários!AM58,Cenários!AM104)</f>
        <v>-31129.1901496735</v>
      </c>
      <c r="AN11" s="80" t="n">
        <f aca="false">CHOOSE(Premissas!$B$6,Cenários!AN12,Cenários!AN58,Cenários!AN104)</f>
        <v>-33119.8215759714</v>
      </c>
      <c r="AO11" s="80" t="n">
        <f aca="false">CHOOSE(Premissas!$B$6,Cenários!AO12,Cenários!AO58,Cenários!AO104)</f>
        <v>-34978.1820732629</v>
      </c>
      <c r="AP11" s="80" t="n">
        <f aca="false">CHOOSE(Premissas!$B$6,Cenários!AP12,Cenários!AP58,Cenários!AP104)</f>
        <v>-36713.0606109318</v>
      </c>
      <c r="AQ11" s="80" t="n">
        <f aca="false">CHOOSE(Premissas!$B$6,Cenários!AQ12,Cenários!AQ58,Cenários!AQ104)</f>
        <v>-38332.6621601741</v>
      </c>
      <c r="AR11" s="80" t="n">
        <f aca="false">CHOOSE(Premissas!$B$6,Cenários!AR12,Cenários!AR58,Cenários!AR104)</f>
        <v>-39844.6464987625</v>
      </c>
      <c r="AS11" s="80" t="n">
        <f aca="false">CHOOSE(Premissas!$B$6,Cenários!AS12,Cenários!AS58,Cenários!AS104)</f>
        <v>-41256.1644373602</v>
      </c>
      <c r="AT11" s="80" t="n">
        <f aca="false">CHOOSE(Premissas!$B$6,Cenários!AT12,Cenários!AT58,Cenários!AT104)</f>
        <v>-42573.891638717</v>
      </c>
      <c r="AU11" s="80" t="n">
        <f aca="false">CHOOSE(Premissas!$B$6,Cenários!AU12,Cenários!AU58,Cenários!AU104)</f>
        <v>-43804.0601896888</v>
      </c>
      <c r="AV11" s="80" t="n">
        <f aca="false">CHOOSE(Premissas!$B$6,Cenários!AV12,Cenários!AV58,Cenários!AV104)</f>
        <v>-44952.4880754014</v>
      </c>
      <c r="AW11" s="80" t="n">
        <f aca="false">CHOOSE(Premissas!$B$6,Cenários!AW12,Cenários!AW58,Cenários!AW104)</f>
        <v>-46024.6066949519</v>
      </c>
      <c r="AX11" s="80" t="n">
        <f aca="false">CHOOSE(Premissas!$B$6,Cenários!AX12,Cenários!AX58,Cenários!AX104)</f>
        <v>-44203.9573558553</v>
      </c>
      <c r="AY11" s="80" t="n">
        <f aca="false">CHOOSE(Premissas!$B$6,Cenários!AY12,Cenários!AY58,Cenários!AY104)</f>
        <v>-47166.2621084579</v>
      </c>
      <c r="AZ11" s="80" t="n">
        <f aca="false">CHOOSE(Premissas!$B$6,Cenários!AZ12,Cenários!AZ58,Cenários!AZ104)</f>
        <v>-49943.5415526766</v>
      </c>
      <c r="BA11" s="80" t="n">
        <f aca="false">CHOOSE(Premissas!$B$6,Cenários!BA12,Cenários!BA58,Cenários!BA104)</f>
        <v>-52547.3523538791</v>
      </c>
      <c r="BB11" s="80" t="n">
        <f aca="false">CHOOSE(Premissas!$B$6,Cenários!BB12,Cenários!BB58,Cenários!BB104)</f>
        <v>-54988.5293490755</v>
      </c>
      <c r="BC11" s="80" t="n">
        <f aca="false">CHOOSE(Premissas!$B$6,Cenários!BC12,Cenários!BC58,Cenários!BC104)</f>
        <v>-57277.2306322579</v>
      </c>
      <c r="BD11" s="80" t="n">
        <f aca="false">CHOOSE(Premissas!$B$6,Cenários!BD12,Cenários!BD58,Cenários!BD104)</f>
        <v>-59422.9798237126</v>
      </c>
      <c r="BE11" s="80" t="n">
        <f aca="false">CHOOSE(Premissas!$B$6,Cenários!BE12,Cenários!BE58,Cenários!BE104)</f>
        <v>-61434.7056991955</v>
      </c>
      <c r="BF11" s="80" t="n">
        <f aca="false">CHOOSE(Premissas!$B$6,Cenários!BF12,Cenários!BF58,Cenários!BF104)</f>
        <v>-63320.7793438712</v>
      </c>
      <c r="BG11" s="80" t="n">
        <f aca="false">CHOOSE(Premissas!$B$6,Cenários!BG12,Cenários!BG58,Cenários!BG104)</f>
        <v>-65089.0489856219</v>
      </c>
      <c r="BH11" s="80" t="n">
        <f aca="false">CHOOSE(Premissas!$B$6,Cenários!BH12,Cenários!BH58,Cenários!BH104)</f>
        <v>-66746.8726526688</v>
      </c>
      <c r="BI11" s="80" t="n">
        <f aca="false">CHOOSE(Premissas!$B$6,Cenários!BI12,Cenários!BI58,Cenários!BI104)</f>
        <v>-68301.1487914029</v>
      </c>
      <c r="BJ11" s="134" t="n">
        <f aca="false">SUM(B11:BI11)</f>
        <v>-1584575.20983461</v>
      </c>
    </row>
    <row r="12" customFormat="false" ht="15" hidden="false" customHeight="false" outlineLevel="0" collapsed="false">
      <c r="A12" s="62" t="s">
        <v>838</v>
      </c>
      <c r="B12" s="83" t="n">
        <f aca="false">CHOOSE(Premissas!$B$6,Cenários!B13,Cenários!B59,Cenários!B105)</f>
        <v>0</v>
      </c>
      <c r="C12" s="83" t="n">
        <f aca="false">CHOOSE(Premissas!$B$6,Cenários!C13,Cenários!C59,Cenários!C105)</f>
        <v>0</v>
      </c>
      <c r="D12" s="83" t="n">
        <f aca="false">CHOOSE(Premissas!$B$6,Cenários!D13,Cenários!D59,Cenários!D105)</f>
        <v>0</v>
      </c>
      <c r="E12" s="83" t="n">
        <f aca="false">CHOOSE(Premissas!$B$6,Cenários!E13,Cenários!E59,Cenários!E105)</f>
        <v>0</v>
      </c>
      <c r="F12" s="83" t="n">
        <f aca="false">CHOOSE(Premissas!$B$6,Cenários!F13,Cenários!F59,Cenários!F105)</f>
        <v>0</v>
      </c>
      <c r="G12" s="83" t="n">
        <f aca="false">CHOOSE(Premissas!$B$6,Cenários!G13,Cenários!G59,Cenários!G105)</f>
        <v>0</v>
      </c>
      <c r="H12" s="83" t="n">
        <f aca="false">CHOOSE(Premissas!$B$6,Cenários!H13,Cenários!H59,Cenários!H105)</f>
        <v>0</v>
      </c>
      <c r="I12" s="83" t="n">
        <f aca="false">CHOOSE(Premissas!$B$6,Cenários!I13,Cenários!I59,Cenários!I105)</f>
        <v>0</v>
      </c>
      <c r="J12" s="83" t="n">
        <f aca="false">CHOOSE(Premissas!$B$6,Cenários!J13,Cenários!J59,Cenários!J105)</f>
        <v>0</v>
      </c>
      <c r="K12" s="83" t="n">
        <f aca="false">CHOOSE(Premissas!$B$6,Cenários!K13,Cenários!K59,Cenários!K105)</f>
        <v>18100</v>
      </c>
      <c r="L12" s="83" t="n">
        <f aca="false">CHOOSE(Premissas!$B$6,Cenários!L13,Cenários!L59,Cenários!L105)</f>
        <v>34752</v>
      </c>
      <c r="M12" s="83" t="n">
        <f aca="false">CHOOSE(Premissas!$B$6,Cenários!M13,Cenários!M59,Cenários!M105)</f>
        <v>50071.84</v>
      </c>
      <c r="N12" s="83" t="n">
        <f aca="false">CHOOSE(Premissas!$B$6,Cenários!N13,Cenários!N59,Cenários!N105)</f>
        <v>73456.437632</v>
      </c>
      <c r="O12" s="83" t="n">
        <f aca="false">CHOOSE(Premissas!$B$6,Cenários!O13,Cenários!O59,Cenários!O105)</f>
        <v>95082.5135220736</v>
      </c>
      <c r="P12" s="83" t="n">
        <f aca="false">CHOOSE(Premissas!$B$6,Cenários!P13,Cenários!P59,Cenários!P105)</f>
        <v>115082.308505214</v>
      </c>
      <c r="Q12" s="83" t="n">
        <f aca="false">CHOOSE(Premissas!$B$6,Cenários!Q13,Cenários!Q59,Cenários!Q105)</f>
        <v>133578.118905622</v>
      </c>
      <c r="R12" s="83" t="n">
        <f aca="false">CHOOSE(Premissas!$B$6,Cenários!R13,Cenários!R59,Cenários!R105)</f>
        <v>150683.044363919</v>
      </c>
      <c r="S12" s="83" t="n">
        <f aca="false">CHOOSE(Premissas!$B$6,Cenários!S13,Cenários!S59,Cenários!S105)</f>
        <v>166501.679427752</v>
      </c>
      <c r="T12" s="83" t="n">
        <f aca="false">CHOOSE(Premissas!$B$6,Cenários!T13,Cenários!T59,Cenários!T105)</f>
        <v>181130.753134785</v>
      </c>
      <c r="U12" s="83" t="n">
        <f aca="false">CHOOSE(Premissas!$B$6,Cenários!U13,Cenários!U59,Cenários!U105)</f>
        <v>194659.720499049</v>
      </c>
      <c r="V12" s="83" t="n">
        <f aca="false">CHOOSE(Premissas!$B$6,Cenários!V13,Cenários!V59,Cenários!V105)</f>
        <v>207171.309517521</v>
      </c>
      <c r="W12" s="83" t="n">
        <f aca="false">CHOOSE(Premissas!$B$6,Cenários!W13,Cenários!W59,Cenários!W105)</f>
        <v>218742.027041803</v>
      </c>
      <c r="X12" s="83" t="n">
        <f aca="false">CHOOSE(Premissas!$B$6,Cenários!X13,Cenários!X59,Cenários!X105)</f>
        <v>229442.62660826</v>
      </c>
      <c r="Y12" s="83" t="n">
        <f aca="false">CHOOSE(Premissas!$B$6,Cenários!Y13,Cenários!Y59,Cenários!Y105)</f>
        <v>239338.541087319</v>
      </c>
      <c r="Z12" s="83" t="n">
        <f aca="false">CHOOSE(Premissas!$B$6,Cenários!Z13,Cenários!Z59,Cenários!Z105)</f>
        <v>263145.178294938</v>
      </c>
      <c r="AA12" s="83" t="n">
        <f aca="false">CHOOSE(Premissas!$B$6,Cenários!AA13,Cenários!AA59,Cenários!AA105)</f>
        <v>285268.971931626</v>
      </c>
      <c r="AB12" s="83" t="n">
        <f aca="false">CHOOSE(Premissas!$B$6,Cenários!AB13,Cenários!AB59,Cenários!AB105)</f>
        <v>305828.878843723</v>
      </c>
      <c r="AC12" s="83" t="n">
        <f aca="false">CHOOSE(Premissas!$B$6,Cenários!AC13,Cenários!AC59,Cenários!AC105)</f>
        <v>324935.447056018</v>
      </c>
      <c r="AD12" s="83" t="n">
        <f aca="false">CHOOSE(Premissas!$B$6,Cenários!AD13,Cenários!AD59,Cenários!AD105)</f>
        <v>342691.410174522</v>
      </c>
      <c r="AE12" s="83" t="n">
        <f aca="false">CHOOSE(Premissas!$B$6,Cenários!AE13,Cenários!AE59,Cenários!AE105)</f>
        <v>359192.239772105</v>
      </c>
      <c r="AF12" s="83" t="n">
        <f aca="false">CHOOSE(Premissas!$B$6,Cenários!AF13,Cenários!AF59,Cenários!AF105)</f>
        <v>374526.658727095</v>
      </c>
      <c r="AG12" s="83" t="n">
        <f aca="false">CHOOSE(Premissas!$B$6,Cenários!AG13,Cenários!AG59,Cenários!AG105)</f>
        <v>388777.118274994</v>
      </c>
      <c r="AH12" s="83" t="n">
        <f aca="false">CHOOSE(Premissas!$B$6,Cenários!AH13,Cenários!AH59,Cenários!AH105)</f>
        <v>402020.241338371</v>
      </c>
      <c r="AI12" s="83" t="n">
        <f aca="false">CHOOSE(Premissas!$B$6,Cenários!AI13,Cenários!AI59,Cenários!AI105)</f>
        <v>414327.234518644</v>
      </c>
      <c r="AJ12" s="83" t="n">
        <f aca="false">CHOOSE(Premissas!$B$6,Cenários!AJ13,Cenários!AJ59,Cenários!AJ105)</f>
        <v>425764.27096499</v>
      </c>
      <c r="AK12" s="83" t="n">
        <f aca="false">CHOOSE(Premissas!$B$6,Cenários!AK13,Cenários!AK59,Cenários!AK105)</f>
        <v>436392.846179017</v>
      </c>
      <c r="AL12" s="83" t="n">
        <f aca="false">CHOOSE(Premissas!$B$6,Cenários!AL13,Cenários!AL59,Cenários!AL105)</f>
        <v>468483.472918957</v>
      </c>
      <c r="AM12" s="83" t="n">
        <f aca="false">CHOOSE(Premissas!$B$6,Cenários!AM13,Cenários!AM59,Cenários!AM105)</f>
        <v>498441.782769284</v>
      </c>
      <c r="AN12" s="83" t="n">
        <f aca="false">CHOOSE(Premissas!$B$6,Cenários!AN13,Cenários!AN59,Cenários!AN105)</f>
        <v>526409.461193312</v>
      </c>
      <c r="AO12" s="83" t="n">
        <f aca="false">CHOOSE(Premissas!$B$6,Cenários!AO13,Cenários!AO59,Cenários!AO105)</f>
        <v>552518.779120049</v>
      </c>
      <c r="AP12" s="83" t="n">
        <f aca="false">CHOOSE(Premissas!$B$6,Cenários!AP13,Cenários!AP59,Cenários!AP105)</f>
        <v>576893.218509117</v>
      </c>
      <c r="AQ12" s="83" t="n">
        <f aca="false">CHOOSE(Premissas!$B$6,Cenários!AQ13,Cenários!AQ59,Cenários!AQ105)</f>
        <v>599648.056348943</v>
      </c>
      <c r="AR12" s="83" t="n">
        <f aca="false">CHOOSE(Premissas!$B$6,Cenários!AR13,Cenários!AR59,Cenários!AR105)</f>
        <v>620890.909850181</v>
      </c>
      <c r="AS12" s="83" t="n">
        <f aca="false">CHOOSE(Premissas!$B$6,Cenários!AS13,Cenários!AS59,Cenários!AS105)</f>
        <v>640722.245412821</v>
      </c>
      <c r="AT12" s="83" t="n">
        <f aca="false">CHOOSE(Premissas!$B$6,Cenários!AT13,Cenários!AT59,Cenários!AT105)</f>
        <v>659235.853774104</v>
      </c>
      <c r="AU12" s="83" t="n">
        <f aca="false">CHOOSE(Premissas!$B$6,Cenários!AU13,Cenários!AU59,Cenários!AU105)</f>
        <v>676519.293584415</v>
      </c>
      <c r="AV12" s="83" t="n">
        <f aca="false">CHOOSE(Premissas!$B$6,Cenários!AV13,Cenários!AV59,Cenários!AV105)</f>
        <v>692654.305509013</v>
      </c>
      <c r="AW12" s="83" t="n">
        <f aca="false">CHOOSE(Premissas!$B$6,Cenários!AW13,Cenários!AW59,Cenários!AW105)</f>
        <v>707717.198814062</v>
      </c>
      <c r="AX12" s="83" t="n">
        <f aca="false">CHOOSE(Premissas!$B$6,Cenários!AX13,Cenários!AX59,Cenários!AX105)</f>
        <v>755144.491458206</v>
      </c>
      <c r="AY12" s="83" t="n">
        <f aca="false">CHOOSE(Premissas!$B$6,Cenários!AY13,Cenários!AY59,Cenários!AY105)</f>
        <v>799609.479349748</v>
      </c>
      <c r="AZ12" s="83" t="n">
        <f aca="false">CHOOSE(Premissas!$B$6,Cenários!AZ13,Cenários!AZ59,Cenários!AZ105)</f>
        <v>841297.187797072</v>
      </c>
      <c r="BA12" s="83" t="n">
        <f aca="false">CHOOSE(Premissas!$B$6,Cenários!BA13,Cenários!BA59,Cenários!BA105)</f>
        <v>880381.085443193</v>
      </c>
      <c r="BB12" s="83" t="n">
        <f aca="false">CHOOSE(Premissas!$B$6,Cenários!BB13,Cenários!BB59,Cenários!BB105)</f>
        <v>917023.806094117</v>
      </c>
      <c r="BC12" s="83" t="n">
        <f aca="false">CHOOSE(Premissas!$B$6,Cenários!BC13,Cenários!BC59,Cenários!BC105)</f>
        <v>951377.825461859</v>
      </c>
      <c r="BD12" s="83" t="n">
        <f aca="false">CHOOSE(Premissas!$B$6,Cenários!BD13,Cenários!BD59,Cenários!BD105)</f>
        <v>983586.095638147</v>
      </c>
      <c r="BE12" s="83" t="n">
        <f aca="false">CHOOSE(Premissas!$B$6,Cenários!BE13,Cenários!BE59,Cenários!BE105)</f>
        <v>1013782.63993895</v>
      </c>
      <c r="BF12" s="83" t="n">
        <f aca="false">CHOOSE(Premissas!$B$6,Cenários!BF13,Cenários!BF59,Cenários!BF105)</f>
        <v>1042093.11059508</v>
      </c>
      <c r="BG12" s="83" t="n">
        <f aca="false">CHOOSE(Premissas!$B$6,Cenários!BG13,Cenários!BG59,Cenários!BG105)</f>
        <v>1068635.31160946</v>
      </c>
      <c r="BH12" s="83" t="n">
        <f aca="false">CHOOSE(Premissas!$B$6,Cenários!BH13,Cenários!BH59,Cenários!BH105)</f>
        <v>1093519.68895679</v>
      </c>
      <c r="BI12" s="83" t="n">
        <f aca="false">CHOOSE(Premissas!$B$6,Cenários!BI13,Cenários!BI59,Cenários!BI105)</f>
        <v>1116849.79016539</v>
      </c>
      <c r="BJ12" s="134" t="n">
        <f aca="false">BI12</f>
        <v>1116849.79016539</v>
      </c>
      <c r="BK12" s="29" t="s">
        <v>836</v>
      </c>
    </row>
    <row r="13" customFormat="false" ht="15" hidden="false" customHeight="false" outlineLevel="0" collapsed="false">
      <c r="A13" s="27" t="s">
        <v>839</v>
      </c>
      <c r="B13" s="198" t="n">
        <f aca="false">CHOOSE(Premissas!$B$6,Cenários!B14,Cenários!B60,Cenários!B106)</f>
        <v>0</v>
      </c>
      <c r="C13" s="198" t="n">
        <f aca="false">CHOOSE(Premissas!$B$6,Cenários!C14,Cenários!C60,Cenários!C106)</f>
        <v>0</v>
      </c>
      <c r="D13" s="198" t="n">
        <f aca="false">CHOOSE(Premissas!$B$6,Cenários!D14,Cenários!D60,Cenários!D106)</f>
        <v>0</v>
      </c>
      <c r="E13" s="198" t="n">
        <f aca="false">CHOOSE(Premissas!$B$6,Cenários!E14,Cenários!E60,Cenários!E106)</f>
        <v>0</v>
      </c>
      <c r="F13" s="198" t="n">
        <f aca="false">CHOOSE(Premissas!$B$6,Cenários!F14,Cenários!F60,Cenários!F106)</f>
        <v>0</v>
      </c>
      <c r="G13" s="198" t="n">
        <f aca="false">CHOOSE(Premissas!$B$6,Cenários!G14,Cenários!G60,Cenários!G106)</f>
        <v>0</v>
      </c>
      <c r="H13" s="198" t="n">
        <f aca="false">CHOOSE(Premissas!$B$6,Cenários!H14,Cenários!H60,Cenários!H106)</f>
        <v>0</v>
      </c>
      <c r="I13" s="198" t="n">
        <f aca="false">CHOOSE(Premissas!$B$6,Cenários!I14,Cenários!I60,Cenários!I106)</f>
        <v>0</v>
      </c>
      <c r="J13" s="198" t="n">
        <f aca="false">CHOOSE(Premissas!$B$6,Cenários!J14,Cenários!J60,Cenários!J106)</f>
        <v>0</v>
      </c>
      <c r="K13" s="198" t="n">
        <f aca="false">CHOOSE(Premissas!$B$6,Cenários!K14,Cenários!K60,Cenários!K106)</f>
        <v>0.00833333333333333</v>
      </c>
      <c r="L13" s="198" t="n">
        <f aca="false">CHOOSE(Premissas!$B$6,Cenários!L14,Cenários!L60,Cenários!L106)</f>
        <v>0.0166666666666667</v>
      </c>
      <c r="M13" s="198" t="n">
        <f aca="false">CHOOSE(Premissas!$B$6,Cenários!M14,Cenários!M60,Cenários!M106)</f>
        <v>0.025</v>
      </c>
      <c r="N13" s="198" t="n">
        <f aca="false">CHOOSE(Premissas!$B$6,Cenários!N14,Cenários!N60,Cenários!N106)</f>
        <v>0.036</v>
      </c>
      <c r="O13" s="198" t="n">
        <f aca="false">CHOOSE(Premissas!$B$6,Cenários!O14,Cenários!O60,Cenários!O106)</f>
        <v>0.045</v>
      </c>
      <c r="P13" s="198" t="n">
        <f aca="false">CHOOSE(Premissas!$B$6,Cenários!P14,Cenários!P60,Cenários!P106)</f>
        <v>0.054</v>
      </c>
      <c r="Q13" s="198" t="n">
        <f aca="false">CHOOSE(Premissas!$B$6,Cenários!Q14,Cenários!Q60,Cenários!Q106)</f>
        <v>0.054</v>
      </c>
      <c r="R13" s="198" t="n">
        <f aca="false">CHOOSE(Premissas!$B$6,Cenários!R14,Cenários!R60,Cenários!R106)</f>
        <v>0.054</v>
      </c>
      <c r="S13" s="198" t="n">
        <f aca="false">CHOOSE(Premissas!$B$6,Cenários!S14,Cenários!S60,Cenários!S106)</f>
        <v>0.054</v>
      </c>
      <c r="T13" s="198" t="n">
        <f aca="false">CHOOSE(Premissas!$B$6,Cenários!T14,Cenários!T60,Cenários!T106)</f>
        <v>0.054</v>
      </c>
      <c r="U13" s="198" t="n">
        <f aca="false">CHOOSE(Premissas!$B$6,Cenários!U14,Cenários!U60,Cenários!U106)</f>
        <v>0.054</v>
      </c>
      <c r="V13" s="198" t="n">
        <f aca="false">CHOOSE(Premissas!$B$6,Cenários!V14,Cenários!V60,Cenários!V106)</f>
        <v>0.054</v>
      </c>
      <c r="W13" s="198" t="n">
        <f aca="false">CHOOSE(Premissas!$B$6,Cenários!W14,Cenários!W60,Cenários!W106)</f>
        <v>0.054</v>
      </c>
      <c r="X13" s="198" t="n">
        <f aca="false">CHOOSE(Premissas!$B$6,Cenários!X14,Cenários!X60,Cenários!X106)</f>
        <v>0.054</v>
      </c>
      <c r="Y13" s="198" t="n">
        <f aca="false">CHOOSE(Premissas!$B$6,Cenários!Y14,Cenários!Y60,Cenários!Y106)</f>
        <v>0.054</v>
      </c>
      <c r="Z13" s="198" t="n">
        <f aca="false">CHOOSE(Premissas!$B$6,Cenários!Z14,Cenários!Z60,Cenários!Z106)</f>
        <v>0.05832</v>
      </c>
      <c r="AA13" s="198" t="n">
        <f aca="false">CHOOSE(Premissas!$B$6,Cenários!AA14,Cenários!AA60,Cenários!AA106)</f>
        <v>0.05832</v>
      </c>
      <c r="AB13" s="198" t="n">
        <f aca="false">CHOOSE(Premissas!$B$6,Cenários!AB14,Cenários!AB60,Cenários!AB106)</f>
        <v>0.05832</v>
      </c>
      <c r="AC13" s="198" t="n">
        <f aca="false">CHOOSE(Premissas!$B$6,Cenários!AC14,Cenários!AC60,Cenários!AC106)</f>
        <v>0.05832</v>
      </c>
      <c r="AD13" s="198" t="n">
        <f aca="false">CHOOSE(Premissas!$B$6,Cenários!AD14,Cenários!AD60,Cenários!AD106)</f>
        <v>0.05832</v>
      </c>
      <c r="AE13" s="198" t="n">
        <f aca="false">CHOOSE(Premissas!$B$6,Cenários!AE14,Cenários!AE60,Cenários!AE106)</f>
        <v>0.05832</v>
      </c>
      <c r="AF13" s="198" t="n">
        <f aca="false">CHOOSE(Premissas!$B$6,Cenários!AF14,Cenários!AF60,Cenários!AF106)</f>
        <v>0.05832</v>
      </c>
      <c r="AG13" s="198" t="n">
        <f aca="false">CHOOSE(Premissas!$B$6,Cenários!AG14,Cenários!AG60,Cenários!AG106)</f>
        <v>0.05832</v>
      </c>
      <c r="AH13" s="198" t="n">
        <f aca="false">CHOOSE(Premissas!$B$6,Cenários!AH14,Cenários!AH60,Cenários!AH106)</f>
        <v>0.05832</v>
      </c>
      <c r="AI13" s="198" t="n">
        <f aca="false">CHOOSE(Premissas!$B$6,Cenários!AI14,Cenários!AI60,Cenários!AI106)</f>
        <v>0.05832</v>
      </c>
      <c r="AJ13" s="198" t="n">
        <f aca="false">CHOOSE(Premissas!$B$6,Cenários!AJ14,Cenários!AJ60,Cenários!AJ106)</f>
        <v>0.05832</v>
      </c>
      <c r="AK13" s="198" t="n">
        <f aca="false">CHOOSE(Premissas!$B$6,Cenários!AK14,Cenários!AK60,Cenários!AK106)</f>
        <v>0.05832</v>
      </c>
      <c r="AL13" s="198" t="n">
        <f aca="false">CHOOSE(Premissas!$B$6,Cenários!AL14,Cenários!AL60,Cenários!AL106)</f>
        <v>0.0629856</v>
      </c>
      <c r="AM13" s="198" t="n">
        <f aca="false">CHOOSE(Premissas!$B$6,Cenários!AM14,Cenários!AM60,Cenários!AM106)</f>
        <v>0.0629856</v>
      </c>
      <c r="AN13" s="198" t="n">
        <f aca="false">CHOOSE(Premissas!$B$6,Cenários!AN14,Cenários!AN60,Cenários!AN106)</f>
        <v>0.0629856</v>
      </c>
      <c r="AO13" s="198" t="n">
        <f aca="false">CHOOSE(Premissas!$B$6,Cenários!AO14,Cenários!AO60,Cenários!AO106)</f>
        <v>0.0629856</v>
      </c>
      <c r="AP13" s="198" t="n">
        <f aca="false">CHOOSE(Premissas!$B$6,Cenários!AP14,Cenários!AP60,Cenários!AP106)</f>
        <v>0.0629856</v>
      </c>
      <c r="AQ13" s="198" t="n">
        <f aca="false">CHOOSE(Premissas!$B$6,Cenários!AQ14,Cenários!AQ60,Cenários!AQ106)</f>
        <v>0.0629856</v>
      </c>
      <c r="AR13" s="198" t="n">
        <f aca="false">CHOOSE(Premissas!$B$6,Cenários!AR14,Cenários!AR60,Cenários!AR106)</f>
        <v>0.0629856</v>
      </c>
      <c r="AS13" s="198" t="n">
        <f aca="false">CHOOSE(Premissas!$B$6,Cenários!AS14,Cenários!AS60,Cenários!AS106)</f>
        <v>0.0629856</v>
      </c>
      <c r="AT13" s="198" t="n">
        <f aca="false">CHOOSE(Premissas!$B$6,Cenários!AT14,Cenários!AT60,Cenários!AT106)</f>
        <v>0.0629856</v>
      </c>
      <c r="AU13" s="198" t="n">
        <f aca="false">CHOOSE(Premissas!$B$6,Cenários!AU14,Cenários!AU60,Cenários!AU106)</f>
        <v>0.0629856</v>
      </c>
      <c r="AV13" s="198" t="n">
        <f aca="false">CHOOSE(Premissas!$B$6,Cenários!AV14,Cenários!AV60,Cenários!AV106)</f>
        <v>0.0629856</v>
      </c>
      <c r="AW13" s="198" t="n">
        <f aca="false">CHOOSE(Premissas!$B$6,Cenários!AW14,Cenários!AW60,Cenários!AW106)</f>
        <v>0.0629856</v>
      </c>
      <c r="AX13" s="198" t="n">
        <f aca="false">CHOOSE(Premissas!$B$6,Cenários!AX14,Cenários!AX60,Cenários!AX106)</f>
        <v>0.068024448</v>
      </c>
      <c r="AY13" s="198" t="n">
        <f aca="false">CHOOSE(Premissas!$B$6,Cenários!AY14,Cenários!AY60,Cenários!AY106)</f>
        <v>0.068024448</v>
      </c>
      <c r="AZ13" s="198" t="n">
        <f aca="false">CHOOSE(Premissas!$B$6,Cenários!AZ14,Cenários!AZ60,Cenários!AZ106)</f>
        <v>0.068024448</v>
      </c>
      <c r="BA13" s="198" t="n">
        <f aca="false">CHOOSE(Premissas!$B$6,Cenários!BA14,Cenários!BA60,Cenários!BA106)</f>
        <v>0.068024448</v>
      </c>
      <c r="BB13" s="198" t="n">
        <f aca="false">CHOOSE(Premissas!$B$6,Cenários!BB14,Cenários!BB60,Cenários!BB106)</f>
        <v>0.068024448</v>
      </c>
      <c r="BC13" s="198" t="n">
        <f aca="false">CHOOSE(Premissas!$B$6,Cenários!BC14,Cenários!BC60,Cenários!BC106)</f>
        <v>0.068024448</v>
      </c>
      <c r="BD13" s="198" t="n">
        <f aca="false">CHOOSE(Premissas!$B$6,Cenários!BD14,Cenários!BD60,Cenários!BD106)</f>
        <v>0.068024448</v>
      </c>
      <c r="BE13" s="198" t="n">
        <f aca="false">CHOOSE(Premissas!$B$6,Cenários!BE14,Cenários!BE60,Cenários!BE106)</f>
        <v>0.068024448</v>
      </c>
      <c r="BF13" s="198" t="n">
        <f aca="false">CHOOSE(Premissas!$B$6,Cenários!BF14,Cenários!BF60,Cenários!BF106)</f>
        <v>0.068024448</v>
      </c>
      <c r="BG13" s="198" t="n">
        <f aca="false">CHOOSE(Premissas!$B$6,Cenários!BG14,Cenários!BG60,Cenários!BG106)</f>
        <v>0.068024448</v>
      </c>
      <c r="BH13" s="198" t="n">
        <f aca="false">CHOOSE(Premissas!$B$6,Cenários!BH14,Cenários!BH60,Cenários!BH106)</f>
        <v>0.068024448</v>
      </c>
      <c r="BI13" s="198" t="n">
        <f aca="false">CHOOSE(Premissas!$B$6,Cenários!BI14,Cenários!BI60,Cenários!BI106)</f>
        <v>0.068024448</v>
      </c>
      <c r="BJ13" s="188" t="n">
        <f aca="false">BI13</f>
        <v>0.068024448</v>
      </c>
      <c r="BK13" s="29" t="s">
        <v>836</v>
      </c>
    </row>
    <row r="14" customFormat="false" ht="15" hidden="false" customHeight="false" outlineLevel="0" collapsed="false">
      <c r="A14" s="62" t="s">
        <v>840</v>
      </c>
      <c r="B14" s="83" t="n">
        <f aca="false">CHOOSE(Premissas!$B$6,Cenários!B15,Cenários!B61,Cenários!B107)</f>
        <v>0</v>
      </c>
      <c r="C14" s="83" t="n">
        <f aca="false">CHOOSE(Premissas!$B$6,Cenários!C15,Cenários!C61,Cenários!C107)</f>
        <v>0</v>
      </c>
      <c r="D14" s="83" t="n">
        <f aca="false">CHOOSE(Premissas!$B$6,Cenários!D15,Cenários!D61,Cenários!D107)</f>
        <v>0</v>
      </c>
      <c r="E14" s="83" t="n">
        <f aca="false">CHOOSE(Premissas!$B$6,Cenários!E15,Cenários!E61,Cenários!E107)</f>
        <v>0</v>
      </c>
      <c r="F14" s="83" t="n">
        <f aca="false">CHOOSE(Premissas!$B$6,Cenários!F15,Cenários!F61,Cenários!F107)</f>
        <v>0</v>
      </c>
      <c r="G14" s="83" t="n">
        <f aca="false">CHOOSE(Premissas!$B$6,Cenários!G15,Cenários!G61,Cenários!G107)</f>
        <v>0</v>
      </c>
      <c r="H14" s="83" t="n">
        <f aca="false">CHOOSE(Premissas!$B$6,Cenários!H15,Cenários!H61,Cenários!H107)</f>
        <v>0</v>
      </c>
      <c r="I14" s="83" t="n">
        <f aca="false">CHOOSE(Premissas!$B$6,Cenários!I15,Cenários!I61,Cenários!I107)</f>
        <v>0</v>
      </c>
      <c r="J14" s="83" t="n">
        <f aca="false">CHOOSE(Premissas!$B$6,Cenários!J15,Cenários!J61,Cenários!J107)</f>
        <v>0</v>
      </c>
      <c r="K14" s="83" t="n">
        <f aca="false">CHOOSE(Premissas!$B$6,Cenários!K15,Cenários!K61,Cenários!K107)</f>
        <v>151</v>
      </c>
      <c r="L14" s="83" t="n">
        <f aca="false">CHOOSE(Premissas!$B$6,Cenários!L15,Cenários!L61,Cenários!L107)</f>
        <v>579</v>
      </c>
      <c r="M14" s="83" t="n">
        <f aca="false">CHOOSE(Premissas!$B$6,Cenários!M15,Cenários!M61,Cenários!M107)</f>
        <v>1252</v>
      </c>
      <c r="N14" s="83" t="n">
        <f aca="false">CHOOSE(Premissas!$B$6,Cenários!N15,Cenários!N61,Cenários!N107)</f>
        <v>2644</v>
      </c>
      <c r="O14" s="83" t="n">
        <f aca="false">CHOOSE(Premissas!$B$6,Cenários!O15,Cenários!O61,Cenários!O107)</f>
        <v>4279</v>
      </c>
      <c r="P14" s="83" t="n">
        <f aca="false">CHOOSE(Premissas!$B$6,Cenários!P15,Cenários!P61,Cenários!P107)</f>
        <v>6214</v>
      </c>
      <c r="Q14" s="83" t="n">
        <f aca="false">CHOOSE(Premissas!$B$6,Cenários!Q15,Cenários!Q61,Cenários!Q107)</f>
        <v>7213</v>
      </c>
      <c r="R14" s="83" t="n">
        <f aca="false">CHOOSE(Premissas!$B$6,Cenários!R15,Cenários!R61,Cenários!R107)</f>
        <v>8137</v>
      </c>
      <c r="S14" s="83" t="n">
        <f aca="false">CHOOSE(Premissas!$B$6,Cenários!S15,Cenários!S61,Cenários!S107)</f>
        <v>8991</v>
      </c>
      <c r="T14" s="83" t="n">
        <f aca="false">CHOOSE(Premissas!$B$6,Cenários!T15,Cenários!T61,Cenários!T107)</f>
        <v>9781</v>
      </c>
      <c r="U14" s="83" t="n">
        <f aca="false">CHOOSE(Premissas!$B$6,Cenários!U15,Cenários!U61,Cenários!U107)</f>
        <v>10512</v>
      </c>
      <c r="V14" s="83" t="n">
        <f aca="false">CHOOSE(Premissas!$B$6,Cenários!V15,Cenários!V61,Cenários!V107)</f>
        <v>11187</v>
      </c>
      <c r="W14" s="83" t="n">
        <f aca="false">CHOOSE(Premissas!$B$6,Cenários!W15,Cenários!W61,Cenários!W107)</f>
        <v>11812</v>
      </c>
      <c r="X14" s="83" t="n">
        <f aca="false">CHOOSE(Premissas!$B$6,Cenários!X15,Cenários!X61,Cenários!X107)</f>
        <v>12390</v>
      </c>
      <c r="Y14" s="83" t="n">
        <f aca="false">CHOOSE(Premissas!$B$6,Cenários!Y15,Cenários!Y61,Cenários!Y107)</f>
        <v>12924</v>
      </c>
      <c r="Z14" s="83" t="n">
        <f aca="false">CHOOSE(Premissas!$B$6,Cenários!Z15,Cenários!Z61,Cenários!Z107)</f>
        <v>15347</v>
      </c>
      <c r="AA14" s="83" t="n">
        <f aca="false">CHOOSE(Premissas!$B$6,Cenários!AA15,Cenários!AA61,Cenários!AA107)</f>
        <v>16637</v>
      </c>
      <c r="AB14" s="83" t="n">
        <f aca="false">CHOOSE(Premissas!$B$6,Cenários!AB15,Cenários!AB61,Cenários!AB107)</f>
        <v>17836</v>
      </c>
      <c r="AC14" s="83" t="n">
        <f aca="false">CHOOSE(Premissas!$B$6,Cenários!AC15,Cenários!AC61,Cenários!AC107)</f>
        <v>18950</v>
      </c>
      <c r="AD14" s="83" t="n">
        <f aca="false">CHOOSE(Premissas!$B$6,Cenários!AD15,Cenários!AD61,Cenários!AD107)</f>
        <v>19986</v>
      </c>
      <c r="AE14" s="83" t="n">
        <f aca="false">CHOOSE(Premissas!$B$6,Cenários!AE15,Cenários!AE61,Cenários!AE107)</f>
        <v>20948</v>
      </c>
      <c r="AF14" s="83" t="n">
        <f aca="false">CHOOSE(Premissas!$B$6,Cenários!AF15,Cenários!AF61,Cenários!AF107)</f>
        <v>21842</v>
      </c>
      <c r="AG14" s="83" t="n">
        <f aca="false">CHOOSE(Premissas!$B$6,Cenários!AG15,Cenários!AG61,Cenários!AG107)</f>
        <v>22673</v>
      </c>
      <c r="AH14" s="83" t="n">
        <f aca="false">CHOOSE(Premissas!$B$6,Cenários!AH15,Cenários!AH61,Cenários!AH107)</f>
        <v>23446</v>
      </c>
      <c r="AI14" s="83" t="n">
        <f aca="false">CHOOSE(Premissas!$B$6,Cenários!AI15,Cenários!AI61,Cenários!AI107)</f>
        <v>24164</v>
      </c>
      <c r="AJ14" s="83" t="n">
        <f aca="false">CHOOSE(Premissas!$B$6,Cenários!AJ15,Cenários!AJ61,Cenários!AJ107)</f>
        <v>24831</v>
      </c>
      <c r="AK14" s="83" t="n">
        <f aca="false">CHOOSE(Premissas!$B$6,Cenários!AK15,Cenários!AK61,Cenários!AK107)</f>
        <v>25450</v>
      </c>
      <c r="AL14" s="83" t="n">
        <f aca="false">CHOOSE(Premissas!$B$6,Cenários!AL15,Cenários!AL61,Cenários!AL107)</f>
        <v>29508</v>
      </c>
      <c r="AM14" s="83" t="n">
        <f aca="false">CHOOSE(Premissas!$B$6,Cenários!AM15,Cenários!AM61,Cenários!AM107)</f>
        <v>31395</v>
      </c>
      <c r="AN14" s="83" t="n">
        <f aca="false">CHOOSE(Premissas!$B$6,Cenários!AN15,Cenários!AN61,Cenários!AN107)</f>
        <v>33156</v>
      </c>
      <c r="AO14" s="83" t="n">
        <f aca="false">CHOOSE(Premissas!$B$6,Cenários!AO15,Cenários!AO61,Cenários!AO107)</f>
        <v>34801</v>
      </c>
      <c r="AP14" s="83" t="n">
        <f aca="false">CHOOSE(Premissas!$B$6,Cenários!AP15,Cenários!AP61,Cenários!AP107)</f>
        <v>36336</v>
      </c>
      <c r="AQ14" s="83" t="n">
        <f aca="false">CHOOSE(Premissas!$B$6,Cenários!AQ15,Cenários!AQ61,Cenários!AQ107)</f>
        <v>37769</v>
      </c>
      <c r="AR14" s="83" t="n">
        <f aca="false">CHOOSE(Premissas!$B$6,Cenários!AR15,Cenários!AR61,Cenários!AR107)</f>
        <v>39107</v>
      </c>
      <c r="AS14" s="83" t="n">
        <f aca="false">CHOOSE(Premissas!$B$6,Cenários!AS15,Cenários!AS61,Cenários!AS107)</f>
        <v>40356</v>
      </c>
      <c r="AT14" s="83" t="n">
        <f aca="false">CHOOSE(Premissas!$B$6,Cenários!AT15,Cenários!AT61,Cenários!AT107)</f>
        <v>41522</v>
      </c>
      <c r="AU14" s="83" t="n">
        <f aca="false">CHOOSE(Premissas!$B$6,Cenários!AU15,Cenários!AU61,Cenários!AU107)</f>
        <v>42611</v>
      </c>
      <c r="AV14" s="83" t="n">
        <f aca="false">CHOOSE(Premissas!$B$6,Cenários!AV15,Cenários!AV61,Cenários!AV107)</f>
        <v>43627</v>
      </c>
      <c r="AW14" s="83" t="n">
        <f aca="false">CHOOSE(Premissas!$B$6,Cenários!AW15,Cenários!AW61,Cenários!AW107)</f>
        <v>44576</v>
      </c>
      <c r="AX14" s="83" t="n">
        <f aca="false">CHOOSE(Premissas!$B$6,Cenários!AX15,Cenários!AX61,Cenários!AX107)</f>
        <v>51368</v>
      </c>
      <c r="AY14" s="83" t="n">
        <f aca="false">CHOOSE(Premissas!$B$6,Cenários!AY15,Cenários!AY61,Cenários!AY107)</f>
        <v>54393</v>
      </c>
      <c r="AZ14" s="83" t="n">
        <f aca="false">CHOOSE(Premissas!$B$6,Cenários!AZ15,Cenários!AZ61,Cenários!AZ107)</f>
        <v>57229</v>
      </c>
      <c r="BA14" s="83" t="n">
        <f aca="false">CHOOSE(Premissas!$B$6,Cenários!BA15,Cenários!BA61,Cenários!BA107)</f>
        <v>59887</v>
      </c>
      <c r="BB14" s="83" t="n">
        <f aca="false">CHOOSE(Premissas!$B$6,Cenários!BB15,Cenários!BB61,Cenários!BB107)</f>
        <v>62380</v>
      </c>
      <c r="BC14" s="83" t="n">
        <f aca="false">CHOOSE(Premissas!$B$6,Cenários!BC15,Cenários!BC61,Cenários!BC107)</f>
        <v>64717</v>
      </c>
      <c r="BD14" s="83" t="n">
        <f aca="false">CHOOSE(Premissas!$B$6,Cenários!BD15,Cenários!BD61,Cenários!BD107)</f>
        <v>66908</v>
      </c>
      <c r="BE14" s="83" t="n">
        <f aca="false">CHOOSE(Premissas!$B$6,Cenários!BE15,Cenários!BE61,Cenários!BE107)</f>
        <v>68962</v>
      </c>
      <c r="BF14" s="83" t="n">
        <f aca="false">CHOOSE(Premissas!$B$6,Cenários!BF15,Cenários!BF61,Cenários!BF107)</f>
        <v>70888</v>
      </c>
      <c r="BG14" s="83" t="n">
        <f aca="false">CHOOSE(Premissas!$B$6,Cenários!BG15,Cenários!BG61,Cenários!BG107)</f>
        <v>72693</v>
      </c>
      <c r="BH14" s="83" t="n">
        <f aca="false">CHOOSE(Premissas!$B$6,Cenários!BH15,Cenários!BH61,Cenários!BH107)</f>
        <v>74386</v>
      </c>
      <c r="BI14" s="83" t="n">
        <f aca="false">CHOOSE(Premissas!$B$6,Cenários!BI15,Cenários!BI61,Cenários!BI107)</f>
        <v>75973</v>
      </c>
      <c r="BJ14" s="134" t="n">
        <f aca="false">BI14</f>
        <v>75973</v>
      </c>
      <c r="BK14" s="29" t="s">
        <v>836</v>
      </c>
    </row>
    <row r="15" customFormat="false" ht="15" hidden="false" customHeight="false" outlineLevel="0" collapsed="false">
      <c r="A15" s="27" t="s">
        <v>841</v>
      </c>
      <c r="B15" s="80" t="n">
        <f aca="false">CHOOSE(Premissas!$B$6,Cenários!B16,Cenários!B62,Cenários!B108)</f>
        <v>0</v>
      </c>
      <c r="C15" s="80" t="n">
        <f aca="false">CHOOSE(Premissas!$B$6,Cenários!C16,Cenários!C62,Cenários!C108)</f>
        <v>0</v>
      </c>
      <c r="D15" s="80" t="n">
        <f aca="false">CHOOSE(Premissas!$B$6,Cenários!D16,Cenários!D62,Cenários!D108)</f>
        <v>0</v>
      </c>
      <c r="E15" s="80" t="n">
        <f aca="false">CHOOSE(Premissas!$B$6,Cenários!E16,Cenários!E62,Cenários!E108)</f>
        <v>0</v>
      </c>
      <c r="F15" s="80" t="n">
        <f aca="false">CHOOSE(Premissas!$B$6,Cenários!F16,Cenários!F62,Cenários!F108)</f>
        <v>0</v>
      </c>
      <c r="G15" s="80" t="n">
        <f aca="false">CHOOSE(Premissas!$B$6,Cenários!G16,Cenários!G62,Cenários!G108)</f>
        <v>0</v>
      </c>
      <c r="H15" s="80" t="n">
        <f aca="false">CHOOSE(Premissas!$B$6,Cenários!H16,Cenários!H62,Cenários!H108)</f>
        <v>0</v>
      </c>
      <c r="I15" s="80" t="n">
        <f aca="false">CHOOSE(Premissas!$B$6,Cenários!I16,Cenários!I62,Cenários!I108)</f>
        <v>0</v>
      </c>
      <c r="J15" s="80" t="n">
        <f aca="false">CHOOSE(Premissas!$B$6,Cenários!J16,Cenários!J62,Cenários!J108)</f>
        <v>0</v>
      </c>
      <c r="K15" s="80" t="n">
        <f aca="false">CHOOSE(Premissas!$B$6,Cenários!K16,Cenários!K62,Cenários!K108)</f>
        <v>151</v>
      </c>
      <c r="L15" s="80" t="n">
        <f aca="false">CHOOSE(Premissas!$B$6,Cenários!L16,Cenários!L62,Cenários!L108)</f>
        <v>579</v>
      </c>
      <c r="M15" s="80" t="n">
        <f aca="false">CHOOSE(Premissas!$B$6,Cenários!M16,Cenários!M62,Cenários!M108)</f>
        <v>1252</v>
      </c>
      <c r="N15" s="80" t="n">
        <f aca="false">CHOOSE(Premissas!$B$6,Cenários!N16,Cenários!N62,Cenários!N108)</f>
        <v>2644</v>
      </c>
      <c r="O15" s="80" t="n">
        <f aca="false">CHOOSE(Premissas!$B$6,Cenários!O16,Cenários!O62,Cenários!O108)</f>
        <v>4279</v>
      </c>
      <c r="P15" s="80" t="n">
        <f aca="false">CHOOSE(Premissas!$B$6,Cenários!P16,Cenários!P62,Cenários!P108)</f>
        <v>6214</v>
      </c>
      <c r="Q15" s="80" t="n">
        <f aca="false">CHOOSE(Premissas!$B$6,Cenários!Q16,Cenários!Q62,Cenários!Q108)</f>
        <v>5626</v>
      </c>
      <c r="R15" s="80" t="n">
        <f aca="false">CHOOSE(Premissas!$B$6,Cenários!R16,Cenários!R62,Cenários!R108)</f>
        <v>6347</v>
      </c>
      <c r="S15" s="80" t="n">
        <f aca="false">CHOOSE(Premissas!$B$6,Cenários!S16,Cenários!S62,Cenários!S108)</f>
        <v>7013</v>
      </c>
      <c r="T15" s="80" t="n">
        <f aca="false">CHOOSE(Premissas!$B$6,Cenários!T16,Cenários!T62,Cenários!T108)</f>
        <v>7629</v>
      </c>
      <c r="U15" s="80" t="n">
        <f aca="false">CHOOSE(Premissas!$B$6,Cenários!U16,Cenários!U62,Cenários!U108)</f>
        <v>8199</v>
      </c>
      <c r="V15" s="80" t="n">
        <f aca="false">CHOOSE(Premissas!$B$6,Cenários!V16,Cenários!V62,Cenários!V108)</f>
        <v>8726</v>
      </c>
      <c r="W15" s="80" t="n">
        <f aca="false">CHOOSE(Premissas!$B$6,Cenários!W16,Cenários!W62,Cenários!W108)</f>
        <v>8504</v>
      </c>
      <c r="X15" s="80" t="n">
        <f aca="false">CHOOSE(Premissas!$B$6,Cenários!X16,Cenários!X62,Cenários!X108)</f>
        <v>8921</v>
      </c>
      <c r="Y15" s="80" t="n">
        <f aca="false">CHOOSE(Premissas!$B$6,Cenários!Y16,Cenários!Y62,Cenários!Y108)</f>
        <v>9306</v>
      </c>
      <c r="Z15" s="80" t="n">
        <f aca="false">CHOOSE(Premissas!$B$6,Cenários!Z16,Cenários!Z62,Cenários!Z108)</f>
        <v>10436</v>
      </c>
      <c r="AA15" s="80" t="n">
        <f aca="false">CHOOSE(Premissas!$B$6,Cenários!AA16,Cenários!AA62,Cenários!AA108)</f>
        <v>11313</v>
      </c>
      <c r="AB15" s="80" t="n">
        <f aca="false">CHOOSE(Premissas!$B$6,Cenários!AB16,Cenários!AB62,Cenários!AB108)</f>
        <v>12128</v>
      </c>
      <c r="AC15" s="80" t="n">
        <f aca="false">CHOOSE(Premissas!$B$6,Cenários!AC16,Cenários!AC62,Cenários!AC108)</f>
        <v>12886</v>
      </c>
      <c r="AD15" s="80" t="n">
        <f aca="false">CHOOSE(Premissas!$B$6,Cenários!AD16,Cenários!AD62,Cenários!AD108)</f>
        <v>13590</v>
      </c>
      <c r="AE15" s="80" t="n">
        <f aca="false">CHOOSE(Premissas!$B$6,Cenários!AE16,Cenários!AE62,Cenários!AE108)</f>
        <v>14244</v>
      </c>
      <c r="AF15" s="80" t="n">
        <f aca="false">CHOOSE(Premissas!$B$6,Cenários!AF16,Cenários!AF62,Cenários!AF108)</f>
        <v>14853</v>
      </c>
      <c r="AG15" s="80" t="n">
        <f aca="false">CHOOSE(Premissas!$B$6,Cenários!AG16,Cenários!AG62,Cenários!AG108)</f>
        <v>15417</v>
      </c>
      <c r="AH15" s="80" t="n">
        <f aca="false">CHOOSE(Premissas!$B$6,Cenários!AH16,Cenários!AH62,Cenários!AH108)</f>
        <v>15943</v>
      </c>
      <c r="AI15" s="80" t="n">
        <f aca="false">CHOOSE(Premissas!$B$6,Cenários!AI16,Cenários!AI62,Cenários!AI108)</f>
        <v>16432</v>
      </c>
      <c r="AJ15" s="80" t="n">
        <f aca="false">CHOOSE(Premissas!$B$6,Cenários!AJ16,Cenários!AJ62,Cenários!AJ108)</f>
        <v>16886</v>
      </c>
      <c r="AK15" s="80" t="n">
        <f aca="false">CHOOSE(Premissas!$B$6,Cenários!AK16,Cenários!AK62,Cenários!AK108)</f>
        <v>17306</v>
      </c>
      <c r="AL15" s="80" t="n">
        <f aca="false">CHOOSE(Premissas!$B$6,Cenários!AL16,Cenários!AL62,Cenários!AL108)</f>
        <v>18885</v>
      </c>
      <c r="AM15" s="80" t="n">
        <f aca="false">CHOOSE(Premissas!$B$6,Cenários!AM16,Cenários!AM62,Cenários!AM108)</f>
        <v>20092</v>
      </c>
      <c r="AN15" s="80" t="n">
        <f aca="false">CHOOSE(Premissas!$B$6,Cenários!AN16,Cenários!AN62,Cenários!AN108)</f>
        <v>21219</v>
      </c>
      <c r="AO15" s="80" t="n">
        <f aca="false">CHOOSE(Premissas!$B$6,Cenários!AO16,Cenários!AO62,Cenários!AO108)</f>
        <v>22273</v>
      </c>
      <c r="AP15" s="80" t="n">
        <f aca="false">CHOOSE(Premissas!$B$6,Cenários!AP16,Cenários!AP62,Cenários!AP108)</f>
        <v>23255</v>
      </c>
      <c r="AQ15" s="80" t="n">
        <f aca="false">CHOOSE(Premissas!$B$6,Cenários!AQ16,Cenários!AQ62,Cenários!AQ108)</f>
        <v>24172</v>
      </c>
      <c r="AR15" s="80" t="n">
        <f aca="false">CHOOSE(Premissas!$B$6,Cenários!AR16,Cenários!AR62,Cenários!AR108)</f>
        <v>25028</v>
      </c>
      <c r="AS15" s="80" t="n">
        <f aca="false">CHOOSE(Premissas!$B$6,Cenários!AS16,Cenários!AS62,Cenários!AS108)</f>
        <v>25827</v>
      </c>
      <c r="AT15" s="80" t="n">
        <f aca="false">CHOOSE(Premissas!$B$6,Cenários!AT16,Cenários!AT62,Cenários!AT108)</f>
        <v>26574</v>
      </c>
      <c r="AU15" s="80" t="n">
        <f aca="false">CHOOSE(Premissas!$B$6,Cenários!AU16,Cenários!AU62,Cenários!AU108)</f>
        <v>27271</v>
      </c>
      <c r="AV15" s="80" t="n">
        <f aca="false">CHOOSE(Premissas!$B$6,Cenários!AV16,Cenários!AV62,Cenários!AV108)</f>
        <v>27921</v>
      </c>
      <c r="AW15" s="80" t="n">
        <f aca="false">CHOOSE(Premissas!$B$6,Cenários!AW16,Cenários!AW62,Cenários!AW108)</f>
        <v>28528</v>
      </c>
      <c r="AX15" s="80" t="n">
        <f aca="false">CHOOSE(Premissas!$B$6,Cenários!AX16,Cenários!AX62,Cenários!AX108)</f>
        <v>30821</v>
      </c>
      <c r="AY15" s="80" t="n">
        <f aca="false">CHOOSE(Premissas!$B$6,Cenários!AY16,Cenários!AY62,Cenários!AY108)</f>
        <v>32636</v>
      </c>
      <c r="AZ15" s="80" t="n">
        <f aca="false">CHOOSE(Premissas!$B$6,Cenários!AZ16,Cenários!AZ62,Cenários!AZ108)</f>
        <v>34338</v>
      </c>
      <c r="BA15" s="80" t="n">
        <f aca="false">CHOOSE(Premissas!$B$6,Cenários!BA16,Cenários!BA62,Cenários!BA108)</f>
        <v>35933</v>
      </c>
      <c r="BB15" s="80" t="n">
        <f aca="false">CHOOSE(Premissas!$B$6,Cenários!BB16,Cenários!BB62,Cenários!BB108)</f>
        <v>37428</v>
      </c>
      <c r="BC15" s="80" t="n">
        <f aca="false">CHOOSE(Premissas!$B$6,Cenários!BC16,Cenários!BC62,Cenários!BC108)</f>
        <v>38830</v>
      </c>
      <c r="BD15" s="80" t="n">
        <f aca="false">CHOOSE(Premissas!$B$6,Cenários!BD16,Cenários!BD62,Cenários!BD108)</f>
        <v>40145</v>
      </c>
      <c r="BE15" s="80" t="n">
        <f aca="false">CHOOSE(Premissas!$B$6,Cenários!BE16,Cenários!BE62,Cenários!BE108)</f>
        <v>41378</v>
      </c>
      <c r="BF15" s="80" t="n">
        <f aca="false">CHOOSE(Premissas!$B$6,Cenários!BF16,Cenários!BF62,Cenários!BF108)</f>
        <v>42532</v>
      </c>
      <c r="BG15" s="80" t="n">
        <f aca="false">CHOOSE(Premissas!$B$6,Cenários!BG16,Cenários!BG62,Cenários!BG108)</f>
        <v>43616</v>
      </c>
      <c r="BH15" s="80" t="n">
        <f aca="false">CHOOSE(Premissas!$B$6,Cenários!BH16,Cenários!BH62,Cenários!BH108)</f>
        <v>44632</v>
      </c>
      <c r="BI15" s="80" t="n">
        <f aca="false">CHOOSE(Premissas!$B$6,Cenários!BI16,Cenários!BI62,Cenários!BI108)</f>
        <v>45584</v>
      </c>
      <c r="BJ15" s="134" t="n">
        <f aca="false">BI15</f>
        <v>45584</v>
      </c>
      <c r="BK15" s="29" t="s">
        <v>836</v>
      </c>
    </row>
    <row r="16" customFormat="false" ht="15" hidden="false" customHeight="false" outlineLevel="0" collapsed="false">
      <c r="A16" s="27" t="s">
        <v>842</v>
      </c>
      <c r="B16" s="80" t="n">
        <f aca="false">CHOOSE(Premissas!$B$6,Cenários!B17,Cenários!B63,Cenários!B109)</f>
        <v>0</v>
      </c>
      <c r="C16" s="80" t="n">
        <f aca="false">CHOOSE(Premissas!$B$6,Cenários!C17,Cenários!C63,Cenários!C109)</f>
        <v>0</v>
      </c>
      <c r="D16" s="80" t="n">
        <f aca="false">CHOOSE(Premissas!$B$6,Cenários!D17,Cenários!D63,Cenários!D109)</f>
        <v>0</v>
      </c>
      <c r="E16" s="80" t="n">
        <f aca="false">CHOOSE(Premissas!$B$6,Cenários!E17,Cenários!E63,Cenários!E109)</f>
        <v>0</v>
      </c>
      <c r="F16" s="80" t="n">
        <f aca="false">CHOOSE(Premissas!$B$6,Cenários!F17,Cenários!F63,Cenários!F109)</f>
        <v>0</v>
      </c>
      <c r="G16" s="80" t="n">
        <f aca="false">CHOOSE(Premissas!$B$6,Cenários!G17,Cenários!G63,Cenários!G109)</f>
        <v>0</v>
      </c>
      <c r="H16" s="80" t="n">
        <f aca="false">CHOOSE(Premissas!$B$6,Cenários!H17,Cenários!H63,Cenários!H109)</f>
        <v>0</v>
      </c>
      <c r="I16" s="80" t="n">
        <f aca="false">CHOOSE(Premissas!$B$6,Cenários!I17,Cenários!I63,Cenários!I109)</f>
        <v>0</v>
      </c>
      <c r="J16" s="80" t="n">
        <f aca="false">CHOOSE(Premissas!$B$6,Cenários!J17,Cenários!J63,Cenários!J109)</f>
        <v>0</v>
      </c>
      <c r="K16" s="80" t="n">
        <f aca="false">CHOOSE(Premissas!$B$6,Cenários!K17,Cenários!K63,Cenários!K109)</f>
        <v>0</v>
      </c>
      <c r="L16" s="80" t="n">
        <f aca="false">CHOOSE(Premissas!$B$6,Cenários!L17,Cenários!L63,Cenários!L109)</f>
        <v>0</v>
      </c>
      <c r="M16" s="80" t="n">
        <f aca="false">CHOOSE(Premissas!$B$6,Cenários!M17,Cenários!M63,Cenários!M109)</f>
        <v>0</v>
      </c>
      <c r="N16" s="80" t="n">
        <f aca="false">CHOOSE(Premissas!$B$6,Cenários!N17,Cenários!N63,Cenários!N109)</f>
        <v>0</v>
      </c>
      <c r="O16" s="80" t="n">
        <f aca="false">CHOOSE(Premissas!$B$6,Cenários!O17,Cenários!O63,Cenários!O109)</f>
        <v>0</v>
      </c>
      <c r="P16" s="80" t="n">
        <f aca="false">CHOOSE(Premissas!$B$6,Cenários!P17,Cenários!P63,Cenários!P109)</f>
        <v>0</v>
      </c>
      <c r="Q16" s="80" t="n">
        <f aca="false">CHOOSE(Premissas!$B$6,Cenários!Q17,Cenários!Q63,Cenários!Q109)</f>
        <v>1587</v>
      </c>
      <c r="R16" s="80" t="n">
        <f aca="false">CHOOSE(Premissas!$B$6,Cenários!R17,Cenários!R63,Cenários!R109)</f>
        <v>1790</v>
      </c>
      <c r="S16" s="80" t="n">
        <f aca="false">CHOOSE(Premissas!$B$6,Cenários!S17,Cenários!S63,Cenários!S109)</f>
        <v>1978</v>
      </c>
      <c r="T16" s="80" t="n">
        <f aca="false">CHOOSE(Premissas!$B$6,Cenários!T17,Cenários!T63,Cenários!T109)</f>
        <v>2152</v>
      </c>
      <c r="U16" s="80" t="n">
        <f aca="false">CHOOSE(Premissas!$B$6,Cenários!U17,Cenários!U63,Cenários!U109)</f>
        <v>2313</v>
      </c>
      <c r="V16" s="80" t="n">
        <f aca="false">CHOOSE(Premissas!$B$6,Cenários!V17,Cenários!V63,Cenários!V109)</f>
        <v>2461</v>
      </c>
      <c r="W16" s="80" t="n">
        <f aca="false">CHOOSE(Premissas!$B$6,Cenários!W17,Cenários!W63,Cenários!W109)</f>
        <v>2599</v>
      </c>
      <c r="X16" s="80" t="n">
        <f aca="false">CHOOSE(Premissas!$B$6,Cenários!X17,Cenários!X63,Cenários!X109)</f>
        <v>2726</v>
      </c>
      <c r="Y16" s="80" t="n">
        <f aca="false">CHOOSE(Premissas!$B$6,Cenários!Y17,Cenários!Y63,Cenários!Y109)</f>
        <v>2843</v>
      </c>
      <c r="Z16" s="80" t="n">
        <f aca="false">CHOOSE(Premissas!$B$6,Cenários!Z17,Cenários!Z63,Cenários!Z109)</f>
        <v>3683</v>
      </c>
      <c r="AA16" s="80" t="n">
        <f aca="false">CHOOSE(Premissas!$B$6,Cenários!AA17,Cenários!AA63,Cenários!AA109)</f>
        <v>3993</v>
      </c>
      <c r="AB16" s="80" t="n">
        <f aca="false">CHOOSE(Premissas!$B$6,Cenários!AB17,Cenários!AB63,Cenários!AB109)</f>
        <v>4281</v>
      </c>
      <c r="AC16" s="80" t="n">
        <f aca="false">CHOOSE(Premissas!$B$6,Cenários!AC17,Cenários!AC63,Cenários!AC109)</f>
        <v>4548</v>
      </c>
      <c r="AD16" s="80" t="n">
        <f aca="false">CHOOSE(Premissas!$B$6,Cenários!AD17,Cenários!AD63,Cenários!AD109)</f>
        <v>4797</v>
      </c>
      <c r="AE16" s="80" t="n">
        <f aca="false">CHOOSE(Premissas!$B$6,Cenários!AE17,Cenários!AE63,Cenários!AE109)</f>
        <v>5028</v>
      </c>
      <c r="AF16" s="80" t="n">
        <f aca="false">CHOOSE(Premissas!$B$6,Cenários!AF17,Cenários!AF63,Cenários!AF109)</f>
        <v>5242</v>
      </c>
      <c r="AG16" s="80" t="n">
        <f aca="false">CHOOSE(Premissas!$B$6,Cenários!AG17,Cenários!AG63,Cenários!AG109)</f>
        <v>5442</v>
      </c>
      <c r="AH16" s="80" t="n">
        <f aca="false">CHOOSE(Premissas!$B$6,Cenários!AH17,Cenários!AH63,Cenários!AH109)</f>
        <v>5627</v>
      </c>
      <c r="AI16" s="80" t="n">
        <f aca="false">CHOOSE(Premissas!$B$6,Cenários!AI17,Cenários!AI63,Cenários!AI109)</f>
        <v>5799</v>
      </c>
      <c r="AJ16" s="80" t="n">
        <f aca="false">CHOOSE(Premissas!$B$6,Cenários!AJ17,Cenários!AJ63,Cenários!AJ109)</f>
        <v>5959</v>
      </c>
      <c r="AK16" s="80" t="n">
        <f aca="false">CHOOSE(Premissas!$B$6,Cenários!AK17,Cenários!AK63,Cenários!AK109)</f>
        <v>6108</v>
      </c>
      <c r="AL16" s="80" t="n">
        <f aca="false">CHOOSE(Premissas!$B$6,Cenários!AL17,Cenários!AL63,Cenários!AL109)</f>
        <v>7672</v>
      </c>
      <c r="AM16" s="80" t="n">
        <f aca="false">CHOOSE(Premissas!$B$6,Cenários!AM17,Cenários!AM63,Cenários!AM109)</f>
        <v>8163</v>
      </c>
      <c r="AN16" s="80" t="n">
        <f aca="false">CHOOSE(Premissas!$B$6,Cenários!AN17,Cenários!AN63,Cenários!AN109)</f>
        <v>8621</v>
      </c>
      <c r="AO16" s="80" t="n">
        <f aca="false">CHOOSE(Premissas!$B$6,Cenários!AO17,Cenários!AO63,Cenários!AO109)</f>
        <v>9048</v>
      </c>
      <c r="AP16" s="80" t="n">
        <f aca="false">CHOOSE(Premissas!$B$6,Cenários!AP17,Cenários!AP63,Cenários!AP109)</f>
        <v>9447</v>
      </c>
      <c r="AQ16" s="80" t="n">
        <f aca="false">CHOOSE(Premissas!$B$6,Cenários!AQ17,Cenários!AQ63,Cenários!AQ109)</f>
        <v>9820</v>
      </c>
      <c r="AR16" s="80" t="n">
        <f aca="false">CHOOSE(Premissas!$B$6,Cenários!AR17,Cenários!AR63,Cenários!AR109)</f>
        <v>10168</v>
      </c>
      <c r="AS16" s="80" t="n">
        <f aca="false">CHOOSE(Premissas!$B$6,Cenários!AS17,Cenários!AS63,Cenários!AS109)</f>
        <v>10493</v>
      </c>
      <c r="AT16" s="80" t="n">
        <f aca="false">CHOOSE(Premissas!$B$6,Cenários!AT17,Cenários!AT63,Cenários!AT109)</f>
        <v>10796</v>
      </c>
      <c r="AU16" s="80" t="n">
        <f aca="false">CHOOSE(Premissas!$B$6,Cenários!AU17,Cenários!AU63,Cenários!AU109)</f>
        <v>11079</v>
      </c>
      <c r="AV16" s="80" t="n">
        <f aca="false">CHOOSE(Premissas!$B$6,Cenários!AV17,Cenários!AV63,Cenários!AV109)</f>
        <v>11343</v>
      </c>
      <c r="AW16" s="80" t="n">
        <f aca="false">CHOOSE(Premissas!$B$6,Cenários!AW17,Cenários!AW63,Cenários!AW109)</f>
        <v>11590</v>
      </c>
      <c r="AX16" s="80" t="n">
        <f aca="false">CHOOSE(Premissas!$B$6,Cenários!AX17,Cenários!AX63,Cenários!AX109)</f>
        <v>14383</v>
      </c>
      <c r="AY16" s="80" t="n">
        <f aca="false">CHOOSE(Premissas!$B$6,Cenários!AY17,Cenários!AY63,Cenários!AY109)</f>
        <v>15230</v>
      </c>
      <c r="AZ16" s="80" t="n">
        <f aca="false">CHOOSE(Premissas!$B$6,Cenários!AZ17,Cenários!AZ63,Cenários!AZ109)</f>
        <v>16024</v>
      </c>
      <c r="BA16" s="80" t="n">
        <f aca="false">CHOOSE(Premissas!$B$6,Cenários!BA17,Cenários!BA63,Cenários!BA109)</f>
        <v>16768</v>
      </c>
      <c r="BB16" s="80" t="n">
        <f aca="false">CHOOSE(Premissas!$B$6,Cenários!BB17,Cenários!BB63,Cenários!BB109)</f>
        <v>17466</v>
      </c>
      <c r="BC16" s="80" t="n">
        <f aca="false">CHOOSE(Premissas!$B$6,Cenários!BC17,Cenários!BC63,Cenários!BC109)</f>
        <v>18121</v>
      </c>
      <c r="BD16" s="80" t="n">
        <f aca="false">CHOOSE(Premissas!$B$6,Cenários!BD17,Cenários!BD63,Cenários!BD109)</f>
        <v>18734</v>
      </c>
      <c r="BE16" s="80" t="n">
        <f aca="false">CHOOSE(Premissas!$B$6,Cenários!BE17,Cenários!BE63,Cenários!BE109)</f>
        <v>19309</v>
      </c>
      <c r="BF16" s="80" t="n">
        <f aca="false">CHOOSE(Premissas!$B$6,Cenários!BF17,Cenários!BF63,Cenários!BF109)</f>
        <v>19849</v>
      </c>
      <c r="BG16" s="80" t="n">
        <f aca="false">CHOOSE(Premissas!$B$6,Cenários!BG17,Cenários!BG63,Cenários!BG109)</f>
        <v>20354</v>
      </c>
      <c r="BH16" s="80" t="n">
        <f aca="false">CHOOSE(Premissas!$B$6,Cenários!BH17,Cenários!BH63,Cenários!BH109)</f>
        <v>20828</v>
      </c>
      <c r="BI16" s="80" t="n">
        <f aca="false">CHOOSE(Premissas!$B$6,Cenários!BI17,Cenários!BI63,Cenários!BI109)</f>
        <v>21272</v>
      </c>
      <c r="BJ16" s="134" t="n">
        <f aca="false">BI16</f>
        <v>21272</v>
      </c>
      <c r="BK16" s="29" t="s">
        <v>836</v>
      </c>
    </row>
    <row r="17" customFormat="false" ht="15" hidden="false" customHeight="false" outlineLevel="0" collapsed="false">
      <c r="A17" s="27" t="s">
        <v>843</v>
      </c>
      <c r="B17" s="80" t="n">
        <f aca="false">CHOOSE(Premissas!$B$6,Cenários!B18,Cenários!B64,Cenários!B110)</f>
        <v>0</v>
      </c>
      <c r="C17" s="80" t="n">
        <f aca="false">CHOOSE(Premissas!$B$6,Cenários!C18,Cenários!C64,Cenários!C110)</f>
        <v>0</v>
      </c>
      <c r="D17" s="80" t="n">
        <f aca="false">CHOOSE(Premissas!$B$6,Cenários!D18,Cenários!D64,Cenários!D110)</f>
        <v>0</v>
      </c>
      <c r="E17" s="80" t="n">
        <f aca="false">CHOOSE(Premissas!$B$6,Cenários!E18,Cenários!E64,Cenários!E110)</f>
        <v>0</v>
      </c>
      <c r="F17" s="80" t="n">
        <f aca="false">CHOOSE(Premissas!$B$6,Cenários!F18,Cenários!F64,Cenários!F110)</f>
        <v>0</v>
      </c>
      <c r="G17" s="80" t="n">
        <f aca="false">CHOOSE(Premissas!$B$6,Cenários!G18,Cenários!G64,Cenários!G110)</f>
        <v>0</v>
      </c>
      <c r="H17" s="80" t="n">
        <f aca="false">CHOOSE(Premissas!$B$6,Cenários!H18,Cenários!H64,Cenários!H110)</f>
        <v>0</v>
      </c>
      <c r="I17" s="80" t="n">
        <f aca="false">CHOOSE(Premissas!$B$6,Cenários!I18,Cenários!I64,Cenários!I110)</f>
        <v>0</v>
      </c>
      <c r="J17" s="80" t="n">
        <f aca="false">CHOOSE(Premissas!$B$6,Cenários!J18,Cenários!J64,Cenários!J110)</f>
        <v>0</v>
      </c>
      <c r="K17" s="80" t="n">
        <f aca="false">CHOOSE(Premissas!$B$6,Cenários!K18,Cenários!K64,Cenários!K110)</f>
        <v>0</v>
      </c>
      <c r="L17" s="80" t="n">
        <f aca="false">CHOOSE(Premissas!$B$6,Cenários!L18,Cenários!L64,Cenários!L110)</f>
        <v>0</v>
      </c>
      <c r="M17" s="80" t="n">
        <f aca="false">CHOOSE(Premissas!$B$6,Cenários!M18,Cenários!M64,Cenários!M110)</f>
        <v>0</v>
      </c>
      <c r="N17" s="80" t="n">
        <f aca="false">CHOOSE(Premissas!$B$6,Cenários!N18,Cenários!N64,Cenários!N110)</f>
        <v>0</v>
      </c>
      <c r="O17" s="80" t="n">
        <f aca="false">CHOOSE(Premissas!$B$6,Cenários!O18,Cenários!O64,Cenários!O110)</f>
        <v>0</v>
      </c>
      <c r="P17" s="80" t="n">
        <f aca="false">CHOOSE(Premissas!$B$6,Cenários!P18,Cenários!P64,Cenários!P110)</f>
        <v>0</v>
      </c>
      <c r="Q17" s="80" t="n">
        <f aca="false">CHOOSE(Premissas!$B$6,Cenários!Q18,Cenários!Q64,Cenários!Q110)</f>
        <v>0</v>
      </c>
      <c r="R17" s="80" t="n">
        <f aca="false">CHOOSE(Premissas!$B$6,Cenários!R18,Cenários!R64,Cenários!R110)</f>
        <v>0</v>
      </c>
      <c r="S17" s="80" t="n">
        <f aca="false">CHOOSE(Premissas!$B$6,Cenários!S18,Cenários!S64,Cenários!S110)</f>
        <v>0</v>
      </c>
      <c r="T17" s="80" t="n">
        <f aca="false">CHOOSE(Premissas!$B$6,Cenários!T18,Cenários!T64,Cenários!T110)</f>
        <v>0</v>
      </c>
      <c r="U17" s="80" t="n">
        <f aca="false">CHOOSE(Premissas!$B$6,Cenários!U18,Cenários!U64,Cenários!U110)</f>
        <v>0</v>
      </c>
      <c r="V17" s="80" t="n">
        <f aca="false">CHOOSE(Premissas!$B$6,Cenários!V18,Cenários!V64,Cenários!V110)</f>
        <v>0</v>
      </c>
      <c r="W17" s="80" t="n">
        <f aca="false">CHOOSE(Premissas!$B$6,Cenários!W18,Cenários!W64,Cenários!W110)</f>
        <v>709</v>
      </c>
      <c r="X17" s="80" t="n">
        <f aca="false">CHOOSE(Premissas!$B$6,Cenários!X18,Cenários!X64,Cenários!X110)</f>
        <v>743</v>
      </c>
      <c r="Y17" s="80" t="n">
        <f aca="false">CHOOSE(Premissas!$B$6,Cenários!Y18,Cenários!Y64,Cenários!Y110)</f>
        <v>775</v>
      </c>
      <c r="Z17" s="80" t="n">
        <f aca="false">CHOOSE(Premissas!$B$6,Cenários!Z18,Cenários!Z64,Cenários!Z110)</f>
        <v>1228</v>
      </c>
      <c r="AA17" s="80" t="n">
        <f aca="false">CHOOSE(Premissas!$B$6,Cenários!AA18,Cenários!AA64,Cenários!AA110)</f>
        <v>1331</v>
      </c>
      <c r="AB17" s="80" t="n">
        <f aca="false">CHOOSE(Premissas!$B$6,Cenários!AB18,Cenários!AB64,Cenários!AB110)</f>
        <v>1427</v>
      </c>
      <c r="AC17" s="80" t="n">
        <f aca="false">CHOOSE(Premissas!$B$6,Cenários!AC18,Cenários!AC64,Cenários!AC110)</f>
        <v>1516</v>
      </c>
      <c r="AD17" s="80" t="n">
        <f aca="false">CHOOSE(Premissas!$B$6,Cenários!AD18,Cenários!AD64,Cenários!AD110)</f>
        <v>1599</v>
      </c>
      <c r="AE17" s="80" t="n">
        <f aca="false">CHOOSE(Premissas!$B$6,Cenários!AE18,Cenários!AE64,Cenários!AE110)</f>
        <v>1676</v>
      </c>
      <c r="AF17" s="80" t="n">
        <f aca="false">CHOOSE(Premissas!$B$6,Cenários!AF18,Cenários!AF64,Cenários!AF110)</f>
        <v>1747</v>
      </c>
      <c r="AG17" s="80" t="n">
        <f aca="false">CHOOSE(Premissas!$B$6,Cenários!AG18,Cenários!AG64,Cenários!AG110)</f>
        <v>1814</v>
      </c>
      <c r="AH17" s="80" t="n">
        <f aca="false">CHOOSE(Premissas!$B$6,Cenários!AH18,Cenários!AH64,Cenários!AH110)</f>
        <v>1876</v>
      </c>
      <c r="AI17" s="80" t="n">
        <f aca="false">CHOOSE(Premissas!$B$6,Cenários!AI18,Cenários!AI64,Cenários!AI110)</f>
        <v>1933</v>
      </c>
      <c r="AJ17" s="80" t="n">
        <f aca="false">CHOOSE(Premissas!$B$6,Cenários!AJ18,Cenários!AJ64,Cenários!AJ110)</f>
        <v>1986</v>
      </c>
      <c r="AK17" s="80" t="n">
        <f aca="false">CHOOSE(Premissas!$B$6,Cenários!AK18,Cenários!AK64,Cenários!AK110)</f>
        <v>2036</v>
      </c>
      <c r="AL17" s="80" t="n">
        <f aca="false">CHOOSE(Premissas!$B$6,Cenários!AL18,Cenários!AL64,Cenários!AL110)</f>
        <v>2951</v>
      </c>
      <c r="AM17" s="80" t="n">
        <f aca="false">CHOOSE(Premissas!$B$6,Cenários!AM18,Cenários!AM64,Cenários!AM110)</f>
        <v>3140</v>
      </c>
      <c r="AN17" s="80" t="n">
        <f aca="false">CHOOSE(Premissas!$B$6,Cenários!AN18,Cenários!AN64,Cenários!AN110)</f>
        <v>3316</v>
      </c>
      <c r="AO17" s="80" t="n">
        <f aca="false">CHOOSE(Premissas!$B$6,Cenários!AO18,Cenários!AO64,Cenários!AO110)</f>
        <v>3480</v>
      </c>
      <c r="AP17" s="80" t="n">
        <f aca="false">CHOOSE(Premissas!$B$6,Cenários!AP18,Cenários!AP64,Cenários!AP110)</f>
        <v>3634</v>
      </c>
      <c r="AQ17" s="80" t="n">
        <f aca="false">CHOOSE(Premissas!$B$6,Cenários!AQ18,Cenários!AQ64,Cenários!AQ110)</f>
        <v>3777</v>
      </c>
      <c r="AR17" s="80" t="n">
        <f aca="false">CHOOSE(Premissas!$B$6,Cenários!AR18,Cenários!AR64,Cenários!AR110)</f>
        <v>3911</v>
      </c>
      <c r="AS17" s="80" t="n">
        <f aca="false">CHOOSE(Premissas!$B$6,Cenários!AS18,Cenários!AS64,Cenários!AS110)</f>
        <v>4036</v>
      </c>
      <c r="AT17" s="80" t="n">
        <f aca="false">CHOOSE(Premissas!$B$6,Cenários!AT18,Cenários!AT64,Cenários!AT110)</f>
        <v>4152</v>
      </c>
      <c r="AU17" s="80" t="n">
        <f aca="false">CHOOSE(Premissas!$B$6,Cenários!AU18,Cenários!AU64,Cenários!AU110)</f>
        <v>4261</v>
      </c>
      <c r="AV17" s="80" t="n">
        <f aca="false">CHOOSE(Premissas!$B$6,Cenários!AV18,Cenários!AV64,Cenários!AV110)</f>
        <v>4363</v>
      </c>
      <c r="AW17" s="80" t="n">
        <f aca="false">CHOOSE(Premissas!$B$6,Cenários!AW18,Cenários!AW64,Cenários!AW110)</f>
        <v>4458</v>
      </c>
      <c r="AX17" s="80" t="n">
        <f aca="false">CHOOSE(Premissas!$B$6,Cenários!AX18,Cenários!AX64,Cenários!AX110)</f>
        <v>6164</v>
      </c>
      <c r="AY17" s="80" t="n">
        <f aca="false">CHOOSE(Premissas!$B$6,Cenários!AY18,Cenários!AY64,Cenários!AY110)</f>
        <v>6527</v>
      </c>
      <c r="AZ17" s="80" t="n">
        <f aca="false">CHOOSE(Premissas!$B$6,Cenários!AZ18,Cenários!AZ64,Cenários!AZ110)</f>
        <v>6867</v>
      </c>
      <c r="BA17" s="80" t="n">
        <f aca="false">CHOOSE(Premissas!$B$6,Cenários!BA18,Cenários!BA64,Cenários!BA110)</f>
        <v>7186</v>
      </c>
      <c r="BB17" s="80" t="n">
        <f aca="false">CHOOSE(Premissas!$B$6,Cenários!BB18,Cenários!BB64,Cenários!BB110)</f>
        <v>7486</v>
      </c>
      <c r="BC17" s="80" t="n">
        <f aca="false">CHOOSE(Premissas!$B$6,Cenários!BC18,Cenários!BC64,Cenários!BC110)</f>
        <v>7766</v>
      </c>
      <c r="BD17" s="80" t="n">
        <f aca="false">CHOOSE(Premissas!$B$6,Cenários!BD18,Cenários!BD64,Cenários!BD110)</f>
        <v>8029</v>
      </c>
      <c r="BE17" s="80" t="n">
        <f aca="false">CHOOSE(Premissas!$B$6,Cenários!BE18,Cenários!BE64,Cenários!BE110)</f>
        <v>8275</v>
      </c>
      <c r="BF17" s="80" t="n">
        <f aca="false">CHOOSE(Premissas!$B$6,Cenários!BF18,Cenários!BF64,Cenários!BF110)</f>
        <v>8507</v>
      </c>
      <c r="BG17" s="80" t="n">
        <f aca="false">CHOOSE(Premissas!$B$6,Cenários!BG18,Cenários!BG64,Cenários!BG110)</f>
        <v>8723</v>
      </c>
      <c r="BH17" s="80" t="n">
        <f aca="false">CHOOSE(Premissas!$B$6,Cenários!BH18,Cenários!BH64,Cenários!BH110)</f>
        <v>8926</v>
      </c>
      <c r="BI17" s="80" t="n">
        <f aca="false">CHOOSE(Premissas!$B$6,Cenários!BI18,Cenários!BI64,Cenários!BI110)</f>
        <v>9117</v>
      </c>
      <c r="BJ17" s="134" t="n">
        <f aca="false">BI17</f>
        <v>9117</v>
      </c>
      <c r="BK17" s="29" t="s">
        <v>836</v>
      </c>
    </row>
    <row r="18" customFormat="false" ht="15" hidden="false" customHeight="false" outlineLevel="0" collapsed="false">
      <c r="A18" s="27" t="s">
        <v>844</v>
      </c>
      <c r="B18" s="80" t="n">
        <f aca="false">CHOOSE(Premissas!$B$6,Cenários!B19,Cenários!B65,Cenários!B111)</f>
        <v>0</v>
      </c>
      <c r="C18" s="80" t="n">
        <f aca="false">CHOOSE(Premissas!$B$6,Cenários!C19,Cenários!C65,Cenários!C111)</f>
        <v>0</v>
      </c>
      <c r="D18" s="80" t="n">
        <f aca="false">CHOOSE(Premissas!$B$6,Cenários!D19,Cenários!D65,Cenários!D111)</f>
        <v>0</v>
      </c>
      <c r="E18" s="80" t="n">
        <f aca="false">CHOOSE(Premissas!$B$6,Cenários!E19,Cenários!E65,Cenários!E111)</f>
        <v>0</v>
      </c>
      <c r="F18" s="80" t="n">
        <f aca="false">CHOOSE(Premissas!$B$6,Cenários!F19,Cenários!F65,Cenários!F111)</f>
        <v>0</v>
      </c>
      <c r="G18" s="80" t="n">
        <f aca="false">CHOOSE(Premissas!$B$6,Cenários!G19,Cenários!G65,Cenários!G111)</f>
        <v>0</v>
      </c>
      <c r="H18" s="80" t="n">
        <f aca="false">CHOOSE(Premissas!$B$6,Cenários!H19,Cenários!H65,Cenários!H111)</f>
        <v>0</v>
      </c>
      <c r="I18" s="80" t="n">
        <f aca="false">CHOOSE(Premissas!$B$6,Cenários!I19,Cenários!I65,Cenários!I111)</f>
        <v>0</v>
      </c>
      <c r="J18" s="80" t="n">
        <f aca="false">CHOOSE(Premissas!$B$6,Cenários!J19,Cenários!J65,Cenários!J111)</f>
        <v>0</v>
      </c>
      <c r="K18" s="80" t="n">
        <f aca="false">CHOOSE(Premissas!$B$6,Cenários!K19,Cenários!K65,Cenários!K111)</f>
        <v>0</v>
      </c>
      <c r="L18" s="80" t="n">
        <f aca="false">CHOOSE(Premissas!$B$6,Cenários!L19,Cenários!L65,Cenários!L111)</f>
        <v>0</v>
      </c>
      <c r="M18" s="80" t="n">
        <f aca="false">CHOOSE(Premissas!$B$6,Cenários!M19,Cenários!M65,Cenários!M111)</f>
        <v>0</v>
      </c>
      <c r="N18" s="80" t="n">
        <f aca="false">CHOOSE(Premissas!$B$6,Cenários!N19,Cenários!N65,Cenários!N111)</f>
        <v>0</v>
      </c>
      <c r="O18" s="80" t="n">
        <f aca="false">CHOOSE(Premissas!$B$6,Cenários!O19,Cenários!O65,Cenários!O111)</f>
        <v>0</v>
      </c>
      <c r="P18" s="80" t="n">
        <f aca="false">CHOOSE(Premissas!$B$6,Cenários!P19,Cenários!P65,Cenários!P111)</f>
        <v>0</v>
      </c>
      <c r="Q18" s="80" t="n">
        <f aca="false">CHOOSE(Premissas!$B$6,Cenários!Q19,Cenários!Q65,Cenários!Q111)</f>
        <v>0</v>
      </c>
      <c r="R18" s="80" t="n">
        <f aca="false">CHOOSE(Premissas!$B$6,Cenários!R19,Cenários!R65,Cenários!R111)</f>
        <v>0</v>
      </c>
      <c r="S18" s="80" t="n">
        <f aca="false">CHOOSE(Premissas!$B$6,Cenários!S19,Cenários!S65,Cenários!S111)</f>
        <v>0</v>
      </c>
      <c r="T18" s="80" t="n">
        <f aca="false">CHOOSE(Premissas!$B$6,Cenários!T19,Cenários!T65,Cenários!T111)</f>
        <v>0</v>
      </c>
      <c r="U18" s="80" t="n">
        <f aca="false">CHOOSE(Premissas!$B$6,Cenários!U19,Cenários!U65,Cenários!U111)</f>
        <v>0</v>
      </c>
      <c r="V18" s="80" t="n">
        <f aca="false">CHOOSE(Premissas!$B$6,Cenários!V19,Cenários!V65,Cenários!V111)</f>
        <v>0</v>
      </c>
      <c r="W18" s="80" t="n">
        <f aca="false">CHOOSE(Premissas!$B$6,Cenários!W19,Cenários!W65,Cenários!W111)</f>
        <v>0</v>
      </c>
      <c r="X18" s="80" t="n">
        <f aca="false">CHOOSE(Premissas!$B$6,Cenários!X19,Cenários!X65,Cenários!X111)</f>
        <v>0</v>
      </c>
      <c r="Y18" s="80" t="n">
        <f aca="false">CHOOSE(Premissas!$B$6,Cenários!Y19,Cenários!Y65,Cenários!Y111)</f>
        <v>0</v>
      </c>
      <c r="Z18" s="80" t="n">
        <f aca="false">CHOOSE(Premissas!$B$6,Cenários!Z19,Cenários!Z65,Cenários!Z111)</f>
        <v>78944</v>
      </c>
      <c r="AA18" s="80" t="n">
        <f aca="false">CHOOSE(Premissas!$B$6,Cenários!AA19,Cenários!AA65,Cenários!AA111)</f>
        <v>85581</v>
      </c>
      <c r="AB18" s="80" t="n">
        <f aca="false">CHOOSE(Premissas!$B$6,Cenários!AB19,Cenários!AB65,Cenários!AB111)</f>
        <v>91749</v>
      </c>
      <c r="AC18" s="80" t="n">
        <f aca="false">CHOOSE(Premissas!$B$6,Cenários!AC19,Cenários!AC65,Cenários!AC111)</f>
        <v>97481</v>
      </c>
      <c r="AD18" s="80" t="n">
        <f aca="false">CHOOSE(Premissas!$B$6,Cenários!AD19,Cenários!AD65,Cenários!AD111)</f>
        <v>102807</v>
      </c>
      <c r="AE18" s="80" t="n">
        <f aca="false">CHOOSE(Premissas!$B$6,Cenários!AE19,Cenários!AE65,Cenários!AE111)</f>
        <v>107758</v>
      </c>
      <c r="AF18" s="80" t="n">
        <f aca="false">CHOOSE(Premissas!$B$6,Cenários!AF19,Cenários!AF65,Cenários!AF111)</f>
        <v>112358</v>
      </c>
      <c r="AG18" s="80" t="n">
        <f aca="false">CHOOSE(Premissas!$B$6,Cenários!AG19,Cenários!AG65,Cenários!AG111)</f>
        <v>116633</v>
      </c>
      <c r="AH18" s="80" t="n">
        <f aca="false">CHOOSE(Premissas!$B$6,Cenários!AH19,Cenários!AH65,Cenários!AH111)</f>
        <v>120606</v>
      </c>
      <c r="AI18" s="80" t="n">
        <f aca="false">CHOOSE(Premissas!$B$6,Cenários!AI19,Cenários!AI65,Cenários!AI111)</f>
        <v>124298</v>
      </c>
      <c r="AJ18" s="80" t="n">
        <f aca="false">CHOOSE(Premissas!$B$6,Cenários!AJ19,Cenários!AJ65,Cenários!AJ111)</f>
        <v>127729</v>
      </c>
      <c r="AK18" s="80" t="n">
        <f aca="false">CHOOSE(Premissas!$B$6,Cenários!AK19,Cenários!AK65,Cenários!AK111)</f>
        <v>130918</v>
      </c>
      <c r="AL18" s="80" t="n">
        <f aca="false">CHOOSE(Premissas!$B$6,Cenários!AL19,Cenários!AL65,Cenários!AL111)</f>
        <v>149915</v>
      </c>
      <c r="AM18" s="80" t="n">
        <f aca="false">CHOOSE(Premissas!$B$6,Cenários!AM19,Cenários!AM65,Cenários!AM111)</f>
        <v>159501</v>
      </c>
      <c r="AN18" s="80" t="n">
        <f aca="false">CHOOSE(Premissas!$B$6,Cenários!AN19,Cenários!AN65,Cenários!AN111)</f>
        <v>168451</v>
      </c>
      <c r="AO18" s="80" t="n">
        <f aca="false">CHOOSE(Premissas!$B$6,Cenários!AO19,Cenários!AO65,Cenários!AO111)</f>
        <v>176806</v>
      </c>
      <c r="AP18" s="80" t="n">
        <f aca="false">CHOOSE(Premissas!$B$6,Cenários!AP19,Cenários!AP65,Cenários!AP111)</f>
        <v>184606</v>
      </c>
      <c r="AQ18" s="80" t="n">
        <f aca="false">CHOOSE(Premissas!$B$6,Cenários!AQ19,Cenários!AQ65,Cenários!AQ111)</f>
        <v>191887</v>
      </c>
      <c r="AR18" s="80" t="n">
        <f aca="false">CHOOSE(Premissas!$B$6,Cenários!AR19,Cenários!AR65,Cenários!AR111)</f>
        <v>198685</v>
      </c>
      <c r="AS18" s="80" t="n">
        <f aca="false">CHOOSE(Premissas!$B$6,Cenários!AS19,Cenários!AS65,Cenários!AS111)</f>
        <v>205031</v>
      </c>
      <c r="AT18" s="80" t="n">
        <f aca="false">CHOOSE(Premissas!$B$6,Cenários!AT19,Cenários!AT65,Cenários!AT111)</f>
        <v>210955</v>
      </c>
      <c r="AU18" s="80" t="n">
        <f aca="false">CHOOSE(Premissas!$B$6,Cenários!AU19,Cenários!AU65,Cenários!AU111)</f>
        <v>216486</v>
      </c>
      <c r="AV18" s="80" t="n">
        <f aca="false">CHOOSE(Premissas!$B$6,Cenários!AV19,Cenários!AV65,Cenários!AV111)</f>
        <v>221649</v>
      </c>
      <c r="AW18" s="80" t="n">
        <f aca="false">CHOOSE(Premissas!$B$6,Cenários!AW19,Cenários!AW65,Cenários!AW111)</f>
        <v>226470</v>
      </c>
      <c r="AX18" s="80" t="n">
        <f aca="false">CHOOSE(Premissas!$B$6,Cenários!AX19,Cenários!AX65,Cenários!AX111)</f>
        <v>264301</v>
      </c>
      <c r="AY18" s="80" t="n">
        <f aca="false">CHOOSE(Premissas!$B$6,Cenários!AY19,Cenários!AY65,Cenários!AY111)</f>
        <v>279863</v>
      </c>
      <c r="AZ18" s="80" t="n">
        <f aca="false">CHOOSE(Premissas!$B$6,Cenários!AZ19,Cenários!AZ65,Cenários!AZ111)</f>
        <v>294454</v>
      </c>
      <c r="BA18" s="80" t="n">
        <f aca="false">CHOOSE(Premissas!$B$6,Cenários!BA19,Cenários!BA65,Cenários!BA111)</f>
        <v>308133</v>
      </c>
      <c r="BB18" s="80" t="n">
        <f aca="false">CHOOSE(Premissas!$B$6,Cenários!BB19,Cenários!BB65,Cenários!BB111)</f>
        <v>320958</v>
      </c>
      <c r="BC18" s="80" t="n">
        <f aca="false">CHOOSE(Premissas!$B$6,Cenários!BC19,Cenários!BC65,Cenários!BC111)</f>
        <v>332982</v>
      </c>
      <c r="BD18" s="80" t="n">
        <f aca="false">CHOOSE(Premissas!$B$6,Cenários!BD19,Cenários!BD65,Cenários!BD111)</f>
        <v>344255</v>
      </c>
      <c r="BE18" s="80" t="n">
        <f aca="false">CHOOSE(Premissas!$B$6,Cenários!BE19,Cenários!BE65,Cenários!BE111)</f>
        <v>354824</v>
      </c>
      <c r="BF18" s="80" t="n">
        <f aca="false">CHOOSE(Premissas!$B$6,Cenários!BF19,Cenários!BF65,Cenários!BF111)</f>
        <v>364733</v>
      </c>
      <c r="BG18" s="80" t="n">
        <f aca="false">CHOOSE(Premissas!$B$6,Cenários!BG19,Cenários!BG65,Cenários!BG111)</f>
        <v>374022</v>
      </c>
      <c r="BH18" s="80" t="n">
        <f aca="false">CHOOSE(Premissas!$B$6,Cenários!BH19,Cenários!BH65,Cenários!BH111)</f>
        <v>382732</v>
      </c>
      <c r="BI18" s="80" t="n">
        <f aca="false">CHOOSE(Premissas!$B$6,Cenários!BI19,Cenários!BI65,Cenários!BI111)</f>
        <v>390897</v>
      </c>
      <c r="BK18" s="29" t="s">
        <v>845</v>
      </c>
    </row>
    <row r="19" customFormat="false" ht="15" hidden="false" customHeight="false" outlineLevel="0" collapsed="false">
      <c r="A19" s="27" t="s">
        <v>846</v>
      </c>
      <c r="B19" s="80" t="n">
        <f aca="false">Pessoas!B41</f>
        <v>0</v>
      </c>
      <c r="C19" s="80" t="n">
        <f aca="false">Pessoas!C41</f>
        <v>0</v>
      </c>
      <c r="D19" s="80" t="n">
        <f aca="false">Pessoas!D41</f>
        <v>0</v>
      </c>
      <c r="E19" s="80" t="n">
        <f aca="false">Pessoas!E41</f>
        <v>0</v>
      </c>
      <c r="F19" s="80" t="n">
        <f aca="false">Pessoas!F41</f>
        <v>0</v>
      </c>
      <c r="G19" s="80" t="n">
        <f aca="false">Pessoas!G41</f>
        <v>0</v>
      </c>
      <c r="H19" s="80" t="n">
        <f aca="false">Pessoas!H41</f>
        <v>0</v>
      </c>
      <c r="I19" s="80" t="n">
        <f aca="false">Pessoas!I41</f>
        <v>0</v>
      </c>
      <c r="J19" s="80" t="n">
        <f aca="false">Pessoas!J41</f>
        <v>1</v>
      </c>
      <c r="K19" s="80" t="n">
        <f aca="false">Pessoas!K41</f>
        <v>1</v>
      </c>
      <c r="L19" s="80" t="n">
        <f aca="false">Pessoas!L41</f>
        <v>0</v>
      </c>
      <c r="M19" s="80" t="n">
        <f aca="false">Pessoas!M41</f>
        <v>0</v>
      </c>
      <c r="N19" s="80" t="n">
        <f aca="false">Pessoas!N41</f>
        <v>7</v>
      </c>
      <c r="O19" s="80" t="n">
        <f aca="false">Pessoas!O41</f>
        <v>7</v>
      </c>
      <c r="P19" s="80" t="n">
        <f aca="false">Pessoas!P41</f>
        <v>7</v>
      </c>
      <c r="Q19" s="80" t="n">
        <f aca="false">Pessoas!Q41</f>
        <v>7</v>
      </c>
      <c r="R19" s="80" t="n">
        <f aca="false">Pessoas!R41</f>
        <v>7</v>
      </c>
      <c r="S19" s="80" t="n">
        <f aca="false">Pessoas!S41</f>
        <v>7</v>
      </c>
      <c r="T19" s="80" t="n">
        <f aca="false">Pessoas!T41</f>
        <v>7</v>
      </c>
      <c r="U19" s="80" t="n">
        <f aca="false">Pessoas!U41</f>
        <v>7</v>
      </c>
      <c r="V19" s="80" t="n">
        <f aca="false">Pessoas!V41</f>
        <v>7</v>
      </c>
      <c r="W19" s="80" t="n">
        <f aca="false">Pessoas!W41</f>
        <v>7</v>
      </c>
      <c r="X19" s="80" t="n">
        <f aca="false">Pessoas!X41</f>
        <v>7</v>
      </c>
      <c r="Y19" s="80" t="n">
        <f aca="false">Pessoas!Y41</f>
        <v>7</v>
      </c>
      <c r="Z19" s="80" t="n">
        <f aca="false">Pessoas!Z41</f>
        <v>17</v>
      </c>
      <c r="AA19" s="80" t="n">
        <f aca="false">Pessoas!AA41</f>
        <v>17</v>
      </c>
      <c r="AB19" s="80" t="n">
        <f aca="false">Pessoas!AB41</f>
        <v>17</v>
      </c>
      <c r="AC19" s="80" t="n">
        <f aca="false">Pessoas!AC41</f>
        <v>17</v>
      </c>
      <c r="AD19" s="80" t="n">
        <f aca="false">Pessoas!AD41</f>
        <v>17</v>
      </c>
      <c r="AE19" s="80" t="n">
        <f aca="false">Pessoas!AE41</f>
        <v>17</v>
      </c>
      <c r="AF19" s="80" t="n">
        <f aca="false">Pessoas!AF41</f>
        <v>17</v>
      </c>
      <c r="AG19" s="80" t="n">
        <f aca="false">Pessoas!AG41</f>
        <v>17</v>
      </c>
      <c r="AH19" s="80" t="n">
        <f aca="false">Pessoas!AH41</f>
        <v>17</v>
      </c>
      <c r="AI19" s="80" t="n">
        <f aca="false">Pessoas!AI41</f>
        <v>17</v>
      </c>
      <c r="AJ19" s="80" t="n">
        <f aca="false">Pessoas!AJ41</f>
        <v>17</v>
      </c>
      <c r="AK19" s="80" t="n">
        <f aca="false">Pessoas!AK41</f>
        <v>17</v>
      </c>
      <c r="AL19" s="80" t="n">
        <f aca="false">Pessoas!AL41</f>
        <v>34</v>
      </c>
      <c r="AM19" s="80" t="n">
        <f aca="false">Pessoas!AM41</f>
        <v>34</v>
      </c>
      <c r="AN19" s="80" t="n">
        <f aca="false">Pessoas!AN41</f>
        <v>34</v>
      </c>
      <c r="AO19" s="80" t="n">
        <f aca="false">Pessoas!AO41</f>
        <v>34</v>
      </c>
      <c r="AP19" s="80" t="n">
        <f aca="false">Pessoas!AP41</f>
        <v>34</v>
      </c>
      <c r="AQ19" s="80" t="n">
        <f aca="false">Pessoas!AQ41</f>
        <v>34</v>
      </c>
      <c r="AR19" s="80" t="n">
        <f aca="false">Pessoas!AR41</f>
        <v>34</v>
      </c>
      <c r="AS19" s="80" t="n">
        <f aca="false">Pessoas!AS41</f>
        <v>34</v>
      </c>
      <c r="AT19" s="80" t="n">
        <f aca="false">Pessoas!AT41</f>
        <v>34</v>
      </c>
      <c r="AU19" s="80" t="n">
        <f aca="false">Pessoas!AU41</f>
        <v>34</v>
      </c>
      <c r="AV19" s="80" t="n">
        <f aca="false">Pessoas!AV41</f>
        <v>34</v>
      </c>
      <c r="AW19" s="80" t="n">
        <f aca="false">Pessoas!AW41</f>
        <v>34</v>
      </c>
      <c r="AX19" s="80" t="n">
        <f aca="false">Pessoas!AX41</f>
        <v>50</v>
      </c>
      <c r="AY19" s="80" t="n">
        <f aca="false">Pessoas!AY41</f>
        <v>50</v>
      </c>
      <c r="AZ19" s="80" t="n">
        <f aca="false">Pessoas!AZ41</f>
        <v>50</v>
      </c>
      <c r="BA19" s="80" t="n">
        <f aca="false">Pessoas!BA41</f>
        <v>50</v>
      </c>
      <c r="BB19" s="80" t="n">
        <f aca="false">Pessoas!BB41</f>
        <v>50</v>
      </c>
      <c r="BC19" s="80" t="n">
        <f aca="false">Pessoas!BC41</f>
        <v>50</v>
      </c>
      <c r="BD19" s="80" t="n">
        <f aca="false">Pessoas!BD41</f>
        <v>50</v>
      </c>
      <c r="BE19" s="80" t="n">
        <f aca="false">Pessoas!BE41</f>
        <v>50</v>
      </c>
      <c r="BF19" s="80" t="n">
        <f aca="false">Pessoas!BF41</f>
        <v>50</v>
      </c>
      <c r="BG19" s="80" t="n">
        <f aca="false">Pessoas!BG41</f>
        <v>50</v>
      </c>
      <c r="BH19" s="80" t="n">
        <f aca="false">Pessoas!BH41</f>
        <v>50</v>
      </c>
      <c r="BI19" s="80" t="n">
        <f aca="false">Pessoas!BI41</f>
        <v>50</v>
      </c>
    </row>
    <row r="20" customFormat="false" ht="15" hidden="false" customHeight="false" outlineLevel="0" collapsed="false">
      <c r="A20" s="27" t="s">
        <v>847</v>
      </c>
      <c r="B20" s="91" t="n">
        <f aca="false">B12-B14</f>
        <v>0</v>
      </c>
      <c r="C20" s="91" t="n">
        <f aca="false">C12-C14</f>
        <v>0</v>
      </c>
      <c r="D20" s="91" t="n">
        <f aca="false">D12-D14</f>
        <v>0</v>
      </c>
      <c r="E20" s="91" t="n">
        <f aca="false">E12-E14</f>
        <v>0</v>
      </c>
      <c r="F20" s="91" t="n">
        <f aca="false">F12-F14</f>
        <v>0</v>
      </c>
      <c r="G20" s="91" t="n">
        <f aca="false">G12-G14</f>
        <v>0</v>
      </c>
      <c r="H20" s="91" t="n">
        <f aca="false">H12-H14</f>
        <v>0</v>
      </c>
      <c r="I20" s="91" t="n">
        <f aca="false">I12-I14</f>
        <v>0</v>
      </c>
      <c r="J20" s="91" t="n">
        <f aca="false">J12-J14</f>
        <v>0</v>
      </c>
      <c r="K20" s="91" t="n">
        <f aca="false">K12-K14</f>
        <v>17949</v>
      </c>
      <c r="L20" s="91" t="n">
        <f aca="false">L12-L14</f>
        <v>34173</v>
      </c>
      <c r="M20" s="91" t="n">
        <f aca="false">M12-M14</f>
        <v>48819.84</v>
      </c>
      <c r="N20" s="91" t="n">
        <f aca="false">N12-N14</f>
        <v>70812.437632</v>
      </c>
      <c r="O20" s="91" t="n">
        <f aca="false">O12-O14</f>
        <v>90803.5135220736</v>
      </c>
      <c r="P20" s="91" t="n">
        <f aca="false">P12-P14</f>
        <v>108868.308505214</v>
      </c>
      <c r="Q20" s="91" t="n">
        <f aca="false">Q12-Q14</f>
        <v>126365.118905622</v>
      </c>
      <c r="R20" s="91" t="n">
        <f aca="false">R12-R14</f>
        <v>142546.044363919</v>
      </c>
      <c r="S20" s="91" t="n">
        <f aca="false">S12-S14</f>
        <v>157510.679427752</v>
      </c>
      <c r="T20" s="91" t="n">
        <f aca="false">T12-T14</f>
        <v>171349.753134785</v>
      </c>
      <c r="U20" s="91" t="n">
        <f aca="false">U12-U14</f>
        <v>184147.720499049</v>
      </c>
      <c r="V20" s="91" t="n">
        <f aca="false">V12-V14</f>
        <v>195984.309517521</v>
      </c>
      <c r="W20" s="91" t="n">
        <f aca="false">W12-W14</f>
        <v>206930.027041803</v>
      </c>
      <c r="X20" s="91" t="n">
        <f aca="false">X12-X14</f>
        <v>217052.62660826</v>
      </c>
      <c r="Y20" s="91" t="n">
        <f aca="false">Y12-Y14</f>
        <v>226414.541087319</v>
      </c>
      <c r="Z20" s="91" t="n">
        <f aca="false">Z12-Z14</f>
        <v>247798.178294938</v>
      </c>
      <c r="AA20" s="91" t="n">
        <f aca="false">AA12-AA14</f>
        <v>268631.971931626</v>
      </c>
      <c r="AB20" s="91" t="n">
        <f aca="false">AB12-AB14</f>
        <v>287992.878843723</v>
      </c>
      <c r="AC20" s="91" t="n">
        <f aca="false">AC12-AC14</f>
        <v>305985.447056018</v>
      </c>
      <c r="AD20" s="91" t="n">
        <f aca="false">AD12-AD14</f>
        <v>322705.410174522</v>
      </c>
      <c r="AE20" s="91" t="n">
        <f aca="false">AE12-AE14</f>
        <v>338244.239772105</v>
      </c>
      <c r="AF20" s="91" t="n">
        <f aca="false">AF12-AF14</f>
        <v>352684.658727095</v>
      </c>
      <c r="AG20" s="91" t="n">
        <f aca="false">AG12-AG14</f>
        <v>366104.118274994</v>
      </c>
      <c r="AH20" s="91" t="n">
        <f aca="false">AH12-AH14</f>
        <v>378574.241338371</v>
      </c>
      <c r="AI20" s="91" t="n">
        <f aca="false">AI12-AI14</f>
        <v>390163.234518644</v>
      </c>
      <c r="AJ20" s="91" t="n">
        <f aca="false">AJ12-AJ14</f>
        <v>400933.27096499</v>
      </c>
      <c r="AK20" s="91" t="n">
        <f aca="false">AK12-AK14</f>
        <v>410942.846179017</v>
      </c>
      <c r="AL20" s="91" t="n">
        <f aca="false">AL12-AL14</f>
        <v>438975.472918957</v>
      </c>
      <c r="AM20" s="91" t="n">
        <f aca="false">AM12-AM14</f>
        <v>467046.782769284</v>
      </c>
      <c r="AN20" s="91" t="n">
        <f aca="false">AN12-AN14</f>
        <v>493253.461193312</v>
      </c>
      <c r="AO20" s="91" t="n">
        <f aca="false">AO12-AO14</f>
        <v>517717.779120049</v>
      </c>
      <c r="AP20" s="91" t="n">
        <f aca="false">AP12-AP14</f>
        <v>540557.218509117</v>
      </c>
      <c r="AQ20" s="91" t="n">
        <f aca="false">AQ12-AQ14</f>
        <v>561879.056348943</v>
      </c>
      <c r="AR20" s="91" t="n">
        <f aca="false">AR12-AR14</f>
        <v>581783.909850181</v>
      </c>
      <c r="AS20" s="91" t="n">
        <f aca="false">AS12-AS14</f>
        <v>600366.245412821</v>
      </c>
      <c r="AT20" s="91" t="n">
        <f aca="false">AT12-AT14</f>
        <v>617713.853774104</v>
      </c>
      <c r="AU20" s="91" t="n">
        <f aca="false">AU12-AU14</f>
        <v>633908.293584415</v>
      </c>
      <c r="AV20" s="91" t="n">
        <f aca="false">AV12-AV14</f>
        <v>649027.305509013</v>
      </c>
      <c r="AW20" s="91" t="n">
        <f aca="false">AW12-AW14</f>
        <v>663141.198814062</v>
      </c>
      <c r="AX20" s="91" t="n">
        <f aca="false">AX12-AX14</f>
        <v>703776.491458206</v>
      </c>
      <c r="AY20" s="91" t="n">
        <f aca="false">AY12-AY14</f>
        <v>745216.479349748</v>
      </c>
      <c r="AZ20" s="91" t="n">
        <f aca="false">AZ12-AZ14</f>
        <v>784068.187797072</v>
      </c>
      <c r="BA20" s="91" t="n">
        <f aca="false">BA12-BA14</f>
        <v>820494.085443193</v>
      </c>
      <c r="BB20" s="91" t="n">
        <f aca="false">BB12-BB14</f>
        <v>854643.806094117</v>
      </c>
      <c r="BC20" s="91" t="n">
        <f aca="false">BC12-BC14</f>
        <v>886660.825461859</v>
      </c>
      <c r="BD20" s="91" t="n">
        <f aca="false">BD12-BD14</f>
        <v>916678.095638147</v>
      </c>
      <c r="BE20" s="91" t="n">
        <f aca="false">BE12-BE14</f>
        <v>944820.639938951</v>
      </c>
      <c r="BF20" s="91" t="n">
        <f aca="false">BF12-BF14</f>
        <v>971205.11059508</v>
      </c>
      <c r="BG20" s="91" t="n">
        <f aca="false">BG12-BG14</f>
        <v>995942.311609458</v>
      </c>
      <c r="BH20" s="91" t="n">
        <f aca="false">BH12-BH14</f>
        <v>1019133.68895679</v>
      </c>
      <c r="BI20" s="91" t="n">
        <f aca="false">BI12-BI14</f>
        <v>1040876.79016539</v>
      </c>
      <c r="BJ20" s="134" t="n">
        <f aca="false">BI20</f>
        <v>1040876.79016539</v>
      </c>
    </row>
    <row r="22" customFormat="false" ht="18" hidden="false" customHeight="true" outlineLevel="0" collapsed="false">
      <c r="A22" s="25" t="s">
        <v>848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</row>
    <row r="23" customFormat="false" ht="15" hidden="false" customHeight="false" outlineLevel="0" collapsed="false">
      <c r="A23" s="27" t="s">
        <v>849</v>
      </c>
      <c r="B23" s="60" t="n">
        <f aca="false">B9*(1-INDEX(Premissas!$C$70:$G$70,B$7))*CHOOSE(Premissas!$B$6,IF('Ajuste Mensal'!B$16="",INDEX(Premissas!$C$67:$G$67,B$7),'Ajuste Mensal'!B$16),IF('Ajuste Mensal'!B$22="",INDEX(Premissas!$C$68:$G$68,B$7),'Ajuste Mensal'!B$22),IF('Ajuste Mensal'!B$28="",INDEX(Premissas!$C$69:$G$69,B$7),'Ajuste Mensal'!B$28))</f>
        <v>0</v>
      </c>
      <c r="C23" s="60" t="n">
        <f aca="false">C9*(1-INDEX(Premissas!$C$70:$G$70,C$7))*CHOOSE(Premissas!$B$6,IF('Ajuste Mensal'!C$16="",INDEX(Premissas!$C$67:$G$67,C$7),'Ajuste Mensal'!C$16),IF('Ajuste Mensal'!C$22="",INDEX(Premissas!$C$68:$G$68,C$7),'Ajuste Mensal'!C$22),IF('Ajuste Mensal'!C$28="",INDEX(Premissas!$C$69:$G$69,C$7),'Ajuste Mensal'!C$28))</f>
        <v>0</v>
      </c>
      <c r="D23" s="60" t="n">
        <f aca="false">D9*(1-INDEX(Premissas!$C$70:$G$70,D$7))*CHOOSE(Premissas!$B$6,IF('Ajuste Mensal'!D$16="",INDEX(Premissas!$C$67:$G$67,D$7),'Ajuste Mensal'!D$16),IF('Ajuste Mensal'!D$22="",INDEX(Premissas!$C$68:$G$68,D$7),'Ajuste Mensal'!D$22),IF('Ajuste Mensal'!D$28="",INDEX(Premissas!$C$69:$G$69,D$7),'Ajuste Mensal'!D$28))</f>
        <v>0</v>
      </c>
      <c r="E23" s="60" t="n">
        <f aca="false">E9*(1-INDEX(Premissas!$C$70:$G$70,E$7))*CHOOSE(Premissas!$B$6,IF('Ajuste Mensal'!E$16="",INDEX(Premissas!$C$67:$G$67,E$7),'Ajuste Mensal'!E$16),IF('Ajuste Mensal'!E$22="",INDEX(Premissas!$C$68:$G$68,E$7),'Ajuste Mensal'!E$22),IF('Ajuste Mensal'!E$28="",INDEX(Premissas!$C$69:$G$69,E$7),'Ajuste Mensal'!E$28))</f>
        <v>0</v>
      </c>
      <c r="F23" s="60" t="n">
        <f aca="false">F9*(1-INDEX(Premissas!$C$70:$G$70,F$7))*CHOOSE(Premissas!$B$6,IF('Ajuste Mensal'!F$16="",INDEX(Premissas!$C$67:$G$67,F$7),'Ajuste Mensal'!F$16),IF('Ajuste Mensal'!F$22="",INDEX(Premissas!$C$68:$G$68,F$7),'Ajuste Mensal'!F$22),IF('Ajuste Mensal'!F$28="",INDEX(Premissas!$C$69:$G$69,F$7),'Ajuste Mensal'!F$28))</f>
        <v>0</v>
      </c>
      <c r="G23" s="60" t="n">
        <f aca="false">G9*(1-INDEX(Premissas!$C$70:$G$70,G$7))*CHOOSE(Premissas!$B$6,IF('Ajuste Mensal'!G$16="",INDEX(Premissas!$C$67:$G$67,G$7),'Ajuste Mensal'!G$16),IF('Ajuste Mensal'!G$22="",INDEX(Premissas!$C$68:$G$68,G$7),'Ajuste Mensal'!G$22),IF('Ajuste Mensal'!G$28="",INDEX(Premissas!$C$69:$G$69,G$7),'Ajuste Mensal'!G$28))</f>
        <v>0</v>
      </c>
      <c r="H23" s="60" t="n">
        <f aca="false">H9*(1-INDEX(Premissas!$C$70:$G$70,H$7))*CHOOSE(Premissas!$B$6,IF('Ajuste Mensal'!H$16="",INDEX(Premissas!$C$67:$G$67,H$7),'Ajuste Mensal'!H$16),IF('Ajuste Mensal'!H$22="",INDEX(Premissas!$C$68:$G$68,H$7),'Ajuste Mensal'!H$22),IF('Ajuste Mensal'!H$28="",INDEX(Premissas!$C$69:$G$69,H$7),'Ajuste Mensal'!H$28))</f>
        <v>0</v>
      </c>
      <c r="I23" s="60" t="n">
        <f aca="false">I9*(1-INDEX(Premissas!$C$70:$G$70,I$7))*CHOOSE(Premissas!$B$6,IF('Ajuste Mensal'!I$16="",INDEX(Premissas!$C$67:$G$67,I$7),'Ajuste Mensal'!I$16),IF('Ajuste Mensal'!I$22="",INDEX(Premissas!$C$68:$G$68,I$7),'Ajuste Mensal'!I$22),IF('Ajuste Mensal'!I$28="",INDEX(Premissas!$C$69:$G$69,I$7),'Ajuste Mensal'!I$28))</f>
        <v>0</v>
      </c>
      <c r="J23" s="60" t="n">
        <f aca="false">J9*(1-INDEX(Premissas!$C$70:$G$70,J$7))*CHOOSE(Premissas!$B$6,IF('Ajuste Mensal'!J$16="",INDEX(Premissas!$C$67:$G$67,J$7),'Ajuste Mensal'!J$16),IF('Ajuste Mensal'!J$22="",INDEX(Premissas!$C$68:$G$68,J$7),'Ajuste Mensal'!J$22),IF('Ajuste Mensal'!J$28="",INDEX(Premissas!$C$69:$G$69,J$7),'Ajuste Mensal'!J$28))</f>
        <v>0</v>
      </c>
      <c r="K23" s="60" t="n">
        <f aca="false">K9*(1-INDEX(Premissas!$C$70:$G$70,K$7))*CHOOSE(Premissas!$B$6,IF('Ajuste Mensal'!K$16="",INDEX(Premissas!$C$67:$G$67,K$7),'Ajuste Mensal'!K$16),IF('Ajuste Mensal'!K$22="",INDEX(Premissas!$C$68:$G$68,K$7),'Ajuste Mensal'!K$22),IF('Ajuste Mensal'!K$28="",INDEX(Premissas!$C$69:$G$69,K$7),'Ajuste Mensal'!K$28))</f>
        <v>31675</v>
      </c>
      <c r="L23" s="60" t="n">
        <f aca="false">L9*(1-INDEX(Premissas!$C$70:$G$70,L$7))*CHOOSE(Premissas!$B$6,IF('Ajuste Mensal'!L$16="",INDEX(Premissas!$C$67:$G$67,L$7),'Ajuste Mensal'!L$16),IF('Ajuste Mensal'!L$22="",INDEX(Premissas!$C$68:$G$68,L$7),'Ajuste Mensal'!L$22),IF('Ajuste Mensal'!L$28="",INDEX(Premissas!$C$69:$G$69,L$7),'Ajuste Mensal'!L$28))</f>
        <v>31675</v>
      </c>
      <c r="M23" s="60" t="n">
        <f aca="false">M9*(1-INDEX(Premissas!$C$70:$G$70,M$7))*CHOOSE(Premissas!$B$6,IF('Ajuste Mensal'!M$16="",INDEX(Premissas!$C$67:$G$67,M$7),'Ajuste Mensal'!M$16),IF('Ajuste Mensal'!M$22="",INDEX(Premissas!$C$68:$G$68,M$7),'Ajuste Mensal'!M$22),IF('Ajuste Mensal'!M$28="",INDEX(Premissas!$C$69:$G$69,M$7),'Ajuste Mensal'!M$28))</f>
        <v>31675</v>
      </c>
      <c r="N23" s="60" t="n">
        <f aca="false">N9*(1-INDEX(Premissas!$C$70:$G$70,N$7))*CHOOSE(Premissas!$B$6,IF('Ajuste Mensal'!N$16="",INDEX(Premissas!$C$67:$G$67,N$7),'Ajuste Mensal'!N$16),IF('Ajuste Mensal'!N$22="",INDEX(Premissas!$C$68:$G$68,N$7),'Ajuste Mensal'!N$22),IF('Ajuste Mensal'!N$28="",INDEX(Premissas!$C$69:$G$69,N$7),'Ajuste Mensal'!N$28))</f>
        <v>53078.25</v>
      </c>
      <c r="O23" s="60" t="n">
        <f aca="false">O9*(1-INDEX(Premissas!$C$70:$G$70,O$7))*CHOOSE(Premissas!$B$6,IF('Ajuste Mensal'!O$16="",INDEX(Premissas!$C$67:$G$67,O$7),'Ajuste Mensal'!O$16),IF('Ajuste Mensal'!O$22="",INDEX(Premissas!$C$68:$G$68,O$7),'Ajuste Mensal'!O$22),IF('Ajuste Mensal'!O$28="",INDEX(Premissas!$C$69:$G$69,O$7),'Ajuste Mensal'!O$28))</f>
        <v>53078.25</v>
      </c>
      <c r="P23" s="60" t="n">
        <f aca="false">P9*(1-INDEX(Premissas!$C$70:$G$70,P$7))*CHOOSE(Premissas!$B$6,IF('Ajuste Mensal'!P$16="",INDEX(Premissas!$C$67:$G$67,P$7),'Ajuste Mensal'!P$16),IF('Ajuste Mensal'!P$22="",INDEX(Premissas!$C$68:$G$68,P$7),'Ajuste Mensal'!P$22),IF('Ajuste Mensal'!P$28="",INDEX(Premissas!$C$69:$G$69,P$7),'Ajuste Mensal'!P$28))</f>
        <v>53078.25</v>
      </c>
      <c r="Q23" s="60" t="n">
        <f aca="false">Q9*(1-INDEX(Premissas!$C$70:$G$70,Q$7))*CHOOSE(Premissas!$B$6,IF('Ajuste Mensal'!Q$16="",INDEX(Premissas!$C$67:$G$67,Q$7),'Ajuste Mensal'!Q$16),IF('Ajuste Mensal'!Q$22="",INDEX(Premissas!$C$68:$G$68,Q$7),'Ajuste Mensal'!Q$22),IF('Ajuste Mensal'!Q$28="",INDEX(Premissas!$C$69:$G$69,Q$7),'Ajuste Mensal'!Q$28))</f>
        <v>53078.25</v>
      </c>
      <c r="R23" s="60" t="n">
        <f aca="false">R9*(1-INDEX(Premissas!$C$70:$G$70,R$7))*CHOOSE(Premissas!$B$6,IF('Ajuste Mensal'!R$16="",INDEX(Premissas!$C$67:$G$67,R$7),'Ajuste Mensal'!R$16),IF('Ajuste Mensal'!R$22="",INDEX(Premissas!$C$68:$G$68,R$7),'Ajuste Mensal'!R$22),IF('Ajuste Mensal'!R$28="",INDEX(Premissas!$C$69:$G$69,R$7),'Ajuste Mensal'!R$28))</f>
        <v>53078.25</v>
      </c>
      <c r="S23" s="60" t="n">
        <f aca="false">S9*(1-INDEX(Premissas!$C$70:$G$70,S$7))*CHOOSE(Premissas!$B$6,IF('Ajuste Mensal'!S$16="",INDEX(Premissas!$C$67:$G$67,S$7),'Ajuste Mensal'!S$16),IF('Ajuste Mensal'!S$22="",INDEX(Premissas!$C$68:$G$68,S$7),'Ajuste Mensal'!S$22),IF('Ajuste Mensal'!S$28="",INDEX(Premissas!$C$69:$G$69,S$7),'Ajuste Mensal'!S$28))</f>
        <v>53078.25</v>
      </c>
      <c r="T23" s="60" t="n">
        <f aca="false">T9*(1-INDEX(Premissas!$C$70:$G$70,T$7))*CHOOSE(Premissas!$B$6,IF('Ajuste Mensal'!T$16="",INDEX(Premissas!$C$67:$G$67,T$7),'Ajuste Mensal'!T$16),IF('Ajuste Mensal'!T$22="",INDEX(Premissas!$C$68:$G$68,T$7),'Ajuste Mensal'!T$22),IF('Ajuste Mensal'!T$28="",INDEX(Premissas!$C$69:$G$69,T$7),'Ajuste Mensal'!T$28))</f>
        <v>53078.25</v>
      </c>
      <c r="U23" s="60" t="n">
        <f aca="false">U9*(1-INDEX(Premissas!$C$70:$G$70,U$7))*CHOOSE(Premissas!$B$6,IF('Ajuste Mensal'!U$16="",INDEX(Premissas!$C$67:$G$67,U$7),'Ajuste Mensal'!U$16),IF('Ajuste Mensal'!U$22="",INDEX(Premissas!$C$68:$G$68,U$7),'Ajuste Mensal'!U$22),IF('Ajuste Mensal'!U$28="",INDEX(Premissas!$C$69:$G$69,U$7),'Ajuste Mensal'!U$28))</f>
        <v>53078.25</v>
      </c>
      <c r="V23" s="60" t="n">
        <f aca="false">V9*(1-INDEX(Premissas!$C$70:$G$70,V$7))*CHOOSE(Premissas!$B$6,IF('Ajuste Mensal'!V$16="",INDEX(Premissas!$C$67:$G$67,V$7),'Ajuste Mensal'!V$16),IF('Ajuste Mensal'!V$22="",INDEX(Premissas!$C$68:$G$68,V$7),'Ajuste Mensal'!V$22),IF('Ajuste Mensal'!V$28="",INDEX(Premissas!$C$69:$G$69,V$7),'Ajuste Mensal'!V$28))</f>
        <v>53078.25</v>
      </c>
      <c r="W23" s="60" t="n">
        <f aca="false">W9*(1-INDEX(Premissas!$C$70:$G$70,W$7))*CHOOSE(Premissas!$B$6,IF('Ajuste Mensal'!W$16="",INDEX(Premissas!$C$67:$G$67,W$7),'Ajuste Mensal'!W$16),IF('Ajuste Mensal'!W$22="",INDEX(Premissas!$C$68:$G$68,W$7),'Ajuste Mensal'!W$22),IF('Ajuste Mensal'!W$28="",INDEX(Premissas!$C$69:$G$69,W$7),'Ajuste Mensal'!W$28))</f>
        <v>53078.25</v>
      </c>
      <c r="X23" s="60" t="n">
        <f aca="false">X9*(1-INDEX(Premissas!$C$70:$G$70,X$7))*CHOOSE(Premissas!$B$6,IF('Ajuste Mensal'!X$16="",INDEX(Premissas!$C$67:$G$67,X$7),'Ajuste Mensal'!X$16),IF('Ajuste Mensal'!X$22="",INDEX(Premissas!$C$68:$G$68,X$7),'Ajuste Mensal'!X$22),IF('Ajuste Mensal'!X$28="",INDEX(Premissas!$C$69:$G$69,X$7),'Ajuste Mensal'!X$28))</f>
        <v>53078.25</v>
      </c>
      <c r="Y23" s="60" t="n">
        <f aca="false">Y9*(1-INDEX(Premissas!$C$70:$G$70,Y$7))*CHOOSE(Premissas!$B$6,IF('Ajuste Mensal'!Y$16="",INDEX(Premissas!$C$67:$G$67,Y$7),'Ajuste Mensal'!Y$16),IF('Ajuste Mensal'!Y$22="",INDEX(Premissas!$C$68:$G$68,Y$7),'Ajuste Mensal'!Y$22),IF('Ajuste Mensal'!Y$28="",INDEX(Premissas!$C$69:$G$69,Y$7),'Ajuste Mensal'!Y$28))</f>
        <v>53078.25</v>
      </c>
      <c r="Z23" s="60" t="n">
        <f aca="false">Z9*(1-INDEX(Premissas!$C$70:$G$70,Z$7))*CHOOSE(Premissas!$B$6,IF('Ajuste Mensal'!Z$16="",INDEX(Premissas!$C$67:$G$67,Z$7),'Ajuste Mensal'!Z$16),IF('Ajuste Mensal'!Z$22="",INDEX(Premissas!$C$68:$G$68,Z$7),'Ajuste Mensal'!Z$22),IF('Ajuste Mensal'!Z$28="",INDEX(Premissas!$C$69:$G$69,Z$7),'Ajuste Mensal'!Z$28))</f>
        <v>87520.5703125</v>
      </c>
      <c r="AA23" s="60" t="n">
        <f aca="false">AA9*(1-INDEX(Premissas!$C$70:$G$70,AA$7))*CHOOSE(Premissas!$B$6,IF('Ajuste Mensal'!AA$16="",INDEX(Premissas!$C$67:$G$67,AA$7),'Ajuste Mensal'!AA$16),IF('Ajuste Mensal'!AA$22="",INDEX(Premissas!$C$68:$G$68,AA$7),'Ajuste Mensal'!AA$22),IF('Ajuste Mensal'!AA$28="",INDEX(Premissas!$C$69:$G$69,AA$7),'Ajuste Mensal'!AA$28))</f>
        <v>87520.5703125</v>
      </c>
      <c r="AB23" s="60" t="n">
        <f aca="false">AB9*(1-INDEX(Premissas!$C$70:$G$70,AB$7))*CHOOSE(Premissas!$B$6,IF('Ajuste Mensal'!AB$16="",INDEX(Premissas!$C$67:$G$67,AB$7),'Ajuste Mensal'!AB$16),IF('Ajuste Mensal'!AB$22="",INDEX(Premissas!$C$68:$G$68,AB$7),'Ajuste Mensal'!AB$22),IF('Ajuste Mensal'!AB$28="",INDEX(Premissas!$C$69:$G$69,AB$7),'Ajuste Mensal'!AB$28))</f>
        <v>87520.5703125</v>
      </c>
      <c r="AC23" s="60" t="n">
        <f aca="false">AC9*(1-INDEX(Premissas!$C$70:$G$70,AC$7))*CHOOSE(Premissas!$B$6,IF('Ajuste Mensal'!AC$16="",INDEX(Premissas!$C$67:$G$67,AC$7),'Ajuste Mensal'!AC$16),IF('Ajuste Mensal'!AC$22="",INDEX(Premissas!$C$68:$G$68,AC$7),'Ajuste Mensal'!AC$22),IF('Ajuste Mensal'!AC$28="",INDEX(Premissas!$C$69:$G$69,AC$7),'Ajuste Mensal'!AC$28))</f>
        <v>87520.5703125</v>
      </c>
      <c r="AD23" s="60" t="n">
        <f aca="false">AD9*(1-INDEX(Premissas!$C$70:$G$70,AD$7))*CHOOSE(Premissas!$B$6,IF('Ajuste Mensal'!AD$16="",INDEX(Premissas!$C$67:$G$67,AD$7),'Ajuste Mensal'!AD$16),IF('Ajuste Mensal'!AD$22="",INDEX(Premissas!$C$68:$G$68,AD$7),'Ajuste Mensal'!AD$22),IF('Ajuste Mensal'!AD$28="",INDEX(Premissas!$C$69:$G$69,AD$7),'Ajuste Mensal'!AD$28))</f>
        <v>87520.5703125</v>
      </c>
      <c r="AE23" s="60" t="n">
        <f aca="false">AE9*(1-INDEX(Premissas!$C$70:$G$70,AE$7))*CHOOSE(Premissas!$B$6,IF('Ajuste Mensal'!AE$16="",INDEX(Premissas!$C$67:$G$67,AE$7),'Ajuste Mensal'!AE$16),IF('Ajuste Mensal'!AE$22="",INDEX(Premissas!$C$68:$G$68,AE$7),'Ajuste Mensal'!AE$22),IF('Ajuste Mensal'!AE$28="",INDEX(Premissas!$C$69:$G$69,AE$7),'Ajuste Mensal'!AE$28))</f>
        <v>87520.5703125</v>
      </c>
      <c r="AF23" s="60" t="n">
        <f aca="false">AF9*(1-INDEX(Premissas!$C$70:$G$70,AF$7))*CHOOSE(Premissas!$B$6,IF('Ajuste Mensal'!AF$16="",INDEX(Premissas!$C$67:$G$67,AF$7),'Ajuste Mensal'!AF$16),IF('Ajuste Mensal'!AF$22="",INDEX(Premissas!$C$68:$G$68,AF$7),'Ajuste Mensal'!AF$22),IF('Ajuste Mensal'!AF$28="",INDEX(Premissas!$C$69:$G$69,AF$7),'Ajuste Mensal'!AF$28))</f>
        <v>87520.5703125</v>
      </c>
      <c r="AG23" s="60" t="n">
        <f aca="false">AG9*(1-INDEX(Premissas!$C$70:$G$70,AG$7))*CHOOSE(Premissas!$B$6,IF('Ajuste Mensal'!AG$16="",INDEX(Premissas!$C$67:$G$67,AG$7),'Ajuste Mensal'!AG$16),IF('Ajuste Mensal'!AG$22="",INDEX(Premissas!$C$68:$G$68,AG$7),'Ajuste Mensal'!AG$22),IF('Ajuste Mensal'!AG$28="",INDEX(Premissas!$C$69:$G$69,AG$7),'Ajuste Mensal'!AG$28))</f>
        <v>87520.5703125</v>
      </c>
      <c r="AH23" s="60" t="n">
        <f aca="false">AH9*(1-INDEX(Premissas!$C$70:$G$70,AH$7))*CHOOSE(Premissas!$B$6,IF('Ajuste Mensal'!AH$16="",INDEX(Premissas!$C$67:$G$67,AH$7),'Ajuste Mensal'!AH$16),IF('Ajuste Mensal'!AH$22="",INDEX(Premissas!$C$68:$G$68,AH$7),'Ajuste Mensal'!AH$22),IF('Ajuste Mensal'!AH$28="",INDEX(Premissas!$C$69:$G$69,AH$7),'Ajuste Mensal'!AH$28))</f>
        <v>87520.5703125</v>
      </c>
      <c r="AI23" s="60" t="n">
        <f aca="false">AI9*(1-INDEX(Premissas!$C$70:$G$70,AI$7))*CHOOSE(Premissas!$B$6,IF('Ajuste Mensal'!AI$16="",INDEX(Premissas!$C$67:$G$67,AI$7),'Ajuste Mensal'!AI$16),IF('Ajuste Mensal'!AI$22="",INDEX(Premissas!$C$68:$G$68,AI$7),'Ajuste Mensal'!AI$22),IF('Ajuste Mensal'!AI$28="",INDEX(Premissas!$C$69:$G$69,AI$7),'Ajuste Mensal'!AI$28))</f>
        <v>87520.5703125</v>
      </c>
      <c r="AJ23" s="60" t="n">
        <f aca="false">AJ9*(1-INDEX(Premissas!$C$70:$G$70,AJ$7))*CHOOSE(Premissas!$B$6,IF('Ajuste Mensal'!AJ$16="",INDEX(Premissas!$C$67:$G$67,AJ$7),'Ajuste Mensal'!AJ$16),IF('Ajuste Mensal'!AJ$22="",INDEX(Premissas!$C$68:$G$68,AJ$7),'Ajuste Mensal'!AJ$22),IF('Ajuste Mensal'!AJ$28="",INDEX(Premissas!$C$69:$G$69,AJ$7),'Ajuste Mensal'!AJ$28))</f>
        <v>87520.5703125</v>
      </c>
      <c r="AK23" s="60" t="n">
        <f aca="false">AK9*(1-INDEX(Premissas!$C$70:$G$70,AK$7))*CHOOSE(Premissas!$B$6,IF('Ajuste Mensal'!AK$16="",INDEX(Premissas!$C$67:$G$67,AK$7),'Ajuste Mensal'!AK$16),IF('Ajuste Mensal'!AK$22="",INDEX(Premissas!$C$68:$G$68,AK$7),'Ajuste Mensal'!AK$22),IF('Ajuste Mensal'!AK$28="",INDEX(Premissas!$C$69:$G$69,AK$7),'Ajuste Mensal'!AK$28))</f>
        <v>87520.5703125</v>
      </c>
      <c r="AL23" s="60" t="n">
        <f aca="false">AL9*(1-INDEX(Premissas!$C$70:$G$70,AL$7))*CHOOSE(Premissas!$B$6,IF('Ajuste Mensal'!AL$16="",INDEX(Premissas!$C$67:$G$67,AL$7),'Ajuste Mensal'!AL$16),IF('Ajuste Mensal'!AL$22="",INDEX(Premissas!$C$68:$G$68,AL$7),'Ajuste Mensal'!AL$22),IF('Ajuste Mensal'!AL$28="",INDEX(Premissas!$C$69:$G$69,AL$7),'Ajuste Mensal'!AL$28))</f>
        <v>144004.999921875</v>
      </c>
      <c r="AM23" s="60" t="n">
        <f aca="false">AM9*(1-INDEX(Premissas!$C$70:$G$70,AM$7))*CHOOSE(Premissas!$B$6,IF('Ajuste Mensal'!AM$16="",INDEX(Premissas!$C$67:$G$67,AM$7),'Ajuste Mensal'!AM$16),IF('Ajuste Mensal'!AM$22="",INDEX(Premissas!$C$68:$G$68,AM$7),'Ajuste Mensal'!AM$22),IF('Ajuste Mensal'!AM$28="",INDEX(Premissas!$C$69:$G$69,AM$7),'Ajuste Mensal'!AM$28))</f>
        <v>144004.999921875</v>
      </c>
      <c r="AN23" s="60" t="n">
        <f aca="false">AN9*(1-INDEX(Premissas!$C$70:$G$70,AN$7))*CHOOSE(Premissas!$B$6,IF('Ajuste Mensal'!AN$16="",INDEX(Premissas!$C$67:$G$67,AN$7),'Ajuste Mensal'!AN$16),IF('Ajuste Mensal'!AN$22="",INDEX(Premissas!$C$68:$G$68,AN$7),'Ajuste Mensal'!AN$22),IF('Ajuste Mensal'!AN$28="",INDEX(Premissas!$C$69:$G$69,AN$7),'Ajuste Mensal'!AN$28))</f>
        <v>144004.999921875</v>
      </c>
      <c r="AO23" s="60" t="n">
        <f aca="false">AO9*(1-INDEX(Premissas!$C$70:$G$70,AO$7))*CHOOSE(Premissas!$B$6,IF('Ajuste Mensal'!AO$16="",INDEX(Premissas!$C$67:$G$67,AO$7),'Ajuste Mensal'!AO$16),IF('Ajuste Mensal'!AO$22="",INDEX(Premissas!$C$68:$G$68,AO$7),'Ajuste Mensal'!AO$22),IF('Ajuste Mensal'!AO$28="",INDEX(Premissas!$C$69:$G$69,AO$7),'Ajuste Mensal'!AO$28))</f>
        <v>144004.999921875</v>
      </c>
      <c r="AP23" s="60" t="n">
        <f aca="false">AP9*(1-INDEX(Premissas!$C$70:$G$70,AP$7))*CHOOSE(Premissas!$B$6,IF('Ajuste Mensal'!AP$16="",INDEX(Premissas!$C$67:$G$67,AP$7),'Ajuste Mensal'!AP$16),IF('Ajuste Mensal'!AP$22="",INDEX(Premissas!$C$68:$G$68,AP$7),'Ajuste Mensal'!AP$22),IF('Ajuste Mensal'!AP$28="",INDEX(Premissas!$C$69:$G$69,AP$7),'Ajuste Mensal'!AP$28))</f>
        <v>144004.999921875</v>
      </c>
      <c r="AQ23" s="60" t="n">
        <f aca="false">AQ9*(1-INDEX(Premissas!$C$70:$G$70,AQ$7))*CHOOSE(Premissas!$B$6,IF('Ajuste Mensal'!AQ$16="",INDEX(Premissas!$C$67:$G$67,AQ$7),'Ajuste Mensal'!AQ$16),IF('Ajuste Mensal'!AQ$22="",INDEX(Premissas!$C$68:$G$68,AQ$7),'Ajuste Mensal'!AQ$22),IF('Ajuste Mensal'!AQ$28="",INDEX(Premissas!$C$69:$G$69,AQ$7),'Ajuste Mensal'!AQ$28))</f>
        <v>144004.999921875</v>
      </c>
      <c r="AR23" s="60" t="n">
        <f aca="false">AR9*(1-INDEX(Premissas!$C$70:$G$70,AR$7))*CHOOSE(Premissas!$B$6,IF('Ajuste Mensal'!AR$16="",INDEX(Premissas!$C$67:$G$67,AR$7),'Ajuste Mensal'!AR$16),IF('Ajuste Mensal'!AR$22="",INDEX(Premissas!$C$68:$G$68,AR$7),'Ajuste Mensal'!AR$22),IF('Ajuste Mensal'!AR$28="",INDEX(Premissas!$C$69:$G$69,AR$7),'Ajuste Mensal'!AR$28))</f>
        <v>144004.999921875</v>
      </c>
      <c r="AS23" s="60" t="n">
        <f aca="false">AS9*(1-INDEX(Premissas!$C$70:$G$70,AS$7))*CHOOSE(Premissas!$B$6,IF('Ajuste Mensal'!AS$16="",INDEX(Premissas!$C$67:$G$67,AS$7),'Ajuste Mensal'!AS$16),IF('Ajuste Mensal'!AS$22="",INDEX(Premissas!$C$68:$G$68,AS$7),'Ajuste Mensal'!AS$22),IF('Ajuste Mensal'!AS$28="",INDEX(Premissas!$C$69:$G$69,AS$7),'Ajuste Mensal'!AS$28))</f>
        <v>144004.999921875</v>
      </c>
      <c r="AT23" s="60" t="n">
        <f aca="false">AT9*(1-INDEX(Premissas!$C$70:$G$70,AT$7))*CHOOSE(Premissas!$B$6,IF('Ajuste Mensal'!AT$16="",INDEX(Premissas!$C$67:$G$67,AT$7),'Ajuste Mensal'!AT$16),IF('Ajuste Mensal'!AT$22="",INDEX(Premissas!$C$68:$G$68,AT$7),'Ajuste Mensal'!AT$22),IF('Ajuste Mensal'!AT$28="",INDEX(Premissas!$C$69:$G$69,AT$7),'Ajuste Mensal'!AT$28))</f>
        <v>144004.999921875</v>
      </c>
      <c r="AU23" s="60" t="n">
        <f aca="false">AU9*(1-INDEX(Premissas!$C$70:$G$70,AU$7))*CHOOSE(Premissas!$B$6,IF('Ajuste Mensal'!AU$16="",INDEX(Premissas!$C$67:$G$67,AU$7),'Ajuste Mensal'!AU$16),IF('Ajuste Mensal'!AU$22="",INDEX(Premissas!$C$68:$G$68,AU$7),'Ajuste Mensal'!AU$22),IF('Ajuste Mensal'!AU$28="",INDEX(Premissas!$C$69:$G$69,AU$7),'Ajuste Mensal'!AU$28))</f>
        <v>144004.999921875</v>
      </c>
      <c r="AV23" s="60" t="n">
        <f aca="false">AV9*(1-INDEX(Premissas!$C$70:$G$70,AV$7))*CHOOSE(Premissas!$B$6,IF('Ajuste Mensal'!AV$16="",INDEX(Premissas!$C$67:$G$67,AV$7),'Ajuste Mensal'!AV$16),IF('Ajuste Mensal'!AV$22="",INDEX(Premissas!$C$68:$G$68,AV$7),'Ajuste Mensal'!AV$22),IF('Ajuste Mensal'!AV$28="",INDEX(Premissas!$C$69:$G$69,AV$7),'Ajuste Mensal'!AV$28))</f>
        <v>144004.999921875</v>
      </c>
      <c r="AW23" s="60" t="n">
        <f aca="false">AW9*(1-INDEX(Premissas!$C$70:$G$70,AW$7))*CHOOSE(Premissas!$B$6,IF('Ajuste Mensal'!AW$16="",INDEX(Premissas!$C$67:$G$67,AW$7),'Ajuste Mensal'!AW$16),IF('Ajuste Mensal'!AW$22="",INDEX(Premissas!$C$68:$G$68,AW$7),'Ajuste Mensal'!AW$22),IF('Ajuste Mensal'!AW$28="",INDEX(Premissas!$C$69:$G$69,AW$7),'Ajuste Mensal'!AW$28))</f>
        <v>144004.999921875</v>
      </c>
      <c r="AX23" s="60" t="n">
        <f aca="false">AX9*(1-INDEX(Premissas!$C$70:$G$70,AX$7))*CHOOSE(Premissas!$B$6,IF('Ajuste Mensal'!AX$16="",INDEX(Premissas!$C$67:$G$67,AX$7),'Ajuste Mensal'!AX$16),IF('Ajuste Mensal'!AX$22="",INDEX(Premissas!$C$68:$G$68,AX$7),'Ajuste Mensal'!AX$22),IF('Ajuste Mensal'!AX$28="",INDEX(Premissas!$C$69:$G$69,AX$7),'Ajuste Mensal'!AX$28))</f>
        <v>240395.443417969</v>
      </c>
      <c r="AY23" s="60" t="n">
        <f aca="false">AY9*(1-INDEX(Premissas!$C$70:$G$70,AY$7))*CHOOSE(Premissas!$B$6,IF('Ajuste Mensal'!AY$16="",INDEX(Premissas!$C$67:$G$67,AY$7),'Ajuste Mensal'!AY$16),IF('Ajuste Mensal'!AY$22="",INDEX(Premissas!$C$68:$G$68,AY$7),'Ajuste Mensal'!AY$22),IF('Ajuste Mensal'!AY$28="",INDEX(Premissas!$C$69:$G$69,AY$7),'Ajuste Mensal'!AY$28))</f>
        <v>240395.443417969</v>
      </c>
      <c r="AZ23" s="60" t="n">
        <f aca="false">AZ9*(1-INDEX(Premissas!$C$70:$G$70,AZ$7))*CHOOSE(Premissas!$B$6,IF('Ajuste Mensal'!AZ$16="",INDEX(Premissas!$C$67:$G$67,AZ$7),'Ajuste Mensal'!AZ$16),IF('Ajuste Mensal'!AZ$22="",INDEX(Premissas!$C$68:$G$68,AZ$7),'Ajuste Mensal'!AZ$22),IF('Ajuste Mensal'!AZ$28="",INDEX(Premissas!$C$69:$G$69,AZ$7),'Ajuste Mensal'!AZ$28))</f>
        <v>240395.443417969</v>
      </c>
      <c r="BA23" s="60" t="n">
        <f aca="false">BA9*(1-INDEX(Premissas!$C$70:$G$70,BA$7))*CHOOSE(Premissas!$B$6,IF('Ajuste Mensal'!BA$16="",INDEX(Premissas!$C$67:$G$67,BA$7),'Ajuste Mensal'!BA$16),IF('Ajuste Mensal'!BA$22="",INDEX(Premissas!$C$68:$G$68,BA$7),'Ajuste Mensal'!BA$22),IF('Ajuste Mensal'!BA$28="",INDEX(Premissas!$C$69:$G$69,BA$7),'Ajuste Mensal'!BA$28))</f>
        <v>240395.443417969</v>
      </c>
      <c r="BB23" s="60" t="n">
        <f aca="false">BB9*(1-INDEX(Premissas!$C$70:$G$70,BB$7))*CHOOSE(Premissas!$B$6,IF('Ajuste Mensal'!BB$16="",INDEX(Premissas!$C$67:$G$67,BB$7),'Ajuste Mensal'!BB$16),IF('Ajuste Mensal'!BB$22="",INDEX(Premissas!$C$68:$G$68,BB$7),'Ajuste Mensal'!BB$22),IF('Ajuste Mensal'!BB$28="",INDEX(Premissas!$C$69:$G$69,BB$7),'Ajuste Mensal'!BB$28))</f>
        <v>240395.443417969</v>
      </c>
      <c r="BC23" s="60" t="n">
        <f aca="false">BC9*(1-INDEX(Premissas!$C$70:$G$70,BC$7))*CHOOSE(Premissas!$B$6,IF('Ajuste Mensal'!BC$16="",INDEX(Premissas!$C$67:$G$67,BC$7),'Ajuste Mensal'!BC$16),IF('Ajuste Mensal'!BC$22="",INDEX(Premissas!$C$68:$G$68,BC$7),'Ajuste Mensal'!BC$22),IF('Ajuste Mensal'!BC$28="",INDEX(Premissas!$C$69:$G$69,BC$7),'Ajuste Mensal'!BC$28))</f>
        <v>240395.443417969</v>
      </c>
      <c r="BD23" s="60" t="n">
        <f aca="false">BD9*(1-INDEX(Premissas!$C$70:$G$70,BD$7))*CHOOSE(Premissas!$B$6,IF('Ajuste Mensal'!BD$16="",INDEX(Premissas!$C$67:$G$67,BD$7),'Ajuste Mensal'!BD$16),IF('Ajuste Mensal'!BD$22="",INDEX(Premissas!$C$68:$G$68,BD$7),'Ajuste Mensal'!BD$22),IF('Ajuste Mensal'!BD$28="",INDEX(Premissas!$C$69:$G$69,BD$7),'Ajuste Mensal'!BD$28))</f>
        <v>240395.443417969</v>
      </c>
      <c r="BE23" s="60" t="n">
        <f aca="false">BE9*(1-INDEX(Premissas!$C$70:$G$70,BE$7))*CHOOSE(Premissas!$B$6,IF('Ajuste Mensal'!BE$16="",INDEX(Premissas!$C$67:$G$67,BE$7),'Ajuste Mensal'!BE$16),IF('Ajuste Mensal'!BE$22="",INDEX(Premissas!$C$68:$G$68,BE$7),'Ajuste Mensal'!BE$22),IF('Ajuste Mensal'!BE$28="",INDEX(Premissas!$C$69:$G$69,BE$7),'Ajuste Mensal'!BE$28))</f>
        <v>240395.443417969</v>
      </c>
      <c r="BF23" s="60" t="n">
        <f aca="false">BF9*(1-INDEX(Premissas!$C$70:$G$70,BF$7))*CHOOSE(Premissas!$B$6,IF('Ajuste Mensal'!BF$16="",INDEX(Premissas!$C$67:$G$67,BF$7),'Ajuste Mensal'!BF$16),IF('Ajuste Mensal'!BF$22="",INDEX(Premissas!$C$68:$G$68,BF$7),'Ajuste Mensal'!BF$22),IF('Ajuste Mensal'!BF$28="",INDEX(Premissas!$C$69:$G$69,BF$7),'Ajuste Mensal'!BF$28))</f>
        <v>240395.443417969</v>
      </c>
      <c r="BG23" s="60" t="n">
        <f aca="false">BG9*(1-INDEX(Premissas!$C$70:$G$70,BG$7))*CHOOSE(Premissas!$B$6,IF('Ajuste Mensal'!BG$16="",INDEX(Premissas!$C$67:$G$67,BG$7),'Ajuste Mensal'!BG$16),IF('Ajuste Mensal'!BG$22="",INDEX(Premissas!$C$68:$G$68,BG$7),'Ajuste Mensal'!BG$22),IF('Ajuste Mensal'!BG$28="",INDEX(Premissas!$C$69:$G$69,BG$7),'Ajuste Mensal'!BG$28))</f>
        <v>240395.443417969</v>
      </c>
      <c r="BH23" s="60" t="n">
        <f aca="false">BH9*(1-INDEX(Premissas!$C$70:$G$70,BH$7))*CHOOSE(Premissas!$B$6,IF('Ajuste Mensal'!BH$16="",INDEX(Premissas!$C$67:$G$67,BH$7),'Ajuste Mensal'!BH$16),IF('Ajuste Mensal'!BH$22="",INDEX(Premissas!$C$68:$G$68,BH$7),'Ajuste Mensal'!BH$22),IF('Ajuste Mensal'!BH$28="",INDEX(Premissas!$C$69:$G$69,BH$7),'Ajuste Mensal'!BH$28))</f>
        <v>240395.443417969</v>
      </c>
      <c r="BI23" s="60" t="n">
        <f aca="false">BI9*(1-INDEX(Premissas!$C$70:$G$70,BI$7))*CHOOSE(Premissas!$B$6,IF('Ajuste Mensal'!BI$16="",INDEX(Premissas!$C$67:$G$67,BI$7),'Ajuste Mensal'!BI$16),IF('Ajuste Mensal'!BI$22="",INDEX(Premissas!$C$68:$G$68,BI$7),'Ajuste Mensal'!BI$22),IF('Ajuste Mensal'!BI$28="",INDEX(Premissas!$C$69:$G$69,BI$7),'Ajuste Mensal'!BI$28))</f>
        <v>240395.443417969</v>
      </c>
      <c r="BJ23" s="61" t="n">
        <f aca="false">SUM(B23:BI23)</f>
        <v>6395016.16382812</v>
      </c>
    </row>
    <row r="24" customFormat="false" ht="15" hidden="false" customHeight="false" outlineLevel="0" collapsed="false">
      <c r="A24" s="27" t="s">
        <v>850</v>
      </c>
      <c r="B24" s="81" t="n">
        <f aca="false">IFERROR(B23/B9,0)</f>
        <v>0</v>
      </c>
      <c r="C24" s="81" t="n">
        <f aca="false">IFERROR(C23/C9,0)</f>
        <v>0</v>
      </c>
      <c r="D24" s="81" t="n">
        <f aca="false">IFERROR(D23/D9,0)</f>
        <v>0</v>
      </c>
      <c r="E24" s="81" t="n">
        <f aca="false">IFERROR(E23/E9,0)</f>
        <v>0</v>
      </c>
      <c r="F24" s="81" t="n">
        <f aca="false">IFERROR(F23/F9,0)</f>
        <v>0</v>
      </c>
      <c r="G24" s="81" t="n">
        <f aca="false">IFERROR(G23/G9,0)</f>
        <v>0</v>
      </c>
      <c r="H24" s="81" t="n">
        <f aca="false">IFERROR(H23/H9,0)</f>
        <v>0</v>
      </c>
      <c r="I24" s="81" t="n">
        <f aca="false">IFERROR(I23/I9,0)</f>
        <v>0</v>
      </c>
      <c r="J24" s="81" t="n">
        <f aca="false">IFERROR(J23/J9,0)</f>
        <v>0</v>
      </c>
      <c r="K24" s="81" t="n">
        <f aca="false">IFERROR(K23/K9,0)</f>
        <v>1.75</v>
      </c>
      <c r="L24" s="81" t="n">
        <f aca="false">IFERROR(L23/L9,0)</f>
        <v>1.75</v>
      </c>
      <c r="M24" s="81" t="n">
        <f aca="false">IFERROR(M23/M9,0)</f>
        <v>1.75</v>
      </c>
      <c r="N24" s="81" t="n">
        <f aca="false">IFERROR(N23/N9,0)</f>
        <v>1.955</v>
      </c>
      <c r="O24" s="81" t="n">
        <f aca="false">IFERROR(O23/O9,0)</f>
        <v>1.955</v>
      </c>
      <c r="P24" s="81" t="n">
        <f aca="false">IFERROR(P23/P9,0)</f>
        <v>1.955</v>
      </c>
      <c r="Q24" s="81" t="n">
        <f aca="false">IFERROR(Q23/Q9,0)</f>
        <v>1.955</v>
      </c>
      <c r="R24" s="81" t="n">
        <f aca="false">IFERROR(R23/R9,0)</f>
        <v>1.955</v>
      </c>
      <c r="S24" s="81" t="n">
        <f aca="false">IFERROR(S23/S9,0)</f>
        <v>1.955</v>
      </c>
      <c r="T24" s="81" t="n">
        <f aca="false">IFERROR(T23/T9,0)</f>
        <v>1.955</v>
      </c>
      <c r="U24" s="81" t="n">
        <f aca="false">IFERROR(U23/U9,0)</f>
        <v>1.955</v>
      </c>
      <c r="V24" s="81" t="n">
        <f aca="false">IFERROR(V23/V9,0)</f>
        <v>1.955</v>
      </c>
      <c r="W24" s="81" t="n">
        <f aca="false">IFERROR(W23/W9,0)</f>
        <v>1.955</v>
      </c>
      <c r="X24" s="81" t="n">
        <f aca="false">IFERROR(X23/X9,0)</f>
        <v>1.955</v>
      </c>
      <c r="Y24" s="81" t="n">
        <f aca="false">IFERROR(Y23/Y9,0)</f>
        <v>1.955</v>
      </c>
      <c r="Z24" s="81" t="n">
        <f aca="false">IFERROR(Z23/Z9,0)</f>
        <v>2.1490625</v>
      </c>
      <c r="AA24" s="81" t="n">
        <f aca="false">IFERROR(AA23/AA9,0)</f>
        <v>2.1490625</v>
      </c>
      <c r="AB24" s="81" t="n">
        <f aca="false">IFERROR(AB23/AB9,0)</f>
        <v>2.1490625</v>
      </c>
      <c r="AC24" s="81" t="n">
        <f aca="false">IFERROR(AC23/AC9,0)</f>
        <v>2.1490625</v>
      </c>
      <c r="AD24" s="81" t="n">
        <f aca="false">IFERROR(AD23/AD9,0)</f>
        <v>2.1490625</v>
      </c>
      <c r="AE24" s="81" t="n">
        <f aca="false">IFERROR(AE23/AE9,0)</f>
        <v>2.1490625</v>
      </c>
      <c r="AF24" s="81" t="n">
        <f aca="false">IFERROR(AF23/AF9,0)</f>
        <v>2.1490625</v>
      </c>
      <c r="AG24" s="81" t="n">
        <f aca="false">IFERROR(AG23/AG9,0)</f>
        <v>2.1490625</v>
      </c>
      <c r="AH24" s="81" t="n">
        <f aca="false">IFERROR(AH23/AH9,0)</f>
        <v>2.1490625</v>
      </c>
      <c r="AI24" s="81" t="n">
        <f aca="false">IFERROR(AI23/AI9,0)</f>
        <v>2.1490625</v>
      </c>
      <c r="AJ24" s="81" t="n">
        <f aca="false">IFERROR(AJ23/AJ9,0)</f>
        <v>2.1490625</v>
      </c>
      <c r="AK24" s="81" t="n">
        <f aca="false">IFERROR(AK23/AK9,0)</f>
        <v>2.1490625</v>
      </c>
      <c r="AL24" s="81" t="n">
        <f aca="false">IFERROR(AL23/AL9,0)</f>
        <v>2.35735625</v>
      </c>
      <c r="AM24" s="81" t="n">
        <f aca="false">IFERROR(AM23/AM9,0)</f>
        <v>2.35735625</v>
      </c>
      <c r="AN24" s="81" t="n">
        <f aca="false">IFERROR(AN23/AN9,0)</f>
        <v>2.35735625</v>
      </c>
      <c r="AO24" s="81" t="n">
        <f aca="false">IFERROR(AO23/AO9,0)</f>
        <v>2.35735625</v>
      </c>
      <c r="AP24" s="81" t="n">
        <f aca="false">IFERROR(AP23/AP9,0)</f>
        <v>2.35735625</v>
      </c>
      <c r="AQ24" s="81" t="n">
        <f aca="false">IFERROR(AQ23/AQ9,0)</f>
        <v>2.35735625</v>
      </c>
      <c r="AR24" s="81" t="n">
        <f aca="false">IFERROR(AR23/AR9,0)</f>
        <v>2.35735625</v>
      </c>
      <c r="AS24" s="81" t="n">
        <f aca="false">IFERROR(AS23/AS9,0)</f>
        <v>2.35735625</v>
      </c>
      <c r="AT24" s="81" t="n">
        <f aca="false">IFERROR(AT23/AT9,0)</f>
        <v>2.35735625</v>
      </c>
      <c r="AU24" s="81" t="n">
        <f aca="false">IFERROR(AU23/AU9,0)</f>
        <v>2.35735625</v>
      </c>
      <c r="AV24" s="81" t="n">
        <f aca="false">IFERROR(AV23/AV9,0)</f>
        <v>2.35735625</v>
      </c>
      <c r="AW24" s="81" t="n">
        <f aca="false">IFERROR(AW23/AW9,0)</f>
        <v>2.35735625</v>
      </c>
      <c r="AX24" s="81" t="n">
        <f aca="false">IFERROR(AX23/AX9,0)</f>
        <v>2.623509375</v>
      </c>
      <c r="AY24" s="81" t="n">
        <f aca="false">IFERROR(AY23/AY9,0)</f>
        <v>2.623509375</v>
      </c>
      <c r="AZ24" s="81" t="n">
        <f aca="false">IFERROR(AZ23/AZ9,0)</f>
        <v>2.623509375</v>
      </c>
      <c r="BA24" s="81" t="n">
        <f aca="false">IFERROR(BA23/BA9,0)</f>
        <v>2.623509375</v>
      </c>
      <c r="BB24" s="81" t="n">
        <f aca="false">IFERROR(BB23/BB9,0)</f>
        <v>2.623509375</v>
      </c>
      <c r="BC24" s="81" t="n">
        <f aca="false">IFERROR(BC23/BC9,0)</f>
        <v>2.623509375</v>
      </c>
      <c r="BD24" s="81" t="n">
        <f aca="false">IFERROR(BD23/BD9,0)</f>
        <v>2.623509375</v>
      </c>
      <c r="BE24" s="81" t="n">
        <f aca="false">IFERROR(BE23/BE9,0)</f>
        <v>2.623509375</v>
      </c>
      <c r="BF24" s="81" t="n">
        <f aca="false">IFERROR(BF23/BF9,0)</f>
        <v>2.623509375</v>
      </c>
      <c r="BG24" s="81" t="n">
        <f aca="false">IFERROR(BG23/BG9,0)</f>
        <v>2.623509375</v>
      </c>
      <c r="BH24" s="81" t="n">
        <f aca="false">IFERROR(BH23/BH9,0)</f>
        <v>2.623509375</v>
      </c>
      <c r="BI24" s="81" t="n">
        <f aca="false">IFERROR(BI23/BI9,0)</f>
        <v>2.623509375</v>
      </c>
      <c r="BJ24" s="85" t="n">
        <f aca="false">IFERROR(BJ23/BJ9,0)</f>
        <v>2.36727510992462</v>
      </c>
      <c r="BK24" s="29" t="s">
        <v>851</v>
      </c>
    </row>
    <row r="25" customFormat="false" ht="15" hidden="false" customHeight="false" outlineLevel="0" collapsed="false">
      <c r="A25" s="31" t="s">
        <v>852</v>
      </c>
      <c r="B25" s="89" t="n">
        <f aca="false">IFERROR(B23/(B9*B13),0)</f>
        <v>0</v>
      </c>
      <c r="C25" s="89" t="n">
        <f aca="false">IFERROR(C23/(C9*C13),0)</f>
        <v>0</v>
      </c>
      <c r="D25" s="89" t="n">
        <f aca="false">IFERROR(D23/(D9*D13),0)</f>
        <v>0</v>
      </c>
      <c r="E25" s="89" t="n">
        <f aca="false">IFERROR(E23/(E9*E13),0)</f>
        <v>0</v>
      </c>
      <c r="F25" s="89" t="n">
        <f aca="false">IFERROR(F23/(F9*F13),0)</f>
        <v>0</v>
      </c>
      <c r="G25" s="89" t="n">
        <f aca="false">IFERROR(G23/(G9*G13),0)</f>
        <v>0</v>
      </c>
      <c r="H25" s="89" t="n">
        <f aca="false">IFERROR(H23/(H9*H13),0)</f>
        <v>0</v>
      </c>
      <c r="I25" s="89" t="n">
        <f aca="false">IFERROR(I23/(I9*I13),0)</f>
        <v>0</v>
      </c>
      <c r="J25" s="89" t="n">
        <f aca="false">IFERROR(J23/(J9*J13),0)</f>
        <v>0</v>
      </c>
      <c r="K25" s="89" t="n">
        <f aca="false">IFERROR(K23/(K9*K13),0)</f>
        <v>210</v>
      </c>
      <c r="L25" s="89" t="n">
        <f aca="false">IFERROR(L23/(L9*L13),0)</f>
        <v>105</v>
      </c>
      <c r="M25" s="89" t="n">
        <f aca="false">IFERROR(M23/(M9*M13),0)</f>
        <v>70</v>
      </c>
      <c r="N25" s="89" t="n">
        <f aca="false">IFERROR(N23/(N9*N13),0)</f>
        <v>54.3055555555556</v>
      </c>
      <c r="O25" s="89" t="n">
        <f aca="false">IFERROR(O23/(O9*O13),0)</f>
        <v>43.4444444444444</v>
      </c>
      <c r="P25" s="89" t="n">
        <f aca="false">IFERROR(P23/(P9*P13),0)</f>
        <v>36.2037037037037</v>
      </c>
      <c r="Q25" s="89" t="n">
        <f aca="false">IFERROR(Q23/(Q9*Q13),0)</f>
        <v>36.2037037037037</v>
      </c>
      <c r="R25" s="89" t="n">
        <f aca="false">IFERROR(R23/(R9*R13),0)</f>
        <v>36.2037037037037</v>
      </c>
      <c r="S25" s="89" t="n">
        <f aca="false">IFERROR(S23/(S9*S13),0)</f>
        <v>36.2037037037037</v>
      </c>
      <c r="T25" s="89" t="n">
        <f aca="false">IFERROR(T23/(T9*T13),0)</f>
        <v>36.2037037037037</v>
      </c>
      <c r="U25" s="89" t="n">
        <f aca="false">IFERROR(U23/(U9*U13),0)</f>
        <v>36.2037037037037</v>
      </c>
      <c r="V25" s="89" t="n">
        <f aca="false">IFERROR(V23/(V9*V13),0)</f>
        <v>36.2037037037037</v>
      </c>
      <c r="W25" s="89" t="n">
        <f aca="false">IFERROR(W23/(W9*W13),0)</f>
        <v>36.2037037037037</v>
      </c>
      <c r="X25" s="89" t="n">
        <f aca="false">IFERROR(X23/(X9*X13),0)</f>
        <v>36.2037037037037</v>
      </c>
      <c r="Y25" s="89" t="n">
        <f aca="false">IFERROR(Y23/(Y9*Y13),0)</f>
        <v>36.2037037037037</v>
      </c>
      <c r="Z25" s="89" t="n">
        <f aca="false">IFERROR(Z23/(Z9*Z13),0)</f>
        <v>36.849494170096</v>
      </c>
      <c r="AA25" s="89" t="n">
        <f aca="false">IFERROR(AA23/(AA9*AA13),0)</f>
        <v>36.849494170096</v>
      </c>
      <c r="AB25" s="89" t="n">
        <f aca="false">IFERROR(AB23/(AB9*AB13),0)</f>
        <v>36.849494170096</v>
      </c>
      <c r="AC25" s="89" t="n">
        <f aca="false">IFERROR(AC23/(AC9*AC13),0)</f>
        <v>36.849494170096</v>
      </c>
      <c r="AD25" s="89" t="n">
        <f aca="false">IFERROR(AD23/(AD9*AD13),0)</f>
        <v>36.849494170096</v>
      </c>
      <c r="AE25" s="89" t="n">
        <f aca="false">IFERROR(AE23/(AE9*AE13),0)</f>
        <v>36.849494170096</v>
      </c>
      <c r="AF25" s="89" t="n">
        <f aca="false">IFERROR(AF23/(AF9*AF13),0)</f>
        <v>36.849494170096</v>
      </c>
      <c r="AG25" s="89" t="n">
        <f aca="false">IFERROR(AG23/(AG9*AG13),0)</f>
        <v>36.849494170096</v>
      </c>
      <c r="AH25" s="89" t="n">
        <f aca="false">IFERROR(AH23/(AH9*AH13),0)</f>
        <v>36.849494170096</v>
      </c>
      <c r="AI25" s="89" t="n">
        <f aca="false">IFERROR(AI23/(AI9*AI13),0)</f>
        <v>36.849494170096</v>
      </c>
      <c r="AJ25" s="89" t="n">
        <f aca="false">IFERROR(AJ23/(AJ9*AJ13),0)</f>
        <v>36.849494170096</v>
      </c>
      <c r="AK25" s="89" t="n">
        <f aca="false">IFERROR(AK23/(AK9*AK13),0)</f>
        <v>36.849494170096</v>
      </c>
      <c r="AL25" s="89" t="n">
        <f aca="false">IFERROR(AL23/(AL9*AL13),0)</f>
        <v>37.4269078964081</v>
      </c>
      <c r="AM25" s="89" t="n">
        <f aca="false">IFERROR(AM23/(AM9*AM13),0)</f>
        <v>37.4269078964081</v>
      </c>
      <c r="AN25" s="89" t="n">
        <f aca="false">IFERROR(AN23/(AN9*AN13),0)</f>
        <v>37.4269078964081</v>
      </c>
      <c r="AO25" s="89" t="n">
        <f aca="false">IFERROR(AO23/(AO9*AO13),0)</f>
        <v>37.4269078964081</v>
      </c>
      <c r="AP25" s="89" t="n">
        <f aca="false">IFERROR(AP23/(AP9*AP13),0)</f>
        <v>37.4269078964081</v>
      </c>
      <c r="AQ25" s="89" t="n">
        <f aca="false">IFERROR(AQ23/(AQ9*AQ13),0)</f>
        <v>37.4269078964081</v>
      </c>
      <c r="AR25" s="89" t="n">
        <f aca="false">IFERROR(AR23/(AR9*AR13),0)</f>
        <v>37.4269078964081</v>
      </c>
      <c r="AS25" s="89" t="n">
        <f aca="false">IFERROR(AS23/(AS9*AS13),0)</f>
        <v>37.4269078964081</v>
      </c>
      <c r="AT25" s="89" t="n">
        <f aca="false">IFERROR(AT23/(AT9*AT13),0)</f>
        <v>37.4269078964081</v>
      </c>
      <c r="AU25" s="89" t="n">
        <f aca="false">IFERROR(AU23/(AU9*AU13),0)</f>
        <v>37.4269078964081</v>
      </c>
      <c r="AV25" s="89" t="n">
        <f aca="false">IFERROR(AV23/(AV9*AV13),0)</f>
        <v>37.4269078964081</v>
      </c>
      <c r="AW25" s="89" t="n">
        <f aca="false">IFERROR(AW23/(AW9*AW13),0)</f>
        <v>37.4269078964081</v>
      </c>
      <c r="AX25" s="89" t="n">
        <f aca="false">IFERROR(AX23/(AX9*AX13),0)</f>
        <v>38.5671541943273</v>
      </c>
      <c r="AY25" s="89" t="n">
        <f aca="false">IFERROR(AY23/(AY9*AY13),0)</f>
        <v>38.5671541943273</v>
      </c>
      <c r="AZ25" s="89" t="n">
        <f aca="false">IFERROR(AZ23/(AZ9*AZ13),0)</f>
        <v>38.5671541943273</v>
      </c>
      <c r="BA25" s="89" t="n">
        <f aca="false">IFERROR(BA23/(BA9*BA13),0)</f>
        <v>38.5671541943273</v>
      </c>
      <c r="BB25" s="89" t="n">
        <f aca="false">IFERROR(BB23/(BB9*BB13),0)</f>
        <v>38.5671541943273</v>
      </c>
      <c r="BC25" s="89" t="n">
        <f aca="false">IFERROR(BC23/(BC9*BC13),0)</f>
        <v>38.5671541943273</v>
      </c>
      <c r="BD25" s="89" t="n">
        <f aca="false">IFERROR(BD23/(BD9*BD13),0)</f>
        <v>38.5671541943273</v>
      </c>
      <c r="BE25" s="89" t="n">
        <f aca="false">IFERROR(BE23/(BE9*BE13),0)</f>
        <v>38.5671541943273</v>
      </c>
      <c r="BF25" s="89" t="n">
        <f aca="false">IFERROR(BF23/(BF9*BF13),0)</f>
        <v>38.5671541943273</v>
      </c>
      <c r="BG25" s="89" t="n">
        <f aca="false">IFERROR(BG23/(BG9*BG13),0)</f>
        <v>38.5671541943273</v>
      </c>
      <c r="BH25" s="89" t="n">
        <f aca="false">IFERROR(BH23/(BH9*BH13),0)</f>
        <v>38.5671541943273</v>
      </c>
      <c r="BI25" s="89" t="n">
        <f aca="false">IFERROR(BI23/(BI9*BI13),0)</f>
        <v>38.5671541943273</v>
      </c>
      <c r="BK25" s="29" t="s">
        <v>853</v>
      </c>
    </row>
    <row r="26" customFormat="false" ht="15" hidden="false" customHeight="false" outlineLevel="0" collapsed="false">
      <c r="A26" s="27" t="s">
        <v>854</v>
      </c>
      <c r="B26" s="81" t="n">
        <f aca="false">IFERROR(CHOOSE(Premissas!$B$6,Cenários!B23,Cenários!B69,Cenários!B115)/B14,0)</f>
        <v>0</v>
      </c>
      <c r="C26" s="81" t="n">
        <f aca="false">IFERROR(CHOOSE(Premissas!$B$6,Cenários!C23,Cenários!C69,Cenários!C115)/C14,0)</f>
        <v>0</v>
      </c>
      <c r="D26" s="81" t="n">
        <f aca="false">IFERROR(CHOOSE(Premissas!$B$6,Cenários!D23,Cenários!D69,Cenários!D115)/D14,0)</f>
        <v>0</v>
      </c>
      <c r="E26" s="81" t="n">
        <f aca="false">IFERROR(CHOOSE(Premissas!$B$6,Cenários!E23,Cenários!E69,Cenários!E115)/E14,0)</f>
        <v>0</v>
      </c>
      <c r="F26" s="81" t="n">
        <f aca="false">IFERROR(CHOOSE(Premissas!$B$6,Cenários!F23,Cenários!F69,Cenários!F115)/F14,0)</f>
        <v>0</v>
      </c>
      <c r="G26" s="81" t="n">
        <f aca="false">IFERROR(CHOOSE(Premissas!$B$6,Cenários!G23,Cenários!G69,Cenários!G115)/G14,0)</f>
        <v>0</v>
      </c>
      <c r="H26" s="81" t="n">
        <f aca="false">IFERROR(CHOOSE(Premissas!$B$6,Cenários!H23,Cenários!H69,Cenários!H115)/H14,0)</f>
        <v>0</v>
      </c>
      <c r="I26" s="81" t="n">
        <f aca="false">IFERROR(CHOOSE(Premissas!$B$6,Cenários!I23,Cenários!I69,Cenários!I115)/I14,0)</f>
        <v>0</v>
      </c>
      <c r="J26" s="81" t="n">
        <f aca="false">IFERROR(CHOOSE(Premissas!$B$6,Cenários!J23,Cenários!J69,Cenários!J115)/J14,0)</f>
        <v>0</v>
      </c>
      <c r="K26" s="81" t="n">
        <f aca="false">IFERROR(CHOOSE(Premissas!$B$6,Cenários!K23,Cenários!K69,Cenários!K115)/K14,0)</f>
        <v>19.9</v>
      </c>
      <c r="L26" s="81" t="n">
        <f aca="false">IFERROR(CHOOSE(Premissas!$B$6,Cenários!L23,Cenários!L69,Cenários!L115)/L14,0)</f>
        <v>19.9</v>
      </c>
      <c r="M26" s="81" t="n">
        <f aca="false">IFERROR(CHOOSE(Premissas!$B$6,Cenários!M23,Cenários!M69,Cenários!M115)/M14,0)</f>
        <v>19.9</v>
      </c>
      <c r="N26" s="81" t="n">
        <f aca="false">IFERROR(CHOOSE(Premissas!$B$6,Cenários!N23,Cenários!N69,Cenários!N115)/N14,0)</f>
        <v>20.7955</v>
      </c>
      <c r="O26" s="81" t="n">
        <f aca="false">IFERROR(CHOOSE(Premissas!$B$6,Cenários!O23,Cenários!O69,Cenários!O115)/O14,0)</f>
        <v>20.7955</v>
      </c>
      <c r="P26" s="81" t="n">
        <f aca="false">IFERROR(CHOOSE(Premissas!$B$6,Cenários!P23,Cenários!P69,Cenários!P115)/P14,0)</f>
        <v>20.7955</v>
      </c>
      <c r="Q26" s="81" t="n">
        <f aca="false">IFERROR(CHOOSE(Premissas!$B$6,Cenários!Q23,Cenários!Q69,Cenários!Q115)/Q14,0)</f>
        <v>25.3939056564536</v>
      </c>
      <c r="R26" s="81" t="n">
        <f aca="false">IFERROR(CHOOSE(Premissas!$B$6,Cenários!R23,Cenários!R69,Cenários!R115)/R14,0)</f>
        <v>25.3931404080128</v>
      </c>
      <c r="S26" s="81" t="n">
        <f aca="false">IFERROR(CHOOSE(Premissas!$B$6,Cenários!S23,Cenários!S69,Cenários!S115)/S14,0)</f>
        <v>25.3934535090646</v>
      </c>
      <c r="T26" s="81" t="n">
        <f aca="false">IFERROR(CHOOSE(Premissas!$B$6,Cenários!T23,Cenários!T69,Cenários!T115)/T14,0)</f>
        <v>25.3938846232492</v>
      </c>
      <c r="U26" s="81" t="n">
        <f aca="false">IFERROR(CHOOSE(Premissas!$B$6,Cenários!U23,Cenários!U69,Cenários!U115)/U14,0)</f>
        <v>25.3942157534247</v>
      </c>
      <c r="V26" s="81" t="n">
        <f aca="false">IFERROR(CHOOSE(Premissas!$B$6,Cenários!V23,Cenários!V69,Cenários!V115)/V14,0)</f>
        <v>25.393238446411</v>
      </c>
      <c r="W26" s="81" t="n">
        <f aca="false">IFERROR(CHOOSE(Premissas!$B$6,Cenários!W23,Cenários!W69,Cenários!W115)/W14,0)</f>
        <v>29.1576232644768</v>
      </c>
      <c r="X26" s="81" t="n">
        <f aca="false">IFERROR(CHOOSE(Premissas!$B$6,Cenários!X23,Cenários!X69,Cenários!X115)/X14,0)</f>
        <v>29.1538131557708</v>
      </c>
      <c r="Y26" s="81" t="n">
        <f aca="false">IFERROR(CHOOSE(Premissas!$B$6,Cenários!Y23,Cenários!Y69,Cenários!Y115)/Y14,0)</f>
        <v>29.1529125657691</v>
      </c>
      <c r="Z26" s="81" t="n">
        <f aca="false">IFERROR(CHOOSE(Premissas!$B$6,Cenários!Z23,Cenários!Z69,Cenários!Z115)/Z14,0)</f>
        <v>32.2153636692839</v>
      </c>
      <c r="AA26" s="81" t="n">
        <f aca="false">IFERROR(CHOOSE(Premissas!$B$6,Cenários!AA23,Cenários!AA69,Cenários!AA115)/AA14,0)</f>
        <v>32.2150525640139</v>
      </c>
      <c r="AB26" s="81" t="n">
        <f aca="false">IFERROR(CHOOSE(Premissas!$B$6,Cenários!AB23,Cenários!AB69,Cenários!AB115)/AB14,0)</f>
        <v>32.215619152837</v>
      </c>
      <c r="AC26" s="81" t="n">
        <f aca="false">IFERROR(CHOOSE(Premissas!$B$6,Cenários!AC23,Cenários!AC69,Cenários!AC115)/AC14,0)</f>
        <v>32.2147375</v>
      </c>
      <c r="AD26" s="81" t="n">
        <f aca="false">IFERROR(CHOOSE(Premissas!$B$6,Cenários!AD23,Cenários!AD69,Cenários!AD115)/AD14,0)</f>
        <v>32.2155243087661</v>
      </c>
      <c r="AE26" s="81" t="n">
        <f aca="false">IFERROR(CHOOSE(Premissas!$B$6,Cenários!AE23,Cenários!AE69,Cenários!AE115)/AE14,0)</f>
        <v>32.2157384012794</v>
      </c>
      <c r="AF26" s="81" t="n">
        <f aca="false">IFERROR(CHOOSE(Premissas!$B$6,Cenários!AF23,Cenários!AF69,Cenários!AF115)/AF14,0)</f>
        <v>32.213577579663</v>
      </c>
      <c r="AG26" s="81" t="n">
        <f aca="false">IFERROR(CHOOSE(Premissas!$B$6,Cenários!AG23,Cenários!AG69,Cenários!AG115)/AG14,0)</f>
        <v>32.2156622510254</v>
      </c>
      <c r="AH26" s="81" t="n">
        <f aca="false">IFERROR(CHOOSE(Premissas!$B$6,Cenários!AH23,Cenários!AH69,Cenários!AH115)/AH14,0)</f>
        <v>32.2155945016207</v>
      </c>
      <c r="AI26" s="81" t="n">
        <f aca="false">IFERROR(CHOOSE(Premissas!$B$6,Cenários!AI23,Cenários!AI69,Cenários!AI115)/AI14,0)</f>
        <v>32.2140867319152</v>
      </c>
      <c r="AJ26" s="81" t="n">
        <f aca="false">IFERROR(CHOOSE(Premissas!$B$6,Cenários!AJ23,Cenários!AJ69,Cenários!AJ115)/AJ14,0)</f>
        <v>32.2130839161733</v>
      </c>
      <c r="AK26" s="81" t="n">
        <f aca="false">IFERROR(CHOOSE(Premissas!$B$6,Cenários!AK23,Cenários!AK69,Cenários!AK115)/AK14,0)</f>
        <v>32.2147375</v>
      </c>
      <c r="AL26" s="81" t="n">
        <f aca="false">IFERROR(CHOOSE(Premissas!$B$6,Cenários!AL23,Cenários!AL69,Cenários!AL115)/AL14,0)</f>
        <v>35.4906686878423</v>
      </c>
      <c r="AM26" s="81" t="n">
        <f aca="false">IFERROR(CHOOSE(Premissas!$B$6,Cenários!AM23,Cenários!AM69,Cenários!AM115)/AM14,0)</f>
        <v>35.4915750391961</v>
      </c>
      <c r="AN26" s="81" t="n">
        <f aca="false">IFERROR(CHOOSE(Premissas!$B$6,Cenários!AN23,Cenários!AN69,Cenários!AN115)/AN14,0)</f>
        <v>35.4913954007857</v>
      </c>
      <c r="AO26" s="81" t="n">
        <f aca="false">IFERROR(CHOOSE(Premissas!$B$6,Cenários!AO23,Cenários!AO69,Cenários!AO115)/AO14,0)</f>
        <v>35.4898992261972</v>
      </c>
      <c r="AP26" s="81" t="n">
        <f aca="false">IFERROR(CHOOSE(Premissas!$B$6,Cenários!AP23,Cenários!AP69,Cenários!AP115)/AP14,0)</f>
        <v>35.4907941072408</v>
      </c>
      <c r="AQ26" s="81" t="n">
        <f aca="false">IFERROR(CHOOSE(Premissas!$B$6,Cenários!AQ23,Cenários!AQ69,Cenários!AQ115)/AQ14,0)</f>
        <v>35.4904840308848</v>
      </c>
      <c r="AR26" s="81" t="n">
        <f aca="false">IFERROR(CHOOSE(Premissas!$B$6,Cenários!AR23,Cenários!AR69,Cenários!AR115)/AR14,0)</f>
        <v>35.4908967886814</v>
      </c>
      <c r="AS26" s="81" t="n">
        <f aca="false">IFERROR(CHOOSE(Premissas!$B$6,Cenários!AS23,Cenários!AS69,Cenários!AS115)/AS14,0)</f>
        <v>35.4911939889595</v>
      </c>
      <c r="AT26" s="81" t="n">
        <f aca="false">IFERROR(CHOOSE(Premissas!$B$6,Cenários!AT23,Cenários!AT69,Cenários!AT115)/AT14,0)</f>
        <v>35.4900905936799</v>
      </c>
      <c r="AU26" s="81" t="n">
        <f aca="false">IFERROR(CHOOSE(Premissas!$B$6,Cenários!AU23,Cenários!AU69,Cenários!AU115)/AU14,0)</f>
        <v>35.4901807882298</v>
      </c>
      <c r="AV26" s="81" t="n">
        <f aca="false">IFERROR(CHOOSE(Premissas!$B$6,Cenários!AV23,Cenários!AV69,Cenários!AV115)/AV14,0)</f>
        <v>35.4907268566246</v>
      </c>
      <c r="AW26" s="81" t="n">
        <f aca="false">IFERROR(CHOOSE(Premissas!$B$6,Cenários!AW23,Cenários!AW69,Cenários!AW115)/AW14,0)</f>
        <v>35.4910037807609</v>
      </c>
      <c r="AX26" s="81" t="n">
        <f aca="false">IFERROR(CHOOSE(Premissas!$B$6,Cenários!AX23,Cenários!AX69,Cenários!AX115)/AX14,0)</f>
        <v>38.9951168023156</v>
      </c>
      <c r="AY26" s="81" t="n">
        <f aca="false">IFERROR(CHOOSE(Premissas!$B$6,Cenários!AY23,Cenários!AY69,Cenários!AY115)/AY14,0)</f>
        <v>38.9951302296007</v>
      </c>
      <c r="AZ26" s="81" t="n">
        <f aca="false">IFERROR(CHOOSE(Premissas!$B$6,Cenários!AZ23,Cenários!AZ69,Cenários!AZ115)/AZ14,0)</f>
        <v>38.9947081053602</v>
      </c>
      <c r="BA26" s="81" t="n">
        <f aca="false">IFERROR(CHOOSE(Premissas!$B$6,Cenários!BA23,Cenários!BA69,Cenários!BA115)/BA14,0)</f>
        <v>38.9946891699384</v>
      </c>
      <c r="BB26" s="81" t="n">
        <f aca="false">IFERROR(CHOOSE(Premissas!$B$6,Cenários!BB23,Cenários!BB69,Cenários!BB115)/BB14,0)</f>
        <v>38.9956641124736</v>
      </c>
      <c r="BC26" s="81" t="n">
        <f aca="false">IFERROR(CHOOSE(Premissas!$B$6,Cenários!BC23,Cenários!BC69,Cenários!BC115)/BC14,0)</f>
        <v>38.995402464438</v>
      </c>
      <c r="BD26" s="81" t="n">
        <f aca="false">IFERROR(CHOOSE(Premissas!$B$6,Cenários!BD23,Cenários!BD69,Cenários!BD115)/BD14,0)</f>
        <v>38.9953154646163</v>
      </c>
      <c r="BE26" s="81" t="n">
        <f aca="false">IFERROR(CHOOSE(Premissas!$B$6,Cenários!BE23,Cenários!BE69,Cenários!BE115)/BE14,0)</f>
        <v>38.994777215743</v>
      </c>
      <c r="BF26" s="81" t="n">
        <f aca="false">IFERROR(CHOOSE(Premissas!$B$6,Cenários!BF23,Cenários!BF69,Cenários!BF115)/BF14,0)</f>
        <v>38.995923478912</v>
      </c>
      <c r="BG26" s="81" t="n">
        <f aca="false">IFERROR(CHOOSE(Premissas!$B$6,Cenários!BG23,Cenários!BG69,Cenários!BG115)/BG14,0)</f>
        <v>38.9951876298774</v>
      </c>
      <c r="BH26" s="81" t="n">
        <f aca="false">IFERROR(CHOOSE(Premissas!$B$6,Cenários!BH23,Cenários!BH69,Cenários!BH115)/BH14,0)</f>
        <v>38.9950247853936</v>
      </c>
      <c r="BI26" s="81" t="n">
        <f aca="false">IFERROR(CHOOSE(Premissas!$B$6,Cenários!BI23,Cenários!BI69,Cenários!BI115)/BI14,0)</f>
        <v>38.9954461414571</v>
      </c>
    </row>
    <row r="27" customFormat="false" ht="15" hidden="false" customHeight="false" outlineLevel="0" collapsed="false">
      <c r="A27" s="27" t="s">
        <v>855</v>
      </c>
      <c r="B27" s="81" t="n">
        <f aca="false">IFERROR(CHOOSE(Premissas!$B$6,Cenários!B28,Cenários!B74,Cenários!B120)/B12,0)</f>
        <v>0</v>
      </c>
      <c r="C27" s="81" t="n">
        <f aca="false">IFERROR(CHOOSE(Premissas!$B$6,Cenários!C28,Cenários!C74,Cenários!C120)/C12,0)</f>
        <v>0</v>
      </c>
      <c r="D27" s="81" t="n">
        <f aca="false">IFERROR(CHOOSE(Premissas!$B$6,Cenários!D28,Cenários!D74,Cenários!D120)/D12,0)</f>
        <v>0</v>
      </c>
      <c r="E27" s="81" t="n">
        <f aca="false">IFERROR(CHOOSE(Premissas!$B$6,Cenários!E28,Cenários!E74,Cenários!E120)/E12,0)</f>
        <v>0</v>
      </c>
      <c r="F27" s="81" t="n">
        <f aca="false">IFERROR(CHOOSE(Premissas!$B$6,Cenários!F28,Cenários!F74,Cenários!F120)/F12,0)</f>
        <v>0</v>
      </c>
      <c r="G27" s="81" t="n">
        <f aca="false">IFERROR(CHOOSE(Premissas!$B$6,Cenários!G28,Cenários!G74,Cenários!G120)/G12,0)</f>
        <v>0</v>
      </c>
      <c r="H27" s="81" t="n">
        <f aca="false">IFERROR(CHOOSE(Premissas!$B$6,Cenários!H28,Cenários!H74,Cenários!H120)/H12,0)</f>
        <v>0</v>
      </c>
      <c r="I27" s="81" t="n">
        <f aca="false">IFERROR(CHOOSE(Premissas!$B$6,Cenários!I28,Cenários!I74,Cenários!I120)/I12,0)</f>
        <v>0</v>
      </c>
      <c r="J27" s="81" t="n">
        <f aca="false">IFERROR(CHOOSE(Premissas!$B$6,Cenários!J28,Cenários!J74,Cenários!J120)/J12,0)</f>
        <v>0</v>
      </c>
      <c r="K27" s="81" t="n">
        <f aca="false">IFERROR(CHOOSE(Premissas!$B$6,Cenários!K28,Cenários!K74,Cenários!K120)/K12,0)</f>
        <v>0.166016574585635</v>
      </c>
      <c r="L27" s="81" t="n">
        <f aca="false">IFERROR(CHOOSE(Premissas!$B$6,Cenários!L28,Cenários!L74,Cenários!L120)/L12,0)</f>
        <v>0.331552140883978</v>
      </c>
      <c r="M27" s="81" t="n">
        <f aca="false">IFERROR(CHOOSE(Premissas!$B$6,Cenários!M28,Cenários!M74,Cenários!M120)/M12,0)</f>
        <v>0.497581075510706</v>
      </c>
      <c r="N27" s="81" t="n">
        <f aca="false">IFERROR(CHOOSE(Premissas!$B$6,Cenários!N28,Cenários!N74,Cenários!N120)/N12,0)</f>
        <v>0.801015770332531</v>
      </c>
      <c r="O27" s="81" t="n">
        <f aca="false">IFERROR(CHOOSE(Premissas!$B$6,Cenários!O28,Cenários!O74,Cenários!O120)/O12,0)</f>
        <v>0.98836024605189</v>
      </c>
      <c r="P27" s="81" t="n">
        <f aca="false">IFERROR(CHOOSE(Premissas!$B$6,Cenários!P28,Cenários!P74,Cenários!P120)/P12,0)</f>
        <v>1.17537664957769</v>
      </c>
      <c r="Q27" s="81" t="n">
        <f aca="false">IFERROR(CHOOSE(Premissas!$B$6,Cenários!Q28,Cenários!Q74,Cenários!Q120)/Q12,0)</f>
        <v>1.42372938248153</v>
      </c>
      <c r="R27" s="81" t="n">
        <f aca="false">IFERROR(CHOOSE(Premissas!$B$6,Cenários!R28,Cenários!R74,Cenários!R120)/R12,0)</f>
        <v>1.42374906370339</v>
      </c>
      <c r="S27" s="81" t="n">
        <f aca="false">IFERROR(CHOOSE(Premissas!$B$6,Cenários!S28,Cenários!S74,Cenários!S120)/S12,0)</f>
        <v>1.42373265834125</v>
      </c>
      <c r="T27" s="81" t="n">
        <f aca="false">IFERROR(CHOOSE(Premissas!$B$6,Cenários!T28,Cenários!T74,Cenários!T120)/T12,0)</f>
        <v>1.42376126403932</v>
      </c>
      <c r="U27" s="81" t="n">
        <f aca="false">IFERROR(CHOOSE(Premissas!$B$6,Cenários!U28,Cenários!U74,Cenários!U120)/U12,0)</f>
        <v>1.4238365832214</v>
      </c>
      <c r="V27" s="81" t="n">
        <f aca="false">IFERROR(CHOOSE(Premissas!$B$6,Cenários!V28,Cenários!V74,Cenários!V120)/V12,0)</f>
        <v>1.42370414579402</v>
      </c>
      <c r="W27" s="81" t="n">
        <f aca="false">IFERROR(CHOOSE(Premissas!$B$6,Cenários!W28,Cenários!W74,Cenários!W120)/W12,0)</f>
        <v>1.62700239744821</v>
      </c>
      <c r="X27" s="81" t="n">
        <f aca="false">IFERROR(CHOOSE(Premissas!$B$6,Cenários!X28,Cenários!X74,Cenários!X120)/X12,0)</f>
        <v>1.62681838337836</v>
      </c>
      <c r="Y27" s="81" t="n">
        <f aca="false">IFERROR(CHOOSE(Premissas!$B$6,Cenários!Y28,Cenários!Y74,Cenários!Y120)/Y12,0)</f>
        <v>1.62672302437509</v>
      </c>
      <c r="Z27" s="81" t="n">
        <f aca="false">IFERROR(CHOOSE(Premissas!$B$6,Cenários!Z28,Cenários!Z74,Cenários!Z120)/Z12,0)</f>
        <v>1.96634569816573</v>
      </c>
      <c r="AA27" s="81" t="n">
        <f aca="false">IFERROR(CHOOSE(Premissas!$B$6,Cenários!AA28,Cenários!AA74,Cenários!AA120)/AA12,0)</f>
        <v>1.96629468937113</v>
      </c>
      <c r="AB27" s="81" t="n">
        <f aca="false">IFERROR(CHOOSE(Premissas!$B$6,Cenários!AB28,Cenários!AB74,Cenários!AB120)/AB12,0)</f>
        <v>1.96632120675601</v>
      </c>
      <c r="AC27" s="81" t="n">
        <f aca="false">IFERROR(CHOOSE(Premissas!$B$6,Cenários!AC28,Cenários!AC74,Cenários!AC120)/AC12,0)</f>
        <v>1.96624016564206</v>
      </c>
      <c r="AD27" s="81" t="n">
        <f aca="false">IFERROR(CHOOSE(Premissas!$B$6,Cenários!AD28,Cenários!AD74,Cenários!AD120)/AD12,0)</f>
        <v>1.96633165354831</v>
      </c>
      <c r="AE27" s="81" t="n">
        <f aca="false">IFERROR(CHOOSE(Premissas!$B$6,Cenários!AE28,Cenários!AE74,Cenários!AE120)/AE12,0)</f>
        <v>1.96631366384244</v>
      </c>
      <c r="AF27" s="81" t="n">
        <f aca="false">IFERROR(CHOOSE(Premissas!$B$6,Cenários!AF28,Cenários!AF74,Cenários!AF120)/AF12,0)</f>
        <v>2.08631355319085</v>
      </c>
      <c r="AG27" s="81" t="n">
        <f aca="false">IFERROR(CHOOSE(Premissas!$B$6,Cenários!AG28,Cenários!AG74,Cenários!AG120)/AG12,0)</f>
        <v>2.08202507302402</v>
      </c>
      <c r="AH27" s="81" t="n">
        <f aca="false">IFERROR(CHOOSE(Premissas!$B$6,Cenários!AH28,Cenários!AH74,Cenários!AH120)/AH12,0)</f>
        <v>2.0782625198687</v>
      </c>
      <c r="AI27" s="81" t="n">
        <f aca="false">IFERROR(CHOOSE(Premissas!$B$6,Cenários!AI28,Cenários!AI74,Cenários!AI120)/AI12,0)</f>
        <v>2.07486921734491</v>
      </c>
      <c r="AJ27" s="81" t="n">
        <f aca="false">IFERROR(CHOOSE(Premissas!$B$6,Cenários!AJ28,Cenários!AJ74,Cenários!AJ120)/AJ12,0)</f>
        <v>2.07189170296648</v>
      </c>
      <c r="AK27" s="81" t="n">
        <f aca="false">IFERROR(CHOOSE(Premissas!$B$6,Cenários!AK28,Cenários!AK74,Cenários!AK120)/AK12,0)</f>
        <v>2.06934978729054</v>
      </c>
      <c r="AL27" s="81" t="n">
        <f aca="false">IFERROR(CHOOSE(Premissas!$B$6,Cenários!AL28,Cenários!AL74,Cenários!AL120)/AL12,0)</f>
        <v>2.52484112295275</v>
      </c>
      <c r="AM27" s="81" t="n">
        <f aca="false">IFERROR(CHOOSE(Premissas!$B$6,Cenários!AM28,Cenários!AM74,Cenários!AM120)/AM12,0)</f>
        <v>2.51592039691369</v>
      </c>
      <c r="AN27" s="81" t="n">
        <f aca="false">IFERROR(CHOOSE(Premissas!$B$6,Cenários!AN28,Cenários!AN74,Cenários!AN120)/AN12,0)</f>
        <v>2.50840862070032</v>
      </c>
      <c r="AO27" s="81" t="n">
        <f aca="false">IFERROR(CHOOSE(Premissas!$B$6,Cenários!AO28,Cenários!AO74,Cenários!AO120)/AO12,0)</f>
        <v>2.50206267061074</v>
      </c>
      <c r="AP27" s="81" t="n">
        <f aca="false">IFERROR(CHOOSE(Premissas!$B$6,Cenários!AP28,Cenários!AP74,Cenários!AP120)/AP12,0)</f>
        <v>2.49675069676558</v>
      </c>
      <c r="AQ27" s="81" t="n">
        <f aca="false">IFERROR(CHOOSE(Premissas!$B$6,Cenários!AQ28,Cenários!AQ74,Cenários!AQ120)/AQ12,0)</f>
        <v>2.49211317109937</v>
      </c>
      <c r="AR27" s="81" t="n">
        <f aca="false">IFERROR(CHOOSE(Premissas!$B$6,Cenários!AR28,Cenários!AR74,Cenários!AR120)/AR12,0)</f>
        <v>2.48814599084203</v>
      </c>
      <c r="AS27" s="81" t="n">
        <f aca="false">IFERROR(CHOOSE(Premissas!$B$6,Cenários!AS28,Cenários!AS74,Cenários!AS120)/AS12,0)</f>
        <v>2.48467062034115</v>
      </c>
      <c r="AT27" s="81" t="n">
        <f aca="false">IFERROR(CHOOSE(Premissas!$B$6,Cenários!AT28,Cenários!AT74,Cenários!AT120)/AT12,0)</f>
        <v>2.4815285027257</v>
      </c>
      <c r="AU27" s="81" t="n">
        <f aca="false">IFERROR(CHOOSE(Premissas!$B$6,Cenários!AU28,Cenários!AU74,Cenários!AU120)/AU12,0)</f>
        <v>2.47884252610725</v>
      </c>
      <c r="AV27" s="81" t="n">
        <f aca="false">IFERROR(CHOOSE(Premissas!$B$6,Cenários!AV28,Cenários!AV74,Cenários!AV120)/AV12,0)</f>
        <v>2.4764525820491</v>
      </c>
      <c r="AW27" s="81" t="n">
        <f aca="false">IFERROR(CHOOSE(Premissas!$B$6,Cenários!AW28,Cenários!AW74,Cenários!AW120)/AW12,0)</f>
        <v>2.4743321135894</v>
      </c>
      <c r="AX27" s="81" t="n">
        <f aca="false">IFERROR(CHOOSE(Premissas!$B$6,Cenários!AX28,Cenários!AX74,Cenários!AX120)/AX12,0)</f>
        <v>2.92030395619801</v>
      </c>
      <c r="AY27" s="81" t="n">
        <f aca="false">IFERROR(CHOOSE(Premissas!$B$6,Cenários!AY28,Cenários!AY74,Cenários!AY120)/AY12,0)</f>
        <v>2.91516526212329</v>
      </c>
      <c r="AZ27" s="81" t="n">
        <f aca="false">IFERROR(CHOOSE(Premissas!$B$6,Cenários!AZ28,Cenários!AZ74,Cenários!AZ120)/AZ12,0)</f>
        <v>2.91080868157713</v>
      </c>
      <c r="BA27" s="81" t="n">
        <f aca="false">IFERROR(CHOOSE(Premissas!$B$6,Cenários!BA28,Cenários!BA74,Cenários!BA120)/BA12,0)</f>
        <v>2.90708385560585</v>
      </c>
      <c r="BB27" s="81" t="n">
        <f aca="false">IFERROR(CHOOSE(Premissas!$B$6,Cenários!BB28,Cenários!BB74,Cenários!BB120)/BB12,0)</f>
        <v>2.90399079686406</v>
      </c>
      <c r="BC27" s="81" t="n">
        <f aca="false">IFERROR(CHOOSE(Premissas!$B$6,Cenários!BC28,Cenários!BC74,Cenários!BC120)/BC12,0)</f>
        <v>2.90122021648645</v>
      </c>
      <c r="BD27" s="81" t="n">
        <f aca="false">IFERROR(CHOOSE(Premissas!$B$6,Cenários!BD28,Cenários!BD74,Cenários!BD120)/BD12,0)</f>
        <v>2.89880687261379</v>
      </c>
      <c r="BE27" s="81" t="n">
        <f aca="false">IFERROR(CHOOSE(Premissas!$B$6,Cenários!BE28,Cenários!BE74,Cenários!BE120)/BE12,0)</f>
        <v>2.89664635460538</v>
      </c>
      <c r="BF27" s="81" t="n">
        <f aca="false">IFERROR(CHOOSE(Premissas!$B$6,Cenários!BF28,Cenários!BF74,Cenários!BF120)/BF12,0)</f>
        <v>2.894855831265</v>
      </c>
      <c r="BG27" s="81" t="n">
        <f aca="false">IFERROR(CHOOSE(Premissas!$B$6,Cenários!BG28,Cenários!BG74,Cenários!BG120)/BG12,0)</f>
        <v>2.89311827928836</v>
      </c>
      <c r="BH27" s="81" t="n">
        <f aca="false">IFERROR(CHOOSE(Premissas!$B$6,Cenários!BH28,Cenários!BH74,Cenários!BH120)/BH12,0)</f>
        <v>2.89162590412094</v>
      </c>
      <c r="BI27" s="81" t="n">
        <f aca="false">IFERROR(CHOOSE(Premissas!$B$6,Cenários!BI28,Cenários!BI74,Cenários!BI120)/BI12,0)</f>
        <v>2.89031682810796</v>
      </c>
    </row>
    <row r="28" customFormat="false" ht="15" hidden="false" customHeight="false" outlineLevel="0" collapsed="false">
      <c r="A28" s="27" t="s">
        <v>856</v>
      </c>
      <c r="B28" s="81" t="n">
        <f aca="false">IFERROR((CHOOSE(Premissas!$B$6,Cenários!B34,Cenários!B80,Cenários!B126)+CHOOSE(Premissas!$B$6,Cenários!B35,Cenários!B81,Cenários!B127)+CHOOSE(Premissas!$B$6,Cenários!B36,Cenários!B82,Cenários!B128))/B14,0)</f>
        <v>0</v>
      </c>
      <c r="C28" s="81" t="n">
        <f aca="false">IFERROR((CHOOSE(Premissas!$B$6,Cenários!C34,Cenários!C80,Cenários!C126)+CHOOSE(Premissas!$B$6,Cenários!C35,Cenários!C81,Cenários!C127)+CHOOSE(Premissas!$B$6,Cenários!C36,Cenários!C82,Cenários!C128))/C14,0)</f>
        <v>0</v>
      </c>
      <c r="D28" s="81" t="n">
        <f aca="false">IFERROR((CHOOSE(Premissas!$B$6,Cenários!D34,Cenários!D80,Cenários!D126)+CHOOSE(Premissas!$B$6,Cenários!D35,Cenários!D81,Cenários!D127)+CHOOSE(Premissas!$B$6,Cenários!D36,Cenários!D82,Cenários!D128))/D14,0)</f>
        <v>0</v>
      </c>
      <c r="E28" s="81" t="n">
        <f aca="false">IFERROR((CHOOSE(Premissas!$B$6,Cenários!E34,Cenários!E80,Cenários!E126)+CHOOSE(Premissas!$B$6,Cenários!E35,Cenários!E81,Cenários!E127)+CHOOSE(Premissas!$B$6,Cenários!E36,Cenários!E82,Cenários!E128))/E14,0)</f>
        <v>0</v>
      </c>
      <c r="F28" s="81" t="n">
        <f aca="false">IFERROR((CHOOSE(Premissas!$B$6,Cenários!F34,Cenários!F80,Cenários!F126)+CHOOSE(Premissas!$B$6,Cenários!F35,Cenários!F81,Cenários!F127)+CHOOSE(Premissas!$B$6,Cenários!F36,Cenários!F82,Cenários!F128))/F14,0)</f>
        <v>0</v>
      </c>
      <c r="G28" s="81" t="n">
        <f aca="false">IFERROR((CHOOSE(Premissas!$B$6,Cenários!G34,Cenários!G80,Cenários!G126)+CHOOSE(Premissas!$B$6,Cenários!G35,Cenários!G81,Cenários!G127)+CHOOSE(Premissas!$B$6,Cenários!G36,Cenários!G82,Cenários!G128))/G14,0)</f>
        <v>0</v>
      </c>
      <c r="H28" s="81" t="n">
        <f aca="false">IFERROR((CHOOSE(Premissas!$B$6,Cenários!H34,Cenários!H80,Cenários!H126)+CHOOSE(Premissas!$B$6,Cenários!H35,Cenários!H81,Cenários!H127)+CHOOSE(Premissas!$B$6,Cenários!H36,Cenários!H82,Cenários!H128))/H14,0)</f>
        <v>0</v>
      </c>
      <c r="I28" s="81" t="n">
        <f aca="false">IFERROR((CHOOSE(Premissas!$B$6,Cenários!I34,Cenários!I80,Cenários!I126)+CHOOSE(Premissas!$B$6,Cenários!I35,Cenários!I81,Cenários!I127)+CHOOSE(Premissas!$B$6,Cenários!I36,Cenários!I82,Cenários!I128))/I14,0)</f>
        <v>0</v>
      </c>
      <c r="J28" s="81" t="n">
        <f aca="false">IFERROR((CHOOSE(Premissas!$B$6,Cenários!J34,Cenários!J80,Cenários!J126)+CHOOSE(Premissas!$B$6,Cenários!J35,Cenários!J81,Cenários!J127)+CHOOSE(Premissas!$B$6,Cenários!J36,Cenários!J82,Cenários!J128))/J14,0)</f>
        <v>0</v>
      </c>
      <c r="K28" s="81" t="n">
        <f aca="false">IFERROR((CHOOSE(Premissas!$B$6,Cenários!K34,Cenários!K80,Cenários!K126)+CHOOSE(Premissas!$B$6,Cenários!K35,Cenários!K81,Cenários!K127)+CHOOSE(Premissas!$B$6,Cenários!K36,Cenários!K82,Cenários!K128))/K14,0)</f>
        <v>5.94306407284768</v>
      </c>
      <c r="L28" s="81" t="n">
        <f aca="false">IFERROR((CHOOSE(Premissas!$B$6,Cenários!L34,Cenários!L80,Cenários!L126)+CHOOSE(Premissas!$B$6,Cenários!L35,Cenários!L81,Cenários!L127)+CHOOSE(Premissas!$B$6,Cenários!L36,Cenários!L82,Cenários!L128))/L14,0)</f>
        <v>10.0772410621762</v>
      </c>
      <c r="M28" s="81" t="n">
        <f aca="false">IFERROR((CHOOSE(Premissas!$B$6,Cenários!M34,Cenários!M80,Cenários!M126)+CHOOSE(Premissas!$B$6,Cenários!M35,Cenários!M81,Cenários!M127)+CHOOSE(Premissas!$B$6,Cenários!M36,Cenários!M82,Cenários!M128))/M14,0)</f>
        <v>11.0348221246006</v>
      </c>
      <c r="N28" s="81" t="n">
        <f aca="false">IFERROR((CHOOSE(Premissas!$B$6,Cenários!N34,Cenários!N80,Cenários!N126)+CHOOSE(Premissas!$B$6,Cenários!N35,Cenários!N81,Cenários!N127)+CHOOSE(Premissas!$B$6,Cenários!N36,Cenários!N82,Cenários!N128))/N14,0)</f>
        <v>12.8752518380877</v>
      </c>
      <c r="O28" s="81" t="n">
        <f aca="false">IFERROR((CHOOSE(Premissas!$B$6,Cenários!O34,Cenários!O80,Cenários!O126)+CHOOSE(Premissas!$B$6,Cenários!O35,Cenários!O81,Cenários!O127)+CHOOSE(Premissas!$B$6,Cenários!O36,Cenários!O82,Cenários!O128))/O14,0)</f>
        <v>13.1141854544252</v>
      </c>
      <c r="P28" s="81" t="n">
        <f aca="false">IFERROR((CHOOSE(Premissas!$B$6,Cenários!P34,Cenários!P80,Cenários!P126)+CHOOSE(Premissas!$B$6,Cenários!P35,Cenários!P81,Cenários!P127)+CHOOSE(Premissas!$B$6,Cenários!P36,Cenários!P82,Cenários!P128))/P14,0)</f>
        <v>13.1800021452647</v>
      </c>
      <c r="Q28" s="81" t="n">
        <f aca="false">IFERROR((CHOOSE(Premissas!$B$6,Cenários!Q34,Cenários!Q80,Cenários!Q126)+CHOOSE(Premissas!$B$6,Cenários!Q35,Cenários!Q81,Cenários!Q127)+CHOOSE(Premissas!$B$6,Cenários!Q36,Cenários!Q82,Cenários!Q128))/Q14,0)</f>
        <v>16.2659641389708</v>
      </c>
      <c r="R28" s="81" t="n">
        <f aca="false">IFERROR((CHOOSE(Premissas!$B$6,Cenários!R34,Cenários!R80,Cenários!R126)+CHOOSE(Premissas!$B$6,Cenários!R35,Cenários!R81,Cenários!R127)+CHOOSE(Premissas!$B$6,Cenários!R36,Cenários!R82,Cenários!R128))/R14,0)</f>
        <v>16.0512219369746</v>
      </c>
      <c r="S28" s="81" t="n">
        <f aca="false">IFERROR((CHOOSE(Premissas!$B$6,Cenários!S34,Cenários!S80,Cenários!S126)+CHOOSE(Premissas!$B$6,Cenários!S35,Cenários!S81,Cenários!S127)+CHOOSE(Premissas!$B$6,Cenários!S36,Cenários!S82,Cenários!S128))/S14,0)</f>
        <v>15.9285050284221</v>
      </c>
      <c r="T28" s="81" t="n">
        <f aca="false">IFERROR((CHOOSE(Premissas!$B$6,Cenários!T34,Cenários!T80,Cenários!T126)+CHOOSE(Premissas!$B$6,Cenários!T35,Cenários!T81,Cenários!T127)+CHOOSE(Premissas!$B$6,Cenários!T36,Cenários!T82,Cenários!T128))/T14,0)</f>
        <v>15.8006731282242</v>
      </c>
      <c r="U28" s="81" t="n">
        <f aca="false">IFERROR((CHOOSE(Premissas!$B$6,Cenários!U34,Cenários!U80,Cenários!U126)+CHOOSE(Premissas!$B$6,Cenários!U35,Cenários!U81,Cenários!U127)+CHOOSE(Premissas!$B$6,Cenários!U36,Cenários!U82,Cenários!U128))/U14,0)</f>
        <v>15.7209082392801</v>
      </c>
      <c r="V28" s="81" t="n">
        <f aca="false">IFERROR((CHOOSE(Premissas!$B$6,Cenários!V34,Cenários!V80,Cenários!V126)+CHOOSE(Premissas!$B$6,Cenários!V35,Cenários!V81,Cenários!V127)+CHOOSE(Premissas!$B$6,Cenários!V36,Cenários!V82,Cenários!V128))/V14,0)</f>
        <v>15.6669266791624</v>
      </c>
      <c r="W28" s="81" t="n">
        <f aca="false">IFERROR((CHOOSE(Premissas!$B$6,Cenários!W34,Cenários!W80,Cenários!W126)+CHOOSE(Premissas!$B$6,Cenários!W35,Cenários!W81,Cenários!W127)+CHOOSE(Premissas!$B$6,Cenários!W36,Cenários!W82,Cenários!W128))/W14,0)</f>
        <v>18.1724726337951</v>
      </c>
      <c r="X28" s="81" t="n">
        <f aca="false">IFERROR((CHOOSE(Premissas!$B$6,Cenários!X34,Cenários!X80,Cenários!X126)+CHOOSE(Premissas!$B$6,Cenários!X35,Cenários!X81,Cenários!X127)+CHOOSE(Premissas!$B$6,Cenários!X36,Cenários!X82,Cenários!X128))/X14,0)</f>
        <v>18.0095769328396</v>
      </c>
      <c r="Y28" s="81" t="n">
        <f aca="false">IFERROR((CHOOSE(Premissas!$B$6,Cenários!Y34,Cenários!Y80,Cenários!Y126)+CHOOSE(Premissas!$B$6,Cenários!Y35,Cenários!Y81,Cenários!Y127)+CHOOSE(Premissas!$B$6,Cenários!Y36,Cenários!Y82,Cenários!Y128))/Y14,0)</f>
        <v>17.8922418496509</v>
      </c>
      <c r="Z28" s="81" t="n">
        <f aca="false">IFERROR((CHOOSE(Premissas!$B$6,Cenários!Z34,Cenários!Z80,Cenários!Z126)+CHOOSE(Premissas!$B$6,Cenários!Z35,Cenários!Z81,Cenários!Z127)+CHOOSE(Premissas!$B$6,Cenários!Z36,Cenários!Z82,Cenários!Z128))/Z14,0)</f>
        <v>20.1152079068918</v>
      </c>
      <c r="AA28" s="81" t="n">
        <f aca="false">IFERROR((CHOOSE(Premissas!$B$6,Cenários!AA34,Cenários!AA80,Cenários!AA126)+CHOOSE(Premissas!$B$6,Cenários!AA35,Cenários!AA81,Cenários!AA127)+CHOOSE(Premissas!$B$6,Cenários!AA36,Cenários!AA82,Cenários!AA128))/AA14,0)</f>
        <v>20.055461602603</v>
      </c>
      <c r="AB28" s="81" t="n">
        <f aca="false">IFERROR((CHOOSE(Premissas!$B$6,Cenários!AB34,Cenários!AB80,Cenários!AB126)+CHOOSE(Premissas!$B$6,Cenários!AB35,Cenários!AB81,Cenários!AB127)+CHOOSE(Premissas!$B$6,Cenários!AB36,Cenários!AB82,Cenários!AB128))/AB14,0)</f>
        <v>21.7183409738484</v>
      </c>
      <c r="AC28" s="81" t="n">
        <f aca="false">IFERROR((CHOOSE(Premissas!$B$6,Cenários!AC34,Cenários!AC80,Cenários!AC126)+CHOOSE(Premissas!$B$6,Cenários!AC35,Cenários!AC81,Cenários!AC127)+CHOOSE(Premissas!$B$6,Cenários!AC36,Cenários!AC82,Cenários!AC128))/AC14,0)</f>
        <v>21.2216478468483</v>
      </c>
      <c r="AD28" s="81" t="n">
        <f aca="false">IFERROR((CHOOSE(Premissas!$B$6,Cenários!AD34,Cenários!AD80,Cenários!AD126)+CHOOSE(Premissas!$B$6,Cenários!AD35,Cenários!AD81,Cenários!AD127)+CHOOSE(Premissas!$B$6,Cenários!AD36,Cenários!AD82,Cenários!AD128))/AD14,0)</f>
        <v>20.8385988675789</v>
      </c>
      <c r="AE28" s="81" t="n">
        <f aca="false">IFERROR((CHOOSE(Premissas!$B$6,Cenários!AE34,Cenários!AE80,Cenários!AE126)+CHOOSE(Premissas!$B$6,Cenários!AE35,Cenários!AE81,Cenários!AE127)+CHOOSE(Premissas!$B$6,Cenários!AE36,Cenários!AE82,Cenários!AE128))/AE14,0)</f>
        <v>21.7762924720739</v>
      </c>
      <c r="AF28" s="81" t="n">
        <f aca="false">IFERROR((CHOOSE(Premissas!$B$6,Cenários!AF34,Cenários!AF80,Cenários!AF126)+CHOOSE(Premissas!$B$6,Cenários!AF35,Cenários!AF81,Cenários!AF127)+CHOOSE(Premissas!$B$6,Cenários!AF36,Cenários!AF82,Cenários!AF128))/AF14,0)</f>
        <v>23.5142043478513</v>
      </c>
      <c r="AG28" s="81" t="n">
        <f aca="false">IFERROR((CHOOSE(Premissas!$B$6,Cenários!AG34,Cenários!AG80,Cenários!AG126)+CHOOSE(Premissas!$B$6,Cenários!AG35,Cenários!AG81,Cenários!AG127)+CHOOSE(Premissas!$B$6,Cenários!AG36,Cenários!AG82,Cenários!AG128))/AG14,0)</f>
        <v>23.4659367912371</v>
      </c>
      <c r="AH28" s="81" t="n">
        <f aca="false">IFERROR((CHOOSE(Premissas!$B$6,Cenários!AH34,Cenários!AH80,Cenários!AH126)+CHOOSE(Premissas!$B$6,Cenários!AH35,Cenários!AH81,Cenários!AH127)+CHOOSE(Premissas!$B$6,Cenários!AH36,Cenários!AH82,Cenários!AH128))/AH14,0)</f>
        <v>23.4227533848116</v>
      </c>
      <c r="AI28" s="81" t="n">
        <f aca="false">IFERROR((CHOOSE(Premissas!$B$6,Cenários!AI34,Cenários!AI80,Cenários!AI126)+CHOOSE(Premissas!$B$6,Cenários!AI35,Cenários!AI81,Cenários!AI127)+CHOOSE(Premissas!$B$6,Cenários!AI36,Cenários!AI82,Cenários!AI128))/AI14,0)</f>
        <v>23.3840941784299</v>
      </c>
      <c r="AJ28" s="81" t="n">
        <f aca="false">IFERROR((CHOOSE(Premissas!$B$6,Cenários!AJ34,Cenários!AJ80,Cenários!AJ126)+CHOOSE(Premissas!$B$6,Cenários!AJ35,Cenários!AJ81,Cenários!AJ127)+CHOOSE(Premissas!$B$6,Cenários!AJ36,Cenários!AJ82,Cenários!AJ128))/AJ14,0)</f>
        <v>23.3504182460311</v>
      </c>
      <c r="AK28" s="81" t="n">
        <f aca="false">IFERROR((CHOOSE(Premissas!$B$6,Cenários!AK34,Cenários!AK80,Cenários!AK126)+CHOOSE(Premissas!$B$6,Cenários!AK35,Cenários!AK81,Cenários!AK127)+CHOOSE(Premissas!$B$6,Cenários!AK36,Cenários!AK82,Cenários!AK128))/AK14,0)</f>
        <v>23.32257363095</v>
      </c>
      <c r="AL28" s="81" t="n">
        <f aca="false">IFERROR((CHOOSE(Premissas!$B$6,Cenários!AL34,Cenários!AL80,Cenários!AL126)+CHOOSE(Premissas!$B$6,Cenários!AL35,Cenários!AL81,Cenários!AL127)+CHOOSE(Premissas!$B$6,Cenários!AL36,Cenários!AL82,Cenários!AL128))/AL14,0)</f>
        <v>26.7922620820665</v>
      </c>
      <c r="AM28" s="81" t="n">
        <f aca="false">IFERROR((CHOOSE(Premissas!$B$6,Cenários!AM34,Cenários!AM80,Cenários!AM126)+CHOOSE(Premissas!$B$6,Cenários!AM35,Cenários!AM81,Cenários!AM127)+CHOOSE(Premissas!$B$6,Cenários!AM36,Cenários!AM82,Cenários!AM128))/AM14,0)</f>
        <v>26.7102752412633</v>
      </c>
      <c r="AN28" s="81" t="n">
        <f aca="false">IFERROR((CHOOSE(Premissas!$B$6,Cenários!AN34,Cenários!AN80,Cenários!AN126)+CHOOSE(Premissas!$B$6,Cenários!AN35,Cenários!AN81,Cenários!AN127)+CHOOSE(Premissas!$B$6,Cenários!AN36,Cenários!AN82,Cenários!AN128))/AN14,0)</f>
        <v>26.6415355484041</v>
      </c>
      <c r="AO28" s="81" t="n">
        <f aca="false">IFERROR((CHOOSE(Premissas!$B$6,Cenários!AO34,Cenários!AO80,Cenários!AO126)+CHOOSE(Premissas!$B$6,Cenários!AO35,Cenários!AO81,Cenários!AO127)+CHOOSE(Premissas!$B$6,Cenários!AO36,Cenários!AO82,Cenários!AO128))/AO14,0)</f>
        <v>26.5826088318945</v>
      </c>
      <c r="AP28" s="81" t="n">
        <f aca="false">IFERROR((CHOOSE(Premissas!$B$6,Cenários!AP34,Cenários!AP80,Cenários!AP126)+CHOOSE(Premissas!$B$6,Cenários!AP35,Cenários!AP81,Cenários!AP127)+CHOOSE(Premissas!$B$6,Cenários!AP36,Cenários!AP82,Cenários!AP128))/AP14,0)</f>
        <v>26.534011828939</v>
      </c>
      <c r="AQ28" s="81" t="n">
        <f aca="false">IFERROR((CHOOSE(Premissas!$B$6,Cenários!AQ34,Cenários!AQ80,Cenários!AQ126)+CHOOSE(Premissas!$B$6,Cenários!AQ35,Cenários!AQ81,Cenários!AQ127)+CHOOSE(Premissas!$B$6,Cenários!AQ36,Cenários!AQ82,Cenários!AQ128))/AQ14,0)</f>
        <v>26.4914370210767</v>
      </c>
      <c r="AR28" s="81" t="n">
        <f aca="false">IFERROR((CHOOSE(Premissas!$B$6,Cenários!AR34,Cenários!AR80,Cenários!AR126)+CHOOSE(Premissas!$B$6,Cenários!AR35,Cenários!AR81,Cenários!AR127)+CHOOSE(Premissas!$B$6,Cenários!AR36,Cenários!AR82,Cenários!AR128))/AR14,0)</f>
        <v>26.4549815322118</v>
      </c>
      <c r="AS28" s="81" t="n">
        <f aca="false">IFERROR((CHOOSE(Premissas!$B$6,Cenários!AS34,Cenários!AS80,Cenários!AS126)+CHOOSE(Premissas!$B$6,Cenários!AS35,Cenários!AS81,Cenários!AS127)+CHOOSE(Premissas!$B$6,Cenários!AS36,Cenários!AS82,Cenários!AS128))/AS14,0)</f>
        <v>26.4230903965989</v>
      </c>
      <c r="AT28" s="81" t="n">
        <f aca="false">IFERROR((CHOOSE(Premissas!$B$6,Cenários!AT34,Cenários!AT80,Cenários!AT126)+CHOOSE(Premissas!$B$6,Cenários!AT35,Cenários!AT81,Cenários!AT127)+CHOOSE(Premissas!$B$6,Cenários!AT36,Cenários!AT82,Cenários!AT128))/AT14,0)</f>
        <v>26.3940734915419</v>
      </c>
      <c r="AU28" s="81" t="n">
        <f aca="false">IFERROR((CHOOSE(Premissas!$B$6,Cenários!AU34,Cenários!AU80,Cenários!AU126)+CHOOSE(Premissas!$B$6,Cenários!AU35,Cenários!AU81,Cenários!AU127)+CHOOSE(Premissas!$B$6,Cenários!AU36,Cenários!AU82,Cenários!AU128))/AU14,0)</f>
        <v>26.3691555528399</v>
      </c>
      <c r="AV28" s="81" t="n">
        <f aca="false">IFERROR((CHOOSE(Premissas!$B$6,Cenários!AV34,Cenários!AV80,Cenários!AV126)+CHOOSE(Premissas!$B$6,Cenários!AV35,Cenários!AV81,Cenários!AV127)+CHOOSE(Premissas!$B$6,Cenários!AV36,Cenários!AV82,Cenários!AV128))/AV14,0)</f>
        <v>26.3473824736147</v>
      </c>
      <c r="AW28" s="81" t="n">
        <f aca="false">IFERROR((CHOOSE(Premissas!$B$6,Cenários!AW34,Cenários!AW80,Cenários!AW126)+CHOOSE(Premissas!$B$6,Cenários!AW35,Cenários!AW81,Cenários!AW127)+CHOOSE(Premissas!$B$6,Cenários!AW36,Cenários!AW82,Cenários!AW128))/AW14,0)</f>
        <v>26.3277751822221</v>
      </c>
      <c r="AX28" s="81" t="n">
        <f aca="false">IFERROR((CHOOSE(Premissas!$B$6,Cenários!AX34,Cenários!AX80,Cenários!AX126)+CHOOSE(Premissas!$B$6,Cenários!AX35,Cenários!AX81,Cenários!AX127)+CHOOSE(Premissas!$B$6,Cenários!AX36,Cenários!AX82,Cenários!AX128))/AX14,0)</f>
        <v>28.9864261232592</v>
      </c>
      <c r="AY28" s="81" t="n">
        <f aca="false">IFERROR((CHOOSE(Premissas!$B$6,Cenários!AY34,Cenários!AY80,Cenários!AY126)+CHOOSE(Premissas!$B$6,Cenários!AY35,Cenários!AY81,Cenários!AY127)+CHOOSE(Premissas!$B$6,Cenários!AY36,Cenários!AY82,Cenários!AY128))/AY14,0)</f>
        <v>28.9554972278264</v>
      </c>
      <c r="AZ28" s="81" t="n">
        <f aca="false">IFERROR((CHOOSE(Premissas!$B$6,Cenários!AZ34,Cenários!AZ80,Cenários!AZ126)+CHOOSE(Premissas!$B$6,Cenários!AZ35,Cenários!AZ81,Cenários!AZ127)+CHOOSE(Premissas!$B$6,Cenários!AZ36,Cenários!AZ82,Cenários!AZ128))/AZ14,0)</f>
        <v>28.9291598098073</v>
      </c>
      <c r="BA28" s="81" t="n">
        <f aca="false">IFERROR((CHOOSE(Premissas!$B$6,Cenários!BA34,Cenários!BA80,Cenários!BA126)+CHOOSE(Premissas!$B$6,Cenários!BA35,Cenários!BA81,Cenários!BA127)+CHOOSE(Premissas!$B$6,Cenários!BA36,Cenários!BA82,Cenários!BA128))/BA14,0)</f>
        <v>28.907007471967</v>
      </c>
      <c r="BB28" s="81" t="n">
        <f aca="false">IFERROR((CHOOSE(Premissas!$B$6,Cenários!BB34,Cenários!BB80,Cenários!BB126)+CHOOSE(Premissas!$B$6,Cenários!BB35,Cenários!BB81,Cenários!BB127)+CHOOSE(Premissas!$B$6,Cenários!BB36,Cenários!BB82,Cenários!BB128))/BB14,0)</f>
        <v>28.8886320810548</v>
      </c>
      <c r="BC28" s="81" t="n">
        <f aca="false">IFERROR((CHOOSE(Premissas!$B$6,Cenários!BC34,Cenários!BC80,Cenários!BC126)+CHOOSE(Premissas!$B$6,Cenários!BC35,Cenários!BC81,Cenários!BC127)+CHOOSE(Premissas!$B$6,Cenários!BC36,Cenários!BC82,Cenários!BC128))/BC14,0)</f>
        <v>28.8719036913094</v>
      </c>
      <c r="BD28" s="81" t="n">
        <f aca="false">IFERROR((CHOOSE(Premissas!$B$6,Cenários!BD34,Cenários!BD80,Cenários!BD126)+CHOOSE(Premissas!$B$6,Cenários!BD35,Cenários!BD81,Cenários!BD127)+CHOOSE(Premissas!$B$6,Cenários!BD36,Cenários!BD82,Cenários!BD128))/BD14,0)</f>
        <v>28.8573842297898</v>
      </c>
      <c r="BE28" s="81" t="n">
        <f aca="false">IFERROR((CHOOSE(Premissas!$B$6,Cenários!BE34,Cenários!BE80,Cenários!BE126)+CHOOSE(Premissas!$B$6,Cenários!BE35,Cenários!BE81,Cenários!BE127)+CHOOSE(Premissas!$B$6,Cenários!BE36,Cenários!BE82,Cenários!BE128))/BE14,0)</f>
        <v>28.8442822365058</v>
      </c>
      <c r="BF28" s="81" t="n">
        <f aca="false">IFERROR((CHOOSE(Premissas!$B$6,Cenários!BF34,Cenários!BF80,Cenários!BF126)+CHOOSE(Premissas!$B$6,Cenários!BF35,Cenários!BF81,Cenários!BF127)+CHOOSE(Premissas!$B$6,Cenários!BF36,Cenários!BF82,Cenários!BF128))/BF14,0)</f>
        <v>28.8338453350561</v>
      </c>
      <c r="BG28" s="81" t="n">
        <f aca="false">IFERROR((CHOOSE(Premissas!$B$6,Cenários!BG34,Cenários!BG80,Cenários!BG126)+CHOOSE(Premissas!$B$6,Cenários!BG35,Cenários!BG81,Cenários!BG127)+CHOOSE(Premissas!$B$6,Cenários!BG36,Cenários!BG82,Cenários!BG128))/BG14,0)</f>
        <v>28.8233215412741</v>
      </c>
      <c r="BH28" s="81" t="n">
        <f aca="false">IFERROR((CHOOSE(Premissas!$B$6,Cenários!BH34,Cenários!BH80,Cenários!BH126)+CHOOSE(Premissas!$B$6,Cenários!BH35,Cenários!BH81,Cenários!BH127)+CHOOSE(Premissas!$B$6,Cenários!BH36,Cenários!BH82,Cenários!BH128))/BH14,0)</f>
        <v>28.8142540341043</v>
      </c>
      <c r="BI28" s="81" t="n">
        <f aca="false">IFERROR((CHOOSE(Premissas!$B$6,Cenários!BI34,Cenários!BI80,Cenários!BI126)+CHOOSE(Premissas!$B$6,Cenários!BI35,Cenários!BI81,Cenários!BI127)+CHOOSE(Premissas!$B$6,Cenários!BI36,Cenários!BI82,Cenários!BI128))/BI14,0)</f>
        <v>28.8065346107766</v>
      </c>
      <c r="BK28" s="29" t="s">
        <v>857</v>
      </c>
    </row>
    <row r="29" customFormat="false" ht="15" hidden="false" customHeight="false" outlineLevel="0" collapsed="false">
      <c r="A29" s="31" t="s">
        <v>858</v>
      </c>
      <c r="B29" s="89" t="n">
        <f aca="false">IFERROR(B28/CHOOSE(Premissas!$B$6,IF('Ajuste Mensal'!B$14="",INDEX(Premissas!$C$59:$G$59,B$7),'Ajuste Mensal'!B$14),IF('Ajuste Mensal'!B$20="",INDEX(Premissas!$C$60:$G$60,B$7),'Ajuste Mensal'!B$20),IF('Ajuste Mensal'!B$26="",INDEX(Premissas!$C$61:$G$61,B$7),'Ajuste Mensal'!B$26)),0)</f>
        <v>0</v>
      </c>
      <c r="C29" s="89" t="n">
        <f aca="false">IFERROR(C28/CHOOSE(Premissas!$B$6,IF('Ajuste Mensal'!C$14="",INDEX(Premissas!$C$59:$G$59,C$7),'Ajuste Mensal'!C$14),IF('Ajuste Mensal'!C$20="",INDEX(Premissas!$C$60:$G$60,C$7),'Ajuste Mensal'!C$20),IF('Ajuste Mensal'!C$26="",INDEX(Premissas!$C$61:$G$61,C$7),'Ajuste Mensal'!C$26)),0)</f>
        <v>0</v>
      </c>
      <c r="D29" s="89" t="n">
        <f aca="false">IFERROR(D28/CHOOSE(Premissas!$B$6,IF('Ajuste Mensal'!D$14="",INDEX(Premissas!$C$59:$G$59,D$7),'Ajuste Mensal'!D$14),IF('Ajuste Mensal'!D$20="",INDEX(Premissas!$C$60:$G$60,D$7),'Ajuste Mensal'!D$20),IF('Ajuste Mensal'!D$26="",INDEX(Premissas!$C$61:$G$61,D$7),'Ajuste Mensal'!D$26)),0)</f>
        <v>0</v>
      </c>
      <c r="E29" s="89" t="n">
        <f aca="false">IFERROR(E28/CHOOSE(Premissas!$B$6,IF('Ajuste Mensal'!E$14="",INDEX(Premissas!$C$59:$G$59,E$7),'Ajuste Mensal'!E$14),IF('Ajuste Mensal'!E$20="",INDEX(Premissas!$C$60:$G$60,E$7),'Ajuste Mensal'!E$20),IF('Ajuste Mensal'!E$26="",INDEX(Premissas!$C$61:$G$61,E$7),'Ajuste Mensal'!E$26)),0)</f>
        <v>0</v>
      </c>
      <c r="F29" s="89" t="n">
        <f aca="false">IFERROR(F28/CHOOSE(Premissas!$B$6,IF('Ajuste Mensal'!F$14="",INDEX(Premissas!$C$59:$G$59,F$7),'Ajuste Mensal'!F$14),IF('Ajuste Mensal'!F$20="",INDEX(Premissas!$C$60:$G$60,F$7),'Ajuste Mensal'!F$20),IF('Ajuste Mensal'!F$26="",INDEX(Premissas!$C$61:$G$61,F$7),'Ajuste Mensal'!F$26)),0)</f>
        <v>0</v>
      </c>
      <c r="G29" s="89" t="n">
        <f aca="false">IFERROR(G28/CHOOSE(Premissas!$B$6,IF('Ajuste Mensal'!G$14="",INDEX(Premissas!$C$59:$G$59,G$7),'Ajuste Mensal'!G$14),IF('Ajuste Mensal'!G$20="",INDEX(Premissas!$C$60:$G$60,G$7),'Ajuste Mensal'!G$20),IF('Ajuste Mensal'!G$26="",INDEX(Premissas!$C$61:$G$61,G$7),'Ajuste Mensal'!G$26)),0)</f>
        <v>0</v>
      </c>
      <c r="H29" s="89" t="n">
        <f aca="false">IFERROR(H28/CHOOSE(Premissas!$B$6,IF('Ajuste Mensal'!H$14="",INDEX(Premissas!$C$59:$G$59,H$7),'Ajuste Mensal'!H$14),IF('Ajuste Mensal'!H$20="",INDEX(Premissas!$C$60:$G$60,H$7),'Ajuste Mensal'!H$20),IF('Ajuste Mensal'!H$26="",INDEX(Premissas!$C$61:$G$61,H$7),'Ajuste Mensal'!H$26)),0)</f>
        <v>0</v>
      </c>
      <c r="I29" s="89" t="n">
        <f aca="false">IFERROR(I28/CHOOSE(Premissas!$B$6,IF('Ajuste Mensal'!I$14="",INDEX(Premissas!$C$59:$G$59,I$7),'Ajuste Mensal'!I$14),IF('Ajuste Mensal'!I$20="",INDEX(Premissas!$C$60:$G$60,I$7),'Ajuste Mensal'!I$20),IF('Ajuste Mensal'!I$26="",INDEX(Premissas!$C$61:$G$61,I$7),'Ajuste Mensal'!I$26)),0)</f>
        <v>0</v>
      </c>
      <c r="J29" s="89" t="n">
        <f aca="false">IFERROR(J28/CHOOSE(Premissas!$B$6,IF('Ajuste Mensal'!J$14="",INDEX(Premissas!$C$59:$G$59,J$7),'Ajuste Mensal'!J$14),IF('Ajuste Mensal'!J$20="",INDEX(Premissas!$C$60:$G$60,J$7),'Ajuste Mensal'!J$20),IF('Ajuste Mensal'!J$26="",INDEX(Premissas!$C$61:$G$61,J$7),'Ajuste Mensal'!J$26)),0)</f>
        <v>0</v>
      </c>
      <c r="K29" s="89" t="n">
        <f aca="false">IFERROR(K28/CHOOSE(Premissas!$B$6,IF('Ajuste Mensal'!K$14="",INDEX(Premissas!$C$59:$G$59,K$7),'Ajuste Mensal'!K$14),IF('Ajuste Mensal'!K$20="",INDEX(Premissas!$C$60:$G$60,K$7),'Ajuste Mensal'!K$20),IF('Ajuste Mensal'!K$26="",INDEX(Premissas!$C$61:$G$61,K$7),'Ajuste Mensal'!K$26)),0)</f>
        <v>74.288300910596</v>
      </c>
      <c r="L29" s="89" t="n">
        <f aca="false">IFERROR(L28/CHOOSE(Premissas!$B$6,IF('Ajuste Mensal'!L$14="",INDEX(Premissas!$C$59:$G$59,L$7),'Ajuste Mensal'!L$14),IF('Ajuste Mensal'!L$20="",INDEX(Premissas!$C$60:$G$60,L$7),'Ajuste Mensal'!L$20),IF('Ajuste Mensal'!L$26="",INDEX(Premissas!$C$61:$G$61,L$7),'Ajuste Mensal'!L$26)),0)</f>
        <v>125.965513277202</v>
      </c>
      <c r="M29" s="89" t="n">
        <f aca="false">IFERROR(M28/CHOOSE(Premissas!$B$6,IF('Ajuste Mensal'!M$14="",INDEX(Premissas!$C$59:$G$59,M$7),'Ajuste Mensal'!M$14),IF('Ajuste Mensal'!M$20="",INDEX(Premissas!$C$60:$G$60,M$7),'Ajuste Mensal'!M$20),IF('Ajuste Mensal'!M$26="",INDEX(Premissas!$C$61:$G$61,M$7),'Ajuste Mensal'!M$26)),0)</f>
        <v>137.935276557508</v>
      </c>
      <c r="N29" s="89" t="n">
        <f aca="false">IFERROR(N28/CHOOSE(Premissas!$B$6,IF('Ajuste Mensal'!N$14="",INDEX(Premissas!$C$59:$G$59,N$7),'Ajuste Mensal'!N$14),IF('Ajuste Mensal'!N$20="",INDEX(Premissas!$C$60:$G$60,N$7),'Ajuste Mensal'!N$20),IF('Ajuste Mensal'!N$26="",INDEX(Premissas!$C$61:$G$61,N$7),'Ajuste Mensal'!N$26)),0)</f>
        <v>171.21345529372</v>
      </c>
      <c r="O29" s="89" t="n">
        <f aca="false">IFERROR(O28/CHOOSE(Premissas!$B$6,IF('Ajuste Mensal'!O$14="",INDEX(Premissas!$C$59:$G$59,O$7),'Ajuste Mensal'!O$14),IF('Ajuste Mensal'!O$20="",INDEX(Premissas!$C$60:$G$60,O$7),'Ajuste Mensal'!O$20),IF('Ajuste Mensal'!O$26="",INDEX(Premissas!$C$61:$G$61,O$7),'Ajuste Mensal'!O$26)),0)</f>
        <v>174.390764021612</v>
      </c>
      <c r="P29" s="89" t="n">
        <f aca="false">IFERROR(P28/CHOOSE(Premissas!$B$6,IF('Ajuste Mensal'!P$14="",INDEX(Premissas!$C$59:$G$59,P$7),'Ajuste Mensal'!P$14),IF('Ajuste Mensal'!P$20="",INDEX(Premissas!$C$60:$G$60,P$7),'Ajuste Mensal'!P$20),IF('Ajuste Mensal'!P$26="",INDEX(Premissas!$C$61:$G$61,P$7),'Ajuste Mensal'!P$26)),0)</f>
        <v>175.265985974264</v>
      </c>
      <c r="Q29" s="89" t="n">
        <f aca="false">IFERROR(Q28/CHOOSE(Premissas!$B$6,IF('Ajuste Mensal'!Q$14="",INDEX(Premissas!$C$59:$G$59,Q$7),'Ajuste Mensal'!Q$14),IF('Ajuste Mensal'!Q$20="",INDEX(Premissas!$C$60:$G$60,Q$7),'Ajuste Mensal'!Q$20),IF('Ajuste Mensal'!Q$26="",INDEX(Premissas!$C$61:$G$61,Q$7),'Ajuste Mensal'!Q$26)),0)</f>
        <v>216.302714613973</v>
      </c>
      <c r="R29" s="89" t="n">
        <f aca="false">IFERROR(R28/CHOOSE(Premissas!$B$6,IF('Ajuste Mensal'!R$14="",INDEX(Premissas!$C$59:$G$59,R$7),'Ajuste Mensal'!R$14),IF('Ajuste Mensal'!R$20="",INDEX(Premissas!$C$60:$G$60,R$7),'Ajuste Mensal'!R$20),IF('Ajuste Mensal'!R$26="",INDEX(Premissas!$C$61:$G$61,R$7),'Ajuste Mensal'!R$26)),0)</f>
        <v>213.447100225726</v>
      </c>
      <c r="S29" s="89" t="n">
        <f aca="false">IFERROR(S28/CHOOSE(Premissas!$B$6,IF('Ajuste Mensal'!S$14="",INDEX(Premissas!$C$59:$G$59,S$7),'Ajuste Mensal'!S$14),IF('Ajuste Mensal'!S$20="",INDEX(Premissas!$C$60:$G$60,S$7),'Ajuste Mensal'!S$20),IF('Ajuste Mensal'!S$26="",INDEX(Premissas!$C$61:$G$61,S$7),'Ajuste Mensal'!S$26)),0)</f>
        <v>211.815226441783</v>
      </c>
      <c r="T29" s="89" t="n">
        <f aca="false">IFERROR(T28/CHOOSE(Premissas!$B$6,IF('Ajuste Mensal'!T$14="",INDEX(Premissas!$C$59:$G$59,T$7),'Ajuste Mensal'!T$14),IF('Ajuste Mensal'!T$20="",INDEX(Premissas!$C$60:$G$60,T$7),'Ajuste Mensal'!T$20),IF('Ajuste Mensal'!T$26="",INDEX(Premissas!$C$61:$G$61,T$7),'Ajuste Mensal'!T$26)),0)</f>
        <v>210.115334151917</v>
      </c>
      <c r="U29" s="89" t="n">
        <f aca="false">IFERROR(U28/CHOOSE(Premissas!$B$6,IF('Ajuste Mensal'!U$14="",INDEX(Premissas!$C$59:$G$59,U$7),'Ajuste Mensal'!U$14),IF('Ajuste Mensal'!U$20="",INDEX(Premissas!$C$60:$G$60,U$7),'Ajuste Mensal'!U$20),IF('Ajuste Mensal'!U$26="",INDEX(Premissas!$C$61:$G$61,U$7),'Ajuste Mensal'!U$26)),0)</f>
        <v>209.05463084149</v>
      </c>
      <c r="V29" s="89" t="n">
        <f aca="false">IFERROR(V28/CHOOSE(Premissas!$B$6,IF('Ajuste Mensal'!V$14="",INDEX(Premissas!$C$59:$G$59,V$7),'Ajuste Mensal'!V$14),IF('Ajuste Mensal'!V$20="",INDEX(Premissas!$C$60:$G$60,V$7),'Ajuste Mensal'!V$20),IF('Ajuste Mensal'!V$26="",INDEX(Premissas!$C$61:$G$61,V$7),'Ajuste Mensal'!V$26)),0)</f>
        <v>208.336790946309</v>
      </c>
      <c r="W29" s="89" t="n">
        <f aca="false">IFERROR(W28/CHOOSE(Premissas!$B$6,IF('Ajuste Mensal'!W$14="",INDEX(Premissas!$C$59:$G$59,W$7),'Ajuste Mensal'!W$14),IF('Ajuste Mensal'!W$20="",INDEX(Premissas!$C$60:$G$60,W$7),'Ajuste Mensal'!W$20),IF('Ajuste Mensal'!W$26="",INDEX(Premissas!$C$61:$G$61,W$7),'Ajuste Mensal'!W$26)),0)</f>
        <v>241.655221194083</v>
      </c>
      <c r="X29" s="89" t="n">
        <f aca="false">IFERROR(X28/CHOOSE(Premissas!$B$6,IF('Ajuste Mensal'!X$14="",INDEX(Premissas!$C$59:$G$59,X$7),'Ajuste Mensal'!X$14),IF('Ajuste Mensal'!X$20="",INDEX(Premissas!$C$60:$G$60,X$7),'Ajuste Mensal'!X$20),IF('Ajuste Mensal'!X$26="",INDEX(Premissas!$C$61:$G$61,X$7),'Ajuste Mensal'!X$26)),0)</f>
        <v>239.489054957974</v>
      </c>
      <c r="Y29" s="89" t="n">
        <f aca="false">IFERROR(Y28/CHOOSE(Premissas!$B$6,IF('Ajuste Mensal'!Y$14="",INDEX(Premissas!$C$59:$G$59,Y$7),'Ajuste Mensal'!Y$14),IF('Ajuste Mensal'!Y$20="",INDEX(Premissas!$C$60:$G$60,Y$7),'Ajuste Mensal'!Y$20),IF('Ajuste Mensal'!Y$26="",INDEX(Premissas!$C$61:$G$61,Y$7),'Ajuste Mensal'!Y$26)),0)</f>
        <v>237.928748000676</v>
      </c>
      <c r="Z29" s="89" t="n">
        <f aca="false">IFERROR(Z28/CHOOSE(Premissas!$B$6,IF('Ajuste Mensal'!Z$14="",INDEX(Premissas!$C$59:$G$59,Z$7),'Ajuste Mensal'!Z$14),IF('Ajuste Mensal'!Z$20="",INDEX(Premissas!$C$60:$G$60,Z$7),'Ajuste Mensal'!Z$20),IF('Ajuste Mensal'!Z$26="",INDEX(Premissas!$C$61:$G$61,Z$7),'Ajuste Mensal'!Z$26)),0)</f>
        <v>284.563262603155</v>
      </c>
      <c r="AA29" s="89" t="n">
        <f aca="false">IFERROR(AA28/CHOOSE(Premissas!$B$6,IF('Ajuste Mensal'!AA$14="",INDEX(Premissas!$C$59:$G$59,AA$7),'Ajuste Mensal'!AA$14),IF('Ajuste Mensal'!AA$20="",INDEX(Premissas!$C$60:$G$60,AA$7),'Ajuste Mensal'!AA$20),IF('Ajuste Mensal'!AA$26="",INDEX(Premissas!$C$61:$G$61,AA$7),'Ajuste Mensal'!AA$26)),0)</f>
        <v>283.718051191192</v>
      </c>
      <c r="AB29" s="89" t="n">
        <f aca="false">IFERROR(AB28/CHOOSE(Premissas!$B$6,IF('Ajuste Mensal'!AB$14="",INDEX(Premissas!$C$59:$G$59,AB$7),'Ajuste Mensal'!AB$14),IF('Ajuste Mensal'!AB$20="",INDEX(Premissas!$C$60:$G$60,AB$7),'Ajuste Mensal'!AB$20),IF('Ajuste Mensal'!AB$26="",INDEX(Premissas!$C$61:$G$61,AB$7),'Ajuste Mensal'!AB$26)),0)</f>
        <v>307.242261400074</v>
      </c>
      <c r="AC29" s="89" t="n">
        <f aca="false">IFERROR(AC28/CHOOSE(Premissas!$B$6,IF('Ajuste Mensal'!AC$14="",INDEX(Premissas!$C$59:$G$59,AC$7),'Ajuste Mensal'!AC$14),IF('Ajuste Mensal'!AC$20="",INDEX(Premissas!$C$60:$G$60,AC$7),'Ajuste Mensal'!AC$20),IF('Ajuste Mensal'!AC$26="",INDEX(Premissas!$C$61:$G$61,AC$7),'Ajuste Mensal'!AC$26)),0)</f>
        <v>300.215706298782</v>
      </c>
      <c r="AD29" s="89" t="n">
        <f aca="false">IFERROR(AD28/CHOOSE(Premissas!$B$6,IF('Ajuste Mensal'!AD$14="",INDEX(Premissas!$C$59:$G$59,AD$7),'Ajuste Mensal'!AD$14),IF('Ajuste Mensal'!AD$20="",INDEX(Premissas!$C$60:$G$60,AD$7),'Ajuste Mensal'!AD$20),IF('Ajuste Mensal'!AD$26="",INDEX(Premissas!$C$61:$G$61,AD$7),'Ajuste Mensal'!AD$26)),0)</f>
        <v>294.796837760001</v>
      </c>
      <c r="AE29" s="89" t="n">
        <f aca="false">IFERROR(AE28/CHOOSE(Premissas!$B$6,IF('Ajuste Mensal'!AE$14="",INDEX(Premissas!$C$59:$G$59,AE$7),'Ajuste Mensal'!AE$14),IF('Ajuste Mensal'!AE$20="",INDEX(Premissas!$C$60:$G$60,AE$7),'Ajuste Mensal'!AE$20),IF('Ajuste Mensal'!AE$26="",INDEX(Premissas!$C$61:$G$61,AE$7),'Ajuste Mensal'!AE$26)),0)</f>
        <v>308.062082278093</v>
      </c>
      <c r="AF29" s="89" t="n">
        <f aca="false">IFERROR(AF28/CHOOSE(Premissas!$B$6,IF('Ajuste Mensal'!AF$14="",INDEX(Premissas!$C$59:$G$59,AF$7),'Ajuste Mensal'!AF$14),IF('Ajuste Mensal'!AF$20="",INDEX(Premissas!$C$60:$G$60,AF$7),'Ajuste Mensal'!AF$20),IF('Ajuste Mensal'!AF$26="",INDEX(Premissas!$C$61:$G$61,AF$7),'Ajuste Mensal'!AF$26)),0)</f>
        <v>332.647752770645</v>
      </c>
      <c r="AG29" s="89" t="n">
        <f aca="false">IFERROR(AG28/CHOOSE(Premissas!$B$6,IF('Ajuste Mensal'!AG$14="",INDEX(Premissas!$C$59:$G$59,AG$7),'Ajuste Mensal'!AG$14),IF('Ajuste Mensal'!AG$20="",INDEX(Premissas!$C$60:$G$60,AG$7),'Ajuste Mensal'!AG$20),IF('Ajuste Mensal'!AG$26="",INDEX(Premissas!$C$61:$G$61,AG$7),'Ajuste Mensal'!AG$26)),0)</f>
        <v>331.96492744507</v>
      </c>
      <c r="AH29" s="89" t="n">
        <f aca="false">IFERROR(AH28/CHOOSE(Premissas!$B$6,IF('Ajuste Mensal'!AH$14="",INDEX(Premissas!$C$59:$G$59,AH$7),'Ajuste Mensal'!AH$14),IF('Ajuste Mensal'!AH$20="",INDEX(Premissas!$C$60:$G$60,AH$7),'Ajuste Mensal'!AH$20),IF('Ajuste Mensal'!AH$26="",INDEX(Premissas!$C$61:$G$61,AH$7),'Ajuste Mensal'!AH$26)),0)</f>
        <v>331.354025928187</v>
      </c>
      <c r="AI29" s="89" t="n">
        <f aca="false">IFERROR(AI28/CHOOSE(Premissas!$B$6,IF('Ajuste Mensal'!AI$14="",INDEX(Premissas!$C$59:$G$59,AI$7),'Ajuste Mensal'!AI$14),IF('Ajuste Mensal'!AI$20="",INDEX(Premissas!$C$60:$G$60,AI$7),'Ajuste Mensal'!AI$20),IF('Ajuste Mensal'!AI$26="",INDEX(Premissas!$C$61:$G$61,AI$7),'Ajuste Mensal'!AI$26)),0)</f>
        <v>330.807126788563</v>
      </c>
      <c r="AJ29" s="89" t="n">
        <f aca="false">IFERROR(AJ28/CHOOSE(Premissas!$B$6,IF('Ajuste Mensal'!AJ$14="",INDEX(Premissas!$C$59:$G$59,AJ$7),'Ajuste Mensal'!AJ$14),IF('Ajuste Mensal'!AJ$20="",INDEX(Premissas!$C$60:$G$60,AJ$7),'Ajuste Mensal'!AJ$20),IF('Ajuste Mensal'!AJ$26="",INDEX(Premissas!$C$61:$G$61,AJ$7),'Ajuste Mensal'!AJ$26)),0)</f>
        <v>330.330724394962</v>
      </c>
      <c r="AK29" s="89" t="n">
        <f aca="false">IFERROR(AK28/CHOOSE(Premissas!$B$6,IF('Ajuste Mensal'!AK$14="",INDEX(Premissas!$C$59:$G$59,AK$7),'Ajuste Mensal'!AK$14),IF('Ajuste Mensal'!AK$20="",INDEX(Premissas!$C$60:$G$60,AK$7),'Ajuste Mensal'!AK$20),IF('Ajuste Mensal'!AK$26="",INDEX(Premissas!$C$61:$G$61,AK$7),'Ajuste Mensal'!AK$26)),0)</f>
        <v>329.936815738881</v>
      </c>
      <c r="AL29" s="89" t="n">
        <f aca="false">IFERROR(AL28/CHOOSE(Premissas!$B$6,IF('Ajuste Mensal'!AL$14="",INDEX(Premissas!$C$59:$G$59,AL$7),'Ajuste Mensal'!AL$14),IF('Ajuste Mensal'!AL$20="",INDEX(Premissas!$C$60:$G$60,AL$7),'Ajuste Mensal'!AL$20),IF('Ajuste Mensal'!AL$26="",INDEX(Premissas!$C$61:$G$61,AL$7),'Ajuste Mensal'!AL$26)),0)</f>
        <v>403.21421557101</v>
      </c>
      <c r="AM29" s="89" t="n">
        <f aca="false">IFERROR(AM28/CHOOSE(Premissas!$B$6,IF('Ajuste Mensal'!AM$14="",INDEX(Premissas!$C$59:$G$59,AM$7),'Ajuste Mensal'!AM$14),IF('Ajuste Mensal'!AM$20="",INDEX(Premissas!$C$60:$G$60,AM$7),'Ajuste Mensal'!AM$20),IF('Ajuste Mensal'!AM$26="",INDEX(Premissas!$C$61:$G$61,AM$7),'Ajuste Mensal'!AM$26)),0)</f>
        <v>401.980342163816</v>
      </c>
      <c r="AN29" s="89" t="n">
        <f aca="false">IFERROR(AN28/CHOOSE(Premissas!$B$6,IF('Ajuste Mensal'!AN$14="",INDEX(Premissas!$C$59:$G$59,AN$7),'Ajuste Mensal'!AN$14),IF('Ajuste Mensal'!AN$20="",INDEX(Premissas!$C$60:$G$60,AN$7),'Ajuste Mensal'!AN$20),IF('Ajuste Mensal'!AN$26="",INDEX(Premissas!$C$61:$G$61,AN$7),'Ajuste Mensal'!AN$26)),0)</f>
        <v>400.945833720672</v>
      </c>
      <c r="AO29" s="89" t="n">
        <f aca="false">IFERROR(AO28/CHOOSE(Premissas!$B$6,IF('Ajuste Mensal'!AO$14="",INDEX(Premissas!$C$59:$G$59,AO$7),'Ajuste Mensal'!AO$14),IF('Ajuste Mensal'!AO$20="",INDEX(Premissas!$C$60:$G$60,AO$7),'Ajuste Mensal'!AO$20),IF('Ajuste Mensal'!AO$26="",INDEX(Premissas!$C$61:$G$61,AO$7),'Ajuste Mensal'!AO$26)),0)</f>
        <v>400.059007154822</v>
      </c>
      <c r="AP29" s="89" t="n">
        <f aca="false">IFERROR(AP28/CHOOSE(Premissas!$B$6,IF('Ajuste Mensal'!AP$14="",INDEX(Premissas!$C$59:$G$59,AP$7),'Ajuste Mensal'!AP$14),IF('Ajuste Mensal'!AP$20="",INDEX(Premissas!$C$60:$G$60,AP$7),'Ajuste Mensal'!AP$20),IF('Ajuste Mensal'!AP$26="",INDEX(Premissas!$C$61:$G$61,AP$7),'Ajuste Mensal'!AP$26)),0)</f>
        <v>399.327639181271</v>
      </c>
      <c r="AQ29" s="89" t="n">
        <f aca="false">IFERROR(AQ28/CHOOSE(Premissas!$B$6,IF('Ajuste Mensal'!AQ$14="",INDEX(Premissas!$C$59:$G$59,AQ$7),'Ajuste Mensal'!AQ$14),IF('Ajuste Mensal'!AQ$20="",INDEX(Premissas!$C$60:$G$60,AQ$7),'Ajuste Mensal'!AQ$20),IF('Ajuste Mensal'!AQ$26="",INDEX(Premissas!$C$61:$G$61,AQ$7),'Ajuste Mensal'!AQ$26)),0)</f>
        <v>398.686903147014</v>
      </c>
      <c r="AR29" s="89" t="n">
        <f aca="false">IFERROR(AR28/CHOOSE(Premissas!$B$6,IF('Ajuste Mensal'!AR$14="",INDEX(Premissas!$C$59:$G$59,AR$7),'Ajuste Mensal'!AR$14),IF('Ajuste Mensal'!AR$20="",INDEX(Premissas!$C$60:$G$60,AR$7),'Ajuste Mensal'!AR$20),IF('Ajuste Mensal'!AR$26="",INDEX(Premissas!$C$61:$G$61,AR$7),'Ajuste Mensal'!AR$26)),0)</f>
        <v>398.138260732987</v>
      </c>
      <c r="AS29" s="89" t="n">
        <f aca="false">IFERROR(AS28/CHOOSE(Premissas!$B$6,IF('Ajuste Mensal'!AS$14="",INDEX(Premissas!$C$59:$G$59,AS$7),'Ajuste Mensal'!AS$14),IF('Ajuste Mensal'!AS$20="",INDEX(Premissas!$C$60:$G$60,AS$7),'Ajuste Mensal'!AS$20),IF('Ajuste Mensal'!AS$26="",INDEX(Premissas!$C$61:$G$61,AS$7),'Ajuste Mensal'!AS$26)),0)</f>
        <v>397.658310246148</v>
      </c>
      <c r="AT29" s="89" t="n">
        <f aca="false">IFERROR(AT28/CHOOSE(Premissas!$B$6,IF('Ajuste Mensal'!AT$14="",INDEX(Premissas!$C$59:$G$59,AT$7),'Ajuste Mensal'!AT$14),IF('Ajuste Mensal'!AT$20="",INDEX(Premissas!$C$60:$G$60,AT$7),'Ajuste Mensal'!AT$20),IF('Ajuste Mensal'!AT$26="",INDEX(Premissas!$C$61:$G$61,AT$7),'Ajuste Mensal'!AT$26)),0)</f>
        <v>397.221615928399</v>
      </c>
      <c r="AU29" s="89" t="n">
        <f aca="false">IFERROR(AU28/CHOOSE(Premissas!$B$6,IF('Ajuste Mensal'!AU$14="",INDEX(Premissas!$C$59:$G$59,AU$7),'Ajuste Mensal'!AU$14),IF('Ajuste Mensal'!AU$20="",INDEX(Premissas!$C$60:$G$60,AU$7),'Ajuste Mensal'!AU$20),IF('Ajuste Mensal'!AU$26="",INDEX(Premissas!$C$61:$G$61,AU$7),'Ajuste Mensal'!AU$26)),0)</f>
        <v>396.84660962708</v>
      </c>
      <c r="AV29" s="89" t="n">
        <f aca="false">IFERROR(AV28/CHOOSE(Premissas!$B$6,IF('Ajuste Mensal'!AV$14="",INDEX(Premissas!$C$59:$G$59,AV$7),'Ajuste Mensal'!AV$14),IF('Ajuste Mensal'!AV$20="",INDEX(Premissas!$C$60:$G$60,AV$7),'Ajuste Mensal'!AV$20),IF('Ajuste Mensal'!AV$26="",INDEX(Premissas!$C$61:$G$61,AV$7),'Ajuste Mensal'!AV$26)),0)</f>
        <v>396.518932365882</v>
      </c>
      <c r="AW29" s="89" t="n">
        <f aca="false">IFERROR(AW28/CHOOSE(Premissas!$B$6,IF('Ajuste Mensal'!AW$14="",INDEX(Premissas!$C$59:$G$59,AW$7),'Ajuste Mensal'!AW$14),IF('Ajuste Mensal'!AW$20="",INDEX(Premissas!$C$60:$G$60,AW$7),'Ajuste Mensal'!AW$20),IF('Ajuste Mensal'!AW$26="",INDEX(Premissas!$C$61:$G$61,AW$7),'Ajuste Mensal'!AW$26)),0)</f>
        <v>396.223849457462</v>
      </c>
      <c r="AX29" s="89" t="n">
        <f aca="false">IFERROR(AX28/CHOOSE(Premissas!$B$6,IF('Ajuste Mensal'!AX$14="",INDEX(Premissas!$C$59:$G$59,AX$7),'Ajuste Mensal'!AX$14),IF('Ajuste Mensal'!AX$20="",INDEX(Premissas!$C$60:$G$60,AX$7),'Ajuste Mensal'!AX$20),IF('Ajuste Mensal'!AX$26="",INDEX(Premissas!$C$61:$G$61,AX$7),'Ajuste Mensal'!AX$26)),0)</f>
        <v>464.080447242274</v>
      </c>
      <c r="AY29" s="89" t="n">
        <f aca="false">IFERROR(AY28/CHOOSE(Premissas!$B$6,IF('Ajuste Mensal'!AY$14="",INDEX(Premissas!$C$59:$G$59,AY$7),'Ajuste Mensal'!AY$14),IF('Ajuste Mensal'!AY$20="",INDEX(Premissas!$C$60:$G$60,AY$7),'Ajuste Mensal'!AY$20),IF('Ajuste Mensal'!AY$26="",INDEX(Premissas!$C$61:$G$61,AY$7),'Ajuste Mensal'!AY$26)),0)</f>
        <v>463.585267341029</v>
      </c>
      <c r="AZ29" s="89" t="n">
        <f aca="false">IFERROR(AZ28/CHOOSE(Premissas!$B$6,IF('Ajuste Mensal'!AZ$14="",INDEX(Premissas!$C$59:$G$59,AZ$7),'Ajuste Mensal'!AZ$14),IF('Ajuste Mensal'!AZ$20="",INDEX(Premissas!$C$60:$G$60,AZ$7),'Ajuste Mensal'!AZ$20),IF('Ajuste Mensal'!AZ$26="",INDEX(Premissas!$C$61:$G$61,AZ$7),'Ajuste Mensal'!AZ$26)),0)</f>
        <v>463.163598223161</v>
      </c>
      <c r="BA29" s="89" t="n">
        <f aca="false">IFERROR(BA28/CHOOSE(Premissas!$B$6,IF('Ajuste Mensal'!BA$14="",INDEX(Premissas!$C$59:$G$59,BA$7),'Ajuste Mensal'!BA$14),IF('Ajuste Mensal'!BA$20="",INDEX(Premissas!$C$60:$G$60,BA$7),'Ajuste Mensal'!BA$20),IF('Ajuste Mensal'!BA$26="",INDEX(Premissas!$C$61:$G$61,BA$7),'Ajuste Mensal'!BA$26)),0)</f>
        <v>462.808933360075</v>
      </c>
      <c r="BB29" s="89" t="n">
        <f aca="false">IFERROR(BB28/CHOOSE(Premissas!$B$6,IF('Ajuste Mensal'!BB$14="",INDEX(Premissas!$C$59:$G$59,BB$7),'Ajuste Mensal'!BB$14),IF('Ajuste Mensal'!BB$20="",INDEX(Premissas!$C$60:$G$60,BB$7),'Ajuste Mensal'!BB$20),IF('Ajuste Mensal'!BB$26="",INDEX(Premissas!$C$61:$G$61,BB$7),'Ajuste Mensal'!BB$26)),0)</f>
        <v>462.514738429092</v>
      </c>
      <c r="BC29" s="89" t="n">
        <f aca="false">IFERROR(BC28/CHOOSE(Premissas!$B$6,IF('Ajuste Mensal'!BC$14="",INDEX(Premissas!$C$59:$G$59,BC$7),'Ajuste Mensal'!BC$14),IF('Ajuste Mensal'!BC$20="",INDEX(Premissas!$C$60:$G$60,BC$7),'Ajuste Mensal'!BC$20),IF('Ajuste Mensal'!BC$26="",INDEX(Premissas!$C$61:$G$61,BC$7),'Ajuste Mensal'!BC$26)),0)</f>
        <v>462.246912427994</v>
      </c>
      <c r="BD29" s="89" t="n">
        <f aca="false">IFERROR(BD28/CHOOSE(Premissas!$B$6,IF('Ajuste Mensal'!BD$14="",INDEX(Premissas!$C$59:$G$59,BD$7),'Ajuste Mensal'!BD$14),IF('Ajuste Mensal'!BD$20="",INDEX(Premissas!$C$60:$G$60,BD$7),'Ajuste Mensal'!BD$20),IF('Ajuste Mensal'!BD$26="",INDEX(Premissas!$C$61:$G$61,BD$7),'Ajuste Mensal'!BD$26)),0)</f>
        <v>462.01445195953</v>
      </c>
      <c r="BE29" s="89" t="n">
        <f aca="false">IFERROR(BE28/CHOOSE(Premissas!$B$6,IF('Ajuste Mensal'!BE$14="",INDEX(Premissas!$C$59:$G$59,BE$7),'Ajuste Mensal'!BE$14),IF('Ajuste Mensal'!BE$20="",INDEX(Premissas!$C$60:$G$60,BE$7),'Ajuste Mensal'!BE$20),IF('Ajuste Mensal'!BE$26="",INDEX(Premissas!$C$61:$G$61,BE$7),'Ajuste Mensal'!BE$26)),0)</f>
        <v>461.804685537234</v>
      </c>
      <c r="BF29" s="89" t="n">
        <f aca="false">IFERROR(BF28/CHOOSE(Premissas!$B$6,IF('Ajuste Mensal'!BF$14="",INDEX(Premissas!$C$59:$G$59,BF$7),'Ajuste Mensal'!BF$14),IF('Ajuste Mensal'!BF$20="",INDEX(Premissas!$C$60:$G$60,BF$7),'Ajuste Mensal'!BF$20),IF('Ajuste Mensal'!BF$26="",INDEX(Premissas!$C$61:$G$61,BF$7),'Ajuste Mensal'!BF$26)),0)</f>
        <v>461.637587949142</v>
      </c>
      <c r="BG29" s="89" t="n">
        <f aca="false">IFERROR(BG28/CHOOSE(Premissas!$B$6,IF('Ajuste Mensal'!BG$14="",INDEX(Premissas!$C$59:$G$59,BG$7),'Ajuste Mensal'!BG$14),IF('Ajuste Mensal'!BG$20="",INDEX(Premissas!$C$60:$G$60,BG$7),'Ajuste Mensal'!BG$20),IF('Ajuste Mensal'!BG$26="",INDEX(Premissas!$C$61:$G$61,BG$7),'Ajuste Mensal'!BG$26)),0)</f>
        <v>461.469099191532</v>
      </c>
      <c r="BH29" s="89" t="n">
        <f aca="false">IFERROR(BH28/CHOOSE(Premissas!$B$6,IF('Ajuste Mensal'!BH$14="",INDEX(Premissas!$C$59:$G$59,BH$7),'Ajuste Mensal'!BH$14),IF('Ajuste Mensal'!BH$20="",INDEX(Premissas!$C$60:$G$60,BH$7),'Ajuste Mensal'!BH$20),IF('Ajuste Mensal'!BH$26="",INDEX(Premissas!$C$61:$G$61,BH$7),'Ajuste Mensal'!BH$26)),0)</f>
        <v>461.323925972702</v>
      </c>
      <c r="BI29" s="89" t="n">
        <f aca="false">IFERROR(BI28/CHOOSE(Premissas!$B$6,IF('Ajuste Mensal'!BI$14="",INDEX(Premissas!$C$59:$G$59,BI$7),'Ajuste Mensal'!BI$14),IF('Ajuste Mensal'!BI$20="",INDEX(Premissas!$C$60:$G$60,BI$7),'Ajuste Mensal'!BI$20),IF('Ajuste Mensal'!BI$26="",INDEX(Premissas!$C$61:$G$61,BI$7),'Ajuste Mensal'!BI$26)),0)</f>
        <v>461.200335937313</v>
      </c>
      <c r="BK29" s="29" t="s">
        <v>859</v>
      </c>
    </row>
    <row r="30" customFormat="false" ht="15" hidden="false" customHeight="false" outlineLevel="0" collapsed="false">
      <c r="A30" s="31" t="s">
        <v>860</v>
      </c>
      <c r="B30" s="199" t="n">
        <f aca="false">IFERROR(B29/B25,0)</f>
        <v>0</v>
      </c>
      <c r="C30" s="199" t="n">
        <f aca="false">IFERROR(C29/C25,0)</f>
        <v>0</v>
      </c>
      <c r="D30" s="199" t="n">
        <f aca="false">IFERROR(D29/D25,0)</f>
        <v>0</v>
      </c>
      <c r="E30" s="199" t="n">
        <f aca="false">IFERROR(E29/E25,0)</f>
        <v>0</v>
      </c>
      <c r="F30" s="199" t="n">
        <f aca="false">IFERROR(F29/F25,0)</f>
        <v>0</v>
      </c>
      <c r="G30" s="199" t="n">
        <f aca="false">IFERROR(G29/G25,0)</f>
        <v>0</v>
      </c>
      <c r="H30" s="199" t="n">
        <f aca="false">IFERROR(H29/H25,0)</f>
        <v>0</v>
      </c>
      <c r="I30" s="199" t="n">
        <f aca="false">IFERROR(I29/I25,0)</f>
        <v>0</v>
      </c>
      <c r="J30" s="199" t="n">
        <f aca="false">IFERROR(J29/J25,0)</f>
        <v>0</v>
      </c>
      <c r="K30" s="199" t="n">
        <f aca="false">IFERROR(K29/K25,0)</f>
        <v>0.353753813859981</v>
      </c>
      <c r="L30" s="199" t="n">
        <f aca="false">IFERROR(L29/L25,0)</f>
        <v>1.19967155502097</v>
      </c>
      <c r="M30" s="199" t="n">
        <f aca="false">IFERROR(M29/M25,0)</f>
        <v>1.97050395082154</v>
      </c>
      <c r="N30" s="199" t="n">
        <f aca="false">IFERROR(N29/N25,0)</f>
        <v>3.152779739424</v>
      </c>
      <c r="O30" s="199" t="n">
        <f aca="false">IFERROR(O29/O25,0)</f>
        <v>4.01410965778647</v>
      </c>
      <c r="P30" s="199" t="n">
        <f aca="false">IFERROR(P29/P25,0)</f>
        <v>4.84110651795922</v>
      </c>
      <c r="Q30" s="199" t="n">
        <f aca="false">IFERROR(Q29/Q25,0)</f>
        <v>5.97460183588468</v>
      </c>
      <c r="R30" s="199" t="n">
        <f aca="false">IFERROR(R29/R25,0)</f>
        <v>5.89572553053157</v>
      </c>
      <c r="S30" s="199" t="n">
        <f aca="false">IFERROR(S29/S25,0)</f>
        <v>5.85065075593671</v>
      </c>
      <c r="T30" s="199" t="n">
        <f aca="false">IFERROR(T29/T25,0)</f>
        <v>5.80369720931127</v>
      </c>
      <c r="U30" s="199" t="n">
        <f aca="false">IFERROR(U29/U25,0)</f>
        <v>5.77439901045548</v>
      </c>
      <c r="V30" s="199" t="n">
        <f aca="false">IFERROR(V29/V25,0)</f>
        <v>5.75457120772413</v>
      </c>
      <c r="W30" s="199" t="n">
        <f aca="false">IFERROR(W29/W25,0)</f>
        <v>6.67487567492608</v>
      </c>
      <c r="X30" s="199" t="n">
        <f aca="false">IFERROR(X29/X25,0)</f>
        <v>6.61504295024582</v>
      </c>
      <c r="Y30" s="199" t="n">
        <f aca="false">IFERROR(Y29/Y25,0)</f>
        <v>6.57194495756344</v>
      </c>
      <c r="Z30" s="199" t="n">
        <f aca="false">IFERROR(Z29/Z25,0)</f>
        <v>7.7223112287409</v>
      </c>
      <c r="AA30" s="199" t="n">
        <f aca="false">IFERROR(AA29/AA25,0)</f>
        <v>7.69937437625491</v>
      </c>
      <c r="AB30" s="199" t="n">
        <f aca="false">IFERROR(AB29/AB25,0)</f>
        <v>8.33776062113237</v>
      </c>
      <c r="AC30" s="199" t="n">
        <f aca="false">IFERROR(AC29/AC25,0)</f>
        <v>8.14707808234752</v>
      </c>
      <c r="AD30" s="199" t="n">
        <f aca="false">IFERROR(AD29/AD25,0)</f>
        <v>8.00002400030862</v>
      </c>
      <c r="AE30" s="199" t="n">
        <f aca="false">IFERROR(AE29/AE25,0)</f>
        <v>8.36000844017259</v>
      </c>
      <c r="AF30" s="199" t="n">
        <f aca="false">IFERROR(AF29/AF25,0)</f>
        <v>9.02719997281791</v>
      </c>
      <c r="AG30" s="199" t="n">
        <f aca="false">IFERROR(AG29/AG25,0)</f>
        <v>9.00866985887869</v>
      </c>
      <c r="AH30" s="199" t="n">
        <f aca="false">IFERROR(AH29/AH25,0)</f>
        <v>8.99209157115339</v>
      </c>
      <c r="AI30" s="199" t="n">
        <f aca="false">IFERROR(AI29/AI25,0)</f>
        <v>8.97725014247328</v>
      </c>
      <c r="AJ30" s="199" t="n">
        <f aca="false">IFERROR(AJ29/AJ25,0)</f>
        <v>8.96432181321585</v>
      </c>
      <c r="AK30" s="199" t="n">
        <f aca="false">IFERROR(AK29/AK25,0)</f>
        <v>8.95363215071294</v>
      </c>
      <c r="AL30" s="199" t="n">
        <f aca="false">IFERROR(AL29/AL25,0)</f>
        <v>10.7733777176315</v>
      </c>
      <c r="AM30" s="199" t="n">
        <f aca="false">IFERROR(AM29/AM25,0)</f>
        <v>10.7404101689735</v>
      </c>
      <c r="AN30" s="199" t="n">
        <f aca="false">IFERROR(AN29/AN25,0)</f>
        <v>10.7127694019081</v>
      </c>
      <c r="AO30" s="199" t="n">
        <f aca="false">IFERROR(AO29/AO25,0)</f>
        <v>10.6890745092307</v>
      </c>
      <c r="AP30" s="199" t="n">
        <f aca="false">IFERROR(AP29/AP25,0)</f>
        <v>10.669533275005</v>
      </c>
      <c r="AQ30" s="199" t="n">
        <f aca="false">IFERROR(AQ29/AQ25,0)</f>
        <v>10.6524136124341</v>
      </c>
      <c r="AR30" s="199" t="n">
        <f aca="false">IFERROR(AR29/AR25,0)</f>
        <v>10.6377545757981</v>
      </c>
      <c r="AS30" s="199" t="n">
        <f aca="false">IFERROR(AS29/AS25,0)</f>
        <v>10.624930901233</v>
      </c>
      <c r="AT30" s="199" t="n">
        <f aca="false">IFERROR(AT29/AT25,0)</f>
        <v>10.6132629772101</v>
      </c>
      <c r="AU30" s="199" t="n">
        <f aca="false">IFERROR(AU29/AU25,0)</f>
        <v>10.6032432795541</v>
      </c>
      <c r="AV30" s="199" t="n">
        <f aca="false">IFERROR(AV29/AV25,0)</f>
        <v>10.5944881544419</v>
      </c>
      <c r="AW30" s="199" t="n">
        <f aca="false">IFERROR(AW29/AW25,0)</f>
        <v>10.5866039095228</v>
      </c>
      <c r="AX30" s="199" t="n">
        <f aca="false">IFERROR(AX29/AX25,0)</f>
        <v>12.0330487674544</v>
      </c>
      <c r="AY30" s="199" t="n">
        <f aca="false">IFERROR(AY29/AY25,0)</f>
        <v>12.0202093471863</v>
      </c>
      <c r="AZ30" s="199" t="n">
        <f aca="false">IFERROR(AZ29/AZ25,0)</f>
        <v>12.0092759732655</v>
      </c>
      <c r="BA30" s="199" t="n">
        <f aca="false">IFERROR(BA29/BA25,0)</f>
        <v>12.000079939218</v>
      </c>
      <c r="BB30" s="199" t="n">
        <f aca="false">IFERROR(BB29/BB25,0)</f>
        <v>11.9924518179026</v>
      </c>
      <c r="BC30" s="199" t="n">
        <f aca="false">IFERROR(BC29/BC25,0)</f>
        <v>11.9855074112776</v>
      </c>
      <c r="BD30" s="199" t="n">
        <f aca="false">IFERROR(BD29/BD25,0)</f>
        <v>11.9794799904497</v>
      </c>
      <c r="BE30" s="199" t="n">
        <f aca="false">IFERROR(BE29/BE25,0)</f>
        <v>11.9740409989897</v>
      </c>
      <c r="BF30" s="199" t="n">
        <f aca="false">IFERROR(BF29/BF25,0)</f>
        <v>11.9697083591675</v>
      </c>
      <c r="BG30" s="199" t="n">
        <f aca="false">IFERROR(BG29/BG25,0)</f>
        <v>11.9653396479901</v>
      </c>
      <c r="BH30" s="199" t="n">
        <f aca="false">IFERROR(BH29/BH25,0)</f>
        <v>11.9615754807379</v>
      </c>
      <c r="BI30" s="199" t="n">
        <f aca="false">IFERROR(BI29/BI25,0)</f>
        <v>11.958370939517</v>
      </c>
      <c r="BK30" s="29" t="s">
        <v>861</v>
      </c>
    </row>
    <row r="31" customFormat="false" ht="15" hidden="false" customHeight="false" outlineLevel="0" collapsed="false">
      <c r="A31" s="27" t="s">
        <v>188</v>
      </c>
      <c r="B31" s="200" t="n">
        <f aca="false">IFERROR(B25/B28,0)</f>
        <v>0</v>
      </c>
      <c r="C31" s="200" t="n">
        <f aca="false">IFERROR(C25/C28,0)</f>
        <v>0</v>
      </c>
      <c r="D31" s="200" t="n">
        <f aca="false">IFERROR(D25/D28,0)</f>
        <v>0</v>
      </c>
      <c r="E31" s="200" t="n">
        <f aca="false">IFERROR(E25/E28,0)</f>
        <v>0</v>
      </c>
      <c r="F31" s="200" t="n">
        <f aca="false">IFERROR(F25/F28,0)</f>
        <v>0</v>
      </c>
      <c r="G31" s="200" t="n">
        <f aca="false">IFERROR(G25/G28,0)</f>
        <v>0</v>
      </c>
      <c r="H31" s="200" t="n">
        <f aca="false">IFERROR(H25/H28,0)</f>
        <v>0</v>
      </c>
      <c r="I31" s="200" t="n">
        <f aca="false">IFERROR(I25/I28,0)</f>
        <v>0</v>
      </c>
      <c r="J31" s="200" t="n">
        <f aca="false">IFERROR(J25/J28,0)</f>
        <v>0</v>
      </c>
      <c r="K31" s="200" t="n">
        <f aca="false">IFERROR(K25/K28,0)</f>
        <v>35.3353080878659</v>
      </c>
      <c r="L31" s="200" t="n">
        <f aca="false">IFERROR(L25/L28,0)</f>
        <v>10.4195185321215</v>
      </c>
      <c r="M31" s="200" t="n">
        <f aca="false">IFERROR(M25/M28,0)</f>
        <v>6.34355490370293</v>
      </c>
      <c r="N31" s="200" t="n">
        <f aca="false">IFERROR(N25/N28,0)</f>
        <v>4.21782472595279</v>
      </c>
      <c r="O31" s="200" t="n">
        <f aca="false">IFERROR(O25/O28,0)</f>
        <v>3.31278252815806</v>
      </c>
      <c r="P31" s="200" t="n">
        <f aca="false">IFERROR(P25/P28,0)</f>
        <v>2.74686629825102</v>
      </c>
      <c r="Q31" s="200" t="n">
        <f aca="false">IFERROR(Q25/Q28,0)</f>
        <v>2.2257336481497</v>
      </c>
      <c r="R31" s="200" t="n">
        <f aca="false">IFERROR(R25/R28,0)</f>
        <v>2.25551075462405</v>
      </c>
      <c r="S31" s="200" t="n">
        <f aca="false">IFERROR(S25/S28,0)</f>
        <v>2.27288773422889</v>
      </c>
      <c r="T31" s="200" t="n">
        <f aca="false">IFERROR(T25/T28,0)</f>
        <v>2.29127603678063</v>
      </c>
      <c r="U31" s="200" t="n">
        <f aca="false">IFERROR(U25/U28,0)</f>
        <v>2.30290153422851</v>
      </c>
      <c r="V31" s="200" t="n">
        <f aca="false">IFERROR(V25/V28,0)</f>
        <v>2.31083635259849</v>
      </c>
      <c r="W31" s="200" t="n">
        <f aca="false">IFERROR(W25/W28,0)</f>
        <v>1.99222771899385</v>
      </c>
      <c r="X31" s="200" t="n">
        <f aca="false">IFERROR(X25/X28,0)</f>
        <v>2.0102473166756</v>
      </c>
      <c r="Y31" s="200" t="n">
        <f aca="false">IFERROR(Y25/Y28,0)</f>
        <v>2.02343026703555</v>
      </c>
      <c r="Z31" s="200" t="n">
        <f aca="false">IFERROR(Z25/Z28,0)</f>
        <v>1.83192211289403</v>
      </c>
      <c r="AA31" s="200" t="n">
        <f aca="false">IFERROR(AA25/AA28,0)</f>
        <v>1.8373795078999</v>
      </c>
      <c r="AB31" s="200" t="n">
        <f aca="false">IFERROR(AB25/AB28,0)</f>
        <v>1.69669931117056</v>
      </c>
      <c r="AC31" s="200" t="n">
        <f aca="false">IFERROR(AC25/AC28,0)</f>
        <v>1.73641059525774</v>
      </c>
      <c r="AD31" s="200" t="n">
        <f aca="false">IFERROR(AD25/AD28,0)</f>
        <v>1.76832878276798</v>
      </c>
      <c r="AE31" s="200" t="n">
        <f aca="false">IFERROR(AE25/AE28,0)</f>
        <v>1.69218402156162</v>
      </c>
      <c r="AF31" s="200" t="n">
        <f aca="false">IFERROR(AF25/AF28,0)</f>
        <v>1.56711635337401</v>
      </c>
      <c r="AG31" s="200" t="n">
        <f aca="false">IFERROR(AG25/AG28,0)</f>
        <v>1.57033978647112</v>
      </c>
      <c r="AH31" s="200" t="n">
        <f aca="false">IFERROR(AH25/AH28,0)</f>
        <v>1.57323494657937</v>
      </c>
      <c r="AI31" s="200" t="n">
        <f aca="false">IFERROR(AI25/AI28,0)</f>
        <v>1.5758358604323</v>
      </c>
      <c r="AJ31" s="200" t="n">
        <f aca="false">IFERROR(AJ25/AJ28,0)</f>
        <v>1.57810852815707</v>
      </c>
      <c r="AK31" s="200" t="n">
        <f aca="false">IFERROR(AK25/AK28,0)</f>
        <v>1.57999261801859</v>
      </c>
      <c r="AL31" s="200" t="n">
        <f aca="false">IFERROR(AL25/AL28,0)</f>
        <v>1.39692974716979</v>
      </c>
      <c r="AM31" s="200" t="n">
        <f aca="false">IFERROR(AM25/AM28,0)</f>
        <v>1.40121760477366</v>
      </c>
      <c r="AN31" s="200" t="n">
        <f aca="false">IFERROR(AN25/AN28,0)</f>
        <v>1.40483298451054</v>
      </c>
      <c r="AO31" s="200" t="n">
        <f aca="false">IFERROR(AO25/AO28,0)</f>
        <v>1.40794713314603</v>
      </c>
      <c r="AP31" s="200" t="n">
        <f aca="false">IFERROR(AP25/AP28,0)</f>
        <v>1.41052578621333</v>
      </c>
      <c r="AQ31" s="200" t="n">
        <f aca="false">IFERROR(AQ25/AQ28,0)</f>
        <v>1.41279266453651</v>
      </c>
      <c r="AR31" s="200" t="n">
        <f aca="false">IFERROR(AR25/AR28,0)</f>
        <v>1.4147395208285</v>
      </c>
      <c r="AS31" s="200" t="n">
        <f aca="false">IFERROR(AS25/AS28,0)</f>
        <v>1.41644702927049</v>
      </c>
      <c r="AT31" s="200" t="n">
        <f aca="false">IFERROR(AT25/AT28,0)</f>
        <v>1.41800423145756</v>
      </c>
      <c r="AU31" s="200" t="n">
        <f aca="false">IFERROR(AU25/AU28,0)</f>
        <v>1.41934419634372</v>
      </c>
      <c r="AV31" s="200" t="n">
        <f aca="false">IFERROR(AV25/AV28,0)</f>
        <v>1.42051712096596</v>
      </c>
      <c r="AW31" s="200" t="n">
        <f aca="false">IFERROR(AW25/AW28,0)</f>
        <v>1.42157503387072</v>
      </c>
      <c r="AX31" s="200" t="n">
        <f aca="false">IFERROR(AX25/AX28,0)</f>
        <v>1.33052464040678</v>
      </c>
      <c r="AY31" s="200" t="n">
        <f aca="false">IFERROR(AY25/AY28,0)</f>
        <v>1.3319458440266</v>
      </c>
      <c r="AZ31" s="200" t="n">
        <f aca="false">IFERROR(AZ25/AZ28,0)</f>
        <v>1.33315846183865</v>
      </c>
      <c r="BA31" s="200" t="n">
        <f aca="false">IFERROR(BA25/BA28,0)</f>
        <v>1.33418010258337</v>
      </c>
      <c r="BB31" s="200" t="n">
        <f aca="false">IFERROR(BB25/BB28,0)</f>
        <v>1.3350287436981</v>
      </c>
      <c r="BC31" s="200" t="n">
        <f aca="false">IFERROR(BC25/BC28,0)</f>
        <v>1.33580225975664</v>
      </c>
      <c r="BD31" s="200" t="n">
        <f aca="false">IFERROR(BD25/BD28,0)</f>
        <v>1.33647436258321</v>
      </c>
      <c r="BE31" s="200" t="n">
        <f aca="false">IFERROR(BE25/BE28,0)</f>
        <v>1.33708143187963</v>
      </c>
      <c r="BF31" s="200" t="n">
        <f aca="false">IFERROR(BF25/BF28,0)</f>
        <v>1.33756541127858</v>
      </c>
      <c r="BG31" s="200" t="n">
        <f aca="false">IFERROR(BG25/BG28,0)</f>
        <v>1.33805377493015</v>
      </c>
      <c r="BH31" s="200" t="n">
        <f aca="false">IFERROR(BH25/BH28,0)</f>
        <v>1.33847484473065</v>
      </c>
      <c r="BI31" s="200" t="n">
        <f aca="false">IFERROR(BI25/BI28,0)</f>
        <v>1.33883352216546</v>
      </c>
      <c r="BK31" s="29" t="s">
        <v>862</v>
      </c>
    </row>
    <row r="33" customFormat="false" ht="18" hidden="false" customHeight="true" outlineLevel="0" collapsed="false">
      <c r="A33" s="25" t="s">
        <v>863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</row>
    <row r="34" customFormat="false" ht="15" hidden="false" customHeight="false" outlineLevel="0" collapsed="false">
      <c r="A34" s="31" t="s">
        <v>864</v>
      </c>
      <c r="B34" s="63" t="n">
        <f aca="false">CHOOSE(Premissas!$B$6,Cenários!B49,Cenários!B95,Cenários!B141)</f>
        <v>0</v>
      </c>
      <c r="C34" s="63" t="n">
        <f aca="false">CHOOSE(Premissas!$B$6,Cenários!C49,Cenários!C95,Cenários!C141)</f>
        <v>0</v>
      </c>
      <c r="D34" s="63" t="n">
        <f aca="false">CHOOSE(Premissas!$B$6,Cenários!D49,Cenários!D95,Cenários!D141)</f>
        <v>0</v>
      </c>
      <c r="E34" s="63" t="n">
        <f aca="false">CHOOSE(Premissas!$B$6,Cenários!E49,Cenários!E95,Cenários!E141)</f>
        <v>8500</v>
      </c>
      <c r="F34" s="63" t="n">
        <f aca="false">CHOOSE(Premissas!$B$6,Cenários!F49,Cenários!F95,Cenários!F141)</f>
        <v>400</v>
      </c>
      <c r="G34" s="63" t="n">
        <f aca="false">CHOOSE(Premissas!$B$6,Cenários!G49,Cenários!G95,Cenários!G141)</f>
        <v>-1700</v>
      </c>
      <c r="H34" s="63" t="n">
        <f aca="false">CHOOSE(Premissas!$B$6,Cenários!H49,Cenários!H95,Cenários!H141)</f>
        <v>1200</v>
      </c>
      <c r="I34" s="63" t="n">
        <f aca="false">CHOOSE(Premissas!$B$6,Cenários!I49,Cenários!I95,Cenários!I141)</f>
        <v>7972.18</v>
      </c>
      <c r="J34" s="63" t="n">
        <f aca="false">CHOOSE(Premissas!$B$6,Cenários!J49,Cenários!J95,Cenários!J141)</f>
        <v>-4627.82</v>
      </c>
      <c r="K34" s="63" t="n">
        <f aca="false">CHOOSE(Premissas!$B$6,Cenários!K49,Cenários!K95,Cenários!K141)</f>
        <v>4594.58267499999</v>
      </c>
      <c r="L34" s="63" t="n">
        <f aca="false">CHOOSE(Premissas!$B$6,Cenários!L49,Cenários!L95,Cenários!L141)</f>
        <v>14254.30525</v>
      </c>
      <c r="M34" s="63" t="n">
        <f aca="false">CHOOSE(Premissas!$B$6,Cenários!M49,Cenários!M95,Cenários!M141)</f>
        <v>8894.90254999999</v>
      </c>
      <c r="N34" s="63" t="n">
        <f aca="false">CHOOSE(Premissas!$B$6,Cenários!N49,Cenários!N95,Cenários!N141)</f>
        <v>-73641.181590096</v>
      </c>
      <c r="O34" s="63" t="n">
        <f aca="false">CHOOSE(Premissas!$B$6,Cenários!O49,Cenários!O95,Cenários!O141)</f>
        <v>-134103.83203061</v>
      </c>
      <c r="P34" s="63" t="n">
        <f aca="false">CHOOSE(Premissas!$B$6,Cenários!P49,Cenários!P95,Cenários!P141)</f>
        <v>-180781.548699936</v>
      </c>
      <c r="Q34" s="63" t="n">
        <f aca="false">CHOOSE(Premissas!$B$6,Cenários!Q49,Cenários!Q95,Cenários!Q141)</f>
        <v>-180033.399365539</v>
      </c>
      <c r="R34" s="63" t="n">
        <f aca="false">CHOOSE(Premissas!$B$6,Cenários!R49,Cenários!R95,Cenários!R141)</f>
        <v>-166002.856464377</v>
      </c>
      <c r="S34" s="63" t="n">
        <f aca="false">CHOOSE(Premissas!$B$6,Cenários!S49,Cenários!S95,Cenários!S141)</f>
        <v>-130367.917753834</v>
      </c>
      <c r="T34" s="63" t="n">
        <f aca="false">CHOOSE(Premissas!$B$6,Cenários!T49,Cenários!T95,Cenários!T141)</f>
        <v>-117399.783886674</v>
      </c>
      <c r="U34" s="63" t="n">
        <f aca="false">CHOOSE(Premissas!$B$6,Cenários!U49,Cenários!U95,Cenários!U141)</f>
        <v>-68719.8464753618</v>
      </c>
      <c r="V34" s="63" t="n">
        <f aca="false">CHOOSE(Premissas!$B$6,Cenários!V49,Cenários!V95,Cenários!V141)</f>
        <v>-10032.1877155718</v>
      </c>
      <c r="W34" s="63" t="n">
        <f aca="false">CHOOSE(Premissas!$B$6,Cenários!W49,Cenários!W95,Cenários!W141)</f>
        <v>88042.8090348153</v>
      </c>
      <c r="X34" s="63" t="n">
        <f aca="false">CHOOSE(Premissas!$B$6,Cenários!X49,Cenários!X95,Cenários!X141)</f>
        <v>194603.217232698</v>
      </c>
      <c r="Y34" s="63" t="n">
        <f aca="false">CHOOSE(Premissas!$B$6,Cenários!Y49,Cenários!Y95,Cenários!Y141)</f>
        <v>324264.300897586</v>
      </c>
      <c r="Z34" s="63" t="n">
        <f aca="false">CHOOSE(Premissas!$B$6,Cenários!Z49,Cenários!Z95,Cenários!Z141)</f>
        <v>342951.826332154</v>
      </c>
      <c r="AA34" s="63" t="n">
        <f aca="false">CHOOSE(Premissas!$B$6,Cenários!AA49,Cenários!AA95,Cenários!AA141)</f>
        <v>386593.97070216</v>
      </c>
      <c r="AB34" s="63" t="n">
        <f aca="false">CHOOSE(Premissas!$B$6,Cenários!AB49,Cenários!AB95,Cenários!AB141)</f>
        <v>483941.72999922</v>
      </c>
      <c r="AC34" s="63" t="n">
        <f aca="false">CHOOSE(Premissas!$B$6,Cenários!AC49,Cenários!AC95,Cenários!AC141)</f>
        <v>596071.386384496</v>
      </c>
      <c r="AD34" s="63" t="n">
        <f aca="false">CHOOSE(Premissas!$B$6,Cenários!AD49,Cenários!AD95,Cenários!AD141)</f>
        <v>722531.053039428</v>
      </c>
      <c r="AE34" s="63" t="n">
        <f aca="false">CHOOSE(Premissas!$B$6,Cenários!AE49,Cenários!AE95,Cenários!AE141)</f>
        <v>873680.257431932</v>
      </c>
      <c r="AF34" s="63" t="n">
        <f aca="false">CHOOSE(Premissas!$B$6,Cenários!AF49,Cenários!AF95,Cenários!AF141)</f>
        <v>1097256.9384852</v>
      </c>
      <c r="AG34" s="63" t="n">
        <f aca="false">CHOOSE(Premissas!$B$6,Cenários!AG49,Cenários!AG95,Cenários!AG141)</f>
        <v>1339279.55304042</v>
      </c>
      <c r="AH34" s="63" t="n">
        <f aca="false">CHOOSE(Premissas!$B$6,Cenários!AH49,Cenários!AH95,Cenários!AH141)</f>
        <v>1598428.85858821</v>
      </c>
      <c r="AI34" s="63" t="n">
        <f aca="false">CHOOSE(Premissas!$B$6,Cenários!AI49,Cenários!AI95,Cenários!AI141)</f>
        <v>1873461.54000329</v>
      </c>
      <c r="AJ34" s="63" t="n">
        <f aca="false">CHOOSE(Premissas!$B$6,Cenários!AJ49,Cenários!AJ95,Cenários!AJ141)</f>
        <v>2163255.20515799</v>
      </c>
      <c r="AK34" s="63" t="n">
        <f aca="false">CHOOSE(Premissas!$B$6,Cenários!AK49,Cenários!AK95,Cenários!AK141)</f>
        <v>2466794.13375317</v>
      </c>
      <c r="AL34" s="63" t="n">
        <f aca="false">CHOOSE(Premissas!$B$6,Cenários!AL49,Cenários!AL95,Cenários!AL141)</f>
        <v>2660075.20334891</v>
      </c>
      <c r="AM34" s="63" t="n">
        <f aca="false">CHOOSE(Premissas!$B$6,Cenários!AM49,Cenários!AM95,Cenários!AM141)</f>
        <v>2901339.2946265</v>
      </c>
      <c r="AN34" s="63" t="n">
        <f aca="false">CHOOSE(Premissas!$B$6,Cenários!AN49,Cenários!AN95,Cenários!AN141)</f>
        <v>3187361.04734751</v>
      </c>
      <c r="AO34" s="63" t="n">
        <f aca="false">CHOOSE(Premissas!$B$6,Cenários!AO49,Cenários!AO95,Cenários!AO141)</f>
        <v>3515157.41738439</v>
      </c>
      <c r="AP34" s="63" t="n">
        <f aca="false">CHOOSE(Premissas!$B$6,Cenários!AP49,Cenários!AP95,Cenários!AP141)</f>
        <v>3881992.27127885</v>
      </c>
      <c r="AQ34" s="63" t="n">
        <f aca="false">CHOOSE(Premissas!$B$6,Cenários!AQ49,Cenários!AQ95,Cenários!AQ141)</f>
        <v>4260242.35620602</v>
      </c>
      <c r="AR34" s="63" t="n">
        <f aca="false">CHOOSE(Premissas!$B$6,Cenários!AR49,Cenários!AR95,Cenários!AR141)</f>
        <v>4697512.31906435</v>
      </c>
      <c r="AS34" s="63" t="n">
        <f aca="false">CHOOSE(Premissas!$B$6,Cenários!AS49,Cenários!AS95,Cenários!AS141)</f>
        <v>5166537.55518762</v>
      </c>
      <c r="AT34" s="63" t="n">
        <f aca="false">CHOOSE(Premissas!$B$6,Cenários!AT49,Cenários!AT95,Cenários!AT141)</f>
        <v>5665167.27478155</v>
      </c>
      <c r="AU34" s="63" t="n">
        <f aca="false">CHOOSE(Premissas!$B$6,Cenários!AU49,Cenários!AU95,Cenários!AU141)</f>
        <v>6191478.36212173</v>
      </c>
      <c r="AV34" s="63" t="n">
        <f aca="false">CHOOSE(Premissas!$B$6,Cenários!AV49,Cenários!AV95,Cenários!AV141)</f>
        <v>6743630.61737624</v>
      </c>
      <c r="AW34" s="63" t="n">
        <f aca="false">CHOOSE(Premissas!$B$6,Cenários!AW49,Cenários!AW95,Cenários!AW141)</f>
        <v>7319912.5239771</v>
      </c>
      <c r="AX34" s="63" t="n">
        <f aca="false">CHOOSE(Premissas!$B$6,Cenários!AX49,Cenários!AX95,Cenários!AX141)</f>
        <v>7834191.81765871</v>
      </c>
      <c r="AY34" s="63" t="n">
        <f aca="false">CHOOSE(Premissas!$B$6,Cenários!AY49,Cenários!AY95,Cenários!AY141)</f>
        <v>8434472.73495391</v>
      </c>
      <c r="AZ34" s="63" t="n">
        <f aca="false">CHOOSE(Premissas!$B$6,Cenários!AZ49,Cenários!AZ95,Cenários!AZ141)</f>
        <v>9115364.1782914</v>
      </c>
      <c r="BA34" s="63" t="n">
        <f aca="false">CHOOSE(Premissas!$B$6,Cenários!BA49,Cenários!BA95,Cenários!BA141)</f>
        <v>9871822.69134712</v>
      </c>
      <c r="BB34" s="63" t="n">
        <f aca="false">CHOOSE(Premissas!$B$6,Cenários!BB49,Cenários!BB95,Cenários!BB141)</f>
        <v>10699200.1171454</v>
      </c>
      <c r="BC34" s="63" t="n">
        <f aca="false">CHOOSE(Premissas!$B$6,Cenários!BC49,Cenários!BC95,Cenários!BC141)</f>
        <v>11563007.6649179</v>
      </c>
      <c r="BD34" s="63" t="n">
        <f aca="false">CHOOSE(Premissas!$B$6,Cenários!BD49,Cenários!BD95,Cenários!BD141)</f>
        <v>12519102.0855467</v>
      </c>
      <c r="BE34" s="63" t="n">
        <f aca="false">CHOOSE(Premissas!$B$6,Cenários!BE49,Cenários!BE95,Cenários!BE141)</f>
        <v>13533566.0337226</v>
      </c>
      <c r="BF34" s="63" t="n">
        <f aca="false">CHOOSE(Premissas!$B$6,Cenários!BF49,Cenários!BF95,Cenários!BF141)</f>
        <v>14602844.2184161</v>
      </c>
      <c r="BG34" s="63" t="n">
        <f aca="false">CHOOSE(Premissas!$B$6,Cenários!BG49,Cenários!BG95,Cenários!BG141)</f>
        <v>15723402.487798</v>
      </c>
      <c r="BH34" s="63" t="n">
        <f aca="false">CHOOSE(Premissas!$B$6,Cenários!BH49,Cenários!BH95,Cenários!BH141)</f>
        <v>16892084.1449609</v>
      </c>
      <c r="BI34" s="63" t="n">
        <f aca="false">CHOOSE(Premissas!$B$6,Cenários!BI49,Cenários!BI95,Cenários!BI141)</f>
        <v>18105907.5555274</v>
      </c>
    </row>
    <row r="35" customFormat="false" ht="15" hidden="false" customHeight="false" outlineLevel="0" collapsed="false">
      <c r="A35" s="27" t="s">
        <v>865</v>
      </c>
      <c r="B35" s="60" t="n">
        <f aca="false">MAX(0,-CHOOSE(Premissas!$B$6,Cenários!B42,Cenários!B88,Cenários!B134))</f>
        <v>-0</v>
      </c>
      <c r="C35" s="60" t="n">
        <f aca="false">MAX(0,-CHOOSE(Premissas!$B$6,Cenários!C42,Cenários!C88,Cenários!C134))</f>
        <v>-0</v>
      </c>
      <c r="D35" s="60" t="n">
        <f aca="false">MAX(0,-CHOOSE(Premissas!$B$6,Cenários!D42,Cenários!D88,Cenários!D134))</f>
        <v>-0</v>
      </c>
      <c r="E35" s="60" t="n">
        <f aca="false">MAX(0,-CHOOSE(Premissas!$B$6,Cenários!E42,Cenários!E88,Cenários!E134))</f>
        <v>1500</v>
      </c>
      <c r="F35" s="60" t="n">
        <f aca="false">MAX(0,-CHOOSE(Premissas!$B$6,Cenários!F42,Cenários!F88,Cenários!F134))</f>
        <v>8100</v>
      </c>
      <c r="G35" s="60" t="n">
        <f aca="false">MAX(0,-CHOOSE(Premissas!$B$6,Cenários!G42,Cenários!G88,Cenários!G134))</f>
        <v>2100</v>
      </c>
      <c r="H35" s="60" t="n">
        <f aca="false">MAX(0,-CHOOSE(Premissas!$B$6,Cenários!H42,Cenários!H88,Cenários!H134))</f>
        <v>2100</v>
      </c>
      <c r="I35" s="60" t="n">
        <f aca="false">MAX(0,-CHOOSE(Premissas!$B$6,Cenários!I42,Cenários!I88,Cenários!I134))</f>
        <v>11227.82</v>
      </c>
      <c r="J35" s="60" t="n">
        <f aca="false">MAX(0,-CHOOSE(Premissas!$B$6,Cenários!J42,Cenários!J88,Cenários!J134))</f>
        <v>12600</v>
      </c>
      <c r="K35" s="60" t="n">
        <f aca="false">MAX(0,-CHOOSE(Premissas!$B$6,Cenários!K42,Cenários!K88,Cenários!K134))</f>
        <v>70777.597325</v>
      </c>
      <c r="L35" s="60" t="n">
        <f aca="false">MAX(0,-CHOOSE(Premissas!$B$6,Cenários!L42,Cenários!L88,Cenários!L134))</f>
        <v>30340.277425</v>
      </c>
      <c r="M35" s="60" t="n">
        <f aca="false">MAX(0,-CHOOSE(Premissas!$B$6,Cenários!M42,Cenários!M88,Cenários!M134))</f>
        <v>22359.4027</v>
      </c>
      <c r="N35" s="60" t="n">
        <f aca="false">MAX(0,-CHOOSE(Premissas!$B$6,Cenários!N42,Cenários!N88,Cenários!N134))</f>
        <v>82536.084140096</v>
      </c>
      <c r="O35" s="60" t="n">
        <f aca="false">MAX(0,-CHOOSE(Premissas!$B$6,Cenários!O42,Cenários!O88,Cenários!O134))</f>
        <v>60462.6504405144</v>
      </c>
      <c r="P35" s="60" t="n">
        <f aca="false">MAX(0,-CHOOSE(Premissas!$B$6,Cenários!P42,Cenários!P88,Cenários!P134))</f>
        <v>46677.7166693253</v>
      </c>
      <c r="Q35" s="60" t="n">
        <f aca="false">MAX(0,-CHOOSE(Premissas!$B$6,Cenários!Q42,Cenários!Q88,Cenários!Q134))</f>
        <v>0</v>
      </c>
      <c r="R35" s="60" t="n">
        <f aca="false">MAX(0,-CHOOSE(Premissas!$B$6,Cenários!R42,Cenários!R88,Cenários!R134))</f>
        <v>0</v>
      </c>
      <c r="S35" s="60" t="n">
        <f aca="false">MAX(0,-CHOOSE(Premissas!$B$6,Cenários!S42,Cenários!S88,Cenários!S134))</f>
        <v>0</v>
      </c>
      <c r="T35" s="60" t="n">
        <f aca="false">MAX(0,-CHOOSE(Premissas!$B$6,Cenários!T42,Cenários!T88,Cenários!T134))</f>
        <v>0</v>
      </c>
      <c r="U35" s="60" t="n">
        <f aca="false">MAX(0,-CHOOSE(Premissas!$B$6,Cenários!U42,Cenários!U88,Cenários!U134))</f>
        <v>0</v>
      </c>
      <c r="V35" s="60" t="n">
        <f aca="false">MAX(0,-CHOOSE(Premissas!$B$6,Cenários!V42,Cenários!V88,Cenários!V134))</f>
        <v>0</v>
      </c>
      <c r="W35" s="60" t="n">
        <f aca="false">MAX(0,-CHOOSE(Premissas!$B$6,Cenários!W42,Cenários!W88,Cenários!W134))</f>
        <v>0</v>
      </c>
      <c r="X35" s="60" t="n">
        <f aca="false">MAX(0,-CHOOSE(Premissas!$B$6,Cenários!X42,Cenários!X88,Cenários!X134))</f>
        <v>0</v>
      </c>
      <c r="Y35" s="60" t="n">
        <f aca="false">MAX(0,-CHOOSE(Premissas!$B$6,Cenários!Y42,Cenários!Y88,Cenários!Y134))</f>
        <v>0</v>
      </c>
      <c r="Z35" s="60" t="n">
        <f aca="false">MAX(0,-CHOOSE(Premissas!$B$6,Cenários!Z42,Cenários!Z88,Cenários!Z134))</f>
        <v>0</v>
      </c>
      <c r="AA35" s="60" t="n">
        <f aca="false">MAX(0,-CHOOSE(Premissas!$B$6,Cenários!AA42,Cenários!AA88,Cenários!AA134))</f>
        <v>0</v>
      </c>
      <c r="AB35" s="60" t="n">
        <f aca="false">MAX(0,-CHOOSE(Premissas!$B$6,Cenários!AB42,Cenários!AB88,Cenários!AB134))</f>
        <v>0</v>
      </c>
      <c r="AC35" s="60" t="n">
        <f aca="false">MAX(0,-CHOOSE(Premissas!$B$6,Cenários!AC42,Cenários!AC88,Cenários!AC134))</f>
        <v>0</v>
      </c>
      <c r="AD35" s="60" t="n">
        <f aca="false">MAX(0,-CHOOSE(Premissas!$B$6,Cenários!AD42,Cenários!AD88,Cenários!AD134))</f>
        <v>0</v>
      </c>
      <c r="AE35" s="60" t="n">
        <f aca="false">MAX(0,-CHOOSE(Premissas!$B$6,Cenários!AE42,Cenários!AE88,Cenários!AE134))</f>
        <v>0</v>
      </c>
      <c r="AF35" s="60" t="n">
        <f aca="false">MAX(0,-CHOOSE(Premissas!$B$6,Cenários!AF42,Cenários!AF88,Cenários!AF134))</f>
        <v>0</v>
      </c>
      <c r="AG35" s="60" t="n">
        <f aca="false">MAX(0,-CHOOSE(Premissas!$B$6,Cenários!AG42,Cenários!AG88,Cenários!AG134))</f>
        <v>0</v>
      </c>
      <c r="AH35" s="60" t="n">
        <f aca="false">MAX(0,-CHOOSE(Premissas!$B$6,Cenários!AH42,Cenários!AH88,Cenários!AH134))</f>
        <v>0</v>
      </c>
      <c r="AI35" s="60" t="n">
        <f aca="false">MAX(0,-CHOOSE(Premissas!$B$6,Cenários!AI42,Cenários!AI88,Cenários!AI134))</f>
        <v>0</v>
      </c>
      <c r="AJ35" s="60" t="n">
        <f aca="false">MAX(0,-CHOOSE(Premissas!$B$6,Cenários!AJ42,Cenários!AJ88,Cenários!AJ134))</f>
        <v>0</v>
      </c>
      <c r="AK35" s="60" t="n">
        <f aca="false">MAX(0,-CHOOSE(Premissas!$B$6,Cenários!AK42,Cenários!AK88,Cenários!AK134))</f>
        <v>0</v>
      </c>
      <c r="AL35" s="60" t="n">
        <f aca="false">MAX(0,-CHOOSE(Premissas!$B$6,Cenários!AL42,Cenários!AL88,Cenários!AL134))</f>
        <v>0</v>
      </c>
      <c r="AM35" s="60" t="n">
        <f aca="false">MAX(0,-CHOOSE(Premissas!$B$6,Cenários!AM42,Cenários!AM88,Cenários!AM134))</f>
        <v>0</v>
      </c>
      <c r="AN35" s="60" t="n">
        <f aca="false">MAX(0,-CHOOSE(Premissas!$B$6,Cenários!AN42,Cenários!AN88,Cenários!AN134))</f>
        <v>0</v>
      </c>
      <c r="AO35" s="60" t="n">
        <f aca="false">MAX(0,-CHOOSE(Premissas!$B$6,Cenários!AO42,Cenários!AO88,Cenários!AO134))</f>
        <v>0</v>
      </c>
      <c r="AP35" s="60" t="n">
        <f aca="false">MAX(0,-CHOOSE(Premissas!$B$6,Cenários!AP42,Cenários!AP88,Cenários!AP134))</f>
        <v>0</v>
      </c>
      <c r="AQ35" s="60" t="n">
        <f aca="false">MAX(0,-CHOOSE(Premissas!$B$6,Cenários!AQ42,Cenários!AQ88,Cenários!AQ134))</f>
        <v>0</v>
      </c>
      <c r="AR35" s="60" t="n">
        <f aca="false">MAX(0,-CHOOSE(Premissas!$B$6,Cenários!AR42,Cenários!AR88,Cenários!AR134))</f>
        <v>0</v>
      </c>
      <c r="AS35" s="60" t="n">
        <f aca="false">MAX(0,-CHOOSE(Premissas!$B$6,Cenários!AS42,Cenários!AS88,Cenários!AS134))</f>
        <v>0</v>
      </c>
      <c r="AT35" s="60" t="n">
        <f aca="false">MAX(0,-CHOOSE(Premissas!$B$6,Cenários!AT42,Cenários!AT88,Cenários!AT134))</f>
        <v>0</v>
      </c>
      <c r="AU35" s="60" t="n">
        <f aca="false">MAX(0,-CHOOSE(Premissas!$B$6,Cenários!AU42,Cenários!AU88,Cenários!AU134))</f>
        <v>0</v>
      </c>
      <c r="AV35" s="60" t="n">
        <f aca="false">MAX(0,-CHOOSE(Premissas!$B$6,Cenários!AV42,Cenários!AV88,Cenários!AV134))</f>
        <v>0</v>
      </c>
      <c r="AW35" s="60" t="n">
        <f aca="false">MAX(0,-CHOOSE(Premissas!$B$6,Cenários!AW42,Cenários!AW88,Cenários!AW134))</f>
        <v>0</v>
      </c>
      <c r="AX35" s="60" t="n">
        <f aca="false">MAX(0,-CHOOSE(Premissas!$B$6,Cenários!AX42,Cenários!AX88,Cenários!AX134))</f>
        <v>0</v>
      </c>
      <c r="AY35" s="60" t="n">
        <f aca="false">MAX(0,-CHOOSE(Premissas!$B$6,Cenários!AY42,Cenários!AY88,Cenários!AY134))</f>
        <v>0</v>
      </c>
      <c r="AZ35" s="60" t="n">
        <f aca="false">MAX(0,-CHOOSE(Premissas!$B$6,Cenários!AZ42,Cenários!AZ88,Cenários!AZ134))</f>
        <v>0</v>
      </c>
      <c r="BA35" s="60" t="n">
        <f aca="false">MAX(0,-CHOOSE(Premissas!$B$6,Cenários!BA42,Cenários!BA88,Cenários!BA134))</f>
        <v>0</v>
      </c>
      <c r="BB35" s="60" t="n">
        <f aca="false">MAX(0,-CHOOSE(Premissas!$B$6,Cenários!BB42,Cenários!BB88,Cenários!BB134))</f>
        <v>0</v>
      </c>
      <c r="BC35" s="60" t="n">
        <f aca="false">MAX(0,-CHOOSE(Premissas!$B$6,Cenários!BC42,Cenários!BC88,Cenários!BC134))</f>
        <v>0</v>
      </c>
      <c r="BD35" s="60" t="n">
        <f aca="false">MAX(0,-CHOOSE(Premissas!$B$6,Cenários!BD42,Cenários!BD88,Cenários!BD134))</f>
        <v>0</v>
      </c>
      <c r="BE35" s="60" t="n">
        <f aca="false">MAX(0,-CHOOSE(Premissas!$B$6,Cenários!BE42,Cenários!BE88,Cenários!BE134))</f>
        <v>0</v>
      </c>
      <c r="BF35" s="60" t="n">
        <f aca="false">MAX(0,-CHOOSE(Premissas!$B$6,Cenários!BF42,Cenários!BF88,Cenários!BF134))</f>
        <v>0</v>
      </c>
      <c r="BG35" s="60" t="n">
        <f aca="false">MAX(0,-CHOOSE(Premissas!$B$6,Cenários!BG42,Cenários!BG88,Cenários!BG134))</f>
        <v>0</v>
      </c>
      <c r="BH35" s="60" t="n">
        <f aca="false">MAX(0,-CHOOSE(Premissas!$B$6,Cenários!BH42,Cenários!BH88,Cenários!BH134))</f>
        <v>0</v>
      </c>
      <c r="BI35" s="60" t="n">
        <f aca="false">MAX(0,-CHOOSE(Premissas!$B$6,Cenários!BI42,Cenários!BI88,Cenários!BI134))</f>
        <v>0</v>
      </c>
    </row>
    <row r="36" customFormat="false" ht="15" hidden="false" customHeight="false" outlineLevel="0" collapsed="false">
      <c r="A36" s="31" t="s">
        <v>866</v>
      </c>
      <c r="B36" s="201" t="n">
        <f aca="false">IF(B34&lt;=0,0,IF(AVERAGE(B35:B35)&lt;=0,999,B34/AVERAGE(B35:B35)))</f>
        <v>0</v>
      </c>
      <c r="C36" s="201" t="n">
        <f aca="false">IF(C34&lt;=0,0,IF(AVERAGE(B35:C35)&lt;=0,999,C34/AVERAGE(B35:C35)))</f>
        <v>0</v>
      </c>
      <c r="D36" s="201" t="n">
        <f aca="false">IF(D34&lt;=0,0,IF(AVERAGE(B35:D35)&lt;=0,999,D34/AVERAGE(B35:D35)))</f>
        <v>0</v>
      </c>
      <c r="E36" s="201" t="n">
        <f aca="false">IF(E34&lt;=0,0,IF(AVERAGE(C35:E35)&lt;=0,999,E34/AVERAGE(C35:E35)))</f>
        <v>17</v>
      </c>
      <c r="F36" s="201" t="n">
        <f aca="false">IF(F34&lt;=0,0,IF(AVERAGE(D35:F35)&lt;=0,999,F34/AVERAGE(D35:F35)))</f>
        <v>0.125</v>
      </c>
      <c r="G36" s="201" t="n">
        <f aca="false">IF(G34&lt;=0,0,IF(AVERAGE(E35:G35)&lt;=0,999,G34/AVERAGE(E35:G35)))</f>
        <v>0</v>
      </c>
      <c r="H36" s="201" t="n">
        <f aca="false">IF(H34&lt;=0,0,IF(AVERAGE(F35:H35)&lt;=0,999,H34/AVERAGE(F35:H35)))</f>
        <v>0.292682926829268</v>
      </c>
      <c r="I36" s="201" t="n">
        <f aca="false">IF(I34&lt;=0,0,IF(AVERAGE(G35:I35)&lt;=0,999,I34/AVERAGE(G35:I35)))</f>
        <v>1.55022161264521</v>
      </c>
      <c r="J36" s="201" t="n">
        <f aca="false">IF(J34&lt;=0,0,IF(AVERAGE(H35:J35)&lt;=0,999,J34/AVERAGE(H35:J35)))</f>
        <v>0</v>
      </c>
      <c r="K36" s="201" t="n">
        <f aca="false">IF(K34&lt;=0,0,IF(AVERAGE(I35:K35)&lt;=0,999,K34/AVERAGE(I35:K35)))</f>
        <v>0.145697238221025</v>
      </c>
      <c r="L36" s="201" t="n">
        <f aca="false">IF(L34&lt;=0,0,IF(AVERAGE(J35:L35)&lt;=0,999,L34/AVERAGE(J35:L35)))</f>
        <v>0.376043923121241</v>
      </c>
      <c r="M36" s="201" t="n">
        <f aca="false">IF(M34&lt;=0,0,IF(AVERAGE(K35:M35)&lt;=0,999,M34/AVERAGE(K35:M35)))</f>
        <v>0.216110269039625</v>
      </c>
      <c r="N36" s="201" t="n">
        <f aca="false">IF(N34&lt;=0,0,IF(AVERAGE(L35:N35)&lt;=0,999,N34/AVERAGE(L35:N35)))</f>
        <v>0</v>
      </c>
      <c r="O36" s="201" t="n">
        <f aca="false">IF(O34&lt;=0,0,IF(AVERAGE(M35:O35)&lt;=0,999,O34/AVERAGE(M35:O35)))</f>
        <v>0</v>
      </c>
      <c r="P36" s="201" t="n">
        <f aca="false">IF(P34&lt;=0,0,IF(AVERAGE(N35:P35)&lt;=0,999,P34/AVERAGE(N35:P35)))</f>
        <v>0</v>
      </c>
      <c r="Q36" s="201" t="n">
        <f aca="false">IF(Q34&lt;=0,0,IF(AVERAGE(O35:Q35)&lt;=0,999,Q34/AVERAGE(O35:Q35)))</f>
        <v>0</v>
      </c>
      <c r="R36" s="201" t="n">
        <f aca="false">IF(R34&lt;=0,0,IF(AVERAGE(P35:R35)&lt;=0,999,R34/AVERAGE(P35:R35)))</f>
        <v>0</v>
      </c>
      <c r="S36" s="201" t="n">
        <f aca="false">IF(S34&lt;=0,0,IF(AVERAGE(Q35:S35)&lt;=0,999,S34/AVERAGE(Q35:S35)))</f>
        <v>0</v>
      </c>
      <c r="T36" s="201" t="n">
        <f aca="false">IF(T34&lt;=0,0,IF(AVERAGE(R35:T35)&lt;=0,999,T34/AVERAGE(R35:T35)))</f>
        <v>0</v>
      </c>
      <c r="U36" s="201" t="n">
        <f aca="false">IF(U34&lt;=0,0,IF(AVERAGE(S35:U35)&lt;=0,999,U34/AVERAGE(S35:U35)))</f>
        <v>0</v>
      </c>
      <c r="V36" s="201" t="n">
        <f aca="false">IF(V34&lt;=0,0,IF(AVERAGE(T35:V35)&lt;=0,999,V34/AVERAGE(T35:V35)))</f>
        <v>0</v>
      </c>
      <c r="W36" s="201" t="n">
        <f aca="false">IF(W34&lt;=0,0,IF(AVERAGE(U35:W35)&lt;=0,999,W34/AVERAGE(U35:W35)))</f>
        <v>999</v>
      </c>
      <c r="X36" s="201" t="n">
        <f aca="false">IF(X34&lt;=0,0,IF(AVERAGE(V35:X35)&lt;=0,999,X34/AVERAGE(V35:X35)))</f>
        <v>999</v>
      </c>
      <c r="Y36" s="201" t="n">
        <f aca="false">IF(Y34&lt;=0,0,IF(AVERAGE(W35:Y35)&lt;=0,999,Y34/AVERAGE(W35:Y35)))</f>
        <v>999</v>
      </c>
      <c r="Z36" s="201" t="n">
        <f aca="false">IF(Z34&lt;=0,0,IF(AVERAGE(X35:Z35)&lt;=0,999,Z34/AVERAGE(X35:Z35)))</f>
        <v>999</v>
      </c>
      <c r="AA36" s="201" t="n">
        <f aca="false">IF(AA34&lt;=0,0,IF(AVERAGE(Y35:AA35)&lt;=0,999,AA34/AVERAGE(Y35:AA35)))</f>
        <v>999</v>
      </c>
      <c r="AB36" s="201" t="n">
        <f aca="false">IF(AB34&lt;=0,0,IF(AVERAGE(Z35:AB35)&lt;=0,999,AB34/AVERAGE(Z35:AB35)))</f>
        <v>999</v>
      </c>
      <c r="AC36" s="201" t="n">
        <f aca="false">IF(AC34&lt;=0,0,IF(AVERAGE(AA35:AC35)&lt;=0,999,AC34/AVERAGE(AA35:AC35)))</f>
        <v>999</v>
      </c>
      <c r="AD36" s="201" t="n">
        <f aca="false">IF(AD34&lt;=0,0,IF(AVERAGE(AB35:AD35)&lt;=0,999,AD34/AVERAGE(AB35:AD35)))</f>
        <v>999</v>
      </c>
      <c r="AE36" s="201" t="n">
        <f aca="false">IF(AE34&lt;=0,0,IF(AVERAGE(AC35:AE35)&lt;=0,999,AE34/AVERAGE(AC35:AE35)))</f>
        <v>999</v>
      </c>
      <c r="AF36" s="201" t="n">
        <f aca="false">IF(AF34&lt;=0,0,IF(AVERAGE(AD35:AF35)&lt;=0,999,AF34/AVERAGE(AD35:AF35)))</f>
        <v>999</v>
      </c>
      <c r="AG36" s="201" t="n">
        <f aca="false">IF(AG34&lt;=0,0,IF(AVERAGE(AE35:AG35)&lt;=0,999,AG34/AVERAGE(AE35:AG35)))</f>
        <v>999</v>
      </c>
      <c r="AH36" s="201" t="n">
        <f aca="false">IF(AH34&lt;=0,0,IF(AVERAGE(AF35:AH35)&lt;=0,999,AH34/AVERAGE(AF35:AH35)))</f>
        <v>999</v>
      </c>
      <c r="AI36" s="201" t="n">
        <f aca="false">IF(AI34&lt;=0,0,IF(AVERAGE(AG35:AI35)&lt;=0,999,AI34/AVERAGE(AG35:AI35)))</f>
        <v>999</v>
      </c>
      <c r="AJ36" s="201" t="n">
        <f aca="false">IF(AJ34&lt;=0,0,IF(AVERAGE(AH35:AJ35)&lt;=0,999,AJ34/AVERAGE(AH35:AJ35)))</f>
        <v>999</v>
      </c>
      <c r="AK36" s="201" t="n">
        <f aca="false">IF(AK34&lt;=0,0,IF(AVERAGE(AI35:AK35)&lt;=0,999,AK34/AVERAGE(AI35:AK35)))</f>
        <v>999</v>
      </c>
      <c r="AL36" s="201" t="n">
        <f aca="false">IF(AL34&lt;=0,0,IF(AVERAGE(AJ35:AL35)&lt;=0,999,AL34/AVERAGE(AJ35:AL35)))</f>
        <v>999</v>
      </c>
      <c r="AM36" s="201" t="n">
        <f aca="false">IF(AM34&lt;=0,0,IF(AVERAGE(AK35:AM35)&lt;=0,999,AM34/AVERAGE(AK35:AM35)))</f>
        <v>999</v>
      </c>
      <c r="AN36" s="201" t="n">
        <f aca="false">IF(AN34&lt;=0,0,IF(AVERAGE(AL35:AN35)&lt;=0,999,AN34/AVERAGE(AL35:AN35)))</f>
        <v>999</v>
      </c>
      <c r="AO36" s="201" t="n">
        <f aca="false">IF(AO34&lt;=0,0,IF(AVERAGE(AM35:AO35)&lt;=0,999,AO34/AVERAGE(AM35:AO35)))</f>
        <v>999</v>
      </c>
      <c r="AP36" s="201" t="n">
        <f aca="false">IF(AP34&lt;=0,0,IF(AVERAGE(AN35:AP35)&lt;=0,999,AP34/AVERAGE(AN35:AP35)))</f>
        <v>999</v>
      </c>
      <c r="AQ36" s="201" t="n">
        <f aca="false">IF(AQ34&lt;=0,0,IF(AVERAGE(AO35:AQ35)&lt;=0,999,AQ34/AVERAGE(AO35:AQ35)))</f>
        <v>999</v>
      </c>
      <c r="AR36" s="201" t="n">
        <f aca="false">IF(AR34&lt;=0,0,IF(AVERAGE(AP35:AR35)&lt;=0,999,AR34/AVERAGE(AP35:AR35)))</f>
        <v>999</v>
      </c>
      <c r="AS36" s="201" t="n">
        <f aca="false">IF(AS34&lt;=0,0,IF(AVERAGE(AQ35:AS35)&lt;=0,999,AS34/AVERAGE(AQ35:AS35)))</f>
        <v>999</v>
      </c>
      <c r="AT36" s="201" t="n">
        <f aca="false">IF(AT34&lt;=0,0,IF(AVERAGE(AR35:AT35)&lt;=0,999,AT34/AVERAGE(AR35:AT35)))</f>
        <v>999</v>
      </c>
      <c r="AU36" s="201" t="n">
        <f aca="false">IF(AU34&lt;=0,0,IF(AVERAGE(AS35:AU35)&lt;=0,999,AU34/AVERAGE(AS35:AU35)))</f>
        <v>999</v>
      </c>
      <c r="AV36" s="201" t="n">
        <f aca="false">IF(AV34&lt;=0,0,IF(AVERAGE(AT35:AV35)&lt;=0,999,AV34/AVERAGE(AT35:AV35)))</f>
        <v>999</v>
      </c>
      <c r="AW36" s="201" t="n">
        <f aca="false">IF(AW34&lt;=0,0,IF(AVERAGE(AU35:AW35)&lt;=0,999,AW34/AVERAGE(AU35:AW35)))</f>
        <v>999</v>
      </c>
      <c r="AX36" s="201" t="n">
        <f aca="false">IF(AX34&lt;=0,0,IF(AVERAGE(AV35:AX35)&lt;=0,999,AX34/AVERAGE(AV35:AX35)))</f>
        <v>999</v>
      </c>
      <c r="AY36" s="201" t="n">
        <f aca="false">IF(AY34&lt;=0,0,IF(AVERAGE(AW35:AY35)&lt;=0,999,AY34/AVERAGE(AW35:AY35)))</f>
        <v>999</v>
      </c>
      <c r="AZ36" s="201" t="n">
        <f aca="false">IF(AZ34&lt;=0,0,IF(AVERAGE(AX35:AZ35)&lt;=0,999,AZ34/AVERAGE(AX35:AZ35)))</f>
        <v>999</v>
      </c>
      <c r="BA36" s="201" t="n">
        <f aca="false">IF(BA34&lt;=0,0,IF(AVERAGE(AY35:BA35)&lt;=0,999,BA34/AVERAGE(AY35:BA35)))</f>
        <v>999</v>
      </c>
      <c r="BB36" s="201" t="n">
        <f aca="false">IF(BB34&lt;=0,0,IF(AVERAGE(AZ35:BB35)&lt;=0,999,BB34/AVERAGE(AZ35:BB35)))</f>
        <v>999</v>
      </c>
      <c r="BC36" s="201" t="n">
        <f aca="false">IF(BC34&lt;=0,0,IF(AVERAGE(BA35:BC35)&lt;=0,999,BC34/AVERAGE(BA35:BC35)))</f>
        <v>999</v>
      </c>
      <c r="BD36" s="201" t="n">
        <f aca="false">IF(BD34&lt;=0,0,IF(AVERAGE(BB35:BD35)&lt;=0,999,BD34/AVERAGE(BB35:BD35)))</f>
        <v>999</v>
      </c>
      <c r="BE36" s="201" t="n">
        <f aca="false">IF(BE34&lt;=0,0,IF(AVERAGE(BC35:BE35)&lt;=0,999,BE34/AVERAGE(BC35:BE35)))</f>
        <v>999</v>
      </c>
      <c r="BF36" s="201" t="n">
        <f aca="false">IF(BF34&lt;=0,0,IF(AVERAGE(BD35:BF35)&lt;=0,999,BF34/AVERAGE(BD35:BF35)))</f>
        <v>999</v>
      </c>
      <c r="BG36" s="201" t="n">
        <f aca="false">IF(BG34&lt;=0,0,IF(AVERAGE(BE35:BG35)&lt;=0,999,BG34/AVERAGE(BE35:BG35)))</f>
        <v>999</v>
      </c>
      <c r="BH36" s="201" t="n">
        <f aca="false">IF(BH34&lt;=0,0,IF(AVERAGE(BF35:BH35)&lt;=0,999,BH34/AVERAGE(BF35:BH35)))</f>
        <v>999</v>
      </c>
      <c r="BI36" s="201" t="n">
        <f aca="false">IF(BI34&lt;=0,0,IF(AVERAGE(BG35:BI35)&lt;=0,999,BI34/AVERAGE(BG35:BI35)))</f>
        <v>999</v>
      </c>
      <c r="BK36" s="29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BK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1" min="2" style="0" width="11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868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3" t="s">
        <v>869</v>
      </c>
    </row>
    <row r="4" customFormat="false" ht="15" hidden="false" customHeight="false" outlineLevel="0" collapsed="false">
      <c r="A4" s="52" t="s">
        <v>229</v>
      </c>
      <c r="B4" s="53" t="n">
        <v>46023</v>
      </c>
      <c r="C4" s="53" t="n">
        <v>46054</v>
      </c>
      <c r="D4" s="53" t="n">
        <v>46082</v>
      </c>
      <c r="E4" s="53" t="n">
        <v>46113</v>
      </c>
      <c r="F4" s="53" t="n">
        <v>46143</v>
      </c>
      <c r="G4" s="53" t="n">
        <v>46174</v>
      </c>
      <c r="H4" s="53" t="n">
        <v>46204</v>
      </c>
      <c r="I4" s="53" t="n">
        <v>46235</v>
      </c>
      <c r="J4" s="53" t="n">
        <v>46266</v>
      </c>
      <c r="K4" s="53" t="n">
        <v>46296</v>
      </c>
      <c r="L4" s="53" t="n">
        <v>46327</v>
      </c>
      <c r="M4" s="53" t="n">
        <v>46357</v>
      </c>
      <c r="N4" s="53" t="n">
        <v>46388</v>
      </c>
      <c r="O4" s="53" t="n">
        <v>46419</v>
      </c>
      <c r="P4" s="53" t="n">
        <v>46447</v>
      </c>
      <c r="Q4" s="53" t="n">
        <v>46478</v>
      </c>
      <c r="R4" s="53" t="n">
        <v>46508</v>
      </c>
      <c r="S4" s="53" t="n">
        <v>46539</v>
      </c>
      <c r="T4" s="53" t="n">
        <v>46569</v>
      </c>
      <c r="U4" s="53" t="n">
        <v>46600</v>
      </c>
      <c r="V4" s="53" t="n">
        <v>46631</v>
      </c>
      <c r="W4" s="53" t="n">
        <v>46661</v>
      </c>
      <c r="X4" s="53" t="n">
        <v>46692</v>
      </c>
      <c r="Y4" s="53" t="n">
        <v>46722</v>
      </c>
      <c r="Z4" s="53" t="n">
        <v>46753</v>
      </c>
      <c r="AA4" s="53" t="n">
        <v>46784</v>
      </c>
      <c r="AB4" s="53" t="n">
        <v>46813</v>
      </c>
      <c r="AC4" s="53" t="n">
        <v>46844</v>
      </c>
      <c r="AD4" s="53" t="n">
        <v>46874</v>
      </c>
      <c r="AE4" s="53" t="n">
        <v>46905</v>
      </c>
      <c r="AF4" s="53" t="n">
        <v>46935</v>
      </c>
      <c r="AG4" s="53" t="n">
        <v>46966</v>
      </c>
      <c r="AH4" s="53" t="n">
        <v>46997</v>
      </c>
      <c r="AI4" s="53" t="n">
        <v>47027</v>
      </c>
      <c r="AJ4" s="53" t="n">
        <v>47058</v>
      </c>
      <c r="AK4" s="53" t="n">
        <v>47088</v>
      </c>
      <c r="AL4" s="53" t="n">
        <v>47119</v>
      </c>
      <c r="AM4" s="53" t="n">
        <v>47150</v>
      </c>
      <c r="AN4" s="53" t="n">
        <v>47178</v>
      </c>
      <c r="AO4" s="53" t="n">
        <v>47209</v>
      </c>
      <c r="AP4" s="53" t="n">
        <v>47239</v>
      </c>
      <c r="AQ4" s="53" t="n">
        <v>47270</v>
      </c>
      <c r="AR4" s="53" t="n">
        <v>47300</v>
      </c>
      <c r="AS4" s="53" t="n">
        <v>47331</v>
      </c>
      <c r="AT4" s="53" t="n">
        <v>47362</v>
      </c>
      <c r="AU4" s="53" t="n">
        <v>47392</v>
      </c>
      <c r="AV4" s="53" t="n">
        <v>47423</v>
      </c>
      <c r="AW4" s="53" t="n">
        <v>47453</v>
      </c>
      <c r="AX4" s="53" t="n">
        <v>47484</v>
      </c>
      <c r="AY4" s="53" t="n">
        <v>47515</v>
      </c>
      <c r="AZ4" s="53" t="n">
        <v>47543</v>
      </c>
      <c r="BA4" s="53" t="n">
        <v>47574</v>
      </c>
      <c r="BB4" s="53" t="n">
        <v>47604</v>
      </c>
      <c r="BC4" s="53" t="n">
        <v>47635</v>
      </c>
      <c r="BD4" s="53" t="n">
        <v>47665</v>
      </c>
      <c r="BE4" s="53" t="n">
        <v>47696</v>
      </c>
      <c r="BF4" s="53" t="n">
        <v>47727</v>
      </c>
      <c r="BG4" s="53" t="n">
        <v>47757</v>
      </c>
      <c r="BH4" s="53" t="n">
        <v>47788</v>
      </c>
      <c r="BI4" s="53" t="n">
        <v>47818</v>
      </c>
      <c r="BJ4" s="54" t="s">
        <v>230</v>
      </c>
      <c r="BK4" s="54" t="s">
        <v>231</v>
      </c>
    </row>
    <row r="5" customFormat="false" ht="15" hidden="false" customHeight="false" outlineLevel="0" collapsed="false">
      <c r="A5" s="55" t="s">
        <v>232</v>
      </c>
      <c r="B5" s="56" t="n">
        <v>1</v>
      </c>
      <c r="C5" s="56" t="n">
        <v>2</v>
      </c>
      <c r="D5" s="56" t="n">
        <v>3</v>
      </c>
      <c r="E5" s="56" t="n">
        <v>4</v>
      </c>
      <c r="F5" s="56" t="n">
        <v>5</v>
      </c>
      <c r="G5" s="56" t="n">
        <v>6</v>
      </c>
      <c r="H5" s="56" t="n">
        <v>7</v>
      </c>
      <c r="I5" s="56" t="n">
        <v>8</v>
      </c>
      <c r="J5" s="56" t="n">
        <v>9</v>
      </c>
      <c r="K5" s="56" t="n">
        <v>10</v>
      </c>
      <c r="L5" s="56" t="n">
        <v>11</v>
      </c>
      <c r="M5" s="56" t="n">
        <v>12</v>
      </c>
      <c r="N5" s="56" t="n">
        <v>13</v>
      </c>
      <c r="O5" s="56" t="n">
        <v>14</v>
      </c>
      <c r="P5" s="56" t="n">
        <v>15</v>
      </c>
      <c r="Q5" s="56" t="n">
        <v>16</v>
      </c>
      <c r="R5" s="56" t="n">
        <v>17</v>
      </c>
      <c r="S5" s="56" t="n">
        <v>18</v>
      </c>
      <c r="T5" s="56" t="n">
        <v>19</v>
      </c>
      <c r="U5" s="56" t="n">
        <v>20</v>
      </c>
      <c r="V5" s="56" t="n">
        <v>21</v>
      </c>
      <c r="W5" s="56" t="n">
        <v>22</v>
      </c>
      <c r="X5" s="56" t="n">
        <v>23</v>
      </c>
      <c r="Y5" s="56" t="n">
        <v>24</v>
      </c>
      <c r="Z5" s="56" t="n">
        <v>25</v>
      </c>
      <c r="AA5" s="56" t="n">
        <v>26</v>
      </c>
      <c r="AB5" s="56" t="n">
        <v>27</v>
      </c>
      <c r="AC5" s="56" t="n">
        <v>28</v>
      </c>
      <c r="AD5" s="56" t="n">
        <v>29</v>
      </c>
      <c r="AE5" s="56" t="n">
        <v>30</v>
      </c>
      <c r="AF5" s="56" t="n">
        <v>31</v>
      </c>
      <c r="AG5" s="56" t="n">
        <v>32</v>
      </c>
      <c r="AH5" s="56" t="n">
        <v>33</v>
      </c>
      <c r="AI5" s="56" t="n">
        <v>34</v>
      </c>
      <c r="AJ5" s="56" t="n">
        <v>35</v>
      </c>
      <c r="AK5" s="56" t="n">
        <v>36</v>
      </c>
      <c r="AL5" s="56" t="n">
        <v>37</v>
      </c>
      <c r="AM5" s="56" t="n">
        <v>38</v>
      </c>
      <c r="AN5" s="56" t="n">
        <v>39</v>
      </c>
      <c r="AO5" s="56" t="n">
        <v>40</v>
      </c>
      <c r="AP5" s="56" t="n">
        <v>41</v>
      </c>
      <c r="AQ5" s="56" t="n">
        <v>42</v>
      </c>
      <c r="AR5" s="56" t="n">
        <v>43</v>
      </c>
      <c r="AS5" s="56" t="n">
        <v>44</v>
      </c>
      <c r="AT5" s="56" t="n">
        <v>45</v>
      </c>
      <c r="AU5" s="56" t="n">
        <v>46</v>
      </c>
      <c r="AV5" s="56" t="n">
        <v>47</v>
      </c>
      <c r="AW5" s="56" t="n">
        <v>48</v>
      </c>
      <c r="AX5" s="56" t="n">
        <v>49</v>
      </c>
      <c r="AY5" s="56" t="n">
        <v>50</v>
      </c>
      <c r="AZ5" s="56" t="n">
        <v>51</v>
      </c>
      <c r="BA5" s="56" t="n">
        <v>52</v>
      </c>
      <c r="BB5" s="56" t="n">
        <v>53</v>
      </c>
      <c r="BC5" s="56" t="n">
        <v>54</v>
      </c>
      <c r="BD5" s="56" t="n">
        <v>55</v>
      </c>
      <c r="BE5" s="56" t="n">
        <v>56</v>
      </c>
      <c r="BF5" s="56" t="n">
        <v>57</v>
      </c>
      <c r="BG5" s="56" t="n">
        <v>58</v>
      </c>
      <c r="BH5" s="56" t="n">
        <v>59</v>
      </c>
      <c r="BI5" s="56" t="n">
        <v>60</v>
      </c>
    </row>
    <row r="6" customFormat="false" ht="15" hidden="false" customHeight="false" outlineLevel="0" collapsed="false">
      <c r="A6" s="55" t="s">
        <v>233</v>
      </c>
      <c r="B6" s="57" t="n">
        <f aca="false">YEAR(B4)</f>
        <v>2026</v>
      </c>
      <c r="C6" s="57" t="n">
        <f aca="false">YEAR(C4)</f>
        <v>2026</v>
      </c>
      <c r="D6" s="57" t="n">
        <f aca="false">YEAR(D4)</f>
        <v>2026</v>
      </c>
      <c r="E6" s="57" t="n">
        <f aca="false">YEAR(E4)</f>
        <v>2026</v>
      </c>
      <c r="F6" s="57" t="n">
        <f aca="false">YEAR(F4)</f>
        <v>2026</v>
      </c>
      <c r="G6" s="57" t="n">
        <f aca="false">YEAR(G4)</f>
        <v>2026</v>
      </c>
      <c r="H6" s="57" t="n">
        <f aca="false">YEAR(H4)</f>
        <v>2026</v>
      </c>
      <c r="I6" s="57" t="n">
        <f aca="false">YEAR(I4)</f>
        <v>2026</v>
      </c>
      <c r="J6" s="57" t="n">
        <f aca="false">YEAR(J4)</f>
        <v>2026</v>
      </c>
      <c r="K6" s="57" t="n">
        <f aca="false">YEAR(K4)</f>
        <v>2026</v>
      </c>
      <c r="L6" s="57" t="n">
        <f aca="false">YEAR(L4)</f>
        <v>2026</v>
      </c>
      <c r="M6" s="57" t="n">
        <f aca="false">YEAR(M4)</f>
        <v>2026</v>
      </c>
      <c r="N6" s="57" t="n">
        <f aca="false">YEAR(N4)</f>
        <v>2027</v>
      </c>
      <c r="O6" s="57" t="n">
        <f aca="false">YEAR(O4)</f>
        <v>2027</v>
      </c>
      <c r="P6" s="57" t="n">
        <f aca="false">YEAR(P4)</f>
        <v>2027</v>
      </c>
      <c r="Q6" s="57" t="n">
        <f aca="false">YEAR(Q4)</f>
        <v>2027</v>
      </c>
      <c r="R6" s="57" t="n">
        <f aca="false">YEAR(R4)</f>
        <v>2027</v>
      </c>
      <c r="S6" s="57" t="n">
        <f aca="false">YEAR(S4)</f>
        <v>2027</v>
      </c>
      <c r="T6" s="57" t="n">
        <f aca="false">YEAR(T4)</f>
        <v>2027</v>
      </c>
      <c r="U6" s="57" t="n">
        <f aca="false">YEAR(U4)</f>
        <v>2027</v>
      </c>
      <c r="V6" s="57" t="n">
        <f aca="false">YEAR(V4)</f>
        <v>2027</v>
      </c>
      <c r="W6" s="57" t="n">
        <f aca="false">YEAR(W4)</f>
        <v>2027</v>
      </c>
      <c r="X6" s="57" t="n">
        <f aca="false">YEAR(X4)</f>
        <v>2027</v>
      </c>
      <c r="Y6" s="57" t="n">
        <f aca="false">YEAR(Y4)</f>
        <v>2027</v>
      </c>
      <c r="Z6" s="57" t="n">
        <f aca="false">YEAR(Z4)</f>
        <v>2028</v>
      </c>
      <c r="AA6" s="57" t="n">
        <f aca="false">YEAR(AA4)</f>
        <v>2028</v>
      </c>
      <c r="AB6" s="57" t="n">
        <f aca="false">YEAR(AB4)</f>
        <v>2028</v>
      </c>
      <c r="AC6" s="57" t="n">
        <f aca="false">YEAR(AC4)</f>
        <v>2028</v>
      </c>
      <c r="AD6" s="57" t="n">
        <f aca="false">YEAR(AD4)</f>
        <v>2028</v>
      </c>
      <c r="AE6" s="57" t="n">
        <f aca="false">YEAR(AE4)</f>
        <v>2028</v>
      </c>
      <c r="AF6" s="57" t="n">
        <f aca="false">YEAR(AF4)</f>
        <v>2028</v>
      </c>
      <c r="AG6" s="57" t="n">
        <f aca="false">YEAR(AG4)</f>
        <v>2028</v>
      </c>
      <c r="AH6" s="57" t="n">
        <f aca="false">YEAR(AH4)</f>
        <v>2028</v>
      </c>
      <c r="AI6" s="57" t="n">
        <f aca="false">YEAR(AI4)</f>
        <v>2028</v>
      </c>
      <c r="AJ6" s="57" t="n">
        <f aca="false">YEAR(AJ4)</f>
        <v>2028</v>
      </c>
      <c r="AK6" s="57" t="n">
        <f aca="false">YEAR(AK4)</f>
        <v>2028</v>
      </c>
      <c r="AL6" s="57" t="n">
        <f aca="false">YEAR(AL4)</f>
        <v>2029</v>
      </c>
      <c r="AM6" s="57" t="n">
        <f aca="false">YEAR(AM4)</f>
        <v>2029</v>
      </c>
      <c r="AN6" s="57" t="n">
        <f aca="false">YEAR(AN4)</f>
        <v>2029</v>
      </c>
      <c r="AO6" s="57" t="n">
        <f aca="false">YEAR(AO4)</f>
        <v>2029</v>
      </c>
      <c r="AP6" s="57" t="n">
        <f aca="false">YEAR(AP4)</f>
        <v>2029</v>
      </c>
      <c r="AQ6" s="57" t="n">
        <f aca="false">YEAR(AQ4)</f>
        <v>2029</v>
      </c>
      <c r="AR6" s="57" t="n">
        <f aca="false">YEAR(AR4)</f>
        <v>2029</v>
      </c>
      <c r="AS6" s="57" t="n">
        <f aca="false">YEAR(AS4)</f>
        <v>2029</v>
      </c>
      <c r="AT6" s="57" t="n">
        <f aca="false">YEAR(AT4)</f>
        <v>2029</v>
      </c>
      <c r="AU6" s="57" t="n">
        <f aca="false">YEAR(AU4)</f>
        <v>2029</v>
      </c>
      <c r="AV6" s="57" t="n">
        <f aca="false">YEAR(AV4)</f>
        <v>2029</v>
      </c>
      <c r="AW6" s="57" t="n">
        <f aca="false">YEAR(AW4)</f>
        <v>2029</v>
      </c>
      <c r="AX6" s="57" t="n">
        <f aca="false">YEAR(AX4)</f>
        <v>2030</v>
      </c>
      <c r="AY6" s="57" t="n">
        <f aca="false">YEAR(AY4)</f>
        <v>2030</v>
      </c>
      <c r="AZ6" s="57" t="n">
        <f aca="false">YEAR(AZ4)</f>
        <v>2030</v>
      </c>
      <c r="BA6" s="57" t="n">
        <f aca="false">YEAR(BA4)</f>
        <v>2030</v>
      </c>
      <c r="BB6" s="57" t="n">
        <f aca="false">YEAR(BB4)</f>
        <v>2030</v>
      </c>
      <c r="BC6" s="57" t="n">
        <f aca="false">YEAR(BC4)</f>
        <v>2030</v>
      </c>
      <c r="BD6" s="57" t="n">
        <f aca="false">YEAR(BD4)</f>
        <v>2030</v>
      </c>
      <c r="BE6" s="57" t="n">
        <f aca="false">YEAR(BE4)</f>
        <v>2030</v>
      </c>
      <c r="BF6" s="57" t="n">
        <f aca="false">YEAR(BF4)</f>
        <v>2030</v>
      </c>
      <c r="BG6" s="57" t="n">
        <f aca="false">YEAR(BG4)</f>
        <v>2030</v>
      </c>
      <c r="BH6" s="57" t="n">
        <f aca="false">YEAR(BH4)</f>
        <v>2030</v>
      </c>
      <c r="BI6" s="57" t="n">
        <f aca="false">YEAR(BI4)</f>
        <v>2030</v>
      </c>
    </row>
    <row r="7" customFormat="false" ht="15" hidden="false" customHeight="false" outlineLevel="0" collapsed="false">
      <c r="A7" s="58" t="s">
        <v>234</v>
      </c>
      <c r="B7" s="59" t="n">
        <f aca="false">MATCH(B6,Premissas!$C$5:$G$5,0)</f>
        <v>1</v>
      </c>
      <c r="C7" s="59" t="n">
        <f aca="false">MATCH(C6,Premissas!$C$5:$G$5,0)</f>
        <v>1</v>
      </c>
      <c r="D7" s="59" t="n">
        <f aca="false">MATCH(D6,Premissas!$C$5:$G$5,0)</f>
        <v>1</v>
      </c>
      <c r="E7" s="59" t="n">
        <f aca="false">MATCH(E6,Premissas!$C$5:$G$5,0)</f>
        <v>1</v>
      </c>
      <c r="F7" s="59" t="n">
        <f aca="false">MATCH(F6,Premissas!$C$5:$G$5,0)</f>
        <v>1</v>
      </c>
      <c r="G7" s="59" t="n">
        <f aca="false">MATCH(G6,Premissas!$C$5:$G$5,0)</f>
        <v>1</v>
      </c>
      <c r="H7" s="59" t="n">
        <f aca="false">MATCH(H6,Premissas!$C$5:$G$5,0)</f>
        <v>1</v>
      </c>
      <c r="I7" s="59" t="n">
        <f aca="false">MATCH(I6,Premissas!$C$5:$G$5,0)</f>
        <v>1</v>
      </c>
      <c r="J7" s="59" t="n">
        <f aca="false">MATCH(J6,Premissas!$C$5:$G$5,0)</f>
        <v>1</v>
      </c>
      <c r="K7" s="59" t="n">
        <f aca="false">MATCH(K6,Premissas!$C$5:$G$5,0)</f>
        <v>1</v>
      </c>
      <c r="L7" s="59" t="n">
        <f aca="false">MATCH(L6,Premissas!$C$5:$G$5,0)</f>
        <v>1</v>
      </c>
      <c r="M7" s="59" t="n">
        <f aca="false">MATCH(M6,Premissas!$C$5:$G$5,0)</f>
        <v>1</v>
      </c>
      <c r="N7" s="59" t="n">
        <f aca="false">MATCH(N6,Premissas!$C$5:$G$5,0)</f>
        <v>2</v>
      </c>
      <c r="O7" s="59" t="n">
        <f aca="false">MATCH(O6,Premissas!$C$5:$G$5,0)</f>
        <v>2</v>
      </c>
      <c r="P7" s="59" t="n">
        <f aca="false">MATCH(P6,Premissas!$C$5:$G$5,0)</f>
        <v>2</v>
      </c>
      <c r="Q7" s="59" t="n">
        <f aca="false">MATCH(Q6,Premissas!$C$5:$G$5,0)</f>
        <v>2</v>
      </c>
      <c r="R7" s="59" t="n">
        <f aca="false">MATCH(R6,Premissas!$C$5:$G$5,0)</f>
        <v>2</v>
      </c>
      <c r="S7" s="59" t="n">
        <f aca="false">MATCH(S6,Premissas!$C$5:$G$5,0)</f>
        <v>2</v>
      </c>
      <c r="T7" s="59" t="n">
        <f aca="false">MATCH(T6,Premissas!$C$5:$G$5,0)</f>
        <v>2</v>
      </c>
      <c r="U7" s="59" t="n">
        <f aca="false">MATCH(U6,Premissas!$C$5:$G$5,0)</f>
        <v>2</v>
      </c>
      <c r="V7" s="59" t="n">
        <f aca="false">MATCH(V6,Premissas!$C$5:$G$5,0)</f>
        <v>2</v>
      </c>
      <c r="W7" s="59" t="n">
        <f aca="false">MATCH(W6,Premissas!$C$5:$G$5,0)</f>
        <v>2</v>
      </c>
      <c r="X7" s="59" t="n">
        <f aca="false">MATCH(X6,Premissas!$C$5:$G$5,0)</f>
        <v>2</v>
      </c>
      <c r="Y7" s="59" t="n">
        <f aca="false">MATCH(Y6,Premissas!$C$5:$G$5,0)</f>
        <v>2</v>
      </c>
      <c r="Z7" s="59" t="n">
        <f aca="false">MATCH(Z6,Premissas!$C$5:$G$5,0)</f>
        <v>3</v>
      </c>
      <c r="AA7" s="59" t="n">
        <f aca="false">MATCH(AA6,Premissas!$C$5:$G$5,0)</f>
        <v>3</v>
      </c>
      <c r="AB7" s="59" t="n">
        <f aca="false">MATCH(AB6,Premissas!$C$5:$G$5,0)</f>
        <v>3</v>
      </c>
      <c r="AC7" s="59" t="n">
        <f aca="false">MATCH(AC6,Premissas!$C$5:$G$5,0)</f>
        <v>3</v>
      </c>
      <c r="AD7" s="59" t="n">
        <f aca="false">MATCH(AD6,Premissas!$C$5:$G$5,0)</f>
        <v>3</v>
      </c>
      <c r="AE7" s="59" t="n">
        <f aca="false">MATCH(AE6,Premissas!$C$5:$G$5,0)</f>
        <v>3</v>
      </c>
      <c r="AF7" s="59" t="n">
        <f aca="false">MATCH(AF6,Premissas!$C$5:$G$5,0)</f>
        <v>3</v>
      </c>
      <c r="AG7" s="59" t="n">
        <f aca="false">MATCH(AG6,Premissas!$C$5:$G$5,0)</f>
        <v>3</v>
      </c>
      <c r="AH7" s="59" t="n">
        <f aca="false">MATCH(AH6,Premissas!$C$5:$G$5,0)</f>
        <v>3</v>
      </c>
      <c r="AI7" s="59" t="n">
        <f aca="false">MATCH(AI6,Premissas!$C$5:$G$5,0)</f>
        <v>3</v>
      </c>
      <c r="AJ7" s="59" t="n">
        <f aca="false">MATCH(AJ6,Premissas!$C$5:$G$5,0)</f>
        <v>3</v>
      </c>
      <c r="AK7" s="59" t="n">
        <f aca="false">MATCH(AK6,Premissas!$C$5:$G$5,0)</f>
        <v>3</v>
      </c>
      <c r="AL7" s="59" t="n">
        <f aca="false">MATCH(AL6,Premissas!$C$5:$G$5,0)</f>
        <v>4</v>
      </c>
      <c r="AM7" s="59" t="n">
        <f aca="false">MATCH(AM6,Premissas!$C$5:$G$5,0)</f>
        <v>4</v>
      </c>
      <c r="AN7" s="59" t="n">
        <f aca="false">MATCH(AN6,Premissas!$C$5:$G$5,0)</f>
        <v>4</v>
      </c>
      <c r="AO7" s="59" t="n">
        <f aca="false">MATCH(AO6,Premissas!$C$5:$G$5,0)</f>
        <v>4</v>
      </c>
      <c r="AP7" s="59" t="n">
        <f aca="false">MATCH(AP6,Premissas!$C$5:$G$5,0)</f>
        <v>4</v>
      </c>
      <c r="AQ7" s="59" t="n">
        <f aca="false">MATCH(AQ6,Premissas!$C$5:$G$5,0)</f>
        <v>4</v>
      </c>
      <c r="AR7" s="59" t="n">
        <f aca="false">MATCH(AR6,Premissas!$C$5:$G$5,0)</f>
        <v>4</v>
      </c>
      <c r="AS7" s="59" t="n">
        <f aca="false">MATCH(AS6,Premissas!$C$5:$G$5,0)</f>
        <v>4</v>
      </c>
      <c r="AT7" s="59" t="n">
        <f aca="false">MATCH(AT6,Premissas!$C$5:$G$5,0)</f>
        <v>4</v>
      </c>
      <c r="AU7" s="59" t="n">
        <f aca="false">MATCH(AU6,Premissas!$C$5:$G$5,0)</f>
        <v>4</v>
      </c>
      <c r="AV7" s="59" t="n">
        <f aca="false">MATCH(AV6,Premissas!$C$5:$G$5,0)</f>
        <v>4</v>
      </c>
      <c r="AW7" s="59" t="n">
        <f aca="false">MATCH(AW6,Premissas!$C$5:$G$5,0)</f>
        <v>4</v>
      </c>
      <c r="AX7" s="59" t="n">
        <f aca="false">MATCH(AX6,Premissas!$C$5:$G$5,0)</f>
        <v>5</v>
      </c>
      <c r="AY7" s="59" t="n">
        <f aca="false">MATCH(AY6,Premissas!$C$5:$G$5,0)</f>
        <v>5</v>
      </c>
      <c r="AZ7" s="59" t="n">
        <f aca="false">MATCH(AZ6,Premissas!$C$5:$G$5,0)</f>
        <v>5</v>
      </c>
      <c r="BA7" s="59" t="n">
        <f aca="false">MATCH(BA6,Premissas!$C$5:$G$5,0)</f>
        <v>5</v>
      </c>
      <c r="BB7" s="59" t="n">
        <f aca="false">MATCH(BB6,Premissas!$C$5:$G$5,0)</f>
        <v>5</v>
      </c>
      <c r="BC7" s="59" t="n">
        <f aca="false">MATCH(BC6,Premissas!$C$5:$G$5,0)</f>
        <v>5</v>
      </c>
      <c r="BD7" s="59" t="n">
        <f aca="false">MATCH(BD6,Premissas!$C$5:$G$5,0)</f>
        <v>5</v>
      </c>
      <c r="BE7" s="59" t="n">
        <f aca="false">MATCH(BE6,Premissas!$C$5:$G$5,0)</f>
        <v>5</v>
      </c>
      <c r="BF7" s="59" t="n">
        <f aca="false">MATCH(BF6,Premissas!$C$5:$G$5,0)</f>
        <v>5</v>
      </c>
      <c r="BG7" s="59" t="n">
        <f aca="false">MATCH(BG6,Premissas!$C$5:$G$5,0)</f>
        <v>5</v>
      </c>
      <c r="BH7" s="59" t="n">
        <f aca="false">MATCH(BH6,Premissas!$C$5:$G$5,0)</f>
        <v>5</v>
      </c>
      <c r="BI7" s="59" t="n">
        <f aca="false">MATCH(BI6,Premissas!$C$5:$G$5,0)</f>
        <v>5</v>
      </c>
    </row>
    <row r="9" customFormat="false" ht="19.5" hidden="false" customHeight="true" outlineLevel="0" collapsed="false">
      <c r="A9" s="68" t="s">
        <v>249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</row>
    <row r="10" customFormat="false" ht="15" hidden="false" customHeight="false" outlineLevel="0" collapsed="false">
      <c r="A10" s="27" t="s">
        <v>834</v>
      </c>
      <c r="B10" s="91" t="n">
        <f aca="false">IF(B$4&lt;Premissas!$B$13,0,IF('Ajuste Mensal'!B$13="",INDEX(Premissas!$C$55:$G$55,B$7),'Ajuste Mensal'!B$13))</f>
        <v>0</v>
      </c>
      <c r="C10" s="91" t="n">
        <f aca="false">IF(C$4&lt;Premissas!$B$13,0,IF('Ajuste Mensal'!C$13="",INDEX(Premissas!$C$55:$G$55,C$7),'Ajuste Mensal'!C$13))</f>
        <v>0</v>
      </c>
      <c r="D10" s="91" t="n">
        <f aca="false">IF(D$4&lt;Premissas!$B$13,0,IF('Ajuste Mensal'!D$13="",INDEX(Premissas!$C$55:$G$55,D$7),'Ajuste Mensal'!D$13))</f>
        <v>0</v>
      </c>
      <c r="E10" s="91" t="n">
        <f aca="false">IF(E$4&lt;Premissas!$B$13,0,IF('Ajuste Mensal'!E$13="",INDEX(Premissas!$C$55:$G$55,E$7),'Ajuste Mensal'!E$13))</f>
        <v>0</v>
      </c>
      <c r="F10" s="91" t="n">
        <f aca="false">IF(F$4&lt;Premissas!$B$13,0,IF('Ajuste Mensal'!F$13="",INDEX(Premissas!$C$55:$G$55,F$7),'Ajuste Mensal'!F$13))</f>
        <v>0</v>
      </c>
      <c r="G10" s="91" t="n">
        <f aca="false">IF(G$4&lt;Premissas!$B$13,0,IF('Ajuste Mensal'!G$13="",INDEX(Premissas!$C$55:$G$55,G$7),'Ajuste Mensal'!G$13))</f>
        <v>0</v>
      </c>
      <c r="H10" s="91" t="n">
        <f aca="false">IF(H$4&lt;Premissas!$B$13,0,IF('Ajuste Mensal'!H$13="",INDEX(Premissas!$C$55:$G$55,H$7),'Ajuste Mensal'!H$13))</f>
        <v>0</v>
      </c>
      <c r="I10" s="91" t="n">
        <f aca="false">IF(I$4&lt;Premissas!$B$13,0,IF('Ajuste Mensal'!I$13="",INDEX(Premissas!$C$55:$G$55,I$7),'Ajuste Mensal'!I$13))</f>
        <v>0</v>
      </c>
      <c r="J10" s="91" t="n">
        <f aca="false">IF(J$4&lt;Premissas!$B$13,0,IF('Ajuste Mensal'!J$13="",INDEX(Premissas!$C$55:$G$55,J$7),'Ajuste Mensal'!J$13))</f>
        <v>0</v>
      </c>
      <c r="K10" s="91" t="n">
        <f aca="false">IF(K$4&lt;Premissas!$B$13,0,IF('Ajuste Mensal'!K$13="",INDEX(Premissas!$C$55:$G$55,K$7),'Ajuste Mensal'!K$13))</f>
        <v>10860</v>
      </c>
      <c r="L10" s="91" t="n">
        <f aca="false">IF(L$4&lt;Premissas!$B$13,0,IF('Ajuste Mensal'!L$13="",INDEX(Premissas!$C$55:$G$55,L$7),'Ajuste Mensal'!L$13))</f>
        <v>10860</v>
      </c>
      <c r="M10" s="91" t="n">
        <f aca="false">IF(M$4&lt;Premissas!$B$13,0,IF('Ajuste Mensal'!M$13="",INDEX(Premissas!$C$55:$G$55,M$7),'Ajuste Mensal'!M$13))</f>
        <v>10860</v>
      </c>
      <c r="N10" s="91" t="n">
        <f aca="false">IF(N$4&lt;Premissas!$B$13,0,IF('Ajuste Mensal'!N$13="",INDEX(Premissas!$C$55:$G$55,N$7),'Ajuste Mensal'!N$13))</f>
        <v>15204</v>
      </c>
      <c r="O10" s="91" t="n">
        <f aca="false">IF(O$4&lt;Premissas!$B$13,0,IF('Ajuste Mensal'!O$13="",INDEX(Premissas!$C$55:$G$55,O$7),'Ajuste Mensal'!O$13))</f>
        <v>15204</v>
      </c>
      <c r="P10" s="91" t="n">
        <f aca="false">IF(P$4&lt;Premissas!$B$13,0,IF('Ajuste Mensal'!P$13="",INDEX(Premissas!$C$55:$G$55,P$7),'Ajuste Mensal'!P$13))</f>
        <v>15204</v>
      </c>
      <c r="Q10" s="91" t="n">
        <f aca="false">IF(Q$4&lt;Premissas!$B$13,0,IF('Ajuste Mensal'!Q$13="",INDEX(Premissas!$C$55:$G$55,Q$7),'Ajuste Mensal'!Q$13))</f>
        <v>15204</v>
      </c>
      <c r="R10" s="91" t="n">
        <f aca="false">IF(R$4&lt;Premissas!$B$13,0,IF('Ajuste Mensal'!R$13="",INDEX(Premissas!$C$55:$G$55,R$7),'Ajuste Mensal'!R$13))</f>
        <v>15204</v>
      </c>
      <c r="S10" s="91" t="n">
        <f aca="false">IF(S$4&lt;Premissas!$B$13,0,IF('Ajuste Mensal'!S$13="",INDEX(Premissas!$C$55:$G$55,S$7),'Ajuste Mensal'!S$13))</f>
        <v>15204</v>
      </c>
      <c r="T10" s="91" t="n">
        <f aca="false">IF(T$4&lt;Premissas!$B$13,0,IF('Ajuste Mensal'!T$13="",INDEX(Premissas!$C$55:$G$55,T$7),'Ajuste Mensal'!T$13))</f>
        <v>15204</v>
      </c>
      <c r="U10" s="91" t="n">
        <f aca="false">IF(U$4&lt;Premissas!$B$13,0,IF('Ajuste Mensal'!U$13="",INDEX(Premissas!$C$55:$G$55,U$7),'Ajuste Mensal'!U$13))</f>
        <v>15204</v>
      </c>
      <c r="V10" s="91" t="n">
        <f aca="false">IF(V$4&lt;Premissas!$B$13,0,IF('Ajuste Mensal'!V$13="",INDEX(Premissas!$C$55:$G$55,V$7),'Ajuste Mensal'!V$13))</f>
        <v>15204</v>
      </c>
      <c r="W10" s="91" t="n">
        <f aca="false">IF(W$4&lt;Premissas!$B$13,0,IF('Ajuste Mensal'!W$13="",INDEX(Premissas!$C$55:$G$55,W$7),'Ajuste Mensal'!W$13))</f>
        <v>15204</v>
      </c>
      <c r="X10" s="91" t="n">
        <f aca="false">IF(X$4&lt;Premissas!$B$13,0,IF('Ajuste Mensal'!X$13="",INDEX(Premissas!$C$55:$G$55,X$7),'Ajuste Mensal'!X$13))</f>
        <v>15204</v>
      </c>
      <c r="Y10" s="91" t="n">
        <f aca="false">IF(Y$4&lt;Premissas!$B$13,0,IF('Ajuste Mensal'!Y$13="",INDEX(Premissas!$C$55:$G$55,Y$7),'Ajuste Mensal'!Y$13))</f>
        <v>15204</v>
      </c>
      <c r="Z10" s="91" t="n">
        <f aca="false">IF(Z$4&lt;Premissas!$B$13,0,IF('Ajuste Mensal'!Z$13="",INDEX(Premissas!$C$55:$G$55,Z$7),'Ajuste Mensal'!Z$13))</f>
        <v>21285.6</v>
      </c>
      <c r="AA10" s="91" t="n">
        <f aca="false">IF(AA$4&lt;Premissas!$B$13,0,IF('Ajuste Mensal'!AA$13="",INDEX(Premissas!$C$55:$G$55,AA$7),'Ajuste Mensal'!AA$13))</f>
        <v>21285.6</v>
      </c>
      <c r="AB10" s="91" t="n">
        <f aca="false">IF(AB$4&lt;Premissas!$B$13,0,IF('Ajuste Mensal'!AB$13="",INDEX(Premissas!$C$55:$G$55,AB$7),'Ajuste Mensal'!AB$13))</f>
        <v>21285.6</v>
      </c>
      <c r="AC10" s="91" t="n">
        <f aca="false">IF(AC$4&lt;Premissas!$B$13,0,IF('Ajuste Mensal'!AC$13="",INDEX(Premissas!$C$55:$G$55,AC$7),'Ajuste Mensal'!AC$13))</f>
        <v>21285.6</v>
      </c>
      <c r="AD10" s="91" t="n">
        <f aca="false">IF(AD$4&lt;Premissas!$B$13,0,IF('Ajuste Mensal'!AD$13="",INDEX(Premissas!$C$55:$G$55,AD$7),'Ajuste Mensal'!AD$13))</f>
        <v>21285.6</v>
      </c>
      <c r="AE10" s="91" t="n">
        <f aca="false">IF(AE$4&lt;Premissas!$B$13,0,IF('Ajuste Mensal'!AE$13="",INDEX(Premissas!$C$55:$G$55,AE$7),'Ajuste Mensal'!AE$13))</f>
        <v>21285.6</v>
      </c>
      <c r="AF10" s="91" t="n">
        <f aca="false">IF(AF$4&lt;Premissas!$B$13,0,IF('Ajuste Mensal'!AF$13="",INDEX(Premissas!$C$55:$G$55,AF$7),'Ajuste Mensal'!AF$13))</f>
        <v>21285.6</v>
      </c>
      <c r="AG10" s="91" t="n">
        <f aca="false">IF(AG$4&lt;Premissas!$B$13,0,IF('Ajuste Mensal'!AG$13="",INDEX(Premissas!$C$55:$G$55,AG$7),'Ajuste Mensal'!AG$13))</f>
        <v>21285.6</v>
      </c>
      <c r="AH10" s="91" t="n">
        <f aca="false">IF(AH$4&lt;Premissas!$B$13,0,IF('Ajuste Mensal'!AH$13="",INDEX(Premissas!$C$55:$G$55,AH$7),'Ajuste Mensal'!AH$13))</f>
        <v>21285.6</v>
      </c>
      <c r="AI10" s="91" t="n">
        <f aca="false">IF(AI$4&lt;Premissas!$B$13,0,IF('Ajuste Mensal'!AI$13="",INDEX(Premissas!$C$55:$G$55,AI$7),'Ajuste Mensal'!AI$13))</f>
        <v>21285.6</v>
      </c>
      <c r="AJ10" s="91" t="n">
        <f aca="false">IF(AJ$4&lt;Premissas!$B$13,0,IF('Ajuste Mensal'!AJ$13="",INDEX(Premissas!$C$55:$G$55,AJ$7),'Ajuste Mensal'!AJ$13))</f>
        <v>21285.6</v>
      </c>
      <c r="AK10" s="91" t="n">
        <f aca="false">IF(AK$4&lt;Premissas!$B$13,0,IF('Ajuste Mensal'!AK$13="",INDEX(Premissas!$C$55:$G$55,AK$7),'Ajuste Mensal'!AK$13))</f>
        <v>21285.6</v>
      </c>
      <c r="AL10" s="91" t="n">
        <f aca="false">IF(AL$4&lt;Premissas!$B$13,0,IF('Ajuste Mensal'!AL$13="",INDEX(Premissas!$C$55:$G$55,AL$7),'Ajuste Mensal'!AL$13))</f>
        <v>29799.84</v>
      </c>
      <c r="AM10" s="91" t="n">
        <f aca="false">IF(AM$4&lt;Premissas!$B$13,0,IF('Ajuste Mensal'!AM$13="",INDEX(Premissas!$C$55:$G$55,AM$7),'Ajuste Mensal'!AM$13))</f>
        <v>29799.84</v>
      </c>
      <c r="AN10" s="91" t="n">
        <f aca="false">IF(AN$4&lt;Premissas!$B$13,0,IF('Ajuste Mensal'!AN$13="",INDEX(Premissas!$C$55:$G$55,AN$7),'Ajuste Mensal'!AN$13))</f>
        <v>29799.84</v>
      </c>
      <c r="AO10" s="91" t="n">
        <f aca="false">IF(AO$4&lt;Premissas!$B$13,0,IF('Ajuste Mensal'!AO$13="",INDEX(Premissas!$C$55:$G$55,AO$7),'Ajuste Mensal'!AO$13))</f>
        <v>29799.84</v>
      </c>
      <c r="AP10" s="91" t="n">
        <f aca="false">IF(AP$4&lt;Premissas!$B$13,0,IF('Ajuste Mensal'!AP$13="",INDEX(Premissas!$C$55:$G$55,AP$7),'Ajuste Mensal'!AP$13))</f>
        <v>29799.84</v>
      </c>
      <c r="AQ10" s="91" t="n">
        <f aca="false">IF(AQ$4&lt;Premissas!$B$13,0,IF('Ajuste Mensal'!AQ$13="",INDEX(Premissas!$C$55:$G$55,AQ$7),'Ajuste Mensal'!AQ$13))</f>
        <v>29799.84</v>
      </c>
      <c r="AR10" s="91" t="n">
        <f aca="false">IF(AR$4&lt;Premissas!$B$13,0,IF('Ajuste Mensal'!AR$13="",INDEX(Premissas!$C$55:$G$55,AR$7),'Ajuste Mensal'!AR$13))</f>
        <v>29799.84</v>
      </c>
      <c r="AS10" s="91" t="n">
        <f aca="false">IF(AS$4&lt;Premissas!$B$13,0,IF('Ajuste Mensal'!AS$13="",INDEX(Premissas!$C$55:$G$55,AS$7),'Ajuste Mensal'!AS$13))</f>
        <v>29799.84</v>
      </c>
      <c r="AT10" s="91" t="n">
        <f aca="false">IF(AT$4&lt;Premissas!$B$13,0,IF('Ajuste Mensal'!AT$13="",INDEX(Premissas!$C$55:$G$55,AT$7),'Ajuste Mensal'!AT$13))</f>
        <v>29799.84</v>
      </c>
      <c r="AU10" s="91" t="n">
        <f aca="false">IF(AU$4&lt;Premissas!$B$13,0,IF('Ajuste Mensal'!AU$13="",INDEX(Premissas!$C$55:$G$55,AU$7),'Ajuste Mensal'!AU$13))</f>
        <v>29799.84</v>
      </c>
      <c r="AV10" s="91" t="n">
        <f aca="false">IF(AV$4&lt;Premissas!$B$13,0,IF('Ajuste Mensal'!AV$13="",INDEX(Premissas!$C$55:$G$55,AV$7),'Ajuste Mensal'!AV$13))</f>
        <v>29799.84</v>
      </c>
      <c r="AW10" s="91" t="n">
        <f aca="false">IF(AW$4&lt;Premissas!$B$13,0,IF('Ajuste Mensal'!AW$13="",INDEX(Premissas!$C$55:$G$55,AW$7),'Ajuste Mensal'!AW$13))</f>
        <v>29799.84</v>
      </c>
      <c r="AX10" s="91" t="n">
        <f aca="false">IF(AX$4&lt;Premissas!$B$13,0,IF('Ajuste Mensal'!AX$13="",INDEX(Premissas!$C$55:$G$55,AX$7),'Ajuste Mensal'!AX$13))</f>
        <v>41719.776</v>
      </c>
      <c r="AY10" s="91" t="n">
        <f aca="false">IF(AY$4&lt;Premissas!$B$13,0,IF('Ajuste Mensal'!AY$13="",INDEX(Premissas!$C$55:$G$55,AY$7),'Ajuste Mensal'!AY$13))</f>
        <v>41719.776</v>
      </c>
      <c r="AZ10" s="91" t="n">
        <f aca="false">IF(AZ$4&lt;Premissas!$B$13,0,IF('Ajuste Mensal'!AZ$13="",INDEX(Premissas!$C$55:$G$55,AZ$7),'Ajuste Mensal'!AZ$13))</f>
        <v>41719.776</v>
      </c>
      <c r="BA10" s="91" t="n">
        <f aca="false">IF(BA$4&lt;Premissas!$B$13,0,IF('Ajuste Mensal'!BA$13="",INDEX(Premissas!$C$55:$G$55,BA$7),'Ajuste Mensal'!BA$13))</f>
        <v>41719.776</v>
      </c>
      <c r="BB10" s="91" t="n">
        <f aca="false">IF(BB$4&lt;Premissas!$B$13,0,IF('Ajuste Mensal'!BB$13="",INDEX(Premissas!$C$55:$G$55,BB$7),'Ajuste Mensal'!BB$13))</f>
        <v>41719.776</v>
      </c>
      <c r="BC10" s="91" t="n">
        <f aca="false">IF(BC$4&lt;Premissas!$B$13,0,IF('Ajuste Mensal'!BC$13="",INDEX(Premissas!$C$55:$G$55,BC$7),'Ajuste Mensal'!BC$13))</f>
        <v>41719.776</v>
      </c>
      <c r="BD10" s="91" t="n">
        <f aca="false">IF(BD$4&lt;Premissas!$B$13,0,IF('Ajuste Mensal'!BD$13="",INDEX(Premissas!$C$55:$G$55,BD$7),'Ajuste Mensal'!BD$13))</f>
        <v>41719.776</v>
      </c>
      <c r="BE10" s="91" t="n">
        <f aca="false">IF(BE$4&lt;Premissas!$B$13,0,IF('Ajuste Mensal'!BE$13="",INDEX(Premissas!$C$55:$G$55,BE$7),'Ajuste Mensal'!BE$13))</f>
        <v>41719.776</v>
      </c>
      <c r="BF10" s="91" t="n">
        <f aca="false">IF(BF$4&lt;Premissas!$B$13,0,IF('Ajuste Mensal'!BF$13="",INDEX(Premissas!$C$55:$G$55,BF$7),'Ajuste Mensal'!BF$13))</f>
        <v>41719.776</v>
      </c>
      <c r="BG10" s="91" t="n">
        <f aca="false">IF(BG$4&lt;Premissas!$B$13,0,IF('Ajuste Mensal'!BG$13="",INDEX(Premissas!$C$55:$G$55,BG$7),'Ajuste Mensal'!BG$13))</f>
        <v>41719.776</v>
      </c>
      <c r="BH10" s="91" t="n">
        <f aca="false">IF(BH$4&lt;Premissas!$B$13,0,IF('Ajuste Mensal'!BH$13="",INDEX(Premissas!$C$55:$G$55,BH$7),'Ajuste Mensal'!BH$13))</f>
        <v>41719.776</v>
      </c>
      <c r="BI10" s="91" t="n">
        <f aca="false">IF(BI$4&lt;Premissas!$B$13,0,IF('Ajuste Mensal'!BI$13="",INDEX(Premissas!$C$55:$G$55,BI$7),'Ajuste Mensal'!BI$13))</f>
        <v>41719.776</v>
      </c>
      <c r="BJ10" s="134" t="n">
        <f aca="false">SUM(B10:BI10)</f>
        <v>1328690.592</v>
      </c>
    </row>
    <row r="11" customFormat="false" ht="15" hidden="false" customHeight="false" outlineLevel="0" collapsed="false">
      <c r="A11" s="27" t="s">
        <v>835</v>
      </c>
      <c r="B11" s="91" t="n">
        <f aca="false">0</f>
        <v>0</v>
      </c>
      <c r="C11" s="91" t="n">
        <f aca="false">B13</f>
        <v>0</v>
      </c>
      <c r="D11" s="91" t="n">
        <f aca="false">C13</f>
        <v>0</v>
      </c>
      <c r="E11" s="91" t="n">
        <f aca="false">D13</f>
        <v>0</v>
      </c>
      <c r="F11" s="91" t="n">
        <f aca="false">E13</f>
        <v>0</v>
      </c>
      <c r="G11" s="91" t="n">
        <f aca="false">F13</f>
        <v>0</v>
      </c>
      <c r="H11" s="91" t="n">
        <f aca="false">G13</f>
        <v>0</v>
      </c>
      <c r="I11" s="91" t="n">
        <f aca="false">H13</f>
        <v>0</v>
      </c>
      <c r="J11" s="91" t="n">
        <f aca="false">I13</f>
        <v>0</v>
      </c>
      <c r="K11" s="91" t="n">
        <f aca="false">J13</f>
        <v>0</v>
      </c>
      <c r="L11" s="91" t="n">
        <f aca="false">K13</f>
        <v>10860</v>
      </c>
      <c r="M11" s="91" t="n">
        <f aca="false">L13</f>
        <v>20634</v>
      </c>
      <c r="N11" s="91" t="n">
        <f aca="false">M13</f>
        <v>29430.6</v>
      </c>
      <c r="O11" s="91" t="n">
        <f aca="false">N13</f>
        <v>41809.2624</v>
      </c>
      <c r="P11" s="91" t="n">
        <f aca="false">O13</f>
        <v>52999.5732096</v>
      </c>
      <c r="Q11" s="91" t="n">
        <f aca="false">P13</f>
        <v>63115.6141814784</v>
      </c>
      <c r="R11" s="91" t="n">
        <f aca="false">Q13</f>
        <v>72260.5152200565</v>
      </c>
      <c r="S11" s="91" t="n">
        <f aca="false">R13</f>
        <v>80527.5057589311</v>
      </c>
      <c r="T11" s="91" t="n">
        <f aca="false">S13</f>
        <v>88000.8652060737</v>
      </c>
      <c r="U11" s="91" t="n">
        <f aca="false">T13</f>
        <v>94756.7821462906</v>
      </c>
      <c r="V11" s="91" t="n">
        <f aca="false">U13</f>
        <v>100864.131060247</v>
      </c>
      <c r="W11" s="91" t="n">
        <f aca="false">V13</f>
        <v>106385.174478463</v>
      </c>
      <c r="X11" s="91" t="n">
        <f aca="false">W13</f>
        <v>111376.197728531</v>
      </c>
      <c r="Y11" s="91" t="n">
        <f aca="false">X13</f>
        <v>115888.082746592</v>
      </c>
      <c r="Z11" s="91" t="n">
        <f aca="false">Y13</f>
        <v>119966.826802919</v>
      </c>
      <c r="AA11" s="91" t="n">
        <f aca="false">Z13</f>
        <v>130196.284044762</v>
      </c>
      <c r="AB11" s="91" t="n">
        <f aca="false">AA13</f>
        <v>139482.994507197</v>
      </c>
      <c r="AC11" s="91" t="n">
        <f aca="false">AB13</f>
        <v>147913.841733413</v>
      </c>
      <c r="AD11" s="91" t="n">
        <f aca="false">AC13</f>
        <v>155567.702079262</v>
      </c>
      <c r="AE11" s="91" t="n">
        <f aca="false">AD13</f>
        <v>162516.182655637</v>
      </c>
      <c r="AF11" s="91" t="n">
        <f aca="false">AE13</f>
        <v>168824.291262094</v>
      </c>
      <c r="AG11" s="91" t="n">
        <f aca="false">AF13</f>
        <v>174551.044579379</v>
      </c>
      <c r="AH11" s="91" t="n">
        <f aca="false">AG13</f>
        <v>179750.020310944</v>
      </c>
      <c r="AI11" s="91" t="n">
        <f aca="false">AH13</f>
        <v>184469.858439087</v>
      </c>
      <c r="AJ11" s="91" t="n">
        <f aca="false">AI13</f>
        <v>188754.716285341</v>
      </c>
      <c r="AK11" s="91" t="n">
        <f aca="false">AJ13</f>
        <v>192644.681632484</v>
      </c>
      <c r="AL11" s="91" t="n">
        <f aca="false">AK13</f>
        <v>196176.147773234</v>
      </c>
      <c r="AM11" s="91" t="n">
        <f aca="false">AL13</f>
        <v>208619.577745604</v>
      </c>
      <c r="AN11" s="91" t="n">
        <f aca="false">AM13</f>
        <v>219962.092671971</v>
      </c>
      <c r="AO11" s="91" t="n">
        <f aca="false">AN13</f>
        <v>230301.094469748</v>
      </c>
      <c r="AP11" s="91" t="n">
        <f aca="false">AO13</f>
        <v>239725.367558069</v>
      </c>
      <c r="AQ11" s="91" t="n">
        <f aca="false">AP13</f>
        <v>248315.841278883</v>
      </c>
      <c r="AR11" s="91" t="n">
        <f aca="false">AQ13</f>
        <v>256146.284863912</v>
      </c>
      <c r="AS11" s="91" t="n">
        <f aca="false">AR13</f>
        <v>263283.940915376</v>
      </c>
      <c r="AT11" s="91" t="n">
        <f aca="false">AS13</f>
        <v>269790.102840406</v>
      </c>
      <c r="AU11" s="91" t="n">
        <f aca="false">AT13</f>
        <v>275720.641197745</v>
      </c>
      <c r="AV11" s="91" t="n">
        <f aca="false">AU13</f>
        <v>281126.483476672</v>
      </c>
      <c r="AW11" s="91" t="n">
        <f aca="false">AV13</f>
        <v>286054.05142815</v>
      </c>
      <c r="AX11" s="91" t="n">
        <f aca="false">AW13</f>
        <v>290545.659703717</v>
      </c>
      <c r="AY11" s="91" t="n">
        <f aca="false">AX13</f>
        <v>307588.040044488</v>
      </c>
      <c r="AZ11" s="91" t="n">
        <f aca="false">AY13</f>
        <v>323182.931673596</v>
      </c>
      <c r="BA11" s="91" t="n">
        <f aca="false">AZ13</f>
        <v>337453.276546827</v>
      </c>
      <c r="BB11" s="91" t="n">
        <f aca="false">BA13</f>
        <v>350511.57458725</v>
      </c>
      <c r="BC11" s="91" t="n">
        <f aca="false">BB13</f>
        <v>362460.770575663</v>
      </c>
      <c r="BD11" s="91" t="n">
        <f aca="false">BC13</f>
        <v>373395.065713324</v>
      </c>
      <c r="BE11" s="91" t="n">
        <f aca="false">BD13</f>
        <v>383400.660254866</v>
      </c>
      <c r="BF11" s="91" t="n">
        <f aca="false">BE13</f>
        <v>392556.433065946</v>
      </c>
      <c r="BG11" s="91" t="n">
        <f aca="false">BF13</f>
        <v>400934.563462903</v>
      </c>
      <c r="BH11" s="91" t="n">
        <f aca="false">BG13</f>
        <v>408601.100236671</v>
      </c>
      <c r="BI11" s="91" t="n">
        <f aca="false">BH13</f>
        <v>415616.482346848</v>
      </c>
      <c r="BJ11" s="134" t="n">
        <f aca="false">BI11</f>
        <v>415616.482346848</v>
      </c>
      <c r="BK11" s="29" t="s">
        <v>870</v>
      </c>
    </row>
    <row r="12" customFormat="false" ht="15" hidden="false" customHeight="false" outlineLevel="0" collapsed="false">
      <c r="A12" s="27" t="s">
        <v>837</v>
      </c>
      <c r="B12" s="91" t="n">
        <f aca="false">-B11*IF('Ajuste Mensal'!B$14="",INDEX(Premissas!$C$59:$G$59,B$7),'Ajuste Mensal'!B$14)</f>
        <v>-0</v>
      </c>
      <c r="C12" s="91" t="n">
        <f aca="false">-C11*IF('Ajuste Mensal'!C$14="",INDEX(Premissas!$C$59:$G$59,C$7),'Ajuste Mensal'!C$14)</f>
        <v>-0</v>
      </c>
      <c r="D12" s="91" t="n">
        <f aca="false">-D11*IF('Ajuste Mensal'!D$14="",INDEX(Premissas!$C$59:$G$59,D$7),'Ajuste Mensal'!D$14)</f>
        <v>-0</v>
      </c>
      <c r="E12" s="91" t="n">
        <f aca="false">-E11*IF('Ajuste Mensal'!E$14="",INDEX(Premissas!$C$59:$G$59,E$7),'Ajuste Mensal'!E$14)</f>
        <v>-0</v>
      </c>
      <c r="F12" s="91" t="n">
        <f aca="false">-F11*IF('Ajuste Mensal'!F$14="",INDEX(Premissas!$C$59:$G$59,F$7),'Ajuste Mensal'!F$14)</f>
        <v>-0</v>
      </c>
      <c r="G12" s="91" t="n">
        <f aca="false">-G11*IF('Ajuste Mensal'!G$14="",INDEX(Premissas!$C$59:$G$59,G$7),'Ajuste Mensal'!G$14)</f>
        <v>-0</v>
      </c>
      <c r="H12" s="91" t="n">
        <f aca="false">-H11*IF('Ajuste Mensal'!H$14="",INDEX(Premissas!$C$59:$G$59,H$7),'Ajuste Mensal'!H$14)</f>
        <v>-0</v>
      </c>
      <c r="I12" s="91" t="n">
        <f aca="false">-I11*IF('Ajuste Mensal'!I$14="",INDEX(Premissas!$C$59:$G$59,I$7),'Ajuste Mensal'!I$14)</f>
        <v>-0</v>
      </c>
      <c r="J12" s="91" t="n">
        <f aca="false">-J11*IF('Ajuste Mensal'!J$14="",INDEX(Premissas!$C$59:$G$59,J$7),'Ajuste Mensal'!J$14)</f>
        <v>-0</v>
      </c>
      <c r="K12" s="91" t="n">
        <f aca="false">-K11*IF('Ajuste Mensal'!K$14="",INDEX(Premissas!$C$59:$G$59,K$7),'Ajuste Mensal'!K$14)</f>
        <v>-0</v>
      </c>
      <c r="L12" s="91" t="n">
        <f aca="false">-L11*IF('Ajuste Mensal'!L$14="",INDEX(Premissas!$C$59:$G$59,L$7),'Ajuste Mensal'!L$14)</f>
        <v>-1086</v>
      </c>
      <c r="M12" s="91" t="n">
        <f aca="false">-M11*IF('Ajuste Mensal'!M$14="",INDEX(Premissas!$C$59:$G$59,M$7),'Ajuste Mensal'!M$14)</f>
        <v>-2063.4</v>
      </c>
      <c r="N12" s="91" t="n">
        <f aca="false">-N11*IF('Ajuste Mensal'!N$14="",INDEX(Premissas!$C$59:$G$59,N$7),'Ajuste Mensal'!N$14)</f>
        <v>-2825.3376</v>
      </c>
      <c r="O12" s="91" t="n">
        <f aca="false">-O11*IF('Ajuste Mensal'!O$14="",INDEX(Premissas!$C$59:$G$59,O$7),'Ajuste Mensal'!O$14)</f>
        <v>-4013.6891904</v>
      </c>
      <c r="P12" s="91" t="n">
        <f aca="false">-P11*IF('Ajuste Mensal'!P$14="",INDEX(Premissas!$C$59:$G$59,P$7),'Ajuste Mensal'!P$14)</f>
        <v>-5087.9590281216</v>
      </c>
      <c r="Q12" s="91" t="n">
        <f aca="false">-Q11*IF('Ajuste Mensal'!Q$14="",INDEX(Premissas!$C$59:$G$59,Q$7),'Ajuste Mensal'!Q$14)</f>
        <v>-6059.09896142193</v>
      </c>
      <c r="R12" s="91" t="n">
        <f aca="false">-R11*IF('Ajuste Mensal'!R$14="",INDEX(Premissas!$C$59:$G$59,R$7),'Ajuste Mensal'!R$14)</f>
        <v>-6937.00946112542</v>
      </c>
      <c r="S12" s="91" t="n">
        <f aca="false">-S11*IF('Ajuste Mensal'!S$14="",INDEX(Premissas!$C$59:$G$59,S$7),'Ajuste Mensal'!S$14)</f>
        <v>-7730.64055285738</v>
      </c>
      <c r="T12" s="91" t="n">
        <f aca="false">-T11*IF('Ajuste Mensal'!T$14="",INDEX(Premissas!$C$59:$G$59,T$7),'Ajuste Mensal'!T$14)</f>
        <v>-8448.08305978307</v>
      </c>
      <c r="U12" s="91" t="n">
        <f aca="false">-U11*IF('Ajuste Mensal'!U$14="",INDEX(Premissas!$C$59:$G$59,U$7),'Ajuste Mensal'!U$14)</f>
        <v>-9096.6510860439</v>
      </c>
      <c r="V12" s="91" t="n">
        <f aca="false">-V11*IF('Ajuste Mensal'!V$14="",INDEX(Premissas!$C$59:$G$59,V$7),'Ajuste Mensal'!V$14)</f>
        <v>-9682.95658178368</v>
      </c>
      <c r="W12" s="91" t="n">
        <f aca="false">-W11*IF('Ajuste Mensal'!W$14="",INDEX(Premissas!$C$59:$G$59,W$7),'Ajuste Mensal'!W$14)</f>
        <v>-10212.9767499324</v>
      </c>
      <c r="X12" s="91" t="n">
        <f aca="false">-X11*IF('Ajuste Mensal'!X$14="",INDEX(Premissas!$C$59:$G$59,X$7),'Ajuste Mensal'!X$14)</f>
        <v>-10692.1149819389</v>
      </c>
      <c r="Y12" s="91" t="n">
        <f aca="false">-Y11*IF('Ajuste Mensal'!Y$14="",INDEX(Premissas!$C$59:$G$59,Y$7),'Ajuste Mensal'!Y$14)</f>
        <v>-11125.2559436728</v>
      </c>
      <c r="Z12" s="91" t="n">
        <f aca="false">-Z11*IF('Ajuste Mensal'!Z$14="",INDEX(Premissas!$C$59:$G$59,Z$7),'Ajuste Mensal'!Z$14)</f>
        <v>-11056.142758157</v>
      </c>
      <c r="AA12" s="91" t="n">
        <f aca="false">-AA11*IF('Ajuste Mensal'!AA$14="",INDEX(Premissas!$C$59:$G$59,AA$7),'Ajuste Mensal'!AA$14)</f>
        <v>-11998.8895375652</v>
      </c>
      <c r="AB12" s="91" t="n">
        <f aca="false">-AB11*IF('Ajuste Mensal'!AB$14="",INDEX(Premissas!$C$59:$G$59,AB$7),'Ajuste Mensal'!AB$14)</f>
        <v>-12854.7527737832</v>
      </c>
      <c r="AC12" s="91" t="n">
        <f aca="false">-AC11*IF('Ajuste Mensal'!AC$14="",INDEX(Premissas!$C$59:$G$59,AC$7),'Ajuste Mensal'!AC$14)</f>
        <v>-13631.7396541514</v>
      </c>
      <c r="AD12" s="91" t="n">
        <f aca="false">-AD11*IF('Ajuste Mensal'!AD$14="",INDEX(Premissas!$C$59:$G$59,AD$7),'Ajuste Mensal'!AD$14)</f>
        <v>-14337.1194236248</v>
      </c>
      <c r="AE12" s="91" t="n">
        <f aca="false">-AE11*IF('Ajuste Mensal'!AE$14="",INDEX(Premissas!$C$59:$G$59,AE$7),'Ajuste Mensal'!AE$14)</f>
        <v>-14977.4913935435</v>
      </c>
      <c r="AF12" s="91" t="n">
        <f aca="false">-AF11*IF('Ajuste Mensal'!AF$14="",INDEX(Premissas!$C$59:$G$59,AF$7),'Ajuste Mensal'!AF$14)</f>
        <v>-15558.8466827146</v>
      </c>
      <c r="AG12" s="91" t="n">
        <f aca="false">-AG11*IF('Ajuste Mensal'!AG$14="",INDEX(Premissas!$C$59:$G$59,AG$7),'Ajuste Mensal'!AG$14)</f>
        <v>-16086.6242684356</v>
      </c>
      <c r="AH12" s="91" t="n">
        <f aca="false">-AH11*IF('Ajuste Mensal'!AH$14="",INDEX(Premissas!$C$59:$G$59,AH$7),'Ajuste Mensal'!AH$14)</f>
        <v>-16565.7618718566</v>
      </c>
      <c r="AI12" s="91" t="n">
        <f aca="false">-AI11*IF('Ajuste Mensal'!AI$14="",INDEX(Premissas!$C$59:$G$59,AI$7),'Ajuste Mensal'!AI$14)</f>
        <v>-17000.7421537463</v>
      </c>
      <c r="AJ12" s="91" t="n">
        <f aca="false">-AJ11*IF('Ajuste Mensal'!AJ$14="",INDEX(Premissas!$C$59:$G$59,AJ$7),'Ajuste Mensal'!AJ$14)</f>
        <v>-17395.634652857</v>
      </c>
      <c r="AK12" s="91" t="n">
        <f aca="false">-AK11*IF('Ajuste Mensal'!AK$14="",INDEX(Premissas!$C$59:$G$59,AK$7),'Ajuste Mensal'!AK$14)</f>
        <v>-17754.1338592497</v>
      </c>
      <c r="AL12" s="91" t="n">
        <f aca="false">-AL11*IF('Ajuste Mensal'!AL$14="",INDEX(Premissas!$C$59:$G$59,AL$7),'Ajuste Mensal'!AL$14)</f>
        <v>-17356.41002763</v>
      </c>
      <c r="AM12" s="91" t="n">
        <f aca="false">-AM11*IF('Ajuste Mensal'!AM$14="",INDEX(Premissas!$C$59:$G$59,AM$7),'Ajuste Mensal'!AM$14)</f>
        <v>-18457.3250736335</v>
      </c>
      <c r="AN12" s="91" t="n">
        <f aca="false">-AN11*IF('Ajuste Mensal'!AN$14="",INDEX(Premissas!$C$59:$G$59,AN$7),'Ajuste Mensal'!AN$14)</f>
        <v>-19460.8382022229</v>
      </c>
      <c r="AO12" s="91" t="n">
        <f aca="false">-AO11*IF('Ajuste Mensal'!AO$14="",INDEX(Premissas!$C$59:$G$59,AO$7),'Ajuste Mensal'!AO$14)</f>
        <v>-20375.5669116787</v>
      </c>
      <c r="AP12" s="91" t="n">
        <f aca="false">-AP11*IF('Ajuste Mensal'!AP$14="",INDEX(Premissas!$C$59:$G$59,AP$7),'Ajuste Mensal'!AP$14)</f>
        <v>-21209.3662791856</v>
      </c>
      <c r="AQ12" s="91" t="n">
        <f aca="false">-AQ11*IF('Ajuste Mensal'!AQ$14="",INDEX(Premissas!$C$59:$G$59,AQ$7),'Ajuste Mensal'!AQ$14)</f>
        <v>-21969.3964149714</v>
      </c>
      <c r="AR12" s="91" t="n">
        <f aca="false">-AR11*IF('Ajuste Mensal'!AR$14="",INDEX(Premissas!$C$59:$G$59,AR$7),'Ajuste Mensal'!AR$14)</f>
        <v>-22662.1839485358</v>
      </c>
      <c r="AS12" s="91" t="n">
        <f aca="false">-AS11*IF('Ajuste Mensal'!AS$14="",INDEX(Premissas!$C$59:$G$59,AS$7),'Ajuste Mensal'!AS$14)</f>
        <v>-23293.6780749706</v>
      </c>
      <c r="AT12" s="91" t="n">
        <f aca="false">-AT11*IF('Ajuste Mensal'!AT$14="",INDEX(Premissas!$C$59:$G$59,AT$7),'Ajuste Mensal'!AT$14)</f>
        <v>-23869.3016426609</v>
      </c>
      <c r="AU12" s="91" t="n">
        <f aca="false">-AU11*IF('Ajuste Mensal'!AU$14="",INDEX(Premissas!$C$59:$G$59,AU$7),'Ajuste Mensal'!AU$14)</f>
        <v>-24393.9977210728</v>
      </c>
      <c r="AV12" s="91" t="n">
        <f aca="false">-AV11*IF('Ajuste Mensal'!AV$14="",INDEX(Premissas!$C$59:$G$59,AV$7),'Ajuste Mensal'!AV$14)</f>
        <v>-24872.2720485217</v>
      </c>
      <c r="AW12" s="91" t="n">
        <f aca="false">-AW11*IF('Ajuste Mensal'!AW$14="",INDEX(Premissas!$C$59:$G$59,AW$7),'Ajuste Mensal'!AW$14)</f>
        <v>-25308.2317244336</v>
      </c>
      <c r="AX12" s="91" t="n">
        <f aca="false">-AX11*IF('Ajuste Mensal'!AX$14="",INDEX(Premissas!$C$59:$G$59,AX$7),'Ajuste Mensal'!AX$14)</f>
        <v>-24677.3956592282</v>
      </c>
      <c r="AY12" s="91" t="n">
        <f aca="false">-AY11*IF('Ajuste Mensal'!AY$14="",INDEX(Premissas!$C$59:$G$59,AY$7),'Ajuste Mensal'!AY$14)</f>
        <v>-26124.8843708928</v>
      </c>
      <c r="AZ12" s="91" t="n">
        <f aca="false">-AZ11*IF('Ajuste Mensal'!AZ$14="",INDEX(Premissas!$C$59:$G$59,AZ$7),'Ajuste Mensal'!AZ$14)</f>
        <v>-27449.4311267683</v>
      </c>
      <c r="BA12" s="91" t="n">
        <f aca="false">-BA11*IF('Ajuste Mensal'!BA$14="",INDEX(Premissas!$C$59:$G$59,BA$7),'Ajuste Mensal'!BA$14)</f>
        <v>-28661.4779595776</v>
      </c>
      <c r="BB12" s="91" t="n">
        <f aca="false">-BB11*IF('Ajuste Mensal'!BB$14="",INDEX(Premissas!$C$59:$G$59,BB$7),'Ajuste Mensal'!BB$14)</f>
        <v>-29770.5800115864</v>
      </c>
      <c r="BC12" s="91" t="n">
        <f aca="false">-BC11*IF('Ajuste Mensal'!BC$14="",INDEX(Premissas!$C$59:$G$59,BC$7),'Ajuste Mensal'!BC$14)</f>
        <v>-30785.4808623389</v>
      </c>
      <c r="BD12" s="91" t="n">
        <f aca="false">-BD11*IF('Ajuste Mensal'!BD$14="",INDEX(Premissas!$C$59:$G$59,BD$7),'Ajuste Mensal'!BD$14)</f>
        <v>-31714.1814584586</v>
      </c>
      <c r="BE12" s="91" t="n">
        <f aca="false">-BE11*IF('Ajuste Mensal'!BE$14="",INDEX(Premissas!$C$59:$G$59,BE$7),'Ajuste Mensal'!BE$14)</f>
        <v>-32564.0031889199</v>
      </c>
      <c r="BF12" s="91" t="n">
        <f aca="false">-BF11*IF('Ajuste Mensal'!BF$14="",INDEX(Premissas!$C$59:$G$59,BF$7),'Ajuste Mensal'!BF$14)</f>
        <v>-33341.6456030431</v>
      </c>
      <c r="BG12" s="91" t="n">
        <f aca="false">-BG11*IF('Ajuste Mensal'!BG$14="",INDEX(Premissas!$C$59:$G$59,BG$7),'Ajuste Mensal'!BG$14)</f>
        <v>-34053.2392262318</v>
      </c>
      <c r="BH12" s="91" t="n">
        <f aca="false">-BH11*IF('Ajuste Mensal'!BH$14="",INDEX(Premissas!$C$59:$G$59,BH$7),'Ajuste Mensal'!BH$14)</f>
        <v>-34704.3938898232</v>
      </c>
      <c r="BI12" s="91" t="n">
        <f aca="false">-BI11*IF('Ajuste Mensal'!BI$14="",INDEX(Premissas!$C$59:$G$59,BI$7),'Ajuste Mensal'!BI$14)</f>
        <v>-35300.2429560596</v>
      </c>
      <c r="BJ12" s="134" t="n">
        <f aca="false">SUM(B12:BI12)</f>
        <v>-906654.576609212</v>
      </c>
    </row>
    <row r="13" customFormat="false" ht="15" hidden="false" customHeight="false" outlineLevel="0" collapsed="false">
      <c r="A13" s="62" t="s">
        <v>838</v>
      </c>
      <c r="B13" s="83" t="n">
        <f aca="false">B11+B12+B10</f>
        <v>0</v>
      </c>
      <c r="C13" s="83" t="n">
        <f aca="false">C11+C12+C10</f>
        <v>0</v>
      </c>
      <c r="D13" s="83" t="n">
        <f aca="false">D11+D12+D10</f>
        <v>0</v>
      </c>
      <c r="E13" s="83" t="n">
        <f aca="false">E11+E12+E10</f>
        <v>0</v>
      </c>
      <c r="F13" s="83" t="n">
        <f aca="false">F11+F12+F10</f>
        <v>0</v>
      </c>
      <c r="G13" s="83" t="n">
        <f aca="false">G11+G12+G10</f>
        <v>0</v>
      </c>
      <c r="H13" s="83" t="n">
        <f aca="false">H11+H12+H10</f>
        <v>0</v>
      </c>
      <c r="I13" s="83" t="n">
        <f aca="false">I11+I12+I10</f>
        <v>0</v>
      </c>
      <c r="J13" s="83" t="n">
        <f aca="false">J11+J12+J10</f>
        <v>0</v>
      </c>
      <c r="K13" s="83" t="n">
        <f aca="false">K11+K12+K10</f>
        <v>10860</v>
      </c>
      <c r="L13" s="83" t="n">
        <f aca="false">L11+L12+L10</f>
        <v>20634</v>
      </c>
      <c r="M13" s="83" t="n">
        <f aca="false">M11+M12+M10</f>
        <v>29430.6</v>
      </c>
      <c r="N13" s="83" t="n">
        <f aca="false">N11+N12+N10</f>
        <v>41809.2624</v>
      </c>
      <c r="O13" s="83" t="n">
        <f aca="false">O11+O12+O10</f>
        <v>52999.5732096</v>
      </c>
      <c r="P13" s="83" t="n">
        <f aca="false">P11+P12+P10</f>
        <v>63115.6141814784</v>
      </c>
      <c r="Q13" s="83" t="n">
        <f aca="false">Q11+Q12+Q10</f>
        <v>72260.5152200565</v>
      </c>
      <c r="R13" s="83" t="n">
        <f aca="false">R11+R12+R10</f>
        <v>80527.5057589311</v>
      </c>
      <c r="S13" s="83" t="n">
        <f aca="false">S11+S12+S10</f>
        <v>88000.8652060737</v>
      </c>
      <c r="T13" s="83" t="n">
        <f aca="false">T11+T12+T10</f>
        <v>94756.7821462906</v>
      </c>
      <c r="U13" s="83" t="n">
        <f aca="false">U11+U12+U10</f>
        <v>100864.131060247</v>
      </c>
      <c r="V13" s="83" t="n">
        <f aca="false">V11+V12+V10</f>
        <v>106385.174478463</v>
      </c>
      <c r="W13" s="83" t="n">
        <f aca="false">W11+W12+W10</f>
        <v>111376.197728531</v>
      </c>
      <c r="X13" s="83" t="n">
        <f aca="false">X11+X12+X10</f>
        <v>115888.082746592</v>
      </c>
      <c r="Y13" s="83" t="n">
        <f aca="false">Y11+Y12+Y10</f>
        <v>119966.826802919</v>
      </c>
      <c r="Z13" s="83" t="n">
        <f aca="false">Z11+Z12+Z10</f>
        <v>130196.284044762</v>
      </c>
      <c r="AA13" s="83" t="n">
        <f aca="false">AA11+AA12+AA10</f>
        <v>139482.994507197</v>
      </c>
      <c r="AB13" s="83" t="n">
        <f aca="false">AB11+AB12+AB10</f>
        <v>147913.841733413</v>
      </c>
      <c r="AC13" s="83" t="n">
        <f aca="false">AC11+AC12+AC10</f>
        <v>155567.702079262</v>
      </c>
      <c r="AD13" s="83" t="n">
        <f aca="false">AD11+AD12+AD10</f>
        <v>162516.182655637</v>
      </c>
      <c r="AE13" s="83" t="n">
        <f aca="false">AE11+AE12+AE10</f>
        <v>168824.291262094</v>
      </c>
      <c r="AF13" s="83" t="n">
        <f aca="false">AF11+AF12+AF10</f>
        <v>174551.044579379</v>
      </c>
      <c r="AG13" s="83" t="n">
        <f aca="false">AG11+AG12+AG10</f>
        <v>179750.020310944</v>
      </c>
      <c r="AH13" s="83" t="n">
        <f aca="false">AH11+AH12+AH10</f>
        <v>184469.858439087</v>
      </c>
      <c r="AI13" s="83" t="n">
        <f aca="false">AI11+AI12+AI10</f>
        <v>188754.716285341</v>
      </c>
      <c r="AJ13" s="83" t="n">
        <f aca="false">AJ11+AJ12+AJ10</f>
        <v>192644.681632484</v>
      </c>
      <c r="AK13" s="83" t="n">
        <f aca="false">AK11+AK12+AK10</f>
        <v>196176.147773234</v>
      </c>
      <c r="AL13" s="83" t="n">
        <f aca="false">AL11+AL12+AL10</f>
        <v>208619.577745604</v>
      </c>
      <c r="AM13" s="83" t="n">
        <f aca="false">AM11+AM12+AM10</f>
        <v>219962.092671971</v>
      </c>
      <c r="AN13" s="83" t="n">
        <f aca="false">AN11+AN12+AN10</f>
        <v>230301.094469748</v>
      </c>
      <c r="AO13" s="83" t="n">
        <f aca="false">AO11+AO12+AO10</f>
        <v>239725.367558069</v>
      </c>
      <c r="AP13" s="83" t="n">
        <f aca="false">AP11+AP12+AP10</f>
        <v>248315.841278883</v>
      </c>
      <c r="AQ13" s="83" t="n">
        <f aca="false">AQ11+AQ12+AQ10</f>
        <v>256146.284863912</v>
      </c>
      <c r="AR13" s="83" t="n">
        <f aca="false">AR11+AR12+AR10</f>
        <v>263283.940915376</v>
      </c>
      <c r="AS13" s="83" t="n">
        <f aca="false">AS11+AS12+AS10</f>
        <v>269790.102840406</v>
      </c>
      <c r="AT13" s="83" t="n">
        <f aca="false">AT11+AT12+AT10</f>
        <v>275720.641197745</v>
      </c>
      <c r="AU13" s="83" t="n">
        <f aca="false">AU11+AU12+AU10</f>
        <v>281126.483476672</v>
      </c>
      <c r="AV13" s="83" t="n">
        <f aca="false">AV11+AV12+AV10</f>
        <v>286054.05142815</v>
      </c>
      <c r="AW13" s="83" t="n">
        <f aca="false">AW11+AW12+AW10</f>
        <v>290545.659703717</v>
      </c>
      <c r="AX13" s="83" t="n">
        <f aca="false">AX11+AX12+AX10</f>
        <v>307588.040044488</v>
      </c>
      <c r="AY13" s="83" t="n">
        <f aca="false">AY11+AY12+AY10</f>
        <v>323182.931673596</v>
      </c>
      <c r="AZ13" s="83" t="n">
        <f aca="false">AZ11+AZ12+AZ10</f>
        <v>337453.276546827</v>
      </c>
      <c r="BA13" s="83" t="n">
        <f aca="false">BA11+BA12+BA10</f>
        <v>350511.57458725</v>
      </c>
      <c r="BB13" s="83" t="n">
        <f aca="false">BB11+BB12+BB10</f>
        <v>362460.770575663</v>
      </c>
      <c r="BC13" s="83" t="n">
        <f aca="false">BC11+BC12+BC10</f>
        <v>373395.065713324</v>
      </c>
      <c r="BD13" s="83" t="n">
        <f aca="false">BD11+BD12+BD10</f>
        <v>383400.660254866</v>
      </c>
      <c r="BE13" s="83" t="n">
        <f aca="false">BE11+BE12+BE10</f>
        <v>392556.433065946</v>
      </c>
      <c r="BF13" s="83" t="n">
        <f aca="false">BF11+BF12+BF10</f>
        <v>400934.563462903</v>
      </c>
      <c r="BG13" s="83" t="n">
        <f aca="false">BG11+BG12+BG10</f>
        <v>408601.100236671</v>
      </c>
      <c r="BH13" s="83" t="n">
        <f aca="false">BH11+BH12+BH10</f>
        <v>415616.482346848</v>
      </c>
      <c r="BI13" s="83" t="n">
        <f aca="false">BI11+BI12+BI10</f>
        <v>422036.015390788</v>
      </c>
      <c r="BJ13" s="134" t="n">
        <f aca="false">BI13</f>
        <v>422036.015390788</v>
      </c>
      <c r="BK13" s="29" t="s">
        <v>870</v>
      </c>
    </row>
    <row r="14" customFormat="false" ht="15" hidden="false" customHeight="false" outlineLevel="0" collapsed="false">
      <c r="A14" s="27" t="s">
        <v>871</v>
      </c>
      <c r="B14" s="202" t="n">
        <f aca="false">IF(B$4&lt;Premissas!$B$13,0,IF('Ajuste Mensal'!B$15="",INDEX(Premissas!$C$63:$G$63,B$7),'Ajuste Mensal'!B$15)*MIN(1,MAX(0,(B$5-Premissas!$B$14+1)/Premissas!$B$15)))</f>
        <v>0</v>
      </c>
      <c r="C14" s="202" t="n">
        <f aca="false">IF(C$4&lt;Premissas!$B$13,0,IF('Ajuste Mensal'!C$15="",INDEX(Premissas!$C$63:$G$63,C$7),'Ajuste Mensal'!C$15)*MIN(1,MAX(0,(C$5-Premissas!$B$14+1)/Premissas!$B$15)))</f>
        <v>0</v>
      </c>
      <c r="D14" s="202" t="n">
        <f aca="false">IF(D$4&lt;Premissas!$B$13,0,IF('Ajuste Mensal'!D$15="",INDEX(Premissas!$C$63:$G$63,D$7),'Ajuste Mensal'!D$15)*MIN(1,MAX(0,(D$5-Premissas!$B$14+1)/Premissas!$B$15)))</f>
        <v>0</v>
      </c>
      <c r="E14" s="202" t="n">
        <f aca="false">IF(E$4&lt;Premissas!$B$13,0,IF('Ajuste Mensal'!E$15="",INDEX(Premissas!$C$63:$G$63,E$7),'Ajuste Mensal'!E$15)*MIN(1,MAX(0,(E$5-Premissas!$B$14+1)/Premissas!$B$15)))</f>
        <v>0</v>
      </c>
      <c r="F14" s="202" t="n">
        <f aca="false">IF(F$4&lt;Premissas!$B$13,0,IF('Ajuste Mensal'!F$15="",INDEX(Premissas!$C$63:$G$63,F$7),'Ajuste Mensal'!F$15)*MIN(1,MAX(0,(F$5-Premissas!$B$14+1)/Premissas!$B$15)))</f>
        <v>0</v>
      </c>
      <c r="G14" s="202" t="n">
        <f aca="false">IF(G$4&lt;Premissas!$B$13,0,IF('Ajuste Mensal'!G$15="",INDEX(Premissas!$C$63:$G$63,G$7),'Ajuste Mensal'!G$15)*MIN(1,MAX(0,(G$5-Premissas!$B$14+1)/Premissas!$B$15)))</f>
        <v>0</v>
      </c>
      <c r="H14" s="202" t="n">
        <f aca="false">IF(H$4&lt;Premissas!$B$13,0,IF('Ajuste Mensal'!H$15="",INDEX(Premissas!$C$63:$G$63,H$7),'Ajuste Mensal'!H$15)*MIN(1,MAX(0,(H$5-Premissas!$B$14+1)/Premissas!$B$15)))</f>
        <v>0</v>
      </c>
      <c r="I14" s="202" t="n">
        <f aca="false">IF(I$4&lt;Premissas!$B$13,0,IF('Ajuste Mensal'!I$15="",INDEX(Premissas!$C$63:$G$63,I$7),'Ajuste Mensal'!I$15)*MIN(1,MAX(0,(I$5-Premissas!$B$14+1)/Premissas!$B$15)))</f>
        <v>0</v>
      </c>
      <c r="J14" s="202" t="n">
        <f aca="false">IF(J$4&lt;Premissas!$B$13,0,IF('Ajuste Mensal'!J$15="",INDEX(Premissas!$C$63:$G$63,J$7),'Ajuste Mensal'!J$15)*MIN(1,MAX(0,(J$5-Premissas!$B$14+1)/Premissas!$B$15)))</f>
        <v>0</v>
      </c>
      <c r="K14" s="202" t="n">
        <f aca="false">IF(K$4&lt;Premissas!$B$13,0,IF('Ajuste Mensal'!K$15="",INDEX(Premissas!$C$63:$G$63,K$7),'Ajuste Mensal'!K$15)*MIN(1,MAX(0,(K$5-Premissas!$B$14+1)/Premissas!$B$15)))</f>
        <v>0.005</v>
      </c>
      <c r="L14" s="202" t="n">
        <f aca="false">IF(L$4&lt;Premissas!$B$13,0,IF('Ajuste Mensal'!L$15="",INDEX(Premissas!$C$63:$G$63,L$7),'Ajuste Mensal'!L$15)*MIN(1,MAX(0,(L$5-Premissas!$B$14+1)/Premissas!$B$15)))</f>
        <v>0.01</v>
      </c>
      <c r="M14" s="202" t="n">
        <f aca="false">IF(M$4&lt;Premissas!$B$13,0,IF('Ajuste Mensal'!M$15="",INDEX(Premissas!$C$63:$G$63,M$7),'Ajuste Mensal'!M$15)*MIN(1,MAX(0,(M$5-Premissas!$B$14+1)/Premissas!$B$15)))</f>
        <v>0.015</v>
      </c>
      <c r="N14" s="202" t="n">
        <f aca="false">IF(N$4&lt;Premissas!$B$13,0,IF('Ajuste Mensal'!N$15="",INDEX(Premissas!$C$63:$G$63,N$7),'Ajuste Mensal'!N$15)*MIN(1,MAX(0,(N$5-Premissas!$B$14+1)/Premissas!$B$15)))</f>
        <v>0.0216</v>
      </c>
      <c r="O14" s="202" t="n">
        <f aca="false">IF(O$4&lt;Premissas!$B$13,0,IF('Ajuste Mensal'!O$15="",INDEX(Premissas!$C$63:$G$63,O$7),'Ajuste Mensal'!O$15)*MIN(1,MAX(0,(O$5-Premissas!$B$14+1)/Premissas!$B$15)))</f>
        <v>0.027</v>
      </c>
      <c r="P14" s="202" t="n">
        <f aca="false">IF(P$4&lt;Premissas!$B$13,0,IF('Ajuste Mensal'!P$15="",INDEX(Premissas!$C$63:$G$63,P$7),'Ajuste Mensal'!P$15)*MIN(1,MAX(0,(P$5-Premissas!$B$14+1)/Premissas!$B$15)))</f>
        <v>0.0324</v>
      </c>
      <c r="Q14" s="202" t="n">
        <f aca="false">IF(Q$4&lt;Premissas!$B$13,0,IF('Ajuste Mensal'!Q$15="",INDEX(Premissas!$C$63:$G$63,Q$7),'Ajuste Mensal'!Q$15)*MIN(1,MAX(0,(Q$5-Premissas!$B$14+1)/Premissas!$B$15)))</f>
        <v>0.0324</v>
      </c>
      <c r="R14" s="202" t="n">
        <f aca="false">IF(R$4&lt;Premissas!$B$13,0,IF('Ajuste Mensal'!R$15="",INDEX(Premissas!$C$63:$G$63,R$7),'Ajuste Mensal'!R$15)*MIN(1,MAX(0,(R$5-Premissas!$B$14+1)/Premissas!$B$15)))</f>
        <v>0.0324</v>
      </c>
      <c r="S14" s="202" t="n">
        <f aca="false">IF(S$4&lt;Premissas!$B$13,0,IF('Ajuste Mensal'!S$15="",INDEX(Premissas!$C$63:$G$63,S$7),'Ajuste Mensal'!S$15)*MIN(1,MAX(0,(S$5-Premissas!$B$14+1)/Premissas!$B$15)))</f>
        <v>0.0324</v>
      </c>
      <c r="T14" s="202" t="n">
        <f aca="false">IF(T$4&lt;Premissas!$B$13,0,IF('Ajuste Mensal'!T$15="",INDEX(Premissas!$C$63:$G$63,T$7),'Ajuste Mensal'!T$15)*MIN(1,MAX(0,(T$5-Premissas!$B$14+1)/Premissas!$B$15)))</f>
        <v>0.0324</v>
      </c>
      <c r="U14" s="202" t="n">
        <f aca="false">IF(U$4&lt;Premissas!$B$13,0,IF('Ajuste Mensal'!U$15="",INDEX(Premissas!$C$63:$G$63,U$7),'Ajuste Mensal'!U$15)*MIN(1,MAX(0,(U$5-Premissas!$B$14+1)/Premissas!$B$15)))</f>
        <v>0.0324</v>
      </c>
      <c r="V14" s="202" t="n">
        <f aca="false">IF(V$4&lt;Premissas!$B$13,0,IF('Ajuste Mensal'!V$15="",INDEX(Premissas!$C$63:$G$63,V$7),'Ajuste Mensal'!V$15)*MIN(1,MAX(0,(V$5-Premissas!$B$14+1)/Premissas!$B$15)))</f>
        <v>0.0324</v>
      </c>
      <c r="W14" s="202" t="n">
        <f aca="false">IF(W$4&lt;Premissas!$B$13,0,IF('Ajuste Mensal'!W$15="",INDEX(Premissas!$C$63:$G$63,W$7),'Ajuste Mensal'!W$15)*MIN(1,MAX(0,(W$5-Premissas!$B$14+1)/Premissas!$B$15)))</f>
        <v>0.0324</v>
      </c>
      <c r="X14" s="202" t="n">
        <f aca="false">IF(X$4&lt;Premissas!$B$13,0,IF('Ajuste Mensal'!X$15="",INDEX(Premissas!$C$63:$G$63,X$7),'Ajuste Mensal'!X$15)*MIN(1,MAX(0,(X$5-Premissas!$B$14+1)/Premissas!$B$15)))</f>
        <v>0.0324</v>
      </c>
      <c r="Y14" s="202" t="n">
        <f aca="false">IF(Y$4&lt;Premissas!$B$13,0,IF('Ajuste Mensal'!Y$15="",INDEX(Premissas!$C$63:$G$63,Y$7),'Ajuste Mensal'!Y$15)*MIN(1,MAX(0,(Y$5-Premissas!$B$14+1)/Premissas!$B$15)))</f>
        <v>0.0324</v>
      </c>
      <c r="Z14" s="202" t="n">
        <f aca="false">IF(Z$4&lt;Premissas!$B$13,0,IF('Ajuste Mensal'!Z$15="",INDEX(Premissas!$C$63:$G$63,Z$7),'Ajuste Mensal'!Z$15)*MIN(1,MAX(0,(Z$5-Premissas!$B$14+1)/Premissas!$B$15)))</f>
        <v>0.034992</v>
      </c>
      <c r="AA14" s="202" t="n">
        <f aca="false">IF(AA$4&lt;Premissas!$B$13,0,IF('Ajuste Mensal'!AA$15="",INDEX(Premissas!$C$63:$G$63,AA$7),'Ajuste Mensal'!AA$15)*MIN(1,MAX(0,(AA$5-Premissas!$B$14+1)/Premissas!$B$15)))</f>
        <v>0.034992</v>
      </c>
      <c r="AB14" s="202" t="n">
        <f aca="false">IF(AB$4&lt;Premissas!$B$13,0,IF('Ajuste Mensal'!AB$15="",INDEX(Premissas!$C$63:$G$63,AB$7),'Ajuste Mensal'!AB$15)*MIN(1,MAX(0,(AB$5-Premissas!$B$14+1)/Premissas!$B$15)))</f>
        <v>0.034992</v>
      </c>
      <c r="AC14" s="202" t="n">
        <f aca="false">IF(AC$4&lt;Premissas!$B$13,0,IF('Ajuste Mensal'!AC$15="",INDEX(Premissas!$C$63:$G$63,AC$7),'Ajuste Mensal'!AC$15)*MIN(1,MAX(0,(AC$5-Premissas!$B$14+1)/Premissas!$B$15)))</f>
        <v>0.034992</v>
      </c>
      <c r="AD14" s="202" t="n">
        <f aca="false">IF(AD$4&lt;Premissas!$B$13,0,IF('Ajuste Mensal'!AD$15="",INDEX(Premissas!$C$63:$G$63,AD$7),'Ajuste Mensal'!AD$15)*MIN(1,MAX(0,(AD$5-Premissas!$B$14+1)/Premissas!$B$15)))</f>
        <v>0.034992</v>
      </c>
      <c r="AE14" s="202" t="n">
        <f aca="false">IF(AE$4&lt;Premissas!$B$13,0,IF('Ajuste Mensal'!AE$15="",INDEX(Premissas!$C$63:$G$63,AE$7),'Ajuste Mensal'!AE$15)*MIN(1,MAX(0,(AE$5-Premissas!$B$14+1)/Premissas!$B$15)))</f>
        <v>0.034992</v>
      </c>
      <c r="AF14" s="202" t="n">
        <f aca="false">IF(AF$4&lt;Premissas!$B$13,0,IF('Ajuste Mensal'!AF$15="",INDEX(Premissas!$C$63:$G$63,AF$7),'Ajuste Mensal'!AF$15)*MIN(1,MAX(0,(AF$5-Premissas!$B$14+1)/Premissas!$B$15)))</f>
        <v>0.034992</v>
      </c>
      <c r="AG14" s="202" t="n">
        <f aca="false">IF(AG$4&lt;Premissas!$B$13,0,IF('Ajuste Mensal'!AG$15="",INDEX(Premissas!$C$63:$G$63,AG$7),'Ajuste Mensal'!AG$15)*MIN(1,MAX(0,(AG$5-Premissas!$B$14+1)/Premissas!$B$15)))</f>
        <v>0.034992</v>
      </c>
      <c r="AH14" s="202" t="n">
        <f aca="false">IF(AH$4&lt;Premissas!$B$13,0,IF('Ajuste Mensal'!AH$15="",INDEX(Premissas!$C$63:$G$63,AH$7),'Ajuste Mensal'!AH$15)*MIN(1,MAX(0,(AH$5-Premissas!$B$14+1)/Premissas!$B$15)))</f>
        <v>0.034992</v>
      </c>
      <c r="AI14" s="202" t="n">
        <f aca="false">IF(AI$4&lt;Premissas!$B$13,0,IF('Ajuste Mensal'!AI$15="",INDEX(Premissas!$C$63:$G$63,AI$7),'Ajuste Mensal'!AI$15)*MIN(1,MAX(0,(AI$5-Premissas!$B$14+1)/Premissas!$B$15)))</f>
        <v>0.034992</v>
      </c>
      <c r="AJ14" s="202" t="n">
        <f aca="false">IF(AJ$4&lt;Premissas!$B$13,0,IF('Ajuste Mensal'!AJ$15="",INDEX(Premissas!$C$63:$G$63,AJ$7),'Ajuste Mensal'!AJ$15)*MIN(1,MAX(0,(AJ$5-Premissas!$B$14+1)/Premissas!$B$15)))</f>
        <v>0.034992</v>
      </c>
      <c r="AK14" s="202" t="n">
        <f aca="false">IF(AK$4&lt;Premissas!$B$13,0,IF('Ajuste Mensal'!AK$15="",INDEX(Premissas!$C$63:$G$63,AK$7),'Ajuste Mensal'!AK$15)*MIN(1,MAX(0,(AK$5-Premissas!$B$14+1)/Premissas!$B$15)))</f>
        <v>0.034992</v>
      </c>
      <c r="AL14" s="202" t="n">
        <f aca="false">IF(AL$4&lt;Premissas!$B$13,0,IF('Ajuste Mensal'!AL$15="",INDEX(Premissas!$C$63:$G$63,AL$7),'Ajuste Mensal'!AL$15)*MIN(1,MAX(0,(AL$5-Premissas!$B$14+1)/Premissas!$B$15)))</f>
        <v>0.03779136</v>
      </c>
      <c r="AM14" s="202" t="n">
        <f aca="false">IF(AM$4&lt;Premissas!$B$13,0,IF('Ajuste Mensal'!AM$15="",INDEX(Premissas!$C$63:$G$63,AM$7),'Ajuste Mensal'!AM$15)*MIN(1,MAX(0,(AM$5-Premissas!$B$14+1)/Premissas!$B$15)))</f>
        <v>0.03779136</v>
      </c>
      <c r="AN14" s="202" t="n">
        <f aca="false">IF(AN$4&lt;Premissas!$B$13,0,IF('Ajuste Mensal'!AN$15="",INDEX(Premissas!$C$63:$G$63,AN$7),'Ajuste Mensal'!AN$15)*MIN(1,MAX(0,(AN$5-Premissas!$B$14+1)/Premissas!$B$15)))</f>
        <v>0.03779136</v>
      </c>
      <c r="AO14" s="202" t="n">
        <f aca="false">IF(AO$4&lt;Premissas!$B$13,0,IF('Ajuste Mensal'!AO$15="",INDEX(Premissas!$C$63:$G$63,AO$7),'Ajuste Mensal'!AO$15)*MIN(1,MAX(0,(AO$5-Premissas!$B$14+1)/Premissas!$B$15)))</f>
        <v>0.03779136</v>
      </c>
      <c r="AP14" s="202" t="n">
        <f aca="false">IF(AP$4&lt;Premissas!$B$13,0,IF('Ajuste Mensal'!AP$15="",INDEX(Premissas!$C$63:$G$63,AP$7),'Ajuste Mensal'!AP$15)*MIN(1,MAX(0,(AP$5-Premissas!$B$14+1)/Premissas!$B$15)))</f>
        <v>0.03779136</v>
      </c>
      <c r="AQ14" s="202" t="n">
        <f aca="false">IF(AQ$4&lt;Premissas!$B$13,0,IF('Ajuste Mensal'!AQ$15="",INDEX(Premissas!$C$63:$G$63,AQ$7),'Ajuste Mensal'!AQ$15)*MIN(1,MAX(0,(AQ$5-Premissas!$B$14+1)/Premissas!$B$15)))</f>
        <v>0.03779136</v>
      </c>
      <c r="AR14" s="202" t="n">
        <f aca="false">IF(AR$4&lt;Premissas!$B$13,0,IF('Ajuste Mensal'!AR$15="",INDEX(Premissas!$C$63:$G$63,AR$7),'Ajuste Mensal'!AR$15)*MIN(1,MAX(0,(AR$5-Premissas!$B$14+1)/Premissas!$B$15)))</f>
        <v>0.03779136</v>
      </c>
      <c r="AS14" s="202" t="n">
        <f aca="false">IF(AS$4&lt;Premissas!$B$13,0,IF('Ajuste Mensal'!AS$15="",INDEX(Premissas!$C$63:$G$63,AS$7),'Ajuste Mensal'!AS$15)*MIN(1,MAX(0,(AS$5-Premissas!$B$14+1)/Premissas!$B$15)))</f>
        <v>0.03779136</v>
      </c>
      <c r="AT14" s="202" t="n">
        <f aca="false">IF(AT$4&lt;Premissas!$B$13,0,IF('Ajuste Mensal'!AT$15="",INDEX(Premissas!$C$63:$G$63,AT$7),'Ajuste Mensal'!AT$15)*MIN(1,MAX(0,(AT$5-Premissas!$B$14+1)/Premissas!$B$15)))</f>
        <v>0.03779136</v>
      </c>
      <c r="AU14" s="202" t="n">
        <f aca="false">IF(AU$4&lt;Premissas!$B$13,0,IF('Ajuste Mensal'!AU$15="",INDEX(Premissas!$C$63:$G$63,AU$7),'Ajuste Mensal'!AU$15)*MIN(1,MAX(0,(AU$5-Premissas!$B$14+1)/Premissas!$B$15)))</f>
        <v>0.03779136</v>
      </c>
      <c r="AV14" s="202" t="n">
        <f aca="false">IF(AV$4&lt;Premissas!$B$13,0,IF('Ajuste Mensal'!AV$15="",INDEX(Premissas!$C$63:$G$63,AV$7),'Ajuste Mensal'!AV$15)*MIN(1,MAX(0,(AV$5-Premissas!$B$14+1)/Premissas!$B$15)))</f>
        <v>0.03779136</v>
      </c>
      <c r="AW14" s="202" t="n">
        <f aca="false">IF(AW$4&lt;Premissas!$B$13,0,IF('Ajuste Mensal'!AW$15="",INDEX(Premissas!$C$63:$G$63,AW$7),'Ajuste Mensal'!AW$15)*MIN(1,MAX(0,(AW$5-Premissas!$B$14+1)/Premissas!$B$15)))</f>
        <v>0.03779136</v>
      </c>
      <c r="AX14" s="202" t="n">
        <f aca="false">IF(AX$4&lt;Premissas!$B$13,0,IF('Ajuste Mensal'!AX$15="",INDEX(Premissas!$C$63:$G$63,AX$7),'Ajuste Mensal'!AX$15)*MIN(1,MAX(0,(AX$5-Premissas!$B$14+1)/Premissas!$B$15)))</f>
        <v>0.0408146688</v>
      </c>
      <c r="AY14" s="202" t="n">
        <f aca="false">IF(AY$4&lt;Premissas!$B$13,0,IF('Ajuste Mensal'!AY$15="",INDEX(Premissas!$C$63:$G$63,AY$7),'Ajuste Mensal'!AY$15)*MIN(1,MAX(0,(AY$5-Premissas!$B$14+1)/Premissas!$B$15)))</f>
        <v>0.0408146688</v>
      </c>
      <c r="AZ14" s="202" t="n">
        <f aca="false">IF(AZ$4&lt;Premissas!$B$13,0,IF('Ajuste Mensal'!AZ$15="",INDEX(Premissas!$C$63:$G$63,AZ$7),'Ajuste Mensal'!AZ$15)*MIN(1,MAX(0,(AZ$5-Premissas!$B$14+1)/Premissas!$B$15)))</f>
        <v>0.0408146688</v>
      </c>
      <c r="BA14" s="202" t="n">
        <f aca="false">IF(BA$4&lt;Premissas!$B$13,0,IF('Ajuste Mensal'!BA$15="",INDEX(Premissas!$C$63:$G$63,BA$7),'Ajuste Mensal'!BA$15)*MIN(1,MAX(0,(BA$5-Premissas!$B$14+1)/Premissas!$B$15)))</f>
        <v>0.0408146688</v>
      </c>
      <c r="BB14" s="202" t="n">
        <f aca="false">IF(BB$4&lt;Premissas!$B$13,0,IF('Ajuste Mensal'!BB$15="",INDEX(Premissas!$C$63:$G$63,BB$7),'Ajuste Mensal'!BB$15)*MIN(1,MAX(0,(BB$5-Premissas!$B$14+1)/Premissas!$B$15)))</f>
        <v>0.0408146688</v>
      </c>
      <c r="BC14" s="202" t="n">
        <f aca="false">IF(BC$4&lt;Premissas!$B$13,0,IF('Ajuste Mensal'!BC$15="",INDEX(Premissas!$C$63:$G$63,BC$7),'Ajuste Mensal'!BC$15)*MIN(1,MAX(0,(BC$5-Premissas!$B$14+1)/Premissas!$B$15)))</f>
        <v>0.0408146688</v>
      </c>
      <c r="BD14" s="202" t="n">
        <f aca="false">IF(BD$4&lt;Premissas!$B$13,0,IF('Ajuste Mensal'!BD$15="",INDEX(Premissas!$C$63:$G$63,BD$7),'Ajuste Mensal'!BD$15)*MIN(1,MAX(0,(BD$5-Premissas!$B$14+1)/Premissas!$B$15)))</f>
        <v>0.0408146688</v>
      </c>
      <c r="BE14" s="202" t="n">
        <f aca="false">IF(BE$4&lt;Premissas!$B$13,0,IF('Ajuste Mensal'!BE$15="",INDEX(Premissas!$C$63:$G$63,BE$7),'Ajuste Mensal'!BE$15)*MIN(1,MAX(0,(BE$5-Premissas!$B$14+1)/Premissas!$B$15)))</f>
        <v>0.0408146688</v>
      </c>
      <c r="BF14" s="202" t="n">
        <f aca="false">IF(BF$4&lt;Premissas!$B$13,0,IF('Ajuste Mensal'!BF$15="",INDEX(Premissas!$C$63:$G$63,BF$7),'Ajuste Mensal'!BF$15)*MIN(1,MAX(0,(BF$5-Premissas!$B$14+1)/Premissas!$B$15)))</f>
        <v>0.0408146688</v>
      </c>
      <c r="BG14" s="202" t="n">
        <f aca="false">IF(BG$4&lt;Premissas!$B$13,0,IF('Ajuste Mensal'!BG$15="",INDEX(Premissas!$C$63:$G$63,BG$7),'Ajuste Mensal'!BG$15)*MIN(1,MAX(0,(BG$5-Premissas!$B$14+1)/Premissas!$B$15)))</f>
        <v>0.0408146688</v>
      </c>
      <c r="BH14" s="202" t="n">
        <f aca="false">IF(BH$4&lt;Premissas!$B$13,0,IF('Ajuste Mensal'!BH$15="",INDEX(Premissas!$C$63:$G$63,BH$7),'Ajuste Mensal'!BH$15)*MIN(1,MAX(0,(BH$5-Premissas!$B$14+1)/Premissas!$B$15)))</f>
        <v>0.0408146688</v>
      </c>
      <c r="BI14" s="202" t="n">
        <f aca="false">IF(BI$4&lt;Premissas!$B$13,0,IF('Ajuste Mensal'!BI$15="",INDEX(Premissas!$C$63:$G$63,BI$7),'Ajuste Mensal'!BI$15)*MIN(1,MAX(0,(BI$5-Premissas!$B$14+1)/Premissas!$B$15)))</f>
        <v>0.0408146688</v>
      </c>
      <c r="BJ14" s="188" t="n">
        <f aca="false">BI14</f>
        <v>0.0408146688</v>
      </c>
      <c r="BK14" s="29" t="s">
        <v>870</v>
      </c>
    </row>
    <row r="15" customFormat="false" ht="15" hidden="false" customHeight="false" outlineLevel="0" collapsed="false">
      <c r="A15" s="62" t="s">
        <v>840</v>
      </c>
      <c r="B15" s="83" t="n">
        <f aca="false">ROUND(B13*B14,0)</f>
        <v>0</v>
      </c>
      <c r="C15" s="83" t="n">
        <f aca="false">ROUND(C13*C14,0)</f>
        <v>0</v>
      </c>
      <c r="D15" s="83" t="n">
        <f aca="false">ROUND(D13*D14,0)</f>
        <v>0</v>
      </c>
      <c r="E15" s="83" t="n">
        <f aca="false">ROUND(E13*E14,0)</f>
        <v>0</v>
      </c>
      <c r="F15" s="83" t="n">
        <f aca="false">ROUND(F13*F14,0)</f>
        <v>0</v>
      </c>
      <c r="G15" s="83" t="n">
        <f aca="false">ROUND(G13*G14,0)</f>
        <v>0</v>
      </c>
      <c r="H15" s="83" t="n">
        <f aca="false">ROUND(H13*H14,0)</f>
        <v>0</v>
      </c>
      <c r="I15" s="83" t="n">
        <f aca="false">ROUND(I13*I14,0)</f>
        <v>0</v>
      </c>
      <c r="J15" s="83" t="n">
        <f aca="false">ROUND(J13*J14,0)</f>
        <v>0</v>
      </c>
      <c r="K15" s="83" t="n">
        <f aca="false">ROUND(K13*K14,0)</f>
        <v>54</v>
      </c>
      <c r="L15" s="83" t="n">
        <f aca="false">ROUND(L13*L14,0)</f>
        <v>206</v>
      </c>
      <c r="M15" s="83" t="n">
        <f aca="false">ROUND(M13*M14,0)</f>
        <v>441</v>
      </c>
      <c r="N15" s="83" t="n">
        <f aca="false">ROUND(N13*N14,0)</f>
        <v>903</v>
      </c>
      <c r="O15" s="83" t="n">
        <f aca="false">ROUND(O13*O14,0)</f>
        <v>1431</v>
      </c>
      <c r="P15" s="83" t="n">
        <f aca="false">ROUND(P13*P14,0)</f>
        <v>2045</v>
      </c>
      <c r="Q15" s="83" t="n">
        <f aca="false">ROUND(Q13*Q14,0)</f>
        <v>2341</v>
      </c>
      <c r="R15" s="83" t="n">
        <f aca="false">ROUND(R13*R14,0)</f>
        <v>2609</v>
      </c>
      <c r="S15" s="83" t="n">
        <f aca="false">ROUND(S13*S14,0)</f>
        <v>2851</v>
      </c>
      <c r="T15" s="83" t="n">
        <f aca="false">ROUND(T13*T14,0)</f>
        <v>3070</v>
      </c>
      <c r="U15" s="83" t="n">
        <f aca="false">ROUND(U13*U14,0)</f>
        <v>3268</v>
      </c>
      <c r="V15" s="83" t="n">
        <f aca="false">ROUND(V13*V14,0)</f>
        <v>3447</v>
      </c>
      <c r="W15" s="83" t="n">
        <f aca="false">ROUND(W13*W14,0)</f>
        <v>3609</v>
      </c>
      <c r="X15" s="83" t="n">
        <f aca="false">ROUND(X13*X14,0)</f>
        <v>3755</v>
      </c>
      <c r="Y15" s="83" t="n">
        <f aca="false">ROUND(Y13*Y14,0)</f>
        <v>3887</v>
      </c>
      <c r="Z15" s="83" t="n">
        <f aca="false">ROUND(Z13*Z14,0)</f>
        <v>4556</v>
      </c>
      <c r="AA15" s="83" t="n">
        <f aca="false">ROUND(AA13*AA14,0)</f>
        <v>4881</v>
      </c>
      <c r="AB15" s="83" t="n">
        <f aca="false">ROUND(AB13*AB14,0)</f>
        <v>5176</v>
      </c>
      <c r="AC15" s="83" t="n">
        <f aca="false">ROUND(AC13*AC14,0)</f>
        <v>5444</v>
      </c>
      <c r="AD15" s="83" t="n">
        <f aca="false">ROUND(AD13*AD14,0)</f>
        <v>5687</v>
      </c>
      <c r="AE15" s="83" t="n">
        <f aca="false">ROUND(AE13*AE14,0)</f>
        <v>5907</v>
      </c>
      <c r="AF15" s="83" t="n">
        <f aca="false">ROUND(AF13*AF14,0)</f>
        <v>6108</v>
      </c>
      <c r="AG15" s="83" t="n">
        <f aca="false">ROUND(AG13*AG14,0)</f>
        <v>6290</v>
      </c>
      <c r="AH15" s="83" t="n">
        <f aca="false">ROUND(AH13*AH14,0)</f>
        <v>6455</v>
      </c>
      <c r="AI15" s="83" t="n">
        <f aca="false">ROUND(AI13*AI14,0)</f>
        <v>6605</v>
      </c>
      <c r="AJ15" s="83" t="n">
        <f aca="false">ROUND(AJ13*AJ14,0)</f>
        <v>6741</v>
      </c>
      <c r="AK15" s="83" t="n">
        <f aca="false">ROUND(AK13*AK14,0)</f>
        <v>6865</v>
      </c>
      <c r="AL15" s="83" t="n">
        <f aca="false">ROUND(AL13*AL14,0)</f>
        <v>7884</v>
      </c>
      <c r="AM15" s="83" t="n">
        <f aca="false">ROUND(AM13*AM14,0)</f>
        <v>8313</v>
      </c>
      <c r="AN15" s="83" t="n">
        <f aca="false">ROUND(AN13*AN14,0)</f>
        <v>8703</v>
      </c>
      <c r="AO15" s="83" t="n">
        <f aca="false">ROUND(AO13*AO14,0)</f>
        <v>9060</v>
      </c>
      <c r="AP15" s="83" t="n">
        <f aca="false">ROUND(AP13*AP14,0)</f>
        <v>9384</v>
      </c>
      <c r="AQ15" s="83" t="n">
        <f aca="false">ROUND(AQ13*AQ14,0)</f>
        <v>9680</v>
      </c>
      <c r="AR15" s="83" t="n">
        <f aca="false">ROUND(AR13*AR14,0)</f>
        <v>9950</v>
      </c>
      <c r="AS15" s="83" t="n">
        <f aca="false">ROUND(AS13*AS14,0)</f>
        <v>10196</v>
      </c>
      <c r="AT15" s="83" t="n">
        <f aca="false">ROUND(AT13*AT14,0)</f>
        <v>10420</v>
      </c>
      <c r="AU15" s="83" t="n">
        <f aca="false">ROUND(AU13*AU14,0)</f>
        <v>10624</v>
      </c>
      <c r="AV15" s="83" t="n">
        <f aca="false">ROUND(AV13*AV14,0)</f>
        <v>10810</v>
      </c>
      <c r="AW15" s="83" t="n">
        <f aca="false">ROUND(AW13*AW14,0)</f>
        <v>10980</v>
      </c>
      <c r="AX15" s="83" t="n">
        <f aca="false">ROUND(AX13*AX14,0)</f>
        <v>12554</v>
      </c>
      <c r="AY15" s="83" t="n">
        <f aca="false">ROUND(AY13*AY14,0)</f>
        <v>13191</v>
      </c>
      <c r="AZ15" s="83" t="n">
        <f aca="false">ROUND(AZ13*AZ14,0)</f>
        <v>13773</v>
      </c>
      <c r="BA15" s="83" t="n">
        <f aca="false">ROUND(BA13*BA14,0)</f>
        <v>14306</v>
      </c>
      <c r="BB15" s="83" t="n">
        <f aca="false">ROUND(BB13*BB14,0)</f>
        <v>14794</v>
      </c>
      <c r="BC15" s="83" t="n">
        <f aca="false">ROUND(BC13*BC14,0)</f>
        <v>15240</v>
      </c>
      <c r="BD15" s="83" t="n">
        <f aca="false">ROUND(BD13*BD14,0)</f>
        <v>15648</v>
      </c>
      <c r="BE15" s="83" t="n">
        <f aca="false">ROUND(BE13*BE14,0)</f>
        <v>16022</v>
      </c>
      <c r="BF15" s="83" t="n">
        <f aca="false">ROUND(BF13*BF14,0)</f>
        <v>16364</v>
      </c>
      <c r="BG15" s="83" t="n">
        <f aca="false">ROUND(BG13*BG14,0)</f>
        <v>16677</v>
      </c>
      <c r="BH15" s="83" t="n">
        <f aca="false">ROUND(BH13*BH14,0)</f>
        <v>16963</v>
      </c>
      <c r="BI15" s="83" t="n">
        <f aca="false">ROUND(BI13*BI14,0)</f>
        <v>17225</v>
      </c>
      <c r="BJ15" s="134" t="n">
        <f aca="false">BI15</f>
        <v>17225</v>
      </c>
      <c r="BK15" s="29" t="s">
        <v>870</v>
      </c>
    </row>
    <row r="16" customFormat="false" ht="15" hidden="false" customHeight="false" outlineLevel="0" collapsed="false">
      <c r="A16" s="27" t="s">
        <v>841</v>
      </c>
      <c r="B16" s="91" t="n">
        <f aca="false">B15-B17-B18</f>
        <v>0</v>
      </c>
      <c r="C16" s="91" t="n">
        <f aca="false">C15-C17-C18</f>
        <v>0</v>
      </c>
      <c r="D16" s="91" t="n">
        <f aca="false">D15-D17-D18</f>
        <v>0</v>
      </c>
      <c r="E16" s="91" t="n">
        <f aca="false">E15-E17-E18</f>
        <v>0</v>
      </c>
      <c r="F16" s="91" t="n">
        <f aca="false">F15-F17-F18</f>
        <v>0</v>
      </c>
      <c r="G16" s="91" t="n">
        <f aca="false">G15-G17-G18</f>
        <v>0</v>
      </c>
      <c r="H16" s="91" t="n">
        <f aca="false">H15-H17-H18</f>
        <v>0</v>
      </c>
      <c r="I16" s="91" t="n">
        <f aca="false">I15-I17-I18</f>
        <v>0</v>
      </c>
      <c r="J16" s="91" t="n">
        <f aca="false">J15-J17-J18</f>
        <v>0</v>
      </c>
      <c r="K16" s="91" t="n">
        <f aca="false">K15-K17-K18</f>
        <v>54</v>
      </c>
      <c r="L16" s="91" t="n">
        <f aca="false">L15-L17-L18</f>
        <v>206</v>
      </c>
      <c r="M16" s="91" t="n">
        <f aca="false">M15-M17-M18</f>
        <v>441</v>
      </c>
      <c r="N16" s="91" t="n">
        <f aca="false">N15-N17-N18</f>
        <v>903</v>
      </c>
      <c r="O16" s="91" t="n">
        <f aca="false">O15-O17-O18</f>
        <v>1431</v>
      </c>
      <c r="P16" s="91" t="n">
        <f aca="false">P15-P17-P18</f>
        <v>2045</v>
      </c>
      <c r="Q16" s="91" t="n">
        <f aca="false">Q15-Q17-Q18</f>
        <v>1826</v>
      </c>
      <c r="R16" s="91" t="n">
        <f aca="false">R15-R17-R18</f>
        <v>2035</v>
      </c>
      <c r="S16" s="91" t="n">
        <f aca="false">S15-S17-S18</f>
        <v>2224</v>
      </c>
      <c r="T16" s="91" t="n">
        <f aca="false">T15-T17-T18</f>
        <v>2395</v>
      </c>
      <c r="U16" s="91" t="n">
        <f aca="false">U15-U17-U18</f>
        <v>2549</v>
      </c>
      <c r="V16" s="91" t="n">
        <f aca="false">V15-V17-V18</f>
        <v>2689</v>
      </c>
      <c r="W16" s="91" t="n">
        <f aca="false">W15-W17-W18</f>
        <v>2598</v>
      </c>
      <c r="X16" s="91" t="n">
        <f aca="false">X15-X17-X18</f>
        <v>2704</v>
      </c>
      <c r="Y16" s="91" t="n">
        <f aca="false">Y15-Y17-Y18</f>
        <v>2799</v>
      </c>
      <c r="Z16" s="91" t="n">
        <f aca="false">Z15-Z17-Z18</f>
        <v>3099</v>
      </c>
      <c r="AA16" s="91" t="n">
        <f aca="false">AA15-AA17-AA18</f>
        <v>3320</v>
      </c>
      <c r="AB16" s="91" t="n">
        <f aca="false">AB15-AB17-AB18</f>
        <v>3520</v>
      </c>
      <c r="AC16" s="91" t="n">
        <f aca="false">AC15-AC17-AC18</f>
        <v>3701</v>
      </c>
      <c r="AD16" s="91" t="n">
        <f aca="false">AD15-AD17-AD18</f>
        <v>3867</v>
      </c>
      <c r="AE16" s="91" t="n">
        <f aca="false">AE15-AE17-AE18</f>
        <v>4016</v>
      </c>
      <c r="AF16" s="91" t="n">
        <f aca="false">AF15-AF17-AF18</f>
        <v>4153</v>
      </c>
      <c r="AG16" s="91" t="n">
        <f aca="false">AG15-AG17-AG18</f>
        <v>4277</v>
      </c>
      <c r="AH16" s="91" t="n">
        <f aca="false">AH15-AH17-AH18</f>
        <v>4390</v>
      </c>
      <c r="AI16" s="91" t="n">
        <f aca="false">AI15-AI17-AI18</f>
        <v>4492</v>
      </c>
      <c r="AJ16" s="91" t="n">
        <f aca="false">AJ15-AJ17-AJ18</f>
        <v>4584</v>
      </c>
      <c r="AK16" s="91" t="n">
        <f aca="false">AK15-AK17-AK18</f>
        <v>4668</v>
      </c>
      <c r="AL16" s="91" t="n">
        <f aca="false">AL15-AL17-AL18</f>
        <v>5046</v>
      </c>
      <c r="AM16" s="91" t="n">
        <f aca="false">AM15-AM17-AM18</f>
        <v>5321</v>
      </c>
      <c r="AN16" s="91" t="n">
        <f aca="false">AN15-AN17-AN18</f>
        <v>5570</v>
      </c>
      <c r="AO16" s="91" t="n">
        <f aca="false">AO15-AO17-AO18</f>
        <v>5798</v>
      </c>
      <c r="AP16" s="91" t="n">
        <f aca="false">AP15-AP17-AP18</f>
        <v>6006</v>
      </c>
      <c r="AQ16" s="91" t="n">
        <f aca="false">AQ15-AQ17-AQ18</f>
        <v>6195</v>
      </c>
      <c r="AR16" s="91" t="n">
        <f aca="false">AR15-AR17-AR18</f>
        <v>6368</v>
      </c>
      <c r="AS16" s="91" t="n">
        <f aca="false">AS15-AS17-AS18</f>
        <v>6525</v>
      </c>
      <c r="AT16" s="91" t="n">
        <f aca="false">AT15-AT17-AT18</f>
        <v>6669</v>
      </c>
      <c r="AU16" s="91" t="n">
        <f aca="false">AU15-AU17-AU18</f>
        <v>6800</v>
      </c>
      <c r="AV16" s="91" t="n">
        <f aca="false">AV15-AV17-AV18</f>
        <v>6918</v>
      </c>
      <c r="AW16" s="91" t="n">
        <f aca="false">AW15-AW17-AW18</f>
        <v>7027</v>
      </c>
      <c r="AX16" s="91" t="n">
        <f aca="false">AX15-AX17-AX18</f>
        <v>7533</v>
      </c>
      <c r="AY16" s="91" t="n">
        <f aca="false">AY15-AY17-AY18</f>
        <v>7915</v>
      </c>
      <c r="AZ16" s="91" t="n">
        <f aca="false">AZ15-AZ17-AZ18</f>
        <v>8264</v>
      </c>
      <c r="BA16" s="91" t="n">
        <f aca="false">BA15-BA17-BA18</f>
        <v>8583</v>
      </c>
      <c r="BB16" s="91" t="n">
        <f aca="false">BB15-BB17-BB18</f>
        <v>8877</v>
      </c>
      <c r="BC16" s="91" t="n">
        <f aca="false">BC15-BC17-BC18</f>
        <v>9144</v>
      </c>
      <c r="BD16" s="91" t="n">
        <f aca="false">BD15-BD17-BD18</f>
        <v>9389</v>
      </c>
      <c r="BE16" s="91" t="n">
        <f aca="false">BE15-BE17-BE18</f>
        <v>9613</v>
      </c>
      <c r="BF16" s="91" t="n">
        <f aca="false">BF15-BF17-BF18</f>
        <v>9818</v>
      </c>
      <c r="BG16" s="91" t="n">
        <f aca="false">BG15-BG17-BG18</f>
        <v>10006</v>
      </c>
      <c r="BH16" s="91" t="n">
        <f aca="false">BH15-BH17-BH18</f>
        <v>10177</v>
      </c>
      <c r="BI16" s="91" t="n">
        <f aca="false">BI15-BI17-BI18</f>
        <v>10335</v>
      </c>
      <c r="BJ16" s="134" t="n">
        <f aca="false">BI16</f>
        <v>10335</v>
      </c>
      <c r="BK16" s="29" t="s">
        <v>870</v>
      </c>
    </row>
    <row r="17" customFormat="false" ht="15" hidden="false" customHeight="false" outlineLevel="0" collapsed="false">
      <c r="A17" s="27" t="s">
        <v>842</v>
      </c>
      <c r="B17" s="91" t="n">
        <f aca="false">ROUND(B15*INDEX(Premissas!$C$35:$G$35,B$7),0)*IF(B$4&gt;=Premissas!$B$42,1,0)</f>
        <v>0</v>
      </c>
      <c r="C17" s="91" t="n">
        <f aca="false">ROUND(C15*INDEX(Premissas!$C$35:$G$35,C$7),0)*IF(C$4&gt;=Premissas!$B$42,1,0)</f>
        <v>0</v>
      </c>
      <c r="D17" s="91" t="n">
        <f aca="false">ROUND(D15*INDEX(Premissas!$C$35:$G$35,D$7),0)*IF(D$4&gt;=Premissas!$B$42,1,0)</f>
        <v>0</v>
      </c>
      <c r="E17" s="91" t="n">
        <f aca="false">ROUND(E15*INDEX(Premissas!$C$35:$G$35,E$7),0)*IF(E$4&gt;=Premissas!$B$42,1,0)</f>
        <v>0</v>
      </c>
      <c r="F17" s="91" t="n">
        <f aca="false">ROUND(F15*INDEX(Premissas!$C$35:$G$35,F$7),0)*IF(F$4&gt;=Premissas!$B$42,1,0)</f>
        <v>0</v>
      </c>
      <c r="G17" s="91" t="n">
        <f aca="false">ROUND(G15*INDEX(Premissas!$C$35:$G$35,G$7),0)*IF(G$4&gt;=Premissas!$B$42,1,0)</f>
        <v>0</v>
      </c>
      <c r="H17" s="91" t="n">
        <f aca="false">ROUND(H15*INDEX(Premissas!$C$35:$G$35,H$7),0)*IF(H$4&gt;=Premissas!$B$42,1,0)</f>
        <v>0</v>
      </c>
      <c r="I17" s="91" t="n">
        <f aca="false">ROUND(I15*INDEX(Premissas!$C$35:$G$35,I$7),0)*IF(I$4&gt;=Premissas!$B$42,1,0)</f>
        <v>0</v>
      </c>
      <c r="J17" s="91" t="n">
        <f aca="false">ROUND(J15*INDEX(Premissas!$C$35:$G$35,J$7),0)*IF(J$4&gt;=Premissas!$B$42,1,0)</f>
        <v>0</v>
      </c>
      <c r="K17" s="91" t="n">
        <f aca="false">ROUND(K15*INDEX(Premissas!$C$35:$G$35,K$7),0)*IF(K$4&gt;=Premissas!$B$42,1,0)</f>
        <v>0</v>
      </c>
      <c r="L17" s="91" t="n">
        <f aca="false">ROUND(L15*INDEX(Premissas!$C$35:$G$35,L$7),0)*IF(L$4&gt;=Premissas!$B$42,1,0)</f>
        <v>0</v>
      </c>
      <c r="M17" s="91" t="n">
        <f aca="false">ROUND(M15*INDEX(Premissas!$C$35:$G$35,M$7),0)*IF(M$4&gt;=Premissas!$B$42,1,0)</f>
        <v>0</v>
      </c>
      <c r="N17" s="91" t="n">
        <f aca="false">ROUND(N15*INDEX(Premissas!$C$35:$G$35,N$7),0)*IF(N$4&gt;=Premissas!$B$42,1,0)</f>
        <v>0</v>
      </c>
      <c r="O17" s="91" t="n">
        <f aca="false">ROUND(O15*INDEX(Premissas!$C$35:$G$35,O$7),0)*IF(O$4&gt;=Premissas!$B$42,1,0)</f>
        <v>0</v>
      </c>
      <c r="P17" s="91" t="n">
        <f aca="false">ROUND(P15*INDEX(Premissas!$C$35:$G$35,P$7),0)*IF(P$4&gt;=Premissas!$B$42,1,0)</f>
        <v>0</v>
      </c>
      <c r="Q17" s="91" t="n">
        <f aca="false">ROUND(Q15*INDEX(Premissas!$C$35:$G$35,Q$7),0)*IF(Q$4&gt;=Premissas!$B$42,1,0)</f>
        <v>515</v>
      </c>
      <c r="R17" s="91" t="n">
        <f aca="false">ROUND(R15*INDEX(Premissas!$C$35:$G$35,R$7),0)*IF(R$4&gt;=Premissas!$B$42,1,0)</f>
        <v>574</v>
      </c>
      <c r="S17" s="91" t="n">
        <f aca="false">ROUND(S15*INDEX(Premissas!$C$35:$G$35,S$7),0)*IF(S$4&gt;=Premissas!$B$42,1,0)</f>
        <v>627</v>
      </c>
      <c r="T17" s="91" t="n">
        <f aca="false">ROUND(T15*INDEX(Premissas!$C$35:$G$35,T$7),0)*IF(T$4&gt;=Premissas!$B$42,1,0)</f>
        <v>675</v>
      </c>
      <c r="U17" s="91" t="n">
        <f aca="false">ROUND(U15*INDEX(Premissas!$C$35:$G$35,U$7),0)*IF(U$4&gt;=Premissas!$B$42,1,0)</f>
        <v>719</v>
      </c>
      <c r="V17" s="91" t="n">
        <f aca="false">ROUND(V15*INDEX(Premissas!$C$35:$G$35,V$7),0)*IF(V$4&gt;=Premissas!$B$42,1,0)</f>
        <v>758</v>
      </c>
      <c r="W17" s="91" t="n">
        <f aca="false">ROUND(W15*INDEX(Premissas!$C$35:$G$35,W$7),0)*IF(W$4&gt;=Premissas!$B$42,1,0)</f>
        <v>794</v>
      </c>
      <c r="X17" s="91" t="n">
        <f aca="false">ROUND(X15*INDEX(Premissas!$C$35:$G$35,X$7),0)*IF(X$4&gt;=Premissas!$B$42,1,0)</f>
        <v>826</v>
      </c>
      <c r="Y17" s="91" t="n">
        <f aca="false">ROUND(Y15*INDEX(Premissas!$C$35:$G$35,Y$7),0)*IF(Y$4&gt;=Premissas!$B$42,1,0)</f>
        <v>855</v>
      </c>
      <c r="Z17" s="91" t="n">
        <f aca="false">ROUND(Z15*INDEX(Premissas!$C$35:$G$35,Z$7),0)*IF(Z$4&gt;=Premissas!$B$42,1,0)</f>
        <v>1093</v>
      </c>
      <c r="AA17" s="91" t="n">
        <f aca="false">ROUND(AA15*INDEX(Premissas!$C$35:$G$35,AA$7),0)*IF(AA$4&gt;=Premissas!$B$42,1,0)</f>
        <v>1171</v>
      </c>
      <c r="AB17" s="91" t="n">
        <f aca="false">ROUND(AB15*INDEX(Premissas!$C$35:$G$35,AB$7),0)*IF(AB$4&gt;=Premissas!$B$42,1,0)</f>
        <v>1242</v>
      </c>
      <c r="AC17" s="91" t="n">
        <f aca="false">ROUND(AC15*INDEX(Premissas!$C$35:$G$35,AC$7),0)*IF(AC$4&gt;=Premissas!$B$42,1,0)</f>
        <v>1307</v>
      </c>
      <c r="AD17" s="91" t="n">
        <f aca="false">ROUND(AD15*INDEX(Premissas!$C$35:$G$35,AD$7),0)*IF(AD$4&gt;=Premissas!$B$42,1,0)</f>
        <v>1365</v>
      </c>
      <c r="AE17" s="91" t="n">
        <f aca="false">ROUND(AE15*INDEX(Premissas!$C$35:$G$35,AE$7),0)*IF(AE$4&gt;=Premissas!$B$42,1,0)</f>
        <v>1418</v>
      </c>
      <c r="AF17" s="91" t="n">
        <f aca="false">ROUND(AF15*INDEX(Premissas!$C$35:$G$35,AF$7),0)*IF(AF$4&gt;=Premissas!$B$42,1,0)</f>
        <v>1466</v>
      </c>
      <c r="AG17" s="91" t="n">
        <f aca="false">ROUND(AG15*INDEX(Premissas!$C$35:$G$35,AG$7),0)*IF(AG$4&gt;=Premissas!$B$42,1,0)</f>
        <v>1510</v>
      </c>
      <c r="AH17" s="91" t="n">
        <f aca="false">ROUND(AH15*INDEX(Premissas!$C$35:$G$35,AH$7),0)*IF(AH$4&gt;=Premissas!$B$42,1,0)</f>
        <v>1549</v>
      </c>
      <c r="AI17" s="91" t="n">
        <f aca="false">ROUND(AI15*INDEX(Premissas!$C$35:$G$35,AI$7),0)*IF(AI$4&gt;=Premissas!$B$42,1,0)</f>
        <v>1585</v>
      </c>
      <c r="AJ17" s="91" t="n">
        <f aca="false">ROUND(AJ15*INDEX(Premissas!$C$35:$G$35,AJ$7),0)*IF(AJ$4&gt;=Premissas!$B$42,1,0)</f>
        <v>1618</v>
      </c>
      <c r="AK17" s="91" t="n">
        <f aca="false">ROUND(AK15*INDEX(Premissas!$C$35:$G$35,AK$7),0)*IF(AK$4&gt;=Premissas!$B$42,1,0)</f>
        <v>1648</v>
      </c>
      <c r="AL17" s="91" t="n">
        <f aca="false">ROUND(AL15*INDEX(Premissas!$C$35:$G$35,AL$7),0)*IF(AL$4&gt;=Premissas!$B$42,1,0)</f>
        <v>2050</v>
      </c>
      <c r="AM17" s="91" t="n">
        <f aca="false">ROUND(AM15*INDEX(Premissas!$C$35:$G$35,AM$7),0)*IF(AM$4&gt;=Premissas!$B$42,1,0)</f>
        <v>2161</v>
      </c>
      <c r="AN17" s="91" t="n">
        <f aca="false">ROUND(AN15*INDEX(Premissas!$C$35:$G$35,AN$7),0)*IF(AN$4&gt;=Premissas!$B$42,1,0)</f>
        <v>2263</v>
      </c>
      <c r="AO17" s="91" t="n">
        <f aca="false">ROUND(AO15*INDEX(Premissas!$C$35:$G$35,AO$7),0)*IF(AO$4&gt;=Premissas!$B$42,1,0)</f>
        <v>2356</v>
      </c>
      <c r="AP17" s="91" t="n">
        <f aca="false">ROUND(AP15*INDEX(Premissas!$C$35:$G$35,AP$7),0)*IF(AP$4&gt;=Premissas!$B$42,1,0)</f>
        <v>2440</v>
      </c>
      <c r="AQ17" s="91" t="n">
        <f aca="false">ROUND(AQ15*INDEX(Premissas!$C$35:$G$35,AQ$7),0)*IF(AQ$4&gt;=Premissas!$B$42,1,0)</f>
        <v>2517</v>
      </c>
      <c r="AR17" s="91" t="n">
        <f aca="false">ROUND(AR15*INDEX(Premissas!$C$35:$G$35,AR$7),0)*IF(AR$4&gt;=Premissas!$B$42,1,0)</f>
        <v>2587</v>
      </c>
      <c r="AS17" s="91" t="n">
        <f aca="false">ROUND(AS15*INDEX(Premissas!$C$35:$G$35,AS$7),0)*IF(AS$4&gt;=Premissas!$B$42,1,0)</f>
        <v>2651</v>
      </c>
      <c r="AT17" s="91" t="n">
        <f aca="false">ROUND(AT15*INDEX(Premissas!$C$35:$G$35,AT$7),0)*IF(AT$4&gt;=Premissas!$B$42,1,0)</f>
        <v>2709</v>
      </c>
      <c r="AU17" s="91" t="n">
        <f aca="false">ROUND(AU15*INDEX(Premissas!$C$35:$G$35,AU$7),0)*IF(AU$4&gt;=Premissas!$B$42,1,0)</f>
        <v>2762</v>
      </c>
      <c r="AV17" s="91" t="n">
        <f aca="false">ROUND(AV15*INDEX(Premissas!$C$35:$G$35,AV$7),0)*IF(AV$4&gt;=Premissas!$B$42,1,0)</f>
        <v>2811</v>
      </c>
      <c r="AW17" s="91" t="n">
        <f aca="false">ROUND(AW15*INDEX(Premissas!$C$35:$G$35,AW$7),0)*IF(AW$4&gt;=Premissas!$B$42,1,0)</f>
        <v>2855</v>
      </c>
      <c r="AX17" s="91" t="n">
        <f aca="false">ROUND(AX15*INDEX(Premissas!$C$35:$G$35,AX$7),0)*IF(AX$4&gt;=Premissas!$B$42,1,0)</f>
        <v>3515</v>
      </c>
      <c r="AY17" s="91" t="n">
        <f aca="false">ROUND(AY15*INDEX(Premissas!$C$35:$G$35,AY$7),0)*IF(AY$4&gt;=Premissas!$B$42,1,0)</f>
        <v>3693</v>
      </c>
      <c r="AZ17" s="91" t="n">
        <f aca="false">ROUND(AZ15*INDEX(Premissas!$C$35:$G$35,AZ$7),0)*IF(AZ$4&gt;=Premissas!$B$42,1,0)</f>
        <v>3856</v>
      </c>
      <c r="BA17" s="91" t="n">
        <f aca="false">ROUND(BA15*INDEX(Premissas!$C$35:$G$35,BA$7),0)*IF(BA$4&gt;=Premissas!$B$42,1,0)</f>
        <v>4006</v>
      </c>
      <c r="BB17" s="91" t="n">
        <f aca="false">ROUND(BB15*INDEX(Premissas!$C$35:$G$35,BB$7),0)*IF(BB$4&gt;=Premissas!$B$42,1,0)</f>
        <v>4142</v>
      </c>
      <c r="BC17" s="91" t="n">
        <f aca="false">ROUND(BC15*INDEX(Premissas!$C$35:$G$35,BC$7),0)*IF(BC$4&gt;=Premissas!$B$42,1,0)</f>
        <v>4267</v>
      </c>
      <c r="BD17" s="91" t="n">
        <f aca="false">ROUND(BD15*INDEX(Premissas!$C$35:$G$35,BD$7),0)*IF(BD$4&gt;=Premissas!$B$42,1,0)</f>
        <v>4381</v>
      </c>
      <c r="BE17" s="91" t="n">
        <f aca="false">ROUND(BE15*INDEX(Premissas!$C$35:$G$35,BE$7),0)*IF(BE$4&gt;=Premissas!$B$42,1,0)</f>
        <v>4486</v>
      </c>
      <c r="BF17" s="91" t="n">
        <f aca="false">ROUND(BF15*INDEX(Premissas!$C$35:$G$35,BF$7),0)*IF(BF$4&gt;=Premissas!$B$42,1,0)</f>
        <v>4582</v>
      </c>
      <c r="BG17" s="91" t="n">
        <f aca="false">ROUND(BG15*INDEX(Premissas!$C$35:$G$35,BG$7),0)*IF(BG$4&gt;=Premissas!$B$42,1,0)</f>
        <v>4670</v>
      </c>
      <c r="BH17" s="91" t="n">
        <f aca="false">ROUND(BH15*INDEX(Premissas!$C$35:$G$35,BH$7),0)*IF(BH$4&gt;=Premissas!$B$42,1,0)</f>
        <v>4750</v>
      </c>
      <c r="BI17" s="91" t="n">
        <f aca="false">ROUND(BI15*INDEX(Premissas!$C$35:$G$35,BI$7),0)*IF(BI$4&gt;=Premissas!$B$42,1,0)</f>
        <v>4823</v>
      </c>
      <c r="BJ17" s="134" t="n">
        <f aca="false">BI17</f>
        <v>4823</v>
      </c>
      <c r="BK17" s="29" t="s">
        <v>870</v>
      </c>
    </row>
    <row r="18" customFormat="false" ht="15" hidden="false" customHeight="false" outlineLevel="0" collapsed="false">
      <c r="A18" s="27" t="s">
        <v>843</v>
      </c>
      <c r="B18" s="91" t="n">
        <f aca="false">ROUND(B15*INDEX(Premissas!$C$36:$G$36,B$7),0)*IF(B$4&gt;=Premissas!$B$43,1,0)</f>
        <v>0</v>
      </c>
      <c r="C18" s="91" t="n">
        <f aca="false">ROUND(C15*INDEX(Premissas!$C$36:$G$36,C$7),0)*IF(C$4&gt;=Premissas!$B$43,1,0)</f>
        <v>0</v>
      </c>
      <c r="D18" s="91" t="n">
        <f aca="false">ROUND(D15*INDEX(Premissas!$C$36:$G$36,D$7),0)*IF(D$4&gt;=Premissas!$B$43,1,0)</f>
        <v>0</v>
      </c>
      <c r="E18" s="91" t="n">
        <f aca="false">ROUND(E15*INDEX(Premissas!$C$36:$G$36,E$7),0)*IF(E$4&gt;=Premissas!$B$43,1,0)</f>
        <v>0</v>
      </c>
      <c r="F18" s="91" t="n">
        <f aca="false">ROUND(F15*INDEX(Premissas!$C$36:$G$36,F$7),0)*IF(F$4&gt;=Premissas!$B$43,1,0)</f>
        <v>0</v>
      </c>
      <c r="G18" s="91" t="n">
        <f aca="false">ROUND(G15*INDEX(Premissas!$C$36:$G$36,G$7),0)*IF(G$4&gt;=Premissas!$B$43,1,0)</f>
        <v>0</v>
      </c>
      <c r="H18" s="91" t="n">
        <f aca="false">ROUND(H15*INDEX(Premissas!$C$36:$G$36,H$7),0)*IF(H$4&gt;=Premissas!$B$43,1,0)</f>
        <v>0</v>
      </c>
      <c r="I18" s="91" t="n">
        <f aca="false">ROUND(I15*INDEX(Premissas!$C$36:$G$36,I$7),0)*IF(I$4&gt;=Premissas!$B$43,1,0)</f>
        <v>0</v>
      </c>
      <c r="J18" s="91" t="n">
        <f aca="false">ROUND(J15*INDEX(Premissas!$C$36:$G$36,J$7),0)*IF(J$4&gt;=Premissas!$B$43,1,0)</f>
        <v>0</v>
      </c>
      <c r="K18" s="91" t="n">
        <f aca="false">ROUND(K15*INDEX(Premissas!$C$36:$G$36,K$7),0)*IF(K$4&gt;=Premissas!$B$43,1,0)</f>
        <v>0</v>
      </c>
      <c r="L18" s="91" t="n">
        <f aca="false">ROUND(L15*INDEX(Premissas!$C$36:$G$36,L$7),0)*IF(L$4&gt;=Premissas!$B$43,1,0)</f>
        <v>0</v>
      </c>
      <c r="M18" s="91" t="n">
        <f aca="false">ROUND(M15*INDEX(Premissas!$C$36:$G$36,M$7),0)*IF(M$4&gt;=Premissas!$B$43,1,0)</f>
        <v>0</v>
      </c>
      <c r="N18" s="91" t="n">
        <f aca="false">ROUND(N15*INDEX(Premissas!$C$36:$G$36,N$7),0)*IF(N$4&gt;=Premissas!$B$43,1,0)</f>
        <v>0</v>
      </c>
      <c r="O18" s="91" t="n">
        <f aca="false">ROUND(O15*INDEX(Premissas!$C$36:$G$36,O$7),0)*IF(O$4&gt;=Premissas!$B$43,1,0)</f>
        <v>0</v>
      </c>
      <c r="P18" s="91" t="n">
        <f aca="false">ROUND(P15*INDEX(Premissas!$C$36:$G$36,P$7),0)*IF(P$4&gt;=Premissas!$B$43,1,0)</f>
        <v>0</v>
      </c>
      <c r="Q18" s="91" t="n">
        <f aca="false">ROUND(Q15*INDEX(Premissas!$C$36:$G$36,Q$7),0)*IF(Q$4&gt;=Premissas!$B$43,1,0)</f>
        <v>0</v>
      </c>
      <c r="R18" s="91" t="n">
        <f aca="false">ROUND(R15*INDEX(Premissas!$C$36:$G$36,R$7),0)*IF(R$4&gt;=Premissas!$B$43,1,0)</f>
        <v>0</v>
      </c>
      <c r="S18" s="91" t="n">
        <f aca="false">ROUND(S15*INDEX(Premissas!$C$36:$G$36,S$7),0)*IF(S$4&gt;=Premissas!$B$43,1,0)</f>
        <v>0</v>
      </c>
      <c r="T18" s="91" t="n">
        <f aca="false">ROUND(T15*INDEX(Premissas!$C$36:$G$36,T$7),0)*IF(T$4&gt;=Premissas!$B$43,1,0)</f>
        <v>0</v>
      </c>
      <c r="U18" s="91" t="n">
        <f aca="false">ROUND(U15*INDEX(Premissas!$C$36:$G$36,U$7),0)*IF(U$4&gt;=Premissas!$B$43,1,0)</f>
        <v>0</v>
      </c>
      <c r="V18" s="91" t="n">
        <f aca="false">ROUND(V15*INDEX(Premissas!$C$36:$G$36,V$7),0)*IF(V$4&gt;=Premissas!$B$43,1,0)</f>
        <v>0</v>
      </c>
      <c r="W18" s="91" t="n">
        <f aca="false">ROUND(W15*INDEX(Premissas!$C$36:$G$36,W$7),0)*IF(W$4&gt;=Premissas!$B$43,1,0)</f>
        <v>217</v>
      </c>
      <c r="X18" s="91" t="n">
        <f aca="false">ROUND(X15*INDEX(Premissas!$C$36:$G$36,X$7),0)*IF(X$4&gt;=Premissas!$B$43,1,0)</f>
        <v>225</v>
      </c>
      <c r="Y18" s="91" t="n">
        <f aca="false">ROUND(Y15*INDEX(Premissas!$C$36:$G$36,Y$7),0)*IF(Y$4&gt;=Premissas!$B$43,1,0)</f>
        <v>233</v>
      </c>
      <c r="Z18" s="91" t="n">
        <f aca="false">ROUND(Z15*INDEX(Premissas!$C$36:$G$36,Z$7),0)*IF(Z$4&gt;=Premissas!$B$43,1,0)</f>
        <v>364</v>
      </c>
      <c r="AA18" s="91" t="n">
        <f aca="false">ROUND(AA15*INDEX(Premissas!$C$36:$G$36,AA$7),0)*IF(AA$4&gt;=Premissas!$B$43,1,0)</f>
        <v>390</v>
      </c>
      <c r="AB18" s="91" t="n">
        <f aca="false">ROUND(AB15*INDEX(Premissas!$C$36:$G$36,AB$7),0)*IF(AB$4&gt;=Premissas!$B$43,1,0)</f>
        <v>414</v>
      </c>
      <c r="AC18" s="91" t="n">
        <f aca="false">ROUND(AC15*INDEX(Premissas!$C$36:$G$36,AC$7),0)*IF(AC$4&gt;=Premissas!$B$43,1,0)</f>
        <v>436</v>
      </c>
      <c r="AD18" s="91" t="n">
        <f aca="false">ROUND(AD15*INDEX(Premissas!$C$36:$G$36,AD$7),0)*IF(AD$4&gt;=Premissas!$B$43,1,0)</f>
        <v>455</v>
      </c>
      <c r="AE18" s="91" t="n">
        <f aca="false">ROUND(AE15*INDEX(Premissas!$C$36:$G$36,AE$7),0)*IF(AE$4&gt;=Premissas!$B$43,1,0)</f>
        <v>473</v>
      </c>
      <c r="AF18" s="91" t="n">
        <f aca="false">ROUND(AF15*INDEX(Premissas!$C$36:$G$36,AF$7),0)*IF(AF$4&gt;=Premissas!$B$43,1,0)</f>
        <v>489</v>
      </c>
      <c r="AG18" s="91" t="n">
        <f aca="false">ROUND(AG15*INDEX(Premissas!$C$36:$G$36,AG$7),0)*IF(AG$4&gt;=Premissas!$B$43,1,0)</f>
        <v>503</v>
      </c>
      <c r="AH18" s="91" t="n">
        <f aca="false">ROUND(AH15*INDEX(Premissas!$C$36:$G$36,AH$7),0)*IF(AH$4&gt;=Premissas!$B$43,1,0)</f>
        <v>516</v>
      </c>
      <c r="AI18" s="91" t="n">
        <f aca="false">ROUND(AI15*INDEX(Premissas!$C$36:$G$36,AI$7),0)*IF(AI$4&gt;=Premissas!$B$43,1,0)</f>
        <v>528</v>
      </c>
      <c r="AJ18" s="91" t="n">
        <f aca="false">ROUND(AJ15*INDEX(Premissas!$C$36:$G$36,AJ$7),0)*IF(AJ$4&gt;=Premissas!$B$43,1,0)</f>
        <v>539</v>
      </c>
      <c r="AK18" s="91" t="n">
        <f aca="false">ROUND(AK15*INDEX(Premissas!$C$36:$G$36,AK$7),0)*IF(AK$4&gt;=Premissas!$B$43,1,0)</f>
        <v>549</v>
      </c>
      <c r="AL18" s="91" t="n">
        <f aca="false">ROUND(AL15*INDEX(Premissas!$C$36:$G$36,AL$7),0)*IF(AL$4&gt;=Premissas!$B$43,1,0)</f>
        <v>788</v>
      </c>
      <c r="AM18" s="91" t="n">
        <f aca="false">ROUND(AM15*INDEX(Premissas!$C$36:$G$36,AM$7),0)*IF(AM$4&gt;=Premissas!$B$43,1,0)</f>
        <v>831</v>
      </c>
      <c r="AN18" s="91" t="n">
        <f aca="false">ROUND(AN15*INDEX(Premissas!$C$36:$G$36,AN$7),0)*IF(AN$4&gt;=Premissas!$B$43,1,0)</f>
        <v>870</v>
      </c>
      <c r="AO18" s="91" t="n">
        <f aca="false">ROUND(AO15*INDEX(Premissas!$C$36:$G$36,AO$7),0)*IF(AO$4&gt;=Premissas!$B$43,1,0)</f>
        <v>906</v>
      </c>
      <c r="AP18" s="91" t="n">
        <f aca="false">ROUND(AP15*INDEX(Premissas!$C$36:$G$36,AP$7),0)*IF(AP$4&gt;=Premissas!$B$43,1,0)</f>
        <v>938</v>
      </c>
      <c r="AQ18" s="91" t="n">
        <f aca="false">ROUND(AQ15*INDEX(Premissas!$C$36:$G$36,AQ$7),0)*IF(AQ$4&gt;=Premissas!$B$43,1,0)</f>
        <v>968</v>
      </c>
      <c r="AR18" s="91" t="n">
        <f aca="false">ROUND(AR15*INDEX(Premissas!$C$36:$G$36,AR$7),0)*IF(AR$4&gt;=Premissas!$B$43,1,0)</f>
        <v>995</v>
      </c>
      <c r="AS18" s="91" t="n">
        <f aca="false">ROUND(AS15*INDEX(Premissas!$C$36:$G$36,AS$7),0)*IF(AS$4&gt;=Premissas!$B$43,1,0)</f>
        <v>1020</v>
      </c>
      <c r="AT18" s="91" t="n">
        <f aca="false">ROUND(AT15*INDEX(Premissas!$C$36:$G$36,AT$7),0)*IF(AT$4&gt;=Premissas!$B$43,1,0)</f>
        <v>1042</v>
      </c>
      <c r="AU18" s="91" t="n">
        <f aca="false">ROUND(AU15*INDEX(Premissas!$C$36:$G$36,AU$7),0)*IF(AU$4&gt;=Premissas!$B$43,1,0)</f>
        <v>1062</v>
      </c>
      <c r="AV18" s="91" t="n">
        <f aca="false">ROUND(AV15*INDEX(Premissas!$C$36:$G$36,AV$7),0)*IF(AV$4&gt;=Premissas!$B$43,1,0)</f>
        <v>1081</v>
      </c>
      <c r="AW18" s="91" t="n">
        <f aca="false">ROUND(AW15*INDEX(Premissas!$C$36:$G$36,AW$7),0)*IF(AW$4&gt;=Premissas!$B$43,1,0)</f>
        <v>1098</v>
      </c>
      <c r="AX18" s="91" t="n">
        <f aca="false">ROUND(AX15*INDEX(Premissas!$C$36:$G$36,AX$7),0)*IF(AX$4&gt;=Premissas!$B$43,1,0)</f>
        <v>1506</v>
      </c>
      <c r="AY18" s="91" t="n">
        <f aca="false">ROUND(AY15*INDEX(Premissas!$C$36:$G$36,AY$7),0)*IF(AY$4&gt;=Premissas!$B$43,1,0)</f>
        <v>1583</v>
      </c>
      <c r="AZ18" s="91" t="n">
        <f aca="false">ROUND(AZ15*INDEX(Premissas!$C$36:$G$36,AZ$7),0)*IF(AZ$4&gt;=Premissas!$B$43,1,0)</f>
        <v>1653</v>
      </c>
      <c r="BA18" s="91" t="n">
        <f aca="false">ROUND(BA15*INDEX(Premissas!$C$36:$G$36,BA$7),0)*IF(BA$4&gt;=Premissas!$B$43,1,0)</f>
        <v>1717</v>
      </c>
      <c r="BB18" s="91" t="n">
        <f aca="false">ROUND(BB15*INDEX(Premissas!$C$36:$G$36,BB$7),0)*IF(BB$4&gt;=Premissas!$B$43,1,0)</f>
        <v>1775</v>
      </c>
      <c r="BC18" s="91" t="n">
        <f aca="false">ROUND(BC15*INDEX(Premissas!$C$36:$G$36,BC$7),0)*IF(BC$4&gt;=Premissas!$B$43,1,0)</f>
        <v>1829</v>
      </c>
      <c r="BD18" s="91" t="n">
        <f aca="false">ROUND(BD15*INDEX(Premissas!$C$36:$G$36,BD$7),0)*IF(BD$4&gt;=Premissas!$B$43,1,0)</f>
        <v>1878</v>
      </c>
      <c r="BE18" s="91" t="n">
        <f aca="false">ROUND(BE15*INDEX(Premissas!$C$36:$G$36,BE$7),0)*IF(BE$4&gt;=Premissas!$B$43,1,0)</f>
        <v>1923</v>
      </c>
      <c r="BF18" s="91" t="n">
        <f aca="false">ROUND(BF15*INDEX(Premissas!$C$36:$G$36,BF$7),0)*IF(BF$4&gt;=Premissas!$B$43,1,0)</f>
        <v>1964</v>
      </c>
      <c r="BG18" s="91" t="n">
        <f aca="false">ROUND(BG15*INDEX(Premissas!$C$36:$G$36,BG$7),0)*IF(BG$4&gt;=Premissas!$B$43,1,0)</f>
        <v>2001</v>
      </c>
      <c r="BH18" s="91" t="n">
        <f aca="false">ROUND(BH15*INDEX(Premissas!$C$36:$G$36,BH$7),0)*IF(BH$4&gt;=Premissas!$B$43,1,0)</f>
        <v>2036</v>
      </c>
      <c r="BI18" s="91" t="n">
        <f aca="false">ROUND(BI15*INDEX(Premissas!$C$36:$G$36,BI$7),0)*IF(BI$4&gt;=Premissas!$B$43,1,0)</f>
        <v>2067</v>
      </c>
      <c r="BJ18" s="134" t="n">
        <f aca="false">BI18</f>
        <v>2067</v>
      </c>
      <c r="BK18" s="29" t="s">
        <v>870</v>
      </c>
    </row>
    <row r="19" customFormat="false" ht="15" hidden="false" customHeight="false" outlineLevel="0" collapsed="false">
      <c r="A19" s="27" t="s">
        <v>844</v>
      </c>
      <c r="B19" s="91" t="n">
        <f aca="false">IF(ROUND(B13*INDEX(Premissas!$C$78:$G$78,B$7),0)&gt;=Premissas!$B$79,ROUND(B13*INDEX(Premissas!$C$78:$G$78,B$7),0),0)</f>
        <v>0</v>
      </c>
      <c r="C19" s="91" t="n">
        <f aca="false">IF(ROUND(C13*INDEX(Premissas!$C$78:$G$78,C$7),0)&gt;=Premissas!$B$79,ROUND(C13*INDEX(Premissas!$C$78:$G$78,C$7),0),0)</f>
        <v>0</v>
      </c>
      <c r="D19" s="91" t="n">
        <f aca="false">IF(ROUND(D13*INDEX(Premissas!$C$78:$G$78,D$7),0)&gt;=Premissas!$B$79,ROUND(D13*INDEX(Premissas!$C$78:$G$78,D$7),0),0)</f>
        <v>0</v>
      </c>
      <c r="E19" s="91" t="n">
        <f aca="false">IF(ROUND(E13*INDEX(Premissas!$C$78:$G$78,E$7),0)&gt;=Premissas!$B$79,ROUND(E13*INDEX(Premissas!$C$78:$G$78,E$7),0),0)</f>
        <v>0</v>
      </c>
      <c r="F19" s="91" t="n">
        <f aca="false">IF(ROUND(F13*INDEX(Premissas!$C$78:$G$78,F$7),0)&gt;=Premissas!$B$79,ROUND(F13*INDEX(Premissas!$C$78:$G$78,F$7),0),0)</f>
        <v>0</v>
      </c>
      <c r="G19" s="91" t="n">
        <f aca="false">IF(ROUND(G13*INDEX(Premissas!$C$78:$G$78,G$7),0)&gt;=Premissas!$B$79,ROUND(G13*INDEX(Premissas!$C$78:$G$78,G$7),0),0)</f>
        <v>0</v>
      </c>
      <c r="H19" s="91" t="n">
        <f aca="false">IF(ROUND(H13*INDEX(Premissas!$C$78:$G$78,H$7),0)&gt;=Premissas!$B$79,ROUND(H13*INDEX(Premissas!$C$78:$G$78,H$7),0),0)</f>
        <v>0</v>
      </c>
      <c r="I19" s="91" t="n">
        <f aca="false">IF(ROUND(I13*INDEX(Premissas!$C$78:$G$78,I$7),0)&gt;=Premissas!$B$79,ROUND(I13*INDEX(Premissas!$C$78:$G$78,I$7),0),0)</f>
        <v>0</v>
      </c>
      <c r="J19" s="91" t="n">
        <f aca="false">IF(ROUND(J13*INDEX(Premissas!$C$78:$G$78,J$7),0)&gt;=Premissas!$B$79,ROUND(J13*INDEX(Premissas!$C$78:$G$78,J$7),0),0)</f>
        <v>0</v>
      </c>
      <c r="K19" s="91" t="n">
        <f aca="false">IF(ROUND(K13*INDEX(Premissas!$C$78:$G$78,K$7),0)&gt;=Premissas!$B$79,ROUND(K13*INDEX(Premissas!$C$78:$G$78,K$7),0),0)</f>
        <v>0</v>
      </c>
      <c r="L19" s="91" t="n">
        <f aca="false">IF(ROUND(L13*INDEX(Premissas!$C$78:$G$78,L$7),0)&gt;=Premissas!$B$79,ROUND(L13*INDEX(Premissas!$C$78:$G$78,L$7),0),0)</f>
        <v>0</v>
      </c>
      <c r="M19" s="91" t="n">
        <f aca="false">IF(ROUND(M13*INDEX(Premissas!$C$78:$G$78,M$7),0)&gt;=Premissas!$B$79,ROUND(M13*INDEX(Premissas!$C$78:$G$78,M$7),0),0)</f>
        <v>0</v>
      </c>
      <c r="N19" s="91" t="n">
        <f aca="false">IF(ROUND(N13*INDEX(Premissas!$C$78:$G$78,N$7),0)&gt;=Premissas!$B$79,ROUND(N13*INDEX(Premissas!$C$78:$G$78,N$7),0),0)</f>
        <v>0</v>
      </c>
      <c r="O19" s="91" t="n">
        <f aca="false">IF(ROUND(O13*INDEX(Premissas!$C$78:$G$78,O$7),0)&gt;=Premissas!$B$79,ROUND(O13*INDEX(Premissas!$C$78:$G$78,O$7),0),0)</f>
        <v>0</v>
      </c>
      <c r="P19" s="91" t="n">
        <f aca="false">IF(ROUND(P13*INDEX(Premissas!$C$78:$G$78,P$7),0)&gt;=Premissas!$B$79,ROUND(P13*INDEX(Premissas!$C$78:$G$78,P$7),0),0)</f>
        <v>0</v>
      </c>
      <c r="Q19" s="91" t="n">
        <f aca="false">IF(ROUND(Q13*INDEX(Premissas!$C$78:$G$78,Q$7),0)&gt;=Premissas!$B$79,ROUND(Q13*INDEX(Premissas!$C$78:$G$78,Q$7),0),0)</f>
        <v>0</v>
      </c>
      <c r="R19" s="91" t="n">
        <f aca="false">IF(ROUND(R13*INDEX(Premissas!$C$78:$G$78,R$7),0)&gt;=Premissas!$B$79,ROUND(R13*INDEX(Premissas!$C$78:$G$78,R$7),0),0)</f>
        <v>0</v>
      </c>
      <c r="S19" s="91" t="n">
        <f aca="false">IF(ROUND(S13*INDEX(Premissas!$C$78:$G$78,S$7),0)&gt;=Premissas!$B$79,ROUND(S13*INDEX(Premissas!$C$78:$G$78,S$7),0),0)</f>
        <v>0</v>
      </c>
      <c r="T19" s="91" t="n">
        <f aca="false">IF(ROUND(T13*INDEX(Premissas!$C$78:$G$78,T$7),0)&gt;=Premissas!$B$79,ROUND(T13*INDEX(Premissas!$C$78:$G$78,T$7),0),0)</f>
        <v>0</v>
      </c>
      <c r="U19" s="91" t="n">
        <f aca="false">IF(ROUND(U13*INDEX(Premissas!$C$78:$G$78,U$7),0)&gt;=Premissas!$B$79,ROUND(U13*INDEX(Premissas!$C$78:$G$78,U$7),0),0)</f>
        <v>0</v>
      </c>
      <c r="V19" s="91" t="n">
        <f aca="false">IF(ROUND(V13*INDEX(Premissas!$C$78:$G$78,V$7),0)&gt;=Premissas!$B$79,ROUND(V13*INDEX(Premissas!$C$78:$G$78,V$7),0),0)</f>
        <v>0</v>
      </c>
      <c r="W19" s="91" t="n">
        <f aca="false">IF(ROUND(W13*INDEX(Premissas!$C$78:$G$78,W$7),0)&gt;=Premissas!$B$79,ROUND(W13*INDEX(Premissas!$C$78:$G$78,W$7),0),0)</f>
        <v>0</v>
      </c>
      <c r="X19" s="91" t="n">
        <f aca="false">IF(ROUND(X13*INDEX(Premissas!$C$78:$G$78,X$7),0)&gt;=Premissas!$B$79,ROUND(X13*INDEX(Premissas!$C$78:$G$78,X$7),0),0)</f>
        <v>0</v>
      </c>
      <c r="Y19" s="91" t="n">
        <f aca="false">IF(ROUND(Y13*INDEX(Premissas!$C$78:$G$78,Y$7),0)&gt;=Premissas!$B$79,ROUND(Y13*INDEX(Premissas!$C$78:$G$78,Y$7),0),0)</f>
        <v>0</v>
      </c>
      <c r="Z19" s="91" t="n">
        <f aca="false">IF(ROUND(Z13*INDEX(Premissas!$C$78:$G$78,Z$7),0)&gt;=Premissas!$B$79,ROUND(Z13*INDEX(Premissas!$C$78:$G$78,Z$7),0),0)</f>
        <v>0</v>
      </c>
      <c r="AA19" s="91" t="n">
        <f aca="false">IF(ROUND(AA13*INDEX(Premissas!$C$78:$G$78,AA$7),0)&gt;=Premissas!$B$79,ROUND(AA13*INDEX(Premissas!$C$78:$G$78,AA$7),0),0)</f>
        <v>0</v>
      </c>
      <c r="AB19" s="91" t="n">
        <f aca="false">IF(ROUND(AB13*INDEX(Premissas!$C$78:$G$78,AB$7),0)&gt;=Premissas!$B$79,ROUND(AB13*INDEX(Premissas!$C$78:$G$78,AB$7),0),0)</f>
        <v>0</v>
      </c>
      <c r="AC19" s="91" t="n">
        <f aca="false">IF(ROUND(AC13*INDEX(Premissas!$C$78:$G$78,AC$7),0)&gt;=Premissas!$B$79,ROUND(AC13*INDEX(Premissas!$C$78:$G$78,AC$7),0),0)</f>
        <v>0</v>
      </c>
      <c r="AD19" s="91" t="n">
        <f aca="false">IF(ROUND(AD13*INDEX(Premissas!$C$78:$G$78,AD$7),0)&gt;=Premissas!$B$79,ROUND(AD13*INDEX(Premissas!$C$78:$G$78,AD$7),0),0)</f>
        <v>0</v>
      </c>
      <c r="AE19" s="91" t="n">
        <f aca="false">IF(ROUND(AE13*INDEX(Premissas!$C$78:$G$78,AE$7),0)&gt;=Premissas!$B$79,ROUND(AE13*INDEX(Premissas!$C$78:$G$78,AE$7),0),0)</f>
        <v>0</v>
      </c>
      <c r="AF19" s="91" t="n">
        <f aca="false">IF(ROUND(AF13*INDEX(Premissas!$C$78:$G$78,AF$7),0)&gt;=Premissas!$B$79,ROUND(AF13*INDEX(Premissas!$C$78:$G$78,AF$7),0),0)</f>
        <v>0</v>
      </c>
      <c r="AG19" s="91" t="n">
        <f aca="false">IF(ROUND(AG13*INDEX(Premissas!$C$78:$G$78,AG$7),0)&gt;=Premissas!$B$79,ROUND(AG13*INDEX(Premissas!$C$78:$G$78,AG$7),0),0)</f>
        <v>0</v>
      </c>
      <c r="AH19" s="91" t="n">
        <f aca="false">IF(ROUND(AH13*INDEX(Premissas!$C$78:$G$78,AH$7),0)&gt;=Premissas!$B$79,ROUND(AH13*INDEX(Premissas!$C$78:$G$78,AH$7),0),0)</f>
        <v>0</v>
      </c>
      <c r="AI19" s="91" t="n">
        <f aca="false">IF(ROUND(AI13*INDEX(Premissas!$C$78:$G$78,AI$7),0)&gt;=Premissas!$B$79,ROUND(AI13*INDEX(Premissas!$C$78:$G$78,AI$7),0),0)</f>
        <v>0</v>
      </c>
      <c r="AJ19" s="91" t="n">
        <f aca="false">IF(ROUND(AJ13*INDEX(Premissas!$C$78:$G$78,AJ$7),0)&gt;=Premissas!$B$79,ROUND(AJ13*INDEX(Premissas!$C$78:$G$78,AJ$7),0),0)</f>
        <v>0</v>
      </c>
      <c r="AK19" s="91" t="n">
        <f aca="false">IF(ROUND(AK13*INDEX(Premissas!$C$78:$G$78,AK$7),0)&gt;=Premissas!$B$79,ROUND(AK13*INDEX(Premissas!$C$78:$G$78,AK$7),0),0)</f>
        <v>0</v>
      </c>
      <c r="AL19" s="91" t="n">
        <f aca="false">IF(ROUND(AL13*INDEX(Premissas!$C$78:$G$78,AL$7),0)&gt;=Premissas!$B$79,ROUND(AL13*INDEX(Premissas!$C$78:$G$78,AL$7),0),0)</f>
        <v>0</v>
      </c>
      <c r="AM19" s="91" t="n">
        <f aca="false">IF(ROUND(AM13*INDEX(Premissas!$C$78:$G$78,AM$7),0)&gt;=Premissas!$B$79,ROUND(AM13*INDEX(Premissas!$C$78:$G$78,AM$7),0),0)</f>
        <v>0</v>
      </c>
      <c r="AN19" s="91" t="n">
        <f aca="false">IF(ROUND(AN13*INDEX(Premissas!$C$78:$G$78,AN$7),0)&gt;=Premissas!$B$79,ROUND(AN13*INDEX(Premissas!$C$78:$G$78,AN$7),0),0)</f>
        <v>0</v>
      </c>
      <c r="AO19" s="91" t="n">
        <f aca="false">IF(ROUND(AO13*INDEX(Premissas!$C$78:$G$78,AO$7),0)&gt;=Premissas!$B$79,ROUND(AO13*INDEX(Premissas!$C$78:$G$78,AO$7),0),0)</f>
        <v>76712</v>
      </c>
      <c r="AP19" s="91" t="n">
        <f aca="false">IF(ROUND(AP13*INDEX(Premissas!$C$78:$G$78,AP$7),0)&gt;=Premissas!$B$79,ROUND(AP13*INDEX(Premissas!$C$78:$G$78,AP$7),0),0)</f>
        <v>79461</v>
      </c>
      <c r="AQ19" s="91" t="n">
        <f aca="false">IF(ROUND(AQ13*INDEX(Premissas!$C$78:$G$78,AQ$7),0)&gt;=Premissas!$B$79,ROUND(AQ13*INDEX(Premissas!$C$78:$G$78,AQ$7),0),0)</f>
        <v>81967</v>
      </c>
      <c r="AR19" s="91" t="n">
        <f aca="false">IF(ROUND(AR13*INDEX(Premissas!$C$78:$G$78,AR$7),0)&gt;=Premissas!$B$79,ROUND(AR13*INDEX(Premissas!$C$78:$G$78,AR$7),0),0)</f>
        <v>84251</v>
      </c>
      <c r="AS19" s="91" t="n">
        <f aca="false">IF(ROUND(AS13*INDEX(Premissas!$C$78:$G$78,AS$7),0)&gt;=Premissas!$B$79,ROUND(AS13*INDEX(Premissas!$C$78:$G$78,AS$7),0),0)</f>
        <v>86333</v>
      </c>
      <c r="AT19" s="91" t="n">
        <f aca="false">IF(ROUND(AT13*INDEX(Premissas!$C$78:$G$78,AT$7),0)&gt;=Premissas!$B$79,ROUND(AT13*INDEX(Premissas!$C$78:$G$78,AT$7),0),0)</f>
        <v>88231</v>
      </c>
      <c r="AU19" s="91" t="n">
        <f aca="false">IF(ROUND(AU13*INDEX(Premissas!$C$78:$G$78,AU$7),0)&gt;=Premissas!$B$79,ROUND(AU13*INDEX(Premissas!$C$78:$G$78,AU$7),0),0)</f>
        <v>89960</v>
      </c>
      <c r="AV19" s="91" t="n">
        <f aca="false">IF(ROUND(AV13*INDEX(Premissas!$C$78:$G$78,AV$7),0)&gt;=Premissas!$B$79,ROUND(AV13*INDEX(Premissas!$C$78:$G$78,AV$7),0),0)</f>
        <v>91537</v>
      </c>
      <c r="AW19" s="91" t="n">
        <f aca="false">IF(ROUND(AW13*INDEX(Premissas!$C$78:$G$78,AW$7),0)&gt;=Premissas!$B$79,ROUND(AW13*INDEX(Premissas!$C$78:$G$78,AW$7),0),0)</f>
        <v>92975</v>
      </c>
      <c r="AX19" s="91" t="n">
        <f aca="false">IF(ROUND(AX13*INDEX(Premissas!$C$78:$G$78,AX$7),0)&gt;=Premissas!$B$79,ROUND(AX13*INDEX(Premissas!$C$78:$G$78,AX$7),0),0)</f>
        <v>107656</v>
      </c>
      <c r="AY19" s="91" t="n">
        <f aca="false">IF(ROUND(AY13*INDEX(Premissas!$C$78:$G$78,AY$7),0)&gt;=Premissas!$B$79,ROUND(AY13*INDEX(Premissas!$C$78:$G$78,AY$7),0),0)</f>
        <v>113114</v>
      </c>
      <c r="AZ19" s="91" t="n">
        <f aca="false">IF(ROUND(AZ13*INDEX(Premissas!$C$78:$G$78,AZ$7),0)&gt;=Premissas!$B$79,ROUND(AZ13*INDEX(Premissas!$C$78:$G$78,AZ$7),0),0)</f>
        <v>118109</v>
      </c>
      <c r="BA19" s="91" t="n">
        <f aca="false">IF(ROUND(BA13*INDEX(Premissas!$C$78:$G$78,BA$7),0)&gt;=Premissas!$B$79,ROUND(BA13*INDEX(Premissas!$C$78:$G$78,BA$7),0),0)</f>
        <v>122679</v>
      </c>
      <c r="BB19" s="91" t="n">
        <f aca="false">IF(ROUND(BB13*INDEX(Premissas!$C$78:$G$78,BB$7),0)&gt;=Premissas!$B$79,ROUND(BB13*INDEX(Premissas!$C$78:$G$78,BB$7),0),0)</f>
        <v>126861</v>
      </c>
      <c r="BC19" s="91" t="n">
        <f aca="false">IF(ROUND(BC13*INDEX(Premissas!$C$78:$G$78,BC$7),0)&gt;=Premissas!$B$79,ROUND(BC13*INDEX(Premissas!$C$78:$G$78,BC$7),0),0)</f>
        <v>130688</v>
      </c>
      <c r="BD19" s="91" t="n">
        <f aca="false">IF(ROUND(BD13*INDEX(Premissas!$C$78:$G$78,BD$7),0)&gt;=Premissas!$B$79,ROUND(BD13*INDEX(Premissas!$C$78:$G$78,BD$7),0),0)</f>
        <v>134190</v>
      </c>
      <c r="BE19" s="91" t="n">
        <f aca="false">IF(ROUND(BE13*INDEX(Premissas!$C$78:$G$78,BE$7),0)&gt;=Premissas!$B$79,ROUND(BE13*INDEX(Premissas!$C$78:$G$78,BE$7),0),0)</f>
        <v>137395</v>
      </c>
      <c r="BF19" s="91" t="n">
        <f aca="false">IF(ROUND(BF13*INDEX(Premissas!$C$78:$G$78,BF$7),0)&gt;=Premissas!$B$79,ROUND(BF13*INDEX(Premissas!$C$78:$G$78,BF$7),0),0)</f>
        <v>140327</v>
      </c>
      <c r="BG19" s="91" t="n">
        <f aca="false">IF(ROUND(BG13*INDEX(Premissas!$C$78:$G$78,BG$7),0)&gt;=Premissas!$B$79,ROUND(BG13*INDEX(Premissas!$C$78:$G$78,BG$7),0),0)</f>
        <v>143010</v>
      </c>
      <c r="BH19" s="91" t="n">
        <f aca="false">IF(ROUND(BH13*INDEX(Premissas!$C$78:$G$78,BH$7),0)&gt;=Premissas!$B$79,ROUND(BH13*INDEX(Premissas!$C$78:$G$78,BH$7),0),0)</f>
        <v>145466</v>
      </c>
      <c r="BI19" s="91" t="n">
        <f aca="false">IF(ROUND(BI13*INDEX(Premissas!$C$78:$G$78,BI$7),0)&gt;=Premissas!$B$79,ROUND(BI13*INDEX(Premissas!$C$78:$G$78,BI$7),0),0)</f>
        <v>147713</v>
      </c>
      <c r="BJ19" s="134" t="n">
        <f aca="false">BI19</f>
        <v>147713</v>
      </c>
      <c r="BK19" s="29" t="s">
        <v>870</v>
      </c>
    </row>
    <row r="20" customFormat="false" ht="15" hidden="false" customHeight="false" outlineLevel="0" collapsed="false">
      <c r="A20" s="27" t="s">
        <v>872</v>
      </c>
      <c r="B20" s="60" t="n">
        <f aca="false">B16*Premissas!$B$29*(1+Premissas!$B$32)^(B$6-2026)</f>
        <v>0</v>
      </c>
      <c r="C20" s="60" t="n">
        <f aca="false">C16*Premissas!$B$29*(1+Premissas!$B$32)^(C$6-2026)</f>
        <v>0</v>
      </c>
      <c r="D20" s="60" t="n">
        <f aca="false">D16*Premissas!$B$29*(1+Premissas!$B$32)^(D$6-2026)</f>
        <v>0</v>
      </c>
      <c r="E20" s="60" t="n">
        <f aca="false">E16*Premissas!$B$29*(1+Premissas!$B$32)^(E$6-2026)</f>
        <v>0</v>
      </c>
      <c r="F20" s="60" t="n">
        <f aca="false">F16*Premissas!$B$29*(1+Premissas!$B$32)^(F$6-2026)</f>
        <v>0</v>
      </c>
      <c r="G20" s="60" t="n">
        <f aca="false">G16*Premissas!$B$29*(1+Premissas!$B$32)^(G$6-2026)</f>
        <v>0</v>
      </c>
      <c r="H20" s="60" t="n">
        <f aca="false">H16*Premissas!$B$29*(1+Premissas!$B$32)^(H$6-2026)</f>
        <v>0</v>
      </c>
      <c r="I20" s="60" t="n">
        <f aca="false">I16*Premissas!$B$29*(1+Premissas!$B$32)^(I$6-2026)</f>
        <v>0</v>
      </c>
      <c r="J20" s="60" t="n">
        <f aca="false">J16*Premissas!$B$29*(1+Premissas!$B$32)^(J$6-2026)</f>
        <v>0</v>
      </c>
      <c r="K20" s="60" t="n">
        <f aca="false">K16*Premissas!$B$29*(1+Premissas!$B$32)^(K$6-2026)</f>
        <v>1074.6</v>
      </c>
      <c r="L20" s="60" t="n">
        <f aca="false">L16*Premissas!$B$29*(1+Premissas!$B$32)^(L$6-2026)</f>
        <v>4099.4</v>
      </c>
      <c r="M20" s="60" t="n">
        <f aca="false">M16*Premissas!$B$29*(1+Premissas!$B$32)^(M$6-2026)</f>
        <v>8775.9</v>
      </c>
      <c r="N20" s="60" t="n">
        <f aca="false">N16*Premissas!$B$29*(1+Premissas!$B$32)^(N$6-2026)</f>
        <v>18778.3365</v>
      </c>
      <c r="O20" s="60" t="n">
        <f aca="false">O16*Premissas!$B$29*(1+Premissas!$B$32)^(O$6-2026)</f>
        <v>29758.3605</v>
      </c>
      <c r="P20" s="60" t="n">
        <f aca="false">P16*Premissas!$B$29*(1+Premissas!$B$32)^(P$6-2026)</f>
        <v>42526.7975</v>
      </c>
      <c r="Q20" s="60" t="n">
        <f aca="false">Q16*Premissas!$B$29*(1+Premissas!$B$32)^(Q$6-2026)</f>
        <v>37972.583</v>
      </c>
      <c r="R20" s="60" t="n">
        <f aca="false">R16*Premissas!$B$29*(1+Premissas!$B$32)^(R$6-2026)</f>
        <v>42318.8425</v>
      </c>
      <c r="S20" s="60" t="n">
        <f aca="false">S16*Premissas!$B$29*(1+Premissas!$B$32)^(S$6-2026)</f>
        <v>46249.192</v>
      </c>
      <c r="T20" s="60" t="n">
        <f aca="false">T16*Premissas!$B$29*(1+Premissas!$B$32)^(T$6-2026)</f>
        <v>49805.2225</v>
      </c>
      <c r="U20" s="60" t="n">
        <f aca="false">U16*Premissas!$B$29*(1+Premissas!$B$32)^(U$6-2026)</f>
        <v>53007.7295</v>
      </c>
      <c r="V20" s="60" t="n">
        <f aca="false">V16*Premissas!$B$29*(1+Premissas!$B$32)^(V$6-2026)</f>
        <v>55919.0995</v>
      </c>
      <c r="W20" s="60" t="n">
        <f aca="false">W16*Premissas!$B$29*(1+Premissas!$B$32)^(W$6-2026)</f>
        <v>54026.709</v>
      </c>
      <c r="X20" s="60" t="n">
        <f aca="false">X16*Premissas!$B$29*(1+Premissas!$B$32)^(X$6-2026)</f>
        <v>56231.032</v>
      </c>
      <c r="Y20" s="60" t="n">
        <f aca="false">Y16*Premissas!$B$29*(1+Premissas!$B$32)^(Y$6-2026)</f>
        <v>58206.6045</v>
      </c>
      <c r="Z20" s="60" t="n">
        <f aca="false">Z16*Premissas!$B$29*(1+Premissas!$B$32)^(Z$6-2026)</f>
        <v>67345.2909525</v>
      </c>
      <c r="AA20" s="60" t="n">
        <f aca="false">AA16*Premissas!$B$29*(1+Premissas!$B$32)^(AA$6-2026)</f>
        <v>72147.9077</v>
      </c>
      <c r="AB20" s="60" t="n">
        <f aca="false">AB16*Premissas!$B$29*(1+Premissas!$B$32)^(AB$6-2026)</f>
        <v>76494.1672</v>
      </c>
      <c r="AC20" s="60" t="n">
        <f aca="false">AC16*Premissas!$B$29*(1+Premissas!$B$32)^(AC$6-2026)</f>
        <v>80427.5320475</v>
      </c>
      <c r="AD20" s="60" t="n">
        <f aca="false">AD16*Premissas!$B$29*(1+Premissas!$B$32)^(AD$6-2026)</f>
        <v>84034.9274325</v>
      </c>
      <c r="AE20" s="60" t="n">
        <f aca="false">AE16*Premissas!$B$29*(1+Premissas!$B$32)^(AE$6-2026)</f>
        <v>87272.89076</v>
      </c>
      <c r="AF20" s="60" t="n">
        <f aca="false">AF16*Premissas!$B$29*(1+Premissas!$B$32)^(AF$6-2026)</f>
        <v>90250.0785175</v>
      </c>
      <c r="AG20" s="60" t="n">
        <f aca="false">AG16*Premissas!$B$29*(1+Premissas!$B$32)^(AG$6-2026)</f>
        <v>92944.7594075</v>
      </c>
      <c r="AH20" s="60" t="n">
        <f aca="false">AH16*Premissas!$B$29*(1+Premissas!$B$32)^(AH$6-2026)</f>
        <v>95400.396025</v>
      </c>
      <c r="AI20" s="60" t="n">
        <f aca="false">AI16*Premissas!$B$29*(1+Premissas!$B$32)^(AI$6-2026)</f>
        <v>97616.98837</v>
      </c>
      <c r="AJ20" s="60" t="n">
        <f aca="false">AJ16*Premissas!$B$29*(1+Premissas!$B$32)^(AJ$6-2026)</f>
        <v>99616.26774</v>
      </c>
      <c r="AK20" s="60" t="n">
        <f aca="false">AK16*Premissas!$B$29*(1+Premissas!$B$32)^(AK$6-2026)</f>
        <v>101441.69673</v>
      </c>
      <c r="AL20" s="60" t="n">
        <f aca="false">AL16*Premissas!$B$29*(1+Premissas!$B$32)^(AL$6-2026)</f>
        <v>114590.652908325</v>
      </c>
      <c r="AM20" s="60" t="n">
        <f aca="false">AM16*Premissas!$B$29*(1+Premissas!$B$32)^(AM$6-2026)</f>
        <v>120835.684527387</v>
      </c>
      <c r="AN20" s="60" t="n">
        <f aca="false">AN16*Premissas!$B$29*(1+Premissas!$B$32)^(AN$6-2026)</f>
        <v>126490.276793375</v>
      </c>
      <c r="AO20" s="60" t="n">
        <f aca="false">AO16*Premissas!$B$29*(1+Premissas!$B$32)^(AO$6-2026)</f>
        <v>131667.975735725</v>
      </c>
      <c r="AP20" s="60" t="n">
        <f aca="false">AP16*Premissas!$B$29*(1+Premissas!$B$32)^(AP$6-2026)</f>
        <v>136391.490560325</v>
      </c>
      <c r="AQ20" s="60" t="n">
        <f aca="false">AQ16*Premissas!$B$29*(1+Premissas!$B$32)^(AQ$6-2026)</f>
        <v>140683.530473062</v>
      </c>
      <c r="AR20" s="60" t="n">
        <f aca="false">AR16*Premissas!$B$29*(1+Premissas!$B$32)^(AR$6-2026)</f>
        <v>144612.2230916</v>
      </c>
      <c r="AS20" s="60" t="n">
        <f aca="false">AS16*Premissas!$B$29*(1+Premissas!$B$32)^(AS$6-2026)</f>
        <v>148177.568415937</v>
      </c>
      <c r="AT20" s="60" t="n">
        <f aca="false">AT16*Premissas!$B$29*(1+Premissas!$B$32)^(AT$6-2026)</f>
        <v>151447.694063737</v>
      </c>
      <c r="AU20" s="60" t="n">
        <f aca="false">AU16*Premissas!$B$29*(1+Premissas!$B$32)^(AU$6-2026)</f>
        <v>154422.600035</v>
      </c>
      <c r="AV20" s="60" t="n">
        <f aca="false">AV16*Premissas!$B$29*(1+Premissas!$B$32)^(AV$6-2026)</f>
        <v>157102.286329725</v>
      </c>
      <c r="AW20" s="60" t="n">
        <f aca="false">AW16*Premissas!$B$29*(1+Premissas!$B$32)^(AW$6-2026)</f>
        <v>159577.589771462</v>
      </c>
      <c r="AX20" s="60" t="n">
        <f aca="false">AX16*Premissas!$B$29*(1+Premissas!$B$32)^(AX$6-2026)</f>
        <v>178766.528108312</v>
      </c>
      <c r="AY20" s="60" t="n">
        <f aca="false">AY16*Premissas!$B$29*(1+Premissas!$B$32)^(AY$6-2026)</f>
        <v>187831.816006543</v>
      </c>
      <c r="AZ20" s="60" t="n">
        <f aca="false">AZ16*Premissas!$B$29*(1+Premissas!$B$32)^(AZ$6-2026)</f>
        <v>196113.976939743</v>
      </c>
      <c r="BA20" s="60" t="n">
        <f aca="false">BA16*Premissas!$B$29*(1+Premissas!$B$32)^(BA$6-2026)</f>
        <v>203684.204268371</v>
      </c>
      <c r="BB20" s="60" t="n">
        <f aca="false">BB16*Premissas!$B$29*(1+Premissas!$B$32)^(BB$6-2026)</f>
        <v>210661.153593188</v>
      </c>
      <c r="BC20" s="60" t="n">
        <f aca="false">BC16*Premissas!$B$29*(1+Premissas!$B$32)^(BC$6-2026)</f>
        <v>216997.362673888</v>
      </c>
      <c r="BD20" s="60" t="n">
        <f aca="false">BD16*Premissas!$B$29*(1+Premissas!$B$32)^(BD$6-2026)</f>
        <v>222811.487111236</v>
      </c>
      <c r="BE20" s="60" t="n">
        <f aca="false">BE16*Premissas!$B$29*(1+Premissas!$B$32)^(BE$6-2026)</f>
        <v>228127.258025382</v>
      </c>
      <c r="BF20" s="60" t="n">
        <f aca="false">BF16*Premissas!$B$29*(1+Premissas!$B$32)^(BF$6-2026)</f>
        <v>232992.137656631</v>
      </c>
      <c r="BG20" s="60" t="n">
        <f aca="false">BG16*Premissas!$B$29*(1+Premissas!$B$32)^(BG$6-2026)</f>
        <v>237453.58824529</v>
      </c>
      <c r="BH20" s="60" t="n">
        <f aca="false">BH16*Premissas!$B$29*(1+Premissas!$B$32)^(BH$6-2026)</f>
        <v>241511.609791356</v>
      </c>
      <c r="BI20" s="60" t="n">
        <f aca="false">BI16*Premissas!$B$29*(1+Premissas!$B$32)^(BI$6-2026)</f>
        <v>245261.126775441</v>
      </c>
      <c r="BJ20" s="61" t="n">
        <f aca="false">SUM(B20:BI20)</f>
        <v>5891955.13378354</v>
      </c>
    </row>
    <row r="21" customFormat="false" ht="15" hidden="false" customHeight="false" outlineLevel="0" collapsed="false">
      <c r="A21" s="27" t="s">
        <v>873</v>
      </c>
      <c r="B21" s="60" t="n">
        <f aca="false">B17*Premissas!$B$30*(1+Premissas!$B$32)^(B$6-2026)</f>
        <v>0</v>
      </c>
      <c r="C21" s="60" t="n">
        <f aca="false">C17*Premissas!$B$30*(1+Premissas!$B$32)^(C$6-2026)</f>
        <v>0</v>
      </c>
      <c r="D21" s="60" t="n">
        <f aca="false">D17*Premissas!$B$30*(1+Premissas!$B$32)^(D$6-2026)</f>
        <v>0</v>
      </c>
      <c r="E21" s="60" t="n">
        <f aca="false">E17*Premissas!$B$30*(1+Premissas!$B$32)^(E$6-2026)</f>
        <v>0</v>
      </c>
      <c r="F21" s="60" t="n">
        <f aca="false">F17*Premissas!$B$30*(1+Premissas!$B$32)^(F$6-2026)</f>
        <v>0</v>
      </c>
      <c r="G21" s="60" t="n">
        <f aca="false">G17*Premissas!$B$30*(1+Premissas!$B$32)^(G$6-2026)</f>
        <v>0</v>
      </c>
      <c r="H21" s="60" t="n">
        <f aca="false">H17*Premissas!$B$30*(1+Premissas!$B$32)^(H$6-2026)</f>
        <v>0</v>
      </c>
      <c r="I21" s="60" t="n">
        <f aca="false">I17*Premissas!$B$30*(1+Premissas!$B$32)^(I$6-2026)</f>
        <v>0</v>
      </c>
      <c r="J21" s="60" t="n">
        <f aca="false">J17*Premissas!$B$30*(1+Premissas!$B$32)^(J$6-2026)</f>
        <v>0</v>
      </c>
      <c r="K21" s="60" t="n">
        <f aca="false">K17*Premissas!$B$30*(1+Premissas!$B$32)^(K$6-2026)</f>
        <v>0</v>
      </c>
      <c r="L21" s="60" t="n">
        <f aca="false">L17*Premissas!$B$30*(1+Premissas!$B$32)^(L$6-2026)</f>
        <v>0</v>
      </c>
      <c r="M21" s="60" t="n">
        <f aca="false">M17*Premissas!$B$30*(1+Premissas!$B$32)^(M$6-2026)</f>
        <v>0</v>
      </c>
      <c r="N21" s="60" t="n">
        <f aca="false">N17*Premissas!$B$30*(1+Premissas!$B$32)^(N$6-2026)</f>
        <v>0</v>
      </c>
      <c r="O21" s="60" t="n">
        <f aca="false">O17*Premissas!$B$30*(1+Premissas!$B$32)^(O$6-2026)</f>
        <v>0</v>
      </c>
      <c r="P21" s="60" t="n">
        <f aca="false">P17*Premissas!$B$30*(1+Premissas!$B$32)^(P$6-2026)</f>
        <v>0</v>
      </c>
      <c r="Q21" s="60" t="n">
        <f aca="false">Q17*Premissas!$B$30*(1+Premissas!$B$32)^(Q$6-2026)</f>
        <v>21473.1825</v>
      </c>
      <c r="R21" s="60" t="n">
        <f aca="false">R17*Premissas!$B$30*(1+Premissas!$B$32)^(R$6-2026)</f>
        <v>23933.217</v>
      </c>
      <c r="S21" s="60" t="n">
        <f aca="false">S17*Premissas!$B$30*(1+Premissas!$B$32)^(S$6-2026)</f>
        <v>26143.0785</v>
      </c>
      <c r="T21" s="60" t="n">
        <f aca="false">T17*Premissas!$B$30*(1+Premissas!$B$32)^(T$6-2026)</f>
        <v>28144.4625</v>
      </c>
      <c r="U21" s="60" t="n">
        <f aca="false">U17*Premissas!$B$30*(1+Premissas!$B$32)^(U$6-2026)</f>
        <v>29979.0645</v>
      </c>
      <c r="V21" s="60" t="n">
        <f aca="false">V17*Premissas!$B$30*(1+Premissas!$B$32)^(V$6-2026)</f>
        <v>31605.189</v>
      </c>
      <c r="W21" s="60" t="n">
        <f aca="false">W17*Premissas!$B$30*(1+Premissas!$B$32)^(W$6-2026)</f>
        <v>33106.227</v>
      </c>
      <c r="X21" s="60" t="n">
        <f aca="false">X17*Premissas!$B$30*(1+Premissas!$B$32)^(X$6-2026)</f>
        <v>34440.483</v>
      </c>
      <c r="Y21" s="60" t="n">
        <f aca="false">Y17*Premissas!$B$30*(1+Premissas!$B$32)^(Y$6-2026)</f>
        <v>35649.6525</v>
      </c>
      <c r="Z21" s="60" t="n">
        <f aca="false">Z17*Premissas!$B$30*(1+Premissas!$B$32)^(Z$6-2026)</f>
        <v>47623.9746675</v>
      </c>
      <c r="AA21" s="60" t="n">
        <f aca="false">AA17*Premissas!$B$30*(1+Premissas!$B$32)^(AA$6-2026)</f>
        <v>51022.5748725</v>
      </c>
      <c r="AB21" s="60" t="n">
        <f aca="false">AB17*Premissas!$B$30*(1+Premissas!$B$32)^(AB$6-2026)</f>
        <v>54116.172495</v>
      </c>
      <c r="AC21" s="60" t="n">
        <f aca="false">AC17*Premissas!$B$30*(1+Premissas!$B$32)^(AC$6-2026)</f>
        <v>56948.3393325</v>
      </c>
      <c r="AD21" s="60" t="n">
        <f aca="false">AD17*Premissas!$B$30*(1+Premissas!$B$32)^(AD$6-2026)</f>
        <v>59475.5035875</v>
      </c>
      <c r="AE21" s="60" t="n">
        <f aca="false">AE17*Premissas!$B$30*(1+Premissas!$B$32)^(AE$6-2026)</f>
        <v>61784.808855</v>
      </c>
      <c r="AF21" s="60" t="n">
        <f aca="false">AF17*Premissas!$B$30*(1+Premissas!$B$32)^(AF$6-2026)</f>
        <v>63876.255135</v>
      </c>
      <c r="AG21" s="60" t="n">
        <f aca="false">AG17*Premissas!$B$30*(1+Premissas!$B$32)^(AG$6-2026)</f>
        <v>65793.414225</v>
      </c>
      <c r="AH21" s="60" t="n">
        <f aca="false">AH17*Premissas!$B$30*(1+Premissas!$B$32)^(AH$6-2026)</f>
        <v>67492.7143275</v>
      </c>
      <c r="AI21" s="60" t="n">
        <f aca="false">AI17*Premissas!$B$30*(1+Premissas!$B$32)^(AI$6-2026)</f>
        <v>69061.2990375</v>
      </c>
      <c r="AJ21" s="60" t="n">
        <f aca="false">AJ17*Premissas!$B$30*(1+Premissas!$B$32)^(AJ$6-2026)</f>
        <v>70499.168355</v>
      </c>
      <c r="AK21" s="60" t="n">
        <f aca="false">AK17*Premissas!$B$30*(1+Premissas!$B$32)^(AK$6-2026)</f>
        <v>71806.32228</v>
      </c>
      <c r="AL21" s="60" t="n">
        <f aca="false">AL17*Premissas!$B$30*(1+Premissas!$B$32)^(AL$6-2026)</f>
        <v>93341.683194375</v>
      </c>
      <c r="AM21" s="60" t="n">
        <f aca="false">AM17*Premissas!$B$30*(1+Premissas!$B$32)^(AM$6-2026)</f>
        <v>98395.7938453875</v>
      </c>
      <c r="AN21" s="60" t="n">
        <f aca="false">AN17*Premissas!$B$30*(1+Premissas!$B$32)^(AN$6-2026)</f>
        <v>103040.111740912</v>
      </c>
      <c r="AO21" s="60" t="n">
        <f aca="false">AO17*Premissas!$B$30*(1+Premissas!$B$32)^(AO$6-2026)</f>
        <v>107274.63688095</v>
      </c>
      <c r="AP21" s="60" t="n">
        <f aca="false">AP17*Premissas!$B$30*(1+Premissas!$B$32)^(AP$6-2026)</f>
        <v>111099.3692655</v>
      </c>
      <c r="AQ21" s="60" t="n">
        <f aca="false">AQ17*Premissas!$B$30*(1+Premissas!$B$32)^(AQ$6-2026)</f>
        <v>114605.373951337</v>
      </c>
      <c r="AR21" s="60" t="n">
        <f aca="false">AR17*Premissas!$B$30*(1+Premissas!$B$32)^(AR$6-2026)</f>
        <v>117792.650938462</v>
      </c>
      <c r="AS21" s="60" t="n">
        <f aca="false">AS17*Premissas!$B$30*(1+Premissas!$B$32)^(AS$6-2026)</f>
        <v>120706.732755262</v>
      </c>
      <c r="AT21" s="60" t="n">
        <f aca="false">AT17*Premissas!$B$30*(1+Premissas!$B$32)^(AT$6-2026)</f>
        <v>123347.619401737</v>
      </c>
      <c r="AU21" s="60" t="n">
        <f aca="false">AU17*Premissas!$B$30*(1+Premissas!$B$32)^(AU$6-2026)</f>
        <v>125760.843406275</v>
      </c>
      <c r="AV21" s="60" t="n">
        <f aca="false">AV17*Premissas!$B$30*(1+Premissas!$B$32)^(AV$6-2026)</f>
        <v>127991.937297262</v>
      </c>
      <c r="AW21" s="60" t="n">
        <f aca="false">AW17*Premissas!$B$30*(1+Premissas!$B$32)^(AW$6-2026)</f>
        <v>129995.368546312</v>
      </c>
      <c r="AX21" s="60" t="n">
        <f aca="false">AX17*Premissas!$B$30*(1+Premissas!$B$32)^(AX$6-2026)</f>
        <v>167248.944959755</v>
      </c>
      <c r="AY21" s="60" t="n">
        <f aca="false">AY17*Premissas!$B$30*(1+Premissas!$B$32)^(AY$6-2026)</f>
        <v>175718.450565114</v>
      </c>
      <c r="AZ21" s="60" t="n">
        <f aca="false">AZ17*Premissas!$B$30*(1+Premissas!$B$32)^(AZ$6-2026)</f>
        <v>183474.233787999</v>
      </c>
      <c r="BA21" s="60" t="n">
        <f aca="false">BA17*Premissas!$B$30*(1+Premissas!$B$32)^(BA$6-2026)</f>
        <v>190611.45761274</v>
      </c>
      <c r="BB21" s="60" t="n">
        <f aca="false">BB17*Premissas!$B$30*(1+Premissas!$B$32)^(BB$6-2026)</f>
        <v>197082.540547171</v>
      </c>
      <c r="BC21" s="60" t="n">
        <f aca="false">BC17*Premissas!$B$30*(1+Premissas!$B$32)^(BC$6-2026)</f>
        <v>203030.227067788</v>
      </c>
      <c r="BD21" s="60" t="n">
        <f aca="false">BD17*Premissas!$B$30*(1+Premissas!$B$32)^(BD$6-2026)</f>
        <v>208454.517174591</v>
      </c>
      <c r="BE21" s="60" t="n">
        <f aca="false">BE17*Premissas!$B$30*(1+Premissas!$B$32)^(BE$6-2026)</f>
        <v>213450.57385191</v>
      </c>
      <c r="BF21" s="60" t="n">
        <f aca="false">BF17*Premissas!$B$30*(1+Premissas!$B$32)^(BF$6-2026)</f>
        <v>218018.397099744</v>
      </c>
      <c r="BG21" s="60" t="n">
        <f aca="false">BG17*Premissas!$B$30*(1+Premissas!$B$32)^(BG$6-2026)</f>
        <v>222205.568410258</v>
      </c>
      <c r="BH21" s="60" t="n">
        <f aca="false">BH17*Premissas!$B$30*(1+Premissas!$B$32)^(BH$6-2026)</f>
        <v>226012.087783453</v>
      </c>
      <c r="BI21" s="60" t="n">
        <f aca="false">BI17*Premissas!$B$30*(1+Premissas!$B$32)^(BI$6-2026)</f>
        <v>229485.536711493</v>
      </c>
      <c r="BJ21" s="61" t="n">
        <f aca="false">SUM(B21:BI21)</f>
        <v>4812119.76046579</v>
      </c>
    </row>
    <row r="22" customFormat="false" ht="15" hidden="false" customHeight="false" outlineLevel="0" collapsed="false">
      <c r="A22" s="27" t="s">
        <v>874</v>
      </c>
      <c r="B22" s="60" t="n">
        <f aca="false">B18*Premissas!$B$31*(1+Premissas!$B$32)^(B$6-2026)</f>
        <v>0</v>
      </c>
      <c r="C22" s="60" t="n">
        <f aca="false">C18*Premissas!$B$31*(1+Premissas!$B$32)^(C$6-2026)</f>
        <v>0</v>
      </c>
      <c r="D22" s="60" t="n">
        <f aca="false">D18*Premissas!$B$31*(1+Premissas!$B$32)^(D$6-2026)</f>
        <v>0</v>
      </c>
      <c r="E22" s="60" t="n">
        <f aca="false">E18*Premissas!$B$31*(1+Premissas!$B$32)^(E$6-2026)</f>
        <v>0</v>
      </c>
      <c r="F22" s="60" t="n">
        <f aca="false">F18*Premissas!$B$31*(1+Premissas!$B$32)^(F$6-2026)</f>
        <v>0</v>
      </c>
      <c r="G22" s="60" t="n">
        <f aca="false">G18*Premissas!$B$31*(1+Premissas!$B$32)^(G$6-2026)</f>
        <v>0</v>
      </c>
      <c r="H22" s="60" t="n">
        <f aca="false">H18*Premissas!$B$31*(1+Premissas!$B$32)^(H$6-2026)</f>
        <v>0</v>
      </c>
      <c r="I22" s="60" t="n">
        <f aca="false">I18*Premissas!$B$31*(1+Premissas!$B$32)^(I$6-2026)</f>
        <v>0</v>
      </c>
      <c r="J22" s="60" t="n">
        <f aca="false">J18*Premissas!$B$31*(1+Premissas!$B$32)^(J$6-2026)</f>
        <v>0</v>
      </c>
      <c r="K22" s="60" t="n">
        <f aca="false">K18*Premissas!$B$31*(1+Premissas!$B$32)^(K$6-2026)</f>
        <v>0</v>
      </c>
      <c r="L22" s="60" t="n">
        <f aca="false">L18*Premissas!$B$31*(1+Premissas!$B$32)^(L$6-2026)</f>
        <v>0</v>
      </c>
      <c r="M22" s="60" t="n">
        <f aca="false">M18*Premissas!$B$31*(1+Premissas!$B$32)^(M$6-2026)</f>
        <v>0</v>
      </c>
      <c r="N22" s="60" t="n">
        <f aca="false">N18*Premissas!$B$31*(1+Premissas!$B$32)^(N$6-2026)</f>
        <v>0</v>
      </c>
      <c r="O22" s="60" t="n">
        <f aca="false">O18*Premissas!$B$31*(1+Premissas!$B$32)^(O$6-2026)</f>
        <v>0</v>
      </c>
      <c r="P22" s="60" t="n">
        <f aca="false">P18*Premissas!$B$31*(1+Premissas!$B$32)^(P$6-2026)</f>
        <v>0</v>
      </c>
      <c r="Q22" s="60" t="n">
        <f aca="false">Q18*Premissas!$B$31*(1+Premissas!$B$32)^(Q$6-2026)</f>
        <v>0</v>
      </c>
      <c r="R22" s="60" t="n">
        <f aca="false">R18*Premissas!$B$31*(1+Premissas!$B$32)^(R$6-2026)</f>
        <v>0</v>
      </c>
      <c r="S22" s="60" t="n">
        <f aca="false">S18*Premissas!$B$31*(1+Premissas!$B$32)^(S$6-2026)</f>
        <v>0</v>
      </c>
      <c r="T22" s="60" t="n">
        <f aca="false">T18*Premissas!$B$31*(1+Premissas!$B$32)^(T$6-2026)</f>
        <v>0</v>
      </c>
      <c r="U22" s="60" t="n">
        <f aca="false">U18*Premissas!$B$31*(1+Premissas!$B$32)^(U$6-2026)</f>
        <v>0</v>
      </c>
      <c r="V22" s="60" t="n">
        <f aca="false">V18*Premissas!$B$31*(1+Premissas!$B$32)^(V$6-2026)</f>
        <v>0</v>
      </c>
      <c r="W22" s="60" t="n">
        <f aca="false">W18*Premissas!$B$31*(1+Premissas!$B$32)^(W$6-2026)</f>
        <v>18118.5235</v>
      </c>
      <c r="X22" s="60" t="n">
        <f aca="false">X18*Premissas!$B$31*(1+Premissas!$B$32)^(X$6-2026)</f>
        <v>18786.4875</v>
      </c>
      <c r="Y22" s="60" t="n">
        <f aca="false">Y18*Premissas!$B$31*(1+Premissas!$B$32)^(Y$6-2026)</f>
        <v>19454.4515</v>
      </c>
      <c r="Z22" s="60" t="n">
        <f aca="false">Z18*Premissas!$B$31*(1+Premissas!$B$32)^(Z$6-2026)</f>
        <v>31760.01829</v>
      </c>
      <c r="AA22" s="60" t="n">
        <f aca="false">AA18*Premissas!$B$31*(1+Premissas!$B$32)^(AA$6-2026)</f>
        <v>34028.591025</v>
      </c>
      <c r="AB22" s="60" t="n">
        <f aca="false">AB18*Premissas!$B$31*(1+Premissas!$B$32)^(AB$6-2026)</f>
        <v>36122.658165</v>
      </c>
      <c r="AC22" s="60" t="n">
        <f aca="false">AC18*Premissas!$B$31*(1+Premissas!$B$32)^(AC$6-2026)</f>
        <v>38042.21971</v>
      </c>
      <c r="AD22" s="60" t="n">
        <f aca="false">AD18*Premissas!$B$31*(1+Premissas!$B$32)^(AD$6-2026)</f>
        <v>39700.0228625</v>
      </c>
      <c r="AE22" s="60" t="n">
        <f aca="false">AE18*Premissas!$B$31*(1+Premissas!$B$32)^(AE$6-2026)</f>
        <v>41270.5732175</v>
      </c>
      <c r="AF22" s="60" t="n">
        <f aca="false">AF18*Premissas!$B$31*(1+Premissas!$B$32)^(AF$6-2026)</f>
        <v>42666.6179775</v>
      </c>
      <c r="AG22" s="60" t="n">
        <f aca="false">AG18*Premissas!$B$31*(1+Premissas!$B$32)^(AG$6-2026)</f>
        <v>43888.1571425</v>
      </c>
      <c r="AH22" s="60" t="n">
        <f aca="false">AH18*Premissas!$B$31*(1+Premissas!$B$32)^(AH$6-2026)</f>
        <v>45022.44351</v>
      </c>
      <c r="AI22" s="60" t="n">
        <f aca="false">AI18*Premissas!$B$31*(1+Premissas!$B$32)^(AI$6-2026)</f>
        <v>46069.47708</v>
      </c>
      <c r="AJ22" s="60" t="n">
        <f aca="false">AJ18*Premissas!$B$31*(1+Premissas!$B$32)^(AJ$6-2026)</f>
        <v>47029.2578525</v>
      </c>
      <c r="AK22" s="60" t="n">
        <f aca="false">AK18*Premissas!$B$31*(1+Premissas!$B$32)^(AK$6-2026)</f>
        <v>47901.7858275</v>
      </c>
      <c r="AL22" s="60" t="n">
        <f aca="false">AL18*Premissas!$B$31*(1+Premissas!$B$32)^(AL$6-2026)</f>
        <v>71849.18862935</v>
      </c>
      <c r="AM22" s="60" t="n">
        <f aca="false">AM18*Premissas!$B$31*(1+Premissas!$B$32)^(AM$6-2026)</f>
        <v>75769.8930850125</v>
      </c>
      <c r="AN22" s="60" t="n">
        <f aca="false">AN18*Premissas!$B$31*(1+Premissas!$B$32)^(AN$6-2026)</f>
        <v>79325.880847125</v>
      </c>
      <c r="AO22" s="60" t="n">
        <f aca="false">AO18*Premissas!$B$31*(1+Premissas!$B$32)^(AO$6-2026)</f>
        <v>82608.331089075</v>
      </c>
      <c r="AP22" s="60" t="n">
        <f aca="false">AP18*Premissas!$B$31*(1+Premissas!$B$32)^(AP$6-2026)</f>
        <v>85526.064637475</v>
      </c>
      <c r="AQ22" s="60" t="n">
        <f aca="false">AQ18*Premissas!$B$31*(1+Premissas!$B$32)^(AQ$6-2026)</f>
        <v>88261.4398391</v>
      </c>
      <c r="AR22" s="60" t="n">
        <f aca="false">AR18*Premissas!$B$31*(1+Premissas!$B$32)^(AR$6-2026)</f>
        <v>90723.2775205625</v>
      </c>
      <c r="AS22" s="60" t="n">
        <f aca="false">AS18*Premissas!$B$31*(1+Premissas!$B$32)^(AS$6-2026)</f>
        <v>93002.75685525</v>
      </c>
      <c r="AT22" s="60" t="n">
        <f aca="false">AT18*Premissas!$B$31*(1+Premissas!$B$32)^(AT$6-2026)</f>
        <v>95008.698669775</v>
      </c>
      <c r="AU22" s="60" t="n">
        <f aca="false">AU18*Premissas!$B$31*(1+Premissas!$B$32)^(AU$6-2026)</f>
        <v>96832.282137525</v>
      </c>
      <c r="AV22" s="60" t="n">
        <f aca="false">AV18*Premissas!$B$31*(1+Premissas!$B$32)^(AV$6-2026)</f>
        <v>98564.6864318875</v>
      </c>
      <c r="AW22" s="60" t="n">
        <f aca="false">AW18*Premissas!$B$31*(1+Premissas!$B$32)^(AW$6-2026)</f>
        <v>100114.732379475</v>
      </c>
      <c r="AX22" s="60" t="n">
        <f aca="false">AX18*Premissas!$B$31*(1+Premissas!$B$32)^(AX$6-2026)</f>
        <v>143495.047702046</v>
      </c>
      <c r="AY22" s="60" t="n">
        <f aca="false">AY18*Premissas!$B$31*(1+Premissas!$B$32)^(AY$6-2026)</f>
        <v>150831.779888671</v>
      </c>
      <c r="AZ22" s="60" t="n">
        <f aca="false">AZ18*Premissas!$B$31*(1+Premissas!$B$32)^(AZ$6-2026)</f>
        <v>157501.536421967</v>
      </c>
      <c r="BA22" s="60" t="n">
        <f aca="false">BA18*Premissas!$B$31*(1+Premissas!$B$32)^(BA$6-2026)</f>
        <v>163599.599538123</v>
      </c>
      <c r="BB22" s="60" t="n">
        <f aca="false">BB18*Premissas!$B$31*(1+Premissas!$B$32)^(BB$6-2026)</f>
        <v>169125.969237139</v>
      </c>
      <c r="BC22" s="60" t="n">
        <f aca="false">BC18*Premissas!$B$31*(1+Premissas!$B$32)^(BC$6-2026)</f>
        <v>174271.209991396</v>
      </c>
      <c r="BD22" s="60" t="n">
        <f aca="false">BD18*Premissas!$B$31*(1+Premissas!$B$32)^(BD$6-2026)</f>
        <v>178940.039564703</v>
      </c>
      <c r="BE22" s="60" t="n">
        <f aca="false">BE18*Premissas!$B$31*(1+Premissas!$B$32)^(BE$6-2026)</f>
        <v>183227.74019325</v>
      </c>
      <c r="BF22" s="60" t="n">
        <f aca="false">BF18*Premissas!$B$31*(1+Premissas!$B$32)^(BF$6-2026)</f>
        <v>187134.311877037</v>
      </c>
      <c r="BG22" s="60" t="n">
        <f aca="false">BG18*Premissas!$B$31*(1+Premissas!$B$32)^(BG$6-2026)</f>
        <v>190659.754616065</v>
      </c>
      <c r="BH22" s="60" t="n">
        <f aca="false">BH18*Premissas!$B$31*(1+Premissas!$B$32)^(BH$6-2026)</f>
        <v>193994.632882713</v>
      </c>
      <c r="BI22" s="60" t="n">
        <f aca="false">BI18*Premissas!$B$31*(1+Premissas!$B$32)^(BI$6-2026)</f>
        <v>196948.382204601</v>
      </c>
      <c r="BJ22" s="61" t="n">
        <f aca="false">SUM(B22:BI22)</f>
        <v>3697178.52139932</v>
      </c>
    </row>
    <row r="23" customFormat="false" ht="15" hidden="false" customHeight="false" outlineLevel="0" collapsed="false">
      <c r="A23" s="62" t="s">
        <v>875</v>
      </c>
      <c r="B23" s="63" t="n">
        <f aca="false">SUM(B20:B22)</f>
        <v>0</v>
      </c>
      <c r="C23" s="63" t="n">
        <f aca="false">SUM(C20:C22)</f>
        <v>0</v>
      </c>
      <c r="D23" s="63" t="n">
        <f aca="false">SUM(D20:D22)</f>
        <v>0</v>
      </c>
      <c r="E23" s="63" t="n">
        <f aca="false">SUM(E20:E22)</f>
        <v>0</v>
      </c>
      <c r="F23" s="63" t="n">
        <f aca="false">SUM(F20:F22)</f>
        <v>0</v>
      </c>
      <c r="G23" s="63" t="n">
        <f aca="false">SUM(G20:G22)</f>
        <v>0</v>
      </c>
      <c r="H23" s="63" t="n">
        <f aca="false">SUM(H20:H22)</f>
        <v>0</v>
      </c>
      <c r="I23" s="63" t="n">
        <f aca="false">SUM(I20:I22)</f>
        <v>0</v>
      </c>
      <c r="J23" s="63" t="n">
        <f aca="false">SUM(J20:J22)</f>
        <v>0</v>
      </c>
      <c r="K23" s="63" t="n">
        <f aca="false">SUM(K20:K22)</f>
        <v>1074.6</v>
      </c>
      <c r="L23" s="63" t="n">
        <f aca="false">SUM(L20:L22)</f>
        <v>4099.4</v>
      </c>
      <c r="M23" s="63" t="n">
        <f aca="false">SUM(M20:M22)</f>
        <v>8775.9</v>
      </c>
      <c r="N23" s="63" t="n">
        <f aca="false">SUM(N20:N22)</f>
        <v>18778.3365</v>
      </c>
      <c r="O23" s="63" t="n">
        <f aca="false">SUM(O20:O22)</f>
        <v>29758.3605</v>
      </c>
      <c r="P23" s="63" t="n">
        <f aca="false">SUM(P20:P22)</f>
        <v>42526.7975</v>
      </c>
      <c r="Q23" s="63" t="n">
        <f aca="false">SUM(Q20:Q22)</f>
        <v>59445.7655</v>
      </c>
      <c r="R23" s="63" t="n">
        <f aca="false">SUM(R20:R22)</f>
        <v>66252.0595</v>
      </c>
      <c r="S23" s="63" t="n">
        <f aca="false">SUM(S20:S22)</f>
        <v>72392.2705</v>
      </c>
      <c r="T23" s="63" t="n">
        <f aca="false">SUM(T20:T22)</f>
        <v>77949.685</v>
      </c>
      <c r="U23" s="63" t="n">
        <f aca="false">SUM(U20:U22)</f>
        <v>82986.794</v>
      </c>
      <c r="V23" s="63" t="n">
        <f aca="false">SUM(V20:V22)</f>
        <v>87524.2885</v>
      </c>
      <c r="W23" s="63" t="n">
        <f aca="false">SUM(W20:W22)</f>
        <v>105251.4595</v>
      </c>
      <c r="X23" s="63" t="n">
        <f aca="false">SUM(X20:X22)</f>
        <v>109458.0025</v>
      </c>
      <c r="Y23" s="63" t="n">
        <f aca="false">SUM(Y20:Y22)</f>
        <v>113310.7085</v>
      </c>
      <c r="Z23" s="63" t="n">
        <f aca="false">SUM(Z20:Z22)</f>
        <v>146729.28391</v>
      </c>
      <c r="AA23" s="63" t="n">
        <f aca="false">SUM(AA20:AA22)</f>
        <v>157199.0735975</v>
      </c>
      <c r="AB23" s="63" t="n">
        <f aca="false">SUM(AB20:AB22)</f>
        <v>166732.99786</v>
      </c>
      <c r="AC23" s="63" t="n">
        <f aca="false">SUM(AC20:AC22)</f>
        <v>175418.09109</v>
      </c>
      <c r="AD23" s="63" t="n">
        <f aca="false">SUM(AD20:AD22)</f>
        <v>183210.4538825</v>
      </c>
      <c r="AE23" s="63" t="n">
        <f aca="false">SUM(AE20:AE22)</f>
        <v>190328.2728325</v>
      </c>
      <c r="AF23" s="63" t="n">
        <f aca="false">SUM(AF20:AF22)</f>
        <v>196792.95163</v>
      </c>
      <c r="AG23" s="63" t="n">
        <f aca="false">SUM(AG20:AG22)</f>
        <v>202626.330775</v>
      </c>
      <c r="AH23" s="63" t="n">
        <f aca="false">SUM(AH20:AH22)</f>
        <v>207915.5538625</v>
      </c>
      <c r="AI23" s="63" t="n">
        <f aca="false">SUM(AI20:AI22)</f>
        <v>212747.7644875</v>
      </c>
      <c r="AJ23" s="63" t="n">
        <f aca="false">SUM(AJ20:AJ22)</f>
        <v>217144.6939475</v>
      </c>
      <c r="AK23" s="63" t="n">
        <f aca="false">SUM(AK20:AK22)</f>
        <v>221149.8048375</v>
      </c>
      <c r="AL23" s="63" t="n">
        <f aca="false">SUM(AL20:AL22)</f>
        <v>279781.52473205</v>
      </c>
      <c r="AM23" s="63" t="n">
        <f aca="false">SUM(AM20:AM22)</f>
        <v>295001.371457787</v>
      </c>
      <c r="AN23" s="63" t="n">
        <f aca="false">SUM(AN20:AN22)</f>
        <v>308856.269381412</v>
      </c>
      <c r="AO23" s="63" t="n">
        <f aca="false">SUM(AO20:AO22)</f>
        <v>321550.94370575</v>
      </c>
      <c r="AP23" s="63" t="n">
        <f aca="false">SUM(AP20:AP22)</f>
        <v>333016.9244633</v>
      </c>
      <c r="AQ23" s="63" t="n">
        <f aca="false">SUM(AQ20:AQ22)</f>
        <v>343550.3442635</v>
      </c>
      <c r="AR23" s="63" t="n">
        <f aca="false">SUM(AR20:AR22)</f>
        <v>353128.151550625</v>
      </c>
      <c r="AS23" s="63" t="n">
        <f aca="false">SUM(AS20:AS22)</f>
        <v>361887.05802645</v>
      </c>
      <c r="AT23" s="63" t="n">
        <f aca="false">SUM(AT20:AT22)</f>
        <v>369804.01213525</v>
      </c>
      <c r="AU23" s="63" t="n">
        <f aca="false">SUM(AU20:AU22)</f>
        <v>377015.7255788</v>
      </c>
      <c r="AV23" s="63" t="n">
        <f aca="false">SUM(AV20:AV22)</f>
        <v>383658.910058875</v>
      </c>
      <c r="AW23" s="63" t="n">
        <f aca="false">SUM(AW20:AW22)</f>
        <v>389687.69069725</v>
      </c>
      <c r="AX23" s="63" t="n">
        <f aca="false">SUM(AX20:AX22)</f>
        <v>489510.520770113</v>
      </c>
      <c r="AY23" s="63" t="n">
        <f aca="false">SUM(AY20:AY22)</f>
        <v>514382.046460328</v>
      </c>
      <c r="AZ23" s="63" t="n">
        <f aca="false">SUM(AZ20:AZ22)</f>
        <v>537089.747149709</v>
      </c>
      <c r="BA23" s="63" t="n">
        <f aca="false">SUM(BA20:BA22)</f>
        <v>557895.261419233</v>
      </c>
      <c r="BB23" s="63" t="n">
        <f aca="false">SUM(BB20:BB22)</f>
        <v>576869.663377498</v>
      </c>
      <c r="BC23" s="63" t="n">
        <f aca="false">SUM(BC20:BC22)</f>
        <v>594298.799733072</v>
      </c>
      <c r="BD23" s="63" t="n">
        <f aca="false">SUM(BD20:BD22)</f>
        <v>610206.043850529</v>
      </c>
      <c r="BE23" s="63" t="n">
        <f aca="false">SUM(BE20:BE22)</f>
        <v>624805.572070541</v>
      </c>
      <c r="BF23" s="63" t="n">
        <f aca="false">SUM(BF20:BF22)</f>
        <v>638144.846633412</v>
      </c>
      <c r="BG23" s="63" t="n">
        <f aca="false">SUM(BG20:BG22)</f>
        <v>650318.911271613</v>
      </c>
      <c r="BH23" s="63" t="n">
        <f aca="false">SUM(BH20:BH22)</f>
        <v>661518.330457522</v>
      </c>
      <c r="BI23" s="63" t="n">
        <f aca="false">SUM(BI20:BI22)</f>
        <v>671695.045691536</v>
      </c>
      <c r="BJ23" s="61" t="n">
        <f aca="false">SUM(B23:BI23)</f>
        <v>14401253.4156487</v>
      </c>
    </row>
    <row r="24" customFormat="false" ht="15" hidden="false" customHeight="false" outlineLevel="0" collapsed="false">
      <c r="A24" s="27" t="s">
        <v>876</v>
      </c>
      <c r="B24" s="60" t="n">
        <f aca="false">B13*INDEX(Premissas!$C$99:$G$99,B$7)*Premissas!$B$98*Premissas!$B$97</f>
        <v>0</v>
      </c>
      <c r="C24" s="60" t="n">
        <f aca="false">C13*INDEX(Premissas!$C$99:$G$99,C$7)*Premissas!$B$98*Premissas!$B$97</f>
        <v>0</v>
      </c>
      <c r="D24" s="60" t="n">
        <f aca="false">D13*INDEX(Premissas!$C$99:$G$99,D$7)*Premissas!$B$98*Premissas!$B$97</f>
        <v>0</v>
      </c>
      <c r="E24" s="60" t="n">
        <f aca="false">E13*INDEX(Premissas!$C$99:$G$99,E$7)*Premissas!$B$98*Premissas!$B$97</f>
        <v>0</v>
      </c>
      <c r="F24" s="60" t="n">
        <f aca="false">F13*INDEX(Premissas!$C$99:$G$99,F$7)*Premissas!$B$98*Premissas!$B$97</f>
        <v>0</v>
      </c>
      <c r="G24" s="60" t="n">
        <f aca="false">G13*INDEX(Premissas!$C$99:$G$99,G$7)*Premissas!$B$98*Premissas!$B$97</f>
        <v>0</v>
      </c>
      <c r="H24" s="60" t="n">
        <f aca="false">H13*INDEX(Premissas!$C$99:$G$99,H$7)*Premissas!$B$98*Premissas!$B$97</f>
        <v>0</v>
      </c>
      <c r="I24" s="60" t="n">
        <f aca="false">I13*INDEX(Premissas!$C$99:$G$99,I$7)*Premissas!$B$98*Premissas!$B$97</f>
        <v>0</v>
      </c>
      <c r="J24" s="60" t="n">
        <f aca="false">J13*INDEX(Premissas!$C$99:$G$99,J$7)*Premissas!$B$98*Premissas!$B$97</f>
        <v>0</v>
      </c>
      <c r="K24" s="60" t="n">
        <f aca="false">K13*INDEX(Premissas!$C$99:$G$99,K$7)*Premissas!$B$98*Premissas!$B$97</f>
        <v>0</v>
      </c>
      <c r="L24" s="60" t="n">
        <f aca="false">L13*INDEX(Premissas!$C$99:$G$99,L$7)*Premissas!$B$98*Premissas!$B$97</f>
        <v>0</v>
      </c>
      <c r="M24" s="60" t="n">
        <f aca="false">M13*INDEX(Premissas!$C$99:$G$99,M$7)*Premissas!$B$98*Premissas!$B$97</f>
        <v>0</v>
      </c>
      <c r="N24" s="60" t="n">
        <f aca="false">N13*INDEX(Premissas!$C$99:$G$99,N$7)*Premissas!$B$98*Premissas!$B$97</f>
        <v>2194.986276</v>
      </c>
      <c r="O24" s="60" t="n">
        <f aca="false">O13*INDEX(Premissas!$C$99:$G$99,O$7)*Premissas!$B$98*Premissas!$B$97</f>
        <v>2782.477593504</v>
      </c>
      <c r="P24" s="60" t="n">
        <f aca="false">P13*INDEX(Premissas!$C$99:$G$99,P$7)*Premissas!$B$98*Premissas!$B$97</f>
        <v>3313.56974452762</v>
      </c>
      <c r="Q24" s="60" t="n">
        <f aca="false">Q13*INDEX(Premissas!$C$99:$G$99,Q$7)*Premissas!$B$98*Premissas!$B$97</f>
        <v>3793.67704905296</v>
      </c>
      <c r="R24" s="60" t="n">
        <f aca="false">R13*INDEX(Premissas!$C$99:$G$99,R$7)*Premissas!$B$98*Premissas!$B$97</f>
        <v>4227.69405234388</v>
      </c>
      <c r="S24" s="60" t="n">
        <f aca="false">S13*INDEX(Premissas!$C$99:$G$99,S$7)*Premissas!$B$98*Premissas!$B$97</f>
        <v>4620.04542331887</v>
      </c>
      <c r="T24" s="60" t="n">
        <f aca="false">T13*INDEX(Premissas!$C$99:$G$99,T$7)*Premissas!$B$98*Premissas!$B$97</f>
        <v>4974.73106268026</v>
      </c>
      <c r="U24" s="60" t="n">
        <f aca="false">U13*INDEX(Premissas!$C$99:$G$99,U$7)*Premissas!$B$98*Premissas!$B$97</f>
        <v>5295.36688066295</v>
      </c>
      <c r="V24" s="60" t="n">
        <f aca="false">V13*INDEX(Premissas!$C$99:$G$99,V$7)*Premissas!$B$98*Premissas!$B$97</f>
        <v>5585.22166011931</v>
      </c>
      <c r="W24" s="60" t="n">
        <f aca="false">W13*INDEX(Premissas!$C$99:$G$99,W$7)*Premissas!$B$98*Premissas!$B$97</f>
        <v>5847.25038074785</v>
      </c>
      <c r="X24" s="60" t="n">
        <f aca="false">X13*INDEX(Premissas!$C$99:$G$99,X$7)*Premissas!$B$98*Premissas!$B$97</f>
        <v>6084.12434419606</v>
      </c>
      <c r="Y24" s="60" t="n">
        <f aca="false">Y13*INDEX(Premissas!$C$99:$G$99,Y$7)*Premissas!$B$98*Premissas!$B$97</f>
        <v>6298.25840715324</v>
      </c>
      <c r="Z24" s="60" t="n">
        <f aca="false">Z13*INDEX(Premissas!$C$99:$G$99,Z$7)*Premissas!$B$98*Premissas!$B$97</f>
        <v>11392.1748539167</v>
      </c>
      <c r="AA24" s="60" t="n">
        <f aca="false">AA13*INDEX(Premissas!$C$99:$G$99,AA$7)*Premissas!$B$98*Premissas!$B$97</f>
        <v>12204.7620193797</v>
      </c>
      <c r="AB24" s="60" t="n">
        <f aca="false">AB13*INDEX(Premissas!$C$99:$G$99,AB$7)*Premissas!$B$98*Premissas!$B$97</f>
        <v>12942.4611516737</v>
      </c>
      <c r="AC24" s="60" t="n">
        <f aca="false">AC13*INDEX(Premissas!$C$99:$G$99,AC$7)*Premissas!$B$98*Premissas!$B$97</f>
        <v>13612.1739319354</v>
      </c>
      <c r="AD24" s="60" t="n">
        <f aca="false">AD13*INDEX(Premissas!$C$99:$G$99,AD$7)*Premissas!$B$98*Premissas!$B$97</f>
        <v>14220.1659823683</v>
      </c>
      <c r="AE24" s="60" t="n">
        <f aca="false">AE13*INDEX(Premissas!$C$99:$G$99,AE$7)*Premissas!$B$98*Premissas!$B$97</f>
        <v>14772.1254854332</v>
      </c>
      <c r="AF24" s="60" t="n">
        <f aca="false">AF13*INDEX(Premissas!$C$99:$G$99,AF$7)*Premissas!$B$98*Premissas!$B$97</f>
        <v>15273.2164006957</v>
      </c>
      <c r="AG24" s="60" t="n">
        <f aca="false">AG13*INDEX(Premissas!$C$99:$G$99,AG$7)*Premissas!$B$98*Premissas!$B$97</f>
        <v>15728.1267772076</v>
      </c>
      <c r="AH24" s="60" t="n">
        <f aca="false">AH13*INDEX(Premissas!$C$99:$G$99,AH$7)*Premissas!$B$98*Premissas!$B$97</f>
        <v>16141.1126134201</v>
      </c>
      <c r="AI24" s="60" t="n">
        <f aca="false">AI13*INDEX(Premissas!$C$99:$G$99,AI$7)*Premissas!$B$98*Premissas!$B$97</f>
        <v>16516.0376749673</v>
      </c>
      <c r="AJ24" s="60" t="n">
        <f aca="false">AJ13*INDEX(Premissas!$C$99:$G$99,AJ$7)*Premissas!$B$98*Premissas!$B$97</f>
        <v>16856.4096428423</v>
      </c>
      <c r="AK24" s="60" t="n">
        <f aca="false">AK13*INDEX(Premissas!$C$99:$G$99,AK$7)*Premissas!$B$98*Premissas!$B$97</f>
        <v>17165.412930158</v>
      </c>
      <c r="AL24" s="60" t="n">
        <f aca="false">AL13*INDEX(Premissas!$C$99:$G$99,AL$7)*Premissas!$B$98*Premissas!$B$97</f>
        <v>29206.7408843846</v>
      </c>
      <c r="AM24" s="60" t="n">
        <f aca="false">AM13*INDEX(Premissas!$C$99:$G$99,AM$7)*Premissas!$B$98*Premissas!$B$97</f>
        <v>30794.6929740759</v>
      </c>
      <c r="AN24" s="60" t="n">
        <f aca="false">AN13*INDEX(Premissas!$C$99:$G$99,AN$7)*Premissas!$B$98*Premissas!$B$97</f>
        <v>32242.1532257647</v>
      </c>
      <c r="AO24" s="60" t="n">
        <f aca="false">AO13*INDEX(Premissas!$C$99:$G$99,AO$7)*Premissas!$B$98*Premissas!$B$97</f>
        <v>33561.5514581297</v>
      </c>
      <c r="AP24" s="60" t="n">
        <f aca="false">AP13*INDEX(Premissas!$C$99:$G$99,AP$7)*Premissas!$B$98*Premissas!$B$97</f>
        <v>34764.2177790437</v>
      </c>
      <c r="AQ24" s="60" t="n">
        <f aca="false">AQ13*INDEX(Premissas!$C$99:$G$99,AQ$7)*Premissas!$B$98*Premissas!$B$97</f>
        <v>35860.4798809477</v>
      </c>
      <c r="AR24" s="60" t="n">
        <f aca="false">AR13*INDEX(Premissas!$C$99:$G$99,AR$7)*Premissas!$B$98*Premissas!$B$97</f>
        <v>36859.7517281527</v>
      </c>
      <c r="AS24" s="60" t="n">
        <f aca="false">AS13*INDEX(Premissas!$C$99:$G$99,AS$7)*Premissas!$B$98*Premissas!$B$97</f>
        <v>37770.6143976568</v>
      </c>
      <c r="AT24" s="60" t="n">
        <f aca="false">AT13*INDEX(Premissas!$C$99:$G$99,AT$7)*Premissas!$B$98*Premissas!$B$97</f>
        <v>38600.8897676843</v>
      </c>
      <c r="AU24" s="60" t="n">
        <f aca="false">AU13*INDEX(Premissas!$C$99:$G$99,AU$7)*Premissas!$B$98*Premissas!$B$97</f>
        <v>39357.7076867341</v>
      </c>
      <c r="AV24" s="60" t="n">
        <f aca="false">AV13*INDEX(Premissas!$C$99:$G$99,AV$7)*Premissas!$B$98*Premissas!$B$97</f>
        <v>40047.567199941</v>
      </c>
      <c r="AW24" s="60" t="n">
        <f aca="false">AW13*INDEX(Premissas!$C$99:$G$99,AW$7)*Premissas!$B$98*Premissas!$B$97</f>
        <v>40676.3923585203</v>
      </c>
      <c r="AX24" s="60" t="n">
        <f aca="false">AX13*INDEX(Premissas!$C$99:$G$99,AX$7)*Premissas!$B$98*Premissas!$B$97</f>
        <v>53827.9070077855</v>
      </c>
      <c r="AY24" s="60" t="n">
        <f aca="false">AY13*INDEX(Premissas!$C$99:$G$99,AY$7)*Premissas!$B$98*Premissas!$B$97</f>
        <v>56557.0130428792</v>
      </c>
      <c r="AZ24" s="60" t="n">
        <f aca="false">AZ13*INDEX(Premissas!$C$99:$G$99,AZ$7)*Premissas!$B$98*Premissas!$B$97</f>
        <v>59054.3233956948</v>
      </c>
      <c r="BA24" s="60" t="n">
        <f aca="false">BA13*INDEX(Premissas!$C$99:$G$99,BA$7)*Premissas!$B$98*Premissas!$B$97</f>
        <v>61339.5255527687</v>
      </c>
      <c r="BB24" s="60" t="n">
        <f aca="false">BB13*INDEX(Premissas!$C$99:$G$99,BB$7)*Premissas!$B$98*Premissas!$B$97</f>
        <v>63430.6348507411</v>
      </c>
      <c r="BC24" s="60" t="n">
        <f aca="false">BC13*INDEX(Premissas!$C$99:$G$99,BC$7)*Premissas!$B$98*Premissas!$B$97</f>
        <v>65344.1364998318</v>
      </c>
      <c r="BD24" s="60" t="n">
        <f aca="false">BD13*INDEX(Premissas!$C$99:$G$99,BD$7)*Premissas!$B$98*Premissas!$B$97</f>
        <v>67095.1155446015</v>
      </c>
      <c r="BE24" s="60" t="n">
        <f aca="false">BE13*INDEX(Premissas!$C$99:$G$99,BE$7)*Premissas!$B$98*Premissas!$B$97</f>
        <v>68697.3757865405</v>
      </c>
      <c r="BF24" s="60" t="n">
        <f aca="false">BF13*INDEX(Premissas!$C$99:$G$99,BF$7)*Premissas!$B$98*Premissas!$B$97</f>
        <v>70163.548606008</v>
      </c>
      <c r="BG24" s="60" t="n">
        <f aca="false">BG13*INDEX(Premissas!$C$99:$G$99,BG$7)*Premissas!$B$98*Premissas!$B$97</f>
        <v>71505.1925414174</v>
      </c>
      <c r="BH24" s="60" t="n">
        <f aca="false">BH13*INDEX(Premissas!$C$99:$G$99,BH$7)*Premissas!$B$98*Premissas!$B$97</f>
        <v>72732.8844106984</v>
      </c>
      <c r="BI24" s="60" t="n">
        <f aca="false">BI13*INDEX(Premissas!$C$99:$G$99,BI$7)*Premissas!$B$98*Premissas!$B$97</f>
        <v>73856.3026933879</v>
      </c>
      <c r="BJ24" s="61" t="n">
        <f aca="false">SUM(B24:BI24)</f>
        <v>1445188.3016117</v>
      </c>
    </row>
    <row r="25" customFormat="false" ht="15" hidden="false" customHeight="false" outlineLevel="0" collapsed="false">
      <c r="A25" s="27" t="s">
        <v>877</v>
      </c>
      <c r="B25" s="60" t="n">
        <f aca="false">Aportes!B100</f>
        <v>0</v>
      </c>
      <c r="C25" s="60" t="n">
        <f aca="false">Aportes!C100</f>
        <v>0</v>
      </c>
      <c r="D25" s="60" t="n">
        <f aca="false">Aportes!D100</f>
        <v>0</v>
      </c>
      <c r="E25" s="60" t="n">
        <f aca="false">Aportes!E100</f>
        <v>0</v>
      </c>
      <c r="F25" s="60" t="n">
        <f aca="false">Aportes!F100</f>
        <v>0</v>
      </c>
      <c r="G25" s="60" t="n">
        <f aca="false">Aportes!G100</f>
        <v>0</v>
      </c>
      <c r="H25" s="60" t="n">
        <f aca="false">Aportes!H100</f>
        <v>0</v>
      </c>
      <c r="I25" s="60" t="n">
        <f aca="false">Aportes!I100</f>
        <v>0</v>
      </c>
      <c r="J25" s="60" t="n">
        <f aca="false">Aportes!J100</f>
        <v>0</v>
      </c>
      <c r="K25" s="60" t="n">
        <f aca="false">Aportes!K100</f>
        <v>0</v>
      </c>
      <c r="L25" s="60" t="n">
        <f aca="false">Aportes!L100</f>
        <v>0</v>
      </c>
      <c r="M25" s="60" t="n">
        <f aca="false">Aportes!M100</f>
        <v>0</v>
      </c>
      <c r="N25" s="60" t="n">
        <f aca="false">Aportes!N100</f>
        <v>0</v>
      </c>
      <c r="O25" s="60" t="n">
        <f aca="false">Aportes!O100</f>
        <v>0</v>
      </c>
      <c r="P25" s="60" t="n">
        <f aca="false">Aportes!P100</f>
        <v>0</v>
      </c>
      <c r="Q25" s="60" t="n">
        <f aca="false">Aportes!Q100</f>
        <v>0</v>
      </c>
      <c r="R25" s="60" t="n">
        <f aca="false">Aportes!R100</f>
        <v>0</v>
      </c>
      <c r="S25" s="60" t="n">
        <f aca="false">Aportes!S100</f>
        <v>0</v>
      </c>
      <c r="T25" s="60" t="n">
        <f aca="false">Aportes!T100</f>
        <v>0</v>
      </c>
      <c r="U25" s="60" t="n">
        <f aca="false">Aportes!U100</f>
        <v>0</v>
      </c>
      <c r="V25" s="60" t="n">
        <f aca="false">Aportes!V100</f>
        <v>0</v>
      </c>
      <c r="W25" s="60" t="n">
        <f aca="false">Aportes!W100</f>
        <v>0</v>
      </c>
      <c r="X25" s="60" t="n">
        <f aca="false">Aportes!X100</f>
        <v>0</v>
      </c>
      <c r="Y25" s="60" t="n">
        <f aca="false">Aportes!Y100</f>
        <v>0</v>
      </c>
      <c r="Z25" s="60" t="n">
        <f aca="false">Aportes!Z100</f>
        <v>0</v>
      </c>
      <c r="AA25" s="60" t="n">
        <f aca="false">Aportes!AA100</f>
        <v>0</v>
      </c>
      <c r="AB25" s="60" t="n">
        <f aca="false">Aportes!AB100</f>
        <v>0</v>
      </c>
      <c r="AC25" s="60" t="n">
        <f aca="false">Aportes!AC100</f>
        <v>0</v>
      </c>
      <c r="AD25" s="60" t="n">
        <f aca="false">Aportes!AD100</f>
        <v>0</v>
      </c>
      <c r="AE25" s="60" t="n">
        <f aca="false">Aportes!AE100</f>
        <v>0</v>
      </c>
      <c r="AF25" s="60" t="n">
        <f aca="false">Aportes!AF100</f>
        <v>0</v>
      </c>
      <c r="AG25" s="60" t="n">
        <f aca="false">Aportes!AG100</f>
        <v>0</v>
      </c>
      <c r="AH25" s="60" t="n">
        <f aca="false">Aportes!AH100</f>
        <v>0</v>
      </c>
      <c r="AI25" s="60" t="n">
        <f aca="false">Aportes!AI100</f>
        <v>0</v>
      </c>
      <c r="AJ25" s="60" t="n">
        <f aca="false">Aportes!AJ100</f>
        <v>0</v>
      </c>
      <c r="AK25" s="60" t="n">
        <f aca="false">Aportes!AK100</f>
        <v>0</v>
      </c>
      <c r="AL25" s="60" t="n">
        <f aca="false">Aportes!AL100</f>
        <v>0</v>
      </c>
      <c r="AM25" s="60" t="n">
        <f aca="false">Aportes!AM100</f>
        <v>0</v>
      </c>
      <c r="AN25" s="60" t="n">
        <f aca="false">Aportes!AN100</f>
        <v>0</v>
      </c>
      <c r="AO25" s="60" t="n">
        <f aca="false">Aportes!AO100</f>
        <v>0</v>
      </c>
      <c r="AP25" s="60" t="n">
        <f aca="false">Aportes!AP100</f>
        <v>0</v>
      </c>
      <c r="AQ25" s="60" t="n">
        <f aca="false">Aportes!AQ100</f>
        <v>0</v>
      </c>
      <c r="AR25" s="60" t="n">
        <f aca="false">Aportes!AR100</f>
        <v>0</v>
      </c>
      <c r="AS25" s="60" t="n">
        <f aca="false">Aportes!AS100</f>
        <v>0</v>
      </c>
      <c r="AT25" s="60" t="n">
        <f aca="false">Aportes!AT100</f>
        <v>0</v>
      </c>
      <c r="AU25" s="60" t="n">
        <f aca="false">Aportes!AU100</f>
        <v>0</v>
      </c>
      <c r="AV25" s="60" t="n">
        <f aca="false">Aportes!AV100</f>
        <v>0</v>
      </c>
      <c r="AW25" s="60" t="n">
        <f aca="false">Aportes!AW100</f>
        <v>0</v>
      </c>
      <c r="AX25" s="60" t="n">
        <f aca="false">Aportes!AX100</f>
        <v>0</v>
      </c>
      <c r="AY25" s="60" t="n">
        <f aca="false">Aportes!AY100</f>
        <v>0</v>
      </c>
      <c r="AZ25" s="60" t="n">
        <f aca="false">Aportes!AZ100</f>
        <v>0</v>
      </c>
      <c r="BA25" s="60" t="n">
        <f aca="false">Aportes!BA100</f>
        <v>0</v>
      </c>
      <c r="BB25" s="60" t="n">
        <f aca="false">Aportes!BB100</f>
        <v>0</v>
      </c>
      <c r="BC25" s="60" t="n">
        <f aca="false">Aportes!BC100</f>
        <v>0</v>
      </c>
      <c r="BD25" s="60" t="n">
        <f aca="false">Aportes!BD100</f>
        <v>0</v>
      </c>
      <c r="BE25" s="60" t="n">
        <f aca="false">Aportes!BE100</f>
        <v>0</v>
      </c>
      <c r="BF25" s="60" t="n">
        <f aca="false">Aportes!BF100</f>
        <v>0</v>
      </c>
      <c r="BG25" s="60" t="n">
        <f aca="false">Aportes!BG100</f>
        <v>0</v>
      </c>
      <c r="BH25" s="60" t="n">
        <f aca="false">Aportes!BH100</f>
        <v>0</v>
      </c>
      <c r="BI25" s="60" t="n">
        <f aca="false">Aportes!BI100</f>
        <v>0</v>
      </c>
      <c r="BJ25" s="61" t="n">
        <f aca="false">SUM(B25:BI25)</f>
        <v>0</v>
      </c>
    </row>
    <row r="26" customFormat="false" ht="15" hidden="false" customHeight="false" outlineLevel="0" collapsed="false">
      <c r="A26" s="27" t="s">
        <v>878</v>
      </c>
      <c r="B26" s="60" t="n">
        <f aca="false">IF(B19=0,0,SUMPRODUCT((Premissas!$B$85:$B$93="Dados")*((Premissas!$C$85:$C$93="Planejado")+(Premissas!$C$85:$C$93="Em estudo")*Premissas!$B$81)*(Premissas!$F$85:$F$93&lt;=B$4)*(Premissas!$G$85:$G$93&gt;=B$4)*(Premissas!$D$85:$D$93="Fixo mensal")*Premissas!$E$85:$E$93)+SUMPRODUCT((Premissas!$B$85:$B$93="Dados")*((Premissas!$C$85:$C$93="Planejado")+(Premissas!$C$85:$C$93="Em estudo")*Premissas!$B$81)*(Premissas!$F$85:$F$93&lt;=B$4)*(Premissas!$G$85:$G$93&gt;=B$4)*(Premissas!$D$85:$D$93="Por usuário")*Premissas!$E$85:$E$93)*B19)</f>
        <v>0</v>
      </c>
      <c r="C26" s="60" t="n">
        <f aca="false">IF(C19=0,0,SUMPRODUCT((Premissas!$B$85:$B$93="Dados")*((Premissas!$C$85:$C$93="Planejado")+(Premissas!$C$85:$C$93="Em estudo")*Premissas!$B$81)*(Premissas!$F$85:$F$93&lt;=C$4)*(Premissas!$G$85:$G$93&gt;=C$4)*(Premissas!$D$85:$D$93="Fixo mensal")*Premissas!$E$85:$E$93)+SUMPRODUCT((Premissas!$B$85:$B$93="Dados")*((Premissas!$C$85:$C$93="Planejado")+(Premissas!$C$85:$C$93="Em estudo")*Premissas!$B$81)*(Premissas!$F$85:$F$93&lt;=C$4)*(Premissas!$G$85:$G$93&gt;=C$4)*(Premissas!$D$85:$D$93="Por usuário")*Premissas!$E$85:$E$93)*C19)</f>
        <v>0</v>
      </c>
      <c r="D26" s="60" t="n">
        <f aca="false">IF(D19=0,0,SUMPRODUCT((Premissas!$B$85:$B$93="Dados")*((Premissas!$C$85:$C$93="Planejado")+(Premissas!$C$85:$C$93="Em estudo")*Premissas!$B$81)*(Premissas!$F$85:$F$93&lt;=D$4)*(Premissas!$G$85:$G$93&gt;=D$4)*(Premissas!$D$85:$D$93="Fixo mensal")*Premissas!$E$85:$E$93)+SUMPRODUCT((Premissas!$B$85:$B$93="Dados")*((Premissas!$C$85:$C$93="Planejado")+(Premissas!$C$85:$C$93="Em estudo")*Premissas!$B$81)*(Premissas!$F$85:$F$93&lt;=D$4)*(Premissas!$G$85:$G$93&gt;=D$4)*(Premissas!$D$85:$D$93="Por usuário")*Premissas!$E$85:$E$93)*D19)</f>
        <v>0</v>
      </c>
      <c r="E26" s="60" t="n">
        <f aca="false">IF(E19=0,0,SUMPRODUCT((Premissas!$B$85:$B$93="Dados")*((Premissas!$C$85:$C$93="Planejado")+(Premissas!$C$85:$C$93="Em estudo")*Premissas!$B$81)*(Premissas!$F$85:$F$93&lt;=E$4)*(Premissas!$G$85:$G$93&gt;=E$4)*(Premissas!$D$85:$D$93="Fixo mensal")*Premissas!$E$85:$E$93)+SUMPRODUCT((Premissas!$B$85:$B$93="Dados")*((Premissas!$C$85:$C$93="Planejado")+(Premissas!$C$85:$C$93="Em estudo")*Premissas!$B$81)*(Premissas!$F$85:$F$93&lt;=E$4)*(Premissas!$G$85:$G$93&gt;=E$4)*(Premissas!$D$85:$D$93="Por usuário")*Premissas!$E$85:$E$93)*E19)</f>
        <v>0</v>
      </c>
      <c r="F26" s="60" t="n">
        <f aca="false">IF(F19=0,0,SUMPRODUCT((Premissas!$B$85:$B$93="Dados")*((Premissas!$C$85:$C$93="Planejado")+(Premissas!$C$85:$C$93="Em estudo")*Premissas!$B$81)*(Premissas!$F$85:$F$93&lt;=F$4)*(Premissas!$G$85:$G$93&gt;=F$4)*(Premissas!$D$85:$D$93="Fixo mensal")*Premissas!$E$85:$E$93)+SUMPRODUCT((Premissas!$B$85:$B$93="Dados")*((Premissas!$C$85:$C$93="Planejado")+(Premissas!$C$85:$C$93="Em estudo")*Premissas!$B$81)*(Premissas!$F$85:$F$93&lt;=F$4)*(Premissas!$G$85:$G$93&gt;=F$4)*(Premissas!$D$85:$D$93="Por usuário")*Premissas!$E$85:$E$93)*F19)</f>
        <v>0</v>
      </c>
      <c r="G26" s="60" t="n">
        <f aca="false">IF(G19=0,0,SUMPRODUCT((Premissas!$B$85:$B$93="Dados")*((Premissas!$C$85:$C$93="Planejado")+(Premissas!$C$85:$C$93="Em estudo")*Premissas!$B$81)*(Premissas!$F$85:$F$93&lt;=G$4)*(Premissas!$G$85:$G$93&gt;=G$4)*(Premissas!$D$85:$D$93="Fixo mensal")*Premissas!$E$85:$E$93)+SUMPRODUCT((Premissas!$B$85:$B$93="Dados")*((Premissas!$C$85:$C$93="Planejado")+(Premissas!$C$85:$C$93="Em estudo")*Premissas!$B$81)*(Premissas!$F$85:$F$93&lt;=G$4)*(Premissas!$G$85:$G$93&gt;=G$4)*(Premissas!$D$85:$D$93="Por usuário")*Premissas!$E$85:$E$93)*G19)</f>
        <v>0</v>
      </c>
      <c r="H26" s="60" t="n">
        <f aca="false">IF(H19=0,0,SUMPRODUCT((Premissas!$B$85:$B$93="Dados")*((Premissas!$C$85:$C$93="Planejado")+(Premissas!$C$85:$C$93="Em estudo")*Premissas!$B$81)*(Premissas!$F$85:$F$93&lt;=H$4)*(Premissas!$G$85:$G$93&gt;=H$4)*(Premissas!$D$85:$D$93="Fixo mensal")*Premissas!$E$85:$E$93)+SUMPRODUCT((Premissas!$B$85:$B$93="Dados")*((Premissas!$C$85:$C$93="Planejado")+(Premissas!$C$85:$C$93="Em estudo")*Premissas!$B$81)*(Premissas!$F$85:$F$93&lt;=H$4)*(Premissas!$G$85:$G$93&gt;=H$4)*(Premissas!$D$85:$D$93="Por usuário")*Premissas!$E$85:$E$93)*H19)</f>
        <v>0</v>
      </c>
      <c r="I26" s="60" t="n">
        <f aca="false">IF(I19=0,0,SUMPRODUCT((Premissas!$B$85:$B$93="Dados")*((Premissas!$C$85:$C$93="Planejado")+(Premissas!$C$85:$C$93="Em estudo")*Premissas!$B$81)*(Premissas!$F$85:$F$93&lt;=I$4)*(Premissas!$G$85:$G$93&gt;=I$4)*(Premissas!$D$85:$D$93="Fixo mensal")*Premissas!$E$85:$E$93)+SUMPRODUCT((Premissas!$B$85:$B$93="Dados")*((Premissas!$C$85:$C$93="Planejado")+(Premissas!$C$85:$C$93="Em estudo")*Premissas!$B$81)*(Premissas!$F$85:$F$93&lt;=I$4)*(Premissas!$G$85:$G$93&gt;=I$4)*(Premissas!$D$85:$D$93="Por usuário")*Premissas!$E$85:$E$93)*I19)</f>
        <v>0</v>
      </c>
      <c r="J26" s="60" t="n">
        <f aca="false">IF(J19=0,0,SUMPRODUCT((Premissas!$B$85:$B$93="Dados")*((Premissas!$C$85:$C$93="Planejado")+(Premissas!$C$85:$C$93="Em estudo")*Premissas!$B$81)*(Premissas!$F$85:$F$93&lt;=J$4)*(Premissas!$G$85:$G$93&gt;=J$4)*(Premissas!$D$85:$D$93="Fixo mensal")*Premissas!$E$85:$E$93)+SUMPRODUCT((Premissas!$B$85:$B$93="Dados")*((Premissas!$C$85:$C$93="Planejado")+(Premissas!$C$85:$C$93="Em estudo")*Premissas!$B$81)*(Premissas!$F$85:$F$93&lt;=J$4)*(Premissas!$G$85:$G$93&gt;=J$4)*(Premissas!$D$85:$D$93="Por usuário")*Premissas!$E$85:$E$93)*J19)</f>
        <v>0</v>
      </c>
      <c r="K26" s="60" t="n">
        <f aca="false">IF(K19=0,0,SUMPRODUCT((Premissas!$B$85:$B$93="Dados")*((Premissas!$C$85:$C$93="Planejado")+(Premissas!$C$85:$C$93="Em estudo")*Premissas!$B$81)*(Premissas!$F$85:$F$93&lt;=K$4)*(Premissas!$G$85:$G$93&gt;=K$4)*(Premissas!$D$85:$D$93="Fixo mensal")*Premissas!$E$85:$E$93)+SUMPRODUCT((Premissas!$B$85:$B$93="Dados")*((Premissas!$C$85:$C$93="Planejado")+(Premissas!$C$85:$C$93="Em estudo")*Premissas!$B$81)*(Premissas!$F$85:$F$93&lt;=K$4)*(Premissas!$G$85:$G$93&gt;=K$4)*(Premissas!$D$85:$D$93="Por usuário")*Premissas!$E$85:$E$93)*K19)</f>
        <v>0</v>
      </c>
      <c r="L26" s="60" t="n">
        <f aca="false">IF(L19=0,0,SUMPRODUCT((Premissas!$B$85:$B$93="Dados")*((Premissas!$C$85:$C$93="Planejado")+(Premissas!$C$85:$C$93="Em estudo")*Premissas!$B$81)*(Premissas!$F$85:$F$93&lt;=L$4)*(Premissas!$G$85:$G$93&gt;=L$4)*(Premissas!$D$85:$D$93="Fixo mensal")*Premissas!$E$85:$E$93)+SUMPRODUCT((Premissas!$B$85:$B$93="Dados")*((Premissas!$C$85:$C$93="Planejado")+(Premissas!$C$85:$C$93="Em estudo")*Premissas!$B$81)*(Premissas!$F$85:$F$93&lt;=L$4)*(Premissas!$G$85:$G$93&gt;=L$4)*(Premissas!$D$85:$D$93="Por usuário")*Premissas!$E$85:$E$93)*L19)</f>
        <v>0</v>
      </c>
      <c r="M26" s="60" t="n">
        <f aca="false">IF(M19=0,0,SUMPRODUCT((Premissas!$B$85:$B$93="Dados")*((Premissas!$C$85:$C$93="Planejado")+(Premissas!$C$85:$C$93="Em estudo")*Premissas!$B$81)*(Premissas!$F$85:$F$93&lt;=M$4)*(Premissas!$G$85:$G$93&gt;=M$4)*(Premissas!$D$85:$D$93="Fixo mensal")*Premissas!$E$85:$E$93)+SUMPRODUCT((Premissas!$B$85:$B$93="Dados")*((Premissas!$C$85:$C$93="Planejado")+(Premissas!$C$85:$C$93="Em estudo")*Premissas!$B$81)*(Premissas!$F$85:$F$93&lt;=M$4)*(Premissas!$G$85:$G$93&gt;=M$4)*(Premissas!$D$85:$D$93="Por usuário")*Premissas!$E$85:$E$93)*M19)</f>
        <v>0</v>
      </c>
      <c r="N26" s="60" t="n">
        <f aca="false">IF(N19=0,0,SUMPRODUCT((Premissas!$B$85:$B$93="Dados")*((Premissas!$C$85:$C$93="Planejado")+(Premissas!$C$85:$C$93="Em estudo")*Premissas!$B$81)*(Premissas!$F$85:$F$93&lt;=N$4)*(Premissas!$G$85:$G$93&gt;=N$4)*(Premissas!$D$85:$D$93="Fixo mensal")*Premissas!$E$85:$E$93)+SUMPRODUCT((Premissas!$B$85:$B$93="Dados")*((Premissas!$C$85:$C$93="Planejado")+(Premissas!$C$85:$C$93="Em estudo")*Premissas!$B$81)*(Premissas!$F$85:$F$93&lt;=N$4)*(Premissas!$G$85:$G$93&gt;=N$4)*(Premissas!$D$85:$D$93="Por usuário")*Premissas!$E$85:$E$93)*N19)</f>
        <v>0</v>
      </c>
      <c r="O26" s="60" t="n">
        <f aca="false">IF(O19=0,0,SUMPRODUCT((Premissas!$B$85:$B$93="Dados")*((Premissas!$C$85:$C$93="Planejado")+(Premissas!$C$85:$C$93="Em estudo")*Premissas!$B$81)*(Premissas!$F$85:$F$93&lt;=O$4)*(Premissas!$G$85:$G$93&gt;=O$4)*(Premissas!$D$85:$D$93="Fixo mensal")*Premissas!$E$85:$E$93)+SUMPRODUCT((Premissas!$B$85:$B$93="Dados")*((Premissas!$C$85:$C$93="Planejado")+(Premissas!$C$85:$C$93="Em estudo")*Premissas!$B$81)*(Premissas!$F$85:$F$93&lt;=O$4)*(Premissas!$G$85:$G$93&gt;=O$4)*(Premissas!$D$85:$D$93="Por usuário")*Premissas!$E$85:$E$93)*O19)</f>
        <v>0</v>
      </c>
      <c r="P26" s="60" t="n">
        <f aca="false">IF(P19=0,0,SUMPRODUCT((Premissas!$B$85:$B$93="Dados")*((Premissas!$C$85:$C$93="Planejado")+(Premissas!$C$85:$C$93="Em estudo")*Premissas!$B$81)*(Premissas!$F$85:$F$93&lt;=P$4)*(Premissas!$G$85:$G$93&gt;=P$4)*(Premissas!$D$85:$D$93="Fixo mensal")*Premissas!$E$85:$E$93)+SUMPRODUCT((Premissas!$B$85:$B$93="Dados")*((Premissas!$C$85:$C$93="Planejado")+(Premissas!$C$85:$C$93="Em estudo")*Premissas!$B$81)*(Premissas!$F$85:$F$93&lt;=P$4)*(Premissas!$G$85:$G$93&gt;=P$4)*(Premissas!$D$85:$D$93="Por usuário")*Premissas!$E$85:$E$93)*P19)</f>
        <v>0</v>
      </c>
      <c r="Q26" s="60" t="n">
        <f aca="false">IF(Q19=0,0,SUMPRODUCT((Premissas!$B$85:$B$93="Dados")*((Premissas!$C$85:$C$93="Planejado")+(Premissas!$C$85:$C$93="Em estudo")*Premissas!$B$81)*(Premissas!$F$85:$F$93&lt;=Q$4)*(Premissas!$G$85:$G$93&gt;=Q$4)*(Premissas!$D$85:$D$93="Fixo mensal")*Premissas!$E$85:$E$93)+SUMPRODUCT((Premissas!$B$85:$B$93="Dados")*((Premissas!$C$85:$C$93="Planejado")+(Premissas!$C$85:$C$93="Em estudo")*Premissas!$B$81)*(Premissas!$F$85:$F$93&lt;=Q$4)*(Premissas!$G$85:$G$93&gt;=Q$4)*(Premissas!$D$85:$D$93="Por usuário")*Premissas!$E$85:$E$93)*Q19)</f>
        <v>0</v>
      </c>
      <c r="R26" s="60" t="n">
        <f aca="false">IF(R19=0,0,SUMPRODUCT((Premissas!$B$85:$B$93="Dados")*((Premissas!$C$85:$C$93="Planejado")+(Premissas!$C$85:$C$93="Em estudo")*Premissas!$B$81)*(Premissas!$F$85:$F$93&lt;=R$4)*(Premissas!$G$85:$G$93&gt;=R$4)*(Premissas!$D$85:$D$93="Fixo mensal")*Premissas!$E$85:$E$93)+SUMPRODUCT((Premissas!$B$85:$B$93="Dados")*((Premissas!$C$85:$C$93="Planejado")+(Premissas!$C$85:$C$93="Em estudo")*Premissas!$B$81)*(Premissas!$F$85:$F$93&lt;=R$4)*(Premissas!$G$85:$G$93&gt;=R$4)*(Premissas!$D$85:$D$93="Por usuário")*Premissas!$E$85:$E$93)*R19)</f>
        <v>0</v>
      </c>
      <c r="S26" s="60" t="n">
        <f aca="false">IF(S19=0,0,SUMPRODUCT((Premissas!$B$85:$B$93="Dados")*((Premissas!$C$85:$C$93="Planejado")+(Premissas!$C$85:$C$93="Em estudo")*Premissas!$B$81)*(Premissas!$F$85:$F$93&lt;=S$4)*(Premissas!$G$85:$G$93&gt;=S$4)*(Premissas!$D$85:$D$93="Fixo mensal")*Premissas!$E$85:$E$93)+SUMPRODUCT((Premissas!$B$85:$B$93="Dados")*((Premissas!$C$85:$C$93="Planejado")+(Premissas!$C$85:$C$93="Em estudo")*Premissas!$B$81)*(Premissas!$F$85:$F$93&lt;=S$4)*(Premissas!$G$85:$G$93&gt;=S$4)*(Premissas!$D$85:$D$93="Por usuário")*Premissas!$E$85:$E$93)*S19)</f>
        <v>0</v>
      </c>
      <c r="T26" s="60" t="n">
        <f aca="false">IF(T19=0,0,SUMPRODUCT((Premissas!$B$85:$B$93="Dados")*((Premissas!$C$85:$C$93="Planejado")+(Premissas!$C$85:$C$93="Em estudo")*Premissas!$B$81)*(Premissas!$F$85:$F$93&lt;=T$4)*(Premissas!$G$85:$G$93&gt;=T$4)*(Premissas!$D$85:$D$93="Fixo mensal")*Premissas!$E$85:$E$93)+SUMPRODUCT((Premissas!$B$85:$B$93="Dados")*((Premissas!$C$85:$C$93="Planejado")+(Premissas!$C$85:$C$93="Em estudo")*Premissas!$B$81)*(Premissas!$F$85:$F$93&lt;=T$4)*(Premissas!$G$85:$G$93&gt;=T$4)*(Premissas!$D$85:$D$93="Por usuário")*Premissas!$E$85:$E$93)*T19)</f>
        <v>0</v>
      </c>
      <c r="U26" s="60" t="n">
        <f aca="false">IF(U19=0,0,SUMPRODUCT((Premissas!$B$85:$B$93="Dados")*((Premissas!$C$85:$C$93="Planejado")+(Premissas!$C$85:$C$93="Em estudo")*Premissas!$B$81)*(Premissas!$F$85:$F$93&lt;=U$4)*(Premissas!$G$85:$G$93&gt;=U$4)*(Premissas!$D$85:$D$93="Fixo mensal")*Premissas!$E$85:$E$93)+SUMPRODUCT((Premissas!$B$85:$B$93="Dados")*((Premissas!$C$85:$C$93="Planejado")+(Premissas!$C$85:$C$93="Em estudo")*Premissas!$B$81)*(Premissas!$F$85:$F$93&lt;=U$4)*(Premissas!$G$85:$G$93&gt;=U$4)*(Premissas!$D$85:$D$93="Por usuário")*Premissas!$E$85:$E$93)*U19)</f>
        <v>0</v>
      </c>
      <c r="V26" s="60" t="n">
        <f aca="false">IF(V19=0,0,SUMPRODUCT((Premissas!$B$85:$B$93="Dados")*((Premissas!$C$85:$C$93="Planejado")+(Premissas!$C$85:$C$93="Em estudo")*Premissas!$B$81)*(Premissas!$F$85:$F$93&lt;=V$4)*(Premissas!$G$85:$G$93&gt;=V$4)*(Premissas!$D$85:$D$93="Fixo mensal")*Premissas!$E$85:$E$93)+SUMPRODUCT((Premissas!$B$85:$B$93="Dados")*((Premissas!$C$85:$C$93="Planejado")+(Premissas!$C$85:$C$93="Em estudo")*Premissas!$B$81)*(Premissas!$F$85:$F$93&lt;=V$4)*(Premissas!$G$85:$G$93&gt;=V$4)*(Premissas!$D$85:$D$93="Por usuário")*Premissas!$E$85:$E$93)*V19)</f>
        <v>0</v>
      </c>
      <c r="W26" s="60" t="n">
        <f aca="false">IF(W19=0,0,SUMPRODUCT((Premissas!$B$85:$B$93="Dados")*((Premissas!$C$85:$C$93="Planejado")+(Premissas!$C$85:$C$93="Em estudo")*Premissas!$B$81)*(Premissas!$F$85:$F$93&lt;=W$4)*(Premissas!$G$85:$G$93&gt;=W$4)*(Premissas!$D$85:$D$93="Fixo mensal")*Premissas!$E$85:$E$93)+SUMPRODUCT((Premissas!$B$85:$B$93="Dados")*((Premissas!$C$85:$C$93="Planejado")+(Premissas!$C$85:$C$93="Em estudo")*Premissas!$B$81)*(Premissas!$F$85:$F$93&lt;=W$4)*(Premissas!$G$85:$G$93&gt;=W$4)*(Premissas!$D$85:$D$93="Por usuário")*Premissas!$E$85:$E$93)*W19)</f>
        <v>0</v>
      </c>
      <c r="X26" s="60" t="n">
        <f aca="false">IF(X19=0,0,SUMPRODUCT((Premissas!$B$85:$B$93="Dados")*((Premissas!$C$85:$C$93="Planejado")+(Premissas!$C$85:$C$93="Em estudo")*Premissas!$B$81)*(Premissas!$F$85:$F$93&lt;=X$4)*(Premissas!$G$85:$G$93&gt;=X$4)*(Premissas!$D$85:$D$93="Fixo mensal")*Premissas!$E$85:$E$93)+SUMPRODUCT((Premissas!$B$85:$B$93="Dados")*((Premissas!$C$85:$C$93="Planejado")+(Premissas!$C$85:$C$93="Em estudo")*Premissas!$B$81)*(Premissas!$F$85:$F$93&lt;=X$4)*(Premissas!$G$85:$G$93&gt;=X$4)*(Premissas!$D$85:$D$93="Por usuário")*Premissas!$E$85:$E$93)*X19)</f>
        <v>0</v>
      </c>
      <c r="Y26" s="60" t="n">
        <f aca="false">IF(Y19=0,0,SUMPRODUCT((Premissas!$B$85:$B$93="Dados")*((Premissas!$C$85:$C$93="Planejado")+(Premissas!$C$85:$C$93="Em estudo")*Premissas!$B$81)*(Premissas!$F$85:$F$93&lt;=Y$4)*(Premissas!$G$85:$G$93&gt;=Y$4)*(Premissas!$D$85:$D$93="Fixo mensal")*Premissas!$E$85:$E$93)+SUMPRODUCT((Premissas!$B$85:$B$93="Dados")*((Premissas!$C$85:$C$93="Planejado")+(Premissas!$C$85:$C$93="Em estudo")*Premissas!$B$81)*(Premissas!$F$85:$F$93&lt;=Y$4)*(Premissas!$G$85:$G$93&gt;=Y$4)*(Premissas!$D$85:$D$93="Por usuário")*Premissas!$E$85:$E$93)*Y19)</f>
        <v>0</v>
      </c>
      <c r="Z26" s="60" t="n">
        <f aca="false">IF(Z19=0,0,SUMPRODUCT((Premissas!$B$85:$B$93="Dados")*((Premissas!$C$85:$C$93="Planejado")+(Premissas!$C$85:$C$93="Em estudo")*Premissas!$B$81)*(Premissas!$F$85:$F$93&lt;=Z$4)*(Premissas!$G$85:$G$93&gt;=Z$4)*(Premissas!$D$85:$D$93="Fixo mensal")*Premissas!$E$85:$E$93)+SUMPRODUCT((Premissas!$B$85:$B$93="Dados")*((Premissas!$C$85:$C$93="Planejado")+(Premissas!$C$85:$C$93="Em estudo")*Premissas!$B$81)*(Premissas!$F$85:$F$93&lt;=Z$4)*(Premissas!$G$85:$G$93&gt;=Z$4)*(Premissas!$D$85:$D$93="Por usuário")*Premissas!$E$85:$E$93)*Z19)</f>
        <v>0</v>
      </c>
      <c r="AA26" s="60" t="n">
        <f aca="false">IF(AA19=0,0,SUMPRODUCT((Premissas!$B$85:$B$93="Dados")*((Premissas!$C$85:$C$93="Planejado")+(Premissas!$C$85:$C$93="Em estudo")*Premissas!$B$81)*(Premissas!$F$85:$F$93&lt;=AA$4)*(Premissas!$G$85:$G$93&gt;=AA$4)*(Premissas!$D$85:$D$93="Fixo mensal")*Premissas!$E$85:$E$93)+SUMPRODUCT((Premissas!$B$85:$B$93="Dados")*((Premissas!$C$85:$C$93="Planejado")+(Premissas!$C$85:$C$93="Em estudo")*Premissas!$B$81)*(Premissas!$F$85:$F$93&lt;=AA$4)*(Premissas!$G$85:$G$93&gt;=AA$4)*(Premissas!$D$85:$D$93="Por usuário")*Premissas!$E$85:$E$93)*AA19)</f>
        <v>0</v>
      </c>
      <c r="AB26" s="60" t="n">
        <f aca="false">IF(AB19=0,0,SUMPRODUCT((Premissas!$B$85:$B$93="Dados")*((Premissas!$C$85:$C$93="Planejado")+(Premissas!$C$85:$C$93="Em estudo")*Premissas!$B$81)*(Premissas!$F$85:$F$93&lt;=AB$4)*(Premissas!$G$85:$G$93&gt;=AB$4)*(Premissas!$D$85:$D$93="Fixo mensal")*Premissas!$E$85:$E$93)+SUMPRODUCT((Premissas!$B$85:$B$93="Dados")*((Premissas!$C$85:$C$93="Planejado")+(Premissas!$C$85:$C$93="Em estudo")*Premissas!$B$81)*(Premissas!$F$85:$F$93&lt;=AB$4)*(Premissas!$G$85:$G$93&gt;=AB$4)*(Premissas!$D$85:$D$93="Por usuário")*Premissas!$E$85:$E$93)*AB19)</f>
        <v>0</v>
      </c>
      <c r="AC26" s="60" t="n">
        <f aca="false">IF(AC19=0,0,SUMPRODUCT((Premissas!$B$85:$B$93="Dados")*((Premissas!$C$85:$C$93="Planejado")+(Premissas!$C$85:$C$93="Em estudo")*Premissas!$B$81)*(Premissas!$F$85:$F$93&lt;=AC$4)*(Premissas!$G$85:$G$93&gt;=AC$4)*(Premissas!$D$85:$D$93="Fixo mensal")*Premissas!$E$85:$E$93)+SUMPRODUCT((Premissas!$B$85:$B$93="Dados")*((Premissas!$C$85:$C$93="Planejado")+(Premissas!$C$85:$C$93="Em estudo")*Premissas!$B$81)*(Premissas!$F$85:$F$93&lt;=AC$4)*(Premissas!$G$85:$G$93&gt;=AC$4)*(Premissas!$D$85:$D$93="Por usuário")*Premissas!$E$85:$E$93)*AC19)</f>
        <v>0</v>
      </c>
      <c r="AD26" s="60" t="n">
        <f aca="false">IF(AD19=0,0,SUMPRODUCT((Premissas!$B$85:$B$93="Dados")*((Premissas!$C$85:$C$93="Planejado")+(Premissas!$C$85:$C$93="Em estudo")*Premissas!$B$81)*(Premissas!$F$85:$F$93&lt;=AD$4)*(Premissas!$G$85:$G$93&gt;=AD$4)*(Premissas!$D$85:$D$93="Fixo mensal")*Premissas!$E$85:$E$93)+SUMPRODUCT((Premissas!$B$85:$B$93="Dados")*((Premissas!$C$85:$C$93="Planejado")+(Premissas!$C$85:$C$93="Em estudo")*Premissas!$B$81)*(Premissas!$F$85:$F$93&lt;=AD$4)*(Premissas!$G$85:$G$93&gt;=AD$4)*(Premissas!$D$85:$D$93="Por usuário")*Premissas!$E$85:$E$93)*AD19)</f>
        <v>0</v>
      </c>
      <c r="AE26" s="60" t="n">
        <f aca="false">IF(AE19=0,0,SUMPRODUCT((Premissas!$B$85:$B$93="Dados")*((Premissas!$C$85:$C$93="Planejado")+(Premissas!$C$85:$C$93="Em estudo")*Premissas!$B$81)*(Premissas!$F$85:$F$93&lt;=AE$4)*(Premissas!$G$85:$G$93&gt;=AE$4)*(Premissas!$D$85:$D$93="Fixo mensal")*Premissas!$E$85:$E$93)+SUMPRODUCT((Premissas!$B$85:$B$93="Dados")*((Premissas!$C$85:$C$93="Planejado")+(Premissas!$C$85:$C$93="Em estudo")*Premissas!$B$81)*(Premissas!$F$85:$F$93&lt;=AE$4)*(Premissas!$G$85:$G$93&gt;=AE$4)*(Premissas!$D$85:$D$93="Por usuário")*Premissas!$E$85:$E$93)*AE19)</f>
        <v>0</v>
      </c>
      <c r="AF26" s="60" t="n">
        <f aca="false">IF(AF19=0,0,SUMPRODUCT((Premissas!$B$85:$B$93="Dados")*((Premissas!$C$85:$C$93="Planejado")+(Premissas!$C$85:$C$93="Em estudo")*Premissas!$B$81)*(Premissas!$F$85:$F$93&lt;=AF$4)*(Premissas!$G$85:$G$93&gt;=AF$4)*(Premissas!$D$85:$D$93="Fixo mensal")*Premissas!$E$85:$E$93)+SUMPRODUCT((Premissas!$B$85:$B$93="Dados")*((Premissas!$C$85:$C$93="Planejado")+(Premissas!$C$85:$C$93="Em estudo")*Premissas!$B$81)*(Premissas!$F$85:$F$93&lt;=AF$4)*(Premissas!$G$85:$G$93&gt;=AF$4)*(Premissas!$D$85:$D$93="Por usuário")*Premissas!$E$85:$E$93)*AF19)</f>
        <v>0</v>
      </c>
      <c r="AG26" s="60" t="n">
        <f aca="false">IF(AG19=0,0,SUMPRODUCT((Premissas!$B$85:$B$93="Dados")*((Premissas!$C$85:$C$93="Planejado")+(Premissas!$C$85:$C$93="Em estudo")*Premissas!$B$81)*(Premissas!$F$85:$F$93&lt;=AG$4)*(Premissas!$G$85:$G$93&gt;=AG$4)*(Premissas!$D$85:$D$93="Fixo mensal")*Premissas!$E$85:$E$93)+SUMPRODUCT((Premissas!$B$85:$B$93="Dados")*((Premissas!$C$85:$C$93="Planejado")+(Premissas!$C$85:$C$93="Em estudo")*Premissas!$B$81)*(Premissas!$F$85:$F$93&lt;=AG$4)*(Premissas!$G$85:$G$93&gt;=AG$4)*(Premissas!$D$85:$D$93="Por usuário")*Premissas!$E$85:$E$93)*AG19)</f>
        <v>0</v>
      </c>
      <c r="AH26" s="60" t="n">
        <f aca="false">IF(AH19=0,0,SUMPRODUCT((Premissas!$B$85:$B$93="Dados")*((Premissas!$C$85:$C$93="Planejado")+(Premissas!$C$85:$C$93="Em estudo")*Premissas!$B$81)*(Premissas!$F$85:$F$93&lt;=AH$4)*(Premissas!$G$85:$G$93&gt;=AH$4)*(Premissas!$D$85:$D$93="Fixo mensal")*Premissas!$E$85:$E$93)+SUMPRODUCT((Premissas!$B$85:$B$93="Dados")*((Premissas!$C$85:$C$93="Planejado")+(Premissas!$C$85:$C$93="Em estudo")*Premissas!$B$81)*(Premissas!$F$85:$F$93&lt;=AH$4)*(Premissas!$G$85:$G$93&gt;=AH$4)*(Premissas!$D$85:$D$93="Por usuário")*Premissas!$E$85:$E$93)*AH19)</f>
        <v>0</v>
      </c>
      <c r="AI26" s="60" t="n">
        <f aca="false">IF(AI19=0,0,SUMPRODUCT((Premissas!$B$85:$B$93="Dados")*((Premissas!$C$85:$C$93="Planejado")+(Premissas!$C$85:$C$93="Em estudo")*Premissas!$B$81)*(Premissas!$F$85:$F$93&lt;=AI$4)*(Premissas!$G$85:$G$93&gt;=AI$4)*(Premissas!$D$85:$D$93="Fixo mensal")*Premissas!$E$85:$E$93)+SUMPRODUCT((Premissas!$B$85:$B$93="Dados")*((Premissas!$C$85:$C$93="Planejado")+(Premissas!$C$85:$C$93="Em estudo")*Premissas!$B$81)*(Premissas!$F$85:$F$93&lt;=AI$4)*(Premissas!$G$85:$G$93&gt;=AI$4)*(Premissas!$D$85:$D$93="Por usuário")*Premissas!$E$85:$E$93)*AI19)</f>
        <v>0</v>
      </c>
      <c r="AJ26" s="60" t="n">
        <f aca="false">IF(AJ19=0,0,SUMPRODUCT((Premissas!$B$85:$B$93="Dados")*((Premissas!$C$85:$C$93="Planejado")+(Premissas!$C$85:$C$93="Em estudo")*Premissas!$B$81)*(Premissas!$F$85:$F$93&lt;=AJ$4)*(Premissas!$G$85:$G$93&gt;=AJ$4)*(Premissas!$D$85:$D$93="Fixo mensal")*Premissas!$E$85:$E$93)+SUMPRODUCT((Premissas!$B$85:$B$93="Dados")*((Premissas!$C$85:$C$93="Planejado")+(Premissas!$C$85:$C$93="Em estudo")*Premissas!$B$81)*(Premissas!$F$85:$F$93&lt;=AJ$4)*(Premissas!$G$85:$G$93&gt;=AJ$4)*(Premissas!$D$85:$D$93="Por usuário")*Premissas!$E$85:$E$93)*AJ19)</f>
        <v>0</v>
      </c>
      <c r="AK26" s="60" t="n">
        <f aca="false">IF(AK19=0,0,SUMPRODUCT((Premissas!$B$85:$B$93="Dados")*((Premissas!$C$85:$C$93="Planejado")+(Premissas!$C$85:$C$93="Em estudo")*Premissas!$B$81)*(Premissas!$F$85:$F$93&lt;=AK$4)*(Premissas!$G$85:$G$93&gt;=AK$4)*(Premissas!$D$85:$D$93="Fixo mensal")*Premissas!$E$85:$E$93)+SUMPRODUCT((Premissas!$B$85:$B$93="Dados")*((Premissas!$C$85:$C$93="Planejado")+(Premissas!$C$85:$C$93="Em estudo")*Premissas!$B$81)*(Premissas!$F$85:$F$93&lt;=AK$4)*(Premissas!$G$85:$G$93&gt;=AK$4)*(Premissas!$D$85:$D$93="Por usuário")*Premissas!$E$85:$E$93)*AK19)</f>
        <v>0</v>
      </c>
      <c r="AL26" s="60" t="n">
        <f aca="false">IF(AL19=0,0,SUMPRODUCT((Premissas!$B$85:$B$93="Dados")*((Premissas!$C$85:$C$93="Planejado")+(Premissas!$C$85:$C$93="Em estudo")*Premissas!$B$81)*(Premissas!$F$85:$F$93&lt;=AL$4)*(Premissas!$G$85:$G$93&gt;=AL$4)*(Premissas!$D$85:$D$93="Fixo mensal")*Premissas!$E$85:$E$93)+SUMPRODUCT((Premissas!$B$85:$B$93="Dados")*((Premissas!$C$85:$C$93="Planejado")+(Premissas!$C$85:$C$93="Em estudo")*Premissas!$B$81)*(Premissas!$F$85:$F$93&lt;=AL$4)*(Premissas!$G$85:$G$93&gt;=AL$4)*(Premissas!$D$85:$D$93="Por usuário")*Premissas!$E$85:$E$93)*AL19)</f>
        <v>0</v>
      </c>
      <c r="AM26" s="60" t="n">
        <f aca="false">IF(AM19=0,0,SUMPRODUCT((Premissas!$B$85:$B$93="Dados")*((Premissas!$C$85:$C$93="Planejado")+(Premissas!$C$85:$C$93="Em estudo")*Premissas!$B$81)*(Premissas!$F$85:$F$93&lt;=AM$4)*(Premissas!$G$85:$G$93&gt;=AM$4)*(Premissas!$D$85:$D$93="Fixo mensal")*Premissas!$E$85:$E$93)+SUMPRODUCT((Premissas!$B$85:$B$93="Dados")*((Premissas!$C$85:$C$93="Planejado")+(Premissas!$C$85:$C$93="Em estudo")*Premissas!$B$81)*(Premissas!$F$85:$F$93&lt;=AM$4)*(Premissas!$G$85:$G$93&gt;=AM$4)*(Premissas!$D$85:$D$93="Por usuário")*Premissas!$E$85:$E$93)*AM19)</f>
        <v>0</v>
      </c>
      <c r="AN26" s="60" t="n">
        <f aca="false">IF(AN19=0,0,SUMPRODUCT((Premissas!$B$85:$B$93="Dados")*((Premissas!$C$85:$C$93="Planejado")+(Premissas!$C$85:$C$93="Em estudo")*Premissas!$B$81)*(Premissas!$F$85:$F$93&lt;=AN$4)*(Premissas!$G$85:$G$93&gt;=AN$4)*(Premissas!$D$85:$D$93="Fixo mensal")*Premissas!$E$85:$E$93)+SUMPRODUCT((Premissas!$B$85:$B$93="Dados")*((Premissas!$C$85:$C$93="Planejado")+(Premissas!$C$85:$C$93="Em estudo")*Premissas!$B$81)*(Premissas!$F$85:$F$93&lt;=AN$4)*(Premissas!$G$85:$G$93&gt;=AN$4)*(Premissas!$D$85:$D$93="Por usuário")*Premissas!$E$85:$E$93)*AN19)</f>
        <v>0</v>
      </c>
      <c r="AO26" s="60" t="n">
        <f aca="false">IF(AO19=0,0,SUMPRODUCT((Premissas!$B$85:$B$93="Dados")*((Premissas!$C$85:$C$93="Planejado")+(Premissas!$C$85:$C$93="Em estudo")*Premissas!$B$81)*(Premissas!$F$85:$F$93&lt;=AO$4)*(Premissas!$G$85:$G$93&gt;=AO$4)*(Premissas!$D$85:$D$93="Fixo mensal")*Premissas!$E$85:$E$93)+SUMPRODUCT((Premissas!$B$85:$B$93="Dados")*((Premissas!$C$85:$C$93="Planejado")+(Premissas!$C$85:$C$93="Em estudo")*Premissas!$B$81)*(Premissas!$F$85:$F$93&lt;=AO$4)*(Premissas!$G$85:$G$93&gt;=AO$4)*(Premissas!$D$85:$D$93="Por usuário")*Premissas!$E$85:$E$93)*AO19)</f>
        <v>70000</v>
      </c>
      <c r="AP26" s="60" t="n">
        <f aca="false">IF(AP19=0,0,SUMPRODUCT((Premissas!$B$85:$B$93="Dados")*((Premissas!$C$85:$C$93="Planejado")+(Premissas!$C$85:$C$93="Em estudo")*Premissas!$B$81)*(Premissas!$F$85:$F$93&lt;=AP$4)*(Premissas!$G$85:$G$93&gt;=AP$4)*(Premissas!$D$85:$D$93="Fixo mensal")*Premissas!$E$85:$E$93)+SUMPRODUCT((Premissas!$B$85:$B$93="Dados")*((Premissas!$C$85:$C$93="Planejado")+(Premissas!$C$85:$C$93="Em estudo")*Premissas!$B$81)*(Premissas!$F$85:$F$93&lt;=AP$4)*(Premissas!$G$85:$G$93&gt;=AP$4)*(Premissas!$D$85:$D$93="Por usuário")*Premissas!$E$85:$E$93)*AP19)</f>
        <v>70000</v>
      </c>
      <c r="AQ26" s="60" t="n">
        <f aca="false">IF(AQ19=0,0,SUMPRODUCT((Premissas!$B$85:$B$93="Dados")*((Premissas!$C$85:$C$93="Planejado")+(Premissas!$C$85:$C$93="Em estudo")*Premissas!$B$81)*(Premissas!$F$85:$F$93&lt;=AQ$4)*(Premissas!$G$85:$G$93&gt;=AQ$4)*(Premissas!$D$85:$D$93="Fixo mensal")*Premissas!$E$85:$E$93)+SUMPRODUCT((Premissas!$B$85:$B$93="Dados")*((Premissas!$C$85:$C$93="Planejado")+(Premissas!$C$85:$C$93="Em estudo")*Premissas!$B$81)*(Premissas!$F$85:$F$93&lt;=AQ$4)*(Premissas!$G$85:$G$93&gt;=AQ$4)*(Premissas!$D$85:$D$93="Por usuário")*Premissas!$E$85:$E$93)*AQ19)</f>
        <v>70000</v>
      </c>
      <c r="AR26" s="60" t="n">
        <f aca="false">IF(AR19=0,0,SUMPRODUCT((Premissas!$B$85:$B$93="Dados")*((Premissas!$C$85:$C$93="Planejado")+(Premissas!$C$85:$C$93="Em estudo")*Premissas!$B$81)*(Premissas!$F$85:$F$93&lt;=AR$4)*(Premissas!$G$85:$G$93&gt;=AR$4)*(Premissas!$D$85:$D$93="Fixo mensal")*Premissas!$E$85:$E$93)+SUMPRODUCT((Premissas!$B$85:$B$93="Dados")*((Premissas!$C$85:$C$93="Planejado")+(Premissas!$C$85:$C$93="Em estudo")*Premissas!$B$81)*(Premissas!$F$85:$F$93&lt;=AR$4)*(Premissas!$G$85:$G$93&gt;=AR$4)*(Premissas!$D$85:$D$93="Por usuário")*Premissas!$E$85:$E$93)*AR19)</f>
        <v>70000</v>
      </c>
      <c r="AS26" s="60" t="n">
        <f aca="false">IF(AS19=0,0,SUMPRODUCT((Premissas!$B$85:$B$93="Dados")*((Premissas!$C$85:$C$93="Planejado")+(Premissas!$C$85:$C$93="Em estudo")*Premissas!$B$81)*(Premissas!$F$85:$F$93&lt;=AS$4)*(Premissas!$G$85:$G$93&gt;=AS$4)*(Premissas!$D$85:$D$93="Fixo mensal")*Premissas!$E$85:$E$93)+SUMPRODUCT((Premissas!$B$85:$B$93="Dados")*((Premissas!$C$85:$C$93="Planejado")+(Premissas!$C$85:$C$93="Em estudo")*Premissas!$B$81)*(Premissas!$F$85:$F$93&lt;=AS$4)*(Premissas!$G$85:$G$93&gt;=AS$4)*(Premissas!$D$85:$D$93="Por usuário")*Premissas!$E$85:$E$93)*AS19)</f>
        <v>70000</v>
      </c>
      <c r="AT26" s="60" t="n">
        <f aca="false">IF(AT19=0,0,SUMPRODUCT((Premissas!$B$85:$B$93="Dados")*((Premissas!$C$85:$C$93="Planejado")+(Premissas!$C$85:$C$93="Em estudo")*Premissas!$B$81)*(Premissas!$F$85:$F$93&lt;=AT$4)*(Premissas!$G$85:$G$93&gt;=AT$4)*(Premissas!$D$85:$D$93="Fixo mensal")*Premissas!$E$85:$E$93)+SUMPRODUCT((Premissas!$B$85:$B$93="Dados")*((Premissas!$C$85:$C$93="Planejado")+(Premissas!$C$85:$C$93="Em estudo")*Premissas!$B$81)*(Premissas!$F$85:$F$93&lt;=AT$4)*(Premissas!$G$85:$G$93&gt;=AT$4)*(Premissas!$D$85:$D$93="Por usuário")*Premissas!$E$85:$E$93)*AT19)</f>
        <v>70000</v>
      </c>
      <c r="AU26" s="60" t="n">
        <f aca="false">IF(AU19=0,0,SUMPRODUCT((Premissas!$B$85:$B$93="Dados")*((Premissas!$C$85:$C$93="Planejado")+(Premissas!$C$85:$C$93="Em estudo")*Premissas!$B$81)*(Premissas!$F$85:$F$93&lt;=AU$4)*(Premissas!$G$85:$G$93&gt;=AU$4)*(Premissas!$D$85:$D$93="Fixo mensal")*Premissas!$E$85:$E$93)+SUMPRODUCT((Premissas!$B$85:$B$93="Dados")*((Premissas!$C$85:$C$93="Planejado")+(Premissas!$C$85:$C$93="Em estudo")*Premissas!$B$81)*(Premissas!$F$85:$F$93&lt;=AU$4)*(Premissas!$G$85:$G$93&gt;=AU$4)*(Premissas!$D$85:$D$93="Por usuário")*Premissas!$E$85:$E$93)*AU19)</f>
        <v>70000</v>
      </c>
      <c r="AV26" s="60" t="n">
        <f aca="false">IF(AV19=0,0,SUMPRODUCT((Premissas!$B$85:$B$93="Dados")*((Premissas!$C$85:$C$93="Planejado")+(Premissas!$C$85:$C$93="Em estudo")*Premissas!$B$81)*(Premissas!$F$85:$F$93&lt;=AV$4)*(Premissas!$G$85:$G$93&gt;=AV$4)*(Premissas!$D$85:$D$93="Fixo mensal")*Premissas!$E$85:$E$93)+SUMPRODUCT((Premissas!$B$85:$B$93="Dados")*((Premissas!$C$85:$C$93="Planejado")+(Premissas!$C$85:$C$93="Em estudo")*Premissas!$B$81)*(Premissas!$F$85:$F$93&lt;=AV$4)*(Premissas!$G$85:$G$93&gt;=AV$4)*(Premissas!$D$85:$D$93="Por usuário")*Premissas!$E$85:$E$93)*AV19)</f>
        <v>70000</v>
      </c>
      <c r="AW26" s="60" t="n">
        <f aca="false">IF(AW19=0,0,SUMPRODUCT((Premissas!$B$85:$B$93="Dados")*((Premissas!$C$85:$C$93="Planejado")+(Premissas!$C$85:$C$93="Em estudo")*Premissas!$B$81)*(Premissas!$F$85:$F$93&lt;=AW$4)*(Premissas!$G$85:$G$93&gt;=AW$4)*(Premissas!$D$85:$D$93="Fixo mensal")*Premissas!$E$85:$E$93)+SUMPRODUCT((Premissas!$B$85:$B$93="Dados")*((Premissas!$C$85:$C$93="Planejado")+(Premissas!$C$85:$C$93="Em estudo")*Premissas!$B$81)*(Premissas!$F$85:$F$93&lt;=AW$4)*(Premissas!$G$85:$G$93&gt;=AW$4)*(Premissas!$D$85:$D$93="Por usuário")*Premissas!$E$85:$E$93)*AW19)</f>
        <v>70000</v>
      </c>
      <c r="AX26" s="60" t="n">
        <f aca="false">IF(AX19=0,0,SUMPRODUCT((Premissas!$B$85:$B$93="Dados")*((Premissas!$C$85:$C$93="Planejado")+(Premissas!$C$85:$C$93="Em estudo")*Premissas!$B$81)*(Premissas!$F$85:$F$93&lt;=AX$4)*(Premissas!$G$85:$G$93&gt;=AX$4)*(Premissas!$D$85:$D$93="Fixo mensal")*Premissas!$E$85:$E$93)+SUMPRODUCT((Premissas!$B$85:$B$93="Dados")*((Premissas!$C$85:$C$93="Planejado")+(Premissas!$C$85:$C$93="Em estudo")*Premissas!$B$81)*(Premissas!$F$85:$F$93&lt;=AX$4)*(Premissas!$G$85:$G$93&gt;=AX$4)*(Premissas!$D$85:$D$93="Por usuário")*Premissas!$E$85:$E$93)*AX19)</f>
        <v>70000</v>
      </c>
      <c r="AY26" s="60" t="n">
        <f aca="false">IF(AY19=0,0,SUMPRODUCT((Premissas!$B$85:$B$93="Dados")*((Premissas!$C$85:$C$93="Planejado")+(Premissas!$C$85:$C$93="Em estudo")*Premissas!$B$81)*(Premissas!$F$85:$F$93&lt;=AY$4)*(Premissas!$G$85:$G$93&gt;=AY$4)*(Premissas!$D$85:$D$93="Fixo mensal")*Premissas!$E$85:$E$93)+SUMPRODUCT((Premissas!$B$85:$B$93="Dados")*((Premissas!$C$85:$C$93="Planejado")+(Premissas!$C$85:$C$93="Em estudo")*Premissas!$B$81)*(Premissas!$F$85:$F$93&lt;=AY$4)*(Premissas!$G$85:$G$93&gt;=AY$4)*(Premissas!$D$85:$D$93="Por usuário")*Premissas!$E$85:$E$93)*AY19)</f>
        <v>70000</v>
      </c>
      <c r="AZ26" s="60" t="n">
        <f aca="false">IF(AZ19=0,0,SUMPRODUCT((Premissas!$B$85:$B$93="Dados")*((Premissas!$C$85:$C$93="Planejado")+(Premissas!$C$85:$C$93="Em estudo")*Premissas!$B$81)*(Premissas!$F$85:$F$93&lt;=AZ$4)*(Premissas!$G$85:$G$93&gt;=AZ$4)*(Premissas!$D$85:$D$93="Fixo mensal")*Premissas!$E$85:$E$93)+SUMPRODUCT((Premissas!$B$85:$B$93="Dados")*((Premissas!$C$85:$C$93="Planejado")+(Premissas!$C$85:$C$93="Em estudo")*Premissas!$B$81)*(Premissas!$F$85:$F$93&lt;=AZ$4)*(Premissas!$G$85:$G$93&gt;=AZ$4)*(Premissas!$D$85:$D$93="Por usuário")*Premissas!$E$85:$E$93)*AZ19)</f>
        <v>70000</v>
      </c>
      <c r="BA26" s="60" t="n">
        <f aca="false">IF(BA19=0,0,SUMPRODUCT((Premissas!$B$85:$B$93="Dados")*((Premissas!$C$85:$C$93="Planejado")+(Premissas!$C$85:$C$93="Em estudo")*Premissas!$B$81)*(Premissas!$F$85:$F$93&lt;=BA$4)*(Premissas!$G$85:$G$93&gt;=BA$4)*(Premissas!$D$85:$D$93="Fixo mensal")*Premissas!$E$85:$E$93)+SUMPRODUCT((Premissas!$B$85:$B$93="Dados")*((Premissas!$C$85:$C$93="Planejado")+(Premissas!$C$85:$C$93="Em estudo")*Premissas!$B$81)*(Premissas!$F$85:$F$93&lt;=BA$4)*(Premissas!$G$85:$G$93&gt;=BA$4)*(Premissas!$D$85:$D$93="Por usuário")*Premissas!$E$85:$E$93)*BA19)</f>
        <v>70000</v>
      </c>
      <c r="BB26" s="60" t="n">
        <f aca="false">IF(BB19=0,0,SUMPRODUCT((Premissas!$B$85:$B$93="Dados")*((Premissas!$C$85:$C$93="Planejado")+(Premissas!$C$85:$C$93="Em estudo")*Premissas!$B$81)*(Premissas!$F$85:$F$93&lt;=BB$4)*(Premissas!$G$85:$G$93&gt;=BB$4)*(Premissas!$D$85:$D$93="Fixo mensal")*Premissas!$E$85:$E$93)+SUMPRODUCT((Premissas!$B$85:$B$93="Dados")*((Premissas!$C$85:$C$93="Planejado")+(Premissas!$C$85:$C$93="Em estudo")*Premissas!$B$81)*(Premissas!$F$85:$F$93&lt;=BB$4)*(Premissas!$G$85:$G$93&gt;=BB$4)*(Premissas!$D$85:$D$93="Por usuário")*Premissas!$E$85:$E$93)*BB19)</f>
        <v>70000</v>
      </c>
      <c r="BC26" s="60" t="n">
        <f aca="false">IF(BC19=0,0,SUMPRODUCT((Premissas!$B$85:$B$93="Dados")*((Premissas!$C$85:$C$93="Planejado")+(Premissas!$C$85:$C$93="Em estudo")*Premissas!$B$81)*(Premissas!$F$85:$F$93&lt;=BC$4)*(Premissas!$G$85:$G$93&gt;=BC$4)*(Premissas!$D$85:$D$93="Fixo mensal")*Premissas!$E$85:$E$93)+SUMPRODUCT((Premissas!$B$85:$B$93="Dados")*((Premissas!$C$85:$C$93="Planejado")+(Premissas!$C$85:$C$93="Em estudo")*Premissas!$B$81)*(Premissas!$F$85:$F$93&lt;=BC$4)*(Premissas!$G$85:$G$93&gt;=BC$4)*(Premissas!$D$85:$D$93="Por usuário")*Premissas!$E$85:$E$93)*BC19)</f>
        <v>70000</v>
      </c>
      <c r="BD26" s="60" t="n">
        <f aca="false">IF(BD19=0,0,SUMPRODUCT((Premissas!$B$85:$B$93="Dados")*((Premissas!$C$85:$C$93="Planejado")+(Premissas!$C$85:$C$93="Em estudo")*Premissas!$B$81)*(Premissas!$F$85:$F$93&lt;=BD$4)*(Premissas!$G$85:$G$93&gt;=BD$4)*(Premissas!$D$85:$D$93="Fixo mensal")*Premissas!$E$85:$E$93)+SUMPRODUCT((Premissas!$B$85:$B$93="Dados")*((Premissas!$C$85:$C$93="Planejado")+(Premissas!$C$85:$C$93="Em estudo")*Premissas!$B$81)*(Premissas!$F$85:$F$93&lt;=BD$4)*(Premissas!$G$85:$G$93&gt;=BD$4)*(Premissas!$D$85:$D$93="Por usuário")*Premissas!$E$85:$E$93)*BD19)</f>
        <v>70000</v>
      </c>
      <c r="BE26" s="60" t="n">
        <f aca="false">IF(BE19=0,0,SUMPRODUCT((Premissas!$B$85:$B$93="Dados")*((Premissas!$C$85:$C$93="Planejado")+(Premissas!$C$85:$C$93="Em estudo")*Premissas!$B$81)*(Premissas!$F$85:$F$93&lt;=BE$4)*(Premissas!$G$85:$G$93&gt;=BE$4)*(Premissas!$D$85:$D$93="Fixo mensal")*Premissas!$E$85:$E$93)+SUMPRODUCT((Premissas!$B$85:$B$93="Dados")*((Premissas!$C$85:$C$93="Planejado")+(Premissas!$C$85:$C$93="Em estudo")*Premissas!$B$81)*(Premissas!$F$85:$F$93&lt;=BE$4)*(Premissas!$G$85:$G$93&gt;=BE$4)*(Premissas!$D$85:$D$93="Por usuário")*Premissas!$E$85:$E$93)*BE19)</f>
        <v>70000</v>
      </c>
      <c r="BF26" s="60" t="n">
        <f aca="false">IF(BF19=0,0,SUMPRODUCT((Premissas!$B$85:$B$93="Dados")*((Premissas!$C$85:$C$93="Planejado")+(Premissas!$C$85:$C$93="Em estudo")*Premissas!$B$81)*(Premissas!$F$85:$F$93&lt;=BF$4)*(Premissas!$G$85:$G$93&gt;=BF$4)*(Premissas!$D$85:$D$93="Fixo mensal")*Premissas!$E$85:$E$93)+SUMPRODUCT((Premissas!$B$85:$B$93="Dados")*((Premissas!$C$85:$C$93="Planejado")+(Premissas!$C$85:$C$93="Em estudo")*Premissas!$B$81)*(Premissas!$F$85:$F$93&lt;=BF$4)*(Premissas!$G$85:$G$93&gt;=BF$4)*(Premissas!$D$85:$D$93="Por usuário")*Premissas!$E$85:$E$93)*BF19)</f>
        <v>70000</v>
      </c>
      <c r="BG26" s="60" t="n">
        <f aca="false">IF(BG19=0,0,SUMPRODUCT((Premissas!$B$85:$B$93="Dados")*((Premissas!$C$85:$C$93="Planejado")+(Premissas!$C$85:$C$93="Em estudo")*Premissas!$B$81)*(Premissas!$F$85:$F$93&lt;=BG$4)*(Premissas!$G$85:$G$93&gt;=BG$4)*(Premissas!$D$85:$D$93="Fixo mensal")*Premissas!$E$85:$E$93)+SUMPRODUCT((Premissas!$B$85:$B$93="Dados")*((Premissas!$C$85:$C$93="Planejado")+(Premissas!$C$85:$C$93="Em estudo")*Premissas!$B$81)*(Premissas!$F$85:$F$93&lt;=BG$4)*(Premissas!$G$85:$G$93&gt;=BG$4)*(Premissas!$D$85:$D$93="Por usuário")*Premissas!$E$85:$E$93)*BG19)</f>
        <v>70000</v>
      </c>
      <c r="BH26" s="60" t="n">
        <f aca="false">IF(BH19=0,0,SUMPRODUCT((Premissas!$B$85:$B$93="Dados")*((Premissas!$C$85:$C$93="Planejado")+(Premissas!$C$85:$C$93="Em estudo")*Premissas!$B$81)*(Premissas!$F$85:$F$93&lt;=BH$4)*(Premissas!$G$85:$G$93&gt;=BH$4)*(Premissas!$D$85:$D$93="Fixo mensal")*Premissas!$E$85:$E$93)+SUMPRODUCT((Premissas!$B$85:$B$93="Dados")*((Premissas!$C$85:$C$93="Planejado")+(Premissas!$C$85:$C$93="Em estudo")*Premissas!$B$81)*(Premissas!$F$85:$F$93&lt;=BH$4)*(Premissas!$G$85:$G$93&gt;=BH$4)*(Premissas!$D$85:$D$93="Por usuário")*Premissas!$E$85:$E$93)*BH19)</f>
        <v>70000</v>
      </c>
      <c r="BI26" s="60" t="n">
        <f aca="false">IF(BI19=0,0,SUMPRODUCT((Premissas!$B$85:$B$93="Dados")*((Premissas!$C$85:$C$93="Planejado")+(Premissas!$C$85:$C$93="Em estudo")*Premissas!$B$81)*(Premissas!$F$85:$F$93&lt;=BI$4)*(Premissas!$G$85:$G$93&gt;=BI$4)*(Premissas!$D$85:$D$93="Fixo mensal")*Premissas!$E$85:$E$93)+SUMPRODUCT((Premissas!$B$85:$B$93="Dados")*((Premissas!$C$85:$C$93="Planejado")+(Premissas!$C$85:$C$93="Em estudo")*Premissas!$B$81)*(Premissas!$F$85:$F$93&lt;=BI$4)*(Premissas!$G$85:$G$93&gt;=BI$4)*(Premissas!$D$85:$D$93="Por usuário")*Premissas!$E$85:$E$93)*BI19)</f>
        <v>70000</v>
      </c>
      <c r="BJ26" s="61" t="n">
        <f aca="false">SUM(B26:BI26)</f>
        <v>1470000</v>
      </c>
    </row>
    <row r="27" customFormat="false" ht="15" hidden="false" customHeight="false" outlineLevel="0" collapsed="false">
      <c r="A27" s="27" t="s">
        <v>879</v>
      </c>
      <c r="B27" s="60" t="n">
        <f aca="false">SUMPRODUCT((Premissas!$B$85:$B$93="Outras")*((Premissas!$C$85:$C$93="Planejado")+(Premissas!$C$85:$C$93="Em estudo")*Premissas!$B$81)*(Premissas!$F$85:$F$93&lt;=B$4)*(Premissas!$G$85:$G$93&gt;=B$4)*(Premissas!$D$85:$D$93="Fixo mensal")*Premissas!$E$85:$E$93)+SUMPRODUCT((Premissas!$B$85:$B$93="Outras")*((Premissas!$C$85:$C$93="Planejado")+(Premissas!$C$85:$C$93="Em estudo")*Premissas!$B$81)*(Premissas!$F$85:$F$93&lt;=B$4)*(Premissas!$G$85:$G$93&gt;=B$4)*(Premissas!$D$85:$D$93="Por usuário")*Premissas!$E$85:$E$93)*B19</f>
        <v>0</v>
      </c>
      <c r="C27" s="60" t="n">
        <f aca="false">SUMPRODUCT((Premissas!$B$85:$B$93="Outras")*((Premissas!$C$85:$C$93="Planejado")+(Premissas!$C$85:$C$93="Em estudo")*Premissas!$B$81)*(Premissas!$F$85:$F$93&lt;=C$4)*(Premissas!$G$85:$G$93&gt;=C$4)*(Premissas!$D$85:$D$93="Fixo mensal")*Premissas!$E$85:$E$93)+SUMPRODUCT((Premissas!$B$85:$B$93="Outras")*((Premissas!$C$85:$C$93="Planejado")+(Premissas!$C$85:$C$93="Em estudo")*Premissas!$B$81)*(Premissas!$F$85:$F$93&lt;=C$4)*(Premissas!$G$85:$G$93&gt;=C$4)*(Premissas!$D$85:$D$93="Por usuário")*Premissas!$E$85:$E$93)*C19</f>
        <v>0</v>
      </c>
      <c r="D27" s="60" t="n">
        <f aca="false">SUMPRODUCT((Premissas!$B$85:$B$93="Outras")*((Premissas!$C$85:$C$93="Planejado")+(Premissas!$C$85:$C$93="Em estudo")*Premissas!$B$81)*(Premissas!$F$85:$F$93&lt;=D$4)*(Premissas!$G$85:$G$93&gt;=D$4)*(Premissas!$D$85:$D$93="Fixo mensal")*Premissas!$E$85:$E$93)+SUMPRODUCT((Premissas!$B$85:$B$93="Outras")*((Premissas!$C$85:$C$93="Planejado")+(Premissas!$C$85:$C$93="Em estudo")*Premissas!$B$81)*(Premissas!$F$85:$F$93&lt;=D$4)*(Premissas!$G$85:$G$93&gt;=D$4)*(Premissas!$D$85:$D$93="Por usuário")*Premissas!$E$85:$E$93)*D19</f>
        <v>0</v>
      </c>
      <c r="E27" s="60" t="n">
        <f aca="false">SUMPRODUCT((Premissas!$B$85:$B$93="Outras")*((Premissas!$C$85:$C$93="Planejado")+(Premissas!$C$85:$C$93="Em estudo")*Premissas!$B$81)*(Premissas!$F$85:$F$93&lt;=E$4)*(Premissas!$G$85:$G$93&gt;=E$4)*(Premissas!$D$85:$D$93="Fixo mensal")*Premissas!$E$85:$E$93)+SUMPRODUCT((Premissas!$B$85:$B$93="Outras")*((Premissas!$C$85:$C$93="Planejado")+(Premissas!$C$85:$C$93="Em estudo")*Premissas!$B$81)*(Premissas!$F$85:$F$93&lt;=E$4)*(Premissas!$G$85:$G$93&gt;=E$4)*(Premissas!$D$85:$D$93="Por usuário")*Premissas!$E$85:$E$93)*E19</f>
        <v>0</v>
      </c>
      <c r="F27" s="60" t="n">
        <f aca="false">SUMPRODUCT((Premissas!$B$85:$B$93="Outras")*((Premissas!$C$85:$C$93="Planejado")+(Premissas!$C$85:$C$93="Em estudo")*Premissas!$B$81)*(Premissas!$F$85:$F$93&lt;=F$4)*(Premissas!$G$85:$G$93&gt;=F$4)*(Premissas!$D$85:$D$93="Fixo mensal")*Premissas!$E$85:$E$93)+SUMPRODUCT((Premissas!$B$85:$B$93="Outras")*((Premissas!$C$85:$C$93="Planejado")+(Premissas!$C$85:$C$93="Em estudo")*Premissas!$B$81)*(Premissas!$F$85:$F$93&lt;=F$4)*(Premissas!$G$85:$G$93&gt;=F$4)*(Premissas!$D$85:$D$93="Por usuário")*Premissas!$E$85:$E$93)*F19</f>
        <v>0</v>
      </c>
      <c r="G27" s="60" t="n">
        <f aca="false">SUMPRODUCT((Premissas!$B$85:$B$93="Outras")*((Premissas!$C$85:$C$93="Planejado")+(Premissas!$C$85:$C$93="Em estudo")*Premissas!$B$81)*(Premissas!$F$85:$F$93&lt;=G$4)*(Premissas!$G$85:$G$93&gt;=G$4)*(Premissas!$D$85:$D$93="Fixo mensal")*Premissas!$E$85:$E$93)+SUMPRODUCT((Premissas!$B$85:$B$93="Outras")*((Premissas!$C$85:$C$93="Planejado")+(Premissas!$C$85:$C$93="Em estudo")*Premissas!$B$81)*(Premissas!$F$85:$F$93&lt;=G$4)*(Premissas!$G$85:$G$93&gt;=G$4)*(Premissas!$D$85:$D$93="Por usuário")*Premissas!$E$85:$E$93)*G19</f>
        <v>0</v>
      </c>
      <c r="H27" s="60" t="n">
        <f aca="false">SUMPRODUCT((Premissas!$B$85:$B$93="Outras")*((Premissas!$C$85:$C$93="Planejado")+(Premissas!$C$85:$C$93="Em estudo")*Premissas!$B$81)*(Premissas!$F$85:$F$93&lt;=H$4)*(Premissas!$G$85:$G$93&gt;=H$4)*(Premissas!$D$85:$D$93="Fixo mensal")*Premissas!$E$85:$E$93)+SUMPRODUCT((Premissas!$B$85:$B$93="Outras")*((Premissas!$C$85:$C$93="Planejado")+(Premissas!$C$85:$C$93="Em estudo")*Premissas!$B$81)*(Premissas!$F$85:$F$93&lt;=H$4)*(Premissas!$G$85:$G$93&gt;=H$4)*(Premissas!$D$85:$D$93="Por usuário")*Premissas!$E$85:$E$93)*H19</f>
        <v>0</v>
      </c>
      <c r="I27" s="60" t="n">
        <f aca="false">SUMPRODUCT((Premissas!$B$85:$B$93="Outras")*((Premissas!$C$85:$C$93="Planejado")+(Premissas!$C$85:$C$93="Em estudo")*Premissas!$B$81)*(Premissas!$F$85:$F$93&lt;=I$4)*(Premissas!$G$85:$G$93&gt;=I$4)*(Premissas!$D$85:$D$93="Fixo mensal")*Premissas!$E$85:$E$93)+SUMPRODUCT((Premissas!$B$85:$B$93="Outras")*((Premissas!$C$85:$C$93="Planejado")+(Premissas!$C$85:$C$93="Em estudo")*Premissas!$B$81)*(Premissas!$F$85:$F$93&lt;=I$4)*(Premissas!$G$85:$G$93&gt;=I$4)*(Premissas!$D$85:$D$93="Por usuário")*Premissas!$E$85:$E$93)*I19</f>
        <v>0</v>
      </c>
      <c r="J27" s="60" t="n">
        <f aca="false">SUMPRODUCT((Premissas!$B$85:$B$93="Outras")*((Premissas!$C$85:$C$93="Planejado")+(Premissas!$C$85:$C$93="Em estudo")*Premissas!$B$81)*(Premissas!$F$85:$F$93&lt;=J$4)*(Premissas!$G$85:$G$93&gt;=J$4)*(Premissas!$D$85:$D$93="Fixo mensal")*Premissas!$E$85:$E$93)+SUMPRODUCT((Premissas!$B$85:$B$93="Outras")*((Premissas!$C$85:$C$93="Planejado")+(Premissas!$C$85:$C$93="Em estudo")*Premissas!$B$81)*(Premissas!$F$85:$F$93&lt;=J$4)*(Premissas!$G$85:$G$93&gt;=J$4)*(Premissas!$D$85:$D$93="Por usuário")*Premissas!$E$85:$E$93)*J19</f>
        <v>0</v>
      </c>
      <c r="K27" s="60" t="n">
        <f aca="false">SUMPRODUCT((Premissas!$B$85:$B$93="Outras")*((Premissas!$C$85:$C$93="Planejado")+(Premissas!$C$85:$C$93="Em estudo")*Premissas!$B$81)*(Premissas!$F$85:$F$93&lt;=K$4)*(Premissas!$G$85:$G$93&gt;=K$4)*(Premissas!$D$85:$D$93="Fixo mensal")*Premissas!$E$85:$E$93)+SUMPRODUCT((Premissas!$B$85:$B$93="Outras")*((Premissas!$C$85:$C$93="Planejado")+(Premissas!$C$85:$C$93="Em estudo")*Premissas!$B$81)*(Premissas!$F$85:$F$93&lt;=K$4)*(Premissas!$G$85:$G$93&gt;=K$4)*(Premissas!$D$85:$D$93="Por usuário")*Premissas!$E$85:$E$93)*K19</f>
        <v>0</v>
      </c>
      <c r="L27" s="60" t="n">
        <f aca="false">SUMPRODUCT((Premissas!$B$85:$B$93="Outras")*((Premissas!$C$85:$C$93="Planejado")+(Premissas!$C$85:$C$93="Em estudo")*Premissas!$B$81)*(Premissas!$F$85:$F$93&lt;=L$4)*(Premissas!$G$85:$G$93&gt;=L$4)*(Premissas!$D$85:$D$93="Fixo mensal")*Premissas!$E$85:$E$93)+SUMPRODUCT((Premissas!$B$85:$B$93="Outras")*((Premissas!$C$85:$C$93="Planejado")+(Premissas!$C$85:$C$93="Em estudo")*Premissas!$B$81)*(Premissas!$F$85:$F$93&lt;=L$4)*(Premissas!$G$85:$G$93&gt;=L$4)*(Premissas!$D$85:$D$93="Por usuário")*Premissas!$E$85:$E$93)*L19</f>
        <v>0</v>
      </c>
      <c r="M27" s="60" t="n">
        <f aca="false">SUMPRODUCT((Premissas!$B$85:$B$93="Outras")*((Premissas!$C$85:$C$93="Planejado")+(Premissas!$C$85:$C$93="Em estudo")*Premissas!$B$81)*(Premissas!$F$85:$F$93&lt;=M$4)*(Premissas!$G$85:$G$93&gt;=M$4)*(Premissas!$D$85:$D$93="Fixo mensal")*Premissas!$E$85:$E$93)+SUMPRODUCT((Premissas!$B$85:$B$93="Outras")*((Premissas!$C$85:$C$93="Planejado")+(Premissas!$C$85:$C$93="Em estudo")*Premissas!$B$81)*(Premissas!$F$85:$F$93&lt;=M$4)*(Premissas!$G$85:$G$93&gt;=M$4)*(Premissas!$D$85:$D$93="Por usuário")*Premissas!$E$85:$E$93)*M19</f>
        <v>0</v>
      </c>
      <c r="N27" s="60" t="n">
        <f aca="false">SUMPRODUCT((Premissas!$B$85:$B$93="Outras")*((Premissas!$C$85:$C$93="Planejado")+(Premissas!$C$85:$C$93="Em estudo")*Premissas!$B$81)*(Premissas!$F$85:$F$93&lt;=N$4)*(Premissas!$G$85:$G$93&gt;=N$4)*(Premissas!$D$85:$D$93="Fixo mensal")*Premissas!$E$85:$E$93)+SUMPRODUCT((Premissas!$B$85:$B$93="Outras")*((Premissas!$C$85:$C$93="Planejado")+(Premissas!$C$85:$C$93="Em estudo")*Premissas!$B$81)*(Premissas!$F$85:$F$93&lt;=N$4)*(Premissas!$G$85:$G$93&gt;=N$4)*(Premissas!$D$85:$D$93="Por usuário")*Premissas!$E$85:$E$93)*N19</f>
        <v>0</v>
      </c>
      <c r="O27" s="60" t="n">
        <f aca="false">SUMPRODUCT((Premissas!$B$85:$B$93="Outras")*((Premissas!$C$85:$C$93="Planejado")+(Premissas!$C$85:$C$93="Em estudo")*Premissas!$B$81)*(Premissas!$F$85:$F$93&lt;=O$4)*(Premissas!$G$85:$G$93&gt;=O$4)*(Premissas!$D$85:$D$93="Fixo mensal")*Premissas!$E$85:$E$93)+SUMPRODUCT((Premissas!$B$85:$B$93="Outras")*((Premissas!$C$85:$C$93="Planejado")+(Premissas!$C$85:$C$93="Em estudo")*Premissas!$B$81)*(Premissas!$F$85:$F$93&lt;=O$4)*(Premissas!$G$85:$G$93&gt;=O$4)*(Premissas!$D$85:$D$93="Por usuário")*Premissas!$E$85:$E$93)*O19</f>
        <v>0</v>
      </c>
      <c r="P27" s="60" t="n">
        <f aca="false">SUMPRODUCT((Premissas!$B$85:$B$93="Outras")*((Premissas!$C$85:$C$93="Planejado")+(Premissas!$C$85:$C$93="Em estudo")*Premissas!$B$81)*(Premissas!$F$85:$F$93&lt;=P$4)*(Premissas!$G$85:$G$93&gt;=P$4)*(Premissas!$D$85:$D$93="Fixo mensal")*Premissas!$E$85:$E$93)+SUMPRODUCT((Premissas!$B$85:$B$93="Outras")*((Premissas!$C$85:$C$93="Planejado")+(Premissas!$C$85:$C$93="Em estudo")*Premissas!$B$81)*(Premissas!$F$85:$F$93&lt;=P$4)*(Premissas!$G$85:$G$93&gt;=P$4)*(Premissas!$D$85:$D$93="Por usuário")*Premissas!$E$85:$E$93)*P19</f>
        <v>0</v>
      </c>
      <c r="Q27" s="60" t="n">
        <f aca="false">SUMPRODUCT((Premissas!$B$85:$B$93="Outras")*((Premissas!$C$85:$C$93="Planejado")+(Premissas!$C$85:$C$93="Em estudo")*Premissas!$B$81)*(Premissas!$F$85:$F$93&lt;=Q$4)*(Premissas!$G$85:$G$93&gt;=Q$4)*(Premissas!$D$85:$D$93="Fixo mensal")*Premissas!$E$85:$E$93)+SUMPRODUCT((Premissas!$B$85:$B$93="Outras")*((Premissas!$C$85:$C$93="Planejado")+(Premissas!$C$85:$C$93="Em estudo")*Premissas!$B$81)*(Premissas!$F$85:$F$93&lt;=Q$4)*(Premissas!$G$85:$G$93&gt;=Q$4)*(Premissas!$D$85:$D$93="Por usuário")*Premissas!$E$85:$E$93)*Q19</f>
        <v>0</v>
      </c>
      <c r="R27" s="60" t="n">
        <f aca="false">SUMPRODUCT((Premissas!$B$85:$B$93="Outras")*((Premissas!$C$85:$C$93="Planejado")+(Premissas!$C$85:$C$93="Em estudo")*Premissas!$B$81)*(Premissas!$F$85:$F$93&lt;=R$4)*(Premissas!$G$85:$G$93&gt;=R$4)*(Premissas!$D$85:$D$93="Fixo mensal")*Premissas!$E$85:$E$93)+SUMPRODUCT((Premissas!$B$85:$B$93="Outras")*((Premissas!$C$85:$C$93="Planejado")+(Premissas!$C$85:$C$93="Em estudo")*Premissas!$B$81)*(Premissas!$F$85:$F$93&lt;=R$4)*(Premissas!$G$85:$G$93&gt;=R$4)*(Premissas!$D$85:$D$93="Por usuário")*Premissas!$E$85:$E$93)*R19</f>
        <v>0</v>
      </c>
      <c r="S27" s="60" t="n">
        <f aca="false">SUMPRODUCT((Premissas!$B$85:$B$93="Outras")*((Premissas!$C$85:$C$93="Planejado")+(Premissas!$C$85:$C$93="Em estudo")*Premissas!$B$81)*(Premissas!$F$85:$F$93&lt;=S$4)*(Premissas!$G$85:$G$93&gt;=S$4)*(Premissas!$D$85:$D$93="Fixo mensal")*Premissas!$E$85:$E$93)+SUMPRODUCT((Premissas!$B$85:$B$93="Outras")*((Premissas!$C$85:$C$93="Planejado")+(Premissas!$C$85:$C$93="Em estudo")*Premissas!$B$81)*(Premissas!$F$85:$F$93&lt;=S$4)*(Premissas!$G$85:$G$93&gt;=S$4)*(Premissas!$D$85:$D$93="Por usuário")*Premissas!$E$85:$E$93)*S19</f>
        <v>0</v>
      </c>
      <c r="T27" s="60" t="n">
        <f aca="false">SUMPRODUCT((Premissas!$B$85:$B$93="Outras")*((Premissas!$C$85:$C$93="Planejado")+(Premissas!$C$85:$C$93="Em estudo")*Premissas!$B$81)*(Premissas!$F$85:$F$93&lt;=T$4)*(Premissas!$G$85:$G$93&gt;=T$4)*(Premissas!$D$85:$D$93="Fixo mensal")*Premissas!$E$85:$E$93)+SUMPRODUCT((Premissas!$B$85:$B$93="Outras")*((Premissas!$C$85:$C$93="Planejado")+(Premissas!$C$85:$C$93="Em estudo")*Premissas!$B$81)*(Premissas!$F$85:$F$93&lt;=T$4)*(Premissas!$G$85:$G$93&gt;=T$4)*(Premissas!$D$85:$D$93="Por usuário")*Premissas!$E$85:$E$93)*T19</f>
        <v>0</v>
      </c>
      <c r="U27" s="60" t="n">
        <f aca="false">SUMPRODUCT((Premissas!$B$85:$B$93="Outras")*((Premissas!$C$85:$C$93="Planejado")+(Premissas!$C$85:$C$93="Em estudo")*Premissas!$B$81)*(Premissas!$F$85:$F$93&lt;=U$4)*(Premissas!$G$85:$G$93&gt;=U$4)*(Premissas!$D$85:$D$93="Fixo mensal")*Premissas!$E$85:$E$93)+SUMPRODUCT((Premissas!$B$85:$B$93="Outras")*((Premissas!$C$85:$C$93="Planejado")+(Premissas!$C$85:$C$93="Em estudo")*Premissas!$B$81)*(Premissas!$F$85:$F$93&lt;=U$4)*(Premissas!$G$85:$G$93&gt;=U$4)*(Premissas!$D$85:$D$93="Por usuário")*Premissas!$E$85:$E$93)*U19</f>
        <v>0</v>
      </c>
      <c r="V27" s="60" t="n">
        <f aca="false">SUMPRODUCT((Premissas!$B$85:$B$93="Outras")*((Premissas!$C$85:$C$93="Planejado")+(Premissas!$C$85:$C$93="Em estudo")*Premissas!$B$81)*(Premissas!$F$85:$F$93&lt;=V$4)*(Premissas!$G$85:$G$93&gt;=V$4)*(Premissas!$D$85:$D$93="Fixo mensal")*Premissas!$E$85:$E$93)+SUMPRODUCT((Premissas!$B$85:$B$93="Outras")*((Premissas!$C$85:$C$93="Planejado")+(Premissas!$C$85:$C$93="Em estudo")*Premissas!$B$81)*(Premissas!$F$85:$F$93&lt;=V$4)*(Premissas!$G$85:$G$93&gt;=V$4)*(Premissas!$D$85:$D$93="Por usuário")*Premissas!$E$85:$E$93)*V19</f>
        <v>0</v>
      </c>
      <c r="W27" s="60" t="n">
        <f aca="false">SUMPRODUCT((Premissas!$B$85:$B$93="Outras")*((Premissas!$C$85:$C$93="Planejado")+(Premissas!$C$85:$C$93="Em estudo")*Premissas!$B$81)*(Premissas!$F$85:$F$93&lt;=W$4)*(Premissas!$G$85:$G$93&gt;=W$4)*(Premissas!$D$85:$D$93="Fixo mensal")*Premissas!$E$85:$E$93)+SUMPRODUCT((Premissas!$B$85:$B$93="Outras")*((Premissas!$C$85:$C$93="Planejado")+(Premissas!$C$85:$C$93="Em estudo")*Premissas!$B$81)*(Premissas!$F$85:$F$93&lt;=W$4)*(Premissas!$G$85:$G$93&gt;=W$4)*(Premissas!$D$85:$D$93="Por usuário")*Premissas!$E$85:$E$93)*W19</f>
        <v>0</v>
      </c>
      <c r="X27" s="60" t="n">
        <f aca="false">SUMPRODUCT((Premissas!$B$85:$B$93="Outras")*((Premissas!$C$85:$C$93="Planejado")+(Premissas!$C$85:$C$93="Em estudo")*Premissas!$B$81)*(Premissas!$F$85:$F$93&lt;=X$4)*(Premissas!$G$85:$G$93&gt;=X$4)*(Premissas!$D$85:$D$93="Fixo mensal")*Premissas!$E$85:$E$93)+SUMPRODUCT((Premissas!$B$85:$B$93="Outras")*((Premissas!$C$85:$C$93="Planejado")+(Premissas!$C$85:$C$93="Em estudo")*Premissas!$B$81)*(Premissas!$F$85:$F$93&lt;=X$4)*(Premissas!$G$85:$G$93&gt;=X$4)*(Premissas!$D$85:$D$93="Por usuário")*Premissas!$E$85:$E$93)*X19</f>
        <v>0</v>
      </c>
      <c r="Y27" s="60" t="n">
        <f aca="false">SUMPRODUCT((Premissas!$B$85:$B$93="Outras")*((Premissas!$C$85:$C$93="Planejado")+(Premissas!$C$85:$C$93="Em estudo")*Premissas!$B$81)*(Premissas!$F$85:$F$93&lt;=Y$4)*(Premissas!$G$85:$G$93&gt;=Y$4)*(Premissas!$D$85:$D$93="Fixo mensal")*Premissas!$E$85:$E$93)+SUMPRODUCT((Premissas!$B$85:$B$93="Outras")*((Premissas!$C$85:$C$93="Planejado")+(Premissas!$C$85:$C$93="Em estudo")*Premissas!$B$81)*(Premissas!$F$85:$F$93&lt;=Y$4)*(Premissas!$G$85:$G$93&gt;=Y$4)*(Premissas!$D$85:$D$93="Por usuário")*Premissas!$E$85:$E$93)*Y19</f>
        <v>0</v>
      </c>
      <c r="Z27" s="60" t="n">
        <f aca="false">SUMPRODUCT((Premissas!$B$85:$B$93="Outras")*((Premissas!$C$85:$C$93="Planejado")+(Premissas!$C$85:$C$93="Em estudo")*Premissas!$B$81)*(Premissas!$F$85:$F$93&lt;=Z$4)*(Premissas!$G$85:$G$93&gt;=Z$4)*(Premissas!$D$85:$D$93="Fixo mensal")*Premissas!$E$85:$E$93)+SUMPRODUCT((Premissas!$B$85:$B$93="Outras")*((Premissas!$C$85:$C$93="Planejado")+(Premissas!$C$85:$C$93="Em estudo")*Premissas!$B$81)*(Premissas!$F$85:$F$93&lt;=Z$4)*(Premissas!$G$85:$G$93&gt;=Z$4)*(Premissas!$D$85:$D$93="Por usuário")*Premissas!$E$85:$E$93)*Z19</f>
        <v>0</v>
      </c>
      <c r="AA27" s="60" t="n">
        <f aca="false">SUMPRODUCT((Premissas!$B$85:$B$93="Outras")*((Premissas!$C$85:$C$93="Planejado")+(Premissas!$C$85:$C$93="Em estudo")*Premissas!$B$81)*(Premissas!$F$85:$F$93&lt;=AA$4)*(Premissas!$G$85:$G$93&gt;=AA$4)*(Premissas!$D$85:$D$93="Fixo mensal")*Premissas!$E$85:$E$93)+SUMPRODUCT((Premissas!$B$85:$B$93="Outras")*((Premissas!$C$85:$C$93="Planejado")+(Premissas!$C$85:$C$93="Em estudo")*Premissas!$B$81)*(Premissas!$F$85:$F$93&lt;=AA$4)*(Premissas!$G$85:$G$93&gt;=AA$4)*(Premissas!$D$85:$D$93="Por usuário")*Premissas!$E$85:$E$93)*AA19</f>
        <v>0</v>
      </c>
      <c r="AB27" s="60" t="n">
        <f aca="false">SUMPRODUCT((Premissas!$B$85:$B$93="Outras")*((Premissas!$C$85:$C$93="Planejado")+(Premissas!$C$85:$C$93="Em estudo")*Premissas!$B$81)*(Premissas!$F$85:$F$93&lt;=AB$4)*(Premissas!$G$85:$G$93&gt;=AB$4)*(Premissas!$D$85:$D$93="Fixo mensal")*Premissas!$E$85:$E$93)+SUMPRODUCT((Premissas!$B$85:$B$93="Outras")*((Premissas!$C$85:$C$93="Planejado")+(Premissas!$C$85:$C$93="Em estudo")*Premissas!$B$81)*(Premissas!$F$85:$F$93&lt;=AB$4)*(Premissas!$G$85:$G$93&gt;=AB$4)*(Premissas!$D$85:$D$93="Por usuário")*Premissas!$E$85:$E$93)*AB19</f>
        <v>0</v>
      </c>
      <c r="AC27" s="60" t="n">
        <f aca="false">SUMPRODUCT((Premissas!$B$85:$B$93="Outras")*((Premissas!$C$85:$C$93="Planejado")+(Premissas!$C$85:$C$93="Em estudo")*Premissas!$B$81)*(Premissas!$F$85:$F$93&lt;=AC$4)*(Premissas!$G$85:$G$93&gt;=AC$4)*(Premissas!$D$85:$D$93="Fixo mensal")*Premissas!$E$85:$E$93)+SUMPRODUCT((Premissas!$B$85:$B$93="Outras")*((Premissas!$C$85:$C$93="Planejado")+(Premissas!$C$85:$C$93="Em estudo")*Premissas!$B$81)*(Premissas!$F$85:$F$93&lt;=AC$4)*(Premissas!$G$85:$G$93&gt;=AC$4)*(Premissas!$D$85:$D$93="Por usuário")*Premissas!$E$85:$E$93)*AC19</f>
        <v>0</v>
      </c>
      <c r="AD27" s="60" t="n">
        <f aca="false">SUMPRODUCT((Premissas!$B$85:$B$93="Outras")*((Premissas!$C$85:$C$93="Planejado")+(Premissas!$C$85:$C$93="Em estudo")*Premissas!$B$81)*(Premissas!$F$85:$F$93&lt;=AD$4)*(Premissas!$G$85:$G$93&gt;=AD$4)*(Premissas!$D$85:$D$93="Fixo mensal")*Premissas!$E$85:$E$93)+SUMPRODUCT((Premissas!$B$85:$B$93="Outras")*((Premissas!$C$85:$C$93="Planejado")+(Premissas!$C$85:$C$93="Em estudo")*Premissas!$B$81)*(Premissas!$F$85:$F$93&lt;=AD$4)*(Premissas!$G$85:$G$93&gt;=AD$4)*(Premissas!$D$85:$D$93="Por usuário")*Premissas!$E$85:$E$93)*AD19</f>
        <v>0</v>
      </c>
      <c r="AE27" s="60" t="n">
        <f aca="false">SUMPRODUCT((Premissas!$B$85:$B$93="Outras")*((Premissas!$C$85:$C$93="Planejado")+(Premissas!$C$85:$C$93="Em estudo")*Premissas!$B$81)*(Premissas!$F$85:$F$93&lt;=AE$4)*(Premissas!$G$85:$G$93&gt;=AE$4)*(Premissas!$D$85:$D$93="Fixo mensal")*Premissas!$E$85:$E$93)+SUMPRODUCT((Premissas!$B$85:$B$93="Outras")*((Premissas!$C$85:$C$93="Planejado")+(Premissas!$C$85:$C$93="Em estudo")*Premissas!$B$81)*(Premissas!$F$85:$F$93&lt;=AE$4)*(Premissas!$G$85:$G$93&gt;=AE$4)*(Premissas!$D$85:$D$93="Por usuário")*Premissas!$E$85:$E$93)*AE19</f>
        <v>0</v>
      </c>
      <c r="AF27" s="60" t="n">
        <f aca="false">SUMPRODUCT((Premissas!$B$85:$B$93="Outras")*((Premissas!$C$85:$C$93="Planejado")+(Premissas!$C$85:$C$93="Em estudo")*Premissas!$B$81)*(Premissas!$F$85:$F$93&lt;=AF$4)*(Premissas!$G$85:$G$93&gt;=AF$4)*(Premissas!$D$85:$D$93="Fixo mensal")*Premissas!$E$85:$E$93)+SUMPRODUCT((Premissas!$B$85:$B$93="Outras")*((Premissas!$C$85:$C$93="Planejado")+(Premissas!$C$85:$C$93="Em estudo")*Premissas!$B$81)*(Premissas!$F$85:$F$93&lt;=AF$4)*(Premissas!$G$85:$G$93&gt;=AF$4)*(Premissas!$D$85:$D$93="Por usuário")*Premissas!$E$85:$E$93)*AF19</f>
        <v>0</v>
      </c>
      <c r="AG27" s="60" t="n">
        <f aca="false">SUMPRODUCT((Premissas!$B$85:$B$93="Outras")*((Premissas!$C$85:$C$93="Planejado")+(Premissas!$C$85:$C$93="Em estudo")*Premissas!$B$81)*(Premissas!$F$85:$F$93&lt;=AG$4)*(Premissas!$G$85:$G$93&gt;=AG$4)*(Premissas!$D$85:$D$93="Fixo mensal")*Premissas!$E$85:$E$93)+SUMPRODUCT((Premissas!$B$85:$B$93="Outras")*((Premissas!$C$85:$C$93="Planejado")+(Premissas!$C$85:$C$93="Em estudo")*Premissas!$B$81)*(Premissas!$F$85:$F$93&lt;=AG$4)*(Premissas!$G$85:$G$93&gt;=AG$4)*(Premissas!$D$85:$D$93="Por usuário")*Premissas!$E$85:$E$93)*AG19</f>
        <v>0</v>
      </c>
      <c r="AH27" s="60" t="n">
        <f aca="false">SUMPRODUCT((Premissas!$B$85:$B$93="Outras")*((Premissas!$C$85:$C$93="Planejado")+(Premissas!$C$85:$C$93="Em estudo")*Premissas!$B$81)*(Premissas!$F$85:$F$93&lt;=AH$4)*(Premissas!$G$85:$G$93&gt;=AH$4)*(Premissas!$D$85:$D$93="Fixo mensal")*Premissas!$E$85:$E$93)+SUMPRODUCT((Premissas!$B$85:$B$93="Outras")*((Premissas!$C$85:$C$93="Planejado")+(Premissas!$C$85:$C$93="Em estudo")*Premissas!$B$81)*(Premissas!$F$85:$F$93&lt;=AH$4)*(Premissas!$G$85:$G$93&gt;=AH$4)*(Premissas!$D$85:$D$93="Por usuário")*Premissas!$E$85:$E$93)*AH19</f>
        <v>0</v>
      </c>
      <c r="AI27" s="60" t="n">
        <f aca="false">SUMPRODUCT((Premissas!$B$85:$B$93="Outras")*((Premissas!$C$85:$C$93="Planejado")+(Premissas!$C$85:$C$93="Em estudo")*Premissas!$B$81)*(Premissas!$F$85:$F$93&lt;=AI$4)*(Premissas!$G$85:$G$93&gt;=AI$4)*(Premissas!$D$85:$D$93="Fixo mensal")*Premissas!$E$85:$E$93)+SUMPRODUCT((Premissas!$B$85:$B$93="Outras")*((Premissas!$C$85:$C$93="Planejado")+(Premissas!$C$85:$C$93="Em estudo")*Premissas!$B$81)*(Premissas!$F$85:$F$93&lt;=AI$4)*(Premissas!$G$85:$G$93&gt;=AI$4)*(Premissas!$D$85:$D$93="Por usuário")*Premissas!$E$85:$E$93)*AI19</f>
        <v>0</v>
      </c>
      <c r="AJ27" s="60" t="n">
        <f aca="false">SUMPRODUCT((Premissas!$B$85:$B$93="Outras")*((Premissas!$C$85:$C$93="Planejado")+(Premissas!$C$85:$C$93="Em estudo")*Premissas!$B$81)*(Premissas!$F$85:$F$93&lt;=AJ$4)*(Premissas!$G$85:$G$93&gt;=AJ$4)*(Premissas!$D$85:$D$93="Fixo mensal")*Premissas!$E$85:$E$93)+SUMPRODUCT((Premissas!$B$85:$B$93="Outras")*((Premissas!$C$85:$C$93="Planejado")+(Premissas!$C$85:$C$93="Em estudo")*Premissas!$B$81)*(Premissas!$F$85:$F$93&lt;=AJ$4)*(Premissas!$G$85:$G$93&gt;=AJ$4)*(Premissas!$D$85:$D$93="Por usuário")*Premissas!$E$85:$E$93)*AJ19</f>
        <v>0</v>
      </c>
      <c r="AK27" s="60" t="n">
        <f aca="false">SUMPRODUCT((Premissas!$B$85:$B$93="Outras")*((Premissas!$C$85:$C$93="Planejado")+(Premissas!$C$85:$C$93="Em estudo")*Premissas!$B$81)*(Premissas!$F$85:$F$93&lt;=AK$4)*(Premissas!$G$85:$G$93&gt;=AK$4)*(Premissas!$D$85:$D$93="Fixo mensal")*Premissas!$E$85:$E$93)+SUMPRODUCT((Premissas!$B$85:$B$93="Outras")*((Premissas!$C$85:$C$93="Planejado")+(Premissas!$C$85:$C$93="Em estudo")*Premissas!$B$81)*(Premissas!$F$85:$F$93&lt;=AK$4)*(Premissas!$G$85:$G$93&gt;=AK$4)*(Premissas!$D$85:$D$93="Por usuário")*Premissas!$E$85:$E$93)*AK19</f>
        <v>0</v>
      </c>
      <c r="AL27" s="60" t="n">
        <f aca="false">SUMPRODUCT((Premissas!$B$85:$B$93="Outras")*((Premissas!$C$85:$C$93="Planejado")+(Premissas!$C$85:$C$93="Em estudo")*Premissas!$B$81)*(Premissas!$F$85:$F$93&lt;=AL$4)*(Premissas!$G$85:$G$93&gt;=AL$4)*(Premissas!$D$85:$D$93="Fixo mensal")*Premissas!$E$85:$E$93)+SUMPRODUCT((Premissas!$B$85:$B$93="Outras")*((Premissas!$C$85:$C$93="Planejado")+(Premissas!$C$85:$C$93="Em estudo")*Premissas!$B$81)*(Premissas!$F$85:$F$93&lt;=AL$4)*(Premissas!$G$85:$G$93&gt;=AL$4)*(Premissas!$D$85:$D$93="Por usuário")*Premissas!$E$85:$E$93)*AL19</f>
        <v>0</v>
      </c>
      <c r="AM27" s="60" t="n">
        <f aca="false">SUMPRODUCT((Premissas!$B$85:$B$93="Outras")*((Premissas!$C$85:$C$93="Planejado")+(Premissas!$C$85:$C$93="Em estudo")*Premissas!$B$81)*(Premissas!$F$85:$F$93&lt;=AM$4)*(Premissas!$G$85:$G$93&gt;=AM$4)*(Premissas!$D$85:$D$93="Fixo mensal")*Premissas!$E$85:$E$93)+SUMPRODUCT((Premissas!$B$85:$B$93="Outras")*((Premissas!$C$85:$C$93="Planejado")+(Premissas!$C$85:$C$93="Em estudo")*Premissas!$B$81)*(Premissas!$F$85:$F$93&lt;=AM$4)*(Premissas!$G$85:$G$93&gt;=AM$4)*(Premissas!$D$85:$D$93="Por usuário")*Premissas!$E$85:$E$93)*AM19</f>
        <v>0</v>
      </c>
      <c r="AN27" s="60" t="n">
        <f aca="false">SUMPRODUCT((Premissas!$B$85:$B$93="Outras")*((Premissas!$C$85:$C$93="Planejado")+(Premissas!$C$85:$C$93="Em estudo")*Premissas!$B$81)*(Premissas!$F$85:$F$93&lt;=AN$4)*(Premissas!$G$85:$G$93&gt;=AN$4)*(Premissas!$D$85:$D$93="Fixo mensal")*Premissas!$E$85:$E$93)+SUMPRODUCT((Premissas!$B$85:$B$93="Outras")*((Premissas!$C$85:$C$93="Planejado")+(Premissas!$C$85:$C$93="Em estudo")*Premissas!$B$81)*(Premissas!$F$85:$F$93&lt;=AN$4)*(Premissas!$G$85:$G$93&gt;=AN$4)*(Premissas!$D$85:$D$93="Por usuário")*Premissas!$E$85:$E$93)*AN19</f>
        <v>0</v>
      </c>
      <c r="AO27" s="60" t="n">
        <f aca="false">SUMPRODUCT((Premissas!$B$85:$B$93="Outras")*((Premissas!$C$85:$C$93="Planejado")+(Premissas!$C$85:$C$93="Em estudo")*Premissas!$B$81)*(Premissas!$F$85:$F$93&lt;=AO$4)*(Premissas!$G$85:$G$93&gt;=AO$4)*(Premissas!$D$85:$D$93="Fixo mensal")*Premissas!$E$85:$E$93)+SUMPRODUCT((Premissas!$B$85:$B$93="Outras")*((Premissas!$C$85:$C$93="Planejado")+(Premissas!$C$85:$C$93="Em estudo")*Premissas!$B$81)*(Premissas!$F$85:$F$93&lt;=AO$4)*(Premissas!$G$85:$G$93&gt;=AO$4)*(Premissas!$D$85:$D$93="Por usuário")*Premissas!$E$85:$E$93)*AO19</f>
        <v>0</v>
      </c>
      <c r="AP27" s="60" t="n">
        <f aca="false">SUMPRODUCT((Premissas!$B$85:$B$93="Outras")*((Premissas!$C$85:$C$93="Planejado")+(Premissas!$C$85:$C$93="Em estudo")*Premissas!$B$81)*(Premissas!$F$85:$F$93&lt;=AP$4)*(Premissas!$G$85:$G$93&gt;=AP$4)*(Premissas!$D$85:$D$93="Fixo mensal")*Premissas!$E$85:$E$93)+SUMPRODUCT((Premissas!$B$85:$B$93="Outras")*((Premissas!$C$85:$C$93="Planejado")+(Premissas!$C$85:$C$93="Em estudo")*Premissas!$B$81)*(Premissas!$F$85:$F$93&lt;=AP$4)*(Premissas!$G$85:$G$93&gt;=AP$4)*(Premissas!$D$85:$D$93="Por usuário")*Premissas!$E$85:$E$93)*AP19</f>
        <v>0</v>
      </c>
      <c r="AQ27" s="60" t="n">
        <f aca="false">SUMPRODUCT((Premissas!$B$85:$B$93="Outras")*((Premissas!$C$85:$C$93="Planejado")+(Premissas!$C$85:$C$93="Em estudo")*Premissas!$B$81)*(Premissas!$F$85:$F$93&lt;=AQ$4)*(Premissas!$G$85:$G$93&gt;=AQ$4)*(Premissas!$D$85:$D$93="Fixo mensal")*Premissas!$E$85:$E$93)+SUMPRODUCT((Premissas!$B$85:$B$93="Outras")*((Premissas!$C$85:$C$93="Planejado")+(Premissas!$C$85:$C$93="Em estudo")*Premissas!$B$81)*(Premissas!$F$85:$F$93&lt;=AQ$4)*(Premissas!$G$85:$G$93&gt;=AQ$4)*(Premissas!$D$85:$D$93="Por usuário")*Premissas!$E$85:$E$93)*AQ19</f>
        <v>0</v>
      </c>
      <c r="AR27" s="60" t="n">
        <f aca="false">SUMPRODUCT((Premissas!$B$85:$B$93="Outras")*((Premissas!$C$85:$C$93="Planejado")+(Premissas!$C$85:$C$93="Em estudo")*Premissas!$B$81)*(Premissas!$F$85:$F$93&lt;=AR$4)*(Premissas!$G$85:$G$93&gt;=AR$4)*(Premissas!$D$85:$D$93="Fixo mensal")*Premissas!$E$85:$E$93)+SUMPRODUCT((Premissas!$B$85:$B$93="Outras")*((Premissas!$C$85:$C$93="Planejado")+(Premissas!$C$85:$C$93="Em estudo")*Premissas!$B$81)*(Premissas!$F$85:$F$93&lt;=AR$4)*(Premissas!$G$85:$G$93&gt;=AR$4)*(Premissas!$D$85:$D$93="Por usuário")*Premissas!$E$85:$E$93)*AR19</f>
        <v>0</v>
      </c>
      <c r="AS27" s="60" t="n">
        <f aca="false">SUMPRODUCT((Premissas!$B$85:$B$93="Outras")*((Premissas!$C$85:$C$93="Planejado")+(Premissas!$C$85:$C$93="Em estudo")*Premissas!$B$81)*(Premissas!$F$85:$F$93&lt;=AS$4)*(Premissas!$G$85:$G$93&gt;=AS$4)*(Premissas!$D$85:$D$93="Fixo mensal")*Premissas!$E$85:$E$93)+SUMPRODUCT((Premissas!$B$85:$B$93="Outras")*((Premissas!$C$85:$C$93="Planejado")+(Premissas!$C$85:$C$93="Em estudo")*Premissas!$B$81)*(Premissas!$F$85:$F$93&lt;=AS$4)*(Premissas!$G$85:$G$93&gt;=AS$4)*(Premissas!$D$85:$D$93="Por usuário")*Premissas!$E$85:$E$93)*AS19</f>
        <v>0</v>
      </c>
      <c r="AT27" s="60" t="n">
        <f aca="false">SUMPRODUCT((Premissas!$B$85:$B$93="Outras")*((Premissas!$C$85:$C$93="Planejado")+(Premissas!$C$85:$C$93="Em estudo")*Premissas!$B$81)*(Premissas!$F$85:$F$93&lt;=AT$4)*(Premissas!$G$85:$G$93&gt;=AT$4)*(Premissas!$D$85:$D$93="Fixo mensal")*Premissas!$E$85:$E$93)+SUMPRODUCT((Premissas!$B$85:$B$93="Outras")*((Premissas!$C$85:$C$93="Planejado")+(Premissas!$C$85:$C$93="Em estudo")*Premissas!$B$81)*(Premissas!$F$85:$F$93&lt;=AT$4)*(Premissas!$G$85:$G$93&gt;=AT$4)*(Premissas!$D$85:$D$93="Por usuário")*Premissas!$E$85:$E$93)*AT19</f>
        <v>0</v>
      </c>
      <c r="AU27" s="60" t="n">
        <f aca="false">SUMPRODUCT((Premissas!$B$85:$B$93="Outras")*((Premissas!$C$85:$C$93="Planejado")+(Premissas!$C$85:$C$93="Em estudo")*Premissas!$B$81)*(Premissas!$F$85:$F$93&lt;=AU$4)*(Premissas!$G$85:$G$93&gt;=AU$4)*(Premissas!$D$85:$D$93="Fixo mensal")*Premissas!$E$85:$E$93)+SUMPRODUCT((Premissas!$B$85:$B$93="Outras")*((Premissas!$C$85:$C$93="Planejado")+(Premissas!$C$85:$C$93="Em estudo")*Premissas!$B$81)*(Premissas!$F$85:$F$93&lt;=AU$4)*(Premissas!$G$85:$G$93&gt;=AU$4)*(Premissas!$D$85:$D$93="Por usuário")*Premissas!$E$85:$E$93)*AU19</f>
        <v>0</v>
      </c>
      <c r="AV27" s="60" t="n">
        <f aca="false">SUMPRODUCT((Premissas!$B$85:$B$93="Outras")*((Premissas!$C$85:$C$93="Planejado")+(Premissas!$C$85:$C$93="Em estudo")*Premissas!$B$81)*(Premissas!$F$85:$F$93&lt;=AV$4)*(Premissas!$G$85:$G$93&gt;=AV$4)*(Premissas!$D$85:$D$93="Fixo mensal")*Premissas!$E$85:$E$93)+SUMPRODUCT((Premissas!$B$85:$B$93="Outras")*((Premissas!$C$85:$C$93="Planejado")+(Premissas!$C$85:$C$93="Em estudo")*Premissas!$B$81)*(Premissas!$F$85:$F$93&lt;=AV$4)*(Premissas!$G$85:$G$93&gt;=AV$4)*(Premissas!$D$85:$D$93="Por usuário")*Premissas!$E$85:$E$93)*AV19</f>
        <v>0</v>
      </c>
      <c r="AW27" s="60" t="n">
        <f aca="false">SUMPRODUCT((Premissas!$B$85:$B$93="Outras")*((Premissas!$C$85:$C$93="Planejado")+(Premissas!$C$85:$C$93="Em estudo")*Premissas!$B$81)*(Premissas!$F$85:$F$93&lt;=AW$4)*(Premissas!$G$85:$G$93&gt;=AW$4)*(Premissas!$D$85:$D$93="Fixo mensal")*Premissas!$E$85:$E$93)+SUMPRODUCT((Premissas!$B$85:$B$93="Outras")*((Premissas!$C$85:$C$93="Planejado")+(Premissas!$C$85:$C$93="Em estudo")*Premissas!$B$81)*(Premissas!$F$85:$F$93&lt;=AW$4)*(Premissas!$G$85:$G$93&gt;=AW$4)*(Premissas!$D$85:$D$93="Por usuário")*Premissas!$E$85:$E$93)*AW19</f>
        <v>0</v>
      </c>
      <c r="AX27" s="60" t="n">
        <f aca="false">SUMPRODUCT((Premissas!$B$85:$B$93="Outras")*((Premissas!$C$85:$C$93="Planejado")+(Premissas!$C$85:$C$93="Em estudo")*Premissas!$B$81)*(Premissas!$F$85:$F$93&lt;=AX$4)*(Premissas!$G$85:$G$93&gt;=AX$4)*(Premissas!$D$85:$D$93="Fixo mensal")*Premissas!$E$85:$E$93)+SUMPRODUCT((Premissas!$B$85:$B$93="Outras")*((Premissas!$C$85:$C$93="Planejado")+(Premissas!$C$85:$C$93="Em estudo")*Premissas!$B$81)*(Premissas!$F$85:$F$93&lt;=AX$4)*(Premissas!$G$85:$G$93&gt;=AX$4)*(Premissas!$D$85:$D$93="Por usuário")*Premissas!$E$85:$E$93)*AX19</f>
        <v>0</v>
      </c>
      <c r="AY27" s="60" t="n">
        <f aca="false">SUMPRODUCT((Premissas!$B$85:$B$93="Outras")*((Premissas!$C$85:$C$93="Planejado")+(Premissas!$C$85:$C$93="Em estudo")*Premissas!$B$81)*(Premissas!$F$85:$F$93&lt;=AY$4)*(Premissas!$G$85:$G$93&gt;=AY$4)*(Premissas!$D$85:$D$93="Fixo mensal")*Premissas!$E$85:$E$93)+SUMPRODUCT((Premissas!$B$85:$B$93="Outras")*((Premissas!$C$85:$C$93="Planejado")+(Premissas!$C$85:$C$93="Em estudo")*Premissas!$B$81)*(Premissas!$F$85:$F$93&lt;=AY$4)*(Premissas!$G$85:$G$93&gt;=AY$4)*(Premissas!$D$85:$D$93="Por usuário")*Premissas!$E$85:$E$93)*AY19</f>
        <v>0</v>
      </c>
      <c r="AZ27" s="60" t="n">
        <f aca="false">SUMPRODUCT((Premissas!$B$85:$B$93="Outras")*((Premissas!$C$85:$C$93="Planejado")+(Premissas!$C$85:$C$93="Em estudo")*Premissas!$B$81)*(Premissas!$F$85:$F$93&lt;=AZ$4)*(Premissas!$G$85:$G$93&gt;=AZ$4)*(Premissas!$D$85:$D$93="Fixo mensal")*Premissas!$E$85:$E$93)+SUMPRODUCT((Premissas!$B$85:$B$93="Outras")*((Premissas!$C$85:$C$93="Planejado")+(Premissas!$C$85:$C$93="Em estudo")*Premissas!$B$81)*(Premissas!$F$85:$F$93&lt;=AZ$4)*(Premissas!$G$85:$G$93&gt;=AZ$4)*(Premissas!$D$85:$D$93="Por usuário")*Premissas!$E$85:$E$93)*AZ19</f>
        <v>0</v>
      </c>
      <c r="BA27" s="60" t="n">
        <f aca="false">SUMPRODUCT((Premissas!$B$85:$B$93="Outras")*((Premissas!$C$85:$C$93="Planejado")+(Premissas!$C$85:$C$93="Em estudo")*Premissas!$B$81)*(Premissas!$F$85:$F$93&lt;=BA$4)*(Premissas!$G$85:$G$93&gt;=BA$4)*(Premissas!$D$85:$D$93="Fixo mensal")*Premissas!$E$85:$E$93)+SUMPRODUCT((Premissas!$B$85:$B$93="Outras")*((Premissas!$C$85:$C$93="Planejado")+(Premissas!$C$85:$C$93="Em estudo")*Premissas!$B$81)*(Premissas!$F$85:$F$93&lt;=BA$4)*(Premissas!$G$85:$G$93&gt;=BA$4)*(Premissas!$D$85:$D$93="Por usuário")*Premissas!$E$85:$E$93)*BA19</f>
        <v>0</v>
      </c>
      <c r="BB27" s="60" t="n">
        <f aca="false">SUMPRODUCT((Premissas!$B$85:$B$93="Outras")*((Premissas!$C$85:$C$93="Planejado")+(Premissas!$C$85:$C$93="Em estudo")*Premissas!$B$81)*(Premissas!$F$85:$F$93&lt;=BB$4)*(Premissas!$G$85:$G$93&gt;=BB$4)*(Premissas!$D$85:$D$93="Fixo mensal")*Premissas!$E$85:$E$93)+SUMPRODUCT((Premissas!$B$85:$B$93="Outras")*((Premissas!$C$85:$C$93="Planejado")+(Premissas!$C$85:$C$93="Em estudo")*Premissas!$B$81)*(Premissas!$F$85:$F$93&lt;=BB$4)*(Premissas!$G$85:$G$93&gt;=BB$4)*(Premissas!$D$85:$D$93="Por usuário")*Premissas!$E$85:$E$93)*BB19</f>
        <v>0</v>
      </c>
      <c r="BC27" s="60" t="n">
        <f aca="false">SUMPRODUCT((Premissas!$B$85:$B$93="Outras")*((Premissas!$C$85:$C$93="Planejado")+(Premissas!$C$85:$C$93="Em estudo")*Premissas!$B$81)*(Premissas!$F$85:$F$93&lt;=BC$4)*(Premissas!$G$85:$G$93&gt;=BC$4)*(Premissas!$D$85:$D$93="Fixo mensal")*Premissas!$E$85:$E$93)+SUMPRODUCT((Premissas!$B$85:$B$93="Outras")*((Premissas!$C$85:$C$93="Planejado")+(Premissas!$C$85:$C$93="Em estudo")*Premissas!$B$81)*(Premissas!$F$85:$F$93&lt;=BC$4)*(Premissas!$G$85:$G$93&gt;=BC$4)*(Premissas!$D$85:$D$93="Por usuário")*Premissas!$E$85:$E$93)*BC19</f>
        <v>0</v>
      </c>
      <c r="BD27" s="60" t="n">
        <f aca="false">SUMPRODUCT((Premissas!$B$85:$B$93="Outras")*((Premissas!$C$85:$C$93="Planejado")+(Premissas!$C$85:$C$93="Em estudo")*Premissas!$B$81)*(Premissas!$F$85:$F$93&lt;=BD$4)*(Premissas!$G$85:$G$93&gt;=BD$4)*(Premissas!$D$85:$D$93="Fixo mensal")*Premissas!$E$85:$E$93)+SUMPRODUCT((Premissas!$B$85:$B$93="Outras")*((Premissas!$C$85:$C$93="Planejado")+(Premissas!$C$85:$C$93="Em estudo")*Premissas!$B$81)*(Premissas!$F$85:$F$93&lt;=BD$4)*(Premissas!$G$85:$G$93&gt;=BD$4)*(Premissas!$D$85:$D$93="Por usuário")*Premissas!$E$85:$E$93)*BD19</f>
        <v>0</v>
      </c>
      <c r="BE27" s="60" t="n">
        <f aca="false">SUMPRODUCT((Premissas!$B$85:$B$93="Outras")*((Premissas!$C$85:$C$93="Planejado")+(Premissas!$C$85:$C$93="Em estudo")*Premissas!$B$81)*(Premissas!$F$85:$F$93&lt;=BE$4)*(Premissas!$G$85:$G$93&gt;=BE$4)*(Premissas!$D$85:$D$93="Fixo mensal")*Premissas!$E$85:$E$93)+SUMPRODUCT((Premissas!$B$85:$B$93="Outras")*((Premissas!$C$85:$C$93="Planejado")+(Premissas!$C$85:$C$93="Em estudo")*Premissas!$B$81)*(Premissas!$F$85:$F$93&lt;=BE$4)*(Premissas!$G$85:$G$93&gt;=BE$4)*(Premissas!$D$85:$D$93="Por usuário")*Premissas!$E$85:$E$93)*BE19</f>
        <v>0</v>
      </c>
      <c r="BF27" s="60" t="n">
        <f aca="false">SUMPRODUCT((Premissas!$B$85:$B$93="Outras")*((Premissas!$C$85:$C$93="Planejado")+(Premissas!$C$85:$C$93="Em estudo")*Premissas!$B$81)*(Premissas!$F$85:$F$93&lt;=BF$4)*(Premissas!$G$85:$G$93&gt;=BF$4)*(Premissas!$D$85:$D$93="Fixo mensal")*Premissas!$E$85:$E$93)+SUMPRODUCT((Premissas!$B$85:$B$93="Outras")*((Premissas!$C$85:$C$93="Planejado")+(Premissas!$C$85:$C$93="Em estudo")*Premissas!$B$81)*(Premissas!$F$85:$F$93&lt;=BF$4)*(Premissas!$G$85:$G$93&gt;=BF$4)*(Premissas!$D$85:$D$93="Por usuário")*Premissas!$E$85:$E$93)*BF19</f>
        <v>0</v>
      </c>
      <c r="BG27" s="60" t="n">
        <f aca="false">SUMPRODUCT((Premissas!$B$85:$B$93="Outras")*((Premissas!$C$85:$C$93="Planejado")+(Premissas!$C$85:$C$93="Em estudo")*Premissas!$B$81)*(Premissas!$F$85:$F$93&lt;=BG$4)*(Premissas!$G$85:$G$93&gt;=BG$4)*(Premissas!$D$85:$D$93="Fixo mensal")*Premissas!$E$85:$E$93)+SUMPRODUCT((Premissas!$B$85:$B$93="Outras")*((Premissas!$C$85:$C$93="Planejado")+(Premissas!$C$85:$C$93="Em estudo")*Premissas!$B$81)*(Premissas!$F$85:$F$93&lt;=BG$4)*(Premissas!$G$85:$G$93&gt;=BG$4)*(Premissas!$D$85:$D$93="Por usuário")*Premissas!$E$85:$E$93)*BG19</f>
        <v>0</v>
      </c>
      <c r="BH27" s="60" t="n">
        <f aca="false">SUMPRODUCT((Premissas!$B$85:$B$93="Outras")*((Premissas!$C$85:$C$93="Planejado")+(Premissas!$C$85:$C$93="Em estudo")*Premissas!$B$81)*(Premissas!$F$85:$F$93&lt;=BH$4)*(Premissas!$G$85:$G$93&gt;=BH$4)*(Premissas!$D$85:$D$93="Fixo mensal")*Premissas!$E$85:$E$93)+SUMPRODUCT((Premissas!$B$85:$B$93="Outras")*((Premissas!$C$85:$C$93="Planejado")+(Premissas!$C$85:$C$93="Em estudo")*Premissas!$B$81)*(Premissas!$F$85:$F$93&lt;=BH$4)*(Premissas!$G$85:$G$93&gt;=BH$4)*(Premissas!$D$85:$D$93="Por usuário")*Premissas!$E$85:$E$93)*BH19</f>
        <v>0</v>
      </c>
      <c r="BI27" s="60" t="n">
        <f aca="false">SUMPRODUCT((Premissas!$B$85:$B$93="Outras")*((Premissas!$C$85:$C$93="Planejado")+(Premissas!$C$85:$C$93="Em estudo")*Premissas!$B$81)*(Premissas!$F$85:$F$93&lt;=BI$4)*(Premissas!$G$85:$G$93&gt;=BI$4)*(Premissas!$D$85:$D$93="Fixo mensal")*Premissas!$E$85:$E$93)+SUMPRODUCT((Premissas!$B$85:$B$93="Outras")*((Premissas!$C$85:$C$93="Planejado")+(Premissas!$C$85:$C$93="Em estudo")*Premissas!$B$81)*(Premissas!$F$85:$F$93&lt;=BI$4)*(Premissas!$G$85:$G$93&gt;=BI$4)*(Premissas!$D$85:$D$93="Por usuário")*Premissas!$E$85:$E$93)*BI19</f>
        <v>0</v>
      </c>
      <c r="BJ27" s="61" t="n">
        <f aca="false">SUM(B27:BI27)</f>
        <v>0</v>
      </c>
    </row>
    <row r="28" customFormat="false" ht="15" hidden="false" customHeight="false" outlineLevel="0" collapsed="false">
      <c r="A28" s="62" t="s">
        <v>822</v>
      </c>
      <c r="B28" s="61" t="n">
        <f aca="false">SUM(B23:B27)</f>
        <v>0</v>
      </c>
      <c r="C28" s="61" t="n">
        <f aca="false">SUM(C23:C27)</f>
        <v>0</v>
      </c>
      <c r="D28" s="61" t="n">
        <f aca="false">SUM(D23:D27)</f>
        <v>0</v>
      </c>
      <c r="E28" s="61" t="n">
        <f aca="false">SUM(E23:E27)</f>
        <v>0</v>
      </c>
      <c r="F28" s="61" t="n">
        <f aca="false">SUM(F23:F27)</f>
        <v>0</v>
      </c>
      <c r="G28" s="61" t="n">
        <f aca="false">SUM(G23:G27)</f>
        <v>0</v>
      </c>
      <c r="H28" s="61" t="n">
        <f aca="false">SUM(H23:H27)</f>
        <v>0</v>
      </c>
      <c r="I28" s="61" t="n">
        <f aca="false">SUM(I23:I27)</f>
        <v>0</v>
      </c>
      <c r="J28" s="61" t="n">
        <f aca="false">SUM(J23:J27)</f>
        <v>0</v>
      </c>
      <c r="K28" s="61" t="n">
        <f aca="false">SUM(K23:K27)</f>
        <v>1074.6</v>
      </c>
      <c r="L28" s="61" t="n">
        <f aca="false">SUM(L23:L27)</f>
        <v>4099.4</v>
      </c>
      <c r="M28" s="61" t="n">
        <f aca="false">SUM(M23:M27)</f>
        <v>8775.9</v>
      </c>
      <c r="N28" s="61" t="n">
        <f aca="false">SUM(N23:N27)</f>
        <v>20973.322776</v>
      </c>
      <c r="O28" s="61" t="n">
        <f aca="false">SUM(O23:O27)</f>
        <v>32540.838093504</v>
      </c>
      <c r="P28" s="61" t="n">
        <f aca="false">SUM(P23:P27)</f>
        <v>45840.3672445276</v>
      </c>
      <c r="Q28" s="61" t="n">
        <f aca="false">SUM(Q23:Q27)</f>
        <v>63239.442549053</v>
      </c>
      <c r="R28" s="61" t="n">
        <f aca="false">SUM(R23:R27)</f>
        <v>70479.7535523439</v>
      </c>
      <c r="S28" s="61" t="n">
        <f aca="false">SUM(S23:S27)</f>
        <v>77012.3159233189</v>
      </c>
      <c r="T28" s="61" t="n">
        <f aca="false">SUM(T23:T27)</f>
        <v>82924.4160626803</v>
      </c>
      <c r="U28" s="61" t="n">
        <f aca="false">SUM(U23:U27)</f>
        <v>88282.1608806629</v>
      </c>
      <c r="V28" s="61" t="n">
        <f aca="false">SUM(V23:V27)</f>
        <v>93109.5101601193</v>
      </c>
      <c r="W28" s="61" t="n">
        <f aca="false">SUM(W23:W27)</f>
        <v>111098.709880748</v>
      </c>
      <c r="X28" s="61" t="n">
        <f aca="false">SUM(X23:X27)</f>
        <v>115542.126844196</v>
      </c>
      <c r="Y28" s="61" t="n">
        <f aca="false">SUM(Y23:Y27)</f>
        <v>119608.966907153</v>
      </c>
      <c r="Z28" s="61" t="n">
        <f aca="false">SUM(Z23:Z27)</f>
        <v>158121.458763917</v>
      </c>
      <c r="AA28" s="61" t="n">
        <f aca="false">SUM(AA23:AA27)</f>
        <v>169403.83561688</v>
      </c>
      <c r="AB28" s="61" t="n">
        <f aca="false">SUM(AB23:AB27)</f>
        <v>179675.459011674</v>
      </c>
      <c r="AC28" s="61" t="n">
        <f aca="false">SUM(AC23:AC27)</f>
        <v>189030.265021935</v>
      </c>
      <c r="AD28" s="61" t="n">
        <f aca="false">SUM(AD23:AD27)</f>
        <v>197430.619864868</v>
      </c>
      <c r="AE28" s="61" t="n">
        <f aca="false">SUM(AE23:AE27)</f>
        <v>205100.398317933</v>
      </c>
      <c r="AF28" s="61" t="n">
        <f aca="false">SUM(AF23:AF27)</f>
        <v>212066.168030696</v>
      </c>
      <c r="AG28" s="61" t="n">
        <f aca="false">SUM(AG23:AG27)</f>
        <v>218354.457552208</v>
      </c>
      <c r="AH28" s="61" t="n">
        <f aca="false">SUM(AH23:AH27)</f>
        <v>224056.66647592</v>
      </c>
      <c r="AI28" s="61" t="n">
        <f aca="false">SUM(AI23:AI27)</f>
        <v>229263.802162467</v>
      </c>
      <c r="AJ28" s="61" t="n">
        <f aca="false">SUM(AJ23:AJ27)</f>
        <v>234001.103590342</v>
      </c>
      <c r="AK28" s="61" t="n">
        <f aca="false">SUM(AK23:AK27)</f>
        <v>238315.217767658</v>
      </c>
      <c r="AL28" s="61" t="n">
        <f aca="false">SUM(AL23:AL27)</f>
        <v>308988.265616435</v>
      </c>
      <c r="AM28" s="61" t="n">
        <f aca="false">SUM(AM23:AM27)</f>
        <v>325796.064431863</v>
      </c>
      <c r="AN28" s="61" t="n">
        <f aca="false">SUM(AN23:AN27)</f>
        <v>341098.422607177</v>
      </c>
      <c r="AO28" s="61" t="n">
        <f aca="false">SUM(AO23:AO27)</f>
        <v>425112.49516388</v>
      </c>
      <c r="AP28" s="61" t="n">
        <f aca="false">SUM(AP23:AP27)</f>
        <v>437781.142242344</v>
      </c>
      <c r="AQ28" s="61" t="n">
        <f aca="false">SUM(AQ23:AQ27)</f>
        <v>449410.824144448</v>
      </c>
      <c r="AR28" s="61" t="n">
        <f aca="false">SUM(AR23:AR27)</f>
        <v>459987.903278778</v>
      </c>
      <c r="AS28" s="61" t="n">
        <f aca="false">SUM(AS23:AS27)</f>
        <v>469657.672424107</v>
      </c>
      <c r="AT28" s="61" t="n">
        <f aca="false">SUM(AT23:AT27)</f>
        <v>478404.901902934</v>
      </c>
      <c r="AU28" s="61" t="n">
        <f aca="false">SUM(AU23:AU27)</f>
        <v>486373.433265534</v>
      </c>
      <c r="AV28" s="61" t="n">
        <f aca="false">SUM(AV23:AV27)</f>
        <v>493706.477258816</v>
      </c>
      <c r="AW28" s="61" t="n">
        <f aca="false">SUM(AW23:AW27)</f>
        <v>500364.08305577</v>
      </c>
      <c r="AX28" s="61" t="n">
        <f aca="false">SUM(AX23:AX27)</f>
        <v>613338.427777898</v>
      </c>
      <c r="AY28" s="61" t="n">
        <f aca="false">SUM(AY23:AY27)</f>
        <v>640939.059503207</v>
      </c>
      <c r="AZ28" s="61" t="n">
        <f aca="false">SUM(AZ23:AZ27)</f>
        <v>666144.070545404</v>
      </c>
      <c r="BA28" s="61" t="n">
        <f aca="false">SUM(BA23:BA27)</f>
        <v>689234.786972002</v>
      </c>
      <c r="BB28" s="61" t="n">
        <f aca="false">SUM(BB23:BB27)</f>
        <v>710300.298228239</v>
      </c>
      <c r="BC28" s="61" t="n">
        <f aca="false">SUM(BC23:BC27)</f>
        <v>729642.936232904</v>
      </c>
      <c r="BD28" s="61" t="n">
        <f aca="false">SUM(BD23:BD27)</f>
        <v>747301.159395131</v>
      </c>
      <c r="BE28" s="61" t="n">
        <f aca="false">SUM(BE23:BE27)</f>
        <v>763502.947857082</v>
      </c>
      <c r="BF28" s="61" t="n">
        <f aca="false">SUM(BF23:BF27)</f>
        <v>778308.39523942</v>
      </c>
      <c r="BG28" s="61" t="n">
        <f aca="false">SUM(BG23:BG27)</f>
        <v>791824.10381303</v>
      </c>
      <c r="BH28" s="61" t="n">
        <f aca="false">SUM(BH23:BH27)</f>
        <v>804251.214868221</v>
      </c>
      <c r="BI28" s="61" t="n">
        <f aca="false">SUM(BI23:BI27)</f>
        <v>815551.348384924</v>
      </c>
      <c r="BJ28" s="61" t="n">
        <f aca="false">SUM(B28:BI28)</f>
        <v>17316441.7172604</v>
      </c>
    </row>
    <row r="29" customFormat="false" ht="15" hidden="false" customHeight="false" outlineLevel="0" collapsed="false">
      <c r="A29" s="27" t="s">
        <v>880</v>
      </c>
      <c r="B29" s="60" t="n">
        <f aca="false">B28*12</f>
        <v>0</v>
      </c>
      <c r="C29" s="60" t="n">
        <f aca="false">SUM($B28:B28)/1*12</f>
        <v>0</v>
      </c>
      <c r="D29" s="60" t="n">
        <f aca="false">SUM($B28:C28)/2*12</f>
        <v>0</v>
      </c>
      <c r="E29" s="60" t="n">
        <f aca="false">SUM($B28:D28)/3*12</f>
        <v>0</v>
      </c>
      <c r="F29" s="60" t="n">
        <f aca="false">SUM($B28:E28)/4*12</f>
        <v>0</v>
      </c>
      <c r="G29" s="60" t="n">
        <f aca="false">SUM($B28:F28)/5*12</f>
        <v>0</v>
      </c>
      <c r="H29" s="60" t="n">
        <f aca="false">SUM($B28:G28)/6*12</f>
        <v>0</v>
      </c>
      <c r="I29" s="60" t="n">
        <f aca="false">SUM($B28:H28)/7*12</f>
        <v>0</v>
      </c>
      <c r="J29" s="60" t="n">
        <f aca="false">SUM($B28:I28)/8*12</f>
        <v>0</v>
      </c>
      <c r="K29" s="60" t="n">
        <f aca="false">SUM($B28:J28)/9*12</f>
        <v>0</v>
      </c>
      <c r="L29" s="60" t="n">
        <f aca="false">SUM($B28:K28)/10*12</f>
        <v>1289.52</v>
      </c>
      <c r="M29" s="60" t="n">
        <f aca="false">SUM($B28:L28)/11*12</f>
        <v>5644.36363636364</v>
      </c>
      <c r="N29" s="60" t="n">
        <f aca="false">SUM(B28:M28)</f>
        <v>13949.9</v>
      </c>
      <c r="O29" s="60" t="n">
        <f aca="false">SUM(C28:N28)</f>
        <v>34923.222776</v>
      </c>
      <c r="P29" s="60" t="n">
        <f aca="false">SUM(D28:O28)</f>
        <v>67464.060869504</v>
      </c>
      <c r="Q29" s="60" t="n">
        <f aca="false">SUM(E28:P28)</f>
        <v>113304.428114032</v>
      </c>
      <c r="R29" s="60" t="n">
        <f aca="false">SUM(F28:Q28)</f>
        <v>176543.870663085</v>
      </c>
      <c r="S29" s="60" t="n">
        <f aca="false">SUM(G28:R28)</f>
        <v>247023.624215428</v>
      </c>
      <c r="T29" s="60" t="n">
        <f aca="false">SUM(H28:S28)</f>
        <v>324035.940138747</v>
      </c>
      <c r="U29" s="60" t="n">
        <f aca="false">SUM(I28:T28)</f>
        <v>406960.356201428</v>
      </c>
      <c r="V29" s="60" t="n">
        <f aca="false">SUM(J28:U28)</f>
        <v>495242.517082091</v>
      </c>
      <c r="W29" s="60" t="n">
        <f aca="false">SUM(K28:V28)</f>
        <v>588352.02724221</v>
      </c>
      <c r="X29" s="60" t="n">
        <f aca="false">SUM(L28:W28)</f>
        <v>698376.137122958</v>
      </c>
      <c r="Y29" s="60" t="n">
        <f aca="false">SUM(M28:X28)</f>
        <v>809818.863967154</v>
      </c>
      <c r="Z29" s="60" t="n">
        <f aca="false">SUM(N28:Y28)</f>
        <v>920651.930874307</v>
      </c>
      <c r="AA29" s="60" t="n">
        <f aca="false">SUM(O28:Z28)</f>
        <v>1057800.06686222</v>
      </c>
      <c r="AB29" s="60" t="n">
        <f aca="false">SUM(P28:AA28)</f>
        <v>1194663.0643856</v>
      </c>
      <c r="AC29" s="60" t="n">
        <f aca="false">SUM(Q28:AB28)</f>
        <v>1328498.15615275</v>
      </c>
      <c r="AD29" s="60" t="n">
        <f aca="false">SUM(R28:AC28)</f>
        <v>1454288.97862563</v>
      </c>
      <c r="AE29" s="60" t="n">
        <f aca="false">SUM(S28:AD28)</f>
        <v>1581239.84493815</v>
      </c>
      <c r="AF29" s="60" t="n">
        <f aca="false">SUM(T28:AE28)</f>
        <v>1709327.92733277</v>
      </c>
      <c r="AG29" s="60" t="n">
        <f aca="false">SUM(U28:AF28)</f>
        <v>1838469.67930078</v>
      </c>
      <c r="AH29" s="60" t="n">
        <f aca="false">SUM(V28:AG28)</f>
        <v>1968541.97597233</v>
      </c>
      <c r="AI29" s="60" t="n">
        <f aca="false">SUM(W28:AH28)</f>
        <v>2099489.13228813</v>
      </c>
      <c r="AJ29" s="60" t="n">
        <f aca="false">SUM(X28:AI28)</f>
        <v>2217654.22456985</v>
      </c>
      <c r="AK29" s="60" t="n">
        <f aca="false">SUM(Y28:AJ28)</f>
        <v>2336113.20131599</v>
      </c>
      <c r="AL29" s="60" t="n">
        <f aca="false">SUM(Z28:AK28)</f>
        <v>2454819.4521765</v>
      </c>
      <c r="AM29" s="60" t="n">
        <f aca="false">SUM(AA28:AL28)</f>
        <v>2605686.25902902</v>
      </c>
      <c r="AN29" s="60" t="n">
        <f aca="false">SUM(AB28:AM28)</f>
        <v>2762078.487844</v>
      </c>
      <c r="AO29" s="60" t="n">
        <f aca="false">SUM(AC28:AN28)</f>
        <v>2923501.4514395</v>
      </c>
      <c r="AP29" s="60" t="n">
        <f aca="false">SUM(AD28:AO28)</f>
        <v>3159583.68158145</v>
      </c>
      <c r="AQ29" s="60" t="n">
        <f aca="false">SUM(AE28:AP28)</f>
        <v>3399934.20395892</v>
      </c>
      <c r="AR29" s="60" t="n">
        <f aca="false">SUM(AF28:AQ28)</f>
        <v>3644244.62978544</v>
      </c>
      <c r="AS29" s="60" t="n">
        <f aca="false">SUM(AG28:AR28)</f>
        <v>3892166.36503352</v>
      </c>
      <c r="AT29" s="60" t="n">
        <f aca="false">SUM(AH28:AS28)</f>
        <v>4143469.57990542</v>
      </c>
      <c r="AU29" s="60" t="n">
        <f aca="false">SUM(AI28:AT28)</f>
        <v>4397817.81533243</v>
      </c>
      <c r="AV29" s="60" t="n">
        <f aca="false">SUM(AJ28:AU28)</f>
        <v>4654927.4464355</v>
      </c>
      <c r="AW29" s="60" t="n">
        <f aca="false">SUM(AK28:AV28)</f>
        <v>4914632.82010397</v>
      </c>
      <c r="AX29" s="60" t="n">
        <f aca="false">SUM(AL28:AW28)</f>
        <v>5176681.68539208</v>
      </c>
      <c r="AY29" s="60" t="n">
        <f aca="false">SUM(AM28:AX28)</f>
        <v>5481031.84755355</v>
      </c>
      <c r="AZ29" s="60" t="n">
        <f aca="false">SUM(AN28:AY28)</f>
        <v>5796174.84262489</v>
      </c>
      <c r="BA29" s="60" t="n">
        <f aca="false">SUM(AO28:AZ28)</f>
        <v>6121220.49056312</v>
      </c>
      <c r="BB29" s="60" t="n">
        <f aca="false">SUM(AP28:BA28)</f>
        <v>6385342.78237124</v>
      </c>
      <c r="BC29" s="60" t="n">
        <f aca="false">SUM(AQ28:BB28)</f>
        <v>6657861.93835714</v>
      </c>
      <c r="BD29" s="60" t="n">
        <f aca="false">SUM(AR28:BC28)</f>
        <v>6938094.05044559</v>
      </c>
      <c r="BE29" s="60" t="n">
        <f aca="false">SUM(AS28:BD28)</f>
        <v>7225407.30656195</v>
      </c>
      <c r="BF29" s="60" t="n">
        <f aca="false">SUM(AT28:BE28)</f>
        <v>7519252.58199492</v>
      </c>
      <c r="BG29" s="60" t="n">
        <f aca="false">SUM(AU28:BF28)</f>
        <v>7819156.07533141</v>
      </c>
      <c r="BH29" s="60" t="n">
        <f aca="false">SUM(AV28:BG28)</f>
        <v>8124606.7458789</v>
      </c>
      <c r="BI29" s="60" t="n">
        <f aca="false">SUM(AW28:BH28)</f>
        <v>8435151.48348831</v>
      </c>
      <c r="BJ29" s="61" t="n">
        <f aca="false">BI29</f>
        <v>8435151.48348831</v>
      </c>
      <c r="BK29" s="29" t="s">
        <v>870</v>
      </c>
    </row>
    <row r="30" customFormat="false" ht="15" hidden="false" customHeight="false" outlineLevel="0" collapsed="false">
      <c r="A30" s="27" t="s">
        <v>825</v>
      </c>
      <c r="B30" s="87" t="n">
        <f aca="false">IF(Premissas!$B$23=3,Premissas!$B$24,IF(B29&gt;Premissas!$B$25,Premissas!$B$24,IFERROR(MAX(Tributos!$C$24,(INDEX(Tributos!$C$24:$C$29,MATCH(B29,Tributos!$B$24:$B$29,1))*B29-INDEX(Tributos!$D$24:$D$29,MATCH(B29,Tributos!$B$24:$B$29,1)))/B29),Tributos!$C$24)))</f>
        <v>0.155</v>
      </c>
      <c r="C30" s="87" t="n">
        <f aca="false">IF(Premissas!$B$23=3,Premissas!$B$24,IF(C29&gt;Premissas!$B$25,Premissas!$B$24,IFERROR(MAX(Tributos!$C$24,(INDEX(Tributos!$C$24:$C$29,MATCH(C29,Tributos!$B$24:$B$29,1))*C29-INDEX(Tributos!$D$24:$D$29,MATCH(C29,Tributos!$B$24:$B$29,1)))/C29),Tributos!$C$24)))</f>
        <v>0.155</v>
      </c>
      <c r="D30" s="87" t="n">
        <f aca="false">IF(Premissas!$B$23=3,Premissas!$B$24,IF(D29&gt;Premissas!$B$25,Premissas!$B$24,IFERROR(MAX(Tributos!$C$24,(INDEX(Tributos!$C$24:$C$29,MATCH(D29,Tributos!$B$24:$B$29,1))*D29-INDEX(Tributos!$D$24:$D$29,MATCH(D29,Tributos!$B$24:$B$29,1)))/D29),Tributos!$C$24)))</f>
        <v>0.155</v>
      </c>
      <c r="E30" s="87" t="n">
        <f aca="false">IF(Premissas!$B$23=3,Premissas!$B$24,IF(E29&gt;Premissas!$B$25,Premissas!$B$24,IFERROR(MAX(Tributos!$C$24,(INDEX(Tributos!$C$24:$C$29,MATCH(E29,Tributos!$B$24:$B$29,1))*E29-INDEX(Tributos!$D$24:$D$29,MATCH(E29,Tributos!$B$24:$B$29,1)))/E29),Tributos!$C$24)))</f>
        <v>0.155</v>
      </c>
      <c r="F30" s="87" t="n">
        <f aca="false">IF(Premissas!$B$23=3,Premissas!$B$24,IF(F29&gt;Premissas!$B$25,Premissas!$B$24,IFERROR(MAX(Tributos!$C$24,(INDEX(Tributos!$C$24:$C$29,MATCH(F29,Tributos!$B$24:$B$29,1))*F29-INDEX(Tributos!$D$24:$D$29,MATCH(F29,Tributos!$B$24:$B$29,1)))/F29),Tributos!$C$24)))</f>
        <v>0.155</v>
      </c>
      <c r="G30" s="87" t="n">
        <f aca="false">IF(Premissas!$B$23=3,Premissas!$B$24,IF(G29&gt;Premissas!$B$25,Premissas!$B$24,IFERROR(MAX(Tributos!$C$24,(INDEX(Tributos!$C$24:$C$29,MATCH(G29,Tributos!$B$24:$B$29,1))*G29-INDEX(Tributos!$D$24:$D$29,MATCH(G29,Tributos!$B$24:$B$29,1)))/G29),Tributos!$C$24)))</f>
        <v>0.155</v>
      </c>
      <c r="H30" s="87" t="n">
        <f aca="false">IF(Premissas!$B$23=3,Premissas!$B$24,IF(H29&gt;Premissas!$B$25,Premissas!$B$24,IFERROR(MAX(Tributos!$C$24,(INDEX(Tributos!$C$24:$C$29,MATCH(H29,Tributos!$B$24:$B$29,1))*H29-INDEX(Tributos!$D$24:$D$29,MATCH(H29,Tributos!$B$24:$B$29,1)))/H29),Tributos!$C$24)))</f>
        <v>0.155</v>
      </c>
      <c r="I30" s="87" t="n">
        <f aca="false">IF(Premissas!$B$23=3,Premissas!$B$24,IF(I29&gt;Premissas!$B$25,Premissas!$B$24,IFERROR(MAX(Tributos!$C$24,(INDEX(Tributos!$C$24:$C$29,MATCH(I29,Tributos!$B$24:$B$29,1))*I29-INDEX(Tributos!$D$24:$D$29,MATCH(I29,Tributos!$B$24:$B$29,1)))/I29),Tributos!$C$24)))</f>
        <v>0.155</v>
      </c>
      <c r="J30" s="87" t="n">
        <f aca="false">IF(Premissas!$B$23=3,Premissas!$B$24,IF(J29&gt;Premissas!$B$25,Premissas!$B$24,IFERROR(MAX(Tributos!$C$24,(INDEX(Tributos!$C$24:$C$29,MATCH(J29,Tributos!$B$24:$B$29,1))*J29-INDEX(Tributos!$D$24:$D$29,MATCH(J29,Tributos!$B$24:$B$29,1)))/J29),Tributos!$C$24)))</f>
        <v>0.155</v>
      </c>
      <c r="K30" s="87" t="n">
        <f aca="false">IF(Premissas!$B$23=3,Premissas!$B$24,IF(K29&gt;Premissas!$B$25,Premissas!$B$24,IFERROR(MAX(Tributos!$C$24,(INDEX(Tributos!$C$24:$C$29,MATCH(K29,Tributos!$B$24:$B$29,1))*K29-INDEX(Tributos!$D$24:$D$29,MATCH(K29,Tributos!$B$24:$B$29,1)))/K29),Tributos!$C$24)))</f>
        <v>0.155</v>
      </c>
      <c r="L30" s="87" t="n">
        <f aca="false">IF(Premissas!$B$23=3,Premissas!$B$24,IF(L29&gt;Premissas!$B$25,Premissas!$B$24,IFERROR(MAX(Tributos!$C$24,(INDEX(Tributos!$C$24:$C$29,MATCH(L29,Tributos!$B$24:$B$29,1))*L29-INDEX(Tributos!$D$24:$D$29,MATCH(L29,Tributos!$B$24:$B$29,1)))/L29),Tributos!$C$24)))</f>
        <v>0.155</v>
      </c>
      <c r="M30" s="87" t="n">
        <f aca="false">IF(Premissas!$B$23=3,Premissas!$B$24,IF(M29&gt;Premissas!$B$25,Premissas!$B$24,IFERROR(MAX(Tributos!$C$24,(INDEX(Tributos!$C$24:$C$29,MATCH(M29,Tributos!$B$24:$B$29,1))*M29-INDEX(Tributos!$D$24:$D$29,MATCH(M29,Tributos!$B$24:$B$29,1)))/M29),Tributos!$C$24)))</f>
        <v>0.155</v>
      </c>
      <c r="N30" s="87" t="n">
        <f aca="false">IF(Premissas!$B$23=3,Premissas!$B$24,IF(N29&gt;Premissas!$B$25,Premissas!$B$24,IFERROR(MAX(Tributos!$C$24,(INDEX(Tributos!$C$24:$C$29,MATCH(N29,Tributos!$B$24:$B$29,1))*N29-INDEX(Tributos!$D$24:$D$29,MATCH(N29,Tributos!$B$24:$B$29,1)))/N29),Tributos!$C$24)))</f>
        <v>0.155</v>
      </c>
      <c r="O30" s="87" t="n">
        <f aca="false">IF(Premissas!$B$23=3,Premissas!$B$24,IF(O29&gt;Premissas!$B$25,Premissas!$B$24,IFERROR(MAX(Tributos!$C$24,(INDEX(Tributos!$C$24:$C$29,MATCH(O29,Tributos!$B$24:$B$29,1))*O29-INDEX(Tributos!$D$24:$D$29,MATCH(O29,Tributos!$B$24:$B$29,1)))/O29),Tributos!$C$24)))</f>
        <v>0.155</v>
      </c>
      <c r="P30" s="87" t="n">
        <f aca="false">IF(Premissas!$B$23=3,Premissas!$B$24,IF(P29&gt;Premissas!$B$25,Premissas!$B$24,IFERROR(MAX(Tributos!$C$24,(INDEX(Tributos!$C$24:$C$29,MATCH(P29,Tributos!$B$24:$B$29,1))*P29-INDEX(Tributos!$D$24:$D$29,MATCH(P29,Tributos!$B$24:$B$29,1)))/P29),Tributos!$C$24)))</f>
        <v>0.155</v>
      </c>
      <c r="Q30" s="87" t="n">
        <f aca="false">IF(Premissas!$B$23=3,Premissas!$B$24,IF(Q29&gt;Premissas!$B$25,Premissas!$B$24,IFERROR(MAX(Tributos!$C$24,(INDEX(Tributos!$C$24:$C$29,MATCH(Q29,Tributos!$B$24:$B$29,1))*Q29-INDEX(Tributos!$D$24:$D$29,MATCH(Q29,Tributos!$B$24:$B$29,1)))/Q29),Tributos!$C$24)))</f>
        <v>0.155</v>
      </c>
      <c r="R30" s="87" t="n">
        <f aca="false">IF(Premissas!$B$23=3,Premissas!$B$24,IF(R29&gt;Premissas!$B$25,Premissas!$B$24,IFERROR(MAX(Tributos!$C$24,(INDEX(Tributos!$C$24:$C$29,MATCH(R29,Tributos!$B$24:$B$29,1))*R29-INDEX(Tributos!$D$24:$D$29,MATCH(R29,Tributos!$B$24:$B$29,1)))/R29),Tributos!$C$24)))</f>
        <v>0.155</v>
      </c>
      <c r="S30" s="87" t="n">
        <f aca="false">IF(Premissas!$B$23=3,Premissas!$B$24,IF(S29&gt;Premissas!$B$25,Premissas!$B$24,IFERROR(MAX(Tributos!$C$24,(INDEX(Tributos!$C$24:$C$29,MATCH(S29,Tributos!$B$24:$B$29,1))*S29-INDEX(Tributos!$D$24:$D$29,MATCH(S29,Tributos!$B$24:$B$29,1)))/S29),Tributos!$C$24)))</f>
        <v>0.161783118864471</v>
      </c>
      <c r="T30" s="87" t="n">
        <f aca="false">IF(Premissas!$B$23=3,Premissas!$B$24,IF(T29&gt;Premissas!$B$25,Premissas!$B$24,IFERROR(MAX(Tributos!$C$24,(INDEX(Tributos!$C$24:$C$29,MATCH(T29,Tributos!$B$24:$B$29,1))*T29-INDEX(Tributos!$D$24:$D$29,MATCH(T29,Tributos!$B$24:$B$29,1)))/T29),Tributos!$C$24)))</f>
        <v>0.16611265158404</v>
      </c>
      <c r="U30" s="87" t="n">
        <f aca="false">IF(Premissas!$B$23=3,Premissas!$B$24,IF(U29&gt;Premissas!$B$25,Premissas!$B$24,IFERROR(MAX(Tributos!$C$24,(INDEX(Tributos!$C$24:$C$29,MATCH(U29,Tributos!$B$24:$B$29,1))*U29-INDEX(Tributos!$D$24:$D$29,MATCH(U29,Tributos!$B$24:$B$29,1)))/U29),Tributos!$C$24)))</f>
        <v>0.170673306136237</v>
      </c>
      <c r="V30" s="87" t="n">
        <f aca="false">IF(Premissas!$B$23=3,Premissas!$B$24,IF(V29&gt;Premissas!$B$25,Premissas!$B$24,IFERROR(MAX(Tributos!$C$24,(INDEX(Tributos!$C$24:$C$29,MATCH(V29,Tributos!$B$24:$B$29,1))*V29-INDEX(Tributos!$D$24:$D$29,MATCH(V29,Tributos!$B$24:$B$29,1)))/V29),Tributos!$C$24)))</f>
        <v>0.175009793871638</v>
      </c>
      <c r="W30" s="87" t="n">
        <f aca="false">IF(Premissas!$B$23=3,Premissas!$B$24,IF(W29&gt;Premissas!$B$25,Premissas!$B$24,IFERROR(MAX(Tributos!$C$24,(INDEX(Tributos!$C$24:$C$29,MATCH(W29,Tributos!$B$24:$B$29,1))*W29-INDEX(Tributos!$D$24:$D$29,MATCH(W29,Tributos!$B$24:$B$29,1)))/W29),Tributos!$C$24)))</f>
        <v>0.178173339188777</v>
      </c>
      <c r="X30" s="87" t="n">
        <f aca="false">IF(Premissas!$B$23=3,Premissas!$B$24,IF(X29&gt;Premissas!$B$25,Premissas!$B$24,IFERROR(MAX(Tributos!$C$24,(INDEX(Tributos!$C$24:$C$29,MATCH(X29,Tributos!$B$24:$B$29,1))*X29-INDEX(Tributos!$D$24:$D$29,MATCH(X29,Tributos!$B$24:$B$29,1)))/X29),Tributos!$C$24)))</f>
        <v>0.180824257912385</v>
      </c>
      <c r="Y30" s="87" t="n">
        <f aca="false">IF(Premissas!$B$23=3,Premissas!$B$24,IF(Y29&gt;Premissas!$B$25,Premissas!$B$24,IFERROR(MAX(Tributos!$C$24,(INDEX(Tributos!$C$24:$C$29,MATCH(Y29,Tributos!$B$24:$B$29,1))*Y29-INDEX(Tributos!$D$24:$D$29,MATCH(Y29,Tributos!$B$24:$B$29,1)))/Y29),Tributos!$C$24)))</f>
        <v>0.183884166866365</v>
      </c>
      <c r="Z30" s="87" t="n">
        <f aca="false">IF(Premissas!$B$23=3,Premissas!$B$24,IF(Z29&gt;Premissas!$B$25,Premissas!$B$24,IFERROR(MAX(Tributos!$C$24,(INDEX(Tributos!$C$24:$C$29,MATCH(Z29,Tributos!$B$24:$B$29,1))*Z29-INDEX(Tributos!$D$24:$D$29,MATCH(Z29,Tributos!$B$24:$B$29,1)))/Z29),Tributos!$C$24)))</f>
        <v>0.186426205250272</v>
      </c>
      <c r="AA30" s="87" t="n">
        <f aca="false">IF(Premissas!$B$23=3,Premissas!$B$24,IF(AA29&gt;Premissas!$B$25,Premissas!$B$24,IFERROR(MAX(Tributos!$C$24,(INDEX(Tributos!$C$24:$C$29,MATCH(AA29,Tributos!$B$24:$B$29,1))*AA29-INDEX(Tributos!$D$24:$D$29,MATCH(AA29,Tributos!$B$24:$B$29,1)))/AA29),Tributos!$C$24)))</f>
        <v>0.188834374249262</v>
      </c>
      <c r="AB30" s="87" t="n">
        <f aca="false">IF(Premissas!$B$23=3,Premissas!$B$24,IF(AB29&gt;Premissas!$B$25,Premissas!$B$24,IFERROR(MAX(Tributos!$C$24,(INDEX(Tributos!$C$24:$C$29,MATCH(AB29,Tributos!$B$24:$B$29,1))*AB29-INDEX(Tributos!$D$24:$D$29,MATCH(AB29,Tributos!$B$24:$B$29,1)))/AB29),Tributos!$C$24)))</f>
        <v>0.190686340768563</v>
      </c>
      <c r="AC30" s="87" t="n">
        <f aca="false">IF(Premissas!$B$23=3,Premissas!$B$24,IF(AC29&gt;Premissas!$B$25,Premissas!$B$24,IFERROR(MAX(Tributos!$C$24,(INDEX(Tributos!$C$24:$C$29,MATCH(AC29,Tributos!$B$24:$B$29,1))*AC29-INDEX(Tributos!$D$24:$D$29,MATCH(AC29,Tributos!$B$24:$B$29,1)))/AC29),Tributos!$C$24)))</f>
        <v>0.19212832236853</v>
      </c>
      <c r="AD30" s="87" t="n">
        <f aca="false">IF(Premissas!$B$23=3,Premissas!$B$24,IF(AD29&gt;Premissas!$B$25,Premissas!$B$24,IFERROR(MAX(Tributos!$C$24,(INDEX(Tributos!$C$24:$C$29,MATCH(AD29,Tributos!$B$24:$B$29,1))*AD29-INDEX(Tributos!$D$24:$D$29,MATCH(AD29,Tributos!$B$24:$B$29,1)))/AD29),Tributos!$C$24)))</f>
        <v>0.193241676687834</v>
      </c>
      <c r="AE30" s="87" t="n">
        <f aca="false">IF(Premissas!$B$23=3,Premissas!$B$24,IF(AE29&gt;Premissas!$B$25,Premissas!$B$24,IFERROR(MAX(Tributos!$C$24,(INDEX(Tributos!$C$24:$C$29,MATCH(AE29,Tributos!$B$24:$B$29,1))*AE29-INDEX(Tributos!$D$24:$D$29,MATCH(AE29,Tributos!$B$24:$B$29,1)))/AE29),Tributos!$C$24)))</f>
        <v>0.194185701299686</v>
      </c>
      <c r="AF30" s="87" t="n">
        <f aca="false">IF(Premissas!$B$23=3,Premissas!$B$24,IF(AF29&gt;Premissas!$B$25,Premissas!$B$24,IFERROR(MAX(Tributos!$C$24,(INDEX(Tributos!$C$24:$C$29,MATCH(AF29,Tributos!$B$24:$B$29,1))*AF29-INDEX(Tributos!$D$24:$D$29,MATCH(AF29,Tributos!$B$24:$B$29,1)))/AF29),Tributos!$C$24)))</f>
        <v>0.194996068205191</v>
      </c>
      <c r="AG30" s="87" t="n">
        <f aca="false">IF(Premissas!$B$23=3,Premissas!$B$24,IF(AG29&gt;Premissas!$B$25,Premissas!$B$24,IFERROR(MAX(Tributos!$C$24,(INDEX(Tributos!$C$24:$C$29,MATCH(AG29,Tributos!$B$24:$B$29,1))*AG29-INDEX(Tributos!$D$24:$D$29,MATCH(AG29,Tributos!$B$24:$B$29,1)))/AG29),Tributos!$C$24)))</f>
        <v>0.196221906893989</v>
      </c>
      <c r="AH30" s="87" t="n">
        <f aca="false">IF(Premissas!$B$23=3,Premissas!$B$24,IF(AH29&gt;Premissas!$B$25,Premissas!$B$24,IFERROR(MAX(Tributos!$C$24,(INDEX(Tributos!$C$24:$C$29,MATCH(AH29,Tributos!$B$24:$B$29,1))*AH29-INDEX(Tributos!$D$24:$D$29,MATCH(AH29,Tributos!$B$24:$B$29,1)))/AH29),Tributos!$C$24)))</f>
        <v>0.198453809592083</v>
      </c>
      <c r="AI30" s="87" t="n">
        <f aca="false">IF(Premissas!$B$23=3,Premissas!$B$24,IF(AI29&gt;Premissas!$B$25,Premissas!$B$24,IFERROR(MAX(Tributos!$C$24,(INDEX(Tributos!$C$24:$C$29,MATCH(AI29,Tributos!$B$24:$B$29,1))*AI29-INDEX(Tributos!$D$24:$D$29,MATCH(AI29,Tributos!$B$24:$B$29,1)))/AI29),Tributos!$C$24)))</f>
        <v>0.200421375826642</v>
      </c>
      <c r="AJ30" s="87" t="n">
        <f aca="false">IF(Premissas!$B$23=3,Premissas!$B$24,IF(AJ29&gt;Premissas!$B$25,Premissas!$B$24,IFERROR(MAX(Tributos!$C$24,(INDEX(Tributos!$C$24:$C$29,MATCH(AJ29,Tributos!$B$24:$B$29,1))*AJ29-INDEX(Tributos!$D$24:$D$29,MATCH(AJ29,Tributos!$B$24:$B$29,1)))/AJ29),Tributos!$C$24)))</f>
        <v>0.20199743796306</v>
      </c>
      <c r="AK30" s="87" t="n">
        <f aca="false">IF(Premissas!$B$23=3,Premissas!$B$24,IF(AK29&gt;Premissas!$B$25,Premissas!$B$24,IFERROR(MAX(Tributos!$C$24,(INDEX(Tributos!$C$24:$C$29,MATCH(AK29,Tributos!$B$24:$B$29,1))*AK29-INDEX(Tributos!$D$24:$D$29,MATCH(AK29,Tributos!$B$24:$B$29,1)))/AK29),Tributos!$C$24)))</f>
        <v>0.203417384069823</v>
      </c>
      <c r="AL30" s="87" t="n">
        <f aca="false">IF(Premissas!$B$23=3,Premissas!$B$24,IF(AL29&gt;Premissas!$B$25,Premissas!$B$24,IFERROR(MAX(Tributos!$C$24,(INDEX(Tributos!$C$24:$C$29,MATCH(AL29,Tributos!$B$24:$B$29,1))*AL29-INDEX(Tributos!$D$24:$D$29,MATCH(AL29,Tributos!$B$24:$B$29,1)))/AL29),Tributos!$C$24)))</f>
        <v>0.204702823889985</v>
      </c>
      <c r="AM30" s="87" t="n">
        <f aca="false">IF(Premissas!$B$23=3,Premissas!$B$24,IF(AM29&gt;Premissas!$B$25,Premissas!$B$24,IFERROR(MAX(Tributos!$C$24,(INDEX(Tributos!$C$24:$C$29,MATCH(AM29,Tributos!$B$24:$B$29,1))*AM29-INDEX(Tributos!$D$24:$D$29,MATCH(AM29,Tributos!$B$24:$B$29,1)))/AM29),Tributos!$C$24)))</f>
        <v>0.206167506819052</v>
      </c>
      <c r="AN30" s="87" t="n">
        <f aca="false">IF(Premissas!$B$23=3,Premissas!$B$24,IF(AN29&gt;Premissas!$B$25,Premissas!$B$24,IFERROR(MAX(Tributos!$C$24,(INDEX(Tributos!$C$24:$C$29,MATCH(AN29,Tributos!$B$24:$B$29,1))*AN29-INDEX(Tributos!$D$24:$D$29,MATCH(AN29,Tributos!$B$24:$B$29,1)))/AN29),Tributos!$C$24)))</f>
        <v>0.207516931443728</v>
      </c>
      <c r="AO30" s="87" t="n">
        <f aca="false">IF(Premissas!$B$23=3,Premissas!$B$24,IF(AO29&gt;Premissas!$B$25,Premissas!$B$24,IFERROR(MAX(Tributos!$C$24,(INDEX(Tributos!$C$24:$C$29,MATCH(AO29,Tributos!$B$24:$B$29,1))*AO29-INDEX(Tributos!$D$24:$D$29,MATCH(AO29,Tributos!$B$24:$B$29,1)))/AO29),Tributos!$C$24)))</f>
        <v>0.208758348154942</v>
      </c>
      <c r="AP30" s="87" t="n">
        <f aca="false">IF(Premissas!$B$23=3,Premissas!$B$24,IF(AP29&gt;Premissas!$B$25,Premissas!$B$24,IFERROR(MAX(Tributos!$C$24,(INDEX(Tributos!$C$24:$C$29,MATCH(AP29,Tributos!$B$24:$B$29,1))*AP29-INDEX(Tributos!$D$24:$D$29,MATCH(AP29,Tributos!$B$24:$B$29,1)))/AP29),Tributos!$C$24)))</f>
        <v>0.210345511859044</v>
      </c>
      <c r="AQ30" s="87" t="n">
        <f aca="false">IF(Premissas!$B$23=3,Premissas!$B$24,IF(AQ29&gt;Premissas!$B$25,Premissas!$B$24,IFERROR(MAX(Tributos!$C$24,(INDEX(Tributos!$C$24:$C$29,MATCH(AQ29,Tributos!$B$24:$B$29,1))*AQ29-INDEX(Tributos!$D$24:$D$29,MATCH(AQ29,Tributos!$B$24:$B$29,1)))/AQ29),Tributos!$C$24)))</f>
        <v>0.211734940656296</v>
      </c>
      <c r="AR30" s="87" t="n">
        <f aca="false">IF(Premissas!$B$23=3,Premissas!$B$24,IF(AR29&gt;Premissas!$B$25,Premissas!$B$24,IFERROR(MAX(Tributos!$C$24,(INDEX(Tributos!$C$24:$C$29,MATCH(AR29,Tributos!$B$24:$B$29,1))*AR29-INDEX(Tributos!$D$24:$D$29,MATCH(AR29,Tributos!$B$24:$B$29,1)))/AR29),Tributos!$C$24)))</f>
        <v>0.156821144061947</v>
      </c>
      <c r="AS30" s="87" t="n">
        <f aca="false">IF(Premissas!$B$23=3,Premissas!$B$24,IF(AS29&gt;Premissas!$B$25,Premissas!$B$24,IFERROR(MAX(Tributos!$C$24,(INDEX(Tributos!$C$24:$C$29,MATCH(AS29,Tributos!$B$24:$B$29,1))*AS29-INDEX(Tributos!$D$24:$D$29,MATCH(AS29,Tributos!$B$24:$B$29,1)))/AS29),Tributos!$C$24)))</f>
        <v>0.166259784563359</v>
      </c>
      <c r="AT30" s="87" t="n">
        <f aca="false">IF(Premissas!$B$23=3,Premissas!$B$24,IF(AT29&gt;Premissas!$B$25,Premissas!$B$24,IFERROR(MAX(Tributos!$C$24,(INDEX(Tributos!$C$24:$C$29,MATCH(AT29,Tributos!$B$24:$B$29,1))*AT29-INDEX(Tributos!$D$24:$D$29,MATCH(AT29,Tributos!$B$24:$B$29,1)))/AT29),Tributos!$C$24)))</f>
        <v>0.17467443839365</v>
      </c>
      <c r="AU30" s="87" t="n">
        <f aca="false">IF(Premissas!$B$23=3,Premissas!$B$24,IF(AU29&gt;Premissas!$B$25,Premissas!$B$24,IFERROR(MAX(Tributos!$C$24,(INDEX(Tributos!$C$24:$C$29,MATCH(AU29,Tributos!$B$24:$B$29,1))*AU29-INDEX(Tributos!$D$24:$D$29,MATCH(AU29,Tributos!$B$24:$B$29,1)))/AU29),Tributos!$C$24)))</f>
        <v>0.182211830349734</v>
      </c>
      <c r="AV30" s="87" t="n">
        <f aca="false">IF(Premissas!$B$23=3,Premissas!$B$24,IF(AV29&gt;Premissas!$B$25,Premissas!$B$24,IFERROR(MAX(Tributos!$C$24,(INDEX(Tributos!$C$24:$C$29,MATCH(AV29,Tributos!$B$24:$B$29,1))*AV29-INDEX(Tributos!$D$24:$D$29,MATCH(AV29,Tributos!$B$24:$B$29,1)))/AV29),Tributos!$C$24)))</f>
        <v>0.188993895455126</v>
      </c>
      <c r="AW30" s="87" t="n">
        <f aca="false">IF(Premissas!$B$23=3,Premissas!$B$24,IF(AW29&gt;Premissas!$B$25,Premissas!$B$24,IFERROR(MAX(Tributos!$C$24,(INDEX(Tributos!$C$24:$C$29,MATCH(AW29,Tributos!$B$24:$B$29,1))*AW29-INDEX(Tributos!$D$24:$D$29,MATCH(AW29,Tributos!$B$24:$B$29,1)))/AW29),Tributos!$C$24)))</f>
        <v>0.1633</v>
      </c>
      <c r="AX30" s="87" t="n">
        <f aca="false">IF(Premissas!$B$23=3,Premissas!$B$24,IF(AX29&gt;Premissas!$B$25,Premissas!$B$24,IFERROR(MAX(Tributos!$C$24,(INDEX(Tributos!$C$24:$C$29,MATCH(AX29,Tributos!$B$24:$B$29,1))*AX29-INDEX(Tributos!$D$24:$D$29,MATCH(AX29,Tributos!$B$24:$B$29,1)))/AX29),Tributos!$C$24)))</f>
        <v>0.1633</v>
      </c>
      <c r="AY30" s="87" t="n">
        <f aca="false">IF(Premissas!$B$23=3,Premissas!$B$24,IF(AY29&gt;Premissas!$B$25,Premissas!$B$24,IFERROR(MAX(Tributos!$C$24,(INDEX(Tributos!$C$24:$C$29,MATCH(AY29,Tributos!$B$24:$B$29,1))*AY29-INDEX(Tributos!$D$24:$D$29,MATCH(AY29,Tributos!$B$24:$B$29,1)))/AY29),Tributos!$C$24)))</f>
        <v>0.1633</v>
      </c>
      <c r="AZ30" s="87" t="n">
        <f aca="false">IF(Premissas!$B$23=3,Premissas!$B$24,IF(AZ29&gt;Premissas!$B$25,Premissas!$B$24,IFERROR(MAX(Tributos!$C$24,(INDEX(Tributos!$C$24:$C$29,MATCH(AZ29,Tributos!$B$24:$B$29,1))*AZ29-INDEX(Tributos!$D$24:$D$29,MATCH(AZ29,Tributos!$B$24:$B$29,1)))/AZ29),Tributos!$C$24)))</f>
        <v>0.1633</v>
      </c>
      <c r="BA30" s="87" t="n">
        <f aca="false">IF(Premissas!$B$23=3,Premissas!$B$24,IF(BA29&gt;Premissas!$B$25,Premissas!$B$24,IFERROR(MAX(Tributos!$C$24,(INDEX(Tributos!$C$24:$C$29,MATCH(BA29,Tributos!$B$24:$B$29,1))*BA29-INDEX(Tributos!$D$24:$D$29,MATCH(BA29,Tributos!$B$24:$B$29,1)))/BA29),Tributos!$C$24)))</f>
        <v>0.1633</v>
      </c>
      <c r="BB30" s="87" t="n">
        <f aca="false">IF(Premissas!$B$23=3,Premissas!$B$24,IF(BB29&gt;Premissas!$B$25,Premissas!$B$24,IFERROR(MAX(Tributos!$C$24,(INDEX(Tributos!$C$24:$C$29,MATCH(BB29,Tributos!$B$24:$B$29,1))*BB29-INDEX(Tributos!$D$24:$D$29,MATCH(BB29,Tributos!$B$24:$B$29,1)))/BB29),Tributos!$C$24)))</f>
        <v>0.1633</v>
      </c>
      <c r="BC30" s="87" t="n">
        <f aca="false">IF(Premissas!$B$23=3,Premissas!$B$24,IF(BC29&gt;Premissas!$B$25,Premissas!$B$24,IFERROR(MAX(Tributos!$C$24,(INDEX(Tributos!$C$24:$C$29,MATCH(BC29,Tributos!$B$24:$B$29,1))*BC29-INDEX(Tributos!$D$24:$D$29,MATCH(BC29,Tributos!$B$24:$B$29,1)))/BC29),Tributos!$C$24)))</f>
        <v>0.1633</v>
      </c>
      <c r="BD30" s="87" t="n">
        <f aca="false">IF(Premissas!$B$23=3,Premissas!$B$24,IF(BD29&gt;Premissas!$B$25,Premissas!$B$24,IFERROR(MAX(Tributos!$C$24,(INDEX(Tributos!$C$24:$C$29,MATCH(BD29,Tributos!$B$24:$B$29,1))*BD29-INDEX(Tributos!$D$24:$D$29,MATCH(BD29,Tributos!$B$24:$B$29,1)))/BD29),Tributos!$C$24)))</f>
        <v>0.1633</v>
      </c>
      <c r="BE30" s="87" t="n">
        <f aca="false">IF(Premissas!$B$23=3,Premissas!$B$24,IF(BE29&gt;Premissas!$B$25,Premissas!$B$24,IFERROR(MAX(Tributos!$C$24,(INDEX(Tributos!$C$24:$C$29,MATCH(BE29,Tributos!$B$24:$B$29,1))*BE29-INDEX(Tributos!$D$24:$D$29,MATCH(BE29,Tributos!$B$24:$B$29,1)))/BE29),Tributos!$C$24)))</f>
        <v>0.1633</v>
      </c>
      <c r="BF30" s="87" t="n">
        <f aca="false">IF(Premissas!$B$23=3,Premissas!$B$24,IF(BF29&gt;Premissas!$B$25,Premissas!$B$24,IFERROR(MAX(Tributos!$C$24,(INDEX(Tributos!$C$24:$C$29,MATCH(BF29,Tributos!$B$24:$B$29,1))*BF29-INDEX(Tributos!$D$24:$D$29,MATCH(BF29,Tributos!$B$24:$B$29,1)))/BF29),Tributos!$C$24)))</f>
        <v>0.1633</v>
      </c>
      <c r="BG30" s="87" t="n">
        <f aca="false">IF(Premissas!$B$23=3,Premissas!$B$24,IF(BG29&gt;Premissas!$B$25,Premissas!$B$24,IFERROR(MAX(Tributos!$C$24,(INDEX(Tributos!$C$24:$C$29,MATCH(BG29,Tributos!$B$24:$B$29,1))*BG29-INDEX(Tributos!$D$24:$D$29,MATCH(BG29,Tributos!$B$24:$B$29,1)))/BG29),Tributos!$C$24)))</f>
        <v>0.1633</v>
      </c>
      <c r="BH30" s="87" t="n">
        <f aca="false">IF(Premissas!$B$23=3,Premissas!$B$24,IF(BH29&gt;Premissas!$B$25,Premissas!$B$24,IFERROR(MAX(Tributos!$C$24,(INDEX(Tributos!$C$24:$C$29,MATCH(BH29,Tributos!$B$24:$B$29,1))*BH29-INDEX(Tributos!$D$24:$D$29,MATCH(BH29,Tributos!$B$24:$B$29,1)))/BH29),Tributos!$C$24)))</f>
        <v>0.1633</v>
      </c>
      <c r="BI30" s="87" t="n">
        <f aca="false">IF(Premissas!$B$23=3,Premissas!$B$24,IF(BI29&gt;Premissas!$B$25,Premissas!$B$24,IFERROR(MAX(Tributos!$C$24,(INDEX(Tributos!$C$24:$C$29,MATCH(BI29,Tributos!$B$24:$B$29,1))*BI29-INDEX(Tributos!$D$24:$D$29,MATCH(BI29,Tributos!$B$24:$B$29,1)))/BI29),Tributos!$C$24)))</f>
        <v>0.1633</v>
      </c>
      <c r="BJ30" s="88" t="n">
        <f aca="false">IFERROR(-BJ31/BJ28,0)</f>
        <v>0.175699910838808</v>
      </c>
      <c r="BK30" s="29" t="s">
        <v>881</v>
      </c>
    </row>
    <row r="31" customFormat="false" ht="15" hidden="false" customHeight="false" outlineLevel="0" collapsed="false">
      <c r="A31" s="27" t="s">
        <v>755</v>
      </c>
      <c r="B31" s="60" t="n">
        <f aca="false">-B28*B30</f>
        <v>-0</v>
      </c>
      <c r="C31" s="60" t="n">
        <f aca="false">-C28*C30</f>
        <v>-0</v>
      </c>
      <c r="D31" s="60" t="n">
        <f aca="false">-D28*D30</f>
        <v>-0</v>
      </c>
      <c r="E31" s="60" t="n">
        <f aca="false">-E28*E30</f>
        <v>-0</v>
      </c>
      <c r="F31" s="60" t="n">
        <f aca="false">-F28*F30</f>
        <v>-0</v>
      </c>
      <c r="G31" s="60" t="n">
        <f aca="false">-G28*G30</f>
        <v>-0</v>
      </c>
      <c r="H31" s="60" t="n">
        <f aca="false">-H28*H30</f>
        <v>-0</v>
      </c>
      <c r="I31" s="60" t="n">
        <f aca="false">-I28*I30</f>
        <v>-0</v>
      </c>
      <c r="J31" s="60" t="n">
        <f aca="false">-J28*J30</f>
        <v>-0</v>
      </c>
      <c r="K31" s="60" t="n">
        <f aca="false">-K28*K30</f>
        <v>-166.563</v>
      </c>
      <c r="L31" s="60" t="n">
        <f aca="false">-L28*L30</f>
        <v>-635.407</v>
      </c>
      <c r="M31" s="60" t="n">
        <f aca="false">-M28*M30</f>
        <v>-1360.2645</v>
      </c>
      <c r="N31" s="60" t="n">
        <f aca="false">-N28*N30</f>
        <v>-3250.86503028</v>
      </c>
      <c r="O31" s="60" t="n">
        <f aca="false">-O28*O30</f>
        <v>-5043.82990449312</v>
      </c>
      <c r="P31" s="60" t="n">
        <f aca="false">-P28*P30</f>
        <v>-7105.25692290178</v>
      </c>
      <c r="Q31" s="60" t="n">
        <f aca="false">-Q28*Q30</f>
        <v>-9802.11359510321</v>
      </c>
      <c r="R31" s="60" t="n">
        <f aca="false">-R28*R30</f>
        <v>-10924.3618006133</v>
      </c>
      <c r="S31" s="60" t="n">
        <f aca="false">-S28*S30</f>
        <v>-12459.2926610505</v>
      </c>
      <c r="T31" s="60" t="n">
        <f aca="false">-T28*T30</f>
        <v>-13774.79463323</v>
      </c>
      <c r="U31" s="60" t="n">
        <f aca="false">-U28*U30</f>
        <v>-15067.4082703539</v>
      </c>
      <c r="V31" s="60" t="n">
        <f aca="false">-V28*V30</f>
        <v>-16295.0761806116</v>
      </c>
      <c r="W31" s="60" t="n">
        <f aca="false">-W28*W30</f>
        <v>-19794.828119018</v>
      </c>
      <c r="X31" s="60" t="n">
        <f aca="false">-X28*X30</f>
        <v>-20892.8193442204</v>
      </c>
      <c r="Y31" s="60" t="n">
        <f aca="false">-Y28*Y30</f>
        <v>-21994.1952294685</v>
      </c>
      <c r="Z31" s="60" t="n">
        <f aca="false">-Z28*Z30</f>
        <v>-29477.9835259944</v>
      </c>
      <c r="AA31" s="60" t="n">
        <f aca="false">-AA28*AA30</f>
        <v>-31989.2672941384</v>
      </c>
      <c r="AB31" s="60" t="n">
        <f aca="false">-AB28*AB30</f>
        <v>-34261.6558048479</v>
      </c>
      <c r="AC31" s="60" t="n">
        <f aca="false">-AC28*AC30</f>
        <v>-36318.0676955431</v>
      </c>
      <c r="AD31" s="60" t="n">
        <f aca="false">-AD28*AD30</f>
        <v>-38151.8240122055</v>
      </c>
      <c r="AE31" s="60" t="n">
        <f aca="false">-AE28*AE30</f>
        <v>-39827.5646842127</v>
      </c>
      <c r="AF31" s="60" t="n">
        <f aca="false">-AF28*AF30</f>
        <v>-41352.0689653269</v>
      </c>
      <c r="AG31" s="60" t="n">
        <f aca="false">-AG28*AG30</f>
        <v>-42845.9280396967</v>
      </c>
      <c r="AH31" s="60" t="n">
        <f aca="false">-AH28*AH30</f>
        <v>-44464.8990266491</v>
      </c>
      <c r="AI31" s="60" t="n">
        <f aca="false">-AI28*AI30</f>
        <v>-45949.3666566488</v>
      </c>
      <c r="AJ31" s="60" t="n">
        <f aca="false">-AJ28*AJ30</f>
        <v>-47267.6234057777</v>
      </c>
      <c r="AK31" s="60" t="n">
        <f aca="false">-AK28*AK30</f>
        <v>-48477.4581823271</v>
      </c>
      <c r="AL31" s="60" t="n">
        <f aca="false">-AL28*AL30</f>
        <v>-63250.7705205528</v>
      </c>
      <c r="AM31" s="60" t="n">
        <f aca="false">-AM28*AM30</f>
        <v>-67168.5623353764</v>
      </c>
      <c r="AN31" s="60" t="n">
        <f aca="false">-AN28*AN30</f>
        <v>-70783.6979797374</v>
      </c>
      <c r="AO31" s="60" t="n">
        <f aca="false">-AO28*AO30</f>
        <v>-88745.7822704372</v>
      </c>
      <c r="AP31" s="60" t="n">
        <f aca="false">-AP28*AP30</f>
        <v>-92085.2984472028</v>
      </c>
      <c r="AQ31" s="60" t="n">
        <f aca="false">-AQ28*AQ30</f>
        <v>-95155.9741805215</v>
      </c>
      <c r="AR31" s="60" t="n">
        <f aca="false">-AR28*AR30</f>
        <v>-72135.8292468341</v>
      </c>
      <c r="AS31" s="60" t="n">
        <f aca="false">-AS28*AS30</f>
        <v>-78085.1834357604</v>
      </c>
      <c r="AT31" s="60" t="n">
        <f aca="false">-AT28*AT30</f>
        <v>-83565.1075646643</v>
      </c>
      <c r="AU31" s="60" t="n">
        <f aca="false">-AU28*AU30</f>
        <v>-88622.9935087973</v>
      </c>
      <c r="AV31" s="60" t="n">
        <f aca="false">-AV28*AV30</f>
        <v>-93307.5103485712</v>
      </c>
      <c r="AW31" s="60" t="n">
        <f aca="false">-AW28*AW30</f>
        <v>-81709.4547630073</v>
      </c>
      <c r="AX31" s="60" t="n">
        <f aca="false">-AX28*AX30</f>
        <v>-100158.165256131</v>
      </c>
      <c r="AY31" s="60" t="n">
        <f aca="false">-AY28*AY30</f>
        <v>-104665.348416874</v>
      </c>
      <c r="AZ31" s="60" t="n">
        <f aca="false">-AZ28*AZ30</f>
        <v>-108781.326720064</v>
      </c>
      <c r="BA31" s="60" t="n">
        <f aca="false">-BA28*BA30</f>
        <v>-112552.040712528</v>
      </c>
      <c r="BB31" s="60" t="n">
        <f aca="false">-BB28*BB30</f>
        <v>-115992.038700671</v>
      </c>
      <c r="BC31" s="60" t="n">
        <f aca="false">-BC28*BC30</f>
        <v>-119150.691486833</v>
      </c>
      <c r="BD31" s="60" t="n">
        <f aca="false">-BD28*BD30</f>
        <v>-122034.279329225</v>
      </c>
      <c r="BE31" s="60" t="n">
        <f aca="false">-BE28*BE30</f>
        <v>-124680.031385061</v>
      </c>
      <c r="BF31" s="60" t="n">
        <f aca="false">-BF28*BF30</f>
        <v>-127097.760942597</v>
      </c>
      <c r="BG31" s="60" t="n">
        <f aca="false">-BG28*BG30</f>
        <v>-129304.876152668</v>
      </c>
      <c r="BH31" s="60" t="n">
        <f aca="false">-BH28*BH30</f>
        <v>-131334.22338798</v>
      </c>
      <c r="BI31" s="60" t="n">
        <f aca="false">-BI28*BI30</f>
        <v>-133179.535191258</v>
      </c>
      <c r="BJ31" s="61" t="n">
        <f aca="false">SUM(B31:BI31)</f>
        <v>-3042497.26576807</v>
      </c>
    </row>
    <row r="32" customFormat="false" ht="15" hidden="false" customHeight="false" outlineLevel="0" collapsed="false">
      <c r="A32" s="27" t="s">
        <v>723</v>
      </c>
      <c r="B32" s="60" t="n">
        <f aca="false">-B23*Premissas!$B$73*INDEX(Premissas!$C$74:$G$74,B$7)</f>
        <v>-0</v>
      </c>
      <c r="C32" s="60" t="n">
        <f aca="false">-C23*Premissas!$B$73*INDEX(Premissas!$C$74:$G$74,C$7)</f>
        <v>-0</v>
      </c>
      <c r="D32" s="60" t="n">
        <f aca="false">-D23*Premissas!$B$73*INDEX(Premissas!$C$74:$G$74,D$7)</f>
        <v>-0</v>
      </c>
      <c r="E32" s="60" t="n">
        <f aca="false">-E23*Premissas!$B$73*INDEX(Premissas!$C$74:$G$74,E$7)</f>
        <v>-0</v>
      </c>
      <c r="F32" s="60" t="n">
        <f aca="false">-F23*Premissas!$B$73*INDEX(Premissas!$C$74:$G$74,F$7)</f>
        <v>-0</v>
      </c>
      <c r="G32" s="60" t="n">
        <f aca="false">-G23*Premissas!$B$73*INDEX(Premissas!$C$74:$G$74,G$7)</f>
        <v>-0</v>
      </c>
      <c r="H32" s="60" t="n">
        <f aca="false">-H23*Premissas!$B$73*INDEX(Premissas!$C$74:$G$74,H$7)</f>
        <v>-0</v>
      </c>
      <c r="I32" s="60" t="n">
        <f aca="false">-I23*Premissas!$B$73*INDEX(Premissas!$C$74:$G$74,I$7)</f>
        <v>-0</v>
      </c>
      <c r="J32" s="60" t="n">
        <f aca="false">-J23*Premissas!$B$73*INDEX(Premissas!$C$74:$G$74,J$7)</f>
        <v>-0</v>
      </c>
      <c r="K32" s="60" t="n">
        <f aca="false">-K23*Premissas!$B$73*INDEX(Premissas!$C$74:$G$74,K$7)</f>
        <v>-137.0115</v>
      </c>
      <c r="L32" s="60" t="n">
        <f aca="false">-L23*Premissas!$B$73*INDEX(Premissas!$C$74:$G$74,L$7)</f>
        <v>-522.6735</v>
      </c>
      <c r="M32" s="60" t="n">
        <f aca="false">-M23*Premissas!$B$73*INDEX(Premissas!$C$74:$G$74,M$7)</f>
        <v>-1118.92725</v>
      </c>
      <c r="N32" s="60" t="n">
        <f aca="false">-N23*Premissas!$B$73*INDEX(Premissas!$C$74:$G$74,N$7)</f>
        <v>-2253.40038</v>
      </c>
      <c r="O32" s="60" t="n">
        <f aca="false">-O23*Premissas!$B$73*INDEX(Premissas!$C$74:$G$74,O$7)</f>
        <v>-3571.00326</v>
      </c>
      <c r="P32" s="60" t="n">
        <f aca="false">-P23*Premissas!$B$73*INDEX(Premissas!$C$74:$G$74,P$7)</f>
        <v>-5103.2157</v>
      </c>
      <c r="Q32" s="60" t="n">
        <f aca="false">-Q23*Premissas!$B$73*INDEX(Premissas!$C$74:$G$74,Q$7)</f>
        <v>-7133.49186</v>
      </c>
      <c r="R32" s="60" t="n">
        <f aca="false">-R23*Premissas!$B$73*INDEX(Premissas!$C$74:$G$74,R$7)</f>
        <v>-7950.24714</v>
      </c>
      <c r="S32" s="60" t="n">
        <f aca="false">-S23*Premissas!$B$73*INDEX(Premissas!$C$74:$G$74,S$7)</f>
        <v>-8687.07246</v>
      </c>
      <c r="T32" s="60" t="n">
        <f aca="false">-T23*Premissas!$B$73*INDEX(Premissas!$C$74:$G$74,T$7)</f>
        <v>-9353.9622</v>
      </c>
      <c r="U32" s="60" t="n">
        <f aca="false">-U23*Premissas!$B$73*INDEX(Premissas!$C$74:$G$74,U$7)</f>
        <v>-9958.41528</v>
      </c>
      <c r="V32" s="60" t="n">
        <f aca="false">-V23*Premissas!$B$73*INDEX(Premissas!$C$74:$G$74,V$7)</f>
        <v>-10502.91462</v>
      </c>
      <c r="W32" s="60" t="n">
        <f aca="false">-W23*Premissas!$B$73*INDEX(Premissas!$C$74:$G$74,W$7)</f>
        <v>-12630.17514</v>
      </c>
      <c r="X32" s="60" t="n">
        <f aca="false">-X23*Premissas!$B$73*INDEX(Premissas!$C$74:$G$74,X$7)</f>
        <v>-13134.9603</v>
      </c>
      <c r="Y32" s="60" t="n">
        <f aca="false">-Y23*Premissas!$B$73*INDEX(Premissas!$C$74:$G$74,Y$7)</f>
        <v>-13597.28502</v>
      </c>
      <c r="Z32" s="60" t="n">
        <f aca="false">-Z23*Premissas!$B$73*INDEX(Premissas!$C$74:$G$74,Z$7)</f>
        <v>-16507.044439875</v>
      </c>
      <c r="AA32" s="60" t="n">
        <f aca="false">-AA23*Premissas!$B$73*INDEX(Premissas!$C$74:$G$74,AA$7)</f>
        <v>-17684.8957797187</v>
      </c>
      <c r="AB32" s="60" t="n">
        <f aca="false">-AB23*Premissas!$B$73*INDEX(Premissas!$C$74:$G$74,AB$7)</f>
        <v>-18757.46225925</v>
      </c>
      <c r="AC32" s="60" t="n">
        <f aca="false">-AC23*Premissas!$B$73*INDEX(Premissas!$C$74:$G$74,AC$7)</f>
        <v>-19734.535247625</v>
      </c>
      <c r="AD32" s="60" t="n">
        <f aca="false">-AD23*Premissas!$B$73*INDEX(Premissas!$C$74:$G$74,AD$7)</f>
        <v>-20611.1760617812</v>
      </c>
      <c r="AE32" s="60" t="n">
        <f aca="false">-AE23*Premissas!$B$73*INDEX(Premissas!$C$74:$G$74,AE$7)</f>
        <v>-21411.9306936562</v>
      </c>
      <c r="AF32" s="60" t="n">
        <f aca="false">-AF23*Premissas!$B$73*INDEX(Premissas!$C$74:$G$74,AF$7)</f>
        <v>-22139.207058375</v>
      </c>
      <c r="AG32" s="60" t="n">
        <f aca="false">-AG23*Premissas!$B$73*INDEX(Premissas!$C$74:$G$74,AG$7)</f>
        <v>-22795.4622121875</v>
      </c>
      <c r="AH32" s="60" t="n">
        <f aca="false">-AH23*Premissas!$B$73*INDEX(Premissas!$C$74:$G$74,AH$7)</f>
        <v>-23390.4998095312</v>
      </c>
      <c r="AI32" s="60" t="n">
        <f aca="false">-AI23*Premissas!$B$73*INDEX(Premissas!$C$74:$G$74,AI$7)</f>
        <v>-23934.1235048437</v>
      </c>
      <c r="AJ32" s="60" t="n">
        <f aca="false">-AJ23*Premissas!$B$73*INDEX(Premissas!$C$74:$G$74,AJ$7)</f>
        <v>-24428.7780690937</v>
      </c>
      <c r="AK32" s="60" t="n">
        <f aca="false">-AK23*Premissas!$B$73*INDEX(Premissas!$C$74:$G$74,AK$7)</f>
        <v>-24879.3530442187</v>
      </c>
      <c r="AL32" s="60" t="n">
        <f aca="false">-AL23*Premissas!$B$73*INDEX(Premissas!$C$74:$G$74,AL$7)</f>
        <v>-30216.4046710614</v>
      </c>
      <c r="AM32" s="60" t="n">
        <f aca="false">-AM23*Premissas!$B$73*INDEX(Premissas!$C$74:$G$74,AM$7)</f>
        <v>-31860.148117441</v>
      </c>
      <c r="AN32" s="60" t="n">
        <f aca="false">-AN23*Premissas!$B$73*INDEX(Premissas!$C$74:$G$74,AN$7)</f>
        <v>-33356.4770931925</v>
      </c>
      <c r="AO32" s="60" t="n">
        <f aca="false">-AO23*Premissas!$B$73*INDEX(Premissas!$C$74:$G$74,AO$7)</f>
        <v>-34727.501920221</v>
      </c>
      <c r="AP32" s="60" t="n">
        <f aca="false">-AP23*Premissas!$B$73*INDEX(Premissas!$C$74:$G$74,AP$7)</f>
        <v>-35965.8278420364</v>
      </c>
      <c r="AQ32" s="60" t="n">
        <f aca="false">-AQ23*Premissas!$B$73*INDEX(Premissas!$C$74:$G$74,AQ$7)</f>
        <v>-37103.437180458</v>
      </c>
      <c r="AR32" s="60" t="n">
        <f aca="false">-AR23*Premissas!$B$73*INDEX(Premissas!$C$74:$G$74,AR$7)</f>
        <v>-38137.8403674675</v>
      </c>
      <c r="AS32" s="60" t="n">
        <f aca="false">-AS23*Premissas!$B$73*INDEX(Premissas!$C$74:$G$74,AS$7)</f>
        <v>-39083.8022668566</v>
      </c>
      <c r="AT32" s="60" t="n">
        <f aca="false">-AT23*Premissas!$B$73*INDEX(Premissas!$C$74:$G$74,AT$7)</f>
        <v>-39938.833310607</v>
      </c>
      <c r="AU32" s="60" t="n">
        <f aca="false">-AU23*Premissas!$B$73*INDEX(Premissas!$C$74:$G$74,AU$7)</f>
        <v>-40717.6983625104</v>
      </c>
      <c r="AV32" s="60" t="n">
        <f aca="false">-AV23*Premissas!$B$73*INDEX(Premissas!$C$74:$G$74,AV$7)</f>
        <v>-41435.1622863585</v>
      </c>
      <c r="AW32" s="60" t="n">
        <f aca="false">-AW23*Premissas!$B$73*INDEX(Premissas!$C$74:$G$74,AW$7)</f>
        <v>-42086.270595303</v>
      </c>
      <c r="AX32" s="60" t="n">
        <f aca="false">-AX23*Premissas!$B$73*INDEX(Premissas!$C$74:$G$74,AX$7)</f>
        <v>-51398.6046808618</v>
      </c>
      <c r="AY32" s="60" t="n">
        <f aca="false">-AY23*Premissas!$B$73*INDEX(Premissas!$C$74:$G$74,AY$7)</f>
        <v>-54010.1148783344</v>
      </c>
      <c r="AZ32" s="60" t="n">
        <f aca="false">-AZ23*Premissas!$B$73*INDEX(Premissas!$C$74:$G$74,AZ$7)</f>
        <v>-56394.4234507195</v>
      </c>
      <c r="BA32" s="60" t="n">
        <f aca="false">-BA23*Premissas!$B$73*INDEX(Premissas!$C$74:$G$74,BA$7)</f>
        <v>-58579.0024490195</v>
      </c>
      <c r="BB32" s="60" t="n">
        <f aca="false">-BB23*Premissas!$B$73*INDEX(Premissas!$C$74:$G$74,BB$7)</f>
        <v>-60571.3146546372</v>
      </c>
      <c r="BC32" s="60" t="n">
        <f aca="false">-BC23*Premissas!$B$73*INDEX(Premissas!$C$74:$G$74,BC$7)</f>
        <v>-62401.3739719726</v>
      </c>
      <c r="BD32" s="60" t="n">
        <f aca="false">-BD23*Premissas!$B$73*INDEX(Premissas!$C$74:$G$74,BD$7)</f>
        <v>-64071.6346043056</v>
      </c>
      <c r="BE32" s="60" t="n">
        <f aca="false">-BE23*Premissas!$B$73*INDEX(Premissas!$C$74:$G$74,BE$7)</f>
        <v>-65604.5850674068</v>
      </c>
      <c r="BF32" s="60" t="n">
        <f aca="false">-BF23*Premissas!$B$73*INDEX(Premissas!$C$74:$G$74,BF$7)</f>
        <v>-67005.2088965083</v>
      </c>
      <c r="BG32" s="60" t="n">
        <f aca="false">-BG23*Premissas!$B$73*INDEX(Premissas!$C$74:$G$74,BG$7)</f>
        <v>-68283.4856835193</v>
      </c>
      <c r="BH32" s="60" t="n">
        <f aca="false">-BH23*Premissas!$B$73*INDEX(Premissas!$C$74:$G$74,BH$7)</f>
        <v>-69459.4246980398</v>
      </c>
      <c r="BI32" s="60" t="n">
        <f aca="false">-BI23*Premissas!$B$73*INDEX(Premissas!$C$74:$G$74,BI$7)</f>
        <v>-70527.9797976113</v>
      </c>
      <c r="BJ32" s="61" t="n">
        <f aca="false">SUM(B32:BI32)</f>
        <v>-1554865.78063661</v>
      </c>
    </row>
    <row r="33" customFormat="false" ht="15" hidden="false" customHeight="false" outlineLevel="0" collapsed="false">
      <c r="A33" s="27" t="s">
        <v>725</v>
      </c>
      <c r="B33" s="60" t="n">
        <f aca="false">-(B23*(1-INDEX(Premissas!$C$74:$G$74,B$7))+B24)*Premissas!$B$75</f>
        <v>-0</v>
      </c>
      <c r="C33" s="60" t="n">
        <f aca="false">-(C23*(1-INDEX(Premissas!$C$74:$G$74,C$7))+C24)*Premissas!$B$75</f>
        <v>-0</v>
      </c>
      <c r="D33" s="60" t="n">
        <f aca="false">-(D23*(1-INDEX(Premissas!$C$74:$G$74,D$7))+D24)*Premissas!$B$75</f>
        <v>-0</v>
      </c>
      <c r="E33" s="60" t="n">
        <f aca="false">-(E23*(1-INDEX(Premissas!$C$74:$G$74,E$7))+E24)*Premissas!$B$75</f>
        <v>-0</v>
      </c>
      <c r="F33" s="60" t="n">
        <f aca="false">-(F23*(1-INDEX(Premissas!$C$74:$G$74,F$7))+F24)*Premissas!$B$75</f>
        <v>-0</v>
      </c>
      <c r="G33" s="60" t="n">
        <f aca="false">-(G23*(1-INDEX(Premissas!$C$74:$G$74,G$7))+G24)*Premissas!$B$75</f>
        <v>-0</v>
      </c>
      <c r="H33" s="60" t="n">
        <f aca="false">-(H23*(1-INDEX(Premissas!$C$74:$G$74,H$7))+H24)*Premissas!$B$75</f>
        <v>-0</v>
      </c>
      <c r="I33" s="60" t="n">
        <f aca="false">-(I23*(1-INDEX(Premissas!$C$74:$G$74,I$7))+I24)*Premissas!$B$75</f>
        <v>-0</v>
      </c>
      <c r="J33" s="60" t="n">
        <f aca="false">-(J23*(1-INDEX(Premissas!$C$74:$G$74,J$7))+J24)*Premissas!$B$75</f>
        <v>-0</v>
      </c>
      <c r="K33" s="60" t="n">
        <f aca="false">-(K23*(1-INDEX(Premissas!$C$74:$G$74,K$7))+K24)*Premissas!$B$75</f>
        <v>-7.25355</v>
      </c>
      <c r="L33" s="60" t="n">
        <f aca="false">-(L23*(1-INDEX(Premissas!$C$74:$G$74,L$7))+L24)*Premissas!$B$75</f>
        <v>-27.67095</v>
      </c>
      <c r="M33" s="60" t="n">
        <f aca="false">-(M23*(1-INDEX(Premissas!$C$74:$G$74,M$7))+M24)*Premissas!$B$75</f>
        <v>-59.237325</v>
      </c>
      <c r="N33" s="60" t="n">
        <f aca="false">-(N23*(1-INDEX(Premissas!$C$74:$G$74,N$7))+N24)*Premissas!$B$75</f>
        <v>-267.77941092</v>
      </c>
      <c r="O33" s="60" t="n">
        <f aca="false">-(O23*(1-INDEX(Premissas!$C$74:$G$74,O$7))+O24)*Premissas!$B$75</f>
        <v>-393.03673620768</v>
      </c>
      <c r="P33" s="60" t="n">
        <f aca="false">-(P23*(1-INDEX(Premissas!$C$74:$G$74,P$7))+P24)*Premissas!$B$75</f>
        <v>-531.851816003743</v>
      </c>
      <c r="Q33" s="60" t="n">
        <f aca="false">-(Q23*(1-INDEX(Premissas!$C$74:$G$74,Q$7))+Q24)*Premissas!$B$75</f>
        <v>-705.727356707383</v>
      </c>
      <c r="R33" s="60" t="n">
        <f aca="false">-(R23*(1-INDEX(Premissas!$C$74:$G$74,R$7))+R24)*Premissas!$B$75</f>
        <v>-786.514767855475</v>
      </c>
      <c r="S33" s="60" t="n">
        <f aca="false">-(S23*(1-INDEX(Premissas!$C$74:$G$74,S$7))+S24)*Premissas!$B$75</f>
        <v>-859.432478549349</v>
      </c>
      <c r="T33" s="60" t="n">
        <f aca="false">-(T23*(1-INDEX(Premissas!$C$74:$G$74,T$7))+T24)*Premissas!$B$75</f>
        <v>-925.410062820611</v>
      </c>
      <c r="U33" s="60" t="n">
        <f aca="false">-(U23*(1-INDEX(Premissas!$C$74:$G$74,U$7))+U24)*Premissas!$B$75</f>
        <v>-985.172655629832</v>
      </c>
      <c r="V33" s="60" t="n">
        <f aca="false">-(V23*(1-INDEX(Premissas!$C$74:$G$74,V$7))+V24)*Premissas!$B$75</f>
        <v>-1039.05357120537</v>
      </c>
      <c r="W33" s="60" t="n">
        <f aca="false">-(W23*(1-INDEX(Premissas!$C$74:$G$74,W$7))+W24)*Premissas!$B$75</f>
        <v>-1210.38940263365</v>
      </c>
      <c r="X33" s="60" t="n">
        <f aca="false">-(X23*(1-INDEX(Premissas!$C$74:$G$74,X$7))+X24)*Premissas!$B$75</f>
        <v>-1258.90761798882</v>
      </c>
      <c r="Y33" s="60" t="n">
        <f aca="false">-(Y23*(1-INDEX(Premissas!$C$74:$G$74,Y$7))+Y24)*Premissas!$B$75</f>
        <v>-1303.2180048219</v>
      </c>
      <c r="Z33" s="60" t="n">
        <f aca="false">-(Z23*(1-INDEX(Premissas!$C$74:$G$74,Z$7))+Z24)*Premissas!$B$75</f>
        <v>-2163.35231241375</v>
      </c>
      <c r="AA33" s="60" t="n">
        <f aca="false">-(AA23*(1-INDEX(Premissas!$C$74:$G$74,AA$7))+AA24)*Premissas!$B$75</f>
        <v>-2317.70386884396</v>
      </c>
      <c r="AB33" s="60" t="n">
        <f aca="false">-(AB23*(1-INDEX(Premissas!$C$74:$G$74,AB$7))+AB24)*Premissas!$B$75</f>
        <v>-2458.15697775031</v>
      </c>
      <c r="AC33" s="60" t="n">
        <f aca="false">-(AC23*(1-INDEX(Premissas!$C$74:$G$74,AC$7))+AC24)*Premissas!$B$75</f>
        <v>-2586.00135169959</v>
      </c>
      <c r="AD33" s="60" t="n">
        <f aca="false">-(AD23*(1-INDEX(Premissas!$C$74:$G$74,AD$7))+AD24)*Premissas!$B$75</f>
        <v>-2701.0250753847</v>
      </c>
      <c r="AE33" s="60" t="n">
        <f aca="false">-(AE23*(1-INDEX(Premissas!$C$74:$G$74,AE$7))+AE24)*Premissas!$B$75</f>
        <v>-2805.93871621012</v>
      </c>
      <c r="AF33" s="60" t="n">
        <f aca="false">-(AF23*(1-INDEX(Premissas!$C$74:$G$74,AF$7))+AF24)*Premissas!$B$75</f>
        <v>-2901.21544386881</v>
      </c>
      <c r="AG33" s="60" t="n">
        <f aca="false">-(AG23*(1-INDEX(Premissas!$C$74:$G$74,AG$7))+AG24)*Premissas!$B$75</f>
        <v>-2987.31192619309</v>
      </c>
      <c r="AH33" s="60" t="n">
        <f aca="false">-(AH23*(1-INDEX(Premissas!$C$74:$G$74,AH$7))+AH24)*Premissas!$B$75</f>
        <v>-3065.40004855703</v>
      </c>
      <c r="AI33" s="60" t="n">
        <f aca="false">-(AI23*(1-INDEX(Premissas!$C$74:$G$74,AI$7))+AI24)*Premissas!$B$75</f>
        <v>-3136.6340458579</v>
      </c>
      <c r="AJ33" s="60" t="n">
        <f aca="false">-(AJ23*(1-INDEX(Premissas!$C$74:$G$74,AJ$7))+AJ24)*Premissas!$B$75</f>
        <v>-3201.41624083728</v>
      </c>
      <c r="AK33" s="60" t="n">
        <f aca="false">-(AK23*(1-INDEX(Premissas!$C$74:$G$74,AK$7))+AK24)*Premissas!$B$75</f>
        <v>-3260.37888627898</v>
      </c>
      <c r="AL33" s="60" t="n">
        <f aca="false">-(AL23*(1-INDEX(Premissas!$C$74:$G$74,AL$7))+AL24)*Premissas!$B$75</f>
        <v>-4839.55055142114</v>
      </c>
      <c r="AM33" s="60" t="n">
        <f aca="false">-(AM23*(1-INDEX(Premissas!$C$74:$G$74,AM$7))+AM24)*Premissas!$B$75</f>
        <v>-5102.77846420154</v>
      </c>
      <c r="AN33" s="60" t="n">
        <f aca="false">-(AN23*(1-INDEX(Premissas!$C$74:$G$74,AN$7))+AN24)*Premissas!$B$75</f>
        <v>-5342.48588936521</v>
      </c>
      <c r="AO33" s="60" t="n">
        <f aca="false">-(AO23*(1-INDEX(Premissas!$C$74:$G$74,AO$7))+AO24)*Premissas!$B$75</f>
        <v>-5561.81170630828</v>
      </c>
      <c r="AP33" s="60" t="n">
        <f aca="false">-(AP23*(1-INDEX(Premissas!$C$74:$G$74,AP$7))+AP24)*Premissas!$B$75</f>
        <v>-5760.40304829455</v>
      </c>
      <c r="AQ33" s="60" t="n">
        <f aca="false">-(AQ23*(1-INDEX(Premissas!$C$74:$G$74,AQ$7))+AQ24)*Premissas!$B$75</f>
        <v>-5942.45593236275</v>
      </c>
      <c r="AR33" s="60" t="n">
        <f aca="false">-(AR23*(1-INDEX(Premissas!$C$74:$G$74,AR$7))+AR24)*Premissas!$B$75</f>
        <v>-6108.10353730474</v>
      </c>
      <c r="AS33" s="60" t="n">
        <f aca="false">-(AS23*(1-INDEX(Premissas!$C$74:$G$74,AS$7))+AS24)*Premissas!$B$75</f>
        <v>-6259.45457902782</v>
      </c>
      <c r="AT33" s="60" t="n">
        <f aca="false">-(AT23*(1-INDEX(Premissas!$C$74:$G$74,AT$7))+AT24)*Premissas!$B$75</f>
        <v>-6396.57059244994</v>
      </c>
      <c r="AU33" s="60" t="n">
        <f aca="false">-(AU23*(1-INDEX(Premissas!$C$74:$G$74,AU$7))+AU24)*Premissas!$B$75</f>
        <v>-6521.49498819591</v>
      </c>
      <c r="AV33" s="60" t="n">
        <f aca="false">-(AV23*(1-INDEX(Premissas!$C$74:$G$74,AV$7))+AV24)*Premissas!$B$75</f>
        <v>-6636.24279073917</v>
      </c>
      <c r="AW33" s="60" t="n">
        <f aca="false">-(AW23*(1-INDEX(Premissas!$C$74:$G$74,AW$7))+AW24)*Premissas!$B$75</f>
        <v>-6740.50255891876</v>
      </c>
      <c r="AX33" s="60" t="n">
        <f aca="false">-(AX23*(1-INDEX(Premissas!$C$74:$G$74,AX$7))+AX24)*Premissas!$B$75</f>
        <v>-9030.64784574687</v>
      </c>
      <c r="AY33" s="60" t="n">
        <f aca="false">-(AY23*(1-INDEX(Premissas!$C$74:$G$74,AY$7))+AY24)*Premissas!$B$75</f>
        <v>-9489.22321414399</v>
      </c>
      <c r="AZ33" s="60" t="n">
        <f aca="false">-(AZ23*(1-INDEX(Premissas!$C$74:$G$74,AZ$7))+AZ24)*Premissas!$B$75</f>
        <v>-9908.15613932734</v>
      </c>
      <c r="BA33" s="60" t="n">
        <f aca="false">-(BA23*(1-INDEX(Premissas!$C$74:$G$74,BA$7))+BA24)*Premissas!$B$75</f>
        <v>-10291.8646790342</v>
      </c>
      <c r="BB33" s="60" t="n">
        <f aca="false">-(BB23*(1-INDEX(Premissas!$C$74:$G$74,BB$7))+BB24)*Premissas!$B$75</f>
        <v>-10642.1190238796</v>
      </c>
      <c r="BC33" s="60" t="n">
        <f aca="false">-(BC23*(1-INDEX(Premissas!$C$74:$G$74,BC$7))+BC24)*Premissas!$B$75</f>
        <v>-10963.5199388889</v>
      </c>
      <c r="BD33" s="60" t="n">
        <f aca="false">-(BD23*(1-INDEX(Premissas!$C$74:$G$74,BD$7))+BD24)*Premissas!$B$75</f>
        <v>-11257.0617914892</v>
      </c>
      <c r="BE33" s="60" t="n">
        <f aca="false">-(BE23*(1-INDEX(Premissas!$C$74:$G$74,BE$7))+BE24)*Premissas!$B$75</f>
        <v>-11526.2571333466</v>
      </c>
      <c r="BF33" s="60" t="n">
        <f aca="false">-(BF23*(1-INDEX(Premissas!$C$74:$G$74,BF$7))+BF24)*Premissas!$B$75</f>
        <v>-11772.3151168214</v>
      </c>
      <c r="BG33" s="60" t="n">
        <f aca="false">-(BG23*(1-INDEX(Premissas!$C$74:$G$74,BG$7))+BG24)*Premissas!$B$75</f>
        <v>-11997.0389665306</v>
      </c>
      <c r="BH33" s="60" t="n">
        <f aca="false">-(BH23*(1-INDEX(Premissas!$C$74:$G$74,BH$7))+BH24)*Premissas!$B$75</f>
        <v>-12203.477259658</v>
      </c>
      <c r="BI33" s="60" t="n">
        <f aca="false">-(BI23*(1-INDEX(Premissas!$C$74:$G$74,BI$7))+BI24)*Premissas!$B$75</f>
        <v>-12391.4167380382</v>
      </c>
      <c r="BJ33" s="61" t="n">
        <f aca="false">SUM(B33:BI33)</f>
        <v>-246630.143085734</v>
      </c>
    </row>
    <row r="34" customFormat="false" ht="15" hidden="false" customHeight="false" outlineLevel="0" collapsed="false">
      <c r="A34" s="62" t="s">
        <v>824</v>
      </c>
      <c r="B34" s="61" t="n">
        <f aca="false">B28+SUM(B31:B33)</f>
        <v>0</v>
      </c>
      <c r="C34" s="61" t="n">
        <f aca="false">C28+SUM(C31:C33)</f>
        <v>0</v>
      </c>
      <c r="D34" s="61" t="n">
        <f aca="false">D28+SUM(D31:D33)</f>
        <v>0</v>
      </c>
      <c r="E34" s="61" t="n">
        <f aca="false">E28+SUM(E31:E33)</f>
        <v>0</v>
      </c>
      <c r="F34" s="61" t="n">
        <f aca="false">F28+SUM(F31:F33)</f>
        <v>0</v>
      </c>
      <c r="G34" s="61" t="n">
        <f aca="false">G28+SUM(G31:G33)</f>
        <v>0</v>
      </c>
      <c r="H34" s="61" t="n">
        <f aca="false">H28+SUM(H31:H33)</f>
        <v>0</v>
      </c>
      <c r="I34" s="61" t="n">
        <f aca="false">I28+SUM(I31:I33)</f>
        <v>0</v>
      </c>
      <c r="J34" s="61" t="n">
        <f aca="false">J28+SUM(J31:J33)</f>
        <v>0</v>
      </c>
      <c r="K34" s="61" t="n">
        <f aca="false">K28+SUM(K31:K33)</f>
        <v>763.77195</v>
      </c>
      <c r="L34" s="61" t="n">
        <f aca="false">L28+SUM(L31:L33)</f>
        <v>2913.64855</v>
      </c>
      <c r="M34" s="61" t="n">
        <f aca="false">M28+SUM(M31:M33)</f>
        <v>6237.470925</v>
      </c>
      <c r="N34" s="61" t="n">
        <f aca="false">N28+SUM(N31:N33)</f>
        <v>15201.2779548</v>
      </c>
      <c r="O34" s="61" t="n">
        <f aca="false">O28+SUM(O31:O33)</f>
        <v>23532.9681928032</v>
      </c>
      <c r="P34" s="61" t="n">
        <f aca="false">P28+SUM(P31:P33)</f>
        <v>33100.0428056221</v>
      </c>
      <c r="Q34" s="61" t="n">
        <f aca="false">Q28+SUM(Q31:Q33)</f>
        <v>45598.1097372424</v>
      </c>
      <c r="R34" s="61" t="n">
        <f aca="false">R28+SUM(R31:R33)</f>
        <v>50818.6298438751</v>
      </c>
      <c r="S34" s="61" t="n">
        <f aca="false">S28+SUM(S31:S33)</f>
        <v>55006.518323719</v>
      </c>
      <c r="T34" s="61" t="n">
        <f aca="false">T28+SUM(T31:T33)</f>
        <v>58870.2491666297</v>
      </c>
      <c r="U34" s="61" t="n">
        <f aca="false">U28+SUM(U31:U33)</f>
        <v>62271.1646746792</v>
      </c>
      <c r="V34" s="61" t="n">
        <f aca="false">V28+SUM(V31:V33)</f>
        <v>65272.4657883023</v>
      </c>
      <c r="W34" s="61" t="n">
        <f aca="false">W28+SUM(W31:W33)</f>
        <v>77463.3172190962</v>
      </c>
      <c r="X34" s="61" t="n">
        <f aca="false">X28+SUM(X31:X33)</f>
        <v>80255.4395819868</v>
      </c>
      <c r="Y34" s="61" t="n">
        <f aca="false">Y28+SUM(Y31:Y33)</f>
        <v>82714.2686528628</v>
      </c>
      <c r="Z34" s="61" t="n">
        <f aca="false">Z28+SUM(Z31:Z33)</f>
        <v>109973.078485634</v>
      </c>
      <c r="AA34" s="61" t="n">
        <f aca="false">AA28+SUM(AA31:AA33)</f>
        <v>117411.968674179</v>
      </c>
      <c r="AB34" s="61" t="n">
        <f aca="false">AB28+SUM(AB31:AB33)</f>
        <v>124198.183969825</v>
      </c>
      <c r="AC34" s="61" t="n">
        <f aca="false">AC28+SUM(AC31:AC33)</f>
        <v>130391.660727068</v>
      </c>
      <c r="AD34" s="61" t="n">
        <f aca="false">AD28+SUM(AD31:AD33)</f>
        <v>135966.594715497</v>
      </c>
      <c r="AE34" s="61" t="n">
        <f aca="false">AE28+SUM(AE31:AE33)</f>
        <v>141054.964223854</v>
      </c>
      <c r="AF34" s="61" t="n">
        <f aca="false">AF28+SUM(AF31:AF33)</f>
        <v>145673.676563125</v>
      </c>
      <c r="AG34" s="61" t="n">
        <f aca="false">AG28+SUM(AG31:AG33)</f>
        <v>149725.75537413</v>
      </c>
      <c r="AH34" s="61" t="n">
        <f aca="false">AH28+SUM(AH31:AH33)</f>
        <v>153135.867591183</v>
      </c>
      <c r="AI34" s="61" t="n">
        <f aca="false">AI28+SUM(AI31:AI33)</f>
        <v>156243.677955117</v>
      </c>
      <c r="AJ34" s="61" t="n">
        <f aca="false">AJ28+SUM(AJ31:AJ33)</f>
        <v>159103.285874634</v>
      </c>
      <c r="AK34" s="61" t="n">
        <f aca="false">AK28+SUM(AK31:AK33)</f>
        <v>161698.027654833</v>
      </c>
      <c r="AL34" s="61" t="n">
        <f aca="false">AL28+SUM(AL31:AL33)</f>
        <v>210681.539873399</v>
      </c>
      <c r="AM34" s="61" t="n">
        <f aca="false">AM28+SUM(AM31:AM33)</f>
        <v>221664.575514844</v>
      </c>
      <c r="AN34" s="61" t="n">
        <f aca="false">AN28+SUM(AN31:AN33)</f>
        <v>231615.761644882</v>
      </c>
      <c r="AO34" s="61" t="n">
        <f aca="false">AO28+SUM(AO31:AO33)</f>
        <v>296077.399266913</v>
      </c>
      <c r="AP34" s="61" t="n">
        <f aca="false">AP28+SUM(AP31:AP33)</f>
        <v>303969.61290481</v>
      </c>
      <c r="AQ34" s="61" t="n">
        <f aca="false">AQ28+SUM(AQ31:AQ33)</f>
        <v>311208.956851105</v>
      </c>
      <c r="AR34" s="61" t="n">
        <f aca="false">AR28+SUM(AR31:AR33)</f>
        <v>343606.130127171</v>
      </c>
      <c r="AS34" s="61" t="n">
        <f aca="false">AS28+SUM(AS31:AS33)</f>
        <v>346229.232142462</v>
      </c>
      <c r="AT34" s="61" t="n">
        <f aca="false">AT28+SUM(AT31:AT33)</f>
        <v>348504.390435213</v>
      </c>
      <c r="AU34" s="61" t="n">
        <f aca="false">AU28+SUM(AU31:AU33)</f>
        <v>350511.246406031</v>
      </c>
      <c r="AV34" s="61" t="n">
        <f aca="false">AV28+SUM(AV31:AV33)</f>
        <v>352327.561833147</v>
      </c>
      <c r="AW34" s="61" t="n">
        <f aca="false">AW28+SUM(AW31:AW33)</f>
        <v>369827.855138541</v>
      </c>
      <c r="AX34" s="61" t="n">
        <f aca="false">AX28+SUM(AX31:AX33)</f>
        <v>452751.009995159</v>
      </c>
      <c r="AY34" s="61" t="n">
        <f aca="false">AY28+SUM(AY31:AY33)</f>
        <v>472774.372993855</v>
      </c>
      <c r="AZ34" s="61" t="n">
        <f aca="false">AZ28+SUM(AZ31:AZ33)</f>
        <v>491060.164235293</v>
      </c>
      <c r="BA34" s="61" t="n">
        <f aca="false">BA28+SUM(BA31:BA33)</f>
        <v>507811.87913142</v>
      </c>
      <c r="BB34" s="61" t="n">
        <f aca="false">BB28+SUM(BB31:BB33)</f>
        <v>523094.825849051</v>
      </c>
      <c r="BC34" s="61" t="n">
        <f aca="false">BC28+SUM(BC31:BC33)</f>
        <v>537127.350835209</v>
      </c>
      <c r="BD34" s="61" t="n">
        <f aca="false">BD28+SUM(BD31:BD33)</f>
        <v>549938.183670111</v>
      </c>
      <c r="BE34" s="61" t="n">
        <f aca="false">BE28+SUM(BE31:BE33)</f>
        <v>561692.074271267</v>
      </c>
      <c r="BF34" s="61" t="n">
        <f aca="false">BF28+SUM(BF31:BF33)</f>
        <v>572433.110283493</v>
      </c>
      <c r="BG34" s="61" t="n">
        <f aca="false">BG28+SUM(BG31:BG33)</f>
        <v>582238.703010312</v>
      </c>
      <c r="BH34" s="61" t="n">
        <f aca="false">BH28+SUM(BH31:BH33)</f>
        <v>591254.089522542</v>
      </c>
      <c r="BI34" s="61" t="n">
        <f aca="false">BI28+SUM(BI31:BI33)</f>
        <v>599452.416658016</v>
      </c>
      <c r="BJ34" s="61" t="n">
        <f aca="false">SUM(B34:BI34)</f>
        <v>12472448.5277699</v>
      </c>
    </row>
    <row r="35" customFormat="false" ht="15" hidden="false" customHeight="false" outlineLevel="0" collapsed="false">
      <c r="A35" s="27" t="s">
        <v>728</v>
      </c>
      <c r="B35" s="60" t="n">
        <f aca="false">-(B15*INDEX(Premissas!$C$104:$G$104,B$7)+(B13-B15)*INDEX(Premissas!$C$105:$G$105,B$7)+B19*Premissas!$B$80+IF(B$4&gt;=Premissas!$B$102,IF('Ajuste Mensal'!B$31="",INDEX(Premissas!$C$103:$G$103,B$7),'Ajuste Mensal'!B$31),0))</f>
        <v>-0</v>
      </c>
      <c r="C35" s="60" t="n">
        <f aca="false">-(C15*INDEX(Premissas!$C$104:$G$104,C$7)+(C13-C15)*INDEX(Premissas!$C$105:$G$105,C$7)+C19*Premissas!$B$80+IF(C$4&gt;=Premissas!$B$102,IF('Ajuste Mensal'!C$31="",INDEX(Premissas!$C$103:$G$103,C$7),'Ajuste Mensal'!C$31),0))</f>
        <v>-0</v>
      </c>
      <c r="D35" s="60" t="n">
        <f aca="false">-(D15*INDEX(Premissas!$C$104:$G$104,D$7)+(D13-D15)*INDEX(Premissas!$C$105:$G$105,D$7)+D19*Premissas!$B$80+IF(D$4&gt;=Premissas!$B$102,IF('Ajuste Mensal'!D$31="",INDEX(Premissas!$C$103:$G$103,D$7),'Ajuste Mensal'!D$31),0))</f>
        <v>-0</v>
      </c>
      <c r="E35" s="60" t="n">
        <f aca="false">-(E15*INDEX(Premissas!$C$104:$G$104,E$7)+(E13-E15)*INDEX(Premissas!$C$105:$G$105,E$7)+E19*Premissas!$B$80+IF(E$4&gt;=Premissas!$B$102,IF('Ajuste Mensal'!E$31="",INDEX(Premissas!$C$103:$G$103,E$7),'Ajuste Mensal'!E$31),0))</f>
        <v>-0</v>
      </c>
      <c r="F35" s="60" t="n">
        <f aca="false">-(F15*INDEX(Premissas!$C$104:$G$104,F$7)+(F13-F15)*INDEX(Premissas!$C$105:$G$105,F$7)+F19*Premissas!$B$80+IF(F$4&gt;=Premissas!$B$102,IF('Ajuste Mensal'!F$31="",INDEX(Premissas!$C$103:$G$103,F$7),'Ajuste Mensal'!F$31),0))</f>
        <v>-600</v>
      </c>
      <c r="G35" s="60" t="n">
        <f aca="false">-(G15*INDEX(Premissas!$C$104:$G$104,G$7)+(G13-G15)*INDEX(Premissas!$C$105:$G$105,G$7)+G19*Premissas!$B$80+IF(G$4&gt;=Premissas!$B$102,IF('Ajuste Mensal'!G$31="",INDEX(Premissas!$C$103:$G$103,G$7),'Ajuste Mensal'!G$31),0))</f>
        <v>-600</v>
      </c>
      <c r="H35" s="60" t="n">
        <f aca="false">-(H15*INDEX(Premissas!$C$104:$G$104,H$7)+(H13-H15)*INDEX(Premissas!$C$105:$G$105,H$7)+H19*Premissas!$B$80+IF(H$4&gt;=Premissas!$B$102,IF('Ajuste Mensal'!H$31="",INDEX(Premissas!$C$103:$G$103,H$7),'Ajuste Mensal'!H$31),0))</f>
        <v>-600</v>
      </c>
      <c r="I35" s="60" t="n">
        <f aca="false">-(I15*INDEX(Premissas!$C$104:$G$104,I$7)+(I13-I15)*INDEX(Premissas!$C$105:$G$105,I$7)+I19*Premissas!$B$80+IF(I$4&gt;=Premissas!$B$102,IF('Ajuste Mensal'!I$31="",INDEX(Premissas!$C$103:$G$103,I$7),'Ajuste Mensal'!I$31),0))</f>
        <v>-600</v>
      </c>
      <c r="J35" s="60" t="n">
        <f aca="false">-(J15*INDEX(Premissas!$C$104:$G$104,J$7)+(J13-J15)*INDEX(Premissas!$C$105:$G$105,J$7)+J19*Premissas!$B$80+IF(J$4&gt;=Premissas!$B$102,IF('Ajuste Mensal'!J$31="",INDEX(Premissas!$C$103:$G$103,J$7),'Ajuste Mensal'!J$31),0))</f>
        <v>-600</v>
      </c>
      <c r="K35" s="60" t="n">
        <f aca="false">-(K15*INDEX(Premissas!$C$104:$G$104,K$7)+(K13-K15)*INDEX(Premissas!$C$105:$G$105,K$7)+K19*Premissas!$B$80+IF(K$4&gt;=Premissas!$B$102,IF('Ajuste Mensal'!K$31="",INDEX(Premissas!$C$103:$G$103,K$7),'Ajuste Mensal'!K$31),0))</f>
        <v>-897.12</v>
      </c>
      <c r="L35" s="60" t="n">
        <f aca="false">-(L15*INDEX(Premissas!$C$104:$G$104,L$7)+(L13-L15)*INDEX(Premissas!$C$105:$G$105,L$7)+L19*Premissas!$B$80+IF(L$4&gt;=Premissas!$B$102,IF('Ajuste Mensal'!L$31="",INDEX(Premissas!$C$103:$G$103,L$7),'Ajuste Mensal'!L$31),0))</f>
        <v>-1317.56</v>
      </c>
      <c r="M35" s="60" t="n">
        <f aca="false">-(M15*INDEX(Premissas!$C$104:$G$104,M$7)+(M13-M15)*INDEX(Premissas!$C$105:$G$105,M$7)+M19*Premissas!$B$80+IF(M$4&gt;=Premissas!$B$102,IF('Ajuste Mensal'!M$31="",INDEX(Premissas!$C$103:$G$103,M$7),'Ajuste Mensal'!M$31),0))</f>
        <v>-1841.292</v>
      </c>
      <c r="N35" s="60" t="n">
        <f aca="false">-(N15*INDEX(Premissas!$C$104:$G$104,N$7)+(N13-N15)*INDEX(Premissas!$C$105:$G$105,N$7)+N19*Premissas!$B$80+IF(N$4&gt;=Premissas!$B$102,IF('Ajuste Mensal'!N$31="",INDEX(Premissas!$C$103:$G$103,N$7),'Ajuste Mensal'!N$31),0))</f>
        <v>-4537.175248</v>
      </c>
      <c r="O35" s="60" t="n">
        <f aca="false">-(O15*INDEX(Premissas!$C$104:$G$104,O$7)+(O13-O15)*INDEX(Premissas!$C$105:$G$105,O$7)+O19*Premissas!$B$80+IF(O$4&gt;=Premissas!$B$102,IF('Ajuste Mensal'!O$31="",INDEX(Premissas!$C$103:$G$103,O$7),'Ajuste Mensal'!O$31),0))</f>
        <v>-5463.221464192</v>
      </c>
      <c r="P35" s="60" t="n">
        <f aca="false">-(P15*INDEX(Premissas!$C$104:$G$104,P$7)+(P13-P15)*INDEX(Premissas!$C$105:$G$105,P$7)+P19*Premissas!$B$80+IF(P$4&gt;=Premissas!$B$102,IF('Ajuste Mensal'!P$31="",INDEX(Premissas!$C$103:$G$103,P$7),'Ajuste Mensal'!P$31),0))</f>
        <v>-6482.16228362957</v>
      </c>
      <c r="Q35" s="60" t="n">
        <f aca="false">-(Q15*INDEX(Premissas!$C$104:$G$104,Q$7)+(Q13-Q15)*INDEX(Premissas!$C$105:$G$105,Q$7)+Q19*Premissas!$B$80+IF(Q$4&gt;=Premissas!$B$102,IF('Ajuste Mensal'!Q$31="",INDEX(Premissas!$C$103:$G$103,Q$7),'Ajuste Mensal'!Q$31),0))</f>
        <v>-7058.74030440113</v>
      </c>
      <c r="R35" s="60" t="n">
        <f aca="false">-(R15*INDEX(Premissas!$C$104:$G$104,R$7)+(R13-R15)*INDEX(Premissas!$C$105:$G$105,R$7)+R19*Premissas!$B$80+IF(R$4&gt;=Premissas!$B$102,IF('Ajuste Mensal'!R$31="",INDEX(Premissas!$C$103:$G$103,R$7),'Ajuste Mensal'!R$31),0))</f>
        <v>-7580.52011517862</v>
      </c>
      <c r="S35" s="60" t="n">
        <f aca="false">-(S15*INDEX(Premissas!$C$104:$G$104,S$7)+(S13-S15)*INDEX(Premissas!$C$105:$G$105,S$7)+S19*Premissas!$B$80+IF(S$4&gt;=Premissas!$B$102,IF('Ajuste Mensal'!S$31="",INDEX(Premissas!$C$103:$G$103,S$7),'Ajuste Mensal'!S$31),0))</f>
        <v>-8051.84730412147</v>
      </c>
      <c r="T35" s="60" t="n">
        <f aca="false">-(T15*INDEX(Premissas!$C$104:$G$104,T$7)+(T13-T15)*INDEX(Premissas!$C$105:$G$105,T$7)+T19*Premissas!$B$80+IF(T$4&gt;=Premissas!$B$102,IF('Ajuste Mensal'!T$31="",INDEX(Premissas!$C$103:$G$103,T$7),'Ajuste Mensal'!T$31),0))</f>
        <v>-8478.23564292581</v>
      </c>
      <c r="U35" s="60" t="n">
        <f aca="false">-(U15*INDEX(Premissas!$C$104:$G$104,U$7)+(U13-U15)*INDEX(Premissas!$C$105:$G$105,U$7)+U19*Premissas!$B$80+IF(U$4&gt;=Premissas!$B$102,IF('Ajuste Mensal'!U$31="",INDEX(Premissas!$C$103:$G$103,U$7),'Ajuste Mensal'!U$31),0))</f>
        <v>-8863.72262120493</v>
      </c>
      <c r="V35" s="60" t="n">
        <f aca="false">-(V15*INDEX(Premissas!$C$104:$G$104,V$7)+(V13-V15)*INDEX(Premissas!$C$105:$G$105,V$7)+V19*Premissas!$B$80+IF(V$4&gt;=Premissas!$B$102,IF('Ajuste Mensal'!V$31="",INDEX(Premissas!$C$103:$G$103,V$7),'Ajuste Mensal'!V$31),0))</f>
        <v>-9212.21348956926</v>
      </c>
      <c r="W35" s="60" t="n">
        <f aca="false">-(W15*INDEX(Premissas!$C$104:$G$104,W$7)+(W13-W15)*INDEX(Premissas!$C$105:$G$105,W$7)+W19*Premissas!$B$80+IF(W$4&gt;=Premissas!$B$102,IF('Ajuste Mensal'!W$31="",INDEX(Premissas!$C$103:$G$103,W$7),'Ajuste Mensal'!W$31),0))</f>
        <v>-9527.49395457061</v>
      </c>
      <c r="X35" s="60" t="n">
        <f aca="false">-(X15*INDEX(Premissas!$C$104:$G$104,X$7)+(X13-X15)*INDEX(Premissas!$C$105:$G$105,X$7)+X19*Premissas!$B$80+IF(X$4&gt;=Premissas!$B$102,IF('Ajuste Mensal'!X$31="",INDEX(Premissas!$C$103:$G$103,X$7),'Ajuste Mensal'!X$31),0))</f>
        <v>-9811.91165493183</v>
      </c>
      <c r="Y35" s="60" t="n">
        <f aca="false">-(Y15*INDEX(Premissas!$C$104:$G$104,Y$7)+(Y13-Y15)*INDEX(Premissas!$C$105:$G$105,Y$7)+Y19*Premissas!$B$80+IF(Y$4&gt;=Premissas!$B$102,IF('Ajuste Mensal'!Y$31="",INDEX(Premissas!$C$103:$G$103,Y$7),'Ajuste Mensal'!Y$31),0))</f>
        <v>-10069.0465360584</v>
      </c>
      <c r="Z35" s="60" t="n">
        <f aca="false">-(Z15*INDEX(Premissas!$C$104:$G$104,Z$7)+(Z13-Z15)*INDEX(Premissas!$C$105:$G$105,Z$7)+Z19*Premissas!$B$80+IF(Z$4&gt;=Premissas!$B$102,IF('Ajuste Mensal'!Z$31="",INDEX(Premissas!$C$103:$G$103,Z$7),'Ajuste Mensal'!Z$31),0))</f>
        <v>-15500.9251128057</v>
      </c>
      <c r="AA35" s="60" t="n">
        <f aca="false">-(AA15*INDEX(Premissas!$C$104:$G$104,AA$7)+(AA13-AA15)*INDEX(Premissas!$C$105:$G$105,AA$7)+AA19*Premissas!$B$80+IF(AA$4&gt;=Premissas!$B$102,IF('Ajuste Mensal'!AA$31="",INDEX(Premissas!$C$103:$G$103,AA$7),'Ajuste Mensal'!AA$31),0))</f>
        <v>-16035.9859011295</v>
      </c>
      <c r="AB35" s="60" t="n">
        <f aca="false">-(AB15*INDEX(Premissas!$C$104:$G$104,AB$7)+(AB13-AB15)*INDEX(Premissas!$C$105:$G$105,AB$7)+AB19*Premissas!$B$80+IF(AB$4&gt;=Premissas!$B$102,IF('Ajuste Mensal'!AB$31="",INDEX(Premissas!$C$103:$G$103,AB$7),'Ajuste Mensal'!AB$31),0))</f>
        <v>-16521.6811512014</v>
      </c>
      <c r="AC35" s="60" t="n">
        <f aca="false">-(AC15*INDEX(Premissas!$C$104:$G$104,AC$7)+(AC13-AC15)*INDEX(Premissas!$C$105:$G$105,AC$7)+AC19*Premissas!$B$80+IF(AC$4&gt;=Premissas!$B$102,IF('Ajuste Mensal'!AC$31="",INDEX(Premissas!$C$103:$G$103,AC$7),'Ajuste Mensal'!AC$31),0))</f>
        <v>-16962.8266374267</v>
      </c>
      <c r="AD35" s="60" t="n">
        <f aca="false">-(AD15*INDEX(Premissas!$C$104:$G$104,AD$7)+(AD13-AD15)*INDEX(Premissas!$C$105:$G$105,AD$7)+AD19*Premissas!$B$80+IF(AD$4&gt;=Premissas!$B$102,IF('Ajuste Mensal'!AD$31="",INDEX(Premissas!$C$103:$G$103,AD$7),'Ajuste Mensal'!AD$31),0))</f>
        <v>-17362.9752878015</v>
      </c>
      <c r="AE35" s="60" t="n">
        <f aca="false">-(AE15*INDEX(Premissas!$C$104:$G$104,AE$7)+(AE13-AE15)*INDEX(Premissas!$C$105:$G$105,AE$7)+AE19*Premissas!$B$80+IF(AE$4&gt;=Premissas!$B$102,IF('Ajuste Mensal'!AE$31="",INDEX(Premissas!$C$103:$G$103,AE$7),'Ajuste Mensal'!AE$31),0))</f>
        <v>-17725.5612427177</v>
      </c>
      <c r="AF35" s="60" t="n">
        <f aca="false">-(AF15*INDEX(Premissas!$C$104:$G$104,AF$7)+(AF13-AF15)*INDEX(Premissas!$C$105:$G$105,AF$7)+AF19*Premissas!$B$80+IF(AF$4&gt;=Premissas!$B$102,IF('Ajuste Mensal'!AF$31="",INDEX(Premissas!$C$103:$G$103,AF$7),'Ajuste Mensal'!AF$31),0))</f>
        <v>-18056.1748024288</v>
      </c>
      <c r="AG35" s="60" t="n">
        <f aca="false">-(AG15*INDEX(Premissas!$C$104:$G$104,AG$7)+(AG13-AG15)*INDEX(Premissas!$C$105:$G$105,AG$7)+AG19*Premissas!$B$80+IF(AG$4&gt;=Premissas!$B$102,IF('Ajuste Mensal'!AG$31="",INDEX(Premissas!$C$103:$G$103,AG$7),'Ajuste Mensal'!AG$31),0))</f>
        <v>-18355.780365597</v>
      </c>
      <c r="AH35" s="60" t="n">
        <f aca="false">-(AH15*INDEX(Premissas!$C$104:$G$104,AH$7)+(AH13-AH15)*INDEX(Premissas!$C$105:$G$105,AH$7)+AH19*Premissas!$B$80+IF(AH$4&gt;=Premissas!$B$102,IF('Ajuste Mensal'!AH$31="",INDEX(Premissas!$C$103:$G$103,AH$7),'Ajuste Mensal'!AH$31),0))</f>
        <v>-18627.5174519036</v>
      </c>
      <c r="AI35" s="60" t="n">
        <f aca="false">-(AI15*INDEX(Premissas!$C$104:$G$104,AI$7)+(AI13-AI15)*INDEX(Premissas!$C$105:$G$105,AI$7)+AI19*Premissas!$B$80+IF(AI$4&gt;=Premissas!$B$102,IF('Ajuste Mensal'!AI$31="",INDEX(Premissas!$C$103:$G$103,AI$7),'Ajuste Mensal'!AI$31),0))</f>
        <v>-18874.4448931361</v>
      </c>
      <c r="AJ35" s="60" t="n">
        <f aca="false">-(AJ15*INDEX(Premissas!$C$104:$G$104,AJ$7)+(AJ13-AJ15)*INDEX(Premissas!$C$105:$G$105,AJ$7)+AJ19*Premissas!$B$80+IF(AJ$4&gt;=Premissas!$B$102,IF('Ajuste Mensal'!AJ$31="",INDEX(Premissas!$C$103:$G$103,AJ$7),'Ajuste Mensal'!AJ$31),0))</f>
        <v>-19098.4162693847</v>
      </c>
      <c r="AK35" s="60" t="n">
        <f aca="false">-(AK15*INDEX(Premissas!$C$104:$G$104,AK$7)+(AK13-AK15)*INDEX(Premissas!$C$105:$G$105,AK$7)+AK19*Premissas!$B$80+IF(AK$4&gt;=Premissas!$B$102,IF('Ajuste Mensal'!AK$31="",INDEX(Premissas!$C$103:$G$103,AK$7),'Ajuste Mensal'!AK$31),0))</f>
        <v>-19302.3506599182</v>
      </c>
      <c r="AL35" s="60" t="n">
        <f aca="false">-(AL15*INDEX(Premissas!$C$104:$G$104,AL$7)+(AL13-AL15)*INDEX(Premissas!$C$105:$G$105,AL$7)+AL19*Premissas!$B$80+IF(AL$4&gt;=Premissas!$B$102,IF('Ajuste Mensal'!AL$31="",INDEX(Premissas!$C$103:$G$103,AL$7),'Ajuste Mensal'!AL$31),0))</f>
        <v>-28895.0336661841</v>
      </c>
      <c r="AM35" s="60" t="n">
        <f aca="false">-(AM15*INDEX(Premissas!$C$104:$G$104,AM$7)+(AM13-AM15)*INDEX(Premissas!$C$105:$G$105,AM$7)+AM19*Premissas!$B$80+IF(AM$4&gt;=Premissas!$B$102,IF('Ajuste Mensal'!AM$31="",INDEX(Premissas!$C$103:$G$103,AM$7),'Ajuste Mensal'!AM$31),0))</f>
        <v>-29487.7363900796</v>
      </c>
      <c r="AN35" s="60" t="n">
        <f aca="false">-(AN15*INDEX(Premissas!$C$104:$G$104,AN$7)+(AN13-AN15)*INDEX(Premissas!$C$105:$G$105,AN$7)+AN19*Premissas!$B$80+IF(AN$4&gt;=Premissas!$B$102,IF('Ajuste Mensal'!AN$31="",INDEX(Premissas!$C$103:$G$103,AN$7),'Ajuste Mensal'!AN$31),0))</f>
        <v>-30026.9714170462</v>
      </c>
      <c r="AO35" s="60" t="n">
        <f aca="false">-(AO15*INDEX(Premissas!$C$104:$G$104,AO$7)+(AO13-AO15)*INDEX(Premissas!$C$105:$G$105,AO$7)+AO19*Premissas!$B$80+IF(AO$4&gt;=Premissas!$B$102,IF('Ajuste Mensal'!AO$31="",INDEX(Premissas!$C$103:$G$103,AO$7),'Ajuste Mensal'!AO$31),0))</f>
        <v>-34355.580513371</v>
      </c>
      <c r="AP35" s="60" t="n">
        <f aca="false">-(AP15*INDEX(Premissas!$C$104:$G$104,AP$7)+(AP13-AP15)*INDEX(Premissas!$C$105:$G$105,AP$7)+AP19*Premissas!$B$80+IF(AP$4&gt;=Premissas!$B$102,IF('Ajuste Mensal'!AP$31="",INDEX(Premissas!$C$103:$G$103,AP$7),'Ajuste Mensal'!AP$31),0))</f>
        <v>-34941.0276191833</v>
      </c>
      <c r="AQ35" s="60" t="n">
        <f aca="false">-(AQ15*INDEX(Premissas!$C$104:$G$104,AQ$7)+(AQ13-AQ15)*INDEX(Premissas!$C$105:$G$105,AQ$7)+AQ19*Premissas!$B$80+IF(AQ$4&gt;=Premissas!$B$102,IF('Ajuste Mensal'!AQ$31="",INDEX(Premissas!$C$103:$G$103,AQ$7),'Ajuste Mensal'!AQ$31),0))</f>
        <v>-35475.3442729587</v>
      </c>
      <c r="AR35" s="60" t="n">
        <f aca="false">-(AR15*INDEX(Premissas!$C$104:$G$104,AR$7)+(AR13-AR15)*INDEX(Premissas!$C$105:$G$105,AR$7)+AR19*Premissas!$B$80+IF(AR$4&gt;=Premissas!$B$102,IF('Ajuste Mensal'!AR$31="",INDEX(Premissas!$C$103:$G$103,AR$7),'Ajuste Mensal'!AR$31),0))</f>
        <v>-35962.5591137307</v>
      </c>
      <c r="AS35" s="60" t="n">
        <f aca="false">-(AS15*INDEX(Premissas!$C$104:$G$104,AS$7)+(AS13-AS15)*INDEX(Premissas!$C$105:$G$105,AS$7)+AS19*Premissas!$B$80+IF(AS$4&gt;=Premissas!$B$102,IF('Ajuste Mensal'!AS$31="",INDEX(Premissas!$C$103:$G$103,AS$7),'Ajuste Mensal'!AS$31),0))</f>
        <v>-36406.5615426061</v>
      </c>
      <c r="AT35" s="60" t="n">
        <f aca="false">-(AT15*INDEX(Premissas!$C$104:$G$104,AT$7)+(AT13-AT15)*INDEX(Premissas!$C$105:$G$105,AT$7)+AT19*Premissas!$B$80+IF(AT$4&gt;=Premissas!$B$102,IF('Ajuste Mensal'!AT$31="",INDEX(Premissas!$C$103:$G$103,AT$7),'Ajuste Mensal'!AT$31),0))</f>
        <v>-36811.0596179662</v>
      </c>
      <c r="AU35" s="60" t="n">
        <f aca="false">-(AU15*INDEX(Premissas!$C$104:$G$104,AU$7)+(AU13-AU15)*INDEX(Premissas!$C$105:$G$105,AU$7)+AU19*Premissas!$B$80+IF(AU$4&gt;=Premissas!$B$102,IF('Ajuste Mensal'!AU$31="",INDEX(Premissas!$C$103:$G$103,AU$7),'Ajuste Mensal'!AU$31),0))</f>
        <v>-37179.5372521501</v>
      </c>
      <c r="AV35" s="60" t="n">
        <f aca="false">-(AV15*INDEX(Premissas!$C$104:$G$104,AV$7)+(AV13-AV15)*INDEX(Premissas!$C$105:$G$105,AV$7)+AV19*Premissas!$B$80+IF(AV$4&gt;=Premissas!$B$102,IF('Ajuste Mensal'!AV$31="",INDEX(Premissas!$C$103:$G$103,AV$7),'Ajuste Mensal'!AV$31),0))</f>
        <v>-37515.5107714223</v>
      </c>
      <c r="AW35" s="60" t="n">
        <f aca="false">-(AW15*INDEX(Premissas!$C$104:$G$104,AW$7)+(AW13-AW15)*INDEX(Premissas!$C$105:$G$105,AW$7)+AW19*Premissas!$B$80+IF(AW$4&gt;=Premissas!$B$102,IF('Ajuste Mensal'!AW$31="",INDEX(Premissas!$C$103:$G$103,AW$7),'Ajuste Mensal'!AW$31),0))</f>
        <v>-37822.2348955557</v>
      </c>
      <c r="AX35" s="60" t="n">
        <f aca="false">-(AX15*INDEX(Premissas!$C$104:$G$104,AX$7)+(AX13-AX15)*INDEX(Premissas!$C$105:$G$105,AX$7)+AX19*Premissas!$B$80+IF(AX$4&gt;=Premissas!$B$102,IF('Ajuste Mensal'!AX$31="",INDEX(Premissas!$C$103:$G$103,AX$7),'Ajuste Mensal'!AX$31),0))</f>
        <v>-51106.9106006673</v>
      </c>
      <c r="AY35" s="60" t="n">
        <f aca="false">-(AY15*INDEX(Premissas!$C$104:$G$104,AY$7)+(AY13-AY15)*INDEX(Premissas!$C$105:$G$105,AY$7)+AY19*Premissas!$B$80+IF(AY$4&gt;=Premissas!$B$102,IF('Ajuste Mensal'!AY$31="",INDEX(Premissas!$C$103:$G$103,AY$7),'Ajuste Mensal'!AY$31),0))</f>
        <v>-52177.4789751039</v>
      </c>
      <c r="AZ35" s="60" t="n">
        <f aca="false">-(AZ15*INDEX(Premissas!$C$104:$G$104,AZ$7)+(AZ13-AZ15)*INDEX(Premissas!$C$105:$G$105,AZ$7)+AZ19*Premissas!$B$80+IF(AZ$4&gt;=Premissas!$B$102,IF('Ajuste Mensal'!AZ$31="",INDEX(Premissas!$C$103:$G$103,AZ$7),'Ajuste Mensal'!AZ$31),0))</f>
        <v>-53156.3541482024</v>
      </c>
      <c r="BA35" s="60" t="n">
        <f aca="false">-(BA15*INDEX(Premissas!$C$104:$G$104,BA$7)+(BA13-BA15)*INDEX(Premissas!$C$105:$G$105,BA$7)+BA19*Premissas!$B$80+IF(BA$4&gt;=Premissas!$B$102,IF('Ajuste Mensal'!BA$31="",INDEX(Premissas!$C$103:$G$103,BA$7),'Ajuste Mensal'!BA$31),0))</f>
        <v>-54052.4336188088</v>
      </c>
      <c r="BB35" s="60" t="n">
        <f aca="false">-(BB15*INDEX(Premissas!$C$104:$G$104,BB$7)+(BB13-BB15)*INDEX(Premissas!$C$105:$G$105,BB$7)+BB19*Premissas!$B$80+IF(BB$4&gt;=Premissas!$B$102,IF('Ajuste Mensal'!BB$31="",INDEX(Premissas!$C$103:$G$103,BB$7),'Ajuste Mensal'!BB$31),0))</f>
        <v>-54872.6515586349</v>
      </c>
      <c r="BC35" s="60" t="n">
        <f aca="false">-(BC15*INDEX(Premissas!$C$104:$G$104,BC$7)+(BC13-BC15)*INDEX(Premissas!$C$105:$G$105,BC$7)+BC19*Premissas!$B$80+IF(BC$4&gt;=Premissas!$B$102,IF('Ajuste Mensal'!BC$31="",INDEX(Premissas!$C$103:$G$103,BC$7),'Ajuste Mensal'!BC$31),0))</f>
        <v>-55622.7259856999</v>
      </c>
      <c r="BD35" s="60" t="n">
        <f aca="false">-(BD15*INDEX(Premissas!$C$104:$G$104,BD$7)+(BD13-BD15)*INDEX(Premissas!$C$105:$G$105,BD$7)+BD19*Premissas!$B$80+IF(BD$4&gt;=Premissas!$B$102,IF('Ajuste Mensal'!BD$31="",INDEX(Premissas!$C$103:$G$103,BD$7),'Ajuste Mensal'!BD$31),0))</f>
        <v>-56308.989903823</v>
      </c>
      <c r="BE35" s="60" t="n">
        <f aca="false">-(BE15*INDEX(Premissas!$C$104:$G$104,BE$7)+(BE13-BE15)*INDEX(Premissas!$C$105:$G$105,BE$7)+BE19*Premissas!$B$80+IF(BE$4&gt;=Premissas!$B$102,IF('Ajuste Mensal'!BE$31="",INDEX(Premissas!$C$103:$G$103,BE$7),'Ajuste Mensal'!BE$31),0))</f>
        <v>-56937.5664959892</v>
      </c>
      <c r="BF35" s="60" t="n">
        <f aca="false">-(BF15*INDEX(Premissas!$C$104:$G$104,BF$7)+(BF13-BF15)*INDEX(Premissas!$C$105:$G$105,BF$7)+BF19*Premissas!$B$80+IF(BF$4&gt;=Premissas!$B$102,IF('Ajuste Mensal'!BF$31="",INDEX(Premissas!$C$103:$G$103,BF$7),'Ajuste Mensal'!BF$31),0))</f>
        <v>-57512.5084519435</v>
      </c>
      <c r="BG35" s="60" t="n">
        <f aca="false">-(BG15*INDEX(Premissas!$C$104:$G$104,BG$7)+(BG13-BG15)*INDEX(Premissas!$C$105:$G$105,BG$7)+BG19*Premissas!$B$80+IF(BG$4&gt;=Premissas!$B$102,IF('Ajuste Mensal'!BG$31="",INDEX(Premissas!$C$103:$G$103,BG$7),'Ajuste Mensal'!BG$31),0))</f>
        <v>-58038.6615035501</v>
      </c>
      <c r="BH35" s="60" t="n">
        <f aca="false">-(BH15*INDEX(Premissas!$C$104:$G$104,BH$7)+(BH13-BH15)*INDEX(Premissas!$C$105:$G$105,BH$7)+BH19*Premissas!$B$80+IF(BH$4&gt;=Premissas!$B$102,IF('Ajuste Mensal'!BH$31="",INDEX(Premissas!$C$103:$G$103,BH$7),'Ajuste Mensal'!BH$31),0))</f>
        <v>-58519.8022352027</v>
      </c>
      <c r="BI35" s="60" t="n">
        <f aca="false">-(BI15*INDEX(Premissas!$C$104:$G$104,BI$7)+(BI13-BI15)*INDEX(Premissas!$C$105:$G$105,BI$7)+BI19*Premissas!$B$80+IF(BI$4&gt;=Premissas!$B$102,IF('Ajuste Mensal'!BI$31="",INDEX(Premissas!$C$103:$G$103,BI$7),'Ajuste Mensal'!BI$31),0))</f>
        <v>-58960.3152308618</v>
      </c>
      <c r="BJ35" s="61" t="n">
        <f aca="false">SUM(B35:BI35)</f>
        <v>-1396762.45817498</v>
      </c>
    </row>
    <row r="36" customFormat="false" ht="15" hidden="false" customHeight="false" outlineLevel="0" collapsed="false">
      <c r="A36" s="27" t="s">
        <v>729</v>
      </c>
      <c r="B36" s="60" t="n">
        <f aca="false">-B15*INDEX(Premissas!$C$106:$G$106,B$7)</f>
        <v>-0</v>
      </c>
      <c r="C36" s="60" t="n">
        <f aca="false">-C15*INDEX(Premissas!$C$106:$G$106,C$7)</f>
        <v>-0</v>
      </c>
      <c r="D36" s="60" t="n">
        <f aca="false">-D15*INDEX(Premissas!$C$106:$G$106,D$7)</f>
        <v>-0</v>
      </c>
      <c r="E36" s="60" t="n">
        <f aca="false">-E15*INDEX(Premissas!$C$106:$G$106,E$7)</f>
        <v>-0</v>
      </c>
      <c r="F36" s="60" t="n">
        <f aca="false">-F15*INDEX(Premissas!$C$106:$G$106,F$7)</f>
        <v>-0</v>
      </c>
      <c r="G36" s="60" t="n">
        <f aca="false">-G15*INDEX(Premissas!$C$106:$G$106,G$7)</f>
        <v>-0</v>
      </c>
      <c r="H36" s="60" t="n">
        <f aca="false">-H15*INDEX(Premissas!$C$106:$G$106,H$7)</f>
        <v>-0</v>
      </c>
      <c r="I36" s="60" t="n">
        <f aca="false">-I15*INDEX(Premissas!$C$106:$G$106,I$7)</f>
        <v>-0</v>
      </c>
      <c r="J36" s="60" t="n">
        <f aca="false">-J15*INDEX(Premissas!$C$106:$G$106,J$7)</f>
        <v>-0</v>
      </c>
      <c r="K36" s="60" t="n">
        <f aca="false">-K15*INDEX(Premissas!$C$106:$G$106,K$7)</f>
        <v>-18.9</v>
      </c>
      <c r="L36" s="60" t="n">
        <f aca="false">-L15*INDEX(Premissas!$C$106:$G$106,L$7)</f>
        <v>-72.1</v>
      </c>
      <c r="M36" s="60" t="n">
        <f aca="false">-M15*INDEX(Premissas!$C$106:$G$106,M$7)</f>
        <v>-154.35</v>
      </c>
      <c r="N36" s="60" t="n">
        <f aca="false">-N15*INDEX(Premissas!$C$106:$G$106,N$7)</f>
        <v>-316.05</v>
      </c>
      <c r="O36" s="60" t="n">
        <f aca="false">-O15*INDEX(Premissas!$C$106:$G$106,O$7)</f>
        <v>-500.85</v>
      </c>
      <c r="P36" s="60" t="n">
        <f aca="false">-P15*INDEX(Premissas!$C$106:$G$106,P$7)</f>
        <v>-715.75</v>
      </c>
      <c r="Q36" s="60" t="n">
        <f aca="false">-Q15*INDEX(Premissas!$C$106:$G$106,Q$7)</f>
        <v>-819.35</v>
      </c>
      <c r="R36" s="60" t="n">
        <f aca="false">-R15*INDEX(Premissas!$C$106:$G$106,R$7)</f>
        <v>-913.15</v>
      </c>
      <c r="S36" s="60" t="n">
        <f aca="false">-S15*INDEX(Premissas!$C$106:$G$106,S$7)</f>
        <v>-997.85</v>
      </c>
      <c r="T36" s="60" t="n">
        <f aca="false">-T15*INDEX(Premissas!$C$106:$G$106,T$7)</f>
        <v>-1074.5</v>
      </c>
      <c r="U36" s="60" t="n">
        <f aca="false">-U15*INDEX(Premissas!$C$106:$G$106,U$7)</f>
        <v>-1143.8</v>
      </c>
      <c r="V36" s="60" t="n">
        <f aca="false">-V15*INDEX(Premissas!$C$106:$G$106,V$7)</f>
        <v>-1206.45</v>
      </c>
      <c r="W36" s="60" t="n">
        <f aca="false">-W15*INDEX(Premissas!$C$106:$G$106,W$7)</f>
        <v>-1263.15</v>
      </c>
      <c r="X36" s="60" t="n">
        <f aca="false">-X15*INDEX(Premissas!$C$106:$G$106,X$7)</f>
        <v>-1314.25</v>
      </c>
      <c r="Y36" s="60" t="n">
        <f aca="false">-Y15*INDEX(Premissas!$C$106:$G$106,Y$7)</f>
        <v>-1360.45</v>
      </c>
      <c r="Z36" s="60" t="n">
        <f aca="false">-Z15*INDEX(Premissas!$C$106:$G$106,Z$7)</f>
        <v>-1366.8</v>
      </c>
      <c r="AA36" s="60" t="n">
        <f aca="false">-AA15*INDEX(Premissas!$C$106:$G$106,AA$7)</f>
        <v>-1464.3</v>
      </c>
      <c r="AB36" s="60" t="n">
        <f aca="false">-AB15*INDEX(Premissas!$C$106:$G$106,AB$7)</f>
        <v>-1552.8</v>
      </c>
      <c r="AC36" s="60" t="n">
        <f aca="false">-AC15*INDEX(Premissas!$C$106:$G$106,AC$7)</f>
        <v>-1633.2</v>
      </c>
      <c r="AD36" s="60" t="n">
        <f aca="false">-AD15*INDEX(Premissas!$C$106:$G$106,AD$7)</f>
        <v>-1706.1</v>
      </c>
      <c r="AE36" s="60" t="n">
        <f aca="false">-AE15*INDEX(Premissas!$C$106:$G$106,AE$7)</f>
        <v>-1772.1</v>
      </c>
      <c r="AF36" s="60" t="n">
        <f aca="false">-AF15*INDEX(Premissas!$C$106:$G$106,AF$7)</f>
        <v>-1832.4</v>
      </c>
      <c r="AG36" s="60" t="n">
        <f aca="false">-AG15*INDEX(Premissas!$C$106:$G$106,AG$7)</f>
        <v>-1887</v>
      </c>
      <c r="AH36" s="60" t="n">
        <f aca="false">-AH15*INDEX(Premissas!$C$106:$G$106,AH$7)</f>
        <v>-1936.5</v>
      </c>
      <c r="AI36" s="60" t="n">
        <f aca="false">-AI15*INDEX(Premissas!$C$106:$G$106,AI$7)</f>
        <v>-1981.5</v>
      </c>
      <c r="AJ36" s="60" t="n">
        <f aca="false">-AJ15*INDEX(Premissas!$C$106:$G$106,AJ$7)</f>
        <v>-2022.3</v>
      </c>
      <c r="AK36" s="60" t="n">
        <f aca="false">-AK15*INDEX(Premissas!$C$106:$G$106,AK$7)</f>
        <v>-2059.5</v>
      </c>
      <c r="AL36" s="60" t="n">
        <f aca="false">-AL15*INDEX(Premissas!$C$106:$G$106,AL$7)</f>
        <v>-2207.52</v>
      </c>
      <c r="AM36" s="60" t="n">
        <f aca="false">-AM15*INDEX(Premissas!$C$106:$G$106,AM$7)</f>
        <v>-2327.64</v>
      </c>
      <c r="AN36" s="60" t="n">
        <f aca="false">-AN15*INDEX(Premissas!$C$106:$G$106,AN$7)</f>
        <v>-2436.84</v>
      </c>
      <c r="AO36" s="60" t="n">
        <f aca="false">-AO15*INDEX(Premissas!$C$106:$G$106,AO$7)</f>
        <v>-2536.8</v>
      </c>
      <c r="AP36" s="60" t="n">
        <f aca="false">-AP15*INDEX(Premissas!$C$106:$G$106,AP$7)</f>
        <v>-2627.52</v>
      </c>
      <c r="AQ36" s="60" t="n">
        <f aca="false">-AQ15*INDEX(Premissas!$C$106:$G$106,AQ$7)</f>
        <v>-2710.4</v>
      </c>
      <c r="AR36" s="60" t="n">
        <f aca="false">-AR15*INDEX(Premissas!$C$106:$G$106,AR$7)</f>
        <v>-2786</v>
      </c>
      <c r="AS36" s="60" t="n">
        <f aca="false">-AS15*INDEX(Premissas!$C$106:$G$106,AS$7)</f>
        <v>-2854.88</v>
      </c>
      <c r="AT36" s="60" t="n">
        <f aca="false">-AT15*INDEX(Premissas!$C$106:$G$106,AT$7)</f>
        <v>-2917.6</v>
      </c>
      <c r="AU36" s="60" t="n">
        <f aca="false">-AU15*INDEX(Premissas!$C$106:$G$106,AU$7)</f>
        <v>-2974.72</v>
      </c>
      <c r="AV36" s="60" t="n">
        <f aca="false">-AV15*INDEX(Premissas!$C$106:$G$106,AV$7)</f>
        <v>-3026.8</v>
      </c>
      <c r="AW36" s="60" t="n">
        <f aca="false">-AW15*INDEX(Premissas!$C$106:$G$106,AW$7)</f>
        <v>-3074.4</v>
      </c>
      <c r="AX36" s="60" t="n">
        <f aca="false">-AX15*INDEX(Premissas!$C$106:$G$106,AX$7)</f>
        <v>-3138.5</v>
      </c>
      <c r="AY36" s="60" t="n">
        <f aca="false">-AY15*INDEX(Premissas!$C$106:$G$106,AY$7)</f>
        <v>-3297.75</v>
      </c>
      <c r="AZ36" s="60" t="n">
        <f aca="false">-AZ15*INDEX(Premissas!$C$106:$G$106,AZ$7)</f>
        <v>-3443.25</v>
      </c>
      <c r="BA36" s="60" t="n">
        <f aca="false">-BA15*INDEX(Premissas!$C$106:$G$106,BA$7)</f>
        <v>-3576.5</v>
      </c>
      <c r="BB36" s="60" t="n">
        <f aca="false">-BB15*INDEX(Premissas!$C$106:$G$106,BB$7)</f>
        <v>-3698.5</v>
      </c>
      <c r="BC36" s="60" t="n">
        <f aca="false">-BC15*INDEX(Premissas!$C$106:$G$106,BC$7)</f>
        <v>-3810</v>
      </c>
      <c r="BD36" s="60" t="n">
        <f aca="false">-BD15*INDEX(Premissas!$C$106:$G$106,BD$7)</f>
        <v>-3912</v>
      </c>
      <c r="BE36" s="60" t="n">
        <f aca="false">-BE15*INDEX(Premissas!$C$106:$G$106,BE$7)</f>
        <v>-4005.5</v>
      </c>
      <c r="BF36" s="60" t="n">
        <f aca="false">-BF15*INDEX(Premissas!$C$106:$G$106,BF$7)</f>
        <v>-4091</v>
      </c>
      <c r="BG36" s="60" t="n">
        <f aca="false">-BG15*INDEX(Premissas!$C$106:$G$106,BG$7)</f>
        <v>-4169.25</v>
      </c>
      <c r="BH36" s="60" t="n">
        <f aca="false">-BH15*INDEX(Premissas!$C$106:$G$106,BH$7)</f>
        <v>-4240.75</v>
      </c>
      <c r="BI36" s="60" t="n">
        <f aca="false">-BI15*INDEX(Premissas!$C$106:$G$106,BI$7)</f>
        <v>-4306.25</v>
      </c>
      <c r="BJ36" s="61" t="n">
        <f aca="false">SUM(B36:BI36)</f>
        <v>-111255.82</v>
      </c>
    </row>
    <row r="37" customFormat="false" ht="15" hidden="false" customHeight="false" outlineLevel="0" collapsed="false">
      <c r="A37" s="27" t="s">
        <v>882</v>
      </c>
      <c r="B37" s="60" t="n">
        <f aca="false">-Pessoas!B45</f>
        <v>-0</v>
      </c>
      <c r="C37" s="60" t="n">
        <f aca="false">-Pessoas!C45</f>
        <v>-0</v>
      </c>
      <c r="D37" s="60" t="n">
        <f aca="false">-Pessoas!D45</f>
        <v>-0</v>
      </c>
      <c r="E37" s="60" t="n">
        <f aca="false">-Pessoas!E45</f>
        <v>-0</v>
      </c>
      <c r="F37" s="60" t="n">
        <f aca="false">-Pessoas!F45</f>
        <v>-0</v>
      </c>
      <c r="G37" s="60" t="n">
        <f aca="false">-Pessoas!G45</f>
        <v>-0</v>
      </c>
      <c r="H37" s="60" t="n">
        <f aca="false">-Pessoas!H45</f>
        <v>-0</v>
      </c>
      <c r="I37" s="60" t="n">
        <f aca="false">-Pessoas!I45</f>
        <v>-0</v>
      </c>
      <c r="J37" s="60" t="n">
        <f aca="false">-Pessoas!J45</f>
        <v>-0</v>
      </c>
      <c r="K37" s="60" t="n">
        <f aca="false">-Pessoas!K45</f>
        <v>-0</v>
      </c>
      <c r="L37" s="60" t="n">
        <f aca="false">-Pessoas!L45</f>
        <v>-0</v>
      </c>
      <c r="M37" s="60" t="n">
        <f aca="false">-Pessoas!M45</f>
        <v>-0</v>
      </c>
      <c r="N37" s="60" t="n">
        <f aca="false">-Pessoas!N45</f>
        <v>-42500</v>
      </c>
      <c r="O37" s="60" t="n">
        <f aca="false">-Pessoas!O45</f>
        <v>-42500</v>
      </c>
      <c r="P37" s="60" t="n">
        <f aca="false">-Pessoas!P45</f>
        <v>-42500</v>
      </c>
      <c r="Q37" s="60" t="n">
        <f aca="false">-Pessoas!Q45</f>
        <v>-42500</v>
      </c>
      <c r="R37" s="60" t="n">
        <f aca="false">-Pessoas!R45</f>
        <v>-42500</v>
      </c>
      <c r="S37" s="60" t="n">
        <f aca="false">-Pessoas!S45</f>
        <v>-42500</v>
      </c>
      <c r="T37" s="60" t="n">
        <f aca="false">-Pessoas!T45</f>
        <v>-42500</v>
      </c>
      <c r="U37" s="60" t="n">
        <f aca="false">-Pessoas!U45</f>
        <v>-42500</v>
      </c>
      <c r="V37" s="60" t="n">
        <f aca="false">-Pessoas!V45</f>
        <v>-42500</v>
      </c>
      <c r="W37" s="60" t="n">
        <f aca="false">-Pessoas!W45</f>
        <v>-42500</v>
      </c>
      <c r="X37" s="60" t="n">
        <f aca="false">-Pessoas!X45</f>
        <v>-42500</v>
      </c>
      <c r="Y37" s="60" t="n">
        <f aca="false">-Pessoas!Y45</f>
        <v>-42500</v>
      </c>
      <c r="Z37" s="60" t="n">
        <f aca="false">-Pessoas!Z45</f>
        <v>-117500</v>
      </c>
      <c r="AA37" s="60" t="n">
        <f aca="false">-Pessoas!AA45</f>
        <v>-117500</v>
      </c>
      <c r="AB37" s="60" t="n">
        <f aca="false">-Pessoas!AB45</f>
        <v>-117500</v>
      </c>
      <c r="AC37" s="60" t="n">
        <f aca="false">-Pessoas!AC45</f>
        <v>-117500</v>
      </c>
      <c r="AD37" s="60" t="n">
        <f aca="false">-Pessoas!AD45</f>
        <v>-117500</v>
      </c>
      <c r="AE37" s="60" t="n">
        <f aca="false">-Pessoas!AE45</f>
        <v>-117500</v>
      </c>
      <c r="AF37" s="60" t="n">
        <f aca="false">-Pessoas!AF45</f>
        <v>-117500</v>
      </c>
      <c r="AG37" s="60" t="n">
        <f aca="false">-Pessoas!AG45</f>
        <v>-117500</v>
      </c>
      <c r="AH37" s="60" t="n">
        <f aca="false">-Pessoas!AH45</f>
        <v>-117500</v>
      </c>
      <c r="AI37" s="60" t="n">
        <f aca="false">-Pessoas!AI45</f>
        <v>-117500</v>
      </c>
      <c r="AJ37" s="60" t="n">
        <f aca="false">-Pessoas!AJ45</f>
        <v>-117500</v>
      </c>
      <c r="AK37" s="60" t="n">
        <f aca="false">-Pessoas!AK45</f>
        <v>-117500</v>
      </c>
      <c r="AL37" s="60" t="n">
        <f aca="false">-Pessoas!AL45</f>
        <v>-253300</v>
      </c>
      <c r="AM37" s="60" t="n">
        <f aca="false">-Pessoas!AM45</f>
        <v>-253300</v>
      </c>
      <c r="AN37" s="60" t="n">
        <f aca="false">-Pessoas!AN45</f>
        <v>-253300</v>
      </c>
      <c r="AO37" s="60" t="n">
        <f aca="false">-Pessoas!AO45</f>
        <v>-253300</v>
      </c>
      <c r="AP37" s="60" t="n">
        <f aca="false">-Pessoas!AP45</f>
        <v>-253300</v>
      </c>
      <c r="AQ37" s="60" t="n">
        <f aca="false">-Pessoas!AQ45</f>
        <v>-253300</v>
      </c>
      <c r="AR37" s="60" t="n">
        <f aca="false">-Pessoas!AR45</f>
        <v>-253300</v>
      </c>
      <c r="AS37" s="60" t="n">
        <f aca="false">-Pessoas!AS45</f>
        <v>-253300</v>
      </c>
      <c r="AT37" s="60" t="n">
        <f aca="false">-Pessoas!AT45</f>
        <v>-253300</v>
      </c>
      <c r="AU37" s="60" t="n">
        <f aca="false">-Pessoas!AU45</f>
        <v>-253300</v>
      </c>
      <c r="AV37" s="60" t="n">
        <f aca="false">-Pessoas!AV45</f>
        <v>-253300</v>
      </c>
      <c r="AW37" s="60" t="n">
        <f aca="false">-Pessoas!AW45</f>
        <v>-253300</v>
      </c>
      <c r="AX37" s="60" t="n">
        <f aca="false">-Pessoas!AX45</f>
        <v>-374300</v>
      </c>
      <c r="AY37" s="60" t="n">
        <f aca="false">-Pessoas!AY45</f>
        <v>-374300</v>
      </c>
      <c r="AZ37" s="60" t="n">
        <f aca="false">-Pessoas!AZ45</f>
        <v>-374300</v>
      </c>
      <c r="BA37" s="60" t="n">
        <f aca="false">-Pessoas!BA45</f>
        <v>-374300</v>
      </c>
      <c r="BB37" s="60" t="n">
        <f aca="false">-Pessoas!BB45</f>
        <v>-374300</v>
      </c>
      <c r="BC37" s="60" t="n">
        <f aca="false">-Pessoas!BC45</f>
        <v>-374300</v>
      </c>
      <c r="BD37" s="60" t="n">
        <f aca="false">-Pessoas!BD45</f>
        <v>-374300</v>
      </c>
      <c r="BE37" s="60" t="n">
        <f aca="false">-Pessoas!BE45</f>
        <v>-374300</v>
      </c>
      <c r="BF37" s="60" t="n">
        <f aca="false">-Pessoas!BF45</f>
        <v>-374300</v>
      </c>
      <c r="BG37" s="60" t="n">
        <f aca="false">-Pessoas!BG45</f>
        <v>-374300</v>
      </c>
      <c r="BH37" s="60" t="n">
        <f aca="false">-Pessoas!BH45</f>
        <v>-374300</v>
      </c>
      <c r="BI37" s="60" t="n">
        <f aca="false">-Pessoas!BI45</f>
        <v>-374300</v>
      </c>
      <c r="BJ37" s="61" t="n">
        <f aca="false">SUM(B37:BI37)</f>
        <v>-9451200</v>
      </c>
    </row>
    <row r="38" customFormat="false" ht="15" hidden="false" customHeight="false" outlineLevel="0" collapsed="false">
      <c r="A38" s="27" t="s">
        <v>734</v>
      </c>
      <c r="B38" s="60" t="n">
        <f aca="false">-(B10*(1-INDEX(Premissas!$C$70:$G$70,B$7))*IF('Ajuste Mensal'!B$16="",INDEX(Premissas!$C$67:$G$67,B$7),'Ajuste Mensal'!B$16)+IF(B$4&gt;=Premissas!$B$110,IF('Ajuste Mensal'!B$32="",INDEX(Premissas!$C$109:$G$109,B$7),'Ajuste Mensal'!B$32),0)+IF(B$4=DATE(YEAR(Premissas!$B$112),MONTH(Premissas!$B$112),1),Premissas!$B$111,0))</f>
        <v>-0</v>
      </c>
      <c r="C38" s="60" t="n">
        <f aca="false">-(C10*(1-INDEX(Premissas!$C$70:$G$70,C$7))*IF('Ajuste Mensal'!C$16="",INDEX(Premissas!$C$67:$G$67,C$7),'Ajuste Mensal'!C$16)+IF(C$4&gt;=Premissas!$B$110,IF('Ajuste Mensal'!C$32="",INDEX(Premissas!$C$109:$G$109,C$7),'Ajuste Mensal'!C$32),0)+IF(C$4=DATE(YEAR(Premissas!$B$112),MONTH(Premissas!$B$112),1),Premissas!$B$111,0))</f>
        <v>-0</v>
      </c>
      <c r="D38" s="60" t="n">
        <f aca="false">-(D10*(1-INDEX(Premissas!$C$70:$G$70,D$7))*IF('Ajuste Mensal'!D$16="",INDEX(Premissas!$C$67:$G$67,D$7),'Ajuste Mensal'!D$16)+IF(D$4&gt;=Premissas!$B$110,IF('Ajuste Mensal'!D$32="",INDEX(Premissas!$C$109:$G$109,D$7),'Ajuste Mensal'!D$32),0)+IF(D$4=DATE(YEAR(Premissas!$B$112),MONTH(Premissas!$B$112),1),Premissas!$B$111,0))</f>
        <v>-0</v>
      </c>
      <c r="E38" s="60" t="n">
        <f aca="false">-(E10*(1-INDEX(Premissas!$C$70:$G$70,E$7))*IF('Ajuste Mensal'!E$16="",INDEX(Premissas!$C$67:$G$67,E$7),'Ajuste Mensal'!E$16)+IF(E$4&gt;=Premissas!$B$110,IF('Ajuste Mensal'!E$32="",INDEX(Premissas!$C$109:$G$109,E$7),'Ajuste Mensal'!E$32),0)+IF(E$4=DATE(YEAR(Premissas!$B$112),MONTH(Premissas!$B$112),1),Premissas!$B$111,0))</f>
        <v>-0</v>
      </c>
      <c r="F38" s="60" t="n">
        <f aca="false">-(F10*(1-INDEX(Premissas!$C$70:$G$70,F$7))*IF('Ajuste Mensal'!F$16="",INDEX(Premissas!$C$67:$G$67,F$7),'Ajuste Mensal'!F$16)+IF(F$4&gt;=Premissas!$B$110,IF('Ajuste Mensal'!F$32="",INDEX(Premissas!$C$109:$G$109,F$7),'Ajuste Mensal'!F$32),0)+IF(F$4=DATE(YEAR(Premissas!$B$112),MONTH(Premissas!$B$112),1),Premissas!$B$111,0))</f>
        <v>-0</v>
      </c>
      <c r="G38" s="60" t="n">
        <f aca="false">-(G10*(1-INDEX(Premissas!$C$70:$G$70,G$7))*IF('Ajuste Mensal'!G$16="",INDEX(Premissas!$C$67:$G$67,G$7),'Ajuste Mensal'!G$16)+IF(G$4&gt;=Premissas!$B$110,IF('Ajuste Mensal'!G$32="",INDEX(Premissas!$C$109:$G$109,G$7),'Ajuste Mensal'!G$32),0)+IF(G$4=DATE(YEAR(Premissas!$B$112),MONTH(Premissas!$B$112),1),Premissas!$B$111,0))</f>
        <v>-0</v>
      </c>
      <c r="H38" s="60" t="n">
        <f aca="false">-(H10*(1-INDEX(Premissas!$C$70:$G$70,H$7))*IF('Ajuste Mensal'!H$16="",INDEX(Premissas!$C$67:$G$67,H$7),'Ajuste Mensal'!H$16)+IF(H$4&gt;=Premissas!$B$110,IF('Ajuste Mensal'!H$32="",INDEX(Premissas!$C$109:$G$109,H$7),'Ajuste Mensal'!H$32),0)+IF(H$4=DATE(YEAR(Premissas!$B$112),MONTH(Premissas!$B$112),1),Premissas!$B$111,0))</f>
        <v>-0</v>
      </c>
      <c r="I38" s="60" t="n">
        <f aca="false">-(I10*(1-INDEX(Premissas!$C$70:$G$70,I$7))*IF('Ajuste Mensal'!I$16="",INDEX(Premissas!$C$67:$G$67,I$7),'Ajuste Mensal'!I$16)+IF(I$4&gt;=Premissas!$B$110,IF('Ajuste Mensal'!I$32="",INDEX(Premissas!$C$109:$G$109,I$7),'Ajuste Mensal'!I$32),0)+IF(I$4=DATE(YEAR(Premissas!$B$112),MONTH(Premissas!$B$112),1),Premissas!$B$111,0))</f>
        <v>-0</v>
      </c>
      <c r="J38" s="60" t="n">
        <f aca="false">-(J10*(1-INDEX(Premissas!$C$70:$G$70,J$7))*IF('Ajuste Mensal'!J$16="",INDEX(Premissas!$C$67:$G$67,J$7),'Ajuste Mensal'!J$16)+IF(J$4&gt;=Premissas!$B$110,IF('Ajuste Mensal'!J$32="",INDEX(Premissas!$C$109:$G$109,J$7),'Ajuste Mensal'!J$32),0)+IF(J$4=DATE(YEAR(Premissas!$B$112),MONTH(Premissas!$B$112),1),Premissas!$B$111,0))</f>
        <v>-0</v>
      </c>
      <c r="K38" s="60" t="n">
        <f aca="false">-(K10*(1-INDEX(Premissas!$C$70:$G$70,K$7))*IF('Ajuste Mensal'!K$16="",INDEX(Premissas!$C$67:$G$67,K$7),'Ajuste Mensal'!K$16)+IF(K$4&gt;=Premissas!$B$110,IF('Ajuste Mensal'!K$32="",INDEX(Premissas!$C$109:$G$109,K$7),'Ajuste Mensal'!K$32),0)+IF(K$4=DATE(YEAR(Premissas!$B$112),MONTH(Premissas!$B$112),1),Premissas!$B$111,0))</f>
        <v>-58408</v>
      </c>
      <c r="L38" s="60" t="n">
        <f aca="false">-(L10*(1-INDEX(Premissas!$C$70:$G$70,L$7))*IF('Ajuste Mensal'!L$16="",INDEX(Premissas!$C$67:$G$67,L$7),'Ajuste Mensal'!L$16)+IF(L$4&gt;=Premissas!$B$110,IF('Ajuste Mensal'!L$32="",INDEX(Premissas!$C$109:$G$109,L$7),'Ajuste Mensal'!L$32),0)+IF(L$4=DATE(YEAR(Premissas!$B$112),MONTH(Premissas!$B$112),1),Premissas!$B$111,0))</f>
        <v>-33408</v>
      </c>
      <c r="M38" s="60" t="n">
        <f aca="false">-(M10*(1-INDEX(Premissas!$C$70:$G$70,M$7))*IF('Ajuste Mensal'!M$16="",INDEX(Premissas!$C$67:$G$67,M$7),'Ajuste Mensal'!M$16)+IF(M$4&gt;=Premissas!$B$110,IF('Ajuste Mensal'!M$32="",INDEX(Premissas!$C$109:$G$109,M$7),'Ajuste Mensal'!M$32),0)+IF(M$4=DATE(YEAR(Premissas!$B$112),MONTH(Premissas!$B$112),1),Premissas!$B$111,0))</f>
        <v>-33408</v>
      </c>
      <c r="N38" s="60" t="n">
        <f aca="false">-(N10*(1-INDEX(Premissas!$C$70:$G$70,N$7))*IF('Ajuste Mensal'!N$16="",INDEX(Premissas!$C$67:$G$67,N$7),'Ajuste Mensal'!N$16)+IF(N$4&gt;=Premissas!$B$110,IF('Ajuste Mensal'!N$32="",INDEX(Premissas!$C$109:$G$109,N$7),'Ajuste Mensal'!N$32),0)+IF(N$4=DATE(YEAR(Premissas!$B$112),MONTH(Premissas!$B$112),1),Premissas!$B$111,0))</f>
        <v>-63798.7584</v>
      </c>
      <c r="O38" s="60" t="n">
        <f aca="false">-(O10*(1-INDEX(Premissas!$C$70:$G$70,O$7))*IF('Ajuste Mensal'!O$16="",INDEX(Premissas!$C$67:$G$67,O$7),'Ajuste Mensal'!O$16)+IF(O$4&gt;=Premissas!$B$110,IF('Ajuste Mensal'!O$32="",INDEX(Premissas!$C$109:$G$109,O$7),'Ajuste Mensal'!O$32),0)+IF(O$4=DATE(YEAR(Premissas!$B$112),MONTH(Premissas!$B$112),1),Premissas!$B$111,0))</f>
        <v>-63798.7584</v>
      </c>
      <c r="P38" s="60" t="n">
        <f aca="false">-(P10*(1-INDEX(Premissas!$C$70:$G$70,P$7))*IF('Ajuste Mensal'!P$16="",INDEX(Premissas!$C$67:$G$67,P$7),'Ajuste Mensal'!P$16)+IF(P$4&gt;=Premissas!$B$110,IF('Ajuste Mensal'!P$32="",INDEX(Premissas!$C$109:$G$109,P$7),'Ajuste Mensal'!P$32),0)+IF(P$4=DATE(YEAR(Premissas!$B$112),MONTH(Premissas!$B$112),1),Premissas!$B$111,0))</f>
        <v>-63798.7584</v>
      </c>
      <c r="Q38" s="60" t="n">
        <f aca="false">-(Q10*(1-INDEX(Premissas!$C$70:$G$70,Q$7))*IF('Ajuste Mensal'!Q$16="",INDEX(Premissas!$C$67:$G$67,Q$7),'Ajuste Mensal'!Q$16)+IF(Q$4&gt;=Premissas!$B$110,IF('Ajuste Mensal'!Q$32="",INDEX(Premissas!$C$109:$G$109,Q$7),'Ajuste Mensal'!Q$32),0)+IF(Q$4=DATE(YEAR(Premissas!$B$112),MONTH(Premissas!$B$112),1),Premissas!$B$111,0))</f>
        <v>-63798.7584</v>
      </c>
      <c r="R38" s="60" t="n">
        <f aca="false">-(R10*(1-INDEX(Premissas!$C$70:$G$70,R$7))*IF('Ajuste Mensal'!R$16="",INDEX(Premissas!$C$67:$G$67,R$7),'Ajuste Mensal'!R$16)+IF(R$4&gt;=Premissas!$B$110,IF('Ajuste Mensal'!R$32="",INDEX(Premissas!$C$109:$G$109,R$7),'Ajuste Mensal'!R$32),0)+IF(R$4=DATE(YEAR(Premissas!$B$112),MONTH(Premissas!$B$112),1),Premissas!$B$111,0))</f>
        <v>-63798.7584</v>
      </c>
      <c r="S38" s="60" t="n">
        <f aca="false">-(S10*(1-INDEX(Premissas!$C$70:$G$70,S$7))*IF('Ajuste Mensal'!S$16="",INDEX(Premissas!$C$67:$G$67,S$7),'Ajuste Mensal'!S$16)+IF(S$4&gt;=Premissas!$B$110,IF('Ajuste Mensal'!S$32="",INDEX(Premissas!$C$109:$G$109,S$7),'Ajuste Mensal'!S$32),0)+IF(S$4=DATE(YEAR(Premissas!$B$112),MONTH(Premissas!$B$112),1),Premissas!$B$111,0))</f>
        <v>-63798.7584</v>
      </c>
      <c r="T38" s="60" t="n">
        <f aca="false">-(T10*(1-INDEX(Premissas!$C$70:$G$70,T$7))*IF('Ajuste Mensal'!T$16="",INDEX(Premissas!$C$67:$G$67,T$7),'Ajuste Mensal'!T$16)+IF(T$4&gt;=Premissas!$B$110,IF('Ajuste Mensal'!T$32="",INDEX(Premissas!$C$109:$G$109,T$7),'Ajuste Mensal'!T$32),0)+IF(T$4=DATE(YEAR(Premissas!$B$112),MONTH(Premissas!$B$112),1),Premissas!$B$111,0))</f>
        <v>-63798.7584</v>
      </c>
      <c r="U38" s="60" t="n">
        <f aca="false">-(U10*(1-INDEX(Premissas!$C$70:$G$70,U$7))*IF('Ajuste Mensal'!U$16="",INDEX(Premissas!$C$67:$G$67,U$7),'Ajuste Mensal'!U$16)+IF(U$4&gt;=Premissas!$B$110,IF('Ajuste Mensal'!U$32="",INDEX(Premissas!$C$109:$G$109,U$7),'Ajuste Mensal'!U$32),0)+IF(U$4=DATE(YEAR(Premissas!$B$112),MONTH(Premissas!$B$112),1),Premissas!$B$111,0))</f>
        <v>-63798.7584</v>
      </c>
      <c r="V38" s="60" t="n">
        <f aca="false">-(V10*(1-INDEX(Premissas!$C$70:$G$70,V$7))*IF('Ajuste Mensal'!V$16="",INDEX(Premissas!$C$67:$G$67,V$7),'Ajuste Mensal'!V$16)+IF(V$4&gt;=Premissas!$B$110,IF('Ajuste Mensal'!V$32="",INDEX(Premissas!$C$109:$G$109,V$7),'Ajuste Mensal'!V$32),0)+IF(V$4=DATE(YEAR(Premissas!$B$112),MONTH(Premissas!$B$112),1),Premissas!$B$111,0))</f>
        <v>-63798.7584</v>
      </c>
      <c r="W38" s="60" t="n">
        <f aca="false">-(W10*(1-INDEX(Premissas!$C$70:$G$70,W$7))*IF('Ajuste Mensal'!W$16="",INDEX(Premissas!$C$67:$G$67,W$7),'Ajuste Mensal'!W$16)+IF(W$4&gt;=Premissas!$B$110,IF('Ajuste Mensal'!W$32="",INDEX(Premissas!$C$109:$G$109,W$7),'Ajuste Mensal'!W$32),0)+IF(W$4=DATE(YEAR(Premissas!$B$112),MONTH(Premissas!$B$112),1),Premissas!$B$111,0))</f>
        <v>-63798.7584</v>
      </c>
      <c r="X38" s="60" t="n">
        <f aca="false">-(X10*(1-INDEX(Premissas!$C$70:$G$70,X$7))*IF('Ajuste Mensal'!X$16="",INDEX(Premissas!$C$67:$G$67,X$7),'Ajuste Mensal'!X$16)+IF(X$4&gt;=Premissas!$B$110,IF('Ajuste Mensal'!X$32="",INDEX(Premissas!$C$109:$G$109,X$7),'Ajuste Mensal'!X$32),0)+IF(X$4=DATE(YEAR(Premissas!$B$112),MONTH(Premissas!$B$112),1),Premissas!$B$111,0))</f>
        <v>-63798.7584</v>
      </c>
      <c r="Y38" s="60" t="n">
        <f aca="false">-(Y10*(1-INDEX(Premissas!$C$70:$G$70,Y$7))*IF('Ajuste Mensal'!Y$16="",INDEX(Premissas!$C$67:$G$67,Y$7),'Ajuste Mensal'!Y$16)+IF(Y$4&gt;=Premissas!$B$110,IF('Ajuste Mensal'!Y$32="",INDEX(Premissas!$C$109:$G$109,Y$7),'Ajuste Mensal'!Y$32),0)+IF(Y$4=DATE(YEAR(Premissas!$B$112),MONTH(Premissas!$B$112),1),Premissas!$B$111,0))</f>
        <v>-63798.7584</v>
      </c>
      <c r="Z38" s="60" t="n">
        <f aca="false">-(Z10*(1-INDEX(Premissas!$C$70:$G$70,Z$7))*IF('Ajuste Mensal'!Z$16="",INDEX(Premissas!$C$67:$G$67,Z$7),'Ajuste Mensal'!Z$16)+IF(Z$4&gt;=Premissas!$B$110,IF('Ajuste Mensal'!Z$32="",INDEX(Premissas!$C$109:$G$109,Z$7),'Ajuste Mensal'!Z$32),0)+IF(Z$4=DATE(YEAR(Premissas!$B$112),MONTH(Premissas!$B$112),1),Premissas!$B$111,0))</f>
        <v>-137058.980544</v>
      </c>
      <c r="AA38" s="60" t="n">
        <f aca="false">-(AA10*(1-INDEX(Premissas!$C$70:$G$70,AA$7))*IF('Ajuste Mensal'!AA$16="",INDEX(Premissas!$C$67:$G$67,AA$7),'Ajuste Mensal'!AA$16)+IF(AA$4&gt;=Premissas!$B$110,IF('Ajuste Mensal'!AA$32="",INDEX(Premissas!$C$109:$G$109,AA$7),'Ajuste Mensal'!AA$32),0)+IF(AA$4=DATE(YEAR(Premissas!$B$112),MONTH(Premissas!$B$112),1),Premissas!$B$111,0))</f>
        <v>-137058.980544</v>
      </c>
      <c r="AB38" s="60" t="n">
        <f aca="false">-(AB10*(1-INDEX(Premissas!$C$70:$G$70,AB$7))*IF('Ajuste Mensal'!AB$16="",INDEX(Premissas!$C$67:$G$67,AB$7),'Ajuste Mensal'!AB$16)+IF(AB$4&gt;=Premissas!$B$110,IF('Ajuste Mensal'!AB$32="",INDEX(Premissas!$C$109:$G$109,AB$7),'Ajuste Mensal'!AB$32),0)+IF(AB$4=DATE(YEAR(Premissas!$B$112),MONTH(Premissas!$B$112),1),Premissas!$B$111,0))</f>
        <v>-137058.980544</v>
      </c>
      <c r="AC38" s="60" t="n">
        <f aca="false">-(AC10*(1-INDEX(Premissas!$C$70:$G$70,AC$7))*IF('Ajuste Mensal'!AC$16="",INDEX(Premissas!$C$67:$G$67,AC$7),'Ajuste Mensal'!AC$16)+IF(AC$4&gt;=Premissas!$B$110,IF('Ajuste Mensal'!AC$32="",INDEX(Premissas!$C$109:$G$109,AC$7),'Ajuste Mensal'!AC$32),0)+IF(AC$4=DATE(YEAR(Premissas!$B$112),MONTH(Premissas!$B$112),1),Premissas!$B$111,0))</f>
        <v>-137058.980544</v>
      </c>
      <c r="AD38" s="60" t="n">
        <f aca="false">-(AD10*(1-INDEX(Premissas!$C$70:$G$70,AD$7))*IF('Ajuste Mensal'!AD$16="",INDEX(Premissas!$C$67:$G$67,AD$7),'Ajuste Mensal'!AD$16)+IF(AD$4&gt;=Premissas!$B$110,IF('Ajuste Mensal'!AD$32="",INDEX(Premissas!$C$109:$G$109,AD$7),'Ajuste Mensal'!AD$32),0)+IF(AD$4=DATE(YEAR(Premissas!$B$112),MONTH(Premissas!$B$112),1),Premissas!$B$111,0))</f>
        <v>-137058.980544</v>
      </c>
      <c r="AE38" s="60" t="n">
        <f aca="false">-(AE10*(1-INDEX(Premissas!$C$70:$G$70,AE$7))*IF('Ajuste Mensal'!AE$16="",INDEX(Premissas!$C$67:$G$67,AE$7),'Ajuste Mensal'!AE$16)+IF(AE$4&gt;=Premissas!$B$110,IF('Ajuste Mensal'!AE$32="",INDEX(Premissas!$C$109:$G$109,AE$7),'Ajuste Mensal'!AE$32),0)+IF(AE$4=DATE(YEAR(Premissas!$B$112),MONTH(Premissas!$B$112),1),Premissas!$B$111,0))</f>
        <v>-137058.980544</v>
      </c>
      <c r="AF38" s="60" t="n">
        <f aca="false">-(AF10*(1-INDEX(Premissas!$C$70:$G$70,AF$7))*IF('Ajuste Mensal'!AF$16="",INDEX(Premissas!$C$67:$G$67,AF$7),'Ajuste Mensal'!AF$16)+IF(AF$4&gt;=Premissas!$B$110,IF('Ajuste Mensal'!AF$32="",INDEX(Premissas!$C$109:$G$109,AF$7),'Ajuste Mensal'!AF$32),0)+IF(AF$4=DATE(YEAR(Premissas!$B$112),MONTH(Premissas!$B$112),1),Premissas!$B$111,0))</f>
        <v>-137058.980544</v>
      </c>
      <c r="AG38" s="60" t="n">
        <f aca="false">-(AG10*(1-INDEX(Premissas!$C$70:$G$70,AG$7))*IF('Ajuste Mensal'!AG$16="",INDEX(Premissas!$C$67:$G$67,AG$7),'Ajuste Mensal'!AG$16)+IF(AG$4&gt;=Premissas!$B$110,IF('Ajuste Mensal'!AG$32="",INDEX(Premissas!$C$109:$G$109,AG$7),'Ajuste Mensal'!AG$32),0)+IF(AG$4=DATE(YEAR(Premissas!$B$112),MONTH(Premissas!$B$112),1),Premissas!$B$111,0))</f>
        <v>-137058.980544</v>
      </c>
      <c r="AH38" s="60" t="n">
        <f aca="false">-(AH10*(1-INDEX(Premissas!$C$70:$G$70,AH$7))*IF('Ajuste Mensal'!AH$16="",INDEX(Premissas!$C$67:$G$67,AH$7),'Ajuste Mensal'!AH$16)+IF(AH$4&gt;=Premissas!$B$110,IF('Ajuste Mensal'!AH$32="",INDEX(Premissas!$C$109:$G$109,AH$7),'Ajuste Mensal'!AH$32),0)+IF(AH$4=DATE(YEAR(Premissas!$B$112),MONTH(Premissas!$B$112),1),Premissas!$B$111,0))</f>
        <v>-137058.980544</v>
      </c>
      <c r="AI38" s="60" t="n">
        <f aca="false">-(AI10*(1-INDEX(Premissas!$C$70:$G$70,AI$7))*IF('Ajuste Mensal'!AI$16="",INDEX(Premissas!$C$67:$G$67,AI$7),'Ajuste Mensal'!AI$16)+IF(AI$4&gt;=Premissas!$B$110,IF('Ajuste Mensal'!AI$32="",INDEX(Premissas!$C$109:$G$109,AI$7),'Ajuste Mensal'!AI$32),0)+IF(AI$4=DATE(YEAR(Premissas!$B$112),MONTH(Premissas!$B$112),1),Premissas!$B$111,0))</f>
        <v>-137058.980544</v>
      </c>
      <c r="AJ38" s="60" t="n">
        <f aca="false">-(AJ10*(1-INDEX(Premissas!$C$70:$G$70,AJ$7))*IF('Ajuste Mensal'!AJ$16="",INDEX(Premissas!$C$67:$G$67,AJ$7),'Ajuste Mensal'!AJ$16)+IF(AJ$4&gt;=Premissas!$B$110,IF('Ajuste Mensal'!AJ$32="",INDEX(Premissas!$C$109:$G$109,AJ$7),'Ajuste Mensal'!AJ$32),0)+IF(AJ$4=DATE(YEAR(Premissas!$B$112),MONTH(Premissas!$B$112),1),Premissas!$B$111,0))</f>
        <v>-137058.980544</v>
      </c>
      <c r="AK38" s="60" t="n">
        <f aca="false">-(AK10*(1-INDEX(Premissas!$C$70:$G$70,AK$7))*IF('Ajuste Mensal'!AK$16="",INDEX(Premissas!$C$67:$G$67,AK$7),'Ajuste Mensal'!AK$16)+IF(AK$4&gt;=Premissas!$B$110,IF('Ajuste Mensal'!AK$32="",INDEX(Premissas!$C$109:$G$109,AK$7),'Ajuste Mensal'!AK$32),0)+IF(AK$4=DATE(YEAR(Premissas!$B$112),MONTH(Premissas!$B$112),1),Premissas!$B$111,0))</f>
        <v>-137058.980544</v>
      </c>
      <c r="AL38" s="60" t="n">
        <f aca="false">-(AL10*(1-INDEX(Premissas!$C$70:$G$70,AL$7))*IF('Ajuste Mensal'!AL$16="",INDEX(Premissas!$C$67:$G$67,AL$7),'Ajuste Mensal'!AL$16)+IF(AL$4&gt;=Premissas!$B$110,IF('Ajuste Mensal'!AL$32="",INDEX(Premissas!$C$109:$G$109,AL$7),'Ajuste Mensal'!AL$32),0)+IF(AL$4=DATE(YEAR(Premissas!$B$112),MONTH(Premissas!$B$112),1),Premissas!$B$111,0))</f>
        <v>-261425.984972902</v>
      </c>
      <c r="AM38" s="60" t="n">
        <f aca="false">-(AM10*(1-INDEX(Premissas!$C$70:$G$70,AM$7))*IF('Ajuste Mensal'!AM$16="",INDEX(Premissas!$C$67:$G$67,AM$7),'Ajuste Mensal'!AM$16)+IF(AM$4&gt;=Premissas!$B$110,IF('Ajuste Mensal'!AM$32="",INDEX(Premissas!$C$109:$G$109,AM$7),'Ajuste Mensal'!AM$32),0)+IF(AM$4=DATE(YEAR(Premissas!$B$112),MONTH(Premissas!$B$112),1),Premissas!$B$111,0))</f>
        <v>-261425.984972902</v>
      </c>
      <c r="AN38" s="60" t="n">
        <f aca="false">-(AN10*(1-INDEX(Premissas!$C$70:$G$70,AN$7))*IF('Ajuste Mensal'!AN$16="",INDEX(Premissas!$C$67:$G$67,AN$7),'Ajuste Mensal'!AN$16)+IF(AN$4&gt;=Premissas!$B$110,IF('Ajuste Mensal'!AN$32="",INDEX(Premissas!$C$109:$G$109,AN$7),'Ajuste Mensal'!AN$32),0)+IF(AN$4=DATE(YEAR(Premissas!$B$112),MONTH(Premissas!$B$112),1),Premissas!$B$111,0))</f>
        <v>-261425.984972902</v>
      </c>
      <c r="AO38" s="60" t="n">
        <f aca="false">-(AO10*(1-INDEX(Premissas!$C$70:$G$70,AO$7))*IF('Ajuste Mensal'!AO$16="",INDEX(Premissas!$C$67:$G$67,AO$7),'Ajuste Mensal'!AO$16)+IF(AO$4&gt;=Premissas!$B$110,IF('Ajuste Mensal'!AO$32="",INDEX(Premissas!$C$109:$G$109,AO$7),'Ajuste Mensal'!AO$32),0)+IF(AO$4=DATE(YEAR(Premissas!$B$112),MONTH(Premissas!$B$112),1),Premissas!$B$111,0))</f>
        <v>-261425.984972902</v>
      </c>
      <c r="AP38" s="60" t="n">
        <f aca="false">-(AP10*(1-INDEX(Premissas!$C$70:$G$70,AP$7))*IF('Ajuste Mensal'!AP$16="",INDEX(Premissas!$C$67:$G$67,AP$7),'Ajuste Mensal'!AP$16)+IF(AP$4&gt;=Premissas!$B$110,IF('Ajuste Mensal'!AP$32="",INDEX(Premissas!$C$109:$G$109,AP$7),'Ajuste Mensal'!AP$32),0)+IF(AP$4=DATE(YEAR(Premissas!$B$112),MONTH(Premissas!$B$112),1),Premissas!$B$111,0))</f>
        <v>-261425.984972902</v>
      </c>
      <c r="AQ38" s="60" t="n">
        <f aca="false">-(AQ10*(1-INDEX(Premissas!$C$70:$G$70,AQ$7))*IF('Ajuste Mensal'!AQ$16="",INDEX(Premissas!$C$67:$G$67,AQ$7),'Ajuste Mensal'!AQ$16)+IF(AQ$4&gt;=Premissas!$B$110,IF('Ajuste Mensal'!AQ$32="",INDEX(Premissas!$C$109:$G$109,AQ$7),'Ajuste Mensal'!AQ$32),0)+IF(AQ$4=DATE(YEAR(Premissas!$B$112),MONTH(Premissas!$B$112),1),Premissas!$B$111,0))</f>
        <v>-261425.984972902</v>
      </c>
      <c r="AR38" s="60" t="n">
        <f aca="false">-(AR10*(1-INDEX(Premissas!$C$70:$G$70,AR$7))*IF('Ajuste Mensal'!AR$16="",INDEX(Premissas!$C$67:$G$67,AR$7),'Ajuste Mensal'!AR$16)+IF(AR$4&gt;=Premissas!$B$110,IF('Ajuste Mensal'!AR$32="",INDEX(Premissas!$C$109:$G$109,AR$7),'Ajuste Mensal'!AR$32),0)+IF(AR$4=DATE(YEAR(Premissas!$B$112),MONTH(Premissas!$B$112),1),Premissas!$B$111,0))</f>
        <v>-261425.984972902</v>
      </c>
      <c r="AS38" s="60" t="n">
        <f aca="false">-(AS10*(1-INDEX(Premissas!$C$70:$G$70,AS$7))*IF('Ajuste Mensal'!AS$16="",INDEX(Premissas!$C$67:$G$67,AS$7),'Ajuste Mensal'!AS$16)+IF(AS$4&gt;=Premissas!$B$110,IF('Ajuste Mensal'!AS$32="",INDEX(Premissas!$C$109:$G$109,AS$7),'Ajuste Mensal'!AS$32),0)+IF(AS$4=DATE(YEAR(Premissas!$B$112),MONTH(Premissas!$B$112),1),Premissas!$B$111,0))</f>
        <v>-261425.984972902</v>
      </c>
      <c r="AT38" s="60" t="n">
        <f aca="false">-(AT10*(1-INDEX(Premissas!$C$70:$G$70,AT$7))*IF('Ajuste Mensal'!AT$16="",INDEX(Premissas!$C$67:$G$67,AT$7),'Ajuste Mensal'!AT$16)+IF(AT$4&gt;=Premissas!$B$110,IF('Ajuste Mensal'!AT$32="",INDEX(Premissas!$C$109:$G$109,AT$7),'Ajuste Mensal'!AT$32),0)+IF(AT$4=DATE(YEAR(Premissas!$B$112),MONTH(Premissas!$B$112),1),Premissas!$B$111,0))</f>
        <v>-261425.984972902</v>
      </c>
      <c r="AU38" s="60" t="n">
        <f aca="false">-(AU10*(1-INDEX(Premissas!$C$70:$G$70,AU$7))*IF('Ajuste Mensal'!AU$16="",INDEX(Premissas!$C$67:$G$67,AU$7),'Ajuste Mensal'!AU$16)+IF(AU$4&gt;=Premissas!$B$110,IF('Ajuste Mensal'!AU$32="",INDEX(Premissas!$C$109:$G$109,AU$7),'Ajuste Mensal'!AU$32),0)+IF(AU$4=DATE(YEAR(Premissas!$B$112),MONTH(Premissas!$B$112),1),Premissas!$B$111,0))</f>
        <v>-261425.984972902</v>
      </c>
      <c r="AV38" s="60" t="n">
        <f aca="false">-(AV10*(1-INDEX(Premissas!$C$70:$G$70,AV$7))*IF('Ajuste Mensal'!AV$16="",INDEX(Premissas!$C$67:$G$67,AV$7),'Ajuste Mensal'!AV$16)+IF(AV$4&gt;=Premissas!$B$110,IF('Ajuste Mensal'!AV$32="",INDEX(Premissas!$C$109:$G$109,AV$7),'Ajuste Mensal'!AV$32),0)+IF(AV$4=DATE(YEAR(Premissas!$B$112),MONTH(Premissas!$B$112),1),Premissas!$B$111,0))</f>
        <v>-261425.984972902</v>
      </c>
      <c r="AW38" s="60" t="n">
        <f aca="false">-(AW10*(1-INDEX(Premissas!$C$70:$G$70,AW$7))*IF('Ajuste Mensal'!AW$16="",INDEX(Premissas!$C$67:$G$67,AW$7),'Ajuste Mensal'!AW$16)+IF(AW$4&gt;=Premissas!$B$110,IF('Ajuste Mensal'!AW$32="",INDEX(Premissas!$C$109:$G$109,AW$7),'Ajuste Mensal'!AW$32),0)+IF(AW$4=DATE(YEAR(Premissas!$B$112),MONTH(Premissas!$B$112),1),Premissas!$B$111,0))</f>
        <v>-261425.984972902</v>
      </c>
      <c r="AX38" s="60" t="n">
        <f aca="false">-(AX10*(1-INDEX(Premissas!$C$70:$G$70,AX$7))*IF('Ajuste Mensal'!AX$16="",INDEX(Premissas!$C$67:$G$67,AX$7),'Ajuste Mensal'!AX$16)+IF(AX$4&gt;=Premissas!$B$110,IF('Ajuste Mensal'!AX$32="",INDEX(Premissas!$C$109:$G$109,AX$7),'Ajuste Mensal'!AX$32),0)+IF(AX$4=DATE(YEAR(Premissas!$B$112),MONTH(Premissas!$B$112),1),Premissas!$B$111,0))</f>
        <v>-444124.897266356</v>
      </c>
      <c r="AY38" s="60" t="n">
        <f aca="false">-(AY10*(1-INDEX(Premissas!$C$70:$G$70,AY$7))*IF('Ajuste Mensal'!AY$16="",INDEX(Premissas!$C$67:$G$67,AY$7),'Ajuste Mensal'!AY$16)+IF(AY$4&gt;=Premissas!$B$110,IF('Ajuste Mensal'!AY$32="",INDEX(Premissas!$C$109:$G$109,AY$7),'Ajuste Mensal'!AY$32),0)+IF(AY$4=DATE(YEAR(Premissas!$B$112),MONTH(Premissas!$B$112),1),Premissas!$B$111,0))</f>
        <v>-444124.897266356</v>
      </c>
      <c r="AZ38" s="60" t="n">
        <f aca="false">-(AZ10*(1-INDEX(Premissas!$C$70:$G$70,AZ$7))*IF('Ajuste Mensal'!AZ$16="",INDEX(Premissas!$C$67:$G$67,AZ$7),'Ajuste Mensal'!AZ$16)+IF(AZ$4&gt;=Premissas!$B$110,IF('Ajuste Mensal'!AZ$32="",INDEX(Premissas!$C$109:$G$109,AZ$7),'Ajuste Mensal'!AZ$32),0)+IF(AZ$4=DATE(YEAR(Premissas!$B$112),MONTH(Premissas!$B$112),1),Premissas!$B$111,0))</f>
        <v>-444124.897266356</v>
      </c>
      <c r="BA38" s="60" t="n">
        <f aca="false">-(BA10*(1-INDEX(Premissas!$C$70:$G$70,BA$7))*IF('Ajuste Mensal'!BA$16="",INDEX(Premissas!$C$67:$G$67,BA$7),'Ajuste Mensal'!BA$16)+IF(BA$4&gt;=Premissas!$B$110,IF('Ajuste Mensal'!BA$32="",INDEX(Premissas!$C$109:$G$109,BA$7),'Ajuste Mensal'!BA$32),0)+IF(BA$4=DATE(YEAR(Premissas!$B$112),MONTH(Premissas!$B$112),1),Premissas!$B$111,0))</f>
        <v>-444124.897266356</v>
      </c>
      <c r="BB38" s="60" t="n">
        <f aca="false">-(BB10*(1-INDEX(Premissas!$C$70:$G$70,BB$7))*IF('Ajuste Mensal'!BB$16="",INDEX(Premissas!$C$67:$G$67,BB$7),'Ajuste Mensal'!BB$16)+IF(BB$4&gt;=Premissas!$B$110,IF('Ajuste Mensal'!BB$32="",INDEX(Premissas!$C$109:$G$109,BB$7),'Ajuste Mensal'!BB$32),0)+IF(BB$4=DATE(YEAR(Premissas!$B$112),MONTH(Premissas!$B$112),1),Premissas!$B$111,0))</f>
        <v>-444124.897266356</v>
      </c>
      <c r="BC38" s="60" t="n">
        <f aca="false">-(BC10*(1-INDEX(Premissas!$C$70:$G$70,BC$7))*IF('Ajuste Mensal'!BC$16="",INDEX(Premissas!$C$67:$G$67,BC$7),'Ajuste Mensal'!BC$16)+IF(BC$4&gt;=Premissas!$B$110,IF('Ajuste Mensal'!BC$32="",INDEX(Premissas!$C$109:$G$109,BC$7),'Ajuste Mensal'!BC$32),0)+IF(BC$4=DATE(YEAR(Premissas!$B$112),MONTH(Premissas!$B$112),1),Premissas!$B$111,0))</f>
        <v>-444124.897266356</v>
      </c>
      <c r="BD38" s="60" t="n">
        <f aca="false">-(BD10*(1-INDEX(Premissas!$C$70:$G$70,BD$7))*IF('Ajuste Mensal'!BD$16="",INDEX(Premissas!$C$67:$G$67,BD$7),'Ajuste Mensal'!BD$16)+IF(BD$4&gt;=Premissas!$B$110,IF('Ajuste Mensal'!BD$32="",INDEX(Premissas!$C$109:$G$109,BD$7),'Ajuste Mensal'!BD$32),0)+IF(BD$4=DATE(YEAR(Premissas!$B$112),MONTH(Premissas!$B$112),1),Premissas!$B$111,0))</f>
        <v>-444124.897266356</v>
      </c>
      <c r="BE38" s="60" t="n">
        <f aca="false">-(BE10*(1-INDEX(Premissas!$C$70:$G$70,BE$7))*IF('Ajuste Mensal'!BE$16="",INDEX(Premissas!$C$67:$G$67,BE$7),'Ajuste Mensal'!BE$16)+IF(BE$4&gt;=Premissas!$B$110,IF('Ajuste Mensal'!BE$32="",INDEX(Premissas!$C$109:$G$109,BE$7),'Ajuste Mensal'!BE$32),0)+IF(BE$4=DATE(YEAR(Premissas!$B$112),MONTH(Premissas!$B$112),1),Premissas!$B$111,0))</f>
        <v>-444124.897266356</v>
      </c>
      <c r="BF38" s="60" t="n">
        <f aca="false">-(BF10*(1-INDEX(Premissas!$C$70:$G$70,BF$7))*IF('Ajuste Mensal'!BF$16="",INDEX(Premissas!$C$67:$G$67,BF$7),'Ajuste Mensal'!BF$16)+IF(BF$4&gt;=Premissas!$B$110,IF('Ajuste Mensal'!BF$32="",INDEX(Premissas!$C$109:$G$109,BF$7),'Ajuste Mensal'!BF$32),0)+IF(BF$4=DATE(YEAR(Premissas!$B$112),MONTH(Premissas!$B$112),1),Premissas!$B$111,0))</f>
        <v>-444124.897266356</v>
      </c>
      <c r="BG38" s="60" t="n">
        <f aca="false">-(BG10*(1-INDEX(Premissas!$C$70:$G$70,BG$7))*IF('Ajuste Mensal'!BG$16="",INDEX(Premissas!$C$67:$G$67,BG$7),'Ajuste Mensal'!BG$16)+IF(BG$4&gt;=Premissas!$B$110,IF('Ajuste Mensal'!BG$32="",INDEX(Premissas!$C$109:$G$109,BG$7),'Ajuste Mensal'!BG$32),0)+IF(BG$4=DATE(YEAR(Premissas!$B$112),MONTH(Premissas!$B$112),1),Premissas!$B$111,0))</f>
        <v>-444124.897266356</v>
      </c>
      <c r="BH38" s="60" t="n">
        <f aca="false">-(BH10*(1-INDEX(Premissas!$C$70:$G$70,BH$7))*IF('Ajuste Mensal'!BH$16="",INDEX(Premissas!$C$67:$G$67,BH$7),'Ajuste Mensal'!BH$16)+IF(BH$4&gt;=Premissas!$B$110,IF('Ajuste Mensal'!BH$32="",INDEX(Premissas!$C$109:$G$109,BH$7),'Ajuste Mensal'!BH$32),0)+IF(BH$4=DATE(YEAR(Premissas!$B$112),MONTH(Premissas!$B$112),1),Premissas!$B$111,0))</f>
        <v>-444124.897266356</v>
      </c>
      <c r="BI38" s="60" t="n">
        <f aca="false">-(BI10*(1-INDEX(Premissas!$C$70:$G$70,BI$7))*IF('Ajuste Mensal'!BI$16="",INDEX(Premissas!$C$67:$G$67,BI$7),'Ajuste Mensal'!BI$16)+IF(BI$4&gt;=Premissas!$B$110,IF('Ajuste Mensal'!BI$32="",INDEX(Premissas!$C$109:$G$109,BI$7),'Ajuste Mensal'!BI$32),0)+IF(BI$4=DATE(YEAR(Premissas!$B$112),MONTH(Premissas!$B$112),1),Premissas!$B$111,0))</f>
        <v>-444124.897266356</v>
      </c>
      <c r="BJ38" s="61" t="n">
        <f aca="false">SUM(B38:BI38)</f>
        <v>-11002127.4541991</v>
      </c>
    </row>
    <row r="39" customFormat="false" ht="15" hidden="false" customHeight="false" outlineLevel="0" collapsed="false">
      <c r="A39" s="27" t="s">
        <v>736</v>
      </c>
      <c r="B39" s="60" t="n">
        <f aca="false">-IF(B$4&gt;=Premissas!$B$107,IF('Ajuste Mensal'!B$33="",INDEX(Premissas!$C$108:$G$108,B$7),'Ajuste Mensal'!B$33),0)</f>
        <v>-0</v>
      </c>
      <c r="C39" s="60" t="n">
        <f aca="false">-IF(C$4&gt;=Premissas!$B$107,IF('Ajuste Mensal'!C$33="",INDEX(Premissas!$C$108:$G$108,C$7),'Ajuste Mensal'!C$33),0)</f>
        <v>-0</v>
      </c>
      <c r="D39" s="60" t="n">
        <f aca="false">-IF(D$4&gt;=Premissas!$B$107,IF('Ajuste Mensal'!D$33="",INDEX(Premissas!$C$108:$G$108,D$7),'Ajuste Mensal'!D$33),0)</f>
        <v>-0</v>
      </c>
      <c r="E39" s="60" t="n">
        <f aca="false">-IF(E$4&gt;=Premissas!$B$107,IF('Ajuste Mensal'!E$33="",INDEX(Premissas!$C$108:$G$108,E$7),'Ajuste Mensal'!E$33),0)</f>
        <v>-1500</v>
      </c>
      <c r="F39" s="60" t="n">
        <f aca="false">-IF(F$4&gt;=Premissas!$B$107,IF('Ajuste Mensal'!F$33="",INDEX(Premissas!$C$108:$G$108,F$7),'Ajuste Mensal'!F$33),0)</f>
        <v>-1500</v>
      </c>
      <c r="G39" s="60" t="n">
        <f aca="false">-IF(G$4&gt;=Premissas!$B$107,IF('Ajuste Mensal'!G$33="",INDEX(Premissas!$C$108:$G$108,G$7),'Ajuste Mensal'!G$33),0)</f>
        <v>-1500</v>
      </c>
      <c r="H39" s="60" t="n">
        <f aca="false">-IF(H$4&gt;=Premissas!$B$107,IF('Ajuste Mensal'!H$33="",INDEX(Premissas!$C$108:$G$108,H$7),'Ajuste Mensal'!H$33),0)</f>
        <v>-1500</v>
      </c>
      <c r="I39" s="60" t="n">
        <f aca="false">-IF(I$4&gt;=Premissas!$B$107,IF('Ajuste Mensal'!I$33="",INDEX(Premissas!$C$108:$G$108,I$7),'Ajuste Mensal'!I$33),0)</f>
        <v>-1500</v>
      </c>
      <c r="J39" s="60" t="n">
        <f aca="false">-IF(J$4&gt;=Premissas!$B$107,IF('Ajuste Mensal'!J$33="",INDEX(Premissas!$C$108:$G$108,J$7),'Ajuste Mensal'!J$33),0)</f>
        <v>-1500</v>
      </c>
      <c r="K39" s="60" t="n">
        <f aca="false">-IF(K$4&gt;=Premissas!$B$107,IF('Ajuste Mensal'!K$33="",INDEX(Premissas!$C$108:$G$108,K$7),'Ajuste Mensal'!K$33),0)</f>
        <v>-1500</v>
      </c>
      <c r="L39" s="60" t="n">
        <f aca="false">-IF(L$4&gt;=Premissas!$B$107,IF('Ajuste Mensal'!L$33="",INDEX(Premissas!$C$108:$G$108,L$7),'Ajuste Mensal'!L$33),0)</f>
        <v>-1500</v>
      </c>
      <c r="M39" s="60" t="n">
        <f aca="false">-IF(M$4&gt;=Premissas!$B$107,IF('Ajuste Mensal'!M$33="",INDEX(Premissas!$C$108:$G$108,M$7),'Ajuste Mensal'!M$33),0)</f>
        <v>-1500</v>
      </c>
      <c r="N39" s="60" t="n">
        <f aca="false">-IF(N$4&gt;=Premissas!$B$107,IF('Ajuste Mensal'!N$33="",INDEX(Premissas!$C$108:$G$108,N$7),'Ajuste Mensal'!N$33),0)</f>
        <v>-6000</v>
      </c>
      <c r="O39" s="60" t="n">
        <f aca="false">-IF(O$4&gt;=Premissas!$B$107,IF('Ajuste Mensal'!O$33="",INDEX(Premissas!$C$108:$G$108,O$7),'Ajuste Mensal'!O$33),0)</f>
        <v>-6000</v>
      </c>
      <c r="P39" s="60" t="n">
        <f aca="false">-IF(P$4&gt;=Premissas!$B$107,IF('Ajuste Mensal'!P$33="",INDEX(Premissas!$C$108:$G$108,P$7),'Ajuste Mensal'!P$33),0)</f>
        <v>-6000</v>
      </c>
      <c r="Q39" s="60" t="n">
        <f aca="false">-IF(Q$4&gt;=Premissas!$B$107,IF('Ajuste Mensal'!Q$33="",INDEX(Premissas!$C$108:$G$108,Q$7),'Ajuste Mensal'!Q$33),0)</f>
        <v>-6000</v>
      </c>
      <c r="R39" s="60" t="n">
        <f aca="false">-IF(R$4&gt;=Premissas!$B$107,IF('Ajuste Mensal'!R$33="",INDEX(Premissas!$C$108:$G$108,R$7),'Ajuste Mensal'!R$33),0)</f>
        <v>-6000</v>
      </c>
      <c r="S39" s="60" t="n">
        <f aca="false">-IF(S$4&gt;=Premissas!$B$107,IF('Ajuste Mensal'!S$33="",INDEX(Premissas!$C$108:$G$108,S$7),'Ajuste Mensal'!S$33),0)</f>
        <v>-6000</v>
      </c>
      <c r="T39" s="60" t="n">
        <f aca="false">-IF(T$4&gt;=Premissas!$B$107,IF('Ajuste Mensal'!T$33="",INDEX(Premissas!$C$108:$G$108,T$7),'Ajuste Mensal'!T$33),0)</f>
        <v>-6000</v>
      </c>
      <c r="U39" s="60" t="n">
        <f aca="false">-IF(U$4&gt;=Premissas!$B$107,IF('Ajuste Mensal'!U$33="",INDEX(Premissas!$C$108:$G$108,U$7),'Ajuste Mensal'!U$33),0)</f>
        <v>-6000</v>
      </c>
      <c r="V39" s="60" t="n">
        <f aca="false">-IF(V$4&gt;=Premissas!$B$107,IF('Ajuste Mensal'!V$33="",INDEX(Premissas!$C$108:$G$108,V$7),'Ajuste Mensal'!V$33),0)</f>
        <v>-6000</v>
      </c>
      <c r="W39" s="60" t="n">
        <f aca="false">-IF(W$4&gt;=Premissas!$B$107,IF('Ajuste Mensal'!W$33="",INDEX(Premissas!$C$108:$G$108,W$7),'Ajuste Mensal'!W$33),0)</f>
        <v>-6000</v>
      </c>
      <c r="X39" s="60" t="n">
        <f aca="false">-IF(X$4&gt;=Premissas!$B$107,IF('Ajuste Mensal'!X$33="",INDEX(Premissas!$C$108:$G$108,X$7),'Ajuste Mensal'!X$33),0)</f>
        <v>-6000</v>
      </c>
      <c r="Y39" s="60" t="n">
        <f aca="false">-IF(Y$4&gt;=Premissas!$B$107,IF('Ajuste Mensal'!Y$33="",INDEX(Premissas!$C$108:$G$108,Y$7),'Ajuste Mensal'!Y$33),0)</f>
        <v>-6000</v>
      </c>
      <c r="Z39" s="60" t="n">
        <f aca="false">-IF(Z$4&gt;=Premissas!$B$107,IF('Ajuste Mensal'!Z$33="",INDEX(Premissas!$C$108:$G$108,Z$7),'Ajuste Mensal'!Z$33),0)</f>
        <v>-25000</v>
      </c>
      <c r="AA39" s="60" t="n">
        <f aca="false">-IF(AA$4&gt;=Premissas!$B$107,IF('Ajuste Mensal'!AA$33="",INDEX(Premissas!$C$108:$G$108,AA$7),'Ajuste Mensal'!AA$33),0)</f>
        <v>-25000</v>
      </c>
      <c r="AB39" s="60" t="n">
        <f aca="false">-IF(AB$4&gt;=Premissas!$B$107,IF('Ajuste Mensal'!AB$33="",INDEX(Premissas!$C$108:$G$108,AB$7),'Ajuste Mensal'!AB$33),0)</f>
        <v>-25000</v>
      </c>
      <c r="AC39" s="60" t="n">
        <f aca="false">-IF(AC$4&gt;=Premissas!$B$107,IF('Ajuste Mensal'!AC$33="",INDEX(Premissas!$C$108:$G$108,AC$7),'Ajuste Mensal'!AC$33),0)</f>
        <v>-25000</v>
      </c>
      <c r="AD39" s="60" t="n">
        <f aca="false">-IF(AD$4&gt;=Premissas!$B$107,IF('Ajuste Mensal'!AD$33="",INDEX(Premissas!$C$108:$G$108,AD$7),'Ajuste Mensal'!AD$33),0)</f>
        <v>-25000</v>
      </c>
      <c r="AE39" s="60" t="n">
        <f aca="false">-IF(AE$4&gt;=Premissas!$B$107,IF('Ajuste Mensal'!AE$33="",INDEX(Premissas!$C$108:$G$108,AE$7),'Ajuste Mensal'!AE$33),0)</f>
        <v>-25000</v>
      </c>
      <c r="AF39" s="60" t="n">
        <f aca="false">-IF(AF$4&gt;=Premissas!$B$107,IF('Ajuste Mensal'!AF$33="",INDEX(Premissas!$C$108:$G$108,AF$7),'Ajuste Mensal'!AF$33),0)</f>
        <v>-25000</v>
      </c>
      <c r="AG39" s="60" t="n">
        <f aca="false">-IF(AG$4&gt;=Premissas!$B$107,IF('Ajuste Mensal'!AG$33="",INDEX(Premissas!$C$108:$G$108,AG$7),'Ajuste Mensal'!AG$33),0)</f>
        <v>-25000</v>
      </c>
      <c r="AH39" s="60" t="n">
        <f aca="false">-IF(AH$4&gt;=Premissas!$B$107,IF('Ajuste Mensal'!AH$33="",INDEX(Premissas!$C$108:$G$108,AH$7),'Ajuste Mensal'!AH$33),0)</f>
        <v>-25000</v>
      </c>
      <c r="AI39" s="60" t="n">
        <f aca="false">-IF(AI$4&gt;=Premissas!$B$107,IF('Ajuste Mensal'!AI$33="",INDEX(Premissas!$C$108:$G$108,AI$7),'Ajuste Mensal'!AI$33),0)</f>
        <v>-25000</v>
      </c>
      <c r="AJ39" s="60" t="n">
        <f aca="false">-IF(AJ$4&gt;=Premissas!$B$107,IF('Ajuste Mensal'!AJ$33="",INDEX(Premissas!$C$108:$G$108,AJ$7),'Ajuste Mensal'!AJ$33),0)</f>
        <v>-25000</v>
      </c>
      <c r="AK39" s="60" t="n">
        <f aca="false">-IF(AK$4&gt;=Premissas!$B$107,IF('Ajuste Mensal'!AK$33="",INDEX(Premissas!$C$108:$G$108,AK$7),'Ajuste Mensal'!AK$33),0)</f>
        <v>-25000</v>
      </c>
      <c r="AL39" s="60" t="n">
        <f aca="false">-IF(AL$4&gt;=Premissas!$B$107,IF('Ajuste Mensal'!AL$33="",INDEX(Premissas!$C$108:$G$108,AL$7),'Ajuste Mensal'!AL$33),0)</f>
        <v>-60000</v>
      </c>
      <c r="AM39" s="60" t="n">
        <f aca="false">-IF(AM$4&gt;=Premissas!$B$107,IF('Ajuste Mensal'!AM$33="",INDEX(Premissas!$C$108:$G$108,AM$7),'Ajuste Mensal'!AM$33),0)</f>
        <v>-60000</v>
      </c>
      <c r="AN39" s="60" t="n">
        <f aca="false">-IF(AN$4&gt;=Premissas!$B$107,IF('Ajuste Mensal'!AN$33="",INDEX(Premissas!$C$108:$G$108,AN$7),'Ajuste Mensal'!AN$33),0)</f>
        <v>-60000</v>
      </c>
      <c r="AO39" s="60" t="n">
        <f aca="false">-IF(AO$4&gt;=Premissas!$B$107,IF('Ajuste Mensal'!AO$33="",INDEX(Premissas!$C$108:$G$108,AO$7),'Ajuste Mensal'!AO$33),0)</f>
        <v>-60000</v>
      </c>
      <c r="AP39" s="60" t="n">
        <f aca="false">-IF(AP$4&gt;=Premissas!$B$107,IF('Ajuste Mensal'!AP$33="",INDEX(Premissas!$C$108:$G$108,AP$7),'Ajuste Mensal'!AP$33),0)</f>
        <v>-60000</v>
      </c>
      <c r="AQ39" s="60" t="n">
        <f aca="false">-IF(AQ$4&gt;=Premissas!$B$107,IF('Ajuste Mensal'!AQ$33="",INDEX(Premissas!$C$108:$G$108,AQ$7),'Ajuste Mensal'!AQ$33),0)</f>
        <v>-60000</v>
      </c>
      <c r="AR39" s="60" t="n">
        <f aca="false">-IF(AR$4&gt;=Premissas!$B$107,IF('Ajuste Mensal'!AR$33="",INDEX(Premissas!$C$108:$G$108,AR$7),'Ajuste Mensal'!AR$33),0)</f>
        <v>-60000</v>
      </c>
      <c r="AS39" s="60" t="n">
        <f aca="false">-IF(AS$4&gt;=Premissas!$B$107,IF('Ajuste Mensal'!AS$33="",INDEX(Premissas!$C$108:$G$108,AS$7),'Ajuste Mensal'!AS$33),0)</f>
        <v>-60000</v>
      </c>
      <c r="AT39" s="60" t="n">
        <f aca="false">-IF(AT$4&gt;=Premissas!$B$107,IF('Ajuste Mensal'!AT$33="",INDEX(Premissas!$C$108:$G$108,AT$7),'Ajuste Mensal'!AT$33),0)</f>
        <v>-60000</v>
      </c>
      <c r="AU39" s="60" t="n">
        <f aca="false">-IF(AU$4&gt;=Premissas!$B$107,IF('Ajuste Mensal'!AU$33="",INDEX(Premissas!$C$108:$G$108,AU$7),'Ajuste Mensal'!AU$33),0)</f>
        <v>-60000</v>
      </c>
      <c r="AV39" s="60" t="n">
        <f aca="false">-IF(AV$4&gt;=Premissas!$B$107,IF('Ajuste Mensal'!AV$33="",INDEX(Premissas!$C$108:$G$108,AV$7),'Ajuste Mensal'!AV$33),0)</f>
        <v>-60000</v>
      </c>
      <c r="AW39" s="60" t="n">
        <f aca="false">-IF(AW$4&gt;=Premissas!$B$107,IF('Ajuste Mensal'!AW$33="",INDEX(Premissas!$C$108:$G$108,AW$7),'Ajuste Mensal'!AW$33),0)</f>
        <v>-60000</v>
      </c>
      <c r="AX39" s="60" t="n">
        <f aca="false">-IF(AX$4&gt;=Premissas!$B$107,IF('Ajuste Mensal'!AX$33="",INDEX(Premissas!$C$108:$G$108,AX$7),'Ajuste Mensal'!AX$33),0)</f>
        <v>-110000</v>
      </c>
      <c r="AY39" s="60" t="n">
        <f aca="false">-IF(AY$4&gt;=Premissas!$B$107,IF('Ajuste Mensal'!AY$33="",INDEX(Premissas!$C$108:$G$108,AY$7),'Ajuste Mensal'!AY$33),0)</f>
        <v>-110000</v>
      </c>
      <c r="AZ39" s="60" t="n">
        <f aca="false">-IF(AZ$4&gt;=Premissas!$B$107,IF('Ajuste Mensal'!AZ$33="",INDEX(Premissas!$C$108:$G$108,AZ$7),'Ajuste Mensal'!AZ$33),0)</f>
        <v>-110000</v>
      </c>
      <c r="BA39" s="60" t="n">
        <f aca="false">-IF(BA$4&gt;=Premissas!$B$107,IF('Ajuste Mensal'!BA$33="",INDEX(Premissas!$C$108:$G$108,BA$7),'Ajuste Mensal'!BA$33),0)</f>
        <v>-110000</v>
      </c>
      <c r="BB39" s="60" t="n">
        <f aca="false">-IF(BB$4&gt;=Premissas!$B$107,IF('Ajuste Mensal'!BB$33="",INDEX(Premissas!$C$108:$G$108,BB$7),'Ajuste Mensal'!BB$33),0)</f>
        <v>-110000</v>
      </c>
      <c r="BC39" s="60" t="n">
        <f aca="false">-IF(BC$4&gt;=Premissas!$B$107,IF('Ajuste Mensal'!BC$33="",INDEX(Premissas!$C$108:$G$108,BC$7),'Ajuste Mensal'!BC$33),0)</f>
        <v>-110000</v>
      </c>
      <c r="BD39" s="60" t="n">
        <f aca="false">-IF(BD$4&gt;=Premissas!$B$107,IF('Ajuste Mensal'!BD$33="",INDEX(Premissas!$C$108:$G$108,BD$7),'Ajuste Mensal'!BD$33),0)</f>
        <v>-110000</v>
      </c>
      <c r="BE39" s="60" t="n">
        <f aca="false">-IF(BE$4&gt;=Premissas!$B$107,IF('Ajuste Mensal'!BE$33="",INDEX(Premissas!$C$108:$G$108,BE$7),'Ajuste Mensal'!BE$33),0)</f>
        <v>-110000</v>
      </c>
      <c r="BF39" s="60" t="n">
        <f aca="false">-IF(BF$4&gt;=Premissas!$B$107,IF('Ajuste Mensal'!BF$33="",INDEX(Premissas!$C$108:$G$108,BF$7),'Ajuste Mensal'!BF$33),0)</f>
        <v>-110000</v>
      </c>
      <c r="BG39" s="60" t="n">
        <f aca="false">-IF(BG$4&gt;=Premissas!$B$107,IF('Ajuste Mensal'!BG$33="",INDEX(Premissas!$C$108:$G$108,BG$7),'Ajuste Mensal'!BG$33),0)</f>
        <v>-110000</v>
      </c>
      <c r="BH39" s="60" t="n">
        <f aca="false">-IF(BH$4&gt;=Premissas!$B$107,IF('Ajuste Mensal'!BH$33="",INDEX(Premissas!$C$108:$G$108,BH$7),'Ajuste Mensal'!BH$33),0)</f>
        <v>-110000</v>
      </c>
      <c r="BI39" s="60" t="n">
        <f aca="false">-IF(BI$4&gt;=Premissas!$B$107,IF('Ajuste Mensal'!BI$33="",INDEX(Premissas!$C$108:$G$108,BI$7),'Ajuste Mensal'!BI$33),0)</f>
        <v>-110000</v>
      </c>
      <c r="BJ39" s="61" t="n">
        <f aca="false">SUM(B39:BI39)</f>
        <v>-2425500</v>
      </c>
    </row>
    <row r="40" customFormat="false" ht="15" hidden="false" customHeight="false" outlineLevel="0" collapsed="false">
      <c r="A40" s="62" t="s">
        <v>883</v>
      </c>
      <c r="B40" s="61" t="n">
        <f aca="false">SUM(B34:B39)</f>
        <v>0</v>
      </c>
      <c r="C40" s="61" t="n">
        <f aca="false">SUM(C34:C39)</f>
        <v>0</v>
      </c>
      <c r="D40" s="61" t="n">
        <f aca="false">SUM(D34:D39)</f>
        <v>0</v>
      </c>
      <c r="E40" s="61" t="n">
        <f aca="false">SUM(E34:E39)</f>
        <v>-1500</v>
      </c>
      <c r="F40" s="61" t="n">
        <f aca="false">SUM(F34:F39)</f>
        <v>-2100</v>
      </c>
      <c r="G40" s="61" t="n">
        <f aca="false">SUM(G34:G39)</f>
        <v>-2100</v>
      </c>
      <c r="H40" s="61" t="n">
        <f aca="false">SUM(H34:H39)</f>
        <v>-2100</v>
      </c>
      <c r="I40" s="61" t="n">
        <f aca="false">SUM(I34:I39)</f>
        <v>-2100</v>
      </c>
      <c r="J40" s="61" t="n">
        <f aca="false">SUM(J34:J39)</f>
        <v>-2100</v>
      </c>
      <c r="K40" s="61" t="n">
        <f aca="false">SUM(K34:K39)</f>
        <v>-60060.24805</v>
      </c>
      <c r="L40" s="61" t="n">
        <f aca="false">SUM(L34:L39)</f>
        <v>-33384.01145</v>
      </c>
      <c r="M40" s="61" t="n">
        <f aca="false">SUM(M34:M39)</f>
        <v>-30666.171075</v>
      </c>
      <c r="N40" s="61" t="n">
        <f aca="false">SUM(N34:N39)</f>
        <v>-101950.7056932</v>
      </c>
      <c r="O40" s="61" t="n">
        <f aca="false">SUM(O34:O39)</f>
        <v>-94729.8616713888</v>
      </c>
      <c r="P40" s="61" t="n">
        <f aca="false">SUM(P34:P39)</f>
        <v>-86396.6278780075</v>
      </c>
      <c r="Q40" s="61" t="n">
        <f aca="false">SUM(Q34:Q39)</f>
        <v>-74578.7389671587</v>
      </c>
      <c r="R40" s="61" t="n">
        <f aca="false">SUM(R34:R39)</f>
        <v>-69973.7986713035</v>
      </c>
      <c r="S40" s="61" t="n">
        <f aca="false">SUM(S34:S39)</f>
        <v>-66341.9373804025</v>
      </c>
      <c r="T40" s="61" t="n">
        <f aca="false">SUM(T34:T39)</f>
        <v>-62981.2448762961</v>
      </c>
      <c r="U40" s="61" t="n">
        <f aca="false">SUM(U34:U39)</f>
        <v>-60035.1163465257</v>
      </c>
      <c r="V40" s="61" t="n">
        <f aca="false">SUM(V34:V39)</f>
        <v>-57444.9561012669</v>
      </c>
      <c r="W40" s="61" t="n">
        <f aca="false">SUM(W34:W39)</f>
        <v>-45626.0851354744</v>
      </c>
      <c r="X40" s="61" t="n">
        <f aca="false">SUM(X34:X39)</f>
        <v>-43169.480472945</v>
      </c>
      <c r="Y40" s="61" t="n">
        <f aca="false">SUM(Y34:Y39)</f>
        <v>-41013.9862831956</v>
      </c>
      <c r="Z40" s="61" t="n">
        <f aca="false">SUM(Z34:Z39)</f>
        <v>-186453.627171172</v>
      </c>
      <c r="AA40" s="61" t="n">
        <f aca="false">SUM(AA34:AA39)</f>
        <v>-179647.297770951</v>
      </c>
      <c r="AB40" s="61" t="n">
        <f aca="false">SUM(AB34:AB39)</f>
        <v>-173435.277725376</v>
      </c>
      <c r="AC40" s="61" t="n">
        <f aca="false">SUM(AC34:AC39)</f>
        <v>-167763.346454359</v>
      </c>
      <c r="AD40" s="61" t="n">
        <f aca="false">SUM(AD34:AD39)</f>
        <v>-162661.461116305</v>
      </c>
      <c r="AE40" s="61" t="n">
        <f aca="false">SUM(AE34:AE39)</f>
        <v>-158001.677562864</v>
      </c>
      <c r="AF40" s="61" t="n">
        <f aca="false">SUM(AF34:AF39)</f>
        <v>-153773.878783304</v>
      </c>
      <c r="AG40" s="61" t="n">
        <f aca="false">SUM(AG34:AG39)</f>
        <v>-150076.005535467</v>
      </c>
      <c r="AH40" s="61" t="n">
        <f aca="false">SUM(AH34:AH39)</f>
        <v>-146987.130404721</v>
      </c>
      <c r="AI40" s="61" t="n">
        <f aca="false">SUM(AI34:AI39)</f>
        <v>-144171.247482019</v>
      </c>
      <c r="AJ40" s="61" t="n">
        <f aca="false">SUM(AJ34:AJ39)</f>
        <v>-141576.410938751</v>
      </c>
      <c r="AK40" s="61" t="n">
        <f aca="false">SUM(AK34:AK39)</f>
        <v>-139222.803549085</v>
      </c>
      <c r="AL40" s="61" t="n">
        <f aca="false">SUM(AL34:AL39)</f>
        <v>-395146.998765687</v>
      </c>
      <c r="AM40" s="61" t="n">
        <f aca="false">SUM(AM34:AM39)</f>
        <v>-384876.785848137</v>
      </c>
      <c r="AN40" s="61" t="n">
        <f aca="false">SUM(AN34:AN39)</f>
        <v>-375574.034745067</v>
      </c>
      <c r="AO40" s="61" t="n">
        <f aca="false">SUM(AO34:AO39)</f>
        <v>-315540.96621936</v>
      </c>
      <c r="AP40" s="61" t="n">
        <f aca="false">SUM(AP34:AP39)</f>
        <v>-308324.919687276</v>
      </c>
      <c r="AQ40" s="61" t="n">
        <f aca="false">SUM(AQ34:AQ39)</f>
        <v>-301702.772394756</v>
      </c>
      <c r="AR40" s="61" t="n">
        <f aca="false">SUM(AR34:AR39)</f>
        <v>-269868.413959462</v>
      </c>
      <c r="AS40" s="61" t="n">
        <f aca="false">SUM(AS34:AS39)</f>
        <v>-267758.194373047</v>
      </c>
      <c r="AT40" s="61" t="n">
        <f aca="false">SUM(AT34:AT39)</f>
        <v>-265950.254155656</v>
      </c>
      <c r="AU40" s="61" t="n">
        <f aca="false">SUM(AU34:AU39)</f>
        <v>-264368.995819022</v>
      </c>
      <c r="AV40" s="61" t="n">
        <f aca="false">SUM(AV34:AV39)</f>
        <v>-262940.733911178</v>
      </c>
      <c r="AW40" s="61" t="n">
        <f aca="false">SUM(AW34:AW39)</f>
        <v>-245794.764729917</v>
      </c>
      <c r="AX40" s="61" t="n">
        <f aca="false">SUM(AX34:AX39)</f>
        <v>-529919.297871865</v>
      </c>
      <c r="AY40" s="61" t="n">
        <f aca="false">SUM(AY34:AY39)</f>
        <v>-511125.753247605</v>
      </c>
      <c r="AZ40" s="61" t="n">
        <f aca="false">SUM(AZ34:AZ39)</f>
        <v>-493964.337179266</v>
      </c>
      <c r="BA40" s="61" t="n">
        <f aca="false">SUM(BA34:BA39)</f>
        <v>-478241.951753745</v>
      </c>
      <c r="BB40" s="61" t="n">
        <f aca="false">SUM(BB34:BB39)</f>
        <v>-463901.222975941</v>
      </c>
      <c r="BC40" s="61" t="n">
        <f aca="false">SUM(BC34:BC39)</f>
        <v>-450730.272416847</v>
      </c>
      <c r="BD40" s="61" t="n">
        <f aca="false">SUM(BD34:BD39)</f>
        <v>-438707.703500068</v>
      </c>
      <c r="BE40" s="61" t="n">
        <f aca="false">SUM(BE34:BE39)</f>
        <v>-427675.889491079</v>
      </c>
      <c r="BF40" s="61" t="n">
        <f aca="false">SUM(BF34:BF39)</f>
        <v>-417595.295434807</v>
      </c>
      <c r="BG40" s="61" t="n">
        <f aca="false">SUM(BG34:BG39)</f>
        <v>-408394.105759594</v>
      </c>
      <c r="BH40" s="61" t="n">
        <f aca="false">SUM(BH34:BH39)</f>
        <v>-399931.359979017</v>
      </c>
      <c r="BI40" s="61" t="n">
        <f aca="false">SUM(BI34:BI39)</f>
        <v>-392239.045839202</v>
      </c>
      <c r="BJ40" s="61" t="n">
        <f aca="false">SUM(B40:BI40)</f>
        <v>-11914397.2046041</v>
      </c>
    </row>
    <row r="41" customFormat="false" ht="15" hidden="false" customHeight="false" outlineLevel="0" collapsed="false">
      <c r="A41" s="27" t="s">
        <v>884</v>
      </c>
      <c r="B41" s="60" t="n">
        <f aca="false">-Investimentos!B25</f>
        <v>-0</v>
      </c>
      <c r="C41" s="60" t="n">
        <f aca="false">-Investimentos!C25</f>
        <v>-0</v>
      </c>
      <c r="D41" s="60" t="n">
        <f aca="false">-Investimentos!D25</f>
        <v>-0</v>
      </c>
      <c r="E41" s="60" t="n">
        <f aca="false">-Investimentos!E25</f>
        <v>-0</v>
      </c>
      <c r="F41" s="60" t="n">
        <f aca="false">-Investimentos!F25</f>
        <v>-6000</v>
      </c>
      <c r="G41" s="60" t="n">
        <f aca="false">-Investimentos!G25</f>
        <v>-0</v>
      </c>
      <c r="H41" s="60" t="n">
        <f aca="false">-Investimentos!H25</f>
        <v>-0</v>
      </c>
      <c r="I41" s="60" t="n">
        <f aca="false">-Investimentos!I25</f>
        <v>-9127.82</v>
      </c>
      <c r="J41" s="60" t="n">
        <f aca="false">-Investimentos!J25</f>
        <v>-10500</v>
      </c>
      <c r="K41" s="60" t="n">
        <f aca="false">-Investimentos!K25</f>
        <v>-10500</v>
      </c>
      <c r="L41" s="60" t="n">
        <f aca="false">-Investimentos!L25</f>
        <v>-0</v>
      </c>
      <c r="M41" s="60" t="n">
        <f aca="false">-Investimentos!M25</f>
        <v>-0</v>
      </c>
      <c r="N41" s="60" t="n">
        <f aca="false">-Investimentos!N25</f>
        <v>-0</v>
      </c>
      <c r="O41" s="60" t="n">
        <f aca="false">-Investimentos!O25</f>
        <v>-0</v>
      </c>
      <c r="P41" s="60" t="n">
        <f aca="false">-Investimentos!P25</f>
        <v>-12000</v>
      </c>
      <c r="Q41" s="60" t="n">
        <f aca="false">-Investimentos!Q25</f>
        <v>-0</v>
      </c>
      <c r="R41" s="60" t="n">
        <f aca="false">-Investimentos!R25</f>
        <v>-0</v>
      </c>
      <c r="S41" s="60" t="n">
        <f aca="false">-Investimentos!S25</f>
        <v>-6000</v>
      </c>
      <c r="T41" s="60" t="n">
        <f aca="false">-Investimentos!T25</f>
        <v>-25000</v>
      </c>
      <c r="U41" s="60" t="n">
        <f aca="false">-Investimentos!U25</f>
        <v>-0</v>
      </c>
      <c r="V41" s="60" t="n">
        <f aca="false">-Investimentos!V25</f>
        <v>-0</v>
      </c>
      <c r="W41" s="60" t="n">
        <f aca="false">-Investimentos!W25</f>
        <v>-0</v>
      </c>
      <c r="X41" s="60" t="n">
        <f aca="false">-Investimentos!X25</f>
        <v>-0</v>
      </c>
      <c r="Y41" s="60" t="n">
        <f aca="false">-Investimentos!Y25</f>
        <v>-0</v>
      </c>
      <c r="Z41" s="60" t="n">
        <f aca="false">-Investimentos!Z25</f>
        <v>-0</v>
      </c>
      <c r="AA41" s="60" t="n">
        <f aca="false">-Investimentos!AA25</f>
        <v>-0</v>
      </c>
      <c r="AB41" s="60" t="n">
        <f aca="false">-Investimentos!AB25</f>
        <v>-0</v>
      </c>
      <c r="AC41" s="60" t="n">
        <f aca="false">-Investimentos!AC25</f>
        <v>-0</v>
      </c>
      <c r="AD41" s="60" t="n">
        <f aca="false">-Investimentos!AD25</f>
        <v>-0</v>
      </c>
      <c r="AE41" s="60" t="n">
        <f aca="false">-Investimentos!AE25</f>
        <v>-15000</v>
      </c>
      <c r="AF41" s="60" t="n">
        <f aca="false">-Investimentos!AF25</f>
        <v>-0</v>
      </c>
      <c r="AG41" s="60" t="n">
        <f aca="false">-Investimentos!AG25</f>
        <v>-0</v>
      </c>
      <c r="AH41" s="60" t="n">
        <f aca="false">-Investimentos!AH25</f>
        <v>-0</v>
      </c>
      <c r="AI41" s="60" t="n">
        <f aca="false">-Investimentos!AI25</f>
        <v>-0</v>
      </c>
      <c r="AJ41" s="60" t="n">
        <f aca="false">-Investimentos!AJ25</f>
        <v>-0</v>
      </c>
      <c r="AK41" s="60" t="n">
        <f aca="false">-Investimentos!AK25</f>
        <v>-0</v>
      </c>
      <c r="AL41" s="60" t="n">
        <f aca="false">-Investimentos!AL25</f>
        <v>-0</v>
      </c>
      <c r="AM41" s="60" t="n">
        <f aca="false">-Investimentos!AM25</f>
        <v>-0</v>
      </c>
      <c r="AN41" s="60" t="n">
        <f aca="false">-Investimentos!AN25</f>
        <v>-0</v>
      </c>
      <c r="AO41" s="60" t="n">
        <f aca="false">-Investimentos!AO25</f>
        <v>-0</v>
      </c>
      <c r="AP41" s="60" t="n">
        <f aca="false">-Investimentos!AP25</f>
        <v>-0</v>
      </c>
      <c r="AQ41" s="60" t="n">
        <f aca="false">-Investimentos!AQ25</f>
        <v>-25000</v>
      </c>
      <c r="AR41" s="60" t="n">
        <f aca="false">-Investimentos!AR25</f>
        <v>-0</v>
      </c>
      <c r="AS41" s="60" t="n">
        <f aca="false">-Investimentos!AS25</f>
        <v>-0</v>
      </c>
      <c r="AT41" s="60" t="n">
        <f aca="false">-Investimentos!AT25</f>
        <v>-0</v>
      </c>
      <c r="AU41" s="60" t="n">
        <f aca="false">-Investimentos!AU25</f>
        <v>-0</v>
      </c>
      <c r="AV41" s="60" t="n">
        <f aca="false">-Investimentos!AV25</f>
        <v>-0</v>
      </c>
      <c r="AW41" s="60" t="n">
        <f aca="false">-Investimentos!AW25</f>
        <v>-0</v>
      </c>
      <c r="AX41" s="60" t="n">
        <f aca="false">-Investimentos!AX25</f>
        <v>-0</v>
      </c>
      <c r="AY41" s="60" t="n">
        <f aca="false">-Investimentos!AY25</f>
        <v>-0</v>
      </c>
      <c r="AZ41" s="60" t="n">
        <f aca="false">-Investimentos!AZ25</f>
        <v>-0</v>
      </c>
      <c r="BA41" s="60" t="n">
        <f aca="false">-Investimentos!BA25</f>
        <v>-0</v>
      </c>
      <c r="BB41" s="60" t="n">
        <f aca="false">-Investimentos!BB25</f>
        <v>-0</v>
      </c>
      <c r="BC41" s="60" t="n">
        <f aca="false">-Investimentos!BC25</f>
        <v>-30000</v>
      </c>
      <c r="BD41" s="60" t="n">
        <f aca="false">-Investimentos!BD25</f>
        <v>-0</v>
      </c>
      <c r="BE41" s="60" t="n">
        <f aca="false">-Investimentos!BE25</f>
        <v>-0</v>
      </c>
      <c r="BF41" s="60" t="n">
        <f aca="false">-Investimentos!BF25</f>
        <v>-0</v>
      </c>
      <c r="BG41" s="60" t="n">
        <f aca="false">-Investimentos!BG25</f>
        <v>-0</v>
      </c>
      <c r="BH41" s="60" t="n">
        <f aca="false">-Investimentos!BH25</f>
        <v>-0</v>
      </c>
      <c r="BI41" s="60" t="n">
        <f aca="false">-Investimentos!BI25</f>
        <v>-0</v>
      </c>
      <c r="BJ41" s="61" t="n">
        <f aca="false">SUM(B41:BI41)</f>
        <v>-149127.82</v>
      </c>
    </row>
    <row r="42" customFormat="false" ht="15" hidden="false" customHeight="false" outlineLevel="0" collapsed="false">
      <c r="A42" s="62" t="s">
        <v>785</v>
      </c>
      <c r="B42" s="61" t="n">
        <f aca="false">B40+B41</f>
        <v>0</v>
      </c>
      <c r="C42" s="61" t="n">
        <f aca="false">C40+C41</f>
        <v>0</v>
      </c>
      <c r="D42" s="61" t="n">
        <f aca="false">D40+D41</f>
        <v>0</v>
      </c>
      <c r="E42" s="61" t="n">
        <f aca="false">E40+E41</f>
        <v>-1500</v>
      </c>
      <c r="F42" s="61" t="n">
        <f aca="false">F40+F41</f>
        <v>-8100</v>
      </c>
      <c r="G42" s="61" t="n">
        <f aca="false">G40+G41</f>
        <v>-2100</v>
      </c>
      <c r="H42" s="61" t="n">
        <f aca="false">H40+H41</f>
        <v>-2100</v>
      </c>
      <c r="I42" s="61" t="n">
        <f aca="false">I40+I41</f>
        <v>-11227.82</v>
      </c>
      <c r="J42" s="61" t="n">
        <f aca="false">J40+J41</f>
        <v>-12600</v>
      </c>
      <c r="K42" s="61" t="n">
        <f aca="false">K40+K41</f>
        <v>-70560.24805</v>
      </c>
      <c r="L42" s="61" t="n">
        <f aca="false">L40+L41</f>
        <v>-33384.01145</v>
      </c>
      <c r="M42" s="61" t="n">
        <f aca="false">M40+M41</f>
        <v>-30666.171075</v>
      </c>
      <c r="N42" s="61" t="n">
        <f aca="false">N40+N41</f>
        <v>-101950.7056932</v>
      </c>
      <c r="O42" s="61" t="n">
        <f aca="false">O40+O41</f>
        <v>-94729.8616713888</v>
      </c>
      <c r="P42" s="61" t="n">
        <f aca="false">P40+P41</f>
        <v>-98396.6278780075</v>
      </c>
      <c r="Q42" s="61" t="n">
        <f aca="false">Q40+Q41</f>
        <v>-74578.7389671587</v>
      </c>
      <c r="R42" s="61" t="n">
        <f aca="false">R40+R41</f>
        <v>-69973.7986713035</v>
      </c>
      <c r="S42" s="61" t="n">
        <f aca="false">S40+S41</f>
        <v>-72341.9373804025</v>
      </c>
      <c r="T42" s="61" t="n">
        <f aca="false">T40+T41</f>
        <v>-87981.2448762961</v>
      </c>
      <c r="U42" s="61" t="n">
        <f aca="false">U40+U41</f>
        <v>-60035.1163465257</v>
      </c>
      <c r="V42" s="61" t="n">
        <f aca="false">V40+V41</f>
        <v>-57444.9561012669</v>
      </c>
      <c r="W42" s="61" t="n">
        <f aca="false">W40+W41</f>
        <v>-45626.0851354744</v>
      </c>
      <c r="X42" s="61" t="n">
        <f aca="false">X40+X41</f>
        <v>-43169.480472945</v>
      </c>
      <c r="Y42" s="61" t="n">
        <f aca="false">Y40+Y41</f>
        <v>-41013.9862831956</v>
      </c>
      <c r="Z42" s="61" t="n">
        <f aca="false">Z40+Z41</f>
        <v>-186453.627171172</v>
      </c>
      <c r="AA42" s="61" t="n">
        <f aca="false">AA40+AA41</f>
        <v>-179647.297770951</v>
      </c>
      <c r="AB42" s="61" t="n">
        <f aca="false">AB40+AB41</f>
        <v>-173435.277725376</v>
      </c>
      <c r="AC42" s="61" t="n">
        <f aca="false">AC40+AC41</f>
        <v>-167763.346454359</v>
      </c>
      <c r="AD42" s="61" t="n">
        <f aca="false">AD40+AD41</f>
        <v>-162661.461116305</v>
      </c>
      <c r="AE42" s="61" t="n">
        <f aca="false">AE40+AE41</f>
        <v>-173001.677562864</v>
      </c>
      <c r="AF42" s="61" t="n">
        <f aca="false">AF40+AF41</f>
        <v>-153773.878783304</v>
      </c>
      <c r="AG42" s="61" t="n">
        <f aca="false">AG40+AG41</f>
        <v>-150076.005535467</v>
      </c>
      <c r="AH42" s="61" t="n">
        <f aca="false">AH40+AH41</f>
        <v>-146987.130404721</v>
      </c>
      <c r="AI42" s="61" t="n">
        <f aca="false">AI40+AI41</f>
        <v>-144171.247482019</v>
      </c>
      <c r="AJ42" s="61" t="n">
        <f aca="false">AJ40+AJ41</f>
        <v>-141576.410938751</v>
      </c>
      <c r="AK42" s="61" t="n">
        <f aca="false">AK40+AK41</f>
        <v>-139222.803549085</v>
      </c>
      <c r="AL42" s="61" t="n">
        <f aca="false">AL40+AL41</f>
        <v>-395146.998765687</v>
      </c>
      <c r="AM42" s="61" t="n">
        <f aca="false">AM40+AM41</f>
        <v>-384876.785848137</v>
      </c>
      <c r="AN42" s="61" t="n">
        <f aca="false">AN40+AN41</f>
        <v>-375574.034745067</v>
      </c>
      <c r="AO42" s="61" t="n">
        <f aca="false">AO40+AO41</f>
        <v>-315540.96621936</v>
      </c>
      <c r="AP42" s="61" t="n">
        <f aca="false">AP40+AP41</f>
        <v>-308324.919687276</v>
      </c>
      <c r="AQ42" s="61" t="n">
        <f aca="false">AQ40+AQ41</f>
        <v>-326702.772394756</v>
      </c>
      <c r="AR42" s="61" t="n">
        <f aca="false">AR40+AR41</f>
        <v>-269868.413959462</v>
      </c>
      <c r="AS42" s="61" t="n">
        <f aca="false">AS40+AS41</f>
        <v>-267758.194373047</v>
      </c>
      <c r="AT42" s="61" t="n">
        <f aca="false">AT40+AT41</f>
        <v>-265950.254155656</v>
      </c>
      <c r="AU42" s="61" t="n">
        <f aca="false">AU40+AU41</f>
        <v>-264368.995819022</v>
      </c>
      <c r="AV42" s="61" t="n">
        <f aca="false">AV40+AV41</f>
        <v>-262940.733911178</v>
      </c>
      <c r="AW42" s="61" t="n">
        <f aca="false">AW40+AW41</f>
        <v>-245794.764729917</v>
      </c>
      <c r="AX42" s="61" t="n">
        <f aca="false">AX40+AX41</f>
        <v>-529919.297871865</v>
      </c>
      <c r="AY42" s="61" t="n">
        <f aca="false">AY40+AY41</f>
        <v>-511125.753247605</v>
      </c>
      <c r="AZ42" s="61" t="n">
        <f aca="false">AZ40+AZ41</f>
        <v>-493964.337179266</v>
      </c>
      <c r="BA42" s="61" t="n">
        <f aca="false">BA40+BA41</f>
        <v>-478241.951753745</v>
      </c>
      <c r="BB42" s="61" t="n">
        <f aca="false">BB40+BB41</f>
        <v>-463901.222975941</v>
      </c>
      <c r="BC42" s="61" t="n">
        <f aca="false">BC40+BC41</f>
        <v>-480730.272416847</v>
      </c>
      <c r="BD42" s="61" t="n">
        <f aca="false">BD40+BD41</f>
        <v>-438707.703500068</v>
      </c>
      <c r="BE42" s="61" t="n">
        <f aca="false">BE40+BE41</f>
        <v>-427675.889491079</v>
      </c>
      <c r="BF42" s="61" t="n">
        <f aca="false">BF40+BF41</f>
        <v>-417595.295434807</v>
      </c>
      <c r="BG42" s="61" t="n">
        <f aca="false">BG40+BG41</f>
        <v>-408394.105759594</v>
      </c>
      <c r="BH42" s="61" t="n">
        <f aca="false">BH40+BH41</f>
        <v>-399931.359979017</v>
      </c>
      <c r="BI42" s="61" t="n">
        <f aca="false">BI40+BI41</f>
        <v>-392239.045839202</v>
      </c>
      <c r="BJ42" s="61" t="n">
        <f aca="false">SUM(B42:BI42)</f>
        <v>-12063525.0246041</v>
      </c>
    </row>
    <row r="43" customFormat="false" ht="15" hidden="false" customHeight="false" outlineLevel="0" collapsed="false">
      <c r="A43" s="27" t="s">
        <v>787</v>
      </c>
      <c r="B43" s="60" t="n">
        <f aca="false">B42/(1+Premissas!$B$19)^B$5</f>
        <v>0</v>
      </c>
      <c r="C43" s="60" t="n">
        <f aca="false">C42/(1+Premissas!$B$19)^C$5</f>
        <v>0</v>
      </c>
      <c r="D43" s="60" t="n">
        <f aca="false">D42/(1+Premissas!$B$19)^D$5</f>
        <v>0</v>
      </c>
      <c r="E43" s="60" t="n">
        <f aca="false">E42/(1+Premissas!$B$19)^E$5</f>
        <v>-1392.47665008383</v>
      </c>
      <c r="F43" s="60" t="n">
        <f aca="false">F42/(1+Premissas!$B$19)^F$5</f>
        <v>-7380.84094984538</v>
      </c>
      <c r="G43" s="60" t="n">
        <f aca="false">G42/(1+Premissas!$B$19)^G$5</f>
        <v>-1878.29710109982</v>
      </c>
      <c r="H43" s="60" t="n">
        <f aca="false">H42/(1+Premissas!$B$19)^H$5</f>
        <v>-1843.69235056949</v>
      </c>
      <c r="I43" s="60" t="n">
        <f aca="false">I42/(1+Premissas!$B$19)^I$5</f>
        <v>-9675.84196057351</v>
      </c>
      <c r="J43" s="60" t="n">
        <f aca="false">J42/(1+Premissas!$B$19)^J$5</f>
        <v>-10658.3023354809</v>
      </c>
      <c r="K43" s="60" t="n">
        <f aca="false">K42/(1+Premissas!$B$19)^K$5</f>
        <v>-58587.0667155705</v>
      </c>
      <c r="L43" s="60" t="n">
        <f aca="false">L42/(1+Premissas!$B$19)^L$5</f>
        <v>-27208.4838493795</v>
      </c>
      <c r="M43" s="60" t="n">
        <f aca="false">M42/(1+Premissas!$B$19)^M$5</f>
        <v>-24532.93686</v>
      </c>
      <c r="N43" s="60" t="n">
        <f aca="false">N42/(1+Premissas!$B$19)^N$5</f>
        <v>-80057.935930009</v>
      </c>
      <c r="O43" s="60" t="n">
        <f aca="false">O42/(1+Premissas!$B$19)^O$5</f>
        <v>-73017.2077845181</v>
      </c>
      <c r="P43" s="60" t="n">
        <f aca="false">P42/(1+Premissas!$B$19)^P$5</f>
        <v>-74446.2281358667</v>
      </c>
      <c r="Q43" s="60" t="n">
        <f aca="false">Q42/(1+Premissas!$B$19)^Q$5</f>
        <v>-55386.2147223817</v>
      </c>
      <c r="R43" s="60" t="n">
        <f aca="false">R42/(1+Premissas!$B$19)^R$5</f>
        <v>-51008.936162903</v>
      </c>
      <c r="S43" s="60" t="n">
        <f aca="false">S42/(1+Premissas!$B$19)^S$5</f>
        <v>-51763.6766741161</v>
      </c>
      <c r="T43" s="60" t="n">
        <f aca="false">T42/(1+Premissas!$B$19)^T$5</f>
        <v>-61794.4183512412</v>
      </c>
      <c r="U43" s="60" t="n">
        <f aca="false">U42/(1+Premissas!$B$19)^U$5</f>
        <v>-41389.3559286576</v>
      </c>
      <c r="V43" s="60" t="n">
        <f aca="false">V42/(1+Premissas!$B$19)^V$5</f>
        <v>-38874.0133190939</v>
      </c>
      <c r="W43" s="60" t="n">
        <f aca="false">W42/(1+Premissas!$B$19)^W$5</f>
        <v>-30307.1326156126</v>
      </c>
      <c r="X43" s="60" t="n">
        <f aca="false">X42/(1+Premissas!$B$19)^X$5</f>
        <v>-28147.0335341435</v>
      </c>
      <c r="Y43" s="60" t="n">
        <f aca="false">Y42/(1+Premissas!$B$19)^Y$5</f>
        <v>-26248.9512212451</v>
      </c>
      <c r="Z43" s="60" t="n">
        <f aca="false">Z42/(1+Premissas!$B$19)^Z$5</f>
        <v>-117131.842778274</v>
      </c>
      <c r="AA43" s="60" t="n">
        <f aca="false">AA42/(1+Premissas!$B$19)^AA$5</f>
        <v>-110776.845550746</v>
      </c>
      <c r="AB43" s="60" t="n">
        <f aca="false">AB42/(1+Premissas!$B$19)^AB$5</f>
        <v>-104975.973512902</v>
      </c>
      <c r="AC43" s="60" t="n">
        <f aca="false">AC42/(1+Premissas!$B$19)^AC$5</f>
        <v>-99672.1248757841</v>
      </c>
      <c r="AD43" s="60" t="n">
        <f aca="false">AD42/(1+Premissas!$B$19)^AD$5</f>
        <v>-94860.5134355675</v>
      </c>
      <c r="AE43" s="60" t="n">
        <f aca="false">AE42/(1+Premissas!$B$19)^AE$5</f>
        <v>-99031.9388805279</v>
      </c>
      <c r="AF43" s="60" t="n">
        <f aca="false">AF42/(1+Premissas!$B$19)^AF$5</f>
        <v>-86403.5730377682</v>
      </c>
      <c r="AG43" s="60" t="n">
        <f aca="false">AG42/(1+Premissas!$B$19)^AG$5</f>
        <v>-82772.2118315586</v>
      </c>
      <c r="AH43" s="60" t="n">
        <f aca="false">AH42/(1+Premissas!$B$19)^AH$5</f>
        <v>-79575.0235061976</v>
      </c>
      <c r="AI43" s="60" t="n">
        <f aca="false">AI42/(1+Premissas!$B$19)^AI$5</f>
        <v>-76612.614977981</v>
      </c>
      <c r="AJ43" s="60" t="n">
        <f aca="false">AJ42/(1+Premissas!$B$19)^AJ$5</f>
        <v>-73847.652418873</v>
      </c>
      <c r="AK43" s="60" t="n">
        <f aca="false">AK42/(1+Premissas!$B$19)^AK$5</f>
        <v>-71282.0754171314</v>
      </c>
      <c r="AL43" s="60" t="n">
        <f aca="false">AL42/(1+Premissas!$B$19)^AL$5</f>
        <v>-198587.914157286</v>
      </c>
      <c r="AM43" s="60" t="n">
        <f aca="false">AM42/(1+Premissas!$B$19)^AM$5</f>
        <v>-189862.85590035</v>
      </c>
      <c r="AN43" s="60" t="n">
        <f aca="false">AN42/(1+Premissas!$B$19)^AN$5</f>
        <v>-181860.347862842</v>
      </c>
      <c r="AO43" s="60" t="n">
        <f aca="false">AO42/(1+Premissas!$B$19)^AO$5</f>
        <v>-149976.209955959</v>
      </c>
      <c r="AP43" s="60" t="n">
        <f aca="false">AP42/(1+Premissas!$B$19)^AP$5</f>
        <v>-143846.538624672</v>
      </c>
      <c r="AQ43" s="60" t="n">
        <f aca="false">AQ42/(1+Premissas!$B$19)^AQ$5</f>
        <v>-149612.463618522</v>
      </c>
      <c r="AR43" s="60" t="n">
        <f aca="false">AR42/(1+Premissas!$B$19)^AR$5</f>
        <v>-121308.484383056</v>
      </c>
      <c r="AS43" s="60" t="n">
        <f aca="false">AS42/(1+Premissas!$B$19)^AS$5</f>
        <v>-118142.472703506</v>
      </c>
      <c r="AT43" s="60" t="n">
        <f aca="false">AT42/(1+Premissas!$B$19)^AT$5</f>
        <v>-115182.860799551</v>
      </c>
      <c r="AU43" s="60" t="n">
        <f aca="false">AU42/(1+Premissas!$B$19)^AU$5</f>
        <v>-112388.568137065</v>
      </c>
      <c r="AV43" s="60" t="n">
        <f aca="false">AV42/(1+Premissas!$B$19)^AV$5</f>
        <v>-109721.984310149</v>
      </c>
      <c r="AW43" s="60" t="n">
        <f aca="false">AW42/(1+Premissas!$B$19)^AW$5</f>
        <v>-100677.535633374</v>
      </c>
      <c r="AX43" s="60" t="n">
        <f aca="false">AX42/(1+Premissas!$B$19)^AX$5</f>
        <v>-213056.039124254</v>
      </c>
      <c r="AY43" s="60" t="n">
        <f aca="false">AY42/(1+Premissas!$B$19)^AY$5</f>
        <v>-201714.000540627</v>
      </c>
      <c r="AZ43" s="60" t="n">
        <f aca="false">AZ42/(1+Premissas!$B$19)^AZ$5</f>
        <v>-191349.812033169</v>
      </c>
      <c r="BA43" s="60" t="n">
        <f aca="false">BA42/(1+Premissas!$B$19)^BA$5</f>
        <v>-181846.221047837</v>
      </c>
      <c r="BB43" s="60" t="n">
        <f aca="false">BB42/(1+Premissas!$B$19)^BB$5</f>
        <v>-173143.540279582</v>
      </c>
      <c r="BC43" s="60" t="n">
        <f aca="false">BC42/(1+Premissas!$B$19)^BC$5</f>
        <v>-176119.081855559</v>
      </c>
      <c r="BD43" s="60" t="n">
        <f aca="false">BD42/(1+Premissas!$B$19)^BD$5</f>
        <v>-157762.713517881</v>
      </c>
      <c r="BE43" s="60" t="n">
        <f aca="false">BE42/(1+Premissas!$B$19)^BE$5</f>
        <v>-150962.138711625</v>
      </c>
      <c r="BF43" s="60" t="n">
        <f aca="false">BF42/(1+Premissas!$B$19)^BF$5</f>
        <v>-144688.173921316</v>
      </c>
      <c r="BG43" s="60" t="n">
        <f aca="false">BG42/(1+Premissas!$B$19)^BG$5</f>
        <v>-138893.227293138</v>
      </c>
      <c r="BH43" s="60" t="n">
        <f aca="false">BH42/(1+Premissas!$B$19)^BH$5</f>
        <v>-133509.21099833</v>
      </c>
      <c r="BI43" s="60" t="n">
        <f aca="false">BI42/(1+Premissas!$B$19)^BI$5</f>
        <v>-128528.890540589</v>
      </c>
      <c r="BJ43" s="61" t="n">
        <f aca="false">SUM(B43:BI43)</f>
        <v>-5535282.71932594</v>
      </c>
    </row>
    <row r="44" customFormat="false" ht="15" hidden="false" customHeight="false" outlineLevel="0" collapsed="false">
      <c r="A44" s="27" t="s">
        <v>788</v>
      </c>
      <c r="B44" s="60" t="n">
        <f aca="false">B43</f>
        <v>0</v>
      </c>
      <c r="C44" s="60" t="n">
        <f aca="false">B44+C43</f>
        <v>0</v>
      </c>
      <c r="D44" s="60" t="n">
        <f aca="false">C44+D43</f>
        <v>0</v>
      </c>
      <c r="E44" s="60" t="n">
        <f aca="false">D44+E43</f>
        <v>-1392.47665008383</v>
      </c>
      <c r="F44" s="60" t="n">
        <f aca="false">E44+F43</f>
        <v>-8773.31759992921</v>
      </c>
      <c r="G44" s="60" t="n">
        <f aca="false">F44+G43</f>
        <v>-10651.614701029</v>
      </c>
      <c r="H44" s="60" t="n">
        <f aca="false">G44+H43</f>
        <v>-12495.3070515985</v>
      </c>
      <c r="I44" s="60" t="n">
        <f aca="false">H44+I43</f>
        <v>-22171.149012172</v>
      </c>
      <c r="J44" s="60" t="n">
        <f aca="false">I44+J43</f>
        <v>-32829.4513476529</v>
      </c>
      <c r="K44" s="60" t="n">
        <f aca="false">J44+K43</f>
        <v>-91416.5180632234</v>
      </c>
      <c r="L44" s="60" t="n">
        <f aca="false">K44+L43</f>
        <v>-118625.001912603</v>
      </c>
      <c r="M44" s="60" t="n">
        <f aca="false">L44+M43</f>
        <v>-143157.938772603</v>
      </c>
      <c r="N44" s="60" t="n">
        <f aca="false">M44+N43</f>
        <v>-223215.874702612</v>
      </c>
      <c r="O44" s="60" t="n">
        <f aca="false">N44+O43</f>
        <v>-296233.08248713</v>
      </c>
      <c r="P44" s="60" t="n">
        <f aca="false">O44+P43</f>
        <v>-370679.310622997</v>
      </c>
      <c r="Q44" s="60" t="n">
        <f aca="false">P44+Q43</f>
        <v>-426065.525345378</v>
      </c>
      <c r="R44" s="60" t="n">
        <f aca="false">Q44+R43</f>
        <v>-477074.461508281</v>
      </c>
      <c r="S44" s="60" t="n">
        <f aca="false">R44+S43</f>
        <v>-528838.138182398</v>
      </c>
      <c r="T44" s="60" t="n">
        <f aca="false">S44+T43</f>
        <v>-590632.556533639</v>
      </c>
      <c r="U44" s="60" t="n">
        <f aca="false">T44+U43</f>
        <v>-632021.912462296</v>
      </c>
      <c r="V44" s="60" t="n">
        <f aca="false">U44+V43</f>
        <v>-670895.92578139</v>
      </c>
      <c r="W44" s="60" t="n">
        <f aca="false">V44+W43</f>
        <v>-701203.058397003</v>
      </c>
      <c r="X44" s="60" t="n">
        <f aca="false">W44+X43</f>
        <v>-729350.091931146</v>
      </c>
      <c r="Y44" s="60" t="n">
        <f aca="false">X44+Y43</f>
        <v>-755599.043152391</v>
      </c>
      <c r="Z44" s="60" t="n">
        <f aca="false">Y44+Z43</f>
        <v>-872730.885930665</v>
      </c>
      <c r="AA44" s="60" t="n">
        <f aca="false">Z44+AA43</f>
        <v>-983507.731481411</v>
      </c>
      <c r="AB44" s="60" t="n">
        <f aca="false">AA44+AB43</f>
        <v>-1088483.70499431</v>
      </c>
      <c r="AC44" s="60" t="n">
        <f aca="false">AB44+AC43</f>
        <v>-1188155.8298701</v>
      </c>
      <c r="AD44" s="60" t="n">
        <f aca="false">AC44+AD43</f>
        <v>-1283016.34330566</v>
      </c>
      <c r="AE44" s="60" t="n">
        <f aca="false">AD44+AE43</f>
        <v>-1382048.28218619</v>
      </c>
      <c r="AF44" s="60" t="n">
        <f aca="false">AE44+AF43</f>
        <v>-1468451.85522396</v>
      </c>
      <c r="AG44" s="60" t="n">
        <f aca="false">AF44+AG43</f>
        <v>-1551224.06705552</v>
      </c>
      <c r="AH44" s="60" t="n">
        <f aca="false">AG44+AH43</f>
        <v>-1630799.09056172</v>
      </c>
      <c r="AI44" s="60" t="n">
        <f aca="false">AH44+AI43</f>
        <v>-1707411.7055397</v>
      </c>
      <c r="AJ44" s="60" t="n">
        <f aca="false">AI44+AJ43</f>
        <v>-1781259.35795857</v>
      </c>
      <c r="AK44" s="60" t="n">
        <f aca="false">AJ44+AK43</f>
        <v>-1852541.4333757</v>
      </c>
      <c r="AL44" s="60" t="n">
        <f aca="false">AK44+AL43</f>
        <v>-2051129.34753299</v>
      </c>
      <c r="AM44" s="60" t="n">
        <f aca="false">AL44+AM43</f>
        <v>-2240992.20343334</v>
      </c>
      <c r="AN44" s="60" t="n">
        <f aca="false">AM44+AN43</f>
        <v>-2422852.55129618</v>
      </c>
      <c r="AO44" s="60" t="n">
        <f aca="false">AN44+AO43</f>
        <v>-2572828.76125214</v>
      </c>
      <c r="AP44" s="60" t="n">
        <f aca="false">AO44+AP43</f>
        <v>-2716675.29987681</v>
      </c>
      <c r="AQ44" s="60" t="n">
        <f aca="false">AP44+AQ43</f>
        <v>-2866287.76349533</v>
      </c>
      <c r="AR44" s="60" t="n">
        <f aca="false">AQ44+AR43</f>
        <v>-2987596.24787839</v>
      </c>
      <c r="AS44" s="60" t="n">
        <f aca="false">AR44+AS43</f>
        <v>-3105738.72058189</v>
      </c>
      <c r="AT44" s="60" t="n">
        <f aca="false">AS44+AT43</f>
        <v>-3220921.58138145</v>
      </c>
      <c r="AU44" s="60" t="n">
        <f aca="false">AT44+AU43</f>
        <v>-3333310.14951851</v>
      </c>
      <c r="AV44" s="60" t="n">
        <f aca="false">AU44+AV43</f>
        <v>-3443032.13382866</v>
      </c>
      <c r="AW44" s="60" t="n">
        <f aca="false">AV44+AW43</f>
        <v>-3543709.66946203</v>
      </c>
      <c r="AX44" s="60" t="n">
        <f aca="false">AW44+AX43</f>
        <v>-3756765.70858629</v>
      </c>
      <c r="AY44" s="60" t="n">
        <f aca="false">AX44+AY43</f>
        <v>-3958479.70912691</v>
      </c>
      <c r="AZ44" s="60" t="n">
        <f aca="false">AY44+AZ43</f>
        <v>-4149829.52116008</v>
      </c>
      <c r="BA44" s="60" t="n">
        <f aca="false">AZ44+BA43</f>
        <v>-4331675.74220792</v>
      </c>
      <c r="BB44" s="60" t="n">
        <f aca="false">BA44+BB43</f>
        <v>-4504819.2824875</v>
      </c>
      <c r="BC44" s="60" t="n">
        <f aca="false">BB44+BC43</f>
        <v>-4680938.36434306</v>
      </c>
      <c r="BD44" s="60" t="n">
        <f aca="false">BC44+BD43</f>
        <v>-4838701.07786094</v>
      </c>
      <c r="BE44" s="60" t="n">
        <f aca="false">BD44+BE43</f>
        <v>-4989663.21657257</v>
      </c>
      <c r="BF44" s="60" t="n">
        <f aca="false">BE44+BF43</f>
        <v>-5134351.39049388</v>
      </c>
      <c r="BG44" s="60" t="n">
        <f aca="false">BF44+BG43</f>
        <v>-5273244.61778702</v>
      </c>
      <c r="BH44" s="60" t="n">
        <f aca="false">BG44+BH43</f>
        <v>-5406753.82878535</v>
      </c>
      <c r="BI44" s="60" t="n">
        <f aca="false">BH44+BI43</f>
        <v>-5535282.71932594</v>
      </c>
      <c r="BJ44" s="61" t="n">
        <f aca="false">BI44</f>
        <v>-5535282.71932594</v>
      </c>
      <c r="BK44" s="29" t="s">
        <v>870</v>
      </c>
    </row>
    <row r="45" customFormat="false" ht="15" hidden="false" customHeight="false" outlineLevel="0" collapsed="false">
      <c r="A45" s="27" t="s">
        <v>789</v>
      </c>
      <c r="B45" s="60" t="n">
        <f aca="false">B42</f>
        <v>0</v>
      </c>
      <c r="C45" s="60" t="n">
        <f aca="false">B45+C42</f>
        <v>0</v>
      </c>
      <c r="D45" s="60" t="n">
        <f aca="false">C45+D42</f>
        <v>0</v>
      </c>
      <c r="E45" s="60" t="n">
        <f aca="false">D45+E42</f>
        <v>-1500</v>
      </c>
      <c r="F45" s="60" t="n">
        <f aca="false">E45+F42</f>
        <v>-9600</v>
      </c>
      <c r="G45" s="60" t="n">
        <f aca="false">F45+G42</f>
        <v>-11700</v>
      </c>
      <c r="H45" s="60" t="n">
        <f aca="false">G45+H42</f>
        <v>-13800</v>
      </c>
      <c r="I45" s="60" t="n">
        <f aca="false">H45+I42</f>
        <v>-25027.82</v>
      </c>
      <c r="J45" s="60" t="n">
        <f aca="false">I45+J42</f>
        <v>-37627.82</v>
      </c>
      <c r="K45" s="60" t="n">
        <f aca="false">J45+K42</f>
        <v>-108188.06805</v>
      </c>
      <c r="L45" s="60" t="n">
        <f aca="false">K45+L42</f>
        <v>-141572.0795</v>
      </c>
      <c r="M45" s="60" t="n">
        <f aca="false">L45+M42</f>
        <v>-172238.250575</v>
      </c>
      <c r="N45" s="60" t="n">
        <f aca="false">M45+N42</f>
        <v>-274188.9562682</v>
      </c>
      <c r="O45" s="60" t="n">
        <f aca="false">N45+O42</f>
        <v>-368918.817939589</v>
      </c>
      <c r="P45" s="60" t="n">
        <f aca="false">O45+P42</f>
        <v>-467315.445817596</v>
      </c>
      <c r="Q45" s="60" t="n">
        <f aca="false">P45+Q42</f>
        <v>-541894.184784755</v>
      </c>
      <c r="R45" s="60" t="n">
        <f aca="false">Q45+R42</f>
        <v>-611867.983456058</v>
      </c>
      <c r="S45" s="60" t="n">
        <f aca="false">R45+S42</f>
        <v>-684209.920836461</v>
      </c>
      <c r="T45" s="60" t="n">
        <f aca="false">S45+T42</f>
        <v>-772191.165712757</v>
      </c>
      <c r="U45" s="60" t="n">
        <f aca="false">T45+U42</f>
        <v>-832226.282059283</v>
      </c>
      <c r="V45" s="60" t="n">
        <f aca="false">U45+V42</f>
        <v>-889671.23816055</v>
      </c>
      <c r="W45" s="60" t="n">
        <f aca="false">V45+W42</f>
        <v>-935297.323296024</v>
      </c>
      <c r="X45" s="60" t="n">
        <f aca="false">W45+X42</f>
        <v>-978466.803768969</v>
      </c>
      <c r="Y45" s="60" t="n">
        <f aca="false">X45+Y42</f>
        <v>-1019480.79005216</v>
      </c>
      <c r="Z45" s="60" t="n">
        <f aca="false">Y45+Z42</f>
        <v>-1205934.41722334</v>
      </c>
      <c r="AA45" s="60" t="n">
        <f aca="false">Z45+AA42</f>
        <v>-1385581.71499429</v>
      </c>
      <c r="AB45" s="60" t="n">
        <f aca="false">AA45+AB42</f>
        <v>-1559016.99271966</v>
      </c>
      <c r="AC45" s="60" t="n">
        <f aca="false">AB45+AC42</f>
        <v>-1726780.33917402</v>
      </c>
      <c r="AD45" s="60" t="n">
        <f aca="false">AC45+AD42</f>
        <v>-1889441.80029033</v>
      </c>
      <c r="AE45" s="60" t="n">
        <f aca="false">AD45+AE42</f>
        <v>-2062443.47785319</v>
      </c>
      <c r="AF45" s="60" t="n">
        <f aca="false">AE45+AF42</f>
        <v>-2216217.3566365</v>
      </c>
      <c r="AG45" s="60" t="n">
        <f aca="false">AF45+AG42</f>
        <v>-2366293.36217196</v>
      </c>
      <c r="AH45" s="60" t="n">
        <f aca="false">AG45+AH42</f>
        <v>-2513280.49257668</v>
      </c>
      <c r="AI45" s="60" t="n">
        <f aca="false">AH45+AI42</f>
        <v>-2657451.7400587</v>
      </c>
      <c r="AJ45" s="60" t="n">
        <f aca="false">AI45+AJ42</f>
        <v>-2799028.15099745</v>
      </c>
      <c r="AK45" s="60" t="n">
        <f aca="false">AJ45+AK42</f>
        <v>-2938250.95454654</v>
      </c>
      <c r="AL45" s="60" t="n">
        <f aca="false">AK45+AL42</f>
        <v>-3333397.95331223</v>
      </c>
      <c r="AM45" s="60" t="n">
        <f aca="false">AL45+AM42</f>
        <v>-3718274.73916036</v>
      </c>
      <c r="AN45" s="60" t="n">
        <f aca="false">AM45+AN42</f>
        <v>-4093848.77390543</v>
      </c>
      <c r="AO45" s="60" t="n">
        <f aca="false">AN45+AO42</f>
        <v>-4409389.74012479</v>
      </c>
      <c r="AP45" s="60" t="n">
        <f aca="false">AO45+AP42</f>
        <v>-4717714.65981207</v>
      </c>
      <c r="AQ45" s="60" t="n">
        <f aca="false">AP45+AQ42</f>
        <v>-5044417.43220682</v>
      </c>
      <c r="AR45" s="60" t="n">
        <f aca="false">AQ45+AR42</f>
        <v>-5314285.84616628</v>
      </c>
      <c r="AS45" s="60" t="n">
        <f aca="false">AR45+AS42</f>
        <v>-5582044.04053933</v>
      </c>
      <c r="AT45" s="60" t="n">
        <f aca="false">AS45+AT42</f>
        <v>-5847994.29469499</v>
      </c>
      <c r="AU45" s="60" t="n">
        <f aca="false">AT45+AU42</f>
        <v>-6112363.29051401</v>
      </c>
      <c r="AV45" s="60" t="n">
        <f aca="false">AU45+AV42</f>
        <v>-6375304.02442518</v>
      </c>
      <c r="AW45" s="60" t="n">
        <f aca="false">AV45+AW42</f>
        <v>-6621098.7891551</v>
      </c>
      <c r="AX45" s="60" t="n">
        <f aca="false">AW45+AX42</f>
        <v>-7151018.08702697</v>
      </c>
      <c r="AY45" s="60" t="n">
        <f aca="false">AX45+AY42</f>
        <v>-7662143.84027457</v>
      </c>
      <c r="AZ45" s="60" t="n">
        <f aca="false">AY45+AZ42</f>
        <v>-8156108.17745384</v>
      </c>
      <c r="BA45" s="60" t="n">
        <f aca="false">AZ45+BA42</f>
        <v>-8634350.12920758</v>
      </c>
      <c r="BB45" s="60" t="n">
        <f aca="false">BA45+BB42</f>
        <v>-9098251.35218352</v>
      </c>
      <c r="BC45" s="60" t="n">
        <f aca="false">BB45+BC42</f>
        <v>-9578981.62460037</v>
      </c>
      <c r="BD45" s="60" t="n">
        <f aca="false">BC45+BD42</f>
        <v>-10017689.3281004</v>
      </c>
      <c r="BE45" s="60" t="n">
        <f aca="false">BD45+BE42</f>
        <v>-10445365.2175915</v>
      </c>
      <c r="BF45" s="60" t="n">
        <f aca="false">BE45+BF42</f>
        <v>-10862960.5130263</v>
      </c>
      <c r="BG45" s="60" t="n">
        <f aca="false">BF45+BG42</f>
        <v>-11271354.6187859</v>
      </c>
      <c r="BH45" s="60" t="n">
        <f aca="false">BG45+BH42</f>
        <v>-11671285.9787649</v>
      </c>
      <c r="BI45" s="60" t="n">
        <f aca="false">BH45+BI42</f>
        <v>-12063525.0246041</v>
      </c>
      <c r="BJ45" s="61" t="n">
        <f aca="false">BI45</f>
        <v>-12063525.0246041</v>
      </c>
      <c r="BK45" s="29" t="s">
        <v>870</v>
      </c>
    </row>
    <row r="46" customFormat="false" ht="15" hidden="false" customHeight="false" outlineLevel="0" collapsed="false">
      <c r="A46" s="71" t="s">
        <v>885</v>
      </c>
      <c r="B46" s="72" t="n">
        <f aca="false">IF(B40&gt;0,1,0)</f>
        <v>0</v>
      </c>
      <c r="C46" s="72" t="n">
        <f aca="false">IF(B46=1,1,IF(C40&gt;0,1,0))</f>
        <v>0</v>
      </c>
      <c r="D46" s="72" t="n">
        <f aca="false">IF(C46=1,1,IF(D40&gt;0,1,0))</f>
        <v>0</v>
      </c>
      <c r="E46" s="72" t="n">
        <f aca="false">IF(D46=1,1,IF(E40&gt;0,1,0))</f>
        <v>0</v>
      </c>
      <c r="F46" s="72" t="n">
        <f aca="false">IF(E46=1,1,IF(F40&gt;0,1,0))</f>
        <v>0</v>
      </c>
      <c r="G46" s="72" t="n">
        <f aca="false">IF(F46=1,1,IF(G40&gt;0,1,0))</f>
        <v>0</v>
      </c>
      <c r="H46" s="72" t="n">
        <f aca="false">IF(G46=1,1,IF(H40&gt;0,1,0))</f>
        <v>0</v>
      </c>
      <c r="I46" s="72" t="n">
        <f aca="false">IF(H46=1,1,IF(I40&gt;0,1,0))</f>
        <v>0</v>
      </c>
      <c r="J46" s="72" t="n">
        <f aca="false">IF(I46=1,1,IF(J40&gt;0,1,0))</f>
        <v>0</v>
      </c>
      <c r="K46" s="72" t="n">
        <f aca="false">IF(J46=1,1,IF(K40&gt;0,1,0))</f>
        <v>0</v>
      </c>
      <c r="L46" s="72" t="n">
        <f aca="false">IF(K46=1,1,IF(L40&gt;0,1,0))</f>
        <v>0</v>
      </c>
      <c r="M46" s="72" t="n">
        <f aca="false">IF(L46=1,1,IF(M40&gt;0,1,0))</f>
        <v>0</v>
      </c>
      <c r="N46" s="72" t="n">
        <f aca="false">IF(M46=1,1,IF(N40&gt;0,1,0))</f>
        <v>0</v>
      </c>
      <c r="O46" s="72" t="n">
        <f aca="false">IF(N46=1,1,IF(O40&gt;0,1,0))</f>
        <v>0</v>
      </c>
      <c r="P46" s="72" t="n">
        <f aca="false">IF(O46=1,1,IF(P40&gt;0,1,0))</f>
        <v>0</v>
      </c>
      <c r="Q46" s="72" t="n">
        <f aca="false">IF(P46=1,1,IF(Q40&gt;0,1,0))</f>
        <v>0</v>
      </c>
      <c r="R46" s="72" t="n">
        <f aca="false">IF(Q46=1,1,IF(R40&gt;0,1,0))</f>
        <v>0</v>
      </c>
      <c r="S46" s="72" t="n">
        <f aca="false">IF(R46=1,1,IF(S40&gt;0,1,0))</f>
        <v>0</v>
      </c>
      <c r="T46" s="72" t="n">
        <f aca="false">IF(S46=1,1,IF(T40&gt;0,1,0))</f>
        <v>0</v>
      </c>
      <c r="U46" s="72" t="n">
        <f aca="false">IF(T46=1,1,IF(U40&gt;0,1,0))</f>
        <v>0</v>
      </c>
      <c r="V46" s="72" t="n">
        <f aca="false">IF(U46=1,1,IF(V40&gt;0,1,0))</f>
        <v>0</v>
      </c>
      <c r="W46" s="72" t="n">
        <f aca="false">IF(V46=1,1,IF(W40&gt;0,1,0))</f>
        <v>0</v>
      </c>
      <c r="X46" s="72" t="n">
        <f aca="false">IF(W46=1,1,IF(X40&gt;0,1,0))</f>
        <v>0</v>
      </c>
      <c r="Y46" s="72" t="n">
        <f aca="false">IF(X46=1,1,IF(Y40&gt;0,1,0))</f>
        <v>0</v>
      </c>
      <c r="Z46" s="72" t="n">
        <f aca="false">IF(Y46=1,1,IF(Z40&gt;0,1,0))</f>
        <v>0</v>
      </c>
      <c r="AA46" s="72" t="n">
        <f aca="false">IF(Z46=1,1,IF(AA40&gt;0,1,0))</f>
        <v>0</v>
      </c>
      <c r="AB46" s="72" t="n">
        <f aca="false">IF(AA46=1,1,IF(AB40&gt;0,1,0))</f>
        <v>0</v>
      </c>
      <c r="AC46" s="72" t="n">
        <f aca="false">IF(AB46=1,1,IF(AC40&gt;0,1,0))</f>
        <v>0</v>
      </c>
      <c r="AD46" s="72" t="n">
        <f aca="false">IF(AC46=1,1,IF(AD40&gt;0,1,0))</f>
        <v>0</v>
      </c>
      <c r="AE46" s="72" t="n">
        <f aca="false">IF(AD46=1,1,IF(AE40&gt;0,1,0))</f>
        <v>0</v>
      </c>
      <c r="AF46" s="72" t="n">
        <f aca="false">IF(AE46=1,1,IF(AF40&gt;0,1,0))</f>
        <v>0</v>
      </c>
      <c r="AG46" s="72" t="n">
        <f aca="false">IF(AF46=1,1,IF(AG40&gt;0,1,0))</f>
        <v>0</v>
      </c>
      <c r="AH46" s="72" t="n">
        <f aca="false">IF(AG46=1,1,IF(AH40&gt;0,1,0))</f>
        <v>0</v>
      </c>
      <c r="AI46" s="72" t="n">
        <f aca="false">IF(AH46=1,1,IF(AI40&gt;0,1,0))</f>
        <v>0</v>
      </c>
      <c r="AJ46" s="72" t="n">
        <f aca="false">IF(AI46=1,1,IF(AJ40&gt;0,1,0))</f>
        <v>0</v>
      </c>
      <c r="AK46" s="72" t="n">
        <f aca="false">IF(AJ46=1,1,IF(AK40&gt;0,1,0))</f>
        <v>0</v>
      </c>
      <c r="AL46" s="72" t="n">
        <f aca="false">IF(AK46=1,1,IF(AL40&gt;0,1,0))</f>
        <v>0</v>
      </c>
      <c r="AM46" s="72" t="n">
        <f aca="false">IF(AL46=1,1,IF(AM40&gt;0,1,0))</f>
        <v>0</v>
      </c>
      <c r="AN46" s="72" t="n">
        <f aca="false">IF(AM46=1,1,IF(AN40&gt;0,1,0))</f>
        <v>0</v>
      </c>
      <c r="AO46" s="72" t="n">
        <f aca="false">IF(AN46=1,1,IF(AO40&gt;0,1,0))</f>
        <v>0</v>
      </c>
      <c r="AP46" s="72" t="n">
        <f aca="false">IF(AO46=1,1,IF(AP40&gt;0,1,0))</f>
        <v>0</v>
      </c>
      <c r="AQ46" s="72" t="n">
        <f aca="false">IF(AP46=1,1,IF(AQ40&gt;0,1,0))</f>
        <v>0</v>
      </c>
      <c r="AR46" s="72" t="n">
        <f aca="false">IF(AQ46=1,1,IF(AR40&gt;0,1,0))</f>
        <v>0</v>
      </c>
      <c r="AS46" s="72" t="n">
        <f aca="false">IF(AR46=1,1,IF(AS40&gt;0,1,0))</f>
        <v>0</v>
      </c>
      <c r="AT46" s="72" t="n">
        <f aca="false">IF(AS46=1,1,IF(AT40&gt;0,1,0))</f>
        <v>0</v>
      </c>
      <c r="AU46" s="72" t="n">
        <f aca="false">IF(AT46=1,1,IF(AU40&gt;0,1,0))</f>
        <v>0</v>
      </c>
      <c r="AV46" s="72" t="n">
        <f aca="false">IF(AU46=1,1,IF(AV40&gt;0,1,0))</f>
        <v>0</v>
      </c>
      <c r="AW46" s="72" t="n">
        <f aca="false">IF(AV46=1,1,IF(AW40&gt;0,1,0))</f>
        <v>0</v>
      </c>
      <c r="AX46" s="72" t="n">
        <f aca="false">IF(AW46=1,1,IF(AX40&gt;0,1,0))</f>
        <v>0</v>
      </c>
      <c r="AY46" s="72" t="n">
        <f aca="false">IF(AX46=1,1,IF(AY40&gt;0,1,0))</f>
        <v>0</v>
      </c>
      <c r="AZ46" s="72" t="n">
        <f aca="false">IF(AY46=1,1,IF(AZ40&gt;0,1,0))</f>
        <v>0</v>
      </c>
      <c r="BA46" s="72" t="n">
        <f aca="false">IF(AZ46=1,1,IF(BA40&gt;0,1,0))</f>
        <v>0</v>
      </c>
      <c r="BB46" s="72" t="n">
        <f aca="false">IF(BA46=1,1,IF(BB40&gt;0,1,0))</f>
        <v>0</v>
      </c>
      <c r="BC46" s="72" t="n">
        <f aca="false">IF(BB46=1,1,IF(BC40&gt;0,1,0))</f>
        <v>0</v>
      </c>
      <c r="BD46" s="72" t="n">
        <f aca="false">IF(BC46=1,1,IF(BD40&gt;0,1,0))</f>
        <v>0</v>
      </c>
      <c r="BE46" s="72" t="n">
        <f aca="false">IF(BD46=1,1,IF(BE40&gt;0,1,0))</f>
        <v>0</v>
      </c>
      <c r="BF46" s="72" t="n">
        <f aca="false">IF(BE46=1,1,IF(BF40&gt;0,1,0))</f>
        <v>0</v>
      </c>
      <c r="BG46" s="72" t="n">
        <f aca="false">IF(BF46=1,1,IF(BG40&gt;0,1,0))</f>
        <v>0</v>
      </c>
      <c r="BH46" s="72" t="n">
        <f aca="false">IF(BG46=1,1,IF(BH40&gt;0,1,0))</f>
        <v>0</v>
      </c>
      <c r="BI46" s="72" t="n">
        <f aca="false">IF(BH46=1,1,IF(BI40&gt;0,1,0))</f>
        <v>0</v>
      </c>
      <c r="BJ46" s="134" t="n">
        <f aca="false">BI46</f>
        <v>0</v>
      </c>
      <c r="BK46" s="29" t="s">
        <v>870</v>
      </c>
    </row>
    <row r="47" customFormat="false" ht="15" hidden="false" customHeight="false" outlineLevel="0" collapsed="false">
      <c r="A47" s="27" t="s">
        <v>790</v>
      </c>
      <c r="B47" s="60" t="n">
        <f aca="false">Aportes!B98</f>
        <v>0</v>
      </c>
      <c r="C47" s="60" t="n">
        <f aca="false">Aportes!C98</f>
        <v>0</v>
      </c>
      <c r="D47" s="60" t="n">
        <f aca="false">Aportes!D98</f>
        <v>0</v>
      </c>
      <c r="E47" s="60" t="n">
        <f aca="false">Aportes!E98</f>
        <v>10000</v>
      </c>
      <c r="F47" s="60" t="n">
        <f aca="false">Aportes!F98</f>
        <v>0</v>
      </c>
      <c r="G47" s="60" t="n">
        <f aca="false">Aportes!G98</f>
        <v>0</v>
      </c>
      <c r="H47" s="60" t="n">
        <f aca="false">Aportes!H98</f>
        <v>5000</v>
      </c>
      <c r="I47" s="60" t="n">
        <f aca="false">Aportes!I98</f>
        <v>18000</v>
      </c>
      <c r="J47" s="60" t="n">
        <f aca="false">Aportes!J98</f>
        <v>0</v>
      </c>
      <c r="K47" s="60" t="n">
        <f aca="false">Aportes!K98</f>
        <v>80000</v>
      </c>
      <c r="L47" s="60" t="n">
        <f aca="false">Aportes!L98</f>
        <v>40000</v>
      </c>
      <c r="M47" s="60" t="n">
        <f aca="false">Aportes!M98</f>
        <v>17000</v>
      </c>
      <c r="N47" s="60" t="n">
        <f aca="false">Aportes!N98</f>
        <v>0</v>
      </c>
      <c r="O47" s="60" t="n">
        <f aca="false">Aportes!O98</f>
        <v>0</v>
      </c>
      <c r="P47" s="60" t="n">
        <f aca="false">Aportes!P98</f>
        <v>0</v>
      </c>
      <c r="Q47" s="60" t="n">
        <f aca="false">Aportes!Q98</f>
        <v>0</v>
      </c>
      <c r="R47" s="60" t="n">
        <f aca="false">Aportes!R98</f>
        <v>0</v>
      </c>
      <c r="S47" s="60" t="n">
        <f aca="false">Aportes!S98</f>
        <v>15000</v>
      </c>
      <c r="T47" s="60" t="n">
        <f aca="false">Aportes!T98</f>
        <v>0</v>
      </c>
      <c r="U47" s="60" t="n">
        <f aca="false">Aportes!U98</f>
        <v>0</v>
      </c>
      <c r="V47" s="60" t="n">
        <f aca="false">Aportes!V98</f>
        <v>0</v>
      </c>
      <c r="W47" s="60" t="n">
        <f aca="false">Aportes!W98</f>
        <v>0</v>
      </c>
      <c r="X47" s="60" t="n">
        <f aca="false">Aportes!X98</f>
        <v>0</v>
      </c>
      <c r="Y47" s="60" t="n">
        <f aca="false">Aportes!Y98</f>
        <v>15000</v>
      </c>
      <c r="Z47" s="60" t="n">
        <f aca="false">Aportes!Z98</f>
        <v>0</v>
      </c>
      <c r="AA47" s="60" t="n">
        <f aca="false">Aportes!AA98</f>
        <v>0</v>
      </c>
      <c r="AB47" s="60" t="n">
        <f aca="false">Aportes!AB98</f>
        <v>0</v>
      </c>
      <c r="AC47" s="60" t="n">
        <f aca="false">Aportes!AC98</f>
        <v>0</v>
      </c>
      <c r="AD47" s="60" t="n">
        <f aca="false">Aportes!AD98</f>
        <v>0</v>
      </c>
      <c r="AE47" s="60" t="n">
        <f aca="false">Aportes!AE98</f>
        <v>0</v>
      </c>
      <c r="AF47" s="60" t="n">
        <f aca="false">Aportes!AF98</f>
        <v>0</v>
      </c>
      <c r="AG47" s="60" t="n">
        <f aca="false">Aportes!AG98</f>
        <v>0</v>
      </c>
      <c r="AH47" s="60" t="n">
        <f aca="false">Aportes!AH98</f>
        <v>0</v>
      </c>
      <c r="AI47" s="60" t="n">
        <f aca="false">Aportes!AI98</f>
        <v>0</v>
      </c>
      <c r="AJ47" s="60" t="n">
        <f aca="false">Aportes!AJ98</f>
        <v>0</v>
      </c>
      <c r="AK47" s="60" t="n">
        <f aca="false">Aportes!AK98</f>
        <v>0</v>
      </c>
      <c r="AL47" s="60" t="n">
        <f aca="false">Aportes!AL98</f>
        <v>0</v>
      </c>
      <c r="AM47" s="60" t="n">
        <f aca="false">Aportes!AM98</f>
        <v>0</v>
      </c>
      <c r="AN47" s="60" t="n">
        <f aca="false">Aportes!AN98</f>
        <v>0</v>
      </c>
      <c r="AO47" s="60" t="n">
        <f aca="false">Aportes!AO98</f>
        <v>0</v>
      </c>
      <c r="AP47" s="60" t="n">
        <f aca="false">Aportes!AP98</f>
        <v>0</v>
      </c>
      <c r="AQ47" s="60" t="n">
        <f aca="false">Aportes!AQ98</f>
        <v>0</v>
      </c>
      <c r="AR47" s="60" t="n">
        <f aca="false">Aportes!AR98</f>
        <v>0</v>
      </c>
      <c r="AS47" s="60" t="n">
        <f aca="false">Aportes!AS98</f>
        <v>0</v>
      </c>
      <c r="AT47" s="60" t="n">
        <f aca="false">Aportes!AT98</f>
        <v>0</v>
      </c>
      <c r="AU47" s="60" t="n">
        <f aca="false">Aportes!AU98</f>
        <v>0</v>
      </c>
      <c r="AV47" s="60" t="n">
        <f aca="false">Aportes!AV98</f>
        <v>0</v>
      </c>
      <c r="AW47" s="60" t="n">
        <f aca="false">Aportes!AW98</f>
        <v>0</v>
      </c>
      <c r="AX47" s="60" t="n">
        <f aca="false">Aportes!AX98</f>
        <v>0</v>
      </c>
      <c r="AY47" s="60" t="n">
        <f aca="false">Aportes!AY98</f>
        <v>0</v>
      </c>
      <c r="AZ47" s="60" t="n">
        <f aca="false">Aportes!AZ98</f>
        <v>0</v>
      </c>
      <c r="BA47" s="60" t="n">
        <f aca="false">Aportes!BA98</f>
        <v>0</v>
      </c>
      <c r="BB47" s="60" t="n">
        <f aca="false">Aportes!BB98</f>
        <v>0</v>
      </c>
      <c r="BC47" s="60" t="n">
        <f aca="false">Aportes!BC98</f>
        <v>0</v>
      </c>
      <c r="BD47" s="60" t="n">
        <f aca="false">Aportes!BD98</f>
        <v>0</v>
      </c>
      <c r="BE47" s="60" t="n">
        <f aca="false">Aportes!BE98</f>
        <v>0</v>
      </c>
      <c r="BF47" s="60" t="n">
        <f aca="false">Aportes!BF98</f>
        <v>0</v>
      </c>
      <c r="BG47" s="60" t="n">
        <f aca="false">Aportes!BG98</f>
        <v>0</v>
      </c>
      <c r="BH47" s="60" t="n">
        <f aca="false">Aportes!BH98</f>
        <v>0</v>
      </c>
      <c r="BI47" s="60" t="n">
        <f aca="false">Aportes!BI98</f>
        <v>0</v>
      </c>
      <c r="BJ47" s="61" t="n">
        <f aca="false">SUM(B47:BI47)</f>
        <v>200000</v>
      </c>
    </row>
    <row r="48" customFormat="false" ht="15" hidden="false" customHeight="false" outlineLevel="0" collapsed="false">
      <c r="A48" s="27" t="s">
        <v>886</v>
      </c>
      <c r="B48" s="60" t="n">
        <f aca="false">B42+B47</f>
        <v>0</v>
      </c>
      <c r="C48" s="60" t="n">
        <f aca="false">C42+C47</f>
        <v>0</v>
      </c>
      <c r="D48" s="60" t="n">
        <f aca="false">D42+D47</f>
        <v>0</v>
      </c>
      <c r="E48" s="60" t="n">
        <f aca="false">E42+E47</f>
        <v>8500</v>
      </c>
      <c r="F48" s="60" t="n">
        <f aca="false">F42+F47</f>
        <v>-8100</v>
      </c>
      <c r="G48" s="60" t="n">
        <f aca="false">G42+G47</f>
        <v>-2100</v>
      </c>
      <c r="H48" s="60" t="n">
        <f aca="false">H42+H47</f>
        <v>2900</v>
      </c>
      <c r="I48" s="60" t="n">
        <f aca="false">I42+I47</f>
        <v>6772.18</v>
      </c>
      <c r="J48" s="60" t="n">
        <f aca="false">J42+J47</f>
        <v>-12600</v>
      </c>
      <c r="K48" s="60" t="n">
        <f aca="false">K42+K47</f>
        <v>9439.75195000001</v>
      </c>
      <c r="L48" s="60" t="n">
        <f aca="false">L42+L47</f>
        <v>6615.98855</v>
      </c>
      <c r="M48" s="60" t="n">
        <f aca="false">M42+M47</f>
        <v>-13666.171075</v>
      </c>
      <c r="N48" s="60" t="n">
        <f aca="false">N42+N47</f>
        <v>-101950.7056932</v>
      </c>
      <c r="O48" s="60" t="n">
        <f aca="false">O42+O47</f>
        <v>-94729.8616713888</v>
      </c>
      <c r="P48" s="60" t="n">
        <f aca="false">P42+P47</f>
        <v>-98396.6278780075</v>
      </c>
      <c r="Q48" s="60" t="n">
        <f aca="false">Q42+Q47</f>
        <v>-74578.7389671587</v>
      </c>
      <c r="R48" s="60" t="n">
        <f aca="false">R42+R47</f>
        <v>-69973.7986713035</v>
      </c>
      <c r="S48" s="60" t="n">
        <f aca="false">S42+S47</f>
        <v>-57341.9373804025</v>
      </c>
      <c r="T48" s="60" t="n">
        <f aca="false">T42+T47</f>
        <v>-87981.2448762961</v>
      </c>
      <c r="U48" s="60" t="n">
        <f aca="false">U42+U47</f>
        <v>-60035.1163465257</v>
      </c>
      <c r="V48" s="60" t="n">
        <f aca="false">V42+V47</f>
        <v>-57444.9561012669</v>
      </c>
      <c r="W48" s="60" t="n">
        <f aca="false">W42+W47</f>
        <v>-45626.0851354744</v>
      </c>
      <c r="X48" s="60" t="n">
        <f aca="false">X42+X47</f>
        <v>-43169.480472945</v>
      </c>
      <c r="Y48" s="60" t="n">
        <f aca="false">Y42+Y47</f>
        <v>-26013.9862831956</v>
      </c>
      <c r="Z48" s="60" t="n">
        <f aca="false">Z42+Z47</f>
        <v>-186453.627171172</v>
      </c>
      <c r="AA48" s="60" t="n">
        <f aca="false">AA42+AA47</f>
        <v>-179647.297770951</v>
      </c>
      <c r="AB48" s="60" t="n">
        <f aca="false">AB42+AB47</f>
        <v>-173435.277725376</v>
      </c>
      <c r="AC48" s="60" t="n">
        <f aca="false">AC42+AC47</f>
        <v>-167763.346454359</v>
      </c>
      <c r="AD48" s="60" t="n">
        <f aca="false">AD42+AD47</f>
        <v>-162661.461116305</v>
      </c>
      <c r="AE48" s="60" t="n">
        <f aca="false">AE42+AE47</f>
        <v>-173001.677562864</v>
      </c>
      <c r="AF48" s="60" t="n">
        <f aca="false">AF42+AF47</f>
        <v>-153773.878783304</v>
      </c>
      <c r="AG48" s="60" t="n">
        <f aca="false">AG42+AG47</f>
        <v>-150076.005535467</v>
      </c>
      <c r="AH48" s="60" t="n">
        <f aca="false">AH42+AH47</f>
        <v>-146987.130404721</v>
      </c>
      <c r="AI48" s="60" t="n">
        <f aca="false">AI42+AI47</f>
        <v>-144171.247482019</v>
      </c>
      <c r="AJ48" s="60" t="n">
        <f aca="false">AJ42+AJ47</f>
        <v>-141576.410938751</v>
      </c>
      <c r="AK48" s="60" t="n">
        <f aca="false">AK42+AK47</f>
        <v>-139222.803549085</v>
      </c>
      <c r="AL48" s="60" t="n">
        <f aca="false">AL42+AL47</f>
        <v>-395146.998765687</v>
      </c>
      <c r="AM48" s="60" t="n">
        <f aca="false">AM42+AM47</f>
        <v>-384876.785848137</v>
      </c>
      <c r="AN48" s="60" t="n">
        <f aca="false">AN42+AN47</f>
        <v>-375574.034745067</v>
      </c>
      <c r="AO48" s="60" t="n">
        <f aca="false">AO42+AO47</f>
        <v>-315540.96621936</v>
      </c>
      <c r="AP48" s="60" t="n">
        <f aca="false">AP42+AP47</f>
        <v>-308324.919687276</v>
      </c>
      <c r="AQ48" s="60" t="n">
        <f aca="false">AQ42+AQ47</f>
        <v>-326702.772394756</v>
      </c>
      <c r="AR48" s="60" t="n">
        <f aca="false">AR42+AR47</f>
        <v>-269868.413959462</v>
      </c>
      <c r="AS48" s="60" t="n">
        <f aca="false">AS42+AS47</f>
        <v>-267758.194373047</v>
      </c>
      <c r="AT48" s="60" t="n">
        <f aca="false">AT42+AT47</f>
        <v>-265950.254155656</v>
      </c>
      <c r="AU48" s="60" t="n">
        <f aca="false">AU42+AU47</f>
        <v>-264368.995819022</v>
      </c>
      <c r="AV48" s="60" t="n">
        <f aca="false">AV42+AV47</f>
        <v>-262940.733911178</v>
      </c>
      <c r="AW48" s="60" t="n">
        <f aca="false">AW42+AW47</f>
        <v>-245794.764729917</v>
      </c>
      <c r="AX48" s="60" t="n">
        <f aca="false">AX42+AX47</f>
        <v>-529919.297871865</v>
      </c>
      <c r="AY48" s="60" t="n">
        <f aca="false">AY42+AY47</f>
        <v>-511125.753247605</v>
      </c>
      <c r="AZ48" s="60" t="n">
        <f aca="false">AZ42+AZ47</f>
        <v>-493964.337179266</v>
      </c>
      <c r="BA48" s="60" t="n">
        <f aca="false">BA42+BA47</f>
        <v>-478241.951753745</v>
      </c>
      <c r="BB48" s="60" t="n">
        <f aca="false">BB42+BB47</f>
        <v>-463901.222975941</v>
      </c>
      <c r="BC48" s="60" t="n">
        <f aca="false">BC42+BC47</f>
        <v>-480730.272416847</v>
      </c>
      <c r="BD48" s="60" t="n">
        <f aca="false">BD42+BD47</f>
        <v>-438707.703500068</v>
      </c>
      <c r="BE48" s="60" t="n">
        <f aca="false">BE42+BE47</f>
        <v>-427675.889491079</v>
      </c>
      <c r="BF48" s="60" t="n">
        <f aca="false">BF42+BF47</f>
        <v>-417595.295434807</v>
      </c>
      <c r="BG48" s="60" t="n">
        <f aca="false">BG42+BG47</f>
        <v>-408394.105759594</v>
      </c>
      <c r="BH48" s="60" t="n">
        <f aca="false">BH42+BH47</f>
        <v>-399931.359979017</v>
      </c>
      <c r="BI48" s="60" t="n">
        <f aca="false">BI42+BI47</f>
        <v>-392239.045839202</v>
      </c>
      <c r="BJ48" s="61" t="n">
        <f aca="false">SUM(B48:BI48)</f>
        <v>-11863525.0246041</v>
      </c>
    </row>
    <row r="49" customFormat="false" ht="15" hidden="false" customHeight="false" outlineLevel="0" collapsed="false">
      <c r="A49" s="62" t="s">
        <v>792</v>
      </c>
      <c r="B49" s="61" t="n">
        <f aca="false">B48</f>
        <v>0</v>
      </c>
      <c r="C49" s="61" t="n">
        <f aca="false">B49+C48</f>
        <v>0</v>
      </c>
      <c r="D49" s="61" t="n">
        <f aca="false">C49+D48</f>
        <v>0</v>
      </c>
      <c r="E49" s="61" t="n">
        <f aca="false">D49+E48</f>
        <v>8500</v>
      </c>
      <c r="F49" s="61" t="n">
        <f aca="false">E49+F48</f>
        <v>400</v>
      </c>
      <c r="G49" s="61" t="n">
        <f aca="false">F49+G48</f>
        <v>-1700</v>
      </c>
      <c r="H49" s="61" t="n">
        <f aca="false">G49+H48</f>
        <v>1200</v>
      </c>
      <c r="I49" s="61" t="n">
        <f aca="false">H49+I48</f>
        <v>7972.18</v>
      </c>
      <c r="J49" s="61" t="n">
        <f aca="false">I49+J48</f>
        <v>-4627.82</v>
      </c>
      <c r="K49" s="61" t="n">
        <f aca="false">J49+K48</f>
        <v>4811.93195000001</v>
      </c>
      <c r="L49" s="61" t="n">
        <f aca="false">K49+L48</f>
        <v>11427.9205</v>
      </c>
      <c r="M49" s="61" t="n">
        <f aca="false">L49+M48</f>
        <v>-2238.250575</v>
      </c>
      <c r="N49" s="61" t="n">
        <f aca="false">M49+N48</f>
        <v>-104188.9562682</v>
      </c>
      <c r="O49" s="61" t="n">
        <f aca="false">N49+O48</f>
        <v>-198918.817939589</v>
      </c>
      <c r="P49" s="61" t="n">
        <f aca="false">O49+P48</f>
        <v>-297315.445817596</v>
      </c>
      <c r="Q49" s="61" t="n">
        <f aca="false">P49+Q48</f>
        <v>-371894.184784755</v>
      </c>
      <c r="R49" s="61" t="n">
        <f aca="false">Q49+R48</f>
        <v>-441867.983456059</v>
      </c>
      <c r="S49" s="61" t="n">
        <f aca="false">R49+S48</f>
        <v>-499209.920836461</v>
      </c>
      <c r="T49" s="61" t="n">
        <f aca="false">S49+T48</f>
        <v>-587191.165712757</v>
      </c>
      <c r="U49" s="61" t="n">
        <f aca="false">T49+U48</f>
        <v>-647226.282059283</v>
      </c>
      <c r="V49" s="61" t="n">
        <f aca="false">U49+V48</f>
        <v>-704671.23816055</v>
      </c>
      <c r="W49" s="61" t="n">
        <f aca="false">V49+W48</f>
        <v>-750297.323296024</v>
      </c>
      <c r="X49" s="61" t="n">
        <f aca="false">W49+X48</f>
        <v>-793466.803768969</v>
      </c>
      <c r="Y49" s="61" t="n">
        <f aca="false">X49+Y48</f>
        <v>-819480.790052165</v>
      </c>
      <c r="Z49" s="61" t="n">
        <f aca="false">Y49+Z48</f>
        <v>-1005934.41722334</v>
      </c>
      <c r="AA49" s="61" t="n">
        <f aca="false">Z49+AA48</f>
        <v>-1185581.71499429</v>
      </c>
      <c r="AB49" s="61" t="n">
        <f aca="false">AA49+AB48</f>
        <v>-1359016.99271966</v>
      </c>
      <c r="AC49" s="61" t="n">
        <f aca="false">AB49+AC48</f>
        <v>-1526780.33917402</v>
      </c>
      <c r="AD49" s="61" t="n">
        <f aca="false">AC49+AD48</f>
        <v>-1689441.80029033</v>
      </c>
      <c r="AE49" s="61" t="n">
        <f aca="false">AD49+AE48</f>
        <v>-1862443.47785319</v>
      </c>
      <c r="AF49" s="61" t="n">
        <f aca="false">AE49+AF48</f>
        <v>-2016217.35663649</v>
      </c>
      <c r="AG49" s="61" t="n">
        <f aca="false">AF49+AG48</f>
        <v>-2166293.36217196</v>
      </c>
      <c r="AH49" s="61" t="n">
        <f aca="false">AG49+AH48</f>
        <v>-2313280.49257668</v>
      </c>
      <c r="AI49" s="61" t="n">
        <f aca="false">AH49+AI48</f>
        <v>-2457451.7400587</v>
      </c>
      <c r="AJ49" s="61" t="n">
        <f aca="false">AI49+AJ48</f>
        <v>-2599028.15099745</v>
      </c>
      <c r="AK49" s="61" t="n">
        <f aca="false">AJ49+AK48</f>
        <v>-2738250.95454654</v>
      </c>
      <c r="AL49" s="61" t="n">
        <f aca="false">AK49+AL48</f>
        <v>-3133397.95331223</v>
      </c>
      <c r="AM49" s="61" t="n">
        <f aca="false">AL49+AM48</f>
        <v>-3518274.73916036</v>
      </c>
      <c r="AN49" s="61" t="n">
        <f aca="false">AM49+AN48</f>
        <v>-3893848.77390543</v>
      </c>
      <c r="AO49" s="61" t="n">
        <f aca="false">AN49+AO48</f>
        <v>-4209389.74012479</v>
      </c>
      <c r="AP49" s="61" t="n">
        <f aca="false">AO49+AP48</f>
        <v>-4517714.65981207</v>
      </c>
      <c r="AQ49" s="61" t="n">
        <f aca="false">AP49+AQ48</f>
        <v>-4844417.43220682</v>
      </c>
      <c r="AR49" s="61" t="n">
        <f aca="false">AQ49+AR48</f>
        <v>-5114285.84616628</v>
      </c>
      <c r="AS49" s="61" t="n">
        <f aca="false">AR49+AS48</f>
        <v>-5382044.04053933</v>
      </c>
      <c r="AT49" s="61" t="n">
        <f aca="false">AS49+AT48</f>
        <v>-5647994.29469499</v>
      </c>
      <c r="AU49" s="61" t="n">
        <f aca="false">AT49+AU48</f>
        <v>-5912363.29051401</v>
      </c>
      <c r="AV49" s="61" t="n">
        <f aca="false">AU49+AV48</f>
        <v>-6175304.02442518</v>
      </c>
      <c r="AW49" s="61" t="n">
        <f aca="false">AV49+AW48</f>
        <v>-6421098.7891551</v>
      </c>
      <c r="AX49" s="61" t="n">
        <f aca="false">AW49+AX48</f>
        <v>-6951018.08702697</v>
      </c>
      <c r="AY49" s="61" t="n">
        <f aca="false">AX49+AY48</f>
        <v>-7462143.84027457</v>
      </c>
      <c r="AZ49" s="61" t="n">
        <f aca="false">AY49+AZ48</f>
        <v>-7956108.17745384</v>
      </c>
      <c r="BA49" s="61" t="n">
        <f aca="false">AZ49+BA48</f>
        <v>-8434350.12920758</v>
      </c>
      <c r="BB49" s="61" t="n">
        <f aca="false">BA49+BB48</f>
        <v>-8898251.35218352</v>
      </c>
      <c r="BC49" s="61" t="n">
        <f aca="false">BB49+BC48</f>
        <v>-9378981.62460037</v>
      </c>
      <c r="BD49" s="61" t="n">
        <f aca="false">BC49+BD48</f>
        <v>-9817689.32810044</v>
      </c>
      <c r="BE49" s="61" t="n">
        <f aca="false">BD49+BE48</f>
        <v>-10245365.2175915</v>
      </c>
      <c r="BF49" s="61" t="n">
        <f aca="false">BE49+BF48</f>
        <v>-10662960.5130263</v>
      </c>
      <c r="BG49" s="61" t="n">
        <f aca="false">BF49+BG48</f>
        <v>-11071354.6187859</v>
      </c>
      <c r="BH49" s="61" t="n">
        <f aca="false">BG49+BH48</f>
        <v>-11471285.9787649</v>
      </c>
      <c r="BI49" s="61" t="n">
        <f aca="false">BH49+BI48</f>
        <v>-11863525.0246041</v>
      </c>
      <c r="BJ49" s="61" t="n">
        <f aca="false">BI49</f>
        <v>-11863525.0246041</v>
      </c>
    </row>
    <row r="50" customFormat="false" ht="15" hidden="false" customHeight="false" outlineLevel="0" collapsed="false">
      <c r="A50" s="71" t="s">
        <v>887</v>
      </c>
      <c r="B50" s="72" t="n">
        <f aca="false">IF(B45&lt;0,B$5,0)</f>
        <v>0</v>
      </c>
      <c r="C50" s="72" t="n">
        <f aca="false">IF(C45&lt;0,C$5,0)</f>
        <v>0</v>
      </c>
      <c r="D50" s="72" t="n">
        <f aca="false">IF(D45&lt;0,D$5,0)</f>
        <v>0</v>
      </c>
      <c r="E50" s="72" t="n">
        <f aca="false">IF(E45&lt;0,E$5,0)</f>
        <v>4</v>
      </c>
      <c r="F50" s="72" t="n">
        <f aca="false">IF(F45&lt;0,F$5,0)</f>
        <v>5</v>
      </c>
      <c r="G50" s="72" t="n">
        <f aca="false">IF(G45&lt;0,G$5,0)</f>
        <v>6</v>
      </c>
      <c r="H50" s="72" t="n">
        <f aca="false">IF(H45&lt;0,H$5,0)</f>
        <v>7</v>
      </c>
      <c r="I50" s="72" t="n">
        <f aca="false">IF(I45&lt;0,I$5,0)</f>
        <v>8</v>
      </c>
      <c r="J50" s="72" t="n">
        <f aca="false">IF(J45&lt;0,J$5,0)</f>
        <v>9</v>
      </c>
      <c r="K50" s="72" t="n">
        <f aca="false">IF(K45&lt;0,K$5,0)</f>
        <v>10</v>
      </c>
      <c r="L50" s="72" t="n">
        <f aca="false">IF(L45&lt;0,L$5,0)</f>
        <v>11</v>
      </c>
      <c r="M50" s="72" t="n">
        <f aca="false">IF(M45&lt;0,M$5,0)</f>
        <v>12</v>
      </c>
      <c r="N50" s="72" t="n">
        <f aca="false">IF(N45&lt;0,N$5,0)</f>
        <v>13</v>
      </c>
      <c r="O50" s="72" t="n">
        <f aca="false">IF(O45&lt;0,O$5,0)</f>
        <v>14</v>
      </c>
      <c r="P50" s="72" t="n">
        <f aca="false">IF(P45&lt;0,P$5,0)</f>
        <v>15</v>
      </c>
      <c r="Q50" s="72" t="n">
        <f aca="false">IF(Q45&lt;0,Q$5,0)</f>
        <v>16</v>
      </c>
      <c r="R50" s="72" t="n">
        <f aca="false">IF(R45&lt;0,R$5,0)</f>
        <v>17</v>
      </c>
      <c r="S50" s="72" t="n">
        <f aca="false">IF(S45&lt;0,S$5,0)</f>
        <v>18</v>
      </c>
      <c r="T50" s="72" t="n">
        <f aca="false">IF(T45&lt;0,T$5,0)</f>
        <v>19</v>
      </c>
      <c r="U50" s="72" t="n">
        <f aca="false">IF(U45&lt;0,U$5,0)</f>
        <v>20</v>
      </c>
      <c r="V50" s="72" t="n">
        <f aca="false">IF(V45&lt;0,V$5,0)</f>
        <v>21</v>
      </c>
      <c r="W50" s="72" t="n">
        <f aca="false">IF(W45&lt;0,W$5,0)</f>
        <v>22</v>
      </c>
      <c r="X50" s="72" t="n">
        <f aca="false">IF(X45&lt;0,X$5,0)</f>
        <v>23</v>
      </c>
      <c r="Y50" s="72" t="n">
        <f aca="false">IF(Y45&lt;0,Y$5,0)</f>
        <v>24</v>
      </c>
      <c r="Z50" s="72" t="n">
        <f aca="false">IF(Z45&lt;0,Z$5,0)</f>
        <v>25</v>
      </c>
      <c r="AA50" s="72" t="n">
        <f aca="false">IF(AA45&lt;0,AA$5,0)</f>
        <v>26</v>
      </c>
      <c r="AB50" s="72" t="n">
        <f aca="false">IF(AB45&lt;0,AB$5,0)</f>
        <v>27</v>
      </c>
      <c r="AC50" s="72" t="n">
        <f aca="false">IF(AC45&lt;0,AC$5,0)</f>
        <v>28</v>
      </c>
      <c r="AD50" s="72" t="n">
        <f aca="false">IF(AD45&lt;0,AD$5,0)</f>
        <v>29</v>
      </c>
      <c r="AE50" s="72" t="n">
        <f aca="false">IF(AE45&lt;0,AE$5,0)</f>
        <v>30</v>
      </c>
      <c r="AF50" s="72" t="n">
        <f aca="false">IF(AF45&lt;0,AF$5,0)</f>
        <v>31</v>
      </c>
      <c r="AG50" s="72" t="n">
        <f aca="false">IF(AG45&lt;0,AG$5,0)</f>
        <v>32</v>
      </c>
      <c r="AH50" s="72" t="n">
        <f aca="false">IF(AH45&lt;0,AH$5,0)</f>
        <v>33</v>
      </c>
      <c r="AI50" s="72" t="n">
        <f aca="false">IF(AI45&lt;0,AI$5,0)</f>
        <v>34</v>
      </c>
      <c r="AJ50" s="72" t="n">
        <f aca="false">IF(AJ45&lt;0,AJ$5,0)</f>
        <v>35</v>
      </c>
      <c r="AK50" s="72" t="n">
        <f aca="false">IF(AK45&lt;0,AK$5,0)</f>
        <v>36</v>
      </c>
      <c r="AL50" s="72" t="n">
        <f aca="false">IF(AL45&lt;0,AL$5,0)</f>
        <v>37</v>
      </c>
      <c r="AM50" s="72" t="n">
        <f aca="false">IF(AM45&lt;0,AM$5,0)</f>
        <v>38</v>
      </c>
      <c r="AN50" s="72" t="n">
        <f aca="false">IF(AN45&lt;0,AN$5,0)</f>
        <v>39</v>
      </c>
      <c r="AO50" s="72" t="n">
        <f aca="false">IF(AO45&lt;0,AO$5,0)</f>
        <v>40</v>
      </c>
      <c r="AP50" s="72" t="n">
        <f aca="false">IF(AP45&lt;0,AP$5,0)</f>
        <v>41</v>
      </c>
      <c r="AQ50" s="72" t="n">
        <f aca="false">IF(AQ45&lt;0,AQ$5,0)</f>
        <v>42</v>
      </c>
      <c r="AR50" s="72" t="n">
        <f aca="false">IF(AR45&lt;0,AR$5,0)</f>
        <v>43</v>
      </c>
      <c r="AS50" s="72" t="n">
        <f aca="false">IF(AS45&lt;0,AS$5,0)</f>
        <v>44</v>
      </c>
      <c r="AT50" s="72" t="n">
        <f aca="false">IF(AT45&lt;0,AT$5,0)</f>
        <v>45</v>
      </c>
      <c r="AU50" s="72" t="n">
        <f aca="false">IF(AU45&lt;0,AU$5,0)</f>
        <v>46</v>
      </c>
      <c r="AV50" s="72" t="n">
        <f aca="false">IF(AV45&lt;0,AV$5,0)</f>
        <v>47</v>
      </c>
      <c r="AW50" s="72" t="n">
        <f aca="false">IF(AW45&lt;0,AW$5,0)</f>
        <v>48</v>
      </c>
      <c r="AX50" s="72" t="n">
        <f aca="false">IF(AX45&lt;0,AX$5,0)</f>
        <v>49</v>
      </c>
      <c r="AY50" s="72" t="n">
        <f aca="false">IF(AY45&lt;0,AY$5,0)</f>
        <v>50</v>
      </c>
      <c r="AZ50" s="72" t="n">
        <f aca="false">IF(AZ45&lt;0,AZ$5,0)</f>
        <v>51</v>
      </c>
      <c r="BA50" s="72" t="n">
        <f aca="false">IF(BA45&lt;0,BA$5,0)</f>
        <v>52</v>
      </c>
      <c r="BB50" s="72" t="n">
        <f aca="false">IF(BB45&lt;0,BB$5,0)</f>
        <v>53</v>
      </c>
      <c r="BC50" s="72" t="n">
        <f aca="false">IF(BC45&lt;0,BC$5,0)</f>
        <v>54</v>
      </c>
      <c r="BD50" s="72" t="n">
        <f aca="false">IF(BD45&lt;0,BD$5,0)</f>
        <v>55</v>
      </c>
      <c r="BE50" s="72" t="n">
        <f aca="false">IF(BE45&lt;0,BE$5,0)</f>
        <v>56</v>
      </c>
      <c r="BF50" s="72" t="n">
        <f aca="false">IF(BF45&lt;0,BF$5,0)</f>
        <v>57</v>
      </c>
      <c r="BG50" s="72" t="n">
        <f aca="false">IF(BG45&lt;0,BG$5,0)</f>
        <v>58</v>
      </c>
      <c r="BH50" s="72" t="n">
        <f aca="false">IF(BH45&lt;0,BH$5,0)</f>
        <v>59</v>
      </c>
      <c r="BI50" s="72" t="n">
        <f aca="false">IF(BI45&lt;0,BI$5,0)</f>
        <v>60</v>
      </c>
      <c r="BJ50" s="134" t="n">
        <f aca="false">BI50</f>
        <v>60</v>
      </c>
      <c r="BK50" s="29" t="s">
        <v>888</v>
      </c>
    </row>
    <row r="51" customFormat="false" ht="15" hidden="false" customHeight="false" outlineLevel="0" collapsed="false">
      <c r="A51" s="71" t="s">
        <v>889</v>
      </c>
      <c r="B51" s="72" t="n">
        <f aca="false">IF(B44&lt;0,B$5,0)</f>
        <v>0</v>
      </c>
      <c r="C51" s="72" t="n">
        <f aca="false">IF(C44&lt;0,C$5,0)</f>
        <v>0</v>
      </c>
      <c r="D51" s="72" t="n">
        <f aca="false">IF(D44&lt;0,D$5,0)</f>
        <v>0</v>
      </c>
      <c r="E51" s="72" t="n">
        <f aca="false">IF(E44&lt;0,E$5,0)</f>
        <v>4</v>
      </c>
      <c r="F51" s="72" t="n">
        <f aca="false">IF(F44&lt;0,F$5,0)</f>
        <v>5</v>
      </c>
      <c r="G51" s="72" t="n">
        <f aca="false">IF(G44&lt;0,G$5,0)</f>
        <v>6</v>
      </c>
      <c r="H51" s="72" t="n">
        <f aca="false">IF(H44&lt;0,H$5,0)</f>
        <v>7</v>
      </c>
      <c r="I51" s="72" t="n">
        <f aca="false">IF(I44&lt;0,I$5,0)</f>
        <v>8</v>
      </c>
      <c r="J51" s="72" t="n">
        <f aca="false">IF(J44&lt;0,J$5,0)</f>
        <v>9</v>
      </c>
      <c r="K51" s="72" t="n">
        <f aca="false">IF(K44&lt;0,K$5,0)</f>
        <v>10</v>
      </c>
      <c r="L51" s="72" t="n">
        <f aca="false">IF(L44&lt;0,L$5,0)</f>
        <v>11</v>
      </c>
      <c r="M51" s="72" t="n">
        <f aca="false">IF(M44&lt;0,M$5,0)</f>
        <v>12</v>
      </c>
      <c r="N51" s="72" t="n">
        <f aca="false">IF(N44&lt;0,N$5,0)</f>
        <v>13</v>
      </c>
      <c r="O51" s="72" t="n">
        <f aca="false">IF(O44&lt;0,O$5,0)</f>
        <v>14</v>
      </c>
      <c r="P51" s="72" t="n">
        <f aca="false">IF(P44&lt;0,P$5,0)</f>
        <v>15</v>
      </c>
      <c r="Q51" s="72" t="n">
        <f aca="false">IF(Q44&lt;0,Q$5,0)</f>
        <v>16</v>
      </c>
      <c r="R51" s="72" t="n">
        <f aca="false">IF(R44&lt;0,R$5,0)</f>
        <v>17</v>
      </c>
      <c r="S51" s="72" t="n">
        <f aca="false">IF(S44&lt;0,S$5,0)</f>
        <v>18</v>
      </c>
      <c r="T51" s="72" t="n">
        <f aca="false">IF(T44&lt;0,T$5,0)</f>
        <v>19</v>
      </c>
      <c r="U51" s="72" t="n">
        <f aca="false">IF(U44&lt;0,U$5,0)</f>
        <v>20</v>
      </c>
      <c r="V51" s="72" t="n">
        <f aca="false">IF(V44&lt;0,V$5,0)</f>
        <v>21</v>
      </c>
      <c r="W51" s="72" t="n">
        <f aca="false">IF(W44&lt;0,W$5,0)</f>
        <v>22</v>
      </c>
      <c r="X51" s="72" t="n">
        <f aca="false">IF(X44&lt;0,X$5,0)</f>
        <v>23</v>
      </c>
      <c r="Y51" s="72" t="n">
        <f aca="false">IF(Y44&lt;0,Y$5,0)</f>
        <v>24</v>
      </c>
      <c r="Z51" s="72" t="n">
        <f aca="false">IF(Z44&lt;0,Z$5,0)</f>
        <v>25</v>
      </c>
      <c r="AA51" s="72" t="n">
        <f aca="false">IF(AA44&lt;0,AA$5,0)</f>
        <v>26</v>
      </c>
      <c r="AB51" s="72" t="n">
        <f aca="false">IF(AB44&lt;0,AB$5,0)</f>
        <v>27</v>
      </c>
      <c r="AC51" s="72" t="n">
        <f aca="false">IF(AC44&lt;0,AC$5,0)</f>
        <v>28</v>
      </c>
      <c r="AD51" s="72" t="n">
        <f aca="false">IF(AD44&lt;0,AD$5,0)</f>
        <v>29</v>
      </c>
      <c r="AE51" s="72" t="n">
        <f aca="false">IF(AE44&lt;0,AE$5,0)</f>
        <v>30</v>
      </c>
      <c r="AF51" s="72" t="n">
        <f aca="false">IF(AF44&lt;0,AF$5,0)</f>
        <v>31</v>
      </c>
      <c r="AG51" s="72" t="n">
        <f aca="false">IF(AG44&lt;0,AG$5,0)</f>
        <v>32</v>
      </c>
      <c r="AH51" s="72" t="n">
        <f aca="false">IF(AH44&lt;0,AH$5,0)</f>
        <v>33</v>
      </c>
      <c r="AI51" s="72" t="n">
        <f aca="false">IF(AI44&lt;0,AI$5,0)</f>
        <v>34</v>
      </c>
      <c r="AJ51" s="72" t="n">
        <f aca="false">IF(AJ44&lt;0,AJ$5,0)</f>
        <v>35</v>
      </c>
      <c r="AK51" s="72" t="n">
        <f aca="false">IF(AK44&lt;0,AK$5,0)</f>
        <v>36</v>
      </c>
      <c r="AL51" s="72" t="n">
        <f aca="false">IF(AL44&lt;0,AL$5,0)</f>
        <v>37</v>
      </c>
      <c r="AM51" s="72" t="n">
        <f aca="false">IF(AM44&lt;0,AM$5,0)</f>
        <v>38</v>
      </c>
      <c r="AN51" s="72" t="n">
        <f aca="false">IF(AN44&lt;0,AN$5,0)</f>
        <v>39</v>
      </c>
      <c r="AO51" s="72" t="n">
        <f aca="false">IF(AO44&lt;0,AO$5,0)</f>
        <v>40</v>
      </c>
      <c r="AP51" s="72" t="n">
        <f aca="false">IF(AP44&lt;0,AP$5,0)</f>
        <v>41</v>
      </c>
      <c r="AQ51" s="72" t="n">
        <f aca="false">IF(AQ44&lt;0,AQ$5,0)</f>
        <v>42</v>
      </c>
      <c r="AR51" s="72" t="n">
        <f aca="false">IF(AR44&lt;0,AR$5,0)</f>
        <v>43</v>
      </c>
      <c r="AS51" s="72" t="n">
        <f aca="false">IF(AS44&lt;0,AS$5,0)</f>
        <v>44</v>
      </c>
      <c r="AT51" s="72" t="n">
        <f aca="false">IF(AT44&lt;0,AT$5,0)</f>
        <v>45</v>
      </c>
      <c r="AU51" s="72" t="n">
        <f aca="false">IF(AU44&lt;0,AU$5,0)</f>
        <v>46</v>
      </c>
      <c r="AV51" s="72" t="n">
        <f aca="false">IF(AV44&lt;0,AV$5,0)</f>
        <v>47</v>
      </c>
      <c r="AW51" s="72" t="n">
        <f aca="false">IF(AW44&lt;0,AW$5,0)</f>
        <v>48</v>
      </c>
      <c r="AX51" s="72" t="n">
        <f aca="false">IF(AX44&lt;0,AX$5,0)</f>
        <v>49</v>
      </c>
      <c r="AY51" s="72" t="n">
        <f aca="false">IF(AY44&lt;0,AY$5,0)</f>
        <v>50</v>
      </c>
      <c r="AZ51" s="72" t="n">
        <f aca="false">IF(AZ44&lt;0,AZ$5,0)</f>
        <v>51</v>
      </c>
      <c r="BA51" s="72" t="n">
        <f aca="false">IF(BA44&lt;0,BA$5,0)</f>
        <v>52</v>
      </c>
      <c r="BB51" s="72" t="n">
        <f aca="false">IF(BB44&lt;0,BB$5,0)</f>
        <v>53</v>
      </c>
      <c r="BC51" s="72" t="n">
        <f aca="false">IF(BC44&lt;0,BC$5,0)</f>
        <v>54</v>
      </c>
      <c r="BD51" s="72" t="n">
        <f aca="false">IF(BD44&lt;0,BD$5,0)</f>
        <v>55</v>
      </c>
      <c r="BE51" s="72" t="n">
        <f aca="false">IF(BE44&lt;0,BE$5,0)</f>
        <v>56</v>
      </c>
      <c r="BF51" s="72" t="n">
        <f aca="false">IF(BF44&lt;0,BF$5,0)</f>
        <v>57</v>
      </c>
      <c r="BG51" s="72" t="n">
        <f aca="false">IF(BG44&lt;0,BG$5,0)</f>
        <v>58</v>
      </c>
      <c r="BH51" s="72" t="n">
        <f aca="false">IF(BH44&lt;0,BH$5,0)</f>
        <v>59</v>
      </c>
      <c r="BI51" s="72" t="n">
        <f aca="false">IF(BI44&lt;0,BI$5,0)</f>
        <v>60</v>
      </c>
      <c r="BJ51" s="134" t="n">
        <f aca="false">BI51</f>
        <v>60</v>
      </c>
      <c r="BK51" s="29" t="s">
        <v>888</v>
      </c>
    </row>
    <row r="55" customFormat="false" ht="19.5" hidden="false" customHeight="true" outlineLevel="0" collapsed="false">
      <c r="A55" s="74" t="s">
        <v>272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</row>
    <row r="56" customFormat="false" ht="15" hidden="false" customHeight="false" outlineLevel="0" collapsed="false">
      <c r="A56" s="27" t="s">
        <v>834</v>
      </c>
      <c r="B56" s="91" t="n">
        <f aca="false">IF(B$4&lt;Premissas!$B$13,0,IF('Ajuste Mensal'!B$19="",INDEX(Premissas!$C$56:$G$56,B$7),'Ajuste Mensal'!B$19))</f>
        <v>0</v>
      </c>
      <c r="C56" s="91" t="n">
        <f aca="false">IF(C$4&lt;Premissas!$B$13,0,IF('Ajuste Mensal'!C$19="",INDEX(Premissas!$C$56:$G$56,C$7),'Ajuste Mensal'!C$19))</f>
        <v>0</v>
      </c>
      <c r="D56" s="91" t="n">
        <f aca="false">IF(D$4&lt;Premissas!$B$13,0,IF('Ajuste Mensal'!D$19="",INDEX(Premissas!$C$56:$G$56,D$7),'Ajuste Mensal'!D$19))</f>
        <v>0</v>
      </c>
      <c r="E56" s="91" t="n">
        <f aca="false">IF(E$4&lt;Premissas!$B$13,0,IF('Ajuste Mensal'!E$19="",INDEX(Premissas!$C$56:$G$56,E$7),'Ajuste Mensal'!E$19))</f>
        <v>0</v>
      </c>
      <c r="F56" s="91" t="n">
        <f aca="false">IF(F$4&lt;Premissas!$B$13,0,IF('Ajuste Mensal'!F$19="",INDEX(Premissas!$C$56:$G$56,F$7),'Ajuste Mensal'!F$19))</f>
        <v>0</v>
      </c>
      <c r="G56" s="91" t="n">
        <f aca="false">IF(G$4&lt;Premissas!$B$13,0,IF('Ajuste Mensal'!G$19="",INDEX(Premissas!$C$56:$G$56,G$7),'Ajuste Mensal'!G$19))</f>
        <v>0</v>
      </c>
      <c r="H56" s="91" t="n">
        <f aca="false">IF(H$4&lt;Premissas!$B$13,0,IF('Ajuste Mensal'!H$19="",INDEX(Premissas!$C$56:$G$56,H$7),'Ajuste Mensal'!H$19))</f>
        <v>0</v>
      </c>
      <c r="I56" s="91" t="n">
        <f aca="false">IF(I$4&lt;Premissas!$B$13,0,IF('Ajuste Mensal'!I$19="",INDEX(Premissas!$C$56:$G$56,I$7),'Ajuste Mensal'!I$19))</f>
        <v>0</v>
      </c>
      <c r="J56" s="91" t="n">
        <f aca="false">IF(J$4&lt;Premissas!$B$13,0,IF('Ajuste Mensal'!J$19="",INDEX(Premissas!$C$56:$G$56,J$7),'Ajuste Mensal'!J$19))</f>
        <v>0</v>
      </c>
      <c r="K56" s="91" t="n">
        <f aca="false">IF(K$4&lt;Premissas!$B$13,0,IF('Ajuste Mensal'!K$19="",INDEX(Premissas!$C$56:$G$56,K$7),'Ajuste Mensal'!K$19))</f>
        <v>18100</v>
      </c>
      <c r="L56" s="91" t="n">
        <f aca="false">IF(L$4&lt;Premissas!$B$13,0,IF('Ajuste Mensal'!L$19="",INDEX(Premissas!$C$56:$G$56,L$7),'Ajuste Mensal'!L$19))</f>
        <v>18100</v>
      </c>
      <c r="M56" s="91" t="n">
        <f aca="false">IF(M$4&lt;Premissas!$B$13,0,IF('Ajuste Mensal'!M$19="",INDEX(Premissas!$C$56:$G$56,M$7),'Ajuste Mensal'!M$19))</f>
        <v>18100</v>
      </c>
      <c r="N56" s="91" t="n">
        <f aca="false">IF(N$4&lt;Premissas!$B$13,0,IF('Ajuste Mensal'!N$19="",INDEX(Premissas!$C$56:$G$56,N$7),'Ajuste Mensal'!N$19))</f>
        <v>27150</v>
      </c>
      <c r="O56" s="91" t="n">
        <f aca="false">IF(O$4&lt;Premissas!$B$13,0,IF('Ajuste Mensal'!O$19="",INDEX(Premissas!$C$56:$G$56,O$7),'Ajuste Mensal'!O$19))</f>
        <v>27150</v>
      </c>
      <c r="P56" s="91" t="n">
        <f aca="false">IF(P$4&lt;Premissas!$B$13,0,IF('Ajuste Mensal'!P$19="",INDEX(Premissas!$C$56:$G$56,P$7),'Ajuste Mensal'!P$19))</f>
        <v>27150</v>
      </c>
      <c r="Q56" s="91" t="n">
        <f aca="false">IF(Q$4&lt;Premissas!$B$13,0,IF('Ajuste Mensal'!Q$19="",INDEX(Premissas!$C$56:$G$56,Q$7),'Ajuste Mensal'!Q$19))</f>
        <v>27150</v>
      </c>
      <c r="R56" s="91" t="n">
        <f aca="false">IF(R$4&lt;Premissas!$B$13,0,IF('Ajuste Mensal'!R$19="",INDEX(Premissas!$C$56:$G$56,R$7),'Ajuste Mensal'!R$19))</f>
        <v>27150</v>
      </c>
      <c r="S56" s="91" t="n">
        <f aca="false">IF(S$4&lt;Premissas!$B$13,0,IF('Ajuste Mensal'!S$19="",INDEX(Premissas!$C$56:$G$56,S$7),'Ajuste Mensal'!S$19))</f>
        <v>27150</v>
      </c>
      <c r="T56" s="91" t="n">
        <f aca="false">IF(T$4&lt;Premissas!$B$13,0,IF('Ajuste Mensal'!T$19="",INDEX(Premissas!$C$56:$G$56,T$7),'Ajuste Mensal'!T$19))</f>
        <v>27150</v>
      </c>
      <c r="U56" s="91" t="n">
        <f aca="false">IF(U$4&lt;Premissas!$B$13,0,IF('Ajuste Mensal'!U$19="",INDEX(Premissas!$C$56:$G$56,U$7),'Ajuste Mensal'!U$19))</f>
        <v>27150</v>
      </c>
      <c r="V56" s="91" t="n">
        <f aca="false">IF(V$4&lt;Premissas!$B$13,0,IF('Ajuste Mensal'!V$19="",INDEX(Premissas!$C$56:$G$56,V$7),'Ajuste Mensal'!V$19))</f>
        <v>27150</v>
      </c>
      <c r="W56" s="91" t="n">
        <f aca="false">IF(W$4&lt;Premissas!$B$13,0,IF('Ajuste Mensal'!W$19="",INDEX(Premissas!$C$56:$G$56,W$7),'Ajuste Mensal'!W$19))</f>
        <v>27150</v>
      </c>
      <c r="X56" s="91" t="n">
        <f aca="false">IF(X$4&lt;Premissas!$B$13,0,IF('Ajuste Mensal'!X$19="",INDEX(Premissas!$C$56:$G$56,X$7),'Ajuste Mensal'!X$19))</f>
        <v>27150</v>
      </c>
      <c r="Y56" s="91" t="n">
        <f aca="false">IF(Y$4&lt;Premissas!$B$13,0,IF('Ajuste Mensal'!Y$19="",INDEX(Premissas!$C$56:$G$56,Y$7),'Ajuste Mensal'!Y$19))</f>
        <v>27150</v>
      </c>
      <c r="Z56" s="91" t="n">
        <f aca="false">IF(Z$4&lt;Premissas!$B$13,0,IF('Ajuste Mensal'!Z$19="",INDEX(Premissas!$C$56:$G$56,Z$7),'Ajuste Mensal'!Z$19))</f>
        <v>40725</v>
      </c>
      <c r="AA56" s="91" t="n">
        <f aca="false">IF(AA$4&lt;Premissas!$B$13,0,IF('Ajuste Mensal'!AA$19="",INDEX(Premissas!$C$56:$G$56,AA$7),'Ajuste Mensal'!AA$19))</f>
        <v>40725</v>
      </c>
      <c r="AB56" s="91" t="n">
        <f aca="false">IF(AB$4&lt;Premissas!$B$13,0,IF('Ajuste Mensal'!AB$19="",INDEX(Premissas!$C$56:$G$56,AB$7),'Ajuste Mensal'!AB$19))</f>
        <v>40725</v>
      </c>
      <c r="AC56" s="91" t="n">
        <f aca="false">IF(AC$4&lt;Premissas!$B$13,0,IF('Ajuste Mensal'!AC$19="",INDEX(Premissas!$C$56:$G$56,AC$7),'Ajuste Mensal'!AC$19))</f>
        <v>40725</v>
      </c>
      <c r="AD56" s="91" t="n">
        <f aca="false">IF(AD$4&lt;Premissas!$B$13,0,IF('Ajuste Mensal'!AD$19="",INDEX(Premissas!$C$56:$G$56,AD$7),'Ajuste Mensal'!AD$19))</f>
        <v>40725</v>
      </c>
      <c r="AE56" s="91" t="n">
        <f aca="false">IF(AE$4&lt;Premissas!$B$13,0,IF('Ajuste Mensal'!AE$19="",INDEX(Premissas!$C$56:$G$56,AE$7),'Ajuste Mensal'!AE$19))</f>
        <v>40725</v>
      </c>
      <c r="AF56" s="91" t="n">
        <f aca="false">IF(AF$4&lt;Premissas!$B$13,0,IF('Ajuste Mensal'!AF$19="",INDEX(Premissas!$C$56:$G$56,AF$7),'Ajuste Mensal'!AF$19))</f>
        <v>40725</v>
      </c>
      <c r="AG56" s="91" t="n">
        <f aca="false">IF(AG$4&lt;Premissas!$B$13,0,IF('Ajuste Mensal'!AG$19="",INDEX(Premissas!$C$56:$G$56,AG$7),'Ajuste Mensal'!AG$19))</f>
        <v>40725</v>
      </c>
      <c r="AH56" s="91" t="n">
        <f aca="false">IF(AH$4&lt;Premissas!$B$13,0,IF('Ajuste Mensal'!AH$19="",INDEX(Premissas!$C$56:$G$56,AH$7),'Ajuste Mensal'!AH$19))</f>
        <v>40725</v>
      </c>
      <c r="AI56" s="91" t="n">
        <f aca="false">IF(AI$4&lt;Premissas!$B$13,0,IF('Ajuste Mensal'!AI$19="",INDEX(Premissas!$C$56:$G$56,AI$7),'Ajuste Mensal'!AI$19))</f>
        <v>40725</v>
      </c>
      <c r="AJ56" s="91" t="n">
        <f aca="false">IF(AJ$4&lt;Premissas!$B$13,0,IF('Ajuste Mensal'!AJ$19="",INDEX(Premissas!$C$56:$G$56,AJ$7),'Ajuste Mensal'!AJ$19))</f>
        <v>40725</v>
      </c>
      <c r="AK56" s="91" t="n">
        <f aca="false">IF(AK$4&lt;Premissas!$B$13,0,IF('Ajuste Mensal'!AK$19="",INDEX(Premissas!$C$56:$G$56,AK$7),'Ajuste Mensal'!AK$19))</f>
        <v>40725</v>
      </c>
      <c r="AL56" s="91" t="n">
        <f aca="false">IF(AL$4&lt;Premissas!$B$13,0,IF('Ajuste Mensal'!AL$19="",INDEX(Premissas!$C$56:$G$56,AL$7),'Ajuste Mensal'!AL$19))</f>
        <v>61087.5</v>
      </c>
      <c r="AM56" s="91" t="n">
        <f aca="false">IF(AM$4&lt;Premissas!$B$13,0,IF('Ajuste Mensal'!AM$19="",INDEX(Premissas!$C$56:$G$56,AM$7),'Ajuste Mensal'!AM$19))</f>
        <v>61087.5</v>
      </c>
      <c r="AN56" s="91" t="n">
        <f aca="false">IF(AN$4&lt;Premissas!$B$13,0,IF('Ajuste Mensal'!AN$19="",INDEX(Premissas!$C$56:$G$56,AN$7),'Ajuste Mensal'!AN$19))</f>
        <v>61087.5</v>
      </c>
      <c r="AO56" s="91" t="n">
        <f aca="false">IF(AO$4&lt;Premissas!$B$13,0,IF('Ajuste Mensal'!AO$19="",INDEX(Premissas!$C$56:$G$56,AO$7),'Ajuste Mensal'!AO$19))</f>
        <v>61087.5</v>
      </c>
      <c r="AP56" s="91" t="n">
        <f aca="false">IF(AP$4&lt;Premissas!$B$13,0,IF('Ajuste Mensal'!AP$19="",INDEX(Premissas!$C$56:$G$56,AP$7),'Ajuste Mensal'!AP$19))</f>
        <v>61087.5</v>
      </c>
      <c r="AQ56" s="91" t="n">
        <f aca="false">IF(AQ$4&lt;Premissas!$B$13,0,IF('Ajuste Mensal'!AQ$19="",INDEX(Premissas!$C$56:$G$56,AQ$7),'Ajuste Mensal'!AQ$19))</f>
        <v>61087.5</v>
      </c>
      <c r="AR56" s="91" t="n">
        <f aca="false">IF(AR$4&lt;Premissas!$B$13,0,IF('Ajuste Mensal'!AR$19="",INDEX(Premissas!$C$56:$G$56,AR$7),'Ajuste Mensal'!AR$19))</f>
        <v>61087.5</v>
      </c>
      <c r="AS56" s="91" t="n">
        <f aca="false">IF(AS$4&lt;Premissas!$B$13,0,IF('Ajuste Mensal'!AS$19="",INDEX(Premissas!$C$56:$G$56,AS$7),'Ajuste Mensal'!AS$19))</f>
        <v>61087.5</v>
      </c>
      <c r="AT56" s="91" t="n">
        <f aca="false">IF(AT$4&lt;Premissas!$B$13,0,IF('Ajuste Mensal'!AT$19="",INDEX(Premissas!$C$56:$G$56,AT$7),'Ajuste Mensal'!AT$19))</f>
        <v>61087.5</v>
      </c>
      <c r="AU56" s="91" t="n">
        <f aca="false">IF(AU$4&lt;Premissas!$B$13,0,IF('Ajuste Mensal'!AU$19="",INDEX(Premissas!$C$56:$G$56,AU$7),'Ajuste Mensal'!AU$19))</f>
        <v>61087.5</v>
      </c>
      <c r="AV56" s="91" t="n">
        <f aca="false">IF(AV$4&lt;Premissas!$B$13,0,IF('Ajuste Mensal'!AV$19="",INDEX(Premissas!$C$56:$G$56,AV$7),'Ajuste Mensal'!AV$19))</f>
        <v>61087.5</v>
      </c>
      <c r="AW56" s="91" t="n">
        <f aca="false">IF(AW$4&lt;Premissas!$B$13,0,IF('Ajuste Mensal'!AW$19="",INDEX(Premissas!$C$56:$G$56,AW$7),'Ajuste Mensal'!AW$19))</f>
        <v>61087.5</v>
      </c>
      <c r="AX56" s="91" t="n">
        <f aca="false">IF(AX$4&lt;Premissas!$B$13,0,IF('Ajuste Mensal'!AX$19="",INDEX(Premissas!$C$56:$G$56,AX$7),'Ajuste Mensal'!AX$19))</f>
        <v>91631.25</v>
      </c>
      <c r="AY56" s="91" t="n">
        <f aca="false">IF(AY$4&lt;Premissas!$B$13,0,IF('Ajuste Mensal'!AY$19="",INDEX(Premissas!$C$56:$G$56,AY$7),'Ajuste Mensal'!AY$19))</f>
        <v>91631.25</v>
      </c>
      <c r="AZ56" s="91" t="n">
        <f aca="false">IF(AZ$4&lt;Premissas!$B$13,0,IF('Ajuste Mensal'!AZ$19="",INDEX(Premissas!$C$56:$G$56,AZ$7),'Ajuste Mensal'!AZ$19))</f>
        <v>91631.25</v>
      </c>
      <c r="BA56" s="91" t="n">
        <f aca="false">IF(BA$4&lt;Premissas!$B$13,0,IF('Ajuste Mensal'!BA$19="",INDEX(Premissas!$C$56:$G$56,BA$7),'Ajuste Mensal'!BA$19))</f>
        <v>91631.25</v>
      </c>
      <c r="BB56" s="91" t="n">
        <f aca="false">IF(BB$4&lt;Premissas!$B$13,0,IF('Ajuste Mensal'!BB$19="",INDEX(Premissas!$C$56:$G$56,BB$7),'Ajuste Mensal'!BB$19))</f>
        <v>91631.25</v>
      </c>
      <c r="BC56" s="91" t="n">
        <f aca="false">IF(BC$4&lt;Premissas!$B$13,0,IF('Ajuste Mensal'!BC$19="",INDEX(Premissas!$C$56:$G$56,BC$7),'Ajuste Mensal'!BC$19))</f>
        <v>91631.25</v>
      </c>
      <c r="BD56" s="91" t="n">
        <f aca="false">IF(BD$4&lt;Premissas!$B$13,0,IF('Ajuste Mensal'!BD$19="",INDEX(Premissas!$C$56:$G$56,BD$7),'Ajuste Mensal'!BD$19))</f>
        <v>91631.25</v>
      </c>
      <c r="BE56" s="91" t="n">
        <f aca="false">IF(BE$4&lt;Premissas!$B$13,0,IF('Ajuste Mensal'!BE$19="",INDEX(Premissas!$C$56:$G$56,BE$7),'Ajuste Mensal'!BE$19))</f>
        <v>91631.25</v>
      </c>
      <c r="BF56" s="91" t="n">
        <f aca="false">IF(BF$4&lt;Premissas!$B$13,0,IF('Ajuste Mensal'!BF$19="",INDEX(Premissas!$C$56:$G$56,BF$7),'Ajuste Mensal'!BF$19))</f>
        <v>91631.25</v>
      </c>
      <c r="BG56" s="91" t="n">
        <f aca="false">IF(BG$4&lt;Premissas!$B$13,0,IF('Ajuste Mensal'!BG$19="",INDEX(Premissas!$C$56:$G$56,BG$7),'Ajuste Mensal'!BG$19))</f>
        <v>91631.25</v>
      </c>
      <c r="BH56" s="91" t="n">
        <f aca="false">IF(BH$4&lt;Premissas!$B$13,0,IF('Ajuste Mensal'!BH$19="",INDEX(Premissas!$C$56:$G$56,BH$7),'Ajuste Mensal'!BH$19))</f>
        <v>91631.25</v>
      </c>
      <c r="BI56" s="91" t="n">
        <f aca="false">IF(BI$4&lt;Premissas!$B$13,0,IF('Ajuste Mensal'!BI$19="",INDEX(Premissas!$C$56:$G$56,BI$7),'Ajuste Mensal'!BI$19))</f>
        <v>91631.25</v>
      </c>
      <c r="BJ56" s="134" t="n">
        <f aca="false">SUM(B56:BI56)</f>
        <v>2701425</v>
      </c>
    </row>
    <row r="57" customFormat="false" ht="15" hidden="false" customHeight="false" outlineLevel="0" collapsed="false">
      <c r="A57" s="27" t="s">
        <v>835</v>
      </c>
      <c r="B57" s="91" t="n">
        <f aca="false">0</f>
        <v>0</v>
      </c>
      <c r="C57" s="91" t="n">
        <f aca="false">B59</f>
        <v>0</v>
      </c>
      <c r="D57" s="91" t="n">
        <f aca="false">C59</f>
        <v>0</v>
      </c>
      <c r="E57" s="91" t="n">
        <f aca="false">D59</f>
        <v>0</v>
      </c>
      <c r="F57" s="91" t="n">
        <f aca="false">E59</f>
        <v>0</v>
      </c>
      <c r="G57" s="91" t="n">
        <f aca="false">F59</f>
        <v>0</v>
      </c>
      <c r="H57" s="91" t="n">
        <f aca="false">G59</f>
        <v>0</v>
      </c>
      <c r="I57" s="91" t="n">
        <f aca="false">H59</f>
        <v>0</v>
      </c>
      <c r="J57" s="91" t="n">
        <f aca="false">I59</f>
        <v>0</v>
      </c>
      <c r="K57" s="91" t="n">
        <f aca="false">J59</f>
        <v>0</v>
      </c>
      <c r="L57" s="91" t="n">
        <f aca="false">K59</f>
        <v>18100</v>
      </c>
      <c r="M57" s="91" t="n">
        <f aca="false">L59</f>
        <v>34752</v>
      </c>
      <c r="N57" s="91" t="n">
        <f aca="false">M59</f>
        <v>50071.84</v>
      </c>
      <c r="O57" s="91" t="n">
        <f aca="false">N59</f>
        <v>73456.437632</v>
      </c>
      <c r="P57" s="91" t="n">
        <f aca="false">O59</f>
        <v>95082.5135220736</v>
      </c>
      <c r="Q57" s="91" t="n">
        <f aca="false">P59</f>
        <v>115082.308505214</v>
      </c>
      <c r="R57" s="91" t="n">
        <f aca="false">Q59</f>
        <v>133578.118905622</v>
      </c>
      <c r="S57" s="91" t="n">
        <f aca="false">R59</f>
        <v>150683.044363919</v>
      </c>
      <c r="T57" s="91" t="n">
        <f aca="false">S59</f>
        <v>166501.679427752</v>
      </c>
      <c r="U57" s="91" t="n">
        <f aca="false">T59</f>
        <v>181130.753134785</v>
      </c>
      <c r="V57" s="91" t="n">
        <f aca="false">U59</f>
        <v>194659.720499049</v>
      </c>
      <c r="W57" s="91" t="n">
        <f aca="false">V59</f>
        <v>207171.309517521</v>
      </c>
      <c r="X57" s="91" t="n">
        <f aca="false">W59</f>
        <v>218742.027041803</v>
      </c>
      <c r="Y57" s="91" t="n">
        <f aca="false">X59</f>
        <v>229442.62660826</v>
      </c>
      <c r="Z57" s="91" t="n">
        <f aca="false">Y59</f>
        <v>239338.541087319</v>
      </c>
      <c r="AA57" s="91" t="n">
        <f aca="false">Z59</f>
        <v>263145.178294938</v>
      </c>
      <c r="AB57" s="91" t="n">
        <f aca="false">AA59</f>
        <v>285268.971931626</v>
      </c>
      <c r="AC57" s="91" t="n">
        <f aca="false">AB59</f>
        <v>305828.878843723</v>
      </c>
      <c r="AD57" s="91" t="n">
        <f aca="false">AC59</f>
        <v>324935.447056018</v>
      </c>
      <c r="AE57" s="91" t="n">
        <f aca="false">AD59</f>
        <v>342691.410174522</v>
      </c>
      <c r="AF57" s="91" t="n">
        <f aca="false">AE59</f>
        <v>359192.239772105</v>
      </c>
      <c r="AG57" s="91" t="n">
        <f aca="false">AF59</f>
        <v>374526.658727095</v>
      </c>
      <c r="AH57" s="91" t="n">
        <f aca="false">AG59</f>
        <v>388777.118274994</v>
      </c>
      <c r="AI57" s="91" t="n">
        <f aca="false">AH59</f>
        <v>402020.241338371</v>
      </c>
      <c r="AJ57" s="91" t="n">
        <f aca="false">AI59</f>
        <v>414327.234518644</v>
      </c>
      <c r="AK57" s="91" t="n">
        <f aca="false">AJ59</f>
        <v>425764.27096499</v>
      </c>
      <c r="AL57" s="91" t="n">
        <f aca="false">AK59</f>
        <v>436392.846179017</v>
      </c>
      <c r="AM57" s="91" t="n">
        <f aca="false">AL59</f>
        <v>468483.472918957</v>
      </c>
      <c r="AN57" s="91" t="n">
        <f aca="false">AM59</f>
        <v>498441.782769284</v>
      </c>
      <c r="AO57" s="91" t="n">
        <f aca="false">AN59</f>
        <v>526409.461193312</v>
      </c>
      <c r="AP57" s="91" t="n">
        <f aca="false">AO59</f>
        <v>552518.779120049</v>
      </c>
      <c r="AQ57" s="91" t="n">
        <f aca="false">AP59</f>
        <v>576893.218509117</v>
      </c>
      <c r="AR57" s="91" t="n">
        <f aca="false">AQ59</f>
        <v>599648.056348943</v>
      </c>
      <c r="AS57" s="91" t="n">
        <f aca="false">AR59</f>
        <v>620890.909850181</v>
      </c>
      <c r="AT57" s="91" t="n">
        <f aca="false">AS59</f>
        <v>640722.245412821</v>
      </c>
      <c r="AU57" s="91" t="n">
        <f aca="false">AT59</f>
        <v>659235.853774104</v>
      </c>
      <c r="AV57" s="91" t="n">
        <f aca="false">AU59</f>
        <v>676519.293584415</v>
      </c>
      <c r="AW57" s="91" t="n">
        <f aca="false">AV59</f>
        <v>692654.305509013</v>
      </c>
      <c r="AX57" s="91" t="n">
        <f aca="false">AW59</f>
        <v>707717.198814062</v>
      </c>
      <c r="AY57" s="91" t="n">
        <f aca="false">AX59</f>
        <v>755144.491458206</v>
      </c>
      <c r="AZ57" s="91" t="n">
        <f aca="false">AY59</f>
        <v>799609.479349748</v>
      </c>
      <c r="BA57" s="91" t="n">
        <f aca="false">AZ59</f>
        <v>841297.187797072</v>
      </c>
      <c r="BB57" s="91" t="n">
        <f aca="false">BA59</f>
        <v>880381.085443193</v>
      </c>
      <c r="BC57" s="91" t="n">
        <f aca="false">BB59</f>
        <v>917023.806094117</v>
      </c>
      <c r="BD57" s="91" t="n">
        <f aca="false">BC59</f>
        <v>951377.825461859</v>
      </c>
      <c r="BE57" s="91" t="n">
        <f aca="false">BD59</f>
        <v>983586.095638147</v>
      </c>
      <c r="BF57" s="91" t="n">
        <f aca="false">BE59</f>
        <v>1013782.63993895</v>
      </c>
      <c r="BG57" s="91" t="n">
        <f aca="false">BF59</f>
        <v>1042093.11059508</v>
      </c>
      <c r="BH57" s="91" t="n">
        <f aca="false">BG59</f>
        <v>1068635.31160946</v>
      </c>
      <c r="BI57" s="91" t="n">
        <f aca="false">BH59</f>
        <v>1093519.68895679</v>
      </c>
      <c r="BJ57" s="134" t="n">
        <f aca="false">BI57</f>
        <v>1093519.68895679</v>
      </c>
      <c r="BK57" s="29" t="s">
        <v>870</v>
      </c>
    </row>
    <row r="58" customFormat="false" ht="15" hidden="false" customHeight="false" outlineLevel="0" collapsed="false">
      <c r="A58" s="27" t="s">
        <v>837</v>
      </c>
      <c r="B58" s="91" t="n">
        <f aca="false">-B57*IF('Ajuste Mensal'!B$20="",INDEX(Premissas!$C$60:$G$60,B$7),'Ajuste Mensal'!B$20)</f>
        <v>-0</v>
      </c>
      <c r="C58" s="91" t="n">
        <f aca="false">-C57*IF('Ajuste Mensal'!C$20="",INDEX(Premissas!$C$60:$G$60,C$7),'Ajuste Mensal'!C$20)</f>
        <v>-0</v>
      </c>
      <c r="D58" s="91" t="n">
        <f aca="false">-D57*IF('Ajuste Mensal'!D$20="",INDEX(Premissas!$C$60:$G$60,D$7),'Ajuste Mensal'!D$20)</f>
        <v>-0</v>
      </c>
      <c r="E58" s="91" t="n">
        <f aca="false">-E57*IF('Ajuste Mensal'!E$20="",INDEX(Premissas!$C$60:$G$60,E$7),'Ajuste Mensal'!E$20)</f>
        <v>-0</v>
      </c>
      <c r="F58" s="91" t="n">
        <f aca="false">-F57*IF('Ajuste Mensal'!F$20="",INDEX(Premissas!$C$60:$G$60,F$7),'Ajuste Mensal'!F$20)</f>
        <v>-0</v>
      </c>
      <c r="G58" s="91" t="n">
        <f aca="false">-G57*IF('Ajuste Mensal'!G$20="",INDEX(Premissas!$C$60:$G$60,G$7),'Ajuste Mensal'!G$20)</f>
        <v>-0</v>
      </c>
      <c r="H58" s="91" t="n">
        <f aca="false">-H57*IF('Ajuste Mensal'!H$20="",INDEX(Premissas!$C$60:$G$60,H$7),'Ajuste Mensal'!H$20)</f>
        <v>-0</v>
      </c>
      <c r="I58" s="91" t="n">
        <f aca="false">-I57*IF('Ajuste Mensal'!I$20="",INDEX(Premissas!$C$60:$G$60,I$7),'Ajuste Mensal'!I$20)</f>
        <v>-0</v>
      </c>
      <c r="J58" s="91" t="n">
        <f aca="false">-J57*IF('Ajuste Mensal'!J$20="",INDEX(Premissas!$C$60:$G$60,J$7),'Ajuste Mensal'!J$20)</f>
        <v>-0</v>
      </c>
      <c r="K58" s="91" t="n">
        <f aca="false">-K57*IF('Ajuste Mensal'!K$20="",INDEX(Premissas!$C$60:$G$60,K$7),'Ajuste Mensal'!K$20)</f>
        <v>-0</v>
      </c>
      <c r="L58" s="91" t="n">
        <f aca="false">-L57*IF('Ajuste Mensal'!L$20="",INDEX(Premissas!$C$60:$G$60,L$7),'Ajuste Mensal'!L$20)</f>
        <v>-1448</v>
      </c>
      <c r="M58" s="91" t="n">
        <f aca="false">-M57*IF('Ajuste Mensal'!M$20="",INDEX(Premissas!$C$60:$G$60,M$7),'Ajuste Mensal'!M$20)</f>
        <v>-2780.16</v>
      </c>
      <c r="N58" s="91" t="n">
        <f aca="false">-N57*IF('Ajuste Mensal'!N$20="",INDEX(Premissas!$C$60:$G$60,N$7),'Ajuste Mensal'!N$20)</f>
        <v>-3765.402368</v>
      </c>
      <c r="O58" s="91" t="n">
        <f aca="false">-O57*IF('Ajuste Mensal'!O$20="",INDEX(Premissas!$C$60:$G$60,O$7),'Ajuste Mensal'!O$20)</f>
        <v>-5523.9241099264</v>
      </c>
      <c r="P58" s="91" t="n">
        <f aca="false">-P57*IF('Ajuste Mensal'!P$20="",INDEX(Premissas!$C$60:$G$60,P$7),'Ajuste Mensal'!P$20)</f>
        <v>-7150.20501685993</v>
      </c>
      <c r="Q58" s="91" t="n">
        <f aca="false">-Q57*IF('Ajuste Mensal'!Q$20="",INDEX(Premissas!$C$60:$G$60,Q$7),'Ajuste Mensal'!Q$20)</f>
        <v>-8654.18959959207</v>
      </c>
      <c r="R58" s="91" t="n">
        <f aca="false">-R57*IF('Ajuste Mensal'!R$20="",INDEX(Premissas!$C$60:$G$60,R$7),'Ajuste Mensal'!R$20)</f>
        <v>-10045.0745417027</v>
      </c>
      <c r="S58" s="91" t="n">
        <f aca="false">-S57*IF('Ajuste Mensal'!S$20="",INDEX(Premissas!$C$60:$G$60,S$7),'Ajuste Mensal'!S$20)</f>
        <v>-11331.3649361667</v>
      </c>
      <c r="T58" s="91" t="n">
        <f aca="false">-T57*IF('Ajuste Mensal'!T$20="",INDEX(Premissas!$C$60:$G$60,T$7),'Ajuste Mensal'!T$20)</f>
        <v>-12520.926292967</v>
      </c>
      <c r="U58" s="91" t="n">
        <f aca="false">-U57*IF('Ajuste Mensal'!U$20="",INDEX(Premissas!$C$60:$G$60,U$7),'Ajuste Mensal'!U$20)</f>
        <v>-13621.0326357358</v>
      </c>
      <c r="V58" s="91" t="n">
        <f aca="false">-V57*IF('Ajuste Mensal'!V$20="",INDEX(Premissas!$C$60:$G$60,V$7),'Ajuste Mensal'!V$20)</f>
        <v>-14638.4109815285</v>
      </c>
      <c r="W58" s="91" t="n">
        <f aca="false">-W57*IF('Ajuste Mensal'!W$20="",INDEX(Premissas!$C$60:$G$60,W$7),'Ajuste Mensal'!W$20)</f>
        <v>-15579.2824757176</v>
      </c>
      <c r="X58" s="91" t="n">
        <f aca="false">-X57*IF('Ajuste Mensal'!X$20="",INDEX(Premissas!$C$60:$G$60,X$7),'Ajuste Mensal'!X$20)</f>
        <v>-16449.4004335436</v>
      </c>
      <c r="Y58" s="91" t="n">
        <f aca="false">-Y57*IF('Ajuste Mensal'!Y$20="",INDEX(Premissas!$C$60:$G$60,Y$7),'Ajuste Mensal'!Y$20)</f>
        <v>-17254.0855209411</v>
      </c>
      <c r="Z58" s="91" t="n">
        <f aca="false">-Z57*IF('Ajuste Mensal'!Z$20="",INDEX(Premissas!$C$60:$G$60,Z$7),'Ajuste Mensal'!Z$20)</f>
        <v>-16918.3627923804</v>
      </c>
      <c r="AA58" s="91" t="n">
        <f aca="false">-AA57*IF('Ajuste Mensal'!AA$20="",INDEX(Premissas!$C$60:$G$60,AA$7),'Ajuste Mensal'!AA$20)</f>
        <v>-18601.2063633126</v>
      </c>
      <c r="AB58" s="91" t="n">
        <f aca="false">-AB57*IF('Ajuste Mensal'!AB$20="",INDEX(Premissas!$C$60:$G$60,AB$7),'Ajuste Mensal'!AB$20)</f>
        <v>-20165.0930879028</v>
      </c>
      <c r="AC58" s="91" t="n">
        <f aca="false">-AC57*IF('Ajuste Mensal'!AC$20="",INDEX(Premissas!$C$60:$G$60,AC$7),'Ajuste Mensal'!AC$20)</f>
        <v>-21618.4317877051</v>
      </c>
      <c r="AD58" s="91" t="n">
        <f aca="false">-AD57*IF('Ajuste Mensal'!AD$20="",INDEX(Premissas!$C$60:$G$60,AD$7),'Ajuste Mensal'!AD$20)</f>
        <v>-22969.0368814958</v>
      </c>
      <c r="AE58" s="91" t="n">
        <f aca="false">-AE57*IF('Ajuste Mensal'!AE$20="",INDEX(Premissas!$C$60:$G$60,AE$7),'Ajuste Mensal'!AE$20)</f>
        <v>-24224.1704024166</v>
      </c>
      <c r="AF58" s="91" t="n">
        <f aca="false">-AF57*IF('Ajuste Mensal'!AF$20="",INDEX(Premissas!$C$60:$G$60,AF$7),'Ajuste Mensal'!AF$20)</f>
        <v>-25390.5810450106</v>
      </c>
      <c r="AG58" s="91" t="n">
        <f aca="false">-AG57*IF('Ajuste Mensal'!AG$20="",INDEX(Premissas!$C$60:$G$60,AG$7),'Ajuste Mensal'!AG$20)</f>
        <v>-26474.5404521009</v>
      </c>
      <c r="AH58" s="91" t="n">
        <f aca="false">-AH57*IF('Ajuste Mensal'!AH$20="",INDEX(Premissas!$C$60:$G$60,AH$7),'Ajuste Mensal'!AH$20)</f>
        <v>-27481.8769366228</v>
      </c>
      <c r="AI58" s="91" t="n">
        <f aca="false">-AI57*IF('Ajuste Mensal'!AI$20="",INDEX(Premissas!$C$60:$G$60,AI$7),'Ajuste Mensal'!AI$20)</f>
        <v>-28418.0068197268</v>
      </c>
      <c r="AJ58" s="91" t="n">
        <f aca="false">-AJ57*IF('Ajuste Mensal'!AJ$20="",INDEX(Premissas!$C$60:$G$60,AJ$7),'Ajuste Mensal'!AJ$20)</f>
        <v>-29287.9635536539</v>
      </c>
      <c r="AK58" s="91" t="n">
        <f aca="false">-AK57*IF('Ajuste Mensal'!AK$20="",INDEX(Premissas!$C$60:$G$60,AK$7),'Ajuste Mensal'!AK$20)</f>
        <v>-30096.4247859732</v>
      </c>
      <c r="AL58" s="91" t="n">
        <f aca="false">-AL57*IF('Ajuste Mensal'!AL$20="",INDEX(Premissas!$C$60:$G$60,AL$7),'Ajuste Mensal'!AL$20)</f>
        <v>-28996.8732600602</v>
      </c>
      <c r="AM58" s="91" t="n">
        <f aca="false">-AM57*IF('Ajuste Mensal'!AM$20="",INDEX(Premissas!$C$60:$G$60,AM$7),'Ajuste Mensal'!AM$20)</f>
        <v>-31129.1901496735</v>
      </c>
      <c r="AN58" s="91" t="n">
        <f aca="false">-AN57*IF('Ajuste Mensal'!AN$20="",INDEX(Premissas!$C$60:$G$60,AN$7),'Ajuste Mensal'!AN$20)</f>
        <v>-33119.8215759714</v>
      </c>
      <c r="AO58" s="91" t="n">
        <f aca="false">-AO57*IF('Ajuste Mensal'!AO$20="",INDEX(Premissas!$C$60:$G$60,AO$7),'Ajuste Mensal'!AO$20)</f>
        <v>-34978.1820732629</v>
      </c>
      <c r="AP58" s="91" t="n">
        <f aca="false">-AP57*IF('Ajuste Mensal'!AP$20="",INDEX(Premissas!$C$60:$G$60,AP$7),'Ajuste Mensal'!AP$20)</f>
        <v>-36713.0606109318</v>
      </c>
      <c r="AQ58" s="91" t="n">
        <f aca="false">-AQ57*IF('Ajuste Mensal'!AQ$20="",INDEX(Premissas!$C$60:$G$60,AQ$7),'Ajuste Mensal'!AQ$20)</f>
        <v>-38332.6621601741</v>
      </c>
      <c r="AR58" s="91" t="n">
        <f aca="false">-AR57*IF('Ajuste Mensal'!AR$20="",INDEX(Premissas!$C$60:$G$60,AR$7),'Ajuste Mensal'!AR$20)</f>
        <v>-39844.6464987625</v>
      </c>
      <c r="AS58" s="91" t="n">
        <f aca="false">-AS57*IF('Ajuste Mensal'!AS$20="",INDEX(Premissas!$C$60:$G$60,AS$7),'Ajuste Mensal'!AS$20)</f>
        <v>-41256.1644373602</v>
      </c>
      <c r="AT58" s="91" t="n">
        <f aca="false">-AT57*IF('Ajuste Mensal'!AT$20="",INDEX(Premissas!$C$60:$G$60,AT$7),'Ajuste Mensal'!AT$20)</f>
        <v>-42573.891638717</v>
      </c>
      <c r="AU58" s="91" t="n">
        <f aca="false">-AU57*IF('Ajuste Mensal'!AU$20="",INDEX(Premissas!$C$60:$G$60,AU$7),'Ajuste Mensal'!AU$20)</f>
        <v>-43804.0601896888</v>
      </c>
      <c r="AV58" s="91" t="n">
        <f aca="false">-AV57*IF('Ajuste Mensal'!AV$20="",INDEX(Premissas!$C$60:$G$60,AV$7),'Ajuste Mensal'!AV$20)</f>
        <v>-44952.4880754014</v>
      </c>
      <c r="AW58" s="91" t="n">
        <f aca="false">-AW57*IF('Ajuste Mensal'!AW$20="",INDEX(Premissas!$C$60:$G$60,AW$7),'Ajuste Mensal'!AW$20)</f>
        <v>-46024.6066949519</v>
      </c>
      <c r="AX58" s="91" t="n">
        <f aca="false">-AX57*IF('Ajuste Mensal'!AX$20="",INDEX(Premissas!$C$60:$G$60,AX$7),'Ajuste Mensal'!AX$20)</f>
        <v>-44203.9573558553</v>
      </c>
      <c r="AY58" s="91" t="n">
        <f aca="false">-AY57*IF('Ajuste Mensal'!AY$20="",INDEX(Premissas!$C$60:$G$60,AY$7),'Ajuste Mensal'!AY$20)</f>
        <v>-47166.2621084579</v>
      </c>
      <c r="AZ58" s="91" t="n">
        <f aca="false">-AZ57*IF('Ajuste Mensal'!AZ$20="",INDEX(Premissas!$C$60:$G$60,AZ$7),'Ajuste Mensal'!AZ$20)</f>
        <v>-49943.5415526766</v>
      </c>
      <c r="BA58" s="91" t="n">
        <f aca="false">-BA57*IF('Ajuste Mensal'!BA$20="",INDEX(Premissas!$C$60:$G$60,BA$7),'Ajuste Mensal'!BA$20)</f>
        <v>-52547.3523538791</v>
      </c>
      <c r="BB58" s="91" t="n">
        <f aca="false">-BB57*IF('Ajuste Mensal'!BB$20="",INDEX(Premissas!$C$60:$G$60,BB$7),'Ajuste Mensal'!BB$20)</f>
        <v>-54988.5293490755</v>
      </c>
      <c r="BC58" s="91" t="n">
        <f aca="false">-BC57*IF('Ajuste Mensal'!BC$20="",INDEX(Premissas!$C$60:$G$60,BC$7),'Ajuste Mensal'!BC$20)</f>
        <v>-57277.2306322579</v>
      </c>
      <c r="BD58" s="91" t="n">
        <f aca="false">-BD57*IF('Ajuste Mensal'!BD$20="",INDEX(Premissas!$C$60:$G$60,BD$7),'Ajuste Mensal'!BD$20)</f>
        <v>-59422.9798237126</v>
      </c>
      <c r="BE58" s="91" t="n">
        <f aca="false">-BE57*IF('Ajuste Mensal'!BE$20="",INDEX(Premissas!$C$60:$G$60,BE$7),'Ajuste Mensal'!BE$20)</f>
        <v>-61434.7056991955</v>
      </c>
      <c r="BF58" s="91" t="n">
        <f aca="false">-BF57*IF('Ajuste Mensal'!BF$20="",INDEX(Premissas!$C$60:$G$60,BF$7),'Ajuste Mensal'!BF$20)</f>
        <v>-63320.7793438712</v>
      </c>
      <c r="BG58" s="91" t="n">
        <f aca="false">-BG57*IF('Ajuste Mensal'!BG$20="",INDEX(Premissas!$C$60:$G$60,BG$7),'Ajuste Mensal'!BG$20)</f>
        <v>-65089.0489856219</v>
      </c>
      <c r="BH58" s="91" t="n">
        <f aca="false">-BH57*IF('Ajuste Mensal'!BH$20="",INDEX(Premissas!$C$60:$G$60,BH$7),'Ajuste Mensal'!BH$20)</f>
        <v>-66746.8726526688</v>
      </c>
      <c r="BI58" s="91" t="n">
        <f aca="false">-BI57*IF('Ajuste Mensal'!BI$20="",INDEX(Premissas!$C$60:$G$60,BI$7),'Ajuste Mensal'!BI$20)</f>
        <v>-68301.1487914029</v>
      </c>
      <c r="BJ58" s="134" t="n">
        <f aca="false">SUM(B58:BI58)</f>
        <v>-1584575.20983461</v>
      </c>
    </row>
    <row r="59" customFormat="false" ht="15" hidden="false" customHeight="false" outlineLevel="0" collapsed="false">
      <c r="A59" s="62" t="s">
        <v>838</v>
      </c>
      <c r="B59" s="83" t="n">
        <f aca="false">B57+B58+B56</f>
        <v>0</v>
      </c>
      <c r="C59" s="83" t="n">
        <f aca="false">C57+C58+C56</f>
        <v>0</v>
      </c>
      <c r="D59" s="83" t="n">
        <f aca="false">D57+D58+D56</f>
        <v>0</v>
      </c>
      <c r="E59" s="83" t="n">
        <f aca="false">E57+E58+E56</f>
        <v>0</v>
      </c>
      <c r="F59" s="83" t="n">
        <f aca="false">F57+F58+F56</f>
        <v>0</v>
      </c>
      <c r="G59" s="83" t="n">
        <f aca="false">G57+G58+G56</f>
        <v>0</v>
      </c>
      <c r="H59" s="83" t="n">
        <f aca="false">H57+H58+H56</f>
        <v>0</v>
      </c>
      <c r="I59" s="83" t="n">
        <f aca="false">I57+I58+I56</f>
        <v>0</v>
      </c>
      <c r="J59" s="83" t="n">
        <f aca="false">J57+J58+J56</f>
        <v>0</v>
      </c>
      <c r="K59" s="83" t="n">
        <f aca="false">K57+K58+K56</f>
        <v>18100</v>
      </c>
      <c r="L59" s="83" t="n">
        <f aca="false">L57+L58+L56</f>
        <v>34752</v>
      </c>
      <c r="M59" s="83" t="n">
        <f aca="false">M57+M58+M56</f>
        <v>50071.84</v>
      </c>
      <c r="N59" s="83" t="n">
        <f aca="false">N57+N58+N56</f>
        <v>73456.437632</v>
      </c>
      <c r="O59" s="83" t="n">
        <f aca="false">O57+O58+O56</f>
        <v>95082.5135220736</v>
      </c>
      <c r="P59" s="83" t="n">
        <f aca="false">P57+P58+P56</f>
        <v>115082.308505214</v>
      </c>
      <c r="Q59" s="83" t="n">
        <f aca="false">Q57+Q58+Q56</f>
        <v>133578.118905622</v>
      </c>
      <c r="R59" s="83" t="n">
        <f aca="false">R57+R58+R56</f>
        <v>150683.044363919</v>
      </c>
      <c r="S59" s="83" t="n">
        <f aca="false">S57+S58+S56</f>
        <v>166501.679427752</v>
      </c>
      <c r="T59" s="83" t="n">
        <f aca="false">T57+T58+T56</f>
        <v>181130.753134785</v>
      </c>
      <c r="U59" s="83" t="n">
        <f aca="false">U57+U58+U56</f>
        <v>194659.720499049</v>
      </c>
      <c r="V59" s="83" t="n">
        <f aca="false">V57+V58+V56</f>
        <v>207171.309517521</v>
      </c>
      <c r="W59" s="83" t="n">
        <f aca="false">W57+W58+W56</f>
        <v>218742.027041803</v>
      </c>
      <c r="X59" s="83" t="n">
        <f aca="false">X57+X58+X56</f>
        <v>229442.62660826</v>
      </c>
      <c r="Y59" s="83" t="n">
        <f aca="false">Y57+Y58+Y56</f>
        <v>239338.541087319</v>
      </c>
      <c r="Z59" s="83" t="n">
        <f aca="false">Z57+Z58+Z56</f>
        <v>263145.178294938</v>
      </c>
      <c r="AA59" s="83" t="n">
        <f aca="false">AA57+AA58+AA56</f>
        <v>285268.971931626</v>
      </c>
      <c r="AB59" s="83" t="n">
        <f aca="false">AB57+AB58+AB56</f>
        <v>305828.878843723</v>
      </c>
      <c r="AC59" s="83" t="n">
        <f aca="false">AC57+AC58+AC56</f>
        <v>324935.447056018</v>
      </c>
      <c r="AD59" s="83" t="n">
        <f aca="false">AD57+AD58+AD56</f>
        <v>342691.410174522</v>
      </c>
      <c r="AE59" s="83" t="n">
        <f aca="false">AE57+AE58+AE56</f>
        <v>359192.239772105</v>
      </c>
      <c r="AF59" s="83" t="n">
        <f aca="false">AF57+AF58+AF56</f>
        <v>374526.658727095</v>
      </c>
      <c r="AG59" s="83" t="n">
        <f aca="false">AG57+AG58+AG56</f>
        <v>388777.118274994</v>
      </c>
      <c r="AH59" s="83" t="n">
        <f aca="false">AH57+AH58+AH56</f>
        <v>402020.241338371</v>
      </c>
      <c r="AI59" s="83" t="n">
        <f aca="false">AI57+AI58+AI56</f>
        <v>414327.234518644</v>
      </c>
      <c r="AJ59" s="83" t="n">
        <f aca="false">AJ57+AJ58+AJ56</f>
        <v>425764.27096499</v>
      </c>
      <c r="AK59" s="83" t="n">
        <f aca="false">AK57+AK58+AK56</f>
        <v>436392.846179017</v>
      </c>
      <c r="AL59" s="83" t="n">
        <f aca="false">AL57+AL58+AL56</f>
        <v>468483.472918957</v>
      </c>
      <c r="AM59" s="83" t="n">
        <f aca="false">AM57+AM58+AM56</f>
        <v>498441.782769284</v>
      </c>
      <c r="AN59" s="83" t="n">
        <f aca="false">AN57+AN58+AN56</f>
        <v>526409.461193312</v>
      </c>
      <c r="AO59" s="83" t="n">
        <f aca="false">AO57+AO58+AO56</f>
        <v>552518.779120049</v>
      </c>
      <c r="AP59" s="83" t="n">
        <f aca="false">AP57+AP58+AP56</f>
        <v>576893.218509117</v>
      </c>
      <c r="AQ59" s="83" t="n">
        <f aca="false">AQ57+AQ58+AQ56</f>
        <v>599648.056348943</v>
      </c>
      <c r="AR59" s="83" t="n">
        <f aca="false">AR57+AR58+AR56</f>
        <v>620890.909850181</v>
      </c>
      <c r="AS59" s="83" t="n">
        <f aca="false">AS57+AS58+AS56</f>
        <v>640722.245412821</v>
      </c>
      <c r="AT59" s="83" t="n">
        <f aca="false">AT57+AT58+AT56</f>
        <v>659235.853774104</v>
      </c>
      <c r="AU59" s="83" t="n">
        <f aca="false">AU57+AU58+AU56</f>
        <v>676519.293584415</v>
      </c>
      <c r="AV59" s="83" t="n">
        <f aca="false">AV57+AV58+AV56</f>
        <v>692654.305509013</v>
      </c>
      <c r="AW59" s="83" t="n">
        <f aca="false">AW57+AW58+AW56</f>
        <v>707717.198814062</v>
      </c>
      <c r="AX59" s="83" t="n">
        <f aca="false">AX57+AX58+AX56</f>
        <v>755144.491458206</v>
      </c>
      <c r="AY59" s="83" t="n">
        <f aca="false">AY57+AY58+AY56</f>
        <v>799609.479349748</v>
      </c>
      <c r="AZ59" s="83" t="n">
        <f aca="false">AZ57+AZ58+AZ56</f>
        <v>841297.187797072</v>
      </c>
      <c r="BA59" s="83" t="n">
        <f aca="false">BA57+BA58+BA56</f>
        <v>880381.085443193</v>
      </c>
      <c r="BB59" s="83" t="n">
        <f aca="false">BB57+BB58+BB56</f>
        <v>917023.806094117</v>
      </c>
      <c r="BC59" s="83" t="n">
        <f aca="false">BC57+BC58+BC56</f>
        <v>951377.825461859</v>
      </c>
      <c r="BD59" s="83" t="n">
        <f aca="false">BD57+BD58+BD56</f>
        <v>983586.095638147</v>
      </c>
      <c r="BE59" s="83" t="n">
        <f aca="false">BE57+BE58+BE56</f>
        <v>1013782.63993895</v>
      </c>
      <c r="BF59" s="83" t="n">
        <f aca="false">BF57+BF58+BF56</f>
        <v>1042093.11059508</v>
      </c>
      <c r="BG59" s="83" t="n">
        <f aca="false">BG57+BG58+BG56</f>
        <v>1068635.31160946</v>
      </c>
      <c r="BH59" s="83" t="n">
        <f aca="false">BH57+BH58+BH56</f>
        <v>1093519.68895679</v>
      </c>
      <c r="BI59" s="83" t="n">
        <f aca="false">BI57+BI58+BI56</f>
        <v>1116849.79016539</v>
      </c>
      <c r="BJ59" s="134" t="n">
        <f aca="false">BI59</f>
        <v>1116849.79016539</v>
      </c>
      <c r="BK59" s="29" t="s">
        <v>870</v>
      </c>
    </row>
    <row r="60" customFormat="false" ht="15" hidden="false" customHeight="false" outlineLevel="0" collapsed="false">
      <c r="A60" s="27" t="s">
        <v>871</v>
      </c>
      <c r="B60" s="202" t="n">
        <f aca="false">IF(B$4&lt;Premissas!$B$13,0,IF('Ajuste Mensal'!B$21="",INDEX(Premissas!$C$64:$G$64,B$7),'Ajuste Mensal'!B$21)*MIN(1,MAX(0,(B$5-Premissas!$B$14+1)/Premissas!$B$15)))</f>
        <v>0</v>
      </c>
      <c r="C60" s="202" t="n">
        <f aca="false">IF(C$4&lt;Premissas!$B$13,0,IF('Ajuste Mensal'!C$21="",INDEX(Premissas!$C$64:$G$64,C$7),'Ajuste Mensal'!C$21)*MIN(1,MAX(0,(C$5-Premissas!$B$14+1)/Premissas!$B$15)))</f>
        <v>0</v>
      </c>
      <c r="D60" s="202" t="n">
        <f aca="false">IF(D$4&lt;Premissas!$B$13,0,IF('Ajuste Mensal'!D$21="",INDEX(Premissas!$C$64:$G$64,D$7),'Ajuste Mensal'!D$21)*MIN(1,MAX(0,(D$5-Premissas!$B$14+1)/Premissas!$B$15)))</f>
        <v>0</v>
      </c>
      <c r="E60" s="202" t="n">
        <f aca="false">IF(E$4&lt;Premissas!$B$13,0,IF('Ajuste Mensal'!E$21="",INDEX(Premissas!$C$64:$G$64,E$7),'Ajuste Mensal'!E$21)*MIN(1,MAX(0,(E$5-Premissas!$B$14+1)/Premissas!$B$15)))</f>
        <v>0</v>
      </c>
      <c r="F60" s="202" t="n">
        <f aca="false">IF(F$4&lt;Premissas!$B$13,0,IF('Ajuste Mensal'!F$21="",INDEX(Premissas!$C$64:$G$64,F$7),'Ajuste Mensal'!F$21)*MIN(1,MAX(0,(F$5-Premissas!$B$14+1)/Premissas!$B$15)))</f>
        <v>0</v>
      </c>
      <c r="G60" s="202" t="n">
        <f aca="false">IF(G$4&lt;Premissas!$B$13,0,IF('Ajuste Mensal'!G$21="",INDEX(Premissas!$C$64:$G$64,G$7),'Ajuste Mensal'!G$21)*MIN(1,MAX(0,(G$5-Premissas!$B$14+1)/Premissas!$B$15)))</f>
        <v>0</v>
      </c>
      <c r="H60" s="202" t="n">
        <f aca="false">IF(H$4&lt;Premissas!$B$13,0,IF('Ajuste Mensal'!H$21="",INDEX(Premissas!$C$64:$G$64,H$7),'Ajuste Mensal'!H$21)*MIN(1,MAX(0,(H$5-Premissas!$B$14+1)/Premissas!$B$15)))</f>
        <v>0</v>
      </c>
      <c r="I60" s="202" t="n">
        <f aca="false">IF(I$4&lt;Premissas!$B$13,0,IF('Ajuste Mensal'!I$21="",INDEX(Premissas!$C$64:$G$64,I$7),'Ajuste Mensal'!I$21)*MIN(1,MAX(0,(I$5-Premissas!$B$14+1)/Premissas!$B$15)))</f>
        <v>0</v>
      </c>
      <c r="J60" s="202" t="n">
        <f aca="false">IF(J$4&lt;Premissas!$B$13,0,IF('Ajuste Mensal'!J$21="",INDEX(Premissas!$C$64:$G$64,J$7),'Ajuste Mensal'!J$21)*MIN(1,MAX(0,(J$5-Premissas!$B$14+1)/Premissas!$B$15)))</f>
        <v>0</v>
      </c>
      <c r="K60" s="202" t="n">
        <f aca="false">IF(K$4&lt;Premissas!$B$13,0,IF('Ajuste Mensal'!K$21="",INDEX(Premissas!$C$64:$G$64,K$7),'Ajuste Mensal'!K$21)*MIN(1,MAX(0,(K$5-Premissas!$B$14+1)/Premissas!$B$15)))</f>
        <v>0.00833333333333333</v>
      </c>
      <c r="L60" s="202" t="n">
        <f aca="false">IF(L$4&lt;Premissas!$B$13,0,IF('Ajuste Mensal'!L$21="",INDEX(Premissas!$C$64:$G$64,L$7),'Ajuste Mensal'!L$21)*MIN(1,MAX(0,(L$5-Premissas!$B$14+1)/Premissas!$B$15)))</f>
        <v>0.0166666666666667</v>
      </c>
      <c r="M60" s="202" t="n">
        <f aca="false">IF(M$4&lt;Premissas!$B$13,0,IF('Ajuste Mensal'!M$21="",INDEX(Premissas!$C$64:$G$64,M$7),'Ajuste Mensal'!M$21)*MIN(1,MAX(0,(M$5-Premissas!$B$14+1)/Premissas!$B$15)))</f>
        <v>0.025</v>
      </c>
      <c r="N60" s="202" t="n">
        <f aca="false">IF(N$4&lt;Premissas!$B$13,0,IF('Ajuste Mensal'!N$21="",INDEX(Premissas!$C$64:$G$64,N$7),'Ajuste Mensal'!N$21)*MIN(1,MAX(0,(N$5-Premissas!$B$14+1)/Premissas!$B$15)))</f>
        <v>0.036</v>
      </c>
      <c r="O60" s="202" t="n">
        <f aca="false">IF(O$4&lt;Premissas!$B$13,0,IF('Ajuste Mensal'!O$21="",INDEX(Premissas!$C$64:$G$64,O$7),'Ajuste Mensal'!O$21)*MIN(1,MAX(0,(O$5-Premissas!$B$14+1)/Premissas!$B$15)))</f>
        <v>0.045</v>
      </c>
      <c r="P60" s="202" t="n">
        <f aca="false">IF(P$4&lt;Premissas!$B$13,0,IF('Ajuste Mensal'!P$21="",INDEX(Premissas!$C$64:$G$64,P$7),'Ajuste Mensal'!P$21)*MIN(1,MAX(0,(P$5-Premissas!$B$14+1)/Premissas!$B$15)))</f>
        <v>0.054</v>
      </c>
      <c r="Q60" s="202" t="n">
        <f aca="false">IF(Q$4&lt;Premissas!$B$13,0,IF('Ajuste Mensal'!Q$21="",INDEX(Premissas!$C$64:$G$64,Q$7),'Ajuste Mensal'!Q$21)*MIN(1,MAX(0,(Q$5-Premissas!$B$14+1)/Premissas!$B$15)))</f>
        <v>0.054</v>
      </c>
      <c r="R60" s="202" t="n">
        <f aca="false">IF(R$4&lt;Premissas!$B$13,0,IF('Ajuste Mensal'!R$21="",INDEX(Premissas!$C$64:$G$64,R$7),'Ajuste Mensal'!R$21)*MIN(1,MAX(0,(R$5-Premissas!$B$14+1)/Premissas!$B$15)))</f>
        <v>0.054</v>
      </c>
      <c r="S60" s="202" t="n">
        <f aca="false">IF(S$4&lt;Premissas!$B$13,0,IF('Ajuste Mensal'!S$21="",INDEX(Premissas!$C$64:$G$64,S$7),'Ajuste Mensal'!S$21)*MIN(1,MAX(0,(S$5-Premissas!$B$14+1)/Premissas!$B$15)))</f>
        <v>0.054</v>
      </c>
      <c r="T60" s="202" t="n">
        <f aca="false">IF(T$4&lt;Premissas!$B$13,0,IF('Ajuste Mensal'!T$21="",INDEX(Premissas!$C$64:$G$64,T$7),'Ajuste Mensal'!T$21)*MIN(1,MAX(0,(T$5-Premissas!$B$14+1)/Premissas!$B$15)))</f>
        <v>0.054</v>
      </c>
      <c r="U60" s="202" t="n">
        <f aca="false">IF(U$4&lt;Premissas!$B$13,0,IF('Ajuste Mensal'!U$21="",INDEX(Premissas!$C$64:$G$64,U$7),'Ajuste Mensal'!U$21)*MIN(1,MAX(0,(U$5-Premissas!$B$14+1)/Premissas!$B$15)))</f>
        <v>0.054</v>
      </c>
      <c r="V60" s="202" t="n">
        <f aca="false">IF(V$4&lt;Premissas!$B$13,0,IF('Ajuste Mensal'!V$21="",INDEX(Premissas!$C$64:$G$64,V$7),'Ajuste Mensal'!V$21)*MIN(1,MAX(0,(V$5-Premissas!$B$14+1)/Premissas!$B$15)))</f>
        <v>0.054</v>
      </c>
      <c r="W60" s="202" t="n">
        <f aca="false">IF(W$4&lt;Premissas!$B$13,0,IF('Ajuste Mensal'!W$21="",INDEX(Premissas!$C$64:$G$64,W$7),'Ajuste Mensal'!W$21)*MIN(1,MAX(0,(W$5-Premissas!$B$14+1)/Premissas!$B$15)))</f>
        <v>0.054</v>
      </c>
      <c r="X60" s="202" t="n">
        <f aca="false">IF(X$4&lt;Premissas!$B$13,0,IF('Ajuste Mensal'!X$21="",INDEX(Premissas!$C$64:$G$64,X$7),'Ajuste Mensal'!X$21)*MIN(1,MAX(0,(X$5-Premissas!$B$14+1)/Premissas!$B$15)))</f>
        <v>0.054</v>
      </c>
      <c r="Y60" s="202" t="n">
        <f aca="false">IF(Y$4&lt;Premissas!$B$13,0,IF('Ajuste Mensal'!Y$21="",INDEX(Premissas!$C$64:$G$64,Y$7),'Ajuste Mensal'!Y$21)*MIN(1,MAX(0,(Y$5-Premissas!$B$14+1)/Premissas!$B$15)))</f>
        <v>0.054</v>
      </c>
      <c r="Z60" s="202" t="n">
        <f aca="false">IF(Z$4&lt;Premissas!$B$13,0,IF('Ajuste Mensal'!Z$21="",INDEX(Premissas!$C$64:$G$64,Z$7),'Ajuste Mensal'!Z$21)*MIN(1,MAX(0,(Z$5-Premissas!$B$14+1)/Premissas!$B$15)))</f>
        <v>0.05832</v>
      </c>
      <c r="AA60" s="202" t="n">
        <f aca="false">IF(AA$4&lt;Premissas!$B$13,0,IF('Ajuste Mensal'!AA$21="",INDEX(Premissas!$C$64:$G$64,AA$7),'Ajuste Mensal'!AA$21)*MIN(1,MAX(0,(AA$5-Premissas!$B$14+1)/Premissas!$B$15)))</f>
        <v>0.05832</v>
      </c>
      <c r="AB60" s="202" t="n">
        <f aca="false">IF(AB$4&lt;Premissas!$B$13,0,IF('Ajuste Mensal'!AB$21="",INDEX(Premissas!$C$64:$G$64,AB$7),'Ajuste Mensal'!AB$21)*MIN(1,MAX(0,(AB$5-Premissas!$B$14+1)/Premissas!$B$15)))</f>
        <v>0.05832</v>
      </c>
      <c r="AC60" s="202" t="n">
        <f aca="false">IF(AC$4&lt;Premissas!$B$13,0,IF('Ajuste Mensal'!AC$21="",INDEX(Premissas!$C$64:$G$64,AC$7),'Ajuste Mensal'!AC$21)*MIN(1,MAX(0,(AC$5-Premissas!$B$14+1)/Premissas!$B$15)))</f>
        <v>0.05832</v>
      </c>
      <c r="AD60" s="202" t="n">
        <f aca="false">IF(AD$4&lt;Premissas!$B$13,0,IF('Ajuste Mensal'!AD$21="",INDEX(Premissas!$C$64:$G$64,AD$7),'Ajuste Mensal'!AD$21)*MIN(1,MAX(0,(AD$5-Premissas!$B$14+1)/Premissas!$B$15)))</f>
        <v>0.05832</v>
      </c>
      <c r="AE60" s="202" t="n">
        <f aca="false">IF(AE$4&lt;Premissas!$B$13,0,IF('Ajuste Mensal'!AE$21="",INDEX(Premissas!$C$64:$G$64,AE$7),'Ajuste Mensal'!AE$21)*MIN(1,MAX(0,(AE$5-Premissas!$B$14+1)/Premissas!$B$15)))</f>
        <v>0.05832</v>
      </c>
      <c r="AF60" s="202" t="n">
        <f aca="false">IF(AF$4&lt;Premissas!$B$13,0,IF('Ajuste Mensal'!AF$21="",INDEX(Premissas!$C$64:$G$64,AF$7),'Ajuste Mensal'!AF$21)*MIN(1,MAX(0,(AF$5-Premissas!$B$14+1)/Premissas!$B$15)))</f>
        <v>0.05832</v>
      </c>
      <c r="AG60" s="202" t="n">
        <f aca="false">IF(AG$4&lt;Premissas!$B$13,0,IF('Ajuste Mensal'!AG$21="",INDEX(Premissas!$C$64:$G$64,AG$7),'Ajuste Mensal'!AG$21)*MIN(1,MAX(0,(AG$5-Premissas!$B$14+1)/Premissas!$B$15)))</f>
        <v>0.05832</v>
      </c>
      <c r="AH60" s="202" t="n">
        <f aca="false">IF(AH$4&lt;Premissas!$B$13,0,IF('Ajuste Mensal'!AH$21="",INDEX(Premissas!$C$64:$G$64,AH$7),'Ajuste Mensal'!AH$21)*MIN(1,MAX(0,(AH$5-Premissas!$B$14+1)/Premissas!$B$15)))</f>
        <v>0.05832</v>
      </c>
      <c r="AI60" s="202" t="n">
        <f aca="false">IF(AI$4&lt;Premissas!$B$13,0,IF('Ajuste Mensal'!AI$21="",INDEX(Premissas!$C$64:$G$64,AI$7),'Ajuste Mensal'!AI$21)*MIN(1,MAX(0,(AI$5-Premissas!$B$14+1)/Premissas!$B$15)))</f>
        <v>0.05832</v>
      </c>
      <c r="AJ60" s="202" t="n">
        <f aca="false">IF(AJ$4&lt;Premissas!$B$13,0,IF('Ajuste Mensal'!AJ$21="",INDEX(Premissas!$C$64:$G$64,AJ$7),'Ajuste Mensal'!AJ$21)*MIN(1,MAX(0,(AJ$5-Premissas!$B$14+1)/Premissas!$B$15)))</f>
        <v>0.05832</v>
      </c>
      <c r="AK60" s="202" t="n">
        <f aca="false">IF(AK$4&lt;Premissas!$B$13,0,IF('Ajuste Mensal'!AK$21="",INDEX(Premissas!$C$64:$G$64,AK$7),'Ajuste Mensal'!AK$21)*MIN(1,MAX(0,(AK$5-Premissas!$B$14+1)/Premissas!$B$15)))</f>
        <v>0.05832</v>
      </c>
      <c r="AL60" s="202" t="n">
        <f aca="false">IF(AL$4&lt;Premissas!$B$13,0,IF('Ajuste Mensal'!AL$21="",INDEX(Premissas!$C$64:$G$64,AL$7),'Ajuste Mensal'!AL$21)*MIN(1,MAX(0,(AL$5-Premissas!$B$14+1)/Premissas!$B$15)))</f>
        <v>0.0629856</v>
      </c>
      <c r="AM60" s="202" t="n">
        <f aca="false">IF(AM$4&lt;Premissas!$B$13,0,IF('Ajuste Mensal'!AM$21="",INDEX(Premissas!$C$64:$G$64,AM$7),'Ajuste Mensal'!AM$21)*MIN(1,MAX(0,(AM$5-Premissas!$B$14+1)/Premissas!$B$15)))</f>
        <v>0.0629856</v>
      </c>
      <c r="AN60" s="202" t="n">
        <f aca="false">IF(AN$4&lt;Premissas!$B$13,0,IF('Ajuste Mensal'!AN$21="",INDEX(Premissas!$C$64:$G$64,AN$7),'Ajuste Mensal'!AN$21)*MIN(1,MAX(0,(AN$5-Premissas!$B$14+1)/Premissas!$B$15)))</f>
        <v>0.0629856</v>
      </c>
      <c r="AO60" s="202" t="n">
        <f aca="false">IF(AO$4&lt;Premissas!$B$13,0,IF('Ajuste Mensal'!AO$21="",INDEX(Premissas!$C$64:$G$64,AO$7),'Ajuste Mensal'!AO$21)*MIN(1,MAX(0,(AO$5-Premissas!$B$14+1)/Premissas!$B$15)))</f>
        <v>0.0629856</v>
      </c>
      <c r="AP60" s="202" t="n">
        <f aca="false">IF(AP$4&lt;Premissas!$B$13,0,IF('Ajuste Mensal'!AP$21="",INDEX(Premissas!$C$64:$G$64,AP$7),'Ajuste Mensal'!AP$21)*MIN(1,MAX(0,(AP$5-Premissas!$B$14+1)/Premissas!$B$15)))</f>
        <v>0.0629856</v>
      </c>
      <c r="AQ60" s="202" t="n">
        <f aca="false">IF(AQ$4&lt;Premissas!$B$13,0,IF('Ajuste Mensal'!AQ$21="",INDEX(Premissas!$C$64:$G$64,AQ$7),'Ajuste Mensal'!AQ$21)*MIN(1,MAX(0,(AQ$5-Premissas!$B$14+1)/Premissas!$B$15)))</f>
        <v>0.0629856</v>
      </c>
      <c r="AR60" s="202" t="n">
        <f aca="false">IF(AR$4&lt;Premissas!$B$13,0,IF('Ajuste Mensal'!AR$21="",INDEX(Premissas!$C$64:$G$64,AR$7),'Ajuste Mensal'!AR$21)*MIN(1,MAX(0,(AR$5-Premissas!$B$14+1)/Premissas!$B$15)))</f>
        <v>0.0629856</v>
      </c>
      <c r="AS60" s="202" t="n">
        <f aca="false">IF(AS$4&lt;Premissas!$B$13,0,IF('Ajuste Mensal'!AS$21="",INDEX(Premissas!$C$64:$G$64,AS$7),'Ajuste Mensal'!AS$21)*MIN(1,MAX(0,(AS$5-Premissas!$B$14+1)/Premissas!$B$15)))</f>
        <v>0.0629856</v>
      </c>
      <c r="AT60" s="202" t="n">
        <f aca="false">IF(AT$4&lt;Premissas!$B$13,0,IF('Ajuste Mensal'!AT$21="",INDEX(Premissas!$C$64:$G$64,AT$7),'Ajuste Mensal'!AT$21)*MIN(1,MAX(0,(AT$5-Premissas!$B$14+1)/Premissas!$B$15)))</f>
        <v>0.0629856</v>
      </c>
      <c r="AU60" s="202" t="n">
        <f aca="false">IF(AU$4&lt;Premissas!$B$13,0,IF('Ajuste Mensal'!AU$21="",INDEX(Premissas!$C$64:$G$64,AU$7),'Ajuste Mensal'!AU$21)*MIN(1,MAX(0,(AU$5-Premissas!$B$14+1)/Premissas!$B$15)))</f>
        <v>0.0629856</v>
      </c>
      <c r="AV60" s="202" t="n">
        <f aca="false">IF(AV$4&lt;Premissas!$B$13,0,IF('Ajuste Mensal'!AV$21="",INDEX(Premissas!$C$64:$G$64,AV$7),'Ajuste Mensal'!AV$21)*MIN(1,MAX(0,(AV$5-Premissas!$B$14+1)/Premissas!$B$15)))</f>
        <v>0.0629856</v>
      </c>
      <c r="AW60" s="202" t="n">
        <f aca="false">IF(AW$4&lt;Premissas!$B$13,0,IF('Ajuste Mensal'!AW$21="",INDEX(Premissas!$C$64:$G$64,AW$7),'Ajuste Mensal'!AW$21)*MIN(1,MAX(0,(AW$5-Premissas!$B$14+1)/Premissas!$B$15)))</f>
        <v>0.0629856</v>
      </c>
      <c r="AX60" s="202" t="n">
        <f aca="false">IF(AX$4&lt;Premissas!$B$13,0,IF('Ajuste Mensal'!AX$21="",INDEX(Premissas!$C$64:$G$64,AX$7),'Ajuste Mensal'!AX$21)*MIN(1,MAX(0,(AX$5-Premissas!$B$14+1)/Premissas!$B$15)))</f>
        <v>0.068024448</v>
      </c>
      <c r="AY60" s="202" t="n">
        <f aca="false">IF(AY$4&lt;Premissas!$B$13,0,IF('Ajuste Mensal'!AY$21="",INDEX(Premissas!$C$64:$G$64,AY$7),'Ajuste Mensal'!AY$21)*MIN(1,MAX(0,(AY$5-Premissas!$B$14+1)/Premissas!$B$15)))</f>
        <v>0.068024448</v>
      </c>
      <c r="AZ60" s="202" t="n">
        <f aca="false">IF(AZ$4&lt;Premissas!$B$13,0,IF('Ajuste Mensal'!AZ$21="",INDEX(Premissas!$C$64:$G$64,AZ$7),'Ajuste Mensal'!AZ$21)*MIN(1,MAX(0,(AZ$5-Premissas!$B$14+1)/Premissas!$B$15)))</f>
        <v>0.068024448</v>
      </c>
      <c r="BA60" s="202" t="n">
        <f aca="false">IF(BA$4&lt;Premissas!$B$13,0,IF('Ajuste Mensal'!BA$21="",INDEX(Premissas!$C$64:$G$64,BA$7),'Ajuste Mensal'!BA$21)*MIN(1,MAX(0,(BA$5-Premissas!$B$14+1)/Premissas!$B$15)))</f>
        <v>0.068024448</v>
      </c>
      <c r="BB60" s="202" t="n">
        <f aca="false">IF(BB$4&lt;Premissas!$B$13,0,IF('Ajuste Mensal'!BB$21="",INDEX(Premissas!$C$64:$G$64,BB$7),'Ajuste Mensal'!BB$21)*MIN(1,MAX(0,(BB$5-Premissas!$B$14+1)/Premissas!$B$15)))</f>
        <v>0.068024448</v>
      </c>
      <c r="BC60" s="202" t="n">
        <f aca="false">IF(BC$4&lt;Premissas!$B$13,0,IF('Ajuste Mensal'!BC$21="",INDEX(Premissas!$C$64:$G$64,BC$7),'Ajuste Mensal'!BC$21)*MIN(1,MAX(0,(BC$5-Premissas!$B$14+1)/Premissas!$B$15)))</f>
        <v>0.068024448</v>
      </c>
      <c r="BD60" s="202" t="n">
        <f aca="false">IF(BD$4&lt;Premissas!$B$13,0,IF('Ajuste Mensal'!BD$21="",INDEX(Premissas!$C$64:$G$64,BD$7),'Ajuste Mensal'!BD$21)*MIN(1,MAX(0,(BD$5-Premissas!$B$14+1)/Premissas!$B$15)))</f>
        <v>0.068024448</v>
      </c>
      <c r="BE60" s="202" t="n">
        <f aca="false">IF(BE$4&lt;Premissas!$B$13,0,IF('Ajuste Mensal'!BE$21="",INDEX(Premissas!$C$64:$G$64,BE$7),'Ajuste Mensal'!BE$21)*MIN(1,MAX(0,(BE$5-Premissas!$B$14+1)/Premissas!$B$15)))</f>
        <v>0.068024448</v>
      </c>
      <c r="BF60" s="202" t="n">
        <f aca="false">IF(BF$4&lt;Premissas!$B$13,0,IF('Ajuste Mensal'!BF$21="",INDEX(Premissas!$C$64:$G$64,BF$7),'Ajuste Mensal'!BF$21)*MIN(1,MAX(0,(BF$5-Premissas!$B$14+1)/Premissas!$B$15)))</f>
        <v>0.068024448</v>
      </c>
      <c r="BG60" s="202" t="n">
        <f aca="false">IF(BG$4&lt;Premissas!$B$13,0,IF('Ajuste Mensal'!BG$21="",INDEX(Premissas!$C$64:$G$64,BG$7),'Ajuste Mensal'!BG$21)*MIN(1,MAX(0,(BG$5-Premissas!$B$14+1)/Premissas!$B$15)))</f>
        <v>0.068024448</v>
      </c>
      <c r="BH60" s="202" t="n">
        <f aca="false">IF(BH$4&lt;Premissas!$B$13,0,IF('Ajuste Mensal'!BH$21="",INDEX(Premissas!$C$64:$G$64,BH$7),'Ajuste Mensal'!BH$21)*MIN(1,MAX(0,(BH$5-Premissas!$B$14+1)/Premissas!$B$15)))</f>
        <v>0.068024448</v>
      </c>
      <c r="BI60" s="202" t="n">
        <f aca="false">IF(BI$4&lt;Premissas!$B$13,0,IF('Ajuste Mensal'!BI$21="",INDEX(Premissas!$C$64:$G$64,BI$7),'Ajuste Mensal'!BI$21)*MIN(1,MAX(0,(BI$5-Premissas!$B$14+1)/Premissas!$B$15)))</f>
        <v>0.068024448</v>
      </c>
      <c r="BJ60" s="188" t="n">
        <f aca="false">BI60</f>
        <v>0.068024448</v>
      </c>
      <c r="BK60" s="29" t="s">
        <v>870</v>
      </c>
    </row>
    <row r="61" customFormat="false" ht="15" hidden="false" customHeight="false" outlineLevel="0" collapsed="false">
      <c r="A61" s="62" t="s">
        <v>840</v>
      </c>
      <c r="B61" s="83" t="n">
        <f aca="false">ROUND(B59*B60,0)</f>
        <v>0</v>
      </c>
      <c r="C61" s="83" t="n">
        <f aca="false">ROUND(C59*C60,0)</f>
        <v>0</v>
      </c>
      <c r="D61" s="83" t="n">
        <f aca="false">ROUND(D59*D60,0)</f>
        <v>0</v>
      </c>
      <c r="E61" s="83" t="n">
        <f aca="false">ROUND(E59*E60,0)</f>
        <v>0</v>
      </c>
      <c r="F61" s="83" t="n">
        <f aca="false">ROUND(F59*F60,0)</f>
        <v>0</v>
      </c>
      <c r="G61" s="83" t="n">
        <f aca="false">ROUND(G59*G60,0)</f>
        <v>0</v>
      </c>
      <c r="H61" s="83" t="n">
        <f aca="false">ROUND(H59*H60,0)</f>
        <v>0</v>
      </c>
      <c r="I61" s="83" t="n">
        <f aca="false">ROUND(I59*I60,0)</f>
        <v>0</v>
      </c>
      <c r="J61" s="83" t="n">
        <f aca="false">ROUND(J59*J60,0)</f>
        <v>0</v>
      </c>
      <c r="K61" s="83" t="n">
        <f aca="false">ROUND(K59*K60,0)</f>
        <v>151</v>
      </c>
      <c r="L61" s="83" t="n">
        <f aca="false">ROUND(L59*L60,0)</f>
        <v>579</v>
      </c>
      <c r="M61" s="83" t="n">
        <f aca="false">ROUND(M59*M60,0)</f>
        <v>1252</v>
      </c>
      <c r="N61" s="83" t="n">
        <f aca="false">ROUND(N59*N60,0)</f>
        <v>2644</v>
      </c>
      <c r="O61" s="83" t="n">
        <f aca="false">ROUND(O59*O60,0)</f>
        <v>4279</v>
      </c>
      <c r="P61" s="83" t="n">
        <f aca="false">ROUND(P59*P60,0)</f>
        <v>6214</v>
      </c>
      <c r="Q61" s="83" t="n">
        <f aca="false">ROUND(Q59*Q60,0)</f>
        <v>7213</v>
      </c>
      <c r="R61" s="83" t="n">
        <f aca="false">ROUND(R59*R60,0)</f>
        <v>8137</v>
      </c>
      <c r="S61" s="83" t="n">
        <f aca="false">ROUND(S59*S60,0)</f>
        <v>8991</v>
      </c>
      <c r="T61" s="83" t="n">
        <f aca="false">ROUND(T59*T60,0)</f>
        <v>9781</v>
      </c>
      <c r="U61" s="83" t="n">
        <f aca="false">ROUND(U59*U60,0)</f>
        <v>10512</v>
      </c>
      <c r="V61" s="83" t="n">
        <f aca="false">ROUND(V59*V60,0)</f>
        <v>11187</v>
      </c>
      <c r="W61" s="83" t="n">
        <f aca="false">ROUND(W59*W60,0)</f>
        <v>11812</v>
      </c>
      <c r="X61" s="83" t="n">
        <f aca="false">ROUND(X59*X60,0)</f>
        <v>12390</v>
      </c>
      <c r="Y61" s="83" t="n">
        <f aca="false">ROUND(Y59*Y60,0)</f>
        <v>12924</v>
      </c>
      <c r="Z61" s="83" t="n">
        <f aca="false">ROUND(Z59*Z60,0)</f>
        <v>15347</v>
      </c>
      <c r="AA61" s="83" t="n">
        <f aca="false">ROUND(AA59*AA60,0)</f>
        <v>16637</v>
      </c>
      <c r="AB61" s="83" t="n">
        <f aca="false">ROUND(AB59*AB60,0)</f>
        <v>17836</v>
      </c>
      <c r="AC61" s="83" t="n">
        <f aca="false">ROUND(AC59*AC60,0)</f>
        <v>18950</v>
      </c>
      <c r="AD61" s="83" t="n">
        <f aca="false">ROUND(AD59*AD60,0)</f>
        <v>19986</v>
      </c>
      <c r="AE61" s="83" t="n">
        <f aca="false">ROUND(AE59*AE60,0)</f>
        <v>20948</v>
      </c>
      <c r="AF61" s="83" t="n">
        <f aca="false">ROUND(AF59*AF60,0)</f>
        <v>21842</v>
      </c>
      <c r="AG61" s="83" t="n">
        <f aca="false">ROUND(AG59*AG60,0)</f>
        <v>22673</v>
      </c>
      <c r="AH61" s="83" t="n">
        <f aca="false">ROUND(AH59*AH60,0)</f>
        <v>23446</v>
      </c>
      <c r="AI61" s="83" t="n">
        <f aca="false">ROUND(AI59*AI60,0)</f>
        <v>24164</v>
      </c>
      <c r="AJ61" s="83" t="n">
        <f aca="false">ROUND(AJ59*AJ60,0)</f>
        <v>24831</v>
      </c>
      <c r="AK61" s="83" t="n">
        <f aca="false">ROUND(AK59*AK60,0)</f>
        <v>25450</v>
      </c>
      <c r="AL61" s="83" t="n">
        <f aca="false">ROUND(AL59*AL60,0)</f>
        <v>29508</v>
      </c>
      <c r="AM61" s="83" t="n">
        <f aca="false">ROUND(AM59*AM60,0)</f>
        <v>31395</v>
      </c>
      <c r="AN61" s="83" t="n">
        <f aca="false">ROUND(AN59*AN60,0)</f>
        <v>33156</v>
      </c>
      <c r="AO61" s="83" t="n">
        <f aca="false">ROUND(AO59*AO60,0)</f>
        <v>34801</v>
      </c>
      <c r="AP61" s="83" t="n">
        <f aca="false">ROUND(AP59*AP60,0)</f>
        <v>36336</v>
      </c>
      <c r="AQ61" s="83" t="n">
        <f aca="false">ROUND(AQ59*AQ60,0)</f>
        <v>37769</v>
      </c>
      <c r="AR61" s="83" t="n">
        <f aca="false">ROUND(AR59*AR60,0)</f>
        <v>39107</v>
      </c>
      <c r="AS61" s="83" t="n">
        <f aca="false">ROUND(AS59*AS60,0)</f>
        <v>40356</v>
      </c>
      <c r="AT61" s="83" t="n">
        <f aca="false">ROUND(AT59*AT60,0)</f>
        <v>41522</v>
      </c>
      <c r="AU61" s="83" t="n">
        <f aca="false">ROUND(AU59*AU60,0)</f>
        <v>42611</v>
      </c>
      <c r="AV61" s="83" t="n">
        <f aca="false">ROUND(AV59*AV60,0)</f>
        <v>43627</v>
      </c>
      <c r="AW61" s="83" t="n">
        <f aca="false">ROUND(AW59*AW60,0)</f>
        <v>44576</v>
      </c>
      <c r="AX61" s="83" t="n">
        <f aca="false">ROUND(AX59*AX60,0)</f>
        <v>51368</v>
      </c>
      <c r="AY61" s="83" t="n">
        <f aca="false">ROUND(AY59*AY60,0)</f>
        <v>54393</v>
      </c>
      <c r="AZ61" s="83" t="n">
        <f aca="false">ROUND(AZ59*AZ60,0)</f>
        <v>57229</v>
      </c>
      <c r="BA61" s="83" t="n">
        <f aca="false">ROUND(BA59*BA60,0)</f>
        <v>59887</v>
      </c>
      <c r="BB61" s="83" t="n">
        <f aca="false">ROUND(BB59*BB60,0)</f>
        <v>62380</v>
      </c>
      <c r="BC61" s="83" t="n">
        <f aca="false">ROUND(BC59*BC60,0)</f>
        <v>64717</v>
      </c>
      <c r="BD61" s="83" t="n">
        <f aca="false">ROUND(BD59*BD60,0)</f>
        <v>66908</v>
      </c>
      <c r="BE61" s="83" t="n">
        <f aca="false">ROUND(BE59*BE60,0)</f>
        <v>68962</v>
      </c>
      <c r="BF61" s="83" t="n">
        <f aca="false">ROUND(BF59*BF60,0)</f>
        <v>70888</v>
      </c>
      <c r="BG61" s="83" t="n">
        <f aca="false">ROUND(BG59*BG60,0)</f>
        <v>72693</v>
      </c>
      <c r="BH61" s="83" t="n">
        <f aca="false">ROUND(BH59*BH60,0)</f>
        <v>74386</v>
      </c>
      <c r="BI61" s="83" t="n">
        <f aca="false">ROUND(BI59*BI60,0)</f>
        <v>75973</v>
      </c>
      <c r="BJ61" s="134" t="n">
        <f aca="false">BI61</f>
        <v>75973</v>
      </c>
      <c r="BK61" s="29" t="s">
        <v>870</v>
      </c>
    </row>
    <row r="62" customFormat="false" ht="15" hidden="false" customHeight="false" outlineLevel="0" collapsed="false">
      <c r="A62" s="27" t="s">
        <v>841</v>
      </c>
      <c r="B62" s="91" t="n">
        <f aca="false">B61-B63-B64</f>
        <v>0</v>
      </c>
      <c r="C62" s="91" t="n">
        <f aca="false">C61-C63-C64</f>
        <v>0</v>
      </c>
      <c r="D62" s="91" t="n">
        <f aca="false">D61-D63-D64</f>
        <v>0</v>
      </c>
      <c r="E62" s="91" t="n">
        <f aca="false">E61-E63-E64</f>
        <v>0</v>
      </c>
      <c r="F62" s="91" t="n">
        <f aca="false">F61-F63-F64</f>
        <v>0</v>
      </c>
      <c r="G62" s="91" t="n">
        <f aca="false">G61-G63-G64</f>
        <v>0</v>
      </c>
      <c r="H62" s="91" t="n">
        <f aca="false">H61-H63-H64</f>
        <v>0</v>
      </c>
      <c r="I62" s="91" t="n">
        <f aca="false">I61-I63-I64</f>
        <v>0</v>
      </c>
      <c r="J62" s="91" t="n">
        <f aca="false">J61-J63-J64</f>
        <v>0</v>
      </c>
      <c r="K62" s="91" t="n">
        <f aca="false">K61-K63-K64</f>
        <v>151</v>
      </c>
      <c r="L62" s="91" t="n">
        <f aca="false">L61-L63-L64</f>
        <v>579</v>
      </c>
      <c r="M62" s="91" t="n">
        <f aca="false">M61-M63-M64</f>
        <v>1252</v>
      </c>
      <c r="N62" s="91" t="n">
        <f aca="false">N61-N63-N64</f>
        <v>2644</v>
      </c>
      <c r="O62" s="91" t="n">
        <f aca="false">O61-O63-O64</f>
        <v>4279</v>
      </c>
      <c r="P62" s="91" t="n">
        <f aca="false">P61-P63-P64</f>
        <v>6214</v>
      </c>
      <c r="Q62" s="91" t="n">
        <f aca="false">Q61-Q63-Q64</f>
        <v>5626</v>
      </c>
      <c r="R62" s="91" t="n">
        <f aca="false">R61-R63-R64</f>
        <v>6347</v>
      </c>
      <c r="S62" s="91" t="n">
        <f aca="false">S61-S63-S64</f>
        <v>7013</v>
      </c>
      <c r="T62" s="91" t="n">
        <f aca="false">T61-T63-T64</f>
        <v>7629</v>
      </c>
      <c r="U62" s="91" t="n">
        <f aca="false">U61-U63-U64</f>
        <v>8199</v>
      </c>
      <c r="V62" s="91" t="n">
        <f aca="false">V61-V63-V64</f>
        <v>8726</v>
      </c>
      <c r="W62" s="91" t="n">
        <f aca="false">W61-W63-W64</f>
        <v>8504</v>
      </c>
      <c r="X62" s="91" t="n">
        <f aca="false">X61-X63-X64</f>
        <v>8921</v>
      </c>
      <c r="Y62" s="91" t="n">
        <f aca="false">Y61-Y63-Y64</f>
        <v>9306</v>
      </c>
      <c r="Z62" s="91" t="n">
        <f aca="false">Z61-Z63-Z64</f>
        <v>10436</v>
      </c>
      <c r="AA62" s="91" t="n">
        <f aca="false">AA61-AA63-AA64</f>
        <v>11313</v>
      </c>
      <c r="AB62" s="91" t="n">
        <f aca="false">AB61-AB63-AB64</f>
        <v>12128</v>
      </c>
      <c r="AC62" s="91" t="n">
        <f aca="false">AC61-AC63-AC64</f>
        <v>12886</v>
      </c>
      <c r="AD62" s="91" t="n">
        <f aca="false">AD61-AD63-AD64</f>
        <v>13590</v>
      </c>
      <c r="AE62" s="91" t="n">
        <f aca="false">AE61-AE63-AE64</f>
        <v>14244</v>
      </c>
      <c r="AF62" s="91" t="n">
        <f aca="false">AF61-AF63-AF64</f>
        <v>14853</v>
      </c>
      <c r="AG62" s="91" t="n">
        <f aca="false">AG61-AG63-AG64</f>
        <v>15417</v>
      </c>
      <c r="AH62" s="91" t="n">
        <f aca="false">AH61-AH63-AH64</f>
        <v>15943</v>
      </c>
      <c r="AI62" s="91" t="n">
        <f aca="false">AI61-AI63-AI64</f>
        <v>16432</v>
      </c>
      <c r="AJ62" s="91" t="n">
        <f aca="false">AJ61-AJ63-AJ64</f>
        <v>16886</v>
      </c>
      <c r="AK62" s="91" t="n">
        <f aca="false">AK61-AK63-AK64</f>
        <v>17306</v>
      </c>
      <c r="AL62" s="91" t="n">
        <f aca="false">AL61-AL63-AL64</f>
        <v>18885</v>
      </c>
      <c r="AM62" s="91" t="n">
        <f aca="false">AM61-AM63-AM64</f>
        <v>20092</v>
      </c>
      <c r="AN62" s="91" t="n">
        <f aca="false">AN61-AN63-AN64</f>
        <v>21219</v>
      </c>
      <c r="AO62" s="91" t="n">
        <f aca="false">AO61-AO63-AO64</f>
        <v>22273</v>
      </c>
      <c r="AP62" s="91" t="n">
        <f aca="false">AP61-AP63-AP64</f>
        <v>23255</v>
      </c>
      <c r="AQ62" s="91" t="n">
        <f aca="false">AQ61-AQ63-AQ64</f>
        <v>24172</v>
      </c>
      <c r="AR62" s="91" t="n">
        <f aca="false">AR61-AR63-AR64</f>
        <v>25028</v>
      </c>
      <c r="AS62" s="91" t="n">
        <f aca="false">AS61-AS63-AS64</f>
        <v>25827</v>
      </c>
      <c r="AT62" s="91" t="n">
        <f aca="false">AT61-AT63-AT64</f>
        <v>26574</v>
      </c>
      <c r="AU62" s="91" t="n">
        <f aca="false">AU61-AU63-AU64</f>
        <v>27271</v>
      </c>
      <c r="AV62" s="91" t="n">
        <f aca="false">AV61-AV63-AV64</f>
        <v>27921</v>
      </c>
      <c r="AW62" s="91" t="n">
        <f aca="false">AW61-AW63-AW64</f>
        <v>28528</v>
      </c>
      <c r="AX62" s="91" t="n">
        <f aca="false">AX61-AX63-AX64</f>
        <v>30821</v>
      </c>
      <c r="AY62" s="91" t="n">
        <f aca="false">AY61-AY63-AY64</f>
        <v>32636</v>
      </c>
      <c r="AZ62" s="91" t="n">
        <f aca="false">AZ61-AZ63-AZ64</f>
        <v>34338</v>
      </c>
      <c r="BA62" s="91" t="n">
        <f aca="false">BA61-BA63-BA64</f>
        <v>35933</v>
      </c>
      <c r="BB62" s="91" t="n">
        <f aca="false">BB61-BB63-BB64</f>
        <v>37428</v>
      </c>
      <c r="BC62" s="91" t="n">
        <f aca="false">BC61-BC63-BC64</f>
        <v>38830</v>
      </c>
      <c r="BD62" s="91" t="n">
        <f aca="false">BD61-BD63-BD64</f>
        <v>40145</v>
      </c>
      <c r="BE62" s="91" t="n">
        <f aca="false">BE61-BE63-BE64</f>
        <v>41378</v>
      </c>
      <c r="BF62" s="91" t="n">
        <f aca="false">BF61-BF63-BF64</f>
        <v>42532</v>
      </c>
      <c r="BG62" s="91" t="n">
        <f aca="false">BG61-BG63-BG64</f>
        <v>43616</v>
      </c>
      <c r="BH62" s="91" t="n">
        <f aca="false">BH61-BH63-BH64</f>
        <v>44632</v>
      </c>
      <c r="BI62" s="91" t="n">
        <f aca="false">BI61-BI63-BI64</f>
        <v>45584</v>
      </c>
      <c r="BJ62" s="134" t="n">
        <f aca="false">BI62</f>
        <v>45584</v>
      </c>
      <c r="BK62" s="29" t="s">
        <v>870</v>
      </c>
    </row>
    <row r="63" customFormat="false" ht="15" hidden="false" customHeight="false" outlineLevel="0" collapsed="false">
      <c r="A63" s="27" t="s">
        <v>842</v>
      </c>
      <c r="B63" s="91" t="n">
        <f aca="false">ROUND(B61*INDEX(Premissas!$C$35:$G$35,B$7),0)*IF(B$4&gt;=Premissas!$B$42,1,0)</f>
        <v>0</v>
      </c>
      <c r="C63" s="91" t="n">
        <f aca="false">ROUND(C61*INDEX(Premissas!$C$35:$G$35,C$7),0)*IF(C$4&gt;=Premissas!$B$42,1,0)</f>
        <v>0</v>
      </c>
      <c r="D63" s="91" t="n">
        <f aca="false">ROUND(D61*INDEX(Premissas!$C$35:$G$35,D$7),0)*IF(D$4&gt;=Premissas!$B$42,1,0)</f>
        <v>0</v>
      </c>
      <c r="E63" s="91" t="n">
        <f aca="false">ROUND(E61*INDEX(Premissas!$C$35:$G$35,E$7),0)*IF(E$4&gt;=Premissas!$B$42,1,0)</f>
        <v>0</v>
      </c>
      <c r="F63" s="91" t="n">
        <f aca="false">ROUND(F61*INDEX(Premissas!$C$35:$G$35,F$7),0)*IF(F$4&gt;=Premissas!$B$42,1,0)</f>
        <v>0</v>
      </c>
      <c r="G63" s="91" t="n">
        <f aca="false">ROUND(G61*INDEX(Premissas!$C$35:$G$35,G$7),0)*IF(G$4&gt;=Premissas!$B$42,1,0)</f>
        <v>0</v>
      </c>
      <c r="H63" s="91" t="n">
        <f aca="false">ROUND(H61*INDEX(Premissas!$C$35:$G$35,H$7),0)*IF(H$4&gt;=Premissas!$B$42,1,0)</f>
        <v>0</v>
      </c>
      <c r="I63" s="91" t="n">
        <f aca="false">ROUND(I61*INDEX(Premissas!$C$35:$G$35,I$7),0)*IF(I$4&gt;=Premissas!$B$42,1,0)</f>
        <v>0</v>
      </c>
      <c r="J63" s="91" t="n">
        <f aca="false">ROUND(J61*INDEX(Premissas!$C$35:$G$35,J$7),0)*IF(J$4&gt;=Premissas!$B$42,1,0)</f>
        <v>0</v>
      </c>
      <c r="K63" s="91" t="n">
        <f aca="false">ROUND(K61*INDEX(Premissas!$C$35:$G$35,K$7),0)*IF(K$4&gt;=Premissas!$B$42,1,0)</f>
        <v>0</v>
      </c>
      <c r="L63" s="91" t="n">
        <f aca="false">ROUND(L61*INDEX(Premissas!$C$35:$G$35,L$7),0)*IF(L$4&gt;=Premissas!$B$42,1,0)</f>
        <v>0</v>
      </c>
      <c r="M63" s="91" t="n">
        <f aca="false">ROUND(M61*INDEX(Premissas!$C$35:$G$35,M$7),0)*IF(M$4&gt;=Premissas!$B$42,1,0)</f>
        <v>0</v>
      </c>
      <c r="N63" s="91" t="n">
        <f aca="false">ROUND(N61*INDEX(Premissas!$C$35:$G$35,N$7),0)*IF(N$4&gt;=Premissas!$B$42,1,0)</f>
        <v>0</v>
      </c>
      <c r="O63" s="91" t="n">
        <f aca="false">ROUND(O61*INDEX(Premissas!$C$35:$G$35,O$7),0)*IF(O$4&gt;=Premissas!$B$42,1,0)</f>
        <v>0</v>
      </c>
      <c r="P63" s="91" t="n">
        <f aca="false">ROUND(P61*INDEX(Premissas!$C$35:$G$35,P$7),0)*IF(P$4&gt;=Premissas!$B$42,1,0)</f>
        <v>0</v>
      </c>
      <c r="Q63" s="91" t="n">
        <f aca="false">ROUND(Q61*INDEX(Premissas!$C$35:$G$35,Q$7),0)*IF(Q$4&gt;=Premissas!$B$42,1,0)</f>
        <v>1587</v>
      </c>
      <c r="R63" s="91" t="n">
        <f aca="false">ROUND(R61*INDEX(Premissas!$C$35:$G$35,R$7),0)*IF(R$4&gt;=Premissas!$B$42,1,0)</f>
        <v>1790</v>
      </c>
      <c r="S63" s="91" t="n">
        <f aca="false">ROUND(S61*INDEX(Premissas!$C$35:$G$35,S$7),0)*IF(S$4&gt;=Premissas!$B$42,1,0)</f>
        <v>1978</v>
      </c>
      <c r="T63" s="91" t="n">
        <f aca="false">ROUND(T61*INDEX(Premissas!$C$35:$G$35,T$7),0)*IF(T$4&gt;=Premissas!$B$42,1,0)</f>
        <v>2152</v>
      </c>
      <c r="U63" s="91" t="n">
        <f aca="false">ROUND(U61*INDEX(Premissas!$C$35:$G$35,U$7),0)*IF(U$4&gt;=Premissas!$B$42,1,0)</f>
        <v>2313</v>
      </c>
      <c r="V63" s="91" t="n">
        <f aca="false">ROUND(V61*INDEX(Premissas!$C$35:$G$35,V$7),0)*IF(V$4&gt;=Premissas!$B$42,1,0)</f>
        <v>2461</v>
      </c>
      <c r="W63" s="91" t="n">
        <f aca="false">ROUND(W61*INDEX(Premissas!$C$35:$G$35,W$7),0)*IF(W$4&gt;=Premissas!$B$42,1,0)</f>
        <v>2599</v>
      </c>
      <c r="X63" s="91" t="n">
        <f aca="false">ROUND(X61*INDEX(Premissas!$C$35:$G$35,X$7),0)*IF(X$4&gt;=Premissas!$B$42,1,0)</f>
        <v>2726</v>
      </c>
      <c r="Y63" s="91" t="n">
        <f aca="false">ROUND(Y61*INDEX(Premissas!$C$35:$G$35,Y$7),0)*IF(Y$4&gt;=Premissas!$B$42,1,0)</f>
        <v>2843</v>
      </c>
      <c r="Z63" s="91" t="n">
        <f aca="false">ROUND(Z61*INDEX(Premissas!$C$35:$G$35,Z$7),0)*IF(Z$4&gt;=Premissas!$B$42,1,0)</f>
        <v>3683</v>
      </c>
      <c r="AA63" s="91" t="n">
        <f aca="false">ROUND(AA61*INDEX(Premissas!$C$35:$G$35,AA$7),0)*IF(AA$4&gt;=Premissas!$B$42,1,0)</f>
        <v>3993</v>
      </c>
      <c r="AB63" s="91" t="n">
        <f aca="false">ROUND(AB61*INDEX(Premissas!$C$35:$G$35,AB$7),0)*IF(AB$4&gt;=Premissas!$B$42,1,0)</f>
        <v>4281</v>
      </c>
      <c r="AC63" s="91" t="n">
        <f aca="false">ROUND(AC61*INDEX(Premissas!$C$35:$G$35,AC$7),0)*IF(AC$4&gt;=Premissas!$B$42,1,0)</f>
        <v>4548</v>
      </c>
      <c r="AD63" s="91" t="n">
        <f aca="false">ROUND(AD61*INDEX(Premissas!$C$35:$G$35,AD$7),0)*IF(AD$4&gt;=Premissas!$B$42,1,0)</f>
        <v>4797</v>
      </c>
      <c r="AE63" s="91" t="n">
        <f aca="false">ROUND(AE61*INDEX(Premissas!$C$35:$G$35,AE$7),0)*IF(AE$4&gt;=Premissas!$B$42,1,0)</f>
        <v>5028</v>
      </c>
      <c r="AF63" s="91" t="n">
        <f aca="false">ROUND(AF61*INDEX(Premissas!$C$35:$G$35,AF$7),0)*IF(AF$4&gt;=Premissas!$B$42,1,0)</f>
        <v>5242</v>
      </c>
      <c r="AG63" s="91" t="n">
        <f aca="false">ROUND(AG61*INDEX(Premissas!$C$35:$G$35,AG$7),0)*IF(AG$4&gt;=Premissas!$B$42,1,0)</f>
        <v>5442</v>
      </c>
      <c r="AH63" s="91" t="n">
        <f aca="false">ROUND(AH61*INDEX(Premissas!$C$35:$G$35,AH$7),0)*IF(AH$4&gt;=Premissas!$B$42,1,0)</f>
        <v>5627</v>
      </c>
      <c r="AI63" s="91" t="n">
        <f aca="false">ROUND(AI61*INDEX(Premissas!$C$35:$G$35,AI$7),0)*IF(AI$4&gt;=Premissas!$B$42,1,0)</f>
        <v>5799</v>
      </c>
      <c r="AJ63" s="91" t="n">
        <f aca="false">ROUND(AJ61*INDEX(Premissas!$C$35:$G$35,AJ$7),0)*IF(AJ$4&gt;=Premissas!$B$42,1,0)</f>
        <v>5959</v>
      </c>
      <c r="AK63" s="91" t="n">
        <f aca="false">ROUND(AK61*INDEX(Premissas!$C$35:$G$35,AK$7),0)*IF(AK$4&gt;=Premissas!$B$42,1,0)</f>
        <v>6108</v>
      </c>
      <c r="AL63" s="91" t="n">
        <f aca="false">ROUND(AL61*INDEX(Premissas!$C$35:$G$35,AL$7),0)*IF(AL$4&gt;=Premissas!$B$42,1,0)</f>
        <v>7672</v>
      </c>
      <c r="AM63" s="91" t="n">
        <f aca="false">ROUND(AM61*INDEX(Premissas!$C$35:$G$35,AM$7),0)*IF(AM$4&gt;=Premissas!$B$42,1,0)</f>
        <v>8163</v>
      </c>
      <c r="AN63" s="91" t="n">
        <f aca="false">ROUND(AN61*INDEX(Premissas!$C$35:$G$35,AN$7),0)*IF(AN$4&gt;=Premissas!$B$42,1,0)</f>
        <v>8621</v>
      </c>
      <c r="AO63" s="91" t="n">
        <f aca="false">ROUND(AO61*INDEX(Premissas!$C$35:$G$35,AO$7),0)*IF(AO$4&gt;=Premissas!$B$42,1,0)</f>
        <v>9048</v>
      </c>
      <c r="AP63" s="91" t="n">
        <f aca="false">ROUND(AP61*INDEX(Premissas!$C$35:$G$35,AP$7),0)*IF(AP$4&gt;=Premissas!$B$42,1,0)</f>
        <v>9447</v>
      </c>
      <c r="AQ63" s="91" t="n">
        <f aca="false">ROUND(AQ61*INDEX(Premissas!$C$35:$G$35,AQ$7),0)*IF(AQ$4&gt;=Premissas!$B$42,1,0)</f>
        <v>9820</v>
      </c>
      <c r="AR63" s="91" t="n">
        <f aca="false">ROUND(AR61*INDEX(Premissas!$C$35:$G$35,AR$7),0)*IF(AR$4&gt;=Premissas!$B$42,1,0)</f>
        <v>10168</v>
      </c>
      <c r="AS63" s="91" t="n">
        <f aca="false">ROUND(AS61*INDEX(Premissas!$C$35:$G$35,AS$7),0)*IF(AS$4&gt;=Premissas!$B$42,1,0)</f>
        <v>10493</v>
      </c>
      <c r="AT63" s="91" t="n">
        <f aca="false">ROUND(AT61*INDEX(Premissas!$C$35:$G$35,AT$7),0)*IF(AT$4&gt;=Premissas!$B$42,1,0)</f>
        <v>10796</v>
      </c>
      <c r="AU63" s="91" t="n">
        <f aca="false">ROUND(AU61*INDEX(Premissas!$C$35:$G$35,AU$7),0)*IF(AU$4&gt;=Premissas!$B$42,1,0)</f>
        <v>11079</v>
      </c>
      <c r="AV63" s="91" t="n">
        <f aca="false">ROUND(AV61*INDEX(Premissas!$C$35:$G$35,AV$7),0)*IF(AV$4&gt;=Premissas!$B$42,1,0)</f>
        <v>11343</v>
      </c>
      <c r="AW63" s="91" t="n">
        <f aca="false">ROUND(AW61*INDEX(Premissas!$C$35:$G$35,AW$7),0)*IF(AW$4&gt;=Premissas!$B$42,1,0)</f>
        <v>11590</v>
      </c>
      <c r="AX63" s="91" t="n">
        <f aca="false">ROUND(AX61*INDEX(Premissas!$C$35:$G$35,AX$7),0)*IF(AX$4&gt;=Premissas!$B$42,1,0)</f>
        <v>14383</v>
      </c>
      <c r="AY63" s="91" t="n">
        <f aca="false">ROUND(AY61*INDEX(Premissas!$C$35:$G$35,AY$7),0)*IF(AY$4&gt;=Premissas!$B$42,1,0)</f>
        <v>15230</v>
      </c>
      <c r="AZ63" s="91" t="n">
        <f aca="false">ROUND(AZ61*INDEX(Premissas!$C$35:$G$35,AZ$7),0)*IF(AZ$4&gt;=Premissas!$B$42,1,0)</f>
        <v>16024</v>
      </c>
      <c r="BA63" s="91" t="n">
        <f aca="false">ROUND(BA61*INDEX(Premissas!$C$35:$G$35,BA$7),0)*IF(BA$4&gt;=Premissas!$B$42,1,0)</f>
        <v>16768</v>
      </c>
      <c r="BB63" s="91" t="n">
        <f aca="false">ROUND(BB61*INDEX(Premissas!$C$35:$G$35,BB$7),0)*IF(BB$4&gt;=Premissas!$B$42,1,0)</f>
        <v>17466</v>
      </c>
      <c r="BC63" s="91" t="n">
        <f aca="false">ROUND(BC61*INDEX(Premissas!$C$35:$G$35,BC$7),0)*IF(BC$4&gt;=Premissas!$B$42,1,0)</f>
        <v>18121</v>
      </c>
      <c r="BD63" s="91" t="n">
        <f aca="false">ROUND(BD61*INDEX(Premissas!$C$35:$G$35,BD$7),0)*IF(BD$4&gt;=Premissas!$B$42,1,0)</f>
        <v>18734</v>
      </c>
      <c r="BE63" s="91" t="n">
        <f aca="false">ROUND(BE61*INDEX(Premissas!$C$35:$G$35,BE$7),0)*IF(BE$4&gt;=Premissas!$B$42,1,0)</f>
        <v>19309</v>
      </c>
      <c r="BF63" s="91" t="n">
        <f aca="false">ROUND(BF61*INDEX(Premissas!$C$35:$G$35,BF$7),0)*IF(BF$4&gt;=Premissas!$B$42,1,0)</f>
        <v>19849</v>
      </c>
      <c r="BG63" s="91" t="n">
        <f aca="false">ROUND(BG61*INDEX(Premissas!$C$35:$G$35,BG$7),0)*IF(BG$4&gt;=Premissas!$B$42,1,0)</f>
        <v>20354</v>
      </c>
      <c r="BH63" s="91" t="n">
        <f aca="false">ROUND(BH61*INDEX(Premissas!$C$35:$G$35,BH$7),0)*IF(BH$4&gt;=Premissas!$B$42,1,0)</f>
        <v>20828</v>
      </c>
      <c r="BI63" s="91" t="n">
        <f aca="false">ROUND(BI61*INDEX(Premissas!$C$35:$G$35,BI$7),0)*IF(BI$4&gt;=Premissas!$B$42,1,0)</f>
        <v>21272</v>
      </c>
      <c r="BJ63" s="134" t="n">
        <f aca="false">BI63</f>
        <v>21272</v>
      </c>
      <c r="BK63" s="29" t="s">
        <v>870</v>
      </c>
    </row>
    <row r="64" customFormat="false" ht="15" hidden="false" customHeight="false" outlineLevel="0" collapsed="false">
      <c r="A64" s="27" t="s">
        <v>843</v>
      </c>
      <c r="B64" s="91" t="n">
        <f aca="false">ROUND(B61*INDEX(Premissas!$C$36:$G$36,B$7),0)*IF(B$4&gt;=Premissas!$B$43,1,0)</f>
        <v>0</v>
      </c>
      <c r="C64" s="91" t="n">
        <f aca="false">ROUND(C61*INDEX(Premissas!$C$36:$G$36,C$7),0)*IF(C$4&gt;=Premissas!$B$43,1,0)</f>
        <v>0</v>
      </c>
      <c r="D64" s="91" t="n">
        <f aca="false">ROUND(D61*INDEX(Premissas!$C$36:$G$36,D$7),0)*IF(D$4&gt;=Premissas!$B$43,1,0)</f>
        <v>0</v>
      </c>
      <c r="E64" s="91" t="n">
        <f aca="false">ROUND(E61*INDEX(Premissas!$C$36:$G$36,E$7),0)*IF(E$4&gt;=Premissas!$B$43,1,0)</f>
        <v>0</v>
      </c>
      <c r="F64" s="91" t="n">
        <f aca="false">ROUND(F61*INDEX(Premissas!$C$36:$G$36,F$7),0)*IF(F$4&gt;=Premissas!$B$43,1,0)</f>
        <v>0</v>
      </c>
      <c r="G64" s="91" t="n">
        <f aca="false">ROUND(G61*INDEX(Premissas!$C$36:$G$36,G$7),0)*IF(G$4&gt;=Premissas!$B$43,1,0)</f>
        <v>0</v>
      </c>
      <c r="H64" s="91" t="n">
        <f aca="false">ROUND(H61*INDEX(Premissas!$C$36:$G$36,H$7),0)*IF(H$4&gt;=Premissas!$B$43,1,0)</f>
        <v>0</v>
      </c>
      <c r="I64" s="91" t="n">
        <f aca="false">ROUND(I61*INDEX(Premissas!$C$36:$G$36,I$7),0)*IF(I$4&gt;=Premissas!$B$43,1,0)</f>
        <v>0</v>
      </c>
      <c r="J64" s="91" t="n">
        <f aca="false">ROUND(J61*INDEX(Premissas!$C$36:$G$36,J$7),0)*IF(J$4&gt;=Premissas!$B$43,1,0)</f>
        <v>0</v>
      </c>
      <c r="K64" s="91" t="n">
        <f aca="false">ROUND(K61*INDEX(Premissas!$C$36:$G$36,K$7),0)*IF(K$4&gt;=Premissas!$B$43,1,0)</f>
        <v>0</v>
      </c>
      <c r="L64" s="91" t="n">
        <f aca="false">ROUND(L61*INDEX(Premissas!$C$36:$G$36,L$7),0)*IF(L$4&gt;=Premissas!$B$43,1,0)</f>
        <v>0</v>
      </c>
      <c r="M64" s="91" t="n">
        <f aca="false">ROUND(M61*INDEX(Premissas!$C$36:$G$36,M$7),0)*IF(M$4&gt;=Premissas!$B$43,1,0)</f>
        <v>0</v>
      </c>
      <c r="N64" s="91" t="n">
        <f aca="false">ROUND(N61*INDEX(Premissas!$C$36:$G$36,N$7),0)*IF(N$4&gt;=Premissas!$B$43,1,0)</f>
        <v>0</v>
      </c>
      <c r="O64" s="91" t="n">
        <f aca="false">ROUND(O61*INDEX(Premissas!$C$36:$G$36,O$7),0)*IF(O$4&gt;=Premissas!$B$43,1,0)</f>
        <v>0</v>
      </c>
      <c r="P64" s="91" t="n">
        <f aca="false">ROUND(P61*INDEX(Premissas!$C$36:$G$36,P$7),0)*IF(P$4&gt;=Premissas!$B$43,1,0)</f>
        <v>0</v>
      </c>
      <c r="Q64" s="91" t="n">
        <f aca="false">ROUND(Q61*INDEX(Premissas!$C$36:$G$36,Q$7),0)*IF(Q$4&gt;=Premissas!$B$43,1,0)</f>
        <v>0</v>
      </c>
      <c r="R64" s="91" t="n">
        <f aca="false">ROUND(R61*INDEX(Premissas!$C$36:$G$36,R$7),0)*IF(R$4&gt;=Premissas!$B$43,1,0)</f>
        <v>0</v>
      </c>
      <c r="S64" s="91" t="n">
        <f aca="false">ROUND(S61*INDEX(Premissas!$C$36:$G$36,S$7),0)*IF(S$4&gt;=Premissas!$B$43,1,0)</f>
        <v>0</v>
      </c>
      <c r="T64" s="91" t="n">
        <f aca="false">ROUND(T61*INDEX(Premissas!$C$36:$G$36,T$7),0)*IF(T$4&gt;=Premissas!$B$43,1,0)</f>
        <v>0</v>
      </c>
      <c r="U64" s="91" t="n">
        <f aca="false">ROUND(U61*INDEX(Premissas!$C$36:$G$36,U$7),0)*IF(U$4&gt;=Premissas!$B$43,1,0)</f>
        <v>0</v>
      </c>
      <c r="V64" s="91" t="n">
        <f aca="false">ROUND(V61*INDEX(Premissas!$C$36:$G$36,V$7),0)*IF(V$4&gt;=Premissas!$B$43,1,0)</f>
        <v>0</v>
      </c>
      <c r="W64" s="91" t="n">
        <f aca="false">ROUND(W61*INDEX(Premissas!$C$36:$G$36,W$7),0)*IF(W$4&gt;=Premissas!$B$43,1,0)</f>
        <v>709</v>
      </c>
      <c r="X64" s="91" t="n">
        <f aca="false">ROUND(X61*INDEX(Premissas!$C$36:$G$36,X$7),0)*IF(X$4&gt;=Premissas!$B$43,1,0)</f>
        <v>743</v>
      </c>
      <c r="Y64" s="91" t="n">
        <f aca="false">ROUND(Y61*INDEX(Premissas!$C$36:$G$36,Y$7),0)*IF(Y$4&gt;=Premissas!$B$43,1,0)</f>
        <v>775</v>
      </c>
      <c r="Z64" s="91" t="n">
        <f aca="false">ROUND(Z61*INDEX(Premissas!$C$36:$G$36,Z$7),0)*IF(Z$4&gt;=Premissas!$B$43,1,0)</f>
        <v>1228</v>
      </c>
      <c r="AA64" s="91" t="n">
        <f aca="false">ROUND(AA61*INDEX(Premissas!$C$36:$G$36,AA$7),0)*IF(AA$4&gt;=Premissas!$B$43,1,0)</f>
        <v>1331</v>
      </c>
      <c r="AB64" s="91" t="n">
        <f aca="false">ROUND(AB61*INDEX(Premissas!$C$36:$G$36,AB$7),0)*IF(AB$4&gt;=Premissas!$B$43,1,0)</f>
        <v>1427</v>
      </c>
      <c r="AC64" s="91" t="n">
        <f aca="false">ROUND(AC61*INDEX(Premissas!$C$36:$G$36,AC$7),0)*IF(AC$4&gt;=Premissas!$B$43,1,0)</f>
        <v>1516</v>
      </c>
      <c r="AD64" s="91" t="n">
        <f aca="false">ROUND(AD61*INDEX(Premissas!$C$36:$G$36,AD$7),0)*IF(AD$4&gt;=Premissas!$B$43,1,0)</f>
        <v>1599</v>
      </c>
      <c r="AE64" s="91" t="n">
        <f aca="false">ROUND(AE61*INDEX(Premissas!$C$36:$G$36,AE$7),0)*IF(AE$4&gt;=Premissas!$B$43,1,0)</f>
        <v>1676</v>
      </c>
      <c r="AF64" s="91" t="n">
        <f aca="false">ROUND(AF61*INDEX(Premissas!$C$36:$G$36,AF$7),0)*IF(AF$4&gt;=Premissas!$B$43,1,0)</f>
        <v>1747</v>
      </c>
      <c r="AG64" s="91" t="n">
        <f aca="false">ROUND(AG61*INDEX(Premissas!$C$36:$G$36,AG$7),0)*IF(AG$4&gt;=Premissas!$B$43,1,0)</f>
        <v>1814</v>
      </c>
      <c r="AH64" s="91" t="n">
        <f aca="false">ROUND(AH61*INDEX(Premissas!$C$36:$G$36,AH$7),0)*IF(AH$4&gt;=Premissas!$B$43,1,0)</f>
        <v>1876</v>
      </c>
      <c r="AI64" s="91" t="n">
        <f aca="false">ROUND(AI61*INDEX(Premissas!$C$36:$G$36,AI$7),0)*IF(AI$4&gt;=Premissas!$B$43,1,0)</f>
        <v>1933</v>
      </c>
      <c r="AJ64" s="91" t="n">
        <f aca="false">ROUND(AJ61*INDEX(Premissas!$C$36:$G$36,AJ$7),0)*IF(AJ$4&gt;=Premissas!$B$43,1,0)</f>
        <v>1986</v>
      </c>
      <c r="AK64" s="91" t="n">
        <f aca="false">ROUND(AK61*INDEX(Premissas!$C$36:$G$36,AK$7),0)*IF(AK$4&gt;=Premissas!$B$43,1,0)</f>
        <v>2036</v>
      </c>
      <c r="AL64" s="91" t="n">
        <f aca="false">ROUND(AL61*INDEX(Premissas!$C$36:$G$36,AL$7),0)*IF(AL$4&gt;=Premissas!$B$43,1,0)</f>
        <v>2951</v>
      </c>
      <c r="AM64" s="91" t="n">
        <f aca="false">ROUND(AM61*INDEX(Premissas!$C$36:$G$36,AM$7),0)*IF(AM$4&gt;=Premissas!$B$43,1,0)</f>
        <v>3140</v>
      </c>
      <c r="AN64" s="91" t="n">
        <f aca="false">ROUND(AN61*INDEX(Premissas!$C$36:$G$36,AN$7),0)*IF(AN$4&gt;=Premissas!$B$43,1,0)</f>
        <v>3316</v>
      </c>
      <c r="AO64" s="91" t="n">
        <f aca="false">ROUND(AO61*INDEX(Premissas!$C$36:$G$36,AO$7),0)*IF(AO$4&gt;=Premissas!$B$43,1,0)</f>
        <v>3480</v>
      </c>
      <c r="AP64" s="91" t="n">
        <f aca="false">ROUND(AP61*INDEX(Premissas!$C$36:$G$36,AP$7),0)*IF(AP$4&gt;=Premissas!$B$43,1,0)</f>
        <v>3634</v>
      </c>
      <c r="AQ64" s="91" t="n">
        <f aca="false">ROUND(AQ61*INDEX(Premissas!$C$36:$G$36,AQ$7),0)*IF(AQ$4&gt;=Premissas!$B$43,1,0)</f>
        <v>3777</v>
      </c>
      <c r="AR64" s="91" t="n">
        <f aca="false">ROUND(AR61*INDEX(Premissas!$C$36:$G$36,AR$7),0)*IF(AR$4&gt;=Premissas!$B$43,1,0)</f>
        <v>3911</v>
      </c>
      <c r="AS64" s="91" t="n">
        <f aca="false">ROUND(AS61*INDEX(Premissas!$C$36:$G$36,AS$7),0)*IF(AS$4&gt;=Premissas!$B$43,1,0)</f>
        <v>4036</v>
      </c>
      <c r="AT64" s="91" t="n">
        <f aca="false">ROUND(AT61*INDEX(Premissas!$C$36:$G$36,AT$7),0)*IF(AT$4&gt;=Premissas!$B$43,1,0)</f>
        <v>4152</v>
      </c>
      <c r="AU64" s="91" t="n">
        <f aca="false">ROUND(AU61*INDEX(Premissas!$C$36:$G$36,AU$7),0)*IF(AU$4&gt;=Premissas!$B$43,1,0)</f>
        <v>4261</v>
      </c>
      <c r="AV64" s="91" t="n">
        <f aca="false">ROUND(AV61*INDEX(Premissas!$C$36:$G$36,AV$7),0)*IF(AV$4&gt;=Premissas!$B$43,1,0)</f>
        <v>4363</v>
      </c>
      <c r="AW64" s="91" t="n">
        <f aca="false">ROUND(AW61*INDEX(Premissas!$C$36:$G$36,AW$7),0)*IF(AW$4&gt;=Premissas!$B$43,1,0)</f>
        <v>4458</v>
      </c>
      <c r="AX64" s="91" t="n">
        <f aca="false">ROUND(AX61*INDEX(Premissas!$C$36:$G$36,AX$7),0)*IF(AX$4&gt;=Premissas!$B$43,1,0)</f>
        <v>6164</v>
      </c>
      <c r="AY64" s="91" t="n">
        <f aca="false">ROUND(AY61*INDEX(Premissas!$C$36:$G$36,AY$7),0)*IF(AY$4&gt;=Premissas!$B$43,1,0)</f>
        <v>6527</v>
      </c>
      <c r="AZ64" s="91" t="n">
        <f aca="false">ROUND(AZ61*INDEX(Premissas!$C$36:$G$36,AZ$7),0)*IF(AZ$4&gt;=Premissas!$B$43,1,0)</f>
        <v>6867</v>
      </c>
      <c r="BA64" s="91" t="n">
        <f aca="false">ROUND(BA61*INDEX(Premissas!$C$36:$G$36,BA$7),0)*IF(BA$4&gt;=Premissas!$B$43,1,0)</f>
        <v>7186</v>
      </c>
      <c r="BB64" s="91" t="n">
        <f aca="false">ROUND(BB61*INDEX(Premissas!$C$36:$G$36,BB$7),0)*IF(BB$4&gt;=Premissas!$B$43,1,0)</f>
        <v>7486</v>
      </c>
      <c r="BC64" s="91" t="n">
        <f aca="false">ROUND(BC61*INDEX(Premissas!$C$36:$G$36,BC$7),0)*IF(BC$4&gt;=Premissas!$B$43,1,0)</f>
        <v>7766</v>
      </c>
      <c r="BD64" s="91" t="n">
        <f aca="false">ROUND(BD61*INDEX(Premissas!$C$36:$G$36,BD$7),0)*IF(BD$4&gt;=Premissas!$B$43,1,0)</f>
        <v>8029</v>
      </c>
      <c r="BE64" s="91" t="n">
        <f aca="false">ROUND(BE61*INDEX(Premissas!$C$36:$G$36,BE$7),0)*IF(BE$4&gt;=Premissas!$B$43,1,0)</f>
        <v>8275</v>
      </c>
      <c r="BF64" s="91" t="n">
        <f aca="false">ROUND(BF61*INDEX(Premissas!$C$36:$G$36,BF$7),0)*IF(BF$4&gt;=Premissas!$B$43,1,0)</f>
        <v>8507</v>
      </c>
      <c r="BG64" s="91" t="n">
        <f aca="false">ROUND(BG61*INDEX(Premissas!$C$36:$G$36,BG$7),0)*IF(BG$4&gt;=Premissas!$B$43,1,0)</f>
        <v>8723</v>
      </c>
      <c r="BH64" s="91" t="n">
        <f aca="false">ROUND(BH61*INDEX(Premissas!$C$36:$G$36,BH$7),0)*IF(BH$4&gt;=Premissas!$B$43,1,0)</f>
        <v>8926</v>
      </c>
      <c r="BI64" s="91" t="n">
        <f aca="false">ROUND(BI61*INDEX(Premissas!$C$36:$G$36,BI$7),0)*IF(BI$4&gt;=Premissas!$B$43,1,0)</f>
        <v>9117</v>
      </c>
      <c r="BJ64" s="134" t="n">
        <f aca="false">BI64</f>
        <v>9117</v>
      </c>
      <c r="BK64" s="29" t="s">
        <v>870</v>
      </c>
    </row>
    <row r="65" customFormat="false" ht="15" hidden="false" customHeight="false" outlineLevel="0" collapsed="false">
      <c r="A65" s="27" t="s">
        <v>844</v>
      </c>
      <c r="B65" s="91" t="n">
        <f aca="false">IF(ROUND(B59*INDEX(Premissas!$C$78:$G$78,B$7),0)&gt;=Premissas!$B$79,ROUND(B59*INDEX(Premissas!$C$78:$G$78,B$7),0),0)</f>
        <v>0</v>
      </c>
      <c r="C65" s="91" t="n">
        <f aca="false">IF(ROUND(C59*INDEX(Premissas!$C$78:$G$78,C$7),0)&gt;=Premissas!$B$79,ROUND(C59*INDEX(Premissas!$C$78:$G$78,C$7),0),0)</f>
        <v>0</v>
      </c>
      <c r="D65" s="91" t="n">
        <f aca="false">IF(ROUND(D59*INDEX(Premissas!$C$78:$G$78,D$7),0)&gt;=Premissas!$B$79,ROUND(D59*INDEX(Premissas!$C$78:$G$78,D$7),0),0)</f>
        <v>0</v>
      </c>
      <c r="E65" s="91" t="n">
        <f aca="false">IF(ROUND(E59*INDEX(Premissas!$C$78:$G$78,E$7),0)&gt;=Premissas!$B$79,ROUND(E59*INDEX(Premissas!$C$78:$G$78,E$7),0),0)</f>
        <v>0</v>
      </c>
      <c r="F65" s="91" t="n">
        <f aca="false">IF(ROUND(F59*INDEX(Premissas!$C$78:$G$78,F$7),0)&gt;=Premissas!$B$79,ROUND(F59*INDEX(Premissas!$C$78:$G$78,F$7),0),0)</f>
        <v>0</v>
      </c>
      <c r="G65" s="91" t="n">
        <f aca="false">IF(ROUND(G59*INDEX(Premissas!$C$78:$G$78,G$7),0)&gt;=Premissas!$B$79,ROUND(G59*INDEX(Premissas!$C$78:$G$78,G$7),0),0)</f>
        <v>0</v>
      </c>
      <c r="H65" s="91" t="n">
        <f aca="false">IF(ROUND(H59*INDEX(Premissas!$C$78:$G$78,H$7),0)&gt;=Premissas!$B$79,ROUND(H59*INDEX(Premissas!$C$78:$G$78,H$7),0),0)</f>
        <v>0</v>
      </c>
      <c r="I65" s="91" t="n">
        <f aca="false">IF(ROUND(I59*INDEX(Premissas!$C$78:$G$78,I$7),0)&gt;=Premissas!$B$79,ROUND(I59*INDEX(Premissas!$C$78:$G$78,I$7),0),0)</f>
        <v>0</v>
      </c>
      <c r="J65" s="91" t="n">
        <f aca="false">IF(ROUND(J59*INDEX(Premissas!$C$78:$G$78,J$7),0)&gt;=Premissas!$B$79,ROUND(J59*INDEX(Premissas!$C$78:$G$78,J$7),0),0)</f>
        <v>0</v>
      </c>
      <c r="K65" s="91" t="n">
        <f aca="false">IF(ROUND(K59*INDEX(Premissas!$C$78:$G$78,K$7),0)&gt;=Premissas!$B$79,ROUND(K59*INDEX(Premissas!$C$78:$G$78,K$7),0),0)</f>
        <v>0</v>
      </c>
      <c r="L65" s="91" t="n">
        <f aca="false">IF(ROUND(L59*INDEX(Premissas!$C$78:$G$78,L$7),0)&gt;=Premissas!$B$79,ROUND(L59*INDEX(Premissas!$C$78:$G$78,L$7),0),0)</f>
        <v>0</v>
      </c>
      <c r="M65" s="91" t="n">
        <f aca="false">IF(ROUND(M59*INDEX(Premissas!$C$78:$G$78,M$7),0)&gt;=Premissas!$B$79,ROUND(M59*INDEX(Premissas!$C$78:$G$78,M$7),0),0)</f>
        <v>0</v>
      </c>
      <c r="N65" s="91" t="n">
        <f aca="false">IF(ROUND(N59*INDEX(Premissas!$C$78:$G$78,N$7),0)&gt;=Premissas!$B$79,ROUND(N59*INDEX(Premissas!$C$78:$G$78,N$7),0),0)</f>
        <v>0</v>
      </c>
      <c r="O65" s="91" t="n">
        <f aca="false">IF(ROUND(O59*INDEX(Premissas!$C$78:$G$78,O$7),0)&gt;=Premissas!$B$79,ROUND(O59*INDEX(Premissas!$C$78:$G$78,O$7),0),0)</f>
        <v>0</v>
      </c>
      <c r="P65" s="91" t="n">
        <f aca="false">IF(ROUND(P59*INDEX(Premissas!$C$78:$G$78,P$7),0)&gt;=Premissas!$B$79,ROUND(P59*INDEX(Premissas!$C$78:$G$78,P$7),0),0)</f>
        <v>0</v>
      </c>
      <c r="Q65" s="91" t="n">
        <f aca="false">IF(ROUND(Q59*INDEX(Premissas!$C$78:$G$78,Q$7),0)&gt;=Premissas!$B$79,ROUND(Q59*INDEX(Premissas!$C$78:$G$78,Q$7),0),0)</f>
        <v>0</v>
      </c>
      <c r="R65" s="91" t="n">
        <f aca="false">IF(ROUND(R59*INDEX(Premissas!$C$78:$G$78,R$7),0)&gt;=Premissas!$B$79,ROUND(R59*INDEX(Premissas!$C$78:$G$78,R$7),0),0)</f>
        <v>0</v>
      </c>
      <c r="S65" s="91" t="n">
        <f aca="false">IF(ROUND(S59*INDEX(Premissas!$C$78:$G$78,S$7),0)&gt;=Premissas!$B$79,ROUND(S59*INDEX(Premissas!$C$78:$G$78,S$7),0),0)</f>
        <v>0</v>
      </c>
      <c r="T65" s="91" t="n">
        <f aca="false">IF(ROUND(T59*INDEX(Premissas!$C$78:$G$78,T$7),0)&gt;=Premissas!$B$79,ROUND(T59*INDEX(Premissas!$C$78:$G$78,T$7),0),0)</f>
        <v>0</v>
      </c>
      <c r="U65" s="91" t="n">
        <f aca="false">IF(ROUND(U59*INDEX(Premissas!$C$78:$G$78,U$7),0)&gt;=Premissas!$B$79,ROUND(U59*INDEX(Premissas!$C$78:$G$78,U$7),0),0)</f>
        <v>0</v>
      </c>
      <c r="V65" s="91" t="n">
        <f aca="false">IF(ROUND(V59*INDEX(Premissas!$C$78:$G$78,V$7),0)&gt;=Premissas!$B$79,ROUND(V59*INDEX(Premissas!$C$78:$G$78,V$7),0),0)</f>
        <v>0</v>
      </c>
      <c r="W65" s="91" t="n">
        <f aca="false">IF(ROUND(W59*INDEX(Premissas!$C$78:$G$78,W$7),0)&gt;=Premissas!$B$79,ROUND(W59*INDEX(Premissas!$C$78:$G$78,W$7),0),0)</f>
        <v>0</v>
      </c>
      <c r="X65" s="91" t="n">
        <f aca="false">IF(ROUND(X59*INDEX(Premissas!$C$78:$G$78,X$7),0)&gt;=Premissas!$B$79,ROUND(X59*INDEX(Premissas!$C$78:$G$78,X$7),0),0)</f>
        <v>0</v>
      </c>
      <c r="Y65" s="91" t="n">
        <f aca="false">IF(ROUND(Y59*INDEX(Premissas!$C$78:$G$78,Y$7),0)&gt;=Premissas!$B$79,ROUND(Y59*INDEX(Premissas!$C$78:$G$78,Y$7),0),0)</f>
        <v>0</v>
      </c>
      <c r="Z65" s="91" t="n">
        <f aca="false">IF(ROUND(Z59*INDEX(Premissas!$C$78:$G$78,Z$7),0)&gt;=Premissas!$B$79,ROUND(Z59*INDEX(Premissas!$C$78:$G$78,Z$7),0),0)</f>
        <v>78944</v>
      </c>
      <c r="AA65" s="91" t="n">
        <f aca="false">IF(ROUND(AA59*INDEX(Premissas!$C$78:$G$78,AA$7),0)&gt;=Premissas!$B$79,ROUND(AA59*INDEX(Premissas!$C$78:$G$78,AA$7),0),0)</f>
        <v>85581</v>
      </c>
      <c r="AB65" s="91" t="n">
        <f aca="false">IF(ROUND(AB59*INDEX(Premissas!$C$78:$G$78,AB$7),0)&gt;=Premissas!$B$79,ROUND(AB59*INDEX(Premissas!$C$78:$G$78,AB$7),0),0)</f>
        <v>91749</v>
      </c>
      <c r="AC65" s="91" t="n">
        <f aca="false">IF(ROUND(AC59*INDEX(Premissas!$C$78:$G$78,AC$7),0)&gt;=Premissas!$B$79,ROUND(AC59*INDEX(Premissas!$C$78:$G$78,AC$7),0),0)</f>
        <v>97481</v>
      </c>
      <c r="AD65" s="91" t="n">
        <f aca="false">IF(ROUND(AD59*INDEX(Premissas!$C$78:$G$78,AD$7),0)&gt;=Premissas!$B$79,ROUND(AD59*INDEX(Premissas!$C$78:$G$78,AD$7),0),0)</f>
        <v>102807</v>
      </c>
      <c r="AE65" s="91" t="n">
        <f aca="false">IF(ROUND(AE59*INDEX(Premissas!$C$78:$G$78,AE$7),0)&gt;=Premissas!$B$79,ROUND(AE59*INDEX(Premissas!$C$78:$G$78,AE$7),0),0)</f>
        <v>107758</v>
      </c>
      <c r="AF65" s="91" t="n">
        <f aca="false">IF(ROUND(AF59*INDEX(Premissas!$C$78:$G$78,AF$7),0)&gt;=Premissas!$B$79,ROUND(AF59*INDEX(Premissas!$C$78:$G$78,AF$7),0),0)</f>
        <v>112358</v>
      </c>
      <c r="AG65" s="91" t="n">
        <f aca="false">IF(ROUND(AG59*INDEX(Premissas!$C$78:$G$78,AG$7),0)&gt;=Premissas!$B$79,ROUND(AG59*INDEX(Premissas!$C$78:$G$78,AG$7),0),0)</f>
        <v>116633</v>
      </c>
      <c r="AH65" s="91" t="n">
        <f aca="false">IF(ROUND(AH59*INDEX(Premissas!$C$78:$G$78,AH$7),0)&gt;=Premissas!$B$79,ROUND(AH59*INDEX(Premissas!$C$78:$G$78,AH$7),0),0)</f>
        <v>120606</v>
      </c>
      <c r="AI65" s="91" t="n">
        <f aca="false">IF(ROUND(AI59*INDEX(Premissas!$C$78:$G$78,AI$7),0)&gt;=Premissas!$B$79,ROUND(AI59*INDEX(Premissas!$C$78:$G$78,AI$7),0),0)</f>
        <v>124298</v>
      </c>
      <c r="AJ65" s="91" t="n">
        <f aca="false">IF(ROUND(AJ59*INDEX(Premissas!$C$78:$G$78,AJ$7),0)&gt;=Premissas!$B$79,ROUND(AJ59*INDEX(Premissas!$C$78:$G$78,AJ$7),0),0)</f>
        <v>127729</v>
      </c>
      <c r="AK65" s="91" t="n">
        <f aca="false">IF(ROUND(AK59*INDEX(Premissas!$C$78:$G$78,AK$7),0)&gt;=Premissas!$B$79,ROUND(AK59*INDEX(Premissas!$C$78:$G$78,AK$7),0),0)</f>
        <v>130918</v>
      </c>
      <c r="AL65" s="91" t="n">
        <f aca="false">IF(ROUND(AL59*INDEX(Premissas!$C$78:$G$78,AL$7),0)&gt;=Premissas!$B$79,ROUND(AL59*INDEX(Premissas!$C$78:$G$78,AL$7),0),0)</f>
        <v>149915</v>
      </c>
      <c r="AM65" s="91" t="n">
        <f aca="false">IF(ROUND(AM59*INDEX(Premissas!$C$78:$G$78,AM$7),0)&gt;=Premissas!$B$79,ROUND(AM59*INDEX(Premissas!$C$78:$G$78,AM$7),0),0)</f>
        <v>159501</v>
      </c>
      <c r="AN65" s="91" t="n">
        <f aca="false">IF(ROUND(AN59*INDEX(Premissas!$C$78:$G$78,AN$7),0)&gt;=Premissas!$B$79,ROUND(AN59*INDEX(Premissas!$C$78:$G$78,AN$7),0),0)</f>
        <v>168451</v>
      </c>
      <c r="AO65" s="91" t="n">
        <f aca="false">IF(ROUND(AO59*INDEX(Premissas!$C$78:$G$78,AO$7),0)&gt;=Premissas!$B$79,ROUND(AO59*INDEX(Premissas!$C$78:$G$78,AO$7),0),0)</f>
        <v>176806</v>
      </c>
      <c r="AP65" s="91" t="n">
        <f aca="false">IF(ROUND(AP59*INDEX(Premissas!$C$78:$G$78,AP$7),0)&gt;=Premissas!$B$79,ROUND(AP59*INDEX(Premissas!$C$78:$G$78,AP$7),0),0)</f>
        <v>184606</v>
      </c>
      <c r="AQ65" s="91" t="n">
        <f aca="false">IF(ROUND(AQ59*INDEX(Premissas!$C$78:$G$78,AQ$7),0)&gt;=Premissas!$B$79,ROUND(AQ59*INDEX(Premissas!$C$78:$G$78,AQ$7),0),0)</f>
        <v>191887</v>
      </c>
      <c r="AR65" s="91" t="n">
        <f aca="false">IF(ROUND(AR59*INDEX(Premissas!$C$78:$G$78,AR$7),0)&gt;=Premissas!$B$79,ROUND(AR59*INDEX(Premissas!$C$78:$G$78,AR$7),0),0)</f>
        <v>198685</v>
      </c>
      <c r="AS65" s="91" t="n">
        <f aca="false">IF(ROUND(AS59*INDEX(Premissas!$C$78:$G$78,AS$7),0)&gt;=Premissas!$B$79,ROUND(AS59*INDEX(Premissas!$C$78:$G$78,AS$7),0),0)</f>
        <v>205031</v>
      </c>
      <c r="AT65" s="91" t="n">
        <f aca="false">IF(ROUND(AT59*INDEX(Premissas!$C$78:$G$78,AT$7),0)&gt;=Premissas!$B$79,ROUND(AT59*INDEX(Premissas!$C$78:$G$78,AT$7),0),0)</f>
        <v>210955</v>
      </c>
      <c r="AU65" s="91" t="n">
        <f aca="false">IF(ROUND(AU59*INDEX(Premissas!$C$78:$G$78,AU$7),0)&gt;=Premissas!$B$79,ROUND(AU59*INDEX(Premissas!$C$78:$G$78,AU$7),0),0)</f>
        <v>216486</v>
      </c>
      <c r="AV65" s="91" t="n">
        <f aca="false">IF(ROUND(AV59*INDEX(Premissas!$C$78:$G$78,AV$7),0)&gt;=Premissas!$B$79,ROUND(AV59*INDEX(Premissas!$C$78:$G$78,AV$7),0),0)</f>
        <v>221649</v>
      </c>
      <c r="AW65" s="91" t="n">
        <f aca="false">IF(ROUND(AW59*INDEX(Premissas!$C$78:$G$78,AW$7),0)&gt;=Premissas!$B$79,ROUND(AW59*INDEX(Premissas!$C$78:$G$78,AW$7),0),0)</f>
        <v>226470</v>
      </c>
      <c r="AX65" s="91" t="n">
        <f aca="false">IF(ROUND(AX59*INDEX(Premissas!$C$78:$G$78,AX$7),0)&gt;=Premissas!$B$79,ROUND(AX59*INDEX(Premissas!$C$78:$G$78,AX$7),0),0)</f>
        <v>264301</v>
      </c>
      <c r="AY65" s="91" t="n">
        <f aca="false">IF(ROUND(AY59*INDEX(Premissas!$C$78:$G$78,AY$7),0)&gt;=Premissas!$B$79,ROUND(AY59*INDEX(Premissas!$C$78:$G$78,AY$7),0),0)</f>
        <v>279863</v>
      </c>
      <c r="AZ65" s="91" t="n">
        <f aca="false">IF(ROUND(AZ59*INDEX(Premissas!$C$78:$G$78,AZ$7),0)&gt;=Premissas!$B$79,ROUND(AZ59*INDEX(Premissas!$C$78:$G$78,AZ$7),0),0)</f>
        <v>294454</v>
      </c>
      <c r="BA65" s="91" t="n">
        <f aca="false">IF(ROUND(BA59*INDEX(Premissas!$C$78:$G$78,BA$7),0)&gt;=Premissas!$B$79,ROUND(BA59*INDEX(Premissas!$C$78:$G$78,BA$7),0),0)</f>
        <v>308133</v>
      </c>
      <c r="BB65" s="91" t="n">
        <f aca="false">IF(ROUND(BB59*INDEX(Premissas!$C$78:$G$78,BB$7),0)&gt;=Premissas!$B$79,ROUND(BB59*INDEX(Premissas!$C$78:$G$78,BB$7),0),0)</f>
        <v>320958</v>
      </c>
      <c r="BC65" s="91" t="n">
        <f aca="false">IF(ROUND(BC59*INDEX(Premissas!$C$78:$G$78,BC$7),0)&gt;=Premissas!$B$79,ROUND(BC59*INDEX(Premissas!$C$78:$G$78,BC$7),0),0)</f>
        <v>332982</v>
      </c>
      <c r="BD65" s="91" t="n">
        <f aca="false">IF(ROUND(BD59*INDEX(Premissas!$C$78:$G$78,BD$7),0)&gt;=Premissas!$B$79,ROUND(BD59*INDEX(Premissas!$C$78:$G$78,BD$7),0),0)</f>
        <v>344255</v>
      </c>
      <c r="BE65" s="91" t="n">
        <f aca="false">IF(ROUND(BE59*INDEX(Premissas!$C$78:$G$78,BE$7),0)&gt;=Premissas!$B$79,ROUND(BE59*INDEX(Premissas!$C$78:$G$78,BE$7),0),0)</f>
        <v>354824</v>
      </c>
      <c r="BF65" s="91" t="n">
        <f aca="false">IF(ROUND(BF59*INDEX(Premissas!$C$78:$G$78,BF$7),0)&gt;=Premissas!$B$79,ROUND(BF59*INDEX(Premissas!$C$78:$G$78,BF$7),0),0)</f>
        <v>364733</v>
      </c>
      <c r="BG65" s="91" t="n">
        <f aca="false">IF(ROUND(BG59*INDEX(Premissas!$C$78:$G$78,BG$7),0)&gt;=Premissas!$B$79,ROUND(BG59*INDEX(Premissas!$C$78:$G$78,BG$7),0),0)</f>
        <v>374022</v>
      </c>
      <c r="BH65" s="91" t="n">
        <f aca="false">IF(ROUND(BH59*INDEX(Premissas!$C$78:$G$78,BH$7),0)&gt;=Premissas!$B$79,ROUND(BH59*INDEX(Premissas!$C$78:$G$78,BH$7),0),0)</f>
        <v>382732</v>
      </c>
      <c r="BI65" s="91" t="n">
        <f aca="false">IF(ROUND(BI59*INDEX(Premissas!$C$78:$G$78,BI$7),0)&gt;=Premissas!$B$79,ROUND(BI59*INDEX(Premissas!$C$78:$G$78,BI$7),0),0)</f>
        <v>390897</v>
      </c>
      <c r="BJ65" s="134" t="n">
        <f aca="false">BI65</f>
        <v>390897</v>
      </c>
      <c r="BK65" s="29" t="s">
        <v>870</v>
      </c>
    </row>
    <row r="66" customFormat="false" ht="15" hidden="false" customHeight="false" outlineLevel="0" collapsed="false">
      <c r="A66" s="27" t="s">
        <v>872</v>
      </c>
      <c r="B66" s="60" t="n">
        <f aca="false">B62*Premissas!$B$29*(1+Premissas!$B$32)^(B$6-2026)</f>
        <v>0</v>
      </c>
      <c r="C66" s="60" t="n">
        <f aca="false">C62*Premissas!$B$29*(1+Premissas!$B$32)^(C$6-2026)</f>
        <v>0</v>
      </c>
      <c r="D66" s="60" t="n">
        <f aca="false">D62*Premissas!$B$29*(1+Premissas!$B$32)^(D$6-2026)</f>
        <v>0</v>
      </c>
      <c r="E66" s="60" t="n">
        <f aca="false">E62*Premissas!$B$29*(1+Premissas!$B$32)^(E$6-2026)</f>
        <v>0</v>
      </c>
      <c r="F66" s="60" t="n">
        <f aca="false">F62*Premissas!$B$29*(1+Premissas!$B$32)^(F$6-2026)</f>
        <v>0</v>
      </c>
      <c r="G66" s="60" t="n">
        <f aca="false">G62*Premissas!$B$29*(1+Premissas!$B$32)^(G$6-2026)</f>
        <v>0</v>
      </c>
      <c r="H66" s="60" t="n">
        <f aca="false">H62*Premissas!$B$29*(1+Premissas!$B$32)^(H$6-2026)</f>
        <v>0</v>
      </c>
      <c r="I66" s="60" t="n">
        <f aca="false">I62*Premissas!$B$29*(1+Premissas!$B$32)^(I$6-2026)</f>
        <v>0</v>
      </c>
      <c r="J66" s="60" t="n">
        <f aca="false">J62*Premissas!$B$29*(1+Premissas!$B$32)^(J$6-2026)</f>
        <v>0</v>
      </c>
      <c r="K66" s="60" t="n">
        <f aca="false">K62*Premissas!$B$29*(1+Premissas!$B$32)^(K$6-2026)</f>
        <v>3004.9</v>
      </c>
      <c r="L66" s="60" t="n">
        <f aca="false">L62*Premissas!$B$29*(1+Premissas!$B$32)^(L$6-2026)</f>
        <v>11522.1</v>
      </c>
      <c r="M66" s="60" t="n">
        <f aca="false">M62*Premissas!$B$29*(1+Premissas!$B$32)^(M$6-2026)</f>
        <v>24914.8</v>
      </c>
      <c r="N66" s="60" t="n">
        <f aca="false">N62*Premissas!$B$29*(1+Premissas!$B$32)^(N$6-2026)</f>
        <v>54983.302</v>
      </c>
      <c r="O66" s="60" t="n">
        <f aca="false">O62*Premissas!$B$29*(1+Premissas!$B$32)^(O$6-2026)</f>
        <v>88983.9445</v>
      </c>
      <c r="P66" s="60" t="n">
        <f aca="false">P62*Premissas!$B$29*(1+Premissas!$B$32)^(P$6-2026)</f>
        <v>129223.237</v>
      </c>
      <c r="Q66" s="60" t="n">
        <f aca="false">Q62*Premissas!$B$29*(1+Premissas!$B$32)^(Q$6-2026)</f>
        <v>116995.483</v>
      </c>
      <c r="R66" s="60" t="n">
        <f aca="false">R62*Premissas!$B$29*(1+Premissas!$B$32)^(R$6-2026)</f>
        <v>131989.0385</v>
      </c>
      <c r="S66" s="60" t="n">
        <f aca="false">S62*Premissas!$B$29*(1+Premissas!$B$32)^(S$6-2026)</f>
        <v>145838.8415</v>
      </c>
      <c r="T66" s="60" t="n">
        <f aca="false">T62*Premissas!$B$29*(1+Premissas!$B$32)^(T$6-2026)</f>
        <v>158648.8695</v>
      </c>
      <c r="U66" s="60" t="n">
        <f aca="false">U62*Premissas!$B$29*(1+Premissas!$B$32)^(U$6-2026)</f>
        <v>170502.3045</v>
      </c>
      <c r="V66" s="60" t="n">
        <f aca="false">V62*Premissas!$B$29*(1+Premissas!$B$32)^(V$6-2026)</f>
        <v>181461.533</v>
      </c>
      <c r="W66" s="60" t="n">
        <f aca="false">W62*Premissas!$B$29*(1+Premissas!$B$32)^(W$6-2026)</f>
        <v>176844.932</v>
      </c>
      <c r="X66" s="60" t="n">
        <f aca="false">X62*Premissas!$B$29*(1+Premissas!$B$32)^(X$6-2026)</f>
        <v>185516.6555</v>
      </c>
      <c r="Y66" s="60" t="n">
        <f aca="false">Y62*Premissas!$B$29*(1+Premissas!$B$32)^(Y$6-2026)</f>
        <v>193522.923</v>
      </c>
      <c r="Z66" s="60" t="n">
        <f aca="false">Z62*Premissas!$B$29*(1+Premissas!$B$32)^(Z$6-2026)</f>
        <v>226787.82071</v>
      </c>
      <c r="AA66" s="60" t="n">
        <f aca="false">AA62*Premissas!$B$29*(1+Premissas!$B$32)^(AA$6-2026)</f>
        <v>245846.1686175</v>
      </c>
      <c r="AB66" s="60" t="n">
        <f aca="false">AB62*Premissas!$B$29*(1+Premissas!$B$32)^(AB$6-2026)</f>
        <v>263557.17608</v>
      </c>
      <c r="AC66" s="60" t="n">
        <f aca="false">AC62*Premissas!$B$29*(1+Premissas!$B$32)^(AC$6-2026)</f>
        <v>280029.499585</v>
      </c>
      <c r="AD66" s="60" t="n">
        <f aca="false">AD62*Premissas!$B$29*(1+Premissas!$B$32)^(AD$6-2026)</f>
        <v>295328.333025</v>
      </c>
      <c r="AE66" s="60" t="n">
        <f aca="false">AE62*Premissas!$B$29*(1+Premissas!$B$32)^(AE$6-2026)</f>
        <v>309540.60159</v>
      </c>
      <c r="AF66" s="60" t="n">
        <f aca="false">AF62*Premissas!$B$29*(1+Premissas!$B$32)^(AF$6-2026)</f>
        <v>322774.9617675</v>
      </c>
      <c r="AG66" s="60" t="n">
        <f aca="false">AG62*Premissas!$B$29*(1+Premissas!$B$32)^(AG$6-2026)</f>
        <v>335031.4135575</v>
      </c>
      <c r="AH66" s="60" t="n">
        <f aca="false">AH62*Premissas!$B$29*(1+Premissas!$B$32)^(AH$6-2026)</f>
        <v>346462.0760425</v>
      </c>
      <c r="AI66" s="60" t="n">
        <f aca="false">AI62*Premissas!$B$29*(1+Premissas!$B$32)^(AI$6-2026)</f>
        <v>357088.68052</v>
      </c>
      <c r="AJ66" s="60" t="n">
        <f aca="false">AJ62*Premissas!$B$29*(1+Premissas!$B$32)^(AJ$6-2026)</f>
        <v>366954.689585</v>
      </c>
      <c r="AK66" s="60" t="n">
        <f aca="false">AK62*Premissas!$B$29*(1+Premissas!$B$32)^(AK$6-2026)</f>
        <v>376081.834535</v>
      </c>
      <c r="AL66" s="60" t="n">
        <f aca="false">AL62*Premissas!$B$29*(1+Premissas!$B$32)^(AL$6-2026)</f>
        <v>428863.353185437</v>
      </c>
      <c r="AM66" s="60" t="n">
        <f aca="false">AM62*Premissas!$B$29*(1+Premissas!$B$32)^(AM$6-2026)</f>
        <v>456273.36469165</v>
      </c>
      <c r="AN66" s="60" t="n">
        <f aca="false">AN62*Premissas!$B$29*(1+Premissas!$B$32)^(AN$6-2026)</f>
        <v>481866.639726862</v>
      </c>
      <c r="AO66" s="60" t="n">
        <f aca="false">AO62*Premissas!$B$29*(1+Premissas!$B$32)^(AO$6-2026)</f>
        <v>505802.142732287</v>
      </c>
      <c r="AP66" s="60" t="n">
        <f aca="false">AP62*Premissas!$B$29*(1+Premissas!$B$32)^(AP$6-2026)</f>
        <v>528102.582913812</v>
      </c>
      <c r="AQ66" s="60" t="n">
        <f aca="false">AQ62*Premissas!$B$29*(1+Premissas!$B$32)^(AQ$6-2026)</f>
        <v>548926.92471265</v>
      </c>
      <c r="AR66" s="60" t="n">
        <f aca="false">AR62*Premissas!$B$29*(1+Premissas!$B$32)^(AR$6-2026)</f>
        <v>568366.00495235</v>
      </c>
      <c r="AS66" s="60" t="n">
        <f aca="false">AS62*Premissas!$B$29*(1+Premissas!$B$32)^(AS$6-2026)</f>
        <v>586510.660456462</v>
      </c>
      <c r="AT66" s="60" t="n">
        <f aca="false">AT62*Premissas!$B$29*(1+Premissas!$B$32)^(AT$6-2026)</f>
        <v>603474.437254425</v>
      </c>
      <c r="AU66" s="60" t="n">
        <f aca="false">AU62*Premissas!$B$29*(1+Premissas!$B$32)^(AU$6-2026)</f>
        <v>619302.753758012</v>
      </c>
      <c r="AV66" s="60" t="n">
        <f aca="false">AV62*Premissas!$B$29*(1+Premissas!$B$32)^(AV$6-2026)</f>
        <v>634063.737584887</v>
      </c>
      <c r="AW66" s="60" t="n">
        <f aca="false">AW62*Premissas!$B$29*(1+Premissas!$B$32)^(AW$6-2026)</f>
        <v>647848.2255586</v>
      </c>
      <c r="AX66" s="60" t="n">
        <f aca="false">AX62*Premissas!$B$29*(1+Premissas!$B$32)^(AX$6-2026)</f>
        <v>731416.854218276</v>
      </c>
      <c r="AY66" s="60" t="n">
        <f aca="false">AY62*Premissas!$B$29*(1+Premissas!$B$32)^(AY$6-2026)</f>
        <v>774488.83729495</v>
      </c>
      <c r="AZ66" s="60" t="n">
        <f aca="false">AZ62*Premissas!$B$29*(1+Premissas!$B$32)^(AZ$6-2026)</f>
        <v>814879.203794399</v>
      </c>
      <c r="BA66" s="60" t="n">
        <f aca="false">BA62*Premissas!$B$29*(1+Premissas!$B$32)^(BA$6-2026)</f>
        <v>852730.340437537</v>
      </c>
      <c r="BB66" s="60" t="n">
        <f aca="false">BB62*Premissas!$B$29*(1+Premissas!$B$32)^(BB$6-2026)</f>
        <v>888208.365065431</v>
      </c>
      <c r="BC66" s="60" t="n">
        <f aca="false">BC62*Premissas!$B$29*(1+Premissas!$B$32)^(BC$6-2026)</f>
        <v>921479.395519148</v>
      </c>
      <c r="BD66" s="60" t="n">
        <f aca="false">BD62*Premissas!$B$29*(1+Premissas!$B$32)^(BD$6-2026)</f>
        <v>952685.818519603</v>
      </c>
      <c r="BE66" s="60" t="n">
        <f aca="false">BE62*Premissas!$B$29*(1+Premissas!$B$32)^(BE$6-2026)</f>
        <v>981946.289667559</v>
      </c>
      <c r="BF66" s="60" t="n">
        <f aca="false">BF62*Premissas!$B$29*(1+Premissas!$B$32)^(BF$6-2026)</f>
        <v>1009332.00232347</v>
      </c>
      <c r="BG66" s="60" t="n">
        <f aca="false">BG62*Premissas!$B$29*(1+Premissas!$B$32)^(BG$6-2026)</f>
        <v>1035056.53656871</v>
      </c>
      <c r="BH66" s="60" t="n">
        <f aca="false">BH62*Premissas!$B$29*(1+Premissas!$B$32)^(BH$6-2026)</f>
        <v>1059167.35464359</v>
      </c>
      <c r="BI66" s="60" t="n">
        <f aca="false">BI62*Premissas!$B$29*(1+Premissas!$B$32)^(BI$6-2026)</f>
        <v>1081759.38102871</v>
      </c>
      <c r="BJ66" s="61" t="n">
        <f aca="false">SUM(B66:BI66)</f>
        <v>23211987.3262238</v>
      </c>
    </row>
    <row r="67" customFormat="false" ht="15" hidden="false" customHeight="false" outlineLevel="0" collapsed="false">
      <c r="A67" s="27" t="s">
        <v>873</v>
      </c>
      <c r="B67" s="60" t="n">
        <f aca="false">B63*Premissas!$B$30*(1+Premissas!$B$32)^(B$6-2026)</f>
        <v>0</v>
      </c>
      <c r="C67" s="60" t="n">
        <f aca="false">C63*Premissas!$B$30*(1+Premissas!$B$32)^(C$6-2026)</f>
        <v>0</v>
      </c>
      <c r="D67" s="60" t="n">
        <f aca="false">D63*Premissas!$B$30*(1+Premissas!$B$32)^(D$6-2026)</f>
        <v>0</v>
      </c>
      <c r="E67" s="60" t="n">
        <f aca="false">E63*Premissas!$B$30*(1+Premissas!$B$32)^(E$6-2026)</f>
        <v>0</v>
      </c>
      <c r="F67" s="60" t="n">
        <f aca="false">F63*Premissas!$B$30*(1+Premissas!$B$32)^(F$6-2026)</f>
        <v>0</v>
      </c>
      <c r="G67" s="60" t="n">
        <f aca="false">G63*Premissas!$B$30*(1+Premissas!$B$32)^(G$6-2026)</f>
        <v>0</v>
      </c>
      <c r="H67" s="60" t="n">
        <f aca="false">H63*Premissas!$B$30*(1+Premissas!$B$32)^(H$6-2026)</f>
        <v>0</v>
      </c>
      <c r="I67" s="60" t="n">
        <f aca="false">I63*Premissas!$B$30*(1+Premissas!$B$32)^(I$6-2026)</f>
        <v>0</v>
      </c>
      <c r="J67" s="60" t="n">
        <f aca="false">J63*Premissas!$B$30*(1+Premissas!$B$32)^(J$6-2026)</f>
        <v>0</v>
      </c>
      <c r="K67" s="60" t="n">
        <f aca="false">K63*Premissas!$B$30*(1+Premissas!$B$32)^(K$6-2026)</f>
        <v>0</v>
      </c>
      <c r="L67" s="60" t="n">
        <f aca="false">L63*Premissas!$B$30*(1+Premissas!$B$32)^(L$6-2026)</f>
        <v>0</v>
      </c>
      <c r="M67" s="60" t="n">
        <f aca="false">M63*Premissas!$B$30*(1+Premissas!$B$32)^(M$6-2026)</f>
        <v>0</v>
      </c>
      <c r="N67" s="60" t="n">
        <f aca="false">N63*Premissas!$B$30*(1+Premissas!$B$32)^(N$6-2026)</f>
        <v>0</v>
      </c>
      <c r="O67" s="60" t="n">
        <f aca="false">O63*Premissas!$B$30*(1+Premissas!$B$32)^(O$6-2026)</f>
        <v>0</v>
      </c>
      <c r="P67" s="60" t="n">
        <f aca="false">P63*Premissas!$B$30*(1+Premissas!$B$32)^(P$6-2026)</f>
        <v>0</v>
      </c>
      <c r="Q67" s="60" t="n">
        <f aca="false">Q63*Premissas!$B$30*(1+Premissas!$B$32)^(Q$6-2026)</f>
        <v>66170.7585</v>
      </c>
      <c r="R67" s="60" t="n">
        <f aca="false">R63*Premissas!$B$30*(1+Premissas!$B$32)^(R$6-2026)</f>
        <v>74634.945</v>
      </c>
      <c r="S67" s="60" t="n">
        <f aca="false">S63*Premissas!$B$30*(1+Premissas!$B$32)^(S$6-2026)</f>
        <v>82473.699</v>
      </c>
      <c r="T67" s="60" t="n">
        <f aca="false">T63*Premissas!$B$30*(1+Premissas!$B$32)^(T$6-2026)</f>
        <v>89728.716</v>
      </c>
      <c r="U67" s="60" t="n">
        <f aca="false">U63*Premissas!$B$30*(1+Premissas!$B$32)^(U$6-2026)</f>
        <v>96441.6915</v>
      </c>
      <c r="V67" s="60" t="n">
        <f aca="false">V63*Premissas!$B$30*(1+Premissas!$B$32)^(V$6-2026)</f>
        <v>102612.6255</v>
      </c>
      <c r="W67" s="60" t="n">
        <f aca="false">W63*Premissas!$B$30*(1+Premissas!$B$32)^(W$6-2026)</f>
        <v>108366.6045</v>
      </c>
      <c r="X67" s="60" t="n">
        <f aca="false">X63*Premissas!$B$30*(1+Premissas!$B$32)^(X$6-2026)</f>
        <v>113661.933</v>
      </c>
      <c r="Y67" s="60" t="n">
        <f aca="false">Y63*Premissas!$B$30*(1+Premissas!$B$32)^(Y$6-2026)</f>
        <v>118540.3065</v>
      </c>
      <c r="Z67" s="60" t="n">
        <f aca="false">Z63*Premissas!$B$30*(1+Premissas!$B$32)^(Z$6-2026)</f>
        <v>160474.9301925</v>
      </c>
      <c r="AA67" s="60" t="n">
        <f aca="false">AA63*Premissas!$B$30*(1+Premissas!$B$32)^(AA$6-2026)</f>
        <v>173982.1874175</v>
      </c>
      <c r="AB67" s="60" t="n">
        <f aca="false">AB63*Premissas!$B$30*(1+Premissas!$B$32)^(AB$6-2026)</f>
        <v>186530.8650975</v>
      </c>
      <c r="AC67" s="60" t="n">
        <f aca="false">AC63*Premissas!$B$30*(1+Premissas!$B$32)^(AC$6-2026)</f>
        <v>198164.53503</v>
      </c>
      <c r="AD67" s="60" t="n">
        <f aca="false">AD63*Premissas!$B$30*(1+Premissas!$B$32)^(AD$6-2026)</f>
        <v>209013.9126075</v>
      </c>
      <c r="AE67" s="60" t="n">
        <f aca="false">AE63*Premissas!$B$30*(1+Premissas!$B$32)^(AE$6-2026)</f>
        <v>219078.99783</v>
      </c>
      <c r="AF67" s="60" t="n">
        <f aca="false">AF63*Premissas!$B$30*(1+Premissas!$B$32)^(AF$6-2026)</f>
        <v>228403.362495</v>
      </c>
      <c r="AG67" s="60" t="n">
        <f aca="false">AG63*Premissas!$B$30*(1+Premissas!$B$32)^(AG$6-2026)</f>
        <v>237117.721995</v>
      </c>
      <c r="AH67" s="60" t="n">
        <f aca="false">AH63*Premissas!$B$30*(1+Premissas!$B$32)^(AH$6-2026)</f>
        <v>245178.5045325</v>
      </c>
      <c r="AI67" s="60" t="n">
        <f aca="false">AI63*Premissas!$B$30*(1+Premissas!$B$32)^(AI$6-2026)</f>
        <v>252672.8537025</v>
      </c>
      <c r="AJ67" s="60" t="n">
        <f aca="false">AJ63*Premissas!$B$30*(1+Premissas!$B$32)^(AJ$6-2026)</f>
        <v>259644.3413025</v>
      </c>
      <c r="AK67" s="60" t="n">
        <f aca="false">AK63*Premissas!$B$30*(1+Premissas!$B$32)^(AK$6-2026)</f>
        <v>266136.53913</v>
      </c>
      <c r="AL67" s="60" t="n">
        <f aca="false">AL63*Premissas!$B$30*(1+Premissas!$B$32)^(AL$6-2026)</f>
        <v>349325.5577889</v>
      </c>
      <c r="AM67" s="60" t="n">
        <f aca="false">AM63*Premissas!$B$30*(1+Premissas!$B$32)^(AM$6-2026)</f>
        <v>371682.029227163</v>
      </c>
      <c r="AN67" s="60" t="n">
        <f aca="false">AN63*Premissas!$B$30*(1+Premissas!$B$32)^(AN$6-2026)</f>
        <v>392535.927228637</v>
      </c>
      <c r="AO67" s="60" t="n">
        <f aca="false">AO63*Premissas!$B$30*(1+Premissas!$B$32)^(AO$6-2026)</f>
        <v>411978.3168501</v>
      </c>
      <c r="AP67" s="60" t="n">
        <f aca="false">AP63*Premissas!$B$30*(1+Premissas!$B$32)^(AP$6-2026)</f>
        <v>430145.795676712</v>
      </c>
      <c r="AQ67" s="60" t="n">
        <f aca="false">AQ63*Premissas!$B$30*(1+Premissas!$B$32)^(AQ$6-2026)</f>
        <v>447129.42876525</v>
      </c>
      <c r="AR67" s="60" t="n">
        <f aca="false">AR63*Premissas!$B$30*(1+Premissas!$B$32)^(AR$6-2026)</f>
        <v>462974.7486441</v>
      </c>
      <c r="AS67" s="60" t="n">
        <f aca="false">AS63*Premissas!$B$30*(1+Premissas!$B$32)^(AS$6-2026)</f>
        <v>477772.820370037</v>
      </c>
      <c r="AT67" s="60" t="n">
        <f aca="false">AT63*Premissas!$B$30*(1+Premissas!$B$32)^(AT$6-2026)</f>
        <v>491569.17647145</v>
      </c>
      <c r="AU67" s="60" t="n">
        <f aca="false">AU63*Premissas!$B$30*(1+Premissas!$B$32)^(AU$6-2026)</f>
        <v>504454.882005112</v>
      </c>
      <c r="AV67" s="60" t="n">
        <f aca="false">AV63*Premissas!$B$30*(1+Premissas!$B$32)^(AV$6-2026)</f>
        <v>516475.469499412</v>
      </c>
      <c r="AW67" s="60" t="n">
        <f aca="false">AW63*Premissas!$B$30*(1+Premissas!$B$32)^(AW$6-2026)</f>
        <v>527722.004011125</v>
      </c>
      <c r="AX67" s="60" t="n">
        <f aca="false">AX63*Premissas!$B$30*(1+Premissas!$B$32)^(AX$6-2026)</f>
        <v>684364.601808296</v>
      </c>
      <c r="AY67" s="60" t="n">
        <f aca="false">AY63*Premissas!$B$30*(1+Premissas!$B$32)^(AY$6-2026)</f>
        <v>724666.125671998</v>
      </c>
      <c r="AZ67" s="60" t="n">
        <f aca="false">AZ63*Premissas!$B$30*(1+Premissas!$B$32)^(AZ$6-2026)</f>
        <v>762445.830450958</v>
      </c>
      <c r="BA67" s="60" t="n">
        <f aca="false">BA63*Premissas!$B$30*(1+Premissas!$B$32)^(BA$6-2026)</f>
        <v>797846.460621672</v>
      </c>
      <c r="BB67" s="60" t="n">
        <f aca="false">BB63*Premissas!$B$30*(1+Premissas!$B$32)^(BB$6-2026)</f>
        <v>831058.342152798</v>
      </c>
      <c r="BC67" s="60" t="n">
        <f aca="false">BC63*Premissas!$B$30*(1+Premissas!$B$32)^(BC$6-2026)</f>
        <v>862224.219520832</v>
      </c>
      <c r="BD67" s="60" t="n">
        <f aca="false">BD63*Premissas!$B$30*(1+Premissas!$B$32)^(BD$6-2026)</f>
        <v>891391.674217939</v>
      </c>
      <c r="BE67" s="60" t="n">
        <f aca="false">BE63*Premissas!$B$30*(1+Premissas!$B$32)^(BE$6-2026)</f>
        <v>918751.032212778</v>
      </c>
      <c r="BF67" s="60" t="n">
        <f aca="false">BF63*Premissas!$B$30*(1+Premissas!$B$32)^(BF$6-2026)</f>
        <v>944445.037981844</v>
      </c>
      <c r="BG67" s="60" t="n">
        <f aca="false">BG63*Premissas!$B$30*(1+Premissas!$B$32)^(BG$6-2026)</f>
        <v>968473.691525138</v>
      </c>
      <c r="BH67" s="60" t="n">
        <f aca="false">BH63*Premissas!$B$30*(1+Premissas!$B$32)^(BH$6-2026)</f>
        <v>991027.318811318</v>
      </c>
      <c r="BI67" s="60" t="n">
        <f aca="false">BI63*Premissas!$B$30*(1+Premissas!$B$32)^(BI$6-2026)</f>
        <v>1012153.50133255</v>
      </c>
      <c r="BJ67" s="61" t="n">
        <f aca="false">SUM(B67:BI67)</f>
        <v>19261644.0236786</v>
      </c>
    </row>
    <row r="68" customFormat="false" ht="15" hidden="false" customHeight="false" outlineLevel="0" collapsed="false">
      <c r="A68" s="27" t="s">
        <v>874</v>
      </c>
      <c r="B68" s="60" t="n">
        <f aca="false">B64*Premissas!$B$31*(1+Premissas!$B$32)^(B$6-2026)</f>
        <v>0</v>
      </c>
      <c r="C68" s="60" t="n">
        <f aca="false">C64*Premissas!$B$31*(1+Premissas!$B$32)^(C$6-2026)</f>
        <v>0</v>
      </c>
      <c r="D68" s="60" t="n">
        <f aca="false">D64*Premissas!$B$31*(1+Premissas!$B$32)^(D$6-2026)</f>
        <v>0</v>
      </c>
      <c r="E68" s="60" t="n">
        <f aca="false">E64*Premissas!$B$31*(1+Premissas!$B$32)^(E$6-2026)</f>
        <v>0</v>
      </c>
      <c r="F68" s="60" t="n">
        <f aca="false">F64*Premissas!$B$31*(1+Premissas!$B$32)^(F$6-2026)</f>
        <v>0</v>
      </c>
      <c r="G68" s="60" t="n">
        <f aca="false">G64*Premissas!$B$31*(1+Premissas!$B$32)^(G$6-2026)</f>
        <v>0</v>
      </c>
      <c r="H68" s="60" t="n">
        <f aca="false">H64*Premissas!$B$31*(1+Premissas!$B$32)^(H$6-2026)</f>
        <v>0</v>
      </c>
      <c r="I68" s="60" t="n">
        <f aca="false">I64*Premissas!$B$31*(1+Premissas!$B$32)^(I$6-2026)</f>
        <v>0</v>
      </c>
      <c r="J68" s="60" t="n">
        <f aca="false">J64*Premissas!$B$31*(1+Premissas!$B$32)^(J$6-2026)</f>
        <v>0</v>
      </c>
      <c r="K68" s="60" t="n">
        <f aca="false">K64*Premissas!$B$31*(1+Premissas!$B$32)^(K$6-2026)</f>
        <v>0</v>
      </c>
      <c r="L68" s="60" t="n">
        <f aca="false">L64*Premissas!$B$31*(1+Premissas!$B$32)^(L$6-2026)</f>
        <v>0</v>
      </c>
      <c r="M68" s="60" t="n">
        <f aca="false">M64*Premissas!$B$31*(1+Premissas!$B$32)^(M$6-2026)</f>
        <v>0</v>
      </c>
      <c r="N68" s="60" t="n">
        <f aca="false">N64*Premissas!$B$31*(1+Premissas!$B$32)^(N$6-2026)</f>
        <v>0</v>
      </c>
      <c r="O68" s="60" t="n">
        <f aca="false">O64*Premissas!$B$31*(1+Premissas!$B$32)^(O$6-2026)</f>
        <v>0</v>
      </c>
      <c r="P68" s="60" t="n">
        <f aca="false">P64*Premissas!$B$31*(1+Premissas!$B$32)^(P$6-2026)</f>
        <v>0</v>
      </c>
      <c r="Q68" s="60" t="n">
        <f aca="false">Q64*Premissas!$B$31*(1+Premissas!$B$32)^(Q$6-2026)</f>
        <v>0</v>
      </c>
      <c r="R68" s="60" t="n">
        <f aca="false">R64*Premissas!$B$31*(1+Premissas!$B$32)^(R$6-2026)</f>
        <v>0</v>
      </c>
      <c r="S68" s="60" t="n">
        <f aca="false">S64*Premissas!$B$31*(1+Premissas!$B$32)^(S$6-2026)</f>
        <v>0</v>
      </c>
      <c r="T68" s="60" t="n">
        <f aca="false">T64*Premissas!$B$31*(1+Premissas!$B$32)^(T$6-2026)</f>
        <v>0</v>
      </c>
      <c r="U68" s="60" t="n">
        <f aca="false">U64*Premissas!$B$31*(1+Premissas!$B$32)^(U$6-2026)</f>
        <v>0</v>
      </c>
      <c r="V68" s="60" t="n">
        <f aca="false">V64*Premissas!$B$31*(1+Premissas!$B$32)^(V$6-2026)</f>
        <v>0</v>
      </c>
      <c r="W68" s="60" t="n">
        <f aca="false">W64*Premissas!$B$31*(1+Premissas!$B$32)^(W$6-2026)</f>
        <v>59198.3095</v>
      </c>
      <c r="X68" s="60" t="n">
        <f aca="false">X64*Premissas!$B$31*(1+Premissas!$B$32)^(X$6-2026)</f>
        <v>62037.1565</v>
      </c>
      <c r="Y68" s="60" t="n">
        <f aca="false">Y64*Premissas!$B$31*(1+Premissas!$B$32)^(Y$6-2026)</f>
        <v>64709.0125</v>
      </c>
      <c r="Z68" s="60" t="n">
        <f aca="false">Z64*Premissas!$B$31*(1+Premissas!$B$32)^(Z$6-2026)</f>
        <v>107146.43533</v>
      </c>
      <c r="AA68" s="60" t="n">
        <f aca="false">AA64*Premissas!$B$31*(1+Premissas!$B$32)^(AA$6-2026)</f>
        <v>116133.4734725</v>
      </c>
      <c r="AB68" s="60" t="n">
        <f aca="false">AB64*Premissas!$B$31*(1+Premissas!$B$32)^(AB$6-2026)</f>
        <v>124509.7420325</v>
      </c>
      <c r="AC68" s="60" t="n">
        <f aca="false">AC64*Premissas!$B$31*(1+Premissas!$B$32)^(AC$6-2026)</f>
        <v>132275.24101</v>
      </c>
      <c r="AD68" s="60" t="n">
        <f aca="false">AD64*Premissas!$B$31*(1+Premissas!$B$32)^(AD$6-2026)</f>
        <v>139517.2232025</v>
      </c>
      <c r="AE68" s="60" t="n">
        <f aca="false">AE64*Premissas!$B$31*(1+Premissas!$B$32)^(AE$6-2026)</f>
        <v>146235.68861</v>
      </c>
      <c r="AF68" s="60" t="n">
        <f aca="false">AF64*Premissas!$B$31*(1+Premissas!$B$32)^(AF$6-2026)</f>
        <v>152430.6372325</v>
      </c>
      <c r="AG68" s="60" t="n">
        <f aca="false">AG64*Premissas!$B$31*(1+Premissas!$B$32)^(AG$6-2026)</f>
        <v>158276.574665</v>
      </c>
      <c r="AH68" s="60" t="n">
        <f aca="false">AH64*Premissas!$B$31*(1+Premissas!$B$32)^(AH$6-2026)</f>
        <v>163686.24811</v>
      </c>
      <c r="AI68" s="60" t="n">
        <f aca="false">AI64*Premissas!$B$31*(1+Premissas!$B$32)^(AI$6-2026)</f>
        <v>168659.6575675</v>
      </c>
      <c r="AJ68" s="60" t="n">
        <f aca="false">AJ64*Premissas!$B$31*(1+Premissas!$B$32)^(AJ$6-2026)</f>
        <v>173284.055835</v>
      </c>
      <c r="AK68" s="60" t="n">
        <f aca="false">AK64*Premissas!$B$31*(1+Premissas!$B$32)^(AK$6-2026)</f>
        <v>177646.69571</v>
      </c>
      <c r="AL68" s="60" t="n">
        <f aca="false">AL64*Premissas!$B$31*(1+Premissas!$B$32)^(AL$6-2026)</f>
        <v>269069.740666512</v>
      </c>
      <c r="AM68" s="60" t="n">
        <f aca="false">AM64*Premissas!$B$31*(1+Premissas!$B$32)^(AM$6-2026)</f>
        <v>286302.60443675</v>
      </c>
      <c r="AN68" s="60" t="n">
        <f aca="false">AN64*Premissas!$B$31*(1+Premissas!$B$32)^(AN$6-2026)</f>
        <v>302350.13895295</v>
      </c>
      <c r="AO68" s="60" t="n">
        <f aca="false">AO64*Premissas!$B$31*(1+Premissas!$B$32)^(AO$6-2026)</f>
        <v>317303.5233885</v>
      </c>
      <c r="AP68" s="60" t="n">
        <f aca="false">AP64*Premissas!$B$31*(1+Premissas!$B$32)^(AP$6-2026)</f>
        <v>331345.116090175</v>
      </c>
      <c r="AQ68" s="60" t="n">
        <f aca="false">AQ64*Premissas!$B$31*(1+Premissas!$B$32)^(AQ$6-2026)</f>
        <v>344383.737884588</v>
      </c>
      <c r="AR68" s="60" t="n">
        <f aca="false">AR64*Premissas!$B$31*(1+Premissas!$B$32)^(AR$6-2026)</f>
        <v>356601.747118512</v>
      </c>
      <c r="AS68" s="60" t="n">
        <f aca="false">AS64*Premissas!$B$31*(1+Premissas!$B$32)^(AS$6-2026)</f>
        <v>367999.14379195</v>
      </c>
      <c r="AT68" s="60" t="n">
        <f aca="false">AT64*Premissas!$B$31*(1+Premissas!$B$32)^(AT$6-2026)</f>
        <v>378575.9279049</v>
      </c>
      <c r="AU68" s="60" t="n">
        <f aca="false">AU64*Premissas!$B$31*(1+Premissas!$B$32)^(AU$6-2026)</f>
        <v>388514.457804137</v>
      </c>
      <c r="AV68" s="60" t="n">
        <f aca="false">AV64*Premissas!$B$31*(1+Premissas!$B$32)^(AV$6-2026)</f>
        <v>397814.733489662</v>
      </c>
      <c r="AW68" s="60" t="n">
        <f aca="false">AW64*Premissas!$B$31*(1+Premissas!$B$32)^(AW$6-2026)</f>
        <v>406476.754961475</v>
      </c>
      <c r="AX68" s="60" t="n">
        <f aca="false">AX64*Premissas!$B$31*(1+Premissas!$B$32)^(AX$6-2026)</f>
        <v>587319.703874775</v>
      </c>
      <c r="AY68" s="60" t="n">
        <f aca="false">AY64*Premissas!$B$31*(1+Premissas!$B$32)^(AY$6-2026)</f>
        <v>621907.155611722</v>
      </c>
      <c r="AZ68" s="60" t="n">
        <f aca="false">AZ64*Premissas!$B$31*(1+Premissas!$B$32)^(AZ$6-2026)</f>
        <v>654303.115916301</v>
      </c>
      <c r="BA68" s="60" t="n">
        <f aca="false">BA64*Premissas!$B$31*(1+Premissas!$B$32)^(BA$6-2026)</f>
        <v>684698.149260891</v>
      </c>
      <c r="BB68" s="60" t="n">
        <f aca="false">BB64*Premissas!$B$31*(1+Premissas!$B$32)^(BB$6-2026)</f>
        <v>713282.820117872</v>
      </c>
      <c r="BC68" s="60" t="n">
        <f aca="false">BC64*Premissas!$B$31*(1+Premissas!$B$32)^(BC$6-2026)</f>
        <v>739961.846251054</v>
      </c>
      <c r="BD68" s="60" t="n">
        <f aca="false">BD64*Premissas!$B$31*(1+Premissas!$B$32)^(BD$6-2026)</f>
        <v>765021.074369008</v>
      </c>
      <c r="BE68" s="60" t="n">
        <f aca="false">BE64*Premissas!$B$31*(1+Premissas!$B$32)^(BE$6-2026)</f>
        <v>788460.504471733</v>
      </c>
      <c r="BF68" s="60" t="n">
        <f aca="false">BF64*Premissas!$B$31*(1+Premissas!$B$32)^(BF$6-2026)</f>
        <v>810565.983267798</v>
      </c>
      <c r="BG68" s="60" t="n">
        <f aca="false">BG64*Premissas!$B$31*(1+Premissas!$B$32)^(BG$6-2026)</f>
        <v>831146.946284825</v>
      </c>
      <c r="BH68" s="60" t="n">
        <f aca="false">BH64*Premissas!$B$31*(1+Premissas!$B$32)^(BH$6-2026)</f>
        <v>850489.240231382</v>
      </c>
      <c r="BI68" s="60" t="n">
        <f aca="false">BI64*Premissas!$B$31*(1+Premissas!$B$32)^(BI$6-2026)</f>
        <v>868688.14734366</v>
      </c>
      <c r="BJ68" s="61" t="n">
        <f aca="false">SUM(B68:BI68)</f>
        <v>15008328.4647686</v>
      </c>
    </row>
    <row r="69" customFormat="false" ht="15" hidden="false" customHeight="false" outlineLevel="0" collapsed="false">
      <c r="A69" s="62" t="s">
        <v>875</v>
      </c>
      <c r="B69" s="63" t="n">
        <f aca="false">SUM(B66:B68)</f>
        <v>0</v>
      </c>
      <c r="C69" s="63" t="n">
        <f aca="false">SUM(C66:C68)</f>
        <v>0</v>
      </c>
      <c r="D69" s="63" t="n">
        <f aca="false">SUM(D66:D68)</f>
        <v>0</v>
      </c>
      <c r="E69" s="63" t="n">
        <f aca="false">SUM(E66:E68)</f>
        <v>0</v>
      </c>
      <c r="F69" s="63" t="n">
        <f aca="false">SUM(F66:F68)</f>
        <v>0</v>
      </c>
      <c r="G69" s="63" t="n">
        <f aca="false">SUM(G66:G68)</f>
        <v>0</v>
      </c>
      <c r="H69" s="63" t="n">
        <f aca="false">SUM(H66:H68)</f>
        <v>0</v>
      </c>
      <c r="I69" s="63" t="n">
        <f aca="false">SUM(I66:I68)</f>
        <v>0</v>
      </c>
      <c r="J69" s="63" t="n">
        <f aca="false">SUM(J66:J68)</f>
        <v>0</v>
      </c>
      <c r="K69" s="63" t="n">
        <f aca="false">SUM(K66:K68)</f>
        <v>3004.9</v>
      </c>
      <c r="L69" s="63" t="n">
        <f aca="false">SUM(L66:L68)</f>
        <v>11522.1</v>
      </c>
      <c r="M69" s="63" t="n">
        <f aca="false">SUM(M66:M68)</f>
        <v>24914.8</v>
      </c>
      <c r="N69" s="63" t="n">
        <f aca="false">SUM(N66:N68)</f>
        <v>54983.302</v>
      </c>
      <c r="O69" s="63" t="n">
        <f aca="false">SUM(O66:O68)</f>
        <v>88983.9445</v>
      </c>
      <c r="P69" s="63" t="n">
        <f aca="false">SUM(P66:P68)</f>
        <v>129223.237</v>
      </c>
      <c r="Q69" s="63" t="n">
        <f aca="false">SUM(Q66:Q68)</f>
        <v>183166.2415</v>
      </c>
      <c r="R69" s="63" t="n">
        <f aca="false">SUM(R66:R68)</f>
        <v>206623.9835</v>
      </c>
      <c r="S69" s="63" t="n">
        <f aca="false">SUM(S66:S68)</f>
        <v>228312.5405</v>
      </c>
      <c r="T69" s="63" t="n">
        <f aca="false">SUM(T66:T68)</f>
        <v>248377.5855</v>
      </c>
      <c r="U69" s="63" t="n">
        <f aca="false">SUM(U66:U68)</f>
        <v>266943.996</v>
      </c>
      <c r="V69" s="63" t="n">
        <f aca="false">SUM(V66:V68)</f>
        <v>284074.1585</v>
      </c>
      <c r="W69" s="63" t="n">
        <f aca="false">SUM(W66:W68)</f>
        <v>344409.846</v>
      </c>
      <c r="X69" s="63" t="n">
        <f aca="false">SUM(X66:X68)</f>
        <v>361215.745</v>
      </c>
      <c r="Y69" s="63" t="n">
        <f aca="false">SUM(Y66:Y68)</f>
        <v>376772.242</v>
      </c>
      <c r="Z69" s="63" t="n">
        <f aca="false">SUM(Z66:Z68)</f>
        <v>494409.1862325</v>
      </c>
      <c r="AA69" s="63" t="n">
        <f aca="false">SUM(AA66:AA68)</f>
        <v>535961.8295075</v>
      </c>
      <c r="AB69" s="63" t="n">
        <f aca="false">SUM(AB66:AB68)</f>
        <v>574597.78321</v>
      </c>
      <c r="AC69" s="63" t="n">
        <f aca="false">SUM(AC66:AC68)</f>
        <v>610469.275625</v>
      </c>
      <c r="AD69" s="63" t="n">
        <f aca="false">SUM(AD66:AD68)</f>
        <v>643859.468835</v>
      </c>
      <c r="AE69" s="63" t="n">
        <f aca="false">SUM(AE66:AE68)</f>
        <v>674855.28803</v>
      </c>
      <c r="AF69" s="63" t="n">
        <f aca="false">SUM(AF66:AF68)</f>
        <v>703608.961495</v>
      </c>
      <c r="AG69" s="63" t="n">
        <f aca="false">SUM(AG66:AG68)</f>
        <v>730425.7102175</v>
      </c>
      <c r="AH69" s="63" t="n">
        <f aca="false">SUM(AH66:AH68)</f>
        <v>755326.828685</v>
      </c>
      <c r="AI69" s="63" t="n">
        <f aca="false">SUM(AI66:AI68)</f>
        <v>778421.19179</v>
      </c>
      <c r="AJ69" s="63" t="n">
        <f aca="false">SUM(AJ66:AJ68)</f>
        <v>799883.0867225</v>
      </c>
      <c r="AK69" s="63" t="n">
        <f aca="false">SUM(AK66:AK68)</f>
        <v>819865.069375</v>
      </c>
      <c r="AL69" s="63" t="n">
        <f aca="false">SUM(AL66:AL68)</f>
        <v>1047258.65164085</v>
      </c>
      <c r="AM69" s="63" t="n">
        <f aca="false">SUM(AM66:AM68)</f>
        <v>1114257.99835556</v>
      </c>
      <c r="AN69" s="63" t="n">
        <f aca="false">SUM(AN66:AN68)</f>
        <v>1176752.70590845</v>
      </c>
      <c r="AO69" s="63" t="n">
        <f aca="false">SUM(AO66:AO68)</f>
        <v>1235083.98297089</v>
      </c>
      <c r="AP69" s="63" t="n">
        <f aca="false">SUM(AP66:AP68)</f>
        <v>1289593.4946807</v>
      </c>
      <c r="AQ69" s="63" t="n">
        <f aca="false">SUM(AQ66:AQ68)</f>
        <v>1340440.09136249</v>
      </c>
      <c r="AR69" s="63" t="n">
        <f aca="false">SUM(AR66:AR68)</f>
        <v>1387942.50071496</v>
      </c>
      <c r="AS69" s="63" t="n">
        <f aca="false">SUM(AS66:AS68)</f>
        <v>1432282.62461845</v>
      </c>
      <c r="AT69" s="63" t="n">
        <f aca="false">SUM(AT66:AT68)</f>
        <v>1473619.54163077</v>
      </c>
      <c r="AU69" s="63" t="n">
        <f aca="false">SUM(AU66:AU68)</f>
        <v>1512272.09356726</v>
      </c>
      <c r="AV69" s="63" t="n">
        <f aca="false">SUM(AV66:AV68)</f>
        <v>1548353.94057396</v>
      </c>
      <c r="AW69" s="63" t="n">
        <f aca="false">SUM(AW66:AW68)</f>
        <v>1582046.9845312</v>
      </c>
      <c r="AX69" s="63" t="n">
        <f aca="false">SUM(AX66:AX68)</f>
        <v>2003101.15990135</v>
      </c>
      <c r="AY69" s="63" t="n">
        <f aca="false">SUM(AY66:AY68)</f>
        <v>2121062.11857867</v>
      </c>
      <c r="AZ69" s="63" t="n">
        <f aca="false">SUM(AZ66:AZ68)</f>
        <v>2231628.15016166</v>
      </c>
      <c r="BA69" s="63" t="n">
        <f aca="false">SUM(BA66:BA68)</f>
        <v>2335274.9503201</v>
      </c>
      <c r="BB69" s="63" t="n">
        <f aca="false">SUM(BB66:BB68)</f>
        <v>2432549.5273361</v>
      </c>
      <c r="BC69" s="63" t="n">
        <f aca="false">SUM(BC66:BC68)</f>
        <v>2523665.46129103</v>
      </c>
      <c r="BD69" s="63" t="n">
        <f aca="false">SUM(BD66:BD68)</f>
        <v>2609098.56710655</v>
      </c>
      <c r="BE69" s="63" t="n">
        <f aca="false">SUM(BE66:BE68)</f>
        <v>2689157.82635207</v>
      </c>
      <c r="BF69" s="63" t="n">
        <f aca="false">SUM(BF66:BF68)</f>
        <v>2764343.02357311</v>
      </c>
      <c r="BG69" s="63" t="n">
        <f aca="false">SUM(BG66:BG68)</f>
        <v>2834677.17437868</v>
      </c>
      <c r="BH69" s="63" t="n">
        <f aca="false">SUM(BH66:BH68)</f>
        <v>2900683.91368629</v>
      </c>
      <c r="BI69" s="63" t="n">
        <f aca="false">SUM(BI66:BI68)</f>
        <v>2962601.02970492</v>
      </c>
      <c r="BJ69" s="61" t="n">
        <f aca="false">SUM(B69:BI69)</f>
        <v>57481959.8146711</v>
      </c>
    </row>
    <row r="70" customFormat="false" ht="15" hidden="false" customHeight="false" outlineLevel="0" collapsed="false">
      <c r="A70" s="27" t="s">
        <v>876</v>
      </c>
      <c r="B70" s="60" t="n">
        <f aca="false">B59*INDEX(Premissas!$C$99:$G$99,B$7)*Premissas!$B$98*Premissas!$B$97</f>
        <v>0</v>
      </c>
      <c r="C70" s="60" t="n">
        <f aca="false">C59*INDEX(Premissas!$C$99:$G$99,C$7)*Premissas!$B$98*Premissas!$B$97</f>
        <v>0</v>
      </c>
      <c r="D70" s="60" t="n">
        <f aca="false">D59*INDEX(Premissas!$C$99:$G$99,D$7)*Premissas!$B$98*Premissas!$B$97</f>
        <v>0</v>
      </c>
      <c r="E70" s="60" t="n">
        <f aca="false">E59*INDEX(Premissas!$C$99:$G$99,E$7)*Premissas!$B$98*Premissas!$B$97</f>
        <v>0</v>
      </c>
      <c r="F70" s="60" t="n">
        <f aca="false">F59*INDEX(Premissas!$C$99:$G$99,F$7)*Premissas!$B$98*Premissas!$B$97</f>
        <v>0</v>
      </c>
      <c r="G70" s="60" t="n">
        <f aca="false">G59*INDEX(Premissas!$C$99:$G$99,G$7)*Premissas!$B$98*Premissas!$B$97</f>
        <v>0</v>
      </c>
      <c r="H70" s="60" t="n">
        <f aca="false">H59*INDEX(Premissas!$C$99:$G$99,H$7)*Premissas!$B$98*Premissas!$B$97</f>
        <v>0</v>
      </c>
      <c r="I70" s="60" t="n">
        <f aca="false">I59*INDEX(Premissas!$C$99:$G$99,I$7)*Premissas!$B$98*Premissas!$B$97</f>
        <v>0</v>
      </c>
      <c r="J70" s="60" t="n">
        <f aca="false">J59*INDEX(Premissas!$C$99:$G$99,J$7)*Premissas!$B$98*Premissas!$B$97</f>
        <v>0</v>
      </c>
      <c r="K70" s="60" t="n">
        <f aca="false">K59*INDEX(Premissas!$C$99:$G$99,K$7)*Premissas!$B$98*Premissas!$B$97</f>
        <v>0</v>
      </c>
      <c r="L70" s="60" t="n">
        <f aca="false">L59*INDEX(Premissas!$C$99:$G$99,L$7)*Premissas!$B$98*Premissas!$B$97</f>
        <v>0</v>
      </c>
      <c r="M70" s="60" t="n">
        <f aca="false">M59*INDEX(Premissas!$C$99:$G$99,M$7)*Premissas!$B$98*Premissas!$B$97</f>
        <v>0</v>
      </c>
      <c r="N70" s="60" t="n">
        <f aca="false">N59*INDEX(Premissas!$C$99:$G$99,N$7)*Premissas!$B$98*Premissas!$B$97</f>
        <v>3856.46297568</v>
      </c>
      <c r="O70" s="60" t="n">
        <f aca="false">O59*INDEX(Premissas!$C$99:$G$99,O$7)*Premissas!$B$98*Premissas!$B$97</f>
        <v>4991.83195990886</v>
      </c>
      <c r="P70" s="60" t="n">
        <f aca="false">P59*INDEX(Premissas!$C$99:$G$99,P$7)*Premissas!$B$98*Premissas!$B$97</f>
        <v>6041.82119652372</v>
      </c>
      <c r="Q70" s="60" t="n">
        <f aca="false">Q59*INDEX(Premissas!$C$99:$G$99,Q$7)*Premissas!$B$98*Premissas!$B$97</f>
        <v>7012.85124254513</v>
      </c>
      <c r="R70" s="60" t="n">
        <f aca="false">R59*INDEX(Premissas!$C$99:$G$99,R$7)*Premissas!$B$98*Premissas!$B$97</f>
        <v>7910.85982910574</v>
      </c>
      <c r="S70" s="60" t="n">
        <f aca="false">S59*INDEX(Premissas!$C$99:$G$99,S$7)*Premissas!$B$98*Premissas!$B$97</f>
        <v>8741.33816995699</v>
      </c>
      <c r="T70" s="60" t="n">
        <f aca="false">T59*INDEX(Premissas!$C$99:$G$99,T$7)*Premissas!$B$98*Premissas!$B$97</f>
        <v>9509.36453957622</v>
      </c>
      <c r="U70" s="60" t="n">
        <f aca="false">U59*INDEX(Premissas!$C$99:$G$99,U$7)*Premissas!$B$98*Premissas!$B$97</f>
        <v>10219.6353262001</v>
      </c>
      <c r="V70" s="60" t="n">
        <f aca="false">V59*INDEX(Premissas!$C$99:$G$99,V$7)*Premissas!$B$98*Premissas!$B$97</f>
        <v>10876.4937496698</v>
      </c>
      <c r="W70" s="60" t="n">
        <f aca="false">W59*INDEX(Premissas!$C$99:$G$99,W$7)*Premissas!$B$98*Premissas!$B$97</f>
        <v>11483.9564196947</v>
      </c>
      <c r="X70" s="60" t="n">
        <f aca="false">X59*INDEX(Premissas!$C$99:$G$99,X$7)*Premissas!$B$98*Premissas!$B$97</f>
        <v>12045.7378969336</v>
      </c>
      <c r="Y70" s="60" t="n">
        <f aca="false">Y59*INDEX(Premissas!$C$99:$G$99,Y$7)*Premissas!$B$98*Premissas!$B$97</f>
        <v>12565.2734070842</v>
      </c>
      <c r="Z70" s="60" t="n">
        <f aca="false">Z59*INDEX(Premissas!$C$99:$G$99,Z$7)*Premissas!$B$98*Premissas!$B$97</f>
        <v>23025.2031008071</v>
      </c>
      <c r="AA70" s="60" t="n">
        <f aca="false">AA59*INDEX(Premissas!$C$99:$G$99,AA$7)*Premissas!$B$98*Premissas!$B$97</f>
        <v>24961.0350440172</v>
      </c>
      <c r="AB70" s="60" t="n">
        <f aca="false">AB59*INDEX(Premissas!$C$99:$G$99,AB$7)*Premissas!$B$98*Premissas!$B$97</f>
        <v>26760.0268988258</v>
      </c>
      <c r="AC70" s="60" t="n">
        <f aca="false">AC59*INDEX(Premissas!$C$99:$G$99,AC$7)*Premissas!$B$98*Premissas!$B$97</f>
        <v>28431.8516174016</v>
      </c>
      <c r="AD70" s="60" t="n">
        <f aca="false">AD59*INDEX(Premissas!$C$99:$G$99,AD$7)*Premissas!$B$98*Premissas!$B$97</f>
        <v>29985.4983902707</v>
      </c>
      <c r="AE70" s="60" t="n">
        <f aca="false">AE59*INDEX(Premissas!$C$99:$G$99,AE$7)*Premissas!$B$98*Premissas!$B$97</f>
        <v>31429.3209800592</v>
      </c>
      <c r="AF70" s="60" t="n">
        <f aca="false">AF59*INDEX(Premissas!$C$99:$G$99,AF$7)*Premissas!$B$98*Premissas!$B$97</f>
        <v>32771.0826386208</v>
      </c>
      <c r="AG70" s="60" t="n">
        <f aca="false">AG59*INDEX(Premissas!$C$99:$G$99,AG$7)*Premissas!$B$98*Premissas!$B$97</f>
        <v>34017.997849062</v>
      </c>
      <c r="AH70" s="60" t="n">
        <f aca="false">AH59*INDEX(Premissas!$C$99:$G$99,AH$7)*Premissas!$B$98*Premissas!$B$97</f>
        <v>35176.7711171075</v>
      </c>
      <c r="AI70" s="60" t="n">
        <f aca="false">AI59*INDEX(Premissas!$C$99:$G$99,AI$7)*Premissas!$B$98*Premissas!$B$97</f>
        <v>36253.6330203814</v>
      </c>
      <c r="AJ70" s="60" t="n">
        <f aca="false">AJ59*INDEX(Premissas!$C$99:$G$99,AJ$7)*Premissas!$B$98*Premissas!$B$97</f>
        <v>37254.3737094367</v>
      </c>
      <c r="AK70" s="60" t="n">
        <f aca="false">AK59*INDEX(Premissas!$C$99:$G$99,AK$7)*Premissas!$B$98*Premissas!$B$97</f>
        <v>38184.374040664</v>
      </c>
      <c r="AL70" s="60" t="n">
        <f aca="false">AL59*INDEX(Premissas!$C$99:$G$99,AL$7)*Premissas!$B$98*Premissas!$B$97</f>
        <v>65587.686208654</v>
      </c>
      <c r="AM70" s="60" t="n">
        <f aca="false">AM59*INDEX(Premissas!$C$99:$G$99,AM$7)*Premissas!$B$98*Premissas!$B$97</f>
        <v>69781.8495876997</v>
      </c>
      <c r="AN70" s="60" t="n">
        <f aca="false">AN59*INDEX(Premissas!$C$99:$G$99,AN$7)*Premissas!$B$98*Premissas!$B$97</f>
        <v>73697.3245670637</v>
      </c>
      <c r="AO70" s="60" t="n">
        <f aca="false">AO59*INDEX(Premissas!$C$99:$G$99,AO$7)*Premissas!$B$98*Premissas!$B$97</f>
        <v>77352.6290768069</v>
      </c>
      <c r="AP70" s="60" t="n">
        <f aca="false">AP59*INDEX(Premissas!$C$99:$G$99,AP$7)*Premissas!$B$98*Premissas!$B$97</f>
        <v>80765.0505912764</v>
      </c>
      <c r="AQ70" s="60" t="n">
        <f aca="false">AQ59*INDEX(Premissas!$C$99:$G$99,AQ$7)*Premissas!$B$98*Premissas!$B$97</f>
        <v>83950.7278888521</v>
      </c>
      <c r="AR70" s="60" t="n">
        <f aca="false">AR59*INDEX(Premissas!$C$99:$G$99,AR$7)*Premissas!$B$98*Premissas!$B$97</f>
        <v>86924.7273790253</v>
      </c>
      <c r="AS70" s="60" t="n">
        <f aca="false">AS59*INDEX(Premissas!$C$99:$G$99,AS$7)*Premissas!$B$98*Premissas!$B$97</f>
        <v>89701.1143577949</v>
      </c>
      <c r="AT70" s="60" t="n">
        <f aca="false">AT59*INDEX(Premissas!$C$99:$G$99,AT$7)*Premissas!$B$98*Premissas!$B$97</f>
        <v>92293.0195283745</v>
      </c>
      <c r="AU70" s="60" t="n">
        <f aca="false">AU59*INDEX(Premissas!$C$99:$G$99,AU$7)*Premissas!$B$98*Premissas!$B$97</f>
        <v>94712.7011018181</v>
      </c>
      <c r="AV70" s="60" t="n">
        <f aca="false">AV59*INDEX(Premissas!$C$99:$G$99,AV$7)*Premissas!$B$98*Premissas!$B$97</f>
        <v>96971.6027712619</v>
      </c>
      <c r="AW70" s="60" t="n">
        <f aca="false">AW59*INDEX(Premissas!$C$99:$G$99,AW$7)*Premissas!$B$98*Premissas!$B$97</f>
        <v>99080.4078339686</v>
      </c>
      <c r="AX70" s="60" t="n">
        <f aca="false">AX59*INDEX(Premissas!$C$99:$G$99,AX$7)*Premissas!$B$98*Premissas!$B$97</f>
        <v>132150.286005186</v>
      </c>
      <c r="AY70" s="60" t="n">
        <f aca="false">AY59*INDEX(Premissas!$C$99:$G$99,AY$7)*Premissas!$B$98*Premissas!$B$97</f>
        <v>139931.658886206</v>
      </c>
      <c r="AZ70" s="60" t="n">
        <f aca="false">AZ59*INDEX(Premissas!$C$99:$G$99,AZ$7)*Premissas!$B$98*Premissas!$B$97</f>
        <v>147227.007864488</v>
      </c>
      <c r="BA70" s="60" t="n">
        <f aca="false">BA59*INDEX(Premissas!$C$99:$G$99,BA$7)*Premissas!$B$98*Premissas!$B$97</f>
        <v>154066.689952559</v>
      </c>
      <c r="BB70" s="60" t="n">
        <f aca="false">BB59*INDEX(Premissas!$C$99:$G$99,BB$7)*Premissas!$B$98*Premissas!$B$97</f>
        <v>160479.166066471</v>
      </c>
      <c r="BC70" s="60" t="n">
        <f aca="false">BC59*INDEX(Premissas!$C$99:$G$99,BC$7)*Premissas!$B$98*Premissas!$B$97</f>
        <v>166491.119455825</v>
      </c>
      <c r="BD70" s="60" t="n">
        <f aca="false">BD59*INDEX(Premissas!$C$99:$G$99,BD$7)*Premissas!$B$98*Premissas!$B$97</f>
        <v>172127.566736676</v>
      </c>
      <c r="BE70" s="60" t="n">
        <f aca="false">BE59*INDEX(Premissas!$C$99:$G$99,BE$7)*Premissas!$B$98*Premissas!$B$97</f>
        <v>177411.961989316</v>
      </c>
      <c r="BF70" s="60" t="n">
        <f aca="false">BF59*INDEX(Premissas!$C$99:$G$99,BF$7)*Premissas!$B$98*Premissas!$B$97</f>
        <v>182366.294354139</v>
      </c>
      <c r="BG70" s="60" t="n">
        <f aca="false">BG59*INDEX(Premissas!$C$99:$G$99,BG$7)*Premissas!$B$98*Premissas!$B$97</f>
        <v>187011.179531655</v>
      </c>
      <c r="BH70" s="60" t="n">
        <f aca="false">BH59*INDEX(Premissas!$C$99:$G$99,BH$7)*Premissas!$B$98*Premissas!$B$97</f>
        <v>191365.945567438</v>
      </c>
      <c r="BI70" s="60" t="n">
        <f aca="false">BI59*INDEX(Premissas!$C$99:$G$99,BI$7)*Premissas!$B$98*Premissas!$B$97</f>
        <v>195448.713278943</v>
      </c>
      <c r="BJ70" s="61" t="n">
        <f aca="false">SUM(B70:BI70)</f>
        <v>3500403.22570103</v>
      </c>
    </row>
    <row r="71" customFormat="false" ht="15" hidden="false" customHeight="false" outlineLevel="0" collapsed="false">
      <c r="A71" s="27" t="s">
        <v>877</v>
      </c>
      <c r="B71" s="60" t="n">
        <f aca="false">Aportes!B100</f>
        <v>0</v>
      </c>
      <c r="C71" s="60" t="n">
        <f aca="false">Aportes!C100</f>
        <v>0</v>
      </c>
      <c r="D71" s="60" t="n">
        <f aca="false">Aportes!D100</f>
        <v>0</v>
      </c>
      <c r="E71" s="60" t="n">
        <f aca="false">Aportes!E100</f>
        <v>0</v>
      </c>
      <c r="F71" s="60" t="n">
        <f aca="false">Aportes!F100</f>
        <v>0</v>
      </c>
      <c r="G71" s="60" t="n">
        <f aca="false">Aportes!G100</f>
        <v>0</v>
      </c>
      <c r="H71" s="60" t="n">
        <f aca="false">Aportes!H100</f>
        <v>0</v>
      </c>
      <c r="I71" s="60" t="n">
        <f aca="false">Aportes!I100</f>
        <v>0</v>
      </c>
      <c r="J71" s="60" t="n">
        <f aca="false">Aportes!J100</f>
        <v>0</v>
      </c>
      <c r="K71" s="60" t="n">
        <f aca="false">Aportes!K100</f>
        <v>0</v>
      </c>
      <c r="L71" s="60" t="n">
        <f aca="false">Aportes!L100</f>
        <v>0</v>
      </c>
      <c r="M71" s="60" t="n">
        <f aca="false">Aportes!M100</f>
        <v>0</v>
      </c>
      <c r="N71" s="60" t="n">
        <f aca="false">Aportes!N100</f>
        <v>0</v>
      </c>
      <c r="O71" s="60" t="n">
        <f aca="false">Aportes!O100</f>
        <v>0</v>
      </c>
      <c r="P71" s="60" t="n">
        <f aca="false">Aportes!P100</f>
        <v>0</v>
      </c>
      <c r="Q71" s="60" t="n">
        <f aca="false">Aportes!Q100</f>
        <v>0</v>
      </c>
      <c r="R71" s="60" t="n">
        <f aca="false">Aportes!R100</f>
        <v>0</v>
      </c>
      <c r="S71" s="60" t="n">
        <f aca="false">Aportes!S100</f>
        <v>0</v>
      </c>
      <c r="T71" s="60" t="n">
        <f aca="false">Aportes!T100</f>
        <v>0</v>
      </c>
      <c r="U71" s="60" t="n">
        <f aca="false">Aportes!U100</f>
        <v>0</v>
      </c>
      <c r="V71" s="60" t="n">
        <f aca="false">Aportes!V100</f>
        <v>0</v>
      </c>
      <c r="W71" s="60" t="n">
        <f aca="false">Aportes!W100</f>
        <v>0</v>
      </c>
      <c r="X71" s="60" t="n">
        <f aca="false">Aportes!X100</f>
        <v>0</v>
      </c>
      <c r="Y71" s="60" t="n">
        <f aca="false">Aportes!Y100</f>
        <v>0</v>
      </c>
      <c r="Z71" s="60" t="n">
        <f aca="false">Aportes!Z100</f>
        <v>0</v>
      </c>
      <c r="AA71" s="60" t="n">
        <f aca="false">Aportes!AA100</f>
        <v>0</v>
      </c>
      <c r="AB71" s="60" t="n">
        <f aca="false">Aportes!AB100</f>
        <v>0</v>
      </c>
      <c r="AC71" s="60" t="n">
        <f aca="false">Aportes!AC100</f>
        <v>0</v>
      </c>
      <c r="AD71" s="60" t="n">
        <f aca="false">Aportes!AD100</f>
        <v>0</v>
      </c>
      <c r="AE71" s="60" t="n">
        <f aca="false">Aportes!AE100</f>
        <v>0</v>
      </c>
      <c r="AF71" s="60" t="n">
        <f aca="false">Aportes!AF100</f>
        <v>0</v>
      </c>
      <c r="AG71" s="60" t="n">
        <f aca="false">Aportes!AG100</f>
        <v>0</v>
      </c>
      <c r="AH71" s="60" t="n">
        <f aca="false">Aportes!AH100</f>
        <v>0</v>
      </c>
      <c r="AI71" s="60" t="n">
        <f aca="false">Aportes!AI100</f>
        <v>0</v>
      </c>
      <c r="AJ71" s="60" t="n">
        <f aca="false">Aportes!AJ100</f>
        <v>0</v>
      </c>
      <c r="AK71" s="60" t="n">
        <f aca="false">Aportes!AK100</f>
        <v>0</v>
      </c>
      <c r="AL71" s="60" t="n">
        <f aca="false">Aportes!AL100</f>
        <v>0</v>
      </c>
      <c r="AM71" s="60" t="n">
        <f aca="false">Aportes!AM100</f>
        <v>0</v>
      </c>
      <c r="AN71" s="60" t="n">
        <f aca="false">Aportes!AN100</f>
        <v>0</v>
      </c>
      <c r="AO71" s="60" t="n">
        <f aca="false">Aportes!AO100</f>
        <v>0</v>
      </c>
      <c r="AP71" s="60" t="n">
        <f aca="false">Aportes!AP100</f>
        <v>0</v>
      </c>
      <c r="AQ71" s="60" t="n">
        <f aca="false">Aportes!AQ100</f>
        <v>0</v>
      </c>
      <c r="AR71" s="60" t="n">
        <f aca="false">Aportes!AR100</f>
        <v>0</v>
      </c>
      <c r="AS71" s="60" t="n">
        <f aca="false">Aportes!AS100</f>
        <v>0</v>
      </c>
      <c r="AT71" s="60" t="n">
        <f aca="false">Aportes!AT100</f>
        <v>0</v>
      </c>
      <c r="AU71" s="60" t="n">
        <f aca="false">Aportes!AU100</f>
        <v>0</v>
      </c>
      <c r="AV71" s="60" t="n">
        <f aca="false">Aportes!AV100</f>
        <v>0</v>
      </c>
      <c r="AW71" s="60" t="n">
        <f aca="false">Aportes!AW100</f>
        <v>0</v>
      </c>
      <c r="AX71" s="60" t="n">
        <f aca="false">Aportes!AX100</f>
        <v>0</v>
      </c>
      <c r="AY71" s="60" t="n">
        <f aca="false">Aportes!AY100</f>
        <v>0</v>
      </c>
      <c r="AZ71" s="60" t="n">
        <f aca="false">Aportes!AZ100</f>
        <v>0</v>
      </c>
      <c r="BA71" s="60" t="n">
        <f aca="false">Aportes!BA100</f>
        <v>0</v>
      </c>
      <c r="BB71" s="60" t="n">
        <f aca="false">Aportes!BB100</f>
        <v>0</v>
      </c>
      <c r="BC71" s="60" t="n">
        <f aca="false">Aportes!BC100</f>
        <v>0</v>
      </c>
      <c r="BD71" s="60" t="n">
        <f aca="false">Aportes!BD100</f>
        <v>0</v>
      </c>
      <c r="BE71" s="60" t="n">
        <f aca="false">Aportes!BE100</f>
        <v>0</v>
      </c>
      <c r="BF71" s="60" t="n">
        <f aca="false">Aportes!BF100</f>
        <v>0</v>
      </c>
      <c r="BG71" s="60" t="n">
        <f aca="false">Aportes!BG100</f>
        <v>0</v>
      </c>
      <c r="BH71" s="60" t="n">
        <f aca="false">Aportes!BH100</f>
        <v>0</v>
      </c>
      <c r="BI71" s="60" t="n">
        <f aca="false">Aportes!BI100</f>
        <v>0</v>
      </c>
      <c r="BJ71" s="61" t="n">
        <f aca="false">SUM(B71:BI71)</f>
        <v>0</v>
      </c>
    </row>
    <row r="72" customFormat="false" ht="15" hidden="false" customHeight="false" outlineLevel="0" collapsed="false">
      <c r="A72" s="27" t="s">
        <v>878</v>
      </c>
      <c r="B72" s="60" t="n">
        <f aca="false">IF(B65=0,0,SUMPRODUCT((Premissas!$B$85:$B$93="Dados")*((Premissas!$C$85:$C$93="Planejado")+(Premissas!$C$85:$C$93="Em estudo")*Premissas!$B$81)*(Premissas!$F$85:$F$93&lt;=B$4)*(Premissas!$G$85:$G$93&gt;=B$4)*(Premissas!$D$85:$D$93="Fixo mensal")*Premissas!$E$85:$E$93)+SUMPRODUCT((Premissas!$B$85:$B$93="Dados")*((Premissas!$C$85:$C$93="Planejado")+(Premissas!$C$85:$C$93="Em estudo")*Premissas!$B$81)*(Premissas!$F$85:$F$93&lt;=B$4)*(Premissas!$G$85:$G$93&gt;=B$4)*(Premissas!$D$85:$D$93="Por usuário")*Premissas!$E$85:$E$93)*B65)</f>
        <v>0</v>
      </c>
      <c r="C72" s="60" t="n">
        <f aca="false">IF(C65=0,0,SUMPRODUCT((Premissas!$B$85:$B$93="Dados")*((Premissas!$C$85:$C$93="Planejado")+(Premissas!$C$85:$C$93="Em estudo")*Premissas!$B$81)*(Premissas!$F$85:$F$93&lt;=C$4)*(Premissas!$G$85:$G$93&gt;=C$4)*(Premissas!$D$85:$D$93="Fixo mensal")*Premissas!$E$85:$E$93)+SUMPRODUCT((Premissas!$B$85:$B$93="Dados")*((Premissas!$C$85:$C$93="Planejado")+(Premissas!$C$85:$C$93="Em estudo")*Premissas!$B$81)*(Premissas!$F$85:$F$93&lt;=C$4)*(Premissas!$G$85:$G$93&gt;=C$4)*(Premissas!$D$85:$D$93="Por usuário")*Premissas!$E$85:$E$93)*C65)</f>
        <v>0</v>
      </c>
      <c r="D72" s="60" t="n">
        <f aca="false">IF(D65=0,0,SUMPRODUCT((Premissas!$B$85:$B$93="Dados")*((Premissas!$C$85:$C$93="Planejado")+(Premissas!$C$85:$C$93="Em estudo")*Premissas!$B$81)*(Premissas!$F$85:$F$93&lt;=D$4)*(Premissas!$G$85:$G$93&gt;=D$4)*(Premissas!$D$85:$D$93="Fixo mensal")*Premissas!$E$85:$E$93)+SUMPRODUCT((Premissas!$B$85:$B$93="Dados")*((Premissas!$C$85:$C$93="Planejado")+(Premissas!$C$85:$C$93="Em estudo")*Premissas!$B$81)*(Premissas!$F$85:$F$93&lt;=D$4)*(Premissas!$G$85:$G$93&gt;=D$4)*(Premissas!$D$85:$D$93="Por usuário")*Premissas!$E$85:$E$93)*D65)</f>
        <v>0</v>
      </c>
      <c r="E72" s="60" t="n">
        <f aca="false">IF(E65=0,0,SUMPRODUCT((Premissas!$B$85:$B$93="Dados")*((Premissas!$C$85:$C$93="Planejado")+(Premissas!$C$85:$C$93="Em estudo")*Premissas!$B$81)*(Premissas!$F$85:$F$93&lt;=E$4)*(Premissas!$G$85:$G$93&gt;=E$4)*(Premissas!$D$85:$D$93="Fixo mensal")*Premissas!$E$85:$E$93)+SUMPRODUCT((Premissas!$B$85:$B$93="Dados")*((Premissas!$C$85:$C$93="Planejado")+(Premissas!$C$85:$C$93="Em estudo")*Premissas!$B$81)*(Premissas!$F$85:$F$93&lt;=E$4)*(Premissas!$G$85:$G$93&gt;=E$4)*(Premissas!$D$85:$D$93="Por usuário")*Premissas!$E$85:$E$93)*E65)</f>
        <v>0</v>
      </c>
      <c r="F72" s="60" t="n">
        <f aca="false">IF(F65=0,0,SUMPRODUCT((Premissas!$B$85:$B$93="Dados")*((Premissas!$C$85:$C$93="Planejado")+(Premissas!$C$85:$C$93="Em estudo")*Premissas!$B$81)*(Premissas!$F$85:$F$93&lt;=F$4)*(Premissas!$G$85:$G$93&gt;=F$4)*(Premissas!$D$85:$D$93="Fixo mensal")*Premissas!$E$85:$E$93)+SUMPRODUCT((Premissas!$B$85:$B$93="Dados")*((Premissas!$C$85:$C$93="Planejado")+(Premissas!$C$85:$C$93="Em estudo")*Premissas!$B$81)*(Premissas!$F$85:$F$93&lt;=F$4)*(Premissas!$G$85:$G$93&gt;=F$4)*(Premissas!$D$85:$D$93="Por usuário")*Premissas!$E$85:$E$93)*F65)</f>
        <v>0</v>
      </c>
      <c r="G72" s="60" t="n">
        <f aca="false">IF(G65=0,0,SUMPRODUCT((Premissas!$B$85:$B$93="Dados")*((Premissas!$C$85:$C$93="Planejado")+(Premissas!$C$85:$C$93="Em estudo")*Premissas!$B$81)*(Premissas!$F$85:$F$93&lt;=G$4)*(Premissas!$G$85:$G$93&gt;=G$4)*(Premissas!$D$85:$D$93="Fixo mensal")*Premissas!$E$85:$E$93)+SUMPRODUCT((Premissas!$B$85:$B$93="Dados")*((Premissas!$C$85:$C$93="Planejado")+(Premissas!$C$85:$C$93="Em estudo")*Premissas!$B$81)*(Premissas!$F$85:$F$93&lt;=G$4)*(Premissas!$G$85:$G$93&gt;=G$4)*(Premissas!$D$85:$D$93="Por usuário")*Premissas!$E$85:$E$93)*G65)</f>
        <v>0</v>
      </c>
      <c r="H72" s="60" t="n">
        <f aca="false">IF(H65=0,0,SUMPRODUCT((Premissas!$B$85:$B$93="Dados")*((Premissas!$C$85:$C$93="Planejado")+(Premissas!$C$85:$C$93="Em estudo")*Premissas!$B$81)*(Premissas!$F$85:$F$93&lt;=H$4)*(Premissas!$G$85:$G$93&gt;=H$4)*(Premissas!$D$85:$D$93="Fixo mensal")*Premissas!$E$85:$E$93)+SUMPRODUCT((Premissas!$B$85:$B$93="Dados")*((Premissas!$C$85:$C$93="Planejado")+(Premissas!$C$85:$C$93="Em estudo")*Premissas!$B$81)*(Premissas!$F$85:$F$93&lt;=H$4)*(Premissas!$G$85:$G$93&gt;=H$4)*(Premissas!$D$85:$D$93="Por usuário")*Premissas!$E$85:$E$93)*H65)</f>
        <v>0</v>
      </c>
      <c r="I72" s="60" t="n">
        <f aca="false">IF(I65=0,0,SUMPRODUCT((Premissas!$B$85:$B$93="Dados")*((Premissas!$C$85:$C$93="Planejado")+(Premissas!$C$85:$C$93="Em estudo")*Premissas!$B$81)*(Premissas!$F$85:$F$93&lt;=I$4)*(Premissas!$G$85:$G$93&gt;=I$4)*(Premissas!$D$85:$D$93="Fixo mensal")*Premissas!$E$85:$E$93)+SUMPRODUCT((Premissas!$B$85:$B$93="Dados")*((Premissas!$C$85:$C$93="Planejado")+(Premissas!$C$85:$C$93="Em estudo")*Premissas!$B$81)*(Premissas!$F$85:$F$93&lt;=I$4)*(Premissas!$G$85:$G$93&gt;=I$4)*(Premissas!$D$85:$D$93="Por usuário")*Premissas!$E$85:$E$93)*I65)</f>
        <v>0</v>
      </c>
      <c r="J72" s="60" t="n">
        <f aca="false">IF(J65=0,0,SUMPRODUCT((Premissas!$B$85:$B$93="Dados")*((Premissas!$C$85:$C$93="Planejado")+(Premissas!$C$85:$C$93="Em estudo")*Premissas!$B$81)*(Premissas!$F$85:$F$93&lt;=J$4)*(Premissas!$G$85:$G$93&gt;=J$4)*(Premissas!$D$85:$D$93="Fixo mensal")*Premissas!$E$85:$E$93)+SUMPRODUCT((Premissas!$B$85:$B$93="Dados")*((Premissas!$C$85:$C$93="Planejado")+(Premissas!$C$85:$C$93="Em estudo")*Premissas!$B$81)*(Premissas!$F$85:$F$93&lt;=J$4)*(Premissas!$G$85:$G$93&gt;=J$4)*(Premissas!$D$85:$D$93="Por usuário")*Premissas!$E$85:$E$93)*J65)</f>
        <v>0</v>
      </c>
      <c r="K72" s="60" t="n">
        <f aca="false">IF(K65=0,0,SUMPRODUCT((Premissas!$B$85:$B$93="Dados")*((Premissas!$C$85:$C$93="Planejado")+(Premissas!$C$85:$C$93="Em estudo")*Premissas!$B$81)*(Premissas!$F$85:$F$93&lt;=K$4)*(Premissas!$G$85:$G$93&gt;=K$4)*(Premissas!$D$85:$D$93="Fixo mensal")*Premissas!$E$85:$E$93)+SUMPRODUCT((Premissas!$B$85:$B$93="Dados")*((Premissas!$C$85:$C$93="Planejado")+(Premissas!$C$85:$C$93="Em estudo")*Premissas!$B$81)*(Premissas!$F$85:$F$93&lt;=K$4)*(Premissas!$G$85:$G$93&gt;=K$4)*(Premissas!$D$85:$D$93="Por usuário")*Premissas!$E$85:$E$93)*K65)</f>
        <v>0</v>
      </c>
      <c r="L72" s="60" t="n">
        <f aca="false">IF(L65=0,0,SUMPRODUCT((Premissas!$B$85:$B$93="Dados")*((Premissas!$C$85:$C$93="Planejado")+(Premissas!$C$85:$C$93="Em estudo")*Premissas!$B$81)*(Premissas!$F$85:$F$93&lt;=L$4)*(Premissas!$G$85:$G$93&gt;=L$4)*(Premissas!$D$85:$D$93="Fixo mensal")*Premissas!$E$85:$E$93)+SUMPRODUCT((Premissas!$B$85:$B$93="Dados")*((Premissas!$C$85:$C$93="Planejado")+(Premissas!$C$85:$C$93="Em estudo")*Premissas!$B$81)*(Premissas!$F$85:$F$93&lt;=L$4)*(Premissas!$G$85:$G$93&gt;=L$4)*(Premissas!$D$85:$D$93="Por usuário")*Premissas!$E$85:$E$93)*L65)</f>
        <v>0</v>
      </c>
      <c r="M72" s="60" t="n">
        <f aca="false">IF(M65=0,0,SUMPRODUCT((Premissas!$B$85:$B$93="Dados")*((Premissas!$C$85:$C$93="Planejado")+(Premissas!$C$85:$C$93="Em estudo")*Premissas!$B$81)*(Premissas!$F$85:$F$93&lt;=M$4)*(Premissas!$G$85:$G$93&gt;=M$4)*(Premissas!$D$85:$D$93="Fixo mensal")*Premissas!$E$85:$E$93)+SUMPRODUCT((Premissas!$B$85:$B$93="Dados")*((Premissas!$C$85:$C$93="Planejado")+(Premissas!$C$85:$C$93="Em estudo")*Premissas!$B$81)*(Premissas!$F$85:$F$93&lt;=M$4)*(Premissas!$G$85:$G$93&gt;=M$4)*(Premissas!$D$85:$D$93="Por usuário")*Premissas!$E$85:$E$93)*M65)</f>
        <v>0</v>
      </c>
      <c r="N72" s="60" t="n">
        <f aca="false">IF(N65=0,0,SUMPRODUCT((Premissas!$B$85:$B$93="Dados")*((Premissas!$C$85:$C$93="Planejado")+(Premissas!$C$85:$C$93="Em estudo")*Premissas!$B$81)*(Premissas!$F$85:$F$93&lt;=N$4)*(Premissas!$G$85:$G$93&gt;=N$4)*(Premissas!$D$85:$D$93="Fixo mensal")*Premissas!$E$85:$E$93)+SUMPRODUCT((Premissas!$B$85:$B$93="Dados")*((Premissas!$C$85:$C$93="Planejado")+(Premissas!$C$85:$C$93="Em estudo")*Premissas!$B$81)*(Premissas!$F$85:$F$93&lt;=N$4)*(Premissas!$G$85:$G$93&gt;=N$4)*(Premissas!$D$85:$D$93="Por usuário")*Premissas!$E$85:$E$93)*N65)</f>
        <v>0</v>
      </c>
      <c r="O72" s="60" t="n">
        <f aca="false">IF(O65=0,0,SUMPRODUCT((Premissas!$B$85:$B$93="Dados")*((Premissas!$C$85:$C$93="Planejado")+(Premissas!$C$85:$C$93="Em estudo")*Premissas!$B$81)*(Premissas!$F$85:$F$93&lt;=O$4)*(Premissas!$G$85:$G$93&gt;=O$4)*(Premissas!$D$85:$D$93="Fixo mensal")*Premissas!$E$85:$E$93)+SUMPRODUCT((Premissas!$B$85:$B$93="Dados")*((Premissas!$C$85:$C$93="Planejado")+(Premissas!$C$85:$C$93="Em estudo")*Premissas!$B$81)*(Premissas!$F$85:$F$93&lt;=O$4)*(Premissas!$G$85:$G$93&gt;=O$4)*(Premissas!$D$85:$D$93="Por usuário")*Premissas!$E$85:$E$93)*O65)</f>
        <v>0</v>
      </c>
      <c r="P72" s="60" t="n">
        <f aca="false">IF(P65=0,0,SUMPRODUCT((Premissas!$B$85:$B$93="Dados")*((Premissas!$C$85:$C$93="Planejado")+(Premissas!$C$85:$C$93="Em estudo")*Premissas!$B$81)*(Premissas!$F$85:$F$93&lt;=P$4)*(Premissas!$G$85:$G$93&gt;=P$4)*(Premissas!$D$85:$D$93="Fixo mensal")*Premissas!$E$85:$E$93)+SUMPRODUCT((Premissas!$B$85:$B$93="Dados")*((Premissas!$C$85:$C$93="Planejado")+(Premissas!$C$85:$C$93="Em estudo")*Premissas!$B$81)*(Premissas!$F$85:$F$93&lt;=P$4)*(Premissas!$G$85:$G$93&gt;=P$4)*(Premissas!$D$85:$D$93="Por usuário")*Premissas!$E$85:$E$93)*P65)</f>
        <v>0</v>
      </c>
      <c r="Q72" s="60" t="n">
        <f aca="false">IF(Q65=0,0,SUMPRODUCT((Premissas!$B$85:$B$93="Dados")*((Premissas!$C$85:$C$93="Planejado")+(Premissas!$C$85:$C$93="Em estudo")*Premissas!$B$81)*(Premissas!$F$85:$F$93&lt;=Q$4)*(Premissas!$G$85:$G$93&gt;=Q$4)*(Premissas!$D$85:$D$93="Fixo mensal")*Premissas!$E$85:$E$93)+SUMPRODUCT((Premissas!$B$85:$B$93="Dados")*((Premissas!$C$85:$C$93="Planejado")+(Premissas!$C$85:$C$93="Em estudo")*Premissas!$B$81)*(Premissas!$F$85:$F$93&lt;=Q$4)*(Premissas!$G$85:$G$93&gt;=Q$4)*(Premissas!$D$85:$D$93="Por usuário")*Premissas!$E$85:$E$93)*Q65)</f>
        <v>0</v>
      </c>
      <c r="R72" s="60" t="n">
        <f aca="false">IF(R65=0,0,SUMPRODUCT((Premissas!$B$85:$B$93="Dados")*((Premissas!$C$85:$C$93="Planejado")+(Premissas!$C$85:$C$93="Em estudo")*Premissas!$B$81)*(Premissas!$F$85:$F$93&lt;=R$4)*(Premissas!$G$85:$G$93&gt;=R$4)*(Premissas!$D$85:$D$93="Fixo mensal")*Premissas!$E$85:$E$93)+SUMPRODUCT((Premissas!$B$85:$B$93="Dados")*((Premissas!$C$85:$C$93="Planejado")+(Premissas!$C$85:$C$93="Em estudo")*Premissas!$B$81)*(Premissas!$F$85:$F$93&lt;=R$4)*(Premissas!$G$85:$G$93&gt;=R$4)*(Premissas!$D$85:$D$93="Por usuário")*Premissas!$E$85:$E$93)*R65)</f>
        <v>0</v>
      </c>
      <c r="S72" s="60" t="n">
        <f aca="false">IF(S65=0,0,SUMPRODUCT((Premissas!$B$85:$B$93="Dados")*((Premissas!$C$85:$C$93="Planejado")+(Premissas!$C$85:$C$93="Em estudo")*Premissas!$B$81)*(Premissas!$F$85:$F$93&lt;=S$4)*(Premissas!$G$85:$G$93&gt;=S$4)*(Premissas!$D$85:$D$93="Fixo mensal")*Premissas!$E$85:$E$93)+SUMPRODUCT((Premissas!$B$85:$B$93="Dados")*((Premissas!$C$85:$C$93="Planejado")+(Premissas!$C$85:$C$93="Em estudo")*Premissas!$B$81)*(Premissas!$F$85:$F$93&lt;=S$4)*(Premissas!$G$85:$G$93&gt;=S$4)*(Premissas!$D$85:$D$93="Por usuário")*Premissas!$E$85:$E$93)*S65)</f>
        <v>0</v>
      </c>
      <c r="T72" s="60" t="n">
        <f aca="false">IF(T65=0,0,SUMPRODUCT((Premissas!$B$85:$B$93="Dados")*((Premissas!$C$85:$C$93="Planejado")+(Premissas!$C$85:$C$93="Em estudo")*Premissas!$B$81)*(Premissas!$F$85:$F$93&lt;=T$4)*(Premissas!$G$85:$G$93&gt;=T$4)*(Premissas!$D$85:$D$93="Fixo mensal")*Premissas!$E$85:$E$93)+SUMPRODUCT((Premissas!$B$85:$B$93="Dados")*((Premissas!$C$85:$C$93="Planejado")+(Premissas!$C$85:$C$93="Em estudo")*Premissas!$B$81)*(Premissas!$F$85:$F$93&lt;=T$4)*(Premissas!$G$85:$G$93&gt;=T$4)*(Premissas!$D$85:$D$93="Por usuário")*Premissas!$E$85:$E$93)*T65)</f>
        <v>0</v>
      </c>
      <c r="U72" s="60" t="n">
        <f aca="false">IF(U65=0,0,SUMPRODUCT((Premissas!$B$85:$B$93="Dados")*((Premissas!$C$85:$C$93="Planejado")+(Premissas!$C$85:$C$93="Em estudo")*Premissas!$B$81)*(Premissas!$F$85:$F$93&lt;=U$4)*(Premissas!$G$85:$G$93&gt;=U$4)*(Premissas!$D$85:$D$93="Fixo mensal")*Premissas!$E$85:$E$93)+SUMPRODUCT((Premissas!$B$85:$B$93="Dados")*((Premissas!$C$85:$C$93="Planejado")+(Premissas!$C$85:$C$93="Em estudo")*Premissas!$B$81)*(Premissas!$F$85:$F$93&lt;=U$4)*(Premissas!$G$85:$G$93&gt;=U$4)*(Premissas!$D$85:$D$93="Por usuário")*Premissas!$E$85:$E$93)*U65)</f>
        <v>0</v>
      </c>
      <c r="V72" s="60" t="n">
        <f aca="false">IF(V65=0,0,SUMPRODUCT((Premissas!$B$85:$B$93="Dados")*((Premissas!$C$85:$C$93="Planejado")+(Premissas!$C$85:$C$93="Em estudo")*Premissas!$B$81)*(Premissas!$F$85:$F$93&lt;=V$4)*(Premissas!$G$85:$G$93&gt;=V$4)*(Premissas!$D$85:$D$93="Fixo mensal")*Premissas!$E$85:$E$93)+SUMPRODUCT((Premissas!$B$85:$B$93="Dados")*((Premissas!$C$85:$C$93="Planejado")+(Premissas!$C$85:$C$93="Em estudo")*Premissas!$B$81)*(Premissas!$F$85:$F$93&lt;=V$4)*(Premissas!$G$85:$G$93&gt;=V$4)*(Premissas!$D$85:$D$93="Por usuário")*Premissas!$E$85:$E$93)*V65)</f>
        <v>0</v>
      </c>
      <c r="W72" s="60" t="n">
        <f aca="false">IF(W65=0,0,SUMPRODUCT((Premissas!$B$85:$B$93="Dados")*((Premissas!$C$85:$C$93="Planejado")+(Premissas!$C$85:$C$93="Em estudo")*Premissas!$B$81)*(Premissas!$F$85:$F$93&lt;=W$4)*(Premissas!$G$85:$G$93&gt;=W$4)*(Premissas!$D$85:$D$93="Fixo mensal")*Premissas!$E$85:$E$93)+SUMPRODUCT((Premissas!$B$85:$B$93="Dados")*((Premissas!$C$85:$C$93="Planejado")+(Premissas!$C$85:$C$93="Em estudo")*Premissas!$B$81)*(Premissas!$F$85:$F$93&lt;=W$4)*(Premissas!$G$85:$G$93&gt;=W$4)*(Premissas!$D$85:$D$93="Por usuário")*Premissas!$E$85:$E$93)*W65)</f>
        <v>0</v>
      </c>
      <c r="X72" s="60" t="n">
        <f aca="false">IF(X65=0,0,SUMPRODUCT((Premissas!$B$85:$B$93="Dados")*((Premissas!$C$85:$C$93="Planejado")+(Premissas!$C$85:$C$93="Em estudo")*Premissas!$B$81)*(Premissas!$F$85:$F$93&lt;=X$4)*(Premissas!$G$85:$G$93&gt;=X$4)*(Premissas!$D$85:$D$93="Fixo mensal")*Premissas!$E$85:$E$93)+SUMPRODUCT((Premissas!$B$85:$B$93="Dados")*((Premissas!$C$85:$C$93="Planejado")+(Premissas!$C$85:$C$93="Em estudo")*Premissas!$B$81)*(Premissas!$F$85:$F$93&lt;=X$4)*(Premissas!$G$85:$G$93&gt;=X$4)*(Premissas!$D$85:$D$93="Por usuário")*Premissas!$E$85:$E$93)*X65)</f>
        <v>0</v>
      </c>
      <c r="Y72" s="60" t="n">
        <f aca="false">IF(Y65=0,0,SUMPRODUCT((Premissas!$B$85:$B$93="Dados")*((Premissas!$C$85:$C$93="Planejado")+(Premissas!$C$85:$C$93="Em estudo")*Premissas!$B$81)*(Premissas!$F$85:$F$93&lt;=Y$4)*(Premissas!$G$85:$G$93&gt;=Y$4)*(Premissas!$D$85:$D$93="Fixo mensal")*Premissas!$E$85:$E$93)+SUMPRODUCT((Premissas!$B$85:$B$93="Dados")*((Premissas!$C$85:$C$93="Planejado")+(Premissas!$C$85:$C$93="Em estudo")*Premissas!$B$81)*(Premissas!$F$85:$F$93&lt;=Y$4)*(Premissas!$G$85:$G$93&gt;=Y$4)*(Premissas!$D$85:$D$93="Por usuário")*Premissas!$E$85:$E$93)*Y65)</f>
        <v>0</v>
      </c>
      <c r="Z72" s="60" t="n">
        <f aca="false">IF(Z65=0,0,SUMPRODUCT((Premissas!$B$85:$B$93="Dados")*((Premissas!$C$85:$C$93="Planejado")+(Premissas!$C$85:$C$93="Em estudo")*Premissas!$B$81)*(Premissas!$F$85:$F$93&lt;=Z$4)*(Premissas!$G$85:$G$93&gt;=Z$4)*(Premissas!$D$85:$D$93="Fixo mensal")*Premissas!$E$85:$E$93)+SUMPRODUCT((Premissas!$B$85:$B$93="Dados")*((Premissas!$C$85:$C$93="Planejado")+(Premissas!$C$85:$C$93="Em estudo")*Premissas!$B$81)*(Premissas!$F$85:$F$93&lt;=Z$4)*(Premissas!$G$85:$G$93&gt;=Z$4)*(Premissas!$D$85:$D$93="Por usuário")*Premissas!$E$85:$E$93)*Z65)</f>
        <v>0</v>
      </c>
      <c r="AA72" s="60" t="n">
        <f aca="false">IF(AA65=0,0,SUMPRODUCT((Premissas!$B$85:$B$93="Dados")*((Premissas!$C$85:$C$93="Planejado")+(Premissas!$C$85:$C$93="Em estudo")*Premissas!$B$81)*(Premissas!$F$85:$F$93&lt;=AA$4)*(Premissas!$G$85:$G$93&gt;=AA$4)*(Premissas!$D$85:$D$93="Fixo mensal")*Premissas!$E$85:$E$93)+SUMPRODUCT((Premissas!$B$85:$B$93="Dados")*((Premissas!$C$85:$C$93="Planejado")+(Premissas!$C$85:$C$93="Em estudo")*Premissas!$B$81)*(Premissas!$F$85:$F$93&lt;=AA$4)*(Premissas!$G$85:$G$93&gt;=AA$4)*(Premissas!$D$85:$D$93="Por usuário")*Premissas!$E$85:$E$93)*AA65)</f>
        <v>0</v>
      </c>
      <c r="AB72" s="60" t="n">
        <f aca="false">IF(AB65=0,0,SUMPRODUCT((Premissas!$B$85:$B$93="Dados")*((Premissas!$C$85:$C$93="Planejado")+(Premissas!$C$85:$C$93="Em estudo")*Premissas!$B$81)*(Premissas!$F$85:$F$93&lt;=AB$4)*(Premissas!$G$85:$G$93&gt;=AB$4)*(Premissas!$D$85:$D$93="Fixo mensal")*Premissas!$E$85:$E$93)+SUMPRODUCT((Premissas!$B$85:$B$93="Dados")*((Premissas!$C$85:$C$93="Planejado")+(Premissas!$C$85:$C$93="Em estudo")*Premissas!$B$81)*(Premissas!$F$85:$F$93&lt;=AB$4)*(Premissas!$G$85:$G$93&gt;=AB$4)*(Premissas!$D$85:$D$93="Por usuário")*Premissas!$E$85:$E$93)*AB65)</f>
        <v>0</v>
      </c>
      <c r="AC72" s="60" t="n">
        <f aca="false">IF(AC65=0,0,SUMPRODUCT((Premissas!$B$85:$B$93="Dados")*((Premissas!$C$85:$C$93="Planejado")+(Premissas!$C$85:$C$93="Em estudo")*Premissas!$B$81)*(Premissas!$F$85:$F$93&lt;=AC$4)*(Premissas!$G$85:$G$93&gt;=AC$4)*(Premissas!$D$85:$D$93="Fixo mensal")*Premissas!$E$85:$E$93)+SUMPRODUCT((Premissas!$B$85:$B$93="Dados")*((Premissas!$C$85:$C$93="Planejado")+(Premissas!$C$85:$C$93="Em estudo")*Premissas!$B$81)*(Premissas!$F$85:$F$93&lt;=AC$4)*(Premissas!$G$85:$G$93&gt;=AC$4)*(Premissas!$D$85:$D$93="Por usuário")*Premissas!$E$85:$E$93)*AC65)</f>
        <v>0</v>
      </c>
      <c r="AD72" s="60" t="n">
        <f aca="false">IF(AD65=0,0,SUMPRODUCT((Premissas!$B$85:$B$93="Dados")*((Premissas!$C$85:$C$93="Planejado")+(Premissas!$C$85:$C$93="Em estudo")*Premissas!$B$81)*(Premissas!$F$85:$F$93&lt;=AD$4)*(Premissas!$G$85:$G$93&gt;=AD$4)*(Premissas!$D$85:$D$93="Fixo mensal")*Premissas!$E$85:$E$93)+SUMPRODUCT((Premissas!$B$85:$B$93="Dados")*((Premissas!$C$85:$C$93="Planejado")+(Premissas!$C$85:$C$93="Em estudo")*Premissas!$B$81)*(Premissas!$F$85:$F$93&lt;=AD$4)*(Premissas!$G$85:$G$93&gt;=AD$4)*(Premissas!$D$85:$D$93="Por usuário")*Premissas!$E$85:$E$93)*AD65)</f>
        <v>0</v>
      </c>
      <c r="AE72" s="60" t="n">
        <f aca="false">IF(AE65=0,0,SUMPRODUCT((Premissas!$B$85:$B$93="Dados")*((Premissas!$C$85:$C$93="Planejado")+(Premissas!$C$85:$C$93="Em estudo")*Premissas!$B$81)*(Premissas!$F$85:$F$93&lt;=AE$4)*(Premissas!$G$85:$G$93&gt;=AE$4)*(Premissas!$D$85:$D$93="Fixo mensal")*Premissas!$E$85:$E$93)+SUMPRODUCT((Premissas!$B$85:$B$93="Dados")*((Premissas!$C$85:$C$93="Planejado")+(Premissas!$C$85:$C$93="Em estudo")*Premissas!$B$81)*(Premissas!$F$85:$F$93&lt;=AE$4)*(Premissas!$G$85:$G$93&gt;=AE$4)*(Premissas!$D$85:$D$93="Por usuário")*Premissas!$E$85:$E$93)*AE65)</f>
        <v>0</v>
      </c>
      <c r="AF72" s="60" t="n">
        <f aca="false">IF(AF65=0,0,SUMPRODUCT((Premissas!$B$85:$B$93="Dados")*((Premissas!$C$85:$C$93="Planejado")+(Premissas!$C$85:$C$93="Em estudo")*Premissas!$B$81)*(Premissas!$F$85:$F$93&lt;=AF$4)*(Premissas!$G$85:$G$93&gt;=AF$4)*(Premissas!$D$85:$D$93="Fixo mensal")*Premissas!$E$85:$E$93)+SUMPRODUCT((Premissas!$B$85:$B$93="Dados")*((Premissas!$C$85:$C$93="Planejado")+(Premissas!$C$85:$C$93="Em estudo")*Premissas!$B$81)*(Premissas!$F$85:$F$93&lt;=AF$4)*(Premissas!$G$85:$G$93&gt;=AF$4)*(Premissas!$D$85:$D$93="Por usuário")*Premissas!$E$85:$E$93)*AF65)</f>
        <v>45000</v>
      </c>
      <c r="AG72" s="60" t="n">
        <f aca="false">IF(AG65=0,0,SUMPRODUCT((Premissas!$B$85:$B$93="Dados")*((Premissas!$C$85:$C$93="Planejado")+(Premissas!$C$85:$C$93="Em estudo")*Premissas!$B$81)*(Premissas!$F$85:$F$93&lt;=AG$4)*(Premissas!$G$85:$G$93&gt;=AG$4)*(Premissas!$D$85:$D$93="Fixo mensal")*Premissas!$E$85:$E$93)+SUMPRODUCT((Premissas!$B$85:$B$93="Dados")*((Premissas!$C$85:$C$93="Planejado")+(Premissas!$C$85:$C$93="Em estudo")*Premissas!$B$81)*(Premissas!$F$85:$F$93&lt;=AG$4)*(Premissas!$G$85:$G$93&gt;=AG$4)*(Premissas!$D$85:$D$93="Por usuário")*Premissas!$E$85:$E$93)*AG65)</f>
        <v>45000</v>
      </c>
      <c r="AH72" s="60" t="n">
        <f aca="false">IF(AH65=0,0,SUMPRODUCT((Premissas!$B$85:$B$93="Dados")*((Premissas!$C$85:$C$93="Planejado")+(Premissas!$C$85:$C$93="Em estudo")*Premissas!$B$81)*(Premissas!$F$85:$F$93&lt;=AH$4)*(Premissas!$G$85:$G$93&gt;=AH$4)*(Premissas!$D$85:$D$93="Fixo mensal")*Premissas!$E$85:$E$93)+SUMPRODUCT((Premissas!$B$85:$B$93="Dados")*((Premissas!$C$85:$C$93="Planejado")+(Premissas!$C$85:$C$93="Em estudo")*Premissas!$B$81)*(Premissas!$F$85:$F$93&lt;=AH$4)*(Premissas!$G$85:$G$93&gt;=AH$4)*(Premissas!$D$85:$D$93="Por usuário")*Premissas!$E$85:$E$93)*AH65)</f>
        <v>45000</v>
      </c>
      <c r="AI72" s="60" t="n">
        <f aca="false">IF(AI65=0,0,SUMPRODUCT((Premissas!$B$85:$B$93="Dados")*((Premissas!$C$85:$C$93="Planejado")+(Premissas!$C$85:$C$93="Em estudo")*Premissas!$B$81)*(Premissas!$F$85:$F$93&lt;=AI$4)*(Premissas!$G$85:$G$93&gt;=AI$4)*(Premissas!$D$85:$D$93="Fixo mensal")*Premissas!$E$85:$E$93)+SUMPRODUCT((Premissas!$B$85:$B$93="Dados")*((Premissas!$C$85:$C$93="Planejado")+(Premissas!$C$85:$C$93="Em estudo")*Premissas!$B$81)*(Premissas!$F$85:$F$93&lt;=AI$4)*(Premissas!$G$85:$G$93&gt;=AI$4)*(Premissas!$D$85:$D$93="Por usuário")*Premissas!$E$85:$E$93)*AI65)</f>
        <v>45000</v>
      </c>
      <c r="AJ72" s="60" t="n">
        <f aca="false">IF(AJ65=0,0,SUMPRODUCT((Premissas!$B$85:$B$93="Dados")*((Premissas!$C$85:$C$93="Planejado")+(Premissas!$C$85:$C$93="Em estudo")*Premissas!$B$81)*(Premissas!$F$85:$F$93&lt;=AJ$4)*(Premissas!$G$85:$G$93&gt;=AJ$4)*(Premissas!$D$85:$D$93="Fixo mensal")*Premissas!$E$85:$E$93)+SUMPRODUCT((Premissas!$B$85:$B$93="Dados")*((Premissas!$C$85:$C$93="Planejado")+(Premissas!$C$85:$C$93="Em estudo")*Premissas!$B$81)*(Premissas!$F$85:$F$93&lt;=AJ$4)*(Premissas!$G$85:$G$93&gt;=AJ$4)*(Premissas!$D$85:$D$93="Por usuário")*Premissas!$E$85:$E$93)*AJ65)</f>
        <v>45000</v>
      </c>
      <c r="AK72" s="60" t="n">
        <f aca="false">IF(AK65=0,0,SUMPRODUCT((Premissas!$B$85:$B$93="Dados")*((Premissas!$C$85:$C$93="Planejado")+(Premissas!$C$85:$C$93="Em estudo")*Premissas!$B$81)*(Premissas!$F$85:$F$93&lt;=AK$4)*(Premissas!$G$85:$G$93&gt;=AK$4)*(Premissas!$D$85:$D$93="Fixo mensal")*Premissas!$E$85:$E$93)+SUMPRODUCT((Premissas!$B$85:$B$93="Dados")*((Premissas!$C$85:$C$93="Planejado")+(Premissas!$C$85:$C$93="Em estudo")*Premissas!$B$81)*(Premissas!$F$85:$F$93&lt;=AK$4)*(Premissas!$G$85:$G$93&gt;=AK$4)*(Premissas!$D$85:$D$93="Por usuário")*Premissas!$E$85:$E$93)*AK65)</f>
        <v>45000</v>
      </c>
      <c r="AL72" s="60" t="n">
        <f aca="false">IF(AL65=0,0,SUMPRODUCT((Premissas!$B$85:$B$93="Dados")*((Premissas!$C$85:$C$93="Planejado")+(Premissas!$C$85:$C$93="Em estudo")*Premissas!$B$81)*(Premissas!$F$85:$F$93&lt;=AL$4)*(Premissas!$G$85:$G$93&gt;=AL$4)*(Premissas!$D$85:$D$93="Fixo mensal")*Premissas!$E$85:$E$93)+SUMPRODUCT((Premissas!$B$85:$B$93="Dados")*((Premissas!$C$85:$C$93="Planejado")+(Premissas!$C$85:$C$93="Em estudo")*Premissas!$B$81)*(Premissas!$F$85:$F$93&lt;=AL$4)*(Premissas!$G$85:$G$93&gt;=AL$4)*(Premissas!$D$85:$D$93="Por usuário")*Premissas!$E$85:$E$93)*AL65)</f>
        <v>70000</v>
      </c>
      <c r="AM72" s="60" t="n">
        <f aca="false">IF(AM65=0,0,SUMPRODUCT((Premissas!$B$85:$B$93="Dados")*((Premissas!$C$85:$C$93="Planejado")+(Premissas!$C$85:$C$93="Em estudo")*Premissas!$B$81)*(Premissas!$F$85:$F$93&lt;=AM$4)*(Premissas!$G$85:$G$93&gt;=AM$4)*(Premissas!$D$85:$D$93="Fixo mensal")*Premissas!$E$85:$E$93)+SUMPRODUCT((Premissas!$B$85:$B$93="Dados")*((Premissas!$C$85:$C$93="Planejado")+(Premissas!$C$85:$C$93="Em estudo")*Premissas!$B$81)*(Premissas!$F$85:$F$93&lt;=AM$4)*(Premissas!$G$85:$G$93&gt;=AM$4)*(Premissas!$D$85:$D$93="Por usuário")*Premissas!$E$85:$E$93)*AM65)</f>
        <v>70000</v>
      </c>
      <c r="AN72" s="60" t="n">
        <f aca="false">IF(AN65=0,0,SUMPRODUCT((Premissas!$B$85:$B$93="Dados")*((Premissas!$C$85:$C$93="Planejado")+(Premissas!$C$85:$C$93="Em estudo")*Premissas!$B$81)*(Premissas!$F$85:$F$93&lt;=AN$4)*(Premissas!$G$85:$G$93&gt;=AN$4)*(Premissas!$D$85:$D$93="Fixo mensal")*Premissas!$E$85:$E$93)+SUMPRODUCT((Premissas!$B$85:$B$93="Dados")*((Premissas!$C$85:$C$93="Planejado")+(Premissas!$C$85:$C$93="Em estudo")*Premissas!$B$81)*(Premissas!$F$85:$F$93&lt;=AN$4)*(Premissas!$G$85:$G$93&gt;=AN$4)*(Premissas!$D$85:$D$93="Por usuário")*Premissas!$E$85:$E$93)*AN65)</f>
        <v>70000</v>
      </c>
      <c r="AO72" s="60" t="n">
        <f aca="false">IF(AO65=0,0,SUMPRODUCT((Premissas!$B$85:$B$93="Dados")*((Premissas!$C$85:$C$93="Planejado")+(Premissas!$C$85:$C$93="Em estudo")*Premissas!$B$81)*(Premissas!$F$85:$F$93&lt;=AO$4)*(Premissas!$G$85:$G$93&gt;=AO$4)*(Premissas!$D$85:$D$93="Fixo mensal")*Premissas!$E$85:$E$93)+SUMPRODUCT((Premissas!$B$85:$B$93="Dados")*((Premissas!$C$85:$C$93="Planejado")+(Premissas!$C$85:$C$93="Em estudo")*Premissas!$B$81)*(Premissas!$F$85:$F$93&lt;=AO$4)*(Premissas!$G$85:$G$93&gt;=AO$4)*(Premissas!$D$85:$D$93="Por usuário")*Premissas!$E$85:$E$93)*AO65)</f>
        <v>70000</v>
      </c>
      <c r="AP72" s="60" t="n">
        <f aca="false">IF(AP65=0,0,SUMPRODUCT((Premissas!$B$85:$B$93="Dados")*((Premissas!$C$85:$C$93="Planejado")+(Premissas!$C$85:$C$93="Em estudo")*Premissas!$B$81)*(Premissas!$F$85:$F$93&lt;=AP$4)*(Premissas!$G$85:$G$93&gt;=AP$4)*(Premissas!$D$85:$D$93="Fixo mensal")*Premissas!$E$85:$E$93)+SUMPRODUCT((Premissas!$B$85:$B$93="Dados")*((Premissas!$C$85:$C$93="Planejado")+(Premissas!$C$85:$C$93="Em estudo")*Premissas!$B$81)*(Premissas!$F$85:$F$93&lt;=AP$4)*(Premissas!$G$85:$G$93&gt;=AP$4)*(Premissas!$D$85:$D$93="Por usuário")*Premissas!$E$85:$E$93)*AP65)</f>
        <v>70000</v>
      </c>
      <c r="AQ72" s="60" t="n">
        <f aca="false">IF(AQ65=0,0,SUMPRODUCT((Premissas!$B$85:$B$93="Dados")*((Premissas!$C$85:$C$93="Planejado")+(Premissas!$C$85:$C$93="Em estudo")*Premissas!$B$81)*(Premissas!$F$85:$F$93&lt;=AQ$4)*(Premissas!$G$85:$G$93&gt;=AQ$4)*(Premissas!$D$85:$D$93="Fixo mensal")*Premissas!$E$85:$E$93)+SUMPRODUCT((Premissas!$B$85:$B$93="Dados")*((Premissas!$C$85:$C$93="Planejado")+(Premissas!$C$85:$C$93="Em estudo")*Premissas!$B$81)*(Premissas!$F$85:$F$93&lt;=AQ$4)*(Premissas!$G$85:$G$93&gt;=AQ$4)*(Premissas!$D$85:$D$93="Por usuário")*Premissas!$E$85:$E$93)*AQ65)</f>
        <v>70000</v>
      </c>
      <c r="AR72" s="60" t="n">
        <f aca="false">IF(AR65=0,0,SUMPRODUCT((Premissas!$B$85:$B$93="Dados")*((Premissas!$C$85:$C$93="Planejado")+(Premissas!$C$85:$C$93="Em estudo")*Premissas!$B$81)*(Premissas!$F$85:$F$93&lt;=AR$4)*(Premissas!$G$85:$G$93&gt;=AR$4)*(Premissas!$D$85:$D$93="Fixo mensal")*Premissas!$E$85:$E$93)+SUMPRODUCT((Premissas!$B$85:$B$93="Dados")*((Premissas!$C$85:$C$93="Planejado")+(Premissas!$C$85:$C$93="Em estudo")*Premissas!$B$81)*(Premissas!$F$85:$F$93&lt;=AR$4)*(Premissas!$G$85:$G$93&gt;=AR$4)*(Premissas!$D$85:$D$93="Por usuário")*Premissas!$E$85:$E$93)*AR65)</f>
        <v>70000</v>
      </c>
      <c r="AS72" s="60" t="n">
        <f aca="false">IF(AS65=0,0,SUMPRODUCT((Premissas!$B$85:$B$93="Dados")*((Premissas!$C$85:$C$93="Planejado")+(Premissas!$C$85:$C$93="Em estudo")*Premissas!$B$81)*(Premissas!$F$85:$F$93&lt;=AS$4)*(Premissas!$G$85:$G$93&gt;=AS$4)*(Premissas!$D$85:$D$93="Fixo mensal")*Premissas!$E$85:$E$93)+SUMPRODUCT((Premissas!$B$85:$B$93="Dados")*((Premissas!$C$85:$C$93="Planejado")+(Premissas!$C$85:$C$93="Em estudo")*Premissas!$B$81)*(Premissas!$F$85:$F$93&lt;=AS$4)*(Premissas!$G$85:$G$93&gt;=AS$4)*(Premissas!$D$85:$D$93="Por usuário")*Premissas!$E$85:$E$93)*AS65)</f>
        <v>70000</v>
      </c>
      <c r="AT72" s="60" t="n">
        <f aca="false">IF(AT65=0,0,SUMPRODUCT((Premissas!$B$85:$B$93="Dados")*((Premissas!$C$85:$C$93="Planejado")+(Premissas!$C$85:$C$93="Em estudo")*Premissas!$B$81)*(Premissas!$F$85:$F$93&lt;=AT$4)*(Premissas!$G$85:$G$93&gt;=AT$4)*(Premissas!$D$85:$D$93="Fixo mensal")*Premissas!$E$85:$E$93)+SUMPRODUCT((Premissas!$B$85:$B$93="Dados")*((Premissas!$C$85:$C$93="Planejado")+(Premissas!$C$85:$C$93="Em estudo")*Premissas!$B$81)*(Premissas!$F$85:$F$93&lt;=AT$4)*(Premissas!$G$85:$G$93&gt;=AT$4)*(Premissas!$D$85:$D$93="Por usuário")*Premissas!$E$85:$E$93)*AT65)</f>
        <v>70000</v>
      </c>
      <c r="AU72" s="60" t="n">
        <f aca="false">IF(AU65=0,0,SUMPRODUCT((Premissas!$B$85:$B$93="Dados")*((Premissas!$C$85:$C$93="Planejado")+(Premissas!$C$85:$C$93="Em estudo")*Premissas!$B$81)*(Premissas!$F$85:$F$93&lt;=AU$4)*(Premissas!$G$85:$G$93&gt;=AU$4)*(Premissas!$D$85:$D$93="Fixo mensal")*Premissas!$E$85:$E$93)+SUMPRODUCT((Premissas!$B$85:$B$93="Dados")*((Premissas!$C$85:$C$93="Planejado")+(Premissas!$C$85:$C$93="Em estudo")*Premissas!$B$81)*(Premissas!$F$85:$F$93&lt;=AU$4)*(Premissas!$G$85:$G$93&gt;=AU$4)*(Premissas!$D$85:$D$93="Por usuário")*Premissas!$E$85:$E$93)*AU65)</f>
        <v>70000</v>
      </c>
      <c r="AV72" s="60" t="n">
        <f aca="false">IF(AV65=0,0,SUMPRODUCT((Premissas!$B$85:$B$93="Dados")*((Premissas!$C$85:$C$93="Planejado")+(Premissas!$C$85:$C$93="Em estudo")*Premissas!$B$81)*(Premissas!$F$85:$F$93&lt;=AV$4)*(Premissas!$G$85:$G$93&gt;=AV$4)*(Premissas!$D$85:$D$93="Fixo mensal")*Premissas!$E$85:$E$93)+SUMPRODUCT((Premissas!$B$85:$B$93="Dados")*((Premissas!$C$85:$C$93="Planejado")+(Premissas!$C$85:$C$93="Em estudo")*Premissas!$B$81)*(Premissas!$F$85:$F$93&lt;=AV$4)*(Premissas!$G$85:$G$93&gt;=AV$4)*(Premissas!$D$85:$D$93="Por usuário")*Premissas!$E$85:$E$93)*AV65)</f>
        <v>70000</v>
      </c>
      <c r="AW72" s="60" t="n">
        <f aca="false">IF(AW65=0,0,SUMPRODUCT((Premissas!$B$85:$B$93="Dados")*((Premissas!$C$85:$C$93="Planejado")+(Premissas!$C$85:$C$93="Em estudo")*Premissas!$B$81)*(Premissas!$F$85:$F$93&lt;=AW$4)*(Premissas!$G$85:$G$93&gt;=AW$4)*(Premissas!$D$85:$D$93="Fixo mensal")*Premissas!$E$85:$E$93)+SUMPRODUCT((Premissas!$B$85:$B$93="Dados")*((Premissas!$C$85:$C$93="Planejado")+(Premissas!$C$85:$C$93="Em estudo")*Premissas!$B$81)*(Premissas!$F$85:$F$93&lt;=AW$4)*(Premissas!$G$85:$G$93&gt;=AW$4)*(Premissas!$D$85:$D$93="Por usuário")*Premissas!$E$85:$E$93)*AW65)</f>
        <v>70000</v>
      </c>
      <c r="AX72" s="60" t="n">
        <f aca="false">IF(AX65=0,0,SUMPRODUCT((Premissas!$B$85:$B$93="Dados")*((Premissas!$C$85:$C$93="Planejado")+(Premissas!$C$85:$C$93="Em estudo")*Premissas!$B$81)*(Premissas!$F$85:$F$93&lt;=AX$4)*(Premissas!$G$85:$G$93&gt;=AX$4)*(Premissas!$D$85:$D$93="Fixo mensal")*Premissas!$E$85:$E$93)+SUMPRODUCT((Premissas!$B$85:$B$93="Dados")*((Premissas!$C$85:$C$93="Planejado")+(Premissas!$C$85:$C$93="Em estudo")*Premissas!$B$81)*(Premissas!$F$85:$F$93&lt;=AX$4)*(Premissas!$G$85:$G$93&gt;=AX$4)*(Premissas!$D$85:$D$93="Por usuário")*Premissas!$E$85:$E$93)*AX65)</f>
        <v>70000</v>
      </c>
      <c r="AY72" s="60" t="n">
        <f aca="false">IF(AY65=0,0,SUMPRODUCT((Premissas!$B$85:$B$93="Dados")*((Premissas!$C$85:$C$93="Planejado")+(Premissas!$C$85:$C$93="Em estudo")*Premissas!$B$81)*(Premissas!$F$85:$F$93&lt;=AY$4)*(Premissas!$G$85:$G$93&gt;=AY$4)*(Premissas!$D$85:$D$93="Fixo mensal")*Premissas!$E$85:$E$93)+SUMPRODUCT((Premissas!$B$85:$B$93="Dados")*((Premissas!$C$85:$C$93="Planejado")+(Premissas!$C$85:$C$93="Em estudo")*Premissas!$B$81)*(Premissas!$F$85:$F$93&lt;=AY$4)*(Premissas!$G$85:$G$93&gt;=AY$4)*(Premissas!$D$85:$D$93="Por usuário")*Premissas!$E$85:$E$93)*AY65)</f>
        <v>70000</v>
      </c>
      <c r="AZ72" s="60" t="n">
        <f aca="false">IF(AZ65=0,0,SUMPRODUCT((Premissas!$B$85:$B$93="Dados")*((Premissas!$C$85:$C$93="Planejado")+(Premissas!$C$85:$C$93="Em estudo")*Premissas!$B$81)*(Premissas!$F$85:$F$93&lt;=AZ$4)*(Premissas!$G$85:$G$93&gt;=AZ$4)*(Premissas!$D$85:$D$93="Fixo mensal")*Premissas!$E$85:$E$93)+SUMPRODUCT((Premissas!$B$85:$B$93="Dados")*((Premissas!$C$85:$C$93="Planejado")+(Premissas!$C$85:$C$93="Em estudo")*Premissas!$B$81)*(Premissas!$F$85:$F$93&lt;=AZ$4)*(Premissas!$G$85:$G$93&gt;=AZ$4)*(Premissas!$D$85:$D$93="Por usuário")*Premissas!$E$85:$E$93)*AZ65)</f>
        <v>70000</v>
      </c>
      <c r="BA72" s="60" t="n">
        <f aca="false">IF(BA65=0,0,SUMPRODUCT((Premissas!$B$85:$B$93="Dados")*((Premissas!$C$85:$C$93="Planejado")+(Premissas!$C$85:$C$93="Em estudo")*Premissas!$B$81)*(Premissas!$F$85:$F$93&lt;=BA$4)*(Premissas!$G$85:$G$93&gt;=BA$4)*(Premissas!$D$85:$D$93="Fixo mensal")*Premissas!$E$85:$E$93)+SUMPRODUCT((Premissas!$B$85:$B$93="Dados")*((Premissas!$C$85:$C$93="Planejado")+(Premissas!$C$85:$C$93="Em estudo")*Premissas!$B$81)*(Premissas!$F$85:$F$93&lt;=BA$4)*(Premissas!$G$85:$G$93&gt;=BA$4)*(Premissas!$D$85:$D$93="Por usuário")*Premissas!$E$85:$E$93)*BA65)</f>
        <v>70000</v>
      </c>
      <c r="BB72" s="60" t="n">
        <f aca="false">IF(BB65=0,0,SUMPRODUCT((Premissas!$B$85:$B$93="Dados")*((Premissas!$C$85:$C$93="Planejado")+(Premissas!$C$85:$C$93="Em estudo")*Premissas!$B$81)*(Premissas!$F$85:$F$93&lt;=BB$4)*(Premissas!$G$85:$G$93&gt;=BB$4)*(Premissas!$D$85:$D$93="Fixo mensal")*Premissas!$E$85:$E$93)+SUMPRODUCT((Premissas!$B$85:$B$93="Dados")*((Premissas!$C$85:$C$93="Planejado")+(Premissas!$C$85:$C$93="Em estudo")*Premissas!$B$81)*(Premissas!$F$85:$F$93&lt;=BB$4)*(Premissas!$G$85:$G$93&gt;=BB$4)*(Premissas!$D$85:$D$93="Por usuário")*Premissas!$E$85:$E$93)*BB65)</f>
        <v>70000</v>
      </c>
      <c r="BC72" s="60" t="n">
        <f aca="false">IF(BC65=0,0,SUMPRODUCT((Premissas!$B$85:$B$93="Dados")*((Premissas!$C$85:$C$93="Planejado")+(Premissas!$C$85:$C$93="Em estudo")*Premissas!$B$81)*(Premissas!$F$85:$F$93&lt;=BC$4)*(Premissas!$G$85:$G$93&gt;=BC$4)*(Premissas!$D$85:$D$93="Fixo mensal")*Premissas!$E$85:$E$93)+SUMPRODUCT((Premissas!$B$85:$B$93="Dados")*((Premissas!$C$85:$C$93="Planejado")+(Premissas!$C$85:$C$93="Em estudo")*Premissas!$B$81)*(Premissas!$F$85:$F$93&lt;=BC$4)*(Premissas!$G$85:$G$93&gt;=BC$4)*(Premissas!$D$85:$D$93="Por usuário")*Premissas!$E$85:$E$93)*BC65)</f>
        <v>70000</v>
      </c>
      <c r="BD72" s="60" t="n">
        <f aca="false">IF(BD65=0,0,SUMPRODUCT((Premissas!$B$85:$B$93="Dados")*((Premissas!$C$85:$C$93="Planejado")+(Premissas!$C$85:$C$93="Em estudo")*Premissas!$B$81)*(Premissas!$F$85:$F$93&lt;=BD$4)*(Premissas!$G$85:$G$93&gt;=BD$4)*(Premissas!$D$85:$D$93="Fixo mensal")*Premissas!$E$85:$E$93)+SUMPRODUCT((Premissas!$B$85:$B$93="Dados")*((Premissas!$C$85:$C$93="Planejado")+(Premissas!$C$85:$C$93="Em estudo")*Premissas!$B$81)*(Premissas!$F$85:$F$93&lt;=BD$4)*(Premissas!$G$85:$G$93&gt;=BD$4)*(Premissas!$D$85:$D$93="Por usuário")*Premissas!$E$85:$E$93)*BD65)</f>
        <v>70000</v>
      </c>
      <c r="BE72" s="60" t="n">
        <f aca="false">IF(BE65=0,0,SUMPRODUCT((Premissas!$B$85:$B$93="Dados")*((Premissas!$C$85:$C$93="Planejado")+(Premissas!$C$85:$C$93="Em estudo")*Premissas!$B$81)*(Premissas!$F$85:$F$93&lt;=BE$4)*(Premissas!$G$85:$G$93&gt;=BE$4)*(Premissas!$D$85:$D$93="Fixo mensal")*Premissas!$E$85:$E$93)+SUMPRODUCT((Premissas!$B$85:$B$93="Dados")*((Premissas!$C$85:$C$93="Planejado")+(Premissas!$C$85:$C$93="Em estudo")*Premissas!$B$81)*(Premissas!$F$85:$F$93&lt;=BE$4)*(Premissas!$G$85:$G$93&gt;=BE$4)*(Premissas!$D$85:$D$93="Por usuário")*Premissas!$E$85:$E$93)*BE65)</f>
        <v>70000</v>
      </c>
      <c r="BF72" s="60" t="n">
        <f aca="false">IF(BF65=0,0,SUMPRODUCT((Premissas!$B$85:$B$93="Dados")*((Premissas!$C$85:$C$93="Planejado")+(Premissas!$C$85:$C$93="Em estudo")*Premissas!$B$81)*(Premissas!$F$85:$F$93&lt;=BF$4)*(Premissas!$G$85:$G$93&gt;=BF$4)*(Premissas!$D$85:$D$93="Fixo mensal")*Premissas!$E$85:$E$93)+SUMPRODUCT((Premissas!$B$85:$B$93="Dados")*((Premissas!$C$85:$C$93="Planejado")+(Premissas!$C$85:$C$93="Em estudo")*Premissas!$B$81)*(Premissas!$F$85:$F$93&lt;=BF$4)*(Premissas!$G$85:$G$93&gt;=BF$4)*(Premissas!$D$85:$D$93="Por usuário")*Premissas!$E$85:$E$93)*BF65)</f>
        <v>70000</v>
      </c>
      <c r="BG72" s="60" t="n">
        <f aca="false">IF(BG65=0,0,SUMPRODUCT((Premissas!$B$85:$B$93="Dados")*((Premissas!$C$85:$C$93="Planejado")+(Premissas!$C$85:$C$93="Em estudo")*Premissas!$B$81)*(Premissas!$F$85:$F$93&lt;=BG$4)*(Premissas!$G$85:$G$93&gt;=BG$4)*(Premissas!$D$85:$D$93="Fixo mensal")*Premissas!$E$85:$E$93)+SUMPRODUCT((Premissas!$B$85:$B$93="Dados")*((Premissas!$C$85:$C$93="Planejado")+(Premissas!$C$85:$C$93="Em estudo")*Premissas!$B$81)*(Premissas!$F$85:$F$93&lt;=BG$4)*(Premissas!$G$85:$G$93&gt;=BG$4)*(Premissas!$D$85:$D$93="Por usuário")*Premissas!$E$85:$E$93)*BG65)</f>
        <v>70000</v>
      </c>
      <c r="BH72" s="60" t="n">
        <f aca="false">IF(BH65=0,0,SUMPRODUCT((Premissas!$B$85:$B$93="Dados")*((Premissas!$C$85:$C$93="Planejado")+(Premissas!$C$85:$C$93="Em estudo")*Premissas!$B$81)*(Premissas!$F$85:$F$93&lt;=BH$4)*(Premissas!$G$85:$G$93&gt;=BH$4)*(Premissas!$D$85:$D$93="Fixo mensal")*Premissas!$E$85:$E$93)+SUMPRODUCT((Premissas!$B$85:$B$93="Dados")*((Premissas!$C$85:$C$93="Planejado")+(Premissas!$C$85:$C$93="Em estudo")*Premissas!$B$81)*(Premissas!$F$85:$F$93&lt;=BH$4)*(Premissas!$G$85:$G$93&gt;=BH$4)*(Premissas!$D$85:$D$93="Por usuário")*Premissas!$E$85:$E$93)*BH65)</f>
        <v>70000</v>
      </c>
      <c r="BI72" s="60" t="n">
        <f aca="false">IF(BI65=0,0,SUMPRODUCT((Premissas!$B$85:$B$93="Dados")*((Premissas!$C$85:$C$93="Planejado")+(Premissas!$C$85:$C$93="Em estudo")*Premissas!$B$81)*(Premissas!$F$85:$F$93&lt;=BI$4)*(Premissas!$G$85:$G$93&gt;=BI$4)*(Premissas!$D$85:$D$93="Fixo mensal")*Premissas!$E$85:$E$93)+SUMPRODUCT((Premissas!$B$85:$B$93="Dados")*((Premissas!$C$85:$C$93="Planejado")+(Premissas!$C$85:$C$93="Em estudo")*Premissas!$B$81)*(Premissas!$F$85:$F$93&lt;=BI$4)*(Premissas!$G$85:$G$93&gt;=BI$4)*(Premissas!$D$85:$D$93="Por usuário")*Premissas!$E$85:$E$93)*BI65)</f>
        <v>70000</v>
      </c>
      <c r="BJ72" s="61" t="n">
        <f aca="false">SUM(B72:BI72)</f>
        <v>1950000</v>
      </c>
    </row>
    <row r="73" customFormat="false" ht="15" hidden="false" customHeight="false" outlineLevel="0" collapsed="false">
      <c r="A73" s="27" t="s">
        <v>879</v>
      </c>
      <c r="B73" s="60" t="n">
        <f aca="false">SUMPRODUCT((Premissas!$B$85:$B$93="Outras")*((Premissas!$C$85:$C$93="Planejado")+(Premissas!$C$85:$C$93="Em estudo")*Premissas!$B$81)*(Premissas!$F$85:$F$93&lt;=B$4)*(Premissas!$G$85:$G$93&gt;=B$4)*(Premissas!$D$85:$D$93="Fixo mensal")*Premissas!$E$85:$E$93)+SUMPRODUCT((Premissas!$B$85:$B$93="Outras")*((Premissas!$C$85:$C$93="Planejado")+(Premissas!$C$85:$C$93="Em estudo")*Premissas!$B$81)*(Premissas!$F$85:$F$93&lt;=B$4)*(Premissas!$G$85:$G$93&gt;=B$4)*(Premissas!$D$85:$D$93="Por usuário")*Premissas!$E$85:$E$93)*B65</f>
        <v>0</v>
      </c>
      <c r="C73" s="60" t="n">
        <f aca="false">SUMPRODUCT((Premissas!$B$85:$B$93="Outras")*((Premissas!$C$85:$C$93="Planejado")+(Premissas!$C$85:$C$93="Em estudo")*Premissas!$B$81)*(Premissas!$F$85:$F$93&lt;=C$4)*(Premissas!$G$85:$G$93&gt;=C$4)*(Premissas!$D$85:$D$93="Fixo mensal")*Premissas!$E$85:$E$93)+SUMPRODUCT((Premissas!$B$85:$B$93="Outras")*((Premissas!$C$85:$C$93="Planejado")+(Premissas!$C$85:$C$93="Em estudo")*Premissas!$B$81)*(Premissas!$F$85:$F$93&lt;=C$4)*(Premissas!$G$85:$G$93&gt;=C$4)*(Premissas!$D$85:$D$93="Por usuário")*Premissas!$E$85:$E$93)*C65</f>
        <v>0</v>
      </c>
      <c r="D73" s="60" t="n">
        <f aca="false">SUMPRODUCT((Premissas!$B$85:$B$93="Outras")*((Premissas!$C$85:$C$93="Planejado")+(Premissas!$C$85:$C$93="Em estudo")*Premissas!$B$81)*(Premissas!$F$85:$F$93&lt;=D$4)*(Premissas!$G$85:$G$93&gt;=D$4)*(Premissas!$D$85:$D$93="Fixo mensal")*Premissas!$E$85:$E$93)+SUMPRODUCT((Premissas!$B$85:$B$93="Outras")*((Premissas!$C$85:$C$93="Planejado")+(Premissas!$C$85:$C$93="Em estudo")*Premissas!$B$81)*(Premissas!$F$85:$F$93&lt;=D$4)*(Premissas!$G$85:$G$93&gt;=D$4)*(Premissas!$D$85:$D$93="Por usuário")*Premissas!$E$85:$E$93)*D65</f>
        <v>0</v>
      </c>
      <c r="E73" s="60" t="n">
        <f aca="false">SUMPRODUCT((Premissas!$B$85:$B$93="Outras")*((Premissas!$C$85:$C$93="Planejado")+(Premissas!$C$85:$C$93="Em estudo")*Premissas!$B$81)*(Premissas!$F$85:$F$93&lt;=E$4)*(Premissas!$G$85:$G$93&gt;=E$4)*(Premissas!$D$85:$D$93="Fixo mensal")*Premissas!$E$85:$E$93)+SUMPRODUCT((Premissas!$B$85:$B$93="Outras")*((Premissas!$C$85:$C$93="Planejado")+(Premissas!$C$85:$C$93="Em estudo")*Premissas!$B$81)*(Premissas!$F$85:$F$93&lt;=E$4)*(Premissas!$G$85:$G$93&gt;=E$4)*(Premissas!$D$85:$D$93="Por usuário")*Premissas!$E$85:$E$93)*E65</f>
        <v>0</v>
      </c>
      <c r="F73" s="60" t="n">
        <f aca="false">SUMPRODUCT((Premissas!$B$85:$B$93="Outras")*((Premissas!$C$85:$C$93="Planejado")+(Premissas!$C$85:$C$93="Em estudo")*Premissas!$B$81)*(Premissas!$F$85:$F$93&lt;=F$4)*(Premissas!$G$85:$G$93&gt;=F$4)*(Premissas!$D$85:$D$93="Fixo mensal")*Premissas!$E$85:$E$93)+SUMPRODUCT((Premissas!$B$85:$B$93="Outras")*((Premissas!$C$85:$C$93="Planejado")+(Premissas!$C$85:$C$93="Em estudo")*Premissas!$B$81)*(Premissas!$F$85:$F$93&lt;=F$4)*(Premissas!$G$85:$G$93&gt;=F$4)*(Premissas!$D$85:$D$93="Por usuário")*Premissas!$E$85:$E$93)*F65</f>
        <v>0</v>
      </c>
      <c r="G73" s="60" t="n">
        <f aca="false">SUMPRODUCT((Premissas!$B$85:$B$93="Outras")*((Premissas!$C$85:$C$93="Planejado")+(Premissas!$C$85:$C$93="Em estudo")*Premissas!$B$81)*(Premissas!$F$85:$F$93&lt;=G$4)*(Premissas!$G$85:$G$93&gt;=G$4)*(Premissas!$D$85:$D$93="Fixo mensal")*Premissas!$E$85:$E$93)+SUMPRODUCT((Premissas!$B$85:$B$93="Outras")*((Premissas!$C$85:$C$93="Planejado")+(Premissas!$C$85:$C$93="Em estudo")*Premissas!$B$81)*(Premissas!$F$85:$F$93&lt;=G$4)*(Premissas!$G$85:$G$93&gt;=G$4)*(Premissas!$D$85:$D$93="Por usuário")*Premissas!$E$85:$E$93)*G65</f>
        <v>0</v>
      </c>
      <c r="H73" s="60" t="n">
        <f aca="false">SUMPRODUCT((Premissas!$B$85:$B$93="Outras")*((Premissas!$C$85:$C$93="Planejado")+(Premissas!$C$85:$C$93="Em estudo")*Premissas!$B$81)*(Premissas!$F$85:$F$93&lt;=H$4)*(Premissas!$G$85:$G$93&gt;=H$4)*(Premissas!$D$85:$D$93="Fixo mensal")*Premissas!$E$85:$E$93)+SUMPRODUCT((Premissas!$B$85:$B$93="Outras")*((Premissas!$C$85:$C$93="Planejado")+(Premissas!$C$85:$C$93="Em estudo")*Premissas!$B$81)*(Premissas!$F$85:$F$93&lt;=H$4)*(Premissas!$G$85:$G$93&gt;=H$4)*(Premissas!$D$85:$D$93="Por usuário")*Premissas!$E$85:$E$93)*H65</f>
        <v>0</v>
      </c>
      <c r="I73" s="60" t="n">
        <f aca="false">SUMPRODUCT((Premissas!$B$85:$B$93="Outras")*((Premissas!$C$85:$C$93="Planejado")+(Premissas!$C$85:$C$93="Em estudo")*Premissas!$B$81)*(Premissas!$F$85:$F$93&lt;=I$4)*(Premissas!$G$85:$G$93&gt;=I$4)*(Premissas!$D$85:$D$93="Fixo mensal")*Premissas!$E$85:$E$93)+SUMPRODUCT((Premissas!$B$85:$B$93="Outras")*((Premissas!$C$85:$C$93="Planejado")+(Premissas!$C$85:$C$93="Em estudo")*Premissas!$B$81)*(Premissas!$F$85:$F$93&lt;=I$4)*(Premissas!$G$85:$G$93&gt;=I$4)*(Premissas!$D$85:$D$93="Por usuário")*Premissas!$E$85:$E$93)*I65</f>
        <v>0</v>
      </c>
      <c r="J73" s="60" t="n">
        <f aca="false">SUMPRODUCT((Premissas!$B$85:$B$93="Outras")*((Premissas!$C$85:$C$93="Planejado")+(Premissas!$C$85:$C$93="Em estudo")*Premissas!$B$81)*(Premissas!$F$85:$F$93&lt;=J$4)*(Premissas!$G$85:$G$93&gt;=J$4)*(Premissas!$D$85:$D$93="Fixo mensal")*Premissas!$E$85:$E$93)+SUMPRODUCT((Premissas!$B$85:$B$93="Outras")*((Premissas!$C$85:$C$93="Planejado")+(Premissas!$C$85:$C$93="Em estudo")*Premissas!$B$81)*(Premissas!$F$85:$F$93&lt;=J$4)*(Premissas!$G$85:$G$93&gt;=J$4)*(Premissas!$D$85:$D$93="Por usuário")*Premissas!$E$85:$E$93)*J65</f>
        <v>0</v>
      </c>
      <c r="K73" s="60" t="n">
        <f aca="false">SUMPRODUCT((Premissas!$B$85:$B$93="Outras")*((Premissas!$C$85:$C$93="Planejado")+(Premissas!$C$85:$C$93="Em estudo")*Premissas!$B$81)*(Premissas!$F$85:$F$93&lt;=K$4)*(Premissas!$G$85:$G$93&gt;=K$4)*(Premissas!$D$85:$D$93="Fixo mensal")*Premissas!$E$85:$E$93)+SUMPRODUCT((Premissas!$B$85:$B$93="Outras")*((Premissas!$C$85:$C$93="Planejado")+(Premissas!$C$85:$C$93="Em estudo")*Premissas!$B$81)*(Premissas!$F$85:$F$93&lt;=K$4)*(Premissas!$G$85:$G$93&gt;=K$4)*(Premissas!$D$85:$D$93="Por usuário")*Premissas!$E$85:$E$93)*K65</f>
        <v>0</v>
      </c>
      <c r="L73" s="60" t="n">
        <f aca="false">SUMPRODUCT((Premissas!$B$85:$B$93="Outras")*((Premissas!$C$85:$C$93="Planejado")+(Premissas!$C$85:$C$93="Em estudo")*Premissas!$B$81)*(Premissas!$F$85:$F$93&lt;=L$4)*(Premissas!$G$85:$G$93&gt;=L$4)*(Premissas!$D$85:$D$93="Fixo mensal")*Premissas!$E$85:$E$93)+SUMPRODUCT((Premissas!$B$85:$B$93="Outras")*((Premissas!$C$85:$C$93="Planejado")+(Premissas!$C$85:$C$93="Em estudo")*Premissas!$B$81)*(Premissas!$F$85:$F$93&lt;=L$4)*(Premissas!$G$85:$G$93&gt;=L$4)*(Premissas!$D$85:$D$93="Por usuário")*Premissas!$E$85:$E$93)*L65</f>
        <v>0</v>
      </c>
      <c r="M73" s="60" t="n">
        <f aca="false">SUMPRODUCT((Premissas!$B$85:$B$93="Outras")*((Premissas!$C$85:$C$93="Planejado")+(Premissas!$C$85:$C$93="Em estudo")*Premissas!$B$81)*(Premissas!$F$85:$F$93&lt;=M$4)*(Premissas!$G$85:$G$93&gt;=M$4)*(Premissas!$D$85:$D$93="Fixo mensal")*Premissas!$E$85:$E$93)+SUMPRODUCT((Premissas!$B$85:$B$93="Outras")*((Premissas!$C$85:$C$93="Planejado")+(Premissas!$C$85:$C$93="Em estudo")*Premissas!$B$81)*(Premissas!$F$85:$F$93&lt;=M$4)*(Premissas!$G$85:$G$93&gt;=M$4)*(Premissas!$D$85:$D$93="Por usuário")*Premissas!$E$85:$E$93)*M65</f>
        <v>0</v>
      </c>
      <c r="N73" s="60" t="n">
        <f aca="false">SUMPRODUCT((Premissas!$B$85:$B$93="Outras")*((Premissas!$C$85:$C$93="Planejado")+(Premissas!$C$85:$C$93="Em estudo")*Premissas!$B$81)*(Premissas!$F$85:$F$93&lt;=N$4)*(Premissas!$G$85:$G$93&gt;=N$4)*(Premissas!$D$85:$D$93="Fixo mensal")*Premissas!$E$85:$E$93)+SUMPRODUCT((Premissas!$B$85:$B$93="Outras")*((Premissas!$C$85:$C$93="Planejado")+(Premissas!$C$85:$C$93="Em estudo")*Premissas!$B$81)*(Premissas!$F$85:$F$93&lt;=N$4)*(Premissas!$G$85:$G$93&gt;=N$4)*(Premissas!$D$85:$D$93="Por usuário")*Premissas!$E$85:$E$93)*N65</f>
        <v>0</v>
      </c>
      <c r="O73" s="60" t="n">
        <f aca="false">SUMPRODUCT((Premissas!$B$85:$B$93="Outras")*((Premissas!$C$85:$C$93="Planejado")+(Premissas!$C$85:$C$93="Em estudo")*Premissas!$B$81)*(Premissas!$F$85:$F$93&lt;=O$4)*(Premissas!$G$85:$G$93&gt;=O$4)*(Premissas!$D$85:$D$93="Fixo mensal")*Premissas!$E$85:$E$93)+SUMPRODUCT((Premissas!$B$85:$B$93="Outras")*((Premissas!$C$85:$C$93="Planejado")+(Premissas!$C$85:$C$93="Em estudo")*Premissas!$B$81)*(Premissas!$F$85:$F$93&lt;=O$4)*(Premissas!$G$85:$G$93&gt;=O$4)*(Premissas!$D$85:$D$93="Por usuário")*Premissas!$E$85:$E$93)*O65</f>
        <v>0</v>
      </c>
      <c r="P73" s="60" t="n">
        <f aca="false">SUMPRODUCT((Premissas!$B$85:$B$93="Outras")*((Premissas!$C$85:$C$93="Planejado")+(Premissas!$C$85:$C$93="Em estudo")*Premissas!$B$81)*(Premissas!$F$85:$F$93&lt;=P$4)*(Premissas!$G$85:$G$93&gt;=P$4)*(Premissas!$D$85:$D$93="Fixo mensal")*Premissas!$E$85:$E$93)+SUMPRODUCT((Premissas!$B$85:$B$93="Outras")*((Premissas!$C$85:$C$93="Planejado")+(Premissas!$C$85:$C$93="Em estudo")*Premissas!$B$81)*(Premissas!$F$85:$F$93&lt;=P$4)*(Premissas!$G$85:$G$93&gt;=P$4)*(Premissas!$D$85:$D$93="Por usuário")*Premissas!$E$85:$E$93)*P65</f>
        <v>0</v>
      </c>
      <c r="Q73" s="60" t="n">
        <f aca="false">SUMPRODUCT((Premissas!$B$85:$B$93="Outras")*((Premissas!$C$85:$C$93="Planejado")+(Premissas!$C$85:$C$93="Em estudo")*Premissas!$B$81)*(Premissas!$F$85:$F$93&lt;=Q$4)*(Premissas!$G$85:$G$93&gt;=Q$4)*(Premissas!$D$85:$D$93="Fixo mensal")*Premissas!$E$85:$E$93)+SUMPRODUCT((Premissas!$B$85:$B$93="Outras")*((Premissas!$C$85:$C$93="Planejado")+(Premissas!$C$85:$C$93="Em estudo")*Premissas!$B$81)*(Premissas!$F$85:$F$93&lt;=Q$4)*(Premissas!$G$85:$G$93&gt;=Q$4)*(Premissas!$D$85:$D$93="Por usuário")*Premissas!$E$85:$E$93)*Q65</f>
        <v>0</v>
      </c>
      <c r="R73" s="60" t="n">
        <f aca="false">SUMPRODUCT((Premissas!$B$85:$B$93="Outras")*((Premissas!$C$85:$C$93="Planejado")+(Premissas!$C$85:$C$93="Em estudo")*Premissas!$B$81)*(Premissas!$F$85:$F$93&lt;=R$4)*(Premissas!$G$85:$G$93&gt;=R$4)*(Premissas!$D$85:$D$93="Fixo mensal")*Premissas!$E$85:$E$93)+SUMPRODUCT((Premissas!$B$85:$B$93="Outras")*((Premissas!$C$85:$C$93="Planejado")+(Premissas!$C$85:$C$93="Em estudo")*Premissas!$B$81)*(Premissas!$F$85:$F$93&lt;=R$4)*(Premissas!$G$85:$G$93&gt;=R$4)*(Premissas!$D$85:$D$93="Por usuário")*Premissas!$E$85:$E$93)*R65</f>
        <v>0</v>
      </c>
      <c r="S73" s="60" t="n">
        <f aca="false">SUMPRODUCT((Premissas!$B$85:$B$93="Outras")*((Premissas!$C$85:$C$93="Planejado")+(Premissas!$C$85:$C$93="Em estudo")*Premissas!$B$81)*(Premissas!$F$85:$F$93&lt;=S$4)*(Premissas!$G$85:$G$93&gt;=S$4)*(Premissas!$D$85:$D$93="Fixo mensal")*Premissas!$E$85:$E$93)+SUMPRODUCT((Premissas!$B$85:$B$93="Outras")*((Premissas!$C$85:$C$93="Planejado")+(Premissas!$C$85:$C$93="Em estudo")*Premissas!$B$81)*(Premissas!$F$85:$F$93&lt;=S$4)*(Premissas!$G$85:$G$93&gt;=S$4)*(Premissas!$D$85:$D$93="Por usuário")*Premissas!$E$85:$E$93)*S65</f>
        <v>0</v>
      </c>
      <c r="T73" s="60" t="n">
        <f aca="false">SUMPRODUCT((Premissas!$B$85:$B$93="Outras")*((Premissas!$C$85:$C$93="Planejado")+(Premissas!$C$85:$C$93="Em estudo")*Premissas!$B$81)*(Premissas!$F$85:$F$93&lt;=T$4)*(Premissas!$G$85:$G$93&gt;=T$4)*(Premissas!$D$85:$D$93="Fixo mensal")*Premissas!$E$85:$E$93)+SUMPRODUCT((Premissas!$B$85:$B$93="Outras")*((Premissas!$C$85:$C$93="Planejado")+(Premissas!$C$85:$C$93="Em estudo")*Premissas!$B$81)*(Premissas!$F$85:$F$93&lt;=T$4)*(Premissas!$G$85:$G$93&gt;=T$4)*(Premissas!$D$85:$D$93="Por usuário")*Premissas!$E$85:$E$93)*T65</f>
        <v>0</v>
      </c>
      <c r="U73" s="60" t="n">
        <f aca="false">SUMPRODUCT((Premissas!$B$85:$B$93="Outras")*((Premissas!$C$85:$C$93="Planejado")+(Premissas!$C$85:$C$93="Em estudo")*Premissas!$B$81)*(Premissas!$F$85:$F$93&lt;=U$4)*(Premissas!$G$85:$G$93&gt;=U$4)*(Premissas!$D$85:$D$93="Fixo mensal")*Premissas!$E$85:$E$93)+SUMPRODUCT((Premissas!$B$85:$B$93="Outras")*((Premissas!$C$85:$C$93="Planejado")+(Premissas!$C$85:$C$93="Em estudo")*Premissas!$B$81)*(Premissas!$F$85:$F$93&lt;=U$4)*(Premissas!$G$85:$G$93&gt;=U$4)*(Premissas!$D$85:$D$93="Por usuário")*Premissas!$E$85:$E$93)*U65</f>
        <v>0</v>
      </c>
      <c r="V73" s="60" t="n">
        <f aca="false">SUMPRODUCT((Premissas!$B$85:$B$93="Outras")*((Premissas!$C$85:$C$93="Planejado")+(Premissas!$C$85:$C$93="Em estudo")*Premissas!$B$81)*(Premissas!$F$85:$F$93&lt;=V$4)*(Premissas!$G$85:$G$93&gt;=V$4)*(Premissas!$D$85:$D$93="Fixo mensal")*Premissas!$E$85:$E$93)+SUMPRODUCT((Premissas!$B$85:$B$93="Outras")*((Premissas!$C$85:$C$93="Planejado")+(Premissas!$C$85:$C$93="Em estudo")*Premissas!$B$81)*(Premissas!$F$85:$F$93&lt;=V$4)*(Premissas!$G$85:$G$93&gt;=V$4)*(Premissas!$D$85:$D$93="Por usuário")*Premissas!$E$85:$E$93)*V65</f>
        <v>0</v>
      </c>
      <c r="W73" s="60" t="n">
        <f aca="false">SUMPRODUCT((Premissas!$B$85:$B$93="Outras")*((Premissas!$C$85:$C$93="Planejado")+(Premissas!$C$85:$C$93="Em estudo")*Premissas!$B$81)*(Premissas!$F$85:$F$93&lt;=W$4)*(Premissas!$G$85:$G$93&gt;=W$4)*(Premissas!$D$85:$D$93="Fixo mensal")*Premissas!$E$85:$E$93)+SUMPRODUCT((Premissas!$B$85:$B$93="Outras")*((Premissas!$C$85:$C$93="Planejado")+(Premissas!$C$85:$C$93="Em estudo")*Premissas!$B$81)*(Premissas!$F$85:$F$93&lt;=W$4)*(Premissas!$G$85:$G$93&gt;=W$4)*(Premissas!$D$85:$D$93="Por usuário")*Premissas!$E$85:$E$93)*W65</f>
        <v>0</v>
      </c>
      <c r="X73" s="60" t="n">
        <f aca="false">SUMPRODUCT((Premissas!$B$85:$B$93="Outras")*((Premissas!$C$85:$C$93="Planejado")+(Premissas!$C$85:$C$93="Em estudo")*Premissas!$B$81)*(Premissas!$F$85:$F$93&lt;=X$4)*(Premissas!$G$85:$G$93&gt;=X$4)*(Premissas!$D$85:$D$93="Fixo mensal")*Premissas!$E$85:$E$93)+SUMPRODUCT((Premissas!$B$85:$B$93="Outras")*((Premissas!$C$85:$C$93="Planejado")+(Premissas!$C$85:$C$93="Em estudo")*Premissas!$B$81)*(Premissas!$F$85:$F$93&lt;=X$4)*(Premissas!$G$85:$G$93&gt;=X$4)*(Premissas!$D$85:$D$93="Por usuário")*Premissas!$E$85:$E$93)*X65</f>
        <v>0</v>
      </c>
      <c r="Y73" s="60" t="n">
        <f aca="false">SUMPRODUCT((Premissas!$B$85:$B$93="Outras")*((Premissas!$C$85:$C$93="Planejado")+(Premissas!$C$85:$C$93="Em estudo")*Premissas!$B$81)*(Premissas!$F$85:$F$93&lt;=Y$4)*(Premissas!$G$85:$G$93&gt;=Y$4)*(Premissas!$D$85:$D$93="Fixo mensal")*Premissas!$E$85:$E$93)+SUMPRODUCT((Premissas!$B$85:$B$93="Outras")*((Premissas!$C$85:$C$93="Planejado")+(Premissas!$C$85:$C$93="Em estudo")*Premissas!$B$81)*(Premissas!$F$85:$F$93&lt;=Y$4)*(Premissas!$G$85:$G$93&gt;=Y$4)*(Premissas!$D$85:$D$93="Por usuário")*Premissas!$E$85:$E$93)*Y65</f>
        <v>0</v>
      </c>
      <c r="Z73" s="60" t="n">
        <f aca="false">SUMPRODUCT((Premissas!$B$85:$B$93="Outras")*((Premissas!$C$85:$C$93="Planejado")+(Premissas!$C$85:$C$93="Em estudo")*Premissas!$B$81)*(Premissas!$F$85:$F$93&lt;=Z$4)*(Premissas!$G$85:$G$93&gt;=Z$4)*(Premissas!$D$85:$D$93="Fixo mensal")*Premissas!$E$85:$E$93)+SUMPRODUCT((Premissas!$B$85:$B$93="Outras")*((Premissas!$C$85:$C$93="Planejado")+(Premissas!$C$85:$C$93="Em estudo")*Premissas!$B$81)*(Premissas!$F$85:$F$93&lt;=Z$4)*(Premissas!$G$85:$G$93&gt;=Z$4)*(Premissas!$D$85:$D$93="Por usuário")*Premissas!$E$85:$E$93)*Z65</f>
        <v>0</v>
      </c>
      <c r="AA73" s="60" t="n">
        <f aca="false">SUMPRODUCT((Premissas!$B$85:$B$93="Outras")*((Premissas!$C$85:$C$93="Planejado")+(Premissas!$C$85:$C$93="Em estudo")*Premissas!$B$81)*(Premissas!$F$85:$F$93&lt;=AA$4)*(Premissas!$G$85:$G$93&gt;=AA$4)*(Premissas!$D$85:$D$93="Fixo mensal")*Premissas!$E$85:$E$93)+SUMPRODUCT((Premissas!$B$85:$B$93="Outras")*((Premissas!$C$85:$C$93="Planejado")+(Premissas!$C$85:$C$93="Em estudo")*Premissas!$B$81)*(Premissas!$F$85:$F$93&lt;=AA$4)*(Premissas!$G$85:$G$93&gt;=AA$4)*(Premissas!$D$85:$D$93="Por usuário")*Premissas!$E$85:$E$93)*AA65</f>
        <v>0</v>
      </c>
      <c r="AB73" s="60" t="n">
        <f aca="false">SUMPRODUCT((Premissas!$B$85:$B$93="Outras")*((Premissas!$C$85:$C$93="Planejado")+(Premissas!$C$85:$C$93="Em estudo")*Premissas!$B$81)*(Premissas!$F$85:$F$93&lt;=AB$4)*(Premissas!$G$85:$G$93&gt;=AB$4)*(Premissas!$D$85:$D$93="Fixo mensal")*Premissas!$E$85:$E$93)+SUMPRODUCT((Premissas!$B$85:$B$93="Outras")*((Premissas!$C$85:$C$93="Planejado")+(Premissas!$C$85:$C$93="Em estudo")*Premissas!$B$81)*(Premissas!$F$85:$F$93&lt;=AB$4)*(Premissas!$G$85:$G$93&gt;=AB$4)*(Premissas!$D$85:$D$93="Por usuário")*Premissas!$E$85:$E$93)*AB65</f>
        <v>0</v>
      </c>
      <c r="AC73" s="60" t="n">
        <f aca="false">SUMPRODUCT((Premissas!$B$85:$B$93="Outras")*((Premissas!$C$85:$C$93="Planejado")+(Premissas!$C$85:$C$93="Em estudo")*Premissas!$B$81)*(Premissas!$F$85:$F$93&lt;=AC$4)*(Premissas!$G$85:$G$93&gt;=AC$4)*(Premissas!$D$85:$D$93="Fixo mensal")*Premissas!$E$85:$E$93)+SUMPRODUCT((Premissas!$B$85:$B$93="Outras")*((Premissas!$C$85:$C$93="Planejado")+(Premissas!$C$85:$C$93="Em estudo")*Premissas!$B$81)*(Premissas!$F$85:$F$93&lt;=AC$4)*(Premissas!$G$85:$G$93&gt;=AC$4)*(Premissas!$D$85:$D$93="Por usuário")*Premissas!$E$85:$E$93)*AC65</f>
        <v>0</v>
      </c>
      <c r="AD73" s="60" t="n">
        <f aca="false">SUMPRODUCT((Premissas!$B$85:$B$93="Outras")*((Premissas!$C$85:$C$93="Planejado")+(Premissas!$C$85:$C$93="Em estudo")*Premissas!$B$81)*(Premissas!$F$85:$F$93&lt;=AD$4)*(Premissas!$G$85:$G$93&gt;=AD$4)*(Premissas!$D$85:$D$93="Fixo mensal")*Premissas!$E$85:$E$93)+SUMPRODUCT((Premissas!$B$85:$B$93="Outras")*((Premissas!$C$85:$C$93="Planejado")+(Premissas!$C$85:$C$93="Em estudo")*Premissas!$B$81)*(Premissas!$F$85:$F$93&lt;=AD$4)*(Premissas!$G$85:$G$93&gt;=AD$4)*(Premissas!$D$85:$D$93="Por usuário")*Premissas!$E$85:$E$93)*AD65</f>
        <v>0</v>
      </c>
      <c r="AE73" s="60" t="n">
        <f aca="false">SUMPRODUCT((Premissas!$B$85:$B$93="Outras")*((Premissas!$C$85:$C$93="Planejado")+(Premissas!$C$85:$C$93="Em estudo")*Premissas!$B$81)*(Premissas!$F$85:$F$93&lt;=AE$4)*(Premissas!$G$85:$G$93&gt;=AE$4)*(Premissas!$D$85:$D$93="Fixo mensal")*Premissas!$E$85:$E$93)+SUMPRODUCT((Premissas!$B$85:$B$93="Outras")*((Premissas!$C$85:$C$93="Planejado")+(Premissas!$C$85:$C$93="Em estudo")*Premissas!$B$81)*(Premissas!$F$85:$F$93&lt;=AE$4)*(Premissas!$G$85:$G$93&gt;=AE$4)*(Premissas!$D$85:$D$93="Por usuário")*Premissas!$E$85:$E$93)*AE65</f>
        <v>0</v>
      </c>
      <c r="AF73" s="60" t="n">
        <f aca="false">SUMPRODUCT((Premissas!$B$85:$B$93="Outras")*((Premissas!$C$85:$C$93="Planejado")+(Premissas!$C$85:$C$93="Em estudo")*Premissas!$B$81)*(Premissas!$F$85:$F$93&lt;=AF$4)*(Premissas!$G$85:$G$93&gt;=AF$4)*(Premissas!$D$85:$D$93="Fixo mensal")*Premissas!$E$85:$E$93)+SUMPRODUCT((Premissas!$B$85:$B$93="Outras")*((Premissas!$C$85:$C$93="Planejado")+(Premissas!$C$85:$C$93="Em estudo")*Premissas!$B$81)*(Premissas!$F$85:$F$93&lt;=AF$4)*(Premissas!$G$85:$G$93&gt;=AF$4)*(Premissas!$D$85:$D$93="Por usuário")*Premissas!$E$85:$E$93)*AF65</f>
        <v>0</v>
      </c>
      <c r="AG73" s="60" t="n">
        <f aca="false">SUMPRODUCT((Premissas!$B$85:$B$93="Outras")*((Premissas!$C$85:$C$93="Planejado")+(Premissas!$C$85:$C$93="Em estudo")*Premissas!$B$81)*(Premissas!$F$85:$F$93&lt;=AG$4)*(Premissas!$G$85:$G$93&gt;=AG$4)*(Premissas!$D$85:$D$93="Fixo mensal")*Premissas!$E$85:$E$93)+SUMPRODUCT((Premissas!$B$85:$B$93="Outras")*((Premissas!$C$85:$C$93="Planejado")+(Premissas!$C$85:$C$93="Em estudo")*Premissas!$B$81)*(Premissas!$F$85:$F$93&lt;=AG$4)*(Premissas!$G$85:$G$93&gt;=AG$4)*(Premissas!$D$85:$D$93="Por usuário")*Premissas!$E$85:$E$93)*AG65</f>
        <v>0</v>
      </c>
      <c r="AH73" s="60" t="n">
        <f aca="false">SUMPRODUCT((Premissas!$B$85:$B$93="Outras")*((Premissas!$C$85:$C$93="Planejado")+(Premissas!$C$85:$C$93="Em estudo")*Premissas!$B$81)*(Premissas!$F$85:$F$93&lt;=AH$4)*(Premissas!$G$85:$G$93&gt;=AH$4)*(Premissas!$D$85:$D$93="Fixo mensal")*Premissas!$E$85:$E$93)+SUMPRODUCT((Premissas!$B$85:$B$93="Outras")*((Premissas!$C$85:$C$93="Planejado")+(Premissas!$C$85:$C$93="Em estudo")*Premissas!$B$81)*(Premissas!$F$85:$F$93&lt;=AH$4)*(Premissas!$G$85:$G$93&gt;=AH$4)*(Premissas!$D$85:$D$93="Por usuário")*Premissas!$E$85:$E$93)*AH65</f>
        <v>0</v>
      </c>
      <c r="AI73" s="60" t="n">
        <f aca="false">SUMPRODUCT((Premissas!$B$85:$B$93="Outras")*((Premissas!$C$85:$C$93="Planejado")+(Premissas!$C$85:$C$93="Em estudo")*Premissas!$B$81)*(Premissas!$F$85:$F$93&lt;=AI$4)*(Premissas!$G$85:$G$93&gt;=AI$4)*(Premissas!$D$85:$D$93="Fixo mensal")*Premissas!$E$85:$E$93)+SUMPRODUCT((Premissas!$B$85:$B$93="Outras")*((Premissas!$C$85:$C$93="Planejado")+(Premissas!$C$85:$C$93="Em estudo")*Premissas!$B$81)*(Premissas!$F$85:$F$93&lt;=AI$4)*(Premissas!$G$85:$G$93&gt;=AI$4)*(Premissas!$D$85:$D$93="Por usuário")*Premissas!$E$85:$E$93)*AI65</f>
        <v>0</v>
      </c>
      <c r="AJ73" s="60" t="n">
        <f aca="false">SUMPRODUCT((Premissas!$B$85:$B$93="Outras")*((Premissas!$C$85:$C$93="Planejado")+(Premissas!$C$85:$C$93="Em estudo")*Premissas!$B$81)*(Premissas!$F$85:$F$93&lt;=AJ$4)*(Premissas!$G$85:$G$93&gt;=AJ$4)*(Premissas!$D$85:$D$93="Fixo mensal")*Premissas!$E$85:$E$93)+SUMPRODUCT((Premissas!$B$85:$B$93="Outras")*((Premissas!$C$85:$C$93="Planejado")+(Premissas!$C$85:$C$93="Em estudo")*Premissas!$B$81)*(Premissas!$F$85:$F$93&lt;=AJ$4)*(Premissas!$G$85:$G$93&gt;=AJ$4)*(Premissas!$D$85:$D$93="Por usuário")*Premissas!$E$85:$E$93)*AJ65</f>
        <v>0</v>
      </c>
      <c r="AK73" s="60" t="n">
        <f aca="false">SUMPRODUCT((Premissas!$B$85:$B$93="Outras")*((Premissas!$C$85:$C$93="Planejado")+(Premissas!$C$85:$C$93="Em estudo")*Premissas!$B$81)*(Premissas!$F$85:$F$93&lt;=AK$4)*(Premissas!$G$85:$G$93&gt;=AK$4)*(Premissas!$D$85:$D$93="Fixo mensal")*Premissas!$E$85:$E$93)+SUMPRODUCT((Premissas!$B$85:$B$93="Outras")*((Premissas!$C$85:$C$93="Planejado")+(Premissas!$C$85:$C$93="Em estudo")*Premissas!$B$81)*(Premissas!$F$85:$F$93&lt;=AK$4)*(Premissas!$G$85:$G$93&gt;=AK$4)*(Premissas!$D$85:$D$93="Por usuário")*Premissas!$E$85:$E$93)*AK65</f>
        <v>0</v>
      </c>
      <c r="AL73" s="60" t="n">
        <f aca="false">SUMPRODUCT((Premissas!$B$85:$B$93="Outras")*((Premissas!$C$85:$C$93="Planejado")+(Premissas!$C$85:$C$93="Em estudo")*Premissas!$B$81)*(Premissas!$F$85:$F$93&lt;=AL$4)*(Premissas!$G$85:$G$93&gt;=AL$4)*(Premissas!$D$85:$D$93="Fixo mensal")*Premissas!$E$85:$E$93)+SUMPRODUCT((Premissas!$B$85:$B$93="Outras")*((Premissas!$C$85:$C$93="Planejado")+(Premissas!$C$85:$C$93="Em estudo")*Premissas!$B$81)*(Premissas!$F$85:$F$93&lt;=AL$4)*(Premissas!$G$85:$G$93&gt;=AL$4)*(Premissas!$D$85:$D$93="Por usuário")*Premissas!$E$85:$E$93)*AL65</f>
        <v>0</v>
      </c>
      <c r="AM73" s="60" t="n">
        <f aca="false">SUMPRODUCT((Premissas!$B$85:$B$93="Outras")*((Premissas!$C$85:$C$93="Planejado")+(Premissas!$C$85:$C$93="Em estudo")*Premissas!$B$81)*(Premissas!$F$85:$F$93&lt;=AM$4)*(Premissas!$G$85:$G$93&gt;=AM$4)*(Premissas!$D$85:$D$93="Fixo mensal")*Premissas!$E$85:$E$93)+SUMPRODUCT((Premissas!$B$85:$B$93="Outras")*((Premissas!$C$85:$C$93="Planejado")+(Premissas!$C$85:$C$93="Em estudo")*Premissas!$B$81)*(Premissas!$F$85:$F$93&lt;=AM$4)*(Premissas!$G$85:$G$93&gt;=AM$4)*(Premissas!$D$85:$D$93="Por usuário")*Premissas!$E$85:$E$93)*AM65</f>
        <v>0</v>
      </c>
      <c r="AN73" s="60" t="n">
        <f aca="false">SUMPRODUCT((Premissas!$B$85:$B$93="Outras")*((Premissas!$C$85:$C$93="Planejado")+(Premissas!$C$85:$C$93="Em estudo")*Premissas!$B$81)*(Premissas!$F$85:$F$93&lt;=AN$4)*(Premissas!$G$85:$G$93&gt;=AN$4)*(Premissas!$D$85:$D$93="Fixo mensal")*Premissas!$E$85:$E$93)+SUMPRODUCT((Premissas!$B$85:$B$93="Outras")*((Premissas!$C$85:$C$93="Planejado")+(Premissas!$C$85:$C$93="Em estudo")*Premissas!$B$81)*(Premissas!$F$85:$F$93&lt;=AN$4)*(Premissas!$G$85:$G$93&gt;=AN$4)*(Premissas!$D$85:$D$93="Por usuário")*Premissas!$E$85:$E$93)*AN65</f>
        <v>0</v>
      </c>
      <c r="AO73" s="60" t="n">
        <f aca="false">SUMPRODUCT((Premissas!$B$85:$B$93="Outras")*((Premissas!$C$85:$C$93="Planejado")+(Premissas!$C$85:$C$93="Em estudo")*Premissas!$B$81)*(Premissas!$F$85:$F$93&lt;=AO$4)*(Premissas!$G$85:$G$93&gt;=AO$4)*(Premissas!$D$85:$D$93="Fixo mensal")*Premissas!$E$85:$E$93)+SUMPRODUCT((Premissas!$B$85:$B$93="Outras")*((Premissas!$C$85:$C$93="Planejado")+(Premissas!$C$85:$C$93="Em estudo")*Premissas!$B$81)*(Premissas!$F$85:$F$93&lt;=AO$4)*(Premissas!$G$85:$G$93&gt;=AO$4)*(Premissas!$D$85:$D$93="Por usuário")*Premissas!$E$85:$E$93)*AO65</f>
        <v>0</v>
      </c>
      <c r="AP73" s="60" t="n">
        <f aca="false">SUMPRODUCT((Premissas!$B$85:$B$93="Outras")*((Premissas!$C$85:$C$93="Planejado")+(Premissas!$C$85:$C$93="Em estudo")*Premissas!$B$81)*(Premissas!$F$85:$F$93&lt;=AP$4)*(Premissas!$G$85:$G$93&gt;=AP$4)*(Premissas!$D$85:$D$93="Fixo mensal")*Premissas!$E$85:$E$93)+SUMPRODUCT((Premissas!$B$85:$B$93="Outras")*((Premissas!$C$85:$C$93="Planejado")+(Premissas!$C$85:$C$93="Em estudo")*Premissas!$B$81)*(Premissas!$F$85:$F$93&lt;=AP$4)*(Premissas!$G$85:$G$93&gt;=AP$4)*(Premissas!$D$85:$D$93="Por usuário")*Premissas!$E$85:$E$93)*AP65</f>
        <v>0</v>
      </c>
      <c r="AQ73" s="60" t="n">
        <f aca="false">SUMPRODUCT((Premissas!$B$85:$B$93="Outras")*((Premissas!$C$85:$C$93="Planejado")+(Premissas!$C$85:$C$93="Em estudo")*Premissas!$B$81)*(Premissas!$F$85:$F$93&lt;=AQ$4)*(Premissas!$G$85:$G$93&gt;=AQ$4)*(Premissas!$D$85:$D$93="Fixo mensal")*Premissas!$E$85:$E$93)+SUMPRODUCT((Premissas!$B$85:$B$93="Outras")*((Premissas!$C$85:$C$93="Planejado")+(Premissas!$C$85:$C$93="Em estudo")*Premissas!$B$81)*(Premissas!$F$85:$F$93&lt;=AQ$4)*(Premissas!$G$85:$G$93&gt;=AQ$4)*(Premissas!$D$85:$D$93="Por usuário")*Premissas!$E$85:$E$93)*AQ65</f>
        <v>0</v>
      </c>
      <c r="AR73" s="60" t="n">
        <f aca="false">SUMPRODUCT((Premissas!$B$85:$B$93="Outras")*((Premissas!$C$85:$C$93="Planejado")+(Premissas!$C$85:$C$93="Em estudo")*Premissas!$B$81)*(Premissas!$F$85:$F$93&lt;=AR$4)*(Premissas!$G$85:$G$93&gt;=AR$4)*(Premissas!$D$85:$D$93="Fixo mensal")*Premissas!$E$85:$E$93)+SUMPRODUCT((Premissas!$B$85:$B$93="Outras")*((Premissas!$C$85:$C$93="Planejado")+(Premissas!$C$85:$C$93="Em estudo")*Premissas!$B$81)*(Premissas!$F$85:$F$93&lt;=AR$4)*(Premissas!$G$85:$G$93&gt;=AR$4)*(Premissas!$D$85:$D$93="Por usuário")*Premissas!$E$85:$E$93)*AR65</f>
        <v>0</v>
      </c>
      <c r="AS73" s="60" t="n">
        <f aca="false">SUMPRODUCT((Premissas!$B$85:$B$93="Outras")*((Premissas!$C$85:$C$93="Planejado")+(Premissas!$C$85:$C$93="Em estudo")*Premissas!$B$81)*(Premissas!$F$85:$F$93&lt;=AS$4)*(Premissas!$G$85:$G$93&gt;=AS$4)*(Premissas!$D$85:$D$93="Fixo mensal")*Premissas!$E$85:$E$93)+SUMPRODUCT((Premissas!$B$85:$B$93="Outras")*((Premissas!$C$85:$C$93="Planejado")+(Premissas!$C$85:$C$93="Em estudo")*Premissas!$B$81)*(Premissas!$F$85:$F$93&lt;=AS$4)*(Premissas!$G$85:$G$93&gt;=AS$4)*(Premissas!$D$85:$D$93="Por usuário")*Premissas!$E$85:$E$93)*AS65</f>
        <v>0</v>
      </c>
      <c r="AT73" s="60" t="n">
        <f aca="false">SUMPRODUCT((Premissas!$B$85:$B$93="Outras")*((Premissas!$C$85:$C$93="Planejado")+(Premissas!$C$85:$C$93="Em estudo")*Premissas!$B$81)*(Premissas!$F$85:$F$93&lt;=AT$4)*(Premissas!$G$85:$G$93&gt;=AT$4)*(Premissas!$D$85:$D$93="Fixo mensal")*Premissas!$E$85:$E$93)+SUMPRODUCT((Premissas!$B$85:$B$93="Outras")*((Premissas!$C$85:$C$93="Planejado")+(Premissas!$C$85:$C$93="Em estudo")*Premissas!$B$81)*(Premissas!$F$85:$F$93&lt;=AT$4)*(Premissas!$G$85:$G$93&gt;=AT$4)*(Premissas!$D$85:$D$93="Por usuário")*Premissas!$E$85:$E$93)*AT65</f>
        <v>0</v>
      </c>
      <c r="AU73" s="60" t="n">
        <f aca="false">SUMPRODUCT((Premissas!$B$85:$B$93="Outras")*((Premissas!$C$85:$C$93="Planejado")+(Premissas!$C$85:$C$93="Em estudo")*Premissas!$B$81)*(Premissas!$F$85:$F$93&lt;=AU$4)*(Premissas!$G$85:$G$93&gt;=AU$4)*(Premissas!$D$85:$D$93="Fixo mensal")*Premissas!$E$85:$E$93)+SUMPRODUCT((Premissas!$B$85:$B$93="Outras")*((Premissas!$C$85:$C$93="Planejado")+(Premissas!$C$85:$C$93="Em estudo")*Premissas!$B$81)*(Premissas!$F$85:$F$93&lt;=AU$4)*(Premissas!$G$85:$G$93&gt;=AU$4)*(Premissas!$D$85:$D$93="Por usuário")*Premissas!$E$85:$E$93)*AU65</f>
        <v>0</v>
      </c>
      <c r="AV73" s="60" t="n">
        <f aca="false">SUMPRODUCT((Premissas!$B$85:$B$93="Outras")*((Premissas!$C$85:$C$93="Planejado")+(Premissas!$C$85:$C$93="Em estudo")*Premissas!$B$81)*(Premissas!$F$85:$F$93&lt;=AV$4)*(Premissas!$G$85:$G$93&gt;=AV$4)*(Premissas!$D$85:$D$93="Fixo mensal")*Premissas!$E$85:$E$93)+SUMPRODUCT((Premissas!$B$85:$B$93="Outras")*((Premissas!$C$85:$C$93="Planejado")+(Premissas!$C$85:$C$93="Em estudo")*Premissas!$B$81)*(Premissas!$F$85:$F$93&lt;=AV$4)*(Premissas!$G$85:$G$93&gt;=AV$4)*(Premissas!$D$85:$D$93="Por usuário")*Premissas!$E$85:$E$93)*AV65</f>
        <v>0</v>
      </c>
      <c r="AW73" s="60" t="n">
        <f aca="false">SUMPRODUCT((Premissas!$B$85:$B$93="Outras")*((Premissas!$C$85:$C$93="Planejado")+(Premissas!$C$85:$C$93="Em estudo")*Premissas!$B$81)*(Premissas!$F$85:$F$93&lt;=AW$4)*(Premissas!$G$85:$G$93&gt;=AW$4)*(Premissas!$D$85:$D$93="Fixo mensal")*Premissas!$E$85:$E$93)+SUMPRODUCT((Premissas!$B$85:$B$93="Outras")*((Premissas!$C$85:$C$93="Planejado")+(Premissas!$C$85:$C$93="Em estudo")*Premissas!$B$81)*(Premissas!$F$85:$F$93&lt;=AW$4)*(Premissas!$G$85:$G$93&gt;=AW$4)*(Premissas!$D$85:$D$93="Por usuário")*Premissas!$E$85:$E$93)*AW65</f>
        <v>0</v>
      </c>
      <c r="AX73" s="60" t="n">
        <f aca="false">SUMPRODUCT((Premissas!$B$85:$B$93="Outras")*((Premissas!$C$85:$C$93="Planejado")+(Premissas!$C$85:$C$93="Em estudo")*Premissas!$B$81)*(Premissas!$F$85:$F$93&lt;=AX$4)*(Premissas!$G$85:$G$93&gt;=AX$4)*(Premissas!$D$85:$D$93="Fixo mensal")*Premissas!$E$85:$E$93)+SUMPRODUCT((Premissas!$B$85:$B$93="Outras")*((Premissas!$C$85:$C$93="Planejado")+(Premissas!$C$85:$C$93="Em estudo")*Premissas!$B$81)*(Premissas!$F$85:$F$93&lt;=AX$4)*(Premissas!$G$85:$G$93&gt;=AX$4)*(Premissas!$D$85:$D$93="Por usuário")*Premissas!$E$85:$E$93)*AX65</f>
        <v>0</v>
      </c>
      <c r="AY73" s="60" t="n">
        <f aca="false">SUMPRODUCT((Premissas!$B$85:$B$93="Outras")*((Premissas!$C$85:$C$93="Planejado")+(Premissas!$C$85:$C$93="Em estudo")*Premissas!$B$81)*(Premissas!$F$85:$F$93&lt;=AY$4)*(Premissas!$G$85:$G$93&gt;=AY$4)*(Premissas!$D$85:$D$93="Fixo mensal")*Premissas!$E$85:$E$93)+SUMPRODUCT((Premissas!$B$85:$B$93="Outras")*((Premissas!$C$85:$C$93="Planejado")+(Premissas!$C$85:$C$93="Em estudo")*Premissas!$B$81)*(Premissas!$F$85:$F$93&lt;=AY$4)*(Premissas!$G$85:$G$93&gt;=AY$4)*(Premissas!$D$85:$D$93="Por usuário")*Premissas!$E$85:$E$93)*AY65</f>
        <v>0</v>
      </c>
      <c r="AZ73" s="60" t="n">
        <f aca="false">SUMPRODUCT((Premissas!$B$85:$B$93="Outras")*((Premissas!$C$85:$C$93="Planejado")+(Premissas!$C$85:$C$93="Em estudo")*Premissas!$B$81)*(Premissas!$F$85:$F$93&lt;=AZ$4)*(Premissas!$G$85:$G$93&gt;=AZ$4)*(Premissas!$D$85:$D$93="Fixo mensal")*Premissas!$E$85:$E$93)+SUMPRODUCT((Premissas!$B$85:$B$93="Outras")*((Premissas!$C$85:$C$93="Planejado")+(Premissas!$C$85:$C$93="Em estudo")*Premissas!$B$81)*(Premissas!$F$85:$F$93&lt;=AZ$4)*(Premissas!$G$85:$G$93&gt;=AZ$4)*(Premissas!$D$85:$D$93="Por usuário")*Premissas!$E$85:$E$93)*AZ65</f>
        <v>0</v>
      </c>
      <c r="BA73" s="60" t="n">
        <f aca="false">SUMPRODUCT((Premissas!$B$85:$B$93="Outras")*((Premissas!$C$85:$C$93="Planejado")+(Premissas!$C$85:$C$93="Em estudo")*Premissas!$B$81)*(Premissas!$F$85:$F$93&lt;=BA$4)*(Premissas!$G$85:$G$93&gt;=BA$4)*(Premissas!$D$85:$D$93="Fixo mensal")*Premissas!$E$85:$E$93)+SUMPRODUCT((Premissas!$B$85:$B$93="Outras")*((Premissas!$C$85:$C$93="Planejado")+(Premissas!$C$85:$C$93="Em estudo")*Premissas!$B$81)*(Premissas!$F$85:$F$93&lt;=BA$4)*(Premissas!$G$85:$G$93&gt;=BA$4)*(Premissas!$D$85:$D$93="Por usuário")*Premissas!$E$85:$E$93)*BA65</f>
        <v>0</v>
      </c>
      <c r="BB73" s="60" t="n">
        <f aca="false">SUMPRODUCT((Premissas!$B$85:$B$93="Outras")*((Premissas!$C$85:$C$93="Planejado")+(Premissas!$C$85:$C$93="Em estudo")*Premissas!$B$81)*(Premissas!$F$85:$F$93&lt;=BB$4)*(Premissas!$G$85:$G$93&gt;=BB$4)*(Premissas!$D$85:$D$93="Fixo mensal")*Premissas!$E$85:$E$93)+SUMPRODUCT((Premissas!$B$85:$B$93="Outras")*((Premissas!$C$85:$C$93="Planejado")+(Premissas!$C$85:$C$93="Em estudo")*Premissas!$B$81)*(Premissas!$F$85:$F$93&lt;=BB$4)*(Premissas!$G$85:$G$93&gt;=BB$4)*(Premissas!$D$85:$D$93="Por usuário")*Premissas!$E$85:$E$93)*BB65</f>
        <v>0</v>
      </c>
      <c r="BC73" s="60" t="n">
        <f aca="false">SUMPRODUCT((Premissas!$B$85:$B$93="Outras")*((Premissas!$C$85:$C$93="Planejado")+(Premissas!$C$85:$C$93="Em estudo")*Premissas!$B$81)*(Premissas!$F$85:$F$93&lt;=BC$4)*(Premissas!$G$85:$G$93&gt;=BC$4)*(Premissas!$D$85:$D$93="Fixo mensal")*Premissas!$E$85:$E$93)+SUMPRODUCT((Premissas!$B$85:$B$93="Outras")*((Premissas!$C$85:$C$93="Planejado")+(Premissas!$C$85:$C$93="Em estudo")*Premissas!$B$81)*(Premissas!$F$85:$F$93&lt;=BC$4)*(Premissas!$G$85:$G$93&gt;=BC$4)*(Premissas!$D$85:$D$93="Por usuário")*Premissas!$E$85:$E$93)*BC65</f>
        <v>0</v>
      </c>
      <c r="BD73" s="60" t="n">
        <f aca="false">SUMPRODUCT((Premissas!$B$85:$B$93="Outras")*((Premissas!$C$85:$C$93="Planejado")+(Premissas!$C$85:$C$93="Em estudo")*Premissas!$B$81)*(Premissas!$F$85:$F$93&lt;=BD$4)*(Premissas!$G$85:$G$93&gt;=BD$4)*(Premissas!$D$85:$D$93="Fixo mensal")*Premissas!$E$85:$E$93)+SUMPRODUCT((Premissas!$B$85:$B$93="Outras")*((Premissas!$C$85:$C$93="Planejado")+(Premissas!$C$85:$C$93="Em estudo")*Premissas!$B$81)*(Premissas!$F$85:$F$93&lt;=BD$4)*(Premissas!$G$85:$G$93&gt;=BD$4)*(Premissas!$D$85:$D$93="Por usuário")*Premissas!$E$85:$E$93)*BD65</f>
        <v>0</v>
      </c>
      <c r="BE73" s="60" t="n">
        <f aca="false">SUMPRODUCT((Premissas!$B$85:$B$93="Outras")*((Premissas!$C$85:$C$93="Planejado")+(Premissas!$C$85:$C$93="Em estudo")*Premissas!$B$81)*(Premissas!$F$85:$F$93&lt;=BE$4)*(Premissas!$G$85:$G$93&gt;=BE$4)*(Premissas!$D$85:$D$93="Fixo mensal")*Premissas!$E$85:$E$93)+SUMPRODUCT((Premissas!$B$85:$B$93="Outras")*((Premissas!$C$85:$C$93="Planejado")+(Premissas!$C$85:$C$93="Em estudo")*Premissas!$B$81)*(Premissas!$F$85:$F$93&lt;=BE$4)*(Premissas!$G$85:$G$93&gt;=BE$4)*(Premissas!$D$85:$D$93="Por usuário")*Premissas!$E$85:$E$93)*BE65</f>
        <v>0</v>
      </c>
      <c r="BF73" s="60" t="n">
        <f aca="false">SUMPRODUCT((Premissas!$B$85:$B$93="Outras")*((Premissas!$C$85:$C$93="Planejado")+(Premissas!$C$85:$C$93="Em estudo")*Premissas!$B$81)*(Premissas!$F$85:$F$93&lt;=BF$4)*(Premissas!$G$85:$G$93&gt;=BF$4)*(Premissas!$D$85:$D$93="Fixo mensal")*Premissas!$E$85:$E$93)+SUMPRODUCT((Premissas!$B$85:$B$93="Outras")*((Premissas!$C$85:$C$93="Planejado")+(Premissas!$C$85:$C$93="Em estudo")*Premissas!$B$81)*(Premissas!$F$85:$F$93&lt;=BF$4)*(Premissas!$G$85:$G$93&gt;=BF$4)*(Premissas!$D$85:$D$93="Por usuário")*Premissas!$E$85:$E$93)*BF65</f>
        <v>0</v>
      </c>
      <c r="BG73" s="60" t="n">
        <f aca="false">SUMPRODUCT((Premissas!$B$85:$B$93="Outras")*((Premissas!$C$85:$C$93="Planejado")+(Premissas!$C$85:$C$93="Em estudo")*Premissas!$B$81)*(Premissas!$F$85:$F$93&lt;=BG$4)*(Premissas!$G$85:$G$93&gt;=BG$4)*(Premissas!$D$85:$D$93="Fixo mensal")*Premissas!$E$85:$E$93)+SUMPRODUCT((Premissas!$B$85:$B$93="Outras")*((Premissas!$C$85:$C$93="Planejado")+(Premissas!$C$85:$C$93="Em estudo")*Premissas!$B$81)*(Premissas!$F$85:$F$93&lt;=BG$4)*(Premissas!$G$85:$G$93&gt;=BG$4)*(Premissas!$D$85:$D$93="Por usuário")*Premissas!$E$85:$E$93)*BG65</f>
        <v>0</v>
      </c>
      <c r="BH73" s="60" t="n">
        <f aca="false">SUMPRODUCT((Premissas!$B$85:$B$93="Outras")*((Premissas!$C$85:$C$93="Planejado")+(Premissas!$C$85:$C$93="Em estudo")*Premissas!$B$81)*(Premissas!$F$85:$F$93&lt;=BH$4)*(Premissas!$G$85:$G$93&gt;=BH$4)*(Premissas!$D$85:$D$93="Fixo mensal")*Premissas!$E$85:$E$93)+SUMPRODUCT((Premissas!$B$85:$B$93="Outras")*((Premissas!$C$85:$C$93="Planejado")+(Premissas!$C$85:$C$93="Em estudo")*Premissas!$B$81)*(Premissas!$F$85:$F$93&lt;=BH$4)*(Premissas!$G$85:$G$93&gt;=BH$4)*(Premissas!$D$85:$D$93="Por usuário")*Premissas!$E$85:$E$93)*BH65</f>
        <v>0</v>
      </c>
      <c r="BI73" s="60" t="n">
        <f aca="false">SUMPRODUCT((Premissas!$B$85:$B$93="Outras")*((Premissas!$C$85:$C$93="Planejado")+(Premissas!$C$85:$C$93="Em estudo")*Premissas!$B$81)*(Premissas!$F$85:$F$93&lt;=BI$4)*(Premissas!$G$85:$G$93&gt;=BI$4)*(Premissas!$D$85:$D$93="Fixo mensal")*Premissas!$E$85:$E$93)+SUMPRODUCT((Premissas!$B$85:$B$93="Outras")*((Premissas!$C$85:$C$93="Planejado")+(Premissas!$C$85:$C$93="Em estudo")*Premissas!$B$81)*(Premissas!$F$85:$F$93&lt;=BI$4)*(Premissas!$G$85:$G$93&gt;=BI$4)*(Premissas!$D$85:$D$93="Por usuário")*Premissas!$E$85:$E$93)*BI65</f>
        <v>0</v>
      </c>
      <c r="BJ73" s="61" t="n">
        <f aca="false">SUM(B73:BI73)</f>
        <v>0</v>
      </c>
    </row>
    <row r="74" customFormat="false" ht="15" hidden="false" customHeight="false" outlineLevel="0" collapsed="false">
      <c r="A74" s="62" t="s">
        <v>822</v>
      </c>
      <c r="B74" s="61" t="n">
        <f aca="false">SUM(B69:B73)</f>
        <v>0</v>
      </c>
      <c r="C74" s="61" t="n">
        <f aca="false">SUM(C69:C73)</f>
        <v>0</v>
      </c>
      <c r="D74" s="61" t="n">
        <f aca="false">SUM(D69:D73)</f>
        <v>0</v>
      </c>
      <c r="E74" s="61" t="n">
        <f aca="false">SUM(E69:E73)</f>
        <v>0</v>
      </c>
      <c r="F74" s="61" t="n">
        <f aca="false">SUM(F69:F73)</f>
        <v>0</v>
      </c>
      <c r="G74" s="61" t="n">
        <f aca="false">SUM(G69:G73)</f>
        <v>0</v>
      </c>
      <c r="H74" s="61" t="n">
        <f aca="false">SUM(H69:H73)</f>
        <v>0</v>
      </c>
      <c r="I74" s="61" t="n">
        <f aca="false">SUM(I69:I73)</f>
        <v>0</v>
      </c>
      <c r="J74" s="61" t="n">
        <f aca="false">SUM(J69:J73)</f>
        <v>0</v>
      </c>
      <c r="K74" s="61" t="n">
        <f aca="false">SUM(K69:K73)</f>
        <v>3004.9</v>
      </c>
      <c r="L74" s="61" t="n">
        <f aca="false">SUM(L69:L73)</f>
        <v>11522.1</v>
      </c>
      <c r="M74" s="61" t="n">
        <f aca="false">SUM(M69:M73)</f>
        <v>24914.8</v>
      </c>
      <c r="N74" s="61" t="n">
        <f aca="false">SUM(N69:N73)</f>
        <v>58839.76497568</v>
      </c>
      <c r="O74" s="61" t="n">
        <f aca="false">SUM(O69:O73)</f>
        <v>93975.7764599088</v>
      </c>
      <c r="P74" s="61" t="n">
        <f aca="false">SUM(P69:P73)</f>
        <v>135265.058196524</v>
      </c>
      <c r="Q74" s="61" t="n">
        <f aca="false">SUM(Q69:Q73)</f>
        <v>190179.092742545</v>
      </c>
      <c r="R74" s="61" t="n">
        <f aca="false">SUM(R69:R73)</f>
        <v>214534.843329106</v>
      </c>
      <c r="S74" s="61" t="n">
        <f aca="false">SUM(S69:S73)</f>
        <v>237053.878669957</v>
      </c>
      <c r="T74" s="61" t="n">
        <f aca="false">SUM(T69:T73)</f>
        <v>257886.950039576</v>
      </c>
      <c r="U74" s="61" t="n">
        <f aca="false">SUM(U69:U73)</f>
        <v>277163.6313262</v>
      </c>
      <c r="V74" s="61" t="n">
        <f aca="false">SUM(V69:V73)</f>
        <v>294950.65224967</v>
      </c>
      <c r="W74" s="61" t="n">
        <f aca="false">SUM(W69:W73)</f>
        <v>355893.802419695</v>
      </c>
      <c r="X74" s="61" t="n">
        <f aca="false">SUM(X69:X73)</f>
        <v>373261.482896934</v>
      </c>
      <c r="Y74" s="61" t="n">
        <f aca="false">SUM(Y69:Y73)</f>
        <v>389337.515407084</v>
      </c>
      <c r="Z74" s="61" t="n">
        <f aca="false">SUM(Z69:Z73)</f>
        <v>517434.389333307</v>
      </c>
      <c r="AA74" s="61" t="n">
        <f aca="false">SUM(AA69:AA73)</f>
        <v>560922.864551517</v>
      </c>
      <c r="AB74" s="61" t="n">
        <f aca="false">SUM(AB69:AB73)</f>
        <v>601357.810108826</v>
      </c>
      <c r="AC74" s="61" t="n">
        <f aca="false">SUM(AC69:AC73)</f>
        <v>638901.127242402</v>
      </c>
      <c r="AD74" s="61" t="n">
        <f aca="false">SUM(AD69:AD73)</f>
        <v>673844.967225271</v>
      </c>
      <c r="AE74" s="61" t="n">
        <f aca="false">SUM(AE69:AE73)</f>
        <v>706284.609010059</v>
      </c>
      <c r="AF74" s="61" t="n">
        <f aca="false">SUM(AF69:AF73)</f>
        <v>781380.044133621</v>
      </c>
      <c r="AG74" s="61" t="n">
        <f aca="false">SUM(AG69:AG73)</f>
        <v>809443.708066562</v>
      </c>
      <c r="AH74" s="61" t="n">
        <f aca="false">SUM(AH69:AH73)</f>
        <v>835503.599802107</v>
      </c>
      <c r="AI74" s="61" t="n">
        <f aca="false">SUM(AI69:AI73)</f>
        <v>859674.824810381</v>
      </c>
      <c r="AJ74" s="61" t="n">
        <f aca="false">SUM(AJ69:AJ73)</f>
        <v>882137.460431936</v>
      </c>
      <c r="AK74" s="61" t="n">
        <f aca="false">SUM(AK69:AK73)</f>
        <v>903049.443415664</v>
      </c>
      <c r="AL74" s="61" t="n">
        <f aca="false">SUM(AL69:AL73)</f>
        <v>1182846.3378495</v>
      </c>
      <c r="AM74" s="61" t="n">
        <f aca="false">SUM(AM69:AM73)</f>
        <v>1254039.84794326</v>
      </c>
      <c r="AN74" s="61" t="n">
        <f aca="false">SUM(AN69:AN73)</f>
        <v>1320450.03047551</v>
      </c>
      <c r="AO74" s="61" t="n">
        <f aca="false">SUM(AO69:AO73)</f>
        <v>1382436.61204769</v>
      </c>
      <c r="AP74" s="61" t="n">
        <f aca="false">SUM(AP69:AP73)</f>
        <v>1440358.54527198</v>
      </c>
      <c r="AQ74" s="61" t="n">
        <f aca="false">SUM(AQ69:AQ73)</f>
        <v>1494390.81925134</v>
      </c>
      <c r="AR74" s="61" t="n">
        <f aca="false">SUM(AR69:AR73)</f>
        <v>1544867.22809399</v>
      </c>
      <c r="AS74" s="61" t="n">
        <f aca="false">SUM(AS69:AS73)</f>
        <v>1591983.73897624</v>
      </c>
      <c r="AT74" s="61" t="n">
        <f aca="false">SUM(AT69:AT73)</f>
        <v>1635912.56115915</v>
      </c>
      <c r="AU74" s="61" t="n">
        <f aca="false">SUM(AU69:AU73)</f>
        <v>1676984.79466908</v>
      </c>
      <c r="AV74" s="61" t="n">
        <f aca="false">SUM(AV69:AV73)</f>
        <v>1715325.54334522</v>
      </c>
      <c r="AW74" s="61" t="n">
        <f aca="false">SUM(AW69:AW73)</f>
        <v>1751127.39236517</v>
      </c>
      <c r="AX74" s="61" t="n">
        <f aca="false">SUM(AX69:AX73)</f>
        <v>2205251.44590653</v>
      </c>
      <c r="AY74" s="61" t="n">
        <f aca="false">SUM(AY69:AY73)</f>
        <v>2330993.77746488</v>
      </c>
      <c r="AZ74" s="61" t="n">
        <f aca="false">SUM(AZ69:AZ73)</f>
        <v>2448855.15802615</v>
      </c>
      <c r="BA74" s="61" t="n">
        <f aca="false">SUM(BA69:BA73)</f>
        <v>2559341.64027266</v>
      </c>
      <c r="BB74" s="61" t="n">
        <f aca="false">SUM(BB69:BB73)</f>
        <v>2663028.69340257</v>
      </c>
      <c r="BC74" s="61" t="n">
        <f aca="false">SUM(BC69:BC73)</f>
        <v>2760156.58074686</v>
      </c>
      <c r="BD74" s="61" t="n">
        <f aca="false">SUM(BD69:BD73)</f>
        <v>2851226.13384323</v>
      </c>
      <c r="BE74" s="61" t="n">
        <f aca="false">SUM(BE69:BE73)</f>
        <v>2936569.78834139</v>
      </c>
      <c r="BF74" s="61" t="n">
        <f aca="false">SUM(BF69:BF73)</f>
        <v>3016709.31792725</v>
      </c>
      <c r="BG74" s="61" t="n">
        <f aca="false">SUM(BG69:BG73)</f>
        <v>3091688.35391033</v>
      </c>
      <c r="BH74" s="61" t="n">
        <f aca="false">SUM(BH69:BH73)</f>
        <v>3162049.85925373</v>
      </c>
      <c r="BI74" s="61" t="n">
        <f aca="false">SUM(BI69:BI73)</f>
        <v>3228049.74298386</v>
      </c>
      <c r="BJ74" s="61" t="n">
        <f aca="false">SUM(B74:BI74)</f>
        <v>62932363.0403721</v>
      </c>
    </row>
    <row r="75" customFormat="false" ht="15" hidden="false" customHeight="false" outlineLevel="0" collapsed="false">
      <c r="A75" s="27" t="s">
        <v>880</v>
      </c>
      <c r="B75" s="60" t="n">
        <f aca="false">B74*12</f>
        <v>0</v>
      </c>
      <c r="C75" s="60" t="n">
        <f aca="false">SUM($B74:B74)/1*12</f>
        <v>0</v>
      </c>
      <c r="D75" s="60" t="n">
        <f aca="false">SUM($B74:C74)/2*12</f>
        <v>0</v>
      </c>
      <c r="E75" s="60" t="n">
        <f aca="false">SUM($B74:D74)/3*12</f>
        <v>0</v>
      </c>
      <c r="F75" s="60" t="n">
        <f aca="false">SUM($B74:E74)/4*12</f>
        <v>0</v>
      </c>
      <c r="G75" s="60" t="n">
        <f aca="false">SUM($B74:F74)/5*12</f>
        <v>0</v>
      </c>
      <c r="H75" s="60" t="n">
        <f aca="false">SUM($B74:G74)/6*12</f>
        <v>0</v>
      </c>
      <c r="I75" s="60" t="n">
        <f aca="false">SUM($B74:H74)/7*12</f>
        <v>0</v>
      </c>
      <c r="J75" s="60" t="n">
        <f aca="false">SUM($B74:I74)/8*12</f>
        <v>0</v>
      </c>
      <c r="K75" s="60" t="n">
        <f aca="false">SUM($B74:J74)/9*12</f>
        <v>0</v>
      </c>
      <c r="L75" s="60" t="n">
        <f aca="false">SUM($B74:K74)/10*12</f>
        <v>3605.88</v>
      </c>
      <c r="M75" s="60" t="n">
        <f aca="false">SUM($B74:L74)/11*12</f>
        <v>15847.6363636364</v>
      </c>
      <c r="N75" s="60" t="n">
        <f aca="false">SUM(B74:M74)</f>
        <v>39441.8</v>
      </c>
      <c r="O75" s="60" t="n">
        <f aca="false">SUM(C74:N74)</f>
        <v>98281.56497568</v>
      </c>
      <c r="P75" s="60" t="n">
        <f aca="false">SUM(D74:O74)</f>
        <v>192257.341435589</v>
      </c>
      <c r="Q75" s="60" t="n">
        <f aca="false">SUM(E74:P74)</f>
        <v>327522.399632113</v>
      </c>
      <c r="R75" s="60" t="n">
        <f aca="false">SUM(F74:Q74)</f>
        <v>517701.492374658</v>
      </c>
      <c r="S75" s="60" t="n">
        <f aca="false">SUM(G74:R74)</f>
        <v>732236.335703763</v>
      </c>
      <c r="T75" s="60" t="n">
        <f aca="false">SUM(H74:S74)</f>
        <v>969290.21437372</v>
      </c>
      <c r="U75" s="60" t="n">
        <f aca="false">SUM(I74:T74)</f>
        <v>1227177.1644133</v>
      </c>
      <c r="V75" s="60" t="n">
        <f aca="false">SUM(J74:U74)</f>
        <v>1504340.7957395</v>
      </c>
      <c r="W75" s="60" t="n">
        <f aca="false">SUM(K74:V74)</f>
        <v>1799291.44798917</v>
      </c>
      <c r="X75" s="60" t="n">
        <f aca="false">SUM(L74:W74)</f>
        <v>2152180.35040886</v>
      </c>
      <c r="Y75" s="60" t="n">
        <f aca="false">SUM(M74:X74)</f>
        <v>2513919.73330579</v>
      </c>
      <c r="Z75" s="60" t="n">
        <f aca="false">SUM(N74:Y74)</f>
        <v>2878342.44871288</v>
      </c>
      <c r="AA75" s="60" t="n">
        <f aca="false">SUM(O74:Z74)</f>
        <v>3336937.07307051</v>
      </c>
      <c r="AB75" s="60" t="n">
        <f aca="false">SUM(P74:AA74)</f>
        <v>3803884.16116211</v>
      </c>
      <c r="AC75" s="60" t="n">
        <f aca="false">SUM(Q74:AB74)</f>
        <v>4269976.91307442</v>
      </c>
      <c r="AD75" s="60" t="n">
        <f aca="false">SUM(R74:AC74)</f>
        <v>4718698.94757427</v>
      </c>
      <c r="AE75" s="60" t="n">
        <f aca="false">SUM(S74:AD74)</f>
        <v>5178009.07147044</v>
      </c>
      <c r="AF75" s="60" t="n">
        <f aca="false">SUM(T74:AE74)</f>
        <v>5647239.80181054</v>
      </c>
      <c r="AG75" s="60" t="n">
        <f aca="false">SUM(U74:AF74)</f>
        <v>6170732.89590458</v>
      </c>
      <c r="AH75" s="60" t="n">
        <f aca="false">SUM(V74:AG74)</f>
        <v>6703012.97264495</v>
      </c>
      <c r="AI75" s="60" t="n">
        <f aca="false">SUM(W74:AH74)</f>
        <v>7243565.92019738</v>
      </c>
      <c r="AJ75" s="60" t="n">
        <f aca="false">SUM(X74:AI74)</f>
        <v>7747346.94258807</v>
      </c>
      <c r="AK75" s="60" t="n">
        <f aca="false">SUM(Y74:AJ74)</f>
        <v>8256222.92012307</v>
      </c>
      <c r="AL75" s="60" t="n">
        <f aca="false">SUM(Z74:AK74)</f>
        <v>8769934.84813165</v>
      </c>
      <c r="AM75" s="60" t="n">
        <f aca="false">SUM(AA74:AL74)</f>
        <v>9435346.79664785</v>
      </c>
      <c r="AN75" s="60" t="n">
        <f aca="false">SUM(AB74:AM74)</f>
        <v>10128463.7800396</v>
      </c>
      <c r="AO75" s="60" t="n">
        <f aca="false">SUM(AC74:AN74)</f>
        <v>10847556.0004063</v>
      </c>
      <c r="AP75" s="60" t="n">
        <f aca="false">SUM(AD74:AO74)</f>
        <v>11591091.4852116</v>
      </c>
      <c r="AQ75" s="60" t="n">
        <f aca="false">SUM(AE74:AP74)</f>
        <v>12357605.0632583</v>
      </c>
      <c r="AR75" s="60" t="n">
        <f aca="false">SUM(AF74:AQ74)</f>
        <v>13145711.2734996</v>
      </c>
      <c r="AS75" s="60" t="n">
        <f aca="false">SUM(AG74:AR74)</f>
        <v>13909198.4574599</v>
      </c>
      <c r="AT75" s="60" t="n">
        <f aca="false">SUM(AH74:AS74)</f>
        <v>14691738.4883696</v>
      </c>
      <c r="AU75" s="60" t="n">
        <f aca="false">SUM(AI74:AT74)</f>
        <v>15492147.4497267</v>
      </c>
      <c r="AV75" s="60" t="n">
        <f aca="false">SUM(AJ74:AU74)</f>
        <v>16309457.4195854</v>
      </c>
      <c r="AW75" s="60" t="n">
        <f aca="false">SUM(AK74:AV74)</f>
        <v>17142645.5024986</v>
      </c>
      <c r="AX75" s="60" t="n">
        <f aca="false">SUM(AL74:AW74)</f>
        <v>17990723.4514481</v>
      </c>
      <c r="AY75" s="60" t="n">
        <f aca="false">SUM(AM74:AX74)</f>
        <v>19013128.5595052</v>
      </c>
      <c r="AZ75" s="60" t="n">
        <f aca="false">SUM(AN74:AY74)</f>
        <v>20090082.4890268</v>
      </c>
      <c r="BA75" s="60" t="n">
        <f aca="false">SUM(AO74:AZ74)</f>
        <v>21218487.6165774</v>
      </c>
      <c r="BB75" s="60" t="n">
        <f aca="false">SUM(AP74:BA74)</f>
        <v>22395392.6448024</v>
      </c>
      <c r="BC75" s="60" t="n">
        <f aca="false">SUM(AQ74:BB74)</f>
        <v>23618062.792933</v>
      </c>
      <c r="BD75" s="60" t="n">
        <f aca="false">SUM(AR74:BC74)</f>
        <v>24883828.5544285</v>
      </c>
      <c r="BE75" s="60" t="n">
        <f aca="false">SUM(AS74:BD74)</f>
        <v>26190187.4601777</v>
      </c>
      <c r="BF75" s="60" t="n">
        <f aca="false">SUM(AT74:BE74)</f>
        <v>27534773.5095429</v>
      </c>
      <c r="BG75" s="60" t="n">
        <f aca="false">SUM(AU74:BF74)</f>
        <v>28915570.266311</v>
      </c>
      <c r="BH75" s="60" t="n">
        <f aca="false">SUM(AV74:BG74)</f>
        <v>30330273.8255522</v>
      </c>
      <c r="BI75" s="60" t="n">
        <f aca="false">SUM(AW74:BH74)</f>
        <v>31776998.1414607</v>
      </c>
      <c r="BJ75" s="61" t="n">
        <f aca="false">BI75</f>
        <v>31776998.1414607</v>
      </c>
      <c r="BK75" s="29" t="s">
        <v>870</v>
      </c>
    </row>
    <row r="76" customFormat="false" ht="15" hidden="false" customHeight="false" outlineLevel="0" collapsed="false">
      <c r="A76" s="27" t="s">
        <v>825</v>
      </c>
      <c r="B76" s="87" t="n">
        <f aca="false">IF(Premissas!$B$23=3,Premissas!$B$24,IF(B75&gt;Premissas!$B$25,Premissas!$B$24,IFERROR(MAX(Tributos!$C$24,(INDEX(Tributos!$C$24:$C$29,MATCH(B75,Tributos!$B$24:$B$29,1))*B75-INDEX(Tributos!$D$24:$D$29,MATCH(B75,Tributos!$B$24:$B$29,1)))/B75),Tributos!$C$24)))</f>
        <v>0.155</v>
      </c>
      <c r="C76" s="87" t="n">
        <f aca="false">IF(Premissas!$B$23=3,Premissas!$B$24,IF(C75&gt;Premissas!$B$25,Premissas!$B$24,IFERROR(MAX(Tributos!$C$24,(INDEX(Tributos!$C$24:$C$29,MATCH(C75,Tributos!$B$24:$B$29,1))*C75-INDEX(Tributos!$D$24:$D$29,MATCH(C75,Tributos!$B$24:$B$29,1)))/C75),Tributos!$C$24)))</f>
        <v>0.155</v>
      </c>
      <c r="D76" s="87" t="n">
        <f aca="false">IF(Premissas!$B$23=3,Premissas!$B$24,IF(D75&gt;Premissas!$B$25,Premissas!$B$24,IFERROR(MAX(Tributos!$C$24,(INDEX(Tributos!$C$24:$C$29,MATCH(D75,Tributos!$B$24:$B$29,1))*D75-INDEX(Tributos!$D$24:$D$29,MATCH(D75,Tributos!$B$24:$B$29,1)))/D75),Tributos!$C$24)))</f>
        <v>0.155</v>
      </c>
      <c r="E76" s="87" t="n">
        <f aca="false">IF(Premissas!$B$23=3,Premissas!$B$24,IF(E75&gt;Premissas!$B$25,Premissas!$B$24,IFERROR(MAX(Tributos!$C$24,(INDEX(Tributos!$C$24:$C$29,MATCH(E75,Tributos!$B$24:$B$29,1))*E75-INDEX(Tributos!$D$24:$D$29,MATCH(E75,Tributos!$B$24:$B$29,1)))/E75),Tributos!$C$24)))</f>
        <v>0.155</v>
      </c>
      <c r="F76" s="87" t="n">
        <f aca="false">IF(Premissas!$B$23=3,Premissas!$B$24,IF(F75&gt;Premissas!$B$25,Premissas!$B$24,IFERROR(MAX(Tributos!$C$24,(INDEX(Tributos!$C$24:$C$29,MATCH(F75,Tributos!$B$24:$B$29,1))*F75-INDEX(Tributos!$D$24:$D$29,MATCH(F75,Tributos!$B$24:$B$29,1)))/F75),Tributos!$C$24)))</f>
        <v>0.155</v>
      </c>
      <c r="G76" s="87" t="n">
        <f aca="false">IF(Premissas!$B$23=3,Premissas!$B$24,IF(G75&gt;Premissas!$B$25,Premissas!$B$24,IFERROR(MAX(Tributos!$C$24,(INDEX(Tributos!$C$24:$C$29,MATCH(G75,Tributos!$B$24:$B$29,1))*G75-INDEX(Tributos!$D$24:$D$29,MATCH(G75,Tributos!$B$24:$B$29,1)))/G75),Tributos!$C$24)))</f>
        <v>0.155</v>
      </c>
      <c r="H76" s="87" t="n">
        <f aca="false">IF(Premissas!$B$23=3,Premissas!$B$24,IF(H75&gt;Premissas!$B$25,Premissas!$B$24,IFERROR(MAX(Tributos!$C$24,(INDEX(Tributos!$C$24:$C$29,MATCH(H75,Tributos!$B$24:$B$29,1))*H75-INDEX(Tributos!$D$24:$D$29,MATCH(H75,Tributos!$B$24:$B$29,1)))/H75),Tributos!$C$24)))</f>
        <v>0.155</v>
      </c>
      <c r="I76" s="87" t="n">
        <f aca="false">IF(Premissas!$B$23=3,Premissas!$B$24,IF(I75&gt;Premissas!$B$25,Premissas!$B$24,IFERROR(MAX(Tributos!$C$24,(INDEX(Tributos!$C$24:$C$29,MATCH(I75,Tributos!$B$24:$B$29,1))*I75-INDEX(Tributos!$D$24:$D$29,MATCH(I75,Tributos!$B$24:$B$29,1)))/I75),Tributos!$C$24)))</f>
        <v>0.155</v>
      </c>
      <c r="J76" s="87" t="n">
        <f aca="false">IF(Premissas!$B$23=3,Premissas!$B$24,IF(J75&gt;Premissas!$B$25,Premissas!$B$24,IFERROR(MAX(Tributos!$C$24,(INDEX(Tributos!$C$24:$C$29,MATCH(J75,Tributos!$B$24:$B$29,1))*J75-INDEX(Tributos!$D$24:$D$29,MATCH(J75,Tributos!$B$24:$B$29,1)))/J75),Tributos!$C$24)))</f>
        <v>0.155</v>
      </c>
      <c r="K76" s="87" t="n">
        <f aca="false">IF(Premissas!$B$23=3,Premissas!$B$24,IF(K75&gt;Premissas!$B$25,Premissas!$B$24,IFERROR(MAX(Tributos!$C$24,(INDEX(Tributos!$C$24:$C$29,MATCH(K75,Tributos!$B$24:$B$29,1))*K75-INDEX(Tributos!$D$24:$D$29,MATCH(K75,Tributos!$B$24:$B$29,1)))/K75),Tributos!$C$24)))</f>
        <v>0.155</v>
      </c>
      <c r="L76" s="87" t="n">
        <f aca="false">IF(Premissas!$B$23=3,Premissas!$B$24,IF(L75&gt;Premissas!$B$25,Premissas!$B$24,IFERROR(MAX(Tributos!$C$24,(INDEX(Tributos!$C$24:$C$29,MATCH(L75,Tributos!$B$24:$B$29,1))*L75-INDEX(Tributos!$D$24:$D$29,MATCH(L75,Tributos!$B$24:$B$29,1)))/L75),Tributos!$C$24)))</f>
        <v>0.155</v>
      </c>
      <c r="M76" s="87" t="n">
        <f aca="false">IF(Premissas!$B$23=3,Premissas!$B$24,IF(M75&gt;Premissas!$B$25,Premissas!$B$24,IFERROR(MAX(Tributos!$C$24,(INDEX(Tributos!$C$24:$C$29,MATCH(M75,Tributos!$B$24:$B$29,1))*M75-INDEX(Tributos!$D$24:$D$29,MATCH(M75,Tributos!$B$24:$B$29,1)))/M75),Tributos!$C$24)))</f>
        <v>0.155</v>
      </c>
      <c r="N76" s="87" t="n">
        <f aca="false">IF(Premissas!$B$23=3,Premissas!$B$24,IF(N75&gt;Premissas!$B$25,Premissas!$B$24,IFERROR(MAX(Tributos!$C$24,(INDEX(Tributos!$C$24:$C$29,MATCH(N75,Tributos!$B$24:$B$29,1))*N75-INDEX(Tributos!$D$24:$D$29,MATCH(N75,Tributos!$B$24:$B$29,1)))/N75),Tributos!$C$24)))</f>
        <v>0.155</v>
      </c>
      <c r="O76" s="87" t="n">
        <f aca="false">IF(Premissas!$B$23=3,Premissas!$B$24,IF(O75&gt;Premissas!$B$25,Premissas!$B$24,IFERROR(MAX(Tributos!$C$24,(INDEX(Tributos!$C$24:$C$29,MATCH(O75,Tributos!$B$24:$B$29,1))*O75-INDEX(Tributos!$D$24:$D$29,MATCH(O75,Tributos!$B$24:$B$29,1)))/O75),Tributos!$C$24)))</f>
        <v>0.155</v>
      </c>
      <c r="P76" s="87" t="n">
        <f aca="false">IF(Premissas!$B$23=3,Premissas!$B$24,IF(P75&gt;Premissas!$B$25,Premissas!$B$24,IFERROR(MAX(Tributos!$C$24,(INDEX(Tributos!$C$24:$C$29,MATCH(P75,Tributos!$B$24:$B$29,1))*P75-INDEX(Tributos!$D$24:$D$29,MATCH(P75,Tributos!$B$24:$B$29,1)))/P75),Tributos!$C$24)))</f>
        <v>0.156593871701344</v>
      </c>
      <c r="Q76" s="87" t="n">
        <f aca="false">IF(Premissas!$B$23=3,Premissas!$B$24,IF(Q75&gt;Premissas!$B$25,Premissas!$B$24,IFERROR(MAX(Tributos!$C$24,(INDEX(Tributos!$C$24:$C$29,MATCH(Q75,Tributos!$B$24:$B$29,1))*Q75-INDEX(Tributos!$D$24:$D$29,MATCH(Q75,Tributos!$B$24:$B$29,1)))/Q75),Tributos!$C$24)))</f>
        <v>0.166260481710397</v>
      </c>
      <c r="R76" s="87" t="n">
        <f aca="false">IF(Premissas!$B$23=3,Premissas!$B$24,IF(R75&gt;Premissas!$B$25,Premissas!$B$24,IFERROR(MAX(Tributos!$C$24,(INDEX(Tributos!$C$24:$C$29,MATCH(R75,Tributos!$B$24:$B$29,1))*R75-INDEX(Tributos!$D$24:$D$29,MATCH(R75,Tributos!$B$24:$B$29,1)))/R75),Tributos!$C$24)))</f>
        <v>0.17587701089176</v>
      </c>
      <c r="S76" s="87" t="n">
        <f aca="false">IF(Premissas!$B$23=3,Premissas!$B$24,IF(S75&gt;Premissas!$B$25,Premissas!$B$24,IFERROR(MAX(Tributos!$C$24,(INDEX(Tributos!$C$24:$C$29,MATCH(S75,Tributos!$B$24:$B$29,1))*S75-INDEX(Tributos!$D$24:$D$29,MATCH(S75,Tributos!$B$24:$B$29,1)))/S75),Tributos!$C$24)))</f>
        <v>0.181646884118957</v>
      </c>
      <c r="T76" s="87" t="n">
        <f aca="false">IF(Premissas!$B$23=3,Premissas!$B$24,IF(T75&gt;Premissas!$B$25,Premissas!$B$24,IFERROR(MAX(Tributos!$C$24,(INDEX(Tributos!$C$24:$C$29,MATCH(T75,Tributos!$B$24:$B$29,1))*T75-INDEX(Tributos!$D$24:$D$29,MATCH(T75,Tributos!$B$24:$B$29,1)))/T75),Tributos!$C$24)))</f>
        <v>0.187358224867618</v>
      </c>
      <c r="U76" s="87" t="n">
        <f aca="false">IF(Premissas!$B$23=3,Premissas!$B$24,IF(U75&gt;Premissas!$B$25,Premissas!$B$24,IFERROR(MAX(Tributos!$C$24,(INDEX(Tributos!$C$24:$C$29,MATCH(U75,Tributos!$B$24:$B$29,1))*U75-INDEX(Tributos!$D$24:$D$29,MATCH(U75,Tributos!$B$24:$B$29,1)))/U75),Tributos!$C$24)))</f>
        <v>0.191065581648779</v>
      </c>
      <c r="V76" s="87" t="n">
        <f aca="false">IF(Premissas!$B$23=3,Premissas!$B$24,IF(V75&gt;Premissas!$B$25,Premissas!$B$24,IFERROR(MAX(Tributos!$C$24,(INDEX(Tributos!$C$24:$C$29,MATCH(V75,Tributos!$B$24:$B$29,1))*V75-INDEX(Tributos!$D$24:$D$29,MATCH(V75,Tributos!$B$24:$B$29,1)))/V75),Tributos!$C$24)))</f>
        <v>0.193632894854391</v>
      </c>
      <c r="W76" s="87" t="n">
        <f aca="false">IF(Premissas!$B$23=3,Premissas!$B$24,IF(W75&gt;Premissas!$B$25,Premissas!$B$24,IFERROR(MAX(Tributos!$C$24,(INDEX(Tributos!$C$24:$C$29,MATCH(W75,Tributos!$B$24:$B$29,1))*W75-INDEX(Tributos!$D$24:$D$29,MATCH(W75,Tributos!$B$24:$B$29,1)))/W75),Tributos!$C$24)))</f>
        <v>0.195496258947315</v>
      </c>
      <c r="X76" s="87" t="n">
        <f aca="false">IF(Premissas!$B$23=3,Premissas!$B$24,IF(X75&gt;Premissas!$B$25,Premissas!$B$24,IFERROR(MAX(Tributos!$C$24,(INDEX(Tributos!$C$24:$C$29,MATCH(X75,Tributos!$B$24:$B$29,1))*X75-INDEX(Tributos!$D$24:$D$29,MATCH(X75,Tributos!$B$24:$B$29,1)))/X75),Tributos!$C$24)))</f>
        <v>0.201145540852</v>
      </c>
      <c r="Y76" s="87" t="n">
        <f aca="false">IF(Premissas!$B$23=3,Premissas!$B$24,IF(Y75&gt;Premissas!$B$25,Premissas!$B$24,IFERROR(MAX(Tributos!$C$24,(INDEX(Tributos!$C$24:$C$29,MATCH(Y75,Tributos!$B$24:$B$29,1))*Y75-INDEX(Tributos!$D$24:$D$29,MATCH(Y75,Tributos!$B$24:$B$29,1)))/Y75),Tributos!$C$24)))</f>
        <v>0.205297540658413</v>
      </c>
      <c r="Z76" s="87" t="n">
        <f aca="false">IF(Premissas!$B$23=3,Premissas!$B$24,IF(Z75&gt;Premissas!$B$25,Premissas!$B$24,IFERROR(MAX(Tributos!$C$24,(INDEX(Tributos!$C$24:$C$29,MATCH(Z75,Tributos!$B$24:$B$29,1))*Z75-INDEX(Tributos!$D$24:$D$29,MATCH(Z75,Tributos!$B$24:$B$29,1)))/Z75),Tributos!$C$24)))</f>
        <v>0.208425082801468</v>
      </c>
      <c r="AA76" s="87" t="n">
        <f aca="false">IF(Premissas!$B$23=3,Premissas!$B$24,IF(AA75&gt;Premissas!$B$25,Premissas!$B$24,IFERROR(MAX(Tributos!$C$24,(INDEX(Tributos!$C$24:$C$29,MATCH(AA75,Tributos!$B$24:$B$29,1))*AA75-INDEX(Tributos!$D$24:$D$29,MATCH(AA75,Tributos!$B$24:$B$29,1)))/AA75),Tributos!$C$24)))</f>
        <v>0.211390119549705</v>
      </c>
      <c r="AB76" s="87" t="n">
        <f aca="false">IF(Premissas!$B$23=3,Premissas!$B$24,IF(AB75&gt;Premissas!$B$25,Premissas!$B$24,IFERROR(MAX(Tributos!$C$24,(INDEX(Tributos!$C$24:$C$29,MATCH(AB75,Tributos!$B$24:$B$29,1))*AB75-INDEX(Tributos!$D$24:$D$29,MATCH(AB75,Tributos!$B$24:$B$29,1)))/AB75),Tributos!$C$24)))</f>
        <v>0.163039841088372</v>
      </c>
      <c r="AC76" s="87" t="n">
        <f aca="false">IF(Premissas!$B$23=3,Premissas!$B$24,IF(AC75&gt;Premissas!$B$25,Premissas!$B$24,IFERROR(MAX(Tributos!$C$24,(INDEX(Tributos!$C$24:$C$29,MATCH(AC75,Tributos!$B$24:$B$29,1))*AC75-INDEX(Tributos!$D$24:$D$29,MATCH(AC75,Tributos!$B$24:$B$29,1)))/AC75),Tributos!$C$24)))</f>
        <v>0.178535616001447</v>
      </c>
      <c r="AD76" s="87" t="n">
        <f aca="false">IF(Premissas!$B$23=3,Premissas!$B$24,IF(AD75&gt;Premissas!$B$25,Premissas!$B$24,IFERROR(MAX(Tributos!$C$24,(INDEX(Tributos!$C$24:$C$29,MATCH(AD75,Tributos!$B$24:$B$29,1))*AD75-INDEX(Tributos!$D$24:$D$29,MATCH(AD75,Tributos!$B$24:$B$29,1)))/AD75),Tributos!$C$24)))</f>
        <v>0.19056167579252</v>
      </c>
      <c r="AE76" s="87" t="n">
        <f aca="false">IF(Premissas!$B$23=3,Premissas!$B$24,IF(AE75&gt;Premissas!$B$25,Premissas!$B$24,IFERROR(MAX(Tributos!$C$24,(INDEX(Tributos!$C$24:$C$29,MATCH(AE75,Tributos!$B$24:$B$29,1))*AE75-INDEX(Tributos!$D$24:$D$29,MATCH(AE75,Tributos!$B$24:$B$29,1)))/AE75),Tributos!$C$24)))</f>
        <v>0.1633</v>
      </c>
      <c r="AF76" s="87" t="n">
        <f aca="false">IF(Premissas!$B$23=3,Premissas!$B$24,IF(AF75&gt;Premissas!$B$25,Premissas!$B$24,IFERROR(MAX(Tributos!$C$24,(INDEX(Tributos!$C$24:$C$29,MATCH(AF75,Tributos!$B$24:$B$29,1))*AF75-INDEX(Tributos!$D$24:$D$29,MATCH(AF75,Tributos!$B$24:$B$29,1)))/AF75),Tributos!$C$24)))</f>
        <v>0.1633</v>
      </c>
      <c r="AG76" s="87" t="n">
        <f aca="false">IF(Premissas!$B$23=3,Premissas!$B$24,IF(AG75&gt;Premissas!$B$25,Premissas!$B$24,IFERROR(MAX(Tributos!$C$24,(INDEX(Tributos!$C$24:$C$29,MATCH(AG75,Tributos!$B$24:$B$29,1))*AG75-INDEX(Tributos!$D$24:$D$29,MATCH(AG75,Tributos!$B$24:$B$29,1)))/AG75),Tributos!$C$24)))</f>
        <v>0.1633</v>
      </c>
      <c r="AH76" s="87" t="n">
        <f aca="false">IF(Premissas!$B$23=3,Premissas!$B$24,IF(AH75&gt;Premissas!$B$25,Premissas!$B$24,IFERROR(MAX(Tributos!$C$24,(INDEX(Tributos!$C$24:$C$29,MATCH(AH75,Tributos!$B$24:$B$29,1))*AH75-INDEX(Tributos!$D$24:$D$29,MATCH(AH75,Tributos!$B$24:$B$29,1)))/AH75),Tributos!$C$24)))</f>
        <v>0.1633</v>
      </c>
      <c r="AI76" s="87" t="n">
        <f aca="false">IF(Premissas!$B$23=3,Premissas!$B$24,IF(AI75&gt;Premissas!$B$25,Premissas!$B$24,IFERROR(MAX(Tributos!$C$24,(INDEX(Tributos!$C$24:$C$29,MATCH(AI75,Tributos!$B$24:$B$29,1))*AI75-INDEX(Tributos!$D$24:$D$29,MATCH(AI75,Tributos!$B$24:$B$29,1)))/AI75),Tributos!$C$24)))</f>
        <v>0.1633</v>
      </c>
      <c r="AJ76" s="87" t="n">
        <f aca="false">IF(Premissas!$B$23=3,Premissas!$B$24,IF(AJ75&gt;Premissas!$B$25,Premissas!$B$24,IFERROR(MAX(Tributos!$C$24,(INDEX(Tributos!$C$24:$C$29,MATCH(AJ75,Tributos!$B$24:$B$29,1))*AJ75-INDEX(Tributos!$D$24:$D$29,MATCH(AJ75,Tributos!$B$24:$B$29,1)))/AJ75),Tributos!$C$24)))</f>
        <v>0.1633</v>
      </c>
      <c r="AK76" s="87" t="n">
        <f aca="false">IF(Premissas!$B$23=3,Premissas!$B$24,IF(AK75&gt;Premissas!$B$25,Premissas!$B$24,IFERROR(MAX(Tributos!$C$24,(INDEX(Tributos!$C$24:$C$29,MATCH(AK75,Tributos!$B$24:$B$29,1))*AK75-INDEX(Tributos!$D$24:$D$29,MATCH(AK75,Tributos!$B$24:$B$29,1)))/AK75),Tributos!$C$24)))</f>
        <v>0.1633</v>
      </c>
      <c r="AL76" s="87" t="n">
        <f aca="false">IF(Premissas!$B$23=3,Premissas!$B$24,IF(AL75&gt;Premissas!$B$25,Premissas!$B$24,IFERROR(MAX(Tributos!$C$24,(INDEX(Tributos!$C$24:$C$29,MATCH(AL75,Tributos!$B$24:$B$29,1))*AL75-INDEX(Tributos!$D$24:$D$29,MATCH(AL75,Tributos!$B$24:$B$29,1)))/AL75),Tributos!$C$24)))</f>
        <v>0.1633</v>
      </c>
      <c r="AM76" s="87" t="n">
        <f aca="false">IF(Premissas!$B$23=3,Premissas!$B$24,IF(AM75&gt;Premissas!$B$25,Premissas!$B$24,IFERROR(MAX(Tributos!$C$24,(INDEX(Tributos!$C$24:$C$29,MATCH(AM75,Tributos!$B$24:$B$29,1))*AM75-INDEX(Tributos!$D$24:$D$29,MATCH(AM75,Tributos!$B$24:$B$29,1)))/AM75),Tributos!$C$24)))</f>
        <v>0.1633</v>
      </c>
      <c r="AN76" s="87" t="n">
        <f aca="false">IF(Premissas!$B$23=3,Premissas!$B$24,IF(AN75&gt;Premissas!$B$25,Premissas!$B$24,IFERROR(MAX(Tributos!$C$24,(INDEX(Tributos!$C$24:$C$29,MATCH(AN75,Tributos!$B$24:$B$29,1))*AN75-INDEX(Tributos!$D$24:$D$29,MATCH(AN75,Tributos!$B$24:$B$29,1)))/AN75),Tributos!$C$24)))</f>
        <v>0.1633</v>
      </c>
      <c r="AO76" s="87" t="n">
        <f aca="false">IF(Premissas!$B$23=3,Premissas!$B$24,IF(AO75&gt;Premissas!$B$25,Premissas!$B$24,IFERROR(MAX(Tributos!$C$24,(INDEX(Tributos!$C$24:$C$29,MATCH(AO75,Tributos!$B$24:$B$29,1))*AO75-INDEX(Tributos!$D$24:$D$29,MATCH(AO75,Tributos!$B$24:$B$29,1)))/AO75),Tributos!$C$24)))</f>
        <v>0.1633</v>
      </c>
      <c r="AP76" s="87" t="n">
        <f aca="false">IF(Premissas!$B$23=3,Premissas!$B$24,IF(AP75&gt;Premissas!$B$25,Premissas!$B$24,IFERROR(MAX(Tributos!$C$24,(INDEX(Tributos!$C$24:$C$29,MATCH(AP75,Tributos!$B$24:$B$29,1))*AP75-INDEX(Tributos!$D$24:$D$29,MATCH(AP75,Tributos!$B$24:$B$29,1)))/AP75),Tributos!$C$24)))</f>
        <v>0.1633</v>
      </c>
      <c r="AQ76" s="87" t="n">
        <f aca="false">IF(Premissas!$B$23=3,Premissas!$B$24,IF(AQ75&gt;Premissas!$B$25,Premissas!$B$24,IFERROR(MAX(Tributos!$C$24,(INDEX(Tributos!$C$24:$C$29,MATCH(AQ75,Tributos!$B$24:$B$29,1))*AQ75-INDEX(Tributos!$D$24:$D$29,MATCH(AQ75,Tributos!$B$24:$B$29,1)))/AQ75),Tributos!$C$24)))</f>
        <v>0.1633</v>
      </c>
      <c r="AR76" s="87" t="n">
        <f aca="false">IF(Premissas!$B$23=3,Premissas!$B$24,IF(AR75&gt;Premissas!$B$25,Premissas!$B$24,IFERROR(MAX(Tributos!$C$24,(INDEX(Tributos!$C$24:$C$29,MATCH(AR75,Tributos!$B$24:$B$29,1))*AR75-INDEX(Tributos!$D$24:$D$29,MATCH(AR75,Tributos!$B$24:$B$29,1)))/AR75),Tributos!$C$24)))</f>
        <v>0.1633</v>
      </c>
      <c r="AS76" s="87" t="n">
        <f aca="false">IF(Premissas!$B$23=3,Premissas!$B$24,IF(AS75&gt;Premissas!$B$25,Premissas!$B$24,IFERROR(MAX(Tributos!$C$24,(INDEX(Tributos!$C$24:$C$29,MATCH(AS75,Tributos!$B$24:$B$29,1))*AS75-INDEX(Tributos!$D$24:$D$29,MATCH(AS75,Tributos!$B$24:$B$29,1)))/AS75),Tributos!$C$24)))</f>
        <v>0.1633</v>
      </c>
      <c r="AT76" s="87" t="n">
        <f aca="false">IF(Premissas!$B$23=3,Premissas!$B$24,IF(AT75&gt;Premissas!$B$25,Premissas!$B$24,IFERROR(MAX(Tributos!$C$24,(INDEX(Tributos!$C$24:$C$29,MATCH(AT75,Tributos!$B$24:$B$29,1))*AT75-INDEX(Tributos!$D$24:$D$29,MATCH(AT75,Tributos!$B$24:$B$29,1)))/AT75),Tributos!$C$24)))</f>
        <v>0.1633</v>
      </c>
      <c r="AU76" s="87" t="n">
        <f aca="false">IF(Premissas!$B$23=3,Premissas!$B$24,IF(AU75&gt;Premissas!$B$25,Premissas!$B$24,IFERROR(MAX(Tributos!$C$24,(INDEX(Tributos!$C$24:$C$29,MATCH(AU75,Tributos!$B$24:$B$29,1))*AU75-INDEX(Tributos!$D$24:$D$29,MATCH(AU75,Tributos!$B$24:$B$29,1)))/AU75),Tributos!$C$24)))</f>
        <v>0.1633</v>
      </c>
      <c r="AV76" s="87" t="n">
        <f aca="false">IF(Premissas!$B$23=3,Premissas!$B$24,IF(AV75&gt;Premissas!$B$25,Premissas!$B$24,IFERROR(MAX(Tributos!$C$24,(INDEX(Tributos!$C$24:$C$29,MATCH(AV75,Tributos!$B$24:$B$29,1))*AV75-INDEX(Tributos!$D$24:$D$29,MATCH(AV75,Tributos!$B$24:$B$29,1)))/AV75),Tributos!$C$24)))</f>
        <v>0.1633</v>
      </c>
      <c r="AW76" s="87" t="n">
        <f aca="false">IF(Premissas!$B$23=3,Premissas!$B$24,IF(AW75&gt;Premissas!$B$25,Premissas!$B$24,IFERROR(MAX(Tributos!$C$24,(INDEX(Tributos!$C$24:$C$29,MATCH(AW75,Tributos!$B$24:$B$29,1))*AW75-INDEX(Tributos!$D$24:$D$29,MATCH(AW75,Tributos!$B$24:$B$29,1)))/AW75),Tributos!$C$24)))</f>
        <v>0.1633</v>
      </c>
      <c r="AX76" s="87" t="n">
        <f aca="false">IF(Premissas!$B$23=3,Premissas!$B$24,IF(AX75&gt;Premissas!$B$25,Premissas!$B$24,IFERROR(MAX(Tributos!$C$24,(INDEX(Tributos!$C$24:$C$29,MATCH(AX75,Tributos!$B$24:$B$29,1))*AX75-INDEX(Tributos!$D$24:$D$29,MATCH(AX75,Tributos!$B$24:$B$29,1)))/AX75),Tributos!$C$24)))</f>
        <v>0.1633</v>
      </c>
      <c r="AY76" s="87" t="n">
        <f aca="false">IF(Premissas!$B$23=3,Premissas!$B$24,IF(AY75&gt;Premissas!$B$25,Premissas!$B$24,IFERROR(MAX(Tributos!$C$24,(INDEX(Tributos!$C$24:$C$29,MATCH(AY75,Tributos!$B$24:$B$29,1))*AY75-INDEX(Tributos!$D$24:$D$29,MATCH(AY75,Tributos!$B$24:$B$29,1)))/AY75),Tributos!$C$24)))</f>
        <v>0.1633</v>
      </c>
      <c r="AZ76" s="87" t="n">
        <f aca="false">IF(Premissas!$B$23=3,Premissas!$B$24,IF(AZ75&gt;Premissas!$B$25,Premissas!$B$24,IFERROR(MAX(Tributos!$C$24,(INDEX(Tributos!$C$24:$C$29,MATCH(AZ75,Tributos!$B$24:$B$29,1))*AZ75-INDEX(Tributos!$D$24:$D$29,MATCH(AZ75,Tributos!$B$24:$B$29,1)))/AZ75),Tributos!$C$24)))</f>
        <v>0.1633</v>
      </c>
      <c r="BA76" s="87" t="n">
        <f aca="false">IF(Premissas!$B$23=3,Premissas!$B$24,IF(BA75&gt;Premissas!$B$25,Premissas!$B$24,IFERROR(MAX(Tributos!$C$24,(INDEX(Tributos!$C$24:$C$29,MATCH(BA75,Tributos!$B$24:$B$29,1))*BA75-INDEX(Tributos!$D$24:$D$29,MATCH(BA75,Tributos!$B$24:$B$29,1)))/BA75),Tributos!$C$24)))</f>
        <v>0.1633</v>
      </c>
      <c r="BB76" s="87" t="n">
        <f aca="false">IF(Premissas!$B$23=3,Premissas!$B$24,IF(BB75&gt;Premissas!$B$25,Premissas!$B$24,IFERROR(MAX(Tributos!$C$24,(INDEX(Tributos!$C$24:$C$29,MATCH(BB75,Tributos!$B$24:$B$29,1))*BB75-INDEX(Tributos!$D$24:$D$29,MATCH(BB75,Tributos!$B$24:$B$29,1)))/BB75),Tributos!$C$24)))</f>
        <v>0.1633</v>
      </c>
      <c r="BC76" s="87" t="n">
        <f aca="false">IF(Premissas!$B$23=3,Premissas!$B$24,IF(BC75&gt;Premissas!$B$25,Premissas!$B$24,IFERROR(MAX(Tributos!$C$24,(INDEX(Tributos!$C$24:$C$29,MATCH(BC75,Tributos!$B$24:$B$29,1))*BC75-INDEX(Tributos!$D$24:$D$29,MATCH(BC75,Tributos!$B$24:$B$29,1)))/BC75),Tributos!$C$24)))</f>
        <v>0.1633</v>
      </c>
      <c r="BD76" s="87" t="n">
        <f aca="false">IF(Premissas!$B$23=3,Premissas!$B$24,IF(BD75&gt;Premissas!$B$25,Premissas!$B$24,IFERROR(MAX(Tributos!$C$24,(INDEX(Tributos!$C$24:$C$29,MATCH(BD75,Tributos!$B$24:$B$29,1))*BD75-INDEX(Tributos!$D$24:$D$29,MATCH(BD75,Tributos!$B$24:$B$29,1)))/BD75),Tributos!$C$24)))</f>
        <v>0.1633</v>
      </c>
      <c r="BE76" s="87" t="n">
        <f aca="false">IF(Premissas!$B$23=3,Premissas!$B$24,IF(BE75&gt;Premissas!$B$25,Premissas!$B$24,IFERROR(MAX(Tributos!$C$24,(INDEX(Tributos!$C$24:$C$29,MATCH(BE75,Tributos!$B$24:$B$29,1))*BE75-INDEX(Tributos!$D$24:$D$29,MATCH(BE75,Tributos!$B$24:$B$29,1)))/BE75),Tributos!$C$24)))</f>
        <v>0.1633</v>
      </c>
      <c r="BF76" s="87" t="n">
        <f aca="false">IF(Premissas!$B$23=3,Premissas!$B$24,IF(BF75&gt;Premissas!$B$25,Premissas!$B$24,IFERROR(MAX(Tributos!$C$24,(INDEX(Tributos!$C$24:$C$29,MATCH(BF75,Tributos!$B$24:$B$29,1))*BF75-INDEX(Tributos!$D$24:$D$29,MATCH(BF75,Tributos!$B$24:$B$29,1)))/BF75),Tributos!$C$24)))</f>
        <v>0.1633</v>
      </c>
      <c r="BG76" s="87" t="n">
        <f aca="false">IF(Premissas!$B$23=3,Premissas!$B$24,IF(BG75&gt;Premissas!$B$25,Premissas!$B$24,IFERROR(MAX(Tributos!$C$24,(INDEX(Tributos!$C$24:$C$29,MATCH(BG75,Tributos!$B$24:$B$29,1))*BG75-INDEX(Tributos!$D$24:$D$29,MATCH(BG75,Tributos!$B$24:$B$29,1)))/BG75),Tributos!$C$24)))</f>
        <v>0.1633</v>
      </c>
      <c r="BH76" s="87" t="n">
        <f aca="false">IF(Premissas!$B$23=3,Premissas!$B$24,IF(BH75&gt;Premissas!$B$25,Premissas!$B$24,IFERROR(MAX(Tributos!$C$24,(INDEX(Tributos!$C$24:$C$29,MATCH(BH75,Tributos!$B$24:$B$29,1))*BH75-INDEX(Tributos!$D$24:$D$29,MATCH(BH75,Tributos!$B$24:$B$29,1)))/BH75),Tributos!$C$24)))</f>
        <v>0.1633</v>
      </c>
      <c r="BI76" s="87" t="n">
        <f aca="false">IF(Premissas!$B$23=3,Premissas!$B$24,IF(BI75&gt;Premissas!$B$25,Premissas!$B$24,IFERROR(MAX(Tributos!$C$24,(INDEX(Tributos!$C$24:$C$29,MATCH(BI75,Tributos!$B$24:$B$29,1))*BI75-INDEX(Tributos!$D$24:$D$29,MATCH(BI75,Tributos!$B$24:$B$29,1)))/BI75),Tributos!$C$24)))</f>
        <v>0.1633</v>
      </c>
      <c r="BJ76" s="88" t="n">
        <f aca="false">IFERROR(-BJ77/BJ74,0)</f>
        <v>0.165654305694242</v>
      </c>
      <c r="BK76" s="29" t="s">
        <v>881</v>
      </c>
    </row>
    <row r="77" customFormat="false" ht="15" hidden="false" customHeight="false" outlineLevel="0" collapsed="false">
      <c r="A77" s="27" t="s">
        <v>755</v>
      </c>
      <c r="B77" s="60" t="n">
        <f aca="false">-B74*B76</f>
        <v>-0</v>
      </c>
      <c r="C77" s="60" t="n">
        <f aca="false">-C74*C76</f>
        <v>-0</v>
      </c>
      <c r="D77" s="60" t="n">
        <f aca="false">-D74*D76</f>
        <v>-0</v>
      </c>
      <c r="E77" s="60" t="n">
        <f aca="false">-E74*E76</f>
        <v>-0</v>
      </c>
      <c r="F77" s="60" t="n">
        <f aca="false">-F74*F76</f>
        <v>-0</v>
      </c>
      <c r="G77" s="60" t="n">
        <f aca="false">-G74*G76</f>
        <v>-0</v>
      </c>
      <c r="H77" s="60" t="n">
        <f aca="false">-H74*H76</f>
        <v>-0</v>
      </c>
      <c r="I77" s="60" t="n">
        <f aca="false">-I74*I76</f>
        <v>-0</v>
      </c>
      <c r="J77" s="60" t="n">
        <f aca="false">-J74*J76</f>
        <v>-0</v>
      </c>
      <c r="K77" s="60" t="n">
        <f aca="false">-K74*K76</f>
        <v>-465.7595</v>
      </c>
      <c r="L77" s="60" t="n">
        <f aca="false">-L74*L76</f>
        <v>-1785.9255</v>
      </c>
      <c r="M77" s="60" t="n">
        <f aca="false">-M74*M76</f>
        <v>-3861.794</v>
      </c>
      <c r="N77" s="60" t="n">
        <f aca="false">-N74*N76</f>
        <v>-9120.1635712304</v>
      </c>
      <c r="O77" s="60" t="n">
        <f aca="false">-O74*O76</f>
        <v>-14566.2453512859</v>
      </c>
      <c r="P77" s="60" t="n">
        <f aca="false">-P74*P76</f>
        <v>-21181.6791689012</v>
      </c>
      <c r="Q77" s="60" t="n">
        <f aca="false">-Q74*Q76</f>
        <v>-31619.2675706219</v>
      </c>
      <c r="R77" s="60" t="n">
        <f aca="false">-R74*R76</f>
        <v>-37731.7469768552</v>
      </c>
      <c r="S77" s="60" t="n">
        <f aca="false">-S74*S76</f>
        <v>-43060.0984287111</v>
      </c>
      <c r="T77" s="60" t="n">
        <f aca="false">-T74*T76</f>
        <v>-48317.241175939</v>
      </c>
      <c r="U77" s="60" t="n">
        <f aca="false">-U74*U76</f>
        <v>-52956.4304312282</v>
      </c>
      <c r="V77" s="60" t="n">
        <f aca="false">-V74*V76</f>
        <v>-57112.1486342944</v>
      </c>
      <c r="W77" s="60" t="n">
        <f aca="false">-W74*W76</f>
        <v>-69575.9069555851</v>
      </c>
      <c r="X77" s="60" t="n">
        <f aca="false">-X74*X76</f>
        <v>-75079.8828565234</v>
      </c>
      <c r="Y77" s="60" t="n">
        <f aca="false">-Y74*Y76</f>
        <v>-79930.0343991313</v>
      </c>
      <c r="Z77" s="60" t="n">
        <f aca="false">-Z74*Z76</f>
        <v>-107846.305441122</v>
      </c>
      <c r="AA77" s="60" t="n">
        <f aca="false">-AA74*AA76</f>
        <v>-118573.551395708</v>
      </c>
      <c r="AB77" s="60" t="n">
        <f aca="false">-AB74*AB76</f>
        <v>-98045.2817973941</v>
      </c>
      <c r="AC77" s="60" t="n">
        <f aca="false">-AC74*AC76</f>
        <v>-114066.606316241</v>
      </c>
      <c r="AD77" s="60" t="n">
        <f aca="false">-AD74*AD76</f>
        <v>-128409.026178803</v>
      </c>
      <c r="AE77" s="60" t="n">
        <f aca="false">-AE74*AE76</f>
        <v>-115336.276651343</v>
      </c>
      <c r="AF77" s="60" t="n">
        <f aca="false">-AF74*AF76</f>
        <v>-127599.36120702</v>
      </c>
      <c r="AG77" s="60" t="n">
        <f aca="false">-AG74*AG76</f>
        <v>-132182.15752727</v>
      </c>
      <c r="AH77" s="60" t="n">
        <f aca="false">-AH74*AH76</f>
        <v>-136437.737847684</v>
      </c>
      <c r="AI77" s="60" t="n">
        <f aca="false">-AI74*AI76</f>
        <v>-140384.898891535</v>
      </c>
      <c r="AJ77" s="60" t="n">
        <f aca="false">-AJ74*AJ76</f>
        <v>-144053.047288535</v>
      </c>
      <c r="AK77" s="60" t="n">
        <f aca="false">-AK74*AK76</f>
        <v>-147467.974109778</v>
      </c>
      <c r="AL77" s="60" t="n">
        <f aca="false">-AL74*AL76</f>
        <v>-193158.806970824</v>
      </c>
      <c r="AM77" s="60" t="n">
        <f aca="false">-AM74*AM76</f>
        <v>-204784.707169135</v>
      </c>
      <c r="AN77" s="60" t="n">
        <f aca="false">-AN74*AN76</f>
        <v>-215629.489976651</v>
      </c>
      <c r="AO77" s="60" t="n">
        <f aca="false">-AO74*AO76</f>
        <v>-225751.898747388</v>
      </c>
      <c r="AP77" s="60" t="n">
        <f aca="false">-AP74*AP76</f>
        <v>-235210.550442914</v>
      </c>
      <c r="AQ77" s="60" t="n">
        <f aca="false">-AQ74*AQ76</f>
        <v>-244034.020783744</v>
      </c>
      <c r="AR77" s="60" t="n">
        <f aca="false">-AR74*AR76</f>
        <v>-252276.818347748</v>
      </c>
      <c r="AS77" s="60" t="n">
        <f aca="false">-AS74*AS76</f>
        <v>-259970.944574821</v>
      </c>
      <c r="AT77" s="60" t="n">
        <f aca="false">-AT74*AT76</f>
        <v>-267144.521237289</v>
      </c>
      <c r="AU77" s="60" t="n">
        <f aca="false">-AU74*AU76</f>
        <v>-273851.616969461</v>
      </c>
      <c r="AV77" s="60" t="n">
        <f aca="false">-AV74*AV76</f>
        <v>-280112.661228275</v>
      </c>
      <c r="AW77" s="60" t="n">
        <f aca="false">-AW74*AW76</f>
        <v>-285959.103173232</v>
      </c>
      <c r="AX77" s="60" t="n">
        <f aca="false">-AX74*AX76</f>
        <v>-360117.561116537</v>
      </c>
      <c r="AY77" s="60" t="n">
        <f aca="false">-AY74*AY76</f>
        <v>-380651.283860014</v>
      </c>
      <c r="AZ77" s="60" t="n">
        <f aca="false">-AZ74*AZ76</f>
        <v>-399898.047305669</v>
      </c>
      <c r="BA77" s="60" t="n">
        <f aca="false">-BA74*BA76</f>
        <v>-417940.489856525</v>
      </c>
      <c r="BB77" s="60" t="n">
        <f aca="false">-BB74*BB76</f>
        <v>-434872.58563264</v>
      </c>
      <c r="BC77" s="60" t="n">
        <f aca="false">-BC74*BC76</f>
        <v>-450733.569635962</v>
      </c>
      <c r="BD77" s="60" t="n">
        <f aca="false">-BD74*BD76</f>
        <v>-465605.227656599</v>
      </c>
      <c r="BE77" s="60" t="n">
        <f aca="false">-BE74*BE76</f>
        <v>-479541.846436148</v>
      </c>
      <c r="BF77" s="60" t="n">
        <f aca="false">-BF74*BF76</f>
        <v>-492628.63161752</v>
      </c>
      <c r="BG77" s="60" t="n">
        <f aca="false">-BG74*BG76</f>
        <v>-504872.708193557</v>
      </c>
      <c r="BH77" s="60" t="n">
        <f aca="false">-BH74*BH76</f>
        <v>-516362.742016134</v>
      </c>
      <c r="BI77" s="60" t="n">
        <f aca="false">-BI74*BI76</f>
        <v>-527140.523029265</v>
      </c>
      <c r="BJ77" s="61" t="n">
        <f aca="false">SUM(B77:BI77)</f>
        <v>-10425016.9051508</v>
      </c>
    </row>
    <row r="78" customFormat="false" ht="15" hidden="false" customHeight="false" outlineLevel="0" collapsed="false">
      <c r="A78" s="27" t="s">
        <v>723</v>
      </c>
      <c r="B78" s="60" t="n">
        <f aca="false">-B69*Premissas!$B$73*INDEX(Premissas!$C$74:$G$74,B$7)</f>
        <v>-0</v>
      </c>
      <c r="C78" s="60" t="n">
        <f aca="false">-C69*Premissas!$B$73*INDEX(Premissas!$C$74:$G$74,C$7)</f>
        <v>-0</v>
      </c>
      <c r="D78" s="60" t="n">
        <f aca="false">-D69*Premissas!$B$73*INDEX(Premissas!$C$74:$G$74,D$7)</f>
        <v>-0</v>
      </c>
      <c r="E78" s="60" t="n">
        <f aca="false">-E69*Premissas!$B$73*INDEX(Premissas!$C$74:$G$74,E$7)</f>
        <v>-0</v>
      </c>
      <c r="F78" s="60" t="n">
        <f aca="false">-F69*Premissas!$B$73*INDEX(Premissas!$C$74:$G$74,F$7)</f>
        <v>-0</v>
      </c>
      <c r="G78" s="60" t="n">
        <f aca="false">-G69*Premissas!$B$73*INDEX(Premissas!$C$74:$G$74,G$7)</f>
        <v>-0</v>
      </c>
      <c r="H78" s="60" t="n">
        <f aca="false">-H69*Premissas!$B$73*INDEX(Premissas!$C$74:$G$74,H$7)</f>
        <v>-0</v>
      </c>
      <c r="I78" s="60" t="n">
        <f aca="false">-I69*Premissas!$B$73*INDEX(Premissas!$C$74:$G$74,I$7)</f>
        <v>-0</v>
      </c>
      <c r="J78" s="60" t="n">
        <f aca="false">-J69*Premissas!$B$73*INDEX(Premissas!$C$74:$G$74,J$7)</f>
        <v>-0</v>
      </c>
      <c r="K78" s="60" t="n">
        <f aca="false">-K69*Premissas!$B$73*INDEX(Premissas!$C$74:$G$74,K$7)</f>
        <v>-383.12475</v>
      </c>
      <c r="L78" s="60" t="n">
        <f aca="false">-L69*Premissas!$B$73*INDEX(Premissas!$C$74:$G$74,L$7)</f>
        <v>-1469.06775</v>
      </c>
      <c r="M78" s="60" t="n">
        <f aca="false">-M69*Premissas!$B$73*INDEX(Premissas!$C$74:$G$74,M$7)</f>
        <v>-3176.637</v>
      </c>
      <c r="N78" s="60" t="n">
        <f aca="false">-N69*Premissas!$B$73*INDEX(Premissas!$C$74:$G$74,N$7)</f>
        <v>-6597.99624</v>
      </c>
      <c r="O78" s="60" t="n">
        <f aca="false">-O69*Premissas!$B$73*INDEX(Premissas!$C$74:$G$74,O$7)</f>
        <v>-10678.07334</v>
      </c>
      <c r="P78" s="60" t="n">
        <f aca="false">-P69*Premissas!$B$73*INDEX(Premissas!$C$74:$G$74,P$7)</f>
        <v>-15506.78844</v>
      </c>
      <c r="Q78" s="60" t="n">
        <f aca="false">-Q69*Premissas!$B$73*INDEX(Premissas!$C$74:$G$74,Q$7)</f>
        <v>-21979.94898</v>
      </c>
      <c r="R78" s="60" t="n">
        <f aca="false">-R69*Premissas!$B$73*INDEX(Premissas!$C$74:$G$74,R$7)</f>
        <v>-24794.87802</v>
      </c>
      <c r="S78" s="60" t="n">
        <f aca="false">-S69*Premissas!$B$73*INDEX(Premissas!$C$74:$G$74,S$7)</f>
        <v>-27397.50486</v>
      </c>
      <c r="T78" s="60" t="n">
        <f aca="false">-T69*Premissas!$B$73*INDEX(Premissas!$C$74:$G$74,T$7)</f>
        <v>-29805.31026</v>
      </c>
      <c r="U78" s="60" t="n">
        <f aca="false">-U69*Premissas!$B$73*INDEX(Premissas!$C$74:$G$74,U$7)</f>
        <v>-32033.27952</v>
      </c>
      <c r="V78" s="60" t="n">
        <f aca="false">-V69*Premissas!$B$73*INDEX(Premissas!$C$74:$G$74,V$7)</f>
        <v>-34088.89902</v>
      </c>
      <c r="W78" s="60" t="n">
        <f aca="false">-W69*Premissas!$B$73*INDEX(Premissas!$C$74:$G$74,W$7)</f>
        <v>-41329.18152</v>
      </c>
      <c r="X78" s="60" t="n">
        <f aca="false">-X69*Premissas!$B$73*INDEX(Premissas!$C$74:$G$74,X$7)</f>
        <v>-43345.8894</v>
      </c>
      <c r="Y78" s="60" t="n">
        <f aca="false">-Y69*Premissas!$B$73*INDEX(Premissas!$C$74:$G$74,Y$7)</f>
        <v>-45212.66904</v>
      </c>
      <c r="Z78" s="60" t="n">
        <f aca="false">-Z69*Premissas!$B$73*INDEX(Premissas!$C$74:$G$74,Z$7)</f>
        <v>-55621.0334511562</v>
      </c>
      <c r="AA78" s="60" t="n">
        <f aca="false">-AA69*Premissas!$B$73*INDEX(Premissas!$C$74:$G$74,AA$7)</f>
        <v>-60295.7058195937</v>
      </c>
      <c r="AB78" s="60" t="n">
        <f aca="false">-AB69*Premissas!$B$73*INDEX(Premissas!$C$74:$G$74,AB$7)</f>
        <v>-64642.250611125</v>
      </c>
      <c r="AC78" s="60" t="n">
        <f aca="false">-AC69*Premissas!$B$73*INDEX(Premissas!$C$74:$G$74,AC$7)</f>
        <v>-68677.7935078125</v>
      </c>
      <c r="AD78" s="60" t="n">
        <f aca="false">-AD69*Premissas!$B$73*INDEX(Premissas!$C$74:$G$74,AD$7)</f>
        <v>-72434.1902439375</v>
      </c>
      <c r="AE78" s="60" t="n">
        <f aca="false">-AE69*Premissas!$B$73*INDEX(Premissas!$C$74:$G$74,AE$7)</f>
        <v>-75921.219903375</v>
      </c>
      <c r="AF78" s="60" t="n">
        <f aca="false">-AF69*Premissas!$B$73*INDEX(Premissas!$C$74:$G$74,AF$7)</f>
        <v>-79156.0081681875</v>
      </c>
      <c r="AG78" s="60" t="n">
        <f aca="false">-AG69*Premissas!$B$73*INDEX(Premissas!$C$74:$G$74,AG$7)</f>
        <v>-82172.8923994687</v>
      </c>
      <c r="AH78" s="60" t="n">
        <f aca="false">-AH69*Premissas!$B$73*INDEX(Premissas!$C$74:$G$74,AH$7)</f>
        <v>-84974.2682270625</v>
      </c>
      <c r="AI78" s="60" t="n">
        <f aca="false">-AI69*Premissas!$B$73*INDEX(Premissas!$C$74:$G$74,AI$7)</f>
        <v>-87572.384076375</v>
      </c>
      <c r="AJ78" s="60" t="n">
        <f aca="false">-AJ69*Premissas!$B$73*INDEX(Premissas!$C$74:$G$74,AJ$7)</f>
        <v>-89986.8472562812</v>
      </c>
      <c r="AK78" s="60" t="n">
        <f aca="false">-AK69*Premissas!$B$73*INDEX(Premissas!$C$74:$G$74,AK$7)</f>
        <v>-92234.8203046875</v>
      </c>
      <c r="AL78" s="60" t="n">
        <f aca="false">-AL69*Premissas!$B$73*INDEX(Premissas!$C$74:$G$74,AL$7)</f>
        <v>-113103.934377212</v>
      </c>
      <c r="AM78" s="60" t="n">
        <f aca="false">-AM69*Premissas!$B$73*INDEX(Premissas!$C$74:$G$74,AM$7)</f>
        <v>-120339.863822401</v>
      </c>
      <c r="AN78" s="60" t="n">
        <f aca="false">-AN69*Premissas!$B$73*INDEX(Premissas!$C$74:$G$74,AN$7)</f>
        <v>-127089.292238113</v>
      </c>
      <c r="AO78" s="60" t="n">
        <f aca="false">-AO69*Premissas!$B$73*INDEX(Premissas!$C$74:$G$74,AO$7)</f>
        <v>-133389.070160856</v>
      </c>
      <c r="AP78" s="60" t="n">
        <f aca="false">-AP69*Premissas!$B$73*INDEX(Premissas!$C$74:$G$74,AP$7)</f>
        <v>-139276.097425516</v>
      </c>
      <c r="AQ78" s="60" t="n">
        <f aca="false">-AQ69*Premissas!$B$73*INDEX(Premissas!$C$74:$G$74,AQ$7)</f>
        <v>-144767.529867149</v>
      </c>
      <c r="AR78" s="60" t="n">
        <f aca="false">-AR69*Premissas!$B$73*INDEX(Premissas!$C$74:$G$74,AR$7)</f>
        <v>-149897.790077216</v>
      </c>
      <c r="AS78" s="60" t="n">
        <f aca="false">-AS69*Premissas!$B$73*INDEX(Premissas!$C$74:$G$74,AS$7)</f>
        <v>-154686.523458793</v>
      </c>
      <c r="AT78" s="60" t="n">
        <f aca="false">-AT69*Premissas!$B$73*INDEX(Premissas!$C$74:$G$74,AT$7)</f>
        <v>-159150.910496124</v>
      </c>
      <c r="AU78" s="60" t="n">
        <f aca="false">-AU69*Premissas!$B$73*INDEX(Premissas!$C$74:$G$74,AU$7)</f>
        <v>-163325.386105264</v>
      </c>
      <c r="AV78" s="60" t="n">
        <f aca="false">-AV69*Premissas!$B$73*INDEX(Premissas!$C$74:$G$74,AV$7)</f>
        <v>-167222.225581988</v>
      </c>
      <c r="AW78" s="60" t="n">
        <f aca="false">-AW69*Premissas!$B$73*INDEX(Premissas!$C$74:$G$74,AW$7)</f>
        <v>-170861.07432937</v>
      </c>
      <c r="AX78" s="60" t="n">
        <f aca="false">-AX69*Premissas!$B$73*INDEX(Premissas!$C$74:$G$74,AX$7)</f>
        <v>-210325.621789641</v>
      </c>
      <c r="AY78" s="60" t="n">
        <f aca="false">-AY69*Premissas!$B$73*INDEX(Premissas!$C$74:$G$74,AY$7)</f>
        <v>-222711.52245076</v>
      </c>
      <c r="AZ78" s="60" t="n">
        <f aca="false">-AZ69*Premissas!$B$73*INDEX(Premissas!$C$74:$G$74,AZ$7)</f>
        <v>-234320.955766974</v>
      </c>
      <c r="BA78" s="60" t="n">
        <f aca="false">-BA69*Premissas!$B$73*INDEX(Premissas!$C$74:$G$74,BA$7)</f>
        <v>-245203.86978361</v>
      </c>
      <c r="BB78" s="60" t="n">
        <f aca="false">-BB69*Premissas!$B$73*INDEX(Premissas!$C$74:$G$74,BB$7)</f>
        <v>-255417.700370291</v>
      </c>
      <c r="BC78" s="60" t="n">
        <f aca="false">-BC69*Premissas!$B$73*INDEX(Premissas!$C$74:$G$74,BC$7)</f>
        <v>-264984.873435559</v>
      </c>
      <c r="BD78" s="60" t="n">
        <f aca="false">-BD69*Premissas!$B$73*INDEX(Premissas!$C$74:$G$74,BD$7)</f>
        <v>-273955.349546188</v>
      </c>
      <c r="BE78" s="60" t="n">
        <f aca="false">-BE69*Premissas!$B$73*INDEX(Premissas!$C$74:$G$74,BE$7)</f>
        <v>-282361.571766967</v>
      </c>
      <c r="BF78" s="60" t="n">
        <f aca="false">-BF69*Premissas!$B$73*INDEX(Premissas!$C$74:$G$74,BF$7)</f>
        <v>-290256.017475177</v>
      </c>
      <c r="BG78" s="60" t="n">
        <f aca="false">-BG69*Premissas!$B$73*INDEX(Premissas!$C$74:$G$74,BG$7)</f>
        <v>-297641.103309761</v>
      </c>
      <c r="BH78" s="60" t="n">
        <f aca="false">-BH69*Premissas!$B$73*INDEX(Premissas!$C$74:$G$74,BH$7)</f>
        <v>-304571.81093706</v>
      </c>
      <c r="BI78" s="60" t="n">
        <f aca="false">-BI69*Premissas!$B$73*INDEX(Premissas!$C$74:$G$74,BI$7)</f>
        <v>-311073.108119017</v>
      </c>
      <c r="BJ78" s="61" t="n">
        <f aca="false">SUM(B78:BI78)</f>
        <v>-6187421.86480007</v>
      </c>
    </row>
    <row r="79" customFormat="false" ht="15" hidden="false" customHeight="false" outlineLevel="0" collapsed="false">
      <c r="A79" s="27" t="s">
        <v>725</v>
      </c>
      <c r="B79" s="60" t="n">
        <f aca="false">-(B69*(1-INDEX(Premissas!$C$74:$G$74,B$7))+B70)*Premissas!$B$75</f>
        <v>-0</v>
      </c>
      <c r="C79" s="60" t="n">
        <f aca="false">-(C69*(1-INDEX(Premissas!$C$74:$G$74,C$7))+C70)*Premissas!$B$75</f>
        <v>-0</v>
      </c>
      <c r="D79" s="60" t="n">
        <f aca="false">-(D69*(1-INDEX(Premissas!$C$74:$G$74,D$7))+D70)*Premissas!$B$75</f>
        <v>-0</v>
      </c>
      <c r="E79" s="60" t="n">
        <f aca="false">-(E69*(1-INDEX(Premissas!$C$74:$G$74,E$7))+E70)*Premissas!$B$75</f>
        <v>-0</v>
      </c>
      <c r="F79" s="60" t="n">
        <f aca="false">-(F69*(1-INDEX(Premissas!$C$74:$G$74,F$7))+F70)*Premissas!$B$75</f>
        <v>-0</v>
      </c>
      <c r="G79" s="60" t="n">
        <f aca="false">-(G69*(1-INDEX(Premissas!$C$74:$G$74,G$7))+G70)*Premissas!$B$75</f>
        <v>-0</v>
      </c>
      <c r="H79" s="60" t="n">
        <f aca="false">-(H69*(1-INDEX(Premissas!$C$74:$G$74,H$7))+H70)*Premissas!$B$75</f>
        <v>-0</v>
      </c>
      <c r="I79" s="60" t="n">
        <f aca="false">-(I69*(1-INDEX(Premissas!$C$74:$G$74,I$7))+I70)*Premissas!$B$75</f>
        <v>-0</v>
      </c>
      <c r="J79" s="60" t="n">
        <f aca="false">-(J69*(1-INDEX(Premissas!$C$74:$G$74,J$7))+J70)*Premissas!$B$75</f>
        <v>-0</v>
      </c>
      <c r="K79" s="60" t="n">
        <f aca="false">-(K69*(1-INDEX(Premissas!$C$74:$G$74,K$7))+K70)*Premissas!$B$75</f>
        <v>-20.283075</v>
      </c>
      <c r="L79" s="60" t="n">
        <f aca="false">-(L69*(1-INDEX(Premissas!$C$74:$G$74,L$7))+L70)*Premissas!$B$75</f>
        <v>-77.774175</v>
      </c>
      <c r="M79" s="60" t="n">
        <f aca="false">-(M69*(1-INDEX(Premissas!$C$74:$G$74,M$7))+M70)*Premissas!$B$75</f>
        <v>-168.1749</v>
      </c>
      <c r="N79" s="60" t="n">
        <f aca="false">-(N69*(1-INDEX(Premissas!$C$74:$G$74,N$7))+N70)*Premissas!$B$75</f>
        <v>-668.3905519056</v>
      </c>
      <c r="O79" s="60" t="n">
        <f aca="false">-(O69*(1-INDEX(Premissas!$C$74:$G$74,O$7))+O70)*Premissas!$B$75</f>
        <v>-1025.4879386959</v>
      </c>
      <c r="P79" s="60" t="n">
        <f aca="false">-(P69*(1-INDEX(Premissas!$C$74:$G$74,P$7))+P70)*Premissas!$B$75</f>
        <v>-1434.89108684357</v>
      </c>
      <c r="Q79" s="60" t="n">
        <f aca="false">-(Q69*(1-INDEX(Premissas!$C$74:$G$74,Q$7))+Q70)*Premissas!$B$75</f>
        <v>-1964.07447941453</v>
      </c>
      <c r="R79" s="60" t="n">
        <f aca="false">-(R69*(1-INDEX(Premissas!$C$74:$G$74,R$7))+R70)*Premissas!$B$75</f>
        <v>-2215.60454380976</v>
      </c>
      <c r="S79" s="60" t="n">
        <f aca="false">-(S69*(1-INDEX(Premissas!$C$74:$G$74,S$7))+S70)*Premissas!$B$75</f>
        <v>-2448.17308214806</v>
      </c>
      <c r="T79" s="60" t="n">
        <f aca="false">-(T69*(1-INDEX(Premissas!$C$74:$G$74,T$7))+T70)*Premissas!$B$75</f>
        <v>-2663.31967378093</v>
      </c>
      <c r="U79" s="60" t="n">
        <f aca="false">-(U69*(1-INDEX(Premissas!$C$74:$G$74,U$7))+U70)*Premissas!$B$75</f>
        <v>-2862.379553679</v>
      </c>
      <c r="V79" s="60" t="n">
        <f aca="false">-(V69*(1-INDEX(Premissas!$C$74:$G$74,V$7))+V70)*Premissas!$B$75</f>
        <v>-3046.10964523514</v>
      </c>
      <c r="W79" s="60" t="n">
        <f aca="false">-(W69*(1-INDEX(Premissas!$C$74:$G$74,W$7))+W70)*Premissas!$B$75</f>
        <v>-3616.46665288626</v>
      </c>
      <c r="X79" s="60" t="n">
        <f aca="false">-(X69*(1-INDEX(Premissas!$C$74:$G$74,X$7))+X70)*Premissas!$B$75</f>
        <v>-3792.99991036201</v>
      </c>
      <c r="Y79" s="60" t="n">
        <f aca="false">-(Y69*(1-INDEX(Premissas!$C$74:$G$74,Y$7))+Y70)*Premissas!$B$75</f>
        <v>-3956.38748131879</v>
      </c>
      <c r="Z79" s="60" t="n">
        <f aca="false">-(Z69*(1-INDEX(Premissas!$C$74:$G$74,Z$7))+Z70)*Premissas!$B$75</f>
        <v>-6598.23748465194</v>
      </c>
      <c r="AA79" s="60" t="n">
        <f aca="false">-(AA69*(1-INDEX(Premissas!$C$74:$G$74,AA$7))+AA70)*Premissas!$B$75</f>
        <v>-7152.81715894015</v>
      </c>
      <c r="AB79" s="60" t="n">
        <f aca="false">-(AB69*(1-INDEX(Premissas!$C$74:$G$74,AB$7))+AB70)*Premissas!$B$75</f>
        <v>-7668.42627155966</v>
      </c>
      <c r="AC79" s="60" t="n">
        <f aca="false">-(AC69*(1-INDEX(Premissas!$C$74:$G$74,AC$7))+AC70)*Premissas!$B$75</f>
        <v>-8147.21267356432</v>
      </c>
      <c r="AD79" s="60" t="n">
        <f aca="false">-(AD69*(1-INDEX(Premissas!$C$74:$G$74,AD$7))+AD70)*Premissas!$B$75</f>
        <v>-8592.76645195593</v>
      </c>
      <c r="AE79" s="60" t="n">
        <f aca="false">-(AE69*(1-INDEX(Premissas!$C$74:$G$74,AE$7))+AE70)*Premissas!$B$75</f>
        <v>-9006.44143444016</v>
      </c>
      <c r="AF79" s="60" t="n">
        <f aca="false">-(AF69*(1-INDEX(Premissas!$C$74:$G$74,AF$7))+AF70)*Premissas!$B$75</f>
        <v>-9390.29953555668</v>
      </c>
      <c r="AG79" s="60" t="n">
        <f aca="false">-(AG69*(1-INDEX(Premissas!$C$74:$G$74,AG$7))+AG70)*Premissas!$B$75</f>
        <v>-9748.09914315466</v>
      </c>
      <c r="AH79" s="60" t="n">
        <f aca="false">-(AH69*(1-INDEX(Premissas!$C$74:$G$74,AH$7))+AH70)*Premissas!$B$75</f>
        <v>-10080.3815229761</v>
      </c>
      <c r="AI79" s="60" t="n">
        <f aca="false">-(AI69*(1-INDEX(Premissas!$C$74:$G$74,AI$7))+AI70)*Premissas!$B$75</f>
        <v>-10388.6518935547</v>
      </c>
      <c r="AJ79" s="60" t="n">
        <f aca="false">-(AJ69*(1-INDEX(Premissas!$C$74:$G$74,AJ$7))+AJ70)*Premissas!$B$75</f>
        <v>-10675.1315425528</v>
      </c>
      <c r="AK79" s="60" t="n">
        <f aca="false">-(AK69*(1-INDEX(Premissas!$C$74:$G$74,AK$7))+AK70)*Premissas!$B$75</f>
        <v>-10941.7788622986</v>
      </c>
      <c r="AL79" s="60" t="n">
        <f aca="false">-(AL69*(1-INDEX(Premissas!$C$74:$G$74,AL$7))+AL70)*Premissas!$B$75</f>
        <v>-16146.9048900641</v>
      </c>
      <c r="AM79" s="60" t="n">
        <f aca="false">-(AM69*(1-INDEX(Premissas!$C$74:$G$74,AM$7))+AM70)*Premissas!$B$75</f>
        <v>-17179.8340107266</v>
      </c>
      <c r="AN79" s="60" t="n">
        <f aca="false">-(AN69*(1-INDEX(Premissas!$C$74:$G$74,AN$7))+AN70)*Premissas!$B$75</f>
        <v>-18143.4636999643</v>
      </c>
      <c r="AO79" s="60" t="n">
        <f aca="false">-(AO69*(1-INDEX(Premissas!$C$74:$G$74,AO$7))+AO70)*Premissas!$B$75</f>
        <v>-19042.9264938895</v>
      </c>
      <c r="AP79" s="60" t="n">
        <f aca="false">-(AP69*(1-INDEX(Premissas!$C$74:$G$74,AP$7))+AP70)*Premissas!$B$75</f>
        <v>-19883.3053095843</v>
      </c>
      <c r="AQ79" s="60" t="n">
        <f aca="false">-(AQ69*(1-INDEX(Premissas!$C$74:$G$74,AQ$7))+AQ70)*Premissas!$B$75</f>
        <v>-20667.3279061657</v>
      </c>
      <c r="AR79" s="60" t="n">
        <f aca="false">-(AR69*(1-INDEX(Premissas!$C$74:$G$74,AR$7))+AR70)*Premissas!$B$75</f>
        <v>-21399.6882410647</v>
      </c>
      <c r="AS79" s="60" t="n">
        <f aca="false">-(AS69*(1-INDEX(Premissas!$C$74:$G$74,AS$7))+AS70)*Premissas!$B$75</f>
        <v>-22083.3112162932</v>
      </c>
      <c r="AT79" s="60" t="n">
        <f aca="false">-(AT69*(1-INDEX(Premissas!$C$74:$G$74,AT$7))+AT70)*Premissas!$B$75</f>
        <v>-22720.7921033246</v>
      </c>
      <c r="AU79" s="60" t="n">
        <f aca="false">-(AU69*(1-INDEX(Premissas!$C$74:$G$74,AU$7))+AU70)*Premissas!$B$75</f>
        <v>-23316.6999285293</v>
      </c>
      <c r="AV79" s="60" t="n">
        <f aca="false">-(AV69*(1-INDEX(Premissas!$C$74:$G$74,AV$7))+AV70)*Premissas!$B$75</f>
        <v>-23872.9817759387</v>
      </c>
      <c r="AW79" s="60" t="n">
        <f aca="false">-(AW69*(1-INDEX(Premissas!$C$74:$G$74,AW$7))+AW70)*Premissas!$B$75</f>
        <v>-24392.4103576217</v>
      </c>
      <c r="AX79" s="60" t="n">
        <f aca="false">-(AX69*(1-INDEX(Premissas!$C$74:$G$74,AX$7))+AX70)*Premissas!$B$75</f>
        <v>-32988.6285289016</v>
      </c>
      <c r="AY79" s="60" t="n">
        <f aca="false">-(AY69*(1-INDEX(Premissas!$C$74:$G$74,AY$7))+AY70)*Premissas!$B$75</f>
        <v>-34931.2632506913</v>
      </c>
      <c r="AZ79" s="60" t="n">
        <f aca="false">-(AZ69*(1-INDEX(Premissas!$C$74:$G$74,AZ$7))+AZ70)*Premissas!$B$75</f>
        <v>-36752.1953810843</v>
      </c>
      <c r="BA79" s="60" t="n">
        <f aca="false">-(BA69*(1-INDEX(Premissas!$C$74:$G$74,BA$7))+BA70)*Premissas!$B$75</f>
        <v>-38459.2128771865</v>
      </c>
      <c r="BB79" s="60" t="n">
        <f aca="false">-(BB69*(1-INDEX(Premissas!$C$74:$G$74,BB$7))+BB70)*Premissas!$B$75</f>
        <v>-40060.9810920285</v>
      </c>
      <c r="BC79" s="60" t="n">
        <f aca="false">-(BC69*(1-INDEX(Premissas!$C$74:$G$74,BC$7))+BC70)*Premissas!$B$75</f>
        <v>-41561.5841029411</v>
      </c>
      <c r="BD79" s="60" t="n">
        <f aca="false">-(BD69*(1-INDEX(Premissas!$C$74:$G$74,BD$7))+BD70)*Premissas!$B$75</f>
        <v>-42968.5711590888</v>
      </c>
      <c r="BE79" s="60" t="n">
        <f aca="false">-(BE69*(1-INDEX(Premissas!$C$74:$G$74,BE$7))+BE70)*Premissas!$B$75</f>
        <v>-44287.1689452722</v>
      </c>
      <c r="BF79" s="60" t="n">
        <f aca="false">-(BF69*(1-INDEX(Premissas!$C$74:$G$74,BF$7))+BF70)*Premissas!$B$75</f>
        <v>-45525.1140641733</v>
      </c>
      <c r="BG79" s="60" t="n">
        <f aca="false">-(BG69*(1-INDEX(Premissas!$C$74:$G$74,BG$7))+BG70)*Premissas!$B$75</f>
        <v>-46683.6449330366</v>
      </c>
      <c r="BH79" s="60" t="n">
        <f aca="false">-(BH69*(1-INDEX(Premissas!$C$74:$G$74,BH$7))+BH70)*Premissas!$B$75</f>
        <v>-47770.7003852996</v>
      </c>
      <c r="BI79" s="60" t="n">
        <f aca="false">-(BI69*(1-INDEX(Premissas!$C$74:$G$74,BI$7))+BI70)*Premissas!$B$75</f>
        <v>-48790.3059985689</v>
      </c>
      <c r="BJ79" s="61" t="n">
        <f aca="false">SUM(B79:BI79)</f>
        <v>-887979.777376725</v>
      </c>
    </row>
    <row r="80" customFormat="false" ht="15" hidden="false" customHeight="false" outlineLevel="0" collapsed="false">
      <c r="A80" s="62" t="s">
        <v>824</v>
      </c>
      <c r="B80" s="61" t="n">
        <f aca="false">B74+SUM(B77:B79)</f>
        <v>0</v>
      </c>
      <c r="C80" s="61" t="n">
        <f aca="false">C74+SUM(C77:C79)</f>
        <v>0</v>
      </c>
      <c r="D80" s="61" t="n">
        <f aca="false">D74+SUM(D77:D79)</f>
        <v>0</v>
      </c>
      <c r="E80" s="61" t="n">
        <f aca="false">E74+SUM(E77:E79)</f>
        <v>0</v>
      </c>
      <c r="F80" s="61" t="n">
        <f aca="false">F74+SUM(F77:F79)</f>
        <v>0</v>
      </c>
      <c r="G80" s="61" t="n">
        <f aca="false">G74+SUM(G77:G79)</f>
        <v>0</v>
      </c>
      <c r="H80" s="61" t="n">
        <f aca="false">H74+SUM(H77:H79)</f>
        <v>0</v>
      </c>
      <c r="I80" s="61" t="n">
        <f aca="false">I74+SUM(I77:I79)</f>
        <v>0</v>
      </c>
      <c r="J80" s="61" t="n">
        <f aca="false">J74+SUM(J77:J79)</f>
        <v>0</v>
      </c>
      <c r="K80" s="61" t="n">
        <f aca="false">K74+SUM(K77:K79)</f>
        <v>2135.732675</v>
      </c>
      <c r="L80" s="61" t="n">
        <f aca="false">L74+SUM(L77:L79)</f>
        <v>8189.332575</v>
      </c>
      <c r="M80" s="61" t="n">
        <f aca="false">M74+SUM(M77:M79)</f>
        <v>17708.1941</v>
      </c>
      <c r="N80" s="61" t="n">
        <f aca="false">N74+SUM(N77:N79)</f>
        <v>42453.214612544</v>
      </c>
      <c r="O80" s="61" t="n">
        <f aca="false">O74+SUM(O77:O79)</f>
        <v>67705.9698299271</v>
      </c>
      <c r="P80" s="61" t="n">
        <f aca="false">P74+SUM(P77:P79)</f>
        <v>97141.6995007789</v>
      </c>
      <c r="Q80" s="61" t="n">
        <f aca="false">Q74+SUM(Q77:Q79)</f>
        <v>134615.801712509</v>
      </c>
      <c r="R80" s="61" t="n">
        <f aca="false">R74+SUM(R77:R79)</f>
        <v>149792.613788441</v>
      </c>
      <c r="S80" s="61" t="n">
        <f aca="false">S74+SUM(S77:S79)</f>
        <v>164148.102299098</v>
      </c>
      <c r="T80" s="61" t="n">
        <f aca="false">T74+SUM(T77:T79)</f>
        <v>177101.078929856</v>
      </c>
      <c r="U80" s="61" t="n">
        <f aca="false">U74+SUM(U77:U79)</f>
        <v>189311.541821293</v>
      </c>
      <c r="V80" s="61" t="n">
        <f aca="false">V74+SUM(V77:V79)</f>
        <v>200703.49495014</v>
      </c>
      <c r="W80" s="61" t="n">
        <f aca="false">W74+SUM(W77:W79)</f>
        <v>241372.247291223</v>
      </c>
      <c r="X80" s="61" t="n">
        <f aca="false">X74+SUM(X77:X79)</f>
        <v>251042.710730048</v>
      </c>
      <c r="Y80" s="61" t="n">
        <f aca="false">Y74+SUM(Y77:Y79)</f>
        <v>260238.424486634</v>
      </c>
      <c r="Z80" s="61" t="n">
        <f aca="false">Z74+SUM(Z77:Z79)</f>
        <v>347368.812956377</v>
      </c>
      <c r="AA80" s="61" t="n">
        <f aca="false">AA74+SUM(AA77:AA79)</f>
        <v>374900.790177275</v>
      </c>
      <c r="AB80" s="61" t="n">
        <f aca="false">AB74+SUM(AB77:AB79)</f>
        <v>431001.851428747</v>
      </c>
      <c r="AC80" s="61" t="n">
        <f aca="false">AC74+SUM(AC77:AC79)</f>
        <v>448009.514744784</v>
      </c>
      <c r="AD80" s="61" t="n">
        <f aca="false">AD74+SUM(AD77:AD79)</f>
        <v>464408.984350574</v>
      </c>
      <c r="AE80" s="61" t="n">
        <f aca="false">AE74+SUM(AE77:AE79)</f>
        <v>506020.671020901</v>
      </c>
      <c r="AF80" s="61" t="n">
        <f aca="false">AF74+SUM(AF77:AF79)</f>
        <v>565234.375222856</v>
      </c>
      <c r="AG80" s="61" t="n">
        <f aca="false">AG74+SUM(AG77:AG79)</f>
        <v>585340.558996669</v>
      </c>
      <c r="AH80" s="61" t="n">
        <f aca="false">AH74+SUM(AH77:AH79)</f>
        <v>604011.212204385</v>
      </c>
      <c r="AI80" s="61" t="n">
        <f aca="false">AI74+SUM(AI77:AI79)</f>
        <v>621328.889948916</v>
      </c>
      <c r="AJ80" s="61" t="n">
        <f aca="false">AJ74+SUM(AJ77:AJ79)</f>
        <v>637422.434344567</v>
      </c>
      <c r="AK80" s="61" t="n">
        <f aca="false">AK74+SUM(AK77:AK79)</f>
        <v>652404.8701389</v>
      </c>
      <c r="AL80" s="61" t="n">
        <f aca="false">AL74+SUM(AL77:AL79)</f>
        <v>860436.691611404</v>
      </c>
      <c r="AM80" s="61" t="n">
        <f aca="false">AM74+SUM(AM77:AM79)</f>
        <v>911735.442941</v>
      </c>
      <c r="AN80" s="61" t="n">
        <f aca="false">AN74+SUM(AN77:AN79)</f>
        <v>959587.784560785</v>
      </c>
      <c r="AO80" s="61" t="n">
        <f aca="false">AO74+SUM(AO77:AO79)</f>
        <v>1004252.71664556</v>
      </c>
      <c r="AP80" s="61" t="n">
        <f aca="false">AP74+SUM(AP77:AP79)</f>
        <v>1045988.59209396</v>
      </c>
      <c r="AQ80" s="61" t="n">
        <f aca="false">AQ74+SUM(AQ77:AQ79)</f>
        <v>1084921.94069428</v>
      </c>
      <c r="AR80" s="61" t="n">
        <f aca="false">AR74+SUM(AR77:AR79)</f>
        <v>1121292.93142796</v>
      </c>
      <c r="AS80" s="61" t="n">
        <f aca="false">AS74+SUM(AS77:AS79)</f>
        <v>1155242.95972634</v>
      </c>
      <c r="AT80" s="61" t="n">
        <f aca="false">AT74+SUM(AT77:AT79)</f>
        <v>1186896.33732241</v>
      </c>
      <c r="AU80" s="61" t="n">
        <f aca="false">AU74+SUM(AU77:AU79)</f>
        <v>1216491.09166583</v>
      </c>
      <c r="AV80" s="61" t="n">
        <f aca="false">AV74+SUM(AV77:AV79)</f>
        <v>1244117.67475902</v>
      </c>
      <c r="AW80" s="61" t="n">
        <f aca="false">AW74+SUM(AW77:AW79)</f>
        <v>1269914.80450495</v>
      </c>
      <c r="AX80" s="61" t="n">
        <f aca="false">AX74+SUM(AX77:AX79)</f>
        <v>1601819.63447145</v>
      </c>
      <c r="AY80" s="61" t="n">
        <f aca="false">AY74+SUM(AY77:AY79)</f>
        <v>1692699.70790341</v>
      </c>
      <c r="AZ80" s="61" t="n">
        <f aca="false">AZ74+SUM(AZ77:AZ79)</f>
        <v>1777883.95957242</v>
      </c>
      <c r="BA80" s="61" t="n">
        <f aca="false">BA74+SUM(BA77:BA79)</f>
        <v>1857738.06775534</v>
      </c>
      <c r="BB80" s="61" t="n">
        <f aca="false">BB74+SUM(BB77:BB79)</f>
        <v>1932677.42630761</v>
      </c>
      <c r="BC80" s="61" t="n">
        <f aca="false">BC74+SUM(BC77:BC79)</f>
        <v>2002876.5535724</v>
      </c>
      <c r="BD80" s="61" t="n">
        <f aca="false">BD74+SUM(BD77:BD79)</f>
        <v>2068696.98548135</v>
      </c>
      <c r="BE80" s="61" t="n">
        <f aca="false">BE74+SUM(BE77:BE79)</f>
        <v>2130379.201193</v>
      </c>
      <c r="BF80" s="61" t="n">
        <f aca="false">BF74+SUM(BF77:BF79)</f>
        <v>2188299.55477038</v>
      </c>
      <c r="BG80" s="61" t="n">
        <f aca="false">BG74+SUM(BG77:BG79)</f>
        <v>2242490.89747398</v>
      </c>
      <c r="BH80" s="61" t="n">
        <f aca="false">BH74+SUM(BH77:BH79)</f>
        <v>2293344.60591523</v>
      </c>
      <c r="BI80" s="61" t="n">
        <f aca="false">BI74+SUM(BI77:BI79)</f>
        <v>2341045.80583701</v>
      </c>
      <c r="BJ80" s="61" t="n">
        <f aca="false">SUM(B80:BI80)</f>
        <v>45431944.4930445</v>
      </c>
    </row>
    <row r="81" customFormat="false" ht="15" hidden="false" customHeight="false" outlineLevel="0" collapsed="false">
      <c r="A81" s="27" t="s">
        <v>728</v>
      </c>
      <c r="B81" s="60" t="n">
        <f aca="false">-(B61*INDEX(Premissas!$C$104:$G$104,B$7)+(B59-B61)*INDEX(Premissas!$C$105:$G$105,B$7)+B65*Premissas!$B$80+IF(B$4&gt;=Premissas!$B$102,IF('Ajuste Mensal'!B$31="",INDEX(Premissas!$C$103:$G$103,B$7),'Ajuste Mensal'!B$31),0))</f>
        <v>-0</v>
      </c>
      <c r="C81" s="60" t="n">
        <f aca="false">-(C61*INDEX(Premissas!$C$104:$G$104,C$7)+(C59-C61)*INDEX(Premissas!$C$105:$G$105,C$7)+C65*Premissas!$B$80+IF(C$4&gt;=Premissas!$B$102,IF('Ajuste Mensal'!C$31="",INDEX(Premissas!$C$103:$G$103,C$7),'Ajuste Mensal'!C$31),0))</f>
        <v>-0</v>
      </c>
      <c r="D81" s="60" t="n">
        <f aca="false">-(D61*INDEX(Premissas!$C$104:$G$104,D$7)+(D59-D61)*INDEX(Premissas!$C$105:$G$105,D$7)+D65*Premissas!$B$80+IF(D$4&gt;=Premissas!$B$102,IF('Ajuste Mensal'!D$31="",INDEX(Premissas!$C$103:$G$103,D$7),'Ajuste Mensal'!D$31),0))</f>
        <v>-0</v>
      </c>
      <c r="E81" s="60" t="n">
        <f aca="false">-(E61*INDEX(Premissas!$C$104:$G$104,E$7)+(E59-E61)*INDEX(Premissas!$C$105:$G$105,E$7)+E65*Premissas!$B$80+IF(E$4&gt;=Premissas!$B$102,IF('Ajuste Mensal'!E$31="",INDEX(Premissas!$C$103:$G$103,E$7),'Ajuste Mensal'!E$31),0))</f>
        <v>-0</v>
      </c>
      <c r="F81" s="60" t="n">
        <f aca="false">-(F61*INDEX(Premissas!$C$104:$G$104,F$7)+(F59-F61)*INDEX(Premissas!$C$105:$G$105,F$7)+F65*Premissas!$B$80+IF(F$4&gt;=Premissas!$B$102,IF('Ajuste Mensal'!F$31="",INDEX(Premissas!$C$103:$G$103,F$7),'Ajuste Mensal'!F$31),0))</f>
        <v>-600</v>
      </c>
      <c r="G81" s="60" t="n">
        <f aca="false">-(G61*INDEX(Premissas!$C$104:$G$104,G$7)+(G59-G61)*INDEX(Premissas!$C$105:$G$105,G$7)+G65*Premissas!$B$80+IF(G$4&gt;=Premissas!$B$102,IF('Ajuste Mensal'!G$31="",INDEX(Premissas!$C$103:$G$103,G$7),'Ajuste Mensal'!G$31),0))</f>
        <v>-600</v>
      </c>
      <c r="H81" s="60" t="n">
        <f aca="false">-(H61*INDEX(Premissas!$C$104:$G$104,H$7)+(H59-H61)*INDEX(Premissas!$C$105:$G$105,H$7)+H65*Premissas!$B$80+IF(H$4&gt;=Premissas!$B$102,IF('Ajuste Mensal'!H$31="",INDEX(Premissas!$C$103:$G$103,H$7),'Ajuste Mensal'!H$31),0))</f>
        <v>-600</v>
      </c>
      <c r="I81" s="60" t="n">
        <f aca="false">-(I61*INDEX(Premissas!$C$104:$G$104,I$7)+(I59-I61)*INDEX(Premissas!$C$105:$G$105,I$7)+I65*Premissas!$B$80+IF(I$4&gt;=Premissas!$B$102,IF('Ajuste Mensal'!I$31="",INDEX(Premissas!$C$103:$G$103,I$7),'Ajuste Mensal'!I$31),0))</f>
        <v>-600</v>
      </c>
      <c r="J81" s="60" t="n">
        <f aca="false">-(J61*INDEX(Premissas!$C$104:$G$104,J$7)+(J59-J61)*INDEX(Premissas!$C$105:$G$105,J$7)+J65*Premissas!$B$80+IF(J$4&gt;=Premissas!$B$102,IF('Ajuste Mensal'!J$31="",INDEX(Premissas!$C$103:$G$103,J$7),'Ajuste Mensal'!J$31),0))</f>
        <v>-600</v>
      </c>
      <c r="K81" s="60" t="n">
        <f aca="false">-(K61*INDEX(Premissas!$C$104:$G$104,K$7)+(K59-K61)*INDEX(Premissas!$C$105:$G$105,K$7)+K65*Premissas!$B$80+IF(K$4&gt;=Premissas!$B$102,IF('Ajuste Mensal'!K$31="",INDEX(Premissas!$C$103:$G$103,K$7),'Ajuste Mensal'!K$31),0))</f>
        <v>-1185.48</v>
      </c>
      <c r="L81" s="60" t="n">
        <f aca="false">-(L61*INDEX(Premissas!$C$104:$G$104,L$7)+(L59-L61)*INDEX(Premissas!$C$105:$G$105,L$7)+L65*Premissas!$B$80+IF(L$4&gt;=Premissas!$B$102,IF('Ajuste Mensal'!L$31="",INDEX(Premissas!$C$103:$G$103,L$7),'Ajuste Mensal'!L$31),0))</f>
        <v>-2151.96</v>
      </c>
      <c r="M81" s="60" t="n">
        <f aca="false">-(M61*INDEX(Premissas!$C$104:$G$104,M$7)+(M59-M61)*INDEX(Premissas!$C$105:$G$105,M$7)+M65*Premissas!$B$80+IF(M$4&gt;=Premissas!$B$102,IF('Ajuste Mensal'!M$31="",INDEX(Premissas!$C$103:$G$103,M$7),'Ajuste Mensal'!M$31),0))</f>
        <v>-3454.3968</v>
      </c>
      <c r="N81" s="60" t="n">
        <f aca="false">-(N61*INDEX(Premissas!$C$104:$G$104,N$7)+(N59-N61)*INDEX(Premissas!$C$105:$G$105,N$7)+N65*Premissas!$B$80+IF(N$4&gt;=Premissas!$B$102,IF('Ajuste Mensal'!N$31="",INDEX(Premissas!$C$103:$G$103,N$7),'Ajuste Mensal'!N$31),0))</f>
        <v>-7485.64875264</v>
      </c>
      <c r="O81" s="60" t="n">
        <f aca="false">-(O61*INDEX(Premissas!$C$104:$G$104,O$7)+(O59-O61)*INDEX(Premissas!$C$105:$G$105,O$7)+O65*Premissas!$B$80+IF(O$4&gt;=Premissas!$B$102,IF('Ajuste Mensal'!O$31="",INDEX(Premissas!$C$103:$G$103,O$7),'Ajuste Mensal'!O$31),0))</f>
        <v>-10092.7202704415</v>
      </c>
      <c r="P81" s="60" t="n">
        <f aca="false">-(P61*INDEX(Premissas!$C$104:$G$104,P$7)+(P59-P61)*INDEX(Premissas!$C$105:$G$105,P$7)+P65*Premissas!$B$80+IF(P$4&gt;=Premissas!$B$102,IF('Ajuste Mensal'!P$31="",INDEX(Premissas!$C$103:$G$103,P$7),'Ajuste Mensal'!P$31),0))</f>
        <v>-13066.2661701043</v>
      </c>
      <c r="Q81" s="60" t="n">
        <f aca="false">-(Q61*INDEX(Premissas!$C$104:$G$104,Q$7)+(Q59-Q61)*INDEX(Premissas!$C$105:$G$105,Q$7)+Q65*Premissas!$B$80+IF(Q$4&gt;=Premissas!$B$102,IF('Ajuste Mensal'!Q$31="",INDEX(Premissas!$C$103:$G$103,Q$7),'Ajuste Mensal'!Q$31),0))</f>
        <v>-14764.8523781124</v>
      </c>
      <c r="R81" s="60" t="n">
        <f aca="false">-(R61*INDEX(Premissas!$C$104:$G$104,R$7)+(R59-R61)*INDEX(Premissas!$C$105:$G$105,R$7)+R65*Premissas!$B$80+IF(R$4&gt;=Premissas!$B$102,IF('Ajuste Mensal'!R$31="",INDEX(Premissas!$C$103:$G$103,R$7),'Ajuste Mensal'!R$31),0))</f>
        <v>-16335.8708872784</v>
      </c>
      <c r="S81" s="60" t="n">
        <f aca="false">-(S61*INDEX(Premissas!$C$104:$G$104,S$7)+(S59-S61)*INDEX(Premissas!$C$105:$G$105,S$7)+S65*Premissas!$B$80+IF(S$4&gt;=Premissas!$B$102,IF('Ajuste Mensal'!S$31="",INDEX(Premissas!$C$103:$G$103,S$7),'Ajuste Mensal'!S$31),0))</f>
        <v>-17788.063588555</v>
      </c>
      <c r="T81" s="60" t="n">
        <f aca="false">-(T61*INDEX(Premissas!$C$104:$G$104,T$7)+(T59-T61)*INDEX(Premissas!$C$105:$G$105,T$7)+T65*Premissas!$B$80+IF(T$4&gt;=Premissas!$B$102,IF('Ajuste Mensal'!T$31="",INDEX(Premissas!$C$103:$G$103,T$7),'Ajuste Mensal'!T$31),0))</f>
        <v>-19131.3450626957</v>
      </c>
      <c r="U81" s="60" t="n">
        <f aca="false">-(U61*INDEX(Premissas!$C$104:$G$104,U$7)+(U59-U61)*INDEX(Premissas!$C$105:$G$105,U$7)+U65*Premissas!$B$80+IF(U$4&gt;=Premissas!$B$102,IF('Ajuste Mensal'!U$31="",INDEX(Premissas!$C$103:$G$103,U$7),'Ajuste Mensal'!U$31),0))</f>
        <v>-20374.154409981</v>
      </c>
      <c r="V81" s="60" t="n">
        <f aca="false">-(V61*INDEX(Premissas!$C$104:$G$104,V$7)+(V59-V61)*INDEX(Premissas!$C$105:$G$105,V$7)+V65*Premissas!$B$80+IF(V$4&gt;=Premissas!$B$102,IF('Ajuste Mensal'!V$31="",INDEX(Premissas!$C$103:$G$103,V$7),'Ajuste Mensal'!V$31),0))</f>
        <v>-21522.1361903504</v>
      </c>
      <c r="W81" s="60" t="n">
        <f aca="false">-(W61*INDEX(Premissas!$C$104:$G$104,W$7)+(W59-W61)*INDEX(Premissas!$C$105:$G$105,W$7)+W65*Premissas!$B$80+IF(W$4&gt;=Premissas!$B$102,IF('Ajuste Mensal'!W$31="",INDEX(Premissas!$C$103:$G$103,W$7),'Ajuste Mensal'!W$31),0))</f>
        <v>-22584.8005408361</v>
      </c>
      <c r="X81" s="60" t="n">
        <f aca="false">-(X61*INDEX(Premissas!$C$104:$G$104,X$7)+(X59-X61)*INDEX(Premissas!$C$105:$G$105,X$7)+X65*Premissas!$B$80+IF(X$4&gt;=Premissas!$B$102,IF('Ajuste Mensal'!X$31="",INDEX(Premissas!$C$103:$G$103,X$7),'Ajuste Mensal'!X$31),0))</f>
        <v>-23567.5525321652</v>
      </c>
      <c r="Y81" s="60" t="n">
        <f aca="false">-(Y61*INDEX(Premissas!$C$104:$G$104,Y$7)+(Y59-Y61)*INDEX(Premissas!$C$105:$G$105,Y$7)+Y65*Premissas!$B$80+IF(Y$4&gt;=Premissas!$B$102,IF('Ajuste Mensal'!Y$31="",INDEX(Premissas!$C$103:$G$103,Y$7),'Ajuste Mensal'!Y$31),0))</f>
        <v>-24475.6908217464</v>
      </c>
      <c r="Z81" s="60" t="n">
        <f aca="false">-(Z61*INDEX(Premissas!$C$104:$G$104,Z$7)+(Z59-Z61)*INDEX(Premissas!$C$105:$G$105,Z$7)+Z65*Premissas!$B$80+IF(Z$4&gt;=Premissas!$B$102,IF('Ajuste Mensal'!Z$31="",INDEX(Premissas!$C$103:$G$103,Z$7),'Ajuste Mensal'!Z$31),0))</f>
        <v>-34056.6172093089</v>
      </c>
      <c r="AA81" s="60" t="n">
        <f aca="false">-(AA61*INDEX(Premissas!$C$104:$G$104,AA$7)+(AA59-AA61)*INDEX(Premissas!$C$105:$G$105,AA$7)+AA65*Premissas!$B$80+IF(AA$4&gt;=Premissas!$B$102,IF('Ajuste Mensal'!AA$31="",INDEX(Premissas!$C$103:$G$103,AA$7),'Ajuste Mensal'!AA$31),0))</f>
        <v>-36246.9754947693</v>
      </c>
      <c r="AB81" s="60" t="n">
        <f aca="false">-(AB61*INDEX(Premissas!$C$104:$G$104,AB$7)+(AB59-AB61)*INDEX(Premissas!$C$105:$G$105,AB$7)+AB65*Premissas!$B$80+IF(AB$4&gt;=Premissas!$B$102,IF('Ajuste Mensal'!AB$31="",INDEX(Premissas!$C$103:$G$103,AB$7),'Ajuste Mensal'!AB$31),0))</f>
        <v>-38282.721819187</v>
      </c>
      <c r="AC81" s="60" t="n">
        <f aca="false">-(AC61*INDEX(Premissas!$C$104:$G$104,AC$7)+(AC59-AC61)*INDEX(Premissas!$C$105:$G$105,AC$7)+AC65*Premissas!$B$80+IF(AC$4&gt;=Premissas!$B$102,IF('Ajuste Mensal'!AC$31="",INDEX(Premissas!$C$103:$G$103,AC$7),'Ajuste Mensal'!AC$31),0))</f>
        <v>-40174.2880470083</v>
      </c>
      <c r="AD81" s="60" t="n">
        <f aca="false">-(AD61*INDEX(Premissas!$C$104:$G$104,AD$7)+(AD59-AD61)*INDEX(Premissas!$C$105:$G$105,AD$7)+AD65*Premissas!$B$80+IF(AD$4&gt;=Premissas!$B$102,IF('Ajuste Mensal'!AD$31="",INDEX(Premissas!$C$103:$G$103,AD$7),'Ajuste Mensal'!AD$31),0))</f>
        <v>-41932.9473831414</v>
      </c>
      <c r="AE81" s="60" t="n">
        <f aca="false">-(AE61*INDEX(Premissas!$C$104:$G$104,AE$7)+(AE59-AE61)*INDEX(Premissas!$C$105:$G$105,AE$7)+AE65*Premissas!$B$80+IF(AE$4&gt;=Premissas!$B$102,IF('Ajuste Mensal'!AE$31="",INDEX(Premissas!$C$103:$G$103,AE$7),'Ajuste Mensal'!AE$31),0))</f>
        <v>-43566.4963158979</v>
      </c>
      <c r="AF81" s="60" t="n">
        <f aca="false">-(AF61*INDEX(Premissas!$C$104:$G$104,AF$7)+(AF59-AF61)*INDEX(Premissas!$C$105:$G$105,AF$7)+AF65*Premissas!$B$80+IF(AF$4&gt;=Premissas!$B$102,IF('Ajuste Mensal'!AF$31="",INDEX(Premissas!$C$103:$G$103,AF$7),'Ajuste Mensal'!AF$31),0))</f>
        <v>-45084.5238570877</v>
      </c>
      <c r="AG81" s="60" t="n">
        <f aca="false">-(AG61*INDEX(Premissas!$C$104:$G$104,AG$7)+(AG59-AG61)*INDEX(Premissas!$C$105:$G$105,AG$7)+AG65*Premissas!$B$80+IF(AG$4&gt;=Premissas!$B$102,IF('Ajuste Mensal'!AG$31="",INDEX(Premissas!$C$103:$G$103,AG$7),'Ajuste Mensal'!AG$31),0))</f>
        <v>-46495.4741289499</v>
      </c>
      <c r="AH81" s="60" t="n">
        <f aca="false">-(AH61*INDEX(Premissas!$C$104:$G$104,AH$7)+(AH59-AH61)*INDEX(Premissas!$C$105:$G$105,AH$7)+AH65*Premissas!$B$80+IF(AH$4&gt;=Premissas!$B$102,IF('Ajuste Mensal'!AH$31="",INDEX(Premissas!$C$103:$G$103,AH$7),'Ajuste Mensal'!AH$31),0))</f>
        <v>-47807.5363440907</v>
      </c>
      <c r="AI81" s="60" t="n">
        <f aca="false">-(AI61*INDEX(Premissas!$C$104:$G$104,AI$7)+(AI59-AI61)*INDEX(Premissas!$C$105:$G$105,AI$7)+AI65*Premissas!$B$80+IF(AI$4&gt;=Premissas!$B$102,IF('Ajuste Mensal'!AI$31="",INDEX(Premissas!$C$103:$G$103,AI$7),'Ajuste Mensal'!AI$31),0))</f>
        <v>-49026.4382213356</v>
      </c>
      <c r="AJ81" s="60" t="n">
        <f aca="false">-(AJ61*INDEX(Premissas!$C$104:$G$104,AJ$7)+(AJ59-AJ61)*INDEX(Premissas!$C$105:$G$105,AJ$7)+AJ65*Premissas!$B$80+IF(AJ$4&gt;=Premissas!$B$102,IF('Ajuste Mensal'!AJ$31="",INDEX(Premissas!$C$103:$G$103,AJ$7),'Ajuste Mensal'!AJ$31),0))</f>
        <v>-50158.8988773698</v>
      </c>
      <c r="AK81" s="60" t="n">
        <f aca="false">-(AK61*INDEX(Premissas!$C$104:$G$104,AK$7)+(AK59-AK61)*INDEX(Premissas!$C$105:$G$105,AK$7)+AK65*Premissas!$B$80+IF(AK$4&gt;=Premissas!$B$102,IF('Ajuste Mensal'!AK$31="",INDEX(Premissas!$C$103:$G$103,AK$7),'Ajuste Mensal'!AK$31),0))</f>
        <v>-51210.3712312223</v>
      </c>
      <c r="AL81" s="60" t="n">
        <f aca="false">-(AL61*INDEX(Premissas!$C$104:$G$104,AL$7)+(AL59-AL61)*INDEX(Premissas!$C$105:$G$105,AL$7)+AL65*Premissas!$B$80+IF(AL$4&gt;=Premissas!$B$102,IF('Ajuste Mensal'!AL$31="",INDEX(Premissas!$C$103:$G$103,AL$7),'Ajuste Mensal'!AL$31),0))</f>
        <v>-61588.3820937844</v>
      </c>
      <c r="AM81" s="60" t="n">
        <f aca="false">-(AM61*INDEX(Premissas!$C$104:$G$104,AM$7)+(AM59-AM61)*INDEX(Premissas!$C$105:$G$105,AM$7)+AM65*Premissas!$B$80+IF(AM$4&gt;=Premissas!$B$102,IF('Ajuste Mensal'!AM$31="",INDEX(Premissas!$C$103:$G$103,AM$7),'Ajuste Mensal'!AM$31),0))</f>
        <v>-64375.7517415393</v>
      </c>
      <c r="AN81" s="60" t="n">
        <f aca="false">-(AN61*INDEX(Premissas!$C$104:$G$104,AN$7)+(AN59-AN61)*INDEX(Premissas!$C$105:$G$105,AN$7)+AN65*Premissas!$B$80+IF(AN$4&gt;=Premissas!$B$102,IF('Ajuste Mensal'!AN$31="",INDEX(Premissas!$C$103:$G$103,AN$7),'Ajuste Mensal'!AN$31),0))</f>
        <v>-66977.3519178997</v>
      </c>
      <c r="AO81" s="60" t="n">
        <f aca="false">-(AO61*INDEX(Premissas!$C$104:$G$104,AO$7)+(AO59-AO61)*INDEX(Premissas!$C$105:$G$105,AO$7)+AO65*Premissas!$B$80+IF(AO$4&gt;=Premissas!$B$102,IF('Ajuste Mensal'!AO$31="",INDEX(Premissas!$C$103:$G$103,AO$7),'Ajuste Mensal'!AO$31),0))</f>
        <v>-69407.0666868007</v>
      </c>
      <c r="AP81" s="60" t="n">
        <f aca="false">-(AP61*INDEX(Premissas!$C$104:$G$104,AP$7)+(AP59-AP61)*INDEX(Premissas!$C$105:$G$105,AP$7)+AP65*Premissas!$B$80+IF(AP$4&gt;=Premissas!$B$102,IF('Ajuste Mensal'!AP$31="",INDEX(Premissas!$C$103:$G$103,AP$7),'Ajuste Mensal'!AP$31),0))</f>
        <v>-71674.6582776368</v>
      </c>
      <c r="AQ81" s="60" t="n">
        <f aca="false">-(AQ61*INDEX(Premissas!$C$104:$G$104,AQ$7)+(AQ59-AQ61)*INDEX(Premissas!$C$105:$G$105,AQ$7)+AQ65*Premissas!$B$80+IF(AQ$4&gt;=Premissas!$B$102,IF('Ajuste Mensal'!AQ$31="",INDEX(Premissas!$C$103:$G$103,AQ$7),'Ajuste Mensal'!AQ$31),0))</f>
        <v>-73791.5358452342</v>
      </c>
      <c r="AR81" s="60" t="n">
        <f aca="false">-(AR61*INDEX(Premissas!$C$104:$G$104,AR$7)+(AR59-AR61)*INDEX(Premissas!$C$105:$G$105,AR$7)+AR65*Premissas!$B$80+IF(AR$4&gt;=Premissas!$B$102,IF('Ajuste Mensal'!AR$31="",INDEX(Premissas!$C$103:$G$103,AR$7),'Ajuste Mensal'!AR$31),0))</f>
        <v>-75768.0086477527</v>
      </c>
      <c r="AS81" s="60" t="n">
        <f aca="false">-(AS61*INDEX(Premissas!$C$104:$G$104,AS$7)+(AS59-AS61)*INDEX(Premissas!$C$105:$G$105,AS$7)+AS65*Premissas!$B$80+IF(AS$4&gt;=Premissas!$B$102,IF('Ajuste Mensal'!AS$31="",INDEX(Premissas!$C$103:$G$103,AS$7),'Ajuste Mensal'!AS$31),0))</f>
        <v>-77613.0436811923</v>
      </c>
      <c r="AT81" s="60" t="n">
        <f aca="false">-(AT61*INDEX(Premissas!$C$104:$G$104,AT$7)+(AT59-AT61)*INDEX(Premissas!$C$105:$G$105,AT$7)+AT65*Premissas!$B$80+IF(AT$4&gt;=Premissas!$B$102,IF('Ajuste Mensal'!AT$31="",INDEX(Premissas!$C$103:$G$103,AT$7),'Ajuste Mensal'!AT$31),0))</f>
        <v>-79335.4578066116</v>
      </c>
      <c r="AU81" s="60" t="n">
        <f aca="false">-(AU61*INDEX(Premissas!$C$104:$G$104,AU$7)+(AU59-AU61)*INDEX(Premissas!$C$105:$G$105,AU$7)+AU65*Premissas!$B$80+IF(AU$4&gt;=Premissas!$B$102,IF('Ajuste Mensal'!AU$31="",INDEX(Premissas!$C$103:$G$103,AU$7),'Ajuste Mensal'!AU$31),0))</f>
        <v>-80943.9244037662</v>
      </c>
      <c r="AV81" s="60" t="n">
        <f aca="false">-(AV61*INDEX(Premissas!$C$104:$G$104,AV$7)+(AV59-AV61)*INDEX(Premissas!$C$105:$G$105,AV$7)+AV65*Premissas!$B$80+IF(AV$4&gt;=Premissas!$B$102,IF('Ajuste Mensal'!AV$31="",INDEX(Premissas!$C$103:$G$103,AV$7),'Ajuste Mensal'!AV$31),0))</f>
        <v>-82444.8595826352</v>
      </c>
      <c r="AW81" s="60" t="n">
        <f aca="false">-(AW61*INDEX(Premissas!$C$104:$G$104,AW$7)+(AW59-AW61)*INDEX(Premissas!$C$105:$G$105,AW$7)+AW65*Premissas!$B$80+IF(AW$4&gt;=Premissas!$B$102,IF('Ajuste Mensal'!AW$31="",INDEX(Premissas!$C$103:$G$103,AW$7),'Ajuste Mensal'!AW$31),0))</f>
        <v>-83846.6179822109</v>
      </c>
      <c r="AX81" s="60" t="n">
        <f aca="false">-(AX61*INDEX(Premissas!$C$104:$G$104,AX$7)+(AX59-AX61)*INDEX(Premissas!$C$105:$G$105,AX$7)+AX65*Premissas!$B$80+IF(AX$4&gt;=Premissas!$B$102,IF('Ajuste Mensal'!AX$31="",INDEX(Premissas!$C$103:$G$103,AX$7),'Ajuste Mensal'!AX$31),0))</f>
        <v>-100002.897371873</v>
      </c>
      <c r="AY81" s="60" t="n">
        <f aca="false">-(AY61*INDEX(Premissas!$C$104:$G$104,AY$7)+(AY59-AY61)*INDEX(Premissas!$C$105:$G$105,AY$7)+AY65*Premissas!$B$80+IF(AY$4&gt;=Premissas!$B$102,IF('Ajuste Mensal'!AY$31="",INDEX(Premissas!$C$103:$G$103,AY$7),'Ajuste Mensal'!AY$31),0))</f>
        <v>-104125.097190246</v>
      </c>
      <c r="AZ81" s="60" t="n">
        <f aca="false">-(AZ61*INDEX(Premissas!$C$104:$G$104,AZ$7)+(AZ59-AZ61)*INDEX(Premissas!$C$105:$G$105,AZ$7)+AZ65*Premissas!$B$80+IF(AZ$4&gt;=Premissas!$B$102,IF('Ajuste Mensal'!AZ$31="",INDEX(Premissas!$C$103:$G$103,AZ$7),'Ajuste Mensal'!AZ$31),0))</f>
        <v>-107989.822816956</v>
      </c>
      <c r="BA81" s="60" t="n">
        <f aca="false">-(BA61*INDEX(Premissas!$C$104:$G$104,BA$7)+(BA59-BA61)*INDEX(Premissas!$C$105:$G$105,BA$7)+BA65*Premissas!$B$80+IF(BA$4&gt;=Premissas!$B$102,IF('Ajuste Mensal'!BA$31="",INDEX(Premissas!$C$103:$G$103,BA$7),'Ajuste Mensal'!BA$31),0))</f>
        <v>-111612.361281648</v>
      </c>
      <c r="BB81" s="60" t="n">
        <f aca="false">-(BB61*INDEX(Premissas!$C$104:$G$104,BB$7)+(BB59-BB61)*INDEX(Premissas!$C$105:$G$105,BB$7)+BB65*Premissas!$B$80+IF(BB$4&gt;=Premissas!$B$102,IF('Ajuste Mensal'!BB$31="",INDEX(Premissas!$C$103:$G$103,BB$7),'Ajuste Mensal'!BB$31),0))</f>
        <v>-115009.557091412</v>
      </c>
      <c r="BC81" s="60" t="n">
        <f aca="false">-(BC61*INDEX(Premissas!$C$104:$G$104,BC$7)+(BC59-BC61)*INDEX(Premissas!$C$105:$G$105,BC$7)+BC65*Premissas!$B$80+IF(BC$4&gt;=Premissas!$B$102,IF('Ajuste Mensal'!BC$31="",INDEX(Premissas!$C$103:$G$103,BC$7),'Ajuste Mensal'!BC$31),0))</f>
        <v>-118194.312381928</v>
      </c>
      <c r="BD81" s="60" t="n">
        <f aca="false">-(BD61*INDEX(Premissas!$C$104:$G$104,BD$7)+(BD59-BD61)*INDEX(Premissas!$C$105:$G$105,BD$7)+BD65*Premissas!$B$80+IF(BD$4&gt;=Premissas!$B$102,IF('Ajuste Mensal'!BD$31="",INDEX(Premissas!$C$103:$G$103,BD$7),'Ajuste Mensal'!BD$31),0))</f>
        <v>-121180.121434572</v>
      </c>
      <c r="BE81" s="60" t="n">
        <f aca="false">-(BE61*INDEX(Premissas!$C$104:$G$104,BE$7)+(BE59-BE61)*INDEX(Premissas!$C$105:$G$105,BE$7)+BE65*Premissas!$B$80+IF(BE$4&gt;=Premissas!$B$102,IF('Ajuste Mensal'!BE$31="",INDEX(Premissas!$C$103:$G$103,BE$7),'Ajuste Mensal'!BE$31),0))</f>
        <v>-123979.309599084</v>
      </c>
      <c r="BF81" s="60" t="n">
        <f aca="false">-(BF61*INDEX(Premissas!$C$104:$G$104,BF$7)+(BF59-BF61)*INDEX(Premissas!$C$105:$G$105,BF$7)+BF65*Premissas!$B$80+IF(BF$4&gt;=Premissas!$B$102,IF('Ajuste Mensal'!BF$31="",INDEX(Premissas!$C$103:$G$103,BF$7),'Ajuste Mensal'!BF$31),0))</f>
        <v>-126603.926658926</v>
      </c>
      <c r="BG81" s="60" t="n">
        <f aca="false">-(BG61*INDEX(Premissas!$C$104:$G$104,BG$7)+(BG59-BG61)*INDEX(Premissas!$C$105:$G$105,BG$7)+BG65*Premissas!$B$80+IF(BG$4&gt;=Premissas!$B$102,IF('Ajuste Mensal'!BG$31="",INDEX(Premissas!$C$103:$G$103,BG$7),'Ajuste Mensal'!BG$31),0))</f>
        <v>-129063.934674142</v>
      </c>
      <c r="BH81" s="60" t="n">
        <f aca="false">-(BH61*INDEX(Premissas!$C$104:$G$104,BH$7)+(BH59-BH61)*INDEX(Premissas!$C$105:$G$105,BH$7)+BH65*Premissas!$B$80+IF(BH$4&gt;=Premissas!$B$102,IF('Ajuste Mensal'!BH$31="",INDEX(Premissas!$C$103:$G$103,BH$7),'Ajuste Mensal'!BH$31),0))</f>
        <v>-131371.005334352</v>
      </c>
      <c r="BI81" s="60" t="n">
        <f aca="false">-(BI61*INDEX(Premissas!$C$104:$G$104,BI$7)+(BI59-BI61)*INDEX(Premissas!$C$105:$G$105,BI$7)+BI65*Premissas!$B$80+IF(BI$4&gt;=Premissas!$B$102,IF('Ajuste Mensal'!BI$31="",INDEX(Premissas!$C$103:$G$103,BI$7),'Ajuste Mensal'!BI$31),0))</f>
        <v>-133533.701852481</v>
      </c>
      <c r="BJ81" s="61" t="n">
        <f aca="false">SUM(B81:BI81)</f>
        <v>-3055456.93368896</v>
      </c>
    </row>
    <row r="82" customFormat="false" ht="15" hidden="false" customHeight="false" outlineLevel="0" collapsed="false">
      <c r="A82" s="27" t="s">
        <v>729</v>
      </c>
      <c r="B82" s="60" t="n">
        <f aca="false">-B61*INDEX(Premissas!$C$106:$G$106,B$7)</f>
        <v>-0</v>
      </c>
      <c r="C82" s="60" t="n">
        <f aca="false">-C61*INDEX(Premissas!$C$106:$G$106,C$7)</f>
        <v>-0</v>
      </c>
      <c r="D82" s="60" t="n">
        <f aca="false">-D61*INDEX(Premissas!$C$106:$G$106,D$7)</f>
        <v>-0</v>
      </c>
      <c r="E82" s="60" t="n">
        <f aca="false">-E61*INDEX(Premissas!$C$106:$G$106,E$7)</f>
        <v>-0</v>
      </c>
      <c r="F82" s="60" t="n">
        <f aca="false">-F61*INDEX(Premissas!$C$106:$G$106,F$7)</f>
        <v>-0</v>
      </c>
      <c r="G82" s="60" t="n">
        <f aca="false">-G61*INDEX(Premissas!$C$106:$G$106,G$7)</f>
        <v>-0</v>
      </c>
      <c r="H82" s="60" t="n">
        <f aca="false">-H61*INDEX(Premissas!$C$106:$G$106,H$7)</f>
        <v>-0</v>
      </c>
      <c r="I82" s="60" t="n">
        <f aca="false">-I61*INDEX(Premissas!$C$106:$G$106,I$7)</f>
        <v>-0</v>
      </c>
      <c r="J82" s="60" t="n">
        <f aca="false">-J61*INDEX(Premissas!$C$106:$G$106,J$7)</f>
        <v>-0</v>
      </c>
      <c r="K82" s="60" t="n">
        <f aca="false">-K61*INDEX(Premissas!$C$106:$G$106,K$7)</f>
        <v>-52.85</v>
      </c>
      <c r="L82" s="60" t="n">
        <f aca="false">-L61*INDEX(Premissas!$C$106:$G$106,L$7)</f>
        <v>-202.65</v>
      </c>
      <c r="M82" s="60" t="n">
        <f aca="false">-M61*INDEX(Premissas!$C$106:$G$106,M$7)</f>
        <v>-438.2</v>
      </c>
      <c r="N82" s="60" t="n">
        <f aca="false">-N61*INDEX(Premissas!$C$106:$G$106,N$7)</f>
        <v>-925.4</v>
      </c>
      <c r="O82" s="60" t="n">
        <f aca="false">-O61*INDEX(Premissas!$C$106:$G$106,O$7)</f>
        <v>-1497.65</v>
      </c>
      <c r="P82" s="60" t="n">
        <f aca="false">-P61*INDEX(Premissas!$C$106:$G$106,P$7)</f>
        <v>-2174.9</v>
      </c>
      <c r="Q82" s="60" t="n">
        <f aca="false">-Q61*INDEX(Premissas!$C$106:$G$106,Q$7)</f>
        <v>-2524.55</v>
      </c>
      <c r="R82" s="60" t="n">
        <f aca="false">-R61*INDEX(Premissas!$C$106:$G$106,R$7)</f>
        <v>-2847.95</v>
      </c>
      <c r="S82" s="60" t="n">
        <f aca="false">-S61*INDEX(Premissas!$C$106:$G$106,S$7)</f>
        <v>-3146.85</v>
      </c>
      <c r="T82" s="60" t="n">
        <f aca="false">-T61*INDEX(Premissas!$C$106:$G$106,T$7)</f>
        <v>-3423.35</v>
      </c>
      <c r="U82" s="60" t="n">
        <f aca="false">-U61*INDEX(Premissas!$C$106:$G$106,U$7)</f>
        <v>-3679.2</v>
      </c>
      <c r="V82" s="60" t="n">
        <f aca="false">-V61*INDEX(Premissas!$C$106:$G$106,V$7)</f>
        <v>-3915.45</v>
      </c>
      <c r="W82" s="60" t="n">
        <f aca="false">-W61*INDEX(Premissas!$C$106:$G$106,W$7)</f>
        <v>-4134.2</v>
      </c>
      <c r="X82" s="60" t="n">
        <f aca="false">-X61*INDEX(Premissas!$C$106:$G$106,X$7)</f>
        <v>-4336.5</v>
      </c>
      <c r="Y82" s="60" t="n">
        <f aca="false">-Y61*INDEX(Premissas!$C$106:$G$106,Y$7)</f>
        <v>-4523.4</v>
      </c>
      <c r="Z82" s="60" t="n">
        <f aca="false">-Z61*INDEX(Premissas!$C$106:$G$106,Z$7)</f>
        <v>-4604.1</v>
      </c>
      <c r="AA82" s="60" t="n">
        <f aca="false">-AA61*INDEX(Premissas!$C$106:$G$106,AA$7)</f>
        <v>-4991.1</v>
      </c>
      <c r="AB82" s="60" t="n">
        <f aca="false">-AB61*INDEX(Premissas!$C$106:$G$106,AB$7)</f>
        <v>-5350.8</v>
      </c>
      <c r="AC82" s="60" t="n">
        <f aca="false">-AC61*INDEX(Premissas!$C$106:$G$106,AC$7)</f>
        <v>-5685</v>
      </c>
      <c r="AD82" s="60" t="n">
        <f aca="false">-AD61*INDEX(Premissas!$C$106:$G$106,AD$7)</f>
        <v>-5995.8</v>
      </c>
      <c r="AE82" s="60" t="n">
        <f aca="false">-AE61*INDEX(Premissas!$C$106:$G$106,AE$7)</f>
        <v>-6284.4</v>
      </c>
      <c r="AF82" s="60" t="n">
        <f aca="false">-AF61*INDEX(Premissas!$C$106:$G$106,AF$7)</f>
        <v>-6552.6</v>
      </c>
      <c r="AG82" s="60" t="n">
        <f aca="false">-AG61*INDEX(Premissas!$C$106:$G$106,AG$7)</f>
        <v>-6801.9</v>
      </c>
      <c r="AH82" s="60" t="n">
        <f aca="false">-AH61*INDEX(Premissas!$C$106:$G$106,AH$7)</f>
        <v>-7033.8</v>
      </c>
      <c r="AI82" s="60" t="n">
        <f aca="false">-AI61*INDEX(Premissas!$C$106:$G$106,AI$7)</f>
        <v>-7249.2</v>
      </c>
      <c r="AJ82" s="60" t="n">
        <f aca="false">-AJ61*INDEX(Premissas!$C$106:$G$106,AJ$7)</f>
        <v>-7449.3</v>
      </c>
      <c r="AK82" s="60" t="n">
        <f aca="false">-AK61*INDEX(Premissas!$C$106:$G$106,AK$7)</f>
        <v>-7635</v>
      </c>
      <c r="AL82" s="60" t="n">
        <f aca="false">-AL61*INDEX(Premissas!$C$106:$G$106,AL$7)</f>
        <v>-8262.24</v>
      </c>
      <c r="AM82" s="60" t="n">
        <f aca="false">-AM61*INDEX(Premissas!$C$106:$G$106,AM$7)</f>
        <v>-8790.6</v>
      </c>
      <c r="AN82" s="60" t="n">
        <f aca="false">-AN61*INDEX(Premissas!$C$106:$G$106,AN$7)</f>
        <v>-9283.68</v>
      </c>
      <c r="AO82" s="60" t="n">
        <f aca="false">-AO61*INDEX(Premissas!$C$106:$G$106,AO$7)</f>
        <v>-9744.28</v>
      </c>
      <c r="AP82" s="60" t="n">
        <f aca="false">-AP61*INDEX(Premissas!$C$106:$G$106,AP$7)</f>
        <v>-10174.08</v>
      </c>
      <c r="AQ82" s="60" t="n">
        <f aca="false">-AQ61*INDEX(Premissas!$C$106:$G$106,AQ$7)</f>
        <v>-10575.32</v>
      </c>
      <c r="AR82" s="60" t="n">
        <f aca="false">-AR61*INDEX(Premissas!$C$106:$G$106,AR$7)</f>
        <v>-10949.96</v>
      </c>
      <c r="AS82" s="60" t="n">
        <f aca="false">-AS61*INDEX(Premissas!$C$106:$G$106,AS$7)</f>
        <v>-11299.68</v>
      </c>
      <c r="AT82" s="60" t="n">
        <f aca="false">-AT61*INDEX(Premissas!$C$106:$G$106,AT$7)</f>
        <v>-11626.16</v>
      </c>
      <c r="AU82" s="60" t="n">
        <f aca="false">-AU61*INDEX(Premissas!$C$106:$G$106,AU$7)</f>
        <v>-11931.08</v>
      </c>
      <c r="AV82" s="60" t="n">
        <f aca="false">-AV61*INDEX(Premissas!$C$106:$G$106,AV$7)</f>
        <v>-12215.56</v>
      </c>
      <c r="AW82" s="60" t="n">
        <f aca="false">-AW61*INDEX(Premissas!$C$106:$G$106,AW$7)</f>
        <v>-12481.28</v>
      </c>
      <c r="AX82" s="60" t="n">
        <f aca="false">-AX61*INDEX(Premissas!$C$106:$G$106,AX$7)</f>
        <v>-12842</v>
      </c>
      <c r="AY82" s="60" t="n">
        <f aca="false">-AY61*INDEX(Premissas!$C$106:$G$106,AY$7)</f>
        <v>-13598.25</v>
      </c>
      <c r="AZ82" s="60" t="n">
        <f aca="false">-AZ61*INDEX(Premissas!$C$106:$G$106,AZ$7)</f>
        <v>-14307.25</v>
      </c>
      <c r="BA82" s="60" t="n">
        <f aca="false">-BA61*INDEX(Premissas!$C$106:$G$106,BA$7)</f>
        <v>-14971.75</v>
      </c>
      <c r="BB82" s="60" t="n">
        <f aca="false">-BB61*INDEX(Premissas!$C$106:$G$106,BB$7)</f>
        <v>-15595</v>
      </c>
      <c r="BC82" s="60" t="n">
        <f aca="false">-BC61*INDEX(Premissas!$C$106:$G$106,BC$7)</f>
        <v>-16179.25</v>
      </c>
      <c r="BD82" s="60" t="n">
        <f aca="false">-BD61*INDEX(Premissas!$C$106:$G$106,BD$7)</f>
        <v>-16727</v>
      </c>
      <c r="BE82" s="60" t="n">
        <f aca="false">-BE61*INDEX(Premissas!$C$106:$G$106,BE$7)</f>
        <v>-17240.5</v>
      </c>
      <c r="BF82" s="60" t="n">
        <f aca="false">-BF61*INDEX(Premissas!$C$106:$G$106,BF$7)</f>
        <v>-17722</v>
      </c>
      <c r="BG82" s="60" t="n">
        <f aca="false">-BG61*INDEX(Premissas!$C$106:$G$106,BG$7)</f>
        <v>-18173.25</v>
      </c>
      <c r="BH82" s="60" t="n">
        <f aca="false">-BH61*INDEX(Premissas!$C$106:$G$106,BH$7)</f>
        <v>-18596.5</v>
      </c>
      <c r="BI82" s="60" t="n">
        <f aca="false">-BI61*INDEX(Premissas!$C$106:$G$106,BI$7)</f>
        <v>-18993.25</v>
      </c>
      <c r="BJ82" s="61" t="n">
        <f aca="false">SUM(B82:BI82)</f>
        <v>-435736.02</v>
      </c>
    </row>
    <row r="83" customFormat="false" ht="15" hidden="false" customHeight="false" outlineLevel="0" collapsed="false">
      <c r="A83" s="27" t="s">
        <v>882</v>
      </c>
      <c r="B83" s="60" t="n">
        <f aca="false">-Pessoas!B45</f>
        <v>-0</v>
      </c>
      <c r="C83" s="60" t="n">
        <f aca="false">-Pessoas!C45</f>
        <v>-0</v>
      </c>
      <c r="D83" s="60" t="n">
        <f aca="false">-Pessoas!D45</f>
        <v>-0</v>
      </c>
      <c r="E83" s="60" t="n">
        <f aca="false">-Pessoas!E45</f>
        <v>-0</v>
      </c>
      <c r="F83" s="60" t="n">
        <f aca="false">-Pessoas!F45</f>
        <v>-0</v>
      </c>
      <c r="G83" s="60" t="n">
        <f aca="false">-Pessoas!G45</f>
        <v>-0</v>
      </c>
      <c r="H83" s="60" t="n">
        <f aca="false">-Pessoas!H45</f>
        <v>-0</v>
      </c>
      <c r="I83" s="60" t="n">
        <f aca="false">-Pessoas!I45</f>
        <v>-0</v>
      </c>
      <c r="J83" s="60" t="n">
        <f aca="false">-Pessoas!J45</f>
        <v>-0</v>
      </c>
      <c r="K83" s="60" t="n">
        <f aca="false">-Pessoas!K45</f>
        <v>-0</v>
      </c>
      <c r="L83" s="60" t="n">
        <f aca="false">-Pessoas!L45</f>
        <v>-0</v>
      </c>
      <c r="M83" s="60" t="n">
        <f aca="false">-Pessoas!M45</f>
        <v>-0</v>
      </c>
      <c r="N83" s="60" t="n">
        <f aca="false">-Pessoas!N45</f>
        <v>-42500</v>
      </c>
      <c r="O83" s="60" t="n">
        <f aca="false">-Pessoas!O45</f>
        <v>-42500</v>
      </c>
      <c r="P83" s="60" t="n">
        <f aca="false">-Pessoas!P45</f>
        <v>-42500</v>
      </c>
      <c r="Q83" s="60" t="n">
        <f aca="false">-Pessoas!Q45</f>
        <v>-42500</v>
      </c>
      <c r="R83" s="60" t="n">
        <f aca="false">-Pessoas!R45</f>
        <v>-42500</v>
      </c>
      <c r="S83" s="60" t="n">
        <f aca="false">-Pessoas!S45</f>
        <v>-42500</v>
      </c>
      <c r="T83" s="60" t="n">
        <f aca="false">-Pessoas!T45</f>
        <v>-42500</v>
      </c>
      <c r="U83" s="60" t="n">
        <f aca="false">-Pessoas!U45</f>
        <v>-42500</v>
      </c>
      <c r="V83" s="60" t="n">
        <f aca="false">-Pessoas!V45</f>
        <v>-42500</v>
      </c>
      <c r="W83" s="60" t="n">
        <f aca="false">-Pessoas!W45</f>
        <v>-42500</v>
      </c>
      <c r="X83" s="60" t="n">
        <f aca="false">-Pessoas!X45</f>
        <v>-42500</v>
      </c>
      <c r="Y83" s="60" t="n">
        <f aca="false">-Pessoas!Y45</f>
        <v>-42500</v>
      </c>
      <c r="Z83" s="60" t="n">
        <f aca="false">-Pessoas!Z45</f>
        <v>-117500</v>
      </c>
      <c r="AA83" s="60" t="n">
        <f aca="false">-Pessoas!AA45</f>
        <v>-117500</v>
      </c>
      <c r="AB83" s="60" t="n">
        <f aca="false">-Pessoas!AB45</f>
        <v>-117500</v>
      </c>
      <c r="AC83" s="60" t="n">
        <f aca="false">-Pessoas!AC45</f>
        <v>-117500</v>
      </c>
      <c r="AD83" s="60" t="n">
        <f aca="false">-Pessoas!AD45</f>
        <v>-117500</v>
      </c>
      <c r="AE83" s="60" t="n">
        <f aca="false">-Pessoas!AE45</f>
        <v>-117500</v>
      </c>
      <c r="AF83" s="60" t="n">
        <f aca="false">-Pessoas!AF45</f>
        <v>-117500</v>
      </c>
      <c r="AG83" s="60" t="n">
        <f aca="false">-Pessoas!AG45</f>
        <v>-117500</v>
      </c>
      <c r="AH83" s="60" t="n">
        <f aca="false">-Pessoas!AH45</f>
        <v>-117500</v>
      </c>
      <c r="AI83" s="60" t="n">
        <f aca="false">-Pessoas!AI45</f>
        <v>-117500</v>
      </c>
      <c r="AJ83" s="60" t="n">
        <f aca="false">-Pessoas!AJ45</f>
        <v>-117500</v>
      </c>
      <c r="AK83" s="60" t="n">
        <f aca="false">-Pessoas!AK45</f>
        <v>-117500</v>
      </c>
      <c r="AL83" s="60" t="n">
        <f aca="false">-Pessoas!AL45</f>
        <v>-253300</v>
      </c>
      <c r="AM83" s="60" t="n">
        <f aca="false">-Pessoas!AM45</f>
        <v>-253300</v>
      </c>
      <c r="AN83" s="60" t="n">
        <f aca="false">-Pessoas!AN45</f>
        <v>-253300</v>
      </c>
      <c r="AO83" s="60" t="n">
        <f aca="false">-Pessoas!AO45</f>
        <v>-253300</v>
      </c>
      <c r="AP83" s="60" t="n">
        <f aca="false">-Pessoas!AP45</f>
        <v>-253300</v>
      </c>
      <c r="AQ83" s="60" t="n">
        <f aca="false">-Pessoas!AQ45</f>
        <v>-253300</v>
      </c>
      <c r="AR83" s="60" t="n">
        <f aca="false">-Pessoas!AR45</f>
        <v>-253300</v>
      </c>
      <c r="AS83" s="60" t="n">
        <f aca="false">-Pessoas!AS45</f>
        <v>-253300</v>
      </c>
      <c r="AT83" s="60" t="n">
        <f aca="false">-Pessoas!AT45</f>
        <v>-253300</v>
      </c>
      <c r="AU83" s="60" t="n">
        <f aca="false">-Pessoas!AU45</f>
        <v>-253300</v>
      </c>
      <c r="AV83" s="60" t="n">
        <f aca="false">-Pessoas!AV45</f>
        <v>-253300</v>
      </c>
      <c r="AW83" s="60" t="n">
        <f aca="false">-Pessoas!AW45</f>
        <v>-253300</v>
      </c>
      <c r="AX83" s="60" t="n">
        <f aca="false">-Pessoas!AX45</f>
        <v>-374300</v>
      </c>
      <c r="AY83" s="60" t="n">
        <f aca="false">-Pessoas!AY45</f>
        <v>-374300</v>
      </c>
      <c r="AZ83" s="60" t="n">
        <f aca="false">-Pessoas!AZ45</f>
        <v>-374300</v>
      </c>
      <c r="BA83" s="60" t="n">
        <f aca="false">-Pessoas!BA45</f>
        <v>-374300</v>
      </c>
      <c r="BB83" s="60" t="n">
        <f aca="false">-Pessoas!BB45</f>
        <v>-374300</v>
      </c>
      <c r="BC83" s="60" t="n">
        <f aca="false">-Pessoas!BC45</f>
        <v>-374300</v>
      </c>
      <c r="BD83" s="60" t="n">
        <f aca="false">-Pessoas!BD45</f>
        <v>-374300</v>
      </c>
      <c r="BE83" s="60" t="n">
        <f aca="false">-Pessoas!BE45</f>
        <v>-374300</v>
      </c>
      <c r="BF83" s="60" t="n">
        <f aca="false">-Pessoas!BF45</f>
        <v>-374300</v>
      </c>
      <c r="BG83" s="60" t="n">
        <f aca="false">-Pessoas!BG45</f>
        <v>-374300</v>
      </c>
      <c r="BH83" s="60" t="n">
        <f aca="false">-Pessoas!BH45</f>
        <v>-374300</v>
      </c>
      <c r="BI83" s="60" t="n">
        <f aca="false">-Pessoas!BI45</f>
        <v>-374300</v>
      </c>
      <c r="BJ83" s="61" t="n">
        <f aca="false">SUM(B83:BI83)</f>
        <v>-9451200</v>
      </c>
    </row>
    <row r="84" customFormat="false" ht="15" hidden="false" customHeight="false" outlineLevel="0" collapsed="false">
      <c r="A84" s="27" t="s">
        <v>734</v>
      </c>
      <c r="B84" s="60" t="n">
        <f aca="false">-(B56*(1-INDEX(Premissas!$C$70:$G$70,B$7))*IF('Ajuste Mensal'!B$22="",INDEX(Premissas!$C$68:$G$68,B$7),'Ajuste Mensal'!B$22)+IF(B$4&gt;=Premissas!$B$110,IF('Ajuste Mensal'!B$32="",INDEX(Premissas!$C$109:$G$109,B$7),'Ajuste Mensal'!B$32),0)+IF(B$4=DATE(YEAR(Premissas!$B$112),MONTH(Premissas!$B$112),1),Premissas!$B$111,0))</f>
        <v>-0</v>
      </c>
      <c r="C84" s="60" t="n">
        <f aca="false">-(C56*(1-INDEX(Premissas!$C$70:$G$70,C$7))*IF('Ajuste Mensal'!C$22="",INDEX(Premissas!$C$68:$G$68,C$7),'Ajuste Mensal'!C$22)+IF(C$4&gt;=Premissas!$B$110,IF('Ajuste Mensal'!C$32="",INDEX(Premissas!$C$109:$G$109,C$7),'Ajuste Mensal'!C$32),0)+IF(C$4=DATE(YEAR(Premissas!$B$112),MONTH(Premissas!$B$112),1),Premissas!$B$111,0))</f>
        <v>-0</v>
      </c>
      <c r="D84" s="60" t="n">
        <f aca="false">-(D56*(1-INDEX(Premissas!$C$70:$G$70,D$7))*IF('Ajuste Mensal'!D$22="",INDEX(Premissas!$C$68:$G$68,D$7),'Ajuste Mensal'!D$22)+IF(D$4&gt;=Premissas!$B$110,IF('Ajuste Mensal'!D$32="",INDEX(Premissas!$C$109:$G$109,D$7),'Ajuste Mensal'!D$32),0)+IF(D$4=DATE(YEAR(Premissas!$B$112),MONTH(Premissas!$B$112),1),Premissas!$B$111,0))</f>
        <v>-0</v>
      </c>
      <c r="E84" s="60" t="n">
        <f aca="false">-(E56*(1-INDEX(Premissas!$C$70:$G$70,E$7))*IF('Ajuste Mensal'!E$22="",INDEX(Premissas!$C$68:$G$68,E$7),'Ajuste Mensal'!E$22)+IF(E$4&gt;=Premissas!$B$110,IF('Ajuste Mensal'!E$32="",INDEX(Premissas!$C$109:$G$109,E$7),'Ajuste Mensal'!E$32),0)+IF(E$4=DATE(YEAR(Premissas!$B$112),MONTH(Premissas!$B$112),1),Premissas!$B$111,0))</f>
        <v>-0</v>
      </c>
      <c r="F84" s="60" t="n">
        <f aca="false">-(F56*(1-INDEX(Premissas!$C$70:$G$70,F$7))*IF('Ajuste Mensal'!F$22="",INDEX(Premissas!$C$68:$G$68,F$7),'Ajuste Mensal'!F$22)+IF(F$4&gt;=Premissas!$B$110,IF('Ajuste Mensal'!F$32="",INDEX(Premissas!$C$109:$G$109,F$7),'Ajuste Mensal'!F$32),0)+IF(F$4=DATE(YEAR(Premissas!$B$112),MONTH(Premissas!$B$112),1),Premissas!$B$111,0))</f>
        <v>-0</v>
      </c>
      <c r="G84" s="60" t="n">
        <f aca="false">-(G56*(1-INDEX(Premissas!$C$70:$G$70,G$7))*IF('Ajuste Mensal'!G$22="",INDEX(Premissas!$C$68:$G$68,G$7),'Ajuste Mensal'!G$22)+IF(G$4&gt;=Premissas!$B$110,IF('Ajuste Mensal'!G$32="",INDEX(Premissas!$C$109:$G$109,G$7),'Ajuste Mensal'!G$32),0)+IF(G$4=DATE(YEAR(Premissas!$B$112),MONTH(Premissas!$B$112),1),Premissas!$B$111,0))</f>
        <v>-0</v>
      </c>
      <c r="H84" s="60" t="n">
        <f aca="false">-(H56*(1-INDEX(Premissas!$C$70:$G$70,H$7))*IF('Ajuste Mensal'!H$22="",INDEX(Premissas!$C$68:$G$68,H$7),'Ajuste Mensal'!H$22)+IF(H$4&gt;=Premissas!$B$110,IF('Ajuste Mensal'!H$32="",INDEX(Premissas!$C$109:$G$109,H$7),'Ajuste Mensal'!H$32),0)+IF(H$4=DATE(YEAR(Premissas!$B$112),MONTH(Premissas!$B$112),1),Premissas!$B$111,0))</f>
        <v>-0</v>
      </c>
      <c r="I84" s="60" t="n">
        <f aca="false">-(I56*(1-INDEX(Premissas!$C$70:$G$70,I$7))*IF('Ajuste Mensal'!I$22="",INDEX(Premissas!$C$68:$G$68,I$7),'Ajuste Mensal'!I$22)+IF(I$4&gt;=Premissas!$B$110,IF('Ajuste Mensal'!I$32="",INDEX(Premissas!$C$109:$G$109,I$7),'Ajuste Mensal'!I$32),0)+IF(I$4=DATE(YEAR(Premissas!$B$112),MONTH(Premissas!$B$112),1),Premissas!$B$111,0))</f>
        <v>-0</v>
      </c>
      <c r="J84" s="60" t="n">
        <f aca="false">-(J56*(1-INDEX(Premissas!$C$70:$G$70,J$7))*IF('Ajuste Mensal'!J$22="",INDEX(Premissas!$C$68:$G$68,J$7),'Ajuste Mensal'!J$22)+IF(J$4&gt;=Premissas!$B$110,IF('Ajuste Mensal'!J$32="",INDEX(Premissas!$C$109:$G$109,J$7),'Ajuste Mensal'!J$32),0)+IF(J$4=DATE(YEAR(Premissas!$B$112),MONTH(Premissas!$B$112),1),Premissas!$B$111,0))</f>
        <v>-0</v>
      </c>
      <c r="K84" s="60" t="n">
        <f aca="false">-(K56*(1-INDEX(Premissas!$C$70:$G$70,K$7))*IF('Ajuste Mensal'!K$22="",INDEX(Premissas!$C$68:$G$68,K$7),'Ajuste Mensal'!K$22)+IF(K$4&gt;=Premissas!$B$110,IF('Ajuste Mensal'!K$32="",INDEX(Premissas!$C$109:$G$109,K$7),'Ajuste Mensal'!K$32),0)+IF(K$4=DATE(YEAR(Premissas!$B$112),MONTH(Premissas!$B$112),1),Premissas!$B$111,0))</f>
        <v>-59675</v>
      </c>
      <c r="L84" s="60" t="n">
        <f aca="false">-(L56*(1-INDEX(Premissas!$C$70:$G$70,L$7))*IF('Ajuste Mensal'!L$22="",INDEX(Premissas!$C$68:$G$68,L$7),'Ajuste Mensal'!L$22)+IF(L$4&gt;=Premissas!$B$110,IF('Ajuste Mensal'!L$32="",INDEX(Premissas!$C$109:$G$109,L$7),'Ajuste Mensal'!L$32),0)+IF(L$4=DATE(YEAR(Premissas!$B$112),MONTH(Premissas!$B$112),1),Premissas!$B$111,0))</f>
        <v>-34675</v>
      </c>
      <c r="M84" s="60" t="n">
        <f aca="false">-(M56*(1-INDEX(Premissas!$C$70:$G$70,M$7))*IF('Ajuste Mensal'!M$22="",INDEX(Premissas!$C$68:$G$68,M$7),'Ajuste Mensal'!M$22)+IF(M$4&gt;=Premissas!$B$110,IF('Ajuste Mensal'!M$32="",INDEX(Premissas!$C$109:$G$109,M$7),'Ajuste Mensal'!M$32),0)+IF(M$4=DATE(YEAR(Premissas!$B$112),MONTH(Premissas!$B$112),1),Premissas!$B$111,0))</f>
        <v>-34675</v>
      </c>
      <c r="N84" s="60" t="n">
        <f aca="false">-(N56*(1-INDEX(Premissas!$C$70:$G$70,N$7))*IF('Ajuste Mensal'!N$22="",INDEX(Premissas!$C$68:$G$68,N$7),'Ajuste Mensal'!N$22)+IF(N$4&gt;=Premissas!$B$110,IF('Ajuste Mensal'!N$32="",INDEX(Premissas!$C$109:$G$109,N$7),'Ajuste Mensal'!N$32),0)+IF(N$4=DATE(YEAR(Premissas!$B$112),MONTH(Premissas!$B$112),1),Premissas!$B$111,0))</f>
        <v>-68078.25</v>
      </c>
      <c r="O84" s="60" t="n">
        <f aca="false">-(O56*(1-INDEX(Premissas!$C$70:$G$70,O$7))*IF('Ajuste Mensal'!O$22="",INDEX(Premissas!$C$68:$G$68,O$7),'Ajuste Mensal'!O$22)+IF(O$4&gt;=Premissas!$B$110,IF('Ajuste Mensal'!O$32="",INDEX(Premissas!$C$109:$G$109,O$7),'Ajuste Mensal'!O$32),0)+IF(O$4=DATE(YEAR(Premissas!$B$112),MONTH(Premissas!$B$112),1),Premissas!$B$111,0))</f>
        <v>-68078.25</v>
      </c>
      <c r="P84" s="60" t="n">
        <f aca="false">-(P56*(1-INDEX(Premissas!$C$70:$G$70,P$7))*IF('Ajuste Mensal'!P$22="",INDEX(Premissas!$C$68:$G$68,P$7),'Ajuste Mensal'!P$22)+IF(P$4&gt;=Premissas!$B$110,IF('Ajuste Mensal'!P$32="",INDEX(Premissas!$C$109:$G$109,P$7),'Ajuste Mensal'!P$32),0)+IF(P$4=DATE(YEAR(Premissas!$B$112),MONTH(Premissas!$B$112),1),Premissas!$B$111,0))</f>
        <v>-68078.25</v>
      </c>
      <c r="Q84" s="60" t="n">
        <f aca="false">-(Q56*(1-INDEX(Premissas!$C$70:$G$70,Q$7))*IF('Ajuste Mensal'!Q$22="",INDEX(Premissas!$C$68:$G$68,Q$7),'Ajuste Mensal'!Q$22)+IF(Q$4&gt;=Premissas!$B$110,IF('Ajuste Mensal'!Q$32="",INDEX(Premissas!$C$109:$G$109,Q$7),'Ajuste Mensal'!Q$32),0)+IF(Q$4=DATE(YEAR(Premissas!$B$112),MONTH(Premissas!$B$112),1),Premissas!$B$111,0))</f>
        <v>-68078.25</v>
      </c>
      <c r="R84" s="60" t="n">
        <f aca="false">-(R56*(1-INDEX(Premissas!$C$70:$G$70,R$7))*IF('Ajuste Mensal'!R$22="",INDEX(Premissas!$C$68:$G$68,R$7),'Ajuste Mensal'!R$22)+IF(R$4&gt;=Premissas!$B$110,IF('Ajuste Mensal'!R$32="",INDEX(Premissas!$C$109:$G$109,R$7),'Ajuste Mensal'!R$32),0)+IF(R$4=DATE(YEAR(Premissas!$B$112),MONTH(Premissas!$B$112),1),Premissas!$B$111,0))</f>
        <v>-68078.25</v>
      </c>
      <c r="S84" s="60" t="n">
        <f aca="false">-(S56*(1-INDEX(Premissas!$C$70:$G$70,S$7))*IF('Ajuste Mensal'!S$22="",INDEX(Premissas!$C$68:$G$68,S$7),'Ajuste Mensal'!S$22)+IF(S$4&gt;=Premissas!$B$110,IF('Ajuste Mensal'!S$32="",INDEX(Premissas!$C$109:$G$109,S$7),'Ajuste Mensal'!S$32),0)+IF(S$4=DATE(YEAR(Premissas!$B$112),MONTH(Premissas!$B$112),1),Premissas!$B$111,0))</f>
        <v>-68078.25</v>
      </c>
      <c r="T84" s="60" t="n">
        <f aca="false">-(T56*(1-INDEX(Premissas!$C$70:$G$70,T$7))*IF('Ajuste Mensal'!T$22="",INDEX(Premissas!$C$68:$G$68,T$7),'Ajuste Mensal'!T$22)+IF(T$4&gt;=Premissas!$B$110,IF('Ajuste Mensal'!T$32="",INDEX(Premissas!$C$109:$G$109,T$7),'Ajuste Mensal'!T$32),0)+IF(T$4=DATE(YEAR(Premissas!$B$112),MONTH(Premissas!$B$112),1),Premissas!$B$111,0))</f>
        <v>-68078.25</v>
      </c>
      <c r="U84" s="60" t="n">
        <f aca="false">-(U56*(1-INDEX(Premissas!$C$70:$G$70,U$7))*IF('Ajuste Mensal'!U$22="",INDEX(Premissas!$C$68:$G$68,U$7),'Ajuste Mensal'!U$22)+IF(U$4&gt;=Premissas!$B$110,IF('Ajuste Mensal'!U$32="",INDEX(Premissas!$C$109:$G$109,U$7),'Ajuste Mensal'!U$32),0)+IF(U$4=DATE(YEAR(Premissas!$B$112),MONTH(Premissas!$B$112),1),Premissas!$B$111,0))</f>
        <v>-68078.25</v>
      </c>
      <c r="V84" s="60" t="n">
        <f aca="false">-(V56*(1-INDEX(Premissas!$C$70:$G$70,V$7))*IF('Ajuste Mensal'!V$22="",INDEX(Premissas!$C$68:$G$68,V$7),'Ajuste Mensal'!V$22)+IF(V$4&gt;=Premissas!$B$110,IF('Ajuste Mensal'!V$32="",INDEX(Premissas!$C$109:$G$109,V$7),'Ajuste Mensal'!V$32),0)+IF(V$4=DATE(YEAR(Premissas!$B$112),MONTH(Premissas!$B$112),1),Premissas!$B$111,0))</f>
        <v>-68078.25</v>
      </c>
      <c r="W84" s="60" t="n">
        <f aca="false">-(W56*(1-INDEX(Premissas!$C$70:$G$70,W$7))*IF('Ajuste Mensal'!W$22="",INDEX(Premissas!$C$68:$G$68,W$7),'Ajuste Mensal'!W$22)+IF(W$4&gt;=Premissas!$B$110,IF('Ajuste Mensal'!W$32="",INDEX(Premissas!$C$109:$G$109,W$7),'Ajuste Mensal'!W$32),0)+IF(W$4=DATE(YEAR(Premissas!$B$112),MONTH(Premissas!$B$112),1),Premissas!$B$111,0))</f>
        <v>-68078.25</v>
      </c>
      <c r="X84" s="60" t="n">
        <f aca="false">-(X56*(1-INDEX(Premissas!$C$70:$G$70,X$7))*IF('Ajuste Mensal'!X$22="",INDEX(Premissas!$C$68:$G$68,X$7),'Ajuste Mensal'!X$22)+IF(X$4&gt;=Premissas!$B$110,IF('Ajuste Mensal'!X$32="",INDEX(Premissas!$C$109:$G$109,X$7),'Ajuste Mensal'!X$32),0)+IF(X$4=DATE(YEAR(Premissas!$B$112),MONTH(Premissas!$B$112),1),Premissas!$B$111,0))</f>
        <v>-68078.25</v>
      </c>
      <c r="Y84" s="60" t="n">
        <f aca="false">-(Y56*(1-INDEX(Premissas!$C$70:$G$70,Y$7))*IF('Ajuste Mensal'!Y$22="",INDEX(Premissas!$C$68:$G$68,Y$7),'Ajuste Mensal'!Y$22)+IF(Y$4&gt;=Premissas!$B$110,IF('Ajuste Mensal'!Y$32="",INDEX(Premissas!$C$109:$G$109,Y$7),'Ajuste Mensal'!Y$32),0)+IF(Y$4=DATE(YEAR(Premissas!$B$112),MONTH(Premissas!$B$112),1),Premissas!$B$111,0))</f>
        <v>-68078.25</v>
      </c>
      <c r="Z84" s="60" t="n">
        <f aca="false">-(Z56*(1-INDEX(Premissas!$C$70:$G$70,Z$7))*IF('Ajuste Mensal'!Z$22="",INDEX(Premissas!$C$68:$G$68,Z$7),'Ajuste Mensal'!Z$22)+IF(Z$4&gt;=Premissas!$B$110,IF('Ajuste Mensal'!Z$32="",INDEX(Premissas!$C$109:$G$109,Z$7),'Ajuste Mensal'!Z$32),0)+IF(Z$4=DATE(YEAR(Premissas!$B$112),MONTH(Premissas!$B$112),1),Premissas!$B$111,0))</f>
        <v>-147520.5703125</v>
      </c>
      <c r="AA84" s="60" t="n">
        <f aca="false">-(AA56*(1-INDEX(Premissas!$C$70:$G$70,AA$7))*IF('Ajuste Mensal'!AA$22="",INDEX(Premissas!$C$68:$G$68,AA$7),'Ajuste Mensal'!AA$22)+IF(AA$4&gt;=Premissas!$B$110,IF('Ajuste Mensal'!AA$32="",INDEX(Premissas!$C$109:$G$109,AA$7),'Ajuste Mensal'!AA$32),0)+IF(AA$4=DATE(YEAR(Premissas!$B$112),MONTH(Premissas!$B$112),1),Premissas!$B$111,0))</f>
        <v>-147520.5703125</v>
      </c>
      <c r="AB84" s="60" t="n">
        <f aca="false">-(AB56*(1-INDEX(Premissas!$C$70:$G$70,AB$7))*IF('Ajuste Mensal'!AB$22="",INDEX(Premissas!$C$68:$G$68,AB$7),'Ajuste Mensal'!AB$22)+IF(AB$4&gt;=Premissas!$B$110,IF('Ajuste Mensal'!AB$32="",INDEX(Premissas!$C$109:$G$109,AB$7),'Ajuste Mensal'!AB$32),0)+IF(AB$4=DATE(YEAR(Premissas!$B$112),MONTH(Premissas!$B$112),1),Premissas!$B$111,0))</f>
        <v>-147520.5703125</v>
      </c>
      <c r="AC84" s="60" t="n">
        <f aca="false">-(AC56*(1-INDEX(Premissas!$C$70:$G$70,AC$7))*IF('Ajuste Mensal'!AC$22="",INDEX(Premissas!$C$68:$G$68,AC$7),'Ajuste Mensal'!AC$22)+IF(AC$4&gt;=Premissas!$B$110,IF('Ajuste Mensal'!AC$32="",INDEX(Premissas!$C$109:$G$109,AC$7),'Ajuste Mensal'!AC$32),0)+IF(AC$4=DATE(YEAR(Premissas!$B$112),MONTH(Premissas!$B$112),1),Premissas!$B$111,0))</f>
        <v>-147520.5703125</v>
      </c>
      <c r="AD84" s="60" t="n">
        <f aca="false">-(AD56*(1-INDEX(Premissas!$C$70:$G$70,AD$7))*IF('Ajuste Mensal'!AD$22="",INDEX(Premissas!$C$68:$G$68,AD$7),'Ajuste Mensal'!AD$22)+IF(AD$4&gt;=Premissas!$B$110,IF('Ajuste Mensal'!AD$32="",INDEX(Premissas!$C$109:$G$109,AD$7),'Ajuste Mensal'!AD$32),0)+IF(AD$4=DATE(YEAR(Premissas!$B$112),MONTH(Premissas!$B$112),1),Premissas!$B$111,0))</f>
        <v>-147520.5703125</v>
      </c>
      <c r="AE84" s="60" t="n">
        <f aca="false">-(AE56*(1-INDEX(Premissas!$C$70:$G$70,AE$7))*IF('Ajuste Mensal'!AE$22="",INDEX(Premissas!$C$68:$G$68,AE$7),'Ajuste Mensal'!AE$22)+IF(AE$4&gt;=Premissas!$B$110,IF('Ajuste Mensal'!AE$32="",INDEX(Premissas!$C$109:$G$109,AE$7),'Ajuste Mensal'!AE$32),0)+IF(AE$4=DATE(YEAR(Premissas!$B$112),MONTH(Premissas!$B$112),1),Premissas!$B$111,0))</f>
        <v>-147520.5703125</v>
      </c>
      <c r="AF84" s="60" t="n">
        <f aca="false">-(AF56*(1-INDEX(Premissas!$C$70:$G$70,AF$7))*IF('Ajuste Mensal'!AF$22="",INDEX(Premissas!$C$68:$G$68,AF$7),'Ajuste Mensal'!AF$22)+IF(AF$4&gt;=Premissas!$B$110,IF('Ajuste Mensal'!AF$32="",INDEX(Premissas!$C$109:$G$109,AF$7),'Ajuste Mensal'!AF$32),0)+IF(AF$4=DATE(YEAR(Premissas!$B$112),MONTH(Premissas!$B$112),1),Premissas!$B$111,0))</f>
        <v>-147520.5703125</v>
      </c>
      <c r="AG84" s="60" t="n">
        <f aca="false">-(AG56*(1-INDEX(Premissas!$C$70:$G$70,AG$7))*IF('Ajuste Mensal'!AG$22="",INDEX(Premissas!$C$68:$G$68,AG$7),'Ajuste Mensal'!AG$22)+IF(AG$4&gt;=Premissas!$B$110,IF('Ajuste Mensal'!AG$32="",INDEX(Premissas!$C$109:$G$109,AG$7),'Ajuste Mensal'!AG$32),0)+IF(AG$4=DATE(YEAR(Premissas!$B$112),MONTH(Premissas!$B$112),1),Premissas!$B$111,0))</f>
        <v>-147520.5703125</v>
      </c>
      <c r="AH84" s="60" t="n">
        <f aca="false">-(AH56*(1-INDEX(Premissas!$C$70:$G$70,AH$7))*IF('Ajuste Mensal'!AH$22="",INDEX(Premissas!$C$68:$G$68,AH$7),'Ajuste Mensal'!AH$22)+IF(AH$4&gt;=Premissas!$B$110,IF('Ajuste Mensal'!AH$32="",INDEX(Premissas!$C$109:$G$109,AH$7),'Ajuste Mensal'!AH$32),0)+IF(AH$4=DATE(YEAR(Premissas!$B$112),MONTH(Premissas!$B$112),1),Premissas!$B$111,0))</f>
        <v>-147520.5703125</v>
      </c>
      <c r="AI84" s="60" t="n">
        <f aca="false">-(AI56*(1-INDEX(Premissas!$C$70:$G$70,AI$7))*IF('Ajuste Mensal'!AI$22="",INDEX(Premissas!$C$68:$G$68,AI$7),'Ajuste Mensal'!AI$22)+IF(AI$4&gt;=Premissas!$B$110,IF('Ajuste Mensal'!AI$32="",INDEX(Premissas!$C$109:$G$109,AI$7),'Ajuste Mensal'!AI$32),0)+IF(AI$4=DATE(YEAR(Premissas!$B$112),MONTH(Premissas!$B$112),1),Premissas!$B$111,0))</f>
        <v>-147520.5703125</v>
      </c>
      <c r="AJ84" s="60" t="n">
        <f aca="false">-(AJ56*(1-INDEX(Premissas!$C$70:$G$70,AJ$7))*IF('Ajuste Mensal'!AJ$22="",INDEX(Premissas!$C$68:$G$68,AJ$7),'Ajuste Mensal'!AJ$22)+IF(AJ$4&gt;=Premissas!$B$110,IF('Ajuste Mensal'!AJ$32="",INDEX(Premissas!$C$109:$G$109,AJ$7),'Ajuste Mensal'!AJ$32),0)+IF(AJ$4=DATE(YEAR(Premissas!$B$112),MONTH(Premissas!$B$112),1),Premissas!$B$111,0))</f>
        <v>-147520.5703125</v>
      </c>
      <c r="AK84" s="60" t="n">
        <f aca="false">-(AK56*(1-INDEX(Premissas!$C$70:$G$70,AK$7))*IF('Ajuste Mensal'!AK$22="",INDEX(Premissas!$C$68:$G$68,AK$7),'Ajuste Mensal'!AK$22)+IF(AK$4&gt;=Premissas!$B$110,IF('Ajuste Mensal'!AK$32="",INDEX(Premissas!$C$109:$G$109,AK$7),'Ajuste Mensal'!AK$32),0)+IF(AK$4=DATE(YEAR(Premissas!$B$112),MONTH(Premissas!$B$112),1),Premissas!$B$111,0))</f>
        <v>-147520.5703125</v>
      </c>
      <c r="AL84" s="60" t="n">
        <f aca="false">-(AL56*(1-INDEX(Premissas!$C$70:$G$70,AL$7))*IF('Ajuste Mensal'!AL$22="",INDEX(Premissas!$C$68:$G$68,AL$7),'Ajuste Mensal'!AL$22)+IF(AL$4&gt;=Premissas!$B$110,IF('Ajuste Mensal'!AL$32="",INDEX(Premissas!$C$109:$G$109,AL$7),'Ajuste Mensal'!AL$32),0)+IF(AL$4=DATE(YEAR(Premissas!$B$112),MONTH(Premissas!$B$112),1),Premissas!$B$111,0))</f>
        <v>-284004.999921875</v>
      </c>
      <c r="AM84" s="60" t="n">
        <f aca="false">-(AM56*(1-INDEX(Premissas!$C$70:$G$70,AM$7))*IF('Ajuste Mensal'!AM$22="",INDEX(Premissas!$C$68:$G$68,AM$7),'Ajuste Mensal'!AM$22)+IF(AM$4&gt;=Premissas!$B$110,IF('Ajuste Mensal'!AM$32="",INDEX(Premissas!$C$109:$G$109,AM$7),'Ajuste Mensal'!AM$32),0)+IF(AM$4=DATE(YEAR(Premissas!$B$112),MONTH(Premissas!$B$112),1),Premissas!$B$111,0))</f>
        <v>-284004.999921875</v>
      </c>
      <c r="AN84" s="60" t="n">
        <f aca="false">-(AN56*(1-INDEX(Premissas!$C$70:$G$70,AN$7))*IF('Ajuste Mensal'!AN$22="",INDEX(Premissas!$C$68:$G$68,AN$7),'Ajuste Mensal'!AN$22)+IF(AN$4&gt;=Premissas!$B$110,IF('Ajuste Mensal'!AN$32="",INDEX(Premissas!$C$109:$G$109,AN$7),'Ajuste Mensal'!AN$32),0)+IF(AN$4=DATE(YEAR(Premissas!$B$112),MONTH(Premissas!$B$112),1),Premissas!$B$111,0))</f>
        <v>-284004.999921875</v>
      </c>
      <c r="AO84" s="60" t="n">
        <f aca="false">-(AO56*(1-INDEX(Premissas!$C$70:$G$70,AO$7))*IF('Ajuste Mensal'!AO$22="",INDEX(Premissas!$C$68:$G$68,AO$7),'Ajuste Mensal'!AO$22)+IF(AO$4&gt;=Premissas!$B$110,IF('Ajuste Mensal'!AO$32="",INDEX(Premissas!$C$109:$G$109,AO$7),'Ajuste Mensal'!AO$32),0)+IF(AO$4=DATE(YEAR(Premissas!$B$112),MONTH(Premissas!$B$112),1),Premissas!$B$111,0))</f>
        <v>-284004.999921875</v>
      </c>
      <c r="AP84" s="60" t="n">
        <f aca="false">-(AP56*(1-INDEX(Premissas!$C$70:$G$70,AP$7))*IF('Ajuste Mensal'!AP$22="",INDEX(Premissas!$C$68:$G$68,AP$7),'Ajuste Mensal'!AP$22)+IF(AP$4&gt;=Premissas!$B$110,IF('Ajuste Mensal'!AP$32="",INDEX(Premissas!$C$109:$G$109,AP$7),'Ajuste Mensal'!AP$32),0)+IF(AP$4=DATE(YEAR(Premissas!$B$112),MONTH(Premissas!$B$112),1),Premissas!$B$111,0))</f>
        <v>-284004.999921875</v>
      </c>
      <c r="AQ84" s="60" t="n">
        <f aca="false">-(AQ56*(1-INDEX(Premissas!$C$70:$G$70,AQ$7))*IF('Ajuste Mensal'!AQ$22="",INDEX(Premissas!$C$68:$G$68,AQ$7),'Ajuste Mensal'!AQ$22)+IF(AQ$4&gt;=Premissas!$B$110,IF('Ajuste Mensal'!AQ$32="",INDEX(Premissas!$C$109:$G$109,AQ$7),'Ajuste Mensal'!AQ$32),0)+IF(AQ$4=DATE(YEAR(Premissas!$B$112),MONTH(Premissas!$B$112),1),Premissas!$B$111,0))</f>
        <v>-284004.999921875</v>
      </c>
      <c r="AR84" s="60" t="n">
        <f aca="false">-(AR56*(1-INDEX(Premissas!$C$70:$G$70,AR$7))*IF('Ajuste Mensal'!AR$22="",INDEX(Premissas!$C$68:$G$68,AR$7),'Ajuste Mensal'!AR$22)+IF(AR$4&gt;=Premissas!$B$110,IF('Ajuste Mensal'!AR$32="",INDEX(Premissas!$C$109:$G$109,AR$7),'Ajuste Mensal'!AR$32),0)+IF(AR$4=DATE(YEAR(Premissas!$B$112),MONTH(Premissas!$B$112),1),Premissas!$B$111,0))</f>
        <v>-284004.999921875</v>
      </c>
      <c r="AS84" s="60" t="n">
        <f aca="false">-(AS56*(1-INDEX(Premissas!$C$70:$G$70,AS$7))*IF('Ajuste Mensal'!AS$22="",INDEX(Premissas!$C$68:$G$68,AS$7),'Ajuste Mensal'!AS$22)+IF(AS$4&gt;=Premissas!$B$110,IF('Ajuste Mensal'!AS$32="",INDEX(Premissas!$C$109:$G$109,AS$7),'Ajuste Mensal'!AS$32),0)+IF(AS$4=DATE(YEAR(Premissas!$B$112),MONTH(Premissas!$B$112),1),Premissas!$B$111,0))</f>
        <v>-284004.999921875</v>
      </c>
      <c r="AT84" s="60" t="n">
        <f aca="false">-(AT56*(1-INDEX(Premissas!$C$70:$G$70,AT$7))*IF('Ajuste Mensal'!AT$22="",INDEX(Premissas!$C$68:$G$68,AT$7),'Ajuste Mensal'!AT$22)+IF(AT$4&gt;=Premissas!$B$110,IF('Ajuste Mensal'!AT$32="",INDEX(Premissas!$C$109:$G$109,AT$7),'Ajuste Mensal'!AT$32),0)+IF(AT$4=DATE(YEAR(Premissas!$B$112),MONTH(Premissas!$B$112),1),Premissas!$B$111,0))</f>
        <v>-284004.999921875</v>
      </c>
      <c r="AU84" s="60" t="n">
        <f aca="false">-(AU56*(1-INDEX(Premissas!$C$70:$G$70,AU$7))*IF('Ajuste Mensal'!AU$22="",INDEX(Premissas!$C$68:$G$68,AU$7),'Ajuste Mensal'!AU$22)+IF(AU$4&gt;=Premissas!$B$110,IF('Ajuste Mensal'!AU$32="",INDEX(Premissas!$C$109:$G$109,AU$7),'Ajuste Mensal'!AU$32),0)+IF(AU$4=DATE(YEAR(Premissas!$B$112),MONTH(Premissas!$B$112),1),Premissas!$B$111,0))</f>
        <v>-284004.999921875</v>
      </c>
      <c r="AV84" s="60" t="n">
        <f aca="false">-(AV56*(1-INDEX(Premissas!$C$70:$G$70,AV$7))*IF('Ajuste Mensal'!AV$22="",INDEX(Premissas!$C$68:$G$68,AV$7),'Ajuste Mensal'!AV$22)+IF(AV$4&gt;=Premissas!$B$110,IF('Ajuste Mensal'!AV$32="",INDEX(Premissas!$C$109:$G$109,AV$7),'Ajuste Mensal'!AV$32),0)+IF(AV$4=DATE(YEAR(Premissas!$B$112),MONTH(Premissas!$B$112),1),Premissas!$B$111,0))</f>
        <v>-284004.999921875</v>
      </c>
      <c r="AW84" s="60" t="n">
        <f aca="false">-(AW56*(1-INDEX(Premissas!$C$70:$G$70,AW$7))*IF('Ajuste Mensal'!AW$22="",INDEX(Premissas!$C$68:$G$68,AW$7),'Ajuste Mensal'!AW$22)+IF(AW$4&gt;=Premissas!$B$110,IF('Ajuste Mensal'!AW$32="",INDEX(Premissas!$C$109:$G$109,AW$7),'Ajuste Mensal'!AW$32),0)+IF(AW$4=DATE(YEAR(Premissas!$B$112),MONTH(Premissas!$B$112),1),Premissas!$B$111,0))</f>
        <v>-284004.999921875</v>
      </c>
      <c r="AX84" s="60" t="n">
        <f aca="false">-(AX56*(1-INDEX(Premissas!$C$70:$G$70,AX$7))*IF('Ajuste Mensal'!AX$22="",INDEX(Premissas!$C$68:$G$68,AX$7),'Ajuste Mensal'!AX$22)+IF(AX$4&gt;=Premissas!$B$110,IF('Ajuste Mensal'!AX$32="",INDEX(Premissas!$C$109:$G$109,AX$7),'Ajuste Mensal'!AX$32),0)+IF(AX$4=DATE(YEAR(Premissas!$B$112),MONTH(Premissas!$B$112),1),Premissas!$B$111,0))</f>
        <v>-490395.443417969</v>
      </c>
      <c r="AY84" s="60" t="n">
        <f aca="false">-(AY56*(1-INDEX(Premissas!$C$70:$G$70,AY$7))*IF('Ajuste Mensal'!AY$22="",INDEX(Premissas!$C$68:$G$68,AY$7),'Ajuste Mensal'!AY$22)+IF(AY$4&gt;=Premissas!$B$110,IF('Ajuste Mensal'!AY$32="",INDEX(Premissas!$C$109:$G$109,AY$7),'Ajuste Mensal'!AY$32),0)+IF(AY$4=DATE(YEAR(Premissas!$B$112),MONTH(Premissas!$B$112),1),Premissas!$B$111,0))</f>
        <v>-490395.443417969</v>
      </c>
      <c r="AZ84" s="60" t="n">
        <f aca="false">-(AZ56*(1-INDEX(Premissas!$C$70:$G$70,AZ$7))*IF('Ajuste Mensal'!AZ$22="",INDEX(Premissas!$C$68:$G$68,AZ$7),'Ajuste Mensal'!AZ$22)+IF(AZ$4&gt;=Premissas!$B$110,IF('Ajuste Mensal'!AZ$32="",INDEX(Premissas!$C$109:$G$109,AZ$7),'Ajuste Mensal'!AZ$32),0)+IF(AZ$4=DATE(YEAR(Premissas!$B$112),MONTH(Premissas!$B$112),1),Premissas!$B$111,0))</f>
        <v>-490395.443417969</v>
      </c>
      <c r="BA84" s="60" t="n">
        <f aca="false">-(BA56*(1-INDEX(Premissas!$C$70:$G$70,BA$7))*IF('Ajuste Mensal'!BA$22="",INDEX(Premissas!$C$68:$G$68,BA$7),'Ajuste Mensal'!BA$22)+IF(BA$4&gt;=Premissas!$B$110,IF('Ajuste Mensal'!BA$32="",INDEX(Premissas!$C$109:$G$109,BA$7),'Ajuste Mensal'!BA$32),0)+IF(BA$4=DATE(YEAR(Premissas!$B$112),MONTH(Premissas!$B$112),1),Premissas!$B$111,0))</f>
        <v>-490395.443417969</v>
      </c>
      <c r="BB84" s="60" t="n">
        <f aca="false">-(BB56*(1-INDEX(Premissas!$C$70:$G$70,BB$7))*IF('Ajuste Mensal'!BB$22="",INDEX(Premissas!$C$68:$G$68,BB$7),'Ajuste Mensal'!BB$22)+IF(BB$4&gt;=Premissas!$B$110,IF('Ajuste Mensal'!BB$32="",INDEX(Premissas!$C$109:$G$109,BB$7),'Ajuste Mensal'!BB$32),0)+IF(BB$4=DATE(YEAR(Premissas!$B$112),MONTH(Premissas!$B$112),1),Premissas!$B$111,0))</f>
        <v>-490395.443417969</v>
      </c>
      <c r="BC84" s="60" t="n">
        <f aca="false">-(BC56*(1-INDEX(Premissas!$C$70:$G$70,BC$7))*IF('Ajuste Mensal'!BC$22="",INDEX(Premissas!$C$68:$G$68,BC$7),'Ajuste Mensal'!BC$22)+IF(BC$4&gt;=Premissas!$B$110,IF('Ajuste Mensal'!BC$32="",INDEX(Premissas!$C$109:$G$109,BC$7),'Ajuste Mensal'!BC$32),0)+IF(BC$4=DATE(YEAR(Premissas!$B$112),MONTH(Premissas!$B$112),1),Premissas!$B$111,0))</f>
        <v>-490395.443417969</v>
      </c>
      <c r="BD84" s="60" t="n">
        <f aca="false">-(BD56*(1-INDEX(Premissas!$C$70:$G$70,BD$7))*IF('Ajuste Mensal'!BD$22="",INDEX(Premissas!$C$68:$G$68,BD$7),'Ajuste Mensal'!BD$22)+IF(BD$4&gt;=Premissas!$B$110,IF('Ajuste Mensal'!BD$32="",INDEX(Premissas!$C$109:$G$109,BD$7),'Ajuste Mensal'!BD$32),0)+IF(BD$4=DATE(YEAR(Premissas!$B$112),MONTH(Premissas!$B$112),1),Premissas!$B$111,0))</f>
        <v>-490395.443417969</v>
      </c>
      <c r="BE84" s="60" t="n">
        <f aca="false">-(BE56*(1-INDEX(Premissas!$C$70:$G$70,BE$7))*IF('Ajuste Mensal'!BE$22="",INDEX(Premissas!$C$68:$G$68,BE$7),'Ajuste Mensal'!BE$22)+IF(BE$4&gt;=Premissas!$B$110,IF('Ajuste Mensal'!BE$32="",INDEX(Premissas!$C$109:$G$109,BE$7),'Ajuste Mensal'!BE$32),0)+IF(BE$4=DATE(YEAR(Premissas!$B$112),MONTH(Premissas!$B$112),1),Premissas!$B$111,0))</f>
        <v>-490395.443417969</v>
      </c>
      <c r="BF84" s="60" t="n">
        <f aca="false">-(BF56*(1-INDEX(Premissas!$C$70:$G$70,BF$7))*IF('Ajuste Mensal'!BF$22="",INDEX(Premissas!$C$68:$G$68,BF$7),'Ajuste Mensal'!BF$22)+IF(BF$4&gt;=Premissas!$B$110,IF('Ajuste Mensal'!BF$32="",INDEX(Premissas!$C$109:$G$109,BF$7),'Ajuste Mensal'!BF$32),0)+IF(BF$4=DATE(YEAR(Premissas!$B$112),MONTH(Premissas!$B$112),1),Premissas!$B$111,0))</f>
        <v>-490395.443417969</v>
      </c>
      <c r="BG84" s="60" t="n">
        <f aca="false">-(BG56*(1-INDEX(Premissas!$C$70:$G$70,BG$7))*IF('Ajuste Mensal'!BG$22="",INDEX(Premissas!$C$68:$G$68,BG$7),'Ajuste Mensal'!BG$22)+IF(BG$4&gt;=Premissas!$B$110,IF('Ajuste Mensal'!BG$32="",INDEX(Premissas!$C$109:$G$109,BG$7),'Ajuste Mensal'!BG$32),0)+IF(BG$4=DATE(YEAR(Premissas!$B$112),MONTH(Premissas!$B$112),1),Premissas!$B$111,0))</f>
        <v>-490395.443417969</v>
      </c>
      <c r="BH84" s="60" t="n">
        <f aca="false">-(BH56*(1-INDEX(Premissas!$C$70:$G$70,BH$7))*IF('Ajuste Mensal'!BH$22="",INDEX(Premissas!$C$68:$G$68,BH$7),'Ajuste Mensal'!BH$22)+IF(BH$4&gt;=Premissas!$B$110,IF('Ajuste Mensal'!BH$32="",INDEX(Premissas!$C$109:$G$109,BH$7),'Ajuste Mensal'!BH$32),0)+IF(BH$4=DATE(YEAR(Premissas!$B$112),MONTH(Premissas!$B$112),1),Premissas!$B$111,0))</f>
        <v>-490395.443417969</v>
      </c>
      <c r="BI84" s="60" t="n">
        <f aca="false">-(BI56*(1-INDEX(Premissas!$C$70:$G$70,BI$7))*IF('Ajuste Mensal'!BI$22="",INDEX(Premissas!$C$68:$G$68,BI$7),'Ajuste Mensal'!BI$22)+IF(BI$4&gt;=Premissas!$B$110,IF('Ajuste Mensal'!BI$32="",INDEX(Premissas!$C$109:$G$109,BI$7),'Ajuste Mensal'!BI$32),0)+IF(BI$4=DATE(YEAR(Premissas!$B$112),MONTH(Premissas!$B$112),1),Premissas!$B$111,0))</f>
        <v>-490395.443417969</v>
      </c>
      <c r="BJ84" s="61" t="n">
        <f aca="false">SUM(B84:BI84)</f>
        <v>-12009016.1638281</v>
      </c>
    </row>
    <row r="85" customFormat="false" ht="15" hidden="false" customHeight="false" outlineLevel="0" collapsed="false">
      <c r="A85" s="27" t="s">
        <v>736</v>
      </c>
      <c r="B85" s="60" t="n">
        <f aca="false">-IF(B$4&gt;=Premissas!$B$107,IF('Ajuste Mensal'!B$33="",INDEX(Premissas!$C$108:$G$108,B$7),'Ajuste Mensal'!B$33),0)</f>
        <v>-0</v>
      </c>
      <c r="C85" s="60" t="n">
        <f aca="false">-IF(C$4&gt;=Premissas!$B$107,IF('Ajuste Mensal'!C$33="",INDEX(Premissas!$C$108:$G$108,C$7),'Ajuste Mensal'!C$33),0)</f>
        <v>-0</v>
      </c>
      <c r="D85" s="60" t="n">
        <f aca="false">-IF(D$4&gt;=Premissas!$B$107,IF('Ajuste Mensal'!D$33="",INDEX(Premissas!$C$108:$G$108,D$7),'Ajuste Mensal'!D$33),0)</f>
        <v>-0</v>
      </c>
      <c r="E85" s="60" t="n">
        <f aca="false">-IF(E$4&gt;=Premissas!$B$107,IF('Ajuste Mensal'!E$33="",INDEX(Premissas!$C$108:$G$108,E$7),'Ajuste Mensal'!E$33),0)</f>
        <v>-1500</v>
      </c>
      <c r="F85" s="60" t="n">
        <f aca="false">-IF(F$4&gt;=Premissas!$B$107,IF('Ajuste Mensal'!F$33="",INDEX(Premissas!$C$108:$G$108,F$7),'Ajuste Mensal'!F$33),0)</f>
        <v>-1500</v>
      </c>
      <c r="G85" s="60" t="n">
        <f aca="false">-IF(G$4&gt;=Premissas!$B$107,IF('Ajuste Mensal'!G$33="",INDEX(Premissas!$C$108:$G$108,G$7),'Ajuste Mensal'!G$33),0)</f>
        <v>-1500</v>
      </c>
      <c r="H85" s="60" t="n">
        <f aca="false">-IF(H$4&gt;=Premissas!$B$107,IF('Ajuste Mensal'!H$33="",INDEX(Premissas!$C$108:$G$108,H$7),'Ajuste Mensal'!H$33),0)</f>
        <v>-1500</v>
      </c>
      <c r="I85" s="60" t="n">
        <f aca="false">-IF(I$4&gt;=Premissas!$B$107,IF('Ajuste Mensal'!I$33="",INDEX(Premissas!$C$108:$G$108,I$7),'Ajuste Mensal'!I$33),0)</f>
        <v>-1500</v>
      </c>
      <c r="J85" s="60" t="n">
        <f aca="false">-IF(J$4&gt;=Premissas!$B$107,IF('Ajuste Mensal'!J$33="",INDEX(Premissas!$C$108:$G$108,J$7),'Ajuste Mensal'!J$33),0)</f>
        <v>-1500</v>
      </c>
      <c r="K85" s="60" t="n">
        <f aca="false">-IF(K$4&gt;=Premissas!$B$107,IF('Ajuste Mensal'!K$33="",INDEX(Premissas!$C$108:$G$108,K$7),'Ajuste Mensal'!K$33),0)</f>
        <v>-1500</v>
      </c>
      <c r="L85" s="60" t="n">
        <f aca="false">-IF(L$4&gt;=Premissas!$B$107,IF('Ajuste Mensal'!L$33="",INDEX(Premissas!$C$108:$G$108,L$7),'Ajuste Mensal'!L$33),0)</f>
        <v>-1500</v>
      </c>
      <c r="M85" s="60" t="n">
        <f aca="false">-IF(M$4&gt;=Premissas!$B$107,IF('Ajuste Mensal'!M$33="",INDEX(Premissas!$C$108:$G$108,M$7),'Ajuste Mensal'!M$33),0)</f>
        <v>-1500</v>
      </c>
      <c r="N85" s="60" t="n">
        <f aca="false">-IF(N$4&gt;=Premissas!$B$107,IF('Ajuste Mensal'!N$33="",INDEX(Premissas!$C$108:$G$108,N$7),'Ajuste Mensal'!N$33),0)</f>
        <v>-6000</v>
      </c>
      <c r="O85" s="60" t="n">
        <f aca="false">-IF(O$4&gt;=Premissas!$B$107,IF('Ajuste Mensal'!O$33="",INDEX(Premissas!$C$108:$G$108,O$7),'Ajuste Mensal'!O$33),0)</f>
        <v>-6000</v>
      </c>
      <c r="P85" s="60" t="n">
        <f aca="false">-IF(P$4&gt;=Premissas!$B$107,IF('Ajuste Mensal'!P$33="",INDEX(Premissas!$C$108:$G$108,P$7),'Ajuste Mensal'!P$33),0)</f>
        <v>-6000</v>
      </c>
      <c r="Q85" s="60" t="n">
        <f aca="false">-IF(Q$4&gt;=Premissas!$B$107,IF('Ajuste Mensal'!Q$33="",INDEX(Premissas!$C$108:$G$108,Q$7),'Ajuste Mensal'!Q$33),0)</f>
        <v>-6000</v>
      </c>
      <c r="R85" s="60" t="n">
        <f aca="false">-IF(R$4&gt;=Premissas!$B$107,IF('Ajuste Mensal'!R$33="",INDEX(Premissas!$C$108:$G$108,R$7),'Ajuste Mensal'!R$33),0)</f>
        <v>-6000</v>
      </c>
      <c r="S85" s="60" t="n">
        <f aca="false">-IF(S$4&gt;=Premissas!$B$107,IF('Ajuste Mensal'!S$33="",INDEX(Premissas!$C$108:$G$108,S$7),'Ajuste Mensal'!S$33),0)</f>
        <v>-6000</v>
      </c>
      <c r="T85" s="60" t="n">
        <f aca="false">-IF(T$4&gt;=Premissas!$B$107,IF('Ajuste Mensal'!T$33="",INDEX(Premissas!$C$108:$G$108,T$7),'Ajuste Mensal'!T$33),0)</f>
        <v>-6000</v>
      </c>
      <c r="U85" s="60" t="n">
        <f aca="false">-IF(U$4&gt;=Premissas!$B$107,IF('Ajuste Mensal'!U$33="",INDEX(Premissas!$C$108:$G$108,U$7),'Ajuste Mensal'!U$33),0)</f>
        <v>-6000</v>
      </c>
      <c r="V85" s="60" t="n">
        <f aca="false">-IF(V$4&gt;=Premissas!$B$107,IF('Ajuste Mensal'!V$33="",INDEX(Premissas!$C$108:$G$108,V$7),'Ajuste Mensal'!V$33),0)</f>
        <v>-6000</v>
      </c>
      <c r="W85" s="60" t="n">
        <f aca="false">-IF(W$4&gt;=Premissas!$B$107,IF('Ajuste Mensal'!W$33="",INDEX(Premissas!$C$108:$G$108,W$7),'Ajuste Mensal'!W$33),0)</f>
        <v>-6000</v>
      </c>
      <c r="X85" s="60" t="n">
        <f aca="false">-IF(X$4&gt;=Premissas!$B$107,IF('Ajuste Mensal'!X$33="",INDEX(Premissas!$C$108:$G$108,X$7),'Ajuste Mensal'!X$33),0)</f>
        <v>-6000</v>
      </c>
      <c r="Y85" s="60" t="n">
        <f aca="false">-IF(Y$4&gt;=Premissas!$B$107,IF('Ajuste Mensal'!Y$33="",INDEX(Premissas!$C$108:$G$108,Y$7),'Ajuste Mensal'!Y$33),0)</f>
        <v>-6000</v>
      </c>
      <c r="Z85" s="60" t="n">
        <f aca="false">-IF(Z$4&gt;=Premissas!$B$107,IF('Ajuste Mensal'!Z$33="",INDEX(Premissas!$C$108:$G$108,Z$7),'Ajuste Mensal'!Z$33),0)</f>
        <v>-25000</v>
      </c>
      <c r="AA85" s="60" t="n">
        <f aca="false">-IF(AA$4&gt;=Premissas!$B$107,IF('Ajuste Mensal'!AA$33="",INDEX(Premissas!$C$108:$G$108,AA$7),'Ajuste Mensal'!AA$33),0)</f>
        <v>-25000</v>
      </c>
      <c r="AB85" s="60" t="n">
        <f aca="false">-IF(AB$4&gt;=Premissas!$B$107,IF('Ajuste Mensal'!AB$33="",INDEX(Premissas!$C$108:$G$108,AB$7),'Ajuste Mensal'!AB$33),0)</f>
        <v>-25000</v>
      </c>
      <c r="AC85" s="60" t="n">
        <f aca="false">-IF(AC$4&gt;=Premissas!$B$107,IF('Ajuste Mensal'!AC$33="",INDEX(Premissas!$C$108:$G$108,AC$7),'Ajuste Mensal'!AC$33),0)</f>
        <v>-25000</v>
      </c>
      <c r="AD85" s="60" t="n">
        <f aca="false">-IF(AD$4&gt;=Premissas!$B$107,IF('Ajuste Mensal'!AD$33="",INDEX(Premissas!$C$108:$G$108,AD$7),'Ajuste Mensal'!AD$33),0)</f>
        <v>-25000</v>
      </c>
      <c r="AE85" s="60" t="n">
        <f aca="false">-IF(AE$4&gt;=Premissas!$B$107,IF('Ajuste Mensal'!AE$33="",INDEX(Premissas!$C$108:$G$108,AE$7),'Ajuste Mensal'!AE$33),0)</f>
        <v>-25000</v>
      </c>
      <c r="AF85" s="60" t="n">
        <f aca="false">-IF(AF$4&gt;=Premissas!$B$107,IF('Ajuste Mensal'!AF$33="",INDEX(Premissas!$C$108:$G$108,AF$7),'Ajuste Mensal'!AF$33),0)</f>
        <v>-25000</v>
      </c>
      <c r="AG85" s="60" t="n">
        <f aca="false">-IF(AG$4&gt;=Premissas!$B$107,IF('Ajuste Mensal'!AG$33="",INDEX(Premissas!$C$108:$G$108,AG$7),'Ajuste Mensal'!AG$33),0)</f>
        <v>-25000</v>
      </c>
      <c r="AH85" s="60" t="n">
        <f aca="false">-IF(AH$4&gt;=Premissas!$B$107,IF('Ajuste Mensal'!AH$33="",INDEX(Premissas!$C$108:$G$108,AH$7),'Ajuste Mensal'!AH$33),0)</f>
        <v>-25000</v>
      </c>
      <c r="AI85" s="60" t="n">
        <f aca="false">-IF(AI$4&gt;=Premissas!$B$107,IF('Ajuste Mensal'!AI$33="",INDEX(Premissas!$C$108:$G$108,AI$7),'Ajuste Mensal'!AI$33),0)</f>
        <v>-25000</v>
      </c>
      <c r="AJ85" s="60" t="n">
        <f aca="false">-IF(AJ$4&gt;=Premissas!$B$107,IF('Ajuste Mensal'!AJ$33="",INDEX(Premissas!$C$108:$G$108,AJ$7),'Ajuste Mensal'!AJ$33),0)</f>
        <v>-25000</v>
      </c>
      <c r="AK85" s="60" t="n">
        <f aca="false">-IF(AK$4&gt;=Premissas!$B$107,IF('Ajuste Mensal'!AK$33="",INDEX(Premissas!$C$108:$G$108,AK$7),'Ajuste Mensal'!AK$33),0)</f>
        <v>-25000</v>
      </c>
      <c r="AL85" s="60" t="n">
        <f aca="false">-IF(AL$4&gt;=Premissas!$B$107,IF('Ajuste Mensal'!AL$33="",INDEX(Premissas!$C$108:$G$108,AL$7),'Ajuste Mensal'!AL$33),0)</f>
        <v>-60000</v>
      </c>
      <c r="AM85" s="60" t="n">
        <f aca="false">-IF(AM$4&gt;=Premissas!$B$107,IF('Ajuste Mensal'!AM$33="",INDEX(Premissas!$C$108:$G$108,AM$7),'Ajuste Mensal'!AM$33),0)</f>
        <v>-60000</v>
      </c>
      <c r="AN85" s="60" t="n">
        <f aca="false">-IF(AN$4&gt;=Premissas!$B$107,IF('Ajuste Mensal'!AN$33="",INDEX(Premissas!$C$108:$G$108,AN$7),'Ajuste Mensal'!AN$33),0)</f>
        <v>-60000</v>
      </c>
      <c r="AO85" s="60" t="n">
        <f aca="false">-IF(AO$4&gt;=Premissas!$B$107,IF('Ajuste Mensal'!AO$33="",INDEX(Premissas!$C$108:$G$108,AO$7),'Ajuste Mensal'!AO$33),0)</f>
        <v>-60000</v>
      </c>
      <c r="AP85" s="60" t="n">
        <f aca="false">-IF(AP$4&gt;=Premissas!$B$107,IF('Ajuste Mensal'!AP$33="",INDEX(Premissas!$C$108:$G$108,AP$7),'Ajuste Mensal'!AP$33),0)</f>
        <v>-60000</v>
      </c>
      <c r="AQ85" s="60" t="n">
        <f aca="false">-IF(AQ$4&gt;=Premissas!$B$107,IF('Ajuste Mensal'!AQ$33="",INDEX(Premissas!$C$108:$G$108,AQ$7),'Ajuste Mensal'!AQ$33),0)</f>
        <v>-60000</v>
      </c>
      <c r="AR85" s="60" t="n">
        <f aca="false">-IF(AR$4&gt;=Premissas!$B$107,IF('Ajuste Mensal'!AR$33="",INDEX(Premissas!$C$108:$G$108,AR$7),'Ajuste Mensal'!AR$33),0)</f>
        <v>-60000</v>
      </c>
      <c r="AS85" s="60" t="n">
        <f aca="false">-IF(AS$4&gt;=Premissas!$B$107,IF('Ajuste Mensal'!AS$33="",INDEX(Premissas!$C$108:$G$108,AS$7),'Ajuste Mensal'!AS$33),0)</f>
        <v>-60000</v>
      </c>
      <c r="AT85" s="60" t="n">
        <f aca="false">-IF(AT$4&gt;=Premissas!$B$107,IF('Ajuste Mensal'!AT$33="",INDEX(Premissas!$C$108:$G$108,AT$7),'Ajuste Mensal'!AT$33),0)</f>
        <v>-60000</v>
      </c>
      <c r="AU85" s="60" t="n">
        <f aca="false">-IF(AU$4&gt;=Premissas!$B$107,IF('Ajuste Mensal'!AU$33="",INDEX(Premissas!$C$108:$G$108,AU$7),'Ajuste Mensal'!AU$33),0)</f>
        <v>-60000</v>
      </c>
      <c r="AV85" s="60" t="n">
        <f aca="false">-IF(AV$4&gt;=Premissas!$B$107,IF('Ajuste Mensal'!AV$33="",INDEX(Premissas!$C$108:$G$108,AV$7),'Ajuste Mensal'!AV$33),0)</f>
        <v>-60000</v>
      </c>
      <c r="AW85" s="60" t="n">
        <f aca="false">-IF(AW$4&gt;=Premissas!$B$107,IF('Ajuste Mensal'!AW$33="",INDEX(Premissas!$C$108:$G$108,AW$7),'Ajuste Mensal'!AW$33),0)</f>
        <v>-60000</v>
      </c>
      <c r="AX85" s="60" t="n">
        <f aca="false">-IF(AX$4&gt;=Premissas!$B$107,IF('Ajuste Mensal'!AX$33="",INDEX(Premissas!$C$108:$G$108,AX$7),'Ajuste Mensal'!AX$33),0)</f>
        <v>-110000</v>
      </c>
      <c r="AY85" s="60" t="n">
        <f aca="false">-IF(AY$4&gt;=Premissas!$B$107,IF('Ajuste Mensal'!AY$33="",INDEX(Premissas!$C$108:$G$108,AY$7),'Ajuste Mensal'!AY$33),0)</f>
        <v>-110000</v>
      </c>
      <c r="AZ85" s="60" t="n">
        <f aca="false">-IF(AZ$4&gt;=Premissas!$B$107,IF('Ajuste Mensal'!AZ$33="",INDEX(Premissas!$C$108:$G$108,AZ$7),'Ajuste Mensal'!AZ$33),0)</f>
        <v>-110000</v>
      </c>
      <c r="BA85" s="60" t="n">
        <f aca="false">-IF(BA$4&gt;=Premissas!$B$107,IF('Ajuste Mensal'!BA$33="",INDEX(Premissas!$C$108:$G$108,BA$7),'Ajuste Mensal'!BA$33),0)</f>
        <v>-110000</v>
      </c>
      <c r="BB85" s="60" t="n">
        <f aca="false">-IF(BB$4&gt;=Premissas!$B$107,IF('Ajuste Mensal'!BB$33="",INDEX(Premissas!$C$108:$G$108,BB$7),'Ajuste Mensal'!BB$33),0)</f>
        <v>-110000</v>
      </c>
      <c r="BC85" s="60" t="n">
        <f aca="false">-IF(BC$4&gt;=Premissas!$B$107,IF('Ajuste Mensal'!BC$33="",INDEX(Premissas!$C$108:$G$108,BC$7),'Ajuste Mensal'!BC$33),0)</f>
        <v>-110000</v>
      </c>
      <c r="BD85" s="60" t="n">
        <f aca="false">-IF(BD$4&gt;=Premissas!$B$107,IF('Ajuste Mensal'!BD$33="",INDEX(Premissas!$C$108:$G$108,BD$7),'Ajuste Mensal'!BD$33),0)</f>
        <v>-110000</v>
      </c>
      <c r="BE85" s="60" t="n">
        <f aca="false">-IF(BE$4&gt;=Premissas!$B$107,IF('Ajuste Mensal'!BE$33="",INDEX(Premissas!$C$108:$G$108,BE$7),'Ajuste Mensal'!BE$33),0)</f>
        <v>-110000</v>
      </c>
      <c r="BF85" s="60" t="n">
        <f aca="false">-IF(BF$4&gt;=Premissas!$B$107,IF('Ajuste Mensal'!BF$33="",INDEX(Premissas!$C$108:$G$108,BF$7),'Ajuste Mensal'!BF$33),0)</f>
        <v>-110000</v>
      </c>
      <c r="BG85" s="60" t="n">
        <f aca="false">-IF(BG$4&gt;=Premissas!$B$107,IF('Ajuste Mensal'!BG$33="",INDEX(Premissas!$C$108:$G$108,BG$7),'Ajuste Mensal'!BG$33),0)</f>
        <v>-110000</v>
      </c>
      <c r="BH85" s="60" t="n">
        <f aca="false">-IF(BH$4&gt;=Premissas!$B$107,IF('Ajuste Mensal'!BH$33="",INDEX(Premissas!$C$108:$G$108,BH$7),'Ajuste Mensal'!BH$33),0)</f>
        <v>-110000</v>
      </c>
      <c r="BI85" s="60" t="n">
        <f aca="false">-IF(BI$4&gt;=Premissas!$B$107,IF('Ajuste Mensal'!BI$33="",INDEX(Premissas!$C$108:$G$108,BI$7),'Ajuste Mensal'!BI$33),0)</f>
        <v>-110000</v>
      </c>
      <c r="BJ85" s="61" t="n">
        <f aca="false">SUM(B85:BI85)</f>
        <v>-2425500</v>
      </c>
    </row>
    <row r="86" customFormat="false" ht="15" hidden="false" customHeight="false" outlineLevel="0" collapsed="false">
      <c r="A86" s="62" t="s">
        <v>883</v>
      </c>
      <c r="B86" s="61" t="n">
        <f aca="false">SUM(B80:B85)</f>
        <v>0</v>
      </c>
      <c r="C86" s="61" t="n">
        <f aca="false">SUM(C80:C85)</f>
        <v>0</v>
      </c>
      <c r="D86" s="61" t="n">
        <f aca="false">SUM(D80:D85)</f>
        <v>0</v>
      </c>
      <c r="E86" s="61" t="n">
        <f aca="false">SUM(E80:E85)</f>
        <v>-1500</v>
      </c>
      <c r="F86" s="61" t="n">
        <f aca="false">SUM(F80:F85)</f>
        <v>-2100</v>
      </c>
      <c r="G86" s="61" t="n">
        <f aca="false">SUM(G80:G85)</f>
        <v>-2100</v>
      </c>
      <c r="H86" s="61" t="n">
        <f aca="false">SUM(H80:H85)</f>
        <v>-2100</v>
      </c>
      <c r="I86" s="61" t="n">
        <f aca="false">SUM(I80:I85)</f>
        <v>-2100</v>
      </c>
      <c r="J86" s="61" t="n">
        <f aca="false">SUM(J80:J85)</f>
        <v>-2100</v>
      </c>
      <c r="K86" s="61" t="n">
        <f aca="false">SUM(K80:K85)</f>
        <v>-60277.597325</v>
      </c>
      <c r="L86" s="61" t="n">
        <f aca="false">SUM(L80:L85)</f>
        <v>-30340.277425</v>
      </c>
      <c r="M86" s="61" t="n">
        <f aca="false">SUM(M80:M85)</f>
        <v>-22359.4027</v>
      </c>
      <c r="N86" s="61" t="n">
        <f aca="false">SUM(N80:N85)</f>
        <v>-82536.084140096</v>
      </c>
      <c r="O86" s="61" t="n">
        <f aca="false">SUM(O80:O85)</f>
        <v>-60462.6504405144</v>
      </c>
      <c r="P86" s="61" t="n">
        <f aca="false">SUM(P80:P85)</f>
        <v>-34677.7166693253</v>
      </c>
      <c r="Q86" s="61" t="n">
        <f aca="false">SUM(Q80:Q85)</f>
        <v>748.149334396288</v>
      </c>
      <c r="R86" s="61" t="n">
        <f aca="false">SUM(R80:R85)</f>
        <v>14030.5429011624</v>
      </c>
      <c r="S86" s="61" t="n">
        <f aca="false">SUM(S80:S85)</f>
        <v>26634.9387105428</v>
      </c>
      <c r="T86" s="61" t="n">
        <f aca="false">SUM(T80:T85)</f>
        <v>37968.1338671606</v>
      </c>
      <c r="U86" s="61" t="n">
        <f aca="false">SUM(U80:U85)</f>
        <v>48679.9374113119</v>
      </c>
      <c r="V86" s="61" t="n">
        <f aca="false">SUM(V80:V85)</f>
        <v>58687.6587597899</v>
      </c>
      <c r="W86" s="61" t="n">
        <f aca="false">SUM(W80:W85)</f>
        <v>98074.9967503871</v>
      </c>
      <c r="X86" s="61" t="n">
        <f aca="false">SUM(X80:X85)</f>
        <v>106560.408197883</v>
      </c>
      <c r="Y86" s="61" t="n">
        <f aca="false">SUM(Y80:Y85)</f>
        <v>114661.083664888</v>
      </c>
      <c r="Z86" s="61" t="n">
        <f aca="false">SUM(Z80:Z85)</f>
        <v>18687.5254345684</v>
      </c>
      <c r="AA86" s="61" t="n">
        <f aca="false">SUM(AA80:AA85)</f>
        <v>43642.1443700059</v>
      </c>
      <c r="AB86" s="61" t="n">
        <f aca="false">SUM(AB80:AB85)</f>
        <v>97347.7592970599</v>
      </c>
      <c r="AC86" s="61" t="n">
        <f aca="false">SUM(AC80:AC85)</f>
        <v>112129.656385275</v>
      </c>
      <c r="AD86" s="61" t="n">
        <f aca="false">SUM(AD80:AD85)</f>
        <v>126459.666654933</v>
      </c>
      <c r="AE86" s="61" t="n">
        <f aca="false">SUM(AE80:AE85)</f>
        <v>166149.204392503</v>
      </c>
      <c r="AF86" s="61" t="n">
        <f aca="false">SUM(AF80:AF85)</f>
        <v>223576.681053268</v>
      </c>
      <c r="AG86" s="61" t="n">
        <f aca="false">SUM(AG80:AG85)</f>
        <v>242022.614555219</v>
      </c>
      <c r="AH86" s="61" t="n">
        <f aca="false">SUM(AH80:AH85)</f>
        <v>259149.305547794</v>
      </c>
      <c r="AI86" s="61" t="n">
        <f aca="false">SUM(AI80:AI85)</f>
        <v>275032.681415081</v>
      </c>
      <c r="AJ86" s="61" t="n">
        <f aca="false">SUM(AJ80:AJ85)</f>
        <v>289793.665154697</v>
      </c>
      <c r="AK86" s="61" t="n">
        <f aca="false">SUM(AK80:AK85)</f>
        <v>303538.928595178</v>
      </c>
      <c r="AL86" s="61" t="n">
        <f aca="false">SUM(AL80:AL85)</f>
        <v>193281.069595745</v>
      </c>
      <c r="AM86" s="61" t="n">
        <f aca="false">SUM(AM80:AM85)</f>
        <v>241264.091277586</v>
      </c>
      <c r="AN86" s="61" t="n">
        <f aca="false">SUM(AN80:AN85)</f>
        <v>286021.752721011</v>
      </c>
      <c r="AO86" s="61" t="n">
        <f aca="false">SUM(AO80:AO85)</f>
        <v>327796.370036885</v>
      </c>
      <c r="AP86" s="61" t="n">
        <f aca="false">SUM(AP80:AP85)</f>
        <v>366834.853894451</v>
      </c>
      <c r="AQ86" s="61" t="n">
        <f aca="false">SUM(AQ80:AQ85)</f>
        <v>403250.084927172</v>
      </c>
      <c r="AR86" s="61" t="n">
        <f aca="false">SUM(AR80:AR85)</f>
        <v>437269.962858331</v>
      </c>
      <c r="AS86" s="61" t="n">
        <f aca="false">SUM(AS80:AS85)</f>
        <v>469025.236123271</v>
      </c>
      <c r="AT86" s="61" t="n">
        <f aca="false">SUM(AT80:AT85)</f>
        <v>498629.719593926</v>
      </c>
      <c r="AU86" s="61" t="n">
        <f aca="false">SUM(AU80:AU85)</f>
        <v>526311.087340185</v>
      </c>
      <c r="AV86" s="61" t="n">
        <f aca="false">SUM(AV80:AV85)</f>
        <v>552152.255254512</v>
      </c>
      <c r="AW86" s="61" t="n">
        <f aca="false">SUM(AW80:AW85)</f>
        <v>576281.906600859</v>
      </c>
      <c r="AX86" s="61" t="n">
        <f aca="false">SUM(AX80:AX85)</f>
        <v>514279.293681611</v>
      </c>
      <c r="AY86" s="61" t="n">
        <f aca="false">SUM(AY80:AY85)</f>
        <v>600280.917295195</v>
      </c>
      <c r="AZ86" s="61" t="n">
        <f aca="false">SUM(AZ80:AZ85)</f>
        <v>680891.443337492</v>
      </c>
      <c r="BA86" s="61" t="n">
        <f aca="false">SUM(BA80:BA85)</f>
        <v>756458.513055719</v>
      </c>
      <c r="BB86" s="61" t="n">
        <f aca="false">SUM(BB80:BB85)</f>
        <v>827377.425798232</v>
      </c>
      <c r="BC86" s="61" t="n">
        <f aca="false">SUM(BC80:BC85)</f>
        <v>893807.547772502</v>
      </c>
      <c r="BD86" s="61" t="n">
        <f aca="false">SUM(BD80:BD85)</f>
        <v>956094.42062881</v>
      </c>
      <c r="BE86" s="61" t="n">
        <f aca="false">SUM(BE80:BE85)</f>
        <v>1014463.94817595</v>
      </c>
      <c r="BF86" s="61" t="n">
        <f aca="false">SUM(BF80:BF85)</f>
        <v>1069278.18469349</v>
      </c>
      <c r="BG86" s="61" t="n">
        <f aca="false">SUM(BG80:BG85)</f>
        <v>1120558.26938187</v>
      </c>
      <c r="BH86" s="61" t="n">
        <f aca="false">SUM(BH80:BH85)</f>
        <v>1168681.65716291</v>
      </c>
      <c r="BI86" s="61" t="n">
        <f aca="false">SUM(BI80:BI85)</f>
        <v>1213823.41056656</v>
      </c>
      <c r="BJ86" s="61" t="n">
        <f aca="false">SUM(B86:BI86)</f>
        <v>18055035.3755274</v>
      </c>
    </row>
    <row r="87" customFormat="false" ht="15" hidden="false" customHeight="false" outlineLevel="0" collapsed="false">
      <c r="A87" s="27" t="s">
        <v>884</v>
      </c>
      <c r="B87" s="60" t="n">
        <f aca="false">-Investimentos!B25</f>
        <v>-0</v>
      </c>
      <c r="C87" s="60" t="n">
        <f aca="false">-Investimentos!C25</f>
        <v>-0</v>
      </c>
      <c r="D87" s="60" t="n">
        <f aca="false">-Investimentos!D25</f>
        <v>-0</v>
      </c>
      <c r="E87" s="60" t="n">
        <f aca="false">-Investimentos!E25</f>
        <v>-0</v>
      </c>
      <c r="F87" s="60" t="n">
        <f aca="false">-Investimentos!F25</f>
        <v>-6000</v>
      </c>
      <c r="G87" s="60" t="n">
        <f aca="false">-Investimentos!G25</f>
        <v>-0</v>
      </c>
      <c r="H87" s="60" t="n">
        <f aca="false">-Investimentos!H25</f>
        <v>-0</v>
      </c>
      <c r="I87" s="60" t="n">
        <f aca="false">-Investimentos!I25</f>
        <v>-9127.82</v>
      </c>
      <c r="J87" s="60" t="n">
        <f aca="false">-Investimentos!J25</f>
        <v>-10500</v>
      </c>
      <c r="K87" s="60" t="n">
        <f aca="false">-Investimentos!K25</f>
        <v>-10500</v>
      </c>
      <c r="L87" s="60" t="n">
        <f aca="false">-Investimentos!L25</f>
        <v>-0</v>
      </c>
      <c r="M87" s="60" t="n">
        <f aca="false">-Investimentos!M25</f>
        <v>-0</v>
      </c>
      <c r="N87" s="60" t="n">
        <f aca="false">-Investimentos!N25</f>
        <v>-0</v>
      </c>
      <c r="O87" s="60" t="n">
        <f aca="false">-Investimentos!O25</f>
        <v>-0</v>
      </c>
      <c r="P87" s="60" t="n">
        <f aca="false">-Investimentos!P25</f>
        <v>-12000</v>
      </c>
      <c r="Q87" s="60" t="n">
        <f aca="false">-Investimentos!Q25</f>
        <v>-0</v>
      </c>
      <c r="R87" s="60" t="n">
        <f aca="false">-Investimentos!R25</f>
        <v>-0</v>
      </c>
      <c r="S87" s="60" t="n">
        <f aca="false">-Investimentos!S25</f>
        <v>-6000</v>
      </c>
      <c r="T87" s="60" t="n">
        <f aca="false">-Investimentos!T25</f>
        <v>-25000</v>
      </c>
      <c r="U87" s="60" t="n">
        <f aca="false">-Investimentos!U25</f>
        <v>-0</v>
      </c>
      <c r="V87" s="60" t="n">
        <f aca="false">-Investimentos!V25</f>
        <v>-0</v>
      </c>
      <c r="W87" s="60" t="n">
        <f aca="false">-Investimentos!W25</f>
        <v>-0</v>
      </c>
      <c r="X87" s="60" t="n">
        <f aca="false">-Investimentos!X25</f>
        <v>-0</v>
      </c>
      <c r="Y87" s="60" t="n">
        <f aca="false">-Investimentos!Y25</f>
        <v>-0</v>
      </c>
      <c r="Z87" s="60" t="n">
        <f aca="false">-Investimentos!Z25</f>
        <v>-0</v>
      </c>
      <c r="AA87" s="60" t="n">
        <f aca="false">-Investimentos!AA25</f>
        <v>-0</v>
      </c>
      <c r="AB87" s="60" t="n">
        <f aca="false">-Investimentos!AB25</f>
        <v>-0</v>
      </c>
      <c r="AC87" s="60" t="n">
        <f aca="false">-Investimentos!AC25</f>
        <v>-0</v>
      </c>
      <c r="AD87" s="60" t="n">
        <f aca="false">-Investimentos!AD25</f>
        <v>-0</v>
      </c>
      <c r="AE87" s="60" t="n">
        <f aca="false">-Investimentos!AE25</f>
        <v>-15000</v>
      </c>
      <c r="AF87" s="60" t="n">
        <f aca="false">-Investimentos!AF25</f>
        <v>-0</v>
      </c>
      <c r="AG87" s="60" t="n">
        <f aca="false">-Investimentos!AG25</f>
        <v>-0</v>
      </c>
      <c r="AH87" s="60" t="n">
        <f aca="false">-Investimentos!AH25</f>
        <v>-0</v>
      </c>
      <c r="AI87" s="60" t="n">
        <f aca="false">-Investimentos!AI25</f>
        <v>-0</v>
      </c>
      <c r="AJ87" s="60" t="n">
        <f aca="false">-Investimentos!AJ25</f>
        <v>-0</v>
      </c>
      <c r="AK87" s="60" t="n">
        <f aca="false">-Investimentos!AK25</f>
        <v>-0</v>
      </c>
      <c r="AL87" s="60" t="n">
        <f aca="false">-Investimentos!AL25</f>
        <v>-0</v>
      </c>
      <c r="AM87" s="60" t="n">
        <f aca="false">-Investimentos!AM25</f>
        <v>-0</v>
      </c>
      <c r="AN87" s="60" t="n">
        <f aca="false">-Investimentos!AN25</f>
        <v>-0</v>
      </c>
      <c r="AO87" s="60" t="n">
        <f aca="false">-Investimentos!AO25</f>
        <v>-0</v>
      </c>
      <c r="AP87" s="60" t="n">
        <f aca="false">-Investimentos!AP25</f>
        <v>-0</v>
      </c>
      <c r="AQ87" s="60" t="n">
        <f aca="false">-Investimentos!AQ25</f>
        <v>-25000</v>
      </c>
      <c r="AR87" s="60" t="n">
        <f aca="false">-Investimentos!AR25</f>
        <v>-0</v>
      </c>
      <c r="AS87" s="60" t="n">
        <f aca="false">-Investimentos!AS25</f>
        <v>-0</v>
      </c>
      <c r="AT87" s="60" t="n">
        <f aca="false">-Investimentos!AT25</f>
        <v>-0</v>
      </c>
      <c r="AU87" s="60" t="n">
        <f aca="false">-Investimentos!AU25</f>
        <v>-0</v>
      </c>
      <c r="AV87" s="60" t="n">
        <f aca="false">-Investimentos!AV25</f>
        <v>-0</v>
      </c>
      <c r="AW87" s="60" t="n">
        <f aca="false">-Investimentos!AW25</f>
        <v>-0</v>
      </c>
      <c r="AX87" s="60" t="n">
        <f aca="false">-Investimentos!AX25</f>
        <v>-0</v>
      </c>
      <c r="AY87" s="60" t="n">
        <f aca="false">-Investimentos!AY25</f>
        <v>-0</v>
      </c>
      <c r="AZ87" s="60" t="n">
        <f aca="false">-Investimentos!AZ25</f>
        <v>-0</v>
      </c>
      <c r="BA87" s="60" t="n">
        <f aca="false">-Investimentos!BA25</f>
        <v>-0</v>
      </c>
      <c r="BB87" s="60" t="n">
        <f aca="false">-Investimentos!BB25</f>
        <v>-0</v>
      </c>
      <c r="BC87" s="60" t="n">
        <f aca="false">-Investimentos!BC25</f>
        <v>-30000</v>
      </c>
      <c r="BD87" s="60" t="n">
        <f aca="false">-Investimentos!BD25</f>
        <v>-0</v>
      </c>
      <c r="BE87" s="60" t="n">
        <f aca="false">-Investimentos!BE25</f>
        <v>-0</v>
      </c>
      <c r="BF87" s="60" t="n">
        <f aca="false">-Investimentos!BF25</f>
        <v>-0</v>
      </c>
      <c r="BG87" s="60" t="n">
        <f aca="false">-Investimentos!BG25</f>
        <v>-0</v>
      </c>
      <c r="BH87" s="60" t="n">
        <f aca="false">-Investimentos!BH25</f>
        <v>-0</v>
      </c>
      <c r="BI87" s="60" t="n">
        <f aca="false">-Investimentos!BI25</f>
        <v>-0</v>
      </c>
      <c r="BJ87" s="61" t="n">
        <f aca="false">SUM(B87:BI87)</f>
        <v>-149127.82</v>
      </c>
    </row>
    <row r="88" customFormat="false" ht="15" hidden="false" customHeight="false" outlineLevel="0" collapsed="false">
      <c r="A88" s="62" t="s">
        <v>785</v>
      </c>
      <c r="B88" s="61" t="n">
        <f aca="false">B86+B87</f>
        <v>0</v>
      </c>
      <c r="C88" s="61" t="n">
        <f aca="false">C86+C87</f>
        <v>0</v>
      </c>
      <c r="D88" s="61" t="n">
        <f aca="false">D86+D87</f>
        <v>0</v>
      </c>
      <c r="E88" s="61" t="n">
        <f aca="false">E86+E87</f>
        <v>-1500</v>
      </c>
      <c r="F88" s="61" t="n">
        <f aca="false">F86+F87</f>
        <v>-8100</v>
      </c>
      <c r="G88" s="61" t="n">
        <f aca="false">G86+G87</f>
        <v>-2100</v>
      </c>
      <c r="H88" s="61" t="n">
        <f aca="false">H86+H87</f>
        <v>-2100</v>
      </c>
      <c r="I88" s="61" t="n">
        <f aca="false">I86+I87</f>
        <v>-11227.82</v>
      </c>
      <c r="J88" s="61" t="n">
        <f aca="false">J86+J87</f>
        <v>-12600</v>
      </c>
      <c r="K88" s="61" t="n">
        <f aca="false">K86+K87</f>
        <v>-70777.597325</v>
      </c>
      <c r="L88" s="61" t="n">
        <f aca="false">L86+L87</f>
        <v>-30340.277425</v>
      </c>
      <c r="M88" s="61" t="n">
        <f aca="false">M86+M87</f>
        <v>-22359.4027</v>
      </c>
      <c r="N88" s="61" t="n">
        <f aca="false">N86+N87</f>
        <v>-82536.084140096</v>
      </c>
      <c r="O88" s="61" t="n">
        <f aca="false">O86+O87</f>
        <v>-60462.6504405144</v>
      </c>
      <c r="P88" s="61" t="n">
        <f aca="false">P86+P87</f>
        <v>-46677.7166693253</v>
      </c>
      <c r="Q88" s="61" t="n">
        <f aca="false">Q86+Q87</f>
        <v>748.149334396288</v>
      </c>
      <c r="R88" s="61" t="n">
        <f aca="false">R86+R87</f>
        <v>14030.5429011624</v>
      </c>
      <c r="S88" s="61" t="n">
        <f aca="false">S86+S87</f>
        <v>20634.9387105428</v>
      </c>
      <c r="T88" s="61" t="n">
        <f aca="false">T86+T87</f>
        <v>12968.1338671606</v>
      </c>
      <c r="U88" s="61" t="n">
        <f aca="false">U86+U87</f>
        <v>48679.9374113119</v>
      </c>
      <c r="V88" s="61" t="n">
        <f aca="false">V86+V87</f>
        <v>58687.6587597899</v>
      </c>
      <c r="W88" s="61" t="n">
        <f aca="false">W86+W87</f>
        <v>98074.9967503871</v>
      </c>
      <c r="X88" s="61" t="n">
        <f aca="false">X86+X87</f>
        <v>106560.408197883</v>
      </c>
      <c r="Y88" s="61" t="n">
        <f aca="false">Y86+Y87</f>
        <v>114661.083664888</v>
      </c>
      <c r="Z88" s="61" t="n">
        <f aca="false">Z86+Z87</f>
        <v>18687.5254345684</v>
      </c>
      <c r="AA88" s="61" t="n">
        <f aca="false">AA86+AA87</f>
        <v>43642.1443700059</v>
      </c>
      <c r="AB88" s="61" t="n">
        <f aca="false">AB86+AB87</f>
        <v>97347.7592970599</v>
      </c>
      <c r="AC88" s="61" t="n">
        <f aca="false">AC86+AC87</f>
        <v>112129.656385275</v>
      </c>
      <c r="AD88" s="61" t="n">
        <f aca="false">AD86+AD87</f>
        <v>126459.666654933</v>
      </c>
      <c r="AE88" s="61" t="n">
        <f aca="false">AE86+AE87</f>
        <v>151149.204392503</v>
      </c>
      <c r="AF88" s="61" t="n">
        <f aca="false">AF86+AF87</f>
        <v>223576.681053268</v>
      </c>
      <c r="AG88" s="61" t="n">
        <f aca="false">AG86+AG87</f>
        <v>242022.614555219</v>
      </c>
      <c r="AH88" s="61" t="n">
        <f aca="false">AH86+AH87</f>
        <v>259149.305547794</v>
      </c>
      <c r="AI88" s="61" t="n">
        <f aca="false">AI86+AI87</f>
        <v>275032.681415081</v>
      </c>
      <c r="AJ88" s="61" t="n">
        <f aca="false">AJ86+AJ87</f>
        <v>289793.665154697</v>
      </c>
      <c r="AK88" s="61" t="n">
        <f aca="false">AK86+AK87</f>
        <v>303538.928595178</v>
      </c>
      <c r="AL88" s="61" t="n">
        <f aca="false">AL86+AL87</f>
        <v>193281.069595745</v>
      </c>
      <c r="AM88" s="61" t="n">
        <f aca="false">AM86+AM87</f>
        <v>241264.091277586</v>
      </c>
      <c r="AN88" s="61" t="n">
        <f aca="false">AN86+AN87</f>
        <v>286021.752721011</v>
      </c>
      <c r="AO88" s="61" t="n">
        <f aca="false">AO86+AO87</f>
        <v>327796.370036885</v>
      </c>
      <c r="AP88" s="61" t="n">
        <f aca="false">AP86+AP87</f>
        <v>366834.853894451</v>
      </c>
      <c r="AQ88" s="61" t="n">
        <f aca="false">AQ86+AQ87</f>
        <v>378250.084927172</v>
      </c>
      <c r="AR88" s="61" t="n">
        <f aca="false">AR86+AR87</f>
        <v>437269.962858331</v>
      </c>
      <c r="AS88" s="61" t="n">
        <f aca="false">AS86+AS87</f>
        <v>469025.236123271</v>
      </c>
      <c r="AT88" s="61" t="n">
        <f aca="false">AT86+AT87</f>
        <v>498629.719593926</v>
      </c>
      <c r="AU88" s="61" t="n">
        <f aca="false">AU86+AU87</f>
        <v>526311.087340185</v>
      </c>
      <c r="AV88" s="61" t="n">
        <f aca="false">AV86+AV87</f>
        <v>552152.255254512</v>
      </c>
      <c r="AW88" s="61" t="n">
        <f aca="false">AW86+AW87</f>
        <v>576281.906600859</v>
      </c>
      <c r="AX88" s="61" t="n">
        <f aca="false">AX86+AX87</f>
        <v>514279.293681611</v>
      </c>
      <c r="AY88" s="61" t="n">
        <f aca="false">AY86+AY87</f>
        <v>600280.917295195</v>
      </c>
      <c r="AZ88" s="61" t="n">
        <f aca="false">AZ86+AZ87</f>
        <v>680891.443337492</v>
      </c>
      <c r="BA88" s="61" t="n">
        <f aca="false">BA86+BA87</f>
        <v>756458.513055719</v>
      </c>
      <c r="BB88" s="61" t="n">
        <f aca="false">BB86+BB87</f>
        <v>827377.425798232</v>
      </c>
      <c r="BC88" s="61" t="n">
        <f aca="false">BC86+BC87</f>
        <v>863807.547772502</v>
      </c>
      <c r="BD88" s="61" t="n">
        <f aca="false">BD86+BD87</f>
        <v>956094.42062881</v>
      </c>
      <c r="BE88" s="61" t="n">
        <f aca="false">BE86+BE87</f>
        <v>1014463.94817595</v>
      </c>
      <c r="BF88" s="61" t="n">
        <f aca="false">BF86+BF87</f>
        <v>1069278.18469349</v>
      </c>
      <c r="BG88" s="61" t="n">
        <f aca="false">BG86+BG87</f>
        <v>1120558.26938187</v>
      </c>
      <c r="BH88" s="61" t="n">
        <f aca="false">BH86+BH87</f>
        <v>1168681.65716291</v>
      </c>
      <c r="BI88" s="61" t="n">
        <f aca="false">BI86+BI87</f>
        <v>1213823.41056656</v>
      </c>
      <c r="BJ88" s="61" t="n">
        <f aca="false">SUM(B88:BI88)</f>
        <v>17905907.5555274</v>
      </c>
    </row>
    <row r="89" customFormat="false" ht="15" hidden="false" customHeight="false" outlineLevel="0" collapsed="false">
      <c r="A89" s="27" t="s">
        <v>787</v>
      </c>
      <c r="B89" s="60" t="n">
        <f aca="false">B88/(1+Premissas!$B$19)^B$5</f>
        <v>0</v>
      </c>
      <c r="C89" s="60" t="n">
        <f aca="false">C88/(1+Premissas!$B$19)^C$5</f>
        <v>0</v>
      </c>
      <c r="D89" s="60" t="n">
        <f aca="false">D88/(1+Premissas!$B$19)^D$5</f>
        <v>0</v>
      </c>
      <c r="E89" s="60" t="n">
        <f aca="false">E88/(1+Premissas!$B$19)^E$5</f>
        <v>-1392.47665008383</v>
      </c>
      <c r="F89" s="60" t="n">
        <f aca="false">F88/(1+Premissas!$B$19)^F$5</f>
        <v>-7380.84094984538</v>
      </c>
      <c r="G89" s="60" t="n">
        <f aca="false">G88/(1+Premissas!$B$19)^G$5</f>
        <v>-1878.29710109982</v>
      </c>
      <c r="H89" s="60" t="n">
        <f aca="false">H88/(1+Premissas!$B$19)^H$5</f>
        <v>-1843.69235056949</v>
      </c>
      <c r="I89" s="60" t="n">
        <f aca="false">I88/(1+Premissas!$B$19)^I$5</f>
        <v>-9675.84196057351</v>
      </c>
      <c r="J89" s="60" t="n">
        <f aca="false">J88/(1+Premissas!$B$19)^J$5</f>
        <v>-10658.3023354809</v>
      </c>
      <c r="K89" s="60" t="n">
        <f aca="false">K88/(1+Premissas!$B$19)^K$5</f>
        <v>-58767.5345686028</v>
      </c>
      <c r="L89" s="60" t="n">
        <f aca="false">L88/(1+Premissas!$B$19)^L$5</f>
        <v>-24727.7937086799</v>
      </c>
      <c r="M89" s="60" t="n">
        <f aca="false">M88/(1+Premissas!$B$19)^M$5</f>
        <v>-17887.52216</v>
      </c>
      <c r="N89" s="60" t="n">
        <f aca="false">N88/(1+Premissas!$B$19)^N$5</f>
        <v>-64812.3864476827</v>
      </c>
      <c r="O89" s="60" t="n">
        <f aca="false">O88/(1+Premissas!$B$19)^O$5</f>
        <v>-46604.2474096753</v>
      </c>
      <c r="P89" s="60" t="n">
        <f aca="false">P88/(1+Premissas!$B$19)^P$5</f>
        <v>-35316.0470939536</v>
      </c>
      <c r="Q89" s="60" t="n">
        <f aca="false">Q88/(1+Premissas!$B$19)^Q$5</f>
        <v>555.616255425382</v>
      </c>
      <c r="R89" s="60" t="n">
        <f aca="false">R88/(1+Premissas!$B$19)^R$5</f>
        <v>10227.8721573789</v>
      </c>
      <c r="S89" s="60" t="n">
        <f aca="false">S88/(1+Premissas!$B$19)^S$5</f>
        <v>14765.160213861</v>
      </c>
      <c r="T89" s="60" t="n">
        <f aca="false">T88/(1+Premissas!$B$19)^T$5</f>
        <v>9108.28541411245</v>
      </c>
      <c r="U89" s="60" t="n">
        <f aca="false">U88/(1+Premissas!$B$19)^U$5</f>
        <v>33560.8786776035</v>
      </c>
      <c r="V89" s="60" t="n">
        <f aca="false">V88/(1+Premissas!$B$19)^V$5</f>
        <v>39714.9720903729</v>
      </c>
      <c r="W89" s="60" t="n">
        <f aca="false">W88/(1+Premissas!$B$19)^W$5</f>
        <v>65146.3285522765</v>
      </c>
      <c r="X89" s="60" t="n">
        <f aca="false">X88/(1+Premissas!$B$19)^X$5</f>
        <v>69478.700000515</v>
      </c>
      <c r="Y89" s="60" t="n">
        <f aca="false">Y88/(1+Premissas!$B$19)^Y$5</f>
        <v>73383.093545528</v>
      </c>
      <c r="Z89" s="60" t="n">
        <f aca="false">Z88/(1+Premissas!$B$19)^Z$5</f>
        <v>11739.6712755143</v>
      </c>
      <c r="AA89" s="60" t="n">
        <f aca="false">AA88/(1+Premissas!$B$19)^AA$5</f>
        <v>26911.2819751038</v>
      </c>
      <c r="AB89" s="60" t="n">
        <f aca="false">AB88/(1+Premissas!$B$19)^AB$5</f>
        <v>58922.1289666913</v>
      </c>
      <c r="AC89" s="60" t="n">
        <f aca="false">AC88/(1+Premissas!$B$19)^AC$5</f>
        <v>66618.8494073256</v>
      </c>
      <c r="AD89" s="60" t="n">
        <f aca="false">AD88/(1+Premissas!$B$19)^AD$5</f>
        <v>73748.4393995474</v>
      </c>
      <c r="AE89" s="60" t="n">
        <f aca="false">AE88/(1+Premissas!$B$19)^AE$5</f>
        <v>86522.8533162615</v>
      </c>
      <c r="AF89" s="60" t="n">
        <f aca="false">AF88/(1+Premissas!$B$19)^AF$5</f>
        <v>125624.873637676</v>
      </c>
      <c r="AG89" s="60" t="n">
        <f aca="false">AG88/(1+Premissas!$B$19)^AG$5</f>
        <v>133484.010641914</v>
      </c>
      <c r="AH89" s="60" t="n">
        <f aca="false">AH88/(1+Premissas!$B$19)^AH$5</f>
        <v>140296.718656929</v>
      </c>
      <c r="AI89" s="60" t="n">
        <f aca="false">AI88/(1+Premissas!$B$19)^AI$5</f>
        <v>146152.393737477</v>
      </c>
      <c r="AJ89" s="60" t="n">
        <f aca="false">AJ88/(1+Premissas!$B$19)^AJ$5</f>
        <v>151159.234194697</v>
      </c>
      <c r="AK89" s="60" t="n">
        <f aca="false">AK88/(1+Premissas!$B$19)^AK$5</f>
        <v>155411.93144073</v>
      </c>
      <c r="AL89" s="60" t="n">
        <f aca="false">AL88/(1+Premissas!$B$19)^AL$5</f>
        <v>97136.7227310477</v>
      </c>
      <c r="AM89" s="60" t="n">
        <f aca="false">AM88/(1+Premissas!$B$19)^AM$5</f>
        <v>119017.542965658</v>
      </c>
      <c r="AN89" s="60" t="n">
        <f aca="false">AN88/(1+Premissas!$B$19)^AN$5</f>
        <v>138497.368385677</v>
      </c>
      <c r="AO89" s="60" t="n">
        <f aca="false">AO88/(1+Premissas!$B$19)^AO$5</f>
        <v>155801.187416269</v>
      </c>
      <c r="AP89" s="60" t="n">
        <f aca="false">AP88/(1+Premissas!$B$19)^AP$5</f>
        <v>171143.882995655</v>
      </c>
      <c r="AQ89" s="60" t="n">
        <f aca="false">AQ88/(1+Premissas!$B$19)^AQ$5</f>
        <v>173218.386409927</v>
      </c>
      <c r="AR89" s="60" t="n">
        <f aca="false">AR88/(1+Premissas!$B$19)^AR$5</f>
        <v>196557.113455106</v>
      </c>
      <c r="AS89" s="60" t="n">
        <f aca="false">AS88/(1+Premissas!$B$19)^AS$5</f>
        <v>206947.172189054</v>
      </c>
      <c r="AT89" s="60" t="n">
        <f aca="false">AT88/(1+Premissas!$B$19)^AT$5</f>
        <v>215956.167309738</v>
      </c>
      <c r="AU89" s="60" t="n">
        <f aca="false">AU88/(1+Premissas!$B$19)^AU$5</f>
        <v>223745.410529599</v>
      </c>
      <c r="AV89" s="60" t="n">
        <f aca="false">AV88/(1+Premissas!$B$19)^AV$5</f>
        <v>230406.450102608</v>
      </c>
      <c r="AW89" s="60" t="n">
        <f aca="false">AW88/(1+Premissas!$B$19)^AW$5</f>
        <v>236045.068943711</v>
      </c>
      <c r="AX89" s="60" t="n">
        <f aca="false">AX88/(1+Premissas!$B$19)^AX$5</f>
        <v>206767.916842155</v>
      </c>
      <c r="AY89" s="60" t="n">
        <f aca="false">AY88/(1+Premissas!$B$19)^AY$5</f>
        <v>236898.775900955</v>
      </c>
      <c r="AZ89" s="60" t="n">
        <f aca="false">AZ88/(1+Premissas!$B$19)^AZ$5</f>
        <v>263760.84241551</v>
      </c>
      <c r="BA89" s="60" t="n">
        <f aca="false">BA88/(1+Premissas!$B$19)^BA$5</f>
        <v>287634.996206857</v>
      </c>
      <c r="BB89" s="60" t="n">
        <f aca="false">BB88/(1+Premissas!$B$19)^BB$5</f>
        <v>308805.085123785</v>
      </c>
      <c r="BC89" s="60" t="n">
        <f aca="false">BC88/(1+Premissas!$B$19)^BC$5</f>
        <v>316462.267809252</v>
      </c>
      <c r="BD89" s="60" t="n">
        <f aca="false">BD88/(1+Premissas!$B$19)^BD$5</f>
        <v>343819.014287457</v>
      </c>
      <c r="BE89" s="60" t="n">
        <f aca="false">BE88/(1+Premissas!$B$19)^BE$5</f>
        <v>358088.101353382</v>
      </c>
      <c r="BF89" s="60" t="n">
        <f aca="false">BF88/(1+Premissas!$B$19)^BF$5</f>
        <v>370482.880550922</v>
      </c>
      <c r="BG89" s="60" t="n">
        <f aca="false">BG88/(1+Premissas!$B$19)^BG$5</f>
        <v>381097.455152987</v>
      </c>
      <c r="BH89" s="60" t="n">
        <f aca="false">BH88/(1+Premissas!$B$19)^BH$5</f>
        <v>390141.36316849</v>
      </c>
      <c r="BI89" s="60" t="n">
        <f aca="false">BI88/(1+Premissas!$B$19)^BI$5</f>
        <v>397745.655174449</v>
      </c>
      <c r="BJ89" s="61" t="n">
        <f aca="false">SUM(B89:BI89)</f>
        <v>7237765.13824095</v>
      </c>
    </row>
    <row r="90" customFormat="false" ht="15" hidden="false" customHeight="false" outlineLevel="0" collapsed="false">
      <c r="A90" s="27" t="s">
        <v>788</v>
      </c>
      <c r="B90" s="60" t="n">
        <f aca="false">B89</f>
        <v>0</v>
      </c>
      <c r="C90" s="60" t="n">
        <f aca="false">B90+C89</f>
        <v>0</v>
      </c>
      <c r="D90" s="60" t="n">
        <f aca="false">C90+D89</f>
        <v>0</v>
      </c>
      <c r="E90" s="60" t="n">
        <f aca="false">D90+E89</f>
        <v>-1392.47665008383</v>
      </c>
      <c r="F90" s="60" t="n">
        <f aca="false">E90+F89</f>
        <v>-8773.31759992921</v>
      </c>
      <c r="G90" s="60" t="n">
        <f aca="false">F90+G89</f>
        <v>-10651.614701029</v>
      </c>
      <c r="H90" s="60" t="n">
        <f aca="false">G90+H89</f>
        <v>-12495.3070515985</v>
      </c>
      <c r="I90" s="60" t="n">
        <f aca="false">H90+I89</f>
        <v>-22171.149012172</v>
      </c>
      <c r="J90" s="60" t="n">
        <f aca="false">I90+J89</f>
        <v>-32829.4513476529</v>
      </c>
      <c r="K90" s="60" t="n">
        <f aca="false">J90+K89</f>
        <v>-91596.9859162557</v>
      </c>
      <c r="L90" s="60" t="n">
        <f aca="false">K90+L89</f>
        <v>-116324.779624936</v>
      </c>
      <c r="M90" s="60" t="n">
        <f aca="false">L90+M89</f>
        <v>-134212.301784936</v>
      </c>
      <c r="N90" s="60" t="n">
        <f aca="false">M90+N89</f>
        <v>-199024.688232618</v>
      </c>
      <c r="O90" s="60" t="n">
        <f aca="false">N90+O89</f>
        <v>-245628.935642294</v>
      </c>
      <c r="P90" s="60" t="n">
        <f aca="false">O90+P89</f>
        <v>-280944.982736247</v>
      </c>
      <c r="Q90" s="60" t="n">
        <f aca="false">P90+Q89</f>
        <v>-280389.366480822</v>
      </c>
      <c r="R90" s="60" t="n">
        <f aca="false">Q90+R89</f>
        <v>-270161.494323443</v>
      </c>
      <c r="S90" s="60" t="n">
        <f aca="false">R90+S89</f>
        <v>-255396.334109582</v>
      </c>
      <c r="T90" s="60" t="n">
        <f aca="false">S90+T89</f>
        <v>-246288.048695469</v>
      </c>
      <c r="U90" s="60" t="n">
        <f aca="false">T90+U89</f>
        <v>-212727.170017866</v>
      </c>
      <c r="V90" s="60" t="n">
        <f aca="false">U90+V89</f>
        <v>-173012.197927493</v>
      </c>
      <c r="W90" s="60" t="n">
        <f aca="false">V90+W89</f>
        <v>-107865.869375216</v>
      </c>
      <c r="X90" s="60" t="n">
        <f aca="false">W90+X89</f>
        <v>-38387.1693747015</v>
      </c>
      <c r="Y90" s="60" t="n">
        <f aca="false">X90+Y89</f>
        <v>34995.9241708265</v>
      </c>
      <c r="Z90" s="60" t="n">
        <f aca="false">Y90+Z89</f>
        <v>46735.5954463408</v>
      </c>
      <c r="AA90" s="60" t="n">
        <f aca="false">Z90+AA89</f>
        <v>73646.8774214447</v>
      </c>
      <c r="AB90" s="60" t="n">
        <f aca="false">AA90+AB89</f>
        <v>132569.006388136</v>
      </c>
      <c r="AC90" s="60" t="n">
        <f aca="false">AB90+AC89</f>
        <v>199187.855795462</v>
      </c>
      <c r="AD90" s="60" t="n">
        <f aca="false">AC90+AD89</f>
        <v>272936.295195009</v>
      </c>
      <c r="AE90" s="60" t="n">
        <f aca="false">AD90+AE89</f>
        <v>359459.14851127</v>
      </c>
      <c r="AF90" s="60" t="n">
        <f aca="false">AE90+AF89</f>
        <v>485084.022148947</v>
      </c>
      <c r="AG90" s="60" t="n">
        <f aca="false">AF90+AG89</f>
        <v>618568.032790861</v>
      </c>
      <c r="AH90" s="60" t="n">
        <f aca="false">AG90+AH89</f>
        <v>758864.75144779</v>
      </c>
      <c r="AI90" s="60" t="n">
        <f aca="false">AH90+AI89</f>
        <v>905017.145185267</v>
      </c>
      <c r="AJ90" s="60" t="n">
        <f aca="false">AI90+AJ89</f>
        <v>1056176.37937996</v>
      </c>
      <c r="AK90" s="60" t="n">
        <f aca="false">AJ90+AK89</f>
        <v>1211588.31082069</v>
      </c>
      <c r="AL90" s="60" t="n">
        <f aca="false">AK90+AL89</f>
        <v>1308725.03355174</v>
      </c>
      <c r="AM90" s="60" t="n">
        <f aca="false">AL90+AM89</f>
        <v>1427742.5765174</v>
      </c>
      <c r="AN90" s="60" t="n">
        <f aca="false">AM90+AN89</f>
        <v>1566239.94490308</v>
      </c>
      <c r="AO90" s="60" t="n">
        <f aca="false">AN90+AO89</f>
        <v>1722041.13231935</v>
      </c>
      <c r="AP90" s="60" t="n">
        <f aca="false">AO90+AP89</f>
        <v>1893185.015315</v>
      </c>
      <c r="AQ90" s="60" t="n">
        <f aca="false">AP90+AQ89</f>
        <v>2066403.40172493</v>
      </c>
      <c r="AR90" s="60" t="n">
        <f aca="false">AQ90+AR89</f>
        <v>2262960.51518004</v>
      </c>
      <c r="AS90" s="60" t="n">
        <f aca="false">AR90+AS89</f>
        <v>2469907.68736909</v>
      </c>
      <c r="AT90" s="60" t="n">
        <f aca="false">AS90+AT89</f>
        <v>2685863.85467883</v>
      </c>
      <c r="AU90" s="60" t="n">
        <f aca="false">AT90+AU89</f>
        <v>2909609.26520843</v>
      </c>
      <c r="AV90" s="60" t="n">
        <f aca="false">AU90+AV89</f>
        <v>3140015.71531103</v>
      </c>
      <c r="AW90" s="60" t="n">
        <f aca="false">AV90+AW89</f>
        <v>3376060.78425475</v>
      </c>
      <c r="AX90" s="60" t="n">
        <f aca="false">AW90+AX89</f>
        <v>3582828.7010969</v>
      </c>
      <c r="AY90" s="60" t="n">
        <f aca="false">AX90+AY89</f>
        <v>3819727.47699786</v>
      </c>
      <c r="AZ90" s="60" t="n">
        <f aca="false">AY90+AZ89</f>
        <v>4083488.31941337</v>
      </c>
      <c r="BA90" s="60" t="n">
        <f aca="false">AZ90+BA89</f>
        <v>4371123.31562022</v>
      </c>
      <c r="BB90" s="60" t="n">
        <f aca="false">BA90+BB89</f>
        <v>4679928.40074401</v>
      </c>
      <c r="BC90" s="60" t="n">
        <f aca="false">BB90+BC89</f>
        <v>4996390.66855326</v>
      </c>
      <c r="BD90" s="60" t="n">
        <f aca="false">BC90+BD89</f>
        <v>5340209.68284072</v>
      </c>
      <c r="BE90" s="60" t="n">
        <f aca="false">BD90+BE89</f>
        <v>5698297.7841941</v>
      </c>
      <c r="BF90" s="60" t="n">
        <f aca="false">BE90+BF89</f>
        <v>6068780.66474502</v>
      </c>
      <c r="BG90" s="60" t="n">
        <f aca="false">BF90+BG89</f>
        <v>6449878.11989801</v>
      </c>
      <c r="BH90" s="60" t="n">
        <f aca="false">BG90+BH89</f>
        <v>6840019.4830665</v>
      </c>
      <c r="BI90" s="60" t="n">
        <f aca="false">BH90+BI89</f>
        <v>7237765.13824095</v>
      </c>
      <c r="BJ90" s="61" t="n">
        <f aca="false">BI90</f>
        <v>7237765.13824095</v>
      </c>
      <c r="BK90" s="29" t="s">
        <v>870</v>
      </c>
    </row>
    <row r="91" customFormat="false" ht="15" hidden="false" customHeight="false" outlineLevel="0" collapsed="false">
      <c r="A91" s="27" t="s">
        <v>789</v>
      </c>
      <c r="B91" s="60" t="n">
        <f aca="false">B88</f>
        <v>0</v>
      </c>
      <c r="C91" s="60" t="n">
        <f aca="false">B91+C88</f>
        <v>0</v>
      </c>
      <c r="D91" s="60" t="n">
        <f aca="false">C91+D88</f>
        <v>0</v>
      </c>
      <c r="E91" s="60" t="n">
        <f aca="false">D91+E88</f>
        <v>-1500</v>
      </c>
      <c r="F91" s="60" t="n">
        <f aca="false">E91+F88</f>
        <v>-9600</v>
      </c>
      <c r="G91" s="60" t="n">
        <f aca="false">F91+G88</f>
        <v>-11700</v>
      </c>
      <c r="H91" s="60" t="n">
        <f aca="false">G91+H88</f>
        <v>-13800</v>
      </c>
      <c r="I91" s="60" t="n">
        <f aca="false">H91+I88</f>
        <v>-25027.82</v>
      </c>
      <c r="J91" s="60" t="n">
        <f aca="false">I91+J88</f>
        <v>-37627.82</v>
      </c>
      <c r="K91" s="60" t="n">
        <f aca="false">J91+K88</f>
        <v>-108405.417325</v>
      </c>
      <c r="L91" s="60" t="n">
        <f aca="false">K91+L88</f>
        <v>-138745.69475</v>
      </c>
      <c r="M91" s="60" t="n">
        <f aca="false">L91+M88</f>
        <v>-161105.09745</v>
      </c>
      <c r="N91" s="60" t="n">
        <f aca="false">M91+N88</f>
        <v>-243641.181590096</v>
      </c>
      <c r="O91" s="60" t="n">
        <f aca="false">N91+O88</f>
        <v>-304103.83203061</v>
      </c>
      <c r="P91" s="60" t="n">
        <f aca="false">O91+P88</f>
        <v>-350781.548699936</v>
      </c>
      <c r="Q91" s="60" t="n">
        <f aca="false">P91+Q88</f>
        <v>-350033.39936554</v>
      </c>
      <c r="R91" s="60" t="n">
        <f aca="false">Q91+R88</f>
        <v>-336002.856464377</v>
      </c>
      <c r="S91" s="60" t="n">
        <f aca="false">R91+S88</f>
        <v>-315367.917753834</v>
      </c>
      <c r="T91" s="60" t="n">
        <f aca="false">S91+T88</f>
        <v>-302399.783886674</v>
      </c>
      <c r="U91" s="60" t="n">
        <f aca="false">T91+U88</f>
        <v>-253719.846475362</v>
      </c>
      <c r="V91" s="60" t="n">
        <f aca="false">U91+V88</f>
        <v>-195032.187715572</v>
      </c>
      <c r="W91" s="60" t="n">
        <f aca="false">V91+W88</f>
        <v>-96957.1909651847</v>
      </c>
      <c r="X91" s="60" t="n">
        <f aca="false">W91+X88</f>
        <v>9603.21723269827</v>
      </c>
      <c r="Y91" s="60" t="n">
        <f aca="false">X91+Y88</f>
        <v>124264.300897586</v>
      </c>
      <c r="Z91" s="60" t="n">
        <f aca="false">Y91+Z88</f>
        <v>142951.826332154</v>
      </c>
      <c r="AA91" s="60" t="n">
        <f aca="false">Z91+AA88</f>
        <v>186593.97070216</v>
      </c>
      <c r="AB91" s="60" t="n">
        <f aca="false">AA91+AB88</f>
        <v>283941.72999922</v>
      </c>
      <c r="AC91" s="60" t="n">
        <f aca="false">AB91+AC88</f>
        <v>396071.386384496</v>
      </c>
      <c r="AD91" s="60" t="n">
        <f aca="false">AC91+AD88</f>
        <v>522531.053039428</v>
      </c>
      <c r="AE91" s="60" t="n">
        <f aca="false">AD91+AE88</f>
        <v>673680.257431932</v>
      </c>
      <c r="AF91" s="60" t="n">
        <f aca="false">AE91+AF88</f>
        <v>897256.9384852</v>
      </c>
      <c r="AG91" s="60" t="n">
        <f aca="false">AF91+AG88</f>
        <v>1139279.55304042</v>
      </c>
      <c r="AH91" s="60" t="n">
        <f aca="false">AG91+AH88</f>
        <v>1398428.85858821</v>
      </c>
      <c r="AI91" s="60" t="n">
        <f aca="false">AH91+AI88</f>
        <v>1673461.54000329</v>
      </c>
      <c r="AJ91" s="60" t="n">
        <f aca="false">AI91+AJ88</f>
        <v>1963255.20515799</v>
      </c>
      <c r="AK91" s="60" t="n">
        <f aca="false">AJ91+AK88</f>
        <v>2266794.13375317</v>
      </c>
      <c r="AL91" s="60" t="n">
        <f aca="false">AK91+AL88</f>
        <v>2460075.20334891</v>
      </c>
      <c r="AM91" s="60" t="n">
        <f aca="false">AL91+AM88</f>
        <v>2701339.2946265</v>
      </c>
      <c r="AN91" s="60" t="n">
        <f aca="false">AM91+AN88</f>
        <v>2987361.04734751</v>
      </c>
      <c r="AO91" s="60" t="n">
        <f aca="false">AN91+AO88</f>
        <v>3315157.4173844</v>
      </c>
      <c r="AP91" s="60" t="n">
        <f aca="false">AO91+AP88</f>
        <v>3681992.27127885</v>
      </c>
      <c r="AQ91" s="60" t="n">
        <f aca="false">AP91+AQ88</f>
        <v>4060242.35620602</v>
      </c>
      <c r="AR91" s="60" t="n">
        <f aca="false">AQ91+AR88</f>
        <v>4497512.31906435</v>
      </c>
      <c r="AS91" s="60" t="n">
        <f aca="false">AR91+AS88</f>
        <v>4966537.55518762</v>
      </c>
      <c r="AT91" s="60" t="n">
        <f aca="false">AS91+AT88</f>
        <v>5465167.27478155</v>
      </c>
      <c r="AU91" s="60" t="n">
        <f aca="false">AT91+AU88</f>
        <v>5991478.36212173</v>
      </c>
      <c r="AV91" s="60" t="n">
        <f aca="false">AU91+AV88</f>
        <v>6543630.61737624</v>
      </c>
      <c r="AW91" s="60" t="n">
        <f aca="false">AV91+AW88</f>
        <v>7119912.5239771</v>
      </c>
      <c r="AX91" s="60" t="n">
        <f aca="false">AW91+AX88</f>
        <v>7634191.81765871</v>
      </c>
      <c r="AY91" s="60" t="n">
        <f aca="false">AX91+AY88</f>
        <v>8234472.73495391</v>
      </c>
      <c r="AZ91" s="60" t="n">
        <f aca="false">AY91+AZ88</f>
        <v>8915364.1782914</v>
      </c>
      <c r="BA91" s="60" t="n">
        <f aca="false">AZ91+BA88</f>
        <v>9671822.69134712</v>
      </c>
      <c r="BB91" s="60" t="n">
        <f aca="false">BA91+BB88</f>
        <v>10499200.1171454</v>
      </c>
      <c r="BC91" s="60" t="n">
        <f aca="false">BB91+BC88</f>
        <v>11363007.6649179</v>
      </c>
      <c r="BD91" s="60" t="n">
        <f aca="false">BC91+BD88</f>
        <v>12319102.0855467</v>
      </c>
      <c r="BE91" s="60" t="n">
        <f aca="false">BD91+BE88</f>
        <v>13333566.0337226</v>
      </c>
      <c r="BF91" s="60" t="n">
        <f aca="false">BE91+BF88</f>
        <v>14402844.2184161</v>
      </c>
      <c r="BG91" s="60" t="n">
        <f aca="false">BF91+BG88</f>
        <v>15523402.487798</v>
      </c>
      <c r="BH91" s="60" t="n">
        <f aca="false">BG91+BH88</f>
        <v>16692084.1449609</v>
      </c>
      <c r="BI91" s="60" t="n">
        <f aca="false">BH91+BI88</f>
        <v>17905907.5555274</v>
      </c>
      <c r="BJ91" s="61" t="n">
        <f aca="false">BI91</f>
        <v>17905907.5555274</v>
      </c>
      <c r="BK91" s="29" t="s">
        <v>870</v>
      </c>
    </row>
    <row r="92" customFormat="false" ht="15" hidden="false" customHeight="false" outlineLevel="0" collapsed="false">
      <c r="A92" s="71" t="s">
        <v>885</v>
      </c>
      <c r="B92" s="72" t="n">
        <f aca="false">IF(B86&gt;0,1,0)</f>
        <v>0</v>
      </c>
      <c r="C92" s="72" t="n">
        <f aca="false">IF(B92=1,1,IF(C86&gt;0,1,0))</f>
        <v>0</v>
      </c>
      <c r="D92" s="72" t="n">
        <f aca="false">IF(C92=1,1,IF(D86&gt;0,1,0))</f>
        <v>0</v>
      </c>
      <c r="E92" s="72" t="n">
        <f aca="false">IF(D92=1,1,IF(E86&gt;0,1,0))</f>
        <v>0</v>
      </c>
      <c r="F92" s="72" t="n">
        <f aca="false">IF(E92=1,1,IF(F86&gt;0,1,0))</f>
        <v>0</v>
      </c>
      <c r="G92" s="72" t="n">
        <f aca="false">IF(F92=1,1,IF(G86&gt;0,1,0))</f>
        <v>0</v>
      </c>
      <c r="H92" s="72" t="n">
        <f aca="false">IF(G92=1,1,IF(H86&gt;0,1,0))</f>
        <v>0</v>
      </c>
      <c r="I92" s="72" t="n">
        <f aca="false">IF(H92=1,1,IF(I86&gt;0,1,0))</f>
        <v>0</v>
      </c>
      <c r="J92" s="72" t="n">
        <f aca="false">IF(I92=1,1,IF(J86&gt;0,1,0))</f>
        <v>0</v>
      </c>
      <c r="K92" s="72" t="n">
        <f aca="false">IF(J92=1,1,IF(K86&gt;0,1,0))</f>
        <v>0</v>
      </c>
      <c r="L92" s="72" t="n">
        <f aca="false">IF(K92=1,1,IF(L86&gt;0,1,0))</f>
        <v>0</v>
      </c>
      <c r="M92" s="72" t="n">
        <f aca="false">IF(L92=1,1,IF(M86&gt;0,1,0))</f>
        <v>0</v>
      </c>
      <c r="N92" s="72" t="n">
        <f aca="false">IF(M92=1,1,IF(N86&gt;0,1,0))</f>
        <v>0</v>
      </c>
      <c r="O92" s="72" t="n">
        <f aca="false">IF(N92=1,1,IF(O86&gt;0,1,0))</f>
        <v>0</v>
      </c>
      <c r="P92" s="72" t="n">
        <f aca="false">IF(O92=1,1,IF(P86&gt;0,1,0))</f>
        <v>0</v>
      </c>
      <c r="Q92" s="72" t="n">
        <f aca="false">IF(P92=1,1,IF(Q86&gt;0,1,0))</f>
        <v>1</v>
      </c>
      <c r="R92" s="72" t="n">
        <f aca="false">IF(Q92=1,1,IF(R86&gt;0,1,0))</f>
        <v>1</v>
      </c>
      <c r="S92" s="72" t="n">
        <f aca="false">IF(R92=1,1,IF(S86&gt;0,1,0))</f>
        <v>1</v>
      </c>
      <c r="T92" s="72" t="n">
        <f aca="false">IF(S92=1,1,IF(T86&gt;0,1,0))</f>
        <v>1</v>
      </c>
      <c r="U92" s="72" t="n">
        <f aca="false">IF(T92=1,1,IF(U86&gt;0,1,0))</f>
        <v>1</v>
      </c>
      <c r="V92" s="72" t="n">
        <f aca="false">IF(U92=1,1,IF(V86&gt;0,1,0))</f>
        <v>1</v>
      </c>
      <c r="W92" s="72" t="n">
        <f aca="false">IF(V92=1,1,IF(W86&gt;0,1,0))</f>
        <v>1</v>
      </c>
      <c r="X92" s="72" t="n">
        <f aca="false">IF(W92=1,1,IF(X86&gt;0,1,0))</f>
        <v>1</v>
      </c>
      <c r="Y92" s="72" t="n">
        <f aca="false">IF(X92=1,1,IF(Y86&gt;0,1,0))</f>
        <v>1</v>
      </c>
      <c r="Z92" s="72" t="n">
        <f aca="false">IF(Y92=1,1,IF(Z86&gt;0,1,0))</f>
        <v>1</v>
      </c>
      <c r="AA92" s="72" t="n">
        <f aca="false">IF(Z92=1,1,IF(AA86&gt;0,1,0))</f>
        <v>1</v>
      </c>
      <c r="AB92" s="72" t="n">
        <f aca="false">IF(AA92=1,1,IF(AB86&gt;0,1,0))</f>
        <v>1</v>
      </c>
      <c r="AC92" s="72" t="n">
        <f aca="false">IF(AB92=1,1,IF(AC86&gt;0,1,0))</f>
        <v>1</v>
      </c>
      <c r="AD92" s="72" t="n">
        <f aca="false">IF(AC92=1,1,IF(AD86&gt;0,1,0))</f>
        <v>1</v>
      </c>
      <c r="AE92" s="72" t="n">
        <f aca="false">IF(AD92=1,1,IF(AE86&gt;0,1,0))</f>
        <v>1</v>
      </c>
      <c r="AF92" s="72" t="n">
        <f aca="false">IF(AE92=1,1,IF(AF86&gt;0,1,0))</f>
        <v>1</v>
      </c>
      <c r="AG92" s="72" t="n">
        <f aca="false">IF(AF92=1,1,IF(AG86&gt;0,1,0))</f>
        <v>1</v>
      </c>
      <c r="AH92" s="72" t="n">
        <f aca="false">IF(AG92=1,1,IF(AH86&gt;0,1,0))</f>
        <v>1</v>
      </c>
      <c r="AI92" s="72" t="n">
        <f aca="false">IF(AH92=1,1,IF(AI86&gt;0,1,0))</f>
        <v>1</v>
      </c>
      <c r="AJ92" s="72" t="n">
        <f aca="false">IF(AI92=1,1,IF(AJ86&gt;0,1,0))</f>
        <v>1</v>
      </c>
      <c r="AK92" s="72" t="n">
        <f aca="false">IF(AJ92=1,1,IF(AK86&gt;0,1,0))</f>
        <v>1</v>
      </c>
      <c r="AL92" s="72" t="n">
        <f aca="false">IF(AK92=1,1,IF(AL86&gt;0,1,0))</f>
        <v>1</v>
      </c>
      <c r="AM92" s="72" t="n">
        <f aca="false">IF(AL92=1,1,IF(AM86&gt;0,1,0))</f>
        <v>1</v>
      </c>
      <c r="AN92" s="72" t="n">
        <f aca="false">IF(AM92=1,1,IF(AN86&gt;0,1,0))</f>
        <v>1</v>
      </c>
      <c r="AO92" s="72" t="n">
        <f aca="false">IF(AN92=1,1,IF(AO86&gt;0,1,0))</f>
        <v>1</v>
      </c>
      <c r="AP92" s="72" t="n">
        <f aca="false">IF(AO92=1,1,IF(AP86&gt;0,1,0))</f>
        <v>1</v>
      </c>
      <c r="AQ92" s="72" t="n">
        <f aca="false">IF(AP92=1,1,IF(AQ86&gt;0,1,0))</f>
        <v>1</v>
      </c>
      <c r="AR92" s="72" t="n">
        <f aca="false">IF(AQ92=1,1,IF(AR86&gt;0,1,0))</f>
        <v>1</v>
      </c>
      <c r="AS92" s="72" t="n">
        <f aca="false">IF(AR92=1,1,IF(AS86&gt;0,1,0))</f>
        <v>1</v>
      </c>
      <c r="AT92" s="72" t="n">
        <f aca="false">IF(AS92=1,1,IF(AT86&gt;0,1,0))</f>
        <v>1</v>
      </c>
      <c r="AU92" s="72" t="n">
        <f aca="false">IF(AT92=1,1,IF(AU86&gt;0,1,0))</f>
        <v>1</v>
      </c>
      <c r="AV92" s="72" t="n">
        <f aca="false">IF(AU92=1,1,IF(AV86&gt;0,1,0))</f>
        <v>1</v>
      </c>
      <c r="AW92" s="72" t="n">
        <f aca="false">IF(AV92=1,1,IF(AW86&gt;0,1,0))</f>
        <v>1</v>
      </c>
      <c r="AX92" s="72" t="n">
        <f aca="false">IF(AW92=1,1,IF(AX86&gt;0,1,0))</f>
        <v>1</v>
      </c>
      <c r="AY92" s="72" t="n">
        <f aca="false">IF(AX92=1,1,IF(AY86&gt;0,1,0))</f>
        <v>1</v>
      </c>
      <c r="AZ92" s="72" t="n">
        <f aca="false">IF(AY92=1,1,IF(AZ86&gt;0,1,0))</f>
        <v>1</v>
      </c>
      <c r="BA92" s="72" t="n">
        <f aca="false">IF(AZ92=1,1,IF(BA86&gt;0,1,0))</f>
        <v>1</v>
      </c>
      <c r="BB92" s="72" t="n">
        <f aca="false">IF(BA92=1,1,IF(BB86&gt;0,1,0))</f>
        <v>1</v>
      </c>
      <c r="BC92" s="72" t="n">
        <f aca="false">IF(BB92=1,1,IF(BC86&gt;0,1,0))</f>
        <v>1</v>
      </c>
      <c r="BD92" s="72" t="n">
        <f aca="false">IF(BC92=1,1,IF(BD86&gt;0,1,0))</f>
        <v>1</v>
      </c>
      <c r="BE92" s="72" t="n">
        <f aca="false">IF(BD92=1,1,IF(BE86&gt;0,1,0))</f>
        <v>1</v>
      </c>
      <c r="BF92" s="72" t="n">
        <f aca="false">IF(BE92=1,1,IF(BF86&gt;0,1,0))</f>
        <v>1</v>
      </c>
      <c r="BG92" s="72" t="n">
        <f aca="false">IF(BF92=1,1,IF(BG86&gt;0,1,0))</f>
        <v>1</v>
      </c>
      <c r="BH92" s="72" t="n">
        <f aca="false">IF(BG92=1,1,IF(BH86&gt;0,1,0))</f>
        <v>1</v>
      </c>
      <c r="BI92" s="72" t="n">
        <f aca="false">IF(BH92=1,1,IF(BI86&gt;0,1,0))</f>
        <v>1</v>
      </c>
      <c r="BJ92" s="134" t="n">
        <f aca="false">BI92</f>
        <v>1</v>
      </c>
      <c r="BK92" s="29" t="s">
        <v>870</v>
      </c>
    </row>
    <row r="93" customFormat="false" ht="15" hidden="false" customHeight="false" outlineLevel="0" collapsed="false">
      <c r="A93" s="27" t="s">
        <v>790</v>
      </c>
      <c r="B93" s="60" t="n">
        <f aca="false">Aportes!B98</f>
        <v>0</v>
      </c>
      <c r="C93" s="60" t="n">
        <f aca="false">Aportes!C98</f>
        <v>0</v>
      </c>
      <c r="D93" s="60" t="n">
        <f aca="false">Aportes!D98</f>
        <v>0</v>
      </c>
      <c r="E93" s="60" t="n">
        <f aca="false">Aportes!E98</f>
        <v>10000</v>
      </c>
      <c r="F93" s="60" t="n">
        <f aca="false">Aportes!F98</f>
        <v>0</v>
      </c>
      <c r="G93" s="60" t="n">
        <f aca="false">Aportes!G98</f>
        <v>0</v>
      </c>
      <c r="H93" s="60" t="n">
        <f aca="false">Aportes!H98</f>
        <v>5000</v>
      </c>
      <c r="I93" s="60" t="n">
        <f aca="false">Aportes!I98</f>
        <v>18000</v>
      </c>
      <c r="J93" s="60" t="n">
        <f aca="false">Aportes!J98</f>
        <v>0</v>
      </c>
      <c r="K93" s="60" t="n">
        <f aca="false">Aportes!K98</f>
        <v>80000</v>
      </c>
      <c r="L93" s="60" t="n">
        <f aca="false">Aportes!L98</f>
        <v>40000</v>
      </c>
      <c r="M93" s="60" t="n">
        <f aca="false">Aportes!M98</f>
        <v>17000</v>
      </c>
      <c r="N93" s="60" t="n">
        <f aca="false">Aportes!N98</f>
        <v>0</v>
      </c>
      <c r="O93" s="60" t="n">
        <f aca="false">Aportes!O98</f>
        <v>0</v>
      </c>
      <c r="P93" s="60" t="n">
        <f aca="false">Aportes!P98</f>
        <v>0</v>
      </c>
      <c r="Q93" s="60" t="n">
        <f aca="false">Aportes!Q98</f>
        <v>0</v>
      </c>
      <c r="R93" s="60" t="n">
        <f aca="false">Aportes!R98</f>
        <v>0</v>
      </c>
      <c r="S93" s="60" t="n">
        <f aca="false">Aportes!S98</f>
        <v>15000</v>
      </c>
      <c r="T93" s="60" t="n">
        <f aca="false">Aportes!T98</f>
        <v>0</v>
      </c>
      <c r="U93" s="60" t="n">
        <f aca="false">Aportes!U98</f>
        <v>0</v>
      </c>
      <c r="V93" s="60" t="n">
        <f aca="false">Aportes!V98</f>
        <v>0</v>
      </c>
      <c r="W93" s="60" t="n">
        <f aca="false">Aportes!W98</f>
        <v>0</v>
      </c>
      <c r="X93" s="60" t="n">
        <f aca="false">Aportes!X98</f>
        <v>0</v>
      </c>
      <c r="Y93" s="60" t="n">
        <f aca="false">Aportes!Y98</f>
        <v>15000</v>
      </c>
      <c r="Z93" s="60" t="n">
        <f aca="false">Aportes!Z98</f>
        <v>0</v>
      </c>
      <c r="AA93" s="60" t="n">
        <f aca="false">Aportes!AA98</f>
        <v>0</v>
      </c>
      <c r="AB93" s="60" t="n">
        <f aca="false">Aportes!AB98</f>
        <v>0</v>
      </c>
      <c r="AC93" s="60" t="n">
        <f aca="false">Aportes!AC98</f>
        <v>0</v>
      </c>
      <c r="AD93" s="60" t="n">
        <f aca="false">Aportes!AD98</f>
        <v>0</v>
      </c>
      <c r="AE93" s="60" t="n">
        <f aca="false">Aportes!AE98</f>
        <v>0</v>
      </c>
      <c r="AF93" s="60" t="n">
        <f aca="false">Aportes!AF98</f>
        <v>0</v>
      </c>
      <c r="AG93" s="60" t="n">
        <f aca="false">Aportes!AG98</f>
        <v>0</v>
      </c>
      <c r="AH93" s="60" t="n">
        <f aca="false">Aportes!AH98</f>
        <v>0</v>
      </c>
      <c r="AI93" s="60" t="n">
        <f aca="false">Aportes!AI98</f>
        <v>0</v>
      </c>
      <c r="AJ93" s="60" t="n">
        <f aca="false">Aportes!AJ98</f>
        <v>0</v>
      </c>
      <c r="AK93" s="60" t="n">
        <f aca="false">Aportes!AK98</f>
        <v>0</v>
      </c>
      <c r="AL93" s="60" t="n">
        <f aca="false">Aportes!AL98</f>
        <v>0</v>
      </c>
      <c r="AM93" s="60" t="n">
        <f aca="false">Aportes!AM98</f>
        <v>0</v>
      </c>
      <c r="AN93" s="60" t="n">
        <f aca="false">Aportes!AN98</f>
        <v>0</v>
      </c>
      <c r="AO93" s="60" t="n">
        <f aca="false">Aportes!AO98</f>
        <v>0</v>
      </c>
      <c r="AP93" s="60" t="n">
        <f aca="false">Aportes!AP98</f>
        <v>0</v>
      </c>
      <c r="AQ93" s="60" t="n">
        <f aca="false">Aportes!AQ98</f>
        <v>0</v>
      </c>
      <c r="AR93" s="60" t="n">
        <f aca="false">Aportes!AR98</f>
        <v>0</v>
      </c>
      <c r="AS93" s="60" t="n">
        <f aca="false">Aportes!AS98</f>
        <v>0</v>
      </c>
      <c r="AT93" s="60" t="n">
        <f aca="false">Aportes!AT98</f>
        <v>0</v>
      </c>
      <c r="AU93" s="60" t="n">
        <f aca="false">Aportes!AU98</f>
        <v>0</v>
      </c>
      <c r="AV93" s="60" t="n">
        <f aca="false">Aportes!AV98</f>
        <v>0</v>
      </c>
      <c r="AW93" s="60" t="n">
        <f aca="false">Aportes!AW98</f>
        <v>0</v>
      </c>
      <c r="AX93" s="60" t="n">
        <f aca="false">Aportes!AX98</f>
        <v>0</v>
      </c>
      <c r="AY93" s="60" t="n">
        <f aca="false">Aportes!AY98</f>
        <v>0</v>
      </c>
      <c r="AZ93" s="60" t="n">
        <f aca="false">Aportes!AZ98</f>
        <v>0</v>
      </c>
      <c r="BA93" s="60" t="n">
        <f aca="false">Aportes!BA98</f>
        <v>0</v>
      </c>
      <c r="BB93" s="60" t="n">
        <f aca="false">Aportes!BB98</f>
        <v>0</v>
      </c>
      <c r="BC93" s="60" t="n">
        <f aca="false">Aportes!BC98</f>
        <v>0</v>
      </c>
      <c r="BD93" s="60" t="n">
        <f aca="false">Aportes!BD98</f>
        <v>0</v>
      </c>
      <c r="BE93" s="60" t="n">
        <f aca="false">Aportes!BE98</f>
        <v>0</v>
      </c>
      <c r="BF93" s="60" t="n">
        <f aca="false">Aportes!BF98</f>
        <v>0</v>
      </c>
      <c r="BG93" s="60" t="n">
        <f aca="false">Aportes!BG98</f>
        <v>0</v>
      </c>
      <c r="BH93" s="60" t="n">
        <f aca="false">Aportes!BH98</f>
        <v>0</v>
      </c>
      <c r="BI93" s="60" t="n">
        <f aca="false">Aportes!BI98</f>
        <v>0</v>
      </c>
      <c r="BJ93" s="61" t="n">
        <f aca="false">SUM(B93:BI93)</f>
        <v>200000</v>
      </c>
    </row>
    <row r="94" customFormat="false" ht="15" hidden="false" customHeight="false" outlineLevel="0" collapsed="false">
      <c r="A94" s="27" t="s">
        <v>886</v>
      </c>
      <c r="B94" s="60" t="n">
        <f aca="false">B88+B93</f>
        <v>0</v>
      </c>
      <c r="C94" s="60" t="n">
        <f aca="false">C88+C93</f>
        <v>0</v>
      </c>
      <c r="D94" s="60" t="n">
        <f aca="false">D88+D93</f>
        <v>0</v>
      </c>
      <c r="E94" s="60" t="n">
        <f aca="false">E88+E93</f>
        <v>8500</v>
      </c>
      <c r="F94" s="60" t="n">
        <f aca="false">F88+F93</f>
        <v>-8100</v>
      </c>
      <c r="G94" s="60" t="n">
        <f aca="false">G88+G93</f>
        <v>-2100</v>
      </c>
      <c r="H94" s="60" t="n">
        <f aca="false">H88+H93</f>
        <v>2900</v>
      </c>
      <c r="I94" s="60" t="n">
        <f aca="false">I88+I93</f>
        <v>6772.18</v>
      </c>
      <c r="J94" s="60" t="n">
        <f aca="false">J88+J93</f>
        <v>-12600</v>
      </c>
      <c r="K94" s="60" t="n">
        <f aca="false">K88+K93</f>
        <v>9222.40267499999</v>
      </c>
      <c r="L94" s="60" t="n">
        <f aca="false">L88+L93</f>
        <v>9659.722575</v>
      </c>
      <c r="M94" s="60" t="n">
        <f aca="false">M88+M93</f>
        <v>-5359.4027</v>
      </c>
      <c r="N94" s="60" t="n">
        <f aca="false">N88+N93</f>
        <v>-82536.084140096</v>
      </c>
      <c r="O94" s="60" t="n">
        <f aca="false">O88+O93</f>
        <v>-60462.6504405144</v>
      </c>
      <c r="P94" s="60" t="n">
        <f aca="false">P88+P93</f>
        <v>-46677.7166693253</v>
      </c>
      <c r="Q94" s="60" t="n">
        <f aca="false">Q88+Q93</f>
        <v>748.149334396288</v>
      </c>
      <c r="R94" s="60" t="n">
        <f aca="false">R88+R93</f>
        <v>14030.5429011624</v>
      </c>
      <c r="S94" s="60" t="n">
        <f aca="false">S88+S93</f>
        <v>35634.9387105428</v>
      </c>
      <c r="T94" s="60" t="n">
        <f aca="false">T88+T93</f>
        <v>12968.1338671606</v>
      </c>
      <c r="U94" s="60" t="n">
        <f aca="false">U88+U93</f>
        <v>48679.9374113119</v>
      </c>
      <c r="V94" s="60" t="n">
        <f aca="false">V88+V93</f>
        <v>58687.6587597899</v>
      </c>
      <c r="W94" s="60" t="n">
        <f aca="false">W88+W93</f>
        <v>98074.9967503871</v>
      </c>
      <c r="X94" s="60" t="n">
        <f aca="false">X88+X93</f>
        <v>106560.408197883</v>
      </c>
      <c r="Y94" s="60" t="n">
        <f aca="false">Y88+Y93</f>
        <v>129661.083664888</v>
      </c>
      <c r="Z94" s="60" t="n">
        <f aca="false">Z88+Z93</f>
        <v>18687.5254345684</v>
      </c>
      <c r="AA94" s="60" t="n">
        <f aca="false">AA88+AA93</f>
        <v>43642.1443700059</v>
      </c>
      <c r="AB94" s="60" t="n">
        <f aca="false">AB88+AB93</f>
        <v>97347.7592970599</v>
      </c>
      <c r="AC94" s="60" t="n">
        <f aca="false">AC88+AC93</f>
        <v>112129.656385275</v>
      </c>
      <c r="AD94" s="60" t="n">
        <f aca="false">AD88+AD93</f>
        <v>126459.666654933</v>
      </c>
      <c r="AE94" s="60" t="n">
        <f aca="false">AE88+AE93</f>
        <v>151149.204392503</v>
      </c>
      <c r="AF94" s="60" t="n">
        <f aca="false">AF88+AF93</f>
        <v>223576.681053268</v>
      </c>
      <c r="AG94" s="60" t="n">
        <f aca="false">AG88+AG93</f>
        <v>242022.614555219</v>
      </c>
      <c r="AH94" s="60" t="n">
        <f aca="false">AH88+AH93</f>
        <v>259149.305547794</v>
      </c>
      <c r="AI94" s="60" t="n">
        <f aca="false">AI88+AI93</f>
        <v>275032.681415081</v>
      </c>
      <c r="AJ94" s="60" t="n">
        <f aca="false">AJ88+AJ93</f>
        <v>289793.665154697</v>
      </c>
      <c r="AK94" s="60" t="n">
        <f aca="false">AK88+AK93</f>
        <v>303538.928595178</v>
      </c>
      <c r="AL94" s="60" t="n">
        <f aca="false">AL88+AL93</f>
        <v>193281.069595745</v>
      </c>
      <c r="AM94" s="60" t="n">
        <f aca="false">AM88+AM93</f>
        <v>241264.091277586</v>
      </c>
      <c r="AN94" s="60" t="n">
        <f aca="false">AN88+AN93</f>
        <v>286021.752721011</v>
      </c>
      <c r="AO94" s="60" t="n">
        <f aca="false">AO88+AO93</f>
        <v>327796.370036885</v>
      </c>
      <c r="AP94" s="60" t="n">
        <f aca="false">AP88+AP93</f>
        <v>366834.853894451</v>
      </c>
      <c r="AQ94" s="60" t="n">
        <f aca="false">AQ88+AQ93</f>
        <v>378250.084927172</v>
      </c>
      <c r="AR94" s="60" t="n">
        <f aca="false">AR88+AR93</f>
        <v>437269.962858331</v>
      </c>
      <c r="AS94" s="60" t="n">
        <f aca="false">AS88+AS93</f>
        <v>469025.236123271</v>
      </c>
      <c r="AT94" s="60" t="n">
        <f aca="false">AT88+AT93</f>
        <v>498629.719593926</v>
      </c>
      <c r="AU94" s="60" t="n">
        <f aca="false">AU88+AU93</f>
        <v>526311.087340185</v>
      </c>
      <c r="AV94" s="60" t="n">
        <f aca="false">AV88+AV93</f>
        <v>552152.255254512</v>
      </c>
      <c r="AW94" s="60" t="n">
        <f aca="false">AW88+AW93</f>
        <v>576281.906600859</v>
      </c>
      <c r="AX94" s="60" t="n">
        <f aca="false">AX88+AX93</f>
        <v>514279.293681611</v>
      </c>
      <c r="AY94" s="60" t="n">
        <f aca="false">AY88+AY93</f>
        <v>600280.917295195</v>
      </c>
      <c r="AZ94" s="60" t="n">
        <f aca="false">AZ88+AZ93</f>
        <v>680891.443337492</v>
      </c>
      <c r="BA94" s="60" t="n">
        <f aca="false">BA88+BA93</f>
        <v>756458.513055719</v>
      </c>
      <c r="BB94" s="60" t="n">
        <f aca="false">BB88+BB93</f>
        <v>827377.425798232</v>
      </c>
      <c r="BC94" s="60" t="n">
        <f aca="false">BC88+BC93</f>
        <v>863807.547772502</v>
      </c>
      <c r="BD94" s="60" t="n">
        <f aca="false">BD88+BD93</f>
        <v>956094.42062881</v>
      </c>
      <c r="BE94" s="60" t="n">
        <f aca="false">BE88+BE93</f>
        <v>1014463.94817595</v>
      </c>
      <c r="BF94" s="60" t="n">
        <f aca="false">BF88+BF93</f>
        <v>1069278.18469349</v>
      </c>
      <c r="BG94" s="60" t="n">
        <f aca="false">BG88+BG93</f>
        <v>1120558.26938187</v>
      </c>
      <c r="BH94" s="60" t="n">
        <f aca="false">BH88+BH93</f>
        <v>1168681.65716291</v>
      </c>
      <c r="BI94" s="60" t="n">
        <f aca="false">BI88+BI93</f>
        <v>1213823.41056656</v>
      </c>
      <c r="BJ94" s="61" t="n">
        <f aca="false">SUM(B94:BI94)</f>
        <v>18105907.5555274</v>
      </c>
    </row>
    <row r="95" customFormat="false" ht="15" hidden="false" customHeight="false" outlineLevel="0" collapsed="false">
      <c r="A95" s="62" t="s">
        <v>792</v>
      </c>
      <c r="B95" s="61" t="n">
        <f aca="false">B94</f>
        <v>0</v>
      </c>
      <c r="C95" s="61" t="n">
        <f aca="false">B95+C94</f>
        <v>0</v>
      </c>
      <c r="D95" s="61" t="n">
        <f aca="false">C95+D94</f>
        <v>0</v>
      </c>
      <c r="E95" s="61" t="n">
        <f aca="false">D95+E94</f>
        <v>8500</v>
      </c>
      <c r="F95" s="61" t="n">
        <f aca="false">E95+F94</f>
        <v>400</v>
      </c>
      <c r="G95" s="61" t="n">
        <f aca="false">F95+G94</f>
        <v>-1700</v>
      </c>
      <c r="H95" s="61" t="n">
        <f aca="false">G95+H94</f>
        <v>1200</v>
      </c>
      <c r="I95" s="61" t="n">
        <f aca="false">H95+I94</f>
        <v>7972.18</v>
      </c>
      <c r="J95" s="61" t="n">
        <f aca="false">I95+J94</f>
        <v>-4627.82</v>
      </c>
      <c r="K95" s="61" t="n">
        <f aca="false">J95+K94</f>
        <v>4594.58267499999</v>
      </c>
      <c r="L95" s="61" t="n">
        <f aca="false">K95+L94</f>
        <v>14254.30525</v>
      </c>
      <c r="M95" s="61" t="n">
        <f aca="false">L95+M94</f>
        <v>8894.90254999999</v>
      </c>
      <c r="N95" s="61" t="n">
        <f aca="false">M95+N94</f>
        <v>-73641.181590096</v>
      </c>
      <c r="O95" s="61" t="n">
        <f aca="false">N95+O94</f>
        <v>-134103.83203061</v>
      </c>
      <c r="P95" s="61" t="n">
        <f aca="false">O95+P94</f>
        <v>-180781.548699936</v>
      </c>
      <c r="Q95" s="61" t="n">
        <f aca="false">P95+Q94</f>
        <v>-180033.399365539</v>
      </c>
      <c r="R95" s="61" t="n">
        <f aca="false">Q95+R94</f>
        <v>-166002.856464377</v>
      </c>
      <c r="S95" s="61" t="n">
        <f aca="false">R95+S94</f>
        <v>-130367.917753834</v>
      </c>
      <c r="T95" s="61" t="n">
        <f aca="false">S95+T94</f>
        <v>-117399.783886674</v>
      </c>
      <c r="U95" s="61" t="n">
        <f aca="false">T95+U94</f>
        <v>-68719.8464753618</v>
      </c>
      <c r="V95" s="61" t="n">
        <f aca="false">U95+V94</f>
        <v>-10032.1877155718</v>
      </c>
      <c r="W95" s="61" t="n">
        <f aca="false">V95+W94</f>
        <v>88042.8090348153</v>
      </c>
      <c r="X95" s="61" t="n">
        <f aca="false">W95+X94</f>
        <v>194603.217232698</v>
      </c>
      <c r="Y95" s="61" t="n">
        <f aca="false">X95+Y94</f>
        <v>324264.300897586</v>
      </c>
      <c r="Z95" s="61" t="n">
        <f aca="false">Y95+Z94</f>
        <v>342951.826332154</v>
      </c>
      <c r="AA95" s="61" t="n">
        <f aca="false">Z95+AA94</f>
        <v>386593.97070216</v>
      </c>
      <c r="AB95" s="61" t="n">
        <f aca="false">AA95+AB94</f>
        <v>483941.72999922</v>
      </c>
      <c r="AC95" s="61" t="n">
        <f aca="false">AB95+AC94</f>
        <v>596071.386384496</v>
      </c>
      <c r="AD95" s="61" t="n">
        <f aca="false">AC95+AD94</f>
        <v>722531.053039428</v>
      </c>
      <c r="AE95" s="61" t="n">
        <f aca="false">AD95+AE94</f>
        <v>873680.257431932</v>
      </c>
      <c r="AF95" s="61" t="n">
        <f aca="false">AE95+AF94</f>
        <v>1097256.9384852</v>
      </c>
      <c r="AG95" s="61" t="n">
        <f aca="false">AF95+AG94</f>
        <v>1339279.55304042</v>
      </c>
      <c r="AH95" s="61" t="n">
        <f aca="false">AG95+AH94</f>
        <v>1598428.85858821</v>
      </c>
      <c r="AI95" s="61" t="n">
        <f aca="false">AH95+AI94</f>
        <v>1873461.54000329</v>
      </c>
      <c r="AJ95" s="61" t="n">
        <f aca="false">AI95+AJ94</f>
        <v>2163255.20515799</v>
      </c>
      <c r="AK95" s="61" t="n">
        <f aca="false">AJ95+AK94</f>
        <v>2466794.13375317</v>
      </c>
      <c r="AL95" s="61" t="n">
        <f aca="false">AK95+AL94</f>
        <v>2660075.20334891</v>
      </c>
      <c r="AM95" s="61" t="n">
        <f aca="false">AL95+AM94</f>
        <v>2901339.2946265</v>
      </c>
      <c r="AN95" s="61" t="n">
        <f aca="false">AM95+AN94</f>
        <v>3187361.04734751</v>
      </c>
      <c r="AO95" s="61" t="n">
        <f aca="false">AN95+AO94</f>
        <v>3515157.41738439</v>
      </c>
      <c r="AP95" s="61" t="n">
        <f aca="false">AO95+AP94</f>
        <v>3881992.27127885</v>
      </c>
      <c r="AQ95" s="61" t="n">
        <f aca="false">AP95+AQ94</f>
        <v>4260242.35620602</v>
      </c>
      <c r="AR95" s="61" t="n">
        <f aca="false">AQ95+AR94</f>
        <v>4697512.31906435</v>
      </c>
      <c r="AS95" s="61" t="n">
        <f aca="false">AR95+AS94</f>
        <v>5166537.55518762</v>
      </c>
      <c r="AT95" s="61" t="n">
        <f aca="false">AS95+AT94</f>
        <v>5665167.27478155</v>
      </c>
      <c r="AU95" s="61" t="n">
        <f aca="false">AT95+AU94</f>
        <v>6191478.36212173</v>
      </c>
      <c r="AV95" s="61" t="n">
        <f aca="false">AU95+AV94</f>
        <v>6743630.61737624</v>
      </c>
      <c r="AW95" s="61" t="n">
        <f aca="false">AV95+AW94</f>
        <v>7319912.5239771</v>
      </c>
      <c r="AX95" s="61" t="n">
        <f aca="false">AW95+AX94</f>
        <v>7834191.81765871</v>
      </c>
      <c r="AY95" s="61" t="n">
        <f aca="false">AX95+AY94</f>
        <v>8434472.73495391</v>
      </c>
      <c r="AZ95" s="61" t="n">
        <f aca="false">AY95+AZ94</f>
        <v>9115364.1782914</v>
      </c>
      <c r="BA95" s="61" t="n">
        <f aca="false">AZ95+BA94</f>
        <v>9871822.69134712</v>
      </c>
      <c r="BB95" s="61" t="n">
        <f aca="false">BA95+BB94</f>
        <v>10699200.1171454</v>
      </c>
      <c r="BC95" s="61" t="n">
        <f aca="false">BB95+BC94</f>
        <v>11563007.6649179</v>
      </c>
      <c r="BD95" s="61" t="n">
        <f aca="false">BC95+BD94</f>
        <v>12519102.0855467</v>
      </c>
      <c r="BE95" s="61" t="n">
        <f aca="false">BD95+BE94</f>
        <v>13533566.0337226</v>
      </c>
      <c r="BF95" s="61" t="n">
        <f aca="false">BE95+BF94</f>
        <v>14602844.2184161</v>
      </c>
      <c r="BG95" s="61" t="n">
        <f aca="false">BF95+BG94</f>
        <v>15723402.487798</v>
      </c>
      <c r="BH95" s="61" t="n">
        <f aca="false">BG95+BH94</f>
        <v>16892084.1449609</v>
      </c>
      <c r="BI95" s="61" t="n">
        <f aca="false">BH95+BI94</f>
        <v>18105907.5555274</v>
      </c>
      <c r="BJ95" s="61" t="n">
        <f aca="false">BI95</f>
        <v>18105907.5555274</v>
      </c>
    </row>
    <row r="96" customFormat="false" ht="15" hidden="false" customHeight="false" outlineLevel="0" collapsed="false">
      <c r="A96" s="71" t="s">
        <v>887</v>
      </c>
      <c r="B96" s="72" t="n">
        <f aca="false">IF(B91&lt;0,B$5,0)</f>
        <v>0</v>
      </c>
      <c r="C96" s="72" t="n">
        <f aca="false">IF(C91&lt;0,C$5,0)</f>
        <v>0</v>
      </c>
      <c r="D96" s="72" t="n">
        <f aca="false">IF(D91&lt;0,D$5,0)</f>
        <v>0</v>
      </c>
      <c r="E96" s="72" t="n">
        <f aca="false">IF(E91&lt;0,E$5,0)</f>
        <v>4</v>
      </c>
      <c r="F96" s="72" t="n">
        <f aca="false">IF(F91&lt;0,F$5,0)</f>
        <v>5</v>
      </c>
      <c r="G96" s="72" t="n">
        <f aca="false">IF(G91&lt;0,G$5,0)</f>
        <v>6</v>
      </c>
      <c r="H96" s="72" t="n">
        <f aca="false">IF(H91&lt;0,H$5,0)</f>
        <v>7</v>
      </c>
      <c r="I96" s="72" t="n">
        <f aca="false">IF(I91&lt;0,I$5,0)</f>
        <v>8</v>
      </c>
      <c r="J96" s="72" t="n">
        <f aca="false">IF(J91&lt;0,J$5,0)</f>
        <v>9</v>
      </c>
      <c r="K96" s="72" t="n">
        <f aca="false">IF(K91&lt;0,K$5,0)</f>
        <v>10</v>
      </c>
      <c r="L96" s="72" t="n">
        <f aca="false">IF(L91&lt;0,L$5,0)</f>
        <v>11</v>
      </c>
      <c r="M96" s="72" t="n">
        <f aca="false">IF(M91&lt;0,M$5,0)</f>
        <v>12</v>
      </c>
      <c r="N96" s="72" t="n">
        <f aca="false">IF(N91&lt;0,N$5,0)</f>
        <v>13</v>
      </c>
      <c r="O96" s="72" t="n">
        <f aca="false">IF(O91&lt;0,O$5,0)</f>
        <v>14</v>
      </c>
      <c r="P96" s="72" t="n">
        <f aca="false">IF(P91&lt;0,P$5,0)</f>
        <v>15</v>
      </c>
      <c r="Q96" s="72" t="n">
        <f aca="false">IF(Q91&lt;0,Q$5,0)</f>
        <v>16</v>
      </c>
      <c r="R96" s="72" t="n">
        <f aca="false">IF(R91&lt;0,R$5,0)</f>
        <v>17</v>
      </c>
      <c r="S96" s="72" t="n">
        <f aca="false">IF(S91&lt;0,S$5,0)</f>
        <v>18</v>
      </c>
      <c r="T96" s="72" t="n">
        <f aca="false">IF(T91&lt;0,T$5,0)</f>
        <v>19</v>
      </c>
      <c r="U96" s="72" t="n">
        <f aca="false">IF(U91&lt;0,U$5,0)</f>
        <v>20</v>
      </c>
      <c r="V96" s="72" t="n">
        <f aca="false">IF(V91&lt;0,V$5,0)</f>
        <v>21</v>
      </c>
      <c r="W96" s="72" t="n">
        <f aca="false">IF(W91&lt;0,W$5,0)</f>
        <v>22</v>
      </c>
      <c r="X96" s="72" t="n">
        <f aca="false">IF(X91&lt;0,X$5,0)</f>
        <v>0</v>
      </c>
      <c r="Y96" s="72" t="n">
        <f aca="false">IF(Y91&lt;0,Y$5,0)</f>
        <v>0</v>
      </c>
      <c r="Z96" s="72" t="n">
        <f aca="false">IF(Z91&lt;0,Z$5,0)</f>
        <v>0</v>
      </c>
      <c r="AA96" s="72" t="n">
        <f aca="false">IF(AA91&lt;0,AA$5,0)</f>
        <v>0</v>
      </c>
      <c r="AB96" s="72" t="n">
        <f aca="false">IF(AB91&lt;0,AB$5,0)</f>
        <v>0</v>
      </c>
      <c r="AC96" s="72" t="n">
        <f aca="false">IF(AC91&lt;0,AC$5,0)</f>
        <v>0</v>
      </c>
      <c r="AD96" s="72" t="n">
        <f aca="false">IF(AD91&lt;0,AD$5,0)</f>
        <v>0</v>
      </c>
      <c r="AE96" s="72" t="n">
        <f aca="false">IF(AE91&lt;0,AE$5,0)</f>
        <v>0</v>
      </c>
      <c r="AF96" s="72" t="n">
        <f aca="false">IF(AF91&lt;0,AF$5,0)</f>
        <v>0</v>
      </c>
      <c r="AG96" s="72" t="n">
        <f aca="false">IF(AG91&lt;0,AG$5,0)</f>
        <v>0</v>
      </c>
      <c r="AH96" s="72" t="n">
        <f aca="false">IF(AH91&lt;0,AH$5,0)</f>
        <v>0</v>
      </c>
      <c r="AI96" s="72" t="n">
        <f aca="false">IF(AI91&lt;0,AI$5,0)</f>
        <v>0</v>
      </c>
      <c r="AJ96" s="72" t="n">
        <f aca="false">IF(AJ91&lt;0,AJ$5,0)</f>
        <v>0</v>
      </c>
      <c r="AK96" s="72" t="n">
        <f aca="false">IF(AK91&lt;0,AK$5,0)</f>
        <v>0</v>
      </c>
      <c r="AL96" s="72" t="n">
        <f aca="false">IF(AL91&lt;0,AL$5,0)</f>
        <v>0</v>
      </c>
      <c r="AM96" s="72" t="n">
        <f aca="false">IF(AM91&lt;0,AM$5,0)</f>
        <v>0</v>
      </c>
      <c r="AN96" s="72" t="n">
        <f aca="false">IF(AN91&lt;0,AN$5,0)</f>
        <v>0</v>
      </c>
      <c r="AO96" s="72" t="n">
        <f aca="false">IF(AO91&lt;0,AO$5,0)</f>
        <v>0</v>
      </c>
      <c r="AP96" s="72" t="n">
        <f aca="false">IF(AP91&lt;0,AP$5,0)</f>
        <v>0</v>
      </c>
      <c r="AQ96" s="72" t="n">
        <f aca="false">IF(AQ91&lt;0,AQ$5,0)</f>
        <v>0</v>
      </c>
      <c r="AR96" s="72" t="n">
        <f aca="false">IF(AR91&lt;0,AR$5,0)</f>
        <v>0</v>
      </c>
      <c r="AS96" s="72" t="n">
        <f aca="false">IF(AS91&lt;0,AS$5,0)</f>
        <v>0</v>
      </c>
      <c r="AT96" s="72" t="n">
        <f aca="false">IF(AT91&lt;0,AT$5,0)</f>
        <v>0</v>
      </c>
      <c r="AU96" s="72" t="n">
        <f aca="false">IF(AU91&lt;0,AU$5,0)</f>
        <v>0</v>
      </c>
      <c r="AV96" s="72" t="n">
        <f aca="false">IF(AV91&lt;0,AV$5,0)</f>
        <v>0</v>
      </c>
      <c r="AW96" s="72" t="n">
        <f aca="false">IF(AW91&lt;0,AW$5,0)</f>
        <v>0</v>
      </c>
      <c r="AX96" s="72" t="n">
        <f aca="false">IF(AX91&lt;0,AX$5,0)</f>
        <v>0</v>
      </c>
      <c r="AY96" s="72" t="n">
        <f aca="false">IF(AY91&lt;0,AY$5,0)</f>
        <v>0</v>
      </c>
      <c r="AZ96" s="72" t="n">
        <f aca="false">IF(AZ91&lt;0,AZ$5,0)</f>
        <v>0</v>
      </c>
      <c r="BA96" s="72" t="n">
        <f aca="false">IF(BA91&lt;0,BA$5,0)</f>
        <v>0</v>
      </c>
      <c r="BB96" s="72" t="n">
        <f aca="false">IF(BB91&lt;0,BB$5,0)</f>
        <v>0</v>
      </c>
      <c r="BC96" s="72" t="n">
        <f aca="false">IF(BC91&lt;0,BC$5,0)</f>
        <v>0</v>
      </c>
      <c r="BD96" s="72" t="n">
        <f aca="false">IF(BD91&lt;0,BD$5,0)</f>
        <v>0</v>
      </c>
      <c r="BE96" s="72" t="n">
        <f aca="false">IF(BE91&lt;0,BE$5,0)</f>
        <v>0</v>
      </c>
      <c r="BF96" s="72" t="n">
        <f aca="false">IF(BF91&lt;0,BF$5,0)</f>
        <v>0</v>
      </c>
      <c r="BG96" s="72" t="n">
        <f aca="false">IF(BG91&lt;0,BG$5,0)</f>
        <v>0</v>
      </c>
      <c r="BH96" s="72" t="n">
        <f aca="false">IF(BH91&lt;0,BH$5,0)</f>
        <v>0</v>
      </c>
      <c r="BI96" s="72" t="n">
        <f aca="false">IF(BI91&lt;0,BI$5,0)</f>
        <v>0</v>
      </c>
      <c r="BJ96" s="134" t="n">
        <f aca="false">BI96</f>
        <v>0</v>
      </c>
      <c r="BK96" s="29" t="s">
        <v>888</v>
      </c>
    </row>
    <row r="97" customFormat="false" ht="15" hidden="false" customHeight="false" outlineLevel="0" collapsed="false">
      <c r="A97" s="71" t="s">
        <v>889</v>
      </c>
      <c r="B97" s="72" t="n">
        <f aca="false">IF(B90&lt;0,B$5,0)</f>
        <v>0</v>
      </c>
      <c r="C97" s="72" t="n">
        <f aca="false">IF(C90&lt;0,C$5,0)</f>
        <v>0</v>
      </c>
      <c r="D97" s="72" t="n">
        <f aca="false">IF(D90&lt;0,D$5,0)</f>
        <v>0</v>
      </c>
      <c r="E97" s="72" t="n">
        <f aca="false">IF(E90&lt;0,E$5,0)</f>
        <v>4</v>
      </c>
      <c r="F97" s="72" t="n">
        <f aca="false">IF(F90&lt;0,F$5,0)</f>
        <v>5</v>
      </c>
      <c r="G97" s="72" t="n">
        <f aca="false">IF(G90&lt;0,G$5,0)</f>
        <v>6</v>
      </c>
      <c r="H97" s="72" t="n">
        <f aca="false">IF(H90&lt;0,H$5,0)</f>
        <v>7</v>
      </c>
      <c r="I97" s="72" t="n">
        <f aca="false">IF(I90&lt;0,I$5,0)</f>
        <v>8</v>
      </c>
      <c r="J97" s="72" t="n">
        <f aca="false">IF(J90&lt;0,J$5,0)</f>
        <v>9</v>
      </c>
      <c r="K97" s="72" t="n">
        <f aca="false">IF(K90&lt;0,K$5,0)</f>
        <v>10</v>
      </c>
      <c r="L97" s="72" t="n">
        <f aca="false">IF(L90&lt;0,L$5,0)</f>
        <v>11</v>
      </c>
      <c r="M97" s="72" t="n">
        <f aca="false">IF(M90&lt;0,M$5,0)</f>
        <v>12</v>
      </c>
      <c r="N97" s="72" t="n">
        <f aca="false">IF(N90&lt;0,N$5,0)</f>
        <v>13</v>
      </c>
      <c r="O97" s="72" t="n">
        <f aca="false">IF(O90&lt;0,O$5,0)</f>
        <v>14</v>
      </c>
      <c r="P97" s="72" t="n">
        <f aca="false">IF(P90&lt;0,P$5,0)</f>
        <v>15</v>
      </c>
      <c r="Q97" s="72" t="n">
        <f aca="false">IF(Q90&lt;0,Q$5,0)</f>
        <v>16</v>
      </c>
      <c r="R97" s="72" t="n">
        <f aca="false">IF(R90&lt;0,R$5,0)</f>
        <v>17</v>
      </c>
      <c r="S97" s="72" t="n">
        <f aca="false">IF(S90&lt;0,S$5,0)</f>
        <v>18</v>
      </c>
      <c r="T97" s="72" t="n">
        <f aca="false">IF(T90&lt;0,T$5,0)</f>
        <v>19</v>
      </c>
      <c r="U97" s="72" t="n">
        <f aca="false">IF(U90&lt;0,U$5,0)</f>
        <v>20</v>
      </c>
      <c r="V97" s="72" t="n">
        <f aca="false">IF(V90&lt;0,V$5,0)</f>
        <v>21</v>
      </c>
      <c r="W97" s="72" t="n">
        <f aca="false">IF(W90&lt;0,W$5,0)</f>
        <v>22</v>
      </c>
      <c r="X97" s="72" t="n">
        <f aca="false">IF(X90&lt;0,X$5,0)</f>
        <v>23</v>
      </c>
      <c r="Y97" s="72" t="n">
        <f aca="false">IF(Y90&lt;0,Y$5,0)</f>
        <v>0</v>
      </c>
      <c r="Z97" s="72" t="n">
        <f aca="false">IF(Z90&lt;0,Z$5,0)</f>
        <v>0</v>
      </c>
      <c r="AA97" s="72" t="n">
        <f aca="false">IF(AA90&lt;0,AA$5,0)</f>
        <v>0</v>
      </c>
      <c r="AB97" s="72" t="n">
        <f aca="false">IF(AB90&lt;0,AB$5,0)</f>
        <v>0</v>
      </c>
      <c r="AC97" s="72" t="n">
        <f aca="false">IF(AC90&lt;0,AC$5,0)</f>
        <v>0</v>
      </c>
      <c r="AD97" s="72" t="n">
        <f aca="false">IF(AD90&lt;0,AD$5,0)</f>
        <v>0</v>
      </c>
      <c r="AE97" s="72" t="n">
        <f aca="false">IF(AE90&lt;0,AE$5,0)</f>
        <v>0</v>
      </c>
      <c r="AF97" s="72" t="n">
        <f aca="false">IF(AF90&lt;0,AF$5,0)</f>
        <v>0</v>
      </c>
      <c r="AG97" s="72" t="n">
        <f aca="false">IF(AG90&lt;0,AG$5,0)</f>
        <v>0</v>
      </c>
      <c r="AH97" s="72" t="n">
        <f aca="false">IF(AH90&lt;0,AH$5,0)</f>
        <v>0</v>
      </c>
      <c r="AI97" s="72" t="n">
        <f aca="false">IF(AI90&lt;0,AI$5,0)</f>
        <v>0</v>
      </c>
      <c r="AJ97" s="72" t="n">
        <f aca="false">IF(AJ90&lt;0,AJ$5,0)</f>
        <v>0</v>
      </c>
      <c r="AK97" s="72" t="n">
        <f aca="false">IF(AK90&lt;0,AK$5,0)</f>
        <v>0</v>
      </c>
      <c r="AL97" s="72" t="n">
        <f aca="false">IF(AL90&lt;0,AL$5,0)</f>
        <v>0</v>
      </c>
      <c r="AM97" s="72" t="n">
        <f aca="false">IF(AM90&lt;0,AM$5,0)</f>
        <v>0</v>
      </c>
      <c r="AN97" s="72" t="n">
        <f aca="false">IF(AN90&lt;0,AN$5,0)</f>
        <v>0</v>
      </c>
      <c r="AO97" s="72" t="n">
        <f aca="false">IF(AO90&lt;0,AO$5,0)</f>
        <v>0</v>
      </c>
      <c r="AP97" s="72" t="n">
        <f aca="false">IF(AP90&lt;0,AP$5,0)</f>
        <v>0</v>
      </c>
      <c r="AQ97" s="72" t="n">
        <f aca="false">IF(AQ90&lt;0,AQ$5,0)</f>
        <v>0</v>
      </c>
      <c r="AR97" s="72" t="n">
        <f aca="false">IF(AR90&lt;0,AR$5,0)</f>
        <v>0</v>
      </c>
      <c r="AS97" s="72" t="n">
        <f aca="false">IF(AS90&lt;0,AS$5,0)</f>
        <v>0</v>
      </c>
      <c r="AT97" s="72" t="n">
        <f aca="false">IF(AT90&lt;0,AT$5,0)</f>
        <v>0</v>
      </c>
      <c r="AU97" s="72" t="n">
        <f aca="false">IF(AU90&lt;0,AU$5,0)</f>
        <v>0</v>
      </c>
      <c r="AV97" s="72" t="n">
        <f aca="false">IF(AV90&lt;0,AV$5,0)</f>
        <v>0</v>
      </c>
      <c r="AW97" s="72" t="n">
        <f aca="false">IF(AW90&lt;0,AW$5,0)</f>
        <v>0</v>
      </c>
      <c r="AX97" s="72" t="n">
        <f aca="false">IF(AX90&lt;0,AX$5,0)</f>
        <v>0</v>
      </c>
      <c r="AY97" s="72" t="n">
        <f aca="false">IF(AY90&lt;0,AY$5,0)</f>
        <v>0</v>
      </c>
      <c r="AZ97" s="72" t="n">
        <f aca="false">IF(AZ90&lt;0,AZ$5,0)</f>
        <v>0</v>
      </c>
      <c r="BA97" s="72" t="n">
        <f aca="false">IF(BA90&lt;0,BA$5,0)</f>
        <v>0</v>
      </c>
      <c r="BB97" s="72" t="n">
        <f aca="false">IF(BB90&lt;0,BB$5,0)</f>
        <v>0</v>
      </c>
      <c r="BC97" s="72" t="n">
        <f aca="false">IF(BC90&lt;0,BC$5,0)</f>
        <v>0</v>
      </c>
      <c r="BD97" s="72" t="n">
        <f aca="false">IF(BD90&lt;0,BD$5,0)</f>
        <v>0</v>
      </c>
      <c r="BE97" s="72" t="n">
        <f aca="false">IF(BE90&lt;0,BE$5,0)</f>
        <v>0</v>
      </c>
      <c r="BF97" s="72" t="n">
        <f aca="false">IF(BF90&lt;0,BF$5,0)</f>
        <v>0</v>
      </c>
      <c r="BG97" s="72" t="n">
        <f aca="false">IF(BG90&lt;0,BG$5,0)</f>
        <v>0</v>
      </c>
      <c r="BH97" s="72" t="n">
        <f aca="false">IF(BH90&lt;0,BH$5,0)</f>
        <v>0</v>
      </c>
      <c r="BI97" s="72" t="n">
        <f aca="false">IF(BI90&lt;0,BI$5,0)</f>
        <v>0</v>
      </c>
      <c r="BJ97" s="134" t="n">
        <f aca="false">BI97</f>
        <v>0</v>
      </c>
      <c r="BK97" s="29" t="s">
        <v>888</v>
      </c>
    </row>
    <row r="101" customFormat="false" ht="19.5" hidden="false" customHeight="true" outlineLevel="0" collapsed="false">
      <c r="A101" s="75" t="s">
        <v>273</v>
      </c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</row>
    <row r="102" customFormat="false" ht="15" hidden="false" customHeight="false" outlineLevel="0" collapsed="false">
      <c r="A102" s="27" t="s">
        <v>834</v>
      </c>
      <c r="B102" s="91" t="n">
        <f aca="false">IF(B$4&lt;Premissas!$B$13,0,IF('Ajuste Mensal'!B$25="",INDEX(Premissas!$C$57:$G$57,B$7),'Ajuste Mensal'!B$25))</f>
        <v>0</v>
      </c>
      <c r="C102" s="91" t="n">
        <f aca="false">IF(C$4&lt;Premissas!$B$13,0,IF('Ajuste Mensal'!C$25="",INDEX(Premissas!$C$57:$G$57,C$7),'Ajuste Mensal'!C$25))</f>
        <v>0</v>
      </c>
      <c r="D102" s="91" t="n">
        <f aca="false">IF(D$4&lt;Premissas!$B$13,0,IF('Ajuste Mensal'!D$25="",INDEX(Premissas!$C$57:$G$57,D$7),'Ajuste Mensal'!D$25))</f>
        <v>0</v>
      </c>
      <c r="E102" s="91" t="n">
        <f aca="false">IF(E$4&lt;Premissas!$B$13,0,IF('Ajuste Mensal'!E$25="",INDEX(Premissas!$C$57:$G$57,E$7),'Ajuste Mensal'!E$25))</f>
        <v>0</v>
      </c>
      <c r="F102" s="91" t="n">
        <f aca="false">IF(F$4&lt;Premissas!$B$13,0,IF('Ajuste Mensal'!F$25="",INDEX(Premissas!$C$57:$G$57,F$7),'Ajuste Mensal'!F$25))</f>
        <v>0</v>
      </c>
      <c r="G102" s="91" t="n">
        <f aca="false">IF(G$4&lt;Premissas!$B$13,0,IF('Ajuste Mensal'!G$25="",INDEX(Premissas!$C$57:$G$57,G$7),'Ajuste Mensal'!G$25))</f>
        <v>0</v>
      </c>
      <c r="H102" s="91" t="n">
        <f aca="false">IF(H$4&lt;Premissas!$B$13,0,IF('Ajuste Mensal'!H$25="",INDEX(Premissas!$C$57:$G$57,H$7),'Ajuste Mensal'!H$25))</f>
        <v>0</v>
      </c>
      <c r="I102" s="91" t="n">
        <f aca="false">IF(I$4&lt;Premissas!$B$13,0,IF('Ajuste Mensal'!I$25="",INDEX(Premissas!$C$57:$G$57,I$7),'Ajuste Mensal'!I$25))</f>
        <v>0</v>
      </c>
      <c r="J102" s="91" t="n">
        <f aca="false">IF(J$4&lt;Premissas!$B$13,0,IF('Ajuste Mensal'!J$25="",INDEX(Premissas!$C$57:$G$57,J$7),'Ajuste Mensal'!J$25))</f>
        <v>0</v>
      </c>
      <c r="K102" s="91" t="n">
        <f aca="false">IF(K$4&lt;Premissas!$B$13,0,IF('Ajuste Mensal'!K$25="",INDEX(Premissas!$C$57:$G$57,K$7),'Ajuste Mensal'!K$25))</f>
        <v>25340</v>
      </c>
      <c r="L102" s="91" t="n">
        <f aca="false">IF(L$4&lt;Premissas!$B$13,0,IF('Ajuste Mensal'!L$25="",INDEX(Premissas!$C$57:$G$57,L$7),'Ajuste Mensal'!L$25))</f>
        <v>25340</v>
      </c>
      <c r="M102" s="91" t="n">
        <f aca="false">IF(M$4&lt;Premissas!$B$13,0,IF('Ajuste Mensal'!M$25="",INDEX(Premissas!$C$57:$G$57,M$7),'Ajuste Mensal'!M$25))</f>
        <v>25340</v>
      </c>
      <c r="N102" s="91" t="n">
        <f aca="false">IF(N$4&lt;Premissas!$B$13,0,IF('Ajuste Mensal'!N$25="",INDEX(Premissas!$C$57:$G$57,N$7),'Ajuste Mensal'!N$25))</f>
        <v>40544</v>
      </c>
      <c r="O102" s="91" t="n">
        <f aca="false">IF(O$4&lt;Premissas!$B$13,0,IF('Ajuste Mensal'!O$25="",INDEX(Premissas!$C$57:$G$57,O$7),'Ajuste Mensal'!O$25))</f>
        <v>40544</v>
      </c>
      <c r="P102" s="91" t="n">
        <f aca="false">IF(P$4&lt;Premissas!$B$13,0,IF('Ajuste Mensal'!P$25="",INDEX(Premissas!$C$57:$G$57,P$7),'Ajuste Mensal'!P$25))</f>
        <v>40544</v>
      </c>
      <c r="Q102" s="91" t="n">
        <f aca="false">IF(Q$4&lt;Premissas!$B$13,0,IF('Ajuste Mensal'!Q$25="",INDEX(Premissas!$C$57:$G$57,Q$7),'Ajuste Mensal'!Q$25))</f>
        <v>40544</v>
      </c>
      <c r="R102" s="91" t="n">
        <f aca="false">IF(R$4&lt;Premissas!$B$13,0,IF('Ajuste Mensal'!R$25="",INDEX(Premissas!$C$57:$G$57,R$7),'Ajuste Mensal'!R$25))</f>
        <v>40544</v>
      </c>
      <c r="S102" s="91" t="n">
        <f aca="false">IF(S$4&lt;Premissas!$B$13,0,IF('Ajuste Mensal'!S$25="",INDEX(Premissas!$C$57:$G$57,S$7),'Ajuste Mensal'!S$25))</f>
        <v>40544</v>
      </c>
      <c r="T102" s="91" t="n">
        <f aca="false">IF(T$4&lt;Premissas!$B$13,0,IF('Ajuste Mensal'!T$25="",INDEX(Premissas!$C$57:$G$57,T$7),'Ajuste Mensal'!T$25))</f>
        <v>40544</v>
      </c>
      <c r="U102" s="91" t="n">
        <f aca="false">IF(U$4&lt;Premissas!$B$13,0,IF('Ajuste Mensal'!U$25="",INDEX(Premissas!$C$57:$G$57,U$7),'Ajuste Mensal'!U$25))</f>
        <v>40544</v>
      </c>
      <c r="V102" s="91" t="n">
        <f aca="false">IF(V$4&lt;Premissas!$B$13,0,IF('Ajuste Mensal'!V$25="",INDEX(Premissas!$C$57:$G$57,V$7),'Ajuste Mensal'!V$25))</f>
        <v>40544</v>
      </c>
      <c r="W102" s="91" t="n">
        <f aca="false">IF(W$4&lt;Premissas!$B$13,0,IF('Ajuste Mensal'!W$25="",INDEX(Premissas!$C$57:$G$57,W$7),'Ajuste Mensal'!W$25))</f>
        <v>40544</v>
      </c>
      <c r="X102" s="91" t="n">
        <f aca="false">IF(X$4&lt;Premissas!$B$13,0,IF('Ajuste Mensal'!X$25="",INDEX(Premissas!$C$57:$G$57,X$7),'Ajuste Mensal'!X$25))</f>
        <v>40544</v>
      </c>
      <c r="Y102" s="91" t="n">
        <f aca="false">IF(Y$4&lt;Premissas!$B$13,0,IF('Ajuste Mensal'!Y$25="",INDEX(Premissas!$C$57:$G$57,Y$7),'Ajuste Mensal'!Y$25))</f>
        <v>40544</v>
      </c>
      <c r="Z102" s="91" t="n">
        <f aca="false">IF(Z$4&lt;Premissas!$B$13,0,IF('Ajuste Mensal'!Z$25="",INDEX(Premissas!$C$57:$G$57,Z$7),'Ajuste Mensal'!Z$25))</f>
        <v>64870.4</v>
      </c>
      <c r="AA102" s="91" t="n">
        <f aca="false">IF(AA$4&lt;Premissas!$B$13,0,IF('Ajuste Mensal'!AA$25="",INDEX(Premissas!$C$57:$G$57,AA$7),'Ajuste Mensal'!AA$25))</f>
        <v>64870.4</v>
      </c>
      <c r="AB102" s="91" t="n">
        <f aca="false">IF(AB$4&lt;Premissas!$B$13,0,IF('Ajuste Mensal'!AB$25="",INDEX(Premissas!$C$57:$G$57,AB$7),'Ajuste Mensal'!AB$25))</f>
        <v>64870.4</v>
      </c>
      <c r="AC102" s="91" t="n">
        <f aca="false">IF(AC$4&lt;Premissas!$B$13,0,IF('Ajuste Mensal'!AC$25="",INDEX(Premissas!$C$57:$G$57,AC$7),'Ajuste Mensal'!AC$25))</f>
        <v>64870.4</v>
      </c>
      <c r="AD102" s="91" t="n">
        <f aca="false">IF(AD$4&lt;Premissas!$B$13,0,IF('Ajuste Mensal'!AD$25="",INDEX(Premissas!$C$57:$G$57,AD$7),'Ajuste Mensal'!AD$25))</f>
        <v>64870.4</v>
      </c>
      <c r="AE102" s="91" t="n">
        <f aca="false">IF(AE$4&lt;Premissas!$B$13,0,IF('Ajuste Mensal'!AE$25="",INDEX(Premissas!$C$57:$G$57,AE$7),'Ajuste Mensal'!AE$25))</f>
        <v>64870.4</v>
      </c>
      <c r="AF102" s="91" t="n">
        <f aca="false">IF(AF$4&lt;Premissas!$B$13,0,IF('Ajuste Mensal'!AF$25="",INDEX(Premissas!$C$57:$G$57,AF$7),'Ajuste Mensal'!AF$25))</f>
        <v>64870.4</v>
      </c>
      <c r="AG102" s="91" t="n">
        <f aca="false">IF(AG$4&lt;Premissas!$B$13,0,IF('Ajuste Mensal'!AG$25="",INDEX(Premissas!$C$57:$G$57,AG$7),'Ajuste Mensal'!AG$25))</f>
        <v>64870.4</v>
      </c>
      <c r="AH102" s="91" t="n">
        <f aca="false">IF(AH$4&lt;Premissas!$B$13,0,IF('Ajuste Mensal'!AH$25="",INDEX(Premissas!$C$57:$G$57,AH$7),'Ajuste Mensal'!AH$25))</f>
        <v>64870.4</v>
      </c>
      <c r="AI102" s="91" t="n">
        <f aca="false">IF(AI$4&lt;Premissas!$B$13,0,IF('Ajuste Mensal'!AI$25="",INDEX(Premissas!$C$57:$G$57,AI$7),'Ajuste Mensal'!AI$25))</f>
        <v>64870.4</v>
      </c>
      <c r="AJ102" s="91" t="n">
        <f aca="false">IF(AJ$4&lt;Premissas!$B$13,0,IF('Ajuste Mensal'!AJ$25="",INDEX(Premissas!$C$57:$G$57,AJ$7),'Ajuste Mensal'!AJ$25))</f>
        <v>64870.4</v>
      </c>
      <c r="AK102" s="91" t="n">
        <f aca="false">IF(AK$4&lt;Premissas!$B$13,0,IF('Ajuste Mensal'!AK$25="",INDEX(Premissas!$C$57:$G$57,AK$7),'Ajuste Mensal'!AK$25))</f>
        <v>64870.4</v>
      </c>
      <c r="AL102" s="91" t="n">
        <f aca="false">IF(AL$4&lt;Premissas!$B$13,0,IF('Ajuste Mensal'!AL$25="",INDEX(Premissas!$C$57:$G$57,AL$7),'Ajuste Mensal'!AL$25))</f>
        <v>103792.64</v>
      </c>
      <c r="AM102" s="91" t="n">
        <f aca="false">IF(AM$4&lt;Premissas!$B$13,0,IF('Ajuste Mensal'!AM$25="",INDEX(Premissas!$C$57:$G$57,AM$7),'Ajuste Mensal'!AM$25))</f>
        <v>103792.64</v>
      </c>
      <c r="AN102" s="91" t="n">
        <f aca="false">IF(AN$4&lt;Premissas!$B$13,0,IF('Ajuste Mensal'!AN$25="",INDEX(Premissas!$C$57:$G$57,AN$7),'Ajuste Mensal'!AN$25))</f>
        <v>103792.64</v>
      </c>
      <c r="AO102" s="91" t="n">
        <f aca="false">IF(AO$4&lt;Premissas!$B$13,0,IF('Ajuste Mensal'!AO$25="",INDEX(Premissas!$C$57:$G$57,AO$7),'Ajuste Mensal'!AO$25))</f>
        <v>103792.64</v>
      </c>
      <c r="AP102" s="91" t="n">
        <f aca="false">IF(AP$4&lt;Premissas!$B$13,0,IF('Ajuste Mensal'!AP$25="",INDEX(Premissas!$C$57:$G$57,AP$7),'Ajuste Mensal'!AP$25))</f>
        <v>103792.64</v>
      </c>
      <c r="AQ102" s="91" t="n">
        <f aca="false">IF(AQ$4&lt;Premissas!$B$13,0,IF('Ajuste Mensal'!AQ$25="",INDEX(Premissas!$C$57:$G$57,AQ$7),'Ajuste Mensal'!AQ$25))</f>
        <v>103792.64</v>
      </c>
      <c r="AR102" s="91" t="n">
        <f aca="false">IF(AR$4&lt;Premissas!$B$13,0,IF('Ajuste Mensal'!AR$25="",INDEX(Premissas!$C$57:$G$57,AR$7),'Ajuste Mensal'!AR$25))</f>
        <v>103792.64</v>
      </c>
      <c r="AS102" s="91" t="n">
        <f aca="false">IF(AS$4&lt;Premissas!$B$13,0,IF('Ajuste Mensal'!AS$25="",INDEX(Premissas!$C$57:$G$57,AS$7),'Ajuste Mensal'!AS$25))</f>
        <v>103792.64</v>
      </c>
      <c r="AT102" s="91" t="n">
        <f aca="false">IF(AT$4&lt;Premissas!$B$13,0,IF('Ajuste Mensal'!AT$25="",INDEX(Premissas!$C$57:$G$57,AT$7),'Ajuste Mensal'!AT$25))</f>
        <v>103792.64</v>
      </c>
      <c r="AU102" s="91" t="n">
        <f aca="false">IF(AU$4&lt;Premissas!$B$13,0,IF('Ajuste Mensal'!AU$25="",INDEX(Premissas!$C$57:$G$57,AU$7),'Ajuste Mensal'!AU$25))</f>
        <v>103792.64</v>
      </c>
      <c r="AV102" s="91" t="n">
        <f aca="false">IF(AV$4&lt;Premissas!$B$13,0,IF('Ajuste Mensal'!AV$25="",INDEX(Premissas!$C$57:$G$57,AV$7),'Ajuste Mensal'!AV$25))</f>
        <v>103792.64</v>
      </c>
      <c r="AW102" s="91" t="n">
        <f aca="false">IF(AW$4&lt;Premissas!$B$13,0,IF('Ajuste Mensal'!AW$25="",INDEX(Premissas!$C$57:$G$57,AW$7),'Ajuste Mensal'!AW$25))</f>
        <v>103792.64</v>
      </c>
      <c r="AX102" s="91" t="n">
        <f aca="false">IF(AX$4&lt;Premissas!$B$13,0,IF('Ajuste Mensal'!AX$25="",INDEX(Premissas!$C$57:$G$57,AX$7),'Ajuste Mensal'!AX$25))</f>
        <v>166068.224</v>
      </c>
      <c r="AY102" s="91" t="n">
        <f aca="false">IF(AY$4&lt;Premissas!$B$13,0,IF('Ajuste Mensal'!AY$25="",INDEX(Premissas!$C$57:$G$57,AY$7),'Ajuste Mensal'!AY$25))</f>
        <v>166068.224</v>
      </c>
      <c r="AZ102" s="91" t="n">
        <f aca="false">IF(AZ$4&lt;Premissas!$B$13,0,IF('Ajuste Mensal'!AZ$25="",INDEX(Premissas!$C$57:$G$57,AZ$7),'Ajuste Mensal'!AZ$25))</f>
        <v>166068.224</v>
      </c>
      <c r="BA102" s="91" t="n">
        <f aca="false">IF(BA$4&lt;Premissas!$B$13,0,IF('Ajuste Mensal'!BA$25="",INDEX(Premissas!$C$57:$G$57,BA$7),'Ajuste Mensal'!BA$25))</f>
        <v>166068.224</v>
      </c>
      <c r="BB102" s="91" t="n">
        <f aca="false">IF(BB$4&lt;Premissas!$B$13,0,IF('Ajuste Mensal'!BB$25="",INDEX(Premissas!$C$57:$G$57,BB$7),'Ajuste Mensal'!BB$25))</f>
        <v>166068.224</v>
      </c>
      <c r="BC102" s="91" t="n">
        <f aca="false">IF(BC$4&lt;Premissas!$B$13,0,IF('Ajuste Mensal'!BC$25="",INDEX(Premissas!$C$57:$G$57,BC$7),'Ajuste Mensal'!BC$25))</f>
        <v>166068.224</v>
      </c>
      <c r="BD102" s="91" t="n">
        <f aca="false">IF(BD$4&lt;Premissas!$B$13,0,IF('Ajuste Mensal'!BD$25="",INDEX(Premissas!$C$57:$G$57,BD$7),'Ajuste Mensal'!BD$25))</f>
        <v>166068.224</v>
      </c>
      <c r="BE102" s="91" t="n">
        <f aca="false">IF(BE$4&lt;Premissas!$B$13,0,IF('Ajuste Mensal'!BE$25="",INDEX(Premissas!$C$57:$G$57,BE$7),'Ajuste Mensal'!BE$25))</f>
        <v>166068.224</v>
      </c>
      <c r="BF102" s="91" t="n">
        <f aca="false">IF(BF$4&lt;Premissas!$B$13,0,IF('Ajuste Mensal'!BF$25="",INDEX(Premissas!$C$57:$G$57,BF$7),'Ajuste Mensal'!BF$25))</f>
        <v>166068.224</v>
      </c>
      <c r="BG102" s="91" t="n">
        <f aca="false">IF(BG$4&lt;Premissas!$B$13,0,IF('Ajuste Mensal'!BG$25="",INDEX(Premissas!$C$57:$G$57,BG$7),'Ajuste Mensal'!BG$25))</f>
        <v>166068.224</v>
      </c>
      <c r="BH102" s="91" t="n">
        <f aca="false">IF(BH$4&lt;Premissas!$B$13,0,IF('Ajuste Mensal'!BH$25="",INDEX(Premissas!$C$57:$G$57,BH$7),'Ajuste Mensal'!BH$25))</f>
        <v>166068.224</v>
      </c>
      <c r="BI102" s="91" t="n">
        <f aca="false">IF(BI$4&lt;Premissas!$B$13,0,IF('Ajuste Mensal'!BI$25="",INDEX(Premissas!$C$57:$G$57,BI$7),'Ajuste Mensal'!BI$25))</f>
        <v>166068.224</v>
      </c>
      <c r="BJ102" s="134" t="n">
        <f aca="false">SUM(B102:BI102)</f>
        <v>4579323.168</v>
      </c>
    </row>
    <row r="103" customFormat="false" ht="15" hidden="false" customHeight="false" outlineLevel="0" collapsed="false">
      <c r="A103" s="27" t="s">
        <v>835</v>
      </c>
      <c r="B103" s="91" t="n">
        <f aca="false">0</f>
        <v>0</v>
      </c>
      <c r="C103" s="91" t="n">
        <f aca="false">B105</f>
        <v>0</v>
      </c>
      <c r="D103" s="91" t="n">
        <f aca="false">C105</f>
        <v>0</v>
      </c>
      <c r="E103" s="91" t="n">
        <f aca="false">D105</f>
        <v>0</v>
      </c>
      <c r="F103" s="91" t="n">
        <f aca="false">E105</f>
        <v>0</v>
      </c>
      <c r="G103" s="91" t="n">
        <f aca="false">F105</f>
        <v>0</v>
      </c>
      <c r="H103" s="91" t="n">
        <f aca="false">G105</f>
        <v>0</v>
      </c>
      <c r="I103" s="91" t="n">
        <f aca="false">H105</f>
        <v>0</v>
      </c>
      <c r="J103" s="91" t="n">
        <f aca="false">I105</f>
        <v>0</v>
      </c>
      <c r="K103" s="91" t="n">
        <f aca="false">J105</f>
        <v>0</v>
      </c>
      <c r="L103" s="91" t="n">
        <f aca="false">K105</f>
        <v>25340</v>
      </c>
      <c r="M103" s="91" t="n">
        <f aca="false">L105</f>
        <v>49159.6</v>
      </c>
      <c r="N103" s="91" t="n">
        <f aca="false">M105</f>
        <v>71550.024</v>
      </c>
      <c r="O103" s="91" t="n">
        <f aca="false">N105</f>
        <v>108144.4626752</v>
      </c>
      <c r="P103" s="91" t="n">
        <f aca="false">O105</f>
        <v>142718.888335529</v>
      </c>
      <c r="Q103" s="91" t="n">
        <f aca="false">P105</f>
        <v>175384.805699408</v>
      </c>
      <c r="R103" s="91" t="n">
        <f aca="false">Q105</f>
        <v>206247.5644248</v>
      </c>
      <c r="S103" s="91" t="n">
        <f aca="false">R105</f>
        <v>235406.698868551</v>
      </c>
      <c r="T103" s="91" t="n">
        <f aca="false">S105</f>
        <v>262956.249091007</v>
      </c>
      <c r="U103" s="91" t="n">
        <f aca="false">T105</f>
        <v>288985.064141184</v>
      </c>
      <c r="V103" s="91" t="n">
        <f aca="false">U105</f>
        <v>313577.088600591</v>
      </c>
      <c r="W103" s="91" t="n">
        <f aca="false">V105</f>
        <v>336811.633309838</v>
      </c>
      <c r="X103" s="91" t="n">
        <f aca="false">W105</f>
        <v>358763.631151135</v>
      </c>
      <c r="Y103" s="91" t="n">
        <f aca="false">X105</f>
        <v>379503.878711592</v>
      </c>
      <c r="Z103" s="91" t="n">
        <f aca="false">Y105</f>
        <v>399099.264606712</v>
      </c>
      <c r="AA103" s="91" t="n">
        <f aca="false">Z105</f>
        <v>443701.807552925</v>
      </c>
      <c r="AB103" s="91" t="n">
        <f aca="false">AA105</f>
        <v>486039.254958157</v>
      </c>
      <c r="AC103" s="91" t="n">
        <f aca="false">AB105</f>
        <v>526226.637434362</v>
      </c>
      <c r="AD103" s="91" t="n">
        <f aca="false">AC105</f>
        <v>564373.143878896</v>
      </c>
      <c r="AE103" s="91" t="n">
        <f aca="false">AD105</f>
        <v>600582.41814015</v>
      </c>
      <c r="AF103" s="91" t="n">
        <f aca="false">AE105</f>
        <v>634952.840617321</v>
      </c>
      <c r="AG103" s="91" t="n">
        <f aca="false">AF105</f>
        <v>667577.795559411</v>
      </c>
      <c r="AH103" s="91" t="n">
        <f aca="false">AG105</f>
        <v>698545.924789721</v>
      </c>
      <c r="AI103" s="91" t="n">
        <f aca="false">AH105</f>
        <v>727941.3685452</v>
      </c>
      <c r="AJ103" s="91" t="n">
        <f aca="false">AI105</f>
        <v>755843.994085001</v>
      </c>
      <c r="AK103" s="91" t="n">
        <f aca="false">AJ105</f>
        <v>782329.612689388</v>
      </c>
      <c r="AL103" s="91" t="n">
        <f aca="false">AK105</f>
        <v>807470.18563857</v>
      </c>
      <c r="AM103" s="91" t="n">
        <f aca="false">AL105</f>
        <v>873536.785003699</v>
      </c>
      <c r="AN103" s="91" t="n">
        <f aca="false">AM105</f>
        <v>936516.668281241</v>
      </c>
      <c r="AO103" s="91" t="n">
        <f aca="false">AN105</f>
        <v>996554.050797806</v>
      </c>
      <c r="AP103" s="91" t="n">
        <f aca="false">AO105</f>
        <v>1053786.40995535</v>
      </c>
      <c r="AQ103" s="91" t="n">
        <f aca="false">AP105</f>
        <v>1108344.80003563</v>
      </c>
      <c r="AR103" s="91" t="n">
        <f aca="false">AQ105</f>
        <v>1160354.15229662</v>
      </c>
      <c r="AS103" s="91" t="n">
        <f aca="false">AR105</f>
        <v>1209933.56104801</v>
      </c>
      <c r="AT103" s="91" t="n">
        <f aca="false">AS105</f>
        <v>1257196.55636089</v>
      </c>
      <c r="AU103" s="91" t="n">
        <f aca="false">AT105</f>
        <v>1302251.36403611</v>
      </c>
      <c r="AV103" s="91" t="n">
        <f aca="false">AU105</f>
        <v>1345201.1534266</v>
      </c>
      <c r="AW103" s="91" t="n">
        <f aca="false">AV105</f>
        <v>1386144.27368103</v>
      </c>
      <c r="AX103" s="91" t="n">
        <f aca="false">AW105</f>
        <v>1425174.47894999</v>
      </c>
      <c r="AY103" s="91" t="n">
        <f aca="false">AX105</f>
        <v>1529983.6051405</v>
      </c>
      <c r="AZ103" s="91" t="n">
        <f aca="false">AY105</f>
        <v>1630287.66012221</v>
      </c>
      <c r="BA103" s="91" t="n">
        <f aca="false">AZ105</f>
        <v>1726280.28797303</v>
      </c>
      <c r="BB103" s="91" t="n">
        <f aca="false">BA105</f>
        <v>1818146.80925559</v>
      </c>
      <c r="BC103" s="91" t="n">
        <f aca="false">BB105</f>
        <v>1906064.57879176</v>
      </c>
      <c r="BD103" s="91" t="n">
        <f aca="false">BC105</f>
        <v>1990203.32805865</v>
      </c>
      <c r="BE103" s="91" t="n">
        <f aca="false">BD105</f>
        <v>2070725.49286727</v>
      </c>
      <c r="BF103" s="91" t="n">
        <f aca="false">BE105</f>
        <v>2147786.52695631</v>
      </c>
      <c r="BG103" s="91" t="n">
        <f aca="false">BF105</f>
        <v>2221535.20210665</v>
      </c>
      <c r="BH103" s="91" t="n">
        <f aca="false">BG105</f>
        <v>2292113.89535576</v>
      </c>
      <c r="BI103" s="91" t="n">
        <f aca="false">BH105</f>
        <v>2359658.8638667</v>
      </c>
      <c r="BJ103" s="134" t="n">
        <f aca="false">BI103</f>
        <v>2359658.8638667</v>
      </c>
      <c r="BK103" s="29" t="s">
        <v>870</v>
      </c>
    </row>
    <row r="104" customFormat="false" ht="15" hidden="false" customHeight="false" outlineLevel="0" collapsed="false">
      <c r="A104" s="27" t="s">
        <v>837</v>
      </c>
      <c r="B104" s="91" t="n">
        <f aca="false">-B103*IF('Ajuste Mensal'!B$26="",INDEX(Premissas!$C$61:$G$61,B$7),'Ajuste Mensal'!B$26)</f>
        <v>-0</v>
      </c>
      <c r="C104" s="91" t="n">
        <f aca="false">-C103*IF('Ajuste Mensal'!C$26="",INDEX(Premissas!$C$61:$G$61,C$7),'Ajuste Mensal'!C$26)</f>
        <v>-0</v>
      </c>
      <c r="D104" s="91" t="n">
        <f aca="false">-D103*IF('Ajuste Mensal'!D$26="",INDEX(Premissas!$C$61:$G$61,D$7),'Ajuste Mensal'!D$26)</f>
        <v>-0</v>
      </c>
      <c r="E104" s="91" t="n">
        <f aca="false">-E103*IF('Ajuste Mensal'!E$26="",INDEX(Premissas!$C$61:$G$61,E$7),'Ajuste Mensal'!E$26)</f>
        <v>-0</v>
      </c>
      <c r="F104" s="91" t="n">
        <f aca="false">-F103*IF('Ajuste Mensal'!F$26="",INDEX(Premissas!$C$61:$G$61,F$7),'Ajuste Mensal'!F$26)</f>
        <v>-0</v>
      </c>
      <c r="G104" s="91" t="n">
        <f aca="false">-G103*IF('Ajuste Mensal'!G$26="",INDEX(Premissas!$C$61:$G$61,G$7),'Ajuste Mensal'!G$26)</f>
        <v>-0</v>
      </c>
      <c r="H104" s="91" t="n">
        <f aca="false">-H103*IF('Ajuste Mensal'!H$26="",INDEX(Premissas!$C$61:$G$61,H$7),'Ajuste Mensal'!H$26)</f>
        <v>-0</v>
      </c>
      <c r="I104" s="91" t="n">
        <f aca="false">-I103*IF('Ajuste Mensal'!I$26="",INDEX(Premissas!$C$61:$G$61,I$7),'Ajuste Mensal'!I$26)</f>
        <v>-0</v>
      </c>
      <c r="J104" s="91" t="n">
        <f aca="false">-J103*IF('Ajuste Mensal'!J$26="",INDEX(Premissas!$C$61:$G$61,J$7),'Ajuste Mensal'!J$26)</f>
        <v>-0</v>
      </c>
      <c r="K104" s="91" t="n">
        <f aca="false">-K103*IF('Ajuste Mensal'!K$26="",INDEX(Premissas!$C$61:$G$61,K$7),'Ajuste Mensal'!K$26)</f>
        <v>-0</v>
      </c>
      <c r="L104" s="91" t="n">
        <f aca="false">-L103*IF('Ajuste Mensal'!L$26="",INDEX(Premissas!$C$61:$G$61,L$7),'Ajuste Mensal'!L$26)</f>
        <v>-1520.4</v>
      </c>
      <c r="M104" s="91" t="n">
        <f aca="false">-M103*IF('Ajuste Mensal'!M$26="",INDEX(Premissas!$C$61:$G$61,M$7),'Ajuste Mensal'!M$26)</f>
        <v>-2949.576</v>
      </c>
      <c r="N104" s="91" t="n">
        <f aca="false">-N103*IF('Ajuste Mensal'!N$26="",INDEX(Premissas!$C$61:$G$61,N$7),'Ajuste Mensal'!N$26)</f>
        <v>-3949.5613248</v>
      </c>
      <c r="O104" s="91" t="n">
        <f aca="false">-O103*IF('Ajuste Mensal'!O$26="",INDEX(Premissas!$C$61:$G$61,O$7),'Ajuste Mensal'!O$26)</f>
        <v>-5969.57433967104</v>
      </c>
      <c r="P104" s="91" t="n">
        <f aca="false">-P103*IF('Ajuste Mensal'!P$26="",INDEX(Premissas!$C$61:$G$61,P$7),'Ajuste Mensal'!P$26)</f>
        <v>-7878.0826361212</v>
      </c>
      <c r="Q104" s="91" t="n">
        <f aca="false">-Q103*IF('Ajuste Mensal'!Q$26="",INDEX(Premissas!$C$61:$G$61,Q$7),'Ajuste Mensal'!Q$26)</f>
        <v>-9681.24127460731</v>
      </c>
      <c r="R104" s="91" t="n">
        <f aca="false">-R103*IF('Ajuste Mensal'!R$26="",INDEX(Premissas!$C$61:$G$61,R$7),'Ajuste Mensal'!R$26)</f>
        <v>-11384.865556249</v>
      </c>
      <c r="S104" s="91" t="n">
        <f aca="false">-S103*IF('Ajuste Mensal'!S$26="",INDEX(Premissas!$C$61:$G$61,S$7),'Ajuste Mensal'!S$26)</f>
        <v>-12994.449777544</v>
      </c>
      <c r="T104" s="91" t="n">
        <f aca="false">-T103*IF('Ajuste Mensal'!T$26="",INDEX(Premissas!$C$61:$G$61,T$7),'Ajuste Mensal'!T$26)</f>
        <v>-14515.1849498236</v>
      </c>
      <c r="U104" s="91" t="n">
        <f aca="false">-U103*IF('Ajuste Mensal'!U$26="",INDEX(Premissas!$C$61:$G$61,U$7),'Ajuste Mensal'!U$26)</f>
        <v>-15951.9755405933</v>
      </c>
      <c r="V104" s="91" t="n">
        <f aca="false">-V103*IF('Ajuste Mensal'!V$26="",INDEX(Premissas!$C$61:$G$61,V$7),'Ajuste Mensal'!V$26)</f>
        <v>-17309.4552907526</v>
      </c>
      <c r="W104" s="91" t="n">
        <f aca="false">-W103*IF('Ajuste Mensal'!W$26="",INDEX(Premissas!$C$61:$G$61,W$7),'Ajuste Mensal'!W$26)</f>
        <v>-18592.0021587031</v>
      </c>
      <c r="X104" s="91" t="n">
        <f aca="false">-X103*IF('Ajuste Mensal'!X$26="",INDEX(Premissas!$C$61:$G$61,X$7),'Ajuste Mensal'!X$26)</f>
        <v>-19803.7524395426</v>
      </c>
      <c r="Y104" s="91" t="n">
        <f aca="false">-Y103*IF('Ajuste Mensal'!Y$26="",INDEX(Premissas!$C$61:$G$61,Y$7),'Ajuste Mensal'!Y$26)</f>
        <v>-20948.6141048799</v>
      </c>
      <c r="Z104" s="91" t="n">
        <f aca="false">-Z103*IF('Ajuste Mensal'!Z$26="",INDEX(Premissas!$C$61:$G$61,Z$7),'Ajuste Mensal'!Z$26)</f>
        <v>-20267.8570537873</v>
      </c>
      <c r="AA104" s="91" t="n">
        <f aca="false">-AA103*IF('Ajuste Mensal'!AA$26="",INDEX(Premissas!$C$61:$G$61,AA$7),'Ajuste Mensal'!AA$26)</f>
        <v>-22532.9525947677</v>
      </c>
      <c r="AB104" s="91" t="n">
        <f aca="false">-AB103*IF('Ajuste Mensal'!AB$26="",INDEX(Premissas!$C$61:$G$61,AB$7),'Ajuste Mensal'!AB$26)</f>
        <v>-24683.0175237951</v>
      </c>
      <c r="AC104" s="91" t="n">
        <f aca="false">-AC103*IF('Ajuste Mensal'!AC$26="",INDEX(Premissas!$C$61:$G$61,AC$7),'Ajuste Mensal'!AC$26)</f>
        <v>-26723.8935554667</v>
      </c>
      <c r="AD104" s="91" t="n">
        <f aca="false">-AD103*IF('Ajuste Mensal'!AD$26="",INDEX(Premissas!$C$61:$G$61,AD$7),'Ajuste Mensal'!AD$26)</f>
        <v>-28661.1257387458</v>
      </c>
      <c r="AE104" s="91" t="n">
        <f aca="false">-AE103*IF('Ajuste Mensal'!AE$26="",INDEX(Premissas!$C$61:$G$61,AE$7),'Ajuste Mensal'!AE$26)</f>
        <v>-30499.9775228294</v>
      </c>
      <c r="AF104" s="91" t="n">
        <f aca="false">-AF103*IF('Ajuste Mensal'!AF$26="",INDEX(Premissas!$C$61:$G$61,AF$7),'Ajuste Mensal'!AF$26)</f>
        <v>-32245.44505791</v>
      </c>
      <c r="AG104" s="91" t="n">
        <f aca="false">-AG103*IF('Ajuste Mensal'!AG$26="",INDEX(Premissas!$C$61:$G$61,AG$7),'Ajuste Mensal'!AG$26)</f>
        <v>-33902.2707696891</v>
      </c>
      <c r="AH104" s="91" t="n">
        <f aca="false">-AH103*IF('Ajuste Mensal'!AH$26="",INDEX(Premissas!$C$61:$G$61,AH$7),'Ajuste Mensal'!AH$26)</f>
        <v>-35474.9562445212</v>
      </c>
      <c r="AI104" s="91" t="n">
        <f aca="false">-AI103*IF('Ajuste Mensal'!AI$26="",INDEX(Premissas!$C$61:$G$61,AI$7),'Ajuste Mensal'!AI$26)</f>
        <v>-36967.7744601995</v>
      </c>
      <c r="AJ104" s="91" t="n">
        <f aca="false">-AJ103*IF('Ajuste Mensal'!AJ$26="",INDEX(Premissas!$C$61:$G$61,AJ$7),'Ajuste Mensal'!AJ$26)</f>
        <v>-38384.7813956127</v>
      </c>
      <c r="AK104" s="91" t="n">
        <f aca="false">-AK103*IF('Ajuste Mensal'!AK$26="",INDEX(Premissas!$C$61:$G$61,AK$7),'Ajuste Mensal'!AK$26)</f>
        <v>-39729.8270508179</v>
      </c>
      <c r="AL104" s="91" t="n">
        <f aca="false">-AL103*IF('Ajuste Mensal'!AL$26="",INDEX(Premissas!$C$61:$G$61,AL$7),'Ajuste Mensal'!AL$26)</f>
        <v>-37726.0406348716</v>
      </c>
      <c r="AM104" s="91" t="n">
        <f aca="false">-AM103*IF('Ajuste Mensal'!AM$26="",INDEX(Premissas!$C$61:$G$61,AM$7),'Ajuste Mensal'!AM$26)</f>
        <v>-40812.7567224576</v>
      </c>
      <c r="AN104" s="91" t="n">
        <f aca="false">-AN103*IF('Ajuste Mensal'!AN$26="",INDEX(Premissas!$C$61:$G$61,AN$7),'Ajuste Mensal'!AN$26)</f>
        <v>-43755.257483435</v>
      </c>
      <c r="AO104" s="91" t="n">
        <f aca="false">-AO103*IF('Ajuste Mensal'!AO$26="",INDEX(Premissas!$C$61:$G$61,AO$7),'Ajuste Mensal'!AO$26)</f>
        <v>-46560.2808424585</v>
      </c>
      <c r="AP104" s="91" t="n">
        <f aca="false">-AP103*IF('Ajuste Mensal'!AP$26="",INDEX(Premissas!$C$61:$G$61,AP$7),'Ajuste Mensal'!AP$26)</f>
        <v>-49234.2499197186</v>
      </c>
      <c r="AQ104" s="91" t="n">
        <f aca="false">-AQ103*IF('Ajuste Mensal'!AQ$26="",INDEX(Premissas!$C$61:$G$61,AQ$7),'Ajuste Mensal'!AQ$26)</f>
        <v>-51783.2877390087</v>
      </c>
      <c r="AR104" s="91" t="n">
        <f aca="false">-AR103*IF('Ajuste Mensal'!AR$26="",INDEX(Premissas!$C$61:$G$61,AR$7),'Ajuste Mensal'!AR$26)</f>
        <v>-54213.2312486131</v>
      </c>
      <c r="AS104" s="91" t="n">
        <f aca="false">-AS103*IF('Ajuste Mensal'!AS$26="",INDEX(Premissas!$C$61:$G$61,AS$7),'Ajuste Mensal'!AS$26)</f>
        <v>-56529.6446871211</v>
      </c>
      <c r="AT104" s="91" t="n">
        <f aca="false">-AT103*IF('Ajuste Mensal'!AT$26="",INDEX(Premissas!$C$61:$G$61,AT$7),'Ajuste Mensal'!AT$26)</f>
        <v>-58737.8323247728</v>
      </c>
      <c r="AU104" s="91" t="n">
        <f aca="false">-AU103*IF('Ajuste Mensal'!AU$26="",INDEX(Premissas!$C$61:$G$61,AU$7),'Ajuste Mensal'!AU$26)</f>
        <v>-60842.8506095132</v>
      </c>
      <c r="AV104" s="91" t="n">
        <f aca="false">-AV103*IF('Ajuste Mensal'!AV$26="",INDEX(Premissas!$C$61:$G$61,AV$7),'Ajuste Mensal'!AV$26)</f>
        <v>-62849.5197455672</v>
      </c>
      <c r="AW104" s="91" t="n">
        <f aca="false">-AW103*IF('Ajuste Mensal'!AW$26="",INDEX(Premissas!$C$61:$G$61,AW$7),'Ajuste Mensal'!AW$26)</f>
        <v>-64762.4347310482</v>
      </c>
      <c r="AX104" s="91" t="n">
        <f aca="false">-AX103*IF('Ajuste Mensal'!AX$26="",INDEX(Premissas!$C$61:$G$61,AX$7),'Ajuste Mensal'!AX$26)</f>
        <v>-61259.0978094863</v>
      </c>
      <c r="AY104" s="91" t="n">
        <f aca="false">-AY103*IF('Ajuste Mensal'!AY$26="",INDEX(Premissas!$C$61:$G$61,AY$7),'Ajuste Mensal'!AY$26)</f>
        <v>-65764.1690182844</v>
      </c>
      <c r="AZ104" s="91" t="n">
        <f aca="false">-AZ103*IF('Ajuste Mensal'!AZ$26="",INDEX(Premissas!$C$61:$G$61,AZ$7),'Ajuste Mensal'!AZ$26)</f>
        <v>-70075.5961491856</v>
      </c>
      <c r="BA104" s="91" t="n">
        <f aca="false">-BA103*IF('Ajuste Mensal'!BA$26="",INDEX(Premissas!$C$61:$G$61,BA$7),'Ajuste Mensal'!BA$26)</f>
        <v>-74201.702717439</v>
      </c>
      <c r="BB104" s="91" t="n">
        <f aca="false">-BB103*IF('Ajuste Mensal'!BB$26="",INDEX(Premissas!$C$61:$G$61,BB$7),'Ajuste Mensal'!BB$26)</f>
        <v>-78150.45446383</v>
      </c>
      <c r="BC104" s="91" t="n">
        <f aca="false">-BC103*IF('Ajuste Mensal'!BC$26="",INDEX(Premissas!$C$61:$G$61,BC$7),'Ajuste Mensal'!BC$26)</f>
        <v>-81929.4747331069</v>
      </c>
      <c r="BD104" s="91" t="n">
        <f aca="false">-BD103*IF('Ajuste Mensal'!BD$26="",INDEX(Premissas!$C$61:$G$61,BD$7),'Ajuste Mensal'!BD$26)</f>
        <v>-85546.0591913874</v>
      </c>
      <c r="BE104" s="91" t="n">
        <f aca="false">-BE103*IF('Ajuste Mensal'!BE$26="",INDEX(Premissas!$C$61:$G$61,BE$7),'Ajuste Mensal'!BE$26)</f>
        <v>-89007.1899109584</v>
      </c>
      <c r="BF104" s="91" t="n">
        <f aca="false">-BF103*IF('Ajuste Mensal'!BF$26="",INDEX(Premissas!$C$61:$G$61,BF$7),'Ajuste Mensal'!BF$26)</f>
        <v>-92319.548849661</v>
      </c>
      <c r="BG104" s="91" t="n">
        <f aca="false">-BG103*IF('Ajuste Mensal'!BG$26="",INDEX(Premissas!$C$61:$G$61,BG$7),'Ajuste Mensal'!BG$26)</f>
        <v>-95489.5307508827</v>
      </c>
      <c r="BH104" s="91" t="n">
        <f aca="false">-BH103*IF('Ajuste Mensal'!BH$26="",INDEX(Premissas!$C$61:$G$61,BH$7),'Ajuste Mensal'!BH$26)</f>
        <v>-98523.2554890628</v>
      </c>
      <c r="BI104" s="91" t="n">
        <f aca="false">-BI103*IF('Ajuste Mensal'!BI$26="",INDEX(Premissas!$C$61:$G$61,BI$7),'Ajuste Mensal'!BI$26)</f>
        <v>-101426.579884542</v>
      </c>
      <c r="BJ104" s="134" t="n">
        <f aca="false">SUM(B104:BI104)</f>
        <v>-2155022.66001784</v>
      </c>
    </row>
    <row r="105" customFormat="false" ht="15" hidden="false" customHeight="false" outlineLevel="0" collapsed="false">
      <c r="A105" s="62" t="s">
        <v>838</v>
      </c>
      <c r="B105" s="83" t="n">
        <f aca="false">B103+B104+B102</f>
        <v>0</v>
      </c>
      <c r="C105" s="83" t="n">
        <f aca="false">C103+C104+C102</f>
        <v>0</v>
      </c>
      <c r="D105" s="83" t="n">
        <f aca="false">D103+D104+D102</f>
        <v>0</v>
      </c>
      <c r="E105" s="83" t="n">
        <f aca="false">E103+E104+E102</f>
        <v>0</v>
      </c>
      <c r="F105" s="83" t="n">
        <f aca="false">F103+F104+F102</f>
        <v>0</v>
      </c>
      <c r="G105" s="83" t="n">
        <f aca="false">G103+G104+G102</f>
        <v>0</v>
      </c>
      <c r="H105" s="83" t="n">
        <f aca="false">H103+H104+H102</f>
        <v>0</v>
      </c>
      <c r="I105" s="83" t="n">
        <f aca="false">I103+I104+I102</f>
        <v>0</v>
      </c>
      <c r="J105" s="83" t="n">
        <f aca="false">J103+J104+J102</f>
        <v>0</v>
      </c>
      <c r="K105" s="83" t="n">
        <f aca="false">K103+K104+K102</f>
        <v>25340</v>
      </c>
      <c r="L105" s="83" t="n">
        <f aca="false">L103+L104+L102</f>
        <v>49159.6</v>
      </c>
      <c r="M105" s="83" t="n">
        <f aca="false">M103+M104+M102</f>
        <v>71550.024</v>
      </c>
      <c r="N105" s="83" t="n">
        <f aca="false">N103+N104+N102</f>
        <v>108144.4626752</v>
      </c>
      <c r="O105" s="83" t="n">
        <f aca="false">O103+O104+O102</f>
        <v>142718.888335529</v>
      </c>
      <c r="P105" s="83" t="n">
        <f aca="false">P103+P104+P102</f>
        <v>175384.805699408</v>
      </c>
      <c r="Q105" s="83" t="n">
        <f aca="false">Q103+Q104+Q102</f>
        <v>206247.5644248</v>
      </c>
      <c r="R105" s="83" t="n">
        <f aca="false">R103+R104+R102</f>
        <v>235406.698868551</v>
      </c>
      <c r="S105" s="83" t="n">
        <f aca="false">S103+S104+S102</f>
        <v>262956.249091007</v>
      </c>
      <c r="T105" s="83" t="n">
        <f aca="false">T103+T104+T102</f>
        <v>288985.064141184</v>
      </c>
      <c r="U105" s="83" t="n">
        <f aca="false">U103+U104+U102</f>
        <v>313577.088600591</v>
      </c>
      <c r="V105" s="83" t="n">
        <f aca="false">V103+V104+V102</f>
        <v>336811.633309838</v>
      </c>
      <c r="W105" s="83" t="n">
        <f aca="false">W103+W104+W102</f>
        <v>358763.631151135</v>
      </c>
      <c r="X105" s="83" t="n">
        <f aca="false">X103+X104+X102</f>
        <v>379503.878711592</v>
      </c>
      <c r="Y105" s="83" t="n">
        <f aca="false">Y103+Y104+Y102</f>
        <v>399099.264606712</v>
      </c>
      <c r="Z105" s="83" t="n">
        <f aca="false">Z103+Z104+Z102</f>
        <v>443701.807552925</v>
      </c>
      <c r="AA105" s="83" t="n">
        <f aca="false">AA103+AA104+AA102</f>
        <v>486039.254958157</v>
      </c>
      <c r="AB105" s="83" t="n">
        <f aca="false">AB103+AB104+AB102</f>
        <v>526226.637434362</v>
      </c>
      <c r="AC105" s="83" t="n">
        <f aca="false">AC103+AC104+AC102</f>
        <v>564373.143878896</v>
      </c>
      <c r="AD105" s="83" t="n">
        <f aca="false">AD103+AD104+AD102</f>
        <v>600582.41814015</v>
      </c>
      <c r="AE105" s="83" t="n">
        <f aca="false">AE103+AE104+AE102</f>
        <v>634952.840617321</v>
      </c>
      <c r="AF105" s="83" t="n">
        <f aca="false">AF103+AF104+AF102</f>
        <v>667577.795559411</v>
      </c>
      <c r="AG105" s="83" t="n">
        <f aca="false">AG103+AG104+AG102</f>
        <v>698545.924789721</v>
      </c>
      <c r="AH105" s="83" t="n">
        <f aca="false">AH103+AH104+AH102</f>
        <v>727941.3685452</v>
      </c>
      <c r="AI105" s="83" t="n">
        <f aca="false">AI103+AI104+AI102</f>
        <v>755843.994085001</v>
      </c>
      <c r="AJ105" s="83" t="n">
        <f aca="false">AJ103+AJ104+AJ102</f>
        <v>782329.612689388</v>
      </c>
      <c r="AK105" s="83" t="n">
        <f aca="false">AK103+AK104+AK102</f>
        <v>807470.18563857</v>
      </c>
      <c r="AL105" s="83" t="n">
        <f aca="false">AL103+AL104+AL102</f>
        <v>873536.785003699</v>
      </c>
      <c r="AM105" s="83" t="n">
        <f aca="false">AM103+AM104+AM102</f>
        <v>936516.668281241</v>
      </c>
      <c r="AN105" s="83" t="n">
        <f aca="false">AN103+AN104+AN102</f>
        <v>996554.050797806</v>
      </c>
      <c r="AO105" s="83" t="n">
        <f aca="false">AO103+AO104+AO102</f>
        <v>1053786.40995535</v>
      </c>
      <c r="AP105" s="83" t="n">
        <f aca="false">AP103+AP104+AP102</f>
        <v>1108344.80003563</v>
      </c>
      <c r="AQ105" s="83" t="n">
        <f aca="false">AQ103+AQ104+AQ102</f>
        <v>1160354.15229662</v>
      </c>
      <c r="AR105" s="83" t="n">
        <f aca="false">AR103+AR104+AR102</f>
        <v>1209933.56104801</v>
      </c>
      <c r="AS105" s="83" t="n">
        <f aca="false">AS103+AS104+AS102</f>
        <v>1257196.55636089</v>
      </c>
      <c r="AT105" s="83" t="n">
        <f aca="false">AT103+AT104+AT102</f>
        <v>1302251.36403611</v>
      </c>
      <c r="AU105" s="83" t="n">
        <f aca="false">AU103+AU104+AU102</f>
        <v>1345201.1534266</v>
      </c>
      <c r="AV105" s="83" t="n">
        <f aca="false">AV103+AV104+AV102</f>
        <v>1386144.27368103</v>
      </c>
      <c r="AW105" s="83" t="n">
        <f aca="false">AW103+AW104+AW102</f>
        <v>1425174.47894999</v>
      </c>
      <c r="AX105" s="83" t="n">
        <f aca="false">AX103+AX104+AX102</f>
        <v>1529983.6051405</v>
      </c>
      <c r="AY105" s="83" t="n">
        <f aca="false">AY103+AY104+AY102</f>
        <v>1630287.66012221</v>
      </c>
      <c r="AZ105" s="83" t="n">
        <f aca="false">AZ103+AZ104+AZ102</f>
        <v>1726280.28797303</v>
      </c>
      <c r="BA105" s="83" t="n">
        <f aca="false">BA103+BA104+BA102</f>
        <v>1818146.80925559</v>
      </c>
      <c r="BB105" s="83" t="n">
        <f aca="false">BB103+BB104+BB102</f>
        <v>1906064.57879176</v>
      </c>
      <c r="BC105" s="83" t="n">
        <f aca="false">BC103+BC104+BC102</f>
        <v>1990203.32805865</v>
      </c>
      <c r="BD105" s="83" t="n">
        <f aca="false">BD103+BD104+BD102</f>
        <v>2070725.49286727</v>
      </c>
      <c r="BE105" s="83" t="n">
        <f aca="false">BE103+BE104+BE102</f>
        <v>2147786.52695631</v>
      </c>
      <c r="BF105" s="83" t="n">
        <f aca="false">BF103+BF104+BF102</f>
        <v>2221535.20210665</v>
      </c>
      <c r="BG105" s="83" t="n">
        <f aca="false">BG103+BG104+BG102</f>
        <v>2292113.89535576</v>
      </c>
      <c r="BH105" s="83" t="n">
        <f aca="false">BH103+BH104+BH102</f>
        <v>2359658.8638667</v>
      </c>
      <c r="BI105" s="83" t="n">
        <f aca="false">BI103+BI104+BI102</f>
        <v>2424300.50798216</v>
      </c>
      <c r="BJ105" s="134" t="n">
        <f aca="false">BI105</f>
        <v>2424300.50798216</v>
      </c>
      <c r="BK105" s="29" t="s">
        <v>870</v>
      </c>
    </row>
    <row r="106" customFormat="false" ht="15" hidden="false" customHeight="false" outlineLevel="0" collapsed="false">
      <c r="A106" s="27" t="s">
        <v>871</v>
      </c>
      <c r="B106" s="202" t="n">
        <f aca="false">IF(B$4&lt;Premissas!$B$13,0,IF('Ajuste Mensal'!B$27="",INDEX(Premissas!$C$65:$G$65,B$7),'Ajuste Mensal'!B$27)*MIN(1,MAX(0,(B$5-Premissas!$B$14+1)/Premissas!$B$15)))</f>
        <v>0</v>
      </c>
      <c r="C106" s="202" t="n">
        <f aca="false">IF(C$4&lt;Premissas!$B$13,0,IF('Ajuste Mensal'!C$27="",INDEX(Premissas!$C$65:$G$65,C$7),'Ajuste Mensal'!C$27)*MIN(1,MAX(0,(C$5-Premissas!$B$14+1)/Premissas!$B$15)))</f>
        <v>0</v>
      </c>
      <c r="D106" s="202" t="n">
        <f aca="false">IF(D$4&lt;Premissas!$B$13,0,IF('Ajuste Mensal'!D$27="",INDEX(Premissas!$C$65:$G$65,D$7),'Ajuste Mensal'!D$27)*MIN(1,MAX(0,(D$5-Premissas!$B$14+1)/Premissas!$B$15)))</f>
        <v>0</v>
      </c>
      <c r="E106" s="202" t="n">
        <f aca="false">IF(E$4&lt;Premissas!$B$13,0,IF('Ajuste Mensal'!E$27="",INDEX(Premissas!$C$65:$G$65,E$7),'Ajuste Mensal'!E$27)*MIN(1,MAX(0,(E$5-Premissas!$B$14+1)/Premissas!$B$15)))</f>
        <v>0</v>
      </c>
      <c r="F106" s="202" t="n">
        <f aca="false">IF(F$4&lt;Premissas!$B$13,0,IF('Ajuste Mensal'!F$27="",INDEX(Premissas!$C$65:$G$65,F$7),'Ajuste Mensal'!F$27)*MIN(1,MAX(0,(F$5-Premissas!$B$14+1)/Premissas!$B$15)))</f>
        <v>0</v>
      </c>
      <c r="G106" s="202" t="n">
        <f aca="false">IF(G$4&lt;Premissas!$B$13,0,IF('Ajuste Mensal'!G$27="",INDEX(Premissas!$C$65:$G$65,G$7),'Ajuste Mensal'!G$27)*MIN(1,MAX(0,(G$5-Premissas!$B$14+1)/Premissas!$B$15)))</f>
        <v>0</v>
      </c>
      <c r="H106" s="202" t="n">
        <f aca="false">IF(H$4&lt;Premissas!$B$13,0,IF('Ajuste Mensal'!H$27="",INDEX(Premissas!$C$65:$G$65,H$7),'Ajuste Mensal'!H$27)*MIN(1,MAX(0,(H$5-Premissas!$B$14+1)/Premissas!$B$15)))</f>
        <v>0</v>
      </c>
      <c r="I106" s="202" t="n">
        <f aca="false">IF(I$4&lt;Premissas!$B$13,0,IF('Ajuste Mensal'!I$27="",INDEX(Premissas!$C$65:$G$65,I$7),'Ajuste Mensal'!I$27)*MIN(1,MAX(0,(I$5-Premissas!$B$14+1)/Premissas!$B$15)))</f>
        <v>0</v>
      </c>
      <c r="J106" s="202" t="n">
        <f aca="false">IF(J$4&lt;Premissas!$B$13,0,IF('Ajuste Mensal'!J$27="",INDEX(Premissas!$C$65:$G$65,J$7),'Ajuste Mensal'!J$27)*MIN(1,MAX(0,(J$5-Premissas!$B$14+1)/Premissas!$B$15)))</f>
        <v>0</v>
      </c>
      <c r="K106" s="202" t="n">
        <f aca="false">IF(K$4&lt;Premissas!$B$13,0,IF('Ajuste Mensal'!K$27="",INDEX(Premissas!$C$65:$G$65,K$7),'Ajuste Mensal'!K$27)*MIN(1,MAX(0,(K$5-Premissas!$B$14+1)/Premissas!$B$15)))</f>
        <v>0.0116666666666667</v>
      </c>
      <c r="L106" s="202" t="n">
        <f aca="false">IF(L$4&lt;Premissas!$B$13,0,IF('Ajuste Mensal'!L$27="",INDEX(Premissas!$C$65:$G$65,L$7),'Ajuste Mensal'!L$27)*MIN(1,MAX(0,(L$5-Premissas!$B$14+1)/Premissas!$B$15)))</f>
        <v>0.0233333333333333</v>
      </c>
      <c r="M106" s="202" t="n">
        <f aca="false">IF(M$4&lt;Premissas!$B$13,0,IF('Ajuste Mensal'!M$27="",INDEX(Premissas!$C$65:$G$65,M$7),'Ajuste Mensal'!M$27)*MIN(1,MAX(0,(M$5-Premissas!$B$14+1)/Premissas!$B$15)))</f>
        <v>0.035</v>
      </c>
      <c r="N106" s="202" t="n">
        <f aca="false">IF(N$4&lt;Premissas!$B$13,0,IF('Ajuste Mensal'!N$27="",INDEX(Premissas!$C$65:$G$65,N$7),'Ajuste Mensal'!N$27)*MIN(1,MAX(0,(N$5-Premissas!$B$14+1)/Premissas!$B$15)))</f>
        <v>0.0513333333333333</v>
      </c>
      <c r="O106" s="202" t="n">
        <f aca="false">IF(O$4&lt;Premissas!$B$13,0,IF('Ajuste Mensal'!O$27="",INDEX(Premissas!$C$65:$G$65,O$7),'Ajuste Mensal'!O$27)*MIN(1,MAX(0,(O$5-Premissas!$B$14+1)/Premissas!$B$15)))</f>
        <v>0.0641666666666667</v>
      </c>
      <c r="P106" s="202" t="n">
        <f aca="false">IF(P$4&lt;Premissas!$B$13,0,IF('Ajuste Mensal'!P$27="",INDEX(Premissas!$C$65:$G$65,P$7),'Ajuste Mensal'!P$27)*MIN(1,MAX(0,(P$5-Premissas!$B$14+1)/Premissas!$B$15)))</f>
        <v>0.077</v>
      </c>
      <c r="Q106" s="202" t="n">
        <f aca="false">IF(Q$4&lt;Premissas!$B$13,0,IF('Ajuste Mensal'!Q$27="",INDEX(Premissas!$C$65:$G$65,Q$7),'Ajuste Mensal'!Q$27)*MIN(1,MAX(0,(Q$5-Premissas!$B$14+1)/Premissas!$B$15)))</f>
        <v>0.077</v>
      </c>
      <c r="R106" s="202" t="n">
        <f aca="false">IF(R$4&lt;Premissas!$B$13,0,IF('Ajuste Mensal'!R$27="",INDEX(Premissas!$C$65:$G$65,R$7),'Ajuste Mensal'!R$27)*MIN(1,MAX(0,(R$5-Premissas!$B$14+1)/Premissas!$B$15)))</f>
        <v>0.077</v>
      </c>
      <c r="S106" s="202" t="n">
        <f aca="false">IF(S$4&lt;Premissas!$B$13,0,IF('Ajuste Mensal'!S$27="",INDEX(Premissas!$C$65:$G$65,S$7),'Ajuste Mensal'!S$27)*MIN(1,MAX(0,(S$5-Premissas!$B$14+1)/Premissas!$B$15)))</f>
        <v>0.077</v>
      </c>
      <c r="T106" s="202" t="n">
        <f aca="false">IF(T$4&lt;Premissas!$B$13,0,IF('Ajuste Mensal'!T$27="",INDEX(Premissas!$C$65:$G$65,T$7),'Ajuste Mensal'!T$27)*MIN(1,MAX(0,(T$5-Premissas!$B$14+1)/Premissas!$B$15)))</f>
        <v>0.077</v>
      </c>
      <c r="U106" s="202" t="n">
        <f aca="false">IF(U$4&lt;Premissas!$B$13,0,IF('Ajuste Mensal'!U$27="",INDEX(Premissas!$C$65:$G$65,U$7),'Ajuste Mensal'!U$27)*MIN(1,MAX(0,(U$5-Premissas!$B$14+1)/Premissas!$B$15)))</f>
        <v>0.077</v>
      </c>
      <c r="V106" s="202" t="n">
        <f aca="false">IF(V$4&lt;Premissas!$B$13,0,IF('Ajuste Mensal'!V$27="",INDEX(Premissas!$C$65:$G$65,V$7),'Ajuste Mensal'!V$27)*MIN(1,MAX(0,(V$5-Premissas!$B$14+1)/Premissas!$B$15)))</f>
        <v>0.077</v>
      </c>
      <c r="W106" s="202" t="n">
        <f aca="false">IF(W$4&lt;Premissas!$B$13,0,IF('Ajuste Mensal'!W$27="",INDEX(Premissas!$C$65:$G$65,W$7),'Ajuste Mensal'!W$27)*MIN(1,MAX(0,(W$5-Premissas!$B$14+1)/Premissas!$B$15)))</f>
        <v>0.077</v>
      </c>
      <c r="X106" s="202" t="n">
        <f aca="false">IF(X$4&lt;Premissas!$B$13,0,IF('Ajuste Mensal'!X$27="",INDEX(Premissas!$C$65:$G$65,X$7),'Ajuste Mensal'!X$27)*MIN(1,MAX(0,(X$5-Premissas!$B$14+1)/Premissas!$B$15)))</f>
        <v>0.077</v>
      </c>
      <c r="Y106" s="202" t="n">
        <f aca="false">IF(Y$4&lt;Premissas!$B$13,0,IF('Ajuste Mensal'!Y$27="",INDEX(Premissas!$C$65:$G$65,Y$7),'Ajuste Mensal'!Y$27)*MIN(1,MAX(0,(Y$5-Premissas!$B$14+1)/Premissas!$B$15)))</f>
        <v>0.077</v>
      </c>
      <c r="Z106" s="202" t="n">
        <f aca="false">IF(Z$4&lt;Premissas!$B$13,0,IF('Ajuste Mensal'!Z$27="",INDEX(Premissas!$C$65:$G$65,Z$7),'Ajuste Mensal'!Z$27)*MIN(1,MAX(0,(Z$5-Premissas!$B$14+1)/Premissas!$B$15)))</f>
        <v>0.0847</v>
      </c>
      <c r="AA106" s="202" t="n">
        <f aca="false">IF(AA$4&lt;Premissas!$B$13,0,IF('Ajuste Mensal'!AA$27="",INDEX(Premissas!$C$65:$G$65,AA$7),'Ajuste Mensal'!AA$27)*MIN(1,MAX(0,(AA$5-Premissas!$B$14+1)/Premissas!$B$15)))</f>
        <v>0.0847</v>
      </c>
      <c r="AB106" s="202" t="n">
        <f aca="false">IF(AB$4&lt;Premissas!$B$13,0,IF('Ajuste Mensal'!AB$27="",INDEX(Premissas!$C$65:$G$65,AB$7),'Ajuste Mensal'!AB$27)*MIN(1,MAX(0,(AB$5-Premissas!$B$14+1)/Premissas!$B$15)))</f>
        <v>0.0847</v>
      </c>
      <c r="AC106" s="202" t="n">
        <f aca="false">IF(AC$4&lt;Premissas!$B$13,0,IF('Ajuste Mensal'!AC$27="",INDEX(Premissas!$C$65:$G$65,AC$7),'Ajuste Mensal'!AC$27)*MIN(1,MAX(0,(AC$5-Premissas!$B$14+1)/Premissas!$B$15)))</f>
        <v>0.0847</v>
      </c>
      <c r="AD106" s="202" t="n">
        <f aca="false">IF(AD$4&lt;Premissas!$B$13,0,IF('Ajuste Mensal'!AD$27="",INDEX(Premissas!$C$65:$G$65,AD$7),'Ajuste Mensal'!AD$27)*MIN(1,MAX(0,(AD$5-Premissas!$B$14+1)/Premissas!$B$15)))</f>
        <v>0.0847</v>
      </c>
      <c r="AE106" s="202" t="n">
        <f aca="false">IF(AE$4&lt;Premissas!$B$13,0,IF('Ajuste Mensal'!AE$27="",INDEX(Premissas!$C$65:$G$65,AE$7),'Ajuste Mensal'!AE$27)*MIN(1,MAX(0,(AE$5-Premissas!$B$14+1)/Premissas!$B$15)))</f>
        <v>0.0847</v>
      </c>
      <c r="AF106" s="202" t="n">
        <f aca="false">IF(AF$4&lt;Premissas!$B$13,0,IF('Ajuste Mensal'!AF$27="",INDEX(Premissas!$C$65:$G$65,AF$7),'Ajuste Mensal'!AF$27)*MIN(1,MAX(0,(AF$5-Premissas!$B$14+1)/Premissas!$B$15)))</f>
        <v>0.0847</v>
      </c>
      <c r="AG106" s="202" t="n">
        <f aca="false">IF(AG$4&lt;Premissas!$B$13,0,IF('Ajuste Mensal'!AG$27="",INDEX(Premissas!$C$65:$G$65,AG$7),'Ajuste Mensal'!AG$27)*MIN(1,MAX(0,(AG$5-Premissas!$B$14+1)/Premissas!$B$15)))</f>
        <v>0.0847</v>
      </c>
      <c r="AH106" s="202" t="n">
        <f aca="false">IF(AH$4&lt;Premissas!$B$13,0,IF('Ajuste Mensal'!AH$27="",INDEX(Premissas!$C$65:$G$65,AH$7),'Ajuste Mensal'!AH$27)*MIN(1,MAX(0,(AH$5-Premissas!$B$14+1)/Premissas!$B$15)))</f>
        <v>0.0847</v>
      </c>
      <c r="AI106" s="202" t="n">
        <f aca="false">IF(AI$4&lt;Premissas!$B$13,0,IF('Ajuste Mensal'!AI$27="",INDEX(Premissas!$C$65:$G$65,AI$7),'Ajuste Mensal'!AI$27)*MIN(1,MAX(0,(AI$5-Premissas!$B$14+1)/Premissas!$B$15)))</f>
        <v>0.0847</v>
      </c>
      <c r="AJ106" s="202" t="n">
        <f aca="false">IF(AJ$4&lt;Premissas!$B$13,0,IF('Ajuste Mensal'!AJ$27="",INDEX(Premissas!$C$65:$G$65,AJ$7),'Ajuste Mensal'!AJ$27)*MIN(1,MAX(0,(AJ$5-Premissas!$B$14+1)/Premissas!$B$15)))</f>
        <v>0.0847</v>
      </c>
      <c r="AK106" s="202" t="n">
        <f aca="false">IF(AK$4&lt;Premissas!$B$13,0,IF('Ajuste Mensal'!AK$27="",INDEX(Premissas!$C$65:$G$65,AK$7),'Ajuste Mensal'!AK$27)*MIN(1,MAX(0,(AK$5-Premissas!$B$14+1)/Premissas!$B$15)))</f>
        <v>0.0847</v>
      </c>
      <c r="AL106" s="202" t="n">
        <f aca="false">IF(AL$4&lt;Premissas!$B$13,0,IF('Ajuste Mensal'!AL$27="",INDEX(Premissas!$C$65:$G$65,AL$7),'Ajuste Mensal'!AL$27)*MIN(1,MAX(0,(AL$5-Premissas!$B$14+1)/Premissas!$B$15)))</f>
        <v>0.09317</v>
      </c>
      <c r="AM106" s="202" t="n">
        <f aca="false">IF(AM$4&lt;Premissas!$B$13,0,IF('Ajuste Mensal'!AM$27="",INDEX(Premissas!$C$65:$G$65,AM$7),'Ajuste Mensal'!AM$27)*MIN(1,MAX(0,(AM$5-Premissas!$B$14+1)/Premissas!$B$15)))</f>
        <v>0.09317</v>
      </c>
      <c r="AN106" s="202" t="n">
        <f aca="false">IF(AN$4&lt;Premissas!$B$13,0,IF('Ajuste Mensal'!AN$27="",INDEX(Premissas!$C$65:$G$65,AN$7),'Ajuste Mensal'!AN$27)*MIN(1,MAX(0,(AN$5-Premissas!$B$14+1)/Premissas!$B$15)))</f>
        <v>0.09317</v>
      </c>
      <c r="AO106" s="202" t="n">
        <f aca="false">IF(AO$4&lt;Premissas!$B$13,0,IF('Ajuste Mensal'!AO$27="",INDEX(Premissas!$C$65:$G$65,AO$7),'Ajuste Mensal'!AO$27)*MIN(1,MAX(0,(AO$5-Premissas!$B$14+1)/Premissas!$B$15)))</f>
        <v>0.09317</v>
      </c>
      <c r="AP106" s="202" t="n">
        <f aca="false">IF(AP$4&lt;Premissas!$B$13,0,IF('Ajuste Mensal'!AP$27="",INDEX(Premissas!$C$65:$G$65,AP$7),'Ajuste Mensal'!AP$27)*MIN(1,MAX(0,(AP$5-Premissas!$B$14+1)/Premissas!$B$15)))</f>
        <v>0.09317</v>
      </c>
      <c r="AQ106" s="202" t="n">
        <f aca="false">IF(AQ$4&lt;Premissas!$B$13,0,IF('Ajuste Mensal'!AQ$27="",INDEX(Premissas!$C$65:$G$65,AQ$7),'Ajuste Mensal'!AQ$27)*MIN(1,MAX(0,(AQ$5-Premissas!$B$14+1)/Premissas!$B$15)))</f>
        <v>0.09317</v>
      </c>
      <c r="AR106" s="202" t="n">
        <f aca="false">IF(AR$4&lt;Premissas!$B$13,0,IF('Ajuste Mensal'!AR$27="",INDEX(Premissas!$C$65:$G$65,AR$7),'Ajuste Mensal'!AR$27)*MIN(1,MAX(0,(AR$5-Premissas!$B$14+1)/Premissas!$B$15)))</f>
        <v>0.09317</v>
      </c>
      <c r="AS106" s="202" t="n">
        <f aca="false">IF(AS$4&lt;Premissas!$B$13,0,IF('Ajuste Mensal'!AS$27="",INDEX(Premissas!$C$65:$G$65,AS$7),'Ajuste Mensal'!AS$27)*MIN(1,MAX(0,(AS$5-Premissas!$B$14+1)/Premissas!$B$15)))</f>
        <v>0.09317</v>
      </c>
      <c r="AT106" s="202" t="n">
        <f aca="false">IF(AT$4&lt;Premissas!$B$13,0,IF('Ajuste Mensal'!AT$27="",INDEX(Premissas!$C$65:$G$65,AT$7),'Ajuste Mensal'!AT$27)*MIN(1,MAX(0,(AT$5-Premissas!$B$14+1)/Premissas!$B$15)))</f>
        <v>0.09317</v>
      </c>
      <c r="AU106" s="202" t="n">
        <f aca="false">IF(AU$4&lt;Premissas!$B$13,0,IF('Ajuste Mensal'!AU$27="",INDEX(Premissas!$C$65:$G$65,AU$7),'Ajuste Mensal'!AU$27)*MIN(1,MAX(0,(AU$5-Premissas!$B$14+1)/Premissas!$B$15)))</f>
        <v>0.09317</v>
      </c>
      <c r="AV106" s="202" t="n">
        <f aca="false">IF(AV$4&lt;Premissas!$B$13,0,IF('Ajuste Mensal'!AV$27="",INDEX(Premissas!$C$65:$G$65,AV$7),'Ajuste Mensal'!AV$27)*MIN(1,MAX(0,(AV$5-Premissas!$B$14+1)/Premissas!$B$15)))</f>
        <v>0.09317</v>
      </c>
      <c r="AW106" s="202" t="n">
        <f aca="false">IF(AW$4&lt;Premissas!$B$13,0,IF('Ajuste Mensal'!AW$27="",INDEX(Premissas!$C$65:$G$65,AW$7),'Ajuste Mensal'!AW$27)*MIN(1,MAX(0,(AW$5-Premissas!$B$14+1)/Premissas!$B$15)))</f>
        <v>0.09317</v>
      </c>
      <c r="AX106" s="202" t="n">
        <f aca="false">IF(AX$4&lt;Premissas!$B$13,0,IF('Ajuste Mensal'!AX$27="",INDEX(Premissas!$C$65:$G$65,AX$7),'Ajuste Mensal'!AX$27)*MIN(1,MAX(0,(AX$5-Premissas!$B$14+1)/Premissas!$B$15)))</f>
        <v>0.102487</v>
      </c>
      <c r="AY106" s="202" t="n">
        <f aca="false">IF(AY$4&lt;Premissas!$B$13,0,IF('Ajuste Mensal'!AY$27="",INDEX(Premissas!$C$65:$G$65,AY$7),'Ajuste Mensal'!AY$27)*MIN(1,MAX(0,(AY$5-Premissas!$B$14+1)/Premissas!$B$15)))</f>
        <v>0.102487</v>
      </c>
      <c r="AZ106" s="202" t="n">
        <f aca="false">IF(AZ$4&lt;Premissas!$B$13,0,IF('Ajuste Mensal'!AZ$27="",INDEX(Premissas!$C$65:$G$65,AZ$7),'Ajuste Mensal'!AZ$27)*MIN(1,MAX(0,(AZ$5-Premissas!$B$14+1)/Premissas!$B$15)))</f>
        <v>0.102487</v>
      </c>
      <c r="BA106" s="202" t="n">
        <f aca="false">IF(BA$4&lt;Premissas!$B$13,0,IF('Ajuste Mensal'!BA$27="",INDEX(Premissas!$C$65:$G$65,BA$7),'Ajuste Mensal'!BA$27)*MIN(1,MAX(0,(BA$5-Premissas!$B$14+1)/Premissas!$B$15)))</f>
        <v>0.102487</v>
      </c>
      <c r="BB106" s="202" t="n">
        <f aca="false">IF(BB$4&lt;Premissas!$B$13,0,IF('Ajuste Mensal'!BB$27="",INDEX(Premissas!$C$65:$G$65,BB$7),'Ajuste Mensal'!BB$27)*MIN(1,MAX(0,(BB$5-Premissas!$B$14+1)/Premissas!$B$15)))</f>
        <v>0.102487</v>
      </c>
      <c r="BC106" s="202" t="n">
        <f aca="false">IF(BC$4&lt;Premissas!$B$13,0,IF('Ajuste Mensal'!BC$27="",INDEX(Premissas!$C$65:$G$65,BC$7),'Ajuste Mensal'!BC$27)*MIN(1,MAX(0,(BC$5-Premissas!$B$14+1)/Premissas!$B$15)))</f>
        <v>0.102487</v>
      </c>
      <c r="BD106" s="202" t="n">
        <f aca="false">IF(BD$4&lt;Premissas!$B$13,0,IF('Ajuste Mensal'!BD$27="",INDEX(Premissas!$C$65:$G$65,BD$7),'Ajuste Mensal'!BD$27)*MIN(1,MAX(0,(BD$5-Premissas!$B$14+1)/Premissas!$B$15)))</f>
        <v>0.102487</v>
      </c>
      <c r="BE106" s="202" t="n">
        <f aca="false">IF(BE$4&lt;Premissas!$B$13,0,IF('Ajuste Mensal'!BE$27="",INDEX(Premissas!$C$65:$G$65,BE$7),'Ajuste Mensal'!BE$27)*MIN(1,MAX(0,(BE$5-Premissas!$B$14+1)/Premissas!$B$15)))</f>
        <v>0.102487</v>
      </c>
      <c r="BF106" s="202" t="n">
        <f aca="false">IF(BF$4&lt;Premissas!$B$13,0,IF('Ajuste Mensal'!BF$27="",INDEX(Premissas!$C$65:$G$65,BF$7),'Ajuste Mensal'!BF$27)*MIN(1,MAX(0,(BF$5-Premissas!$B$14+1)/Premissas!$B$15)))</f>
        <v>0.102487</v>
      </c>
      <c r="BG106" s="202" t="n">
        <f aca="false">IF(BG$4&lt;Premissas!$B$13,0,IF('Ajuste Mensal'!BG$27="",INDEX(Premissas!$C$65:$G$65,BG$7),'Ajuste Mensal'!BG$27)*MIN(1,MAX(0,(BG$5-Premissas!$B$14+1)/Premissas!$B$15)))</f>
        <v>0.102487</v>
      </c>
      <c r="BH106" s="202" t="n">
        <f aca="false">IF(BH$4&lt;Premissas!$B$13,0,IF('Ajuste Mensal'!BH$27="",INDEX(Premissas!$C$65:$G$65,BH$7),'Ajuste Mensal'!BH$27)*MIN(1,MAX(0,(BH$5-Premissas!$B$14+1)/Premissas!$B$15)))</f>
        <v>0.102487</v>
      </c>
      <c r="BI106" s="202" t="n">
        <f aca="false">IF(BI$4&lt;Premissas!$B$13,0,IF('Ajuste Mensal'!BI$27="",INDEX(Premissas!$C$65:$G$65,BI$7),'Ajuste Mensal'!BI$27)*MIN(1,MAX(0,(BI$5-Premissas!$B$14+1)/Premissas!$B$15)))</f>
        <v>0.102487</v>
      </c>
      <c r="BJ106" s="188" t="n">
        <f aca="false">BI106</f>
        <v>0.102487</v>
      </c>
      <c r="BK106" s="29" t="s">
        <v>870</v>
      </c>
    </row>
    <row r="107" customFormat="false" ht="15" hidden="false" customHeight="false" outlineLevel="0" collapsed="false">
      <c r="A107" s="62" t="s">
        <v>840</v>
      </c>
      <c r="B107" s="83" t="n">
        <f aca="false">ROUND(B105*B106,0)</f>
        <v>0</v>
      </c>
      <c r="C107" s="83" t="n">
        <f aca="false">ROUND(C105*C106,0)</f>
        <v>0</v>
      </c>
      <c r="D107" s="83" t="n">
        <f aca="false">ROUND(D105*D106,0)</f>
        <v>0</v>
      </c>
      <c r="E107" s="83" t="n">
        <f aca="false">ROUND(E105*E106,0)</f>
        <v>0</v>
      </c>
      <c r="F107" s="83" t="n">
        <f aca="false">ROUND(F105*F106,0)</f>
        <v>0</v>
      </c>
      <c r="G107" s="83" t="n">
        <f aca="false">ROUND(G105*G106,0)</f>
        <v>0</v>
      </c>
      <c r="H107" s="83" t="n">
        <f aca="false">ROUND(H105*H106,0)</f>
        <v>0</v>
      </c>
      <c r="I107" s="83" t="n">
        <f aca="false">ROUND(I105*I106,0)</f>
        <v>0</v>
      </c>
      <c r="J107" s="83" t="n">
        <f aca="false">ROUND(J105*J106,0)</f>
        <v>0</v>
      </c>
      <c r="K107" s="83" t="n">
        <f aca="false">ROUND(K105*K106,0)</f>
        <v>296</v>
      </c>
      <c r="L107" s="83" t="n">
        <f aca="false">ROUND(L105*L106,0)</f>
        <v>1147</v>
      </c>
      <c r="M107" s="83" t="n">
        <f aca="false">ROUND(M105*M106,0)</f>
        <v>2504</v>
      </c>
      <c r="N107" s="83" t="n">
        <f aca="false">ROUND(N105*N106,0)</f>
        <v>5551</v>
      </c>
      <c r="O107" s="83" t="n">
        <f aca="false">ROUND(O105*O106,0)</f>
        <v>9158</v>
      </c>
      <c r="P107" s="83" t="n">
        <f aca="false">ROUND(P105*P106,0)</f>
        <v>13505</v>
      </c>
      <c r="Q107" s="83" t="n">
        <f aca="false">ROUND(Q105*Q106,0)</f>
        <v>15881</v>
      </c>
      <c r="R107" s="83" t="n">
        <f aca="false">ROUND(R105*R106,0)</f>
        <v>18126</v>
      </c>
      <c r="S107" s="83" t="n">
        <f aca="false">ROUND(S105*S106,0)</f>
        <v>20248</v>
      </c>
      <c r="T107" s="83" t="n">
        <f aca="false">ROUND(T105*T106,0)</f>
        <v>22252</v>
      </c>
      <c r="U107" s="83" t="n">
        <f aca="false">ROUND(U105*U106,0)</f>
        <v>24145</v>
      </c>
      <c r="V107" s="83" t="n">
        <f aca="false">ROUND(V105*V106,0)</f>
        <v>25934</v>
      </c>
      <c r="W107" s="83" t="n">
        <f aca="false">ROUND(W105*W106,0)</f>
        <v>27625</v>
      </c>
      <c r="X107" s="83" t="n">
        <f aca="false">ROUND(X105*X106,0)</f>
        <v>29222</v>
      </c>
      <c r="Y107" s="83" t="n">
        <f aca="false">ROUND(Y105*Y106,0)</f>
        <v>30731</v>
      </c>
      <c r="Z107" s="83" t="n">
        <f aca="false">ROUND(Z105*Z106,0)</f>
        <v>37582</v>
      </c>
      <c r="AA107" s="83" t="n">
        <f aca="false">ROUND(AA105*AA106,0)</f>
        <v>41168</v>
      </c>
      <c r="AB107" s="83" t="n">
        <f aca="false">ROUND(AB105*AB106,0)</f>
        <v>44571</v>
      </c>
      <c r="AC107" s="83" t="n">
        <f aca="false">ROUND(AC105*AC106,0)</f>
        <v>47802</v>
      </c>
      <c r="AD107" s="83" t="n">
        <f aca="false">ROUND(AD105*AD106,0)</f>
        <v>50869</v>
      </c>
      <c r="AE107" s="83" t="n">
        <f aca="false">ROUND(AE105*AE106,0)</f>
        <v>53781</v>
      </c>
      <c r="AF107" s="83" t="n">
        <f aca="false">ROUND(AF105*AF106,0)</f>
        <v>56544</v>
      </c>
      <c r="AG107" s="83" t="n">
        <f aca="false">ROUND(AG105*AG106,0)</f>
        <v>59167</v>
      </c>
      <c r="AH107" s="83" t="n">
        <f aca="false">ROUND(AH105*AH106,0)</f>
        <v>61657</v>
      </c>
      <c r="AI107" s="83" t="n">
        <f aca="false">ROUND(AI105*AI106,0)</f>
        <v>64020</v>
      </c>
      <c r="AJ107" s="83" t="n">
        <f aca="false">ROUND(AJ105*AJ106,0)</f>
        <v>66263</v>
      </c>
      <c r="AK107" s="83" t="n">
        <f aca="false">ROUND(AK105*AK106,0)</f>
        <v>68393</v>
      </c>
      <c r="AL107" s="83" t="n">
        <f aca="false">ROUND(AL105*AL106,0)</f>
        <v>81387</v>
      </c>
      <c r="AM107" s="83" t="n">
        <f aca="false">ROUND(AM105*AM106,0)</f>
        <v>87255</v>
      </c>
      <c r="AN107" s="83" t="n">
        <f aca="false">ROUND(AN105*AN106,0)</f>
        <v>92849</v>
      </c>
      <c r="AO107" s="83" t="n">
        <f aca="false">ROUND(AO105*AO106,0)</f>
        <v>98181</v>
      </c>
      <c r="AP107" s="83" t="n">
        <f aca="false">ROUND(AP105*AP106,0)</f>
        <v>103264</v>
      </c>
      <c r="AQ107" s="83" t="n">
        <f aca="false">ROUND(AQ105*AQ106,0)</f>
        <v>108110</v>
      </c>
      <c r="AR107" s="83" t="n">
        <f aca="false">ROUND(AR105*AR106,0)</f>
        <v>112730</v>
      </c>
      <c r="AS107" s="83" t="n">
        <f aca="false">ROUND(AS105*AS106,0)</f>
        <v>117133</v>
      </c>
      <c r="AT107" s="83" t="n">
        <f aca="false">ROUND(AT105*AT106,0)</f>
        <v>121331</v>
      </c>
      <c r="AU107" s="83" t="n">
        <f aca="false">ROUND(AU105*AU106,0)</f>
        <v>125332</v>
      </c>
      <c r="AV107" s="83" t="n">
        <f aca="false">ROUND(AV105*AV106,0)</f>
        <v>129147</v>
      </c>
      <c r="AW107" s="83" t="n">
        <f aca="false">ROUND(AW105*AW106,0)</f>
        <v>132784</v>
      </c>
      <c r="AX107" s="83" t="n">
        <f aca="false">ROUND(AX105*AX106,0)</f>
        <v>156803</v>
      </c>
      <c r="AY107" s="83" t="n">
        <f aca="false">ROUND(AY105*AY106,0)</f>
        <v>167083</v>
      </c>
      <c r="AZ107" s="83" t="n">
        <f aca="false">ROUND(AZ105*AZ106,0)</f>
        <v>176921</v>
      </c>
      <c r="BA107" s="83" t="n">
        <f aca="false">ROUND(BA105*BA106,0)</f>
        <v>186336</v>
      </c>
      <c r="BB107" s="83" t="n">
        <f aca="false">ROUND(BB105*BB106,0)</f>
        <v>195347</v>
      </c>
      <c r="BC107" s="83" t="n">
        <f aca="false">ROUND(BC105*BC106,0)</f>
        <v>203970</v>
      </c>
      <c r="BD107" s="83" t="n">
        <f aca="false">ROUND(BD105*BD106,0)</f>
        <v>212222</v>
      </c>
      <c r="BE107" s="83" t="n">
        <f aca="false">ROUND(BE105*BE106,0)</f>
        <v>220120</v>
      </c>
      <c r="BF107" s="83" t="n">
        <f aca="false">ROUND(BF105*BF106,0)</f>
        <v>227678</v>
      </c>
      <c r="BG107" s="83" t="n">
        <f aca="false">ROUND(BG105*BG106,0)</f>
        <v>234912</v>
      </c>
      <c r="BH107" s="83" t="n">
        <f aca="false">ROUND(BH105*BH106,0)</f>
        <v>241834</v>
      </c>
      <c r="BI107" s="83" t="n">
        <f aca="false">ROUND(BI105*BI106,0)</f>
        <v>248459</v>
      </c>
      <c r="BJ107" s="134" t="n">
        <f aca="false">BI107</f>
        <v>248459</v>
      </c>
      <c r="BK107" s="29" t="s">
        <v>870</v>
      </c>
    </row>
    <row r="108" customFormat="false" ht="15" hidden="false" customHeight="false" outlineLevel="0" collapsed="false">
      <c r="A108" s="27" t="s">
        <v>841</v>
      </c>
      <c r="B108" s="91" t="n">
        <f aca="false">B107-B109-B110</f>
        <v>0</v>
      </c>
      <c r="C108" s="91" t="n">
        <f aca="false">C107-C109-C110</f>
        <v>0</v>
      </c>
      <c r="D108" s="91" t="n">
        <f aca="false">D107-D109-D110</f>
        <v>0</v>
      </c>
      <c r="E108" s="91" t="n">
        <f aca="false">E107-E109-E110</f>
        <v>0</v>
      </c>
      <c r="F108" s="91" t="n">
        <f aca="false">F107-F109-F110</f>
        <v>0</v>
      </c>
      <c r="G108" s="91" t="n">
        <f aca="false">G107-G109-G110</f>
        <v>0</v>
      </c>
      <c r="H108" s="91" t="n">
        <f aca="false">H107-H109-H110</f>
        <v>0</v>
      </c>
      <c r="I108" s="91" t="n">
        <f aca="false">I107-I109-I110</f>
        <v>0</v>
      </c>
      <c r="J108" s="91" t="n">
        <f aca="false">J107-J109-J110</f>
        <v>0</v>
      </c>
      <c r="K108" s="91" t="n">
        <f aca="false">K107-K109-K110</f>
        <v>296</v>
      </c>
      <c r="L108" s="91" t="n">
        <f aca="false">L107-L109-L110</f>
        <v>1147</v>
      </c>
      <c r="M108" s="91" t="n">
        <f aca="false">M107-M109-M110</f>
        <v>2504</v>
      </c>
      <c r="N108" s="91" t="n">
        <f aca="false">N107-N109-N110</f>
        <v>5551</v>
      </c>
      <c r="O108" s="91" t="n">
        <f aca="false">O107-O109-O110</f>
        <v>9158</v>
      </c>
      <c r="P108" s="91" t="n">
        <f aca="false">P107-P109-P110</f>
        <v>13505</v>
      </c>
      <c r="Q108" s="91" t="n">
        <f aca="false">Q107-Q109-Q110</f>
        <v>12387</v>
      </c>
      <c r="R108" s="91" t="n">
        <f aca="false">R107-R109-R110</f>
        <v>14138</v>
      </c>
      <c r="S108" s="91" t="n">
        <f aca="false">S107-S109-S110</f>
        <v>15793</v>
      </c>
      <c r="T108" s="91" t="n">
        <f aca="false">T107-T109-T110</f>
        <v>17357</v>
      </c>
      <c r="U108" s="91" t="n">
        <f aca="false">U107-U109-U110</f>
        <v>18833</v>
      </c>
      <c r="V108" s="91" t="n">
        <f aca="false">V107-V109-V110</f>
        <v>20229</v>
      </c>
      <c r="W108" s="91" t="n">
        <f aca="false">W107-W109-W110</f>
        <v>19889</v>
      </c>
      <c r="X108" s="91" t="n">
        <f aca="false">X107-X109-X110</f>
        <v>21040</v>
      </c>
      <c r="Y108" s="91" t="n">
        <f aca="false">Y107-Y109-Y110</f>
        <v>22126</v>
      </c>
      <c r="Z108" s="91" t="n">
        <f aca="false">Z107-Z109-Z110</f>
        <v>25555</v>
      </c>
      <c r="AA108" s="91" t="n">
        <f aca="false">AA107-AA109-AA110</f>
        <v>27995</v>
      </c>
      <c r="AB108" s="91" t="n">
        <f aca="false">AB107-AB109-AB110</f>
        <v>30308</v>
      </c>
      <c r="AC108" s="91" t="n">
        <f aca="false">AC107-AC109-AC110</f>
        <v>32506</v>
      </c>
      <c r="AD108" s="91" t="n">
        <f aca="false">AD107-AD109-AD110</f>
        <v>34590</v>
      </c>
      <c r="AE108" s="91" t="n">
        <f aca="false">AE107-AE109-AE110</f>
        <v>36572</v>
      </c>
      <c r="AF108" s="91" t="n">
        <f aca="false">AF107-AF109-AF110</f>
        <v>38449</v>
      </c>
      <c r="AG108" s="91" t="n">
        <f aca="false">AG107-AG109-AG110</f>
        <v>40234</v>
      </c>
      <c r="AH108" s="91" t="n">
        <f aca="false">AH107-AH109-AH110</f>
        <v>41926</v>
      </c>
      <c r="AI108" s="91" t="n">
        <f aca="false">AI107-AI109-AI110</f>
        <v>43533</v>
      </c>
      <c r="AJ108" s="91" t="n">
        <f aca="false">AJ107-AJ109-AJ110</f>
        <v>45059</v>
      </c>
      <c r="AK108" s="91" t="n">
        <f aca="false">AK107-AK109-AK110</f>
        <v>46508</v>
      </c>
      <c r="AL108" s="91" t="n">
        <f aca="false">AL107-AL109-AL110</f>
        <v>52087</v>
      </c>
      <c r="AM108" s="91" t="n">
        <f aca="false">AM107-AM109-AM110</f>
        <v>55843</v>
      </c>
      <c r="AN108" s="91" t="n">
        <f aca="false">AN107-AN109-AN110</f>
        <v>59423</v>
      </c>
      <c r="AO108" s="91" t="n">
        <f aca="false">AO107-AO109-AO110</f>
        <v>62836</v>
      </c>
      <c r="AP108" s="91" t="n">
        <f aca="false">AP107-AP109-AP110</f>
        <v>66089</v>
      </c>
      <c r="AQ108" s="91" t="n">
        <f aca="false">AQ107-AQ109-AQ110</f>
        <v>69190</v>
      </c>
      <c r="AR108" s="91" t="n">
        <f aca="false">AR107-AR109-AR110</f>
        <v>72147</v>
      </c>
      <c r="AS108" s="91" t="n">
        <f aca="false">AS107-AS109-AS110</f>
        <v>74965</v>
      </c>
      <c r="AT108" s="91" t="n">
        <f aca="false">AT107-AT109-AT110</f>
        <v>77652</v>
      </c>
      <c r="AU108" s="91" t="n">
        <f aca="false">AU107-AU109-AU110</f>
        <v>80213</v>
      </c>
      <c r="AV108" s="91" t="n">
        <f aca="false">AV107-AV109-AV110</f>
        <v>82654</v>
      </c>
      <c r="AW108" s="91" t="n">
        <f aca="false">AW107-AW109-AW110</f>
        <v>84982</v>
      </c>
      <c r="AX108" s="91" t="n">
        <f aca="false">AX107-AX109-AX110</f>
        <v>94082</v>
      </c>
      <c r="AY108" s="91" t="n">
        <f aca="false">AY107-AY109-AY110</f>
        <v>100250</v>
      </c>
      <c r="AZ108" s="91" t="n">
        <f aca="false">AZ107-AZ109-AZ110</f>
        <v>106152</v>
      </c>
      <c r="BA108" s="91" t="n">
        <f aca="false">BA107-BA109-BA110</f>
        <v>111802</v>
      </c>
      <c r="BB108" s="91" t="n">
        <f aca="false">BB107-BB109-BB110</f>
        <v>117208</v>
      </c>
      <c r="BC108" s="91" t="n">
        <f aca="false">BC107-BC109-BC110</f>
        <v>122382</v>
      </c>
      <c r="BD108" s="91" t="n">
        <f aca="false">BD107-BD109-BD110</f>
        <v>127333</v>
      </c>
      <c r="BE108" s="91" t="n">
        <f aca="false">BE107-BE109-BE110</f>
        <v>132072</v>
      </c>
      <c r="BF108" s="91" t="n">
        <f aca="false">BF107-BF109-BF110</f>
        <v>136607</v>
      </c>
      <c r="BG108" s="91" t="n">
        <f aca="false">BG107-BG109-BG110</f>
        <v>140948</v>
      </c>
      <c r="BH108" s="91" t="n">
        <f aca="false">BH107-BH109-BH110</f>
        <v>145100</v>
      </c>
      <c r="BI108" s="91" t="n">
        <f aca="false">BI107-BI109-BI110</f>
        <v>149075</v>
      </c>
      <c r="BJ108" s="134" t="n">
        <f aca="false">BI108</f>
        <v>149075</v>
      </c>
      <c r="BK108" s="29" t="s">
        <v>870</v>
      </c>
    </row>
    <row r="109" customFormat="false" ht="15" hidden="false" customHeight="false" outlineLevel="0" collapsed="false">
      <c r="A109" s="27" t="s">
        <v>842</v>
      </c>
      <c r="B109" s="91" t="n">
        <f aca="false">ROUND(B107*INDEX(Premissas!$C$35:$G$35,B$7),0)*IF(B$4&gt;=Premissas!$B$42,1,0)</f>
        <v>0</v>
      </c>
      <c r="C109" s="91" t="n">
        <f aca="false">ROUND(C107*INDEX(Premissas!$C$35:$G$35,C$7),0)*IF(C$4&gt;=Premissas!$B$42,1,0)</f>
        <v>0</v>
      </c>
      <c r="D109" s="91" t="n">
        <f aca="false">ROUND(D107*INDEX(Premissas!$C$35:$G$35,D$7),0)*IF(D$4&gt;=Premissas!$B$42,1,0)</f>
        <v>0</v>
      </c>
      <c r="E109" s="91" t="n">
        <f aca="false">ROUND(E107*INDEX(Premissas!$C$35:$G$35,E$7),0)*IF(E$4&gt;=Premissas!$B$42,1,0)</f>
        <v>0</v>
      </c>
      <c r="F109" s="91" t="n">
        <f aca="false">ROUND(F107*INDEX(Premissas!$C$35:$G$35,F$7),0)*IF(F$4&gt;=Premissas!$B$42,1,0)</f>
        <v>0</v>
      </c>
      <c r="G109" s="91" t="n">
        <f aca="false">ROUND(G107*INDEX(Premissas!$C$35:$G$35,G$7),0)*IF(G$4&gt;=Premissas!$B$42,1,0)</f>
        <v>0</v>
      </c>
      <c r="H109" s="91" t="n">
        <f aca="false">ROUND(H107*INDEX(Premissas!$C$35:$G$35,H$7),0)*IF(H$4&gt;=Premissas!$B$42,1,0)</f>
        <v>0</v>
      </c>
      <c r="I109" s="91" t="n">
        <f aca="false">ROUND(I107*INDEX(Premissas!$C$35:$G$35,I$7),0)*IF(I$4&gt;=Premissas!$B$42,1,0)</f>
        <v>0</v>
      </c>
      <c r="J109" s="91" t="n">
        <f aca="false">ROUND(J107*INDEX(Premissas!$C$35:$G$35,J$7),0)*IF(J$4&gt;=Premissas!$B$42,1,0)</f>
        <v>0</v>
      </c>
      <c r="K109" s="91" t="n">
        <f aca="false">ROUND(K107*INDEX(Premissas!$C$35:$G$35,K$7),0)*IF(K$4&gt;=Premissas!$B$42,1,0)</f>
        <v>0</v>
      </c>
      <c r="L109" s="91" t="n">
        <f aca="false">ROUND(L107*INDEX(Premissas!$C$35:$G$35,L$7),0)*IF(L$4&gt;=Premissas!$B$42,1,0)</f>
        <v>0</v>
      </c>
      <c r="M109" s="91" t="n">
        <f aca="false">ROUND(M107*INDEX(Premissas!$C$35:$G$35,M$7),0)*IF(M$4&gt;=Premissas!$B$42,1,0)</f>
        <v>0</v>
      </c>
      <c r="N109" s="91" t="n">
        <f aca="false">ROUND(N107*INDEX(Premissas!$C$35:$G$35,N$7),0)*IF(N$4&gt;=Premissas!$B$42,1,0)</f>
        <v>0</v>
      </c>
      <c r="O109" s="91" t="n">
        <f aca="false">ROUND(O107*INDEX(Premissas!$C$35:$G$35,O$7),0)*IF(O$4&gt;=Premissas!$B$42,1,0)</f>
        <v>0</v>
      </c>
      <c r="P109" s="91" t="n">
        <f aca="false">ROUND(P107*INDEX(Premissas!$C$35:$G$35,P$7),0)*IF(P$4&gt;=Premissas!$B$42,1,0)</f>
        <v>0</v>
      </c>
      <c r="Q109" s="91" t="n">
        <f aca="false">ROUND(Q107*INDEX(Premissas!$C$35:$G$35,Q$7),0)*IF(Q$4&gt;=Premissas!$B$42,1,0)</f>
        <v>3494</v>
      </c>
      <c r="R109" s="91" t="n">
        <f aca="false">ROUND(R107*INDEX(Premissas!$C$35:$G$35,R$7),0)*IF(R$4&gt;=Premissas!$B$42,1,0)</f>
        <v>3988</v>
      </c>
      <c r="S109" s="91" t="n">
        <f aca="false">ROUND(S107*INDEX(Premissas!$C$35:$G$35,S$7),0)*IF(S$4&gt;=Premissas!$B$42,1,0)</f>
        <v>4455</v>
      </c>
      <c r="T109" s="91" t="n">
        <f aca="false">ROUND(T107*INDEX(Premissas!$C$35:$G$35,T$7),0)*IF(T$4&gt;=Premissas!$B$42,1,0)</f>
        <v>4895</v>
      </c>
      <c r="U109" s="91" t="n">
        <f aca="false">ROUND(U107*INDEX(Premissas!$C$35:$G$35,U$7),0)*IF(U$4&gt;=Premissas!$B$42,1,0)</f>
        <v>5312</v>
      </c>
      <c r="V109" s="91" t="n">
        <f aca="false">ROUND(V107*INDEX(Premissas!$C$35:$G$35,V$7),0)*IF(V$4&gt;=Premissas!$B$42,1,0)</f>
        <v>5705</v>
      </c>
      <c r="W109" s="91" t="n">
        <f aca="false">ROUND(W107*INDEX(Premissas!$C$35:$G$35,W$7),0)*IF(W$4&gt;=Premissas!$B$42,1,0)</f>
        <v>6078</v>
      </c>
      <c r="X109" s="91" t="n">
        <f aca="false">ROUND(X107*INDEX(Premissas!$C$35:$G$35,X$7),0)*IF(X$4&gt;=Premissas!$B$42,1,0)</f>
        <v>6429</v>
      </c>
      <c r="Y109" s="91" t="n">
        <f aca="false">ROUND(Y107*INDEX(Premissas!$C$35:$G$35,Y$7),0)*IF(Y$4&gt;=Premissas!$B$42,1,0)</f>
        <v>6761</v>
      </c>
      <c r="Z109" s="91" t="n">
        <f aca="false">ROUND(Z107*INDEX(Premissas!$C$35:$G$35,Z$7),0)*IF(Z$4&gt;=Premissas!$B$42,1,0)</f>
        <v>9020</v>
      </c>
      <c r="AA109" s="91" t="n">
        <f aca="false">ROUND(AA107*INDEX(Premissas!$C$35:$G$35,AA$7),0)*IF(AA$4&gt;=Premissas!$B$42,1,0)</f>
        <v>9880</v>
      </c>
      <c r="AB109" s="91" t="n">
        <f aca="false">ROUND(AB107*INDEX(Premissas!$C$35:$G$35,AB$7),0)*IF(AB$4&gt;=Premissas!$B$42,1,0)</f>
        <v>10697</v>
      </c>
      <c r="AC109" s="91" t="n">
        <f aca="false">ROUND(AC107*INDEX(Premissas!$C$35:$G$35,AC$7),0)*IF(AC$4&gt;=Premissas!$B$42,1,0)</f>
        <v>11472</v>
      </c>
      <c r="AD109" s="91" t="n">
        <f aca="false">ROUND(AD107*INDEX(Premissas!$C$35:$G$35,AD$7),0)*IF(AD$4&gt;=Premissas!$B$42,1,0)</f>
        <v>12209</v>
      </c>
      <c r="AE109" s="91" t="n">
        <f aca="false">ROUND(AE107*INDEX(Premissas!$C$35:$G$35,AE$7),0)*IF(AE$4&gt;=Premissas!$B$42,1,0)</f>
        <v>12907</v>
      </c>
      <c r="AF109" s="91" t="n">
        <f aca="false">ROUND(AF107*INDEX(Premissas!$C$35:$G$35,AF$7),0)*IF(AF$4&gt;=Premissas!$B$42,1,0)</f>
        <v>13571</v>
      </c>
      <c r="AG109" s="91" t="n">
        <f aca="false">ROUND(AG107*INDEX(Premissas!$C$35:$G$35,AG$7),0)*IF(AG$4&gt;=Premissas!$B$42,1,0)</f>
        <v>14200</v>
      </c>
      <c r="AH109" s="91" t="n">
        <f aca="false">ROUND(AH107*INDEX(Premissas!$C$35:$G$35,AH$7),0)*IF(AH$4&gt;=Premissas!$B$42,1,0)</f>
        <v>14798</v>
      </c>
      <c r="AI109" s="91" t="n">
        <f aca="false">ROUND(AI107*INDEX(Premissas!$C$35:$G$35,AI$7),0)*IF(AI$4&gt;=Premissas!$B$42,1,0)</f>
        <v>15365</v>
      </c>
      <c r="AJ109" s="91" t="n">
        <f aca="false">ROUND(AJ107*INDEX(Premissas!$C$35:$G$35,AJ$7),0)*IF(AJ$4&gt;=Premissas!$B$42,1,0)</f>
        <v>15903</v>
      </c>
      <c r="AK109" s="91" t="n">
        <f aca="false">ROUND(AK107*INDEX(Premissas!$C$35:$G$35,AK$7),0)*IF(AK$4&gt;=Premissas!$B$42,1,0)</f>
        <v>16414</v>
      </c>
      <c r="AL109" s="91" t="n">
        <f aca="false">ROUND(AL107*INDEX(Premissas!$C$35:$G$35,AL$7),0)*IF(AL$4&gt;=Premissas!$B$42,1,0)</f>
        <v>21161</v>
      </c>
      <c r="AM109" s="91" t="n">
        <f aca="false">ROUND(AM107*INDEX(Premissas!$C$35:$G$35,AM$7),0)*IF(AM$4&gt;=Premissas!$B$42,1,0)</f>
        <v>22686</v>
      </c>
      <c r="AN109" s="91" t="n">
        <f aca="false">ROUND(AN107*INDEX(Premissas!$C$35:$G$35,AN$7),0)*IF(AN$4&gt;=Premissas!$B$42,1,0)</f>
        <v>24141</v>
      </c>
      <c r="AO109" s="91" t="n">
        <f aca="false">ROUND(AO107*INDEX(Premissas!$C$35:$G$35,AO$7),0)*IF(AO$4&gt;=Premissas!$B$42,1,0)</f>
        <v>25527</v>
      </c>
      <c r="AP109" s="91" t="n">
        <f aca="false">ROUND(AP107*INDEX(Premissas!$C$35:$G$35,AP$7),0)*IF(AP$4&gt;=Premissas!$B$42,1,0)</f>
        <v>26849</v>
      </c>
      <c r="AQ109" s="91" t="n">
        <f aca="false">ROUND(AQ107*INDEX(Premissas!$C$35:$G$35,AQ$7),0)*IF(AQ$4&gt;=Premissas!$B$42,1,0)</f>
        <v>28109</v>
      </c>
      <c r="AR109" s="91" t="n">
        <f aca="false">ROUND(AR107*INDEX(Premissas!$C$35:$G$35,AR$7),0)*IF(AR$4&gt;=Premissas!$B$42,1,0)</f>
        <v>29310</v>
      </c>
      <c r="AS109" s="91" t="n">
        <f aca="false">ROUND(AS107*INDEX(Premissas!$C$35:$G$35,AS$7),0)*IF(AS$4&gt;=Premissas!$B$42,1,0)</f>
        <v>30455</v>
      </c>
      <c r="AT109" s="91" t="n">
        <f aca="false">ROUND(AT107*INDEX(Premissas!$C$35:$G$35,AT$7),0)*IF(AT$4&gt;=Premissas!$B$42,1,0)</f>
        <v>31546</v>
      </c>
      <c r="AU109" s="91" t="n">
        <f aca="false">ROUND(AU107*INDEX(Premissas!$C$35:$G$35,AU$7),0)*IF(AU$4&gt;=Premissas!$B$42,1,0)</f>
        <v>32586</v>
      </c>
      <c r="AV109" s="91" t="n">
        <f aca="false">ROUND(AV107*INDEX(Premissas!$C$35:$G$35,AV$7),0)*IF(AV$4&gt;=Premissas!$B$42,1,0)</f>
        <v>33578</v>
      </c>
      <c r="AW109" s="91" t="n">
        <f aca="false">ROUND(AW107*INDEX(Premissas!$C$35:$G$35,AW$7),0)*IF(AW$4&gt;=Premissas!$B$42,1,0)</f>
        <v>34524</v>
      </c>
      <c r="AX109" s="91" t="n">
        <f aca="false">ROUND(AX107*INDEX(Premissas!$C$35:$G$35,AX$7),0)*IF(AX$4&gt;=Premissas!$B$42,1,0)</f>
        <v>43905</v>
      </c>
      <c r="AY109" s="91" t="n">
        <f aca="false">ROUND(AY107*INDEX(Premissas!$C$35:$G$35,AY$7),0)*IF(AY$4&gt;=Premissas!$B$42,1,0)</f>
        <v>46783</v>
      </c>
      <c r="AZ109" s="91" t="n">
        <f aca="false">ROUND(AZ107*INDEX(Premissas!$C$35:$G$35,AZ$7),0)*IF(AZ$4&gt;=Premissas!$B$42,1,0)</f>
        <v>49538</v>
      </c>
      <c r="BA109" s="91" t="n">
        <f aca="false">ROUND(BA107*INDEX(Premissas!$C$35:$G$35,BA$7),0)*IF(BA$4&gt;=Premissas!$B$42,1,0)</f>
        <v>52174</v>
      </c>
      <c r="BB109" s="91" t="n">
        <f aca="false">ROUND(BB107*INDEX(Premissas!$C$35:$G$35,BB$7),0)*IF(BB$4&gt;=Premissas!$B$42,1,0)</f>
        <v>54697</v>
      </c>
      <c r="BC109" s="91" t="n">
        <f aca="false">ROUND(BC107*INDEX(Premissas!$C$35:$G$35,BC$7),0)*IF(BC$4&gt;=Premissas!$B$42,1,0)</f>
        <v>57112</v>
      </c>
      <c r="BD109" s="91" t="n">
        <f aca="false">ROUND(BD107*INDEX(Premissas!$C$35:$G$35,BD$7),0)*IF(BD$4&gt;=Premissas!$B$42,1,0)</f>
        <v>59422</v>
      </c>
      <c r="BE109" s="91" t="n">
        <f aca="false">ROUND(BE107*INDEX(Premissas!$C$35:$G$35,BE$7),0)*IF(BE$4&gt;=Premissas!$B$42,1,0)</f>
        <v>61634</v>
      </c>
      <c r="BF109" s="91" t="n">
        <f aca="false">ROUND(BF107*INDEX(Premissas!$C$35:$G$35,BF$7),0)*IF(BF$4&gt;=Premissas!$B$42,1,0)</f>
        <v>63750</v>
      </c>
      <c r="BG109" s="91" t="n">
        <f aca="false">ROUND(BG107*INDEX(Premissas!$C$35:$G$35,BG$7),0)*IF(BG$4&gt;=Premissas!$B$42,1,0)</f>
        <v>65775</v>
      </c>
      <c r="BH109" s="91" t="n">
        <f aca="false">ROUND(BH107*INDEX(Premissas!$C$35:$G$35,BH$7),0)*IF(BH$4&gt;=Premissas!$B$42,1,0)</f>
        <v>67714</v>
      </c>
      <c r="BI109" s="91" t="n">
        <f aca="false">ROUND(BI107*INDEX(Premissas!$C$35:$G$35,BI$7),0)*IF(BI$4&gt;=Premissas!$B$42,1,0)</f>
        <v>69569</v>
      </c>
      <c r="BJ109" s="134" t="n">
        <f aca="false">BI109</f>
        <v>69569</v>
      </c>
      <c r="BK109" s="29" t="s">
        <v>870</v>
      </c>
    </row>
    <row r="110" customFormat="false" ht="15" hidden="false" customHeight="false" outlineLevel="0" collapsed="false">
      <c r="A110" s="27" t="s">
        <v>843</v>
      </c>
      <c r="B110" s="91" t="n">
        <f aca="false">ROUND(B107*INDEX(Premissas!$C$36:$G$36,B$7),0)*IF(B$4&gt;=Premissas!$B$43,1,0)</f>
        <v>0</v>
      </c>
      <c r="C110" s="91" t="n">
        <f aca="false">ROUND(C107*INDEX(Premissas!$C$36:$G$36,C$7),0)*IF(C$4&gt;=Premissas!$B$43,1,0)</f>
        <v>0</v>
      </c>
      <c r="D110" s="91" t="n">
        <f aca="false">ROUND(D107*INDEX(Premissas!$C$36:$G$36,D$7),0)*IF(D$4&gt;=Premissas!$B$43,1,0)</f>
        <v>0</v>
      </c>
      <c r="E110" s="91" t="n">
        <f aca="false">ROUND(E107*INDEX(Premissas!$C$36:$G$36,E$7),0)*IF(E$4&gt;=Premissas!$B$43,1,0)</f>
        <v>0</v>
      </c>
      <c r="F110" s="91" t="n">
        <f aca="false">ROUND(F107*INDEX(Premissas!$C$36:$G$36,F$7),0)*IF(F$4&gt;=Premissas!$B$43,1,0)</f>
        <v>0</v>
      </c>
      <c r="G110" s="91" t="n">
        <f aca="false">ROUND(G107*INDEX(Premissas!$C$36:$G$36,G$7),0)*IF(G$4&gt;=Premissas!$B$43,1,0)</f>
        <v>0</v>
      </c>
      <c r="H110" s="91" t="n">
        <f aca="false">ROUND(H107*INDEX(Premissas!$C$36:$G$36,H$7),0)*IF(H$4&gt;=Premissas!$B$43,1,0)</f>
        <v>0</v>
      </c>
      <c r="I110" s="91" t="n">
        <f aca="false">ROUND(I107*INDEX(Premissas!$C$36:$G$36,I$7),0)*IF(I$4&gt;=Premissas!$B$43,1,0)</f>
        <v>0</v>
      </c>
      <c r="J110" s="91" t="n">
        <f aca="false">ROUND(J107*INDEX(Premissas!$C$36:$G$36,J$7),0)*IF(J$4&gt;=Premissas!$B$43,1,0)</f>
        <v>0</v>
      </c>
      <c r="K110" s="91" t="n">
        <f aca="false">ROUND(K107*INDEX(Premissas!$C$36:$G$36,K$7),0)*IF(K$4&gt;=Premissas!$B$43,1,0)</f>
        <v>0</v>
      </c>
      <c r="L110" s="91" t="n">
        <f aca="false">ROUND(L107*INDEX(Premissas!$C$36:$G$36,L$7),0)*IF(L$4&gt;=Premissas!$B$43,1,0)</f>
        <v>0</v>
      </c>
      <c r="M110" s="91" t="n">
        <f aca="false">ROUND(M107*INDEX(Premissas!$C$36:$G$36,M$7),0)*IF(M$4&gt;=Premissas!$B$43,1,0)</f>
        <v>0</v>
      </c>
      <c r="N110" s="91" t="n">
        <f aca="false">ROUND(N107*INDEX(Premissas!$C$36:$G$36,N$7),0)*IF(N$4&gt;=Premissas!$B$43,1,0)</f>
        <v>0</v>
      </c>
      <c r="O110" s="91" t="n">
        <f aca="false">ROUND(O107*INDEX(Premissas!$C$36:$G$36,O$7),0)*IF(O$4&gt;=Premissas!$B$43,1,0)</f>
        <v>0</v>
      </c>
      <c r="P110" s="91" t="n">
        <f aca="false">ROUND(P107*INDEX(Premissas!$C$36:$G$36,P$7),0)*IF(P$4&gt;=Premissas!$B$43,1,0)</f>
        <v>0</v>
      </c>
      <c r="Q110" s="91" t="n">
        <f aca="false">ROUND(Q107*INDEX(Premissas!$C$36:$G$36,Q$7),0)*IF(Q$4&gt;=Premissas!$B$43,1,0)</f>
        <v>0</v>
      </c>
      <c r="R110" s="91" t="n">
        <f aca="false">ROUND(R107*INDEX(Premissas!$C$36:$G$36,R$7),0)*IF(R$4&gt;=Premissas!$B$43,1,0)</f>
        <v>0</v>
      </c>
      <c r="S110" s="91" t="n">
        <f aca="false">ROUND(S107*INDEX(Premissas!$C$36:$G$36,S$7),0)*IF(S$4&gt;=Premissas!$B$43,1,0)</f>
        <v>0</v>
      </c>
      <c r="T110" s="91" t="n">
        <f aca="false">ROUND(T107*INDEX(Premissas!$C$36:$G$36,T$7),0)*IF(T$4&gt;=Premissas!$B$43,1,0)</f>
        <v>0</v>
      </c>
      <c r="U110" s="91" t="n">
        <f aca="false">ROUND(U107*INDEX(Premissas!$C$36:$G$36,U$7),0)*IF(U$4&gt;=Premissas!$B$43,1,0)</f>
        <v>0</v>
      </c>
      <c r="V110" s="91" t="n">
        <f aca="false">ROUND(V107*INDEX(Premissas!$C$36:$G$36,V$7),0)*IF(V$4&gt;=Premissas!$B$43,1,0)</f>
        <v>0</v>
      </c>
      <c r="W110" s="91" t="n">
        <f aca="false">ROUND(W107*INDEX(Premissas!$C$36:$G$36,W$7),0)*IF(W$4&gt;=Premissas!$B$43,1,0)</f>
        <v>1658</v>
      </c>
      <c r="X110" s="91" t="n">
        <f aca="false">ROUND(X107*INDEX(Premissas!$C$36:$G$36,X$7),0)*IF(X$4&gt;=Premissas!$B$43,1,0)</f>
        <v>1753</v>
      </c>
      <c r="Y110" s="91" t="n">
        <f aca="false">ROUND(Y107*INDEX(Premissas!$C$36:$G$36,Y$7),0)*IF(Y$4&gt;=Premissas!$B$43,1,0)</f>
        <v>1844</v>
      </c>
      <c r="Z110" s="91" t="n">
        <f aca="false">ROUND(Z107*INDEX(Premissas!$C$36:$G$36,Z$7),0)*IF(Z$4&gt;=Premissas!$B$43,1,0)</f>
        <v>3007</v>
      </c>
      <c r="AA110" s="91" t="n">
        <f aca="false">ROUND(AA107*INDEX(Premissas!$C$36:$G$36,AA$7),0)*IF(AA$4&gt;=Premissas!$B$43,1,0)</f>
        <v>3293</v>
      </c>
      <c r="AB110" s="91" t="n">
        <f aca="false">ROUND(AB107*INDEX(Premissas!$C$36:$G$36,AB$7),0)*IF(AB$4&gt;=Premissas!$B$43,1,0)</f>
        <v>3566</v>
      </c>
      <c r="AC110" s="91" t="n">
        <f aca="false">ROUND(AC107*INDEX(Premissas!$C$36:$G$36,AC$7),0)*IF(AC$4&gt;=Premissas!$B$43,1,0)</f>
        <v>3824</v>
      </c>
      <c r="AD110" s="91" t="n">
        <f aca="false">ROUND(AD107*INDEX(Premissas!$C$36:$G$36,AD$7),0)*IF(AD$4&gt;=Premissas!$B$43,1,0)</f>
        <v>4070</v>
      </c>
      <c r="AE110" s="91" t="n">
        <f aca="false">ROUND(AE107*INDEX(Premissas!$C$36:$G$36,AE$7),0)*IF(AE$4&gt;=Premissas!$B$43,1,0)</f>
        <v>4302</v>
      </c>
      <c r="AF110" s="91" t="n">
        <f aca="false">ROUND(AF107*INDEX(Premissas!$C$36:$G$36,AF$7),0)*IF(AF$4&gt;=Premissas!$B$43,1,0)</f>
        <v>4524</v>
      </c>
      <c r="AG110" s="91" t="n">
        <f aca="false">ROUND(AG107*INDEX(Premissas!$C$36:$G$36,AG$7),0)*IF(AG$4&gt;=Premissas!$B$43,1,0)</f>
        <v>4733</v>
      </c>
      <c r="AH110" s="91" t="n">
        <f aca="false">ROUND(AH107*INDEX(Premissas!$C$36:$G$36,AH$7),0)*IF(AH$4&gt;=Premissas!$B$43,1,0)</f>
        <v>4933</v>
      </c>
      <c r="AI110" s="91" t="n">
        <f aca="false">ROUND(AI107*INDEX(Premissas!$C$36:$G$36,AI$7),0)*IF(AI$4&gt;=Premissas!$B$43,1,0)</f>
        <v>5122</v>
      </c>
      <c r="AJ110" s="91" t="n">
        <f aca="false">ROUND(AJ107*INDEX(Premissas!$C$36:$G$36,AJ$7),0)*IF(AJ$4&gt;=Premissas!$B$43,1,0)</f>
        <v>5301</v>
      </c>
      <c r="AK110" s="91" t="n">
        <f aca="false">ROUND(AK107*INDEX(Premissas!$C$36:$G$36,AK$7),0)*IF(AK$4&gt;=Premissas!$B$43,1,0)</f>
        <v>5471</v>
      </c>
      <c r="AL110" s="91" t="n">
        <f aca="false">ROUND(AL107*INDEX(Premissas!$C$36:$G$36,AL$7),0)*IF(AL$4&gt;=Premissas!$B$43,1,0)</f>
        <v>8139</v>
      </c>
      <c r="AM110" s="91" t="n">
        <f aca="false">ROUND(AM107*INDEX(Premissas!$C$36:$G$36,AM$7),0)*IF(AM$4&gt;=Premissas!$B$43,1,0)</f>
        <v>8726</v>
      </c>
      <c r="AN110" s="91" t="n">
        <f aca="false">ROUND(AN107*INDEX(Premissas!$C$36:$G$36,AN$7),0)*IF(AN$4&gt;=Premissas!$B$43,1,0)</f>
        <v>9285</v>
      </c>
      <c r="AO110" s="91" t="n">
        <f aca="false">ROUND(AO107*INDEX(Premissas!$C$36:$G$36,AO$7),0)*IF(AO$4&gt;=Premissas!$B$43,1,0)</f>
        <v>9818</v>
      </c>
      <c r="AP110" s="91" t="n">
        <f aca="false">ROUND(AP107*INDEX(Premissas!$C$36:$G$36,AP$7),0)*IF(AP$4&gt;=Premissas!$B$43,1,0)</f>
        <v>10326</v>
      </c>
      <c r="AQ110" s="91" t="n">
        <f aca="false">ROUND(AQ107*INDEX(Premissas!$C$36:$G$36,AQ$7),0)*IF(AQ$4&gt;=Premissas!$B$43,1,0)</f>
        <v>10811</v>
      </c>
      <c r="AR110" s="91" t="n">
        <f aca="false">ROUND(AR107*INDEX(Premissas!$C$36:$G$36,AR$7),0)*IF(AR$4&gt;=Premissas!$B$43,1,0)</f>
        <v>11273</v>
      </c>
      <c r="AS110" s="91" t="n">
        <f aca="false">ROUND(AS107*INDEX(Premissas!$C$36:$G$36,AS$7),0)*IF(AS$4&gt;=Premissas!$B$43,1,0)</f>
        <v>11713</v>
      </c>
      <c r="AT110" s="91" t="n">
        <f aca="false">ROUND(AT107*INDEX(Premissas!$C$36:$G$36,AT$7),0)*IF(AT$4&gt;=Premissas!$B$43,1,0)</f>
        <v>12133</v>
      </c>
      <c r="AU110" s="91" t="n">
        <f aca="false">ROUND(AU107*INDEX(Premissas!$C$36:$G$36,AU$7),0)*IF(AU$4&gt;=Premissas!$B$43,1,0)</f>
        <v>12533</v>
      </c>
      <c r="AV110" s="91" t="n">
        <f aca="false">ROUND(AV107*INDEX(Premissas!$C$36:$G$36,AV$7),0)*IF(AV$4&gt;=Premissas!$B$43,1,0)</f>
        <v>12915</v>
      </c>
      <c r="AW110" s="91" t="n">
        <f aca="false">ROUND(AW107*INDEX(Premissas!$C$36:$G$36,AW$7),0)*IF(AW$4&gt;=Premissas!$B$43,1,0)</f>
        <v>13278</v>
      </c>
      <c r="AX110" s="91" t="n">
        <f aca="false">ROUND(AX107*INDEX(Premissas!$C$36:$G$36,AX$7),0)*IF(AX$4&gt;=Premissas!$B$43,1,0)</f>
        <v>18816</v>
      </c>
      <c r="AY110" s="91" t="n">
        <f aca="false">ROUND(AY107*INDEX(Premissas!$C$36:$G$36,AY$7),0)*IF(AY$4&gt;=Premissas!$B$43,1,0)</f>
        <v>20050</v>
      </c>
      <c r="AZ110" s="91" t="n">
        <f aca="false">ROUND(AZ107*INDEX(Premissas!$C$36:$G$36,AZ$7),0)*IF(AZ$4&gt;=Premissas!$B$43,1,0)</f>
        <v>21231</v>
      </c>
      <c r="BA110" s="91" t="n">
        <f aca="false">ROUND(BA107*INDEX(Premissas!$C$36:$G$36,BA$7),0)*IF(BA$4&gt;=Premissas!$B$43,1,0)</f>
        <v>22360</v>
      </c>
      <c r="BB110" s="91" t="n">
        <f aca="false">ROUND(BB107*INDEX(Premissas!$C$36:$G$36,BB$7),0)*IF(BB$4&gt;=Premissas!$B$43,1,0)</f>
        <v>23442</v>
      </c>
      <c r="BC110" s="91" t="n">
        <f aca="false">ROUND(BC107*INDEX(Premissas!$C$36:$G$36,BC$7),0)*IF(BC$4&gt;=Premissas!$B$43,1,0)</f>
        <v>24476</v>
      </c>
      <c r="BD110" s="91" t="n">
        <f aca="false">ROUND(BD107*INDEX(Premissas!$C$36:$G$36,BD$7),0)*IF(BD$4&gt;=Premissas!$B$43,1,0)</f>
        <v>25467</v>
      </c>
      <c r="BE110" s="91" t="n">
        <f aca="false">ROUND(BE107*INDEX(Premissas!$C$36:$G$36,BE$7),0)*IF(BE$4&gt;=Premissas!$B$43,1,0)</f>
        <v>26414</v>
      </c>
      <c r="BF110" s="91" t="n">
        <f aca="false">ROUND(BF107*INDEX(Premissas!$C$36:$G$36,BF$7),0)*IF(BF$4&gt;=Premissas!$B$43,1,0)</f>
        <v>27321</v>
      </c>
      <c r="BG110" s="91" t="n">
        <f aca="false">ROUND(BG107*INDEX(Premissas!$C$36:$G$36,BG$7),0)*IF(BG$4&gt;=Premissas!$B$43,1,0)</f>
        <v>28189</v>
      </c>
      <c r="BH110" s="91" t="n">
        <f aca="false">ROUND(BH107*INDEX(Premissas!$C$36:$G$36,BH$7),0)*IF(BH$4&gt;=Premissas!$B$43,1,0)</f>
        <v>29020</v>
      </c>
      <c r="BI110" s="91" t="n">
        <f aca="false">ROUND(BI107*INDEX(Premissas!$C$36:$G$36,BI$7),0)*IF(BI$4&gt;=Premissas!$B$43,1,0)</f>
        <v>29815</v>
      </c>
      <c r="BJ110" s="134" t="n">
        <f aca="false">BI110</f>
        <v>29815</v>
      </c>
      <c r="BK110" s="29" t="s">
        <v>870</v>
      </c>
    </row>
    <row r="111" customFormat="false" ht="15" hidden="false" customHeight="false" outlineLevel="0" collapsed="false">
      <c r="A111" s="27" t="s">
        <v>844</v>
      </c>
      <c r="B111" s="91" t="n">
        <f aca="false">IF(ROUND(B105*INDEX(Premissas!$C$78:$G$78,B$7),0)&gt;=Premissas!$B$79,ROUND(B105*INDEX(Premissas!$C$78:$G$78,B$7),0),0)</f>
        <v>0</v>
      </c>
      <c r="C111" s="91" t="n">
        <f aca="false">IF(ROUND(C105*INDEX(Premissas!$C$78:$G$78,C$7),0)&gt;=Premissas!$B$79,ROUND(C105*INDEX(Premissas!$C$78:$G$78,C$7),0),0)</f>
        <v>0</v>
      </c>
      <c r="D111" s="91" t="n">
        <f aca="false">IF(ROUND(D105*INDEX(Premissas!$C$78:$G$78,D$7),0)&gt;=Premissas!$B$79,ROUND(D105*INDEX(Premissas!$C$78:$G$78,D$7),0),0)</f>
        <v>0</v>
      </c>
      <c r="E111" s="91" t="n">
        <f aca="false">IF(ROUND(E105*INDEX(Premissas!$C$78:$G$78,E$7),0)&gt;=Premissas!$B$79,ROUND(E105*INDEX(Premissas!$C$78:$G$78,E$7),0),0)</f>
        <v>0</v>
      </c>
      <c r="F111" s="91" t="n">
        <f aca="false">IF(ROUND(F105*INDEX(Premissas!$C$78:$G$78,F$7),0)&gt;=Premissas!$B$79,ROUND(F105*INDEX(Premissas!$C$78:$G$78,F$7),0),0)</f>
        <v>0</v>
      </c>
      <c r="G111" s="91" t="n">
        <f aca="false">IF(ROUND(G105*INDEX(Premissas!$C$78:$G$78,G$7),0)&gt;=Premissas!$B$79,ROUND(G105*INDEX(Premissas!$C$78:$G$78,G$7),0),0)</f>
        <v>0</v>
      </c>
      <c r="H111" s="91" t="n">
        <f aca="false">IF(ROUND(H105*INDEX(Premissas!$C$78:$G$78,H$7),0)&gt;=Premissas!$B$79,ROUND(H105*INDEX(Premissas!$C$78:$G$78,H$7),0),0)</f>
        <v>0</v>
      </c>
      <c r="I111" s="91" t="n">
        <f aca="false">IF(ROUND(I105*INDEX(Premissas!$C$78:$G$78,I$7),0)&gt;=Premissas!$B$79,ROUND(I105*INDEX(Premissas!$C$78:$G$78,I$7),0),0)</f>
        <v>0</v>
      </c>
      <c r="J111" s="91" t="n">
        <f aca="false">IF(ROUND(J105*INDEX(Premissas!$C$78:$G$78,J$7),0)&gt;=Premissas!$B$79,ROUND(J105*INDEX(Premissas!$C$78:$G$78,J$7),0),0)</f>
        <v>0</v>
      </c>
      <c r="K111" s="91" t="n">
        <f aca="false">IF(ROUND(K105*INDEX(Premissas!$C$78:$G$78,K$7),0)&gt;=Premissas!$B$79,ROUND(K105*INDEX(Premissas!$C$78:$G$78,K$7),0),0)</f>
        <v>0</v>
      </c>
      <c r="L111" s="91" t="n">
        <f aca="false">IF(ROUND(L105*INDEX(Premissas!$C$78:$G$78,L$7),0)&gt;=Premissas!$B$79,ROUND(L105*INDEX(Premissas!$C$78:$G$78,L$7),0),0)</f>
        <v>0</v>
      </c>
      <c r="M111" s="91" t="n">
        <f aca="false">IF(ROUND(M105*INDEX(Premissas!$C$78:$G$78,M$7),0)&gt;=Premissas!$B$79,ROUND(M105*INDEX(Premissas!$C$78:$G$78,M$7),0),0)</f>
        <v>0</v>
      </c>
      <c r="N111" s="91" t="n">
        <f aca="false">IF(ROUND(N105*INDEX(Premissas!$C$78:$G$78,N$7),0)&gt;=Premissas!$B$79,ROUND(N105*INDEX(Premissas!$C$78:$G$78,N$7),0),0)</f>
        <v>0</v>
      </c>
      <c r="O111" s="91" t="n">
        <f aca="false">IF(ROUND(O105*INDEX(Premissas!$C$78:$G$78,O$7),0)&gt;=Premissas!$B$79,ROUND(O105*INDEX(Premissas!$C$78:$G$78,O$7),0),0)</f>
        <v>0</v>
      </c>
      <c r="P111" s="91" t="n">
        <f aca="false">IF(ROUND(P105*INDEX(Premissas!$C$78:$G$78,P$7),0)&gt;=Premissas!$B$79,ROUND(P105*INDEX(Premissas!$C$78:$G$78,P$7),0),0)</f>
        <v>0</v>
      </c>
      <c r="Q111" s="91" t="n">
        <f aca="false">IF(ROUND(Q105*INDEX(Premissas!$C$78:$G$78,Q$7),0)&gt;=Premissas!$B$79,ROUND(Q105*INDEX(Premissas!$C$78:$G$78,Q$7),0),0)</f>
        <v>0</v>
      </c>
      <c r="R111" s="91" t="n">
        <f aca="false">IF(ROUND(R105*INDEX(Premissas!$C$78:$G$78,R$7),0)&gt;=Premissas!$B$79,ROUND(R105*INDEX(Premissas!$C$78:$G$78,R$7),0),0)</f>
        <v>0</v>
      </c>
      <c r="S111" s="91" t="n">
        <f aca="false">IF(ROUND(S105*INDEX(Premissas!$C$78:$G$78,S$7),0)&gt;=Premissas!$B$79,ROUND(S105*INDEX(Premissas!$C$78:$G$78,S$7),0),0)</f>
        <v>0</v>
      </c>
      <c r="T111" s="91" t="n">
        <f aca="false">IF(ROUND(T105*INDEX(Premissas!$C$78:$G$78,T$7),0)&gt;=Premissas!$B$79,ROUND(T105*INDEX(Premissas!$C$78:$G$78,T$7),0),0)</f>
        <v>80916</v>
      </c>
      <c r="U111" s="91" t="n">
        <f aca="false">IF(ROUND(U105*INDEX(Premissas!$C$78:$G$78,U$7),0)&gt;=Premissas!$B$79,ROUND(U105*INDEX(Premissas!$C$78:$G$78,U$7),0),0)</f>
        <v>87802</v>
      </c>
      <c r="V111" s="91" t="n">
        <f aca="false">IF(ROUND(V105*INDEX(Premissas!$C$78:$G$78,V$7),0)&gt;=Premissas!$B$79,ROUND(V105*INDEX(Premissas!$C$78:$G$78,V$7),0),0)</f>
        <v>94307</v>
      </c>
      <c r="W111" s="91" t="n">
        <f aca="false">IF(ROUND(W105*INDEX(Premissas!$C$78:$G$78,W$7),0)&gt;=Premissas!$B$79,ROUND(W105*INDEX(Premissas!$C$78:$G$78,W$7),0),0)</f>
        <v>100454</v>
      </c>
      <c r="X111" s="91" t="n">
        <f aca="false">IF(ROUND(X105*INDEX(Premissas!$C$78:$G$78,X$7),0)&gt;=Premissas!$B$79,ROUND(X105*INDEX(Premissas!$C$78:$G$78,X$7),0),0)</f>
        <v>106261</v>
      </c>
      <c r="Y111" s="91" t="n">
        <f aca="false">IF(ROUND(Y105*INDEX(Premissas!$C$78:$G$78,Y$7),0)&gt;=Premissas!$B$79,ROUND(Y105*INDEX(Premissas!$C$78:$G$78,Y$7),0),0)</f>
        <v>111748</v>
      </c>
      <c r="Z111" s="91" t="n">
        <f aca="false">IF(ROUND(Z105*INDEX(Premissas!$C$78:$G$78,Z$7),0)&gt;=Premissas!$B$79,ROUND(Z105*INDEX(Premissas!$C$78:$G$78,Z$7),0),0)</f>
        <v>133111</v>
      </c>
      <c r="AA111" s="91" t="n">
        <f aca="false">IF(ROUND(AA105*INDEX(Premissas!$C$78:$G$78,AA$7),0)&gt;=Premissas!$B$79,ROUND(AA105*INDEX(Premissas!$C$78:$G$78,AA$7),0),0)</f>
        <v>145812</v>
      </c>
      <c r="AB111" s="91" t="n">
        <f aca="false">IF(ROUND(AB105*INDEX(Premissas!$C$78:$G$78,AB$7),0)&gt;=Premissas!$B$79,ROUND(AB105*INDEX(Premissas!$C$78:$G$78,AB$7),0),0)</f>
        <v>157868</v>
      </c>
      <c r="AC111" s="91" t="n">
        <f aca="false">IF(ROUND(AC105*INDEX(Premissas!$C$78:$G$78,AC$7),0)&gt;=Premissas!$B$79,ROUND(AC105*INDEX(Premissas!$C$78:$G$78,AC$7),0),0)</f>
        <v>169312</v>
      </c>
      <c r="AD111" s="91" t="n">
        <f aca="false">IF(ROUND(AD105*INDEX(Premissas!$C$78:$G$78,AD$7),0)&gt;=Premissas!$B$79,ROUND(AD105*INDEX(Premissas!$C$78:$G$78,AD$7),0),0)</f>
        <v>180175</v>
      </c>
      <c r="AE111" s="91" t="n">
        <f aca="false">IF(ROUND(AE105*INDEX(Premissas!$C$78:$G$78,AE$7),0)&gt;=Premissas!$B$79,ROUND(AE105*INDEX(Premissas!$C$78:$G$78,AE$7),0),0)</f>
        <v>190486</v>
      </c>
      <c r="AF111" s="91" t="n">
        <f aca="false">IF(ROUND(AF105*INDEX(Premissas!$C$78:$G$78,AF$7),0)&gt;=Premissas!$B$79,ROUND(AF105*INDEX(Premissas!$C$78:$G$78,AF$7),0),0)</f>
        <v>200273</v>
      </c>
      <c r="AG111" s="91" t="n">
        <f aca="false">IF(ROUND(AG105*INDEX(Premissas!$C$78:$G$78,AG$7),0)&gt;=Premissas!$B$79,ROUND(AG105*INDEX(Premissas!$C$78:$G$78,AG$7),0),0)</f>
        <v>209564</v>
      </c>
      <c r="AH111" s="91" t="n">
        <f aca="false">IF(ROUND(AH105*INDEX(Premissas!$C$78:$G$78,AH$7),0)&gt;=Premissas!$B$79,ROUND(AH105*INDEX(Premissas!$C$78:$G$78,AH$7),0),0)</f>
        <v>218382</v>
      </c>
      <c r="AI111" s="91" t="n">
        <f aca="false">IF(ROUND(AI105*INDEX(Premissas!$C$78:$G$78,AI$7),0)&gt;=Premissas!$B$79,ROUND(AI105*INDEX(Premissas!$C$78:$G$78,AI$7),0),0)</f>
        <v>226753</v>
      </c>
      <c r="AJ111" s="91" t="n">
        <f aca="false">IF(ROUND(AJ105*INDEX(Premissas!$C$78:$G$78,AJ$7),0)&gt;=Premissas!$B$79,ROUND(AJ105*INDEX(Premissas!$C$78:$G$78,AJ$7),0),0)</f>
        <v>234699</v>
      </c>
      <c r="AK111" s="91" t="n">
        <f aca="false">IF(ROUND(AK105*INDEX(Premissas!$C$78:$G$78,AK$7),0)&gt;=Premissas!$B$79,ROUND(AK105*INDEX(Premissas!$C$78:$G$78,AK$7),0),0)</f>
        <v>242241</v>
      </c>
      <c r="AL111" s="91" t="n">
        <f aca="false">IF(ROUND(AL105*INDEX(Premissas!$C$78:$G$78,AL$7),0)&gt;=Premissas!$B$79,ROUND(AL105*INDEX(Premissas!$C$78:$G$78,AL$7),0),0)</f>
        <v>279532</v>
      </c>
      <c r="AM111" s="91" t="n">
        <f aca="false">IF(ROUND(AM105*INDEX(Premissas!$C$78:$G$78,AM$7),0)&gt;=Premissas!$B$79,ROUND(AM105*INDEX(Premissas!$C$78:$G$78,AM$7),0),0)</f>
        <v>299685</v>
      </c>
      <c r="AN111" s="91" t="n">
        <f aca="false">IF(ROUND(AN105*INDEX(Premissas!$C$78:$G$78,AN$7),0)&gt;=Premissas!$B$79,ROUND(AN105*INDEX(Premissas!$C$78:$G$78,AN$7),0),0)</f>
        <v>318897</v>
      </c>
      <c r="AO111" s="91" t="n">
        <f aca="false">IF(ROUND(AO105*INDEX(Premissas!$C$78:$G$78,AO$7),0)&gt;=Premissas!$B$79,ROUND(AO105*INDEX(Premissas!$C$78:$G$78,AO$7),0),0)</f>
        <v>337212</v>
      </c>
      <c r="AP111" s="91" t="n">
        <f aca="false">IF(ROUND(AP105*INDEX(Premissas!$C$78:$G$78,AP$7),0)&gt;=Premissas!$B$79,ROUND(AP105*INDEX(Premissas!$C$78:$G$78,AP$7),0),0)</f>
        <v>354670</v>
      </c>
      <c r="AQ111" s="91" t="n">
        <f aca="false">IF(ROUND(AQ105*INDEX(Premissas!$C$78:$G$78,AQ$7),0)&gt;=Premissas!$B$79,ROUND(AQ105*INDEX(Premissas!$C$78:$G$78,AQ$7),0),0)</f>
        <v>371313</v>
      </c>
      <c r="AR111" s="91" t="n">
        <f aca="false">IF(ROUND(AR105*INDEX(Premissas!$C$78:$G$78,AR$7),0)&gt;=Premissas!$B$79,ROUND(AR105*INDEX(Premissas!$C$78:$G$78,AR$7),0),0)</f>
        <v>387179</v>
      </c>
      <c r="AS111" s="91" t="n">
        <f aca="false">IF(ROUND(AS105*INDEX(Premissas!$C$78:$G$78,AS$7),0)&gt;=Premissas!$B$79,ROUND(AS105*INDEX(Premissas!$C$78:$G$78,AS$7),0),0)</f>
        <v>402303</v>
      </c>
      <c r="AT111" s="91" t="n">
        <f aca="false">IF(ROUND(AT105*INDEX(Premissas!$C$78:$G$78,AT$7),0)&gt;=Premissas!$B$79,ROUND(AT105*INDEX(Premissas!$C$78:$G$78,AT$7),0),0)</f>
        <v>416720</v>
      </c>
      <c r="AU111" s="91" t="n">
        <f aca="false">IF(ROUND(AU105*INDEX(Premissas!$C$78:$G$78,AU$7),0)&gt;=Premissas!$B$79,ROUND(AU105*INDEX(Premissas!$C$78:$G$78,AU$7),0),0)</f>
        <v>430464</v>
      </c>
      <c r="AV111" s="91" t="n">
        <f aca="false">IF(ROUND(AV105*INDEX(Premissas!$C$78:$G$78,AV$7),0)&gt;=Premissas!$B$79,ROUND(AV105*INDEX(Premissas!$C$78:$G$78,AV$7),0),0)</f>
        <v>443566</v>
      </c>
      <c r="AW111" s="91" t="n">
        <f aca="false">IF(ROUND(AW105*INDEX(Premissas!$C$78:$G$78,AW$7),0)&gt;=Premissas!$B$79,ROUND(AW105*INDEX(Premissas!$C$78:$G$78,AW$7),0),0)</f>
        <v>456056</v>
      </c>
      <c r="AX111" s="91" t="n">
        <f aca="false">IF(ROUND(AX105*INDEX(Premissas!$C$78:$G$78,AX$7),0)&gt;=Premissas!$B$79,ROUND(AX105*INDEX(Premissas!$C$78:$G$78,AX$7),0),0)</f>
        <v>535494</v>
      </c>
      <c r="AY111" s="91" t="n">
        <f aca="false">IF(ROUND(AY105*INDEX(Premissas!$C$78:$G$78,AY$7),0)&gt;=Premissas!$B$79,ROUND(AY105*INDEX(Premissas!$C$78:$G$78,AY$7),0),0)</f>
        <v>570601</v>
      </c>
      <c r="AZ111" s="91" t="n">
        <f aca="false">IF(ROUND(AZ105*INDEX(Premissas!$C$78:$G$78,AZ$7),0)&gt;=Premissas!$B$79,ROUND(AZ105*INDEX(Premissas!$C$78:$G$78,AZ$7),0),0)</f>
        <v>604198</v>
      </c>
      <c r="BA111" s="91" t="n">
        <f aca="false">IF(ROUND(BA105*INDEX(Premissas!$C$78:$G$78,BA$7),0)&gt;=Premissas!$B$79,ROUND(BA105*INDEX(Premissas!$C$78:$G$78,BA$7),0),0)</f>
        <v>636351</v>
      </c>
      <c r="BB111" s="91" t="n">
        <f aca="false">IF(ROUND(BB105*INDEX(Premissas!$C$78:$G$78,BB$7),0)&gt;=Premissas!$B$79,ROUND(BB105*INDEX(Premissas!$C$78:$G$78,BB$7),0),0)</f>
        <v>667123</v>
      </c>
      <c r="BC111" s="91" t="n">
        <f aca="false">IF(ROUND(BC105*INDEX(Premissas!$C$78:$G$78,BC$7),0)&gt;=Premissas!$B$79,ROUND(BC105*INDEX(Premissas!$C$78:$G$78,BC$7),0),0)</f>
        <v>696571</v>
      </c>
      <c r="BD111" s="91" t="n">
        <f aca="false">IF(ROUND(BD105*INDEX(Premissas!$C$78:$G$78,BD$7),0)&gt;=Premissas!$B$79,ROUND(BD105*INDEX(Premissas!$C$78:$G$78,BD$7),0),0)</f>
        <v>724754</v>
      </c>
      <c r="BE111" s="91" t="n">
        <f aca="false">IF(ROUND(BE105*INDEX(Premissas!$C$78:$G$78,BE$7),0)&gt;=Premissas!$B$79,ROUND(BE105*INDEX(Premissas!$C$78:$G$78,BE$7),0),0)</f>
        <v>751725</v>
      </c>
      <c r="BF111" s="91" t="n">
        <f aca="false">IF(ROUND(BF105*INDEX(Premissas!$C$78:$G$78,BF$7),0)&gt;=Premissas!$B$79,ROUND(BF105*INDEX(Premissas!$C$78:$G$78,BF$7),0),0)</f>
        <v>777537</v>
      </c>
      <c r="BG111" s="91" t="n">
        <f aca="false">IF(ROUND(BG105*INDEX(Premissas!$C$78:$G$78,BG$7),0)&gt;=Premissas!$B$79,ROUND(BG105*INDEX(Premissas!$C$78:$G$78,BG$7),0),0)</f>
        <v>802240</v>
      </c>
      <c r="BH111" s="91" t="n">
        <f aca="false">IF(ROUND(BH105*INDEX(Premissas!$C$78:$G$78,BH$7),0)&gt;=Premissas!$B$79,ROUND(BH105*INDEX(Premissas!$C$78:$G$78,BH$7),0),0)</f>
        <v>825881</v>
      </c>
      <c r="BI111" s="91" t="n">
        <f aca="false">IF(ROUND(BI105*INDEX(Premissas!$C$78:$G$78,BI$7),0)&gt;=Premissas!$B$79,ROUND(BI105*INDEX(Premissas!$C$78:$G$78,BI$7),0),0)</f>
        <v>848505</v>
      </c>
      <c r="BJ111" s="134" t="n">
        <f aca="false">BI111</f>
        <v>848505</v>
      </c>
      <c r="BK111" s="29" t="s">
        <v>870</v>
      </c>
    </row>
    <row r="112" customFormat="false" ht="15" hidden="false" customHeight="false" outlineLevel="0" collapsed="false">
      <c r="A112" s="27" t="s">
        <v>872</v>
      </c>
      <c r="B112" s="60" t="n">
        <f aca="false">B108*Premissas!$B$29*(1+Premissas!$B$32)^(B$6-2026)</f>
        <v>0</v>
      </c>
      <c r="C112" s="60" t="n">
        <f aca="false">C108*Premissas!$B$29*(1+Premissas!$B$32)^(C$6-2026)</f>
        <v>0</v>
      </c>
      <c r="D112" s="60" t="n">
        <f aca="false">D108*Premissas!$B$29*(1+Premissas!$B$32)^(D$6-2026)</f>
        <v>0</v>
      </c>
      <c r="E112" s="60" t="n">
        <f aca="false">E108*Premissas!$B$29*(1+Premissas!$B$32)^(E$6-2026)</f>
        <v>0</v>
      </c>
      <c r="F112" s="60" t="n">
        <f aca="false">F108*Premissas!$B$29*(1+Premissas!$B$32)^(F$6-2026)</f>
        <v>0</v>
      </c>
      <c r="G112" s="60" t="n">
        <f aca="false">G108*Premissas!$B$29*(1+Premissas!$B$32)^(G$6-2026)</f>
        <v>0</v>
      </c>
      <c r="H112" s="60" t="n">
        <f aca="false">H108*Premissas!$B$29*(1+Premissas!$B$32)^(H$6-2026)</f>
        <v>0</v>
      </c>
      <c r="I112" s="60" t="n">
        <f aca="false">I108*Premissas!$B$29*(1+Premissas!$B$32)^(I$6-2026)</f>
        <v>0</v>
      </c>
      <c r="J112" s="60" t="n">
        <f aca="false">J108*Premissas!$B$29*(1+Premissas!$B$32)^(J$6-2026)</f>
        <v>0</v>
      </c>
      <c r="K112" s="60" t="n">
        <f aca="false">K108*Premissas!$B$29*(1+Premissas!$B$32)^(K$6-2026)</f>
        <v>5890.4</v>
      </c>
      <c r="L112" s="60" t="n">
        <f aca="false">L108*Premissas!$B$29*(1+Premissas!$B$32)^(L$6-2026)</f>
        <v>22825.3</v>
      </c>
      <c r="M112" s="60" t="n">
        <f aca="false">M108*Premissas!$B$29*(1+Premissas!$B$32)^(M$6-2026)</f>
        <v>49829.6</v>
      </c>
      <c r="N112" s="60" t="n">
        <f aca="false">N108*Premissas!$B$29*(1+Premissas!$B$32)^(N$6-2026)</f>
        <v>115435.8205</v>
      </c>
      <c r="O112" s="60" t="n">
        <f aca="false">O108*Premissas!$B$29*(1+Premissas!$B$32)^(O$6-2026)</f>
        <v>190445.189</v>
      </c>
      <c r="P112" s="60" t="n">
        <f aca="false">P108*Premissas!$B$29*(1+Premissas!$B$32)^(P$6-2026)</f>
        <v>280843.2275</v>
      </c>
      <c r="Q112" s="60" t="n">
        <f aca="false">Q108*Premissas!$B$29*(1+Premissas!$B$32)^(Q$6-2026)</f>
        <v>257593.8585</v>
      </c>
      <c r="R112" s="60" t="n">
        <f aca="false">R108*Premissas!$B$29*(1+Premissas!$B$32)^(R$6-2026)</f>
        <v>294006.779</v>
      </c>
      <c r="S112" s="60" t="n">
        <f aca="false">S108*Premissas!$B$29*(1+Premissas!$B$32)^(S$6-2026)</f>
        <v>328423.3315</v>
      </c>
      <c r="T112" s="60" t="n">
        <f aca="false">T108*Premissas!$B$29*(1+Premissas!$B$32)^(T$6-2026)</f>
        <v>360947.4935</v>
      </c>
      <c r="U112" s="60" t="n">
        <f aca="false">U108*Premissas!$B$29*(1+Premissas!$B$32)^(U$6-2026)</f>
        <v>391641.6515</v>
      </c>
      <c r="V112" s="60" t="n">
        <f aca="false">V108*Premissas!$B$29*(1+Premissas!$B$32)^(V$6-2026)</f>
        <v>420672.1695</v>
      </c>
      <c r="W112" s="60" t="n">
        <f aca="false">W108*Premissas!$B$29*(1+Premissas!$B$32)^(W$6-2026)</f>
        <v>413601.6995</v>
      </c>
      <c r="X112" s="60" t="n">
        <f aca="false">X108*Premissas!$B$29*(1+Premissas!$B$32)^(X$6-2026)</f>
        <v>437537.32</v>
      </c>
      <c r="Y112" s="60" t="n">
        <f aca="false">Y108*Premissas!$B$29*(1+Premissas!$B$32)^(Y$6-2026)</f>
        <v>460121.233</v>
      </c>
      <c r="Z112" s="60" t="n">
        <f aca="false">Z108*Premissas!$B$29*(1+Premissas!$B$32)^(Z$6-2026)</f>
        <v>555343.3076125</v>
      </c>
      <c r="AA112" s="60" t="n">
        <f aca="false">AA108*Premissas!$B$29*(1+Premissas!$B$32)^(AA$6-2026)</f>
        <v>608367.6735125</v>
      </c>
      <c r="AB112" s="60" t="n">
        <f aca="false">AB108*Premissas!$B$29*(1+Premissas!$B$32)^(AB$6-2026)</f>
        <v>658632.16463</v>
      </c>
      <c r="AC112" s="60" t="n">
        <f aca="false">AC108*Premissas!$B$29*(1+Premissas!$B$32)^(AC$6-2026)</f>
        <v>706397.556535</v>
      </c>
      <c r="AD112" s="60" t="n">
        <f aca="false">AD108*Premissas!$B$29*(1+Premissas!$B$32)^(AD$6-2026)</f>
        <v>751685.580525</v>
      </c>
      <c r="AE112" s="60" t="n">
        <f aca="false">AE108*Premissas!$B$29*(1+Premissas!$B$32)^(AE$6-2026)</f>
        <v>794757.01217</v>
      </c>
      <c r="AF112" s="60" t="n">
        <f aca="false">AF108*Premissas!$B$29*(1+Premissas!$B$32)^(AF$6-2026)</f>
        <v>835546.6575775</v>
      </c>
      <c r="AG112" s="60" t="n">
        <f aca="false">AG108*Premissas!$B$29*(1+Premissas!$B$32)^(AG$6-2026)</f>
        <v>874337.023615</v>
      </c>
      <c r="AH112" s="60" t="n">
        <f aca="false">AH108*Premissas!$B$29*(1+Premissas!$B$32)^(AH$6-2026)</f>
        <v>911106.378985</v>
      </c>
      <c r="AI112" s="60" t="n">
        <f aca="false">AI108*Premissas!$B$29*(1+Premissas!$B$32)^(AI$6-2026)</f>
        <v>946028.5740675</v>
      </c>
      <c r="AJ112" s="60" t="n">
        <f aca="false">AJ108*Premissas!$B$29*(1+Premissas!$B$32)^(AJ$6-2026)</f>
        <v>979190.5340525</v>
      </c>
      <c r="AK112" s="60" t="n">
        <f aca="false">AK108*Premissas!$B$29*(1+Premissas!$B$32)^(AK$6-2026)</f>
        <v>1010679.18413</v>
      </c>
      <c r="AL112" s="60" t="n">
        <f aca="false">AL108*Premissas!$B$29*(1+Premissas!$B$32)^(AL$6-2026)</f>
        <v>1182854.40706221</v>
      </c>
      <c r="AM112" s="60" t="n">
        <f aca="false">AM108*Premissas!$B$29*(1+Premissas!$B$32)^(AM$6-2026)</f>
        <v>1268150.18437566</v>
      </c>
      <c r="AN112" s="60" t="n">
        <f aca="false">AN108*Premissas!$B$29*(1+Premissas!$B$32)^(AN$6-2026)</f>
        <v>1349449.14145291</v>
      </c>
      <c r="AO112" s="60" t="n">
        <f aca="false">AO108*Premissas!$B$29*(1+Premissas!$B$32)^(AO$6-2026)</f>
        <v>1426955.66114695</v>
      </c>
      <c r="AP112" s="60" t="n">
        <f aca="false">AP108*Premissas!$B$29*(1+Premissas!$B$32)^(AP$6-2026)</f>
        <v>1500828.70789899</v>
      </c>
      <c r="AQ112" s="60" t="n">
        <f aca="false">AQ108*Premissas!$B$29*(1+Premissas!$B$32)^(AQ$6-2026)</f>
        <v>1571249.95535612</v>
      </c>
      <c r="AR112" s="60" t="n">
        <f aca="false">AR108*Premissas!$B$29*(1+Premissas!$B$32)^(AR$6-2026)</f>
        <v>1638401.07716546</v>
      </c>
      <c r="AS112" s="60" t="n">
        <f aca="false">AS108*Premissas!$B$29*(1+Premissas!$B$32)^(AS$6-2026)</f>
        <v>1702395.61935644</v>
      </c>
      <c r="AT112" s="60" t="n">
        <f aca="false">AT108*Premissas!$B$29*(1+Premissas!$B$32)^(AT$6-2026)</f>
        <v>1763415.25557615</v>
      </c>
      <c r="AU112" s="60" t="n">
        <f aca="false">AU108*Premissas!$B$29*(1+Premissas!$B$32)^(AU$6-2026)</f>
        <v>1821573.53185404</v>
      </c>
      <c r="AV112" s="60" t="n">
        <f aca="false">AV108*Premissas!$B$29*(1+Premissas!$B$32)^(AV$6-2026)</f>
        <v>1877006.70342542</v>
      </c>
      <c r="AW112" s="60" t="n">
        <f aca="false">AW108*Premissas!$B$29*(1+Premissas!$B$32)^(AW$6-2026)</f>
        <v>1929873.73473152</v>
      </c>
      <c r="AX112" s="60" t="n">
        <f aca="false">AX108*Premissas!$B$29*(1+Premissas!$B$32)^(AX$6-2026)</f>
        <v>2232671.24618162</v>
      </c>
      <c r="AY112" s="60" t="n">
        <f aca="false">AY108*Premissas!$B$29*(1+Premissas!$B$32)^(AY$6-2026)</f>
        <v>2379044.79528186</v>
      </c>
      <c r="AZ112" s="60" t="n">
        <f aca="false">AZ108*Premissas!$B$29*(1+Premissas!$B$32)^(AZ$6-2026)</f>
        <v>2519105.86642154</v>
      </c>
      <c r="BA112" s="60" t="n">
        <f aca="false">BA108*Premissas!$B$29*(1+Premissas!$B$32)^(BA$6-2026)</f>
        <v>2653186.69528282</v>
      </c>
      <c r="BB112" s="60" t="n">
        <f aca="false">BB108*Premissas!$B$29*(1+Premissas!$B$32)^(BB$6-2026)</f>
        <v>2781477.13082689</v>
      </c>
      <c r="BC112" s="60" t="n">
        <f aca="false">BC108*Premissas!$B$29*(1+Premissas!$B$32)^(BC$6-2026)</f>
        <v>2904261.94649561</v>
      </c>
      <c r="BD112" s="60" t="n">
        <f aca="false">BD108*Premissas!$B$29*(1+Premissas!$B$32)^(BD$6-2026)</f>
        <v>3021754.72237032</v>
      </c>
      <c r="BE112" s="60" t="n">
        <f aca="false">BE108*Premissas!$B$29*(1+Premissas!$B$32)^(BE$6-2026)</f>
        <v>3134216.50077272</v>
      </c>
      <c r="BF112" s="60" t="n">
        <f aca="false">BF108*Premissas!$B$29*(1+Premissas!$B$32)^(BF$6-2026)</f>
        <v>3241837.13066403</v>
      </c>
      <c r="BG112" s="60" t="n">
        <f aca="false">BG108*Premissas!$B$29*(1+Premissas!$B$32)^(BG$6-2026)</f>
        <v>3344853.92324576</v>
      </c>
      <c r="BH112" s="60" t="n">
        <f aca="false">BH108*Premissas!$B$29*(1+Premissas!$B$32)^(BH$6-2026)</f>
        <v>3443385.53411868</v>
      </c>
      <c r="BI112" s="60" t="n">
        <f aca="false">BI108*Premissas!$B$29*(1+Premissas!$B$32)^(BI$6-2026)</f>
        <v>3537716.73672462</v>
      </c>
      <c r="BJ112" s="61" t="n">
        <f aca="false">SUM(B112:BI112)</f>
        <v>67887552.9282009</v>
      </c>
    </row>
    <row r="113" customFormat="false" ht="15" hidden="false" customHeight="false" outlineLevel="0" collapsed="false">
      <c r="A113" s="27" t="s">
        <v>873</v>
      </c>
      <c r="B113" s="60" t="n">
        <f aca="false">B109*Premissas!$B$30*(1+Premissas!$B$32)^(B$6-2026)</f>
        <v>0</v>
      </c>
      <c r="C113" s="60" t="n">
        <f aca="false">C109*Premissas!$B$30*(1+Premissas!$B$32)^(C$6-2026)</f>
        <v>0</v>
      </c>
      <c r="D113" s="60" t="n">
        <f aca="false">D109*Premissas!$B$30*(1+Premissas!$B$32)^(D$6-2026)</f>
        <v>0</v>
      </c>
      <c r="E113" s="60" t="n">
        <f aca="false">E109*Premissas!$B$30*(1+Premissas!$B$32)^(E$6-2026)</f>
        <v>0</v>
      </c>
      <c r="F113" s="60" t="n">
        <f aca="false">F109*Premissas!$B$30*(1+Premissas!$B$32)^(F$6-2026)</f>
        <v>0</v>
      </c>
      <c r="G113" s="60" t="n">
        <f aca="false">G109*Premissas!$B$30*(1+Premissas!$B$32)^(G$6-2026)</f>
        <v>0</v>
      </c>
      <c r="H113" s="60" t="n">
        <f aca="false">H109*Premissas!$B$30*(1+Premissas!$B$32)^(H$6-2026)</f>
        <v>0</v>
      </c>
      <c r="I113" s="60" t="n">
        <f aca="false">I109*Premissas!$B$30*(1+Premissas!$B$32)^(I$6-2026)</f>
        <v>0</v>
      </c>
      <c r="J113" s="60" t="n">
        <f aca="false">J109*Premissas!$B$30*(1+Premissas!$B$32)^(J$6-2026)</f>
        <v>0</v>
      </c>
      <c r="K113" s="60" t="n">
        <f aca="false">K109*Premissas!$B$30*(1+Premissas!$B$32)^(K$6-2026)</f>
        <v>0</v>
      </c>
      <c r="L113" s="60" t="n">
        <f aca="false">L109*Premissas!$B$30*(1+Premissas!$B$32)^(L$6-2026)</f>
        <v>0</v>
      </c>
      <c r="M113" s="60" t="n">
        <f aca="false">M109*Premissas!$B$30*(1+Premissas!$B$32)^(M$6-2026)</f>
        <v>0</v>
      </c>
      <c r="N113" s="60" t="n">
        <f aca="false">N109*Premissas!$B$30*(1+Premissas!$B$32)^(N$6-2026)</f>
        <v>0</v>
      </c>
      <c r="O113" s="60" t="n">
        <f aca="false">O109*Premissas!$B$30*(1+Premissas!$B$32)^(O$6-2026)</f>
        <v>0</v>
      </c>
      <c r="P113" s="60" t="n">
        <f aca="false">P109*Premissas!$B$30*(1+Premissas!$B$32)^(P$6-2026)</f>
        <v>0</v>
      </c>
      <c r="Q113" s="60" t="n">
        <f aca="false">Q109*Premissas!$B$30*(1+Premissas!$B$32)^(Q$6-2026)</f>
        <v>145684.077</v>
      </c>
      <c r="R113" s="60" t="n">
        <f aca="false">R109*Premissas!$B$30*(1+Premissas!$B$32)^(R$6-2026)</f>
        <v>166281.654</v>
      </c>
      <c r="S113" s="60" t="n">
        <f aca="false">S109*Premissas!$B$30*(1+Premissas!$B$32)^(S$6-2026)</f>
        <v>185753.4525</v>
      </c>
      <c r="T113" s="60" t="n">
        <f aca="false">T109*Premissas!$B$30*(1+Premissas!$B$32)^(T$6-2026)</f>
        <v>204099.4725</v>
      </c>
      <c r="U113" s="60" t="n">
        <f aca="false">U109*Premissas!$B$30*(1+Premissas!$B$32)^(U$6-2026)</f>
        <v>221486.496</v>
      </c>
      <c r="V113" s="60" t="n">
        <f aca="false">V109*Premissas!$B$30*(1+Premissas!$B$32)^(V$6-2026)</f>
        <v>237872.8275</v>
      </c>
      <c r="W113" s="60" t="n">
        <f aca="false">W109*Premissas!$B$30*(1+Premissas!$B$32)^(W$6-2026)</f>
        <v>253425.249</v>
      </c>
      <c r="X113" s="60" t="n">
        <f aca="false">X109*Premissas!$B$30*(1+Premissas!$B$32)^(X$6-2026)</f>
        <v>268060.3695</v>
      </c>
      <c r="Y113" s="60" t="n">
        <f aca="false">Y109*Premissas!$B$30*(1+Premissas!$B$32)^(Y$6-2026)</f>
        <v>281903.2755</v>
      </c>
      <c r="Z113" s="60" t="n">
        <f aca="false">Z109*Premissas!$B$30*(1+Premissas!$B$32)^(Z$6-2026)</f>
        <v>393017.61345</v>
      </c>
      <c r="AA113" s="60" t="n">
        <f aca="false">AA109*Premissas!$B$30*(1+Premissas!$B$32)^(AA$6-2026)</f>
        <v>430489.3593</v>
      </c>
      <c r="AB113" s="60" t="n">
        <f aca="false">AB109*Premissas!$B$30*(1+Premissas!$B$32)^(AB$6-2026)</f>
        <v>466087.5178575</v>
      </c>
      <c r="AC113" s="60" t="n">
        <f aca="false">AC109*Premissas!$B$30*(1+Premissas!$B$32)^(AC$6-2026)</f>
        <v>499855.66092</v>
      </c>
      <c r="AD113" s="60" t="n">
        <f aca="false">AD109*Premissas!$B$30*(1+Premissas!$B$32)^(AD$6-2026)</f>
        <v>531968.0756775</v>
      </c>
      <c r="AE113" s="60" t="n">
        <f aca="false">AE109*Premissas!$B$30*(1+Premissas!$B$32)^(AE$6-2026)</f>
        <v>562381.1903325</v>
      </c>
      <c r="AF113" s="60" t="n">
        <f aca="false">AF109*Premissas!$B$30*(1+Premissas!$B$32)^(AF$6-2026)</f>
        <v>591312.8638725</v>
      </c>
      <c r="AG113" s="60" t="n">
        <f aca="false">AG109*Premissas!$B$30*(1+Premissas!$B$32)^(AG$6-2026)</f>
        <v>618719.5245</v>
      </c>
      <c r="AH113" s="60" t="n">
        <f aca="false">AH109*Premissas!$B$30*(1+Premissas!$B$32)^(AH$6-2026)</f>
        <v>644775.459405</v>
      </c>
      <c r="AI113" s="60" t="n">
        <f aca="false">AI109*Premissas!$B$30*(1+Premissas!$B$32)^(AI$6-2026)</f>
        <v>669480.6685875</v>
      </c>
      <c r="AJ113" s="60" t="n">
        <f aca="false">AJ109*Premissas!$B$30*(1+Premissas!$B$32)^(AJ$6-2026)</f>
        <v>692922.2956425</v>
      </c>
      <c r="AK113" s="60" t="n">
        <f aca="false">AK109*Premissas!$B$30*(1+Premissas!$B$32)^(AK$6-2026)</f>
        <v>715187.484165</v>
      </c>
      <c r="AL113" s="60" t="n">
        <f aca="false">AL109*Premissas!$B$30*(1+Premissas!$B$32)^(AL$6-2026)</f>
        <v>963513.833207887</v>
      </c>
      <c r="AM113" s="60" t="n">
        <f aca="false">AM109*Premissas!$B$30*(1+Premissas!$B$32)^(AM$6-2026)</f>
        <v>1032950.93899882</v>
      </c>
      <c r="AN113" s="60" t="n">
        <f aca="false">AN109*Premissas!$B$30*(1+Premissas!$B$32)^(AN$6-2026)</f>
        <v>1099200.76780264</v>
      </c>
      <c r="AO113" s="60" t="n">
        <f aca="false">AO109*Premissas!$B$30*(1+Premissas!$B$32)^(AO$6-2026)</f>
        <v>1162308.85214771</v>
      </c>
      <c r="AP113" s="60" t="n">
        <f aca="false">AP109*Premissas!$B$30*(1+Premissas!$B$32)^(AP$6-2026)</f>
        <v>1222502.85467599</v>
      </c>
      <c r="AQ113" s="60" t="n">
        <f aca="false">AQ109*Premissas!$B$30*(1+Premissas!$B$32)^(AQ$6-2026)</f>
        <v>1279873.84044424</v>
      </c>
      <c r="AR113" s="60" t="n">
        <f aca="false">AR109*Premissas!$B$30*(1+Premissas!$B$32)^(AR$6-2026)</f>
        <v>1334558.40703762</v>
      </c>
      <c r="AS113" s="60" t="n">
        <f aca="false">AS109*Premissas!$B$30*(1+Premissas!$B$32)^(AS$6-2026)</f>
        <v>1386693.15204131</v>
      </c>
      <c r="AT113" s="60" t="n">
        <f aca="false">AT109*Premissas!$B$30*(1+Premissas!$B$32)^(AT$6-2026)</f>
        <v>1436369.14051207</v>
      </c>
      <c r="AU113" s="60" t="n">
        <f aca="false">AU109*Premissas!$B$30*(1+Premissas!$B$32)^(AU$6-2026)</f>
        <v>1483722.97003507</v>
      </c>
      <c r="AV113" s="60" t="n">
        <f aca="false">AV109*Premissas!$B$30*(1+Premissas!$B$32)^(AV$6-2026)</f>
        <v>1528891.23819547</v>
      </c>
      <c r="AW113" s="60" t="n">
        <f aca="false">AW109*Premissas!$B$30*(1+Premissas!$B$32)^(AW$6-2026)</f>
        <v>1571965.01005005</v>
      </c>
      <c r="AX113" s="60" t="n">
        <f aca="false">AX109*Premissas!$B$30*(1+Premissas!$B$32)^(AX$6-2026)</f>
        <v>2089065.41350158</v>
      </c>
      <c r="AY113" s="60" t="n">
        <f aca="false">AY109*Premissas!$B$30*(1+Premissas!$B$32)^(AY$6-2026)</f>
        <v>2226004.94795227</v>
      </c>
      <c r="AZ113" s="60" t="n">
        <f aca="false">AZ109*Premissas!$B$30*(1+Premissas!$B$32)^(AZ$6-2026)</f>
        <v>2357091.95886667</v>
      </c>
      <c r="BA113" s="60" t="n">
        <f aca="false">BA109*Premissas!$B$30*(1+Premissas!$B$32)^(BA$6-2026)</f>
        <v>2482516.77221345</v>
      </c>
      <c r="BB113" s="60" t="n">
        <f aca="false">BB109*Premissas!$B$30*(1+Premissas!$B$32)^(BB$6-2026)</f>
        <v>2602564.87694559</v>
      </c>
      <c r="BC113" s="60" t="n">
        <f aca="false">BC109*Premissas!$B$30*(1+Premissas!$B$32)^(BC$6-2026)</f>
        <v>2717474.18052391</v>
      </c>
      <c r="BD113" s="60" t="n">
        <f aca="false">BD109*Premissas!$B$30*(1+Premissas!$B$32)^(BD$6-2026)</f>
        <v>2827387.42742492</v>
      </c>
      <c r="BE113" s="60" t="n">
        <f aca="false">BE109*Premissas!$B$30*(1+Premissas!$B$32)^(BE$6-2026)</f>
        <v>2932637.68809376</v>
      </c>
      <c r="BF113" s="60" t="n">
        <f aca="false">BF109*Premissas!$B$30*(1+Premissas!$B$32)^(BF$6-2026)</f>
        <v>3033320.12551477</v>
      </c>
      <c r="BG113" s="60" t="n">
        <f aca="false">BG109*Premissas!$B$30*(1+Premissas!$B$32)^(BG$6-2026)</f>
        <v>3129672.64714876</v>
      </c>
      <c r="BH113" s="60" t="n">
        <f aca="false">BH109*Premissas!$B$30*(1+Premissas!$B$32)^(BH$6-2026)</f>
        <v>3221933.16045658</v>
      </c>
      <c r="BI113" s="60" t="n">
        <f aca="false">BI109*Premissas!$B$30*(1+Premissas!$B$32)^(BI$6-2026)</f>
        <v>3310196.82842254</v>
      </c>
      <c r="BJ113" s="61" t="n">
        <f aca="false">SUM(B113:BI113)</f>
        <v>57213181.6194237</v>
      </c>
    </row>
    <row r="114" customFormat="false" ht="15" hidden="false" customHeight="false" outlineLevel="0" collapsed="false">
      <c r="A114" s="27" t="s">
        <v>874</v>
      </c>
      <c r="B114" s="60" t="n">
        <f aca="false">B110*Premissas!$B$31*(1+Premissas!$B$32)^(B$6-2026)</f>
        <v>0</v>
      </c>
      <c r="C114" s="60" t="n">
        <f aca="false">C110*Premissas!$B$31*(1+Premissas!$B$32)^(C$6-2026)</f>
        <v>0</v>
      </c>
      <c r="D114" s="60" t="n">
        <f aca="false">D110*Premissas!$B$31*(1+Premissas!$B$32)^(D$6-2026)</f>
        <v>0</v>
      </c>
      <c r="E114" s="60" t="n">
        <f aca="false">E110*Premissas!$B$31*(1+Premissas!$B$32)^(E$6-2026)</f>
        <v>0</v>
      </c>
      <c r="F114" s="60" t="n">
        <f aca="false">F110*Premissas!$B$31*(1+Premissas!$B$32)^(F$6-2026)</f>
        <v>0</v>
      </c>
      <c r="G114" s="60" t="n">
        <f aca="false">G110*Premissas!$B$31*(1+Premissas!$B$32)^(G$6-2026)</f>
        <v>0</v>
      </c>
      <c r="H114" s="60" t="n">
        <f aca="false">H110*Premissas!$B$31*(1+Premissas!$B$32)^(H$6-2026)</f>
        <v>0</v>
      </c>
      <c r="I114" s="60" t="n">
        <f aca="false">I110*Premissas!$B$31*(1+Premissas!$B$32)^(I$6-2026)</f>
        <v>0</v>
      </c>
      <c r="J114" s="60" t="n">
        <f aca="false">J110*Premissas!$B$31*(1+Premissas!$B$32)^(J$6-2026)</f>
        <v>0</v>
      </c>
      <c r="K114" s="60" t="n">
        <f aca="false">K110*Premissas!$B$31*(1+Premissas!$B$32)^(K$6-2026)</f>
        <v>0</v>
      </c>
      <c r="L114" s="60" t="n">
        <f aca="false">L110*Premissas!$B$31*(1+Premissas!$B$32)^(L$6-2026)</f>
        <v>0</v>
      </c>
      <c r="M114" s="60" t="n">
        <f aca="false">M110*Premissas!$B$31*(1+Premissas!$B$32)^(M$6-2026)</f>
        <v>0</v>
      </c>
      <c r="N114" s="60" t="n">
        <f aca="false">N110*Premissas!$B$31*(1+Premissas!$B$32)^(N$6-2026)</f>
        <v>0</v>
      </c>
      <c r="O114" s="60" t="n">
        <f aca="false">O110*Premissas!$B$31*(1+Premissas!$B$32)^(O$6-2026)</f>
        <v>0</v>
      </c>
      <c r="P114" s="60" t="n">
        <f aca="false">P110*Premissas!$B$31*(1+Premissas!$B$32)^(P$6-2026)</f>
        <v>0</v>
      </c>
      <c r="Q114" s="60" t="n">
        <f aca="false">Q110*Premissas!$B$31*(1+Premissas!$B$32)^(Q$6-2026)</f>
        <v>0</v>
      </c>
      <c r="R114" s="60" t="n">
        <f aca="false">R110*Premissas!$B$31*(1+Premissas!$B$32)^(R$6-2026)</f>
        <v>0</v>
      </c>
      <c r="S114" s="60" t="n">
        <f aca="false">S110*Premissas!$B$31*(1+Premissas!$B$32)^(S$6-2026)</f>
        <v>0</v>
      </c>
      <c r="T114" s="60" t="n">
        <f aca="false">T110*Premissas!$B$31*(1+Premissas!$B$32)^(T$6-2026)</f>
        <v>0</v>
      </c>
      <c r="U114" s="60" t="n">
        <f aca="false">U110*Premissas!$B$31*(1+Premissas!$B$32)^(U$6-2026)</f>
        <v>0</v>
      </c>
      <c r="V114" s="60" t="n">
        <f aca="false">V110*Premissas!$B$31*(1+Premissas!$B$32)^(V$6-2026)</f>
        <v>0</v>
      </c>
      <c r="W114" s="60" t="n">
        <f aca="false">W110*Premissas!$B$31*(1+Premissas!$B$32)^(W$6-2026)</f>
        <v>138435.539</v>
      </c>
      <c r="X114" s="60" t="n">
        <f aca="false">X110*Premissas!$B$31*(1+Premissas!$B$32)^(X$6-2026)</f>
        <v>146367.6115</v>
      </c>
      <c r="Y114" s="60" t="n">
        <f aca="false">Y110*Premissas!$B$31*(1+Premissas!$B$32)^(Y$6-2026)</f>
        <v>153965.702</v>
      </c>
      <c r="Z114" s="60" t="n">
        <f aca="false">Z110*Premissas!$B$31*(1+Premissas!$B$32)^(Z$6-2026)</f>
        <v>262369.1620825</v>
      </c>
      <c r="AA114" s="60" t="n">
        <f aca="false">AA110*Premissas!$B$31*(1+Premissas!$B$32)^(AA$6-2026)</f>
        <v>287323.4621675</v>
      </c>
      <c r="AB114" s="60" t="n">
        <f aca="false">AB110*Premissas!$B$31*(1+Premissas!$B$32)^(AB$6-2026)</f>
        <v>311143.475885</v>
      </c>
      <c r="AC114" s="60" t="n">
        <f aca="false">AC110*Premissas!$B$31*(1+Premissas!$B$32)^(AC$6-2026)</f>
        <v>333654.69764</v>
      </c>
      <c r="AD114" s="60" t="n">
        <f aca="false">AD110*Premissas!$B$31*(1+Premissas!$B$32)^(AD$6-2026)</f>
        <v>355118.885825</v>
      </c>
      <c r="AE114" s="60" t="n">
        <f aca="false">AE110*Premissas!$B$31*(1+Premissas!$B$32)^(AE$6-2026)</f>
        <v>375361.534845</v>
      </c>
      <c r="AF114" s="60" t="n">
        <f aca="false">AF110*Premissas!$B$31*(1+Premissas!$B$32)^(AF$6-2026)</f>
        <v>394731.65589</v>
      </c>
      <c r="AG114" s="60" t="n">
        <f aca="false">AG110*Premissas!$B$31*(1+Premissas!$B$32)^(AG$6-2026)</f>
        <v>412967.4905675</v>
      </c>
      <c r="AH114" s="60" t="n">
        <f aca="false">AH110*Premissas!$B$31*(1+Premissas!$B$32)^(AH$6-2026)</f>
        <v>430418.0500675</v>
      </c>
      <c r="AI114" s="60" t="n">
        <f aca="false">AI110*Premissas!$B$31*(1+Premissas!$B$32)^(AI$6-2026)</f>
        <v>446908.828795</v>
      </c>
      <c r="AJ114" s="60" t="n">
        <f aca="false">AJ110*Premissas!$B$31*(1+Premissas!$B$32)^(AJ$6-2026)</f>
        <v>462527.0795475</v>
      </c>
      <c r="AK114" s="60" t="n">
        <f aca="false">AK110*Premissas!$B$31*(1+Premissas!$B$32)^(AK$6-2026)</f>
        <v>477360.0551225</v>
      </c>
      <c r="AL114" s="60" t="n">
        <f aca="false">AL110*Premissas!$B$31*(1+Premissas!$B$32)^(AL$6-2026)</f>
        <v>742107.292200862</v>
      </c>
      <c r="AM114" s="60" t="n">
        <f aca="false">AM110*Premissas!$B$31*(1+Premissas!$B$32)^(AM$6-2026)</f>
        <v>795629.466979325</v>
      </c>
      <c r="AN114" s="60" t="n">
        <f aca="false">AN110*Premissas!$B$31*(1+Premissas!$B$32)^(AN$6-2026)</f>
        <v>846598.624902937</v>
      </c>
      <c r="AO114" s="60" t="n">
        <f aca="false">AO110*Premissas!$B$31*(1+Premissas!$B$32)^(AO$6-2026)</f>
        <v>895197.124318475</v>
      </c>
      <c r="AP114" s="60" t="n">
        <f aca="false">AP110*Premissas!$B$31*(1+Premissas!$B$32)^(AP$6-2026)</f>
        <v>941516.144399325</v>
      </c>
      <c r="AQ114" s="60" t="n">
        <f aca="false">AQ110*Premissas!$B$31*(1+Premissas!$B$32)^(AQ$6-2026)</f>
        <v>985738.043492262</v>
      </c>
      <c r="AR114" s="60" t="n">
        <f aca="false">AR110*Premissas!$B$31*(1+Premissas!$B$32)^(AR$6-2026)</f>
        <v>1027862.82159729</v>
      </c>
      <c r="AS114" s="60" t="n">
        <f aca="false">AS110*Premissas!$B$31*(1+Premissas!$B$32)^(AS$6-2026)</f>
        <v>1067981.65788779</v>
      </c>
      <c r="AT114" s="60" t="n">
        <f aca="false">AT110*Premissas!$B$31*(1+Premissas!$B$32)^(AT$6-2026)</f>
        <v>1106276.91071054</v>
      </c>
      <c r="AU114" s="60" t="n">
        <f aca="false">AU110*Premissas!$B$31*(1+Premissas!$B$32)^(AU$6-2026)</f>
        <v>1142748.58006554</v>
      </c>
      <c r="AV114" s="60" t="n">
        <f aca="false">AV110*Premissas!$B$31*(1+Premissas!$B$32)^(AV$6-2026)</f>
        <v>1177579.02429956</v>
      </c>
      <c r="AW114" s="60" t="n">
        <f aca="false">AW110*Premissas!$B$31*(1+Premissas!$B$32)^(AW$6-2026)</f>
        <v>1210677.06423923</v>
      </c>
      <c r="AX114" s="60" t="n">
        <f aca="false">AX110*Premissas!$B$31*(1+Premissas!$B$32)^(AX$6-2026)</f>
        <v>1792830.55614986</v>
      </c>
      <c r="AY114" s="60" t="n">
        <f aca="false">AY110*Premissas!$B$31*(1+Premissas!$B$32)^(AY$6-2026)</f>
        <v>1910408.83560825</v>
      </c>
      <c r="AZ114" s="60" t="n">
        <f aca="false">AZ110*Premissas!$B$31*(1+Premissas!$B$32)^(AZ$6-2026)</f>
        <v>2022937.15654856</v>
      </c>
      <c r="BA114" s="60" t="n">
        <f aca="false">BA110*Premissas!$B$31*(1+Premissas!$B$32)^(BA$6-2026)</f>
        <v>2130510.801207</v>
      </c>
      <c r="BB114" s="60" t="n">
        <f aca="false">BB110*Premissas!$B$31*(1+Premissas!$B$32)^(BB$6-2026)</f>
        <v>2233606.18076451</v>
      </c>
      <c r="BC114" s="60" t="n">
        <f aca="false">BC110*Premissas!$B$31*(1+Premissas!$B$32)^(BC$6-2026)</f>
        <v>2332128.01298491</v>
      </c>
      <c r="BD114" s="60" t="n">
        <f aca="false">BD110*Premissas!$B$31*(1+Premissas!$B$32)^(BD$6-2026)</f>
        <v>2426552.70904914</v>
      </c>
      <c r="BE114" s="60" t="n">
        <f aca="false">BE110*Premissas!$B$31*(1+Premissas!$B$32)^(BE$6-2026)</f>
        <v>2516784.98672101</v>
      </c>
      <c r="BF114" s="60" t="n">
        <f aca="false">BF110*Premissas!$B$31*(1+Premissas!$B$32)^(BF$6-2026)</f>
        <v>2603205.97494528</v>
      </c>
      <c r="BG114" s="60" t="n">
        <f aca="false">BG110*Premissas!$B$31*(1+Premissas!$B$32)^(BG$6-2026)</f>
        <v>2685910.95595815</v>
      </c>
      <c r="BH114" s="60" t="n">
        <f aca="false">BH110*Premissas!$B$31*(1+Premissas!$B$32)^(BH$6-2026)</f>
        <v>2765090.49423199</v>
      </c>
      <c r="BI114" s="60" t="n">
        <f aca="false">BI110*Premissas!$B$31*(1+Premissas!$B$32)^(BI$6-2026)</f>
        <v>2840839.87200299</v>
      </c>
      <c r="BJ114" s="61" t="n">
        <f aca="false">SUM(B114:BI114)</f>
        <v>45189372.5221998</v>
      </c>
    </row>
    <row r="115" customFormat="false" ht="15" hidden="false" customHeight="false" outlineLevel="0" collapsed="false">
      <c r="A115" s="62" t="s">
        <v>875</v>
      </c>
      <c r="B115" s="63" t="n">
        <f aca="false">SUM(B112:B114)</f>
        <v>0</v>
      </c>
      <c r="C115" s="63" t="n">
        <f aca="false">SUM(C112:C114)</f>
        <v>0</v>
      </c>
      <c r="D115" s="63" t="n">
        <f aca="false">SUM(D112:D114)</f>
        <v>0</v>
      </c>
      <c r="E115" s="63" t="n">
        <f aca="false">SUM(E112:E114)</f>
        <v>0</v>
      </c>
      <c r="F115" s="63" t="n">
        <f aca="false">SUM(F112:F114)</f>
        <v>0</v>
      </c>
      <c r="G115" s="63" t="n">
        <f aca="false">SUM(G112:G114)</f>
        <v>0</v>
      </c>
      <c r="H115" s="63" t="n">
        <f aca="false">SUM(H112:H114)</f>
        <v>0</v>
      </c>
      <c r="I115" s="63" t="n">
        <f aca="false">SUM(I112:I114)</f>
        <v>0</v>
      </c>
      <c r="J115" s="63" t="n">
        <f aca="false">SUM(J112:J114)</f>
        <v>0</v>
      </c>
      <c r="K115" s="63" t="n">
        <f aca="false">SUM(K112:K114)</f>
        <v>5890.4</v>
      </c>
      <c r="L115" s="63" t="n">
        <f aca="false">SUM(L112:L114)</f>
        <v>22825.3</v>
      </c>
      <c r="M115" s="63" t="n">
        <f aca="false">SUM(M112:M114)</f>
        <v>49829.6</v>
      </c>
      <c r="N115" s="63" t="n">
        <f aca="false">SUM(N112:N114)</f>
        <v>115435.8205</v>
      </c>
      <c r="O115" s="63" t="n">
        <f aca="false">SUM(O112:O114)</f>
        <v>190445.189</v>
      </c>
      <c r="P115" s="63" t="n">
        <f aca="false">SUM(P112:P114)</f>
        <v>280843.2275</v>
      </c>
      <c r="Q115" s="63" t="n">
        <f aca="false">SUM(Q112:Q114)</f>
        <v>403277.9355</v>
      </c>
      <c r="R115" s="63" t="n">
        <f aca="false">SUM(R112:R114)</f>
        <v>460288.433</v>
      </c>
      <c r="S115" s="63" t="n">
        <f aca="false">SUM(S112:S114)</f>
        <v>514176.784</v>
      </c>
      <c r="T115" s="63" t="n">
        <f aca="false">SUM(T112:T114)</f>
        <v>565046.966</v>
      </c>
      <c r="U115" s="63" t="n">
        <f aca="false">SUM(U112:U114)</f>
        <v>613128.1475</v>
      </c>
      <c r="V115" s="63" t="n">
        <f aca="false">SUM(V112:V114)</f>
        <v>658544.997</v>
      </c>
      <c r="W115" s="63" t="n">
        <f aca="false">SUM(W112:W114)</f>
        <v>805462.4875</v>
      </c>
      <c r="X115" s="63" t="n">
        <f aca="false">SUM(X112:X114)</f>
        <v>851965.301</v>
      </c>
      <c r="Y115" s="63" t="n">
        <f aca="false">SUM(Y112:Y114)</f>
        <v>895990.2105</v>
      </c>
      <c r="Z115" s="63" t="n">
        <f aca="false">SUM(Z112:Z114)</f>
        <v>1210730.083145</v>
      </c>
      <c r="AA115" s="63" t="n">
        <f aca="false">SUM(AA112:AA114)</f>
        <v>1326180.49498</v>
      </c>
      <c r="AB115" s="63" t="n">
        <f aca="false">SUM(AB112:AB114)</f>
        <v>1435863.1583725</v>
      </c>
      <c r="AC115" s="63" t="n">
        <f aca="false">SUM(AC112:AC114)</f>
        <v>1539907.915095</v>
      </c>
      <c r="AD115" s="63" t="n">
        <f aca="false">SUM(AD112:AD114)</f>
        <v>1638772.5420275</v>
      </c>
      <c r="AE115" s="63" t="n">
        <f aca="false">SUM(AE112:AE114)</f>
        <v>1732499.7373475</v>
      </c>
      <c r="AF115" s="63" t="n">
        <f aca="false">SUM(AF112:AF114)</f>
        <v>1821591.17734</v>
      </c>
      <c r="AG115" s="63" t="n">
        <f aca="false">SUM(AG112:AG114)</f>
        <v>1906024.0386825</v>
      </c>
      <c r="AH115" s="63" t="n">
        <f aca="false">SUM(AH112:AH114)</f>
        <v>1986299.8884575</v>
      </c>
      <c r="AI115" s="63" t="n">
        <f aca="false">SUM(AI112:AI114)</f>
        <v>2062418.07145</v>
      </c>
      <c r="AJ115" s="63" t="n">
        <f aca="false">SUM(AJ112:AJ114)</f>
        <v>2134639.9092425</v>
      </c>
      <c r="AK115" s="63" t="n">
        <f aca="false">SUM(AK112:AK114)</f>
        <v>2203226.7234175</v>
      </c>
      <c r="AL115" s="63" t="n">
        <f aca="false">SUM(AL112:AL114)</f>
        <v>2888475.53247096</v>
      </c>
      <c r="AM115" s="63" t="n">
        <f aca="false">SUM(AM112:AM114)</f>
        <v>3096730.59035381</v>
      </c>
      <c r="AN115" s="63" t="n">
        <f aca="false">SUM(AN112:AN114)</f>
        <v>3295248.53415849</v>
      </c>
      <c r="AO115" s="63" t="n">
        <f aca="false">SUM(AO112:AO114)</f>
        <v>3484461.63761314</v>
      </c>
      <c r="AP115" s="63" t="n">
        <f aca="false">SUM(AP112:AP114)</f>
        <v>3664847.7069743</v>
      </c>
      <c r="AQ115" s="63" t="n">
        <f aca="false">SUM(AQ112:AQ114)</f>
        <v>3836861.83929262</v>
      </c>
      <c r="AR115" s="63" t="n">
        <f aca="false">SUM(AR112:AR114)</f>
        <v>4000822.30580037</v>
      </c>
      <c r="AS115" s="63" t="n">
        <f aca="false">SUM(AS112:AS114)</f>
        <v>4157070.42928554</v>
      </c>
      <c r="AT115" s="63" t="n">
        <f aca="false">SUM(AT112:AT114)</f>
        <v>4306061.30679876</v>
      </c>
      <c r="AU115" s="63" t="n">
        <f aca="false">SUM(AU112:AU114)</f>
        <v>4448045.08195465</v>
      </c>
      <c r="AV115" s="63" t="n">
        <f aca="false">SUM(AV112:AV114)</f>
        <v>4583476.96592046</v>
      </c>
      <c r="AW115" s="63" t="n">
        <f aca="false">SUM(AW112:AW114)</f>
        <v>4712515.8090208</v>
      </c>
      <c r="AX115" s="63" t="n">
        <f aca="false">SUM(AX112:AX114)</f>
        <v>6114567.21583307</v>
      </c>
      <c r="AY115" s="63" t="n">
        <f aca="false">SUM(AY112:AY114)</f>
        <v>6515458.57884238</v>
      </c>
      <c r="AZ115" s="63" t="n">
        <f aca="false">SUM(AZ112:AZ114)</f>
        <v>6899134.98183678</v>
      </c>
      <c r="BA115" s="63" t="n">
        <f aca="false">SUM(BA112:BA114)</f>
        <v>7266214.26870327</v>
      </c>
      <c r="BB115" s="63" t="n">
        <f aca="false">SUM(BB112:BB114)</f>
        <v>7617648.18853699</v>
      </c>
      <c r="BC115" s="63" t="n">
        <f aca="false">SUM(BC112:BC114)</f>
        <v>7953864.14000443</v>
      </c>
      <c r="BD115" s="63" t="n">
        <f aca="false">SUM(BD112:BD114)</f>
        <v>8275694.85884438</v>
      </c>
      <c r="BE115" s="63" t="n">
        <f aca="false">SUM(BE112:BE114)</f>
        <v>8583639.17558749</v>
      </c>
      <c r="BF115" s="63" t="n">
        <f aca="false">SUM(BF112:BF114)</f>
        <v>8878363.23112408</v>
      </c>
      <c r="BG115" s="63" t="n">
        <f aca="false">SUM(BG112:BG114)</f>
        <v>9160437.52635267</v>
      </c>
      <c r="BH115" s="63" t="n">
        <f aca="false">SUM(BH112:BH114)</f>
        <v>9430409.18880724</v>
      </c>
      <c r="BI115" s="63" t="n">
        <f aca="false">SUM(BI112:BI114)</f>
        <v>9688753.43715014</v>
      </c>
      <c r="BJ115" s="61" t="n">
        <f aca="false">SUM(B115:BI115)</f>
        <v>170290107.069824</v>
      </c>
    </row>
    <row r="116" customFormat="false" ht="15" hidden="false" customHeight="false" outlineLevel="0" collapsed="false">
      <c r="A116" s="27" t="s">
        <v>876</v>
      </c>
      <c r="B116" s="60" t="n">
        <f aca="false">B105*INDEX(Premissas!$C$99:$G$99,B$7)*Premissas!$B$98*Premissas!$B$97</f>
        <v>0</v>
      </c>
      <c r="C116" s="60" t="n">
        <f aca="false">C105*INDEX(Premissas!$C$99:$G$99,C$7)*Premissas!$B$98*Premissas!$B$97</f>
        <v>0</v>
      </c>
      <c r="D116" s="60" t="n">
        <f aca="false">D105*INDEX(Premissas!$C$99:$G$99,D$7)*Premissas!$B$98*Premissas!$B$97</f>
        <v>0</v>
      </c>
      <c r="E116" s="60" t="n">
        <f aca="false">E105*INDEX(Premissas!$C$99:$G$99,E$7)*Premissas!$B$98*Premissas!$B$97</f>
        <v>0</v>
      </c>
      <c r="F116" s="60" t="n">
        <f aca="false">F105*INDEX(Premissas!$C$99:$G$99,F$7)*Premissas!$B$98*Premissas!$B$97</f>
        <v>0</v>
      </c>
      <c r="G116" s="60" t="n">
        <f aca="false">G105*INDEX(Premissas!$C$99:$G$99,G$7)*Premissas!$B$98*Premissas!$B$97</f>
        <v>0</v>
      </c>
      <c r="H116" s="60" t="n">
        <f aca="false">H105*INDEX(Premissas!$C$99:$G$99,H$7)*Premissas!$B$98*Premissas!$B$97</f>
        <v>0</v>
      </c>
      <c r="I116" s="60" t="n">
        <f aca="false">I105*INDEX(Premissas!$C$99:$G$99,I$7)*Premissas!$B$98*Premissas!$B$97</f>
        <v>0</v>
      </c>
      <c r="J116" s="60" t="n">
        <f aca="false">J105*INDEX(Premissas!$C$99:$G$99,J$7)*Premissas!$B$98*Premissas!$B$97</f>
        <v>0</v>
      </c>
      <c r="K116" s="60" t="n">
        <f aca="false">K105*INDEX(Premissas!$C$99:$G$99,K$7)*Premissas!$B$98*Premissas!$B$97</f>
        <v>0</v>
      </c>
      <c r="L116" s="60" t="n">
        <f aca="false">L105*INDEX(Premissas!$C$99:$G$99,L$7)*Premissas!$B$98*Premissas!$B$97</f>
        <v>0</v>
      </c>
      <c r="M116" s="60" t="n">
        <f aca="false">M105*INDEX(Premissas!$C$99:$G$99,M$7)*Premissas!$B$98*Premissas!$B$97</f>
        <v>0</v>
      </c>
      <c r="N116" s="60" t="n">
        <f aca="false">N105*INDEX(Premissas!$C$99:$G$99,N$7)*Premissas!$B$98*Premissas!$B$97</f>
        <v>5677.584290448</v>
      </c>
      <c r="O116" s="60" t="n">
        <f aca="false">O105*INDEX(Premissas!$C$99:$G$99,O$7)*Premissas!$B$98*Premissas!$B$97</f>
        <v>7492.74163761527</v>
      </c>
      <c r="P116" s="60" t="n">
        <f aca="false">P105*INDEX(Premissas!$C$99:$G$99,P$7)*Premissas!$B$98*Premissas!$B$97</f>
        <v>9207.70229921891</v>
      </c>
      <c r="Q116" s="60" t="n">
        <f aca="false">Q105*INDEX(Premissas!$C$99:$G$99,Q$7)*Premissas!$B$98*Premissas!$B$97</f>
        <v>10827.997132302</v>
      </c>
      <c r="R116" s="60" t="n">
        <f aca="false">R105*INDEX(Premissas!$C$99:$G$99,R$7)*Premissas!$B$98*Premissas!$B$97</f>
        <v>12358.851690599</v>
      </c>
      <c r="S116" s="60" t="n">
        <f aca="false">S105*INDEX(Premissas!$C$99:$G$99,S$7)*Premissas!$B$98*Premissas!$B$97</f>
        <v>13805.2030772779</v>
      </c>
      <c r="T116" s="60" t="n">
        <f aca="false">T105*INDEX(Premissas!$C$99:$G$99,T$7)*Premissas!$B$98*Premissas!$B$97</f>
        <v>15171.7158674122</v>
      </c>
      <c r="U116" s="60" t="n">
        <f aca="false">U105*INDEX(Premissas!$C$99:$G$99,U$7)*Premissas!$B$98*Premissas!$B$97</f>
        <v>16462.797151531</v>
      </c>
      <c r="V116" s="60" t="n">
        <f aca="false">V105*INDEX(Premissas!$C$99:$G$99,V$7)*Premissas!$B$98*Premissas!$B$97</f>
        <v>17682.6107487665</v>
      </c>
      <c r="W116" s="60" t="n">
        <f aca="false">W105*INDEX(Premissas!$C$99:$G$99,W$7)*Premissas!$B$98*Premissas!$B$97</f>
        <v>18835.0906354346</v>
      </c>
      <c r="X116" s="60" t="n">
        <f aca="false">X105*INDEX(Premissas!$C$99:$G$99,X$7)*Premissas!$B$98*Premissas!$B$97</f>
        <v>19923.9536323586</v>
      </c>
      <c r="Y116" s="60" t="n">
        <f aca="false">Y105*INDEX(Premissas!$C$99:$G$99,Y$7)*Premissas!$B$98*Premissas!$B$97</f>
        <v>20952.7113918524</v>
      </c>
      <c r="Z116" s="60" t="n">
        <f aca="false">Z105*INDEX(Premissas!$C$99:$G$99,Z$7)*Premissas!$B$98*Premissas!$B$97</f>
        <v>38823.9081608809</v>
      </c>
      <c r="AA116" s="60" t="n">
        <f aca="false">AA105*INDEX(Premissas!$C$99:$G$99,AA$7)*Premissas!$B$98*Premissas!$B$97</f>
        <v>42528.4348088388</v>
      </c>
      <c r="AB116" s="60" t="n">
        <f aca="false">AB105*INDEX(Premissas!$C$99:$G$99,AB$7)*Premissas!$B$98*Premissas!$B$97</f>
        <v>46044.8307755067</v>
      </c>
      <c r="AC116" s="60" t="n">
        <f aca="false">AC105*INDEX(Premissas!$C$99:$G$99,AC$7)*Premissas!$B$98*Premissas!$B$97</f>
        <v>49382.6500894034</v>
      </c>
      <c r="AD116" s="60" t="n">
        <f aca="false">AD105*INDEX(Premissas!$C$99:$G$99,AD$7)*Premissas!$B$98*Premissas!$B$97</f>
        <v>52550.9615872631</v>
      </c>
      <c r="AE116" s="60" t="n">
        <f aca="false">AE105*INDEX(Premissas!$C$99:$G$99,AE$7)*Premissas!$B$98*Premissas!$B$97</f>
        <v>55558.3735540156</v>
      </c>
      <c r="AF116" s="60" t="n">
        <f aca="false">AF105*INDEX(Premissas!$C$99:$G$99,AF$7)*Premissas!$B$98*Premissas!$B$97</f>
        <v>58413.0571114484</v>
      </c>
      <c r="AG116" s="60" t="n">
        <f aca="false">AG105*INDEX(Premissas!$C$99:$G$99,AG$7)*Premissas!$B$98*Premissas!$B$97</f>
        <v>61122.7684191006</v>
      </c>
      <c r="AH116" s="60" t="n">
        <f aca="false">AH105*INDEX(Premissas!$C$99:$G$99,AH$7)*Premissas!$B$98*Premissas!$B$97</f>
        <v>63694.869747705</v>
      </c>
      <c r="AI116" s="60" t="n">
        <f aca="false">AI105*INDEX(Premissas!$C$99:$G$99,AI$7)*Premissas!$B$98*Premissas!$B$97</f>
        <v>66136.3494824376</v>
      </c>
      <c r="AJ116" s="60" t="n">
        <f aca="false">AJ105*INDEX(Premissas!$C$99:$G$99,AJ$7)*Premissas!$B$98*Premissas!$B$97</f>
        <v>68453.8411103215</v>
      </c>
      <c r="AK116" s="60" t="n">
        <f aca="false">AK105*INDEX(Premissas!$C$99:$G$99,AK$7)*Premissas!$B$98*Premissas!$B$97</f>
        <v>70653.6412433749</v>
      </c>
      <c r="AL116" s="60" t="n">
        <f aca="false">AL105*INDEX(Premissas!$C$99:$G$99,AL$7)*Premissas!$B$98*Premissas!$B$97</f>
        <v>122295.149900518</v>
      </c>
      <c r="AM116" s="60" t="n">
        <f aca="false">AM105*INDEX(Premissas!$C$99:$G$99,AM$7)*Premissas!$B$98*Premissas!$B$97</f>
        <v>131112.333559374</v>
      </c>
      <c r="AN116" s="60" t="n">
        <f aca="false">AN105*INDEX(Premissas!$C$99:$G$99,AN$7)*Premissas!$B$98*Premissas!$B$97</f>
        <v>139517.567111693</v>
      </c>
      <c r="AO116" s="60" t="n">
        <f aca="false">AO105*INDEX(Premissas!$C$99:$G$99,AO$7)*Premissas!$B$98*Premissas!$B$97</f>
        <v>147530.097393749</v>
      </c>
      <c r="AP116" s="60" t="n">
        <f aca="false">AP105*INDEX(Premissas!$C$99:$G$99,AP$7)*Premissas!$B$98*Premissas!$B$97</f>
        <v>155168.272004988</v>
      </c>
      <c r="AQ116" s="60" t="n">
        <f aca="false">AQ105*INDEX(Premissas!$C$99:$G$99,AQ$7)*Premissas!$B$98*Premissas!$B$97</f>
        <v>162449.581321527</v>
      </c>
      <c r="AR116" s="60" t="n">
        <f aca="false">AR105*INDEX(Premissas!$C$99:$G$99,AR$7)*Premissas!$B$98*Premissas!$B$97</f>
        <v>169390.698546721</v>
      </c>
      <c r="AS116" s="60" t="n">
        <f aca="false">AS105*INDEX(Premissas!$C$99:$G$99,AS$7)*Premissas!$B$98*Premissas!$B$97</f>
        <v>176007.517890524</v>
      </c>
      <c r="AT116" s="60" t="n">
        <f aca="false">AT105*INDEX(Premissas!$C$99:$G$99,AT$7)*Premissas!$B$98*Premissas!$B$97</f>
        <v>182315.190965056</v>
      </c>
      <c r="AU116" s="60" t="n">
        <f aca="false">AU105*INDEX(Premissas!$C$99:$G$99,AU$7)*Premissas!$B$98*Premissas!$B$97</f>
        <v>188328.161479724</v>
      </c>
      <c r="AV116" s="60" t="n">
        <f aca="false">AV105*INDEX(Premissas!$C$99:$G$99,AV$7)*Premissas!$B$98*Premissas!$B$97</f>
        <v>194060.198315345</v>
      </c>
      <c r="AW116" s="60" t="n">
        <f aca="false">AW105*INDEX(Premissas!$C$99:$G$99,AW$7)*Premissas!$B$98*Premissas!$B$97</f>
        <v>199524.427052998</v>
      </c>
      <c r="AX116" s="60" t="n">
        <f aca="false">AX105*INDEX(Premissas!$C$99:$G$99,AX$7)*Premissas!$B$98*Premissas!$B$97</f>
        <v>267747.130899587</v>
      </c>
      <c r="AY116" s="60" t="n">
        <f aca="false">AY105*INDEX(Premissas!$C$99:$G$99,AY$7)*Premissas!$B$98*Premissas!$B$97</f>
        <v>285300.340521388</v>
      </c>
      <c r="AZ116" s="60" t="n">
        <f aca="false">AZ105*INDEX(Premissas!$C$99:$G$99,AZ$7)*Premissas!$B$98*Premissas!$B$97</f>
        <v>302099.05039528</v>
      </c>
      <c r="BA116" s="60" t="n">
        <f aca="false">BA105*INDEX(Premissas!$C$99:$G$99,BA$7)*Premissas!$B$98*Premissas!$B$97</f>
        <v>318175.691619728</v>
      </c>
      <c r="BB116" s="60" t="n">
        <f aca="false">BB105*INDEX(Premissas!$C$99:$G$99,BB$7)*Premissas!$B$98*Premissas!$B$97</f>
        <v>333561.301288558</v>
      </c>
      <c r="BC116" s="60" t="n">
        <f aca="false">BC105*INDEX(Premissas!$C$99:$G$99,BC$7)*Premissas!$B$98*Premissas!$B$97</f>
        <v>348285.582410264</v>
      </c>
      <c r="BD116" s="60" t="n">
        <f aca="false">BD105*INDEX(Premissas!$C$99:$G$99,BD$7)*Premissas!$B$98*Premissas!$B$97</f>
        <v>362376.961251772</v>
      </c>
      <c r="BE116" s="60" t="n">
        <f aca="false">BE105*INDEX(Premissas!$C$99:$G$99,BE$7)*Premissas!$B$98*Premissas!$B$97</f>
        <v>375862.642217354</v>
      </c>
      <c r="BF116" s="60" t="n">
        <f aca="false">BF105*INDEX(Premissas!$C$99:$G$99,BF$7)*Premissas!$B$98*Premissas!$B$97</f>
        <v>388768.660368663</v>
      </c>
      <c r="BG116" s="60" t="n">
        <f aca="false">BG105*INDEX(Premissas!$C$99:$G$99,BG$7)*Premissas!$B$98*Premissas!$B$97</f>
        <v>401119.931687259</v>
      </c>
      <c r="BH116" s="60" t="n">
        <f aca="false">BH105*INDEX(Premissas!$C$99:$G$99,BH$7)*Premissas!$B$98*Premissas!$B$97</f>
        <v>412940.301176673</v>
      </c>
      <c r="BI116" s="60" t="n">
        <f aca="false">BI105*INDEX(Premissas!$C$99:$G$99,BI$7)*Premissas!$B$98*Premissas!$B$97</f>
        <v>424252.588896878</v>
      </c>
      <c r="BJ116" s="61" t="n">
        <f aca="false">SUM(B116:BI116)</f>
        <v>7029952.02392073</v>
      </c>
    </row>
    <row r="117" customFormat="false" ht="15" hidden="false" customHeight="false" outlineLevel="0" collapsed="false">
      <c r="A117" s="27" t="s">
        <v>877</v>
      </c>
      <c r="B117" s="60" t="n">
        <f aca="false">Aportes!B100</f>
        <v>0</v>
      </c>
      <c r="C117" s="60" t="n">
        <f aca="false">Aportes!C100</f>
        <v>0</v>
      </c>
      <c r="D117" s="60" t="n">
        <f aca="false">Aportes!D100</f>
        <v>0</v>
      </c>
      <c r="E117" s="60" t="n">
        <f aca="false">Aportes!E100</f>
        <v>0</v>
      </c>
      <c r="F117" s="60" t="n">
        <f aca="false">Aportes!F100</f>
        <v>0</v>
      </c>
      <c r="G117" s="60" t="n">
        <f aca="false">Aportes!G100</f>
        <v>0</v>
      </c>
      <c r="H117" s="60" t="n">
        <f aca="false">Aportes!H100</f>
        <v>0</v>
      </c>
      <c r="I117" s="60" t="n">
        <f aca="false">Aportes!I100</f>
        <v>0</v>
      </c>
      <c r="J117" s="60" t="n">
        <f aca="false">Aportes!J100</f>
        <v>0</v>
      </c>
      <c r="K117" s="60" t="n">
        <f aca="false">Aportes!K100</f>
        <v>0</v>
      </c>
      <c r="L117" s="60" t="n">
        <f aca="false">Aportes!L100</f>
        <v>0</v>
      </c>
      <c r="M117" s="60" t="n">
        <f aca="false">Aportes!M100</f>
        <v>0</v>
      </c>
      <c r="N117" s="60" t="n">
        <f aca="false">Aportes!N100</f>
        <v>0</v>
      </c>
      <c r="O117" s="60" t="n">
        <f aca="false">Aportes!O100</f>
        <v>0</v>
      </c>
      <c r="P117" s="60" t="n">
        <f aca="false">Aportes!P100</f>
        <v>0</v>
      </c>
      <c r="Q117" s="60" t="n">
        <f aca="false">Aportes!Q100</f>
        <v>0</v>
      </c>
      <c r="R117" s="60" t="n">
        <f aca="false">Aportes!R100</f>
        <v>0</v>
      </c>
      <c r="S117" s="60" t="n">
        <f aca="false">Aportes!S100</f>
        <v>0</v>
      </c>
      <c r="T117" s="60" t="n">
        <f aca="false">Aportes!T100</f>
        <v>0</v>
      </c>
      <c r="U117" s="60" t="n">
        <f aca="false">Aportes!U100</f>
        <v>0</v>
      </c>
      <c r="V117" s="60" t="n">
        <f aca="false">Aportes!V100</f>
        <v>0</v>
      </c>
      <c r="W117" s="60" t="n">
        <f aca="false">Aportes!W100</f>
        <v>0</v>
      </c>
      <c r="X117" s="60" t="n">
        <f aca="false">Aportes!X100</f>
        <v>0</v>
      </c>
      <c r="Y117" s="60" t="n">
        <f aca="false">Aportes!Y100</f>
        <v>0</v>
      </c>
      <c r="Z117" s="60" t="n">
        <f aca="false">Aportes!Z100</f>
        <v>0</v>
      </c>
      <c r="AA117" s="60" t="n">
        <f aca="false">Aportes!AA100</f>
        <v>0</v>
      </c>
      <c r="AB117" s="60" t="n">
        <f aca="false">Aportes!AB100</f>
        <v>0</v>
      </c>
      <c r="AC117" s="60" t="n">
        <f aca="false">Aportes!AC100</f>
        <v>0</v>
      </c>
      <c r="AD117" s="60" t="n">
        <f aca="false">Aportes!AD100</f>
        <v>0</v>
      </c>
      <c r="AE117" s="60" t="n">
        <f aca="false">Aportes!AE100</f>
        <v>0</v>
      </c>
      <c r="AF117" s="60" t="n">
        <f aca="false">Aportes!AF100</f>
        <v>0</v>
      </c>
      <c r="AG117" s="60" t="n">
        <f aca="false">Aportes!AG100</f>
        <v>0</v>
      </c>
      <c r="AH117" s="60" t="n">
        <f aca="false">Aportes!AH100</f>
        <v>0</v>
      </c>
      <c r="AI117" s="60" t="n">
        <f aca="false">Aportes!AI100</f>
        <v>0</v>
      </c>
      <c r="AJ117" s="60" t="n">
        <f aca="false">Aportes!AJ100</f>
        <v>0</v>
      </c>
      <c r="AK117" s="60" t="n">
        <f aca="false">Aportes!AK100</f>
        <v>0</v>
      </c>
      <c r="AL117" s="60" t="n">
        <f aca="false">Aportes!AL100</f>
        <v>0</v>
      </c>
      <c r="AM117" s="60" t="n">
        <f aca="false">Aportes!AM100</f>
        <v>0</v>
      </c>
      <c r="AN117" s="60" t="n">
        <f aca="false">Aportes!AN100</f>
        <v>0</v>
      </c>
      <c r="AO117" s="60" t="n">
        <f aca="false">Aportes!AO100</f>
        <v>0</v>
      </c>
      <c r="AP117" s="60" t="n">
        <f aca="false">Aportes!AP100</f>
        <v>0</v>
      </c>
      <c r="AQ117" s="60" t="n">
        <f aca="false">Aportes!AQ100</f>
        <v>0</v>
      </c>
      <c r="AR117" s="60" t="n">
        <f aca="false">Aportes!AR100</f>
        <v>0</v>
      </c>
      <c r="AS117" s="60" t="n">
        <f aca="false">Aportes!AS100</f>
        <v>0</v>
      </c>
      <c r="AT117" s="60" t="n">
        <f aca="false">Aportes!AT100</f>
        <v>0</v>
      </c>
      <c r="AU117" s="60" t="n">
        <f aca="false">Aportes!AU100</f>
        <v>0</v>
      </c>
      <c r="AV117" s="60" t="n">
        <f aca="false">Aportes!AV100</f>
        <v>0</v>
      </c>
      <c r="AW117" s="60" t="n">
        <f aca="false">Aportes!AW100</f>
        <v>0</v>
      </c>
      <c r="AX117" s="60" t="n">
        <f aca="false">Aportes!AX100</f>
        <v>0</v>
      </c>
      <c r="AY117" s="60" t="n">
        <f aca="false">Aportes!AY100</f>
        <v>0</v>
      </c>
      <c r="AZ117" s="60" t="n">
        <f aca="false">Aportes!AZ100</f>
        <v>0</v>
      </c>
      <c r="BA117" s="60" t="n">
        <f aca="false">Aportes!BA100</f>
        <v>0</v>
      </c>
      <c r="BB117" s="60" t="n">
        <f aca="false">Aportes!BB100</f>
        <v>0</v>
      </c>
      <c r="BC117" s="60" t="n">
        <f aca="false">Aportes!BC100</f>
        <v>0</v>
      </c>
      <c r="BD117" s="60" t="n">
        <f aca="false">Aportes!BD100</f>
        <v>0</v>
      </c>
      <c r="BE117" s="60" t="n">
        <f aca="false">Aportes!BE100</f>
        <v>0</v>
      </c>
      <c r="BF117" s="60" t="n">
        <f aca="false">Aportes!BF100</f>
        <v>0</v>
      </c>
      <c r="BG117" s="60" t="n">
        <f aca="false">Aportes!BG100</f>
        <v>0</v>
      </c>
      <c r="BH117" s="60" t="n">
        <f aca="false">Aportes!BH100</f>
        <v>0</v>
      </c>
      <c r="BI117" s="60" t="n">
        <f aca="false">Aportes!BI100</f>
        <v>0</v>
      </c>
      <c r="BJ117" s="61" t="n">
        <f aca="false">SUM(B117:BI117)</f>
        <v>0</v>
      </c>
    </row>
    <row r="118" customFormat="false" ht="15" hidden="false" customHeight="false" outlineLevel="0" collapsed="false">
      <c r="A118" s="27" t="s">
        <v>878</v>
      </c>
      <c r="B118" s="60" t="n">
        <f aca="false">IF(B111=0,0,SUMPRODUCT((Premissas!$B$85:$B$93="Dados")*((Premissas!$C$85:$C$93="Planejado")+(Premissas!$C$85:$C$93="Em estudo")*Premissas!$B$81)*(Premissas!$F$85:$F$93&lt;=B$4)*(Premissas!$G$85:$G$93&gt;=B$4)*(Premissas!$D$85:$D$93="Fixo mensal")*Premissas!$E$85:$E$93)+SUMPRODUCT((Premissas!$B$85:$B$93="Dados")*((Premissas!$C$85:$C$93="Planejado")+(Premissas!$C$85:$C$93="Em estudo")*Premissas!$B$81)*(Premissas!$F$85:$F$93&lt;=B$4)*(Premissas!$G$85:$G$93&gt;=B$4)*(Premissas!$D$85:$D$93="Por usuário")*Premissas!$E$85:$E$93)*B111)</f>
        <v>0</v>
      </c>
      <c r="C118" s="60" t="n">
        <f aca="false">IF(C111=0,0,SUMPRODUCT((Premissas!$B$85:$B$93="Dados")*((Premissas!$C$85:$C$93="Planejado")+(Premissas!$C$85:$C$93="Em estudo")*Premissas!$B$81)*(Premissas!$F$85:$F$93&lt;=C$4)*(Premissas!$G$85:$G$93&gt;=C$4)*(Premissas!$D$85:$D$93="Fixo mensal")*Premissas!$E$85:$E$93)+SUMPRODUCT((Premissas!$B$85:$B$93="Dados")*((Premissas!$C$85:$C$93="Planejado")+(Premissas!$C$85:$C$93="Em estudo")*Premissas!$B$81)*(Premissas!$F$85:$F$93&lt;=C$4)*(Premissas!$G$85:$G$93&gt;=C$4)*(Premissas!$D$85:$D$93="Por usuário")*Premissas!$E$85:$E$93)*C111)</f>
        <v>0</v>
      </c>
      <c r="D118" s="60" t="n">
        <f aca="false">IF(D111=0,0,SUMPRODUCT((Premissas!$B$85:$B$93="Dados")*((Premissas!$C$85:$C$93="Planejado")+(Premissas!$C$85:$C$93="Em estudo")*Premissas!$B$81)*(Premissas!$F$85:$F$93&lt;=D$4)*(Premissas!$G$85:$G$93&gt;=D$4)*(Premissas!$D$85:$D$93="Fixo mensal")*Premissas!$E$85:$E$93)+SUMPRODUCT((Premissas!$B$85:$B$93="Dados")*((Premissas!$C$85:$C$93="Planejado")+(Premissas!$C$85:$C$93="Em estudo")*Premissas!$B$81)*(Premissas!$F$85:$F$93&lt;=D$4)*(Premissas!$G$85:$G$93&gt;=D$4)*(Premissas!$D$85:$D$93="Por usuário")*Premissas!$E$85:$E$93)*D111)</f>
        <v>0</v>
      </c>
      <c r="E118" s="60" t="n">
        <f aca="false">IF(E111=0,0,SUMPRODUCT((Premissas!$B$85:$B$93="Dados")*((Premissas!$C$85:$C$93="Planejado")+(Premissas!$C$85:$C$93="Em estudo")*Premissas!$B$81)*(Premissas!$F$85:$F$93&lt;=E$4)*(Premissas!$G$85:$G$93&gt;=E$4)*(Premissas!$D$85:$D$93="Fixo mensal")*Premissas!$E$85:$E$93)+SUMPRODUCT((Premissas!$B$85:$B$93="Dados")*((Premissas!$C$85:$C$93="Planejado")+(Premissas!$C$85:$C$93="Em estudo")*Premissas!$B$81)*(Premissas!$F$85:$F$93&lt;=E$4)*(Premissas!$G$85:$G$93&gt;=E$4)*(Premissas!$D$85:$D$93="Por usuário")*Premissas!$E$85:$E$93)*E111)</f>
        <v>0</v>
      </c>
      <c r="F118" s="60" t="n">
        <f aca="false">IF(F111=0,0,SUMPRODUCT((Premissas!$B$85:$B$93="Dados")*((Premissas!$C$85:$C$93="Planejado")+(Premissas!$C$85:$C$93="Em estudo")*Premissas!$B$81)*(Premissas!$F$85:$F$93&lt;=F$4)*(Premissas!$G$85:$G$93&gt;=F$4)*(Premissas!$D$85:$D$93="Fixo mensal")*Premissas!$E$85:$E$93)+SUMPRODUCT((Premissas!$B$85:$B$93="Dados")*((Premissas!$C$85:$C$93="Planejado")+(Premissas!$C$85:$C$93="Em estudo")*Premissas!$B$81)*(Premissas!$F$85:$F$93&lt;=F$4)*(Premissas!$G$85:$G$93&gt;=F$4)*(Premissas!$D$85:$D$93="Por usuário")*Premissas!$E$85:$E$93)*F111)</f>
        <v>0</v>
      </c>
      <c r="G118" s="60" t="n">
        <f aca="false">IF(G111=0,0,SUMPRODUCT((Premissas!$B$85:$B$93="Dados")*((Premissas!$C$85:$C$93="Planejado")+(Premissas!$C$85:$C$93="Em estudo")*Premissas!$B$81)*(Premissas!$F$85:$F$93&lt;=G$4)*(Premissas!$G$85:$G$93&gt;=G$4)*(Premissas!$D$85:$D$93="Fixo mensal")*Premissas!$E$85:$E$93)+SUMPRODUCT((Premissas!$B$85:$B$93="Dados")*((Premissas!$C$85:$C$93="Planejado")+(Premissas!$C$85:$C$93="Em estudo")*Premissas!$B$81)*(Premissas!$F$85:$F$93&lt;=G$4)*(Premissas!$G$85:$G$93&gt;=G$4)*(Premissas!$D$85:$D$93="Por usuário")*Premissas!$E$85:$E$93)*G111)</f>
        <v>0</v>
      </c>
      <c r="H118" s="60" t="n">
        <f aca="false">IF(H111=0,0,SUMPRODUCT((Premissas!$B$85:$B$93="Dados")*((Premissas!$C$85:$C$93="Planejado")+(Premissas!$C$85:$C$93="Em estudo")*Premissas!$B$81)*(Premissas!$F$85:$F$93&lt;=H$4)*(Premissas!$G$85:$G$93&gt;=H$4)*(Premissas!$D$85:$D$93="Fixo mensal")*Premissas!$E$85:$E$93)+SUMPRODUCT((Premissas!$B$85:$B$93="Dados")*((Premissas!$C$85:$C$93="Planejado")+(Premissas!$C$85:$C$93="Em estudo")*Premissas!$B$81)*(Premissas!$F$85:$F$93&lt;=H$4)*(Premissas!$G$85:$G$93&gt;=H$4)*(Premissas!$D$85:$D$93="Por usuário")*Premissas!$E$85:$E$93)*H111)</f>
        <v>0</v>
      </c>
      <c r="I118" s="60" t="n">
        <f aca="false">IF(I111=0,0,SUMPRODUCT((Premissas!$B$85:$B$93="Dados")*((Premissas!$C$85:$C$93="Planejado")+(Premissas!$C$85:$C$93="Em estudo")*Premissas!$B$81)*(Premissas!$F$85:$F$93&lt;=I$4)*(Premissas!$G$85:$G$93&gt;=I$4)*(Premissas!$D$85:$D$93="Fixo mensal")*Premissas!$E$85:$E$93)+SUMPRODUCT((Premissas!$B$85:$B$93="Dados")*((Premissas!$C$85:$C$93="Planejado")+(Premissas!$C$85:$C$93="Em estudo")*Premissas!$B$81)*(Premissas!$F$85:$F$93&lt;=I$4)*(Premissas!$G$85:$G$93&gt;=I$4)*(Premissas!$D$85:$D$93="Por usuário")*Premissas!$E$85:$E$93)*I111)</f>
        <v>0</v>
      </c>
      <c r="J118" s="60" t="n">
        <f aca="false">IF(J111=0,0,SUMPRODUCT((Premissas!$B$85:$B$93="Dados")*((Premissas!$C$85:$C$93="Planejado")+(Premissas!$C$85:$C$93="Em estudo")*Premissas!$B$81)*(Premissas!$F$85:$F$93&lt;=J$4)*(Premissas!$G$85:$G$93&gt;=J$4)*(Premissas!$D$85:$D$93="Fixo mensal")*Premissas!$E$85:$E$93)+SUMPRODUCT((Premissas!$B$85:$B$93="Dados")*((Premissas!$C$85:$C$93="Planejado")+(Premissas!$C$85:$C$93="Em estudo")*Premissas!$B$81)*(Premissas!$F$85:$F$93&lt;=J$4)*(Premissas!$G$85:$G$93&gt;=J$4)*(Premissas!$D$85:$D$93="Por usuário")*Premissas!$E$85:$E$93)*J111)</f>
        <v>0</v>
      </c>
      <c r="K118" s="60" t="n">
        <f aca="false">IF(K111=0,0,SUMPRODUCT((Premissas!$B$85:$B$93="Dados")*((Premissas!$C$85:$C$93="Planejado")+(Premissas!$C$85:$C$93="Em estudo")*Premissas!$B$81)*(Premissas!$F$85:$F$93&lt;=K$4)*(Premissas!$G$85:$G$93&gt;=K$4)*(Premissas!$D$85:$D$93="Fixo mensal")*Premissas!$E$85:$E$93)+SUMPRODUCT((Premissas!$B$85:$B$93="Dados")*((Premissas!$C$85:$C$93="Planejado")+(Premissas!$C$85:$C$93="Em estudo")*Premissas!$B$81)*(Premissas!$F$85:$F$93&lt;=K$4)*(Premissas!$G$85:$G$93&gt;=K$4)*(Premissas!$D$85:$D$93="Por usuário")*Premissas!$E$85:$E$93)*K111)</f>
        <v>0</v>
      </c>
      <c r="L118" s="60" t="n">
        <f aca="false">IF(L111=0,0,SUMPRODUCT((Premissas!$B$85:$B$93="Dados")*((Premissas!$C$85:$C$93="Planejado")+(Premissas!$C$85:$C$93="Em estudo")*Premissas!$B$81)*(Premissas!$F$85:$F$93&lt;=L$4)*(Premissas!$G$85:$G$93&gt;=L$4)*(Premissas!$D$85:$D$93="Fixo mensal")*Premissas!$E$85:$E$93)+SUMPRODUCT((Premissas!$B$85:$B$93="Dados")*((Premissas!$C$85:$C$93="Planejado")+(Premissas!$C$85:$C$93="Em estudo")*Premissas!$B$81)*(Premissas!$F$85:$F$93&lt;=L$4)*(Premissas!$G$85:$G$93&gt;=L$4)*(Premissas!$D$85:$D$93="Por usuário")*Premissas!$E$85:$E$93)*L111)</f>
        <v>0</v>
      </c>
      <c r="M118" s="60" t="n">
        <f aca="false">IF(M111=0,0,SUMPRODUCT((Premissas!$B$85:$B$93="Dados")*((Premissas!$C$85:$C$93="Planejado")+(Premissas!$C$85:$C$93="Em estudo")*Premissas!$B$81)*(Premissas!$F$85:$F$93&lt;=M$4)*(Premissas!$G$85:$G$93&gt;=M$4)*(Premissas!$D$85:$D$93="Fixo mensal")*Premissas!$E$85:$E$93)+SUMPRODUCT((Premissas!$B$85:$B$93="Dados")*((Premissas!$C$85:$C$93="Planejado")+(Premissas!$C$85:$C$93="Em estudo")*Premissas!$B$81)*(Premissas!$F$85:$F$93&lt;=M$4)*(Premissas!$G$85:$G$93&gt;=M$4)*(Premissas!$D$85:$D$93="Por usuário")*Premissas!$E$85:$E$93)*M111)</f>
        <v>0</v>
      </c>
      <c r="N118" s="60" t="n">
        <f aca="false">IF(N111=0,0,SUMPRODUCT((Premissas!$B$85:$B$93="Dados")*((Premissas!$C$85:$C$93="Planejado")+(Premissas!$C$85:$C$93="Em estudo")*Premissas!$B$81)*(Premissas!$F$85:$F$93&lt;=N$4)*(Premissas!$G$85:$G$93&gt;=N$4)*(Premissas!$D$85:$D$93="Fixo mensal")*Premissas!$E$85:$E$93)+SUMPRODUCT((Premissas!$B$85:$B$93="Dados")*((Premissas!$C$85:$C$93="Planejado")+(Premissas!$C$85:$C$93="Em estudo")*Premissas!$B$81)*(Premissas!$F$85:$F$93&lt;=N$4)*(Premissas!$G$85:$G$93&gt;=N$4)*(Premissas!$D$85:$D$93="Por usuário")*Premissas!$E$85:$E$93)*N111)</f>
        <v>0</v>
      </c>
      <c r="O118" s="60" t="n">
        <f aca="false">IF(O111=0,0,SUMPRODUCT((Premissas!$B$85:$B$93="Dados")*((Premissas!$C$85:$C$93="Planejado")+(Premissas!$C$85:$C$93="Em estudo")*Premissas!$B$81)*(Premissas!$F$85:$F$93&lt;=O$4)*(Premissas!$G$85:$G$93&gt;=O$4)*(Premissas!$D$85:$D$93="Fixo mensal")*Premissas!$E$85:$E$93)+SUMPRODUCT((Premissas!$B$85:$B$93="Dados")*((Premissas!$C$85:$C$93="Planejado")+(Premissas!$C$85:$C$93="Em estudo")*Premissas!$B$81)*(Premissas!$F$85:$F$93&lt;=O$4)*(Premissas!$G$85:$G$93&gt;=O$4)*(Premissas!$D$85:$D$93="Por usuário")*Premissas!$E$85:$E$93)*O111)</f>
        <v>0</v>
      </c>
      <c r="P118" s="60" t="n">
        <f aca="false">IF(P111=0,0,SUMPRODUCT((Premissas!$B$85:$B$93="Dados")*((Premissas!$C$85:$C$93="Planejado")+(Premissas!$C$85:$C$93="Em estudo")*Premissas!$B$81)*(Premissas!$F$85:$F$93&lt;=P$4)*(Premissas!$G$85:$G$93&gt;=P$4)*(Premissas!$D$85:$D$93="Fixo mensal")*Premissas!$E$85:$E$93)+SUMPRODUCT((Premissas!$B$85:$B$93="Dados")*((Premissas!$C$85:$C$93="Planejado")+(Premissas!$C$85:$C$93="Em estudo")*Premissas!$B$81)*(Premissas!$F$85:$F$93&lt;=P$4)*(Premissas!$G$85:$G$93&gt;=P$4)*(Premissas!$D$85:$D$93="Por usuário")*Premissas!$E$85:$E$93)*P111)</f>
        <v>0</v>
      </c>
      <c r="Q118" s="60" t="n">
        <f aca="false">IF(Q111=0,0,SUMPRODUCT((Premissas!$B$85:$B$93="Dados")*((Premissas!$C$85:$C$93="Planejado")+(Premissas!$C$85:$C$93="Em estudo")*Premissas!$B$81)*(Premissas!$F$85:$F$93&lt;=Q$4)*(Premissas!$G$85:$G$93&gt;=Q$4)*(Premissas!$D$85:$D$93="Fixo mensal")*Premissas!$E$85:$E$93)+SUMPRODUCT((Premissas!$B$85:$B$93="Dados")*((Premissas!$C$85:$C$93="Planejado")+(Premissas!$C$85:$C$93="Em estudo")*Premissas!$B$81)*(Premissas!$F$85:$F$93&lt;=Q$4)*(Premissas!$G$85:$G$93&gt;=Q$4)*(Premissas!$D$85:$D$93="Por usuário")*Premissas!$E$85:$E$93)*Q111)</f>
        <v>0</v>
      </c>
      <c r="R118" s="60" t="n">
        <f aca="false">IF(R111=0,0,SUMPRODUCT((Premissas!$B$85:$B$93="Dados")*((Premissas!$C$85:$C$93="Planejado")+(Premissas!$C$85:$C$93="Em estudo")*Premissas!$B$81)*(Premissas!$F$85:$F$93&lt;=R$4)*(Premissas!$G$85:$G$93&gt;=R$4)*(Premissas!$D$85:$D$93="Fixo mensal")*Premissas!$E$85:$E$93)+SUMPRODUCT((Premissas!$B$85:$B$93="Dados")*((Premissas!$C$85:$C$93="Planejado")+(Premissas!$C$85:$C$93="Em estudo")*Premissas!$B$81)*(Premissas!$F$85:$F$93&lt;=R$4)*(Premissas!$G$85:$G$93&gt;=R$4)*(Premissas!$D$85:$D$93="Por usuário")*Premissas!$E$85:$E$93)*R111)</f>
        <v>0</v>
      </c>
      <c r="S118" s="60" t="n">
        <f aca="false">IF(S111=0,0,SUMPRODUCT((Premissas!$B$85:$B$93="Dados")*((Premissas!$C$85:$C$93="Planejado")+(Premissas!$C$85:$C$93="Em estudo")*Premissas!$B$81)*(Premissas!$F$85:$F$93&lt;=S$4)*(Premissas!$G$85:$G$93&gt;=S$4)*(Premissas!$D$85:$D$93="Fixo mensal")*Premissas!$E$85:$E$93)+SUMPRODUCT((Premissas!$B$85:$B$93="Dados")*((Premissas!$C$85:$C$93="Planejado")+(Premissas!$C$85:$C$93="Em estudo")*Premissas!$B$81)*(Premissas!$F$85:$F$93&lt;=S$4)*(Premissas!$G$85:$G$93&gt;=S$4)*(Premissas!$D$85:$D$93="Por usuário")*Premissas!$E$85:$E$93)*S111)</f>
        <v>0</v>
      </c>
      <c r="T118" s="60" t="n">
        <f aca="false">IF(T111=0,0,SUMPRODUCT((Premissas!$B$85:$B$93="Dados")*((Premissas!$C$85:$C$93="Planejado")+(Premissas!$C$85:$C$93="Em estudo")*Premissas!$B$81)*(Premissas!$F$85:$F$93&lt;=T$4)*(Premissas!$G$85:$G$93&gt;=T$4)*(Premissas!$D$85:$D$93="Fixo mensal")*Premissas!$E$85:$E$93)+SUMPRODUCT((Premissas!$B$85:$B$93="Dados")*((Premissas!$C$85:$C$93="Planejado")+(Premissas!$C$85:$C$93="Em estudo")*Premissas!$B$81)*(Premissas!$F$85:$F$93&lt;=T$4)*(Premissas!$G$85:$G$93&gt;=T$4)*(Premissas!$D$85:$D$93="Por usuário")*Premissas!$E$85:$E$93)*T111)</f>
        <v>0</v>
      </c>
      <c r="U118" s="60" t="n">
        <f aca="false">IF(U111=0,0,SUMPRODUCT((Premissas!$B$85:$B$93="Dados")*((Premissas!$C$85:$C$93="Planejado")+(Premissas!$C$85:$C$93="Em estudo")*Premissas!$B$81)*(Premissas!$F$85:$F$93&lt;=U$4)*(Premissas!$G$85:$G$93&gt;=U$4)*(Premissas!$D$85:$D$93="Fixo mensal")*Premissas!$E$85:$E$93)+SUMPRODUCT((Premissas!$B$85:$B$93="Dados")*((Premissas!$C$85:$C$93="Planejado")+(Premissas!$C$85:$C$93="Em estudo")*Premissas!$B$81)*(Premissas!$F$85:$F$93&lt;=U$4)*(Premissas!$G$85:$G$93&gt;=U$4)*(Premissas!$D$85:$D$93="Por usuário")*Premissas!$E$85:$E$93)*U111)</f>
        <v>0</v>
      </c>
      <c r="V118" s="60" t="n">
        <f aca="false">IF(V111=0,0,SUMPRODUCT((Premissas!$B$85:$B$93="Dados")*((Premissas!$C$85:$C$93="Planejado")+(Premissas!$C$85:$C$93="Em estudo")*Premissas!$B$81)*(Premissas!$F$85:$F$93&lt;=V$4)*(Premissas!$G$85:$G$93&gt;=V$4)*(Premissas!$D$85:$D$93="Fixo mensal")*Premissas!$E$85:$E$93)+SUMPRODUCT((Premissas!$B$85:$B$93="Dados")*((Premissas!$C$85:$C$93="Planejado")+(Premissas!$C$85:$C$93="Em estudo")*Premissas!$B$81)*(Premissas!$F$85:$F$93&lt;=V$4)*(Premissas!$G$85:$G$93&gt;=V$4)*(Premissas!$D$85:$D$93="Por usuário")*Premissas!$E$85:$E$93)*V111)</f>
        <v>0</v>
      </c>
      <c r="W118" s="60" t="n">
        <f aca="false">IF(W111=0,0,SUMPRODUCT((Premissas!$B$85:$B$93="Dados")*((Premissas!$C$85:$C$93="Planejado")+(Premissas!$C$85:$C$93="Em estudo")*Premissas!$B$81)*(Premissas!$F$85:$F$93&lt;=W$4)*(Premissas!$G$85:$G$93&gt;=W$4)*(Premissas!$D$85:$D$93="Fixo mensal")*Premissas!$E$85:$E$93)+SUMPRODUCT((Premissas!$B$85:$B$93="Dados")*((Premissas!$C$85:$C$93="Planejado")+(Premissas!$C$85:$C$93="Em estudo")*Premissas!$B$81)*(Premissas!$F$85:$F$93&lt;=W$4)*(Premissas!$G$85:$G$93&gt;=W$4)*(Premissas!$D$85:$D$93="Por usuário")*Premissas!$E$85:$E$93)*W111)</f>
        <v>0</v>
      </c>
      <c r="X118" s="60" t="n">
        <f aca="false">IF(X111=0,0,SUMPRODUCT((Premissas!$B$85:$B$93="Dados")*((Premissas!$C$85:$C$93="Planejado")+(Premissas!$C$85:$C$93="Em estudo")*Premissas!$B$81)*(Premissas!$F$85:$F$93&lt;=X$4)*(Premissas!$G$85:$G$93&gt;=X$4)*(Premissas!$D$85:$D$93="Fixo mensal")*Premissas!$E$85:$E$93)+SUMPRODUCT((Premissas!$B$85:$B$93="Dados")*((Premissas!$C$85:$C$93="Planejado")+(Premissas!$C$85:$C$93="Em estudo")*Premissas!$B$81)*(Premissas!$F$85:$F$93&lt;=X$4)*(Premissas!$G$85:$G$93&gt;=X$4)*(Premissas!$D$85:$D$93="Por usuário")*Premissas!$E$85:$E$93)*X111)</f>
        <v>0</v>
      </c>
      <c r="Y118" s="60" t="n">
        <f aca="false">IF(Y111=0,0,SUMPRODUCT((Premissas!$B$85:$B$93="Dados")*((Premissas!$C$85:$C$93="Planejado")+(Premissas!$C$85:$C$93="Em estudo")*Premissas!$B$81)*(Premissas!$F$85:$F$93&lt;=Y$4)*(Premissas!$G$85:$G$93&gt;=Y$4)*(Premissas!$D$85:$D$93="Fixo mensal")*Premissas!$E$85:$E$93)+SUMPRODUCT((Premissas!$B$85:$B$93="Dados")*((Premissas!$C$85:$C$93="Planejado")+(Premissas!$C$85:$C$93="Em estudo")*Premissas!$B$81)*(Premissas!$F$85:$F$93&lt;=Y$4)*(Premissas!$G$85:$G$93&gt;=Y$4)*(Premissas!$D$85:$D$93="Por usuário")*Premissas!$E$85:$E$93)*Y111)</f>
        <v>0</v>
      </c>
      <c r="Z118" s="60" t="n">
        <f aca="false">IF(Z111=0,0,SUMPRODUCT((Premissas!$B$85:$B$93="Dados")*((Premissas!$C$85:$C$93="Planejado")+(Premissas!$C$85:$C$93="Em estudo")*Premissas!$B$81)*(Premissas!$F$85:$F$93&lt;=Z$4)*(Premissas!$G$85:$G$93&gt;=Z$4)*(Premissas!$D$85:$D$93="Fixo mensal")*Premissas!$E$85:$E$93)+SUMPRODUCT((Premissas!$B$85:$B$93="Dados")*((Premissas!$C$85:$C$93="Planejado")+(Premissas!$C$85:$C$93="Em estudo")*Premissas!$B$81)*(Premissas!$F$85:$F$93&lt;=Z$4)*(Premissas!$G$85:$G$93&gt;=Z$4)*(Premissas!$D$85:$D$93="Por usuário")*Premissas!$E$85:$E$93)*Z111)</f>
        <v>0</v>
      </c>
      <c r="AA118" s="60" t="n">
        <f aca="false">IF(AA111=0,0,SUMPRODUCT((Premissas!$B$85:$B$93="Dados")*((Premissas!$C$85:$C$93="Planejado")+(Premissas!$C$85:$C$93="Em estudo")*Premissas!$B$81)*(Premissas!$F$85:$F$93&lt;=AA$4)*(Premissas!$G$85:$G$93&gt;=AA$4)*(Premissas!$D$85:$D$93="Fixo mensal")*Premissas!$E$85:$E$93)+SUMPRODUCT((Premissas!$B$85:$B$93="Dados")*((Premissas!$C$85:$C$93="Planejado")+(Premissas!$C$85:$C$93="Em estudo")*Premissas!$B$81)*(Premissas!$F$85:$F$93&lt;=AA$4)*(Premissas!$G$85:$G$93&gt;=AA$4)*(Premissas!$D$85:$D$93="Por usuário")*Premissas!$E$85:$E$93)*AA111)</f>
        <v>0</v>
      </c>
      <c r="AB118" s="60" t="n">
        <f aca="false">IF(AB111=0,0,SUMPRODUCT((Premissas!$B$85:$B$93="Dados")*((Premissas!$C$85:$C$93="Planejado")+(Premissas!$C$85:$C$93="Em estudo")*Premissas!$B$81)*(Premissas!$F$85:$F$93&lt;=AB$4)*(Premissas!$G$85:$G$93&gt;=AB$4)*(Premissas!$D$85:$D$93="Fixo mensal")*Premissas!$E$85:$E$93)+SUMPRODUCT((Premissas!$B$85:$B$93="Dados")*((Premissas!$C$85:$C$93="Planejado")+(Premissas!$C$85:$C$93="Em estudo")*Premissas!$B$81)*(Premissas!$F$85:$F$93&lt;=AB$4)*(Premissas!$G$85:$G$93&gt;=AB$4)*(Premissas!$D$85:$D$93="Por usuário")*Premissas!$E$85:$E$93)*AB111)</f>
        <v>0</v>
      </c>
      <c r="AC118" s="60" t="n">
        <f aca="false">IF(AC111=0,0,SUMPRODUCT((Premissas!$B$85:$B$93="Dados")*((Premissas!$C$85:$C$93="Planejado")+(Premissas!$C$85:$C$93="Em estudo")*Premissas!$B$81)*(Premissas!$F$85:$F$93&lt;=AC$4)*(Premissas!$G$85:$G$93&gt;=AC$4)*(Premissas!$D$85:$D$93="Fixo mensal")*Premissas!$E$85:$E$93)+SUMPRODUCT((Premissas!$B$85:$B$93="Dados")*((Premissas!$C$85:$C$93="Planejado")+(Premissas!$C$85:$C$93="Em estudo")*Premissas!$B$81)*(Premissas!$F$85:$F$93&lt;=AC$4)*(Premissas!$G$85:$G$93&gt;=AC$4)*(Premissas!$D$85:$D$93="Por usuário")*Premissas!$E$85:$E$93)*AC111)</f>
        <v>0</v>
      </c>
      <c r="AD118" s="60" t="n">
        <f aca="false">IF(AD111=0,0,SUMPRODUCT((Premissas!$B$85:$B$93="Dados")*((Premissas!$C$85:$C$93="Planejado")+(Premissas!$C$85:$C$93="Em estudo")*Premissas!$B$81)*(Premissas!$F$85:$F$93&lt;=AD$4)*(Premissas!$G$85:$G$93&gt;=AD$4)*(Premissas!$D$85:$D$93="Fixo mensal")*Premissas!$E$85:$E$93)+SUMPRODUCT((Premissas!$B$85:$B$93="Dados")*((Premissas!$C$85:$C$93="Planejado")+(Premissas!$C$85:$C$93="Em estudo")*Premissas!$B$81)*(Premissas!$F$85:$F$93&lt;=AD$4)*(Premissas!$G$85:$G$93&gt;=AD$4)*(Premissas!$D$85:$D$93="Por usuário")*Premissas!$E$85:$E$93)*AD111)</f>
        <v>0</v>
      </c>
      <c r="AE118" s="60" t="n">
        <f aca="false">IF(AE111=0,0,SUMPRODUCT((Premissas!$B$85:$B$93="Dados")*((Premissas!$C$85:$C$93="Planejado")+(Premissas!$C$85:$C$93="Em estudo")*Premissas!$B$81)*(Premissas!$F$85:$F$93&lt;=AE$4)*(Premissas!$G$85:$G$93&gt;=AE$4)*(Premissas!$D$85:$D$93="Fixo mensal")*Premissas!$E$85:$E$93)+SUMPRODUCT((Premissas!$B$85:$B$93="Dados")*((Premissas!$C$85:$C$93="Planejado")+(Premissas!$C$85:$C$93="Em estudo")*Premissas!$B$81)*(Premissas!$F$85:$F$93&lt;=AE$4)*(Premissas!$G$85:$G$93&gt;=AE$4)*(Premissas!$D$85:$D$93="Por usuário")*Premissas!$E$85:$E$93)*AE111)</f>
        <v>0</v>
      </c>
      <c r="AF118" s="60" t="n">
        <f aca="false">IF(AF111=0,0,SUMPRODUCT((Premissas!$B$85:$B$93="Dados")*((Premissas!$C$85:$C$93="Planejado")+(Premissas!$C$85:$C$93="Em estudo")*Premissas!$B$81)*(Premissas!$F$85:$F$93&lt;=AF$4)*(Premissas!$G$85:$G$93&gt;=AF$4)*(Premissas!$D$85:$D$93="Fixo mensal")*Premissas!$E$85:$E$93)+SUMPRODUCT((Premissas!$B$85:$B$93="Dados")*((Premissas!$C$85:$C$93="Planejado")+(Premissas!$C$85:$C$93="Em estudo")*Premissas!$B$81)*(Premissas!$F$85:$F$93&lt;=AF$4)*(Premissas!$G$85:$G$93&gt;=AF$4)*(Premissas!$D$85:$D$93="Por usuário")*Premissas!$E$85:$E$93)*AF111)</f>
        <v>45000</v>
      </c>
      <c r="AG118" s="60" t="n">
        <f aca="false">IF(AG111=0,0,SUMPRODUCT((Premissas!$B$85:$B$93="Dados")*((Premissas!$C$85:$C$93="Planejado")+(Premissas!$C$85:$C$93="Em estudo")*Premissas!$B$81)*(Premissas!$F$85:$F$93&lt;=AG$4)*(Premissas!$G$85:$G$93&gt;=AG$4)*(Premissas!$D$85:$D$93="Fixo mensal")*Premissas!$E$85:$E$93)+SUMPRODUCT((Premissas!$B$85:$B$93="Dados")*((Premissas!$C$85:$C$93="Planejado")+(Premissas!$C$85:$C$93="Em estudo")*Premissas!$B$81)*(Premissas!$F$85:$F$93&lt;=AG$4)*(Premissas!$G$85:$G$93&gt;=AG$4)*(Premissas!$D$85:$D$93="Por usuário")*Premissas!$E$85:$E$93)*AG111)</f>
        <v>45000</v>
      </c>
      <c r="AH118" s="60" t="n">
        <f aca="false">IF(AH111=0,0,SUMPRODUCT((Premissas!$B$85:$B$93="Dados")*((Premissas!$C$85:$C$93="Planejado")+(Premissas!$C$85:$C$93="Em estudo")*Premissas!$B$81)*(Premissas!$F$85:$F$93&lt;=AH$4)*(Premissas!$G$85:$G$93&gt;=AH$4)*(Premissas!$D$85:$D$93="Fixo mensal")*Premissas!$E$85:$E$93)+SUMPRODUCT((Premissas!$B$85:$B$93="Dados")*((Premissas!$C$85:$C$93="Planejado")+(Premissas!$C$85:$C$93="Em estudo")*Premissas!$B$81)*(Premissas!$F$85:$F$93&lt;=AH$4)*(Premissas!$G$85:$G$93&gt;=AH$4)*(Premissas!$D$85:$D$93="Por usuário")*Premissas!$E$85:$E$93)*AH111)</f>
        <v>45000</v>
      </c>
      <c r="AI118" s="60" t="n">
        <f aca="false">IF(AI111=0,0,SUMPRODUCT((Premissas!$B$85:$B$93="Dados")*((Premissas!$C$85:$C$93="Planejado")+(Premissas!$C$85:$C$93="Em estudo")*Premissas!$B$81)*(Premissas!$F$85:$F$93&lt;=AI$4)*(Premissas!$G$85:$G$93&gt;=AI$4)*(Premissas!$D$85:$D$93="Fixo mensal")*Premissas!$E$85:$E$93)+SUMPRODUCT((Premissas!$B$85:$B$93="Dados")*((Premissas!$C$85:$C$93="Planejado")+(Premissas!$C$85:$C$93="Em estudo")*Premissas!$B$81)*(Premissas!$F$85:$F$93&lt;=AI$4)*(Premissas!$G$85:$G$93&gt;=AI$4)*(Premissas!$D$85:$D$93="Por usuário")*Premissas!$E$85:$E$93)*AI111)</f>
        <v>45000</v>
      </c>
      <c r="AJ118" s="60" t="n">
        <f aca="false">IF(AJ111=0,0,SUMPRODUCT((Premissas!$B$85:$B$93="Dados")*((Premissas!$C$85:$C$93="Planejado")+(Premissas!$C$85:$C$93="Em estudo")*Premissas!$B$81)*(Premissas!$F$85:$F$93&lt;=AJ$4)*(Premissas!$G$85:$G$93&gt;=AJ$4)*(Premissas!$D$85:$D$93="Fixo mensal")*Premissas!$E$85:$E$93)+SUMPRODUCT((Premissas!$B$85:$B$93="Dados")*((Premissas!$C$85:$C$93="Planejado")+(Premissas!$C$85:$C$93="Em estudo")*Premissas!$B$81)*(Premissas!$F$85:$F$93&lt;=AJ$4)*(Premissas!$G$85:$G$93&gt;=AJ$4)*(Premissas!$D$85:$D$93="Por usuário")*Premissas!$E$85:$E$93)*AJ111)</f>
        <v>45000</v>
      </c>
      <c r="AK118" s="60" t="n">
        <f aca="false">IF(AK111=0,0,SUMPRODUCT((Premissas!$B$85:$B$93="Dados")*((Premissas!$C$85:$C$93="Planejado")+(Premissas!$C$85:$C$93="Em estudo")*Premissas!$B$81)*(Premissas!$F$85:$F$93&lt;=AK$4)*(Premissas!$G$85:$G$93&gt;=AK$4)*(Premissas!$D$85:$D$93="Fixo mensal")*Premissas!$E$85:$E$93)+SUMPRODUCT((Premissas!$B$85:$B$93="Dados")*((Premissas!$C$85:$C$93="Planejado")+(Premissas!$C$85:$C$93="Em estudo")*Premissas!$B$81)*(Premissas!$F$85:$F$93&lt;=AK$4)*(Premissas!$G$85:$G$93&gt;=AK$4)*(Premissas!$D$85:$D$93="Por usuário")*Premissas!$E$85:$E$93)*AK111)</f>
        <v>45000</v>
      </c>
      <c r="AL118" s="60" t="n">
        <f aca="false">IF(AL111=0,0,SUMPRODUCT((Premissas!$B$85:$B$93="Dados")*((Premissas!$C$85:$C$93="Planejado")+(Premissas!$C$85:$C$93="Em estudo")*Premissas!$B$81)*(Premissas!$F$85:$F$93&lt;=AL$4)*(Premissas!$G$85:$G$93&gt;=AL$4)*(Premissas!$D$85:$D$93="Fixo mensal")*Premissas!$E$85:$E$93)+SUMPRODUCT((Premissas!$B$85:$B$93="Dados")*((Premissas!$C$85:$C$93="Planejado")+(Premissas!$C$85:$C$93="Em estudo")*Premissas!$B$81)*(Premissas!$F$85:$F$93&lt;=AL$4)*(Premissas!$G$85:$G$93&gt;=AL$4)*(Premissas!$D$85:$D$93="Por usuário")*Premissas!$E$85:$E$93)*AL111)</f>
        <v>70000</v>
      </c>
      <c r="AM118" s="60" t="n">
        <f aca="false">IF(AM111=0,0,SUMPRODUCT((Premissas!$B$85:$B$93="Dados")*((Premissas!$C$85:$C$93="Planejado")+(Premissas!$C$85:$C$93="Em estudo")*Premissas!$B$81)*(Premissas!$F$85:$F$93&lt;=AM$4)*(Premissas!$G$85:$G$93&gt;=AM$4)*(Premissas!$D$85:$D$93="Fixo mensal")*Premissas!$E$85:$E$93)+SUMPRODUCT((Premissas!$B$85:$B$93="Dados")*((Premissas!$C$85:$C$93="Planejado")+(Premissas!$C$85:$C$93="Em estudo")*Premissas!$B$81)*(Premissas!$F$85:$F$93&lt;=AM$4)*(Premissas!$G$85:$G$93&gt;=AM$4)*(Premissas!$D$85:$D$93="Por usuário")*Premissas!$E$85:$E$93)*AM111)</f>
        <v>70000</v>
      </c>
      <c r="AN118" s="60" t="n">
        <f aca="false">IF(AN111=0,0,SUMPRODUCT((Premissas!$B$85:$B$93="Dados")*((Premissas!$C$85:$C$93="Planejado")+(Premissas!$C$85:$C$93="Em estudo")*Premissas!$B$81)*(Premissas!$F$85:$F$93&lt;=AN$4)*(Premissas!$G$85:$G$93&gt;=AN$4)*(Premissas!$D$85:$D$93="Fixo mensal")*Premissas!$E$85:$E$93)+SUMPRODUCT((Premissas!$B$85:$B$93="Dados")*((Premissas!$C$85:$C$93="Planejado")+(Premissas!$C$85:$C$93="Em estudo")*Premissas!$B$81)*(Premissas!$F$85:$F$93&lt;=AN$4)*(Premissas!$G$85:$G$93&gt;=AN$4)*(Premissas!$D$85:$D$93="Por usuário")*Premissas!$E$85:$E$93)*AN111)</f>
        <v>70000</v>
      </c>
      <c r="AO118" s="60" t="n">
        <f aca="false">IF(AO111=0,0,SUMPRODUCT((Premissas!$B$85:$B$93="Dados")*((Premissas!$C$85:$C$93="Planejado")+(Premissas!$C$85:$C$93="Em estudo")*Premissas!$B$81)*(Premissas!$F$85:$F$93&lt;=AO$4)*(Premissas!$G$85:$G$93&gt;=AO$4)*(Premissas!$D$85:$D$93="Fixo mensal")*Premissas!$E$85:$E$93)+SUMPRODUCT((Premissas!$B$85:$B$93="Dados")*((Premissas!$C$85:$C$93="Planejado")+(Premissas!$C$85:$C$93="Em estudo")*Premissas!$B$81)*(Premissas!$F$85:$F$93&lt;=AO$4)*(Premissas!$G$85:$G$93&gt;=AO$4)*(Premissas!$D$85:$D$93="Por usuário")*Premissas!$E$85:$E$93)*AO111)</f>
        <v>70000</v>
      </c>
      <c r="AP118" s="60" t="n">
        <f aca="false">IF(AP111=0,0,SUMPRODUCT((Premissas!$B$85:$B$93="Dados")*((Premissas!$C$85:$C$93="Planejado")+(Premissas!$C$85:$C$93="Em estudo")*Premissas!$B$81)*(Premissas!$F$85:$F$93&lt;=AP$4)*(Premissas!$G$85:$G$93&gt;=AP$4)*(Premissas!$D$85:$D$93="Fixo mensal")*Premissas!$E$85:$E$93)+SUMPRODUCT((Premissas!$B$85:$B$93="Dados")*((Premissas!$C$85:$C$93="Planejado")+(Premissas!$C$85:$C$93="Em estudo")*Premissas!$B$81)*(Premissas!$F$85:$F$93&lt;=AP$4)*(Premissas!$G$85:$G$93&gt;=AP$4)*(Premissas!$D$85:$D$93="Por usuário")*Premissas!$E$85:$E$93)*AP111)</f>
        <v>70000</v>
      </c>
      <c r="AQ118" s="60" t="n">
        <f aca="false">IF(AQ111=0,0,SUMPRODUCT((Premissas!$B$85:$B$93="Dados")*((Premissas!$C$85:$C$93="Planejado")+(Premissas!$C$85:$C$93="Em estudo")*Premissas!$B$81)*(Premissas!$F$85:$F$93&lt;=AQ$4)*(Premissas!$G$85:$G$93&gt;=AQ$4)*(Premissas!$D$85:$D$93="Fixo mensal")*Premissas!$E$85:$E$93)+SUMPRODUCT((Premissas!$B$85:$B$93="Dados")*((Premissas!$C$85:$C$93="Planejado")+(Premissas!$C$85:$C$93="Em estudo")*Premissas!$B$81)*(Premissas!$F$85:$F$93&lt;=AQ$4)*(Premissas!$G$85:$G$93&gt;=AQ$4)*(Premissas!$D$85:$D$93="Por usuário")*Premissas!$E$85:$E$93)*AQ111)</f>
        <v>70000</v>
      </c>
      <c r="AR118" s="60" t="n">
        <f aca="false">IF(AR111=0,0,SUMPRODUCT((Premissas!$B$85:$B$93="Dados")*((Premissas!$C$85:$C$93="Planejado")+(Premissas!$C$85:$C$93="Em estudo")*Premissas!$B$81)*(Premissas!$F$85:$F$93&lt;=AR$4)*(Premissas!$G$85:$G$93&gt;=AR$4)*(Premissas!$D$85:$D$93="Fixo mensal")*Premissas!$E$85:$E$93)+SUMPRODUCT((Premissas!$B$85:$B$93="Dados")*((Premissas!$C$85:$C$93="Planejado")+(Premissas!$C$85:$C$93="Em estudo")*Premissas!$B$81)*(Premissas!$F$85:$F$93&lt;=AR$4)*(Premissas!$G$85:$G$93&gt;=AR$4)*(Premissas!$D$85:$D$93="Por usuário")*Premissas!$E$85:$E$93)*AR111)</f>
        <v>70000</v>
      </c>
      <c r="AS118" s="60" t="n">
        <f aca="false">IF(AS111=0,0,SUMPRODUCT((Premissas!$B$85:$B$93="Dados")*((Premissas!$C$85:$C$93="Planejado")+(Premissas!$C$85:$C$93="Em estudo")*Premissas!$B$81)*(Premissas!$F$85:$F$93&lt;=AS$4)*(Premissas!$G$85:$G$93&gt;=AS$4)*(Premissas!$D$85:$D$93="Fixo mensal")*Premissas!$E$85:$E$93)+SUMPRODUCT((Premissas!$B$85:$B$93="Dados")*((Premissas!$C$85:$C$93="Planejado")+(Premissas!$C$85:$C$93="Em estudo")*Premissas!$B$81)*(Premissas!$F$85:$F$93&lt;=AS$4)*(Premissas!$G$85:$G$93&gt;=AS$4)*(Premissas!$D$85:$D$93="Por usuário")*Premissas!$E$85:$E$93)*AS111)</f>
        <v>70000</v>
      </c>
      <c r="AT118" s="60" t="n">
        <f aca="false">IF(AT111=0,0,SUMPRODUCT((Premissas!$B$85:$B$93="Dados")*((Premissas!$C$85:$C$93="Planejado")+(Premissas!$C$85:$C$93="Em estudo")*Premissas!$B$81)*(Premissas!$F$85:$F$93&lt;=AT$4)*(Premissas!$G$85:$G$93&gt;=AT$4)*(Premissas!$D$85:$D$93="Fixo mensal")*Premissas!$E$85:$E$93)+SUMPRODUCT((Premissas!$B$85:$B$93="Dados")*((Premissas!$C$85:$C$93="Planejado")+(Premissas!$C$85:$C$93="Em estudo")*Premissas!$B$81)*(Premissas!$F$85:$F$93&lt;=AT$4)*(Premissas!$G$85:$G$93&gt;=AT$4)*(Premissas!$D$85:$D$93="Por usuário")*Premissas!$E$85:$E$93)*AT111)</f>
        <v>70000</v>
      </c>
      <c r="AU118" s="60" t="n">
        <f aca="false">IF(AU111=0,0,SUMPRODUCT((Premissas!$B$85:$B$93="Dados")*((Premissas!$C$85:$C$93="Planejado")+(Premissas!$C$85:$C$93="Em estudo")*Premissas!$B$81)*(Premissas!$F$85:$F$93&lt;=AU$4)*(Premissas!$G$85:$G$93&gt;=AU$4)*(Premissas!$D$85:$D$93="Fixo mensal")*Premissas!$E$85:$E$93)+SUMPRODUCT((Premissas!$B$85:$B$93="Dados")*((Premissas!$C$85:$C$93="Planejado")+(Premissas!$C$85:$C$93="Em estudo")*Premissas!$B$81)*(Premissas!$F$85:$F$93&lt;=AU$4)*(Premissas!$G$85:$G$93&gt;=AU$4)*(Premissas!$D$85:$D$93="Por usuário")*Premissas!$E$85:$E$93)*AU111)</f>
        <v>70000</v>
      </c>
      <c r="AV118" s="60" t="n">
        <f aca="false">IF(AV111=0,0,SUMPRODUCT((Premissas!$B$85:$B$93="Dados")*((Premissas!$C$85:$C$93="Planejado")+(Premissas!$C$85:$C$93="Em estudo")*Premissas!$B$81)*(Premissas!$F$85:$F$93&lt;=AV$4)*(Premissas!$G$85:$G$93&gt;=AV$4)*(Premissas!$D$85:$D$93="Fixo mensal")*Premissas!$E$85:$E$93)+SUMPRODUCT((Premissas!$B$85:$B$93="Dados")*((Premissas!$C$85:$C$93="Planejado")+(Premissas!$C$85:$C$93="Em estudo")*Premissas!$B$81)*(Premissas!$F$85:$F$93&lt;=AV$4)*(Premissas!$G$85:$G$93&gt;=AV$4)*(Premissas!$D$85:$D$93="Por usuário")*Premissas!$E$85:$E$93)*AV111)</f>
        <v>70000</v>
      </c>
      <c r="AW118" s="60" t="n">
        <f aca="false">IF(AW111=0,0,SUMPRODUCT((Premissas!$B$85:$B$93="Dados")*((Premissas!$C$85:$C$93="Planejado")+(Premissas!$C$85:$C$93="Em estudo")*Premissas!$B$81)*(Premissas!$F$85:$F$93&lt;=AW$4)*(Premissas!$G$85:$G$93&gt;=AW$4)*(Premissas!$D$85:$D$93="Fixo mensal")*Premissas!$E$85:$E$93)+SUMPRODUCT((Premissas!$B$85:$B$93="Dados")*((Premissas!$C$85:$C$93="Planejado")+(Premissas!$C$85:$C$93="Em estudo")*Premissas!$B$81)*(Premissas!$F$85:$F$93&lt;=AW$4)*(Premissas!$G$85:$G$93&gt;=AW$4)*(Premissas!$D$85:$D$93="Por usuário")*Premissas!$E$85:$E$93)*AW111)</f>
        <v>70000</v>
      </c>
      <c r="AX118" s="60" t="n">
        <f aca="false">IF(AX111=0,0,SUMPRODUCT((Premissas!$B$85:$B$93="Dados")*((Premissas!$C$85:$C$93="Planejado")+(Premissas!$C$85:$C$93="Em estudo")*Premissas!$B$81)*(Premissas!$F$85:$F$93&lt;=AX$4)*(Premissas!$G$85:$G$93&gt;=AX$4)*(Premissas!$D$85:$D$93="Fixo mensal")*Premissas!$E$85:$E$93)+SUMPRODUCT((Premissas!$B$85:$B$93="Dados")*((Premissas!$C$85:$C$93="Planejado")+(Premissas!$C$85:$C$93="Em estudo")*Premissas!$B$81)*(Premissas!$F$85:$F$93&lt;=AX$4)*(Premissas!$G$85:$G$93&gt;=AX$4)*(Premissas!$D$85:$D$93="Por usuário")*Premissas!$E$85:$E$93)*AX111)</f>
        <v>70000</v>
      </c>
      <c r="AY118" s="60" t="n">
        <f aca="false">IF(AY111=0,0,SUMPRODUCT((Premissas!$B$85:$B$93="Dados")*((Premissas!$C$85:$C$93="Planejado")+(Premissas!$C$85:$C$93="Em estudo")*Premissas!$B$81)*(Premissas!$F$85:$F$93&lt;=AY$4)*(Premissas!$G$85:$G$93&gt;=AY$4)*(Premissas!$D$85:$D$93="Fixo mensal")*Premissas!$E$85:$E$93)+SUMPRODUCT((Premissas!$B$85:$B$93="Dados")*((Premissas!$C$85:$C$93="Planejado")+(Premissas!$C$85:$C$93="Em estudo")*Premissas!$B$81)*(Premissas!$F$85:$F$93&lt;=AY$4)*(Premissas!$G$85:$G$93&gt;=AY$4)*(Premissas!$D$85:$D$93="Por usuário")*Premissas!$E$85:$E$93)*AY111)</f>
        <v>70000</v>
      </c>
      <c r="AZ118" s="60" t="n">
        <f aca="false">IF(AZ111=0,0,SUMPRODUCT((Premissas!$B$85:$B$93="Dados")*((Premissas!$C$85:$C$93="Planejado")+(Premissas!$C$85:$C$93="Em estudo")*Premissas!$B$81)*(Premissas!$F$85:$F$93&lt;=AZ$4)*(Premissas!$G$85:$G$93&gt;=AZ$4)*(Premissas!$D$85:$D$93="Fixo mensal")*Premissas!$E$85:$E$93)+SUMPRODUCT((Premissas!$B$85:$B$93="Dados")*((Premissas!$C$85:$C$93="Planejado")+(Premissas!$C$85:$C$93="Em estudo")*Premissas!$B$81)*(Premissas!$F$85:$F$93&lt;=AZ$4)*(Premissas!$G$85:$G$93&gt;=AZ$4)*(Premissas!$D$85:$D$93="Por usuário")*Premissas!$E$85:$E$93)*AZ111)</f>
        <v>70000</v>
      </c>
      <c r="BA118" s="60" t="n">
        <f aca="false">IF(BA111=0,0,SUMPRODUCT((Premissas!$B$85:$B$93="Dados")*((Premissas!$C$85:$C$93="Planejado")+(Premissas!$C$85:$C$93="Em estudo")*Premissas!$B$81)*(Premissas!$F$85:$F$93&lt;=BA$4)*(Premissas!$G$85:$G$93&gt;=BA$4)*(Premissas!$D$85:$D$93="Fixo mensal")*Premissas!$E$85:$E$93)+SUMPRODUCT((Premissas!$B$85:$B$93="Dados")*((Premissas!$C$85:$C$93="Planejado")+(Premissas!$C$85:$C$93="Em estudo")*Premissas!$B$81)*(Premissas!$F$85:$F$93&lt;=BA$4)*(Premissas!$G$85:$G$93&gt;=BA$4)*(Premissas!$D$85:$D$93="Por usuário")*Premissas!$E$85:$E$93)*BA111)</f>
        <v>70000</v>
      </c>
      <c r="BB118" s="60" t="n">
        <f aca="false">IF(BB111=0,0,SUMPRODUCT((Premissas!$B$85:$B$93="Dados")*((Premissas!$C$85:$C$93="Planejado")+(Premissas!$C$85:$C$93="Em estudo")*Premissas!$B$81)*(Premissas!$F$85:$F$93&lt;=BB$4)*(Premissas!$G$85:$G$93&gt;=BB$4)*(Premissas!$D$85:$D$93="Fixo mensal")*Premissas!$E$85:$E$93)+SUMPRODUCT((Premissas!$B$85:$B$93="Dados")*((Premissas!$C$85:$C$93="Planejado")+(Premissas!$C$85:$C$93="Em estudo")*Premissas!$B$81)*(Premissas!$F$85:$F$93&lt;=BB$4)*(Premissas!$G$85:$G$93&gt;=BB$4)*(Premissas!$D$85:$D$93="Por usuário")*Premissas!$E$85:$E$93)*BB111)</f>
        <v>70000</v>
      </c>
      <c r="BC118" s="60" t="n">
        <f aca="false">IF(BC111=0,0,SUMPRODUCT((Premissas!$B$85:$B$93="Dados")*((Premissas!$C$85:$C$93="Planejado")+(Premissas!$C$85:$C$93="Em estudo")*Premissas!$B$81)*(Premissas!$F$85:$F$93&lt;=BC$4)*(Premissas!$G$85:$G$93&gt;=BC$4)*(Premissas!$D$85:$D$93="Fixo mensal")*Premissas!$E$85:$E$93)+SUMPRODUCT((Premissas!$B$85:$B$93="Dados")*((Premissas!$C$85:$C$93="Planejado")+(Premissas!$C$85:$C$93="Em estudo")*Premissas!$B$81)*(Premissas!$F$85:$F$93&lt;=BC$4)*(Premissas!$G$85:$G$93&gt;=BC$4)*(Premissas!$D$85:$D$93="Por usuário")*Premissas!$E$85:$E$93)*BC111)</f>
        <v>70000</v>
      </c>
      <c r="BD118" s="60" t="n">
        <f aca="false">IF(BD111=0,0,SUMPRODUCT((Premissas!$B$85:$B$93="Dados")*((Premissas!$C$85:$C$93="Planejado")+(Premissas!$C$85:$C$93="Em estudo")*Premissas!$B$81)*(Premissas!$F$85:$F$93&lt;=BD$4)*(Premissas!$G$85:$G$93&gt;=BD$4)*(Premissas!$D$85:$D$93="Fixo mensal")*Premissas!$E$85:$E$93)+SUMPRODUCT((Premissas!$B$85:$B$93="Dados")*((Premissas!$C$85:$C$93="Planejado")+(Premissas!$C$85:$C$93="Em estudo")*Premissas!$B$81)*(Premissas!$F$85:$F$93&lt;=BD$4)*(Premissas!$G$85:$G$93&gt;=BD$4)*(Premissas!$D$85:$D$93="Por usuário")*Premissas!$E$85:$E$93)*BD111)</f>
        <v>70000</v>
      </c>
      <c r="BE118" s="60" t="n">
        <f aca="false">IF(BE111=0,0,SUMPRODUCT((Premissas!$B$85:$B$93="Dados")*((Premissas!$C$85:$C$93="Planejado")+(Premissas!$C$85:$C$93="Em estudo")*Premissas!$B$81)*(Premissas!$F$85:$F$93&lt;=BE$4)*(Premissas!$G$85:$G$93&gt;=BE$4)*(Premissas!$D$85:$D$93="Fixo mensal")*Premissas!$E$85:$E$93)+SUMPRODUCT((Premissas!$B$85:$B$93="Dados")*((Premissas!$C$85:$C$93="Planejado")+(Premissas!$C$85:$C$93="Em estudo")*Premissas!$B$81)*(Premissas!$F$85:$F$93&lt;=BE$4)*(Premissas!$G$85:$G$93&gt;=BE$4)*(Premissas!$D$85:$D$93="Por usuário")*Premissas!$E$85:$E$93)*BE111)</f>
        <v>70000</v>
      </c>
      <c r="BF118" s="60" t="n">
        <f aca="false">IF(BF111=0,0,SUMPRODUCT((Premissas!$B$85:$B$93="Dados")*((Premissas!$C$85:$C$93="Planejado")+(Premissas!$C$85:$C$93="Em estudo")*Premissas!$B$81)*(Premissas!$F$85:$F$93&lt;=BF$4)*(Premissas!$G$85:$G$93&gt;=BF$4)*(Premissas!$D$85:$D$93="Fixo mensal")*Premissas!$E$85:$E$93)+SUMPRODUCT((Premissas!$B$85:$B$93="Dados")*((Premissas!$C$85:$C$93="Planejado")+(Premissas!$C$85:$C$93="Em estudo")*Premissas!$B$81)*(Premissas!$F$85:$F$93&lt;=BF$4)*(Premissas!$G$85:$G$93&gt;=BF$4)*(Premissas!$D$85:$D$93="Por usuário")*Premissas!$E$85:$E$93)*BF111)</f>
        <v>70000</v>
      </c>
      <c r="BG118" s="60" t="n">
        <f aca="false">IF(BG111=0,0,SUMPRODUCT((Premissas!$B$85:$B$93="Dados")*((Premissas!$C$85:$C$93="Planejado")+(Premissas!$C$85:$C$93="Em estudo")*Premissas!$B$81)*(Premissas!$F$85:$F$93&lt;=BG$4)*(Premissas!$G$85:$G$93&gt;=BG$4)*(Premissas!$D$85:$D$93="Fixo mensal")*Premissas!$E$85:$E$93)+SUMPRODUCT((Premissas!$B$85:$B$93="Dados")*((Premissas!$C$85:$C$93="Planejado")+(Premissas!$C$85:$C$93="Em estudo")*Premissas!$B$81)*(Premissas!$F$85:$F$93&lt;=BG$4)*(Premissas!$G$85:$G$93&gt;=BG$4)*(Premissas!$D$85:$D$93="Por usuário")*Premissas!$E$85:$E$93)*BG111)</f>
        <v>70000</v>
      </c>
      <c r="BH118" s="60" t="n">
        <f aca="false">IF(BH111=0,0,SUMPRODUCT((Premissas!$B$85:$B$93="Dados")*((Premissas!$C$85:$C$93="Planejado")+(Premissas!$C$85:$C$93="Em estudo")*Premissas!$B$81)*(Premissas!$F$85:$F$93&lt;=BH$4)*(Premissas!$G$85:$G$93&gt;=BH$4)*(Premissas!$D$85:$D$93="Fixo mensal")*Premissas!$E$85:$E$93)+SUMPRODUCT((Premissas!$B$85:$B$93="Dados")*((Premissas!$C$85:$C$93="Planejado")+(Premissas!$C$85:$C$93="Em estudo")*Premissas!$B$81)*(Premissas!$F$85:$F$93&lt;=BH$4)*(Premissas!$G$85:$G$93&gt;=BH$4)*(Premissas!$D$85:$D$93="Por usuário")*Premissas!$E$85:$E$93)*BH111)</f>
        <v>70000</v>
      </c>
      <c r="BI118" s="60" t="n">
        <f aca="false">IF(BI111=0,0,SUMPRODUCT((Premissas!$B$85:$B$93="Dados")*((Premissas!$C$85:$C$93="Planejado")+(Premissas!$C$85:$C$93="Em estudo")*Premissas!$B$81)*(Premissas!$F$85:$F$93&lt;=BI$4)*(Premissas!$G$85:$G$93&gt;=BI$4)*(Premissas!$D$85:$D$93="Fixo mensal")*Premissas!$E$85:$E$93)+SUMPRODUCT((Premissas!$B$85:$B$93="Dados")*((Premissas!$C$85:$C$93="Planejado")+(Premissas!$C$85:$C$93="Em estudo")*Premissas!$B$81)*(Premissas!$F$85:$F$93&lt;=BI$4)*(Premissas!$G$85:$G$93&gt;=BI$4)*(Premissas!$D$85:$D$93="Por usuário")*Premissas!$E$85:$E$93)*BI111)</f>
        <v>70000</v>
      </c>
      <c r="BJ118" s="61" t="n">
        <f aca="false">SUM(B118:BI118)</f>
        <v>1950000</v>
      </c>
    </row>
    <row r="119" customFormat="false" ht="15" hidden="false" customHeight="false" outlineLevel="0" collapsed="false">
      <c r="A119" s="27" t="s">
        <v>879</v>
      </c>
      <c r="B119" s="60" t="n">
        <f aca="false">SUMPRODUCT((Premissas!$B$85:$B$93="Outras")*((Premissas!$C$85:$C$93="Planejado")+(Premissas!$C$85:$C$93="Em estudo")*Premissas!$B$81)*(Premissas!$F$85:$F$93&lt;=B$4)*(Premissas!$G$85:$G$93&gt;=B$4)*(Premissas!$D$85:$D$93="Fixo mensal")*Premissas!$E$85:$E$93)+SUMPRODUCT((Premissas!$B$85:$B$93="Outras")*((Premissas!$C$85:$C$93="Planejado")+(Premissas!$C$85:$C$93="Em estudo")*Premissas!$B$81)*(Premissas!$F$85:$F$93&lt;=B$4)*(Premissas!$G$85:$G$93&gt;=B$4)*(Premissas!$D$85:$D$93="Por usuário")*Premissas!$E$85:$E$93)*B111</f>
        <v>0</v>
      </c>
      <c r="C119" s="60" t="n">
        <f aca="false">SUMPRODUCT((Premissas!$B$85:$B$93="Outras")*((Premissas!$C$85:$C$93="Planejado")+(Premissas!$C$85:$C$93="Em estudo")*Premissas!$B$81)*(Premissas!$F$85:$F$93&lt;=C$4)*(Premissas!$G$85:$G$93&gt;=C$4)*(Premissas!$D$85:$D$93="Fixo mensal")*Premissas!$E$85:$E$93)+SUMPRODUCT((Premissas!$B$85:$B$93="Outras")*((Premissas!$C$85:$C$93="Planejado")+(Premissas!$C$85:$C$93="Em estudo")*Premissas!$B$81)*(Premissas!$F$85:$F$93&lt;=C$4)*(Premissas!$G$85:$G$93&gt;=C$4)*(Premissas!$D$85:$D$93="Por usuário")*Premissas!$E$85:$E$93)*C111</f>
        <v>0</v>
      </c>
      <c r="D119" s="60" t="n">
        <f aca="false">SUMPRODUCT((Premissas!$B$85:$B$93="Outras")*((Premissas!$C$85:$C$93="Planejado")+(Premissas!$C$85:$C$93="Em estudo")*Premissas!$B$81)*(Premissas!$F$85:$F$93&lt;=D$4)*(Premissas!$G$85:$G$93&gt;=D$4)*(Premissas!$D$85:$D$93="Fixo mensal")*Premissas!$E$85:$E$93)+SUMPRODUCT((Premissas!$B$85:$B$93="Outras")*((Premissas!$C$85:$C$93="Planejado")+(Premissas!$C$85:$C$93="Em estudo")*Premissas!$B$81)*(Premissas!$F$85:$F$93&lt;=D$4)*(Premissas!$G$85:$G$93&gt;=D$4)*(Premissas!$D$85:$D$93="Por usuário")*Premissas!$E$85:$E$93)*D111</f>
        <v>0</v>
      </c>
      <c r="E119" s="60" t="n">
        <f aca="false">SUMPRODUCT((Premissas!$B$85:$B$93="Outras")*((Premissas!$C$85:$C$93="Planejado")+(Premissas!$C$85:$C$93="Em estudo")*Premissas!$B$81)*(Premissas!$F$85:$F$93&lt;=E$4)*(Premissas!$G$85:$G$93&gt;=E$4)*(Premissas!$D$85:$D$93="Fixo mensal")*Premissas!$E$85:$E$93)+SUMPRODUCT((Premissas!$B$85:$B$93="Outras")*((Premissas!$C$85:$C$93="Planejado")+(Premissas!$C$85:$C$93="Em estudo")*Premissas!$B$81)*(Premissas!$F$85:$F$93&lt;=E$4)*(Premissas!$G$85:$G$93&gt;=E$4)*(Premissas!$D$85:$D$93="Por usuário")*Premissas!$E$85:$E$93)*E111</f>
        <v>0</v>
      </c>
      <c r="F119" s="60" t="n">
        <f aca="false">SUMPRODUCT((Premissas!$B$85:$B$93="Outras")*((Premissas!$C$85:$C$93="Planejado")+(Premissas!$C$85:$C$93="Em estudo")*Premissas!$B$81)*(Premissas!$F$85:$F$93&lt;=F$4)*(Premissas!$G$85:$G$93&gt;=F$4)*(Premissas!$D$85:$D$93="Fixo mensal")*Premissas!$E$85:$E$93)+SUMPRODUCT((Premissas!$B$85:$B$93="Outras")*((Premissas!$C$85:$C$93="Planejado")+(Premissas!$C$85:$C$93="Em estudo")*Premissas!$B$81)*(Premissas!$F$85:$F$93&lt;=F$4)*(Premissas!$G$85:$G$93&gt;=F$4)*(Premissas!$D$85:$D$93="Por usuário")*Premissas!$E$85:$E$93)*F111</f>
        <v>0</v>
      </c>
      <c r="G119" s="60" t="n">
        <f aca="false">SUMPRODUCT((Premissas!$B$85:$B$93="Outras")*((Premissas!$C$85:$C$93="Planejado")+(Premissas!$C$85:$C$93="Em estudo")*Premissas!$B$81)*(Premissas!$F$85:$F$93&lt;=G$4)*(Premissas!$G$85:$G$93&gt;=G$4)*(Premissas!$D$85:$D$93="Fixo mensal")*Premissas!$E$85:$E$93)+SUMPRODUCT((Premissas!$B$85:$B$93="Outras")*((Premissas!$C$85:$C$93="Planejado")+(Premissas!$C$85:$C$93="Em estudo")*Premissas!$B$81)*(Premissas!$F$85:$F$93&lt;=G$4)*(Premissas!$G$85:$G$93&gt;=G$4)*(Premissas!$D$85:$D$93="Por usuário")*Premissas!$E$85:$E$93)*G111</f>
        <v>0</v>
      </c>
      <c r="H119" s="60" t="n">
        <f aca="false">SUMPRODUCT((Premissas!$B$85:$B$93="Outras")*((Premissas!$C$85:$C$93="Planejado")+(Premissas!$C$85:$C$93="Em estudo")*Premissas!$B$81)*(Premissas!$F$85:$F$93&lt;=H$4)*(Premissas!$G$85:$G$93&gt;=H$4)*(Premissas!$D$85:$D$93="Fixo mensal")*Premissas!$E$85:$E$93)+SUMPRODUCT((Premissas!$B$85:$B$93="Outras")*((Premissas!$C$85:$C$93="Planejado")+(Premissas!$C$85:$C$93="Em estudo")*Premissas!$B$81)*(Premissas!$F$85:$F$93&lt;=H$4)*(Premissas!$G$85:$G$93&gt;=H$4)*(Premissas!$D$85:$D$93="Por usuário")*Premissas!$E$85:$E$93)*H111</f>
        <v>0</v>
      </c>
      <c r="I119" s="60" t="n">
        <f aca="false">SUMPRODUCT((Premissas!$B$85:$B$93="Outras")*((Premissas!$C$85:$C$93="Planejado")+(Premissas!$C$85:$C$93="Em estudo")*Premissas!$B$81)*(Premissas!$F$85:$F$93&lt;=I$4)*(Premissas!$G$85:$G$93&gt;=I$4)*(Premissas!$D$85:$D$93="Fixo mensal")*Premissas!$E$85:$E$93)+SUMPRODUCT((Premissas!$B$85:$B$93="Outras")*((Premissas!$C$85:$C$93="Planejado")+(Premissas!$C$85:$C$93="Em estudo")*Premissas!$B$81)*(Premissas!$F$85:$F$93&lt;=I$4)*(Premissas!$G$85:$G$93&gt;=I$4)*(Premissas!$D$85:$D$93="Por usuário")*Premissas!$E$85:$E$93)*I111</f>
        <v>0</v>
      </c>
      <c r="J119" s="60" t="n">
        <f aca="false">SUMPRODUCT((Premissas!$B$85:$B$93="Outras")*((Premissas!$C$85:$C$93="Planejado")+(Premissas!$C$85:$C$93="Em estudo")*Premissas!$B$81)*(Premissas!$F$85:$F$93&lt;=J$4)*(Premissas!$G$85:$G$93&gt;=J$4)*(Premissas!$D$85:$D$93="Fixo mensal")*Premissas!$E$85:$E$93)+SUMPRODUCT((Premissas!$B$85:$B$93="Outras")*((Premissas!$C$85:$C$93="Planejado")+(Premissas!$C$85:$C$93="Em estudo")*Premissas!$B$81)*(Premissas!$F$85:$F$93&lt;=J$4)*(Premissas!$G$85:$G$93&gt;=J$4)*(Premissas!$D$85:$D$93="Por usuário")*Premissas!$E$85:$E$93)*J111</f>
        <v>0</v>
      </c>
      <c r="K119" s="60" t="n">
        <f aca="false">SUMPRODUCT((Premissas!$B$85:$B$93="Outras")*((Premissas!$C$85:$C$93="Planejado")+(Premissas!$C$85:$C$93="Em estudo")*Premissas!$B$81)*(Premissas!$F$85:$F$93&lt;=K$4)*(Premissas!$G$85:$G$93&gt;=K$4)*(Premissas!$D$85:$D$93="Fixo mensal")*Premissas!$E$85:$E$93)+SUMPRODUCT((Premissas!$B$85:$B$93="Outras")*((Premissas!$C$85:$C$93="Planejado")+(Premissas!$C$85:$C$93="Em estudo")*Premissas!$B$81)*(Premissas!$F$85:$F$93&lt;=K$4)*(Premissas!$G$85:$G$93&gt;=K$4)*(Premissas!$D$85:$D$93="Por usuário")*Premissas!$E$85:$E$93)*K111</f>
        <v>0</v>
      </c>
      <c r="L119" s="60" t="n">
        <f aca="false">SUMPRODUCT((Premissas!$B$85:$B$93="Outras")*((Premissas!$C$85:$C$93="Planejado")+(Premissas!$C$85:$C$93="Em estudo")*Premissas!$B$81)*(Premissas!$F$85:$F$93&lt;=L$4)*(Premissas!$G$85:$G$93&gt;=L$4)*(Premissas!$D$85:$D$93="Fixo mensal")*Premissas!$E$85:$E$93)+SUMPRODUCT((Premissas!$B$85:$B$93="Outras")*((Premissas!$C$85:$C$93="Planejado")+(Premissas!$C$85:$C$93="Em estudo")*Premissas!$B$81)*(Premissas!$F$85:$F$93&lt;=L$4)*(Premissas!$G$85:$G$93&gt;=L$4)*(Premissas!$D$85:$D$93="Por usuário")*Premissas!$E$85:$E$93)*L111</f>
        <v>0</v>
      </c>
      <c r="M119" s="60" t="n">
        <f aca="false">SUMPRODUCT((Premissas!$B$85:$B$93="Outras")*((Premissas!$C$85:$C$93="Planejado")+(Premissas!$C$85:$C$93="Em estudo")*Premissas!$B$81)*(Premissas!$F$85:$F$93&lt;=M$4)*(Premissas!$G$85:$G$93&gt;=M$4)*(Premissas!$D$85:$D$93="Fixo mensal")*Premissas!$E$85:$E$93)+SUMPRODUCT((Premissas!$B$85:$B$93="Outras")*((Premissas!$C$85:$C$93="Planejado")+(Premissas!$C$85:$C$93="Em estudo")*Premissas!$B$81)*(Premissas!$F$85:$F$93&lt;=M$4)*(Premissas!$G$85:$G$93&gt;=M$4)*(Premissas!$D$85:$D$93="Por usuário")*Premissas!$E$85:$E$93)*M111</f>
        <v>0</v>
      </c>
      <c r="N119" s="60" t="n">
        <f aca="false">SUMPRODUCT((Premissas!$B$85:$B$93="Outras")*((Premissas!$C$85:$C$93="Planejado")+(Premissas!$C$85:$C$93="Em estudo")*Premissas!$B$81)*(Premissas!$F$85:$F$93&lt;=N$4)*(Premissas!$G$85:$G$93&gt;=N$4)*(Premissas!$D$85:$D$93="Fixo mensal")*Premissas!$E$85:$E$93)+SUMPRODUCT((Premissas!$B$85:$B$93="Outras")*((Premissas!$C$85:$C$93="Planejado")+(Premissas!$C$85:$C$93="Em estudo")*Premissas!$B$81)*(Premissas!$F$85:$F$93&lt;=N$4)*(Premissas!$G$85:$G$93&gt;=N$4)*(Premissas!$D$85:$D$93="Por usuário")*Premissas!$E$85:$E$93)*N111</f>
        <v>0</v>
      </c>
      <c r="O119" s="60" t="n">
        <f aca="false">SUMPRODUCT((Premissas!$B$85:$B$93="Outras")*((Premissas!$C$85:$C$93="Planejado")+(Premissas!$C$85:$C$93="Em estudo")*Premissas!$B$81)*(Premissas!$F$85:$F$93&lt;=O$4)*(Premissas!$G$85:$G$93&gt;=O$4)*(Premissas!$D$85:$D$93="Fixo mensal")*Premissas!$E$85:$E$93)+SUMPRODUCT((Premissas!$B$85:$B$93="Outras")*((Premissas!$C$85:$C$93="Planejado")+(Premissas!$C$85:$C$93="Em estudo")*Premissas!$B$81)*(Premissas!$F$85:$F$93&lt;=O$4)*(Premissas!$G$85:$G$93&gt;=O$4)*(Premissas!$D$85:$D$93="Por usuário")*Premissas!$E$85:$E$93)*O111</f>
        <v>0</v>
      </c>
      <c r="P119" s="60" t="n">
        <f aca="false">SUMPRODUCT((Premissas!$B$85:$B$93="Outras")*((Premissas!$C$85:$C$93="Planejado")+(Premissas!$C$85:$C$93="Em estudo")*Premissas!$B$81)*(Premissas!$F$85:$F$93&lt;=P$4)*(Premissas!$G$85:$G$93&gt;=P$4)*(Premissas!$D$85:$D$93="Fixo mensal")*Premissas!$E$85:$E$93)+SUMPRODUCT((Premissas!$B$85:$B$93="Outras")*((Premissas!$C$85:$C$93="Planejado")+(Premissas!$C$85:$C$93="Em estudo")*Premissas!$B$81)*(Premissas!$F$85:$F$93&lt;=P$4)*(Premissas!$G$85:$G$93&gt;=P$4)*(Premissas!$D$85:$D$93="Por usuário")*Premissas!$E$85:$E$93)*P111</f>
        <v>0</v>
      </c>
      <c r="Q119" s="60" t="n">
        <f aca="false">SUMPRODUCT((Premissas!$B$85:$B$93="Outras")*((Premissas!$C$85:$C$93="Planejado")+(Premissas!$C$85:$C$93="Em estudo")*Premissas!$B$81)*(Premissas!$F$85:$F$93&lt;=Q$4)*(Premissas!$G$85:$G$93&gt;=Q$4)*(Premissas!$D$85:$D$93="Fixo mensal")*Premissas!$E$85:$E$93)+SUMPRODUCT((Premissas!$B$85:$B$93="Outras")*((Premissas!$C$85:$C$93="Planejado")+(Premissas!$C$85:$C$93="Em estudo")*Premissas!$B$81)*(Premissas!$F$85:$F$93&lt;=Q$4)*(Premissas!$G$85:$G$93&gt;=Q$4)*(Premissas!$D$85:$D$93="Por usuário")*Premissas!$E$85:$E$93)*Q111</f>
        <v>0</v>
      </c>
      <c r="R119" s="60" t="n">
        <f aca="false">SUMPRODUCT((Premissas!$B$85:$B$93="Outras")*((Premissas!$C$85:$C$93="Planejado")+(Premissas!$C$85:$C$93="Em estudo")*Premissas!$B$81)*(Premissas!$F$85:$F$93&lt;=R$4)*(Premissas!$G$85:$G$93&gt;=R$4)*(Premissas!$D$85:$D$93="Fixo mensal")*Premissas!$E$85:$E$93)+SUMPRODUCT((Premissas!$B$85:$B$93="Outras")*((Premissas!$C$85:$C$93="Planejado")+(Premissas!$C$85:$C$93="Em estudo")*Premissas!$B$81)*(Premissas!$F$85:$F$93&lt;=R$4)*(Premissas!$G$85:$G$93&gt;=R$4)*(Premissas!$D$85:$D$93="Por usuário")*Premissas!$E$85:$E$93)*R111</f>
        <v>0</v>
      </c>
      <c r="S119" s="60" t="n">
        <f aca="false">SUMPRODUCT((Premissas!$B$85:$B$93="Outras")*((Premissas!$C$85:$C$93="Planejado")+(Premissas!$C$85:$C$93="Em estudo")*Premissas!$B$81)*(Premissas!$F$85:$F$93&lt;=S$4)*(Premissas!$G$85:$G$93&gt;=S$4)*(Premissas!$D$85:$D$93="Fixo mensal")*Premissas!$E$85:$E$93)+SUMPRODUCT((Premissas!$B$85:$B$93="Outras")*((Premissas!$C$85:$C$93="Planejado")+(Premissas!$C$85:$C$93="Em estudo")*Premissas!$B$81)*(Premissas!$F$85:$F$93&lt;=S$4)*(Premissas!$G$85:$G$93&gt;=S$4)*(Premissas!$D$85:$D$93="Por usuário")*Premissas!$E$85:$E$93)*S111</f>
        <v>0</v>
      </c>
      <c r="T119" s="60" t="n">
        <f aca="false">SUMPRODUCT((Premissas!$B$85:$B$93="Outras")*((Premissas!$C$85:$C$93="Planejado")+(Premissas!$C$85:$C$93="Em estudo")*Premissas!$B$81)*(Premissas!$F$85:$F$93&lt;=T$4)*(Premissas!$G$85:$G$93&gt;=T$4)*(Premissas!$D$85:$D$93="Fixo mensal")*Premissas!$E$85:$E$93)+SUMPRODUCT((Premissas!$B$85:$B$93="Outras")*((Premissas!$C$85:$C$93="Planejado")+(Premissas!$C$85:$C$93="Em estudo")*Premissas!$B$81)*(Premissas!$F$85:$F$93&lt;=T$4)*(Premissas!$G$85:$G$93&gt;=T$4)*(Premissas!$D$85:$D$93="Por usuário")*Premissas!$E$85:$E$93)*T111</f>
        <v>0</v>
      </c>
      <c r="U119" s="60" t="n">
        <f aca="false">SUMPRODUCT((Premissas!$B$85:$B$93="Outras")*((Premissas!$C$85:$C$93="Planejado")+(Premissas!$C$85:$C$93="Em estudo")*Premissas!$B$81)*(Premissas!$F$85:$F$93&lt;=U$4)*(Premissas!$G$85:$G$93&gt;=U$4)*(Premissas!$D$85:$D$93="Fixo mensal")*Premissas!$E$85:$E$93)+SUMPRODUCT((Premissas!$B$85:$B$93="Outras")*((Premissas!$C$85:$C$93="Planejado")+(Premissas!$C$85:$C$93="Em estudo")*Premissas!$B$81)*(Premissas!$F$85:$F$93&lt;=U$4)*(Premissas!$G$85:$G$93&gt;=U$4)*(Premissas!$D$85:$D$93="Por usuário")*Premissas!$E$85:$E$93)*U111</f>
        <v>0</v>
      </c>
      <c r="V119" s="60" t="n">
        <f aca="false">SUMPRODUCT((Premissas!$B$85:$B$93="Outras")*((Premissas!$C$85:$C$93="Planejado")+(Premissas!$C$85:$C$93="Em estudo")*Premissas!$B$81)*(Premissas!$F$85:$F$93&lt;=V$4)*(Premissas!$G$85:$G$93&gt;=V$4)*(Premissas!$D$85:$D$93="Fixo mensal")*Premissas!$E$85:$E$93)+SUMPRODUCT((Premissas!$B$85:$B$93="Outras")*((Premissas!$C$85:$C$93="Planejado")+(Premissas!$C$85:$C$93="Em estudo")*Premissas!$B$81)*(Premissas!$F$85:$F$93&lt;=V$4)*(Premissas!$G$85:$G$93&gt;=V$4)*(Premissas!$D$85:$D$93="Por usuário")*Premissas!$E$85:$E$93)*V111</f>
        <v>0</v>
      </c>
      <c r="W119" s="60" t="n">
        <f aca="false">SUMPRODUCT((Premissas!$B$85:$B$93="Outras")*((Premissas!$C$85:$C$93="Planejado")+(Premissas!$C$85:$C$93="Em estudo")*Premissas!$B$81)*(Premissas!$F$85:$F$93&lt;=W$4)*(Premissas!$G$85:$G$93&gt;=W$4)*(Premissas!$D$85:$D$93="Fixo mensal")*Premissas!$E$85:$E$93)+SUMPRODUCT((Premissas!$B$85:$B$93="Outras")*((Premissas!$C$85:$C$93="Planejado")+(Premissas!$C$85:$C$93="Em estudo")*Premissas!$B$81)*(Premissas!$F$85:$F$93&lt;=W$4)*(Premissas!$G$85:$G$93&gt;=W$4)*(Premissas!$D$85:$D$93="Por usuário")*Premissas!$E$85:$E$93)*W111</f>
        <v>0</v>
      </c>
      <c r="X119" s="60" t="n">
        <f aca="false">SUMPRODUCT((Premissas!$B$85:$B$93="Outras")*((Premissas!$C$85:$C$93="Planejado")+(Premissas!$C$85:$C$93="Em estudo")*Premissas!$B$81)*(Premissas!$F$85:$F$93&lt;=X$4)*(Premissas!$G$85:$G$93&gt;=X$4)*(Premissas!$D$85:$D$93="Fixo mensal")*Premissas!$E$85:$E$93)+SUMPRODUCT((Premissas!$B$85:$B$93="Outras")*((Premissas!$C$85:$C$93="Planejado")+(Premissas!$C$85:$C$93="Em estudo")*Premissas!$B$81)*(Premissas!$F$85:$F$93&lt;=X$4)*(Premissas!$G$85:$G$93&gt;=X$4)*(Premissas!$D$85:$D$93="Por usuário")*Premissas!$E$85:$E$93)*X111</f>
        <v>0</v>
      </c>
      <c r="Y119" s="60" t="n">
        <f aca="false">SUMPRODUCT((Premissas!$B$85:$B$93="Outras")*((Premissas!$C$85:$C$93="Planejado")+(Premissas!$C$85:$C$93="Em estudo")*Premissas!$B$81)*(Premissas!$F$85:$F$93&lt;=Y$4)*(Premissas!$G$85:$G$93&gt;=Y$4)*(Premissas!$D$85:$D$93="Fixo mensal")*Premissas!$E$85:$E$93)+SUMPRODUCT((Premissas!$B$85:$B$93="Outras")*((Premissas!$C$85:$C$93="Planejado")+(Premissas!$C$85:$C$93="Em estudo")*Premissas!$B$81)*(Premissas!$F$85:$F$93&lt;=Y$4)*(Premissas!$G$85:$G$93&gt;=Y$4)*(Premissas!$D$85:$D$93="Por usuário")*Premissas!$E$85:$E$93)*Y111</f>
        <v>0</v>
      </c>
      <c r="Z119" s="60" t="n">
        <f aca="false">SUMPRODUCT((Premissas!$B$85:$B$93="Outras")*((Premissas!$C$85:$C$93="Planejado")+(Premissas!$C$85:$C$93="Em estudo")*Premissas!$B$81)*(Premissas!$F$85:$F$93&lt;=Z$4)*(Premissas!$G$85:$G$93&gt;=Z$4)*(Premissas!$D$85:$D$93="Fixo mensal")*Premissas!$E$85:$E$93)+SUMPRODUCT((Premissas!$B$85:$B$93="Outras")*((Premissas!$C$85:$C$93="Planejado")+(Premissas!$C$85:$C$93="Em estudo")*Premissas!$B$81)*(Premissas!$F$85:$F$93&lt;=Z$4)*(Premissas!$G$85:$G$93&gt;=Z$4)*(Premissas!$D$85:$D$93="Por usuário")*Premissas!$E$85:$E$93)*Z111</f>
        <v>0</v>
      </c>
      <c r="AA119" s="60" t="n">
        <f aca="false">SUMPRODUCT((Premissas!$B$85:$B$93="Outras")*((Premissas!$C$85:$C$93="Planejado")+(Premissas!$C$85:$C$93="Em estudo")*Premissas!$B$81)*(Premissas!$F$85:$F$93&lt;=AA$4)*(Premissas!$G$85:$G$93&gt;=AA$4)*(Premissas!$D$85:$D$93="Fixo mensal")*Premissas!$E$85:$E$93)+SUMPRODUCT((Premissas!$B$85:$B$93="Outras")*((Premissas!$C$85:$C$93="Planejado")+(Premissas!$C$85:$C$93="Em estudo")*Premissas!$B$81)*(Premissas!$F$85:$F$93&lt;=AA$4)*(Premissas!$G$85:$G$93&gt;=AA$4)*(Premissas!$D$85:$D$93="Por usuário")*Premissas!$E$85:$E$93)*AA111</f>
        <v>0</v>
      </c>
      <c r="AB119" s="60" t="n">
        <f aca="false">SUMPRODUCT((Premissas!$B$85:$B$93="Outras")*((Premissas!$C$85:$C$93="Planejado")+(Premissas!$C$85:$C$93="Em estudo")*Premissas!$B$81)*(Premissas!$F$85:$F$93&lt;=AB$4)*(Premissas!$G$85:$G$93&gt;=AB$4)*(Premissas!$D$85:$D$93="Fixo mensal")*Premissas!$E$85:$E$93)+SUMPRODUCT((Premissas!$B$85:$B$93="Outras")*((Premissas!$C$85:$C$93="Planejado")+(Premissas!$C$85:$C$93="Em estudo")*Premissas!$B$81)*(Premissas!$F$85:$F$93&lt;=AB$4)*(Premissas!$G$85:$G$93&gt;=AB$4)*(Premissas!$D$85:$D$93="Por usuário")*Premissas!$E$85:$E$93)*AB111</f>
        <v>0</v>
      </c>
      <c r="AC119" s="60" t="n">
        <f aca="false">SUMPRODUCT((Premissas!$B$85:$B$93="Outras")*((Premissas!$C$85:$C$93="Planejado")+(Premissas!$C$85:$C$93="Em estudo")*Premissas!$B$81)*(Premissas!$F$85:$F$93&lt;=AC$4)*(Premissas!$G$85:$G$93&gt;=AC$4)*(Premissas!$D$85:$D$93="Fixo mensal")*Premissas!$E$85:$E$93)+SUMPRODUCT((Premissas!$B$85:$B$93="Outras")*((Premissas!$C$85:$C$93="Planejado")+(Premissas!$C$85:$C$93="Em estudo")*Premissas!$B$81)*(Premissas!$F$85:$F$93&lt;=AC$4)*(Premissas!$G$85:$G$93&gt;=AC$4)*(Premissas!$D$85:$D$93="Por usuário")*Premissas!$E$85:$E$93)*AC111</f>
        <v>0</v>
      </c>
      <c r="AD119" s="60" t="n">
        <f aca="false">SUMPRODUCT((Premissas!$B$85:$B$93="Outras")*((Premissas!$C$85:$C$93="Planejado")+(Premissas!$C$85:$C$93="Em estudo")*Premissas!$B$81)*(Premissas!$F$85:$F$93&lt;=AD$4)*(Premissas!$G$85:$G$93&gt;=AD$4)*(Premissas!$D$85:$D$93="Fixo mensal")*Premissas!$E$85:$E$93)+SUMPRODUCT((Premissas!$B$85:$B$93="Outras")*((Premissas!$C$85:$C$93="Planejado")+(Premissas!$C$85:$C$93="Em estudo")*Premissas!$B$81)*(Premissas!$F$85:$F$93&lt;=AD$4)*(Premissas!$G$85:$G$93&gt;=AD$4)*(Premissas!$D$85:$D$93="Por usuário")*Premissas!$E$85:$E$93)*AD111</f>
        <v>0</v>
      </c>
      <c r="AE119" s="60" t="n">
        <f aca="false">SUMPRODUCT((Premissas!$B$85:$B$93="Outras")*((Premissas!$C$85:$C$93="Planejado")+(Premissas!$C$85:$C$93="Em estudo")*Premissas!$B$81)*(Premissas!$F$85:$F$93&lt;=AE$4)*(Premissas!$G$85:$G$93&gt;=AE$4)*(Premissas!$D$85:$D$93="Fixo mensal")*Premissas!$E$85:$E$93)+SUMPRODUCT((Premissas!$B$85:$B$93="Outras")*((Premissas!$C$85:$C$93="Planejado")+(Premissas!$C$85:$C$93="Em estudo")*Premissas!$B$81)*(Premissas!$F$85:$F$93&lt;=AE$4)*(Premissas!$G$85:$G$93&gt;=AE$4)*(Premissas!$D$85:$D$93="Por usuário")*Premissas!$E$85:$E$93)*AE111</f>
        <v>0</v>
      </c>
      <c r="AF119" s="60" t="n">
        <f aca="false">SUMPRODUCT((Premissas!$B$85:$B$93="Outras")*((Premissas!$C$85:$C$93="Planejado")+(Premissas!$C$85:$C$93="Em estudo")*Premissas!$B$81)*(Premissas!$F$85:$F$93&lt;=AF$4)*(Premissas!$G$85:$G$93&gt;=AF$4)*(Premissas!$D$85:$D$93="Fixo mensal")*Premissas!$E$85:$E$93)+SUMPRODUCT((Premissas!$B$85:$B$93="Outras")*((Premissas!$C$85:$C$93="Planejado")+(Premissas!$C$85:$C$93="Em estudo")*Premissas!$B$81)*(Premissas!$F$85:$F$93&lt;=AF$4)*(Premissas!$G$85:$G$93&gt;=AF$4)*(Premissas!$D$85:$D$93="Por usuário")*Premissas!$E$85:$E$93)*AF111</f>
        <v>0</v>
      </c>
      <c r="AG119" s="60" t="n">
        <f aca="false">SUMPRODUCT((Premissas!$B$85:$B$93="Outras")*((Premissas!$C$85:$C$93="Planejado")+(Premissas!$C$85:$C$93="Em estudo")*Premissas!$B$81)*(Premissas!$F$85:$F$93&lt;=AG$4)*(Premissas!$G$85:$G$93&gt;=AG$4)*(Premissas!$D$85:$D$93="Fixo mensal")*Premissas!$E$85:$E$93)+SUMPRODUCT((Premissas!$B$85:$B$93="Outras")*((Premissas!$C$85:$C$93="Planejado")+(Premissas!$C$85:$C$93="Em estudo")*Premissas!$B$81)*(Premissas!$F$85:$F$93&lt;=AG$4)*(Premissas!$G$85:$G$93&gt;=AG$4)*(Premissas!$D$85:$D$93="Por usuário")*Premissas!$E$85:$E$93)*AG111</f>
        <v>0</v>
      </c>
      <c r="AH119" s="60" t="n">
        <f aca="false">SUMPRODUCT((Premissas!$B$85:$B$93="Outras")*((Premissas!$C$85:$C$93="Planejado")+(Premissas!$C$85:$C$93="Em estudo")*Premissas!$B$81)*(Premissas!$F$85:$F$93&lt;=AH$4)*(Premissas!$G$85:$G$93&gt;=AH$4)*(Premissas!$D$85:$D$93="Fixo mensal")*Premissas!$E$85:$E$93)+SUMPRODUCT((Premissas!$B$85:$B$93="Outras")*((Premissas!$C$85:$C$93="Planejado")+(Premissas!$C$85:$C$93="Em estudo")*Premissas!$B$81)*(Premissas!$F$85:$F$93&lt;=AH$4)*(Premissas!$G$85:$G$93&gt;=AH$4)*(Premissas!$D$85:$D$93="Por usuário")*Premissas!$E$85:$E$93)*AH111</f>
        <v>0</v>
      </c>
      <c r="AI119" s="60" t="n">
        <f aca="false">SUMPRODUCT((Premissas!$B$85:$B$93="Outras")*((Premissas!$C$85:$C$93="Planejado")+(Premissas!$C$85:$C$93="Em estudo")*Premissas!$B$81)*(Premissas!$F$85:$F$93&lt;=AI$4)*(Premissas!$G$85:$G$93&gt;=AI$4)*(Premissas!$D$85:$D$93="Fixo mensal")*Premissas!$E$85:$E$93)+SUMPRODUCT((Premissas!$B$85:$B$93="Outras")*((Premissas!$C$85:$C$93="Planejado")+(Premissas!$C$85:$C$93="Em estudo")*Premissas!$B$81)*(Premissas!$F$85:$F$93&lt;=AI$4)*(Premissas!$G$85:$G$93&gt;=AI$4)*(Premissas!$D$85:$D$93="Por usuário")*Premissas!$E$85:$E$93)*AI111</f>
        <v>0</v>
      </c>
      <c r="AJ119" s="60" t="n">
        <f aca="false">SUMPRODUCT((Premissas!$B$85:$B$93="Outras")*((Premissas!$C$85:$C$93="Planejado")+(Premissas!$C$85:$C$93="Em estudo")*Premissas!$B$81)*(Premissas!$F$85:$F$93&lt;=AJ$4)*(Premissas!$G$85:$G$93&gt;=AJ$4)*(Premissas!$D$85:$D$93="Fixo mensal")*Premissas!$E$85:$E$93)+SUMPRODUCT((Premissas!$B$85:$B$93="Outras")*((Premissas!$C$85:$C$93="Planejado")+(Premissas!$C$85:$C$93="Em estudo")*Premissas!$B$81)*(Premissas!$F$85:$F$93&lt;=AJ$4)*(Premissas!$G$85:$G$93&gt;=AJ$4)*(Premissas!$D$85:$D$93="Por usuário")*Premissas!$E$85:$E$93)*AJ111</f>
        <v>0</v>
      </c>
      <c r="AK119" s="60" t="n">
        <f aca="false">SUMPRODUCT((Premissas!$B$85:$B$93="Outras")*((Premissas!$C$85:$C$93="Planejado")+(Premissas!$C$85:$C$93="Em estudo")*Premissas!$B$81)*(Premissas!$F$85:$F$93&lt;=AK$4)*(Premissas!$G$85:$G$93&gt;=AK$4)*(Premissas!$D$85:$D$93="Fixo mensal")*Premissas!$E$85:$E$93)+SUMPRODUCT((Premissas!$B$85:$B$93="Outras")*((Premissas!$C$85:$C$93="Planejado")+(Premissas!$C$85:$C$93="Em estudo")*Premissas!$B$81)*(Premissas!$F$85:$F$93&lt;=AK$4)*(Premissas!$G$85:$G$93&gt;=AK$4)*(Premissas!$D$85:$D$93="Por usuário")*Premissas!$E$85:$E$93)*AK111</f>
        <v>0</v>
      </c>
      <c r="AL119" s="60" t="n">
        <f aca="false">SUMPRODUCT((Premissas!$B$85:$B$93="Outras")*((Premissas!$C$85:$C$93="Planejado")+(Premissas!$C$85:$C$93="Em estudo")*Premissas!$B$81)*(Premissas!$F$85:$F$93&lt;=AL$4)*(Premissas!$G$85:$G$93&gt;=AL$4)*(Premissas!$D$85:$D$93="Fixo mensal")*Premissas!$E$85:$E$93)+SUMPRODUCT((Premissas!$B$85:$B$93="Outras")*((Premissas!$C$85:$C$93="Planejado")+(Premissas!$C$85:$C$93="Em estudo")*Premissas!$B$81)*(Premissas!$F$85:$F$93&lt;=AL$4)*(Premissas!$G$85:$G$93&gt;=AL$4)*(Premissas!$D$85:$D$93="Por usuário")*Premissas!$E$85:$E$93)*AL111</f>
        <v>0</v>
      </c>
      <c r="AM119" s="60" t="n">
        <f aca="false">SUMPRODUCT((Premissas!$B$85:$B$93="Outras")*((Premissas!$C$85:$C$93="Planejado")+(Premissas!$C$85:$C$93="Em estudo")*Premissas!$B$81)*(Premissas!$F$85:$F$93&lt;=AM$4)*(Premissas!$G$85:$G$93&gt;=AM$4)*(Premissas!$D$85:$D$93="Fixo mensal")*Premissas!$E$85:$E$93)+SUMPRODUCT((Premissas!$B$85:$B$93="Outras")*((Premissas!$C$85:$C$93="Planejado")+(Premissas!$C$85:$C$93="Em estudo")*Premissas!$B$81)*(Premissas!$F$85:$F$93&lt;=AM$4)*(Premissas!$G$85:$G$93&gt;=AM$4)*(Premissas!$D$85:$D$93="Por usuário")*Premissas!$E$85:$E$93)*AM111</f>
        <v>0</v>
      </c>
      <c r="AN119" s="60" t="n">
        <f aca="false">SUMPRODUCT((Premissas!$B$85:$B$93="Outras")*((Premissas!$C$85:$C$93="Planejado")+(Premissas!$C$85:$C$93="Em estudo")*Premissas!$B$81)*(Premissas!$F$85:$F$93&lt;=AN$4)*(Premissas!$G$85:$G$93&gt;=AN$4)*(Premissas!$D$85:$D$93="Fixo mensal")*Premissas!$E$85:$E$93)+SUMPRODUCT((Premissas!$B$85:$B$93="Outras")*((Premissas!$C$85:$C$93="Planejado")+(Premissas!$C$85:$C$93="Em estudo")*Premissas!$B$81)*(Premissas!$F$85:$F$93&lt;=AN$4)*(Premissas!$G$85:$G$93&gt;=AN$4)*(Premissas!$D$85:$D$93="Por usuário")*Premissas!$E$85:$E$93)*AN111</f>
        <v>0</v>
      </c>
      <c r="AO119" s="60" t="n">
        <f aca="false">SUMPRODUCT((Premissas!$B$85:$B$93="Outras")*((Premissas!$C$85:$C$93="Planejado")+(Premissas!$C$85:$C$93="Em estudo")*Premissas!$B$81)*(Premissas!$F$85:$F$93&lt;=AO$4)*(Premissas!$G$85:$G$93&gt;=AO$4)*(Premissas!$D$85:$D$93="Fixo mensal")*Premissas!$E$85:$E$93)+SUMPRODUCT((Premissas!$B$85:$B$93="Outras")*((Premissas!$C$85:$C$93="Planejado")+(Premissas!$C$85:$C$93="Em estudo")*Premissas!$B$81)*(Premissas!$F$85:$F$93&lt;=AO$4)*(Premissas!$G$85:$G$93&gt;=AO$4)*(Premissas!$D$85:$D$93="Por usuário")*Premissas!$E$85:$E$93)*AO111</f>
        <v>0</v>
      </c>
      <c r="AP119" s="60" t="n">
        <f aca="false">SUMPRODUCT((Premissas!$B$85:$B$93="Outras")*((Premissas!$C$85:$C$93="Planejado")+(Premissas!$C$85:$C$93="Em estudo")*Premissas!$B$81)*(Premissas!$F$85:$F$93&lt;=AP$4)*(Premissas!$G$85:$G$93&gt;=AP$4)*(Premissas!$D$85:$D$93="Fixo mensal")*Premissas!$E$85:$E$93)+SUMPRODUCT((Premissas!$B$85:$B$93="Outras")*((Premissas!$C$85:$C$93="Planejado")+(Premissas!$C$85:$C$93="Em estudo")*Premissas!$B$81)*(Premissas!$F$85:$F$93&lt;=AP$4)*(Premissas!$G$85:$G$93&gt;=AP$4)*(Premissas!$D$85:$D$93="Por usuário")*Premissas!$E$85:$E$93)*AP111</f>
        <v>0</v>
      </c>
      <c r="AQ119" s="60" t="n">
        <f aca="false">SUMPRODUCT((Premissas!$B$85:$B$93="Outras")*((Premissas!$C$85:$C$93="Planejado")+(Premissas!$C$85:$C$93="Em estudo")*Premissas!$B$81)*(Premissas!$F$85:$F$93&lt;=AQ$4)*(Premissas!$G$85:$G$93&gt;=AQ$4)*(Premissas!$D$85:$D$93="Fixo mensal")*Premissas!$E$85:$E$93)+SUMPRODUCT((Premissas!$B$85:$B$93="Outras")*((Premissas!$C$85:$C$93="Planejado")+(Premissas!$C$85:$C$93="Em estudo")*Premissas!$B$81)*(Premissas!$F$85:$F$93&lt;=AQ$4)*(Premissas!$G$85:$G$93&gt;=AQ$4)*(Premissas!$D$85:$D$93="Por usuário")*Premissas!$E$85:$E$93)*AQ111</f>
        <v>0</v>
      </c>
      <c r="AR119" s="60" t="n">
        <f aca="false">SUMPRODUCT((Premissas!$B$85:$B$93="Outras")*((Premissas!$C$85:$C$93="Planejado")+(Premissas!$C$85:$C$93="Em estudo")*Premissas!$B$81)*(Premissas!$F$85:$F$93&lt;=AR$4)*(Premissas!$G$85:$G$93&gt;=AR$4)*(Premissas!$D$85:$D$93="Fixo mensal")*Premissas!$E$85:$E$93)+SUMPRODUCT((Premissas!$B$85:$B$93="Outras")*((Premissas!$C$85:$C$93="Planejado")+(Premissas!$C$85:$C$93="Em estudo")*Premissas!$B$81)*(Premissas!$F$85:$F$93&lt;=AR$4)*(Premissas!$G$85:$G$93&gt;=AR$4)*(Premissas!$D$85:$D$93="Por usuário")*Premissas!$E$85:$E$93)*AR111</f>
        <v>0</v>
      </c>
      <c r="AS119" s="60" t="n">
        <f aca="false">SUMPRODUCT((Premissas!$B$85:$B$93="Outras")*((Premissas!$C$85:$C$93="Planejado")+(Premissas!$C$85:$C$93="Em estudo")*Premissas!$B$81)*(Premissas!$F$85:$F$93&lt;=AS$4)*(Premissas!$G$85:$G$93&gt;=AS$4)*(Premissas!$D$85:$D$93="Fixo mensal")*Premissas!$E$85:$E$93)+SUMPRODUCT((Premissas!$B$85:$B$93="Outras")*((Premissas!$C$85:$C$93="Planejado")+(Premissas!$C$85:$C$93="Em estudo")*Premissas!$B$81)*(Premissas!$F$85:$F$93&lt;=AS$4)*(Premissas!$G$85:$G$93&gt;=AS$4)*(Premissas!$D$85:$D$93="Por usuário")*Premissas!$E$85:$E$93)*AS111</f>
        <v>0</v>
      </c>
      <c r="AT119" s="60" t="n">
        <f aca="false">SUMPRODUCT((Premissas!$B$85:$B$93="Outras")*((Premissas!$C$85:$C$93="Planejado")+(Premissas!$C$85:$C$93="Em estudo")*Premissas!$B$81)*(Premissas!$F$85:$F$93&lt;=AT$4)*(Premissas!$G$85:$G$93&gt;=AT$4)*(Premissas!$D$85:$D$93="Fixo mensal")*Premissas!$E$85:$E$93)+SUMPRODUCT((Premissas!$B$85:$B$93="Outras")*((Premissas!$C$85:$C$93="Planejado")+(Premissas!$C$85:$C$93="Em estudo")*Premissas!$B$81)*(Premissas!$F$85:$F$93&lt;=AT$4)*(Premissas!$G$85:$G$93&gt;=AT$4)*(Premissas!$D$85:$D$93="Por usuário")*Premissas!$E$85:$E$93)*AT111</f>
        <v>0</v>
      </c>
      <c r="AU119" s="60" t="n">
        <f aca="false">SUMPRODUCT((Premissas!$B$85:$B$93="Outras")*((Premissas!$C$85:$C$93="Planejado")+(Premissas!$C$85:$C$93="Em estudo")*Premissas!$B$81)*(Premissas!$F$85:$F$93&lt;=AU$4)*(Premissas!$G$85:$G$93&gt;=AU$4)*(Premissas!$D$85:$D$93="Fixo mensal")*Premissas!$E$85:$E$93)+SUMPRODUCT((Premissas!$B$85:$B$93="Outras")*((Premissas!$C$85:$C$93="Planejado")+(Premissas!$C$85:$C$93="Em estudo")*Premissas!$B$81)*(Premissas!$F$85:$F$93&lt;=AU$4)*(Premissas!$G$85:$G$93&gt;=AU$4)*(Premissas!$D$85:$D$93="Por usuário")*Premissas!$E$85:$E$93)*AU111</f>
        <v>0</v>
      </c>
      <c r="AV119" s="60" t="n">
        <f aca="false">SUMPRODUCT((Premissas!$B$85:$B$93="Outras")*((Premissas!$C$85:$C$93="Planejado")+(Premissas!$C$85:$C$93="Em estudo")*Premissas!$B$81)*(Premissas!$F$85:$F$93&lt;=AV$4)*(Premissas!$G$85:$G$93&gt;=AV$4)*(Premissas!$D$85:$D$93="Fixo mensal")*Premissas!$E$85:$E$93)+SUMPRODUCT((Premissas!$B$85:$B$93="Outras")*((Premissas!$C$85:$C$93="Planejado")+(Premissas!$C$85:$C$93="Em estudo")*Premissas!$B$81)*(Premissas!$F$85:$F$93&lt;=AV$4)*(Premissas!$G$85:$G$93&gt;=AV$4)*(Premissas!$D$85:$D$93="Por usuário")*Premissas!$E$85:$E$93)*AV111</f>
        <v>0</v>
      </c>
      <c r="AW119" s="60" t="n">
        <f aca="false">SUMPRODUCT((Premissas!$B$85:$B$93="Outras")*((Premissas!$C$85:$C$93="Planejado")+(Premissas!$C$85:$C$93="Em estudo")*Premissas!$B$81)*(Premissas!$F$85:$F$93&lt;=AW$4)*(Premissas!$G$85:$G$93&gt;=AW$4)*(Premissas!$D$85:$D$93="Fixo mensal")*Premissas!$E$85:$E$93)+SUMPRODUCT((Premissas!$B$85:$B$93="Outras")*((Premissas!$C$85:$C$93="Planejado")+(Premissas!$C$85:$C$93="Em estudo")*Premissas!$B$81)*(Premissas!$F$85:$F$93&lt;=AW$4)*(Premissas!$G$85:$G$93&gt;=AW$4)*(Premissas!$D$85:$D$93="Por usuário")*Premissas!$E$85:$E$93)*AW111</f>
        <v>0</v>
      </c>
      <c r="AX119" s="60" t="n">
        <f aca="false">SUMPRODUCT((Premissas!$B$85:$B$93="Outras")*((Premissas!$C$85:$C$93="Planejado")+(Premissas!$C$85:$C$93="Em estudo")*Premissas!$B$81)*(Premissas!$F$85:$F$93&lt;=AX$4)*(Premissas!$G$85:$G$93&gt;=AX$4)*(Premissas!$D$85:$D$93="Fixo mensal")*Premissas!$E$85:$E$93)+SUMPRODUCT((Premissas!$B$85:$B$93="Outras")*((Premissas!$C$85:$C$93="Planejado")+(Premissas!$C$85:$C$93="Em estudo")*Premissas!$B$81)*(Premissas!$F$85:$F$93&lt;=AX$4)*(Premissas!$G$85:$G$93&gt;=AX$4)*(Premissas!$D$85:$D$93="Por usuário")*Premissas!$E$85:$E$93)*AX111</f>
        <v>0</v>
      </c>
      <c r="AY119" s="60" t="n">
        <f aca="false">SUMPRODUCT((Premissas!$B$85:$B$93="Outras")*((Premissas!$C$85:$C$93="Planejado")+(Premissas!$C$85:$C$93="Em estudo")*Premissas!$B$81)*(Premissas!$F$85:$F$93&lt;=AY$4)*(Premissas!$G$85:$G$93&gt;=AY$4)*(Premissas!$D$85:$D$93="Fixo mensal")*Premissas!$E$85:$E$93)+SUMPRODUCT((Premissas!$B$85:$B$93="Outras")*((Premissas!$C$85:$C$93="Planejado")+(Premissas!$C$85:$C$93="Em estudo")*Premissas!$B$81)*(Premissas!$F$85:$F$93&lt;=AY$4)*(Premissas!$G$85:$G$93&gt;=AY$4)*(Premissas!$D$85:$D$93="Por usuário")*Premissas!$E$85:$E$93)*AY111</f>
        <v>0</v>
      </c>
      <c r="AZ119" s="60" t="n">
        <f aca="false">SUMPRODUCT((Premissas!$B$85:$B$93="Outras")*((Premissas!$C$85:$C$93="Planejado")+(Premissas!$C$85:$C$93="Em estudo")*Premissas!$B$81)*(Premissas!$F$85:$F$93&lt;=AZ$4)*(Premissas!$G$85:$G$93&gt;=AZ$4)*(Premissas!$D$85:$D$93="Fixo mensal")*Premissas!$E$85:$E$93)+SUMPRODUCT((Premissas!$B$85:$B$93="Outras")*((Premissas!$C$85:$C$93="Planejado")+(Premissas!$C$85:$C$93="Em estudo")*Premissas!$B$81)*(Premissas!$F$85:$F$93&lt;=AZ$4)*(Premissas!$G$85:$G$93&gt;=AZ$4)*(Premissas!$D$85:$D$93="Por usuário")*Premissas!$E$85:$E$93)*AZ111</f>
        <v>0</v>
      </c>
      <c r="BA119" s="60" t="n">
        <f aca="false">SUMPRODUCT((Premissas!$B$85:$B$93="Outras")*((Premissas!$C$85:$C$93="Planejado")+(Premissas!$C$85:$C$93="Em estudo")*Premissas!$B$81)*(Premissas!$F$85:$F$93&lt;=BA$4)*(Premissas!$G$85:$G$93&gt;=BA$4)*(Premissas!$D$85:$D$93="Fixo mensal")*Premissas!$E$85:$E$93)+SUMPRODUCT((Premissas!$B$85:$B$93="Outras")*((Premissas!$C$85:$C$93="Planejado")+(Premissas!$C$85:$C$93="Em estudo")*Premissas!$B$81)*(Premissas!$F$85:$F$93&lt;=BA$4)*(Premissas!$G$85:$G$93&gt;=BA$4)*(Premissas!$D$85:$D$93="Por usuário")*Premissas!$E$85:$E$93)*BA111</f>
        <v>0</v>
      </c>
      <c r="BB119" s="60" t="n">
        <f aca="false">SUMPRODUCT((Premissas!$B$85:$B$93="Outras")*((Premissas!$C$85:$C$93="Planejado")+(Premissas!$C$85:$C$93="Em estudo")*Premissas!$B$81)*(Premissas!$F$85:$F$93&lt;=BB$4)*(Premissas!$G$85:$G$93&gt;=BB$4)*(Premissas!$D$85:$D$93="Fixo mensal")*Premissas!$E$85:$E$93)+SUMPRODUCT((Premissas!$B$85:$B$93="Outras")*((Premissas!$C$85:$C$93="Planejado")+(Premissas!$C$85:$C$93="Em estudo")*Premissas!$B$81)*(Premissas!$F$85:$F$93&lt;=BB$4)*(Premissas!$G$85:$G$93&gt;=BB$4)*(Premissas!$D$85:$D$93="Por usuário")*Premissas!$E$85:$E$93)*BB111</f>
        <v>0</v>
      </c>
      <c r="BC119" s="60" t="n">
        <f aca="false">SUMPRODUCT((Premissas!$B$85:$B$93="Outras")*((Premissas!$C$85:$C$93="Planejado")+(Premissas!$C$85:$C$93="Em estudo")*Premissas!$B$81)*(Premissas!$F$85:$F$93&lt;=BC$4)*(Premissas!$G$85:$G$93&gt;=BC$4)*(Premissas!$D$85:$D$93="Fixo mensal")*Premissas!$E$85:$E$93)+SUMPRODUCT((Premissas!$B$85:$B$93="Outras")*((Premissas!$C$85:$C$93="Planejado")+(Premissas!$C$85:$C$93="Em estudo")*Premissas!$B$81)*(Premissas!$F$85:$F$93&lt;=BC$4)*(Premissas!$G$85:$G$93&gt;=BC$4)*(Premissas!$D$85:$D$93="Por usuário")*Premissas!$E$85:$E$93)*BC111</f>
        <v>0</v>
      </c>
      <c r="BD119" s="60" t="n">
        <f aca="false">SUMPRODUCT((Premissas!$B$85:$B$93="Outras")*((Premissas!$C$85:$C$93="Planejado")+(Premissas!$C$85:$C$93="Em estudo")*Premissas!$B$81)*(Premissas!$F$85:$F$93&lt;=BD$4)*(Premissas!$G$85:$G$93&gt;=BD$4)*(Premissas!$D$85:$D$93="Fixo mensal")*Premissas!$E$85:$E$93)+SUMPRODUCT((Premissas!$B$85:$B$93="Outras")*((Premissas!$C$85:$C$93="Planejado")+(Premissas!$C$85:$C$93="Em estudo")*Premissas!$B$81)*(Premissas!$F$85:$F$93&lt;=BD$4)*(Premissas!$G$85:$G$93&gt;=BD$4)*(Premissas!$D$85:$D$93="Por usuário")*Premissas!$E$85:$E$93)*BD111</f>
        <v>0</v>
      </c>
      <c r="BE119" s="60" t="n">
        <f aca="false">SUMPRODUCT((Premissas!$B$85:$B$93="Outras")*((Premissas!$C$85:$C$93="Planejado")+(Premissas!$C$85:$C$93="Em estudo")*Premissas!$B$81)*(Premissas!$F$85:$F$93&lt;=BE$4)*(Premissas!$G$85:$G$93&gt;=BE$4)*(Premissas!$D$85:$D$93="Fixo mensal")*Premissas!$E$85:$E$93)+SUMPRODUCT((Premissas!$B$85:$B$93="Outras")*((Premissas!$C$85:$C$93="Planejado")+(Premissas!$C$85:$C$93="Em estudo")*Premissas!$B$81)*(Premissas!$F$85:$F$93&lt;=BE$4)*(Premissas!$G$85:$G$93&gt;=BE$4)*(Premissas!$D$85:$D$93="Por usuário")*Premissas!$E$85:$E$93)*BE111</f>
        <v>0</v>
      </c>
      <c r="BF119" s="60" t="n">
        <f aca="false">SUMPRODUCT((Premissas!$B$85:$B$93="Outras")*((Premissas!$C$85:$C$93="Planejado")+(Premissas!$C$85:$C$93="Em estudo")*Premissas!$B$81)*(Premissas!$F$85:$F$93&lt;=BF$4)*(Premissas!$G$85:$G$93&gt;=BF$4)*(Premissas!$D$85:$D$93="Fixo mensal")*Premissas!$E$85:$E$93)+SUMPRODUCT((Premissas!$B$85:$B$93="Outras")*((Premissas!$C$85:$C$93="Planejado")+(Premissas!$C$85:$C$93="Em estudo")*Premissas!$B$81)*(Premissas!$F$85:$F$93&lt;=BF$4)*(Premissas!$G$85:$G$93&gt;=BF$4)*(Premissas!$D$85:$D$93="Por usuário")*Premissas!$E$85:$E$93)*BF111</f>
        <v>0</v>
      </c>
      <c r="BG119" s="60" t="n">
        <f aca="false">SUMPRODUCT((Premissas!$B$85:$B$93="Outras")*((Premissas!$C$85:$C$93="Planejado")+(Premissas!$C$85:$C$93="Em estudo")*Premissas!$B$81)*(Premissas!$F$85:$F$93&lt;=BG$4)*(Premissas!$G$85:$G$93&gt;=BG$4)*(Premissas!$D$85:$D$93="Fixo mensal")*Premissas!$E$85:$E$93)+SUMPRODUCT((Premissas!$B$85:$B$93="Outras")*((Premissas!$C$85:$C$93="Planejado")+(Premissas!$C$85:$C$93="Em estudo")*Premissas!$B$81)*(Premissas!$F$85:$F$93&lt;=BG$4)*(Premissas!$G$85:$G$93&gt;=BG$4)*(Premissas!$D$85:$D$93="Por usuário")*Premissas!$E$85:$E$93)*BG111</f>
        <v>0</v>
      </c>
      <c r="BH119" s="60" t="n">
        <f aca="false">SUMPRODUCT((Premissas!$B$85:$B$93="Outras")*((Premissas!$C$85:$C$93="Planejado")+(Premissas!$C$85:$C$93="Em estudo")*Premissas!$B$81)*(Premissas!$F$85:$F$93&lt;=BH$4)*(Premissas!$G$85:$G$93&gt;=BH$4)*(Premissas!$D$85:$D$93="Fixo mensal")*Premissas!$E$85:$E$93)+SUMPRODUCT((Premissas!$B$85:$B$93="Outras")*((Premissas!$C$85:$C$93="Planejado")+(Premissas!$C$85:$C$93="Em estudo")*Premissas!$B$81)*(Premissas!$F$85:$F$93&lt;=BH$4)*(Premissas!$G$85:$G$93&gt;=BH$4)*(Premissas!$D$85:$D$93="Por usuário")*Premissas!$E$85:$E$93)*BH111</f>
        <v>0</v>
      </c>
      <c r="BI119" s="60" t="n">
        <f aca="false">SUMPRODUCT((Premissas!$B$85:$B$93="Outras")*((Premissas!$C$85:$C$93="Planejado")+(Premissas!$C$85:$C$93="Em estudo")*Premissas!$B$81)*(Premissas!$F$85:$F$93&lt;=BI$4)*(Premissas!$G$85:$G$93&gt;=BI$4)*(Premissas!$D$85:$D$93="Fixo mensal")*Premissas!$E$85:$E$93)+SUMPRODUCT((Premissas!$B$85:$B$93="Outras")*((Premissas!$C$85:$C$93="Planejado")+(Premissas!$C$85:$C$93="Em estudo")*Premissas!$B$81)*(Premissas!$F$85:$F$93&lt;=BI$4)*(Premissas!$G$85:$G$93&gt;=BI$4)*(Premissas!$D$85:$D$93="Por usuário")*Premissas!$E$85:$E$93)*BI111</f>
        <v>0</v>
      </c>
      <c r="BJ119" s="61" t="n">
        <f aca="false">SUM(B119:BI119)</f>
        <v>0</v>
      </c>
    </row>
    <row r="120" customFormat="false" ht="15" hidden="false" customHeight="false" outlineLevel="0" collapsed="false">
      <c r="A120" s="62" t="s">
        <v>822</v>
      </c>
      <c r="B120" s="61" t="n">
        <f aca="false">SUM(B115:B119)</f>
        <v>0</v>
      </c>
      <c r="C120" s="61" t="n">
        <f aca="false">SUM(C115:C119)</f>
        <v>0</v>
      </c>
      <c r="D120" s="61" t="n">
        <f aca="false">SUM(D115:D119)</f>
        <v>0</v>
      </c>
      <c r="E120" s="61" t="n">
        <f aca="false">SUM(E115:E119)</f>
        <v>0</v>
      </c>
      <c r="F120" s="61" t="n">
        <f aca="false">SUM(F115:F119)</f>
        <v>0</v>
      </c>
      <c r="G120" s="61" t="n">
        <f aca="false">SUM(G115:G119)</f>
        <v>0</v>
      </c>
      <c r="H120" s="61" t="n">
        <f aca="false">SUM(H115:H119)</f>
        <v>0</v>
      </c>
      <c r="I120" s="61" t="n">
        <f aca="false">SUM(I115:I119)</f>
        <v>0</v>
      </c>
      <c r="J120" s="61" t="n">
        <f aca="false">SUM(J115:J119)</f>
        <v>0</v>
      </c>
      <c r="K120" s="61" t="n">
        <f aca="false">SUM(K115:K119)</f>
        <v>5890.4</v>
      </c>
      <c r="L120" s="61" t="n">
        <f aca="false">SUM(L115:L119)</f>
        <v>22825.3</v>
      </c>
      <c r="M120" s="61" t="n">
        <f aca="false">SUM(M115:M119)</f>
        <v>49829.6</v>
      </c>
      <c r="N120" s="61" t="n">
        <f aca="false">SUM(N115:N119)</f>
        <v>121113.404790448</v>
      </c>
      <c r="O120" s="61" t="n">
        <f aca="false">SUM(O115:O119)</f>
        <v>197937.930637615</v>
      </c>
      <c r="P120" s="61" t="n">
        <f aca="false">SUM(P115:P119)</f>
        <v>290050.929799219</v>
      </c>
      <c r="Q120" s="61" t="n">
        <f aca="false">SUM(Q115:Q119)</f>
        <v>414105.932632302</v>
      </c>
      <c r="R120" s="61" t="n">
        <f aca="false">SUM(R115:R119)</f>
        <v>472647.284690599</v>
      </c>
      <c r="S120" s="61" t="n">
        <f aca="false">SUM(S115:S119)</f>
        <v>527981.987077278</v>
      </c>
      <c r="T120" s="61" t="n">
        <f aca="false">SUM(T115:T119)</f>
        <v>580218.681867412</v>
      </c>
      <c r="U120" s="61" t="n">
        <f aca="false">SUM(U115:U119)</f>
        <v>629590.944651531</v>
      </c>
      <c r="V120" s="61" t="n">
        <f aca="false">SUM(V115:V119)</f>
        <v>676227.607748766</v>
      </c>
      <c r="W120" s="61" t="n">
        <f aca="false">SUM(W115:W119)</f>
        <v>824297.578135435</v>
      </c>
      <c r="X120" s="61" t="n">
        <f aca="false">SUM(X115:X119)</f>
        <v>871889.254632358</v>
      </c>
      <c r="Y120" s="61" t="n">
        <f aca="false">SUM(Y115:Y119)</f>
        <v>916942.921891852</v>
      </c>
      <c r="Z120" s="61" t="n">
        <f aca="false">SUM(Z115:Z119)</f>
        <v>1249553.99130588</v>
      </c>
      <c r="AA120" s="61" t="n">
        <f aca="false">SUM(AA115:AA119)</f>
        <v>1368708.92978884</v>
      </c>
      <c r="AB120" s="61" t="n">
        <f aca="false">SUM(AB115:AB119)</f>
        <v>1481907.98914801</v>
      </c>
      <c r="AC120" s="61" t="n">
        <f aca="false">SUM(AC115:AC119)</f>
        <v>1589290.5651844</v>
      </c>
      <c r="AD120" s="61" t="n">
        <f aca="false">SUM(AD115:AD119)</f>
        <v>1691323.50361476</v>
      </c>
      <c r="AE120" s="61" t="n">
        <f aca="false">SUM(AE115:AE119)</f>
        <v>1788058.11090152</v>
      </c>
      <c r="AF120" s="61" t="n">
        <f aca="false">SUM(AF115:AF119)</f>
        <v>1925004.23445145</v>
      </c>
      <c r="AG120" s="61" t="n">
        <f aca="false">SUM(AG115:AG119)</f>
        <v>2012146.8071016</v>
      </c>
      <c r="AH120" s="61" t="n">
        <f aca="false">SUM(AH115:AH119)</f>
        <v>2094994.7582052</v>
      </c>
      <c r="AI120" s="61" t="n">
        <f aca="false">SUM(AI115:AI119)</f>
        <v>2173554.42093244</v>
      </c>
      <c r="AJ120" s="61" t="n">
        <f aca="false">SUM(AJ115:AJ119)</f>
        <v>2248093.75035282</v>
      </c>
      <c r="AK120" s="61" t="n">
        <f aca="false">SUM(AK115:AK119)</f>
        <v>2318880.36466087</v>
      </c>
      <c r="AL120" s="61" t="n">
        <f aca="false">SUM(AL115:AL119)</f>
        <v>3080770.68237148</v>
      </c>
      <c r="AM120" s="61" t="n">
        <f aca="false">SUM(AM115:AM119)</f>
        <v>3297842.92391319</v>
      </c>
      <c r="AN120" s="61" t="n">
        <f aca="false">SUM(AN115:AN119)</f>
        <v>3504766.10127018</v>
      </c>
      <c r="AO120" s="61" t="n">
        <f aca="false">SUM(AO115:AO119)</f>
        <v>3701991.73500689</v>
      </c>
      <c r="AP120" s="61" t="n">
        <f aca="false">SUM(AP115:AP119)</f>
        <v>3890015.97897929</v>
      </c>
      <c r="AQ120" s="61" t="n">
        <f aca="false">SUM(AQ115:AQ119)</f>
        <v>4069311.42061415</v>
      </c>
      <c r="AR120" s="61" t="n">
        <f aca="false">SUM(AR115:AR119)</f>
        <v>4240213.0043471</v>
      </c>
      <c r="AS120" s="61" t="n">
        <f aca="false">SUM(AS115:AS119)</f>
        <v>4403077.94717606</v>
      </c>
      <c r="AT120" s="61" t="n">
        <f aca="false">SUM(AT115:AT119)</f>
        <v>4558376.49776382</v>
      </c>
      <c r="AU120" s="61" t="n">
        <f aca="false">SUM(AU115:AU119)</f>
        <v>4706373.24343437</v>
      </c>
      <c r="AV120" s="61" t="n">
        <f aca="false">SUM(AV115:AV119)</f>
        <v>4847537.16423581</v>
      </c>
      <c r="AW120" s="61" t="n">
        <f aca="false">SUM(AW115:AW119)</f>
        <v>4982040.2360738</v>
      </c>
      <c r="AX120" s="61" t="n">
        <f aca="false">SUM(AX115:AX119)</f>
        <v>6452314.34673266</v>
      </c>
      <c r="AY120" s="61" t="n">
        <f aca="false">SUM(AY115:AY119)</f>
        <v>6870758.91936376</v>
      </c>
      <c r="AZ120" s="61" t="n">
        <f aca="false">SUM(AZ115:AZ119)</f>
        <v>7271234.03223206</v>
      </c>
      <c r="BA120" s="61" t="n">
        <f aca="false">SUM(BA115:BA119)</f>
        <v>7654389.960323</v>
      </c>
      <c r="BB120" s="61" t="n">
        <f aca="false">SUM(BB115:BB119)</f>
        <v>8021209.48982555</v>
      </c>
      <c r="BC120" s="61" t="n">
        <f aca="false">SUM(BC115:BC119)</f>
        <v>8372149.72241469</v>
      </c>
      <c r="BD120" s="61" t="n">
        <f aca="false">SUM(BD115:BD119)</f>
        <v>8708071.82009615</v>
      </c>
      <c r="BE120" s="61" t="n">
        <f aca="false">SUM(BE115:BE119)</f>
        <v>9029501.81780484</v>
      </c>
      <c r="BF120" s="61" t="n">
        <f aca="false">SUM(BF115:BF119)</f>
        <v>9337131.89149274</v>
      </c>
      <c r="BG120" s="61" t="n">
        <f aca="false">SUM(BG115:BG119)</f>
        <v>9631557.45803993</v>
      </c>
      <c r="BH120" s="61" t="n">
        <f aca="false">SUM(BH115:BH119)</f>
        <v>9913349.48998392</v>
      </c>
      <c r="BI120" s="61" t="n">
        <f aca="false">SUM(BI115:BI119)</f>
        <v>10183006.026047</v>
      </c>
      <c r="BJ120" s="61" t="n">
        <f aca="false">SUM(B120:BI120)</f>
        <v>179270059.093745</v>
      </c>
    </row>
    <row r="121" customFormat="false" ht="15" hidden="false" customHeight="false" outlineLevel="0" collapsed="false">
      <c r="A121" s="27" t="s">
        <v>880</v>
      </c>
      <c r="B121" s="60" t="n">
        <f aca="false">B120*12</f>
        <v>0</v>
      </c>
      <c r="C121" s="60" t="n">
        <f aca="false">SUM($B120:B120)/1*12</f>
        <v>0</v>
      </c>
      <c r="D121" s="60" t="n">
        <f aca="false">SUM($B120:C120)/2*12</f>
        <v>0</v>
      </c>
      <c r="E121" s="60" t="n">
        <f aca="false">SUM($B120:D120)/3*12</f>
        <v>0</v>
      </c>
      <c r="F121" s="60" t="n">
        <f aca="false">SUM($B120:E120)/4*12</f>
        <v>0</v>
      </c>
      <c r="G121" s="60" t="n">
        <f aca="false">SUM($B120:F120)/5*12</f>
        <v>0</v>
      </c>
      <c r="H121" s="60" t="n">
        <f aca="false">SUM($B120:G120)/6*12</f>
        <v>0</v>
      </c>
      <c r="I121" s="60" t="n">
        <f aca="false">SUM($B120:H120)/7*12</f>
        <v>0</v>
      </c>
      <c r="J121" s="60" t="n">
        <f aca="false">SUM($B120:I120)/8*12</f>
        <v>0</v>
      </c>
      <c r="K121" s="60" t="n">
        <f aca="false">SUM($B120:J120)/9*12</f>
        <v>0</v>
      </c>
      <c r="L121" s="60" t="n">
        <f aca="false">SUM($B120:K120)/10*12</f>
        <v>7068.48</v>
      </c>
      <c r="M121" s="60" t="n">
        <f aca="false">SUM($B120:L120)/11*12</f>
        <v>31326.2181818182</v>
      </c>
      <c r="N121" s="60" t="n">
        <f aca="false">SUM(B120:M120)</f>
        <v>78545.3</v>
      </c>
      <c r="O121" s="60" t="n">
        <f aca="false">SUM(C120:N120)</f>
        <v>199658.704790448</v>
      </c>
      <c r="P121" s="60" t="n">
        <f aca="false">SUM(D120:O120)</f>
        <v>397596.635428063</v>
      </c>
      <c r="Q121" s="60" t="n">
        <f aca="false">SUM(E120:P120)</f>
        <v>687647.565227282</v>
      </c>
      <c r="R121" s="60" t="n">
        <f aca="false">SUM(F120:Q120)</f>
        <v>1101753.49785958</v>
      </c>
      <c r="S121" s="60" t="n">
        <f aca="false">SUM(G120:R120)</f>
        <v>1574400.78255018</v>
      </c>
      <c r="T121" s="60" t="n">
        <f aca="false">SUM(H120:S120)</f>
        <v>2102382.76962746</v>
      </c>
      <c r="U121" s="60" t="n">
        <f aca="false">SUM(I120:T120)</f>
        <v>2682601.45149487</v>
      </c>
      <c r="V121" s="60" t="n">
        <f aca="false">SUM(J120:U120)</f>
        <v>3312192.3961464</v>
      </c>
      <c r="W121" s="60" t="n">
        <f aca="false">SUM(K120:V120)</f>
        <v>3988420.00389517</v>
      </c>
      <c r="X121" s="60" t="n">
        <f aca="false">SUM(L120:W120)</f>
        <v>4806827.18203061</v>
      </c>
      <c r="Y121" s="60" t="n">
        <f aca="false">SUM(M120:X120)</f>
        <v>5655891.13666296</v>
      </c>
      <c r="Z121" s="60" t="n">
        <f aca="false">SUM(N120:Y120)</f>
        <v>6523004.45855482</v>
      </c>
      <c r="AA121" s="60" t="n">
        <f aca="false">SUM(O120:Z120)</f>
        <v>7651445.04507025</v>
      </c>
      <c r="AB121" s="60" t="n">
        <f aca="false">SUM(P120:AA120)</f>
        <v>8822216.04422147</v>
      </c>
      <c r="AC121" s="60" t="n">
        <f aca="false">SUM(Q120:AB120)</f>
        <v>10014073.1035703</v>
      </c>
      <c r="AD121" s="60" t="n">
        <f aca="false">SUM(R120:AC120)</f>
        <v>11189257.7361224</v>
      </c>
      <c r="AE121" s="60" t="n">
        <f aca="false">SUM(S120:AD120)</f>
        <v>12407933.9550465</v>
      </c>
      <c r="AF121" s="60" t="n">
        <f aca="false">SUM(T120:AE120)</f>
        <v>13668010.0788708</v>
      </c>
      <c r="AG121" s="60" t="n">
        <f aca="false">SUM(U120:AF120)</f>
        <v>15012795.6314548</v>
      </c>
      <c r="AH121" s="60" t="n">
        <f aca="false">SUM(V120:AG120)</f>
        <v>16395351.4939049</v>
      </c>
      <c r="AI121" s="60" t="n">
        <f aca="false">SUM(W120:AH120)</f>
        <v>17814118.6443613</v>
      </c>
      <c r="AJ121" s="60" t="n">
        <f aca="false">SUM(X120:AI120)</f>
        <v>19163375.4871583</v>
      </c>
      <c r="AK121" s="60" t="n">
        <f aca="false">SUM(Y120:AJ120)</f>
        <v>20539579.9828788</v>
      </c>
      <c r="AL121" s="60" t="n">
        <f aca="false">SUM(Z120:AK120)</f>
        <v>21941517.4256478</v>
      </c>
      <c r="AM121" s="60" t="n">
        <f aca="false">SUM(AA120:AL120)</f>
        <v>23772734.1167134</v>
      </c>
      <c r="AN121" s="60" t="n">
        <f aca="false">SUM(AB120:AM120)</f>
        <v>25701868.1108377</v>
      </c>
      <c r="AO121" s="60" t="n">
        <f aca="false">SUM(AC120:AN120)</f>
        <v>27724726.2229599</v>
      </c>
      <c r="AP121" s="60" t="n">
        <f aca="false">SUM(AD120:AO120)</f>
        <v>29837427.3927824</v>
      </c>
      <c r="AQ121" s="60" t="n">
        <f aca="false">SUM(AE120:AP120)</f>
        <v>32036119.8681469</v>
      </c>
      <c r="AR121" s="60" t="n">
        <f aca="false">SUM(AF120:AQ120)</f>
        <v>34317373.1778596</v>
      </c>
      <c r="AS121" s="60" t="n">
        <f aca="false">SUM(AG120:AR120)</f>
        <v>36632581.9477552</v>
      </c>
      <c r="AT121" s="60" t="n">
        <f aca="false">SUM(AH120:AS120)</f>
        <v>39023513.0878297</v>
      </c>
      <c r="AU121" s="60" t="n">
        <f aca="false">SUM(AI120:AT120)</f>
        <v>41486894.8273883</v>
      </c>
      <c r="AV121" s="60" t="n">
        <f aca="false">SUM(AJ120:AU120)</f>
        <v>44019713.6498902</v>
      </c>
      <c r="AW121" s="60" t="n">
        <f aca="false">SUM(AK120:AV120)</f>
        <v>46619157.0637732</v>
      </c>
      <c r="AX121" s="60" t="n">
        <f aca="false">SUM(AL120:AW120)</f>
        <v>49282316.9351861</v>
      </c>
      <c r="AY121" s="60" t="n">
        <f aca="false">SUM(AM120:AX120)</f>
        <v>52653860.5995473</v>
      </c>
      <c r="AZ121" s="60" t="n">
        <f aca="false">SUM(AN120:AY120)</f>
        <v>56226776.5949979</v>
      </c>
      <c r="BA121" s="60" t="n">
        <f aca="false">SUM(AO120:AZ120)</f>
        <v>59993244.5259598</v>
      </c>
      <c r="BB121" s="60" t="n">
        <f aca="false">SUM(AP120:BA120)</f>
        <v>63945642.7512759</v>
      </c>
      <c r="BC121" s="60" t="n">
        <f aca="false">SUM(AQ120:BB120)</f>
        <v>68076836.2621221</v>
      </c>
      <c r="BD121" s="60" t="n">
        <f aca="false">SUM(AR120:BC120)</f>
        <v>72379674.5639227</v>
      </c>
      <c r="BE121" s="60" t="n">
        <f aca="false">SUM(AS120:BD120)</f>
        <v>76847533.3796717</v>
      </c>
      <c r="BF121" s="60" t="n">
        <f aca="false">SUM(AT120:BE120)</f>
        <v>81473957.2503005</v>
      </c>
      <c r="BG121" s="60" t="n">
        <f aca="false">SUM(AU120:BF120)</f>
        <v>86252712.6440294</v>
      </c>
      <c r="BH121" s="60" t="n">
        <f aca="false">SUM(AV120:BG120)</f>
        <v>91177896.858635</v>
      </c>
      <c r="BI121" s="60" t="n">
        <f aca="false">SUM(AW120:BH120)</f>
        <v>96243709.1843831</v>
      </c>
      <c r="BJ121" s="61" t="n">
        <f aca="false">BI121</f>
        <v>96243709.1843831</v>
      </c>
      <c r="BK121" s="29" t="s">
        <v>870</v>
      </c>
    </row>
    <row r="122" customFormat="false" ht="15" hidden="false" customHeight="false" outlineLevel="0" collapsed="false">
      <c r="A122" s="27" t="s">
        <v>825</v>
      </c>
      <c r="B122" s="87" t="n">
        <f aca="false">IF(Premissas!$B$23=3,Premissas!$B$24,IF(B121&gt;Premissas!$B$25,Premissas!$B$24,IFERROR(MAX(Tributos!$C$24,(INDEX(Tributos!$C$24:$C$29,MATCH(B121,Tributos!$B$24:$B$29,1))*B121-INDEX(Tributos!$D$24:$D$29,MATCH(B121,Tributos!$B$24:$B$29,1)))/B121),Tributos!$C$24)))</f>
        <v>0.155</v>
      </c>
      <c r="C122" s="87" t="n">
        <f aca="false">IF(Premissas!$B$23=3,Premissas!$B$24,IF(C121&gt;Premissas!$B$25,Premissas!$B$24,IFERROR(MAX(Tributos!$C$24,(INDEX(Tributos!$C$24:$C$29,MATCH(C121,Tributos!$B$24:$B$29,1))*C121-INDEX(Tributos!$D$24:$D$29,MATCH(C121,Tributos!$B$24:$B$29,1)))/C121),Tributos!$C$24)))</f>
        <v>0.155</v>
      </c>
      <c r="D122" s="87" t="n">
        <f aca="false">IF(Premissas!$B$23=3,Premissas!$B$24,IF(D121&gt;Premissas!$B$25,Premissas!$B$24,IFERROR(MAX(Tributos!$C$24,(INDEX(Tributos!$C$24:$C$29,MATCH(D121,Tributos!$B$24:$B$29,1))*D121-INDEX(Tributos!$D$24:$D$29,MATCH(D121,Tributos!$B$24:$B$29,1)))/D121),Tributos!$C$24)))</f>
        <v>0.155</v>
      </c>
      <c r="E122" s="87" t="n">
        <f aca="false">IF(Premissas!$B$23=3,Premissas!$B$24,IF(E121&gt;Premissas!$B$25,Premissas!$B$24,IFERROR(MAX(Tributos!$C$24,(INDEX(Tributos!$C$24:$C$29,MATCH(E121,Tributos!$B$24:$B$29,1))*E121-INDEX(Tributos!$D$24:$D$29,MATCH(E121,Tributos!$B$24:$B$29,1)))/E121),Tributos!$C$24)))</f>
        <v>0.155</v>
      </c>
      <c r="F122" s="87" t="n">
        <f aca="false">IF(Premissas!$B$23=3,Premissas!$B$24,IF(F121&gt;Premissas!$B$25,Premissas!$B$24,IFERROR(MAX(Tributos!$C$24,(INDEX(Tributos!$C$24:$C$29,MATCH(F121,Tributos!$B$24:$B$29,1))*F121-INDEX(Tributos!$D$24:$D$29,MATCH(F121,Tributos!$B$24:$B$29,1)))/F121),Tributos!$C$24)))</f>
        <v>0.155</v>
      </c>
      <c r="G122" s="87" t="n">
        <f aca="false">IF(Premissas!$B$23=3,Premissas!$B$24,IF(G121&gt;Premissas!$B$25,Premissas!$B$24,IFERROR(MAX(Tributos!$C$24,(INDEX(Tributos!$C$24:$C$29,MATCH(G121,Tributos!$B$24:$B$29,1))*G121-INDEX(Tributos!$D$24:$D$29,MATCH(G121,Tributos!$B$24:$B$29,1)))/G121),Tributos!$C$24)))</f>
        <v>0.155</v>
      </c>
      <c r="H122" s="87" t="n">
        <f aca="false">IF(Premissas!$B$23=3,Premissas!$B$24,IF(H121&gt;Premissas!$B$25,Premissas!$B$24,IFERROR(MAX(Tributos!$C$24,(INDEX(Tributos!$C$24:$C$29,MATCH(H121,Tributos!$B$24:$B$29,1))*H121-INDEX(Tributos!$D$24:$D$29,MATCH(H121,Tributos!$B$24:$B$29,1)))/H121),Tributos!$C$24)))</f>
        <v>0.155</v>
      </c>
      <c r="I122" s="87" t="n">
        <f aca="false">IF(Premissas!$B$23=3,Premissas!$B$24,IF(I121&gt;Premissas!$B$25,Premissas!$B$24,IFERROR(MAX(Tributos!$C$24,(INDEX(Tributos!$C$24:$C$29,MATCH(I121,Tributos!$B$24:$B$29,1))*I121-INDEX(Tributos!$D$24:$D$29,MATCH(I121,Tributos!$B$24:$B$29,1)))/I121),Tributos!$C$24)))</f>
        <v>0.155</v>
      </c>
      <c r="J122" s="87" t="n">
        <f aca="false">IF(Premissas!$B$23=3,Premissas!$B$24,IF(J121&gt;Premissas!$B$25,Premissas!$B$24,IFERROR(MAX(Tributos!$C$24,(INDEX(Tributos!$C$24:$C$29,MATCH(J121,Tributos!$B$24:$B$29,1))*J121-INDEX(Tributos!$D$24:$D$29,MATCH(J121,Tributos!$B$24:$B$29,1)))/J121),Tributos!$C$24)))</f>
        <v>0.155</v>
      </c>
      <c r="K122" s="87" t="n">
        <f aca="false">IF(Premissas!$B$23=3,Premissas!$B$24,IF(K121&gt;Premissas!$B$25,Premissas!$B$24,IFERROR(MAX(Tributos!$C$24,(INDEX(Tributos!$C$24:$C$29,MATCH(K121,Tributos!$B$24:$B$29,1))*K121-INDEX(Tributos!$D$24:$D$29,MATCH(K121,Tributos!$B$24:$B$29,1)))/K121),Tributos!$C$24)))</f>
        <v>0.155</v>
      </c>
      <c r="L122" s="87" t="n">
        <f aca="false">IF(Premissas!$B$23=3,Premissas!$B$24,IF(L121&gt;Premissas!$B$25,Premissas!$B$24,IFERROR(MAX(Tributos!$C$24,(INDEX(Tributos!$C$24:$C$29,MATCH(L121,Tributos!$B$24:$B$29,1))*L121-INDEX(Tributos!$D$24:$D$29,MATCH(L121,Tributos!$B$24:$B$29,1)))/L121),Tributos!$C$24)))</f>
        <v>0.155</v>
      </c>
      <c r="M122" s="87" t="n">
        <f aca="false">IF(Premissas!$B$23=3,Premissas!$B$24,IF(M121&gt;Premissas!$B$25,Premissas!$B$24,IFERROR(MAX(Tributos!$C$24,(INDEX(Tributos!$C$24:$C$29,MATCH(M121,Tributos!$B$24:$B$29,1))*M121-INDEX(Tributos!$D$24:$D$29,MATCH(M121,Tributos!$B$24:$B$29,1)))/M121),Tributos!$C$24)))</f>
        <v>0.155</v>
      </c>
      <c r="N122" s="87" t="n">
        <f aca="false">IF(Premissas!$B$23=3,Premissas!$B$24,IF(N121&gt;Premissas!$B$25,Premissas!$B$24,IFERROR(MAX(Tributos!$C$24,(INDEX(Tributos!$C$24:$C$29,MATCH(N121,Tributos!$B$24:$B$29,1))*N121-INDEX(Tributos!$D$24:$D$29,MATCH(N121,Tributos!$B$24:$B$29,1)))/N121),Tributos!$C$24)))</f>
        <v>0.155</v>
      </c>
      <c r="O122" s="87" t="n">
        <f aca="false">IF(Premissas!$B$23=3,Premissas!$B$24,IF(O121&gt;Premissas!$B$25,Premissas!$B$24,IFERROR(MAX(Tributos!$C$24,(INDEX(Tributos!$C$24:$C$29,MATCH(O121,Tributos!$B$24:$B$29,1))*O121-INDEX(Tributos!$D$24:$D$29,MATCH(O121,Tributos!$B$24:$B$29,1)))/O121),Tributos!$C$24)))</f>
        <v>0.157461538655562</v>
      </c>
      <c r="P122" s="87" t="n">
        <f aca="false">IF(Premissas!$B$23=3,Premissas!$B$24,IF(P121&gt;Premissas!$B$25,Premissas!$B$24,IFERROR(MAX(Tributos!$C$24,(INDEX(Tributos!$C$24:$C$29,MATCH(P121,Tributos!$B$24:$B$29,1))*P121-INDEX(Tributos!$D$24:$D$29,MATCH(P121,Tributos!$B$24:$B$29,1)))/P121),Tributos!$C$24)))</f>
        <v>0.170100392916199</v>
      </c>
      <c r="Q122" s="87" t="n">
        <f aca="false">IF(Premissas!$B$23=3,Premissas!$B$24,IF(Q121&gt;Premissas!$B$25,Premissas!$B$24,IFERROR(MAX(Tributos!$C$24,(INDEX(Tributos!$C$24:$C$29,MATCH(Q121,Tributos!$B$24:$B$29,1))*Q121-INDEX(Tributos!$D$24:$D$29,MATCH(Q121,Tributos!$B$24:$B$29,1)))/Q121),Tributos!$C$24)))</f>
        <v>0.180603090157488</v>
      </c>
      <c r="R122" s="87" t="n">
        <f aca="false">IF(Premissas!$B$23=3,Premissas!$B$24,IF(R121&gt;Premissas!$B$25,Premissas!$B$24,IFERROR(MAX(Tributos!$C$24,(INDEX(Tributos!$C$24:$C$29,MATCH(R121,Tributos!$B$24:$B$29,1))*R121-INDEX(Tributos!$D$24:$D$29,MATCH(R121,Tributos!$B$24:$B$29,1)))/R121),Tributos!$C$24)))</f>
        <v>0.189479286852076</v>
      </c>
      <c r="S122" s="87" t="n">
        <f aca="false">IF(Premissas!$B$23=3,Premissas!$B$24,IF(S121&gt;Premissas!$B$25,Premissas!$B$24,IFERROR(MAX(Tributos!$C$24,(INDEX(Tributos!$C$24:$C$29,MATCH(S121,Tributos!$B$24:$B$29,1))*S121-INDEX(Tributos!$D$24:$D$29,MATCH(S121,Tributos!$B$24:$B$29,1)))/S121),Tributos!$C$24)))</f>
        <v>0.194138724910755</v>
      </c>
      <c r="T122" s="87" t="n">
        <f aca="false">IF(Premissas!$B$23=3,Premissas!$B$24,IF(T121&gt;Premissas!$B$25,Premissas!$B$24,IFERROR(MAX(Tributos!$C$24,(INDEX(Tributos!$C$24:$C$29,MATCH(T121,Tributos!$B$24:$B$29,1))*T121-INDEX(Tributos!$D$24:$D$29,MATCH(T121,Tributos!$B$24:$B$29,1)))/T121),Tributos!$C$24)))</f>
        <v>0.200462086687</v>
      </c>
      <c r="U122" s="87" t="n">
        <f aca="false">IF(Premissas!$B$23=3,Premissas!$B$24,IF(U121&gt;Premissas!$B$25,Premissas!$B$24,IFERROR(MAX(Tributos!$C$24,(INDEX(Tributos!$C$24:$C$29,MATCH(U121,Tributos!$B$24:$B$29,1))*U121-INDEX(Tributos!$D$24:$D$29,MATCH(U121,Tributos!$B$24:$B$29,1)))/U121),Tributos!$C$24)))</f>
        <v>0.206850828897675</v>
      </c>
      <c r="V122" s="87" t="n">
        <f aca="false">IF(Premissas!$B$23=3,Premissas!$B$24,IF(V121&gt;Premissas!$B$25,Premissas!$B$24,IFERROR(MAX(Tributos!$C$24,(INDEX(Tributos!$C$24:$C$29,MATCH(V121,Tributos!$B$24:$B$29,1))*V121-INDEX(Tributos!$D$24:$D$29,MATCH(V121,Tributos!$B$24:$B$29,1)))/V121),Tributos!$C$24)))</f>
        <v>0.21125108913593</v>
      </c>
      <c r="W122" s="87" t="n">
        <f aca="false">IF(Premissas!$B$23=3,Premissas!$B$24,IF(W121&gt;Premissas!$B$25,Premissas!$B$24,IFERROR(MAX(Tributos!$C$24,(INDEX(Tributos!$C$24:$C$29,MATCH(W121,Tributos!$B$24:$B$29,1))*W121-INDEX(Tributos!$D$24:$D$29,MATCH(W121,Tributos!$B$24:$B$29,1)))/W121),Tributos!$C$24)))</f>
        <v>0.169608040408827</v>
      </c>
      <c r="X122" s="87" t="n">
        <f aca="false">IF(Premissas!$B$23=3,Premissas!$B$24,IF(X121&gt;Premissas!$B$25,Premissas!$B$24,IFERROR(MAX(Tributos!$C$24,(INDEX(Tributos!$C$24:$C$29,MATCH(X121,Tributos!$B$24:$B$29,1))*X121-INDEX(Tributos!$D$24:$D$29,MATCH(X121,Tributos!$B$24:$B$29,1)))/X121),Tributos!$C$24)))</f>
        <v>0.1633</v>
      </c>
      <c r="Y122" s="87" t="n">
        <f aca="false">IF(Premissas!$B$23=3,Premissas!$B$24,IF(Y121&gt;Premissas!$B$25,Premissas!$B$24,IFERROR(MAX(Tributos!$C$24,(INDEX(Tributos!$C$24:$C$29,MATCH(Y121,Tributos!$B$24:$B$29,1))*Y121-INDEX(Tributos!$D$24:$D$29,MATCH(Y121,Tributos!$B$24:$B$29,1)))/Y121),Tributos!$C$24)))</f>
        <v>0.1633</v>
      </c>
      <c r="Z122" s="87" t="n">
        <f aca="false">IF(Premissas!$B$23=3,Premissas!$B$24,IF(Z121&gt;Premissas!$B$25,Premissas!$B$24,IFERROR(MAX(Tributos!$C$24,(INDEX(Tributos!$C$24:$C$29,MATCH(Z121,Tributos!$B$24:$B$29,1))*Z121-INDEX(Tributos!$D$24:$D$29,MATCH(Z121,Tributos!$B$24:$B$29,1)))/Z121),Tributos!$C$24)))</f>
        <v>0.1633</v>
      </c>
      <c r="AA122" s="87" t="n">
        <f aca="false">IF(Premissas!$B$23=3,Premissas!$B$24,IF(AA121&gt;Premissas!$B$25,Premissas!$B$24,IFERROR(MAX(Tributos!$C$24,(INDEX(Tributos!$C$24:$C$29,MATCH(AA121,Tributos!$B$24:$B$29,1))*AA121-INDEX(Tributos!$D$24:$D$29,MATCH(AA121,Tributos!$B$24:$B$29,1)))/AA121),Tributos!$C$24)))</f>
        <v>0.1633</v>
      </c>
      <c r="AB122" s="87" t="n">
        <f aca="false">IF(Premissas!$B$23=3,Premissas!$B$24,IF(AB121&gt;Premissas!$B$25,Premissas!$B$24,IFERROR(MAX(Tributos!$C$24,(INDEX(Tributos!$C$24:$C$29,MATCH(AB121,Tributos!$B$24:$B$29,1))*AB121-INDEX(Tributos!$D$24:$D$29,MATCH(AB121,Tributos!$B$24:$B$29,1)))/AB121),Tributos!$C$24)))</f>
        <v>0.1633</v>
      </c>
      <c r="AC122" s="87" t="n">
        <f aca="false">IF(Premissas!$B$23=3,Premissas!$B$24,IF(AC121&gt;Premissas!$B$25,Premissas!$B$24,IFERROR(MAX(Tributos!$C$24,(INDEX(Tributos!$C$24:$C$29,MATCH(AC121,Tributos!$B$24:$B$29,1))*AC121-INDEX(Tributos!$D$24:$D$29,MATCH(AC121,Tributos!$B$24:$B$29,1)))/AC121),Tributos!$C$24)))</f>
        <v>0.1633</v>
      </c>
      <c r="AD122" s="87" t="n">
        <f aca="false">IF(Premissas!$B$23=3,Premissas!$B$24,IF(AD121&gt;Premissas!$B$25,Premissas!$B$24,IFERROR(MAX(Tributos!$C$24,(INDEX(Tributos!$C$24:$C$29,MATCH(AD121,Tributos!$B$24:$B$29,1))*AD121-INDEX(Tributos!$D$24:$D$29,MATCH(AD121,Tributos!$B$24:$B$29,1)))/AD121),Tributos!$C$24)))</f>
        <v>0.1633</v>
      </c>
      <c r="AE122" s="87" t="n">
        <f aca="false">IF(Premissas!$B$23=3,Premissas!$B$24,IF(AE121&gt;Premissas!$B$25,Premissas!$B$24,IFERROR(MAX(Tributos!$C$24,(INDEX(Tributos!$C$24:$C$29,MATCH(AE121,Tributos!$B$24:$B$29,1))*AE121-INDEX(Tributos!$D$24:$D$29,MATCH(AE121,Tributos!$B$24:$B$29,1)))/AE121),Tributos!$C$24)))</f>
        <v>0.1633</v>
      </c>
      <c r="AF122" s="87" t="n">
        <f aca="false">IF(Premissas!$B$23=3,Premissas!$B$24,IF(AF121&gt;Premissas!$B$25,Premissas!$B$24,IFERROR(MAX(Tributos!$C$24,(INDEX(Tributos!$C$24:$C$29,MATCH(AF121,Tributos!$B$24:$B$29,1))*AF121-INDEX(Tributos!$D$24:$D$29,MATCH(AF121,Tributos!$B$24:$B$29,1)))/AF121),Tributos!$C$24)))</f>
        <v>0.1633</v>
      </c>
      <c r="AG122" s="87" t="n">
        <f aca="false">IF(Premissas!$B$23=3,Premissas!$B$24,IF(AG121&gt;Premissas!$B$25,Premissas!$B$24,IFERROR(MAX(Tributos!$C$24,(INDEX(Tributos!$C$24:$C$29,MATCH(AG121,Tributos!$B$24:$B$29,1))*AG121-INDEX(Tributos!$D$24:$D$29,MATCH(AG121,Tributos!$B$24:$B$29,1)))/AG121),Tributos!$C$24)))</f>
        <v>0.1633</v>
      </c>
      <c r="AH122" s="87" t="n">
        <f aca="false">IF(Premissas!$B$23=3,Premissas!$B$24,IF(AH121&gt;Premissas!$B$25,Premissas!$B$24,IFERROR(MAX(Tributos!$C$24,(INDEX(Tributos!$C$24:$C$29,MATCH(AH121,Tributos!$B$24:$B$29,1))*AH121-INDEX(Tributos!$D$24:$D$29,MATCH(AH121,Tributos!$B$24:$B$29,1)))/AH121),Tributos!$C$24)))</f>
        <v>0.1633</v>
      </c>
      <c r="AI122" s="87" t="n">
        <f aca="false">IF(Premissas!$B$23=3,Premissas!$B$24,IF(AI121&gt;Premissas!$B$25,Premissas!$B$24,IFERROR(MAX(Tributos!$C$24,(INDEX(Tributos!$C$24:$C$29,MATCH(AI121,Tributos!$B$24:$B$29,1))*AI121-INDEX(Tributos!$D$24:$D$29,MATCH(AI121,Tributos!$B$24:$B$29,1)))/AI121),Tributos!$C$24)))</f>
        <v>0.1633</v>
      </c>
      <c r="AJ122" s="87" t="n">
        <f aca="false">IF(Premissas!$B$23=3,Premissas!$B$24,IF(AJ121&gt;Premissas!$B$25,Premissas!$B$24,IFERROR(MAX(Tributos!$C$24,(INDEX(Tributos!$C$24:$C$29,MATCH(AJ121,Tributos!$B$24:$B$29,1))*AJ121-INDEX(Tributos!$D$24:$D$29,MATCH(AJ121,Tributos!$B$24:$B$29,1)))/AJ121),Tributos!$C$24)))</f>
        <v>0.1633</v>
      </c>
      <c r="AK122" s="87" t="n">
        <f aca="false">IF(Premissas!$B$23=3,Premissas!$B$24,IF(AK121&gt;Premissas!$B$25,Premissas!$B$24,IFERROR(MAX(Tributos!$C$24,(INDEX(Tributos!$C$24:$C$29,MATCH(AK121,Tributos!$B$24:$B$29,1))*AK121-INDEX(Tributos!$D$24:$D$29,MATCH(AK121,Tributos!$B$24:$B$29,1)))/AK121),Tributos!$C$24)))</f>
        <v>0.1633</v>
      </c>
      <c r="AL122" s="87" t="n">
        <f aca="false">IF(Premissas!$B$23=3,Premissas!$B$24,IF(AL121&gt;Premissas!$B$25,Premissas!$B$24,IFERROR(MAX(Tributos!$C$24,(INDEX(Tributos!$C$24:$C$29,MATCH(AL121,Tributos!$B$24:$B$29,1))*AL121-INDEX(Tributos!$D$24:$D$29,MATCH(AL121,Tributos!$B$24:$B$29,1)))/AL121),Tributos!$C$24)))</f>
        <v>0.1633</v>
      </c>
      <c r="AM122" s="87" t="n">
        <f aca="false">IF(Premissas!$B$23=3,Premissas!$B$24,IF(AM121&gt;Premissas!$B$25,Premissas!$B$24,IFERROR(MAX(Tributos!$C$24,(INDEX(Tributos!$C$24:$C$29,MATCH(AM121,Tributos!$B$24:$B$29,1))*AM121-INDEX(Tributos!$D$24:$D$29,MATCH(AM121,Tributos!$B$24:$B$29,1)))/AM121),Tributos!$C$24)))</f>
        <v>0.1633</v>
      </c>
      <c r="AN122" s="87" t="n">
        <f aca="false">IF(Premissas!$B$23=3,Premissas!$B$24,IF(AN121&gt;Premissas!$B$25,Premissas!$B$24,IFERROR(MAX(Tributos!$C$24,(INDEX(Tributos!$C$24:$C$29,MATCH(AN121,Tributos!$B$24:$B$29,1))*AN121-INDEX(Tributos!$D$24:$D$29,MATCH(AN121,Tributos!$B$24:$B$29,1)))/AN121),Tributos!$C$24)))</f>
        <v>0.1633</v>
      </c>
      <c r="AO122" s="87" t="n">
        <f aca="false">IF(Premissas!$B$23=3,Premissas!$B$24,IF(AO121&gt;Premissas!$B$25,Premissas!$B$24,IFERROR(MAX(Tributos!$C$24,(INDEX(Tributos!$C$24:$C$29,MATCH(AO121,Tributos!$B$24:$B$29,1))*AO121-INDEX(Tributos!$D$24:$D$29,MATCH(AO121,Tributos!$B$24:$B$29,1)))/AO121),Tributos!$C$24)))</f>
        <v>0.1633</v>
      </c>
      <c r="AP122" s="87" t="n">
        <f aca="false">IF(Premissas!$B$23=3,Premissas!$B$24,IF(AP121&gt;Premissas!$B$25,Premissas!$B$24,IFERROR(MAX(Tributos!$C$24,(INDEX(Tributos!$C$24:$C$29,MATCH(AP121,Tributos!$B$24:$B$29,1))*AP121-INDEX(Tributos!$D$24:$D$29,MATCH(AP121,Tributos!$B$24:$B$29,1)))/AP121),Tributos!$C$24)))</f>
        <v>0.1633</v>
      </c>
      <c r="AQ122" s="87" t="n">
        <f aca="false">IF(Premissas!$B$23=3,Premissas!$B$24,IF(AQ121&gt;Premissas!$B$25,Premissas!$B$24,IFERROR(MAX(Tributos!$C$24,(INDEX(Tributos!$C$24:$C$29,MATCH(AQ121,Tributos!$B$24:$B$29,1))*AQ121-INDEX(Tributos!$D$24:$D$29,MATCH(AQ121,Tributos!$B$24:$B$29,1)))/AQ121),Tributos!$C$24)))</f>
        <v>0.1633</v>
      </c>
      <c r="AR122" s="87" t="n">
        <f aca="false">IF(Premissas!$B$23=3,Premissas!$B$24,IF(AR121&gt;Premissas!$B$25,Premissas!$B$24,IFERROR(MAX(Tributos!$C$24,(INDEX(Tributos!$C$24:$C$29,MATCH(AR121,Tributos!$B$24:$B$29,1))*AR121-INDEX(Tributos!$D$24:$D$29,MATCH(AR121,Tributos!$B$24:$B$29,1)))/AR121),Tributos!$C$24)))</f>
        <v>0.1633</v>
      </c>
      <c r="AS122" s="87" t="n">
        <f aca="false">IF(Premissas!$B$23=3,Premissas!$B$24,IF(AS121&gt;Premissas!$B$25,Premissas!$B$24,IFERROR(MAX(Tributos!$C$24,(INDEX(Tributos!$C$24:$C$29,MATCH(AS121,Tributos!$B$24:$B$29,1))*AS121-INDEX(Tributos!$D$24:$D$29,MATCH(AS121,Tributos!$B$24:$B$29,1)))/AS121),Tributos!$C$24)))</f>
        <v>0.1633</v>
      </c>
      <c r="AT122" s="87" t="n">
        <f aca="false">IF(Premissas!$B$23=3,Premissas!$B$24,IF(AT121&gt;Premissas!$B$25,Premissas!$B$24,IFERROR(MAX(Tributos!$C$24,(INDEX(Tributos!$C$24:$C$29,MATCH(AT121,Tributos!$B$24:$B$29,1))*AT121-INDEX(Tributos!$D$24:$D$29,MATCH(AT121,Tributos!$B$24:$B$29,1)))/AT121),Tributos!$C$24)))</f>
        <v>0.1633</v>
      </c>
      <c r="AU122" s="87" t="n">
        <f aca="false">IF(Premissas!$B$23=3,Premissas!$B$24,IF(AU121&gt;Premissas!$B$25,Premissas!$B$24,IFERROR(MAX(Tributos!$C$24,(INDEX(Tributos!$C$24:$C$29,MATCH(AU121,Tributos!$B$24:$B$29,1))*AU121-INDEX(Tributos!$D$24:$D$29,MATCH(AU121,Tributos!$B$24:$B$29,1)))/AU121),Tributos!$C$24)))</f>
        <v>0.1633</v>
      </c>
      <c r="AV122" s="87" t="n">
        <f aca="false">IF(Premissas!$B$23=3,Premissas!$B$24,IF(AV121&gt;Premissas!$B$25,Premissas!$B$24,IFERROR(MAX(Tributos!$C$24,(INDEX(Tributos!$C$24:$C$29,MATCH(AV121,Tributos!$B$24:$B$29,1))*AV121-INDEX(Tributos!$D$24:$D$29,MATCH(AV121,Tributos!$B$24:$B$29,1)))/AV121),Tributos!$C$24)))</f>
        <v>0.1633</v>
      </c>
      <c r="AW122" s="87" t="n">
        <f aca="false">IF(Premissas!$B$23=3,Premissas!$B$24,IF(AW121&gt;Premissas!$B$25,Premissas!$B$24,IFERROR(MAX(Tributos!$C$24,(INDEX(Tributos!$C$24:$C$29,MATCH(AW121,Tributos!$B$24:$B$29,1))*AW121-INDEX(Tributos!$D$24:$D$29,MATCH(AW121,Tributos!$B$24:$B$29,1)))/AW121),Tributos!$C$24)))</f>
        <v>0.1633</v>
      </c>
      <c r="AX122" s="87" t="n">
        <f aca="false">IF(Premissas!$B$23=3,Premissas!$B$24,IF(AX121&gt;Premissas!$B$25,Premissas!$B$24,IFERROR(MAX(Tributos!$C$24,(INDEX(Tributos!$C$24:$C$29,MATCH(AX121,Tributos!$B$24:$B$29,1))*AX121-INDEX(Tributos!$D$24:$D$29,MATCH(AX121,Tributos!$B$24:$B$29,1)))/AX121),Tributos!$C$24)))</f>
        <v>0.1633</v>
      </c>
      <c r="AY122" s="87" t="n">
        <f aca="false">IF(Premissas!$B$23=3,Premissas!$B$24,IF(AY121&gt;Premissas!$B$25,Premissas!$B$24,IFERROR(MAX(Tributos!$C$24,(INDEX(Tributos!$C$24:$C$29,MATCH(AY121,Tributos!$B$24:$B$29,1))*AY121-INDEX(Tributos!$D$24:$D$29,MATCH(AY121,Tributos!$B$24:$B$29,1)))/AY121),Tributos!$C$24)))</f>
        <v>0.1633</v>
      </c>
      <c r="AZ122" s="87" t="n">
        <f aca="false">IF(Premissas!$B$23=3,Premissas!$B$24,IF(AZ121&gt;Premissas!$B$25,Premissas!$B$24,IFERROR(MAX(Tributos!$C$24,(INDEX(Tributos!$C$24:$C$29,MATCH(AZ121,Tributos!$B$24:$B$29,1))*AZ121-INDEX(Tributos!$D$24:$D$29,MATCH(AZ121,Tributos!$B$24:$B$29,1)))/AZ121),Tributos!$C$24)))</f>
        <v>0.1633</v>
      </c>
      <c r="BA122" s="87" t="n">
        <f aca="false">IF(Premissas!$B$23=3,Premissas!$B$24,IF(BA121&gt;Premissas!$B$25,Premissas!$B$24,IFERROR(MAX(Tributos!$C$24,(INDEX(Tributos!$C$24:$C$29,MATCH(BA121,Tributos!$B$24:$B$29,1))*BA121-INDEX(Tributos!$D$24:$D$29,MATCH(BA121,Tributos!$B$24:$B$29,1)))/BA121),Tributos!$C$24)))</f>
        <v>0.1633</v>
      </c>
      <c r="BB122" s="87" t="n">
        <f aca="false">IF(Premissas!$B$23=3,Premissas!$B$24,IF(BB121&gt;Premissas!$B$25,Premissas!$B$24,IFERROR(MAX(Tributos!$C$24,(INDEX(Tributos!$C$24:$C$29,MATCH(BB121,Tributos!$B$24:$B$29,1))*BB121-INDEX(Tributos!$D$24:$D$29,MATCH(BB121,Tributos!$B$24:$B$29,1)))/BB121),Tributos!$C$24)))</f>
        <v>0.1633</v>
      </c>
      <c r="BC122" s="87" t="n">
        <f aca="false">IF(Premissas!$B$23=3,Premissas!$B$24,IF(BC121&gt;Premissas!$B$25,Premissas!$B$24,IFERROR(MAX(Tributos!$C$24,(INDEX(Tributos!$C$24:$C$29,MATCH(BC121,Tributos!$B$24:$B$29,1))*BC121-INDEX(Tributos!$D$24:$D$29,MATCH(BC121,Tributos!$B$24:$B$29,1)))/BC121),Tributos!$C$24)))</f>
        <v>0.1633</v>
      </c>
      <c r="BD122" s="87" t="n">
        <f aca="false">IF(Premissas!$B$23=3,Premissas!$B$24,IF(BD121&gt;Premissas!$B$25,Premissas!$B$24,IFERROR(MAX(Tributos!$C$24,(INDEX(Tributos!$C$24:$C$29,MATCH(BD121,Tributos!$B$24:$B$29,1))*BD121-INDEX(Tributos!$D$24:$D$29,MATCH(BD121,Tributos!$B$24:$B$29,1)))/BD121),Tributos!$C$24)))</f>
        <v>0.1633</v>
      </c>
      <c r="BE122" s="87" t="n">
        <f aca="false">IF(Premissas!$B$23=3,Premissas!$B$24,IF(BE121&gt;Premissas!$B$25,Premissas!$B$24,IFERROR(MAX(Tributos!$C$24,(INDEX(Tributos!$C$24:$C$29,MATCH(BE121,Tributos!$B$24:$B$29,1))*BE121-INDEX(Tributos!$D$24:$D$29,MATCH(BE121,Tributos!$B$24:$B$29,1)))/BE121),Tributos!$C$24)))</f>
        <v>0.1633</v>
      </c>
      <c r="BF122" s="87" t="n">
        <f aca="false">IF(Premissas!$B$23=3,Premissas!$B$24,IF(BF121&gt;Premissas!$B$25,Premissas!$B$24,IFERROR(MAX(Tributos!$C$24,(INDEX(Tributos!$C$24:$C$29,MATCH(BF121,Tributos!$B$24:$B$29,1))*BF121-INDEX(Tributos!$D$24:$D$29,MATCH(BF121,Tributos!$B$24:$B$29,1)))/BF121),Tributos!$C$24)))</f>
        <v>0.1633</v>
      </c>
      <c r="BG122" s="87" t="n">
        <f aca="false">IF(Premissas!$B$23=3,Premissas!$B$24,IF(BG121&gt;Premissas!$B$25,Premissas!$B$24,IFERROR(MAX(Tributos!$C$24,(INDEX(Tributos!$C$24:$C$29,MATCH(BG121,Tributos!$B$24:$B$29,1))*BG121-INDEX(Tributos!$D$24:$D$29,MATCH(BG121,Tributos!$B$24:$B$29,1)))/BG121),Tributos!$C$24)))</f>
        <v>0.1633</v>
      </c>
      <c r="BH122" s="87" t="n">
        <f aca="false">IF(Premissas!$B$23=3,Premissas!$B$24,IF(BH121&gt;Premissas!$B$25,Premissas!$B$24,IFERROR(MAX(Tributos!$C$24,(INDEX(Tributos!$C$24:$C$29,MATCH(BH121,Tributos!$B$24:$B$29,1))*BH121-INDEX(Tributos!$D$24:$D$29,MATCH(BH121,Tributos!$B$24:$B$29,1)))/BH121),Tributos!$C$24)))</f>
        <v>0.1633</v>
      </c>
      <c r="BI122" s="87" t="n">
        <f aca="false">IF(Premissas!$B$23=3,Premissas!$B$24,IF(BI121&gt;Premissas!$B$25,Premissas!$B$24,IFERROR(MAX(Tributos!$C$24,(INDEX(Tributos!$C$24:$C$29,MATCH(BI121,Tributos!$B$24:$B$29,1))*BI121-INDEX(Tributos!$D$24:$D$29,MATCH(BI121,Tributos!$B$24:$B$29,1)))/BI121),Tributos!$C$24)))</f>
        <v>0.1633</v>
      </c>
      <c r="BJ122" s="88" t="n">
        <f aca="false">IFERROR(-BJ123/BJ120,0)</f>
        <v>0.163978237683821</v>
      </c>
      <c r="BK122" s="29" t="s">
        <v>881</v>
      </c>
    </row>
    <row r="123" customFormat="false" ht="15" hidden="false" customHeight="false" outlineLevel="0" collapsed="false">
      <c r="A123" s="27" t="s">
        <v>755</v>
      </c>
      <c r="B123" s="60" t="n">
        <f aca="false">-B120*B122</f>
        <v>-0</v>
      </c>
      <c r="C123" s="60" t="n">
        <f aca="false">-C120*C122</f>
        <v>-0</v>
      </c>
      <c r="D123" s="60" t="n">
        <f aca="false">-D120*D122</f>
        <v>-0</v>
      </c>
      <c r="E123" s="60" t="n">
        <f aca="false">-E120*E122</f>
        <v>-0</v>
      </c>
      <c r="F123" s="60" t="n">
        <f aca="false">-F120*F122</f>
        <v>-0</v>
      </c>
      <c r="G123" s="60" t="n">
        <f aca="false">-G120*G122</f>
        <v>-0</v>
      </c>
      <c r="H123" s="60" t="n">
        <f aca="false">-H120*H122</f>
        <v>-0</v>
      </c>
      <c r="I123" s="60" t="n">
        <f aca="false">-I120*I122</f>
        <v>-0</v>
      </c>
      <c r="J123" s="60" t="n">
        <f aca="false">-J120*J122</f>
        <v>-0</v>
      </c>
      <c r="K123" s="60" t="n">
        <f aca="false">-K120*K122</f>
        <v>-913.012</v>
      </c>
      <c r="L123" s="60" t="n">
        <f aca="false">-L120*L122</f>
        <v>-3537.9215</v>
      </c>
      <c r="M123" s="60" t="n">
        <f aca="false">-M120*M122</f>
        <v>-7723.588</v>
      </c>
      <c r="N123" s="60" t="n">
        <f aca="false">-N120*N122</f>
        <v>-18772.5777425194</v>
      </c>
      <c r="O123" s="60" t="n">
        <f aca="false">-O120*O122</f>
        <v>-31167.6111164969</v>
      </c>
      <c r="P123" s="60" t="n">
        <f aca="false">-P120*P122</f>
        <v>-49337.777124556</v>
      </c>
      <c r="Q123" s="60" t="n">
        <f aca="false">-Q120*Q122</f>
        <v>-74788.8110859424</v>
      </c>
      <c r="R123" s="60" t="n">
        <f aca="false">-R120*R122</f>
        <v>-89556.870435745</v>
      </c>
      <c r="S123" s="60" t="n">
        <f aca="false">-S120*S122</f>
        <v>-102501.749747029</v>
      </c>
      <c r="T123" s="60" t="n">
        <f aca="false">-T120*T122</f>
        <v>-116311.847701922</v>
      </c>
      <c r="U123" s="60" t="n">
        <f aca="false">-U120*U122</f>
        <v>-130231.408767639</v>
      </c>
      <c r="V123" s="60" t="n">
        <f aca="false">-V120*V122</f>
        <v>-142853.818640711</v>
      </c>
      <c r="W123" s="60" t="n">
        <f aca="false">-W120*W122</f>
        <v>-139807.496941293</v>
      </c>
      <c r="X123" s="60" t="n">
        <f aca="false">-X120*X122</f>
        <v>-142379.515281464</v>
      </c>
      <c r="Y123" s="60" t="n">
        <f aca="false">-Y120*Y122</f>
        <v>-149736.779144939</v>
      </c>
      <c r="Z123" s="60" t="n">
        <f aca="false">-Z120*Z122</f>
        <v>-204052.16678025</v>
      </c>
      <c r="AA123" s="60" t="n">
        <f aca="false">-AA120*AA122</f>
        <v>-223510.168234517</v>
      </c>
      <c r="AB123" s="60" t="n">
        <f aca="false">-AB120*AB122</f>
        <v>-241995.574627869</v>
      </c>
      <c r="AC123" s="60" t="n">
        <f aca="false">-AC120*AC122</f>
        <v>-259531.149294613</v>
      </c>
      <c r="AD123" s="60" t="n">
        <f aca="false">-AD120*AD122</f>
        <v>-276193.128140291</v>
      </c>
      <c r="AE123" s="60" t="n">
        <f aca="false">-AE120*AE122</f>
        <v>-291989.889510217</v>
      </c>
      <c r="AF123" s="60" t="n">
        <f aca="false">-AF120*AF122</f>
        <v>-314353.191485922</v>
      </c>
      <c r="AG123" s="60" t="n">
        <f aca="false">-AG120*AG122</f>
        <v>-328583.573599691</v>
      </c>
      <c r="AH123" s="60" t="n">
        <f aca="false">-AH120*AH122</f>
        <v>-342112.64401491</v>
      </c>
      <c r="AI123" s="60" t="n">
        <f aca="false">-AI120*AI122</f>
        <v>-354941.436938267</v>
      </c>
      <c r="AJ123" s="60" t="n">
        <f aca="false">-AJ120*AJ122</f>
        <v>-367113.709432616</v>
      </c>
      <c r="AK123" s="60" t="n">
        <f aca="false">-AK120*AK122</f>
        <v>-378673.163549121</v>
      </c>
      <c r="AL123" s="60" t="n">
        <f aca="false">-AL120*AL122</f>
        <v>-503089.852431263</v>
      </c>
      <c r="AM123" s="60" t="n">
        <f aca="false">-AM120*AM122</f>
        <v>-538537.749475023</v>
      </c>
      <c r="AN123" s="60" t="n">
        <f aca="false">-AN120*AN122</f>
        <v>-572328.30433742</v>
      </c>
      <c r="AO123" s="60" t="n">
        <f aca="false">-AO120*AO122</f>
        <v>-604535.250326624</v>
      </c>
      <c r="AP123" s="60" t="n">
        <f aca="false">-AP120*AP122</f>
        <v>-635239.609367318</v>
      </c>
      <c r="AQ123" s="60" t="n">
        <f aca="false">-AQ120*AQ122</f>
        <v>-664518.554986291</v>
      </c>
      <c r="AR123" s="60" t="n">
        <f aca="false">-AR120*AR122</f>
        <v>-692426.783609881</v>
      </c>
      <c r="AS123" s="60" t="n">
        <f aca="false">-AS120*AS122</f>
        <v>-719022.628773851</v>
      </c>
      <c r="AT123" s="60" t="n">
        <f aca="false">-AT120*AT122</f>
        <v>-744382.882084832</v>
      </c>
      <c r="AU123" s="60" t="n">
        <f aca="false">-AU120*AU122</f>
        <v>-768550.750652833</v>
      </c>
      <c r="AV123" s="60" t="n">
        <f aca="false">-AV120*AV122</f>
        <v>-791602.818919707</v>
      </c>
      <c r="AW123" s="60" t="n">
        <f aca="false">-AW120*AW122</f>
        <v>-813567.170550851</v>
      </c>
      <c r="AX123" s="60" t="n">
        <f aca="false">-AX120*AX122</f>
        <v>-1053662.93282144</v>
      </c>
      <c r="AY123" s="60" t="n">
        <f aca="false">-AY120*AY122</f>
        <v>-1121994.9315321</v>
      </c>
      <c r="AZ123" s="60" t="n">
        <f aca="false">-AZ120*AZ122</f>
        <v>-1187392.5174635</v>
      </c>
      <c r="BA123" s="60" t="n">
        <f aca="false">-BA120*BA122</f>
        <v>-1249961.88052075</v>
      </c>
      <c r="BB123" s="60" t="n">
        <f aca="false">-BB120*BB122</f>
        <v>-1309863.50968851</v>
      </c>
      <c r="BC123" s="60" t="n">
        <f aca="false">-BC120*BC122</f>
        <v>-1367172.04967032</v>
      </c>
      <c r="BD123" s="60" t="n">
        <f aca="false">-BD120*BD122</f>
        <v>-1422028.1282217</v>
      </c>
      <c r="BE123" s="60" t="n">
        <f aca="false">-BE120*BE122</f>
        <v>-1474517.64684753</v>
      </c>
      <c r="BF123" s="60" t="n">
        <f aca="false">-BF120*BF122</f>
        <v>-1524753.63788076</v>
      </c>
      <c r="BG123" s="60" t="n">
        <f aca="false">-BG120*BG122</f>
        <v>-1572833.33289792</v>
      </c>
      <c r="BH123" s="60" t="n">
        <f aca="false">-BH120*BH122</f>
        <v>-1618849.97171437</v>
      </c>
      <c r="BI123" s="60" t="n">
        <f aca="false">-BI120*BI122</f>
        <v>-1662884.88405348</v>
      </c>
      <c r="BJ123" s="61" t="n">
        <f aca="false">SUM(B123:BI123)</f>
        <v>-29396388.3596668</v>
      </c>
    </row>
    <row r="124" customFormat="false" ht="15" hidden="false" customHeight="false" outlineLevel="0" collapsed="false">
      <c r="A124" s="27" t="s">
        <v>723</v>
      </c>
      <c r="B124" s="60" t="n">
        <f aca="false">-B115*Premissas!$B$73*INDEX(Premissas!$C$74:$G$74,B$7)</f>
        <v>-0</v>
      </c>
      <c r="C124" s="60" t="n">
        <f aca="false">-C115*Premissas!$B$73*INDEX(Premissas!$C$74:$G$74,C$7)</f>
        <v>-0</v>
      </c>
      <c r="D124" s="60" t="n">
        <f aca="false">-D115*Premissas!$B$73*INDEX(Premissas!$C$74:$G$74,D$7)</f>
        <v>-0</v>
      </c>
      <c r="E124" s="60" t="n">
        <f aca="false">-E115*Premissas!$B$73*INDEX(Premissas!$C$74:$G$74,E$7)</f>
        <v>-0</v>
      </c>
      <c r="F124" s="60" t="n">
        <f aca="false">-F115*Premissas!$B$73*INDEX(Premissas!$C$74:$G$74,F$7)</f>
        <v>-0</v>
      </c>
      <c r="G124" s="60" t="n">
        <f aca="false">-G115*Premissas!$B$73*INDEX(Premissas!$C$74:$G$74,G$7)</f>
        <v>-0</v>
      </c>
      <c r="H124" s="60" t="n">
        <f aca="false">-H115*Premissas!$B$73*INDEX(Premissas!$C$74:$G$74,H$7)</f>
        <v>-0</v>
      </c>
      <c r="I124" s="60" t="n">
        <f aca="false">-I115*Premissas!$B$73*INDEX(Premissas!$C$74:$G$74,I$7)</f>
        <v>-0</v>
      </c>
      <c r="J124" s="60" t="n">
        <f aca="false">-J115*Premissas!$B$73*INDEX(Premissas!$C$74:$G$74,J$7)</f>
        <v>-0</v>
      </c>
      <c r="K124" s="60" t="n">
        <f aca="false">-K115*Premissas!$B$73*INDEX(Premissas!$C$74:$G$74,K$7)</f>
        <v>-751.026</v>
      </c>
      <c r="L124" s="60" t="n">
        <f aca="false">-L115*Premissas!$B$73*INDEX(Premissas!$C$74:$G$74,L$7)</f>
        <v>-2910.22575</v>
      </c>
      <c r="M124" s="60" t="n">
        <f aca="false">-M115*Premissas!$B$73*INDEX(Premissas!$C$74:$G$74,M$7)</f>
        <v>-6353.274</v>
      </c>
      <c r="N124" s="60" t="n">
        <f aca="false">-N115*Premissas!$B$73*INDEX(Premissas!$C$74:$G$74,N$7)</f>
        <v>-13852.29846</v>
      </c>
      <c r="O124" s="60" t="n">
        <f aca="false">-O115*Premissas!$B$73*INDEX(Premissas!$C$74:$G$74,O$7)</f>
        <v>-22853.42268</v>
      </c>
      <c r="P124" s="60" t="n">
        <f aca="false">-P115*Premissas!$B$73*INDEX(Premissas!$C$74:$G$74,P$7)</f>
        <v>-33701.1873</v>
      </c>
      <c r="Q124" s="60" t="n">
        <f aca="false">-Q115*Premissas!$B$73*INDEX(Premissas!$C$74:$G$74,Q$7)</f>
        <v>-48393.35226</v>
      </c>
      <c r="R124" s="60" t="n">
        <f aca="false">-R115*Premissas!$B$73*INDEX(Premissas!$C$74:$G$74,R$7)</f>
        <v>-55234.61196</v>
      </c>
      <c r="S124" s="60" t="n">
        <f aca="false">-S115*Premissas!$B$73*INDEX(Premissas!$C$74:$G$74,S$7)</f>
        <v>-61701.21408</v>
      </c>
      <c r="T124" s="60" t="n">
        <f aca="false">-T115*Premissas!$B$73*INDEX(Premissas!$C$74:$G$74,T$7)</f>
        <v>-67805.63592</v>
      </c>
      <c r="U124" s="60" t="n">
        <f aca="false">-U115*Premissas!$B$73*INDEX(Premissas!$C$74:$G$74,U$7)</f>
        <v>-73575.3777</v>
      </c>
      <c r="V124" s="60" t="n">
        <f aca="false">-V115*Premissas!$B$73*INDEX(Premissas!$C$74:$G$74,V$7)</f>
        <v>-79025.39964</v>
      </c>
      <c r="W124" s="60" t="n">
        <f aca="false">-W115*Premissas!$B$73*INDEX(Premissas!$C$74:$G$74,W$7)</f>
        <v>-96655.4985</v>
      </c>
      <c r="X124" s="60" t="n">
        <f aca="false">-X115*Premissas!$B$73*INDEX(Premissas!$C$74:$G$74,X$7)</f>
        <v>-102235.83612</v>
      </c>
      <c r="Y124" s="60" t="n">
        <f aca="false">-Y115*Premissas!$B$73*INDEX(Premissas!$C$74:$G$74,Y$7)</f>
        <v>-107518.82526</v>
      </c>
      <c r="Z124" s="60" t="n">
        <f aca="false">-Z115*Premissas!$B$73*INDEX(Premissas!$C$74:$G$74,Z$7)</f>
        <v>-136207.134353813</v>
      </c>
      <c r="AA124" s="60" t="n">
        <f aca="false">-AA115*Premissas!$B$73*INDEX(Premissas!$C$74:$G$74,AA$7)</f>
        <v>-149195.30568525</v>
      </c>
      <c r="AB124" s="60" t="n">
        <f aca="false">-AB115*Premissas!$B$73*INDEX(Premissas!$C$74:$G$74,AB$7)</f>
        <v>-161534.605316906</v>
      </c>
      <c r="AC124" s="60" t="n">
        <f aca="false">-AC115*Premissas!$B$73*INDEX(Premissas!$C$74:$G$74,AC$7)</f>
        <v>-173239.640448187</v>
      </c>
      <c r="AD124" s="60" t="n">
        <f aca="false">-AD115*Premissas!$B$73*INDEX(Premissas!$C$74:$G$74,AD$7)</f>
        <v>-184361.910978094</v>
      </c>
      <c r="AE124" s="60" t="n">
        <f aca="false">-AE115*Premissas!$B$73*INDEX(Premissas!$C$74:$G$74,AE$7)</f>
        <v>-194906.220451594</v>
      </c>
      <c r="AF124" s="60" t="n">
        <f aca="false">-AF115*Premissas!$B$73*INDEX(Premissas!$C$74:$G$74,AF$7)</f>
        <v>-204929.00745075</v>
      </c>
      <c r="AG124" s="60" t="n">
        <f aca="false">-AG115*Premissas!$B$73*INDEX(Premissas!$C$74:$G$74,AG$7)</f>
        <v>-214427.704351781</v>
      </c>
      <c r="AH124" s="60" t="n">
        <f aca="false">-AH115*Premissas!$B$73*INDEX(Premissas!$C$74:$G$74,AH$7)</f>
        <v>-223458.737451469</v>
      </c>
      <c r="AI124" s="60" t="n">
        <f aca="false">-AI115*Premissas!$B$73*INDEX(Premissas!$C$74:$G$74,AI$7)</f>
        <v>-232022.033038125</v>
      </c>
      <c r="AJ124" s="60" t="n">
        <f aca="false">-AJ115*Premissas!$B$73*INDEX(Premissas!$C$74:$G$74,AJ$7)</f>
        <v>-240146.989789781</v>
      </c>
      <c r="AK124" s="60" t="n">
        <f aca="false">-AK115*Premissas!$B$73*INDEX(Premissas!$C$74:$G$74,AK$7)</f>
        <v>-247863.006384469</v>
      </c>
      <c r="AL124" s="60" t="n">
        <f aca="false">-AL115*Premissas!$B$73*INDEX(Premissas!$C$74:$G$74,AL$7)</f>
        <v>-311955.357506864</v>
      </c>
      <c r="AM124" s="60" t="n">
        <f aca="false">-AM115*Premissas!$B$73*INDEX(Premissas!$C$74:$G$74,AM$7)</f>
        <v>-334446.903758212</v>
      </c>
      <c r="AN124" s="60" t="n">
        <f aca="false">-AN115*Premissas!$B$73*INDEX(Premissas!$C$74:$G$74,AN$7)</f>
        <v>-355886.841689117</v>
      </c>
      <c r="AO124" s="60" t="n">
        <f aca="false">-AO115*Premissas!$B$73*INDEX(Premissas!$C$74:$G$74,AO$7)</f>
        <v>-376321.856862219</v>
      </c>
      <c r="AP124" s="60" t="n">
        <f aca="false">-AP115*Premissas!$B$73*INDEX(Premissas!$C$74:$G$74,AP$7)</f>
        <v>-395803.552353224</v>
      </c>
      <c r="AQ124" s="60" t="n">
        <f aca="false">-AQ115*Premissas!$B$73*INDEX(Premissas!$C$74:$G$74,AQ$7)</f>
        <v>-414381.078643603</v>
      </c>
      <c r="AR124" s="60" t="n">
        <f aca="false">-AR115*Premissas!$B$73*INDEX(Premissas!$C$74:$G$74,AR$7)</f>
        <v>-432088.80902644</v>
      </c>
      <c r="AS124" s="60" t="n">
        <f aca="false">-AS115*Premissas!$B$73*INDEX(Premissas!$C$74:$G$74,AS$7)</f>
        <v>-448963.606362838</v>
      </c>
      <c r="AT124" s="60" t="n">
        <f aca="false">-AT115*Premissas!$B$73*INDEX(Premissas!$C$74:$G$74,AT$7)</f>
        <v>-465054.621134266</v>
      </c>
      <c r="AU124" s="60" t="n">
        <f aca="false">-AU115*Premissas!$B$73*INDEX(Premissas!$C$74:$G$74,AU$7)</f>
        <v>-480388.868851102</v>
      </c>
      <c r="AV124" s="60" t="n">
        <f aca="false">-AV115*Premissas!$B$73*INDEX(Premissas!$C$74:$G$74,AV$7)</f>
        <v>-495015.51231941</v>
      </c>
      <c r="AW124" s="60" t="n">
        <f aca="false">-AW115*Premissas!$B$73*INDEX(Premissas!$C$74:$G$74,AW$7)</f>
        <v>-508951.707374246</v>
      </c>
      <c r="AX124" s="60" t="n">
        <f aca="false">-AX115*Premissas!$B$73*INDEX(Premissas!$C$74:$G$74,AX$7)</f>
        <v>-642029.557662472</v>
      </c>
      <c r="AY124" s="60" t="n">
        <f aca="false">-AY115*Premissas!$B$73*INDEX(Premissas!$C$74:$G$74,AY$7)</f>
        <v>-684123.15077845</v>
      </c>
      <c r="AZ124" s="60" t="n">
        <f aca="false">-AZ115*Premissas!$B$73*INDEX(Premissas!$C$74:$G$74,AZ$7)</f>
        <v>-724409.173092862</v>
      </c>
      <c r="BA124" s="60" t="n">
        <f aca="false">-BA115*Premissas!$B$73*INDEX(Premissas!$C$74:$G$74,BA$7)</f>
        <v>-762952.498213843</v>
      </c>
      <c r="BB124" s="60" t="n">
        <f aca="false">-BB115*Premissas!$B$73*INDEX(Premissas!$C$74:$G$74,BB$7)</f>
        <v>-799853.059796384</v>
      </c>
      <c r="BC124" s="60" t="n">
        <f aca="false">-BC115*Premissas!$B$73*INDEX(Premissas!$C$74:$G$74,BC$7)</f>
        <v>-835155.734700465</v>
      </c>
      <c r="BD124" s="60" t="n">
        <f aca="false">-BD115*Premissas!$B$73*INDEX(Premissas!$C$74:$G$74,BD$7)</f>
        <v>-868947.960178659</v>
      </c>
      <c r="BE124" s="60" t="n">
        <f aca="false">-BE115*Premissas!$B$73*INDEX(Premissas!$C$74:$G$74,BE$7)</f>
        <v>-901282.113436687</v>
      </c>
      <c r="BF124" s="60" t="n">
        <f aca="false">-BF115*Premissas!$B$73*INDEX(Premissas!$C$74:$G$74,BF$7)</f>
        <v>-932228.139268028</v>
      </c>
      <c r="BG124" s="60" t="n">
        <f aca="false">-BG115*Premissas!$B$73*INDEX(Premissas!$C$74:$G$74,BG$7)</f>
        <v>-961845.94026703</v>
      </c>
      <c r="BH124" s="60" t="n">
        <f aca="false">-BH115*Premissas!$B$73*INDEX(Premissas!$C$74:$G$74,BH$7)</f>
        <v>-990192.96482476</v>
      </c>
      <c r="BI124" s="60" t="n">
        <f aca="false">-BI115*Premissas!$B$73*INDEX(Premissas!$C$74:$G$74,BI$7)</f>
        <v>-1017319.11090076</v>
      </c>
      <c r="BJ124" s="61" t="n">
        <f aca="false">SUM(B124:BI124)</f>
        <v>-18274457.6003322</v>
      </c>
    </row>
    <row r="125" customFormat="false" ht="15" hidden="false" customHeight="false" outlineLevel="0" collapsed="false">
      <c r="A125" s="27" t="s">
        <v>725</v>
      </c>
      <c r="B125" s="60" t="n">
        <f aca="false">-(B115*(1-INDEX(Premissas!$C$74:$G$74,B$7))+B116)*Premissas!$B$75</f>
        <v>-0</v>
      </c>
      <c r="C125" s="60" t="n">
        <f aca="false">-(C115*(1-INDEX(Premissas!$C$74:$G$74,C$7))+C116)*Premissas!$B$75</f>
        <v>-0</v>
      </c>
      <c r="D125" s="60" t="n">
        <f aca="false">-(D115*(1-INDEX(Premissas!$C$74:$G$74,D$7))+D116)*Premissas!$B$75</f>
        <v>-0</v>
      </c>
      <c r="E125" s="60" t="n">
        <f aca="false">-(E115*(1-INDEX(Premissas!$C$74:$G$74,E$7))+E116)*Premissas!$B$75</f>
        <v>-0</v>
      </c>
      <c r="F125" s="60" t="n">
        <f aca="false">-(F115*(1-INDEX(Premissas!$C$74:$G$74,F$7))+F116)*Premissas!$B$75</f>
        <v>-0</v>
      </c>
      <c r="G125" s="60" t="n">
        <f aca="false">-(G115*(1-INDEX(Premissas!$C$74:$G$74,G$7))+G116)*Premissas!$B$75</f>
        <v>-0</v>
      </c>
      <c r="H125" s="60" t="n">
        <f aca="false">-(H115*(1-INDEX(Premissas!$C$74:$G$74,H$7))+H116)*Premissas!$B$75</f>
        <v>-0</v>
      </c>
      <c r="I125" s="60" t="n">
        <f aca="false">-(I115*(1-INDEX(Premissas!$C$74:$G$74,I$7))+I116)*Premissas!$B$75</f>
        <v>-0</v>
      </c>
      <c r="J125" s="60" t="n">
        <f aca="false">-(J115*(1-INDEX(Premissas!$C$74:$G$74,J$7))+J116)*Premissas!$B$75</f>
        <v>-0</v>
      </c>
      <c r="K125" s="60" t="n">
        <f aca="false">-(K115*(1-INDEX(Premissas!$C$74:$G$74,K$7))+K116)*Premissas!$B$75</f>
        <v>-39.7602</v>
      </c>
      <c r="L125" s="60" t="n">
        <f aca="false">-(L115*(1-INDEX(Premissas!$C$74:$G$74,L$7))+L116)*Premissas!$B$75</f>
        <v>-154.070775</v>
      </c>
      <c r="M125" s="60" t="n">
        <f aca="false">-(M115*(1-INDEX(Premissas!$C$74:$G$74,M$7))+M116)*Premissas!$B$75</f>
        <v>-336.3498</v>
      </c>
      <c r="N125" s="60" t="n">
        <f aca="false">-(N115*(1-INDEX(Premissas!$C$74:$G$74,N$7))+N116)*Premissas!$B$75</f>
        <v>-1294.41367757016</v>
      </c>
      <c r="O125" s="60" t="n">
        <f aca="false">-(O115*(1-INDEX(Premissas!$C$74:$G$74,O$7))+O116)*Premissas!$B$75</f>
        <v>-2051.18007469269</v>
      </c>
      <c r="P125" s="60" t="n">
        <f aca="false">-(P115*(1-INDEX(Premissas!$C$74:$G$74,P$7))+P116)*Premissas!$B$75</f>
        <v>-2941.93565096485</v>
      </c>
      <c r="Q125" s="60" t="n">
        <f aca="false">-(Q115*(1-INDEX(Premissas!$C$74:$G$74,Q$7))+Q116)*Premissas!$B$75</f>
        <v>-4116.76129045359</v>
      </c>
      <c r="R125" s="60" t="n">
        <f aca="false">-(R115*(1-INDEX(Premissas!$C$74:$G$74,R$7))+R116)*Premissas!$B$75</f>
        <v>-4698.74422307695</v>
      </c>
      <c r="S125" s="60" t="n">
        <f aca="false">-(S115*(1-INDEX(Premissas!$C$74:$G$74,S$7))+S116)*Premissas!$B$75</f>
        <v>-5248.8251944775</v>
      </c>
      <c r="T125" s="60" t="n">
        <f aca="false">-(T115*(1-INDEX(Premissas!$C$74:$G$74,T$7))+T116)*Premissas!$B$75</f>
        <v>-5768.14990803355</v>
      </c>
      <c r="U125" s="60" t="n">
        <f aca="false">-(U115*(1-INDEX(Premissas!$C$74:$G$74,U$7))+U116)*Premissas!$B$75</f>
        <v>-6258.97919931889</v>
      </c>
      <c r="V125" s="60" t="n">
        <f aca="false">-(V115*(1-INDEX(Premissas!$C$74:$G$74,V$7))+V116)*Premissas!$B$75</f>
        <v>-6722.62245669449</v>
      </c>
      <c r="W125" s="60" t="n">
        <f aca="false">-(W115*(1-INDEX(Premissas!$C$74:$G$74,W$7))+W116)*Premissas!$B$75</f>
        <v>-8096.74146609455</v>
      </c>
      <c r="X125" s="60" t="n">
        <f aca="false">-(X115*(1-INDEX(Premissas!$C$74:$G$74,X$7))+X116)*Premissas!$B$75</f>
        <v>-8564.26562245613</v>
      </c>
      <c r="Y125" s="60" t="n">
        <f aca="false">-(Y115*(1-INDEX(Premissas!$C$74:$G$74,Y$7))+Y116)*Premissas!$B$75</f>
        <v>-9006.78390713336</v>
      </c>
      <c r="Z125" s="60" t="n">
        <f aca="false">-(Z115*(1-INDEX(Premissas!$C$74:$G$74,Z$7))+Z116)*Premissas!$B$75</f>
        <v>-15367.7893026209</v>
      </c>
      <c r="AA125" s="60" t="n">
        <f aca="false">-(AA115*(1-INDEX(Premissas!$C$74:$G$74,AA$7))+AA116)*Premissas!$B$75</f>
        <v>-16833.3101349227</v>
      </c>
      <c r="AB125" s="60" t="n">
        <f aca="false">-(AB115*(1-INDEX(Premissas!$C$74:$G$74,AB$7))+AB116)*Premissas!$B$75</f>
        <v>-18225.4779165884</v>
      </c>
      <c r="AC125" s="60" t="n">
        <f aca="false">-(AC115*(1-INDEX(Premissas!$C$74:$G$74,AC$7))+AC116)*Premissas!$B$75</f>
        <v>-19546.1832988419</v>
      </c>
      <c r="AD125" s="60" t="n">
        <f aca="false">-(AD115*(1-INDEX(Premissas!$C$74:$G$74,AD$7))+AD116)*Premissas!$B$75</f>
        <v>-20800.9843692362</v>
      </c>
      <c r="AE125" s="60" t="n">
        <f aca="false">-(AE115*(1-INDEX(Premissas!$C$74:$G$74,AE$7))+AE116)*Premissas!$B$75</f>
        <v>-21990.7488550901</v>
      </c>
      <c r="AF125" s="60" t="n">
        <f aca="false">-(AF115*(1-INDEX(Premissas!$C$74:$G$74,AF$7))+AF116)*Premissas!$B$75</f>
        <v>-23121.4883150902</v>
      </c>
      <c r="AG125" s="60" t="n">
        <f aca="false">-(AG115*(1-INDEX(Premissas!$C$74:$G$74,AG$7))+AG116)*Premissas!$B$75</f>
        <v>-24193.2950140377</v>
      </c>
      <c r="AH125" s="60" t="n">
        <f aca="false">-(AH115*(1-INDEX(Premissas!$C$74:$G$74,AH$7))+AH116)*Premissas!$B$75</f>
        <v>-25212.1428837936</v>
      </c>
      <c r="AI125" s="60" t="n">
        <f aca="false">-(AI115*(1-INDEX(Premissas!$C$74:$G$74,AI$7))+AI116)*Premissas!$B$75</f>
        <v>-26178.3390305222</v>
      </c>
      <c r="AJ125" s="60" t="n">
        <f aca="false">-(AJ115*(1-INDEX(Premissas!$C$74:$G$74,AJ$7))+AJ116)*Premissas!$B$75</f>
        <v>-27095.1218289426</v>
      </c>
      <c r="AK125" s="60" t="n">
        <f aca="false">-(AK115*(1-INDEX(Premissas!$C$74:$G$74,AK$7))+AK116)*Premissas!$B$75</f>
        <v>-27965.7144943987</v>
      </c>
      <c r="AL125" s="60" t="n">
        <f aca="false">-(AL115*(1-INDEX(Premissas!$C$74:$G$74,AL$7))+AL116)*Premissas!$B$75</f>
        <v>-41898.0734546574</v>
      </c>
      <c r="AM125" s="60" t="n">
        <f aca="false">-(AM115*(1-INDEX(Premissas!$C$74:$G$74,AM$7))+AM116)*Premissas!$B$75</f>
        <v>-44918.8604486298</v>
      </c>
      <c r="AN125" s="60" t="n">
        <f aca="false">-(AN115*(1-INDEX(Premissas!$C$74:$G$74,AN$7))+AN116)*Premissas!$B$75</f>
        <v>-47798.4220504231</v>
      </c>
      <c r="AO125" s="60" t="n">
        <f aca="false">-(AO115*(1-INDEX(Premissas!$C$74:$G$74,AO$7))+AO116)*Premissas!$B$75</f>
        <v>-50543.0710166442</v>
      </c>
      <c r="AP125" s="60" t="n">
        <f aca="false">-(AP115*(1-INDEX(Premissas!$C$74:$G$74,AP$7))+AP116)*Premissas!$B$75</f>
        <v>-53159.6533481006</v>
      </c>
      <c r="AQ125" s="60" t="n">
        <f aca="false">-(AQ115*(1-INDEX(Premissas!$C$74:$G$74,AQ$7))+AQ116)*Premissas!$B$75</f>
        <v>-55654.6903345558</v>
      </c>
      <c r="AR125" s="60" t="n">
        <f aca="false">-(AR115*(1-INDEX(Premissas!$C$74:$G$74,AR$7))+AR116)*Premissas!$B$75</f>
        <v>-58032.9424876872</v>
      </c>
      <c r="AS125" s="60" t="n">
        <f aca="false">-(AS115*(1-INDEX(Premissas!$C$74:$G$74,AS$7))+AS116)*Premissas!$B$75</f>
        <v>-60299.4257140713</v>
      </c>
      <c r="AT125" s="60" t="n">
        <f aca="false">-(AT115*(1-INDEX(Premissas!$C$74:$G$74,AT$7))+AT116)*Premissas!$B$75</f>
        <v>-62460.5560590919</v>
      </c>
      <c r="AU125" s="60" t="n">
        <f aca="false">-(AU115*(1-INDEX(Premissas!$C$74:$G$74,AU$7))+AU116)*Premissas!$B$75</f>
        <v>-64520.1352992162</v>
      </c>
      <c r="AV125" s="60" t="n">
        <f aca="false">-(AV115*(1-INDEX(Premissas!$C$74:$G$74,AV$7))+AV116)*Premissas!$B$75</f>
        <v>-66484.5186947883</v>
      </c>
      <c r="AW125" s="60" t="n">
        <f aca="false">-(AW115*(1-INDEX(Premissas!$C$74:$G$74,AW$7))+AW116)*Premissas!$B$75</f>
        <v>-68356.298411047</v>
      </c>
      <c r="AX125" s="60" t="n">
        <f aca="false">-(AX115*(1-INDEX(Premissas!$C$74:$G$74,AX$7))+AX116)*Premissas!$B$75</f>
        <v>-94595.2783042279</v>
      </c>
      <c r="AY125" s="60" t="n">
        <f aca="false">-(AY115*(1-INDEX(Premissas!$C$74:$G$74,AY$7))+AY116)*Premissas!$B$75</f>
        <v>-100797.206137835</v>
      </c>
      <c r="AZ125" s="60" t="n">
        <f aca="false">-(AZ115*(1-INDEX(Premissas!$C$74:$G$74,AZ$7))+AZ116)*Premissas!$B$75</f>
        <v>-106732.779522584</v>
      </c>
      <c r="BA125" s="60" t="n">
        <f aca="false">-(BA115*(1-INDEX(Premissas!$C$74:$G$74,BA$7))+BA116)*Premissas!$B$75</f>
        <v>-112411.798750382</v>
      </c>
      <c r="BB125" s="60" t="n">
        <f aca="false">-(BB115*(1-INDEX(Premissas!$C$74:$G$74,BB$7))+BB116)*Premissas!$B$75</f>
        <v>-117848.509103235</v>
      </c>
      <c r="BC125" s="60" t="n">
        <f aca="false">-(BC115*(1-INDEX(Premissas!$C$74:$G$74,BC$7))+BC116)*Premissas!$B$75</f>
        <v>-123050.017098522</v>
      </c>
      <c r="BD125" s="60" t="n">
        <f aca="false">-(BD115*(1-INDEX(Premissas!$C$74:$G$74,BD$7))+BD116)*Premissas!$B$75</f>
        <v>-128028.843850729</v>
      </c>
      <c r="BE125" s="60" t="n">
        <f aca="false">-(BE115*(1-INDEX(Premissas!$C$74:$G$74,BE$7))+BE116)*Premissas!$B$75</f>
        <v>-132792.947770212</v>
      </c>
      <c r="BF125" s="60" t="n">
        <f aca="false">-(BF115*(1-INDEX(Premissas!$C$74:$G$74,BF$7))+BF116)*Premissas!$B$75</f>
        <v>-137352.493336765</v>
      </c>
      <c r="BG125" s="60" t="n">
        <f aca="false">-(BG115*(1-INDEX(Premissas!$C$74:$G$74,BG$7))+BG116)*Premissas!$B$75</f>
        <v>-141716.303531688</v>
      </c>
      <c r="BH125" s="60" t="n">
        <f aca="false">-(BH115*(1-INDEX(Premissas!$C$74:$G$74,BH$7))+BH116)*Premissas!$B$75</f>
        <v>-145892.837601848</v>
      </c>
      <c r="BI125" s="60" t="n">
        <f aca="false">-(BI115*(1-INDEX(Premissas!$C$74:$G$74,BI$7))+BI116)*Premissas!$B$75</f>
        <v>-149889.537901886</v>
      </c>
      <c r="BJ125" s="61" t="n">
        <f aca="false">SUM(B125:BI125)</f>
        <v>-2497065.37911888</v>
      </c>
    </row>
    <row r="126" customFormat="false" ht="15" hidden="false" customHeight="false" outlineLevel="0" collapsed="false">
      <c r="A126" s="62" t="s">
        <v>824</v>
      </c>
      <c r="B126" s="61" t="n">
        <f aca="false">B120+SUM(B123:B125)</f>
        <v>0</v>
      </c>
      <c r="C126" s="61" t="n">
        <f aca="false">C120+SUM(C123:C125)</f>
        <v>0</v>
      </c>
      <c r="D126" s="61" t="n">
        <f aca="false">D120+SUM(D123:D125)</f>
        <v>0</v>
      </c>
      <c r="E126" s="61" t="n">
        <f aca="false">E120+SUM(E123:E125)</f>
        <v>0</v>
      </c>
      <c r="F126" s="61" t="n">
        <f aca="false">F120+SUM(F123:F125)</f>
        <v>0</v>
      </c>
      <c r="G126" s="61" t="n">
        <f aca="false">G120+SUM(G123:G125)</f>
        <v>0</v>
      </c>
      <c r="H126" s="61" t="n">
        <f aca="false">H120+SUM(H123:H125)</f>
        <v>0</v>
      </c>
      <c r="I126" s="61" t="n">
        <f aca="false">I120+SUM(I123:I125)</f>
        <v>0</v>
      </c>
      <c r="J126" s="61" t="n">
        <f aca="false">J120+SUM(J123:J125)</f>
        <v>0</v>
      </c>
      <c r="K126" s="61" t="n">
        <f aca="false">K120+SUM(K123:K125)</f>
        <v>4186.6018</v>
      </c>
      <c r="L126" s="61" t="n">
        <f aca="false">L120+SUM(L123:L125)</f>
        <v>16223.081975</v>
      </c>
      <c r="M126" s="61" t="n">
        <f aca="false">M120+SUM(M123:M125)</f>
        <v>35416.3882</v>
      </c>
      <c r="N126" s="61" t="n">
        <f aca="false">N120+SUM(N123:N125)</f>
        <v>87194.1149103584</v>
      </c>
      <c r="O126" s="61" t="n">
        <f aca="false">O120+SUM(O123:O125)</f>
        <v>141865.716766426</v>
      </c>
      <c r="P126" s="61" t="n">
        <f aca="false">P120+SUM(P123:P125)</f>
        <v>204070.029723698</v>
      </c>
      <c r="Q126" s="61" t="n">
        <f aca="false">Q120+SUM(Q123:Q125)</f>
        <v>286807.007995906</v>
      </c>
      <c r="R126" s="61" t="n">
        <f aca="false">R120+SUM(R123:R125)</f>
        <v>323157.058071777</v>
      </c>
      <c r="S126" s="61" t="n">
        <f aca="false">S120+SUM(S123:S125)</f>
        <v>358530.198055771</v>
      </c>
      <c r="T126" s="61" t="n">
        <f aca="false">T120+SUM(T123:T125)</f>
        <v>390333.048337456</v>
      </c>
      <c r="U126" s="61" t="n">
        <f aca="false">U120+SUM(U123:U125)</f>
        <v>419525.178984573</v>
      </c>
      <c r="V126" s="61" t="n">
        <f aca="false">V120+SUM(V123:V125)</f>
        <v>447625.767011361</v>
      </c>
      <c r="W126" s="61" t="n">
        <f aca="false">W120+SUM(W123:W125)</f>
        <v>579737.841228047</v>
      </c>
      <c r="X126" s="61" t="n">
        <f aca="false">X120+SUM(X123:X125)</f>
        <v>618709.637608438</v>
      </c>
      <c r="Y126" s="61" t="n">
        <f aca="false">Y120+SUM(Y123:Y125)</f>
        <v>650680.533579779</v>
      </c>
      <c r="Z126" s="61" t="n">
        <f aca="false">Z120+SUM(Z123:Z125)</f>
        <v>893926.900869197</v>
      </c>
      <c r="AA126" s="61" t="n">
        <f aca="false">AA120+SUM(AA123:AA125)</f>
        <v>979170.145734149</v>
      </c>
      <c r="AB126" s="61" t="n">
        <f aca="false">AB120+SUM(AB123:AB125)</f>
        <v>1060152.33128664</v>
      </c>
      <c r="AC126" s="61" t="n">
        <f aca="false">AC120+SUM(AC123:AC125)</f>
        <v>1136973.59214276</v>
      </c>
      <c r="AD126" s="61" t="n">
        <f aca="false">AD120+SUM(AD123:AD125)</f>
        <v>1209967.48012714</v>
      </c>
      <c r="AE126" s="61" t="n">
        <f aca="false">AE120+SUM(AE123:AE125)</f>
        <v>1279171.25208461</v>
      </c>
      <c r="AF126" s="61" t="n">
        <f aca="false">AF120+SUM(AF123:AF125)</f>
        <v>1382600.54719969</v>
      </c>
      <c r="AG126" s="61" t="n">
        <f aca="false">AG120+SUM(AG123:AG125)</f>
        <v>1444942.23413609</v>
      </c>
      <c r="AH126" s="61" t="n">
        <f aca="false">AH120+SUM(AH123:AH125)</f>
        <v>1504211.23385503</v>
      </c>
      <c r="AI126" s="61" t="n">
        <f aca="false">AI120+SUM(AI123:AI125)</f>
        <v>1560412.61192552</v>
      </c>
      <c r="AJ126" s="61" t="n">
        <f aca="false">AJ120+SUM(AJ123:AJ125)</f>
        <v>1613737.92930148</v>
      </c>
      <c r="AK126" s="61" t="n">
        <f aca="false">AK120+SUM(AK123:AK125)</f>
        <v>1664378.48023289</v>
      </c>
      <c r="AL126" s="61" t="n">
        <f aca="false">AL120+SUM(AL123:AL125)</f>
        <v>2223827.3989787</v>
      </c>
      <c r="AM126" s="61" t="n">
        <f aca="false">AM120+SUM(AM123:AM125)</f>
        <v>2379939.41023132</v>
      </c>
      <c r="AN126" s="61" t="n">
        <f aca="false">AN120+SUM(AN123:AN125)</f>
        <v>2528752.53319322</v>
      </c>
      <c r="AO126" s="61" t="n">
        <f aca="false">AO120+SUM(AO123:AO125)</f>
        <v>2670591.5568014</v>
      </c>
      <c r="AP126" s="61" t="n">
        <f aca="false">AP120+SUM(AP123:AP125)</f>
        <v>2805813.16391064</v>
      </c>
      <c r="AQ126" s="61" t="n">
        <f aca="false">AQ120+SUM(AQ123:AQ125)</f>
        <v>2934757.0966497</v>
      </c>
      <c r="AR126" s="61" t="n">
        <f aca="false">AR120+SUM(AR123:AR125)</f>
        <v>3057664.46922309</v>
      </c>
      <c r="AS126" s="61" t="n">
        <f aca="false">AS120+SUM(AS123:AS125)</f>
        <v>3174792.2863253</v>
      </c>
      <c r="AT126" s="61" t="n">
        <f aca="false">AT120+SUM(AT123:AT125)</f>
        <v>3286478.43848563</v>
      </c>
      <c r="AU126" s="61" t="n">
        <f aca="false">AU120+SUM(AU123:AU125)</f>
        <v>3392913.48863122</v>
      </c>
      <c r="AV126" s="61" t="n">
        <f aca="false">AV120+SUM(AV123:AV125)</f>
        <v>3494434.3143019</v>
      </c>
      <c r="AW126" s="61" t="n">
        <f aca="false">AW120+SUM(AW123:AW125)</f>
        <v>3591165.05973765</v>
      </c>
      <c r="AX126" s="61" t="n">
        <f aca="false">AX120+SUM(AX123:AX125)</f>
        <v>4662026.57794451</v>
      </c>
      <c r="AY126" s="61" t="n">
        <f aca="false">AY120+SUM(AY123:AY125)</f>
        <v>4963843.63091538</v>
      </c>
      <c r="AZ126" s="61" t="n">
        <f aca="false">AZ120+SUM(AZ123:AZ125)</f>
        <v>5252699.56215312</v>
      </c>
      <c r="BA126" s="61" t="n">
        <f aca="false">BA120+SUM(BA123:BA125)</f>
        <v>5529063.78283803</v>
      </c>
      <c r="BB126" s="61" t="n">
        <f aca="false">BB120+SUM(BB123:BB125)</f>
        <v>5793644.41123742</v>
      </c>
      <c r="BC126" s="61" t="n">
        <f aca="false">BC120+SUM(BC123:BC125)</f>
        <v>6046771.92094538</v>
      </c>
      <c r="BD126" s="61" t="n">
        <f aca="false">BD120+SUM(BD123:BD125)</f>
        <v>6289066.88784506</v>
      </c>
      <c r="BE126" s="61" t="n">
        <f aca="false">BE120+SUM(BE123:BE125)</f>
        <v>6520909.10975041</v>
      </c>
      <c r="BF126" s="61" t="n">
        <f aca="false">BF120+SUM(BF123:BF125)</f>
        <v>6742797.62100718</v>
      </c>
      <c r="BG126" s="61" t="n">
        <f aca="false">BG120+SUM(BG123:BG125)</f>
        <v>6955161.88134329</v>
      </c>
      <c r="BH126" s="61" t="n">
        <f aca="false">BH120+SUM(BH123:BH125)</f>
        <v>7158413.71584293</v>
      </c>
      <c r="BI126" s="61" t="n">
        <f aca="false">BI120+SUM(BI123:BI125)</f>
        <v>7352912.49319089</v>
      </c>
      <c r="BJ126" s="61" t="n">
        <f aca="false">SUM(B126:BI126)</f>
        <v>129102147.754627</v>
      </c>
    </row>
    <row r="127" customFormat="false" ht="15" hidden="false" customHeight="false" outlineLevel="0" collapsed="false">
      <c r="A127" s="27" t="s">
        <v>728</v>
      </c>
      <c r="B127" s="60" t="n">
        <f aca="false">-(B107*INDEX(Premissas!$C$104:$G$104,B$7)+(B105-B107)*INDEX(Premissas!$C$105:$G$105,B$7)+B111*Premissas!$B$80+IF(B$4&gt;=Premissas!$B$102,IF('Ajuste Mensal'!B$31="",INDEX(Premissas!$C$103:$G$103,B$7),'Ajuste Mensal'!B$31),0))</f>
        <v>-0</v>
      </c>
      <c r="C127" s="60" t="n">
        <f aca="false">-(C107*INDEX(Premissas!$C$104:$G$104,C$7)+(C105-C107)*INDEX(Premissas!$C$105:$G$105,C$7)+C111*Premissas!$B$80+IF(C$4&gt;=Premissas!$B$102,IF('Ajuste Mensal'!C$31="",INDEX(Premissas!$C$103:$G$103,C$7),'Ajuste Mensal'!C$31),0))</f>
        <v>-0</v>
      </c>
      <c r="D127" s="60" t="n">
        <f aca="false">-(D107*INDEX(Premissas!$C$104:$G$104,D$7)+(D105-D107)*INDEX(Premissas!$C$105:$G$105,D$7)+D111*Premissas!$B$80+IF(D$4&gt;=Premissas!$B$102,IF('Ajuste Mensal'!D$31="",INDEX(Premissas!$C$103:$G$103,D$7),'Ajuste Mensal'!D$31),0))</f>
        <v>-0</v>
      </c>
      <c r="E127" s="60" t="n">
        <f aca="false">-(E107*INDEX(Premissas!$C$104:$G$104,E$7)+(E105-E107)*INDEX(Premissas!$C$105:$G$105,E$7)+E111*Premissas!$B$80+IF(E$4&gt;=Premissas!$B$102,IF('Ajuste Mensal'!E$31="",INDEX(Premissas!$C$103:$G$103,E$7),'Ajuste Mensal'!E$31),0))</f>
        <v>-0</v>
      </c>
      <c r="F127" s="60" t="n">
        <f aca="false">-(F107*INDEX(Premissas!$C$104:$G$104,F$7)+(F105-F107)*INDEX(Premissas!$C$105:$G$105,F$7)+F111*Premissas!$B$80+IF(F$4&gt;=Premissas!$B$102,IF('Ajuste Mensal'!F$31="",INDEX(Premissas!$C$103:$G$103,F$7),'Ajuste Mensal'!F$31),0))</f>
        <v>-600</v>
      </c>
      <c r="G127" s="60" t="n">
        <f aca="false">-(G107*INDEX(Premissas!$C$104:$G$104,G$7)+(G105-G107)*INDEX(Premissas!$C$105:$G$105,G$7)+G111*Premissas!$B$80+IF(G$4&gt;=Premissas!$B$102,IF('Ajuste Mensal'!G$31="",INDEX(Premissas!$C$103:$G$103,G$7),'Ajuste Mensal'!G$31),0))</f>
        <v>-600</v>
      </c>
      <c r="H127" s="60" t="n">
        <f aca="false">-(H107*INDEX(Premissas!$C$104:$G$104,H$7)+(H105-H107)*INDEX(Premissas!$C$105:$G$105,H$7)+H111*Premissas!$B$80+IF(H$4&gt;=Premissas!$B$102,IF('Ajuste Mensal'!H$31="",INDEX(Premissas!$C$103:$G$103,H$7),'Ajuste Mensal'!H$31),0))</f>
        <v>-600</v>
      </c>
      <c r="I127" s="60" t="n">
        <f aca="false">-(I107*INDEX(Premissas!$C$104:$G$104,I$7)+(I105-I107)*INDEX(Premissas!$C$105:$G$105,I$7)+I111*Premissas!$B$80+IF(I$4&gt;=Premissas!$B$102,IF('Ajuste Mensal'!I$31="",INDEX(Premissas!$C$103:$G$103,I$7),'Ajuste Mensal'!I$31),0))</f>
        <v>-600</v>
      </c>
      <c r="J127" s="60" t="n">
        <f aca="false">-(J107*INDEX(Premissas!$C$104:$G$104,J$7)+(J105-J107)*INDEX(Premissas!$C$105:$G$105,J$7)+J111*Premissas!$B$80+IF(J$4&gt;=Premissas!$B$102,IF('Ajuste Mensal'!J$31="",INDEX(Premissas!$C$103:$G$103,J$7),'Ajuste Mensal'!J$31),0))</f>
        <v>-600</v>
      </c>
      <c r="K127" s="60" t="n">
        <f aca="false">-(K107*INDEX(Premissas!$C$104:$G$104,K$7)+(K105-K107)*INDEX(Premissas!$C$105:$G$105,K$7)+K111*Premissas!$B$80+IF(K$4&gt;=Premissas!$B$102,IF('Ajuste Mensal'!K$31="",INDEX(Premissas!$C$103:$G$103,K$7),'Ajuste Mensal'!K$31),0))</f>
        <v>-1544.88</v>
      </c>
      <c r="L127" s="60" t="n">
        <f aca="false">-(L107*INDEX(Premissas!$C$104:$G$104,L$7)+(L105-L107)*INDEX(Premissas!$C$105:$G$105,L$7)+L111*Premissas!$B$80+IF(L$4&gt;=Premissas!$B$102,IF('Ajuste Mensal'!L$31="",INDEX(Premissas!$C$103:$G$103,L$7),'Ajuste Mensal'!L$31),0))</f>
        <v>-3280.752</v>
      </c>
      <c r="M127" s="60" t="n">
        <f aca="false">-(M107*INDEX(Premissas!$C$104:$G$104,M$7)+(M105-M107)*INDEX(Premissas!$C$105:$G$105,M$7)+M111*Premissas!$B$80+IF(M$4&gt;=Premissas!$B$102,IF('Ajuste Mensal'!M$31="",INDEX(Premissas!$C$103:$G$103,M$7),'Ajuste Mensal'!M$31),0))</f>
        <v>-5736.92048</v>
      </c>
      <c r="N127" s="60" t="n">
        <f aca="false">-(N107*INDEX(Premissas!$C$104:$G$104,N$7)+(N105-N107)*INDEX(Premissas!$C$105:$G$105,N$7)+N111*Premissas!$B$80+IF(N$4&gt;=Premissas!$B$102,IF('Ajuste Mensal'!N$31="",INDEX(Premissas!$C$103:$G$103,N$7),'Ajuste Mensal'!N$31),0))</f>
        <v>-12045.719253504</v>
      </c>
      <c r="O127" s="60" t="n">
        <f aca="false">-(O107*INDEX(Premissas!$C$104:$G$104,O$7)+(O105-O107)*INDEX(Premissas!$C$105:$G$105,O$7)+O111*Premissas!$B$80+IF(O$4&gt;=Premissas!$B$102,IF('Ajuste Mensal'!O$31="",INDEX(Premissas!$C$103:$G$103,O$7),'Ajuste Mensal'!O$31),0))</f>
        <v>-17534.5177667106</v>
      </c>
      <c r="P127" s="60" t="n">
        <f aca="false">-(P107*INDEX(Premissas!$C$104:$G$104,P$7)+(P105-P107)*INDEX(Premissas!$C$105:$G$105,P$7)+P111*Premissas!$B$80+IF(P$4&gt;=Premissas!$B$102,IF('Ajuste Mensal'!P$31="",INDEX(Premissas!$C$103:$G$103,P$7),'Ajuste Mensal'!P$31),0))</f>
        <v>-23969.3461139882</v>
      </c>
      <c r="Q127" s="60" t="n">
        <f aca="false">-(Q107*INDEX(Premissas!$C$104:$G$104,Q$7)+(Q105-Q107)*INDEX(Premissas!$C$105:$G$105,Q$7)+Q111*Premissas!$B$80+IF(Q$4&gt;=Premissas!$B$102,IF('Ajuste Mensal'!Q$31="",INDEX(Premissas!$C$103:$G$103,Q$7),'Ajuste Mensal'!Q$31),0))</f>
        <v>-27746.681288496</v>
      </c>
      <c r="R127" s="60" t="n">
        <f aca="false">-(R107*INDEX(Premissas!$C$104:$G$104,R$7)+(R105-R107)*INDEX(Premissas!$C$105:$G$105,R$7)+R111*Premissas!$B$80+IF(R$4&gt;=Premissas!$B$102,IF('Ajuste Mensal'!R$31="",INDEX(Premissas!$C$103:$G$103,R$7),'Ajuste Mensal'!R$31),0))</f>
        <v>-31315.713977371</v>
      </c>
      <c r="S127" s="60" t="n">
        <f aca="false">-(S107*INDEX(Premissas!$C$104:$G$104,S$7)+(S105-S107)*INDEX(Premissas!$C$105:$G$105,S$7)+S111*Premissas!$B$80+IF(S$4&gt;=Premissas!$B$102,IF('Ajuste Mensal'!S$31="",INDEX(Premissas!$C$103:$G$103,S$7),'Ajuste Mensal'!S$31),0))</f>
        <v>-34688.9649818202</v>
      </c>
      <c r="T127" s="60" t="n">
        <f aca="false">-(T107*INDEX(Premissas!$C$104:$G$104,T$7)+(T105-T107)*INDEX(Premissas!$C$105:$G$105,T$7)+T111*Premissas!$B$80+IF(T$4&gt;=Premissas!$B$102,IF('Ajuste Mensal'!T$31="",INDEX(Premissas!$C$103:$G$103,T$7),'Ajuste Mensal'!T$31),0))</f>
        <v>-41920.6612828237</v>
      </c>
      <c r="U127" s="60" t="n">
        <f aca="false">-(U107*INDEX(Premissas!$C$104:$G$104,U$7)+(U105-U107)*INDEX(Premissas!$C$105:$G$105,U$7)+U111*Premissas!$B$80+IF(U$4&gt;=Premissas!$B$102,IF('Ajuste Mensal'!U$31="",INDEX(Premissas!$C$103:$G$103,U$7),'Ajuste Mensal'!U$31),0))</f>
        <v>-45274.4917720118</v>
      </c>
      <c r="V127" s="60" t="n">
        <f aca="false">-(V107*INDEX(Premissas!$C$104:$G$104,V$7)+(V105-V107)*INDEX(Premissas!$C$105:$G$105,V$7)+V111*Premissas!$B$80+IF(V$4&gt;=Premissas!$B$102,IF('Ajuste Mensal'!V$31="",INDEX(Premissas!$C$103:$G$103,V$7),'Ajuste Mensal'!V$31),0))</f>
        <v>-48443.8026661968</v>
      </c>
      <c r="W127" s="60" t="n">
        <f aca="false">-(W107*INDEX(Premissas!$C$104:$G$104,W$7)+(W105-W107)*INDEX(Premissas!$C$105:$G$105,W$7)+W111*Premissas!$B$80+IF(W$4&gt;=Premissas!$B$102,IF('Ajuste Mensal'!W$31="",INDEX(Premissas!$C$103:$G$103,W$7),'Ajuste Mensal'!W$31),0))</f>
        <v>-51439.2226230227</v>
      </c>
      <c r="X127" s="60" t="n">
        <f aca="false">-(X107*INDEX(Premissas!$C$104:$G$104,X$7)+(X105-X107)*INDEX(Premissas!$C$105:$G$105,X$7)+X111*Premissas!$B$80+IF(X$4&gt;=Premissas!$B$102,IF('Ajuste Mensal'!X$31="",INDEX(Premissas!$C$103:$G$103,X$7),'Ajuste Mensal'!X$31),0))</f>
        <v>-54268.3875742319</v>
      </c>
      <c r="Y127" s="60" t="n">
        <f aca="false">-(Y107*INDEX(Premissas!$C$104:$G$104,Y$7)+(Y105-Y107)*INDEX(Premissas!$C$105:$G$105,Y$7)+Y111*Premissas!$B$80+IF(Y$4&gt;=Premissas!$B$102,IF('Ajuste Mensal'!Y$31="",INDEX(Premissas!$C$103:$G$103,Y$7),'Ajuste Mensal'!Y$31),0))</f>
        <v>-56941.6152921343</v>
      </c>
      <c r="Z127" s="60" t="n">
        <f aca="false">-(Z107*INDEX(Premissas!$C$104:$G$104,Z$7)+(Z105-Z107)*INDEX(Premissas!$C$105:$G$105,Z$7)+Z111*Premissas!$B$80+IF(Z$4&gt;=Premissas!$B$102,IF('Ajuste Mensal'!Z$31="",INDEX(Premissas!$C$103:$G$103,Z$7),'Ajuste Mensal'!Z$31),0))</f>
        <v>-65185.0065359527</v>
      </c>
      <c r="AA127" s="60" t="n">
        <f aca="false">-(AA107*INDEX(Premissas!$C$104:$G$104,AA$7)+(AA105-AA107)*INDEX(Premissas!$C$105:$G$105,AA$7)+AA111*Premissas!$B$80+IF(AA$4&gt;=Premissas!$B$102,IF('Ajuste Mensal'!AA$31="",INDEX(Premissas!$C$103:$G$103,AA$7),'Ajuste Mensal'!AA$31),0))</f>
        <v>-70641.4825892468</v>
      </c>
      <c r="AB127" s="60" t="n">
        <f aca="false">-(AB107*INDEX(Premissas!$C$104:$G$104,AB$7)+(AB105-AB107)*INDEX(Premissas!$C$105:$G$105,AB$7)+AB111*Premissas!$B$80+IF(AB$4&gt;=Premissas!$B$102,IF('Ajuste Mensal'!AB$31="",INDEX(Premissas!$C$103:$G$103,AB$7),'Ajuste Mensal'!AB$31),0))</f>
        <v>-75819.8514738185</v>
      </c>
      <c r="AC127" s="60" t="n">
        <f aca="false">-(AC107*INDEX(Premissas!$C$104:$G$104,AC$7)+(AC105-AC107)*INDEX(Premissas!$C$105:$G$105,AC$7)+AC111*Premissas!$B$80+IF(AC$4&gt;=Premissas!$B$102,IF('Ajuste Mensal'!AC$31="",INDEX(Premissas!$C$103:$G$103,AC$7),'Ajuste Mensal'!AC$31),0))</f>
        <v>-80736.1805898201</v>
      </c>
      <c r="AD127" s="60" t="n">
        <f aca="false">-(AD107*INDEX(Premissas!$C$104:$G$104,AD$7)+(AD105-AD107)*INDEX(Premissas!$C$105:$G$105,AD$7)+AD111*Premissas!$B$80+IF(AD$4&gt;=Premissas!$B$102,IF('Ajuste Mensal'!AD$31="",INDEX(Premissas!$C$103:$G$103,AD$7),'Ajuste Mensal'!AD$31),0))</f>
        <v>-85402.9415265227</v>
      </c>
      <c r="AE127" s="60" t="n">
        <f aca="false">-(AE107*INDEX(Premissas!$C$104:$G$104,AE$7)+(AE105-AE107)*INDEX(Premissas!$C$105:$G$105,AE$7)+AE111*Premissas!$B$80+IF(AE$4&gt;=Premissas!$B$102,IF('Ajuste Mensal'!AE$31="",INDEX(Premissas!$C$103:$G$103,AE$7),'Ajuste Mensal'!AE$31),0))</f>
        <v>-89833.5431311118</v>
      </c>
      <c r="AF127" s="60" t="n">
        <f aca="false">-(AF107*INDEX(Premissas!$C$104:$G$104,AF$7)+(AF105-AF107)*INDEX(Premissas!$C$105:$G$105,AF$7)+AF111*Premissas!$B$80+IF(AF$4&gt;=Premissas!$B$102,IF('Ajuste Mensal'!AF$31="",INDEX(Premissas!$C$103:$G$103,AF$7),'Ajuste Mensal'!AF$31),0))</f>
        <v>-94037.8583200694</v>
      </c>
      <c r="AG127" s="60" t="n">
        <f aca="false">-(AG107*INDEX(Premissas!$C$104:$G$104,AG$7)+(AG105-AG107)*INDEX(Premissas!$C$105:$G$105,AG$7)+AG111*Premissas!$B$80+IF(AG$4&gt;=Premissas!$B$102,IF('Ajuste Mensal'!AG$31="",INDEX(Premissas!$C$103:$G$103,AG$7),'Ajuste Mensal'!AG$31),0))</f>
        <v>-98029.070646215</v>
      </c>
      <c r="AH127" s="60" t="n">
        <f aca="false">-(AH107*INDEX(Premissas!$C$104:$G$104,AH$7)+(AH105-AH107)*INDEX(Premissas!$C$105:$G$105,AH$7)+AH111*Premissas!$B$80+IF(AH$4&gt;=Premissas!$B$102,IF('Ajuste Mensal'!AH$31="",INDEX(Premissas!$C$103:$G$103,AH$7),'Ajuste Mensal'!AH$31),0))</f>
        <v>-101817.768633814</v>
      </c>
      <c r="AI127" s="60" t="n">
        <f aca="false">-(AI107*INDEX(Premissas!$C$104:$G$104,AI$7)+(AI105-AI107)*INDEX(Premissas!$C$105:$G$105,AI$7)+AI111*Premissas!$B$80+IF(AI$4&gt;=Premissas!$B$102,IF('Ajuste Mensal'!AI$31="",INDEX(Premissas!$C$103:$G$103,AI$7),'Ajuste Mensal'!AI$31),0))</f>
        <v>-105413.48189353</v>
      </c>
      <c r="AJ127" s="60" t="n">
        <f aca="false">-(AJ107*INDEX(Premissas!$C$104:$G$104,AJ$7)+(AJ105-AJ107)*INDEX(Premissas!$C$105:$G$105,AJ$7)+AJ111*Premissas!$B$80+IF(AJ$4&gt;=Premissas!$B$102,IF('Ajuste Mensal'!AJ$31="",INDEX(Premissas!$C$103:$G$103,AJ$7),'Ajuste Mensal'!AJ$31),0))</f>
        <v>-108826.599028409</v>
      </c>
      <c r="AK127" s="60" t="n">
        <f aca="false">-(AK107*INDEX(Premissas!$C$104:$G$104,AK$7)+(AK105-AK107)*INDEX(Premissas!$C$105:$G$105,AK$7)+AK111*Premissas!$B$80+IF(AK$4&gt;=Premissas!$B$102,IF('Ajuste Mensal'!AK$31="",INDEX(Premissas!$C$103:$G$103,AK$7),'Ajuste Mensal'!AK$31),0))</f>
        <v>-112067.389341494</v>
      </c>
      <c r="AL127" s="60" t="n">
        <f aca="false">-(AL107*INDEX(Premissas!$C$104:$G$104,AL$7)+(AL105-AL107)*INDEX(Premissas!$C$105:$G$105,AL$7)+AL111*Premissas!$B$80+IF(AL$4&gt;=Premissas!$B$102,IF('Ajuste Mensal'!AL$31="",INDEX(Premissas!$C$103:$G$103,AL$7),'Ajuste Mensal'!AL$31),0))</f>
        <v>-125245.846775055</v>
      </c>
      <c r="AM127" s="60" t="n">
        <f aca="false">-(AM107*INDEX(Premissas!$C$104:$G$104,AM$7)+(AM105-AM107)*INDEX(Premissas!$C$105:$G$105,AM$7)+AM111*Premissas!$B$80+IF(AM$4&gt;=Premissas!$B$102,IF('Ajuste Mensal'!AM$31="",INDEX(Premissas!$C$103:$G$103,AM$7),'Ajuste Mensal'!AM$31),0))</f>
        <v>-132978.175024219</v>
      </c>
      <c r="AN127" s="60" t="n">
        <f aca="false">-(AN107*INDEX(Premissas!$C$104:$G$104,AN$7)+(AN105-AN107)*INDEX(Premissas!$C$105:$G$105,AN$7)+AN111*Premissas!$B$80+IF(AN$4&gt;=Premissas!$B$102,IF('Ajuste Mensal'!AN$31="",INDEX(Premissas!$C$103:$G$103,AN$7),'Ajuste Mensal'!AN$31),0))</f>
        <v>-140349.425761967</v>
      </c>
      <c r="AO127" s="60" t="n">
        <f aca="false">-(AO107*INDEX(Premissas!$C$104:$G$104,AO$7)+(AO105-AO107)*INDEX(Premissas!$C$105:$G$105,AO$7)+AO111*Premissas!$B$80+IF(AO$4&gt;=Premissas!$B$102,IF('Ajuste Mensal'!AO$31="",INDEX(Premissas!$C$103:$G$103,AO$7),'Ajuste Mensal'!AO$31),0))</f>
        <v>-147375.68114933</v>
      </c>
      <c r="AP127" s="60" t="n">
        <f aca="false">-(AP107*INDEX(Premissas!$C$104:$G$104,AP$7)+(AP105-AP107)*INDEX(Premissas!$C$105:$G$105,AP$7)+AP111*Premissas!$B$80+IF(AP$4&gt;=Premissas!$B$102,IF('Ajuste Mensal'!AP$31="",INDEX(Premissas!$C$103:$G$103,AP$7),'Ajuste Mensal'!AP$31),0))</f>
        <v>-154073.712000534</v>
      </c>
      <c r="AQ127" s="60" t="n">
        <f aca="false">-(AQ107*INDEX(Premissas!$C$104:$G$104,AQ$7)+(AQ105-AQ107)*INDEX(Premissas!$C$105:$G$105,AQ$7)+AQ111*Premissas!$B$80+IF(AQ$4&gt;=Premissas!$B$102,IF('Ajuste Mensal'!AQ$31="",INDEX(Premissas!$C$103:$G$103,AQ$7),'Ajuste Mensal'!AQ$31),0))</f>
        <v>-160459.312284449</v>
      </c>
      <c r="AR127" s="60" t="n">
        <f aca="false">-(AR107*INDEX(Premissas!$C$104:$G$104,AR$7)+(AR105-AR107)*INDEX(Premissas!$C$105:$G$105,AR$7)+AR111*Premissas!$B$80+IF(AR$4&gt;=Premissas!$B$102,IF('Ajuste Mensal'!AR$31="",INDEX(Premissas!$C$103:$G$103,AR$7),'Ajuste Mensal'!AR$31),0))</f>
        <v>-166547.00341572</v>
      </c>
      <c r="AS127" s="60" t="n">
        <f aca="false">-(AS107*INDEX(Premissas!$C$104:$G$104,AS$7)+(AS105-AS107)*INDEX(Premissas!$C$105:$G$105,AS$7)+AS111*Premissas!$B$80+IF(AS$4&gt;=Premissas!$B$102,IF('Ajuste Mensal'!AS$31="",INDEX(Premissas!$C$103:$G$103,AS$7),'Ajuste Mensal'!AS$31),0))</f>
        <v>-172349.103345413</v>
      </c>
      <c r="AT127" s="60" t="n">
        <f aca="false">-(AT107*INDEX(Premissas!$C$104:$G$104,AT$7)+(AT105-AT107)*INDEX(Premissas!$C$105:$G$105,AT$7)+AT111*Premissas!$B$80+IF(AT$4&gt;=Premissas!$B$102,IF('Ajuste Mensal'!AT$31="",INDEX(Premissas!$C$103:$G$103,AT$7),'Ajuste Mensal'!AT$31),0))</f>
        <v>-177880.805460542</v>
      </c>
      <c r="AU127" s="60" t="n">
        <f aca="false">-(AU107*INDEX(Premissas!$C$104:$G$104,AU$7)+(AU105-AU107)*INDEX(Premissas!$C$105:$G$105,AU$7)+AU111*Premissas!$B$80+IF(AU$4&gt;=Premissas!$B$102,IF('Ajuste Mensal'!AU$31="",INDEX(Premissas!$C$103:$G$103,AU$7),'Ajuste Mensal'!AU$31),0))</f>
        <v>-183153.237301399</v>
      </c>
      <c r="AV127" s="60" t="n">
        <f aca="false">-(AV107*INDEX(Premissas!$C$104:$G$104,AV$7)+(AV105-AV107)*INDEX(Premissas!$C$105:$G$105,AV$7)+AV111*Premissas!$B$80+IF(AV$4&gt;=Premissas!$B$102,IF('Ajuste Mensal'!AV$31="",INDEX(Premissas!$C$103:$G$103,AV$7),'Ajuste Mensal'!AV$31),0))</f>
        <v>-188180.259105216</v>
      </c>
      <c r="AW127" s="60" t="n">
        <f aca="false">-(AW107*INDEX(Premissas!$C$104:$G$104,AW$7)+(AW105-AW107)*INDEX(Premissas!$C$105:$G$105,AW$7)+AW111*Premissas!$B$80+IF(AW$4&gt;=Premissas!$B$102,IF('Ajuste Mensal'!AW$31="",INDEX(Premissas!$C$103:$G$103,AW$7),'Ajuste Mensal'!AW$31),0))</f>
        <v>-192972.65718425</v>
      </c>
      <c r="AX127" s="60" t="n">
        <f aca="false">-(AX107*INDEX(Premissas!$C$104:$G$104,AX$7)+(AX105-AX107)*INDEX(Premissas!$C$105:$G$105,AX$7)+AX111*Premissas!$B$80+IF(AX$4&gt;=Premissas!$B$102,IF('Ajuste Mensal'!AX$31="",INDEX(Premissas!$C$103:$G$103,AX$7),'Ajuste Mensal'!AX$31),0))</f>
        <v>-218495.109077108</v>
      </c>
      <c r="AY127" s="60" t="n">
        <f aca="false">-(AY107*INDEX(Premissas!$C$104:$G$104,AY$7)+(AY105-AY107)*INDEX(Premissas!$C$105:$G$105,AY$7)+AY111*Premissas!$B$80+IF(AY$4&gt;=Premissas!$B$102,IF('Ajuste Mensal'!AY$31="",INDEX(Premissas!$C$103:$G$103,AY$7),'Ajuste Mensal'!AY$31),0))</f>
        <v>-230852.819901833</v>
      </c>
      <c r="AZ127" s="60" t="n">
        <f aca="false">-(AZ107*INDEX(Premissas!$C$104:$G$104,AZ$7)+(AZ105-AZ107)*INDEX(Premissas!$C$105:$G$105,AZ$7)+AZ111*Premissas!$B$80+IF(AZ$4&gt;=Premissas!$B$102,IF('Ajuste Mensal'!AZ$31="",INDEX(Premissas!$C$103:$G$103,AZ$7),'Ajuste Mensal'!AZ$31),0))</f>
        <v>-242679.189319595</v>
      </c>
      <c r="BA127" s="60" t="n">
        <f aca="false">-(BA107*INDEX(Premissas!$C$104:$G$104,BA$7)+(BA105-BA107)*INDEX(Premissas!$C$105:$G$105,BA$7)+BA111*Premissas!$B$80+IF(BA$4&gt;=Premissas!$B$102,IF('Ajuste Mensal'!BA$31="",INDEX(Premissas!$C$103:$G$103,BA$7),'Ajuste Mensal'!BA$31),0))</f>
        <v>-253997.112138834</v>
      </c>
      <c r="BB127" s="60" t="n">
        <f aca="false">-(BB107*INDEX(Premissas!$C$104:$G$104,BB$7)+(BB105-BB107)*INDEX(Premissas!$C$105:$G$105,BB$7)+BB111*Premissas!$B$80+IF(BB$4&gt;=Premissas!$B$102,IF('Ajuste Mensal'!BB$31="",INDEX(Premissas!$C$103:$G$103,BB$7),'Ajuste Mensal'!BB$31),0))</f>
        <v>-264829.213681876</v>
      </c>
      <c r="BC127" s="60" t="n">
        <f aca="false">-(BC107*INDEX(Premissas!$C$104:$G$104,BC$7)+(BC105-BC107)*INDEX(Premissas!$C$105:$G$105,BC$7)+BC111*Premissas!$B$80+IF(BC$4&gt;=Premissas!$B$102,IF('Ajuste Mensal'!BC$31="",INDEX(Premissas!$C$103:$G$103,BC$7),'Ajuste Mensal'!BC$31),0))</f>
        <v>-275195.04992088</v>
      </c>
      <c r="BD127" s="60" t="n">
        <f aca="false">-(BD107*INDEX(Premissas!$C$104:$G$104,BD$7)+(BD105-BD107)*INDEX(Premissas!$C$105:$G$105,BD$7)+BD111*Premissas!$B$80+IF(BD$4&gt;=Premissas!$B$102,IF('Ajuste Mensal'!BD$31="",INDEX(Premissas!$C$103:$G$103,BD$7),'Ajuste Mensal'!BD$31),0))</f>
        <v>-285115.052393009</v>
      </c>
      <c r="BE127" s="60" t="n">
        <f aca="false">-(BE107*INDEX(Premissas!$C$104:$G$104,BE$7)+(BE105-BE107)*INDEX(Premissas!$C$105:$G$105,BE$7)+BE111*Premissas!$B$80+IF(BE$4&gt;=Premissas!$B$102,IF('Ajuste Mensal'!BE$31="",INDEX(Premissas!$C$103:$G$103,BE$7),'Ajuste Mensal'!BE$31),0))</f>
        <v>-294609.247904345</v>
      </c>
      <c r="BF127" s="60" t="n">
        <f aca="false">-(BF107*INDEX(Premissas!$C$104:$G$104,BF$7)+(BF105-BF107)*INDEX(Premissas!$C$105:$G$105,BF$7)+BF111*Premissas!$B$80+IF(BF$4&gt;=Premissas!$B$102,IF('Ajuste Mensal'!BF$31="",INDEX(Premissas!$C$103:$G$103,BF$7),'Ajuste Mensal'!BF$31),0))</f>
        <v>-303694.9080316</v>
      </c>
      <c r="BG127" s="60" t="n">
        <f aca="false">-(BG107*INDEX(Premissas!$C$104:$G$104,BG$7)+(BG105-BG107)*INDEX(Premissas!$C$105:$G$105,BG$7)+BG111*Premissas!$B$80+IF(BG$4&gt;=Premissas!$B$102,IF('Ajuste Mensal'!BG$31="",INDEX(Premissas!$C$103:$G$103,BG$7),'Ajuste Mensal'!BG$31),0))</f>
        <v>-312390.828430336</v>
      </c>
      <c r="BH127" s="60" t="n">
        <f aca="false">-(BH107*INDEX(Premissas!$C$104:$G$104,BH$7)+(BH105-BH107)*INDEX(Premissas!$C$105:$G$105,BH$7)+BH111*Premissas!$B$80+IF(BH$4&gt;=Premissas!$B$102,IF('Ajuste Mensal'!BH$31="",INDEX(Premissas!$C$103:$G$103,BH$7),'Ajuste Mensal'!BH$31),0))</f>
        <v>-320712.022958001</v>
      </c>
      <c r="BI127" s="60" t="n">
        <f aca="false">-(BI107*INDEX(Premissas!$C$104:$G$104,BI$7)+(BI105-BI107)*INDEX(Premissas!$C$105:$G$105,BI$7)+BI111*Premissas!$B$80+IF(BI$4&gt;=Premissas!$B$102,IF('Ajuste Mensal'!BI$31="",INDEX(Premissas!$C$103:$G$103,BI$7),'Ajuste Mensal'!BI$31),0))</f>
        <v>-328675.972619732</v>
      </c>
      <c r="BJ127" s="61" t="n">
        <f aca="false">SUM(B127:BI127)</f>
        <v>-6819774.59596756</v>
      </c>
    </row>
    <row r="128" customFormat="false" ht="15" hidden="false" customHeight="false" outlineLevel="0" collapsed="false">
      <c r="A128" s="27" t="s">
        <v>729</v>
      </c>
      <c r="B128" s="60" t="n">
        <f aca="false">-B107*INDEX(Premissas!$C$106:$G$106,B$7)</f>
        <v>-0</v>
      </c>
      <c r="C128" s="60" t="n">
        <f aca="false">-C107*INDEX(Premissas!$C$106:$G$106,C$7)</f>
        <v>-0</v>
      </c>
      <c r="D128" s="60" t="n">
        <f aca="false">-D107*INDEX(Premissas!$C$106:$G$106,D$7)</f>
        <v>-0</v>
      </c>
      <c r="E128" s="60" t="n">
        <f aca="false">-E107*INDEX(Premissas!$C$106:$G$106,E$7)</f>
        <v>-0</v>
      </c>
      <c r="F128" s="60" t="n">
        <f aca="false">-F107*INDEX(Premissas!$C$106:$G$106,F$7)</f>
        <v>-0</v>
      </c>
      <c r="G128" s="60" t="n">
        <f aca="false">-G107*INDEX(Premissas!$C$106:$G$106,G$7)</f>
        <v>-0</v>
      </c>
      <c r="H128" s="60" t="n">
        <f aca="false">-H107*INDEX(Premissas!$C$106:$G$106,H$7)</f>
        <v>-0</v>
      </c>
      <c r="I128" s="60" t="n">
        <f aca="false">-I107*INDEX(Premissas!$C$106:$G$106,I$7)</f>
        <v>-0</v>
      </c>
      <c r="J128" s="60" t="n">
        <f aca="false">-J107*INDEX(Premissas!$C$106:$G$106,J$7)</f>
        <v>-0</v>
      </c>
      <c r="K128" s="60" t="n">
        <f aca="false">-K107*INDEX(Premissas!$C$106:$G$106,K$7)</f>
        <v>-103.6</v>
      </c>
      <c r="L128" s="60" t="n">
        <f aca="false">-L107*INDEX(Premissas!$C$106:$G$106,L$7)</f>
        <v>-401.45</v>
      </c>
      <c r="M128" s="60" t="n">
        <f aca="false">-M107*INDEX(Premissas!$C$106:$G$106,M$7)</f>
        <v>-876.4</v>
      </c>
      <c r="N128" s="60" t="n">
        <f aca="false">-N107*INDEX(Premissas!$C$106:$G$106,N$7)</f>
        <v>-1942.85</v>
      </c>
      <c r="O128" s="60" t="n">
        <f aca="false">-O107*INDEX(Premissas!$C$106:$G$106,O$7)</f>
        <v>-3205.3</v>
      </c>
      <c r="P128" s="60" t="n">
        <f aca="false">-P107*INDEX(Premissas!$C$106:$G$106,P$7)</f>
        <v>-4726.75</v>
      </c>
      <c r="Q128" s="60" t="n">
        <f aca="false">-Q107*INDEX(Premissas!$C$106:$G$106,Q$7)</f>
        <v>-5558.35</v>
      </c>
      <c r="R128" s="60" t="n">
        <f aca="false">-R107*INDEX(Premissas!$C$106:$G$106,R$7)</f>
        <v>-6344.1</v>
      </c>
      <c r="S128" s="60" t="n">
        <f aca="false">-S107*INDEX(Premissas!$C$106:$G$106,S$7)</f>
        <v>-7086.8</v>
      </c>
      <c r="T128" s="60" t="n">
        <f aca="false">-T107*INDEX(Premissas!$C$106:$G$106,T$7)</f>
        <v>-7788.2</v>
      </c>
      <c r="U128" s="60" t="n">
        <f aca="false">-U107*INDEX(Premissas!$C$106:$G$106,U$7)</f>
        <v>-8450.75</v>
      </c>
      <c r="V128" s="60" t="n">
        <f aca="false">-V107*INDEX(Premissas!$C$106:$G$106,V$7)</f>
        <v>-9076.9</v>
      </c>
      <c r="W128" s="60" t="n">
        <f aca="false">-W107*INDEX(Premissas!$C$106:$G$106,W$7)</f>
        <v>-9668.75</v>
      </c>
      <c r="X128" s="60" t="n">
        <f aca="false">-X107*INDEX(Premissas!$C$106:$G$106,X$7)</f>
        <v>-10227.7</v>
      </c>
      <c r="Y128" s="60" t="n">
        <f aca="false">-Y107*INDEX(Premissas!$C$106:$G$106,Y$7)</f>
        <v>-10755.85</v>
      </c>
      <c r="Z128" s="60" t="n">
        <f aca="false">-Z107*INDEX(Premissas!$C$106:$G$106,Z$7)</f>
        <v>-11274.6</v>
      </c>
      <c r="AA128" s="60" t="n">
        <f aca="false">-AA107*INDEX(Premissas!$C$106:$G$106,AA$7)</f>
        <v>-12350.4</v>
      </c>
      <c r="AB128" s="60" t="n">
        <f aca="false">-AB107*INDEX(Premissas!$C$106:$G$106,AB$7)</f>
        <v>-13371.3</v>
      </c>
      <c r="AC128" s="60" t="n">
        <f aca="false">-AC107*INDEX(Premissas!$C$106:$G$106,AC$7)</f>
        <v>-14340.6</v>
      </c>
      <c r="AD128" s="60" t="n">
        <f aca="false">-AD107*INDEX(Premissas!$C$106:$G$106,AD$7)</f>
        <v>-15260.7</v>
      </c>
      <c r="AE128" s="60" t="n">
        <f aca="false">-AE107*INDEX(Premissas!$C$106:$G$106,AE$7)</f>
        <v>-16134.3</v>
      </c>
      <c r="AF128" s="60" t="n">
        <f aca="false">-AF107*INDEX(Premissas!$C$106:$G$106,AF$7)</f>
        <v>-16963.2</v>
      </c>
      <c r="AG128" s="60" t="n">
        <f aca="false">-AG107*INDEX(Premissas!$C$106:$G$106,AG$7)</f>
        <v>-17750.1</v>
      </c>
      <c r="AH128" s="60" t="n">
        <f aca="false">-AH107*INDEX(Premissas!$C$106:$G$106,AH$7)</f>
        <v>-18497.1</v>
      </c>
      <c r="AI128" s="60" t="n">
        <f aca="false">-AI107*INDEX(Premissas!$C$106:$G$106,AI$7)</f>
        <v>-19206</v>
      </c>
      <c r="AJ128" s="60" t="n">
        <f aca="false">-AJ107*INDEX(Premissas!$C$106:$G$106,AJ$7)</f>
        <v>-19878.9</v>
      </c>
      <c r="AK128" s="60" t="n">
        <f aca="false">-AK107*INDEX(Premissas!$C$106:$G$106,AK$7)</f>
        <v>-20517.9</v>
      </c>
      <c r="AL128" s="60" t="n">
        <f aca="false">-AL107*INDEX(Premissas!$C$106:$G$106,AL$7)</f>
        <v>-22788.36</v>
      </c>
      <c r="AM128" s="60" t="n">
        <f aca="false">-AM107*INDEX(Premissas!$C$106:$G$106,AM$7)</f>
        <v>-24431.4</v>
      </c>
      <c r="AN128" s="60" t="n">
        <f aca="false">-AN107*INDEX(Premissas!$C$106:$G$106,AN$7)</f>
        <v>-25997.72</v>
      </c>
      <c r="AO128" s="60" t="n">
        <f aca="false">-AO107*INDEX(Premissas!$C$106:$G$106,AO$7)</f>
        <v>-27490.68</v>
      </c>
      <c r="AP128" s="60" t="n">
        <f aca="false">-AP107*INDEX(Premissas!$C$106:$G$106,AP$7)</f>
        <v>-28913.92</v>
      </c>
      <c r="AQ128" s="60" t="n">
        <f aca="false">-AQ107*INDEX(Premissas!$C$106:$G$106,AQ$7)</f>
        <v>-30270.8</v>
      </c>
      <c r="AR128" s="60" t="n">
        <f aca="false">-AR107*INDEX(Premissas!$C$106:$G$106,AR$7)</f>
        <v>-31564.4</v>
      </c>
      <c r="AS128" s="60" t="n">
        <f aca="false">-AS107*INDEX(Premissas!$C$106:$G$106,AS$7)</f>
        <v>-32797.24</v>
      </c>
      <c r="AT128" s="60" t="n">
        <f aca="false">-AT107*INDEX(Premissas!$C$106:$G$106,AT$7)</f>
        <v>-33972.68</v>
      </c>
      <c r="AU128" s="60" t="n">
        <f aca="false">-AU107*INDEX(Premissas!$C$106:$G$106,AU$7)</f>
        <v>-35092.96</v>
      </c>
      <c r="AV128" s="60" t="n">
        <f aca="false">-AV107*INDEX(Premissas!$C$106:$G$106,AV$7)</f>
        <v>-36161.16</v>
      </c>
      <c r="AW128" s="60" t="n">
        <f aca="false">-AW107*INDEX(Premissas!$C$106:$G$106,AW$7)</f>
        <v>-37179.52</v>
      </c>
      <c r="AX128" s="60" t="n">
        <f aca="false">-AX107*INDEX(Premissas!$C$106:$G$106,AX$7)</f>
        <v>-39200.75</v>
      </c>
      <c r="AY128" s="60" t="n">
        <f aca="false">-AY107*INDEX(Premissas!$C$106:$G$106,AY$7)</f>
        <v>-41770.75</v>
      </c>
      <c r="AZ128" s="60" t="n">
        <f aca="false">-AZ107*INDEX(Premissas!$C$106:$G$106,AZ$7)</f>
        <v>-44230.25</v>
      </c>
      <c r="BA128" s="60" t="n">
        <f aca="false">-BA107*INDEX(Premissas!$C$106:$G$106,BA$7)</f>
        <v>-46584</v>
      </c>
      <c r="BB128" s="60" t="n">
        <f aca="false">-BB107*INDEX(Premissas!$C$106:$G$106,BB$7)</f>
        <v>-48836.75</v>
      </c>
      <c r="BC128" s="60" t="n">
        <f aca="false">-BC107*INDEX(Premissas!$C$106:$G$106,BC$7)</f>
        <v>-50992.5</v>
      </c>
      <c r="BD128" s="60" t="n">
        <f aca="false">-BD107*INDEX(Premissas!$C$106:$G$106,BD$7)</f>
        <v>-53055.5</v>
      </c>
      <c r="BE128" s="60" t="n">
        <f aca="false">-BE107*INDEX(Premissas!$C$106:$G$106,BE$7)</f>
        <v>-55030</v>
      </c>
      <c r="BF128" s="60" t="n">
        <f aca="false">-BF107*INDEX(Premissas!$C$106:$G$106,BF$7)</f>
        <v>-56919.5</v>
      </c>
      <c r="BG128" s="60" t="n">
        <f aca="false">-BG107*INDEX(Premissas!$C$106:$G$106,BG$7)</f>
        <v>-58728</v>
      </c>
      <c r="BH128" s="60" t="n">
        <f aca="false">-BH107*INDEX(Premissas!$C$106:$G$106,BH$7)</f>
        <v>-60458.5</v>
      </c>
      <c r="BI128" s="60" t="n">
        <f aca="false">-BI107*INDEX(Premissas!$C$106:$G$106,BI$7)</f>
        <v>-62114.75</v>
      </c>
      <c r="BJ128" s="61" t="n">
        <f aca="false">SUM(B128:BI128)</f>
        <v>-1266340.94</v>
      </c>
    </row>
    <row r="129" customFormat="false" ht="15" hidden="false" customHeight="false" outlineLevel="0" collapsed="false">
      <c r="A129" s="27" t="s">
        <v>882</v>
      </c>
      <c r="B129" s="60" t="n">
        <f aca="false">-Pessoas!B45</f>
        <v>-0</v>
      </c>
      <c r="C129" s="60" t="n">
        <f aca="false">-Pessoas!C45</f>
        <v>-0</v>
      </c>
      <c r="D129" s="60" t="n">
        <f aca="false">-Pessoas!D45</f>
        <v>-0</v>
      </c>
      <c r="E129" s="60" t="n">
        <f aca="false">-Pessoas!E45</f>
        <v>-0</v>
      </c>
      <c r="F129" s="60" t="n">
        <f aca="false">-Pessoas!F45</f>
        <v>-0</v>
      </c>
      <c r="G129" s="60" t="n">
        <f aca="false">-Pessoas!G45</f>
        <v>-0</v>
      </c>
      <c r="H129" s="60" t="n">
        <f aca="false">-Pessoas!H45</f>
        <v>-0</v>
      </c>
      <c r="I129" s="60" t="n">
        <f aca="false">-Pessoas!I45</f>
        <v>-0</v>
      </c>
      <c r="J129" s="60" t="n">
        <f aca="false">-Pessoas!J45</f>
        <v>-0</v>
      </c>
      <c r="K129" s="60" t="n">
        <f aca="false">-Pessoas!K45</f>
        <v>-0</v>
      </c>
      <c r="L129" s="60" t="n">
        <f aca="false">-Pessoas!L45</f>
        <v>-0</v>
      </c>
      <c r="M129" s="60" t="n">
        <f aca="false">-Pessoas!M45</f>
        <v>-0</v>
      </c>
      <c r="N129" s="60" t="n">
        <f aca="false">-Pessoas!N45</f>
        <v>-42500</v>
      </c>
      <c r="O129" s="60" t="n">
        <f aca="false">-Pessoas!O45</f>
        <v>-42500</v>
      </c>
      <c r="P129" s="60" t="n">
        <f aca="false">-Pessoas!P45</f>
        <v>-42500</v>
      </c>
      <c r="Q129" s="60" t="n">
        <f aca="false">-Pessoas!Q45</f>
        <v>-42500</v>
      </c>
      <c r="R129" s="60" t="n">
        <f aca="false">-Pessoas!R45</f>
        <v>-42500</v>
      </c>
      <c r="S129" s="60" t="n">
        <f aca="false">-Pessoas!S45</f>
        <v>-42500</v>
      </c>
      <c r="T129" s="60" t="n">
        <f aca="false">-Pessoas!T45</f>
        <v>-42500</v>
      </c>
      <c r="U129" s="60" t="n">
        <f aca="false">-Pessoas!U45</f>
        <v>-42500</v>
      </c>
      <c r="V129" s="60" t="n">
        <f aca="false">-Pessoas!V45</f>
        <v>-42500</v>
      </c>
      <c r="W129" s="60" t="n">
        <f aca="false">-Pessoas!W45</f>
        <v>-42500</v>
      </c>
      <c r="X129" s="60" t="n">
        <f aca="false">-Pessoas!X45</f>
        <v>-42500</v>
      </c>
      <c r="Y129" s="60" t="n">
        <f aca="false">-Pessoas!Y45</f>
        <v>-42500</v>
      </c>
      <c r="Z129" s="60" t="n">
        <f aca="false">-Pessoas!Z45</f>
        <v>-117500</v>
      </c>
      <c r="AA129" s="60" t="n">
        <f aca="false">-Pessoas!AA45</f>
        <v>-117500</v>
      </c>
      <c r="AB129" s="60" t="n">
        <f aca="false">-Pessoas!AB45</f>
        <v>-117500</v>
      </c>
      <c r="AC129" s="60" t="n">
        <f aca="false">-Pessoas!AC45</f>
        <v>-117500</v>
      </c>
      <c r="AD129" s="60" t="n">
        <f aca="false">-Pessoas!AD45</f>
        <v>-117500</v>
      </c>
      <c r="AE129" s="60" t="n">
        <f aca="false">-Pessoas!AE45</f>
        <v>-117500</v>
      </c>
      <c r="AF129" s="60" t="n">
        <f aca="false">-Pessoas!AF45</f>
        <v>-117500</v>
      </c>
      <c r="AG129" s="60" t="n">
        <f aca="false">-Pessoas!AG45</f>
        <v>-117500</v>
      </c>
      <c r="AH129" s="60" t="n">
        <f aca="false">-Pessoas!AH45</f>
        <v>-117500</v>
      </c>
      <c r="AI129" s="60" t="n">
        <f aca="false">-Pessoas!AI45</f>
        <v>-117500</v>
      </c>
      <c r="AJ129" s="60" t="n">
        <f aca="false">-Pessoas!AJ45</f>
        <v>-117500</v>
      </c>
      <c r="AK129" s="60" t="n">
        <f aca="false">-Pessoas!AK45</f>
        <v>-117500</v>
      </c>
      <c r="AL129" s="60" t="n">
        <f aca="false">-Pessoas!AL45</f>
        <v>-253300</v>
      </c>
      <c r="AM129" s="60" t="n">
        <f aca="false">-Pessoas!AM45</f>
        <v>-253300</v>
      </c>
      <c r="AN129" s="60" t="n">
        <f aca="false">-Pessoas!AN45</f>
        <v>-253300</v>
      </c>
      <c r="AO129" s="60" t="n">
        <f aca="false">-Pessoas!AO45</f>
        <v>-253300</v>
      </c>
      <c r="AP129" s="60" t="n">
        <f aca="false">-Pessoas!AP45</f>
        <v>-253300</v>
      </c>
      <c r="AQ129" s="60" t="n">
        <f aca="false">-Pessoas!AQ45</f>
        <v>-253300</v>
      </c>
      <c r="AR129" s="60" t="n">
        <f aca="false">-Pessoas!AR45</f>
        <v>-253300</v>
      </c>
      <c r="AS129" s="60" t="n">
        <f aca="false">-Pessoas!AS45</f>
        <v>-253300</v>
      </c>
      <c r="AT129" s="60" t="n">
        <f aca="false">-Pessoas!AT45</f>
        <v>-253300</v>
      </c>
      <c r="AU129" s="60" t="n">
        <f aca="false">-Pessoas!AU45</f>
        <v>-253300</v>
      </c>
      <c r="AV129" s="60" t="n">
        <f aca="false">-Pessoas!AV45</f>
        <v>-253300</v>
      </c>
      <c r="AW129" s="60" t="n">
        <f aca="false">-Pessoas!AW45</f>
        <v>-253300</v>
      </c>
      <c r="AX129" s="60" t="n">
        <f aca="false">-Pessoas!AX45</f>
        <v>-374300</v>
      </c>
      <c r="AY129" s="60" t="n">
        <f aca="false">-Pessoas!AY45</f>
        <v>-374300</v>
      </c>
      <c r="AZ129" s="60" t="n">
        <f aca="false">-Pessoas!AZ45</f>
        <v>-374300</v>
      </c>
      <c r="BA129" s="60" t="n">
        <f aca="false">-Pessoas!BA45</f>
        <v>-374300</v>
      </c>
      <c r="BB129" s="60" t="n">
        <f aca="false">-Pessoas!BB45</f>
        <v>-374300</v>
      </c>
      <c r="BC129" s="60" t="n">
        <f aca="false">-Pessoas!BC45</f>
        <v>-374300</v>
      </c>
      <c r="BD129" s="60" t="n">
        <f aca="false">-Pessoas!BD45</f>
        <v>-374300</v>
      </c>
      <c r="BE129" s="60" t="n">
        <f aca="false">-Pessoas!BE45</f>
        <v>-374300</v>
      </c>
      <c r="BF129" s="60" t="n">
        <f aca="false">-Pessoas!BF45</f>
        <v>-374300</v>
      </c>
      <c r="BG129" s="60" t="n">
        <f aca="false">-Pessoas!BG45</f>
        <v>-374300</v>
      </c>
      <c r="BH129" s="60" t="n">
        <f aca="false">-Pessoas!BH45</f>
        <v>-374300</v>
      </c>
      <c r="BI129" s="60" t="n">
        <f aca="false">-Pessoas!BI45</f>
        <v>-374300</v>
      </c>
      <c r="BJ129" s="61" t="n">
        <f aca="false">SUM(B129:BI129)</f>
        <v>-9451200</v>
      </c>
    </row>
    <row r="130" customFormat="false" ht="15" hidden="false" customHeight="false" outlineLevel="0" collapsed="false">
      <c r="A130" s="27" t="s">
        <v>734</v>
      </c>
      <c r="B130" s="60" t="n">
        <f aca="false">-(B102*(1-INDEX(Premissas!$C$70:$G$70,B$7))*IF('Ajuste Mensal'!B$28="",INDEX(Premissas!$C$69:$G$69,B$7),'Ajuste Mensal'!B$28)+IF(B$4&gt;=Premissas!$B$110,IF('Ajuste Mensal'!B$32="",INDEX(Premissas!$C$109:$G$109,B$7),'Ajuste Mensal'!B$32),0)+IF(B$4=DATE(YEAR(Premissas!$B$112),MONTH(Premissas!$B$112),1),Premissas!$B$111,0))</f>
        <v>-0</v>
      </c>
      <c r="C130" s="60" t="n">
        <f aca="false">-(C102*(1-INDEX(Premissas!$C$70:$G$70,C$7))*IF('Ajuste Mensal'!C$28="",INDEX(Premissas!$C$69:$G$69,C$7),'Ajuste Mensal'!C$28)+IF(C$4&gt;=Premissas!$B$110,IF('Ajuste Mensal'!C$32="",INDEX(Premissas!$C$109:$G$109,C$7),'Ajuste Mensal'!C$32),0)+IF(C$4=DATE(YEAR(Premissas!$B$112),MONTH(Premissas!$B$112),1),Premissas!$B$111,0))</f>
        <v>-0</v>
      </c>
      <c r="D130" s="60" t="n">
        <f aca="false">-(D102*(1-INDEX(Premissas!$C$70:$G$70,D$7))*IF('Ajuste Mensal'!D$28="",INDEX(Premissas!$C$69:$G$69,D$7),'Ajuste Mensal'!D$28)+IF(D$4&gt;=Premissas!$B$110,IF('Ajuste Mensal'!D$32="",INDEX(Premissas!$C$109:$G$109,D$7),'Ajuste Mensal'!D$32),0)+IF(D$4=DATE(YEAR(Premissas!$B$112),MONTH(Premissas!$B$112),1),Premissas!$B$111,0))</f>
        <v>-0</v>
      </c>
      <c r="E130" s="60" t="n">
        <f aca="false">-(E102*(1-INDEX(Premissas!$C$70:$G$70,E$7))*IF('Ajuste Mensal'!E$28="",INDEX(Premissas!$C$69:$G$69,E$7),'Ajuste Mensal'!E$28)+IF(E$4&gt;=Premissas!$B$110,IF('Ajuste Mensal'!E$32="",INDEX(Premissas!$C$109:$G$109,E$7),'Ajuste Mensal'!E$32),0)+IF(E$4=DATE(YEAR(Premissas!$B$112),MONTH(Premissas!$B$112),1),Premissas!$B$111,0))</f>
        <v>-0</v>
      </c>
      <c r="F130" s="60" t="n">
        <f aca="false">-(F102*(1-INDEX(Premissas!$C$70:$G$70,F$7))*IF('Ajuste Mensal'!F$28="",INDEX(Premissas!$C$69:$G$69,F$7),'Ajuste Mensal'!F$28)+IF(F$4&gt;=Premissas!$B$110,IF('Ajuste Mensal'!F$32="",INDEX(Premissas!$C$109:$G$109,F$7),'Ajuste Mensal'!F$32),0)+IF(F$4=DATE(YEAR(Premissas!$B$112),MONTH(Premissas!$B$112),1),Premissas!$B$111,0))</f>
        <v>-0</v>
      </c>
      <c r="G130" s="60" t="n">
        <f aca="false">-(G102*(1-INDEX(Premissas!$C$70:$G$70,G$7))*IF('Ajuste Mensal'!G$28="",INDEX(Premissas!$C$69:$G$69,G$7),'Ajuste Mensal'!G$28)+IF(G$4&gt;=Premissas!$B$110,IF('Ajuste Mensal'!G$32="",INDEX(Premissas!$C$109:$G$109,G$7),'Ajuste Mensal'!G$32),0)+IF(G$4=DATE(YEAR(Premissas!$B$112),MONTH(Premissas!$B$112),1),Premissas!$B$111,0))</f>
        <v>-0</v>
      </c>
      <c r="H130" s="60" t="n">
        <f aca="false">-(H102*(1-INDEX(Premissas!$C$70:$G$70,H$7))*IF('Ajuste Mensal'!H$28="",INDEX(Premissas!$C$69:$G$69,H$7),'Ajuste Mensal'!H$28)+IF(H$4&gt;=Premissas!$B$110,IF('Ajuste Mensal'!H$32="",INDEX(Premissas!$C$109:$G$109,H$7),'Ajuste Mensal'!H$32),0)+IF(H$4=DATE(YEAR(Premissas!$B$112),MONTH(Premissas!$B$112),1),Premissas!$B$111,0))</f>
        <v>-0</v>
      </c>
      <c r="I130" s="60" t="n">
        <f aca="false">-(I102*(1-INDEX(Premissas!$C$70:$G$70,I$7))*IF('Ajuste Mensal'!I$28="",INDEX(Premissas!$C$69:$G$69,I$7),'Ajuste Mensal'!I$28)+IF(I$4&gt;=Premissas!$B$110,IF('Ajuste Mensal'!I$32="",INDEX(Premissas!$C$109:$G$109,I$7),'Ajuste Mensal'!I$32),0)+IF(I$4=DATE(YEAR(Premissas!$B$112),MONTH(Premissas!$B$112),1),Premissas!$B$111,0))</f>
        <v>-0</v>
      </c>
      <c r="J130" s="60" t="n">
        <f aca="false">-(J102*(1-INDEX(Premissas!$C$70:$G$70,J$7))*IF('Ajuste Mensal'!J$28="",INDEX(Premissas!$C$69:$G$69,J$7),'Ajuste Mensal'!J$28)+IF(J$4&gt;=Premissas!$B$110,IF('Ajuste Mensal'!J$32="",INDEX(Premissas!$C$109:$G$109,J$7),'Ajuste Mensal'!J$32),0)+IF(J$4=DATE(YEAR(Premissas!$B$112),MONTH(Premissas!$B$112),1),Premissas!$B$111,0))</f>
        <v>-0</v>
      </c>
      <c r="K130" s="60" t="n">
        <f aca="false">-(K102*(1-INDEX(Premissas!$C$70:$G$70,K$7))*IF('Ajuste Mensal'!K$28="",INDEX(Premissas!$C$69:$G$69,K$7),'Ajuste Mensal'!K$28)+IF(K$4&gt;=Premissas!$B$110,IF('Ajuste Mensal'!K$32="",INDEX(Premissas!$C$109:$G$109,K$7),'Ajuste Mensal'!K$32),0)+IF(K$4=DATE(YEAR(Premissas!$B$112),MONTH(Premissas!$B$112),1),Premissas!$B$111,0))</f>
        <v>-54607</v>
      </c>
      <c r="L130" s="60" t="n">
        <f aca="false">-(L102*(1-INDEX(Premissas!$C$70:$G$70,L$7))*IF('Ajuste Mensal'!L$28="",INDEX(Premissas!$C$69:$G$69,L$7),'Ajuste Mensal'!L$28)+IF(L$4&gt;=Premissas!$B$110,IF('Ajuste Mensal'!L$32="",INDEX(Premissas!$C$109:$G$109,L$7),'Ajuste Mensal'!L$32),0)+IF(L$4=DATE(YEAR(Premissas!$B$112),MONTH(Premissas!$B$112),1),Premissas!$B$111,0))</f>
        <v>-29607</v>
      </c>
      <c r="M130" s="60" t="n">
        <f aca="false">-(M102*(1-INDEX(Premissas!$C$70:$G$70,M$7))*IF('Ajuste Mensal'!M$28="",INDEX(Premissas!$C$69:$G$69,M$7),'Ajuste Mensal'!M$28)+IF(M$4&gt;=Premissas!$B$110,IF('Ajuste Mensal'!M$32="",INDEX(Premissas!$C$109:$G$109,M$7),'Ajuste Mensal'!M$32),0)+IF(M$4=DATE(YEAR(Premissas!$B$112),MONTH(Premissas!$B$112),1),Premissas!$B$111,0))</f>
        <v>-29607</v>
      </c>
      <c r="N130" s="60" t="n">
        <f aca="false">-(N102*(1-INDEX(Premissas!$C$70:$G$70,N$7))*IF('Ajuste Mensal'!N$28="",INDEX(Premissas!$C$69:$G$69,N$7),'Ajuste Mensal'!N$28)+IF(N$4&gt;=Premissas!$B$110,IF('Ajuste Mensal'!N$32="",INDEX(Premissas!$C$109:$G$109,N$7),'Ajuste Mensal'!N$32),0)+IF(N$4=DATE(YEAR(Premissas!$B$112),MONTH(Premissas!$B$112),1),Premissas!$B$111,0))</f>
        <v>-62558.112</v>
      </c>
      <c r="O130" s="60" t="n">
        <f aca="false">-(O102*(1-INDEX(Premissas!$C$70:$G$70,O$7))*IF('Ajuste Mensal'!O$28="",INDEX(Premissas!$C$69:$G$69,O$7),'Ajuste Mensal'!O$28)+IF(O$4&gt;=Premissas!$B$110,IF('Ajuste Mensal'!O$32="",INDEX(Premissas!$C$109:$G$109,O$7),'Ajuste Mensal'!O$32),0)+IF(O$4=DATE(YEAR(Premissas!$B$112),MONTH(Premissas!$B$112),1),Premissas!$B$111,0))</f>
        <v>-62558.112</v>
      </c>
      <c r="P130" s="60" t="n">
        <f aca="false">-(P102*(1-INDEX(Premissas!$C$70:$G$70,P$7))*IF('Ajuste Mensal'!P$28="",INDEX(Premissas!$C$69:$G$69,P$7),'Ajuste Mensal'!P$28)+IF(P$4&gt;=Premissas!$B$110,IF('Ajuste Mensal'!P$32="",INDEX(Premissas!$C$109:$G$109,P$7),'Ajuste Mensal'!P$32),0)+IF(P$4=DATE(YEAR(Premissas!$B$112),MONTH(Premissas!$B$112),1),Premissas!$B$111,0))</f>
        <v>-62558.112</v>
      </c>
      <c r="Q130" s="60" t="n">
        <f aca="false">-(Q102*(1-INDEX(Premissas!$C$70:$G$70,Q$7))*IF('Ajuste Mensal'!Q$28="",INDEX(Premissas!$C$69:$G$69,Q$7),'Ajuste Mensal'!Q$28)+IF(Q$4&gt;=Premissas!$B$110,IF('Ajuste Mensal'!Q$32="",INDEX(Premissas!$C$109:$G$109,Q$7),'Ajuste Mensal'!Q$32),0)+IF(Q$4=DATE(YEAR(Premissas!$B$112),MONTH(Premissas!$B$112),1),Premissas!$B$111,0))</f>
        <v>-62558.112</v>
      </c>
      <c r="R130" s="60" t="n">
        <f aca="false">-(R102*(1-INDEX(Premissas!$C$70:$G$70,R$7))*IF('Ajuste Mensal'!R$28="",INDEX(Premissas!$C$69:$G$69,R$7),'Ajuste Mensal'!R$28)+IF(R$4&gt;=Premissas!$B$110,IF('Ajuste Mensal'!R$32="",INDEX(Premissas!$C$109:$G$109,R$7),'Ajuste Mensal'!R$32),0)+IF(R$4=DATE(YEAR(Premissas!$B$112),MONTH(Premissas!$B$112),1),Premissas!$B$111,0))</f>
        <v>-62558.112</v>
      </c>
      <c r="S130" s="60" t="n">
        <f aca="false">-(S102*(1-INDEX(Premissas!$C$70:$G$70,S$7))*IF('Ajuste Mensal'!S$28="",INDEX(Premissas!$C$69:$G$69,S$7),'Ajuste Mensal'!S$28)+IF(S$4&gt;=Premissas!$B$110,IF('Ajuste Mensal'!S$32="",INDEX(Premissas!$C$109:$G$109,S$7),'Ajuste Mensal'!S$32),0)+IF(S$4=DATE(YEAR(Premissas!$B$112),MONTH(Premissas!$B$112),1),Premissas!$B$111,0))</f>
        <v>-62558.112</v>
      </c>
      <c r="T130" s="60" t="n">
        <f aca="false">-(T102*(1-INDEX(Premissas!$C$70:$G$70,T$7))*IF('Ajuste Mensal'!T$28="",INDEX(Premissas!$C$69:$G$69,T$7),'Ajuste Mensal'!T$28)+IF(T$4&gt;=Premissas!$B$110,IF('Ajuste Mensal'!T$32="",INDEX(Premissas!$C$109:$G$109,T$7),'Ajuste Mensal'!T$32),0)+IF(T$4=DATE(YEAR(Premissas!$B$112),MONTH(Premissas!$B$112),1),Premissas!$B$111,0))</f>
        <v>-62558.112</v>
      </c>
      <c r="U130" s="60" t="n">
        <f aca="false">-(U102*(1-INDEX(Premissas!$C$70:$G$70,U$7))*IF('Ajuste Mensal'!U$28="",INDEX(Premissas!$C$69:$G$69,U$7),'Ajuste Mensal'!U$28)+IF(U$4&gt;=Premissas!$B$110,IF('Ajuste Mensal'!U$32="",INDEX(Premissas!$C$109:$G$109,U$7),'Ajuste Mensal'!U$32),0)+IF(U$4=DATE(YEAR(Premissas!$B$112),MONTH(Premissas!$B$112),1),Premissas!$B$111,0))</f>
        <v>-62558.112</v>
      </c>
      <c r="V130" s="60" t="n">
        <f aca="false">-(V102*(1-INDEX(Premissas!$C$70:$G$70,V$7))*IF('Ajuste Mensal'!V$28="",INDEX(Premissas!$C$69:$G$69,V$7),'Ajuste Mensal'!V$28)+IF(V$4&gt;=Premissas!$B$110,IF('Ajuste Mensal'!V$32="",INDEX(Premissas!$C$109:$G$109,V$7),'Ajuste Mensal'!V$32),0)+IF(V$4=DATE(YEAR(Premissas!$B$112),MONTH(Premissas!$B$112),1),Premissas!$B$111,0))</f>
        <v>-62558.112</v>
      </c>
      <c r="W130" s="60" t="n">
        <f aca="false">-(W102*(1-INDEX(Premissas!$C$70:$G$70,W$7))*IF('Ajuste Mensal'!W$28="",INDEX(Premissas!$C$69:$G$69,W$7),'Ajuste Mensal'!W$28)+IF(W$4&gt;=Premissas!$B$110,IF('Ajuste Mensal'!W$32="",INDEX(Premissas!$C$109:$G$109,W$7),'Ajuste Mensal'!W$32),0)+IF(W$4=DATE(YEAR(Premissas!$B$112),MONTH(Premissas!$B$112),1),Premissas!$B$111,0))</f>
        <v>-62558.112</v>
      </c>
      <c r="X130" s="60" t="n">
        <f aca="false">-(X102*(1-INDEX(Premissas!$C$70:$G$70,X$7))*IF('Ajuste Mensal'!X$28="",INDEX(Premissas!$C$69:$G$69,X$7),'Ajuste Mensal'!X$28)+IF(X$4&gt;=Premissas!$B$110,IF('Ajuste Mensal'!X$32="",INDEX(Premissas!$C$109:$G$109,X$7),'Ajuste Mensal'!X$32),0)+IF(X$4=DATE(YEAR(Premissas!$B$112),MONTH(Premissas!$B$112),1),Premissas!$B$111,0))</f>
        <v>-62558.112</v>
      </c>
      <c r="Y130" s="60" t="n">
        <f aca="false">-(Y102*(1-INDEX(Premissas!$C$70:$G$70,Y$7))*IF('Ajuste Mensal'!Y$28="",INDEX(Premissas!$C$69:$G$69,Y$7),'Ajuste Mensal'!Y$28)+IF(Y$4&gt;=Premissas!$B$110,IF('Ajuste Mensal'!Y$32="",INDEX(Premissas!$C$109:$G$109,Y$7),'Ajuste Mensal'!Y$32),0)+IF(Y$4=DATE(YEAR(Premissas!$B$112),MONTH(Premissas!$B$112),1),Premissas!$B$111,0))</f>
        <v>-62558.112</v>
      </c>
      <c r="Z130" s="60" t="n">
        <f aca="false">-(Z102*(1-INDEX(Premissas!$C$70:$G$70,Z$7))*IF('Ajuste Mensal'!Z$28="",INDEX(Premissas!$C$69:$G$69,Z$7),'Ajuste Mensal'!Z$28)+IF(Z$4&gt;=Premissas!$B$110,IF('Ajuste Mensal'!Z$32="",INDEX(Premissas!$C$109:$G$109,Z$7),'Ajuste Mensal'!Z$32),0)+IF(Z$4=DATE(YEAR(Premissas!$B$112),MONTH(Premissas!$B$112),1),Premissas!$B$111,0))</f>
        <v>-143646.3264</v>
      </c>
      <c r="AA130" s="60" t="n">
        <f aca="false">-(AA102*(1-INDEX(Premissas!$C$70:$G$70,AA$7))*IF('Ajuste Mensal'!AA$28="",INDEX(Premissas!$C$69:$G$69,AA$7),'Ajuste Mensal'!AA$28)+IF(AA$4&gt;=Premissas!$B$110,IF('Ajuste Mensal'!AA$32="",INDEX(Premissas!$C$109:$G$109,AA$7),'Ajuste Mensal'!AA$32),0)+IF(AA$4=DATE(YEAR(Premissas!$B$112),MONTH(Premissas!$B$112),1),Premissas!$B$111,0))</f>
        <v>-143646.3264</v>
      </c>
      <c r="AB130" s="60" t="n">
        <f aca="false">-(AB102*(1-INDEX(Premissas!$C$70:$G$70,AB$7))*IF('Ajuste Mensal'!AB$28="",INDEX(Premissas!$C$69:$G$69,AB$7),'Ajuste Mensal'!AB$28)+IF(AB$4&gt;=Premissas!$B$110,IF('Ajuste Mensal'!AB$32="",INDEX(Premissas!$C$109:$G$109,AB$7),'Ajuste Mensal'!AB$32),0)+IF(AB$4=DATE(YEAR(Premissas!$B$112),MONTH(Premissas!$B$112),1),Premissas!$B$111,0))</f>
        <v>-143646.3264</v>
      </c>
      <c r="AC130" s="60" t="n">
        <f aca="false">-(AC102*(1-INDEX(Premissas!$C$70:$G$70,AC$7))*IF('Ajuste Mensal'!AC$28="",INDEX(Premissas!$C$69:$G$69,AC$7),'Ajuste Mensal'!AC$28)+IF(AC$4&gt;=Premissas!$B$110,IF('Ajuste Mensal'!AC$32="",INDEX(Premissas!$C$109:$G$109,AC$7),'Ajuste Mensal'!AC$32),0)+IF(AC$4=DATE(YEAR(Premissas!$B$112),MONTH(Premissas!$B$112),1),Premissas!$B$111,0))</f>
        <v>-143646.3264</v>
      </c>
      <c r="AD130" s="60" t="n">
        <f aca="false">-(AD102*(1-INDEX(Premissas!$C$70:$G$70,AD$7))*IF('Ajuste Mensal'!AD$28="",INDEX(Premissas!$C$69:$G$69,AD$7),'Ajuste Mensal'!AD$28)+IF(AD$4&gt;=Premissas!$B$110,IF('Ajuste Mensal'!AD$32="",INDEX(Premissas!$C$109:$G$109,AD$7),'Ajuste Mensal'!AD$32),0)+IF(AD$4=DATE(YEAR(Premissas!$B$112),MONTH(Premissas!$B$112),1),Premissas!$B$111,0))</f>
        <v>-143646.3264</v>
      </c>
      <c r="AE130" s="60" t="n">
        <f aca="false">-(AE102*(1-INDEX(Premissas!$C$70:$G$70,AE$7))*IF('Ajuste Mensal'!AE$28="",INDEX(Premissas!$C$69:$G$69,AE$7),'Ajuste Mensal'!AE$28)+IF(AE$4&gt;=Premissas!$B$110,IF('Ajuste Mensal'!AE$32="",INDEX(Premissas!$C$109:$G$109,AE$7),'Ajuste Mensal'!AE$32),0)+IF(AE$4=DATE(YEAR(Premissas!$B$112),MONTH(Premissas!$B$112),1),Premissas!$B$111,0))</f>
        <v>-143646.3264</v>
      </c>
      <c r="AF130" s="60" t="n">
        <f aca="false">-(AF102*(1-INDEX(Premissas!$C$70:$G$70,AF$7))*IF('Ajuste Mensal'!AF$28="",INDEX(Premissas!$C$69:$G$69,AF$7),'Ajuste Mensal'!AF$28)+IF(AF$4&gt;=Premissas!$B$110,IF('Ajuste Mensal'!AF$32="",INDEX(Premissas!$C$109:$G$109,AF$7),'Ajuste Mensal'!AF$32),0)+IF(AF$4=DATE(YEAR(Premissas!$B$112),MONTH(Premissas!$B$112),1),Premissas!$B$111,0))</f>
        <v>-143646.3264</v>
      </c>
      <c r="AG130" s="60" t="n">
        <f aca="false">-(AG102*(1-INDEX(Premissas!$C$70:$G$70,AG$7))*IF('Ajuste Mensal'!AG$28="",INDEX(Premissas!$C$69:$G$69,AG$7),'Ajuste Mensal'!AG$28)+IF(AG$4&gt;=Premissas!$B$110,IF('Ajuste Mensal'!AG$32="",INDEX(Premissas!$C$109:$G$109,AG$7),'Ajuste Mensal'!AG$32),0)+IF(AG$4=DATE(YEAR(Premissas!$B$112),MONTH(Premissas!$B$112),1),Premissas!$B$111,0))</f>
        <v>-143646.3264</v>
      </c>
      <c r="AH130" s="60" t="n">
        <f aca="false">-(AH102*(1-INDEX(Premissas!$C$70:$G$70,AH$7))*IF('Ajuste Mensal'!AH$28="",INDEX(Premissas!$C$69:$G$69,AH$7),'Ajuste Mensal'!AH$28)+IF(AH$4&gt;=Premissas!$B$110,IF('Ajuste Mensal'!AH$32="",INDEX(Premissas!$C$109:$G$109,AH$7),'Ajuste Mensal'!AH$32),0)+IF(AH$4=DATE(YEAR(Premissas!$B$112),MONTH(Premissas!$B$112),1),Premissas!$B$111,0))</f>
        <v>-143646.3264</v>
      </c>
      <c r="AI130" s="60" t="n">
        <f aca="false">-(AI102*(1-INDEX(Premissas!$C$70:$G$70,AI$7))*IF('Ajuste Mensal'!AI$28="",INDEX(Premissas!$C$69:$G$69,AI$7),'Ajuste Mensal'!AI$28)+IF(AI$4&gt;=Premissas!$B$110,IF('Ajuste Mensal'!AI$32="",INDEX(Premissas!$C$109:$G$109,AI$7),'Ajuste Mensal'!AI$32),0)+IF(AI$4=DATE(YEAR(Premissas!$B$112),MONTH(Premissas!$B$112),1),Premissas!$B$111,0))</f>
        <v>-143646.3264</v>
      </c>
      <c r="AJ130" s="60" t="n">
        <f aca="false">-(AJ102*(1-INDEX(Premissas!$C$70:$G$70,AJ$7))*IF('Ajuste Mensal'!AJ$28="",INDEX(Premissas!$C$69:$G$69,AJ$7),'Ajuste Mensal'!AJ$28)+IF(AJ$4&gt;=Premissas!$B$110,IF('Ajuste Mensal'!AJ$32="",INDEX(Premissas!$C$109:$G$109,AJ$7),'Ajuste Mensal'!AJ$32),0)+IF(AJ$4=DATE(YEAR(Premissas!$B$112),MONTH(Premissas!$B$112),1),Premissas!$B$111,0))</f>
        <v>-143646.3264</v>
      </c>
      <c r="AK130" s="60" t="n">
        <f aca="false">-(AK102*(1-INDEX(Premissas!$C$70:$G$70,AK$7))*IF('Ajuste Mensal'!AK$28="",INDEX(Premissas!$C$69:$G$69,AK$7),'Ajuste Mensal'!AK$28)+IF(AK$4&gt;=Premissas!$B$110,IF('Ajuste Mensal'!AK$32="",INDEX(Premissas!$C$109:$G$109,AK$7),'Ajuste Mensal'!AK$32),0)+IF(AK$4=DATE(YEAR(Premissas!$B$112),MONTH(Premissas!$B$112),1),Premissas!$B$111,0))</f>
        <v>-143646.3264</v>
      </c>
      <c r="AL130" s="60" t="n">
        <f aca="false">-(AL102*(1-INDEX(Premissas!$C$70:$G$70,AL$7))*IF('Ajuste Mensal'!AL$28="",INDEX(Premissas!$C$69:$G$69,AL$7),'Ajuste Mensal'!AL$28)+IF(AL$4&gt;=Premissas!$B$110,IF('Ajuste Mensal'!AL$32="",INDEX(Premissas!$C$109:$G$109,AL$7),'Ajuste Mensal'!AL$32),0)+IF(AL$4=DATE(YEAR(Premissas!$B$112),MONTH(Premissas!$B$112),1),Premissas!$B$111,0))</f>
        <v>-286805.7371648</v>
      </c>
      <c r="AM130" s="60" t="n">
        <f aca="false">-(AM102*(1-INDEX(Premissas!$C$70:$G$70,AM$7))*IF('Ajuste Mensal'!AM$28="",INDEX(Premissas!$C$69:$G$69,AM$7),'Ajuste Mensal'!AM$28)+IF(AM$4&gt;=Premissas!$B$110,IF('Ajuste Mensal'!AM$32="",INDEX(Premissas!$C$109:$G$109,AM$7),'Ajuste Mensal'!AM$32),0)+IF(AM$4=DATE(YEAR(Premissas!$B$112),MONTH(Premissas!$B$112),1),Premissas!$B$111,0))</f>
        <v>-286805.7371648</v>
      </c>
      <c r="AN130" s="60" t="n">
        <f aca="false">-(AN102*(1-INDEX(Premissas!$C$70:$G$70,AN$7))*IF('Ajuste Mensal'!AN$28="",INDEX(Premissas!$C$69:$G$69,AN$7),'Ajuste Mensal'!AN$28)+IF(AN$4&gt;=Premissas!$B$110,IF('Ajuste Mensal'!AN$32="",INDEX(Premissas!$C$109:$G$109,AN$7),'Ajuste Mensal'!AN$32),0)+IF(AN$4=DATE(YEAR(Premissas!$B$112),MONTH(Premissas!$B$112),1),Premissas!$B$111,0))</f>
        <v>-286805.7371648</v>
      </c>
      <c r="AO130" s="60" t="n">
        <f aca="false">-(AO102*(1-INDEX(Premissas!$C$70:$G$70,AO$7))*IF('Ajuste Mensal'!AO$28="",INDEX(Premissas!$C$69:$G$69,AO$7),'Ajuste Mensal'!AO$28)+IF(AO$4&gt;=Premissas!$B$110,IF('Ajuste Mensal'!AO$32="",INDEX(Premissas!$C$109:$G$109,AO$7),'Ajuste Mensal'!AO$32),0)+IF(AO$4=DATE(YEAR(Premissas!$B$112),MONTH(Premissas!$B$112),1),Premissas!$B$111,0))</f>
        <v>-286805.7371648</v>
      </c>
      <c r="AP130" s="60" t="n">
        <f aca="false">-(AP102*(1-INDEX(Premissas!$C$70:$G$70,AP$7))*IF('Ajuste Mensal'!AP$28="",INDEX(Premissas!$C$69:$G$69,AP$7),'Ajuste Mensal'!AP$28)+IF(AP$4&gt;=Premissas!$B$110,IF('Ajuste Mensal'!AP$32="",INDEX(Premissas!$C$109:$G$109,AP$7),'Ajuste Mensal'!AP$32),0)+IF(AP$4=DATE(YEAR(Premissas!$B$112),MONTH(Premissas!$B$112),1),Premissas!$B$111,0))</f>
        <v>-286805.7371648</v>
      </c>
      <c r="AQ130" s="60" t="n">
        <f aca="false">-(AQ102*(1-INDEX(Premissas!$C$70:$G$70,AQ$7))*IF('Ajuste Mensal'!AQ$28="",INDEX(Premissas!$C$69:$G$69,AQ$7),'Ajuste Mensal'!AQ$28)+IF(AQ$4&gt;=Premissas!$B$110,IF('Ajuste Mensal'!AQ$32="",INDEX(Premissas!$C$109:$G$109,AQ$7),'Ajuste Mensal'!AQ$32),0)+IF(AQ$4=DATE(YEAR(Premissas!$B$112),MONTH(Premissas!$B$112),1),Premissas!$B$111,0))</f>
        <v>-286805.7371648</v>
      </c>
      <c r="AR130" s="60" t="n">
        <f aca="false">-(AR102*(1-INDEX(Premissas!$C$70:$G$70,AR$7))*IF('Ajuste Mensal'!AR$28="",INDEX(Premissas!$C$69:$G$69,AR$7),'Ajuste Mensal'!AR$28)+IF(AR$4&gt;=Premissas!$B$110,IF('Ajuste Mensal'!AR$32="",INDEX(Premissas!$C$109:$G$109,AR$7),'Ajuste Mensal'!AR$32),0)+IF(AR$4=DATE(YEAR(Premissas!$B$112),MONTH(Premissas!$B$112),1),Premissas!$B$111,0))</f>
        <v>-286805.7371648</v>
      </c>
      <c r="AS130" s="60" t="n">
        <f aca="false">-(AS102*(1-INDEX(Premissas!$C$70:$G$70,AS$7))*IF('Ajuste Mensal'!AS$28="",INDEX(Premissas!$C$69:$G$69,AS$7),'Ajuste Mensal'!AS$28)+IF(AS$4&gt;=Premissas!$B$110,IF('Ajuste Mensal'!AS$32="",INDEX(Premissas!$C$109:$G$109,AS$7),'Ajuste Mensal'!AS$32),0)+IF(AS$4=DATE(YEAR(Premissas!$B$112),MONTH(Premissas!$B$112),1),Premissas!$B$111,0))</f>
        <v>-286805.7371648</v>
      </c>
      <c r="AT130" s="60" t="n">
        <f aca="false">-(AT102*(1-INDEX(Premissas!$C$70:$G$70,AT$7))*IF('Ajuste Mensal'!AT$28="",INDEX(Premissas!$C$69:$G$69,AT$7),'Ajuste Mensal'!AT$28)+IF(AT$4&gt;=Premissas!$B$110,IF('Ajuste Mensal'!AT$32="",INDEX(Premissas!$C$109:$G$109,AT$7),'Ajuste Mensal'!AT$32),0)+IF(AT$4=DATE(YEAR(Premissas!$B$112),MONTH(Premissas!$B$112),1),Premissas!$B$111,0))</f>
        <v>-286805.7371648</v>
      </c>
      <c r="AU130" s="60" t="n">
        <f aca="false">-(AU102*(1-INDEX(Premissas!$C$70:$G$70,AU$7))*IF('Ajuste Mensal'!AU$28="",INDEX(Premissas!$C$69:$G$69,AU$7),'Ajuste Mensal'!AU$28)+IF(AU$4&gt;=Premissas!$B$110,IF('Ajuste Mensal'!AU$32="",INDEX(Premissas!$C$109:$G$109,AU$7),'Ajuste Mensal'!AU$32),0)+IF(AU$4=DATE(YEAR(Premissas!$B$112),MONTH(Premissas!$B$112),1),Premissas!$B$111,0))</f>
        <v>-286805.7371648</v>
      </c>
      <c r="AV130" s="60" t="n">
        <f aca="false">-(AV102*(1-INDEX(Premissas!$C$70:$G$70,AV$7))*IF('Ajuste Mensal'!AV$28="",INDEX(Premissas!$C$69:$G$69,AV$7),'Ajuste Mensal'!AV$28)+IF(AV$4&gt;=Premissas!$B$110,IF('Ajuste Mensal'!AV$32="",INDEX(Premissas!$C$109:$G$109,AV$7),'Ajuste Mensal'!AV$32),0)+IF(AV$4=DATE(YEAR(Premissas!$B$112),MONTH(Premissas!$B$112),1),Premissas!$B$111,0))</f>
        <v>-286805.7371648</v>
      </c>
      <c r="AW130" s="60" t="n">
        <f aca="false">-(AW102*(1-INDEX(Premissas!$C$70:$G$70,AW$7))*IF('Ajuste Mensal'!AW$28="",INDEX(Premissas!$C$69:$G$69,AW$7),'Ajuste Mensal'!AW$28)+IF(AW$4&gt;=Premissas!$B$110,IF('Ajuste Mensal'!AW$32="",INDEX(Premissas!$C$109:$G$109,AW$7),'Ajuste Mensal'!AW$32),0)+IF(AW$4=DATE(YEAR(Premissas!$B$112),MONTH(Premissas!$B$112),1),Premissas!$B$111,0))</f>
        <v>-286805.7371648</v>
      </c>
      <c r="AX130" s="60" t="n">
        <f aca="false">-(AX102*(1-INDEX(Premissas!$C$70:$G$70,AX$7))*IF('Ajuste Mensal'!AX$28="",INDEX(Premissas!$C$69:$G$69,AX$7),'Ajuste Mensal'!AX$28)+IF(AX$4&gt;=Premissas!$B$110,IF('Ajuste Mensal'!AX$32="",INDEX(Premissas!$C$109:$G$109,AX$7),'Ajuste Mensal'!AX$32),0)+IF(AX$4=DATE(YEAR(Premissas!$B$112),MONTH(Premissas!$B$112),1),Premissas!$B$111,0))</f>
        <v>-511408.92553216</v>
      </c>
      <c r="AY130" s="60" t="n">
        <f aca="false">-(AY102*(1-INDEX(Premissas!$C$70:$G$70,AY$7))*IF('Ajuste Mensal'!AY$28="",INDEX(Premissas!$C$69:$G$69,AY$7),'Ajuste Mensal'!AY$28)+IF(AY$4&gt;=Premissas!$B$110,IF('Ajuste Mensal'!AY$32="",INDEX(Premissas!$C$109:$G$109,AY$7),'Ajuste Mensal'!AY$32),0)+IF(AY$4=DATE(YEAR(Premissas!$B$112),MONTH(Premissas!$B$112),1),Premissas!$B$111,0))</f>
        <v>-511408.92553216</v>
      </c>
      <c r="AZ130" s="60" t="n">
        <f aca="false">-(AZ102*(1-INDEX(Premissas!$C$70:$G$70,AZ$7))*IF('Ajuste Mensal'!AZ$28="",INDEX(Premissas!$C$69:$G$69,AZ$7),'Ajuste Mensal'!AZ$28)+IF(AZ$4&gt;=Premissas!$B$110,IF('Ajuste Mensal'!AZ$32="",INDEX(Premissas!$C$109:$G$109,AZ$7),'Ajuste Mensal'!AZ$32),0)+IF(AZ$4=DATE(YEAR(Premissas!$B$112),MONTH(Premissas!$B$112),1),Premissas!$B$111,0))</f>
        <v>-511408.92553216</v>
      </c>
      <c r="BA130" s="60" t="n">
        <f aca="false">-(BA102*(1-INDEX(Premissas!$C$70:$G$70,BA$7))*IF('Ajuste Mensal'!BA$28="",INDEX(Premissas!$C$69:$G$69,BA$7),'Ajuste Mensal'!BA$28)+IF(BA$4&gt;=Premissas!$B$110,IF('Ajuste Mensal'!BA$32="",INDEX(Premissas!$C$109:$G$109,BA$7),'Ajuste Mensal'!BA$32),0)+IF(BA$4=DATE(YEAR(Premissas!$B$112),MONTH(Premissas!$B$112),1),Premissas!$B$111,0))</f>
        <v>-511408.92553216</v>
      </c>
      <c r="BB130" s="60" t="n">
        <f aca="false">-(BB102*(1-INDEX(Premissas!$C$70:$G$70,BB$7))*IF('Ajuste Mensal'!BB$28="",INDEX(Premissas!$C$69:$G$69,BB$7),'Ajuste Mensal'!BB$28)+IF(BB$4&gt;=Premissas!$B$110,IF('Ajuste Mensal'!BB$32="",INDEX(Premissas!$C$109:$G$109,BB$7),'Ajuste Mensal'!BB$32),0)+IF(BB$4=DATE(YEAR(Premissas!$B$112),MONTH(Premissas!$B$112),1),Premissas!$B$111,0))</f>
        <v>-511408.92553216</v>
      </c>
      <c r="BC130" s="60" t="n">
        <f aca="false">-(BC102*(1-INDEX(Premissas!$C$70:$G$70,BC$7))*IF('Ajuste Mensal'!BC$28="",INDEX(Premissas!$C$69:$G$69,BC$7),'Ajuste Mensal'!BC$28)+IF(BC$4&gt;=Premissas!$B$110,IF('Ajuste Mensal'!BC$32="",INDEX(Premissas!$C$109:$G$109,BC$7),'Ajuste Mensal'!BC$32),0)+IF(BC$4=DATE(YEAR(Premissas!$B$112),MONTH(Premissas!$B$112),1),Premissas!$B$111,0))</f>
        <v>-511408.92553216</v>
      </c>
      <c r="BD130" s="60" t="n">
        <f aca="false">-(BD102*(1-INDEX(Premissas!$C$70:$G$70,BD$7))*IF('Ajuste Mensal'!BD$28="",INDEX(Premissas!$C$69:$G$69,BD$7),'Ajuste Mensal'!BD$28)+IF(BD$4&gt;=Premissas!$B$110,IF('Ajuste Mensal'!BD$32="",INDEX(Premissas!$C$109:$G$109,BD$7),'Ajuste Mensal'!BD$32),0)+IF(BD$4=DATE(YEAR(Premissas!$B$112),MONTH(Premissas!$B$112),1),Premissas!$B$111,0))</f>
        <v>-511408.92553216</v>
      </c>
      <c r="BE130" s="60" t="n">
        <f aca="false">-(BE102*(1-INDEX(Premissas!$C$70:$G$70,BE$7))*IF('Ajuste Mensal'!BE$28="",INDEX(Premissas!$C$69:$G$69,BE$7),'Ajuste Mensal'!BE$28)+IF(BE$4&gt;=Premissas!$B$110,IF('Ajuste Mensal'!BE$32="",INDEX(Premissas!$C$109:$G$109,BE$7),'Ajuste Mensal'!BE$32),0)+IF(BE$4=DATE(YEAR(Premissas!$B$112),MONTH(Premissas!$B$112),1),Premissas!$B$111,0))</f>
        <v>-511408.92553216</v>
      </c>
      <c r="BF130" s="60" t="n">
        <f aca="false">-(BF102*(1-INDEX(Premissas!$C$70:$G$70,BF$7))*IF('Ajuste Mensal'!BF$28="",INDEX(Premissas!$C$69:$G$69,BF$7),'Ajuste Mensal'!BF$28)+IF(BF$4&gt;=Premissas!$B$110,IF('Ajuste Mensal'!BF$32="",INDEX(Premissas!$C$109:$G$109,BF$7),'Ajuste Mensal'!BF$32),0)+IF(BF$4=DATE(YEAR(Premissas!$B$112),MONTH(Premissas!$B$112),1),Premissas!$B$111,0))</f>
        <v>-511408.92553216</v>
      </c>
      <c r="BG130" s="60" t="n">
        <f aca="false">-(BG102*(1-INDEX(Premissas!$C$70:$G$70,BG$7))*IF('Ajuste Mensal'!BG$28="",INDEX(Premissas!$C$69:$G$69,BG$7),'Ajuste Mensal'!BG$28)+IF(BG$4&gt;=Premissas!$B$110,IF('Ajuste Mensal'!BG$32="",INDEX(Premissas!$C$109:$G$109,BG$7),'Ajuste Mensal'!BG$32),0)+IF(BG$4=DATE(YEAR(Premissas!$B$112),MONTH(Premissas!$B$112),1),Premissas!$B$111,0))</f>
        <v>-511408.92553216</v>
      </c>
      <c r="BH130" s="60" t="n">
        <f aca="false">-(BH102*(1-INDEX(Premissas!$C$70:$G$70,BH$7))*IF('Ajuste Mensal'!BH$28="",INDEX(Premissas!$C$69:$G$69,BH$7),'Ajuste Mensal'!BH$28)+IF(BH$4&gt;=Premissas!$B$110,IF('Ajuste Mensal'!BH$32="",INDEX(Premissas!$C$109:$G$109,BH$7),'Ajuste Mensal'!BH$32),0)+IF(BH$4=DATE(YEAR(Premissas!$B$112),MONTH(Premissas!$B$112),1),Premissas!$B$111,0))</f>
        <v>-511408.92553216</v>
      </c>
      <c r="BI130" s="60" t="n">
        <f aca="false">-(BI102*(1-INDEX(Premissas!$C$70:$G$70,BI$7))*IF('Ajuste Mensal'!BI$28="",INDEX(Premissas!$C$69:$G$69,BI$7),'Ajuste Mensal'!BI$28)+IF(BI$4&gt;=Premissas!$B$110,IF('Ajuste Mensal'!BI$32="",INDEX(Premissas!$C$109:$G$109,BI$7),'Ajuste Mensal'!BI$32),0)+IF(BI$4=DATE(YEAR(Premissas!$B$112),MONTH(Premissas!$B$112),1),Premissas!$B$111,0))</f>
        <v>-511408.92553216</v>
      </c>
      <c r="BJ130" s="61" t="n">
        <f aca="false">SUM(B130:BI130)</f>
        <v>-12166850.2131635</v>
      </c>
    </row>
    <row r="131" customFormat="false" ht="15" hidden="false" customHeight="false" outlineLevel="0" collapsed="false">
      <c r="A131" s="27" t="s">
        <v>736</v>
      </c>
      <c r="B131" s="60" t="n">
        <f aca="false">-IF(B$4&gt;=Premissas!$B$107,IF('Ajuste Mensal'!B$33="",INDEX(Premissas!$C$108:$G$108,B$7),'Ajuste Mensal'!B$33),0)</f>
        <v>-0</v>
      </c>
      <c r="C131" s="60" t="n">
        <f aca="false">-IF(C$4&gt;=Premissas!$B$107,IF('Ajuste Mensal'!C$33="",INDEX(Premissas!$C$108:$G$108,C$7),'Ajuste Mensal'!C$33),0)</f>
        <v>-0</v>
      </c>
      <c r="D131" s="60" t="n">
        <f aca="false">-IF(D$4&gt;=Premissas!$B$107,IF('Ajuste Mensal'!D$33="",INDEX(Premissas!$C$108:$G$108,D$7),'Ajuste Mensal'!D$33),0)</f>
        <v>-0</v>
      </c>
      <c r="E131" s="60" t="n">
        <f aca="false">-IF(E$4&gt;=Premissas!$B$107,IF('Ajuste Mensal'!E$33="",INDEX(Premissas!$C$108:$G$108,E$7),'Ajuste Mensal'!E$33),0)</f>
        <v>-1500</v>
      </c>
      <c r="F131" s="60" t="n">
        <f aca="false">-IF(F$4&gt;=Premissas!$B$107,IF('Ajuste Mensal'!F$33="",INDEX(Premissas!$C$108:$G$108,F$7),'Ajuste Mensal'!F$33),0)</f>
        <v>-1500</v>
      </c>
      <c r="G131" s="60" t="n">
        <f aca="false">-IF(G$4&gt;=Premissas!$B$107,IF('Ajuste Mensal'!G$33="",INDEX(Premissas!$C$108:$G$108,G$7),'Ajuste Mensal'!G$33),0)</f>
        <v>-1500</v>
      </c>
      <c r="H131" s="60" t="n">
        <f aca="false">-IF(H$4&gt;=Premissas!$B$107,IF('Ajuste Mensal'!H$33="",INDEX(Premissas!$C$108:$G$108,H$7),'Ajuste Mensal'!H$33),0)</f>
        <v>-1500</v>
      </c>
      <c r="I131" s="60" t="n">
        <f aca="false">-IF(I$4&gt;=Premissas!$B$107,IF('Ajuste Mensal'!I$33="",INDEX(Premissas!$C$108:$G$108,I$7),'Ajuste Mensal'!I$33),0)</f>
        <v>-1500</v>
      </c>
      <c r="J131" s="60" t="n">
        <f aca="false">-IF(J$4&gt;=Premissas!$B$107,IF('Ajuste Mensal'!J$33="",INDEX(Premissas!$C$108:$G$108,J$7),'Ajuste Mensal'!J$33),0)</f>
        <v>-1500</v>
      </c>
      <c r="K131" s="60" t="n">
        <f aca="false">-IF(K$4&gt;=Premissas!$B$107,IF('Ajuste Mensal'!K$33="",INDEX(Premissas!$C$108:$G$108,K$7),'Ajuste Mensal'!K$33),0)</f>
        <v>-1500</v>
      </c>
      <c r="L131" s="60" t="n">
        <f aca="false">-IF(L$4&gt;=Premissas!$B$107,IF('Ajuste Mensal'!L$33="",INDEX(Premissas!$C$108:$G$108,L$7),'Ajuste Mensal'!L$33),0)</f>
        <v>-1500</v>
      </c>
      <c r="M131" s="60" t="n">
        <f aca="false">-IF(M$4&gt;=Premissas!$B$107,IF('Ajuste Mensal'!M$33="",INDEX(Premissas!$C$108:$G$108,M$7),'Ajuste Mensal'!M$33),0)</f>
        <v>-1500</v>
      </c>
      <c r="N131" s="60" t="n">
        <f aca="false">-IF(N$4&gt;=Premissas!$B$107,IF('Ajuste Mensal'!N$33="",INDEX(Premissas!$C$108:$G$108,N$7),'Ajuste Mensal'!N$33),0)</f>
        <v>-6000</v>
      </c>
      <c r="O131" s="60" t="n">
        <f aca="false">-IF(O$4&gt;=Premissas!$B$107,IF('Ajuste Mensal'!O$33="",INDEX(Premissas!$C$108:$G$108,O$7),'Ajuste Mensal'!O$33),0)</f>
        <v>-6000</v>
      </c>
      <c r="P131" s="60" t="n">
        <f aca="false">-IF(P$4&gt;=Premissas!$B$107,IF('Ajuste Mensal'!P$33="",INDEX(Premissas!$C$108:$G$108,P$7),'Ajuste Mensal'!P$33),0)</f>
        <v>-6000</v>
      </c>
      <c r="Q131" s="60" t="n">
        <f aca="false">-IF(Q$4&gt;=Premissas!$B$107,IF('Ajuste Mensal'!Q$33="",INDEX(Premissas!$C$108:$G$108,Q$7),'Ajuste Mensal'!Q$33),0)</f>
        <v>-6000</v>
      </c>
      <c r="R131" s="60" t="n">
        <f aca="false">-IF(R$4&gt;=Premissas!$B$107,IF('Ajuste Mensal'!R$33="",INDEX(Premissas!$C$108:$G$108,R$7),'Ajuste Mensal'!R$33),0)</f>
        <v>-6000</v>
      </c>
      <c r="S131" s="60" t="n">
        <f aca="false">-IF(S$4&gt;=Premissas!$B$107,IF('Ajuste Mensal'!S$33="",INDEX(Premissas!$C$108:$G$108,S$7),'Ajuste Mensal'!S$33),0)</f>
        <v>-6000</v>
      </c>
      <c r="T131" s="60" t="n">
        <f aca="false">-IF(T$4&gt;=Premissas!$B$107,IF('Ajuste Mensal'!T$33="",INDEX(Premissas!$C$108:$G$108,T$7),'Ajuste Mensal'!T$33),0)</f>
        <v>-6000</v>
      </c>
      <c r="U131" s="60" t="n">
        <f aca="false">-IF(U$4&gt;=Premissas!$B$107,IF('Ajuste Mensal'!U$33="",INDEX(Premissas!$C$108:$G$108,U$7),'Ajuste Mensal'!U$33),0)</f>
        <v>-6000</v>
      </c>
      <c r="V131" s="60" t="n">
        <f aca="false">-IF(V$4&gt;=Premissas!$B$107,IF('Ajuste Mensal'!V$33="",INDEX(Premissas!$C$108:$G$108,V$7),'Ajuste Mensal'!V$33),0)</f>
        <v>-6000</v>
      </c>
      <c r="W131" s="60" t="n">
        <f aca="false">-IF(W$4&gt;=Premissas!$B$107,IF('Ajuste Mensal'!W$33="",INDEX(Premissas!$C$108:$G$108,W$7),'Ajuste Mensal'!W$33),0)</f>
        <v>-6000</v>
      </c>
      <c r="X131" s="60" t="n">
        <f aca="false">-IF(X$4&gt;=Premissas!$B$107,IF('Ajuste Mensal'!X$33="",INDEX(Premissas!$C$108:$G$108,X$7),'Ajuste Mensal'!X$33),0)</f>
        <v>-6000</v>
      </c>
      <c r="Y131" s="60" t="n">
        <f aca="false">-IF(Y$4&gt;=Premissas!$B$107,IF('Ajuste Mensal'!Y$33="",INDEX(Premissas!$C$108:$G$108,Y$7),'Ajuste Mensal'!Y$33),0)</f>
        <v>-6000</v>
      </c>
      <c r="Z131" s="60" t="n">
        <f aca="false">-IF(Z$4&gt;=Premissas!$B$107,IF('Ajuste Mensal'!Z$33="",INDEX(Premissas!$C$108:$G$108,Z$7),'Ajuste Mensal'!Z$33),0)</f>
        <v>-25000</v>
      </c>
      <c r="AA131" s="60" t="n">
        <f aca="false">-IF(AA$4&gt;=Premissas!$B$107,IF('Ajuste Mensal'!AA$33="",INDEX(Premissas!$C$108:$G$108,AA$7),'Ajuste Mensal'!AA$33),0)</f>
        <v>-25000</v>
      </c>
      <c r="AB131" s="60" t="n">
        <f aca="false">-IF(AB$4&gt;=Premissas!$B$107,IF('Ajuste Mensal'!AB$33="",INDEX(Premissas!$C$108:$G$108,AB$7),'Ajuste Mensal'!AB$33),0)</f>
        <v>-25000</v>
      </c>
      <c r="AC131" s="60" t="n">
        <f aca="false">-IF(AC$4&gt;=Premissas!$B$107,IF('Ajuste Mensal'!AC$33="",INDEX(Premissas!$C$108:$G$108,AC$7),'Ajuste Mensal'!AC$33),0)</f>
        <v>-25000</v>
      </c>
      <c r="AD131" s="60" t="n">
        <f aca="false">-IF(AD$4&gt;=Premissas!$B$107,IF('Ajuste Mensal'!AD$33="",INDEX(Premissas!$C$108:$G$108,AD$7),'Ajuste Mensal'!AD$33),0)</f>
        <v>-25000</v>
      </c>
      <c r="AE131" s="60" t="n">
        <f aca="false">-IF(AE$4&gt;=Premissas!$B$107,IF('Ajuste Mensal'!AE$33="",INDEX(Premissas!$C$108:$G$108,AE$7),'Ajuste Mensal'!AE$33),0)</f>
        <v>-25000</v>
      </c>
      <c r="AF131" s="60" t="n">
        <f aca="false">-IF(AF$4&gt;=Premissas!$B$107,IF('Ajuste Mensal'!AF$33="",INDEX(Premissas!$C$108:$G$108,AF$7),'Ajuste Mensal'!AF$33),0)</f>
        <v>-25000</v>
      </c>
      <c r="AG131" s="60" t="n">
        <f aca="false">-IF(AG$4&gt;=Premissas!$B$107,IF('Ajuste Mensal'!AG$33="",INDEX(Premissas!$C$108:$G$108,AG$7),'Ajuste Mensal'!AG$33),0)</f>
        <v>-25000</v>
      </c>
      <c r="AH131" s="60" t="n">
        <f aca="false">-IF(AH$4&gt;=Premissas!$B$107,IF('Ajuste Mensal'!AH$33="",INDEX(Premissas!$C$108:$G$108,AH$7),'Ajuste Mensal'!AH$33),0)</f>
        <v>-25000</v>
      </c>
      <c r="AI131" s="60" t="n">
        <f aca="false">-IF(AI$4&gt;=Premissas!$B$107,IF('Ajuste Mensal'!AI$33="",INDEX(Premissas!$C$108:$G$108,AI$7),'Ajuste Mensal'!AI$33),0)</f>
        <v>-25000</v>
      </c>
      <c r="AJ131" s="60" t="n">
        <f aca="false">-IF(AJ$4&gt;=Premissas!$B$107,IF('Ajuste Mensal'!AJ$33="",INDEX(Premissas!$C$108:$G$108,AJ$7),'Ajuste Mensal'!AJ$33),0)</f>
        <v>-25000</v>
      </c>
      <c r="AK131" s="60" t="n">
        <f aca="false">-IF(AK$4&gt;=Premissas!$B$107,IF('Ajuste Mensal'!AK$33="",INDEX(Premissas!$C$108:$G$108,AK$7),'Ajuste Mensal'!AK$33),0)</f>
        <v>-25000</v>
      </c>
      <c r="AL131" s="60" t="n">
        <f aca="false">-IF(AL$4&gt;=Premissas!$B$107,IF('Ajuste Mensal'!AL$33="",INDEX(Premissas!$C$108:$G$108,AL$7),'Ajuste Mensal'!AL$33),0)</f>
        <v>-60000</v>
      </c>
      <c r="AM131" s="60" t="n">
        <f aca="false">-IF(AM$4&gt;=Premissas!$B$107,IF('Ajuste Mensal'!AM$33="",INDEX(Premissas!$C$108:$G$108,AM$7),'Ajuste Mensal'!AM$33),0)</f>
        <v>-60000</v>
      </c>
      <c r="AN131" s="60" t="n">
        <f aca="false">-IF(AN$4&gt;=Premissas!$B$107,IF('Ajuste Mensal'!AN$33="",INDEX(Premissas!$C$108:$G$108,AN$7),'Ajuste Mensal'!AN$33),0)</f>
        <v>-60000</v>
      </c>
      <c r="AO131" s="60" t="n">
        <f aca="false">-IF(AO$4&gt;=Premissas!$B$107,IF('Ajuste Mensal'!AO$33="",INDEX(Premissas!$C$108:$G$108,AO$7),'Ajuste Mensal'!AO$33),0)</f>
        <v>-60000</v>
      </c>
      <c r="AP131" s="60" t="n">
        <f aca="false">-IF(AP$4&gt;=Premissas!$B$107,IF('Ajuste Mensal'!AP$33="",INDEX(Premissas!$C$108:$G$108,AP$7),'Ajuste Mensal'!AP$33),0)</f>
        <v>-60000</v>
      </c>
      <c r="AQ131" s="60" t="n">
        <f aca="false">-IF(AQ$4&gt;=Premissas!$B$107,IF('Ajuste Mensal'!AQ$33="",INDEX(Premissas!$C$108:$G$108,AQ$7),'Ajuste Mensal'!AQ$33),0)</f>
        <v>-60000</v>
      </c>
      <c r="AR131" s="60" t="n">
        <f aca="false">-IF(AR$4&gt;=Premissas!$B$107,IF('Ajuste Mensal'!AR$33="",INDEX(Premissas!$C$108:$G$108,AR$7),'Ajuste Mensal'!AR$33),0)</f>
        <v>-60000</v>
      </c>
      <c r="AS131" s="60" t="n">
        <f aca="false">-IF(AS$4&gt;=Premissas!$B$107,IF('Ajuste Mensal'!AS$33="",INDEX(Premissas!$C$108:$G$108,AS$7),'Ajuste Mensal'!AS$33),0)</f>
        <v>-60000</v>
      </c>
      <c r="AT131" s="60" t="n">
        <f aca="false">-IF(AT$4&gt;=Premissas!$B$107,IF('Ajuste Mensal'!AT$33="",INDEX(Premissas!$C$108:$G$108,AT$7),'Ajuste Mensal'!AT$33),0)</f>
        <v>-60000</v>
      </c>
      <c r="AU131" s="60" t="n">
        <f aca="false">-IF(AU$4&gt;=Premissas!$B$107,IF('Ajuste Mensal'!AU$33="",INDEX(Premissas!$C$108:$G$108,AU$7),'Ajuste Mensal'!AU$33),0)</f>
        <v>-60000</v>
      </c>
      <c r="AV131" s="60" t="n">
        <f aca="false">-IF(AV$4&gt;=Premissas!$B$107,IF('Ajuste Mensal'!AV$33="",INDEX(Premissas!$C$108:$G$108,AV$7),'Ajuste Mensal'!AV$33),0)</f>
        <v>-60000</v>
      </c>
      <c r="AW131" s="60" t="n">
        <f aca="false">-IF(AW$4&gt;=Premissas!$B$107,IF('Ajuste Mensal'!AW$33="",INDEX(Premissas!$C$108:$G$108,AW$7),'Ajuste Mensal'!AW$33),0)</f>
        <v>-60000</v>
      </c>
      <c r="AX131" s="60" t="n">
        <f aca="false">-IF(AX$4&gt;=Premissas!$B$107,IF('Ajuste Mensal'!AX$33="",INDEX(Premissas!$C$108:$G$108,AX$7),'Ajuste Mensal'!AX$33),0)</f>
        <v>-110000</v>
      </c>
      <c r="AY131" s="60" t="n">
        <f aca="false">-IF(AY$4&gt;=Premissas!$B$107,IF('Ajuste Mensal'!AY$33="",INDEX(Premissas!$C$108:$G$108,AY$7),'Ajuste Mensal'!AY$33),0)</f>
        <v>-110000</v>
      </c>
      <c r="AZ131" s="60" t="n">
        <f aca="false">-IF(AZ$4&gt;=Premissas!$B$107,IF('Ajuste Mensal'!AZ$33="",INDEX(Premissas!$C$108:$G$108,AZ$7),'Ajuste Mensal'!AZ$33),0)</f>
        <v>-110000</v>
      </c>
      <c r="BA131" s="60" t="n">
        <f aca="false">-IF(BA$4&gt;=Premissas!$B$107,IF('Ajuste Mensal'!BA$33="",INDEX(Premissas!$C$108:$G$108,BA$7),'Ajuste Mensal'!BA$33),0)</f>
        <v>-110000</v>
      </c>
      <c r="BB131" s="60" t="n">
        <f aca="false">-IF(BB$4&gt;=Premissas!$B$107,IF('Ajuste Mensal'!BB$33="",INDEX(Premissas!$C$108:$G$108,BB$7),'Ajuste Mensal'!BB$33),0)</f>
        <v>-110000</v>
      </c>
      <c r="BC131" s="60" t="n">
        <f aca="false">-IF(BC$4&gt;=Premissas!$B$107,IF('Ajuste Mensal'!BC$33="",INDEX(Premissas!$C$108:$G$108,BC$7),'Ajuste Mensal'!BC$33),0)</f>
        <v>-110000</v>
      </c>
      <c r="BD131" s="60" t="n">
        <f aca="false">-IF(BD$4&gt;=Premissas!$B$107,IF('Ajuste Mensal'!BD$33="",INDEX(Premissas!$C$108:$G$108,BD$7),'Ajuste Mensal'!BD$33),0)</f>
        <v>-110000</v>
      </c>
      <c r="BE131" s="60" t="n">
        <f aca="false">-IF(BE$4&gt;=Premissas!$B$107,IF('Ajuste Mensal'!BE$33="",INDEX(Premissas!$C$108:$G$108,BE$7),'Ajuste Mensal'!BE$33),0)</f>
        <v>-110000</v>
      </c>
      <c r="BF131" s="60" t="n">
        <f aca="false">-IF(BF$4&gt;=Premissas!$B$107,IF('Ajuste Mensal'!BF$33="",INDEX(Premissas!$C$108:$G$108,BF$7),'Ajuste Mensal'!BF$33),0)</f>
        <v>-110000</v>
      </c>
      <c r="BG131" s="60" t="n">
        <f aca="false">-IF(BG$4&gt;=Premissas!$B$107,IF('Ajuste Mensal'!BG$33="",INDEX(Premissas!$C$108:$G$108,BG$7),'Ajuste Mensal'!BG$33),0)</f>
        <v>-110000</v>
      </c>
      <c r="BH131" s="60" t="n">
        <f aca="false">-IF(BH$4&gt;=Premissas!$B$107,IF('Ajuste Mensal'!BH$33="",INDEX(Premissas!$C$108:$G$108,BH$7),'Ajuste Mensal'!BH$33),0)</f>
        <v>-110000</v>
      </c>
      <c r="BI131" s="60" t="n">
        <f aca="false">-IF(BI$4&gt;=Premissas!$B$107,IF('Ajuste Mensal'!BI$33="",INDEX(Premissas!$C$108:$G$108,BI$7),'Ajuste Mensal'!BI$33),0)</f>
        <v>-110000</v>
      </c>
      <c r="BJ131" s="61" t="n">
        <f aca="false">SUM(B131:BI131)</f>
        <v>-2425500</v>
      </c>
    </row>
    <row r="132" customFormat="false" ht="15" hidden="false" customHeight="false" outlineLevel="0" collapsed="false">
      <c r="A132" s="62" t="s">
        <v>883</v>
      </c>
      <c r="B132" s="61" t="n">
        <f aca="false">SUM(B126:B131)</f>
        <v>0</v>
      </c>
      <c r="C132" s="61" t="n">
        <f aca="false">SUM(C126:C131)</f>
        <v>0</v>
      </c>
      <c r="D132" s="61" t="n">
        <f aca="false">SUM(D126:D131)</f>
        <v>0</v>
      </c>
      <c r="E132" s="61" t="n">
        <f aca="false">SUM(E126:E131)</f>
        <v>-1500</v>
      </c>
      <c r="F132" s="61" t="n">
        <f aca="false">SUM(F126:F131)</f>
        <v>-2100</v>
      </c>
      <c r="G132" s="61" t="n">
        <f aca="false">SUM(G126:G131)</f>
        <v>-2100</v>
      </c>
      <c r="H132" s="61" t="n">
        <f aca="false">SUM(H126:H131)</f>
        <v>-2100</v>
      </c>
      <c r="I132" s="61" t="n">
        <f aca="false">SUM(I126:I131)</f>
        <v>-2100</v>
      </c>
      <c r="J132" s="61" t="n">
        <f aca="false">SUM(J126:J131)</f>
        <v>-2100</v>
      </c>
      <c r="K132" s="61" t="n">
        <f aca="false">SUM(K126:K131)</f>
        <v>-53568.8782</v>
      </c>
      <c r="L132" s="61" t="n">
        <f aca="false">SUM(L126:L131)</f>
        <v>-18566.120025</v>
      </c>
      <c r="M132" s="61" t="n">
        <f aca="false">SUM(M126:M131)</f>
        <v>-2303.93228</v>
      </c>
      <c r="N132" s="61" t="n">
        <f aca="false">SUM(N126:N131)</f>
        <v>-37852.5663431456</v>
      </c>
      <c r="O132" s="61" t="n">
        <f aca="false">SUM(O126:O131)</f>
        <v>10067.7869997151</v>
      </c>
      <c r="P132" s="61" t="n">
        <f aca="false">SUM(P126:P131)</f>
        <v>64315.8216097099</v>
      </c>
      <c r="Q132" s="61" t="n">
        <f aca="false">SUM(Q126:Q131)</f>
        <v>142443.86470741</v>
      </c>
      <c r="R132" s="61" t="n">
        <f aca="false">SUM(R126:R131)</f>
        <v>174439.132094406</v>
      </c>
      <c r="S132" s="61" t="n">
        <f aca="false">SUM(S126:S131)</f>
        <v>205696.321073951</v>
      </c>
      <c r="T132" s="61" t="n">
        <f aca="false">SUM(T126:T131)</f>
        <v>229566.075054633</v>
      </c>
      <c r="U132" s="61" t="n">
        <f aca="false">SUM(U126:U131)</f>
        <v>254741.825212561</v>
      </c>
      <c r="V132" s="61" t="n">
        <f aca="false">SUM(V126:V131)</f>
        <v>279046.952345164</v>
      </c>
      <c r="W132" s="61" t="n">
        <f aca="false">SUM(W126:W131)</f>
        <v>407571.756605024</v>
      </c>
      <c r="X132" s="61" t="n">
        <f aca="false">SUM(X126:X131)</f>
        <v>443155.438034206</v>
      </c>
      <c r="Y132" s="61" t="n">
        <f aca="false">SUM(Y126:Y131)</f>
        <v>471924.956287645</v>
      </c>
      <c r="Z132" s="61" t="n">
        <f aca="false">SUM(Z126:Z131)</f>
        <v>531320.967933244</v>
      </c>
      <c r="AA132" s="61" t="n">
        <f aca="false">SUM(AA126:AA131)</f>
        <v>610031.936744902</v>
      </c>
      <c r="AB132" s="61" t="n">
        <f aca="false">SUM(AB126:AB131)</f>
        <v>684814.853412824</v>
      </c>
      <c r="AC132" s="61" t="n">
        <f aca="false">SUM(AC126:AC131)</f>
        <v>755750.485152941</v>
      </c>
      <c r="AD132" s="61" t="n">
        <f aca="false">SUM(AD126:AD131)</f>
        <v>823157.512200619</v>
      </c>
      <c r="AE132" s="61" t="n">
        <f aca="false">SUM(AE126:AE131)</f>
        <v>887057.082553502</v>
      </c>
      <c r="AF132" s="61" t="n">
        <f aca="false">SUM(AF126:AF131)</f>
        <v>985453.162479617</v>
      </c>
      <c r="AG132" s="61" t="n">
        <f aca="false">SUM(AG126:AG131)</f>
        <v>1043016.73708988</v>
      </c>
      <c r="AH132" s="61" t="n">
        <f aca="false">SUM(AH126:AH131)</f>
        <v>1097750.03882122</v>
      </c>
      <c r="AI132" s="61" t="n">
        <f aca="false">SUM(AI126:AI131)</f>
        <v>1149646.80363199</v>
      </c>
      <c r="AJ132" s="61" t="n">
        <f aca="false">SUM(AJ126:AJ131)</f>
        <v>1198886.10387307</v>
      </c>
      <c r="AK132" s="61" t="n">
        <f aca="false">SUM(AK126:AK131)</f>
        <v>1245646.86449139</v>
      </c>
      <c r="AL132" s="61" t="n">
        <f aca="false">SUM(AL126:AL131)</f>
        <v>1475687.45503884</v>
      </c>
      <c r="AM132" s="61" t="n">
        <f aca="false">SUM(AM126:AM131)</f>
        <v>1622424.0980423</v>
      </c>
      <c r="AN132" s="61" t="n">
        <f aca="false">SUM(AN126:AN131)</f>
        <v>1762299.65026645</v>
      </c>
      <c r="AO132" s="61" t="n">
        <f aca="false">SUM(AO126:AO131)</f>
        <v>1895619.45848727</v>
      </c>
      <c r="AP132" s="61" t="n">
        <f aca="false">SUM(AP126:AP131)</f>
        <v>2022719.79474531</v>
      </c>
      <c r="AQ132" s="61" t="n">
        <f aca="false">SUM(AQ126:AQ131)</f>
        <v>2143921.24720045</v>
      </c>
      <c r="AR132" s="61" t="n">
        <f aca="false">SUM(AR126:AR131)</f>
        <v>2259447.32864257</v>
      </c>
      <c r="AS132" s="61" t="n">
        <f aca="false">SUM(AS126:AS131)</f>
        <v>2369540.20581509</v>
      </c>
      <c r="AT132" s="61" t="n">
        <f aca="false">SUM(AT126:AT131)</f>
        <v>2474519.21586029</v>
      </c>
      <c r="AU132" s="61" t="n">
        <f aca="false">SUM(AU126:AU131)</f>
        <v>2574561.55416502</v>
      </c>
      <c r="AV132" s="61" t="n">
        <f aca="false">SUM(AV126:AV131)</f>
        <v>2669987.15803189</v>
      </c>
      <c r="AW132" s="61" t="n">
        <f aca="false">SUM(AW126:AW131)</f>
        <v>2760907.1453886</v>
      </c>
      <c r="AX132" s="61" t="n">
        <f aca="false">SUM(AX126:AX131)</f>
        <v>3408621.79333525</v>
      </c>
      <c r="AY132" s="61" t="n">
        <f aca="false">SUM(AY126:AY131)</f>
        <v>3695511.13548138</v>
      </c>
      <c r="AZ132" s="61" t="n">
        <f aca="false">SUM(AZ126:AZ131)</f>
        <v>3970081.19730136</v>
      </c>
      <c r="BA132" s="61" t="n">
        <f aca="false">SUM(BA126:BA131)</f>
        <v>4232773.74516703</v>
      </c>
      <c r="BB132" s="61" t="n">
        <f aca="false">SUM(BB126:BB131)</f>
        <v>4484269.52202338</v>
      </c>
      <c r="BC132" s="61" t="n">
        <f aca="false">SUM(BC126:BC131)</f>
        <v>4724875.44549234</v>
      </c>
      <c r="BD132" s="61" t="n">
        <f aca="false">SUM(BD126:BD131)</f>
        <v>4955187.40991989</v>
      </c>
      <c r="BE132" s="61" t="n">
        <f aca="false">SUM(BE126:BE131)</f>
        <v>5175560.93631391</v>
      </c>
      <c r="BF132" s="61" t="n">
        <f aca="false">SUM(BF126:BF131)</f>
        <v>5386474.28744342</v>
      </c>
      <c r="BG132" s="61" t="n">
        <f aca="false">SUM(BG126:BG131)</f>
        <v>5588334.12738079</v>
      </c>
      <c r="BH132" s="61" t="n">
        <f aca="false">SUM(BH126:BH131)</f>
        <v>5781534.26735277</v>
      </c>
      <c r="BI132" s="61" t="n">
        <f aca="false">SUM(BI126:BI131)</f>
        <v>5966412.845039</v>
      </c>
      <c r="BJ132" s="61" t="n">
        <f aca="false">SUM(B132:BI132)</f>
        <v>96972482.0054961</v>
      </c>
    </row>
    <row r="133" customFormat="false" ht="15" hidden="false" customHeight="false" outlineLevel="0" collapsed="false">
      <c r="A133" s="27" t="s">
        <v>884</v>
      </c>
      <c r="B133" s="60" t="n">
        <f aca="false">-Investimentos!B25</f>
        <v>-0</v>
      </c>
      <c r="C133" s="60" t="n">
        <f aca="false">-Investimentos!C25</f>
        <v>-0</v>
      </c>
      <c r="D133" s="60" t="n">
        <f aca="false">-Investimentos!D25</f>
        <v>-0</v>
      </c>
      <c r="E133" s="60" t="n">
        <f aca="false">-Investimentos!E25</f>
        <v>-0</v>
      </c>
      <c r="F133" s="60" t="n">
        <f aca="false">-Investimentos!F25</f>
        <v>-6000</v>
      </c>
      <c r="G133" s="60" t="n">
        <f aca="false">-Investimentos!G25</f>
        <v>-0</v>
      </c>
      <c r="H133" s="60" t="n">
        <f aca="false">-Investimentos!H25</f>
        <v>-0</v>
      </c>
      <c r="I133" s="60" t="n">
        <f aca="false">-Investimentos!I25</f>
        <v>-9127.82</v>
      </c>
      <c r="J133" s="60" t="n">
        <f aca="false">-Investimentos!J25</f>
        <v>-10500</v>
      </c>
      <c r="K133" s="60" t="n">
        <f aca="false">-Investimentos!K25</f>
        <v>-10500</v>
      </c>
      <c r="L133" s="60" t="n">
        <f aca="false">-Investimentos!L25</f>
        <v>-0</v>
      </c>
      <c r="M133" s="60" t="n">
        <f aca="false">-Investimentos!M25</f>
        <v>-0</v>
      </c>
      <c r="N133" s="60" t="n">
        <f aca="false">-Investimentos!N25</f>
        <v>-0</v>
      </c>
      <c r="O133" s="60" t="n">
        <f aca="false">-Investimentos!O25</f>
        <v>-0</v>
      </c>
      <c r="P133" s="60" t="n">
        <f aca="false">-Investimentos!P25</f>
        <v>-12000</v>
      </c>
      <c r="Q133" s="60" t="n">
        <f aca="false">-Investimentos!Q25</f>
        <v>-0</v>
      </c>
      <c r="R133" s="60" t="n">
        <f aca="false">-Investimentos!R25</f>
        <v>-0</v>
      </c>
      <c r="S133" s="60" t="n">
        <f aca="false">-Investimentos!S25</f>
        <v>-6000</v>
      </c>
      <c r="T133" s="60" t="n">
        <f aca="false">-Investimentos!T25</f>
        <v>-25000</v>
      </c>
      <c r="U133" s="60" t="n">
        <f aca="false">-Investimentos!U25</f>
        <v>-0</v>
      </c>
      <c r="V133" s="60" t="n">
        <f aca="false">-Investimentos!V25</f>
        <v>-0</v>
      </c>
      <c r="W133" s="60" t="n">
        <f aca="false">-Investimentos!W25</f>
        <v>-0</v>
      </c>
      <c r="X133" s="60" t="n">
        <f aca="false">-Investimentos!X25</f>
        <v>-0</v>
      </c>
      <c r="Y133" s="60" t="n">
        <f aca="false">-Investimentos!Y25</f>
        <v>-0</v>
      </c>
      <c r="Z133" s="60" t="n">
        <f aca="false">-Investimentos!Z25</f>
        <v>-0</v>
      </c>
      <c r="AA133" s="60" t="n">
        <f aca="false">-Investimentos!AA25</f>
        <v>-0</v>
      </c>
      <c r="AB133" s="60" t="n">
        <f aca="false">-Investimentos!AB25</f>
        <v>-0</v>
      </c>
      <c r="AC133" s="60" t="n">
        <f aca="false">-Investimentos!AC25</f>
        <v>-0</v>
      </c>
      <c r="AD133" s="60" t="n">
        <f aca="false">-Investimentos!AD25</f>
        <v>-0</v>
      </c>
      <c r="AE133" s="60" t="n">
        <f aca="false">-Investimentos!AE25</f>
        <v>-15000</v>
      </c>
      <c r="AF133" s="60" t="n">
        <f aca="false">-Investimentos!AF25</f>
        <v>-0</v>
      </c>
      <c r="AG133" s="60" t="n">
        <f aca="false">-Investimentos!AG25</f>
        <v>-0</v>
      </c>
      <c r="AH133" s="60" t="n">
        <f aca="false">-Investimentos!AH25</f>
        <v>-0</v>
      </c>
      <c r="AI133" s="60" t="n">
        <f aca="false">-Investimentos!AI25</f>
        <v>-0</v>
      </c>
      <c r="AJ133" s="60" t="n">
        <f aca="false">-Investimentos!AJ25</f>
        <v>-0</v>
      </c>
      <c r="AK133" s="60" t="n">
        <f aca="false">-Investimentos!AK25</f>
        <v>-0</v>
      </c>
      <c r="AL133" s="60" t="n">
        <f aca="false">-Investimentos!AL25</f>
        <v>-0</v>
      </c>
      <c r="AM133" s="60" t="n">
        <f aca="false">-Investimentos!AM25</f>
        <v>-0</v>
      </c>
      <c r="AN133" s="60" t="n">
        <f aca="false">-Investimentos!AN25</f>
        <v>-0</v>
      </c>
      <c r="AO133" s="60" t="n">
        <f aca="false">-Investimentos!AO25</f>
        <v>-0</v>
      </c>
      <c r="AP133" s="60" t="n">
        <f aca="false">-Investimentos!AP25</f>
        <v>-0</v>
      </c>
      <c r="AQ133" s="60" t="n">
        <f aca="false">-Investimentos!AQ25</f>
        <v>-25000</v>
      </c>
      <c r="AR133" s="60" t="n">
        <f aca="false">-Investimentos!AR25</f>
        <v>-0</v>
      </c>
      <c r="AS133" s="60" t="n">
        <f aca="false">-Investimentos!AS25</f>
        <v>-0</v>
      </c>
      <c r="AT133" s="60" t="n">
        <f aca="false">-Investimentos!AT25</f>
        <v>-0</v>
      </c>
      <c r="AU133" s="60" t="n">
        <f aca="false">-Investimentos!AU25</f>
        <v>-0</v>
      </c>
      <c r="AV133" s="60" t="n">
        <f aca="false">-Investimentos!AV25</f>
        <v>-0</v>
      </c>
      <c r="AW133" s="60" t="n">
        <f aca="false">-Investimentos!AW25</f>
        <v>-0</v>
      </c>
      <c r="AX133" s="60" t="n">
        <f aca="false">-Investimentos!AX25</f>
        <v>-0</v>
      </c>
      <c r="AY133" s="60" t="n">
        <f aca="false">-Investimentos!AY25</f>
        <v>-0</v>
      </c>
      <c r="AZ133" s="60" t="n">
        <f aca="false">-Investimentos!AZ25</f>
        <v>-0</v>
      </c>
      <c r="BA133" s="60" t="n">
        <f aca="false">-Investimentos!BA25</f>
        <v>-0</v>
      </c>
      <c r="BB133" s="60" t="n">
        <f aca="false">-Investimentos!BB25</f>
        <v>-0</v>
      </c>
      <c r="BC133" s="60" t="n">
        <f aca="false">-Investimentos!BC25</f>
        <v>-30000</v>
      </c>
      <c r="BD133" s="60" t="n">
        <f aca="false">-Investimentos!BD25</f>
        <v>-0</v>
      </c>
      <c r="BE133" s="60" t="n">
        <f aca="false">-Investimentos!BE25</f>
        <v>-0</v>
      </c>
      <c r="BF133" s="60" t="n">
        <f aca="false">-Investimentos!BF25</f>
        <v>-0</v>
      </c>
      <c r="BG133" s="60" t="n">
        <f aca="false">-Investimentos!BG25</f>
        <v>-0</v>
      </c>
      <c r="BH133" s="60" t="n">
        <f aca="false">-Investimentos!BH25</f>
        <v>-0</v>
      </c>
      <c r="BI133" s="60" t="n">
        <f aca="false">-Investimentos!BI25</f>
        <v>-0</v>
      </c>
      <c r="BJ133" s="61" t="n">
        <f aca="false">SUM(B133:BI133)</f>
        <v>-149127.82</v>
      </c>
    </row>
    <row r="134" customFormat="false" ht="15" hidden="false" customHeight="false" outlineLevel="0" collapsed="false">
      <c r="A134" s="62" t="s">
        <v>785</v>
      </c>
      <c r="B134" s="61" t="n">
        <f aca="false">B132+B133</f>
        <v>0</v>
      </c>
      <c r="C134" s="61" t="n">
        <f aca="false">C132+C133</f>
        <v>0</v>
      </c>
      <c r="D134" s="61" t="n">
        <f aca="false">D132+D133</f>
        <v>0</v>
      </c>
      <c r="E134" s="61" t="n">
        <f aca="false">E132+E133</f>
        <v>-1500</v>
      </c>
      <c r="F134" s="61" t="n">
        <f aca="false">F132+F133</f>
        <v>-8100</v>
      </c>
      <c r="G134" s="61" t="n">
        <f aca="false">G132+G133</f>
        <v>-2100</v>
      </c>
      <c r="H134" s="61" t="n">
        <f aca="false">H132+H133</f>
        <v>-2100</v>
      </c>
      <c r="I134" s="61" t="n">
        <f aca="false">I132+I133</f>
        <v>-11227.82</v>
      </c>
      <c r="J134" s="61" t="n">
        <f aca="false">J132+J133</f>
        <v>-12600</v>
      </c>
      <c r="K134" s="61" t="n">
        <f aca="false">K132+K133</f>
        <v>-64068.8782</v>
      </c>
      <c r="L134" s="61" t="n">
        <f aca="false">L132+L133</f>
        <v>-18566.120025</v>
      </c>
      <c r="M134" s="61" t="n">
        <f aca="false">M132+M133</f>
        <v>-2303.93228</v>
      </c>
      <c r="N134" s="61" t="n">
        <f aca="false">N132+N133</f>
        <v>-37852.5663431456</v>
      </c>
      <c r="O134" s="61" t="n">
        <f aca="false">O132+O133</f>
        <v>10067.7869997151</v>
      </c>
      <c r="P134" s="61" t="n">
        <f aca="false">P132+P133</f>
        <v>52315.8216097099</v>
      </c>
      <c r="Q134" s="61" t="n">
        <f aca="false">Q132+Q133</f>
        <v>142443.86470741</v>
      </c>
      <c r="R134" s="61" t="n">
        <f aca="false">R132+R133</f>
        <v>174439.132094406</v>
      </c>
      <c r="S134" s="61" t="n">
        <f aca="false">S132+S133</f>
        <v>199696.321073951</v>
      </c>
      <c r="T134" s="61" t="n">
        <f aca="false">T132+T133</f>
        <v>204566.075054633</v>
      </c>
      <c r="U134" s="61" t="n">
        <f aca="false">U132+U133</f>
        <v>254741.825212561</v>
      </c>
      <c r="V134" s="61" t="n">
        <f aca="false">V132+V133</f>
        <v>279046.952345164</v>
      </c>
      <c r="W134" s="61" t="n">
        <f aca="false">W132+W133</f>
        <v>407571.756605024</v>
      </c>
      <c r="X134" s="61" t="n">
        <f aca="false">X132+X133</f>
        <v>443155.438034206</v>
      </c>
      <c r="Y134" s="61" t="n">
        <f aca="false">Y132+Y133</f>
        <v>471924.956287645</v>
      </c>
      <c r="Z134" s="61" t="n">
        <f aca="false">Z132+Z133</f>
        <v>531320.967933244</v>
      </c>
      <c r="AA134" s="61" t="n">
        <f aca="false">AA132+AA133</f>
        <v>610031.936744902</v>
      </c>
      <c r="AB134" s="61" t="n">
        <f aca="false">AB132+AB133</f>
        <v>684814.853412824</v>
      </c>
      <c r="AC134" s="61" t="n">
        <f aca="false">AC132+AC133</f>
        <v>755750.485152941</v>
      </c>
      <c r="AD134" s="61" t="n">
        <f aca="false">AD132+AD133</f>
        <v>823157.512200619</v>
      </c>
      <c r="AE134" s="61" t="n">
        <f aca="false">AE132+AE133</f>
        <v>872057.082553502</v>
      </c>
      <c r="AF134" s="61" t="n">
        <f aca="false">AF132+AF133</f>
        <v>985453.162479617</v>
      </c>
      <c r="AG134" s="61" t="n">
        <f aca="false">AG132+AG133</f>
        <v>1043016.73708988</v>
      </c>
      <c r="AH134" s="61" t="n">
        <f aca="false">AH132+AH133</f>
        <v>1097750.03882122</v>
      </c>
      <c r="AI134" s="61" t="n">
        <f aca="false">AI132+AI133</f>
        <v>1149646.80363199</v>
      </c>
      <c r="AJ134" s="61" t="n">
        <f aca="false">AJ132+AJ133</f>
        <v>1198886.10387307</v>
      </c>
      <c r="AK134" s="61" t="n">
        <f aca="false">AK132+AK133</f>
        <v>1245646.86449139</v>
      </c>
      <c r="AL134" s="61" t="n">
        <f aca="false">AL132+AL133</f>
        <v>1475687.45503884</v>
      </c>
      <c r="AM134" s="61" t="n">
        <f aca="false">AM132+AM133</f>
        <v>1622424.0980423</v>
      </c>
      <c r="AN134" s="61" t="n">
        <f aca="false">AN132+AN133</f>
        <v>1762299.65026645</v>
      </c>
      <c r="AO134" s="61" t="n">
        <f aca="false">AO132+AO133</f>
        <v>1895619.45848727</v>
      </c>
      <c r="AP134" s="61" t="n">
        <f aca="false">AP132+AP133</f>
        <v>2022719.79474531</v>
      </c>
      <c r="AQ134" s="61" t="n">
        <f aca="false">AQ132+AQ133</f>
        <v>2118921.24720045</v>
      </c>
      <c r="AR134" s="61" t="n">
        <f aca="false">AR132+AR133</f>
        <v>2259447.32864257</v>
      </c>
      <c r="AS134" s="61" t="n">
        <f aca="false">AS132+AS133</f>
        <v>2369540.20581509</v>
      </c>
      <c r="AT134" s="61" t="n">
        <f aca="false">AT132+AT133</f>
        <v>2474519.21586029</v>
      </c>
      <c r="AU134" s="61" t="n">
        <f aca="false">AU132+AU133</f>
        <v>2574561.55416502</v>
      </c>
      <c r="AV134" s="61" t="n">
        <f aca="false">AV132+AV133</f>
        <v>2669987.15803189</v>
      </c>
      <c r="AW134" s="61" t="n">
        <f aca="false">AW132+AW133</f>
        <v>2760907.1453886</v>
      </c>
      <c r="AX134" s="61" t="n">
        <f aca="false">AX132+AX133</f>
        <v>3408621.79333525</v>
      </c>
      <c r="AY134" s="61" t="n">
        <f aca="false">AY132+AY133</f>
        <v>3695511.13548138</v>
      </c>
      <c r="AZ134" s="61" t="n">
        <f aca="false">AZ132+AZ133</f>
        <v>3970081.19730136</v>
      </c>
      <c r="BA134" s="61" t="n">
        <f aca="false">BA132+BA133</f>
        <v>4232773.74516703</v>
      </c>
      <c r="BB134" s="61" t="n">
        <f aca="false">BB132+BB133</f>
        <v>4484269.52202338</v>
      </c>
      <c r="BC134" s="61" t="n">
        <f aca="false">BC132+BC133</f>
        <v>4694875.44549234</v>
      </c>
      <c r="BD134" s="61" t="n">
        <f aca="false">BD132+BD133</f>
        <v>4955187.40991989</v>
      </c>
      <c r="BE134" s="61" t="n">
        <f aca="false">BE132+BE133</f>
        <v>5175560.93631391</v>
      </c>
      <c r="BF134" s="61" t="n">
        <f aca="false">BF132+BF133</f>
        <v>5386474.28744342</v>
      </c>
      <c r="BG134" s="61" t="n">
        <f aca="false">BG132+BG133</f>
        <v>5588334.12738079</v>
      </c>
      <c r="BH134" s="61" t="n">
        <f aca="false">BH132+BH133</f>
        <v>5781534.26735277</v>
      </c>
      <c r="BI134" s="61" t="n">
        <f aca="false">BI132+BI133</f>
        <v>5966412.845039</v>
      </c>
      <c r="BJ134" s="61" t="n">
        <f aca="false">SUM(B134:BI134)</f>
        <v>96823354.1854961</v>
      </c>
    </row>
    <row r="135" customFormat="false" ht="15" hidden="false" customHeight="false" outlineLevel="0" collapsed="false">
      <c r="A135" s="27" t="s">
        <v>787</v>
      </c>
      <c r="B135" s="60" t="n">
        <f aca="false">B134/(1+Premissas!$B$19)^B$5</f>
        <v>0</v>
      </c>
      <c r="C135" s="60" t="n">
        <f aca="false">C134/(1+Premissas!$B$19)^C$5</f>
        <v>0</v>
      </c>
      <c r="D135" s="60" t="n">
        <f aca="false">D134/(1+Premissas!$B$19)^D$5</f>
        <v>0</v>
      </c>
      <c r="E135" s="60" t="n">
        <f aca="false">E134/(1+Premissas!$B$19)^E$5</f>
        <v>-1392.47665008383</v>
      </c>
      <c r="F135" s="60" t="n">
        <f aca="false">F134/(1+Premissas!$B$19)^F$5</f>
        <v>-7380.84094984538</v>
      </c>
      <c r="G135" s="60" t="n">
        <f aca="false">G134/(1+Premissas!$B$19)^G$5</f>
        <v>-1878.29710109982</v>
      </c>
      <c r="H135" s="60" t="n">
        <f aca="false">H134/(1+Premissas!$B$19)^H$5</f>
        <v>-1843.69235056949</v>
      </c>
      <c r="I135" s="60" t="n">
        <f aca="false">I134/(1+Premissas!$B$19)^I$5</f>
        <v>-9675.84196057351</v>
      </c>
      <c r="J135" s="60" t="n">
        <f aca="false">J134/(1+Premissas!$B$19)^J$5</f>
        <v>-10658.3023354809</v>
      </c>
      <c r="K135" s="60" t="n">
        <f aca="false">K134/(1+Premissas!$B$19)^K$5</f>
        <v>-53197.2001974157</v>
      </c>
      <c r="L135" s="60" t="n">
        <f aca="false">L134/(1+Premissas!$B$19)^L$5</f>
        <v>-15131.6739632215</v>
      </c>
      <c r="M135" s="60" t="n">
        <f aca="false">M134/(1+Premissas!$B$19)^M$5</f>
        <v>-1843.145824</v>
      </c>
      <c r="N135" s="60" t="n">
        <f aca="false">N134/(1+Premissas!$B$19)^N$5</f>
        <v>-29724.1525743366</v>
      </c>
      <c r="O135" s="60" t="n">
        <f aca="false">O134/(1+Premissas!$B$19)^O$5</f>
        <v>7760.18968378265</v>
      </c>
      <c r="P135" s="60" t="n">
        <f aca="false">P134/(1+Premissas!$B$19)^P$5</f>
        <v>39581.799444392</v>
      </c>
      <c r="Q135" s="60" t="n">
        <f aca="false">Q134/(1+Premissas!$B$19)^Q$5</f>
        <v>105786.53629481</v>
      </c>
      <c r="R135" s="60" t="n">
        <f aca="false">R134/(1+Premissas!$B$19)^R$5</f>
        <v>127161.233522753</v>
      </c>
      <c r="S135" s="60" t="n">
        <f aca="false">S134/(1+Premissas!$B$19)^S$5</f>
        <v>142891.055608953</v>
      </c>
      <c r="T135" s="60" t="n">
        <f aca="false">T134/(1+Premissas!$B$19)^T$5</f>
        <v>143678.822005429</v>
      </c>
      <c r="U135" s="60" t="n">
        <f aca="false">U134/(1+Premissas!$B$19)^U$5</f>
        <v>175623.880076793</v>
      </c>
      <c r="V135" s="60" t="n">
        <f aca="false">V134/(1+Premissas!$B$19)^V$5</f>
        <v>188835.986278684</v>
      </c>
      <c r="W135" s="60" t="n">
        <f aca="false">W134/(1+Premissas!$B$19)^W$5</f>
        <v>270729.589030698</v>
      </c>
      <c r="X135" s="60" t="n">
        <f aca="false">X134/(1+Premissas!$B$19)^X$5</f>
        <v>288942.809562052</v>
      </c>
      <c r="Y135" s="60" t="n">
        <f aca="false">Y134/(1+Premissas!$B$19)^Y$5</f>
        <v>302031.972024092</v>
      </c>
      <c r="Z135" s="60" t="n">
        <f aca="false">Z134/(1+Premissas!$B$19)^Z$5</f>
        <v>333780.602849968</v>
      </c>
      <c r="AA135" s="60" t="n">
        <f aca="false">AA134/(1+Premissas!$B$19)^AA$5</f>
        <v>376167.15907396</v>
      </c>
      <c r="AB135" s="60" t="n">
        <f aca="false">AB134/(1+Premissas!$B$19)^AB$5</f>
        <v>414501.056854986</v>
      </c>
      <c r="AC135" s="60" t="n">
        <f aca="false">AC134/(1+Premissas!$B$19)^AC$5</f>
        <v>449009.025649065</v>
      </c>
      <c r="AD135" s="60" t="n">
        <f aca="false">AD134/(1+Premissas!$B$19)^AD$5</f>
        <v>480046.986605287</v>
      </c>
      <c r="AE135" s="60" t="n">
        <f aca="false">AE134/(1+Premissas!$B$19)^AE$5</f>
        <v>499194.602713542</v>
      </c>
      <c r="AF135" s="60" t="n">
        <f aca="false">AF134/(1+Premissas!$B$19)^AF$5</f>
        <v>553713.510859636</v>
      </c>
      <c r="AG135" s="60" t="n">
        <f aca="false">AG134/(1+Premissas!$B$19)^AG$5</f>
        <v>575260.528811593</v>
      </c>
      <c r="AH135" s="60" t="n">
        <f aca="false">AH134/(1+Premissas!$B$19)^AH$5</f>
        <v>594293.424891042</v>
      </c>
      <c r="AI135" s="60" t="n">
        <f aca="false">AI134/(1+Premissas!$B$19)^AI$5</f>
        <v>610922.423615078</v>
      </c>
      <c r="AJ135" s="60" t="n">
        <f aca="false">AJ134/(1+Premissas!$B$19)^AJ$5</f>
        <v>625350.817283662</v>
      </c>
      <c r="AK135" s="60" t="n">
        <f aca="false">AK134/(1+Premissas!$B$19)^AK$5</f>
        <v>637771.194619591</v>
      </c>
      <c r="AL135" s="60" t="n">
        <f aca="false">AL134/(1+Premissas!$B$19)^AL$5</f>
        <v>741632.087703167</v>
      </c>
      <c r="AM135" s="60" t="n">
        <f aca="false">AM134/(1+Premissas!$B$19)^AM$5</f>
        <v>800355.033253173</v>
      </c>
      <c r="AN135" s="60" t="n">
        <f aca="false">AN134/(1+Premissas!$B$19)^AN$5</f>
        <v>853340.214675826</v>
      </c>
      <c r="AO135" s="60" t="n">
        <f aca="false">AO134/(1+Premissas!$B$19)^AO$5</f>
        <v>900985.457796462</v>
      </c>
      <c r="AP135" s="60" t="n">
        <f aca="false">AP134/(1+Premissas!$B$19)^AP$5</f>
        <v>943683.829957151</v>
      </c>
      <c r="AQ135" s="60" t="n">
        <f aca="false">AQ134/(1+Premissas!$B$19)^AQ$5</f>
        <v>970353.038890768</v>
      </c>
      <c r="AR135" s="60" t="n">
        <f aca="false">AR134/(1+Premissas!$B$19)^AR$5</f>
        <v>1015643.61297261</v>
      </c>
      <c r="AS135" s="60" t="n">
        <f aca="false">AS134/(1+Premissas!$B$19)^AS$5</f>
        <v>1045508.01793706</v>
      </c>
      <c r="AT135" s="60" t="n">
        <f aca="false">AT134/(1+Premissas!$B$19)^AT$5</f>
        <v>1071712.4647658</v>
      </c>
      <c r="AU135" s="60" t="n">
        <f aca="false">AU134/(1+Premissas!$B$19)^AU$5</f>
        <v>1094497.80885586</v>
      </c>
      <c r="AV135" s="60" t="n">
        <f aca="false">AV134/(1+Premissas!$B$19)^AV$5</f>
        <v>1114153.31015557</v>
      </c>
      <c r="AW135" s="60" t="n">
        <f aca="false">AW134/(1+Premissas!$B$19)^AW$5</f>
        <v>1130867.56675117</v>
      </c>
      <c r="AX135" s="60" t="n">
        <f aca="false">AX134/(1+Premissas!$B$19)^AX$5</f>
        <v>1370449.16287654</v>
      </c>
      <c r="AY135" s="60" t="n">
        <f aca="false">AY134/(1+Premissas!$B$19)^AY$5</f>
        <v>1458420.61458264</v>
      </c>
      <c r="AZ135" s="60" t="n">
        <f aca="false">AZ134/(1+Premissas!$B$19)^AZ$5</f>
        <v>1537913.23316594</v>
      </c>
      <c r="BA135" s="60" t="n">
        <f aca="false">BA134/(1+Premissas!$B$19)^BA$5</f>
        <v>1609465.47513561</v>
      </c>
      <c r="BB135" s="60" t="n">
        <f aca="false">BB134/(1+Premissas!$B$19)^BB$5</f>
        <v>1673680.21931519</v>
      </c>
      <c r="BC135" s="60" t="n">
        <f aca="false">BC134/(1+Premissas!$B$19)^BC$5</f>
        <v>1720002.25558781</v>
      </c>
      <c r="BD135" s="60" t="n">
        <f aca="false">BD134/(1+Premissas!$B$19)^BD$5</f>
        <v>1781924.05909846</v>
      </c>
      <c r="BE135" s="60" t="n">
        <f aca="false">BE134/(1+Premissas!$B$19)^BE$5</f>
        <v>1826882.85025379</v>
      </c>
      <c r="BF135" s="60" t="n">
        <f aca="false">BF134/(1+Premissas!$B$19)^BF$5</f>
        <v>1866302.46328046</v>
      </c>
      <c r="BG135" s="60" t="n">
        <f aca="false">BG134/(1+Premissas!$B$19)^BG$5</f>
        <v>1900570.43232943</v>
      </c>
      <c r="BH135" s="60" t="n">
        <f aca="false">BH134/(1+Premissas!$B$19)^BH$5</f>
        <v>1930051.39290546</v>
      </c>
      <c r="BI135" s="60" t="n">
        <f aca="false">BI134/(1+Premissas!$B$19)^BI$5</f>
        <v>1955074.16106237</v>
      </c>
      <c r="BJ135" s="61" t="n">
        <f aca="false">SUM(B135:BI135)</f>
        <v>40123778.3467615</v>
      </c>
    </row>
    <row r="136" customFormat="false" ht="15" hidden="false" customHeight="false" outlineLevel="0" collapsed="false">
      <c r="A136" s="27" t="s">
        <v>788</v>
      </c>
      <c r="B136" s="60" t="n">
        <f aca="false">B135</f>
        <v>0</v>
      </c>
      <c r="C136" s="60" t="n">
        <f aca="false">B136+C135</f>
        <v>0</v>
      </c>
      <c r="D136" s="60" t="n">
        <f aca="false">C136+D135</f>
        <v>0</v>
      </c>
      <c r="E136" s="60" t="n">
        <f aca="false">D136+E135</f>
        <v>-1392.47665008383</v>
      </c>
      <c r="F136" s="60" t="n">
        <f aca="false">E136+F135</f>
        <v>-8773.31759992921</v>
      </c>
      <c r="G136" s="60" t="n">
        <f aca="false">F136+G135</f>
        <v>-10651.614701029</v>
      </c>
      <c r="H136" s="60" t="n">
        <f aca="false">G136+H135</f>
        <v>-12495.3070515985</v>
      </c>
      <c r="I136" s="60" t="n">
        <f aca="false">H136+I135</f>
        <v>-22171.149012172</v>
      </c>
      <c r="J136" s="60" t="n">
        <f aca="false">I136+J135</f>
        <v>-32829.4513476529</v>
      </c>
      <c r="K136" s="60" t="n">
        <f aca="false">J136+K135</f>
        <v>-86026.6515450686</v>
      </c>
      <c r="L136" s="60" t="n">
        <f aca="false">K136+L135</f>
        <v>-101158.32550829</v>
      </c>
      <c r="M136" s="60" t="n">
        <f aca="false">L136+M135</f>
        <v>-103001.47133229</v>
      </c>
      <c r="N136" s="60" t="n">
        <f aca="false">M136+N135</f>
        <v>-132725.623906627</v>
      </c>
      <c r="O136" s="60" t="n">
        <f aca="false">N136+O135</f>
        <v>-124965.434222844</v>
      </c>
      <c r="P136" s="60" t="n">
        <f aca="false">O136+P135</f>
        <v>-85383.6347784521</v>
      </c>
      <c r="Q136" s="60" t="n">
        <f aca="false">P136+Q135</f>
        <v>20402.901516358</v>
      </c>
      <c r="R136" s="60" t="n">
        <f aca="false">Q136+R135</f>
        <v>147564.135039111</v>
      </c>
      <c r="S136" s="60" t="n">
        <f aca="false">R136+S135</f>
        <v>290455.190648064</v>
      </c>
      <c r="T136" s="60" t="n">
        <f aca="false">S136+T135</f>
        <v>434134.012653493</v>
      </c>
      <c r="U136" s="60" t="n">
        <f aca="false">T136+U135</f>
        <v>609757.892730286</v>
      </c>
      <c r="V136" s="60" t="n">
        <f aca="false">U136+V135</f>
        <v>798593.87900897</v>
      </c>
      <c r="W136" s="60" t="n">
        <f aca="false">V136+W135</f>
        <v>1069323.46803967</v>
      </c>
      <c r="X136" s="60" t="n">
        <f aca="false">W136+X135</f>
        <v>1358266.27760172</v>
      </c>
      <c r="Y136" s="60" t="n">
        <f aca="false">X136+Y135</f>
        <v>1660298.24962581</v>
      </c>
      <c r="Z136" s="60" t="n">
        <f aca="false">Y136+Z135</f>
        <v>1994078.85247578</v>
      </c>
      <c r="AA136" s="60" t="n">
        <f aca="false">Z136+AA135</f>
        <v>2370246.01154974</v>
      </c>
      <c r="AB136" s="60" t="n">
        <f aca="false">AA136+AB135</f>
        <v>2784747.06840473</v>
      </c>
      <c r="AC136" s="60" t="n">
        <f aca="false">AB136+AC135</f>
        <v>3233756.09405379</v>
      </c>
      <c r="AD136" s="60" t="n">
        <f aca="false">AC136+AD135</f>
        <v>3713803.08065908</v>
      </c>
      <c r="AE136" s="60" t="n">
        <f aca="false">AD136+AE135</f>
        <v>4212997.68337262</v>
      </c>
      <c r="AF136" s="60" t="n">
        <f aca="false">AE136+AF135</f>
        <v>4766711.19423226</v>
      </c>
      <c r="AG136" s="60" t="n">
        <f aca="false">AF136+AG135</f>
        <v>5341971.72304385</v>
      </c>
      <c r="AH136" s="60" t="n">
        <f aca="false">AG136+AH135</f>
        <v>5936265.14793489</v>
      </c>
      <c r="AI136" s="60" t="n">
        <f aca="false">AH136+AI135</f>
        <v>6547187.57154997</v>
      </c>
      <c r="AJ136" s="60" t="n">
        <f aca="false">AI136+AJ135</f>
        <v>7172538.38883364</v>
      </c>
      <c r="AK136" s="60" t="n">
        <f aca="false">AJ136+AK135</f>
        <v>7810309.58345323</v>
      </c>
      <c r="AL136" s="60" t="n">
        <f aca="false">AK136+AL135</f>
        <v>8551941.67115639</v>
      </c>
      <c r="AM136" s="60" t="n">
        <f aca="false">AL136+AM135</f>
        <v>9352296.70440956</v>
      </c>
      <c r="AN136" s="60" t="n">
        <f aca="false">AM136+AN135</f>
        <v>10205636.9190854</v>
      </c>
      <c r="AO136" s="60" t="n">
        <f aca="false">AN136+AO135</f>
        <v>11106622.3768819</v>
      </c>
      <c r="AP136" s="60" t="n">
        <f aca="false">AO136+AP135</f>
        <v>12050306.206839</v>
      </c>
      <c r="AQ136" s="60" t="n">
        <f aca="false">AP136+AQ135</f>
        <v>13020659.2457298</v>
      </c>
      <c r="AR136" s="60" t="n">
        <f aca="false">AQ136+AR135</f>
        <v>14036302.8587024</v>
      </c>
      <c r="AS136" s="60" t="n">
        <f aca="false">AR136+AS135</f>
        <v>15081810.8766394</v>
      </c>
      <c r="AT136" s="60" t="n">
        <f aca="false">AS136+AT135</f>
        <v>16153523.3414052</v>
      </c>
      <c r="AU136" s="60" t="n">
        <f aca="false">AT136+AU135</f>
        <v>17248021.1502611</v>
      </c>
      <c r="AV136" s="60" t="n">
        <f aca="false">AU136+AV135</f>
        <v>18362174.4604167</v>
      </c>
      <c r="AW136" s="60" t="n">
        <f aca="false">AV136+AW135</f>
        <v>19493042.0271678</v>
      </c>
      <c r="AX136" s="60" t="n">
        <f aca="false">AW136+AX135</f>
        <v>20863491.1900444</v>
      </c>
      <c r="AY136" s="60" t="n">
        <f aca="false">AX136+AY135</f>
        <v>22321911.804627</v>
      </c>
      <c r="AZ136" s="60" t="n">
        <f aca="false">AY136+AZ135</f>
        <v>23859825.0377929</v>
      </c>
      <c r="BA136" s="60" t="n">
        <f aca="false">AZ136+BA135</f>
        <v>25469290.5129286</v>
      </c>
      <c r="BB136" s="60" t="n">
        <f aca="false">BA136+BB135</f>
        <v>27142970.7322438</v>
      </c>
      <c r="BC136" s="60" t="n">
        <f aca="false">BB136+BC135</f>
        <v>28862972.9878316</v>
      </c>
      <c r="BD136" s="60" t="n">
        <f aca="false">BC136+BD135</f>
        <v>30644897.04693</v>
      </c>
      <c r="BE136" s="60" t="n">
        <f aca="false">BD136+BE135</f>
        <v>32471779.8971838</v>
      </c>
      <c r="BF136" s="60" t="n">
        <f aca="false">BE136+BF135</f>
        <v>34338082.3604643</v>
      </c>
      <c r="BG136" s="60" t="n">
        <f aca="false">BF136+BG135</f>
        <v>36238652.7927937</v>
      </c>
      <c r="BH136" s="60" t="n">
        <f aca="false">BG136+BH135</f>
        <v>38168704.1856992</v>
      </c>
      <c r="BI136" s="60" t="n">
        <f aca="false">BH136+BI135</f>
        <v>40123778.3467615</v>
      </c>
      <c r="BJ136" s="61" t="n">
        <f aca="false">BI136</f>
        <v>40123778.3467615</v>
      </c>
      <c r="BK136" s="29" t="s">
        <v>870</v>
      </c>
    </row>
    <row r="137" customFormat="false" ht="15" hidden="false" customHeight="false" outlineLevel="0" collapsed="false">
      <c r="A137" s="27" t="s">
        <v>789</v>
      </c>
      <c r="B137" s="60" t="n">
        <f aca="false">B134</f>
        <v>0</v>
      </c>
      <c r="C137" s="60" t="n">
        <f aca="false">B137+C134</f>
        <v>0</v>
      </c>
      <c r="D137" s="60" t="n">
        <f aca="false">C137+D134</f>
        <v>0</v>
      </c>
      <c r="E137" s="60" t="n">
        <f aca="false">D137+E134</f>
        <v>-1500</v>
      </c>
      <c r="F137" s="60" t="n">
        <f aca="false">E137+F134</f>
        <v>-9600</v>
      </c>
      <c r="G137" s="60" t="n">
        <f aca="false">F137+G134</f>
        <v>-11700</v>
      </c>
      <c r="H137" s="60" t="n">
        <f aca="false">G137+H134</f>
        <v>-13800</v>
      </c>
      <c r="I137" s="60" t="n">
        <f aca="false">H137+I134</f>
        <v>-25027.82</v>
      </c>
      <c r="J137" s="60" t="n">
        <f aca="false">I137+J134</f>
        <v>-37627.82</v>
      </c>
      <c r="K137" s="60" t="n">
        <f aca="false">J137+K134</f>
        <v>-101696.6982</v>
      </c>
      <c r="L137" s="60" t="n">
        <f aca="false">K137+L134</f>
        <v>-120262.818225</v>
      </c>
      <c r="M137" s="60" t="n">
        <f aca="false">L137+M134</f>
        <v>-122566.750505</v>
      </c>
      <c r="N137" s="60" t="n">
        <f aca="false">M137+N134</f>
        <v>-160419.316848146</v>
      </c>
      <c r="O137" s="60" t="n">
        <f aca="false">N137+O134</f>
        <v>-150351.52984843</v>
      </c>
      <c r="P137" s="60" t="n">
        <f aca="false">O137+P134</f>
        <v>-98035.7082387206</v>
      </c>
      <c r="Q137" s="60" t="n">
        <f aca="false">P137+Q134</f>
        <v>44408.1564686894</v>
      </c>
      <c r="R137" s="60" t="n">
        <f aca="false">Q137+R134</f>
        <v>218847.288563095</v>
      </c>
      <c r="S137" s="60" t="n">
        <f aca="false">R137+S134</f>
        <v>418543.609637046</v>
      </c>
      <c r="T137" s="60" t="n">
        <f aca="false">S137+T134</f>
        <v>623109.684691679</v>
      </c>
      <c r="U137" s="60" t="n">
        <f aca="false">T137+U134</f>
        <v>877851.509904239</v>
      </c>
      <c r="V137" s="60" t="n">
        <f aca="false">U137+V134</f>
        <v>1156898.4622494</v>
      </c>
      <c r="W137" s="60" t="n">
        <f aca="false">V137+W134</f>
        <v>1564470.21885443</v>
      </c>
      <c r="X137" s="60" t="n">
        <f aca="false">W137+X134</f>
        <v>2007625.65688863</v>
      </c>
      <c r="Y137" s="60" t="n">
        <f aca="false">X137+Y134</f>
        <v>2479550.61317628</v>
      </c>
      <c r="Z137" s="60" t="n">
        <f aca="false">Y137+Z134</f>
        <v>3010871.58110952</v>
      </c>
      <c r="AA137" s="60" t="n">
        <f aca="false">Z137+AA134</f>
        <v>3620903.51785442</v>
      </c>
      <c r="AB137" s="60" t="n">
        <f aca="false">AA137+AB134</f>
        <v>4305718.37126725</v>
      </c>
      <c r="AC137" s="60" t="n">
        <f aca="false">AB137+AC134</f>
        <v>5061468.85642019</v>
      </c>
      <c r="AD137" s="60" t="n">
        <f aca="false">AC137+AD134</f>
        <v>5884626.36862081</v>
      </c>
      <c r="AE137" s="60" t="n">
        <f aca="false">AD137+AE134</f>
        <v>6756683.45117431</v>
      </c>
      <c r="AF137" s="60" t="n">
        <f aca="false">AE137+AF134</f>
        <v>7742136.61365393</v>
      </c>
      <c r="AG137" s="60" t="n">
        <f aca="false">AF137+AG134</f>
        <v>8785153.3507438</v>
      </c>
      <c r="AH137" s="60" t="n">
        <f aca="false">AG137+AH134</f>
        <v>9882903.38956502</v>
      </c>
      <c r="AI137" s="60" t="n">
        <f aca="false">AH137+AI134</f>
        <v>11032550.193197</v>
      </c>
      <c r="AJ137" s="60" t="n">
        <f aca="false">AI137+AJ134</f>
        <v>12231436.2970701</v>
      </c>
      <c r="AK137" s="60" t="n">
        <f aca="false">AJ137+AK134</f>
        <v>13477083.1615615</v>
      </c>
      <c r="AL137" s="60" t="n">
        <f aca="false">AK137+AL134</f>
        <v>14952770.6166003</v>
      </c>
      <c r="AM137" s="60" t="n">
        <f aca="false">AL137+AM134</f>
        <v>16575194.7146426</v>
      </c>
      <c r="AN137" s="60" t="n">
        <f aca="false">AM137+AN134</f>
        <v>18337494.3649091</v>
      </c>
      <c r="AO137" s="60" t="n">
        <f aca="false">AN137+AO134</f>
        <v>20233113.8233963</v>
      </c>
      <c r="AP137" s="60" t="n">
        <f aca="false">AO137+AP134</f>
        <v>22255833.6181417</v>
      </c>
      <c r="AQ137" s="60" t="n">
        <f aca="false">AP137+AQ134</f>
        <v>24374754.8653421</v>
      </c>
      <c r="AR137" s="60" t="n">
        <f aca="false">AQ137+AR134</f>
        <v>26634202.1939847</v>
      </c>
      <c r="AS137" s="60" t="n">
        <f aca="false">AR137+AS134</f>
        <v>29003742.3997998</v>
      </c>
      <c r="AT137" s="60" t="n">
        <f aca="false">AS137+AT134</f>
        <v>31478261.61566</v>
      </c>
      <c r="AU137" s="60" t="n">
        <f aca="false">AT137+AU134</f>
        <v>34052823.1698251</v>
      </c>
      <c r="AV137" s="60" t="n">
        <f aca="false">AU137+AV134</f>
        <v>36722810.327857</v>
      </c>
      <c r="AW137" s="60" t="n">
        <f aca="false">AV137+AW134</f>
        <v>39483717.4732456</v>
      </c>
      <c r="AX137" s="60" t="n">
        <f aca="false">AW137+AX134</f>
        <v>42892339.2665808</v>
      </c>
      <c r="AY137" s="60" t="n">
        <f aca="false">AX137+AY134</f>
        <v>46587850.4020622</v>
      </c>
      <c r="AZ137" s="60" t="n">
        <f aca="false">AY137+AZ134</f>
        <v>50557931.5993636</v>
      </c>
      <c r="BA137" s="60" t="n">
        <f aca="false">AZ137+BA134</f>
        <v>54790705.3445306</v>
      </c>
      <c r="BB137" s="60" t="n">
        <f aca="false">BA137+BB134</f>
        <v>59274974.866554</v>
      </c>
      <c r="BC137" s="60" t="n">
        <f aca="false">BB137+BC134</f>
        <v>63969850.3120463</v>
      </c>
      <c r="BD137" s="60" t="n">
        <f aca="false">BC137+BD134</f>
        <v>68925037.7219662</v>
      </c>
      <c r="BE137" s="60" t="n">
        <f aca="false">BD137+BE134</f>
        <v>74100598.6582801</v>
      </c>
      <c r="BF137" s="60" t="n">
        <f aca="false">BE137+BF134</f>
        <v>79487072.9457235</v>
      </c>
      <c r="BG137" s="60" t="n">
        <f aca="false">BF137+BG134</f>
        <v>85075407.0731043</v>
      </c>
      <c r="BH137" s="60" t="n">
        <f aca="false">BG137+BH134</f>
        <v>90856941.3404571</v>
      </c>
      <c r="BI137" s="60" t="n">
        <f aca="false">BH137+BI134</f>
        <v>96823354.1854961</v>
      </c>
      <c r="BJ137" s="61" t="n">
        <f aca="false">BI137</f>
        <v>96823354.1854961</v>
      </c>
      <c r="BK137" s="29" t="s">
        <v>870</v>
      </c>
    </row>
    <row r="138" customFormat="false" ht="15" hidden="false" customHeight="false" outlineLevel="0" collapsed="false">
      <c r="A138" s="71" t="s">
        <v>885</v>
      </c>
      <c r="B138" s="72" t="n">
        <f aca="false">IF(B132&gt;0,1,0)</f>
        <v>0</v>
      </c>
      <c r="C138" s="72" t="n">
        <f aca="false">IF(B138=1,1,IF(C132&gt;0,1,0))</f>
        <v>0</v>
      </c>
      <c r="D138" s="72" t="n">
        <f aca="false">IF(C138=1,1,IF(D132&gt;0,1,0))</f>
        <v>0</v>
      </c>
      <c r="E138" s="72" t="n">
        <f aca="false">IF(D138=1,1,IF(E132&gt;0,1,0))</f>
        <v>0</v>
      </c>
      <c r="F138" s="72" t="n">
        <f aca="false">IF(E138=1,1,IF(F132&gt;0,1,0))</f>
        <v>0</v>
      </c>
      <c r="G138" s="72" t="n">
        <f aca="false">IF(F138=1,1,IF(G132&gt;0,1,0))</f>
        <v>0</v>
      </c>
      <c r="H138" s="72" t="n">
        <f aca="false">IF(G138=1,1,IF(H132&gt;0,1,0))</f>
        <v>0</v>
      </c>
      <c r="I138" s="72" t="n">
        <f aca="false">IF(H138=1,1,IF(I132&gt;0,1,0))</f>
        <v>0</v>
      </c>
      <c r="J138" s="72" t="n">
        <f aca="false">IF(I138=1,1,IF(J132&gt;0,1,0))</f>
        <v>0</v>
      </c>
      <c r="K138" s="72" t="n">
        <f aca="false">IF(J138=1,1,IF(K132&gt;0,1,0))</f>
        <v>0</v>
      </c>
      <c r="L138" s="72" t="n">
        <f aca="false">IF(K138=1,1,IF(L132&gt;0,1,0))</f>
        <v>0</v>
      </c>
      <c r="M138" s="72" t="n">
        <f aca="false">IF(L138=1,1,IF(M132&gt;0,1,0))</f>
        <v>0</v>
      </c>
      <c r="N138" s="72" t="n">
        <f aca="false">IF(M138=1,1,IF(N132&gt;0,1,0))</f>
        <v>0</v>
      </c>
      <c r="O138" s="72" t="n">
        <f aca="false">IF(N138=1,1,IF(O132&gt;0,1,0))</f>
        <v>1</v>
      </c>
      <c r="P138" s="72" t="n">
        <f aca="false">IF(O138=1,1,IF(P132&gt;0,1,0))</f>
        <v>1</v>
      </c>
      <c r="Q138" s="72" t="n">
        <f aca="false">IF(P138=1,1,IF(Q132&gt;0,1,0))</f>
        <v>1</v>
      </c>
      <c r="R138" s="72" t="n">
        <f aca="false">IF(Q138=1,1,IF(R132&gt;0,1,0))</f>
        <v>1</v>
      </c>
      <c r="S138" s="72" t="n">
        <f aca="false">IF(R138=1,1,IF(S132&gt;0,1,0))</f>
        <v>1</v>
      </c>
      <c r="T138" s="72" t="n">
        <f aca="false">IF(S138=1,1,IF(T132&gt;0,1,0))</f>
        <v>1</v>
      </c>
      <c r="U138" s="72" t="n">
        <f aca="false">IF(T138=1,1,IF(U132&gt;0,1,0))</f>
        <v>1</v>
      </c>
      <c r="V138" s="72" t="n">
        <f aca="false">IF(U138=1,1,IF(V132&gt;0,1,0))</f>
        <v>1</v>
      </c>
      <c r="W138" s="72" t="n">
        <f aca="false">IF(V138=1,1,IF(W132&gt;0,1,0))</f>
        <v>1</v>
      </c>
      <c r="X138" s="72" t="n">
        <f aca="false">IF(W138=1,1,IF(X132&gt;0,1,0))</f>
        <v>1</v>
      </c>
      <c r="Y138" s="72" t="n">
        <f aca="false">IF(X138=1,1,IF(Y132&gt;0,1,0))</f>
        <v>1</v>
      </c>
      <c r="Z138" s="72" t="n">
        <f aca="false">IF(Y138=1,1,IF(Z132&gt;0,1,0))</f>
        <v>1</v>
      </c>
      <c r="AA138" s="72" t="n">
        <f aca="false">IF(Z138=1,1,IF(AA132&gt;0,1,0))</f>
        <v>1</v>
      </c>
      <c r="AB138" s="72" t="n">
        <f aca="false">IF(AA138=1,1,IF(AB132&gt;0,1,0))</f>
        <v>1</v>
      </c>
      <c r="AC138" s="72" t="n">
        <f aca="false">IF(AB138=1,1,IF(AC132&gt;0,1,0))</f>
        <v>1</v>
      </c>
      <c r="AD138" s="72" t="n">
        <f aca="false">IF(AC138=1,1,IF(AD132&gt;0,1,0))</f>
        <v>1</v>
      </c>
      <c r="AE138" s="72" t="n">
        <f aca="false">IF(AD138=1,1,IF(AE132&gt;0,1,0))</f>
        <v>1</v>
      </c>
      <c r="AF138" s="72" t="n">
        <f aca="false">IF(AE138=1,1,IF(AF132&gt;0,1,0))</f>
        <v>1</v>
      </c>
      <c r="AG138" s="72" t="n">
        <f aca="false">IF(AF138=1,1,IF(AG132&gt;0,1,0))</f>
        <v>1</v>
      </c>
      <c r="AH138" s="72" t="n">
        <f aca="false">IF(AG138=1,1,IF(AH132&gt;0,1,0))</f>
        <v>1</v>
      </c>
      <c r="AI138" s="72" t="n">
        <f aca="false">IF(AH138=1,1,IF(AI132&gt;0,1,0))</f>
        <v>1</v>
      </c>
      <c r="AJ138" s="72" t="n">
        <f aca="false">IF(AI138=1,1,IF(AJ132&gt;0,1,0))</f>
        <v>1</v>
      </c>
      <c r="AK138" s="72" t="n">
        <f aca="false">IF(AJ138=1,1,IF(AK132&gt;0,1,0))</f>
        <v>1</v>
      </c>
      <c r="AL138" s="72" t="n">
        <f aca="false">IF(AK138=1,1,IF(AL132&gt;0,1,0))</f>
        <v>1</v>
      </c>
      <c r="AM138" s="72" t="n">
        <f aca="false">IF(AL138=1,1,IF(AM132&gt;0,1,0))</f>
        <v>1</v>
      </c>
      <c r="AN138" s="72" t="n">
        <f aca="false">IF(AM138=1,1,IF(AN132&gt;0,1,0))</f>
        <v>1</v>
      </c>
      <c r="AO138" s="72" t="n">
        <f aca="false">IF(AN138=1,1,IF(AO132&gt;0,1,0))</f>
        <v>1</v>
      </c>
      <c r="AP138" s="72" t="n">
        <f aca="false">IF(AO138=1,1,IF(AP132&gt;0,1,0))</f>
        <v>1</v>
      </c>
      <c r="AQ138" s="72" t="n">
        <f aca="false">IF(AP138=1,1,IF(AQ132&gt;0,1,0))</f>
        <v>1</v>
      </c>
      <c r="AR138" s="72" t="n">
        <f aca="false">IF(AQ138=1,1,IF(AR132&gt;0,1,0))</f>
        <v>1</v>
      </c>
      <c r="AS138" s="72" t="n">
        <f aca="false">IF(AR138=1,1,IF(AS132&gt;0,1,0))</f>
        <v>1</v>
      </c>
      <c r="AT138" s="72" t="n">
        <f aca="false">IF(AS138=1,1,IF(AT132&gt;0,1,0))</f>
        <v>1</v>
      </c>
      <c r="AU138" s="72" t="n">
        <f aca="false">IF(AT138=1,1,IF(AU132&gt;0,1,0))</f>
        <v>1</v>
      </c>
      <c r="AV138" s="72" t="n">
        <f aca="false">IF(AU138=1,1,IF(AV132&gt;0,1,0))</f>
        <v>1</v>
      </c>
      <c r="AW138" s="72" t="n">
        <f aca="false">IF(AV138=1,1,IF(AW132&gt;0,1,0))</f>
        <v>1</v>
      </c>
      <c r="AX138" s="72" t="n">
        <f aca="false">IF(AW138=1,1,IF(AX132&gt;0,1,0))</f>
        <v>1</v>
      </c>
      <c r="AY138" s="72" t="n">
        <f aca="false">IF(AX138=1,1,IF(AY132&gt;0,1,0))</f>
        <v>1</v>
      </c>
      <c r="AZ138" s="72" t="n">
        <f aca="false">IF(AY138=1,1,IF(AZ132&gt;0,1,0))</f>
        <v>1</v>
      </c>
      <c r="BA138" s="72" t="n">
        <f aca="false">IF(AZ138=1,1,IF(BA132&gt;0,1,0))</f>
        <v>1</v>
      </c>
      <c r="BB138" s="72" t="n">
        <f aca="false">IF(BA138=1,1,IF(BB132&gt;0,1,0))</f>
        <v>1</v>
      </c>
      <c r="BC138" s="72" t="n">
        <f aca="false">IF(BB138=1,1,IF(BC132&gt;0,1,0))</f>
        <v>1</v>
      </c>
      <c r="BD138" s="72" t="n">
        <f aca="false">IF(BC138=1,1,IF(BD132&gt;0,1,0))</f>
        <v>1</v>
      </c>
      <c r="BE138" s="72" t="n">
        <f aca="false">IF(BD138=1,1,IF(BE132&gt;0,1,0))</f>
        <v>1</v>
      </c>
      <c r="BF138" s="72" t="n">
        <f aca="false">IF(BE138=1,1,IF(BF132&gt;0,1,0))</f>
        <v>1</v>
      </c>
      <c r="BG138" s="72" t="n">
        <f aca="false">IF(BF138=1,1,IF(BG132&gt;0,1,0))</f>
        <v>1</v>
      </c>
      <c r="BH138" s="72" t="n">
        <f aca="false">IF(BG138=1,1,IF(BH132&gt;0,1,0))</f>
        <v>1</v>
      </c>
      <c r="BI138" s="72" t="n">
        <f aca="false">IF(BH138=1,1,IF(BI132&gt;0,1,0))</f>
        <v>1</v>
      </c>
      <c r="BJ138" s="134" t="n">
        <f aca="false">BI138</f>
        <v>1</v>
      </c>
      <c r="BK138" s="29" t="s">
        <v>870</v>
      </c>
    </row>
    <row r="139" customFormat="false" ht="15" hidden="false" customHeight="false" outlineLevel="0" collapsed="false">
      <c r="A139" s="27" t="s">
        <v>790</v>
      </c>
      <c r="B139" s="60" t="n">
        <f aca="false">Aportes!B98</f>
        <v>0</v>
      </c>
      <c r="C139" s="60" t="n">
        <f aca="false">Aportes!C98</f>
        <v>0</v>
      </c>
      <c r="D139" s="60" t="n">
        <f aca="false">Aportes!D98</f>
        <v>0</v>
      </c>
      <c r="E139" s="60" t="n">
        <f aca="false">Aportes!E98</f>
        <v>10000</v>
      </c>
      <c r="F139" s="60" t="n">
        <f aca="false">Aportes!F98</f>
        <v>0</v>
      </c>
      <c r="G139" s="60" t="n">
        <f aca="false">Aportes!G98</f>
        <v>0</v>
      </c>
      <c r="H139" s="60" t="n">
        <f aca="false">Aportes!H98</f>
        <v>5000</v>
      </c>
      <c r="I139" s="60" t="n">
        <f aca="false">Aportes!I98</f>
        <v>18000</v>
      </c>
      <c r="J139" s="60" t="n">
        <f aca="false">Aportes!J98</f>
        <v>0</v>
      </c>
      <c r="K139" s="60" t="n">
        <f aca="false">Aportes!K98</f>
        <v>80000</v>
      </c>
      <c r="L139" s="60" t="n">
        <f aca="false">Aportes!L98</f>
        <v>40000</v>
      </c>
      <c r="M139" s="60" t="n">
        <f aca="false">Aportes!M98</f>
        <v>17000</v>
      </c>
      <c r="N139" s="60" t="n">
        <f aca="false">Aportes!N98</f>
        <v>0</v>
      </c>
      <c r="O139" s="60" t="n">
        <f aca="false">Aportes!O98</f>
        <v>0</v>
      </c>
      <c r="P139" s="60" t="n">
        <f aca="false">Aportes!P98</f>
        <v>0</v>
      </c>
      <c r="Q139" s="60" t="n">
        <f aca="false">Aportes!Q98</f>
        <v>0</v>
      </c>
      <c r="R139" s="60" t="n">
        <f aca="false">Aportes!R98</f>
        <v>0</v>
      </c>
      <c r="S139" s="60" t="n">
        <f aca="false">Aportes!S98</f>
        <v>15000</v>
      </c>
      <c r="T139" s="60" t="n">
        <f aca="false">Aportes!T98</f>
        <v>0</v>
      </c>
      <c r="U139" s="60" t="n">
        <f aca="false">Aportes!U98</f>
        <v>0</v>
      </c>
      <c r="V139" s="60" t="n">
        <f aca="false">Aportes!V98</f>
        <v>0</v>
      </c>
      <c r="W139" s="60" t="n">
        <f aca="false">Aportes!W98</f>
        <v>0</v>
      </c>
      <c r="X139" s="60" t="n">
        <f aca="false">Aportes!X98</f>
        <v>0</v>
      </c>
      <c r="Y139" s="60" t="n">
        <f aca="false">Aportes!Y98</f>
        <v>15000</v>
      </c>
      <c r="Z139" s="60" t="n">
        <f aca="false">Aportes!Z98</f>
        <v>0</v>
      </c>
      <c r="AA139" s="60" t="n">
        <f aca="false">Aportes!AA98</f>
        <v>0</v>
      </c>
      <c r="AB139" s="60" t="n">
        <f aca="false">Aportes!AB98</f>
        <v>0</v>
      </c>
      <c r="AC139" s="60" t="n">
        <f aca="false">Aportes!AC98</f>
        <v>0</v>
      </c>
      <c r="AD139" s="60" t="n">
        <f aca="false">Aportes!AD98</f>
        <v>0</v>
      </c>
      <c r="AE139" s="60" t="n">
        <f aca="false">Aportes!AE98</f>
        <v>0</v>
      </c>
      <c r="AF139" s="60" t="n">
        <f aca="false">Aportes!AF98</f>
        <v>0</v>
      </c>
      <c r="AG139" s="60" t="n">
        <f aca="false">Aportes!AG98</f>
        <v>0</v>
      </c>
      <c r="AH139" s="60" t="n">
        <f aca="false">Aportes!AH98</f>
        <v>0</v>
      </c>
      <c r="AI139" s="60" t="n">
        <f aca="false">Aportes!AI98</f>
        <v>0</v>
      </c>
      <c r="AJ139" s="60" t="n">
        <f aca="false">Aportes!AJ98</f>
        <v>0</v>
      </c>
      <c r="AK139" s="60" t="n">
        <f aca="false">Aportes!AK98</f>
        <v>0</v>
      </c>
      <c r="AL139" s="60" t="n">
        <f aca="false">Aportes!AL98</f>
        <v>0</v>
      </c>
      <c r="AM139" s="60" t="n">
        <f aca="false">Aportes!AM98</f>
        <v>0</v>
      </c>
      <c r="AN139" s="60" t="n">
        <f aca="false">Aportes!AN98</f>
        <v>0</v>
      </c>
      <c r="AO139" s="60" t="n">
        <f aca="false">Aportes!AO98</f>
        <v>0</v>
      </c>
      <c r="AP139" s="60" t="n">
        <f aca="false">Aportes!AP98</f>
        <v>0</v>
      </c>
      <c r="AQ139" s="60" t="n">
        <f aca="false">Aportes!AQ98</f>
        <v>0</v>
      </c>
      <c r="AR139" s="60" t="n">
        <f aca="false">Aportes!AR98</f>
        <v>0</v>
      </c>
      <c r="AS139" s="60" t="n">
        <f aca="false">Aportes!AS98</f>
        <v>0</v>
      </c>
      <c r="AT139" s="60" t="n">
        <f aca="false">Aportes!AT98</f>
        <v>0</v>
      </c>
      <c r="AU139" s="60" t="n">
        <f aca="false">Aportes!AU98</f>
        <v>0</v>
      </c>
      <c r="AV139" s="60" t="n">
        <f aca="false">Aportes!AV98</f>
        <v>0</v>
      </c>
      <c r="AW139" s="60" t="n">
        <f aca="false">Aportes!AW98</f>
        <v>0</v>
      </c>
      <c r="AX139" s="60" t="n">
        <f aca="false">Aportes!AX98</f>
        <v>0</v>
      </c>
      <c r="AY139" s="60" t="n">
        <f aca="false">Aportes!AY98</f>
        <v>0</v>
      </c>
      <c r="AZ139" s="60" t="n">
        <f aca="false">Aportes!AZ98</f>
        <v>0</v>
      </c>
      <c r="BA139" s="60" t="n">
        <f aca="false">Aportes!BA98</f>
        <v>0</v>
      </c>
      <c r="BB139" s="60" t="n">
        <f aca="false">Aportes!BB98</f>
        <v>0</v>
      </c>
      <c r="BC139" s="60" t="n">
        <f aca="false">Aportes!BC98</f>
        <v>0</v>
      </c>
      <c r="BD139" s="60" t="n">
        <f aca="false">Aportes!BD98</f>
        <v>0</v>
      </c>
      <c r="BE139" s="60" t="n">
        <f aca="false">Aportes!BE98</f>
        <v>0</v>
      </c>
      <c r="BF139" s="60" t="n">
        <f aca="false">Aportes!BF98</f>
        <v>0</v>
      </c>
      <c r="BG139" s="60" t="n">
        <f aca="false">Aportes!BG98</f>
        <v>0</v>
      </c>
      <c r="BH139" s="60" t="n">
        <f aca="false">Aportes!BH98</f>
        <v>0</v>
      </c>
      <c r="BI139" s="60" t="n">
        <f aca="false">Aportes!BI98</f>
        <v>0</v>
      </c>
      <c r="BJ139" s="61" t="n">
        <f aca="false">SUM(B139:BI139)</f>
        <v>200000</v>
      </c>
    </row>
    <row r="140" customFormat="false" ht="15" hidden="false" customHeight="false" outlineLevel="0" collapsed="false">
      <c r="A140" s="27" t="s">
        <v>886</v>
      </c>
      <c r="B140" s="60" t="n">
        <f aca="false">B134+B139</f>
        <v>0</v>
      </c>
      <c r="C140" s="60" t="n">
        <f aca="false">C134+C139</f>
        <v>0</v>
      </c>
      <c r="D140" s="60" t="n">
        <f aca="false">D134+D139</f>
        <v>0</v>
      </c>
      <c r="E140" s="60" t="n">
        <f aca="false">E134+E139</f>
        <v>8500</v>
      </c>
      <c r="F140" s="60" t="n">
        <f aca="false">F134+F139</f>
        <v>-8100</v>
      </c>
      <c r="G140" s="60" t="n">
        <f aca="false">G134+G139</f>
        <v>-2100</v>
      </c>
      <c r="H140" s="60" t="n">
        <f aca="false">H134+H139</f>
        <v>2900</v>
      </c>
      <c r="I140" s="60" t="n">
        <f aca="false">I134+I139</f>
        <v>6772.18</v>
      </c>
      <c r="J140" s="60" t="n">
        <f aca="false">J134+J139</f>
        <v>-12600</v>
      </c>
      <c r="K140" s="60" t="n">
        <f aca="false">K134+K139</f>
        <v>15931.1218</v>
      </c>
      <c r="L140" s="60" t="n">
        <f aca="false">L134+L139</f>
        <v>21433.879975</v>
      </c>
      <c r="M140" s="60" t="n">
        <f aca="false">M134+M139</f>
        <v>14696.06772</v>
      </c>
      <c r="N140" s="60" t="n">
        <f aca="false">N134+N139</f>
        <v>-37852.5663431456</v>
      </c>
      <c r="O140" s="60" t="n">
        <f aca="false">O134+O139</f>
        <v>10067.7869997151</v>
      </c>
      <c r="P140" s="60" t="n">
        <f aca="false">P134+P139</f>
        <v>52315.8216097099</v>
      </c>
      <c r="Q140" s="60" t="n">
        <f aca="false">Q134+Q139</f>
        <v>142443.86470741</v>
      </c>
      <c r="R140" s="60" t="n">
        <f aca="false">R134+R139</f>
        <v>174439.132094406</v>
      </c>
      <c r="S140" s="60" t="n">
        <f aca="false">S134+S139</f>
        <v>214696.321073951</v>
      </c>
      <c r="T140" s="60" t="n">
        <f aca="false">T134+T139</f>
        <v>204566.075054633</v>
      </c>
      <c r="U140" s="60" t="n">
        <f aca="false">U134+U139</f>
        <v>254741.825212561</v>
      </c>
      <c r="V140" s="60" t="n">
        <f aca="false">V134+V139</f>
        <v>279046.952345164</v>
      </c>
      <c r="W140" s="60" t="n">
        <f aca="false">W134+W139</f>
        <v>407571.756605024</v>
      </c>
      <c r="X140" s="60" t="n">
        <f aca="false">X134+X139</f>
        <v>443155.438034206</v>
      </c>
      <c r="Y140" s="60" t="n">
        <f aca="false">Y134+Y139</f>
        <v>486924.956287645</v>
      </c>
      <c r="Z140" s="60" t="n">
        <f aca="false">Z134+Z139</f>
        <v>531320.967933244</v>
      </c>
      <c r="AA140" s="60" t="n">
        <f aca="false">AA134+AA139</f>
        <v>610031.936744902</v>
      </c>
      <c r="AB140" s="60" t="n">
        <f aca="false">AB134+AB139</f>
        <v>684814.853412824</v>
      </c>
      <c r="AC140" s="60" t="n">
        <f aca="false">AC134+AC139</f>
        <v>755750.485152941</v>
      </c>
      <c r="AD140" s="60" t="n">
        <f aca="false">AD134+AD139</f>
        <v>823157.512200619</v>
      </c>
      <c r="AE140" s="60" t="n">
        <f aca="false">AE134+AE139</f>
        <v>872057.082553502</v>
      </c>
      <c r="AF140" s="60" t="n">
        <f aca="false">AF134+AF139</f>
        <v>985453.162479617</v>
      </c>
      <c r="AG140" s="60" t="n">
        <f aca="false">AG134+AG139</f>
        <v>1043016.73708988</v>
      </c>
      <c r="AH140" s="60" t="n">
        <f aca="false">AH134+AH139</f>
        <v>1097750.03882122</v>
      </c>
      <c r="AI140" s="60" t="n">
        <f aca="false">AI134+AI139</f>
        <v>1149646.80363199</v>
      </c>
      <c r="AJ140" s="60" t="n">
        <f aca="false">AJ134+AJ139</f>
        <v>1198886.10387307</v>
      </c>
      <c r="AK140" s="60" t="n">
        <f aca="false">AK134+AK139</f>
        <v>1245646.86449139</v>
      </c>
      <c r="AL140" s="60" t="n">
        <f aca="false">AL134+AL139</f>
        <v>1475687.45503884</v>
      </c>
      <c r="AM140" s="60" t="n">
        <f aca="false">AM134+AM139</f>
        <v>1622424.0980423</v>
      </c>
      <c r="AN140" s="60" t="n">
        <f aca="false">AN134+AN139</f>
        <v>1762299.65026645</v>
      </c>
      <c r="AO140" s="60" t="n">
        <f aca="false">AO134+AO139</f>
        <v>1895619.45848727</v>
      </c>
      <c r="AP140" s="60" t="n">
        <f aca="false">AP134+AP139</f>
        <v>2022719.79474531</v>
      </c>
      <c r="AQ140" s="60" t="n">
        <f aca="false">AQ134+AQ139</f>
        <v>2118921.24720045</v>
      </c>
      <c r="AR140" s="60" t="n">
        <f aca="false">AR134+AR139</f>
        <v>2259447.32864257</v>
      </c>
      <c r="AS140" s="60" t="n">
        <f aca="false">AS134+AS139</f>
        <v>2369540.20581509</v>
      </c>
      <c r="AT140" s="60" t="n">
        <f aca="false">AT134+AT139</f>
        <v>2474519.21586029</v>
      </c>
      <c r="AU140" s="60" t="n">
        <f aca="false">AU134+AU139</f>
        <v>2574561.55416502</v>
      </c>
      <c r="AV140" s="60" t="n">
        <f aca="false">AV134+AV139</f>
        <v>2669987.15803189</v>
      </c>
      <c r="AW140" s="60" t="n">
        <f aca="false">AW134+AW139</f>
        <v>2760907.1453886</v>
      </c>
      <c r="AX140" s="60" t="n">
        <f aca="false">AX134+AX139</f>
        <v>3408621.79333525</v>
      </c>
      <c r="AY140" s="60" t="n">
        <f aca="false">AY134+AY139</f>
        <v>3695511.13548138</v>
      </c>
      <c r="AZ140" s="60" t="n">
        <f aca="false">AZ134+AZ139</f>
        <v>3970081.19730136</v>
      </c>
      <c r="BA140" s="60" t="n">
        <f aca="false">BA134+BA139</f>
        <v>4232773.74516703</v>
      </c>
      <c r="BB140" s="60" t="n">
        <f aca="false">BB134+BB139</f>
        <v>4484269.52202338</v>
      </c>
      <c r="BC140" s="60" t="n">
        <f aca="false">BC134+BC139</f>
        <v>4694875.44549234</v>
      </c>
      <c r="BD140" s="60" t="n">
        <f aca="false">BD134+BD139</f>
        <v>4955187.40991989</v>
      </c>
      <c r="BE140" s="60" t="n">
        <f aca="false">BE134+BE139</f>
        <v>5175560.93631391</v>
      </c>
      <c r="BF140" s="60" t="n">
        <f aca="false">BF134+BF139</f>
        <v>5386474.28744342</v>
      </c>
      <c r="BG140" s="60" t="n">
        <f aca="false">BG134+BG139</f>
        <v>5588334.12738079</v>
      </c>
      <c r="BH140" s="60" t="n">
        <f aca="false">BH134+BH139</f>
        <v>5781534.26735277</v>
      </c>
      <c r="BI140" s="60" t="n">
        <f aca="false">BI134+BI139</f>
        <v>5966412.845039</v>
      </c>
      <c r="BJ140" s="61" t="n">
        <f aca="false">SUM(B140:BI140)</f>
        <v>97023354.1854961</v>
      </c>
    </row>
    <row r="141" customFormat="false" ht="15" hidden="false" customHeight="false" outlineLevel="0" collapsed="false">
      <c r="A141" s="62" t="s">
        <v>792</v>
      </c>
      <c r="B141" s="61" t="n">
        <f aca="false">B140</f>
        <v>0</v>
      </c>
      <c r="C141" s="61" t="n">
        <f aca="false">B141+C140</f>
        <v>0</v>
      </c>
      <c r="D141" s="61" t="n">
        <f aca="false">C141+D140</f>
        <v>0</v>
      </c>
      <c r="E141" s="61" t="n">
        <f aca="false">D141+E140</f>
        <v>8500</v>
      </c>
      <c r="F141" s="61" t="n">
        <f aca="false">E141+F140</f>
        <v>400</v>
      </c>
      <c r="G141" s="61" t="n">
        <f aca="false">F141+G140</f>
        <v>-1700</v>
      </c>
      <c r="H141" s="61" t="n">
        <f aca="false">G141+H140</f>
        <v>1200</v>
      </c>
      <c r="I141" s="61" t="n">
        <f aca="false">H141+I140</f>
        <v>7972.18</v>
      </c>
      <c r="J141" s="61" t="n">
        <f aca="false">I141+J140</f>
        <v>-4627.82</v>
      </c>
      <c r="K141" s="61" t="n">
        <f aca="false">J141+K140</f>
        <v>11303.3018</v>
      </c>
      <c r="L141" s="61" t="n">
        <f aca="false">K141+L140</f>
        <v>32737.181775</v>
      </c>
      <c r="M141" s="61" t="n">
        <f aca="false">L141+M140</f>
        <v>47433.249495</v>
      </c>
      <c r="N141" s="61" t="n">
        <f aca="false">M141+N140</f>
        <v>9580.6831518544</v>
      </c>
      <c r="O141" s="61" t="n">
        <f aca="false">N141+O140</f>
        <v>19648.4701515695</v>
      </c>
      <c r="P141" s="61" t="n">
        <f aca="false">O141+P140</f>
        <v>71964.2917612794</v>
      </c>
      <c r="Q141" s="61" t="n">
        <f aca="false">P141+Q140</f>
        <v>214408.156468689</v>
      </c>
      <c r="R141" s="61" t="n">
        <f aca="false">Q141+R140</f>
        <v>388847.288563095</v>
      </c>
      <c r="S141" s="61" t="n">
        <f aca="false">R141+S140</f>
        <v>603543.609637046</v>
      </c>
      <c r="T141" s="61" t="n">
        <f aca="false">S141+T140</f>
        <v>808109.684691679</v>
      </c>
      <c r="U141" s="61" t="n">
        <f aca="false">T141+U140</f>
        <v>1062851.50990424</v>
      </c>
      <c r="V141" s="61" t="n">
        <f aca="false">U141+V140</f>
        <v>1341898.4622494</v>
      </c>
      <c r="W141" s="61" t="n">
        <f aca="false">V141+W140</f>
        <v>1749470.21885443</v>
      </c>
      <c r="X141" s="61" t="n">
        <f aca="false">W141+X140</f>
        <v>2192625.65688863</v>
      </c>
      <c r="Y141" s="61" t="n">
        <f aca="false">X141+Y140</f>
        <v>2679550.61317628</v>
      </c>
      <c r="Z141" s="61" t="n">
        <f aca="false">Y141+Z140</f>
        <v>3210871.58110952</v>
      </c>
      <c r="AA141" s="61" t="n">
        <f aca="false">Z141+AA140</f>
        <v>3820903.51785442</v>
      </c>
      <c r="AB141" s="61" t="n">
        <f aca="false">AA141+AB140</f>
        <v>4505718.37126725</v>
      </c>
      <c r="AC141" s="61" t="n">
        <f aca="false">AB141+AC140</f>
        <v>5261468.85642019</v>
      </c>
      <c r="AD141" s="61" t="n">
        <f aca="false">AC141+AD140</f>
        <v>6084626.36862081</v>
      </c>
      <c r="AE141" s="61" t="n">
        <f aca="false">AD141+AE140</f>
        <v>6956683.45117431</v>
      </c>
      <c r="AF141" s="61" t="n">
        <f aca="false">AE141+AF140</f>
        <v>7942136.61365393</v>
      </c>
      <c r="AG141" s="61" t="n">
        <f aca="false">AF141+AG140</f>
        <v>8985153.3507438</v>
      </c>
      <c r="AH141" s="61" t="n">
        <f aca="false">AG141+AH140</f>
        <v>10082903.389565</v>
      </c>
      <c r="AI141" s="61" t="n">
        <f aca="false">AH141+AI140</f>
        <v>11232550.193197</v>
      </c>
      <c r="AJ141" s="61" t="n">
        <f aca="false">AI141+AJ140</f>
        <v>12431436.2970701</v>
      </c>
      <c r="AK141" s="61" t="n">
        <f aca="false">AJ141+AK140</f>
        <v>13677083.1615615</v>
      </c>
      <c r="AL141" s="61" t="n">
        <f aca="false">AK141+AL140</f>
        <v>15152770.6166003</v>
      </c>
      <c r="AM141" s="61" t="n">
        <f aca="false">AL141+AM140</f>
        <v>16775194.7146426</v>
      </c>
      <c r="AN141" s="61" t="n">
        <f aca="false">AM141+AN140</f>
        <v>18537494.3649091</v>
      </c>
      <c r="AO141" s="61" t="n">
        <f aca="false">AN141+AO140</f>
        <v>20433113.8233963</v>
      </c>
      <c r="AP141" s="61" t="n">
        <f aca="false">AO141+AP140</f>
        <v>22455833.6181417</v>
      </c>
      <c r="AQ141" s="61" t="n">
        <f aca="false">AP141+AQ140</f>
        <v>24574754.8653421</v>
      </c>
      <c r="AR141" s="61" t="n">
        <f aca="false">AQ141+AR140</f>
        <v>26834202.1939847</v>
      </c>
      <c r="AS141" s="61" t="n">
        <f aca="false">AR141+AS140</f>
        <v>29203742.3997998</v>
      </c>
      <c r="AT141" s="61" t="n">
        <f aca="false">AS141+AT140</f>
        <v>31678261.61566</v>
      </c>
      <c r="AU141" s="61" t="n">
        <f aca="false">AT141+AU140</f>
        <v>34252823.1698251</v>
      </c>
      <c r="AV141" s="61" t="n">
        <f aca="false">AU141+AV140</f>
        <v>36922810.327857</v>
      </c>
      <c r="AW141" s="61" t="n">
        <f aca="false">AV141+AW140</f>
        <v>39683717.4732456</v>
      </c>
      <c r="AX141" s="61" t="n">
        <f aca="false">AW141+AX140</f>
        <v>43092339.2665808</v>
      </c>
      <c r="AY141" s="61" t="n">
        <f aca="false">AX141+AY140</f>
        <v>46787850.4020622</v>
      </c>
      <c r="AZ141" s="61" t="n">
        <f aca="false">AY141+AZ140</f>
        <v>50757931.5993636</v>
      </c>
      <c r="BA141" s="61" t="n">
        <f aca="false">AZ141+BA140</f>
        <v>54990705.3445306</v>
      </c>
      <c r="BB141" s="61" t="n">
        <f aca="false">BA141+BB140</f>
        <v>59474974.866554</v>
      </c>
      <c r="BC141" s="61" t="n">
        <f aca="false">BB141+BC140</f>
        <v>64169850.3120463</v>
      </c>
      <c r="BD141" s="61" t="n">
        <f aca="false">BC141+BD140</f>
        <v>69125037.7219662</v>
      </c>
      <c r="BE141" s="61" t="n">
        <f aca="false">BD141+BE140</f>
        <v>74300598.6582801</v>
      </c>
      <c r="BF141" s="61" t="n">
        <f aca="false">BE141+BF140</f>
        <v>79687072.9457235</v>
      </c>
      <c r="BG141" s="61" t="n">
        <f aca="false">BF141+BG140</f>
        <v>85275407.0731043</v>
      </c>
      <c r="BH141" s="61" t="n">
        <f aca="false">BG141+BH140</f>
        <v>91056941.3404571</v>
      </c>
      <c r="BI141" s="61" t="n">
        <f aca="false">BH141+BI140</f>
        <v>97023354.1854961</v>
      </c>
      <c r="BJ141" s="61" t="n">
        <f aca="false">BI141</f>
        <v>97023354.1854961</v>
      </c>
    </row>
    <row r="142" customFormat="false" ht="15" hidden="false" customHeight="false" outlineLevel="0" collapsed="false">
      <c r="A142" s="71" t="s">
        <v>887</v>
      </c>
      <c r="B142" s="72" t="n">
        <f aca="false">IF(B137&lt;0,B$5,0)</f>
        <v>0</v>
      </c>
      <c r="C142" s="72" t="n">
        <f aca="false">IF(C137&lt;0,C$5,0)</f>
        <v>0</v>
      </c>
      <c r="D142" s="72" t="n">
        <f aca="false">IF(D137&lt;0,D$5,0)</f>
        <v>0</v>
      </c>
      <c r="E142" s="72" t="n">
        <f aca="false">IF(E137&lt;0,E$5,0)</f>
        <v>4</v>
      </c>
      <c r="F142" s="72" t="n">
        <f aca="false">IF(F137&lt;0,F$5,0)</f>
        <v>5</v>
      </c>
      <c r="G142" s="72" t="n">
        <f aca="false">IF(G137&lt;0,G$5,0)</f>
        <v>6</v>
      </c>
      <c r="H142" s="72" t="n">
        <f aca="false">IF(H137&lt;0,H$5,0)</f>
        <v>7</v>
      </c>
      <c r="I142" s="72" t="n">
        <f aca="false">IF(I137&lt;0,I$5,0)</f>
        <v>8</v>
      </c>
      <c r="J142" s="72" t="n">
        <f aca="false">IF(J137&lt;0,J$5,0)</f>
        <v>9</v>
      </c>
      <c r="K142" s="72" t="n">
        <f aca="false">IF(K137&lt;0,K$5,0)</f>
        <v>10</v>
      </c>
      <c r="L142" s="72" t="n">
        <f aca="false">IF(L137&lt;0,L$5,0)</f>
        <v>11</v>
      </c>
      <c r="M142" s="72" t="n">
        <f aca="false">IF(M137&lt;0,M$5,0)</f>
        <v>12</v>
      </c>
      <c r="N142" s="72" t="n">
        <f aca="false">IF(N137&lt;0,N$5,0)</f>
        <v>13</v>
      </c>
      <c r="O142" s="72" t="n">
        <f aca="false">IF(O137&lt;0,O$5,0)</f>
        <v>14</v>
      </c>
      <c r="P142" s="72" t="n">
        <f aca="false">IF(P137&lt;0,P$5,0)</f>
        <v>15</v>
      </c>
      <c r="Q142" s="72" t="n">
        <f aca="false">IF(Q137&lt;0,Q$5,0)</f>
        <v>0</v>
      </c>
      <c r="R142" s="72" t="n">
        <f aca="false">IF(R137&lt;0,R$5,0)</f>
        <v>0</v>
      </c>
      <c r="S142" s="72" t="n">
        <f aca="false">IF(S137&lt;0,S$5,0)</f>
        <v>0</v>
      </c>
      <c r="T142" s="72" t="n">
        <f aca="false">IF(T137&lt;0,T$5,0)</f>
        <v>0</v>
      </c>
      <c r="U142" s="72" t="n">
        <f aca="false">IF(U137&lt;0,U$5,0)</f>
        <v>0</v>
      </c>
      <c r="V142" s="72" t="n">
        <f aca="false">IF(V137&lt;0,V$5,0)</f>
        <v>0</v>
      </c>
      <c r="W142" s="72" t="n">
        <f aca="false">IF(W137&lt;0,W$5,0)</f>
        <v>0</v>
      </c>
      <c r="X142" s="72" t="n">
        <f aca="false">IF(X137&lt;0,X$5,0)</f>
        <v>0</v>
      </c>
      <c r="Y142" s="72" t="n">
        <f aca="false">IF(Y137&lt;0,Y$5,0)</f>
        <v>0</v>
      </c>
      <c r="Z142" s="72" t="n">
        <f aca="false">IF(Z137&lt;0,Z$5,0)</f>
        <v>0</v>
      </c>
      <c r="AA142" s="72" t="n">
        <f aca="false">IF(AA137&lt;0,AA$5,0)</f>
        <v>0</v>
      </c>
      <c r="AB142" s="72" t="n">
        <f aca="false">IF(AB137&lt;0,AB$5,0)</f>
        <v>0</v>
      </c>
      <c r="AC142" s="72" t="n">
        <f aca="false">IF(AC137&lt;0,AC$5,0)</f>
        <v>0</v>
      </c>
      <c r="AD142" s="72" t="n">
        <f aca="false">IF(AD137&lt;0,AD$5,0)</f>
        <v>0</v>
      </c>
      <c r="AE142" s="72" t="n">
        <f aca="false">IF(AE137&lt;0,AE$5,0)</f>
        <v>0</v>
      </c>
      <c r="AF142" s="72" t="n">
        <f aca="false">IF(AF137&lt;0,AF$5,0)</f>
        <v>0</v>
      </c>
      <c r="AG142" s="72" t="n">
        <f aca="false">IF(AG137&lt;0,AG$5,0)</f>
        <v>0</v>
      </c>
      <c r="AH142" s="72" t="n">
        <f aca="false">IF(AH137&lt;0,AH$5,0)</f>
        <v>0</v>
      </c>
      <c r="AI142" s="72" t="n">
        <f aca="false">IF(AI137&lt;0,AI$5,0)</f>
        <v>0</v>
      </c>
      <c r="AJ142" s="72" t="n">
        <f aca="false">IF(AJ137&lt;0,AJ$5,0)</f>
        <v>0</v>
      </c>
      <c r="AK142" s="72" t="n">
        <f aca="false">IF(AK137&lt;0,AK$5,0)</f>
        <v>0</v>
      </c>
      <c r="AL142" s="72" t="n">
        <f aca="false">IF(AL137&lt;0,AL$5,0)</f>
        <v>0</v>
      </c>
      <c r="AM142" s="72" t="n">
        <f aca="false">IF(AM137&lt;0,AM$5,0)</f>
        <v>0</v>
      </c>
      <c r="AN142" s="72" t="n">
        <f aca="false">IF(AN137&lt;0,AN$5,0)</f>
        <v>0</v>
      </c>
      <c r="AO142" s="72" t="n">
        <f aca="false">IF(AO137&lt;0,AO$5,0)</f>
        <v>0</v>
      </c>
      <c r="AP142" s="72" t="n">
        <f aca="false">IF(AP137&lt;0,AP$5,0)</f>
        <v>0</v>
      </c>
      <c r="AQ142" s="72" t="n">
        <f aca="false">IF(AQ137&lt;0,AQ$5,0)</f>
        <v>0</v>
      </c>
      <c r="AR142" s="72" t="n">
        <f aca="false">IF(AR137&lt;0,AR$5,0)</f>
        <v>0</v>
      </c>
      <c r="AS142" s="72" t="n">
        <f aca="false">IF(AS137&lt;0,AS$5,0)</f>
        <v>0</v>
      </c>
      <c r="AT142" s="72" t="n">
        <f aca="false">IF(AT137&lt;0,AT$5,0)</f>
        <v>0</v>
      </c>
      <c r="AU142" s="72" t="n">
        <f aca="false">IF(AU137&lt;0,AU$5,0)</f>
        <v>0</v>
      </c>
      <c r="AV142" s="72" t="n">
        <f aca="false">IF(AV137&lt;0,AV$5,0)</f>
        <v>0</v>
      </c>
      <c r="AW142" s="72" t="n">
        <f aca="false">IF(AW137&lt;0,AW$5,0)</f>
        <v>0</v>
      </c>
      <c r="AX142" s="72" t="n">
        <f aca="false">IF(AX137&lt;0,AX$5,0)</f>
        <v>0</v>
      </c>
      <c r="AY142" s="72" t="n">
        <f aca="false">IF(AY137&lt;0,AY$5,0)</f>
        <v>0</v>
      </c>
      <c r="AZ142" s="72" t="n">
        <f aca="false">IF(AZ137&lt;0,AZ$5,0)</f>
        <v>0</v>
      </c>
      <c r="BA142" s="72" t="n">
        <f aca="false">IF(BA137&lt;0,BA$5,0)</f>
        <v>0</v>
      </c>
      <c r="BB142" s="72" t="n">
        <f aca="false">IF(BB137&lt;0,BB$5,0)</f>
        <v>0</v>
      </c>
      <c r="BC142" s="72" t="n">
        <f aca="false">IF(BC137&lt;0,BC$5,0)</f>
        <v>0</v>
      </c>
      <c r="BD142" s="72" t="n">
        <f aca="false">IF(BD137&lt;0,BD$5,0)</f>
        <v>0</v>
      </c>
      <c r="BE142" s="72" t="n">
        <f aca="false">IF(BE137&lt;0,BE$5,0)</f>
        <v>0</v>
      </c>
      <c r="BF142" s="72" t="n">
        <f aca="false">IF(BF137&lt;0,BF$5,0)</f>
        <v>0</v>
      </c>
      <c r="BG142" s="72" t="n">
        <f aca="false">IF(BG137&lt;0,BG$5,0)</f>
        <v>0</v>
      </c>
      <c r="BH142" s="72" t="n">
        <f aca="false">IF(BH137&lt;0,BH$5,0)</f>
        <v>0</v>
      </c>
      <c r="BI142" s="72" t="n">
        <f aca="false">IF(BI137&lt;0,BI$5,0)</f>
        <v>0</v>
      </c>
      <c r="BJ142" s="134" t="n">
        <f aca="false">BI142</f>
        <v>0</v>
      </c>
      <c r="BK142" s="29" t="s">
        <v>888</v>
      </c>
    </row>
    <row r="143" customFormat="false" ht="15" hidden="false" customHeight="false" outlineLevel="0" collapsed="false">
      <c r="A143" s="71" t="s">
        <v>889</v>
      </c>
      <c r="B143" s="72" t="n">
        <f aca="false">IF(B136&lt;0,B$5,0)</f>
        <v>0</v>
      </c>
      <c r="C143" s="72" t="n">
        <f aca="false">IF(C136&lt;0,C$5,0)</f>
        <v>0</v>
      </c>
      <c r="D143" s="72" t="n">
        <f aca="false">IF(D136&lt;0,D$5,0)</f>
        <v>0</v>
      </c>
      <c r="E143" s="72" t="n">
        <f aca="false">IF(E136&lt;0,E$5,0)</f>
        <v>4</v>
      </c>
      <c r="F143" s="72" t="n">
        <f aca="false">IF(F136&lt;0,F$5,0)</f>
        <v>5</v>
      </c>
      <c r="G143" s="72" t="n">
        <f aca="false">IF(G136&lt;0,G$5,0)</f>
        <v>6</v>
      </c>
      <c r="H143" s="72" t="n">
        <f aca="false">IF(H136&lt;0,H$5,0)</f>
        <v>7</v>
      </c>
      <c r="I143" s="72" t="n">
        <f aca="false">IF(I136&lt;0,I$5,0)</f>
        <v>8</v>
      </c>
      <c r="J143" s="72" t="n">
        <f aca="false">IF(J136&lt;0,J$5,0)</f>
        <v>9</v>
      </c>
      <c r="K143" s="72" t="n">
        <f aca="false">IF(K136&lt;0,K$5,0)</f>
        <v>10</v>
      </c>
      <c r="L143" s="72" t="n">
        <f aca="false">IF(L136&lt;0,L$5,0)</f>
        <v>11</v>
      </c>
      <c r="M143" s="72" t="n">
        <f aca="false">IF(M136&lt;0,M$5,0)</f>
        <v>12</v>
      </c>
      <c r="N143" s="72" t="n">
        <f aca="false">IF(N136&lt;0,N$5,0)</f>
        <v>13</v>
      </c>
      <c r="O143" s="72" t="n">
        <f aca="false">IF(O136&lt;0,O$5,0)</f>
        <v>14</v>
      </c>
      <c r="P143" s="72" t="n">
        <f aca="false">IF(P136&lt;0,P$5,0)</f>
        <v>15</v>
      </c>
      <c r="Q143" s="72" t="n">
        <f aca="false">IF(Q136&lt;0,Q$5,0)</f>
        <v>0</v>
      </c>
      <c r="R143" s="72" t="n">
        <f aca="false">IF(R136&lt;0,R$5,0)</f>
        <v>0</v>
      </c>
      <c r="S143" s="72" t="n">
        <f aca="false">IF(S136&lt;0,S$5,0)</f>
        <v>0</v>
      </c>
      <c r="T143" s="72" t="n">
        <f aca="false">IF(T136&lt;0,T$5,0)</f>
        <v>0</v>
      </c>
      <c r="U143" s="72" t="n">
        <f aca="false">IF(U136&lt;0,U$5,0)</f>
        <v>0</v>
      </c>
      <c r="V143" s="72" t="n">
        <f aca="false">IF(V136&lt;0,V$5,0)</f>
        <v>0</v>
      </c>
      <c r="W143" s="72" t="n">
        <f aca="false">IF(W136&lt;0,W$5,0)</f>
        <v>0</v>
      </c>
      <c r="X143" s="72" t="n">
        <f aca="false">IF(X136&lt;0,X$5,0)</f>
        <v>0</v>
      </c>
      <c r="Y143" s="72" t="n">
        <f aca="false">IF(Y136&lt;0,Y$5,0)</f>
        <v>0</v>
      </c>
      <c r="Z143" s="72" t="n">
        <f aca="false">IF(Z136&lt;0,Z$5,0)</f>
        <v>0</v>
      </c>
      <c r="AA143" s="72" t="n">
        <f aca="false">IF(AA136&lt;0,AA$5,0)</f>
        <v>0</v>
      </c>
      <c r="AB143" s="72" t="n">
        <f aca="false">IF(AB136&lt;0,AB$5,0)</f>
        <v>0</v>
      </c>
      <c r="AC143" s="72" t="n">
        <f aca="false">IF(AC136&lt;0,AC$5,0)</f>
        <v>0</v>
      </c>
      <c r="AD143" s="72" t="n">
        <f aca="false">IF(AD136&lt;0,AD$5,0)</f>
        <v>0</v>
      </c>
      <c r="AE143" s="72" t="n">
        <f aca="false">IF(AE136&lt;0,AE$5,0)</f>
        <v>0</v>
      </c>
      <c r="AF143" s="72" t="n">
        <f aca="false">IF(AF136&lt;0,AF$5,0)</f>
        <v>0</v>
      </c>
      <c r="AG143" s="72" t="n">
        <f aca="false">IF(AG136&lt;0,AG$5,0)</f>
        <v>0</v>
      </c>
      <c r="AH143" s="72" t="n">
        <f aca="false">IF(AH136&lt;0,AH$5,0)</f>
        <v>0</v>
      </c>
      <c r="AI143" s="72" t="n">
        <f aca="false">IF(AI136&lt;0,AI$5,0)</f>
        <v>0</v>
      </c>
      <c r="AJ143" s="72" t="n">
        <f aca="false">IF(AJ136&lt;0,AJ$5,0)</f>
        <v>0</v>
      </c>
      <c r="AK143" s="72" t="n">
        <f aca="false">IF(AK136&lt;0,AK$5,0)</f>
        <v>0</v>
      </c>
      <c r="AL143" s="72" t="n">
        <f aca="false">IF(AL136&lt;0,AL$5,0)</f>
        <v>0</v>
      </c>
      <c r="AM143" s="72" t="n">
        <f aca="false">IF(AM136&lt;0,AM$5,0)</f>
        <v>0</v>
      </c>
      <c r="AN143" s="72" t="n">
        <f aca="false">IF(AN136&lt;0,AN$5,0)</f>
        <v>0</v>
      </c>
      <c r="AO143" s="72" t="n">
        <f aca="false">IF(AO136&lt;0,AO$5,0)</f>
        <v>0</v>
      </c>
      <c r="AP143" s="72" t="n">
        <f aca="false">IF(AP136&lt;0,AP$5,0)</f>
        <v>0</v>
      </c>
      <c r="AQ143" s="72" t="n">
        <f aca="false">IF(AQ136&lt;0,AQ$5,0)</f>
        <v>0</v>
      </c>
      <c r="AR143" s="72" t="n">
        <f aca="false">IF(AR136&lt;0,AR$5,0)</f>
        <v>0</v>
      </c>
      <c r="AS143" s="72" t="n">
        <f aca="false">IF(AS136&lt;0,AS$5,0)</f>
        <v>0</v>
      </c>
      <c r="AT143" s="72" t="n">
        <f aca="false">IF(AT136&lt;0,AT$5,0)</f>
        <v>0</v>
      </c>
      <c r="AU143" s="72" t="n">
        <f aca="false">IF(AU136&lt;0,AU$5,0)</f>
        <v>0</v>
      </c>
      <c r="AV143" s="72" t="n">
        <f aca="false">IF(AV136&lt;0,AV$5,0)</f>
        <v>0</v>
      </c>
      <c r="AW143" s="72" t="n">
        <f aca="false">IF(AW136&lt;0,AW$5,0)</f>
        <v>0</v>
      </c>
      <c r="AX143" s="72" t="n">
        <f aca="false">IF(AX136&lt;0,AX$5,0)</f>
        <v>0</v>
      </c>
      <c r="AY143" s="72" t="n">
        <f aca="false">IF(AY136&lt;0,AY$5,0)</f>
        <v>0</v>
      </c>
      <c r="AZ143" s="72" t="n">
        <f aca="false">IF(AZ136&lt;0,AZ$5,0)</f>
        <v>0</v>
      </c>
      <c r="BA143" s="72" t="n">
        <f aca="false">IF(BA136&lt;0,BA$5,0)</f>
        <v>0</v>
      </c>
      <c r="BB143" s="72" t="n">
        <f aca="false">IF(BB136&lt;0,BB$5,0)</f>
        <v>0</v>
      </c>
      <c r="BC143" s="72" t="n">
        <f aca="false">IF(BC136&lt;0,BC$5,0)</f>
        <v>0</v>
      </c>
      <c r="BD143" s="72" t="n">
        <f aca="false">IF(BD136&lt;0,BD$5,0)</f>
        <v>0</v>
      </c>
      <c r="BE143" s="72" t="n">
        <f aca="false">IF(BE136&lt;0,BE$5,0)</f>
        <v>0</v>
      </c>
      <c r="BF143" s="72" t="n">
        <f aca="false">IF(BF136&lt;0,BF$5,0)</f>
        <v>0</v>
      </c>
      <c r="BG143" s="72" t="n">
        <f aca="false">IF(BG136&lt;0,BG$5,0)</f>
        <v>0</v>
      </c>
      <c r="BH143" s="72" t="n">
        <f aca="false">IF(BH136&lt;0,BH$5,0)</f>
        <v>0</v>
      </c>
      <c r="BI143" s="72" t="n">
        <f aca="false">IF(BI136&lt;0,BI$5,0)</f>
        <v>0</v>
      </c>
      <c r="BJ143" s="134" t="n">
        <f aca="false">BI143</f>
        <v>0</v>
      </c>
      <c r="BK143" s="29" t="s">
        <v>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1" min="6" style="0" width="11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890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3" t="s">
        <v>891</v>
      </c>
    </row>
    <row r="4" customFormat="false" ht="18" hidden="false" customHeight="true" outlineLevel="0" collapsed="false">
      <c r="A4" s="25" t="s">
        <v>892</v>
      </c>
      <c r="B4" s="26"/>
      <c r="C4" s="26"/>
      <c r="D4" s="26"/>
      <c r="E4" s="26"/>
      <c r="F4" s="26"/>
    </row>
    <row r="5" customFormat="false" ht="15" hidden="false" customHeight="false" outlineLevel="0" collapsed="false">
      <c r="A5" s="96" t="s">
        <v>893</v>
      </c>
      <c r="B5" s="96" t="s">
        <v>894</v>
      </c>
      <c r="C5" s="96" t="s">
        <v>507</v>
      </c>
      <c r="D5" s="96" t="s">
        <v>510</v>
      </c>
      <c r="E5" s="96" t="s">
        <v>508</v>
      </c>
    </row>
    <row r="6" customFormat="false" ht="15" hidden="false" customHeight="false" outlineLevel="0" collapsed="false">
      <c r="A6" s="203" t="n">
        <v>46146</v>
      </c>
      <c r="B6" s="184" t="s">
        <v>895</v>
      </c>
      <c r="C6" s="204" t="s">
        <v>896</v>
      </c>
      <c r="D6" s="205" t="n">
        <v>6000</v>
      </c>
      <c r="E6" s="204" t="s">
        <v>240</v>
      </c>
    </row>
    <row r="7" customFormat="false" ht="15" hidden="false" customHeight="false" outlineLevel="0" collapsed="false">
      <c r="A7" s="206" t="n">
        <v>46254</v>
      </c>
      <c r="B7" s="142" t="s">
        <v>897</v>
      </c>
      <c r="C7" s="207" t="s">
        <v>766</v>
      </c>
      <c r="D7" s="208" t="n">
        <v>9127.82</v>
      </c>
      <c r="E7" s="207" t="s">
        <v>236</v>
      </c>
      <c r="F7" s="29" t="s">
        <v>898</v>
      </c>
    </row>
    <row r="8" customFormat="false" ht="15" hidden="false" customHeight="false" outlineLevel="0" collapsed="false">
      <c r="A8" s="203" t="n">
        <v>46477</v>
      </c>
      <c r="B8" s="184" t="s">
        <v>899</v>
      </c>
      <c r="C8" s="204" t="s">
        <v>900</v>
      </c>
      <c r="D8" s="205" t="n">
        <v>12000</v>
      </c>
      <c r="E8" s="204" t="s">
        <v>240</v>
      </c>
    </row>
    <row r="9" customFormat="false" ht="15" hidden="false" customHeight="false" outlineLevel="0" collapsed="false">
      <c r="A9" s="203" t="n">
        <v>46568</v>
      </c>
      <c r="B9" s="184" t="s">
        <v>901</v>
      </c>
      <c r="C9" s="204" t="s">
        <v>766</v>
      </c>
      <c r="D9" s="205" t="n">
        <v>6000</v>
      </c>
      <c r="E9" s="204" t="s">
        <v>240</v>
      </c>
    </row>
    <row r="10" customFormat="false" ht="15" hidden="false" customHeight="false" outlineLevel="0" collapsed="false">
      <c r="A10" s="203" t="n">
        <v>46599</v>
      </c>
      <c r="B10" s="184" t="s">
        <v>902</v>
      </c>
      <c r="C10" s="204" t="s">
        <v>900</v>
      </c>
      <c r="D10" s="205" t="n">
        <v>25000</v>
      </c>
      <c r="E10" s="204" t="s">
        <v>240</v>
      </c>
    </row>
    <row r="11" customFormat="false" ht="15" hidden="false" customHeight="false" outlineLevel="0" collapsed="false">
      <c r="A11" s="203" t="n">
        <v>46934</v>
      </c>
      <c r="B11" s="184" t="s">
        <v>766</v>
      </c>
      <c r="C11" s="204" t="s">
        <v>766</v>
      </c>
      <c r="D11" s="205" t="n">
        <v>15000</v>
      </c>
      <c r="E11" s="204" t="s">
        <v>240</v>
      </c>
    </row>
    <row r="12" customFormat="false" ht="15" hidden="false" customHeight="false" outlineLevel="0" collapsed="false">
      <c r="A12" s="203" t="n">
        <v>47299</v>
      </c>
      <c r="B12" s="184" t="s">
        <v>766</v>
      </c>
      <c r="C12" s="204" t="s">
        <v>766</v>
      </c>
      <c r="D12" s="205" t="n">
        <v>25000</v>
      </c>
      <c r="E12" s="204" t="s">
        <v>240</v>
      </c>
    </row>
    <row r="13" customFormat="false" ht="15" hidden="false" customHeight="false" outlineLevel="0" collapsed="false">
      <c r="A13" s="203" t="n">
        <v>47664</v>
      </c>
      <c r="B13" s="184" t="s">
        <v>766</v>
      </c>
      <c r="C13" s="204" t="s">
        <v>766</v>
      </c>
      <c r="D13" s="205" t="n">
        <v>30000</v>
      </c>
      <c r="E13" s="204" t="s">
        <v>240</v>
      </c>
    </row>
    <row r="14" customFormat="false" ht="15" hidden="false" customHeight="false" outlineLevel="0" collapsed="false">
      <c r="C14" s="160" t="s">
        <v>230</v>
      </c>
      <c r="D14" s="209" t="n">
        <f aca="false">SUM(D6:D13)</f>
        <v>128127.82</v>
      </c>
    </row>
    <row r="16" customFormat="false" ht="15" hidden="false" customHeight="false" outlineLevel="0" collapsed="false">
      <c r="A16" s="52" t="s">
        <v>229</v>
      </c>
      <c r="B16" s="53" t="n">
        <v>46023</v>
      </c>
      <c r="C16" s="53" t="n">
        <v>46054</v>
      </c>
      <c r="D16" s="53" t="n">
        <v>46082</v>
      </c>
      <c r="E16" s="53" t="n">
        <v>46113</v>
      </c>
      <c r="F16" s="53" t="n">
        <v>46143</v>
      </c>
      <c r="G16" s="53" t="n">
        <v>46174</v>
      </c>
      <c r="H16" s="53" t="n">
        <v>46204</v>
      </c>
      <c r="I16" s="53" t="n">
        <v>46235</v>
      </c>
      <c r="J16" s="53" t="n">
        <v>46266</v>
      </c>
      <c r="K16" s="53" t="n">
        <v>46296</v>
      </c>
      <c r="L16" s="53" t="n">
        <v>46327</v>
      </c>
      <c r="M16" s="53" t="n">
        <v>46357</v>
      </c>
      <c r="N16" s="53" t="n">
        <v>46388</v>
      </c>
      <c r="O16" s="53" t="n">
        <v>46419</v>
      </c>
      <c r="P16" s="53" t="n">
        <v>46447</v>
      </c>
      <c r="Q16" s="53" t="n">
        <v>46478</v>
      </c>
      <c r="R16" s="53" t="n">
        <v>46508</v>
      </c>
      <c r="S16" s="53" t="n">
        <v>46539</v>
      </c>
      <c r="T16" s="53" t="n">
        <v>46569</v>
      </c>
      <c r="U16" s="53" t="n">
        <v>46600</v>
      </c>
      <c r="V16" s="53" t="n">
        <v>46631</v>
      </c>
      <c r="W16" s="53" t="n">
        <v>46661</v>
      </c>
      <c r="X16" s="53" t="n">
        <v>46692</v>
      </c>
      <c r="Y16" s="53" t="n">
        <v>46722</v>
      </c>
      <c r="Z16" s="53" t="n">
        <v>46753</v>
      </c>
      <c r="AA16" s="53" t="n">
        <v>46784</v>
      </c>
      <c r="AB16" s="53" t="n">
        <v>46813</v>
      </c>
      <c r="AC16" s="53" t="n">
        <v>46844</v>
      </c>
      <c r="AD16" s="53" t="n">
        <v>46874</v>
      </c>
      <c r="AE16" s="53" t="n">
        <v>46905</v>
      </c>
      <c r="AF16" s="53" t="n">
        <v>46935</v>
      </c>
      <c r="AG16" s="53" t="n">
        <v>46966</v>
      </c>
      <c r="AH16" s="53" t="n">
        <v>46997</v>
      </c>
      <c r="AI16" s="53" t="n">
        <v>47027</v>
      </c>
      <c r="AJ16" s="53" t="n">
        <v>47058</v>
      </c>
      <c r="AK16" s="53" t="n">
        <v>47088</v>
      </c>
      <c r="AL16" s="53" t="n">
        <v>47119</v>
      </c>
      <c r="AM16" s="53" t="n">
        <v>47150</v>
      </c>
      <c r="AN16" s="53" t="n">
        <v>47178</v>
      </c>
      <c r="AO16" s="53" t="n">
        <v>47209</v>
      </c>
      <c r="AP16" s="53" t="n">
        <v>47239</v>
      </c>
      <c r="AQ16" s="53" t="n">
        <v>47270</v>
      </c>
      <c r="AR16" s="53" t="n">
        <v>47300</v>
      </c>
      <c r="AS16" s="53" t="n">
        <v>47331</v>
      </c>
      <c r="AT16" s="53" t="n">
        <v>47362</v>
      </c>
      <c r="AU16" s="53" t="n">
        <v>47392</v>
      </c>
      <c r="AV16" s="53" t="n">
        <v>47423</v>
      </c>
      <c r="AW16" s="53" t="n">
        <v>47453</v>
      </c>
      <c r="AX16" s="53" t="n">
        <v>47484</v>
      </c>
      <c r="AY16" s="53" t="n">
        <v>47515</v>
      </c>
      <c r="AZ16" s="53" t="n">
        <v>47543</v>
      </c>
      <c r="BA16" s="53" t="n">
        <v>47574</v>
      </c>
      <c r="BB16" s="53" t="n">
        <v>47604</v>
      </c>
      <c r="BC16" s="53" t="n">
        <v>47635</v>
      </c>
      <c r="BD16" s="53" t="n">
        <v>47665</v>
      </c>
      <c r="BE16" s="53" t="n">
        <v>47696</v>
      </c>
      <c r="BF16" s="53" t="n">
        <v>47727</v>
      </c>
      <c r="BG16" s="53" t="n">
        <v>47757</v>
      </c>
      <c r="BH16" s="53" t="n">
        <v>47788</v>
      </c>
      <c r="BI16" s="53" t="n">
        <v>47818</v>
      </c>
      <c r="BJ16" s="54" t="s">
        <v>230</v>
      </c>
      <c r="BK16" s="54" t="s">
        <v>231</v>
      </c>
    </row>
    <row r="17" customFormat="false" ht="15" hidden="false" customHeight="false" outlineLevel="0" collapsed="false">
      <c r="A17" s="55" t="s">
        <v>232</v>
      </c>
      <c r="B17" s="56" t="n">
        <v>1</v>
      </c>
      <c r="C17" s="56" t="n">
        <v>2</v>
      </c>
      <c r="D17" s="56" t="n">
        <v>3</v>
      </c>
      <c r="E17" s="56" t="n">
        <v>4</v>
      </c>
      <c r="F17" s="56" t="n">
        <v>5</v>
      </c>
      <c r="G17" s="56" t="n">
        <v>6</v>
      </c>
      <c r="H17" s="56" t="n">
        <v>7</v>
      </c>
      <c r="I17" s="56" t="n">
        <v>8</v>
      </c>
      <c r="J17" s="56" t="n">
        <v>9</v>
      </c>
      <c r="K17" s="56" t="n">
        <v>10</v>
      </c>
      <c r="L17" s="56" t="n">
        <v>11</v>
      </c>
      <c r="M17" s="56" t="n">
        <v>12</v>
      </c>
      <c r="N17" s="56" t="n">
        <v>13</v>
      </c>
      <c r="O17" s="56" t="n">
        <v>14</v>
      </c>
      <c r="P17" s="56" t="n">
        <v>15</v>
      </c>
      <c r="Q17" s="56" t="n">
        <v>16</v>
      </c>
      <c r="R17" s="56" t="n">
        <v>17</v>
      </c>
      <c r="S17" s="56" t="n">
        <v>18</v>
      </c>
      <c r="T17" s="56" t="n">
        <v>19</v>
      </c>
      <c r="U17" s="56" t="n">
        <v>20</v>
      </c>
      <c r="V17" s="56" t="n">
        <v>21</v>
      </c>
      <c r="W17" s="56" t="n">
        <v>22</v>
      </c>
      <c r="X17" s="56" t="n">
        <v>23</v>
      </c>
      <c r="Y17" s="56" t="n">
        <v>24</v>
      </c>
      <c r="Z17" s="56" t="n">
        <v>25</v>
      </c>
      <c r="AA17" s="56" t="n">
        <v>26</v>
      </c>
      <c r="AB17" s="56" t="n">
        <v>27</v>
      </c>
      <c r="AC17" s="56" t="n">
        <v>28</v>
      </c>
      <c r="AD17" s="56" t="n">
        <v>29</v>
      </c>
      <c r="AE17" s="56" t="n">
        <v>30</v>
      </c>
      <c r="AF17" s="56" t="n">
        <v>31</v>
      </c>
      <c r="AG17" s="56" t="n">
        <v>32</v>
      </c>
      <c r="AH17" s="56" t="n">
        <v>33</v>
      </c>
      <c r="AI17" s="56" t="n">
        <v>34</v>
      </c>
      <c r="AJ17" s="56" t="n">
        <v>35</v>
      </c>
      <c r="AK17" s="56" t="n">
        <v>36</v>
      </c>
      <c r="AL17" s="56" t="n">
        <v>37</v>
      </c>
      <c r="AM17" s="56" t="n">
        <v>38</v>
      </c>
      <c r="AN17" s="56" t="n">
        <v>39</v>
      </c>
      <c r="AO17" s="56" t="n">
        <v>40</v>
      </c>
      <c r="AP17" s="56" t="n">
        <v>41</v>
      </c>
      <c r="AQ17" s="56" t="n">
        <v>42</v>
      </c>
      <c r="AR17" s="56" t="n">
        <v>43</v>
      </c>
      <c r="AS17" s="56" t="n">
        <v>44</v>
      </c>
      <c r="AT17" s="56" t="n">
        <v>45</v>
      </c>
      <c r="AU17" s="56" t="n">
        <v>46</v>
      </c>
      <c r="AV17" s="56" t="n">
        <v>47</v>
      </c>
      <c r="AW17" s="56" t="n">
        <v>48</v>
      </c>
      <c r="AX17" s="56" t="n">
        <v>49</v>
      </c>
      <c r="AY17" s="56" t="n">
        <v>50</v>
      </c>
      <c r="AZ17" s="56" t="n">
        <v>51</v>
      </c>
      <c r="BA17" s="56" t="n">
        <v>52</v>
      </c>
      <c r="BB17" s="56" t="n">
        <v>53</v>
      </c>
      <c r="BC17" s="56" t="n">
        <v>54</v>
      </c>
      <c r="BD17" s="56" t="n">
        <v>55</v>
      </c>
      <c r="BE17" s="56" t="n">
        <v>56</v>
      </c>
      <c r="BF17" s="56" t="n">
        <v>57</v>
      </c>
      <c r="BG17" s="56" t="n">
        <v>58</v>
      </c>
      <c r="BH17" s="56" t="n">
        <v>59</v>
      </c>
      <c r="BI17" s="56" t="n">
        <v>60</v>
      </c>
    </row>
    <row r="18" customFormat="false" ht="15" hidden="false" customHeight="false" outlineLevel="0" collapsed="false">
      <c r="A18" s="55" t="s">
        <v>233</v>
      </c>
      <c r="B18" s="57" t="n">
        <f aca="false">YEAR(B16)</f>
        <v>2026</v>
      </c>
      <c r="C18" s="57" t="n">
        <f aca="false">YEAR(C16)</f>
        <v>2026</v>
      </c>
      <c r="D18" s="57" t="n">
        <f aca="false">YEAR(D16)</f>
        <v>2026</v>
      </c>
      <c r="E18" s="57" t="n">
        <f aca="false">YEAR(E16)</f>
        <v>2026</v>
      </c>
      <c r="F18" s="57" t="n">
        <f aca="false">YEAR(F16)</f>
        <v>2026</v>
      </c>
      <c r="G18" s="57" t="n">
        <f aca="false">YEAR(G16)</f>
        <v>2026</v>
      </c>
      <c r="H18" s="57" t="n">
        <f aca="false">YEAR(H16)</f>
        <v>2026</v>
      </c>
      <c r="I18" s="57" t="n">
        <f aca="false">YEAR(I16)</f>
        <v>2026</v>
      </c>
      <c r="J18" s="57" t="n">
        <f aca="false">YEAR(J16)</f>
        <v>2026</v>
      </c>
      <c r="K18" s="57" t="n">
        <f aca="false">YEAR(K16)</f>
        <v>2026</v>
      </c>
      <c r="L18" s="57" t="n">
        <f aca="false">YEAR(L16)</f>
        <v>2026</v>
      </c>
      <c r="M18" s="57" t="n">
        <f aca="false">YEAR(M16)</f>
        <v>2026</v>
      </c>
      <c r="N18" s="57" t="n">
        <f aca="false">YEAR(N16)</f>
        <v>2027</v>
      </c>
      <c r="O18" s="57" t="n">
        <f aca="false">YEAR(O16)</f>
        <v>2027</v>
      </c>
      <c r="P18" s="57" t="n">
        <f aca="false">YEAR(P16)</f>
        <v>2027</v>
      </c>
      <c r="Q18" s="57" t="n">
        <f aca="false">YEAR(Q16)</f>
        <v>2027</v>
      </c>
      <c r="R18" s="57" t="n">
        <f aca="false">YEAR(R16)</f>
        <v>2027</v>
      </c>
      <c r="S18" s="57" t="n">
        <f aca="false">YEAR(S16)</f>
        <v>2027</v>
      </c>
      <c r="T18" s="57" t="n">
        <f aca="false">YEAR(T16)</f>
        <v>2027</v>
      </c>
      <c r="U18" s="57" t="n">
        <f aca="false">YEAR(U16)</f>
        <v>2027</v>
      </c>
      <c r="V18" s="57" t="n">
        <f aca="false">YEAR(V16)</f>
        <v>2027</v>
      </c>
      <c r="W18" s="57" t="n">
        <f aca="false">YEAR(W16)</f>
        <v>2027</v>
      </c>
      <c r="X18" s="57" t="n">
        <f aca="false">YEAR(X16)</f>
        <v>2027</v>
      </c>
      <c r="Y18" s="57" t="n">
        <f aca="false">YEAR(Y16)</f>
        <v>2027</v>
      </c>
      <c r="Z18" s="57" t="n">
        <f aca="false">YEAR(Z16)</f>
        <v>2028</v>
      </c>
      <c r="AA18" s="57" t="n">
        <f aca="false">YEAR(AA16)</f>
        <v>2028</v>
      </c>
      <c r="AB18" s="57" t="n">
        <f aca="false">YEAR(AB16)</f>
        <v>2028</v>
      </c>
      <c r="AC18" s="57" t="n">
        <f aca="false">YEAR(AC16)</f>
        <v>2028</v>
      </c>
      <c r="AD18" s="57" t="n">
        <f aca="false">YEAR(AD16)</f>
        <v>2028</v>
      </c>
      <c r="AE18" s="57" t="n">
        <f aca="false">YEAR(AE16)</f>
        <v>2028</v>
      </c>
      <c r="AF18" s="57" t="n">
        <f aca="false">YEAR(AF16)</f>
        <v>2028</v>
      </c>
      <c r="AG18" s="57" t="n">
        <f aca="false">YEAR(AG16)</f>
        <v>2028</v>
      </c>
      <c r="AH18" s="57" t="n">
        <f aca="false">YEAR(AH16)</f>
        <v>2028</v>
      </c>
      <c r="AI18" s="57" t="n">
        <f aca="false">YEAR(AI16)</f>
        <v>2028</v>
      </c>
      <c r="AJ18" s="57" t="n">
        <f aca="false">YEAR(AJ16)</f>
        <v>2028</v>
      </c>
      <c r="AK18" s="57" t="n">
        <f aca="false">YEAR(AK16)</f>
        <v>2028</v>
      </c>
      <c r="AL18" s="57" t="n">
        <f aca="false">YEAR(AL16)</f>
        <v>2029</v>
      </c>
      <c r="AM18" s="57" t="n">
        <f aca="false">YEAR(AM16)</f>
        <v>2029</v>
      </c>
      <c r="AN18" s="57" t="n">
        <f aca="false">YEAR(AN16)</f>
        <v>2029</v>
      </c>
      <c r="AO18" s="57" t="n">
        <f aca="false">YEAR(AO16)</f>
        <v>2029</v>
      </c>
      <c r="AP18" s="57" t="n">
        <f aca="false">YEAR(AP16)</f>
        <v>2029</v>
      </c>
      <c r="AQ18" s="57" t="n">
        <f aca="false">YEAR(AQ16)</f>
        <v>2029</v>
      </c>
      <c r="AR18" s="57" t="n">
        <f aca="false">YEAR(AR16)</f>
        <v>2029</v>
      </c>
      <c r="AS18" s="57" t="n">
        <f aca="false">YEAR(AS16)</f>
        <v>2029</v>
      </c>
      <c r="AT18" s="57" t="n">
        <f aca="false">YEAR(AT16)</f>
        <v>2029</v>
      </c>
      <c r="AU18" s="57" t="n">
        <f aca="false">YEAR(AU16)</f>
        <v>2029</v>
      </c>
      <c r="AV18" s="57" t="n">
        <f aca="false">YEAR(AV16)</f>
        <v>2029</v>
      </c>
      <c r="AW18" s="57" t="n">
        <f aca="false">YEAR(AW16)</f>
        <v>2029</v>
      </c>
      <c r="AX18" s="57" t="n">
        <f aca="false">YEAR(AX16)</f>
        <v>2030</v>
      </c>
      <c r="AY18" s="57" t="n">
        <f aca="false">YEAR(AY16)</f>
        <v>2030</v>
      </c>
      <c r="AZ18" s="57" t="n">
        <f aca="false">YEAR(AZ16)</f>
        <v>2030</v>
      </c>
      <c r="BA18" s="57" t="n">
        <f aca="false">YEAR(BA16)</f>
        <v>2030</v>
      </c>
      <c r="BB18" s="57" t="n">
        <f aca="false">YEAR(BB16)</f>
        <v>2030</v>
      </c>
      <c r="BC18" s="57" t="n">
        <f aca="false">YEAR(BC16)</f>
        <v>2030</v>
      </c>
      <c r="BD18" s="57" t="n">
        <f aca="false">YEAR(BD16)</f>
        <v>2030</v>
      </c>
      <c r="BE18" s="57" t="n">
        <f aca="false">YEAR(BE16)</f>
        <v>2030</v>
      </c>
      <c r="BF18" s="57" t="n">
        <f aca="false">YEAR(BF16)</f>
        <v>2030</v>
      </c>
      <c r="BG18" s="57" t="n">
        <f aca="false">YEAR(BG16)</f>
        <v>2030</v>
      </c>
      <c r="BH18" s="57" t="n">
        <f aca="false">YEAR(BH16)</f>
        <v>2030</v>
      </c>
      <c r="BI18" s="57" t="n">
        <f aca="false">YEAR(BI16)</f>
        <v>2030</v>
      </c>
    </row>
    <row r="20" customFormat="false" ht="18" hidden="false" customHeight="true" outlineLevel="0" collapsed="false">
      <c r="A20" s="25" t="s">
        <v>903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</row>
    <row r="21" customFormat="false" ht="15" hidden="false" customHeight="false" outlineLevel="0" collapsed="false">
      <c r="A21" s="27" t="s">
        <v>766</v>
      </c>
      <c r="B21" s="60" t="n">
        <f aca="false">SUMIFS($D$6:$D$13,$C$6:$C$13,"Equipamentos",$A$6:$A$13,"&gt;="&amp;B$16,$A$6:$A$13,"&lt;="&amp;EOMONTH(B$16,0))</f>
        <v>0</v>
      </c>
      <c r="C21" s="60" t="n">
        <f aca="false">SUMIFS($D$6:$D$13,$C$6:$C$13,"Equipamentos",$A$6:$A$13,"&gt;="&amp;C$16,$A$6:$A$13,"&lt;="&amp;EOMONTH(C$16,0))</f>
        <v>0</v>
      </c>
      <c r="D21" s="60" t="n">
        <f aca="false">SUMIFS($D$6:$D$13,$C$6:$C$13,"Equipamentos",$A$6:$A$13,"&gt;="&amp;D$16,$A$6:$A$13,"&lt;="&amp;EOMONTH(D$16,0))</f>
        <v>0</v>
      </c>
      <c r="E21" s="60" t="n">
        <f aca="false">SUMIFS($D$6:$D$13,$C$6:$C$13,"Equipamentos",$A$6:$A$13,"&gt;="&amp;E$16,$A$6:$A$13,"&lt;="&amp;EOMONTH(E$16,0))</f>
        <v>0</v>
      </c>
      <c r="F21" s="60" t="n">
        <f aca="false">SUMIFS($D$6:$D$13,$C$6:$C$13,"Equipamentos",$A$6:$A$13,"&gt;="&amp;F$16,$A$6:$A$13,"&lt;="&amp;EOMONTH(F$16,0))</f>
        <v>0</v>
      </c>
      <c r="G21" s="60" t="n">
        <f aca="false">SUMIFS($D$6:$D$13,$C$6:$C$13,"Equipamentos",$A$6:$A$13,"&gt;="&amp;G$16,$A$6:$A$13,"&lt;="&amp;EOMONTH(G$16,0))</f>
        <v>0</v>
      </c>
      <c r="H21" s="60" t="n">
        <f aca="false">SUMIFS($D$6:$D$13,$C$6:$C$13,"Equipamentos",$A$6:$A$13,"&gt;="&amp;H$16,$A$6:$A$13,"&lt;="&amp;EOMONTH(H$16,0))</f>
        <v>0</v>
      </c>
      <c r="I21" s="60" t="n">
        <f aca="false">SUMIFS($D$6:$D$13,$C$6:$C$13,"Equipamentos",$A$6:$A$13,"&gt;="&amp;I$16,$A$6:$A$13,"&lt;="&amp;EOMONTH(I$16,0))</f>
        <v>9127.82</v>
      </c>
      <c r="J21" s="60" t="n">
        <f aca="false">SUMIFS($D$6:$D$13,$C$6:$C$13,"Equipamentos",$A$6:$A$13,"&gt;="&amp;J$16,$A$6:$A$13,"&lt;="&amp;EOMONTH(J$16,0))</f>
        <v>0</v>
      </c>
      <c r="K21" s="60" t="n">
        <f aca="false">SUMIFS($D$6:$D$13,$C$6:$C$13,"Equipamentos",$A$6:$A$13,"&gt;="&amp;K$16,$A$6:$A$13,"&lt;="&amp;EOMONTH(K$16,0))</f>
        <v>0</v>
      </c>
      <c r="L21" s="60" t="n">
        <f aca="false">SUMIFS($D$6:$D$13,$C$6:$C$13,"Equipamentos",$A$6:$A$13,"&gt;="&amp;L$16,$A$6:$A$13,"&lt;="&amp;EOMONTH(L$16,0))</f>
        <v>0</v>
      </c>
      <c r="M21" s="60" t="n">
        <f aca="false">SUMIFS($D$6:$D$13,$C$6:$C$13,"Equipamentos",$A$6:$A$13,"&gt;="&amp;M$16,$A$6:$A$13,"&lt;="&amp;EOMONTH(M$16,0))</f>
        <v>0</v>
      </c>
      <c r="N21" s="60" t="n">
        <f aca="false">SUMIFS($D$6:$D$13,$C$6:$C$13,"Equipamentos",$A$6:$A$13,"&gt;="&amp;N$16,$A$6:$A$13,"&lt;="&amp;EOMONTH(N$16,0))</f>
        <v>0</v>
      </c>
      <c r="O21" s="60" t="n">
        <f aca="false">SUMIFS($D$6:$D$13,$C$6:$C$13,"Equipamentos",$A$6:$A$13,"&gt;="&amp;O$16,$A$6:$A$13,"&lt;="&amp;EOMONTH(O$16,0))</f>
        <v>0</v>
      </c>
      <c r="P21" s="60" t="n">
        <f aca="false">SUMIFS($D$6:$D$13,$C$6:$C$13,"Equipamentos",$A$6:$A$13,"&gt;="&amp;P$16,$A$6:$A$13,"&lt;="&amp;EOMONTH(P$16,0))</f>
        <v>0</v>
      </c>
      <c r="Q21" s="60" t="n">
        <f aca="false">SUMIFS($D$6:$D$13,$C$6:$C$13,"Equipamentos",$A$6:$A$13,"&gt;="&amp;Q$16,$A$6:$A$13,"&lt;="&amp;EOMONTH(Q$16,0))</f>
        <v>0</v>
      </c>
      <c r="R21" s="60" t="n">
        <f aca="false">SUMIFS($D$6:$D$13,$C$6:$C$13,"Equipamentos",$A$6:$A$13,"&gt;="&amp;R$16,$A$6:$A$13,"&lt;="&amp;EOMONTH(R$16,0))</f>
        <v>0</v>
      </c>
      <c r="S21" s="60" t="n">
        <f aca="false">SUMIFS($D$6:$D$13,$C$6:$C$13,"Equipamentos",$A$6:$A$13,"&gt;="&amp;S$16,$A$6:$A$13,"&lt;="&amp;EOMONTH(S$16,0))</f>
        <v>6000</v>
      </c>
      <c r="T21" s="60" t="n">
        <f aca="false">SUMIFS($D$6:$D$13,$C$6:$C$13,"Equipamentos",$A$6:$A$13,"&gt;="&amp;T$16,$A$6:$A$13,"&lt;="&amp;EOMONTH(T$16,0))</f>
        <v>0</v>
      </c>
      <c r="U21" s="60" t="n">
        <f aca="false">SUMIFS($D$6:$D$13,$C$6:$C$13,"Equipamentos",$A$6:$A$13,"&gt;="&amp;U$16,$A$6:$A$13,"&lt;="&amp;EOMONTH(U$16,0))</f>
        <v>0</v>
      </c>
      <c r="V21" s="60" t="n">
        <f aca="false">SUMIFS($D$6:$D$13,$C$6:$C$13,"Equipamentos",$A$6:$A$13,"&gt;="&amp;V$16,$A$6:$A$13,"&lt;="&amp;EOMONTH(V$16,0))</f>
        <v>0</v>
      </c>
      <c r="W21" s="60" t="n">
        <f aca="false">SUMIFS($D$6:$D$13,$C$6:$C$13,"Equipamentos",$A$6:$A$13,"&gt;="&amp;W$16,$A$6:$A$13,"&lt;="&amp;EOMONTH(W$16,0))</f>
        <v>0</v>
      </c>
      <c r="X21" s="60" t="n">
        <f aca="false">SUMIFS($D$6:$D$13,$C$6:$C$13,"Equipamentos",$A$6:$A$13,"&gt;="&amp;X$16,$A$6:$A$13,"&lt;="&amp;EOMONTH(X$16,0))</f>
        <v>0</v>
      </c>
      <c r="Y21" s="60" t="n">
        <f aca="false">SUMIFS($D$6:$D$13,$C$6:$C$13,"Equipamentos",$A$6:$A$13,"&gt;="&amp;Y$16,$A$6:$A$13,"&lt;="&amp;EOMONTH(Y$16,0))</f>
        <v>0</v>
      </c>
      <c r="Z21" s="60" t="n">
        <f aca="false">SUMIFS($D$6:$D$13,$C$6:$C$13,"Equipamentos",$A$6:$A$13,"&gt;="&amp;Z$16,$A$6:$A$13,"&lt;="&amp;EOMONTH(Z$16,0))</f>
        <v>0</v>
      </c>
      <c r="AA21" s="60" t="n">
        <f aca="false">SUMIFS($D$6:$D$13,$C$6:$C$13,"Equipamentos",$A$6:$A$13,"&gt;="&amp;AA$16,$A$6:$A$13,"&lt;="&amp;EOMONTH(AA$16,0))</f>
        <v>0</v>
      </c>
      <c r="AB21" s="60" t="n">
        <f aca="false">SUMIFS($D$6:$D$13,$C$6:$C$13,"Equipamentos",$A$6:$A$13,"&gt;="&amp;AB$16,$A$6:$A$13,"&lt;="&amp;EOMONTH(AB$16,0))</f>
        <v>0</v>
      </c>
      <c r="AC21" s="60" t="n">
        <f aca="false">SUMIFS($D$6:$D$13,$C$6:$C$13,"Equipamentos",$A$6:$A$13,"&gt;="&amp;AC$16,$A$6:$A$13,"&lt;="&amp;EOMONTH(AC$16,0))</f>
        <v>0</v>
      </c>
      <c r="AD21" s="60" t="n">
        <f aca="false">SUMIFS($D$6:$D$13,$C$6:$C$13,"Equipamentos",$A$6:$A$13,"&gt;="&amp;AD$16,$A$6:$A$13,"&lt;="&amp;EOMONTH(AD$16,0))</f>
        <v>0</v>
      </c>
      <c r="AE21" s="60" t="n">
        <f aca="false">SUMIFS($D$6:$D$13,$C$6:$C$13,"Equipamentos",$A$6:$A$13,"&gt;="&amp;AE$16,$A$6:$A$13,"&lt;="&amp;EOMONTH(AE$16,0))</f>
        <v>15000</v>
      </c>
      <c r="AF21" s="60" t="n">
        <f aca="false">SUMIFS($D$6:$D$13,$C$6:$C$13,"Equipamentos",$A$6:$A$13,"&gt;="&amp;AF$16,$A$6:$A$13,"&lt;="&amp;EOMONTH(AF$16,0))</f>
        <v>0</v>
      </c>
      <c r="AG21" s="60" t="n">
        <f aca="false">SUMIFS($D$6:$D$13,$C$6:$C$13,"Equipamentos",$A$6:$A$13,"&gt;="&amp;AG$16,$A$6:$A$13,"&lt;="&amp;EOMONTH(AG$16,0))</f>
        <v>0</v>
      </c>
      <c r="AH21" s="60" t="n">
        <f aca="false">SUMIFS($D$6:$D$13,$C$6:$C$13,"Equipamentos",$A$6:$A$13,"&gt;="&amp;AH$16,$A$6:$A$13,"&lt;="&amp;EOMONTH(AH$16,0))</f>
        <v>0</v>
      </c>
      <c r="AI21" s="60" t="n">
        <f aca="false">SUMIFS($D$6:$D$13,$C$6:$C$13,"Equipamentos",$A$6:$A$13,"&gt;="&amp;AI$16,$A$6:$A$13,"&lt;="&amp;EOMONTH(AI$16,0))</f>
        <v>0</v>
      </c>
      <c r="AJ21" s="60" t="n">
        <f aca="false">SUMIFS($D$6:$D$13,$C$6:$C$13,"Equipamentos",$A$6:$A$13,"&gt;="&amp;AJ$16,$A$6:$A$13,"&lt;="&amp;EOMONTH(AJ$16,0))</f>
        <v>0</v>
      </c>
      <c r="AK21" s="60" t="n">
        <f aca="false">SUMIFS($D$6:$D$13,$C$6:$C$13,"Equipamentos",$A$6:$A$13,"&gt;="&amp;AK$16,$A$6:$A$13,"&lt;="&amp;EOMONTH(AK$16,0))</f>
        <v>0</v>
      </c>
      <c r="AL21" s="60" t="n">
        <f aca="false">SUMIFS($D$6:$D$13,$C$6:$C$13,"Equipamentos",$A$6:$A$13,"&gt;="&amp;AL$16,$A$6:$A$13,"&lt;="&amp;EOMONTH(AL$16,0))</f>
        <v>0</v>
      </c>
      <c r="AM21" s="60" t="n">
        <f aca="false">SUMIFS($D$6:$D$13,$C$6:$C$13,"Equipamentos",$A$6:$A$13,"&gt;="&amp;AM$16,$A$6:$A$13,"&lt;="&amp;EOMONTH(AM$16,0))</f>
        <v>0</v>
      </c>
      <c r="AN21" s="60" t="n">
        <f aca="false">SUMIFS($D$6:$D$13,$C$6:$C$13,"Equipamentos",$A$6:$A$13,"&gt;="&amp;AN$16,$A$6:$A$13,"&lt;="&amp;EOMONTH(AN$16,0))</f>
        <v>0</v>
      </c>
      <c r="AO21" s="60" t="n">
        <f aca="false">SUMIFS($D$6:$D$13,$C$6:$C$13,"Equipamentos",$A$6:$A$13,"&gt;="&amp;AO$16,$A$6:$A$13,"&lt;="&amp;EOMONTH(AO$16,0))</f>
        <v>0</v>
      </c>
      <c r="AP21" s="60" t="n">
        <f aca="false">SUMIFS($D$6:$D$13,$C$6:$C$13,"Equipamentos",$A$6:$A$13,"&gt;="&amp;AP$16,$A$6:$A$13,"&lt;="&amp;EOMONTH(AP$16,0))</f>
        <v>0</v>
      </c>
      <c r="AQ21" s="60" t="n">
        <f aca="false">SUMIFS($D$6:$D$13,$C$6:$C$13,"Equipamentos",$A$6:$A$13,"&gt;="&amp;AQ$16,$A$6:$A$13,"&lt;="&amp;EOMONTH(AQ$16,0))</f>
        <v>25000</v>
      </c>
      <c r="AR21" s="60" t="n">
        <f aca="false">SUMIFS($D$6:$D$13,$C$6:$C$13,"Equipamentos",$A$6:$A$13,"&gt;="&amp;AR$16,$A$6:$A$13,"&lt;="&amp;EOMONTH(AR$16,0))</f>
        <v>0</v>
      </c>
      <c r="AS21" s="60" t="n">
        <f aca="false">SUMIFS($D$6:$D$13,$C$6:$C$13,"Equipamentos",$A$6:$A$13,"&gt;="&amp;AS$16,$A$6:$A$13,"&lt;="&amp;EOMONTH(AS$16,0))</f>
        <v>0</v>
      </c>
      <c r="AT21" s="60" t="n">
        <f aca="false">SUMIFS($D$6:$D$13,$C$6:$C$13,"Equipamentos",$A$6:$A$13,"&gt;="&amp;AT$16,$A$6:$A$13,"&lt;="&amp;EOMONTH(AT$16,0))</f>
        <v>0</v>
      </c>
      <c r="AU21" s="60" t="n">
        <f aca="false">SUMIFS($D$6:$D$13,$C$6:$C$13,"Equipamentos",$A$6:$A$13,"&gt;="&amp;AU$16,$A$6:$A$13,"&lt;="&amp;EOMONTH(AU$16,0))</f>
        <v>0</v>
      </c>
      <c r="AV21" s="60" t="n">
        <f aca="false">SUMIFS($D$6:$D$13,$C$6:$C$13,"Equipamentos",$A$6:$A$13,"&gt;="&amp;AV$16,$A$6:$A$13,"&lt;="&amp;EOMONTH(AV$16,0))</f>
        <v>0</v>
      </c>
      <c r="AW21" s="60" t="n">
        <f aca="false">SUMIFS($D$6:$D$13,$C$6:$C$13,"Equipamentos",$A$6:$A$13,"&gt;="&amp;AW$16,$A$6:$A$13,"&lt;="&amp;EOMONTH(AW$16,0))</f>
        <v>0</v>
      </c>
      <c r="AX21" s="60" t="n">
        <f aca="false">SUMIFS($D$6:$D$13,$C$6:$C$13,"Equipamentos",$A$6:$A$13,"&gt;="&amp;AX$16,$A$6:$A$13,"&lt;="&amp;EOMONTH(AX$16,0))</f>
        <v>0</v>
      </c>
      <c r="AY21" s="60" t="n">
        <f aca="false">SUMIFS($D$6:$D$13,$C$6:$C$13,"Equipamentos",$A$6:$A$13,"&gt;="&amp;AY$16,$A$6:$A$13,"&lt;="&amp;EOMONTH(AY$16,0))</f>
        <v>0</v>
      </c>
      <c r="AZ21" s="60" t="n">
        <f aca="false">SUMIFS($D$6:$D$13,$C$6:$C$13,"Equipamentos",$A$6:$A$13,"&gt;="&amp;AZ$16,$A$6:$A$13,"&lt;="&amp;EOMONTH(AZ$16,0))</f>
        <v>0</v>
      </c>
      <c r="BA21" s="60" t="n">
        <f aca="false">SUMIFS($D$6:$D$13,$C$6:$C$13,"Equipamentos",$A$6:$A$13,"&gt;="&amp;BA$16,$A$6:$A$13,"&lt;="&amp;EOMONTH(BA$16,0))</f>
        <v>0</v>
      </c>
      <c r="BB21" s="60" t="n">
        <f aca="false">SUMIFS($D$6:$D$13,$C$6:$C$13,"Equipamentos",$A$6:$A$13,"&gt;="&amp;BB$16,$A$6:$A$13,"&lt;="&amp;EOMONTH(BB$16,0))</f>
        <v>0</v>
      </c>
      <c r="BC21" s="60" t="n">
        <f aca="false">SUMIFS($D$6:$D$13,$C$6:$C$13,"Equipamentos",$A$6:$A$13,"&gt;="&amp;BC$16,$A$6:$A$13,"&lt;="&amp;EOMONTH(BC$16,0))</f>
        <v>30000</v>
      </c>
      <c r="BD21" s="60" t="n">
        <f aca="false">SUMIFS($D$6:$D$13,$C$6:$C$13,"Equipamentos",$A$6:$A$13,"&gt;="&amp;BD$16,$A$6:$A$13,"&lt;="&amp;EOMONTH(BD$16,0))</f>
        <v>0</v>
      </c>
      <c r="BE21" s="60" t="n">
        <f aca="false">SUMIFS($D$6:$D$13,$C$6:$C$13,"Equipamentos",$A$6:$A$13,"&gt;="&amp;BE$16,$A$6:$A$13,"&lt;="&amp;EOMONTH(BE$16,0))</f>
        <v>0</v>
      </c>
      <c r="BF21" s="60" t="n">
        <f aca="false">SUMIFS($D$6:$D$13,$C$6:$C$13,"Equipamentos",$A$6:$A$13,"&gt;="&amp;BF$16,$A$6:$A$13,"&lt;="&amp;EOMONTH(BF$16,0))</f>
        <v>0</v>
      </c>
      <c r="BG21" s="60" t="n">
        <f aca="false">SUMIFS($D$6:$D$13,$C$6:$C$13,"Equipamentos",$A$6:$A$13,"&gt;="&amp;BG$16,$A$6:$A$13,"&lt;="&amp;EOMONTH(BG$16,0))</f>
        <v>0</v>
      </c>
      <c r="BH21" s="60" t="n">
        <f aca="false">SUMIFS($D$6:$D$13,$C$6:$C$13,"Equipamentos",$A$6:$A$13,"&gt;="&amp;BH$16,$A$6:$A$13,"&lt;="&amp;EOMONTH(BH$16,0))</f>
        <v>0</v>
      </c>
      <c r="BI21" s="60" t="n">
        <f aca="false">SUMIFS($D$6:$D$13,$C$6:$C$13,"Equipamentos",$A$6:$A$13,"&gt;="&amp;BI$16,$A$6:$A$13,"&lt;="&amp;EOMONTH(BI$16,0))</f>
        <v>0</v>
      </c>
      <c r="BJ21" s="61" t="n">
        <f aca="false">SUM(B21:BI21)</f>
        <v>85127.82</v>
      </c>
      <c r="BK21" s="186" t="n">
        <f aca="false">IFERROR(BJ21/BJ$25,0)</f>
        <v>0.570837956324984</v>
      </c>
    </row>
    <row r="22" customFormat="false" ht="15" hidden="false" customHeight="false" outlineLevel="0" collapsed="false">
      <c r="A22" s="27" t="s">
        <v>896</v>
      </c>
      <c r="B22" s="60" t="n">
        <f aca="false">SUMIFS($D$6:$D$13,$C$6:$C$13,"Marca e jurídico",$A$6:$A$13,"&gt;="&amp;B$16,$A$6:$A$13,"&lt;="&amp;EOMONTH(B$16,0))</f>
        <v>0</v>
      </c>
      <c r="C22" s="60" t="n">
        <f aca="false">SUMIFS($D$6:$D$13,$C$6:$C$13,"Marca e jurídico",$A$6:$A$13,"&gt;="&amp;C$16,$A$6:$A$13,"&lt;="&amp;EOMONTH(C$16,0))</f>
        <v>0</v>
      </c>
      <c r="D22" s="60" t="n">
        <f aca="false">SUMIFS($D$6:$D$13,$C$6:$C$13,"Marca e jurídico",$A$6:$A$13,"&gt;="&amp;D$16,$A$6:$A$13,"&lt;="&amp;EOMONTH(D$16,0))</f>
        <v>0</v>
      </c>
      <c r="E22" s="60" t="n">
        <f aca="false">SUMIFS($D$6:$D$13,$C$6:$C$13,"Marca e jurídico",$A$6:$A$13,"&gt;="&amp;E$16,$A$6:$A$13,"&lt;="&amp;EOMONTH(E$16,0))</f>
        <v>0</v>
      </c>
      <c r="F22" s="60" t="n">
        <f aca="false">SUMIFS($D$6:$D$13,$C$6:$C$13,"Marca e jurídico",$A$6:$A$13,"&gt;="&amp;F$16,$A$6:$A$13,"&lt;="&amp;EOMONTH(F$16,0))</f>
        <v>6000</v>
      </c>
      <c r="G22" s="60" t="n">
        <f aca="false">SUMIFS($D$6:$D$13,$C$6:$C$13,"Marca e jurídico",$A$6:$A$13,"&gt;="&amp;G$16,$A$6:$A$13,"&lt;="&amp;EOMONTH(G$16,0))</f>
        <v>0</v>
      </c>
      <c r="H22" s="60" t="n">
        <f aca="false">SUMIFS($D$6:$D$13,$C$6:$C$13,"Marca e jurídico",$A$6:$A$13,"&gt;="&amp;H$16,$A$6:$A$13,"&lt;="&amp;EOMONTH(H$16,0))</f>
        <v>0</v>
      </c>
      <c r="I22" s="60" t="n">
        <f aca="false">SUMIFS($D$6:$D$13,$C$6:$C$13,"Marca e jurídico",$A$6:$A$13,"&gt;="&amp;I$16,$A$6:$A$13,"&lt;="&amp;EOMONTH(I$16,0))</f>
        <v>0</v>
      </c>
      <c r="J22" s="60" t="n">
        <f aca="false">SUMIFS($D$6:$D$13,$C$6:$C$13,"Marca e jurídico",$A$6:$A$13,"&gt;="&amp;J$16,$A$6:$A$13,"&lt;="&amp;EOMONTH(J$16,0))</f>
        <v>0</v>
      </c>
      <c r="K22" s="60" t="n">
        <f aca="false">SUMIFS($D$6:$D$13,$C$6:$C$13,"Marca e jurídico",$A$6:$A$13,"&gt;="&amp;K$16,$A$6:$A$13,"&lt;="&amp;EOMONTH(K$16,0))</f>
        <v>0</v>
      </c>
      <c r="L22" s="60" t="n">
        <f aca="false">SUMIFS($D$6:$D$13,$C$6:$C$13,"Marca e jurídico",$A$6:$A$13,"&gt;="&amp;L$16,$A$6:$A$13,"&lt;="&amp;EOMONTH(L$16,0))</f>
        <v>0</v>
      </c>
      <c r="M22" s="60" t="n">
        <f aca="false">SUMIFS($D$6:$D$13,$C$6:$C$13,"Marca e jurídico",$A$6:$A$13,"&gt;="&amp;M$16,$A$6:$A$13,"&lt;="&amp;EOMONTH(M$16,0))</f>
        <v>0</v>
      </c>
      <c r="N22" s="60" t="n">
        <f aca="false">SUMIFS($D$6:$D$13,$C$6:$C$13,"Marca e jurídico",$A$6:$A$13,"&gt;="&amp;N$16,$A$6:$A$13,"&lt;="&amp;EOMONTH(N$16,0))</f>
        <v>0</v>
      </c>
      <c r="O22" s="60" t="n">
        <f aca="false">SUMIFS($D$6:$D$13,$C$6:$C$13,"Marca e jurídico",$A$6:$A$13,"&gt;="&amp;O$16,$A$6:$A$13,"&lt;="&amp;EOMONTH(O$16,0))</f>
        <v>0</v>
      </c>
      <c r="P22" s="60" t="n">
        <f aca="false">SUMIFS($D$6:$D$13,$C$6:$C$13,"Marca e jurídico",$A$6:$A$13,"&gt;="&amp;P$16,$A$6:$A$13,"&lt;="&amp;EOMONTH(P$16,0))</f>
        <v>0</v>
      </c>
      <c r="Q22" s="60" t="n">
        <f aca="false">SUMIFS($D$6:$D$13,$C$6:$C$13,"Marca e jurídico",$A$6:$A$13,"&gt;="&amp;Q$16,$A$6:$A$13,"&lt;="&amp;EOMONTH(Q$16,0))</f>
        <v>0</v>
      </c>
      <c r="R22" s="60" t="n">
        <f aca="false">SUMIFS($D$6:$D$13,$C$6:$C$13,"Marca e jurídico",$A$6:$A$13,"&gt;="&amp;R$16,$A$6:$A$13,"&lt;="&amp;EOMONTH(R$16,0))</f>
        <v>0</v>
      </c>
      <c r="S22" s="60" t="n">
        <f aca="false">SUMIFS($D$6:$D$13,$C$6:$C$13,"Marca e jurídico",$A$6:$A$13,"&gt;="&amp;S$16,$A$6:$A$13,"&lt;="&amp;EOMONTH(S$16,0))</f>
        <v>0</v>
      </c>
      <c r="T22" s="60" t="n">
        <f aca="false">SUMIFS($D$6:$D$13,$C$6:$C$13,"Marca e jurídico",$A$6:$A$13,"&gt;="&amp;T$16,$A$6:$A$13,"&lt;="&amp;EOMONTH(T$16,0))</f>
        <v>0</v>
      </c>
      <c r="U22" s="60" t="n">
        <f aca="false">SUMIFS($D$6:$D$13,$C$6:$C$13,"Marca e jurídico",$A$6:$A$13,"&gt;="&amp;U$16,$A$6:$A$13,"&lt;="&amp;EOMONTH(U$16,0))</f>
        <v>0</v>
      </c>
      <c r="V22" s="60" t="n">
        <f aca="false">SUMIFS($D$6:$D$13,$C$6:$C$13,"Marca e jurídico",$A$6:$A$13,"&gt;="&amp;V$16,$A$6:$A$13,"&lt;="&amp;EOMONTH(V$16,0))</f>
        <v>0</v>
      </c>
      <c r="W22" s="60" t="n">
        <f aca="false">SUMIFS($D$6:$D$13,$C$6:$C$13,"Marca e jurídico",$A$6:$A$13,"&gt;="&amp;W$16,$A$6:$A$13,"&lt;="&amp;EOMONTH(W$16,0))</f>
        <v>0</v>
      </c>
      <c r="X22" s="60" t="n">
        <f aca="false">SUMIFS($D$6:$D$13,$C$6:$C$13,"Marca e jurídico",$A$6:$A$13,"&gt;="&amp;X$16,$A$6:$A$13,"&lt;="&amp;EOMONTH(X$16,0))</f>
        <v>0</v>
      </c>
      <c r="Y22" s="60" t="n">
        <f aca="false">SUMIFS($D$6:$D$13,$C$6:$C$13,"Marca e jurídico",$A$6:$A$13,"&gt;="&amp;Y$16,$A$6:$A$13,"&lt;="&amp;EOMONTH(Y$16,0))</f>
        <v>0</v>
      </c>
      <c r="Z22" s="60" t="n">
        <f aca="false">SUMIFS($D$6:$D$13,$C$6:$C$13,"Marca e jurídico",$A$6:$A$13,"&gt;="&amp;Z$16,$A$6:$A$13,"&lt;="&amp;EOMONTH(Z$16,0))</f>
        <v>0</v>
      </c>
      <c r="AA22" s="60" t="n">
        <f aca="false">SUMIFS($D$6:$D$13,$C$6:$C$13,"Marca e jurídico",$A$6:$A$13,"&gt;="&amp;AA$16,$A$6:$A$13,"&lt;="&amp;EOMONTH(AA$16,0))</f>
        <v>0</v>
      </c>
      <c r="AB22" s="60" t="n">
        <f aca="false">SUMIFS($D$6:$D$13,$C$6:$C$13,"Marca e jurídico",$A$6:$A$13,"&gt;="&amp;AB$16,$A$6:$A$13,"&lt;="&amp;EOMONTH(AB$16,0))</f>
        <v>0</v>
      </c>
      <c r="AC22" s="60" t="n">
        <f aca="false">SUMIFS($D$6:$D$13,$C$6:$C$13,"Marca e jurídico",$A$6:$A$13,"&gt;="&amp;AC$16,$A$6:$A$13,"&lt;="&amp;EOMONTH(AC$16,0))</f>
        <v>0</v>
      </c>
      <c r="AD22" s="60" t="n">
        <f aca="false">SUMIFS($D$6:$D$13,$C$6:$C$13,"Marca e jurídico",$A$6:$A$13,"&gt;="&amp;AD$16,$A$6:$A$13,"&lt;="&amp;EOMONTH(AD$16,0))</f>
        <v>0</v>
      </c>
      <c r="AE22" s="60" t="n">
        <f aca="false">SUMIFS($D$6:$D$13,$C$6:$C$13,"Marca e jurídico",$A$6:$A$13,"&gt;="&amp;AE$16,$A$6:$A$13,"&lt;="&amp;EOMONTH(AE$16,0))</f>
        <v>0</v>
      </c>
      <c r="AF22" s="60" t="n">
        <f aca="false">SUMIFS($D$6:$D$13,$C$6:$C$13,"Marca e jurídico",$A$6:$A$13,"&gt;="&amp;AF$16,$A$6:$A$13,"&lt;="&amp;EOMONTH(AF$16,0))</f>
        <v>0</v>
      </c>
      <c r="AG22" s="60" t="n">
        <f aca="false">SUMIFS($D$6:$D$13,$C$6:$C$13,"Marca e jurídico",$A$6:$A$13,"&gt;="&amp;AG$16,$A$6:$A$13,"&lt;="&amp;EOMONTH(AG$16,0))</f>
        <v>0</v>
      </c>
      <c r="AH22" s="60" t="n">
        <f aca="false">SUMIFS($D$6:$D$13,$C$6:$C$13,"Marca e jurídico",$A$6:$A$13,"&gt;="&amp;AH$16,$A$6:$A$13,"&lt;="&amp;EOMONTH(AH$16,0))</f>
        <v>0</v>
      </c>
      <c r="AI22" s="60" t="n">
        <f aca="false">SUMIFS($D$6:$D$13,$C$6:$C$13,"Marca e jurídico",$A$6:$A$13,"&gt;="&amp;AI$16,$A$6:$A$13,"&lt;="&amp;EOMONTH(AI$16,0))</f>
        <v>0</v>
      </c>
      <c r="AJ22" s="60" t="n">
        <f aca="false">SUMIFS($D$6:$D$13,$C$6:$C$13,"Marca e jurídico",$A$6:$A$13,"&gt;="&amp;AJ$16,$A$6:$A$13,"&lt;="&amp;EOMONTH(AJ$16,0))</f>
        <v>0</v>
      </c>
      <c r="AK22" s="60" t="n">
        <f aca="false">SUMIFS($D$6:$D$13,$C$6:$C$13,"Marca e jurídico",$A$6:$A$13,"&gt;="&amp;AK$16,$A$6:$A$13,"&lt;="&amp;EOMONTH(AK$16,0))</f>
        <v>0</v>
      </c>
      <c r="AL22" s="60" t="n">
        <f aca="false">SUMIFS($D$6:$D$13,$C$6:$C$13,"Marca e jurídico",$A$6:$A$13,"&gt;="&amp;AL$16,$A$6:$A$13,"&lt;="&amp;EOMONTH(AL$16,0))</f>
        <v>0</v>
      </c>
      <c r="AM22" s="60" t="n">
        <f aca="false">SUMIFS($D$6:$D$13,$C$6:$C$13,"Marca e jurídico",$A$6:$A$13,"&gt;="&amp;AM$16,$A$6:$A$13,"&lt;="&amp;EOMONTH(AM$16,0))</f>
        <v>0</v>
      </c>
      <c r="AN22" s="60" t="n">
        <f aca="false">SUMIFS($D$6:$D$13,$C$6:$C$13,"Marca e jurídico",$A$6:$A$13,"&gt;="&amp;AN$16,$A$6:$A$13,"&lt;="&amp;EOMONTH(AN$16,0))</f>
        <v>0</v>
      </c>
      <c r="AO22" s="60" t="n">
        <f aca="false">SUMIFS($D$6:$D$13,$C$6:$C$13,"Marca e jurídico",$A$6:$A$13,"&gt;="&amp;AO$16,$A$6:$A$13,"&lt;="&amp;EOMONTH(AO$16,0))</f>
        <v>0</v>
      </c>
      <c r="AP22" s="60" t="n">
        <f aca="false">SUMIFS($D$6:$D$13,$C$6:$C$13,"Marca e jurídico",$A$6:$A$13,"&gt;="&amp;AP$16,$A$6:$A$13,"&lt;="&amp;EOMONTH(AP$16,0))</f>
        <v>0</v>
      </c>
      <c r="AQ22" s="60" t="n">
        <f aca="false">SUMIFS($D$6:$D$13,$C$6:$C$13,"Marca e jurídico",$A$6:$A$13,"&gt;="&amp;AQ$16,$A$6:$A$13,"&lt;="&amp;EOMONTH(AQ$16,0))</f>
        <v>0</v>
      </c>
      <c r="AR22" s="60" t="n">
        <f aca="false">SUMIFS($D$6:$D$13,$C$6:$C$13,"Marca e jurídico",$A$6:$A$13,"&gt;="&amp;AR$16,$A$6:$A$13,"&lt;="&amp;EOMONTH(AR$16,0))</f>
        <v>0</v>
      </c>
      <c r="AS22" s="60" t="n">
        <f aca="false">SUMIFS($D$6:$D$13,$C$6:$C$13,"Marca e jurídico",$A$6:$A$13,"&gt;="&amp;AS$16,$A$6:$A$13,"&lt;="&amp;EOMONTH(AS$16,0))</f>
        <v>0</v>
      </c>
      <c r="AT22" s="60" t="n">
        <f aca="false">SUMIFS($D$6:$D$13,$C$6:$C$13,"Marca e jurídico",$A$6:$A$13,"&gt;="&amp;AT$16,$A$6:$A$13,"&lt;="&amp;EOMONTH(AT$16,0))</f>
        <v>0</v>
      </c>
      <c r="AU22" s="60" t="n">
        <f aca="false">SUMIFS($D$6:$D$13,$C$6:$C$13,"Marca e jurídico",$A$6:$A$13,"&gt;="&amp;AU$16,$A$6:$A$13,"&lt;="&amp;EOMONTH(AU$16,0))</f>
        <v>0</v>
      </c>
      <c r="AV22" s="60" t="n">
        <f aca="false">SUMIFS($D$6:$D$13,$C$6:$C$13,"Marca e jurídico",$A$6:$A$13,"&gt;="&amp;AV$16,$A$6:$A$13,"&lt;="&amp;EOMONTH(AV$16,0))</f>
        <v>0</v>
      </c>
      <c r="AW22" s="60" t="n">
        <f aca="false">SUMIFS($D$6:$D$13,$C$6:$C$13,"Marca e jurídico",$A$6:$A$13,"&gt;="&amp;AW$16,$A$6:$A$13,"&lt;="&amp;EOMONTH(AW$16,0))</f>
        <v>0</v>
      </c>
      <c r="AX22" s="60" t="n">
        <f aca="false">SUMIFS($D$6:$D$13,$C$6:$C$13,"Marca e jurídico",$A$6:$A$13,"&gt;="&amp;AX$16,$A$6:$A$13,"&lt;="&amp;EOMONTH(AX$16,0))</f>
        <v>0</v>
      </c>
      <c r="AY22" s="60" t="n">
        <f aca="false">SUMIFS($D$6:$D$13,$C$6:$C$13,"Marca e jurídico",$A$6:$A$13,"&gt;="&amp;AY$16,$A$6:$A$13,"&lt;="&amp;EOMONTH(AY$16,0))</f>
        <v>0</v>
      </c>
      <c r="AZ22" s="60" t="n">
        <f aca="false">SUMIFS($D$6:$D$13,$C$6:$C$13,"Marca e jurídico",$A$6:$A$13,"&gt;="&amp;AZ$16,$A$6:$A$13,"&lt;="&amp;EOMONTH(AZ$16,0))</f>
        <v>0</v>
      </c>
      <c r="BA22" s="60" t="n">
        <f aca="false">SUMIFS($D$6:$D$13,$C$6:$C$13,"Marca e jurídico",$A$6:$A$13,"&gt;="&amp;BA$16,$A$6:$A$13,"&lt;="&amp;EOMONTH(BA$16,0))</f>
        <v>0</v>
      </c>
      <c r="BB22" s="60" t="n">
        <f aca="false">SUMIFS($D$6:$D$13,$C$6:$C$13,"Marca e jurídico",$A$6:$A$13,"&gt;="&amp;BB$16,$A$6:$A$13,"&lt;="&amp;EOMONTH(BB$16,0))</f>
        <v>0</v>
      </c>
      <c r="BC22" s="60" t="n">
        <f aca="false">SUMIFS($D$6:$D$13,$C$6:$C$13,"Marca e jurídico",$A$6:$A$13,"&gt;="&amp;BC$16,$A$6:$A$13,"&lt;="&amp;EOMONTH(BC$16,0))</f>
        <v>0</v>
      </c>
      <c r="BD22" s="60" t="n">
        <f aca="false">SUMIFS($D$6:$D$13,$C$6:$C$13,"Marca e jurídico",$A$6:$A$13,"&gt;="&amp;BD$16,$A$6:$A$13,"&lt;="&amp;EOMONTH(BD$16,0))</f>
        <v>0</v>
      </c>
      <c r="BE22" s="60" t="n">
        <f aca="false">SUMIFS($D$6:$D$13,$C$6:$C$13,"Marca e jurídico",$A$6:$A$13,"&gt;="&amp;BE$16,$A$6:$A$13,"&lt;="&amp;EOMONTH(BE$16,0))</f>
        <v>0</v>
      </c>
      <c r="BF22" s="60" t="n">
        <f aca="false">SUMIFS($D$6:$D$13,$C$6:$C$13,"Marca e jurídico",$A$6:$A$13,"&gt;="&amp;BF$16,$A$6:$A$13,"&lt;="&amp;EOMONTH(BF$16,0))</f>
        <v>0</v>
      </c>
      <c r="BG22" s="60" t="n">
        <f aca="false">SUMIFS($D$6:$D$13,$C$6:$C$13,"Marca e jurídico",$A$6:$A$13,"&gt;="&amp;BG$16,$A$6:$A$13,"&lt;="&amp;EOMONTH(BG$16,0))</f>
        <v>0</v>
      </c>
      <c r="BH22" s="60" t="n">
        <f aca="false">SUMIFS($D$6:$D$13,$C$6:$C$13,"Marca e jurídico",$A$6:$A$13,"&gt;="&amp;BH$16,$A$6:$A$13,"&lt;="&amp;EOMONTH(BH$16,0))</f>
        <v>0</v>
      </c>
      <c r="BI22" s="60" t="n">
        <f aca="false">SUMIFS($D$6:$D$13,$C$6:$C$13,"Marca e jurídico",$A$6:$A$13,"&gt;="&amp;BI$16,$A$6:$A$13,"&lt;="&amp;EOMONTH(BI$16,0))</f>
        <v>0</v>
      </c>
      <c r="BJ22" s="61" t="n">
        <f aca="false">SUM(B22:BI22)</f>
        <v>6000</v>
      </c>
      <c r="BK22" s="186" t="n">
        <f aca="false">IFERROR(BJ22/BJ$25,0)</f>
        <v>0.0402339415945328</v>
      </c>
    </row>
    <row r="23" customFormat="false" ht="15" hidden="false" customHeight="false" outlineLevel="0" collapsed="false">
      <c r="A23" s="27" t="s">
        <v>900</v>
      </c>
      <c r="B23" s="60" t="n">
        <f aca="false">SUMIFS($D$6:$D$13,$C$6:$C$13,"Certificações",$A$6:$A$13,"&gt;="&amp;B$16,$A$6:$A$13,"&lt;="&amp;EOMONTH(B$16,0))</f>
        <v>0</v>
      </c>
      <c r="C23" s="60" t="n">
        <f aca="false">SUMIFS($D$6:$D$13,$C$6:$C$13,"Certificações",$A$6:$A$13,"&gt;="&amp;C$16,$A$6:$A$13,"&lt;="&amp;EOMONTH(C$16,0))</f>
        <v>0</v>
      </c>
      <c r="D23" s="60" t="n">
        <f aca="false">SUMIFS($D$6:$D$13,$C$6:$C$13,"Certificações",$A$6:$A$13,"&gt;="&amp;D$16,$A$6:$A$13,"&lt;="&amp;EOMONTH(D$16,0))</f>
        <v>0</v>
      </c>
      <c r="E23" s="60" t="n">
        <f aca="false">SUMIFS($D$6:$D$13,$C$6:$C$13,"Certificações",$A$6:$A$13,"&gt;="&amp;E$16,$A$6:$A$13,"&lt;="&amp;EOMONTH(E$16,0))</f>
        <v>0</v>
      </c>
      <c r="F23" s="60" t="n">
        <f aca="false">SUMIFS($D$6:$D$13,$C$6:$C$13,"Certificações",$A$6:$A$13,"&gt;="&amp;F$16,$A$6:$A$13,"&lt;="&amp;EOMONTH(F$16,0))</f>
        <v>0</v>
      </c>
      <c r="G23" s="60" t="n">
        <f aca="false">SUMIFS($D$6:$D$13,$C$6:$C$13,"Certificações",$A$6:$A$13,"&gt;="&amp;G$16,$A$6:$A$13,"&lt;="&amp;EOMONTH(G$16,0))</f>
        <v>0</v>
      </c>
      <c r="H23" s="60" t="n">
        <f aca="false">SUMIFS($D$6:$D$13,$C$6:$C$13,"Certificações",$A$6:$A$13,"&gt;="&amp;H$16,$A$6:$A$13,"&lt;="&amp;EOMONTH(H$16,0))</f>
        <v>0</v>
      </c>
      <c r="I23" s="60" t="n">
        <f aca="false">SUMIFS($D$6:$D$13,$C$6:$C$13,"Certificações",$A$6:$A$13,"&gt;="&amp;I$16,$A$6:$A$13,"&lt;="&amp;EOMONTH(I$16,0))</f>
        <v>0</v>
      </c>
      <c r="J23" s="60" t="n">
        <f aca="false">SUMIFS($D$6:$D$13,$C$6:$C$13,"Certificações",$A$6:$A$13,"&gt;="&amp;J$16,$A$6:$A$13,"&lt;="&amp;EOMONTH(J$16,0))</f>
        <v>0</v>
      </c>
      <c r="K23" s="60" t="n">
        <f aca="false">SUMIFS($D$6:$D$13,$C$6:$C$13,"Certificações",$A$6:$A$13,"&gt;="&amp;K$16,$A$6:$A$13,"&lt;="&amp;EOMONTH(K$16,0))</f>
        <v>0</v>
      </c>
      <c r="L23" s="60" t="n">
        <f aca="false">SUMIFS($D$6:$D$13,$C$6:$C$13,"Certificações",$A$6:$A$13,"&gt;="&amp;L$16,$A$6:$A$13,"&lt;="&amp;EOMONTH(L$16,0))</f>
        <v>0</v>
      </c>
      <c r="M23" s="60" t="n">
        <f aca="false">SUMIFS($D$6:$D$13,$C$6:$C$13,"Certificações",$A$6:$A$13,"&gt;="&amp;M$16,$A$6:$A$13,"&lt;="&amp;EOMONTH(M$16,0))</f>
        <v>0</v>
      </c>
      <c r="N23" s="60" t="n">
        <f aca="false">SUMIFS($D$6:$D$13,$C$6:$C$13,"Certificações",$A$6:$A$13,"&gt;="&amp;N$16,$A$6:$A$13,"&lt;="&amp;EOMONTH(N$16,0))</f>
        <v>0</v>
      </c>
      <c r="O23" s="60" t="n">
        <f aca="false">SUMIFS($D$6:$D$13,$C$6:$C$13,"Certificações",$A$6:$A$13,"&gt;="&amp;O$16,$A$6:$A$13,"&lt;="&amp;EOMONTH(O$16,0))</f>
        <v>0</v>
      </c>
      <c r="P23" s="60" t="n">
        <f aca="false">SUMIFS($D$6:$D$13,$C$6:$C$13,"Certificações",$A$6:$A$13,"&gt;="&amp;P$16,$A$6:$A$13,"&lt;="&amp;EOMONTH(P$16,0))</f>
        <v>12000</v>
      </c>
      <c r="Q23" s="60" t="n">
        <f aca="false">SUMIFS($D$6:$D$13,$C$6:$C$13,"Certificações",$A$6:$A$13,"&gt;="&amp;Q$16,$A$6:$A$13,"&lt;="&amp;EOMONTH(Q$16,0))</f>
        <v>0</v>
      </c>
      <c r="R23" s="60" t="n">
        <f aca="false">SUMIFS($D$6:$D$13,$C$6:$C$13,"Certificações",$A$6:$A$13,"&gt;="&amp;R$16,$A$6:$A$13,"&lt;="&amp;EOMONTH(R$16,0))</f>
        <v>0</v>
      </c>
      <c r="S23" s="60" t="n">
        <f aca="false">SUMIFS($D$6:$D$13,$C$6:$C$13,"Certificações",$A$6:$A$13,"&gt;="&amp;S$16,$A$6:$A$13,"&lt;="&amp;EOMONTH(S$16,0))</f>
        <v>0</v>
      </c>
      <c r="T23" s="60" t="n">
        <f aca="false">SUMIFS($D$6:$D$13,$C$6:$C$13,"Certificações",$A$6:$A$13,"&gt;="&amp;T$16,$A$6:$A$13,"&lt;="&amp;EOMONTH(T$16,0))</f>
        <v>25000</v>
      </c>
      <c r="U23" s="60" t="n">
        <f aca="false">SUMIFS($D$6:$D$13,$C$6:$C$13,"Certificações",$A$6:$A$13,"&gt;="&amp;U$16,$A$6:$A$13,"&lt;="&amp;EOMONTH(U$16,0))</f>
        <v>0</v>
      </c>
      <c r="V23" s="60" t="n">
        <f aca="false">SUMIFS($D$6:$D$13,$C$6:$C$13,"Certificações",$A$6:$A$13,"&gt;="&amp;V$16,$A$6:$A$13,"&lt;="&amp;EOMONTH(V$16,0))</f>
        <v>0</v>
      </c>
      <c r="W23" s="60" t="n">
        <f aca="false">SUMIFS($D$6:$D$13,$C$6:$C$13,"Certificações",$A$6:$A$13,"&gt;="&amp;W$16,$A$6:$A$13,"&lt;="&amp;EOMONTH(W$16,0))</f>
        <v>0</v>
      </c>
      <c r="X23" s="60" t="n">
        <f aca="false">SUMIFS($D$6:$D$13,$C$6:$C$13,"Certificações",$A$6:$A$13,"&gt;="&amp;X$16,$A$6:$A$13,"&lt;="&amp;EOMONTH(X$16,0))</f>
        <v>0</v>
      </c>
      <c r="Y23" s="60" t="n">
        <f aca="false">SUMIFS($D$6:$D$13,$C$6:$C$13,"Certificações",$A$6:$A$13,"&gt;="&amp;Y$16,$A$6:$A$13,"&lt;="&amp;EOMONTH(Y$16,0))</f>
        <v>0</v>
      </c>
      <c r="Z23" s="60" t="n">
        <f aca="false">SUMIFS($D$6:$D$13,$C$6:$C$13,"Certificações",$A$6:$A$13,"&gt;="&amp;Z$16,$A$6:$A$13,"&lt;="&amp;EOMONTH(Z$16,0))</f>
        <v>0</v>
      </c>
      <c r="AA23" s="60" t="n">
        <f aca="false">SUMIFS($D$6:$D$13,$C$6:$C$13,"Certificações",$A$6:$A$13,"&gt;="&amp;AA$16,$A$6:$A$13,"&lt;="&amp;EOMONTH(AA$16,0))</f>
        <v>0</v>
      </c>
      <c r="AB23" s="60" t="n">
        <f aca="false">SUMIFS($D$6:$D$13,$C$6:$C$13,"Certificações",$A$6:$A$13,"&gt;="&amp;AB$16,$A$6:$A$13,"&lt;="&amp;EOMONTH(AB$16,0))</f>
        <v>0</v>
      </c>
      <c r="AC23" s="60" t="n">
        <f aca="false">SUMIFS($D$6:$D$13,$C$6:$C$13,"Certificações",$A$6:$A$13,"&gt;="&amp;AC$16,$A$6:$A$13,"&lt;="&amp;EOMONTH(AC$16,0))</f>
        <v>0</v>
      </c>
      <c r="AD23" s="60" t="n">
        <f aca="false">SUMIFS($D$6:$D$13,$C$6:$C$13,"Certificações",$A$6:$A$13,"&gt;="&amp;AD$16,$A$6:$A$13,"&lt;="&amp;EOMONTH(AD$16,0))</f>
        <v>0</v>
      </c>
      <c r="AE23" s="60" t="n">
        <f aca="false">SUMIFS($D$6:$D$13,$C$6:$C$13,"Certificações",$A$6:$A$13,"&gt;="&amp;AE$16,$A$6:$A$13,"&lt;="&amp;EOMONTH(AE$16,0))</f>
        <v>0</v>
      </c>
      <c r="AF23" s="60" t="n">
        <f aca="false">SUMIFS($D$6:$D$13,$C$6:$C$13,"Certificações",$A$6:$A$13,"&gt;="&amp;AF$16,$A$6:$A$13,"&lt;="&amp;EOMONTH(AF$16,0))</f>
        <v>0</v>
      </c>
      <c r="AG23" s="60" t="n">
        <f aca="false">SUMIFS($D$6:$D$13,$C$6:$C$13,"Certificações",$A$6:$A$13,"&gt;="&amp;AG$16,$A$6:$A$13,"&lt;="&amp;EOMONTH(AG$16,0))</f>
        <v>0</v>
      </c>
      <c r="AH23" s="60" t="n">
        <f aca="false">SUMIFS($D$6:$D$13,$C$6:$C$13,"Certificações",$A$6:$A$13,"&gt;="&amp;AH$16,$A$6:$A$13,"&lt;="&amp;EOMONTH(AH$16,0))</f>
        <v>0</v>
      </c>
      <c r="AI23" s="60" t="n">
        <f aca="false">SUMIFS($D$6:$D$13,$C$6:$C$13,"Certificações",$A$6:$A$13,"&gt;="&amp;AI$16,$A$6:$A$13,"&lt;="&amp;EOMONTH(AI$16,0))</f>
        <v>0</v>
      </c>
      <c r="AJ23" s="60" t="n">
        <f aca="false">SUMIFS($D$6:$D$13,$C$6:$C$13,"Certificações",$A$6:$A$13,"&gt;="&amp;AJ$16,$A$6:$A$13,"&lt;="&amp;EOMONTH(AJ$16,0))</f>
        <v>0</v>
      </c>
      <c r="AK23" s="60" t="n">
        <f aca="false">SUMIFS($D$6:$D$13,$C$6:$C$13,"Certificações",$A$6:$A$13,"&gt;="&amp;AK$16,$A$6:$A$13,"&lt;="&amp;EOMONTH(AK$16,0))</f>
        <v>0</v>
      </c>
      <c r="AL23" s="60" t="n">
        <f aca="false">SUMIFS($D$6:$D$13,$C$6:$C$13,"Certificações",$A$6:$A$13,"&gt;="&amp;AL$16,$A$6:$A$13,"&lt;="&amp;EOMONTH(AL$16,0))</f>
        <v>0</v>
      </c>
      <c r="AM23" s="60" t="n">
        <f aca="false">SUMIFS($D$6:$D$13,$C$6:$C$13,"Certificações",$A$6:$A$13,"&gt;="&amp;AM$16,$A$6:$A$13,"&lt;="&amp;EOMONTH(AM$16,0))</f>
        <v>0</v>
      </c>
      <c r="AN23" s="60" t="n">
        <f aca="false">SUMIFS($D$6:$D$13,$C$6:$C$13,"Certificações",$A$6:$A$13,"&gt;="&amp;AN$16,$A$6:$A$13,"&lt;="&amp;EOMONTH(AN$16,0))</f>
        <v>0</v>
      </c>
      <c r="AO23" s="60" t="n">
        <f aca="false">SUMIFS($D$6:$D$13,$C$6:$C$13,"Certificações",$A$6:$A$13,"&gt;="&amp;AO$16,$A$6:$A$13,"&lt;="&amp;EOMONTH(AO$16,0))</f>
        <v>0</v>
      </c>
      <c r="AP23" s="60" t="n">
        <f aca="false">SUMIFS($D$6:$D$13,$C$6:$C$13,"Certificações",$A$6:$A$13,"&gt;="&amp;AP$16,$A$6:$A$13,"&lt;="&amp;EOMONTH(AP$16,0))</f>
        <v>0</v>
      </c>
      <c r="AQ23" s="60" t="n">
        <f aca="false">SUMIFS($D$6:$D$13,$C$6:$C$13,"Certificações",$A$6:$A$13,"&gt;="&amp;AQ$16,$A$6:$A$13,"&lt;="&amp;EOMONTH(AQ$16,0))</f>
        <v>0</v>
      </c>
      <c r="AR23" s="60" t="n">
        <f aca="false">SUMIFS($D$6:$D$13,$C$6:$C$13,"Certificações",$A$6:$A$13,"&gt;="&amp;AR$16,$A$6:$A$13,"&lt;="&amp;EOMONTH(AR$16,0))</f>
        <v>0</v>
      </c>
      <c r="AS23" s="60" t="n">
        <f aca="false">SUMIFS($D$6:$D$13,$C$6:$C$13,"Certificações",$A$6:$A$13,"&gt;="&amp;AS$16,$A$6:$A$13,"&lt;="&amp;EOMONTH(AS$16,0))</f>
        <v>0</v>
      </c>
      <c r="AT23" s="60" t="n">
        <f aca="false">SUMIFS($D$6:$D$13,$C$6:$C$13,"Certificações",$A$6:$A$13,"&gt;="&amp;AT$16,$A$6:$A$13,"&lt;="&amp;EOMONTH(AT$16,0))</f>
        <v>0</v>
      </c>
      <c r="AU23" s="60" t="n">
        <f aca="false">SUMIFS($D$6:$D$13,$C$6:$C$13,"Certificações",$A$6:$A$13,"&gt;="&amp;AU$16,$A$6:$A$13,"&lt;="&amp;EOMONTH(AU$16,0))</f>
        <v>0</v>
      </c>
      <c r="AV23" s="60" t="n">
        <f aca="false">SUMIFS($D$6:$D$13,$C$6:$C$13,"Certificações",$A$6:$A$13,"&gt;="&amp;AV$16,$A$6:$A$13,"&lt;="&amp;EOMONTH(AV$16,0))</f>
        <v>0</v>
      </c>
      <c r="AW23" s="60" t="n">
        <f aca="false">SUMIFS($D$6:$D$13,$C$6:$C$13,"Certificações",$A$6:$A$13,"&gt;="&amp;AW$16,$A$6:$A$13,"&lt;="&amp;EOMONTH(AW$16,0))</f>
        <v>0</v>
      </c>
      <c r="AX23" s="60" t="n">
        <f aca="false">SUMIFS($D$6:$D$13,$C$6:$C$13,"Certificações",$A$6:$A$13,"&gt;="&amp;AX$16,$A$6:$A$13,"&lt;="&amp;EOMONTH(AX$16,0))</f>
        <v>0</v>
      </c>
      <c r="AY23" s="60" t="n">
        <f aca="false">SUMIFS($D$6:$D$13,$C$6:$C$13,"Certificações",$A$6:$A$13,"&gt;="&amp;AY$16,$A$6:$A$13,"&lt;="&amp;EOMONTH(AY$16,0))</f>
        <v>0</v>
      </c>
      <c r="AZ23" s="60" t="n">
        <f aca="false">SUMIFS($D$6:$D$13,$C$6:$C$13,"Certificações",$A$6:$A$13,"&gt;="&amp;AZ$16,$A$6:$A$13,"&lt;="&amp;EOMONTH(AZ$16,0))</f>
        <v>0</v>
      </c>
      <c r="BA23" s="60" t="n">
        <f aca="false">SUMIFS($D$6:$D$13,$C$6:$C$13,"Certificações",$A$6:$A$13,"&gt;="&amp;BA$16,$A$6:$A$13,"&lt;="&amp;EOMONTH(BA$16,0))</f>
        <v>0</v>
      </c>
      <c r="BB23" s="60" t="n">
        <f aca="false">SUMIFS($D$6:$D$13,$C$6:$C$13,"Certificações",$A$6:$A$13,"&gt;="&amp;BB$16,$A$6:$A$13,"&lt;="&amp;EOMONTH(BB$16,0))</f>
        <v>0</v>
      </c>
      <c r="BC23" s="60" t="n">
        <f aca="false">SUMIFS($D$6:$D$13,$C$6:$C$13,"Certificações",$A$6:$A$13,"&gt;="&amp;BC$16,$A$6:$A$13,"&lt;="&amp;EOMONTH(BC$16,0))</f>
        <v>0</v>
      </c>
      <c r="BD23" s="60" t="n">
        <f aca="false">SUMIFS($D$6:$D$13,$C$6:$C$13,"Certificações",$A$6:$A$13,"&gt;="&amp;BD$16,$A$6:$A$13,"&lt;="&amp;EOMONTH(BD$16,0))</f>
        <v>0</v>
      </c>
      <c r="BE23" s="60" t="n">
        <f aca="false">SUMIFS($D$6:$D$13,$C$6:$C$13,"Certificações",$A$6:$A$13,"&gt;="&amp;BE$16,$A$6:$A$13,"&lt;="&amp;EOMONTH(BE$16,0))</f>
        <v>0</v>
      </c>
      <c r="BF23" s="60" t="n">
        <f aca="false">SUMIFS($D$6:$D$13,$C$6:$C$13,"Certificações",$A$6:$A$13,"&gt;="&amp;BF$16,$A$6:$A$13,"&lt;="&amp;EOMONTH(BF$16,0))</f>
        <v>0</v>
      </c>
      <c r="BG23" s="60" t="n">
        <f aca="false">SUMIFS($D$6:$D$13,$C$6:$C$13,"Certificações",$A$6:$A$13,"&gt;="&amp;BG$16,$A$6:$A$13,"&lt;="&amp;EOMONTH(BG$16,0))</f>
        <v>0</v>
      </c>
      <c r="BH23" s="60" t="n">
        <f aca="false">SUMIFS($D$6:$D$13,$C$6:$C$13,"Certificações",$A$6:$A$13,"&gt;="&amp;BH$16,$A$6:$A$13,"&lt;="&amp;EOMONTH(BH$16,0))</f>
        <v>0</v>
      </c>
      <c r="BI23" s="60" t="n">
        <f aca="false">SUMIFS($D$6:$D$13,$C$6:$C$13,"Certificações",$A$6:$A$13,"&gt;="&amp;BI$16,$A$6:$A$13,"&lt;="&amp;EOMONTH(BI$16,0))</f>
        <v>0</v>
      </c>
      <c r="BJ23" s="61" t="n">
        <f aca="false">SUM(B23:BI23)</f>
        <v>37000</v>
      </c>
      <c r="BK23" s="186" t="n">
        <f aca="false">IFERROR(BJ23/BJ$25,0)</f>
        <v>0.248109306499619</v>
      </c>
    </row>
    <row r="24" customFormat="false" ht="15" hidden="false" customHeight="false" outlineLevel="0" collapsed="false">
      <c r="A24" s="27" t="s">
        <v>765</v>
      </c>
      <c r="B24" s="67" t="n">
        <f aca="false">Pessoas!B46</f>
        <v>0</v>
      </c>
      <c r="C24" s="67" t="n">
        <f aca="false">Pessoas!C46</f>
        <v>0</v>
      </c>
      <c r="D24" s="67" t="n">
        <f aca="false">Pessoas!D46</f>
        <v>0</v>
      </c>
      <c r="E24" s="67" t="n">
        <f aca="false">Pessoas!E46</f>
        <v>0</v>
      </c>
      <c r="F24" s="67" t="n">
        <f aca="false">Pessoas!F46</f>
        <v>0</v>
      </c>
      <c r="G24" s="67" t="n">
        <f aca="false">Pessoas!G46</f>
        <v>0</v>
      </c>
      <c r="H24" s="67" t="n">
        <f aca="false">Pessoas!H46</f>
        <v>0</v>
      </c>
      <c r="I24" s="67" t="n">
        <f aca="false">Pessoas!I46</f>
        <v>0</v>
      </c>
      <c r="J24" s="67" t="n">
        <f aca="false">Pessoas!J46</f>
        <v>10500</v>
      </c>
      <c r="K24" s="67" t="n">
        <f aca="false">Pessoas!K46</f>
        <v>10500</v>
      </c>
      <c r="L24" s="67" t="n">
        <f aca="false">Pessoas!L46</f>
        <v>0</v>
      </c>
      <c r="M24" s="67" t="n">
        <f aca="false">Pessoas!M46</f>
        <v>0</v>
      </c>
      <c r="N24" s="67" t="n">
        <f aca="false">Pessoas!N46</f>
        <v>0</v>
      </c>
      <c r="O24" s="67" t="n">
        <f aca="false">Pessoas!O46</f>
        <v>0</v>
      </c>
      <c r="P24" s="67" t="n">
        <f aca="false">Pessoas!P46</f>
        <v>0</v>
      </c>
      <c r="Q24" s="67" t="n">
        <f aca="false">Pessoas!Q46</f>
        <v>0</v>
      </c>
      <c r="R24" s="67" t="n">
        <f aca="false">Pessoas!R46</f>
        <v>0</v>
      </c>
      <c r="S24" s="67" t="n">
        <f aca="false">Pessoas!S46</f>
        <v>0</v>
      </c>
      <c r="T24" s="67" t="n">
        <f aca="false">Pessoas!T46</f>
        <v>0</v>
      </c>
      <c r="U24" s="67" t="n">
        <f aca="false">Pessoas!U46</f>
        <v>0</v>
      </c>
      <c r="V24" s="67" t="n">
        <f aca="false">Pessoas!V46</f>
        <v>0</v>
      </c>
      <c r="W24" s="67" t="n">
        <f aca="false">Pessoas!W46</f>
        <v>0</v>
      </c>
      <c r="X24" s="67" t="n">
        <f aca="false">Pessoas!X46</f>
        <v>0</v>
      </c>
      <c r="Y24" s="67" t="n">
        <f aca="false">Pessoas!Y46</f>
        <v>0</v>
      </c>
      <c r="Z24" s="67" t="n">
        <f aca="false">Pessoas!Z46</f>
        <v>0</v>
      </c>
      <c r="AA24" s="67" t="n">
        <f aca="false">Pessoas!AA46</f>
        <v>0</v>
      </c>
      <c r="AB24" s="67" t="n">
        <f aca="false">Pessoas!AB46</f>
        <v>0</v>
      </c>
      <c r="AC24" s="67" t="n">
        <f aca="false">Pessoas!AC46</f>
        <v>0</v>
      </c>
      <c r="AD24" s="67" t="n">
        <f aca="false">Pessoas!AD46</f>
        <v>0</v>
      </c>
      <c r="AE24" s="67" t="n">
        <f aca="false">Pessoas!AE46</f>
        <v>0</v>
      </c>
      <c r="AF24" s="67" t="n">
        <f aca="false">Pessoas!AF46</f>
        <v>0</v>
      </c>
      <c r="AG24" s="67" t="n">
        <f aca="false">Pessoas!AG46</f>
        <v>0</v>
      </c>
      <c r="AH24" s="67" t="n">
        <f aca="false">Pessoas!AH46</f>
        <v>0</v>
      </c>
      <c r="AI24" s="67" t="n">
        <f aca="false">Pessoas!AI46</f>
        <v>0</v>
      </c>
      <c r="AJ24" s="67" t="n">
        <f aca="false">Pessoas!AJ46</f>
        <v>0</v>
      </c>
      <c r="AK24" s="67" t="n">
        <f aca="false">Pessoas!AK46</f>
        <v>0</v>
      </c>
      <c r="AL24" s="67" t="n">
        <f aca="false">Pessoas!AL46</f>
        <v>0</v>
      </c>
      <c r="AM24" s="67" t="n">
        <f aca="false">Pessoas!AM46</f>
        <v>0</v>
      </c>
      <c r="AN24" s="67" t="n">
        <f aca="false">Pessoas!AN46</f>
        <v>0</v>
      </c>
      <c r="AO24" s="67" t="n">
        <f aca="false">Pessoas!AO46</f>
        <v>0</v>
      </c>
      <c r="AP24" s="67" t="n">
        <f aca="false">Pessoas!AP46</f>
        <v>0</v>
      </c>
      <c r="AQ24" s="67" t="n">
        <f aca="false">Pessoas!AQ46</f>
        <v>0</v>
      </c>
      <c r="AR24" s="67" t="n">
        <f aca="false">Pessoas!AR46</f>
        <v>0</v>
      </c>
      <c r="AS24" s="67" t="n">
        <f aca="false">Pessoas!AS46</f>
        <v>0</v>
      </c>
      <c r="AT24" s="67" t="n">
        <f aca="false">Pessoas!AT46</f>
        <v>0</v>
      </c>
      <c r="AU24" s="67" t="n">
        <f aca="false">Pessoas!AU46</f>
        <v>0</v>
      </c>
      <c r="AV24" s="67" t="n">
        <f aca="false">Pessoas!AV46</f>
        <v>0</v>
      </c>
      <c r="AW24" s="67" t="n">
        <f aca="false">Pessoas!AW46</f>
        <v>0</v>
      </c>
      <c r="AX24" s="67" t="n">
        <f aca="false">Pessoas!AX46</f>
        <v>0</v>
      </c>
      <c r="AY24" s="67" t="n">
        <f aca="false">Pessoas!AY46</f>
        <v>0</v>
      </c>
      <c r="AZ24" s="67" t="n">
        <f aca="false">Pessoas!AZ46</f>
        <v>0</v>
      </c>
      <c r="BA24" s="67" t="n">
        <f aca="false">Pessoas!BA46</f>
        <v>0</v>
      </c>
      <c r="BB24" s="67" t="n">
        <f aca="false">Pessoas!BB46</f>
        <v>0</v>
      </c>
      <c r="BC24" s="67" t="n">
        <f aca="false">Pessoas!BC46</f>
        <v>0</v>
      </c>
      <c r="BD24" s="67" t="n">
        <f aca="false">Pessoas!BD46</f>
        <v>0</v>
      </c>
      <c r="BE24" s="67" t="n">
        <f aca="false">Pessoas!BE46</f>
        <v>0</v>
      </c>
      <c r="BF24" s="67" t="n">
        <f aca="false">Pessoas!BF46</f>
        <v>0</v>
      </c>
      <c r="BG24" s="67" t="n">
        <f aca="false">Pessoas!BG46</f>
        <v>0</v>
      </c>
      <c r="BH24" s="67" t="n">
        <f aca="false">Pessoas!BH46</f>
        <v>0</v>
      </c>
      <c r="BI24" s="67" t="n">
        <f aca="false">Pessoas!BI46</f>
        <v>0</v>
      </c>
      <c r="BJ24" s="61" t="n">
        <f aca="false">SUM(B24:BI24)</f>
        <v>21000</v>
      </c>
      <c r="BK24" s="210" t="n">
        <f aca="false">IFERROR(BJ24/BJ$25,0)</f>
        <v>0.140818795580865</v>
      </c>
    </row>
    <row r="25" customFormat="false" ht="15" hidden="false" customHeight="false" outlineLevel="0" collapsed="false">
      <c r="A25" s="62" t="s">
        <v>904</v>
      </c>
      <c r="B25" s="61" t="n">
        <f aca="false">SUM(B21:B24)</f>
        <v>0</v>
      </c>
      <c r="C25" s="61" t="n">
        <f aca="false">SUM(C21:C24)</f>
        <v>0</v>
      </c>
      <c r="D25" s="61" t="n">
        <f aca="false">SUM(D21:D24)</f>
        <v>0</v>
      </c>
      <c r="E25" s="61" t="n">
        <f aca="false">SUM(E21:E24)</f>
        <v>0</v>
      </c>
      <c r="F25" s="61" t="n">
        <f aca="false">SUM(F21:F24)</f>
        <v>6000</v>
      </c>
      <c r="G25" s="61" t="n">
        <f aca="false">SUM(G21:G24)</f>
        <v>0</v>
      </c>
      <c r="H25" s="61" t="n">
        <f aca="false">SUM(H21:H24)</f>
        <v>0</v>
      </c>
      <c r="I25" s="61" t="n">
        <f aca="false">SUM(I21:I24)</f>
        <v>9127.82</v>
      </c>
      <c r="J25" s="61" t="n">
        <f aca="false">SUM(J21:J24)</f>
        <v>10500</v>
      </c>
      <c r="K25" s="61" t="n">
        <f aca="false">SUM(K21:K24)</f>
        <v>10500</v>
      </c>
      <c r="L25" s="61" t="n">
        <f aca="false">SUM(L21:L24)</f>
        <v>0</v>
      </c>
      <c r="M25" s="61" t="n">
        <f aca="false">SUM(M21:M24)</f>
        <v>0</v>
      </c>
      <c r="N25" s="61" t="n">
        <f aca="false">SUM(N21:N24)</f>
        <v>0</v>
      </c>
      <c r="O25" s="61" t="n">
        <f aca="false">SUM(O21:O24)</f>
        <v>0</v>
      </c>
      <c r="P25" s="61" t="n">
        <f aca="false">SUM(P21:P24)</f>
        <v>12000</v>
      </c>
      <c r="Q25" s="61" t="n">
        <f aca="false">SUM(Q21:Q24)</f>
        <v>0</v>
      </c>
      <c r="R25" s="61" t="n">
        <f aca="false">SUM(R21:R24)</f>
        <v>0</v>
      </c>
      <c r="S25" s="61" t="n">
        <f aca="false">SUM(S21:S24)</f>
        <v>6000</v>
      </c>
      <c r="T25" s="61" t="n">
        <f aca="false">SUM(T21:T24)</f>
        <v>25000</v>
      </c>
      <c r="U25" s="61" t="n">
        <f aca="false">SUM(U21:U24)</f>
        <v>0</v>
      </c>
      <c r="V25" s="61" t="n">
        <f aca="false">SUM(V21:V24)</f>
        <v>0</v>
      </c>
      <c r="W25" s="61" t="n">
        <f aca="false">SUM(W21:W24)</f>
        <v>0</v>
      </c>
      <c r="X25" s="61" t="n">
        <f aca="false">SUM(X21:X24)</f>
        <v>0</v>
      </c>
      <c r="Y25" s="61" t="n">
        <f aca="false">SUM(Y21:Y24)</f>
        <v>0</v>
      </c>
      <c r="Z25" s="61" t="n">
        <f aca="false">SUM(Z21:Z24)</f>
        <v>0</v>
      </c>
      <c r="AA25" s="61" t="n">
        <f aca="false">SUM(AA21:AA24)</f>
        <v>0</v>
      </c>
      <c r="AB25" s="61" t="n">
        <f aca="false">SUM(AB21:AB24)</f>
        <v>0</v>
      </c>
      <c r="AC25" s="61" t="n">
        <f aca="false">SUM(AC21:AC24)</f>
        <v>0</v>
      </c>
      <c r="AD25" s="61" t="n">
        <f aca="false">SUM(AD21:AD24)</f>
        <v>0</v>
      </c>
      <c r="AE25" s="61" t="n">
        <f aca="false">SUM(AE21:AE24)</f>
        <v>15000</v>
      </c>
      <c r="AF25" s="61" t="n">
        <f aca="false">SUM(AF21:AF24)</f>
        <v>0</v>
      </c>
      <c r="AG25" s="61" t="n">
        <f aca="false">SUM(AG21:AG24)</f>
        <v>0</v>
      </c>
      <c r="AH25" s="61" t="n">
        <f aca="false">SUM(AH21:AH24)</f>
        <v>0</v>
      </c>
      <c r="AI25" s="61" t="n">
        <f aca="false">SUM(AI21:AI24)</f>
        <v>0</v>
      </c>
      <c r="AJ25" s="61" t="n">
        <f aca="false">SUM(AJ21:AJ24)</f>
        <v>0</v>
      </c>
      <c r="AK25" s="61" t="n">
        <f aca="false">SUM(AK21:AK24)</f>
        <v>0</v>
      </c>
      <c r="AL25" s="61" t="n">
        <f aca="false">SUM(AL21:AL24)</f>
        <v>0</v>
      </c>
      <c r="AM25" s="61" t="n">
        <f aca="false">SUM(AM21:AM24)</f>
        <v>0</v>
      </c>
      <c r="AN25" s="61" t="n">
        <f aca="false">SUM(AN21:AN24)</f>
        <v>0</v>
      </c>
      <c r="AO25" s="61" t="n">
        <f aca="false">SUM(AO21:AO24)</f>
        <v>0</v>
      </c>
      <c r="AP25" s="61" t="n">
        <f aca="false">SUM(AP21:AP24)</f>
        <v>0</v>
      </c>
      <c r="AQ25" s="61" t="n">
        <f aca="false">SUM(AQ21:AQ24)</f>
        <v>25000</v>
      </c>
      <c r="AR25" s="61" t="n">
        <f aca="false">SUM(AR21:AR24)</f>
        <v>0</v>
      </c>
      <c r="AS25" s="61" t="n">
        <f aca="false">SUM(AS21:AS24)</f>
        <v>0</v>
      </c>
      <c r="AT25" s="61" t="n">
        <f aca="false">SUM(AT21:AT24)</f>
        <v>0</v>
      </c>
      <c r="AU25" s="61" t="n">
        <f aca="false">SUM(AU21:AU24)</f>
        <v>0</v>
      </c>
      <c r="AV25" s="61" t="n">
        <f aca="false">SUM(AV21:AV24)</f>
        <v>0</v>
      </c>
      <c r="AW25" s="61" t="n">
        <f aca="false">SUM(AW21:AW24)</f>
        <v>0</v>
      </c>
      <c r="AX25" s="61" t="n">
        <f aca="false">SUM(AX21:AX24)</f>
        <v>0</v>
      </c>
      <c r="AY25" s="61" t="n">
        <f aca="false">SUM(AY21:AY24)</f>
        <v>0</v>
      </c>
      <c r="AZ25" s="61" t="n">
        <f aca="false">SUM(AZ21:AZ24)</f>
        <v>0</v>
      </c>
      <c r="BA25" s="61" t="n">
        <f aca="false">SUM(BA21:BA24)</f>
        <v>0</v>
      </c>
      <c r="BB25" s="61" t="n">
        <f aca="false">SUM(BB21:BB24)</f>
        <v>0</v>
      </c>
      <c r="BC25" s="61" t="n">
        <f aca="false">SUM(BC21:BC24)</f>
        <v>30000</v>
      </c>
      <c r="BD25" s="61" t="n">
        <f aca="false">SUM(BD21:BD24)</f>
        <v>0</v>
      </c>
      <c r="BE25" s="61" t="n">
        <f aca="false">SUM(BE21:BE24)</f>
        <v>0</v>
      </c>
      <c r="BF25" s="61" t="n">
        <f aca="false">SUM(BF21:BF24)</f>
        <v>0</v>
      </c>
      <c r="BG25" s="61" t="n">
        <f aca="false">SUM(BG21:BG24)</f>
        <v>0</v>
      </c>
      <c r="BH25" s="61" t="n">
        <f aca="false">SUM(BH21:BH24)</f>
        <v>0</v>
      </c>
      <c r="BI25" s="61" t="n">
        <f aca="false">SUM(BI21:BI24)</f>
        <v>0</v>
      </c>
      <c r="BJ25" s="61" t="n">
        <f aca="false">SUM(B25:BI25)</f>
        <v>149127.82</v>
      </c>
    </row>
    <row r="27" customFormat="false" ht="18" hidden="false" customHeight="true" outlineLevel="0" collapsed="false">
      <c r="A27" s="25" t="s">
        <v>905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</row>
    <row r="28" customFormat="false" ht="15" hidden="false" customHeight="false" outlineLevel="0" collapsed="false">
      <c r="A28" s="27" t="s">
        <v>906</v>
      </c>
      <c r="B28" s="106" t="n">
        <v>60</v>
      </c>
      <c r="D28" s="29" t="s">
        <v>907</v>
      </c>
    </row>
    <row r="29" customFormat="false" ht="15" hidden="false" customHeight="false" outlineLevel="0" collapsed="false">
      <c r="A29" s="27" t="s">
        <v>908</v>
      </c>
      <c r="B29" s="90" t="n">
        <f aca="false">SUM($B25:B25)</f>
        <v>0</v>
      </c>
      <c r="C29" s="90" t="n">
        <f aca="false">SUM($B25:C25)</f>
        <v>0</v>
      </c>
      <c r="D29" s="90" t="n">
        <f aca="false">SUM($B25:D25)</f>
        <v>0</v>
      </c>
      <c r="E29" s="90" t="n">
        <f aca="false">SUM($B25:E25)</f>
        <v>0</v>
      </c>
      <c r="F29" s="90" t="n">
        <f aca="false">SUM($B25:F25)</f>
        <v>6000</v>
      </c>
      <c r="G29" s="90" t="n">
        <f aca="false">SUM($B25:G25)</f>
        <v>6000</v>
      </c>
      <c r="H29" s="90" t="n">
        <f aca="false">SUM($B25:H25)</f>
        <v>6000</v>
      </c>
      <c r="I29" s="90" t="n">
        <f aca="false">SUM($B25:I25)</f>
        <v>15127.82</v>
      </c>
      <c r="J29" s="90" t="n">
        <f aca="false">SUM($B25:J25)</f>
        <v>25627.82</v>
      </c>
      <c r="K29" s="90" t="n">
        <f aca="false">SUM($B25:K25)</f>
        <v>36127.82</v>
      </c>
      <c r="L29" s="90" t="n">
        <f aca="false">SUM($B25:L25)</f>
        <v>36127.82</v>
      </c>
      <c r="M29" s="90" t="n">
        <f aca="false">SUM($B25:M25)</f>
        <v>36127.82</v>
      </c>
      <c r="N29" s="90" t="n">
        <f aca="false">SUM($B25:N25)</f>
        <v>36127.82</v>
      </c>
      <c r="O29" s="90" t="n">
        <f aca="false">SUM($B25:O25)</f>
        <v>36127.82</v>
      </c>
      <c r="P29" s="90" t="n">
        <f aca="false">SUM($B25:P25)</f>
        <v>48127.82</v>
      </c>
      <c r="Q29" s="90" t="n">
        <f aca="false">SUM($B25:Q25)</f>
        <v>48127.82</v>
      </c>
      <c r="R29" s="90" t="n">
        <f aca="false">SUM($B25:R25)</f>
        <v>48127.82</v>
      </c>
      <c r="S29" s="90" t="n">
        <f aca="false">SUM($B25:S25)</f>
        <v>54127.82</v>
      </c>
      <c r="T29" s="90" t="n">
        <f aca="false">SUM($B25:T25)</f>
        <v>79127.82</v>
      </c>
      <c r="U29" s="90" t="n">
        <f aca="false">SUM($B25:U25)</f>
        <v>79127.82</v>
      </c>
      <c r="V29" s="90" t="n">
        <f aca="false">SUM($B25:V25)</f>
        <v>79127.82</v>
      </c>
      <c r="W29" s="90" t="n">
        <f aca="false">SUM($B25:W25)</f>
        <v>79127.82</v>
      </c>
      <c r="X29" s="90" t="n">
        <f aca="false">SUM($B25:X25)</f>
        <v>79127.82</v>
      </c>
      <c r="Y29" s="90" t="n">
        <f aca="false">SUM($B25:Y25)</f>
        <v>79127.82</v>
      </c>
      <c r="Z29" s="90" t="n">
        <f aca="false">SUM($B25:Z25)</f>
        <v>79127.82</v>
      </c>
      <c r="AA29" s="90" t="n">
        <f aca="false">SUM($B25:AA25)</f>
        <v>79127.82</v>
      </c>
      <c r="AB29" s="90" t="n">
        <f aca="false">SUM($B25:AB25)</f>
        <v>79127.82</v>
      </c>
      <c r="AC29" s="90" t="n">
        <f aca="false">SUM($B25:AC25)</f>
        <v>79127.82</v>
      </c>
      <c r="AD29" s="90" t="n">
        <f aca="false">SUM($B25:AD25)</f>
        <v>79127.82</v>
      </c>
      <c r="AE29" s="90" t="n">
        <f aca="false">SUM($B25:AE25)</f>
        <v>94127.82</v>
      </c>
      <c r="AF29" s="90" t="n">
        <f aca="false">SUM($B25:AF25)</f>
        <v>94127.82</v>
      </c>
      <c r="AG29" s="90" t="n">
        <f aca="false">SUM($B25:AG25)</f>
        <v>94127.82</v>
      </c>
      <c r="AH29" s="90" t="n">
        <f aca="false">SUM($B25:AH25)</f>
        <v>94127.82</v>
      </c>
      <c r="AI29" s="90" t="n">
        <f aca="false">SUM($B25:AI25)</f>
        <v>94127.82</v>
      </c>
      <c r="AJ29" s="90" t="n">
        <f aca="false">SUM($B25:AJ25)</f>
        <v>94127.82</v>
      </c>
      <c r="AK29" s="90" t="n">
        <f aca="false">SUM($B25:AK25)</f>
        <v>94127.82</v>
      </c>
      <c r="AL29" s="90" t="n">
        <f aca="false">SUM($B25:AL25)</f>
        <v>94127.82</v>
      </c>
      <c r="AM29" s="90" t="n">
        <f aca="false">SUM($B25:AM25)</f>
        <v>94127.82</v>
      </c>
      <c r="AN29" s="90" t="n">
        <f aca="false">SUM($B25:AN25)</f>
        <v>94127.82</v>
      </c>
      <c r="AO29" s="90" t="n">
        <f aca="false">SUM($B25:AO25)</f>
        <v>94127.82</v>
      </c>
      <c r="AP29" s="90" t="n">
        <f aca="false">SUM($B25:AP25)</f>
        <v>94127.82</v>
      </c>
      <c r="AQ29" s="90" t="n">
        <f aca="false">SUM($B25:AQ25)</f>
        <v>119127.82</v>
      </c>
      <c r="AR29" s="90" t="n">
        <f aca="false">SUM($B25:AR25)</f>
        <v>119127.82</v>
      </c>
      <c r="AS29" s="90" t="n">
        <f aca="false">SUM($B25:AS25)</f>
        <v>119127.82</v>
      </c>
      <c r="AT29" s="90" t="n">
        <f aca="false">SUM($B25:AT25)</f>
        <v>119127.82</v>
      </c>
      <c r="AU29" s="90" t="n">
        <f aca="false">SUM($B25:AU25)</f>
        <v>119127.82</v>
      </c>
      <c r="AV29" s="90" t="n">
        <f aca="false">SUM($B25:AV25)</f>
        <v>119127.82</v>
      </c>
      <c r="AW29" s="90" t="n">
        <f aca="false">SUM($B25:AW25)</f>
        <v>119127.82</v>
      </c>
      <c r="AX29" s="90" t="n">
        <f aca="false">SUM($B25:AX25)</f>
        <v>119127.82</v>
      </c>
      <c r="AY29" s="90" t="n">
        <f aca="false">SUM($B25:AY25)</f>
        <v>119127.82</v>
      </c>
      <c r="AZ29" s="90" t="n">
        <f aca="false">SUM($B25:AZ25)</f>
        <v>119127.82</v>
      </c>
      <c r="BA29" s="90" t="n">
        <f aca="false">SUM($B25:BA25)</f>
        <v>119127.82</v>
      </c>
      <c r="BB29" s="90" t="n">
        <f aca="false">SUM($B25:BB25)</f>
        <v>119127.82</v>
      </c>
      <c r="BC29" s="90" t="n">
        <f aca="false">SUM($B25:BC25)</f>
        <v>149127.82</v>
      </c>
      <c r="BD29" s="90" t="n">
        <f aca="false">SUM($B25:BD25)</f>
        <v>149127.82</v>
      </c>
      <c r="BE29" s="90" t="n">
        <f aca="false">SUM($B25:BE25)</f>
        <v>149127.82</v>
      </c>
      <c r="BF29" s="90" t="n">
        <f aca="false">SUM($B25:BF25)</f>
        <v>149127.82</v>
      </c>
      <c r="BG29" s="90" t="n">
        <f aca="false">SUM($B25:BG25)</f>
        <v>149127.82</v>
      </c>
      <c r="BH29" s="90" t="n">
        <f aca="false">SUM($B25:BH25)</f>
        <v>149127.82</v>
      </c>
      <c r="BI29" s="90" t="n">
        <f aca="false">SUM($B25:BI25)</f>
        <v>149127.82</v>
      </c>
      <c r="BJ29" s="61" t="n">
        <f aca="false">SUM(B29:BI29)</f>
        <v>4911274.46</v>
      </c>
    </row>
    <row r="30" customFormat="false" ht="15" hidden="false" customHeight="false" outlineLevel="0" collapsed="false">
      <c r="A30" s="31" t="s">
        <v>909</v>
      </c>
      <c r="B30" s="63" t="n">
        <f aca="false">0</f>
        <v>0</v>
      </c>
      <c r="C30" s="63" t="n">
        <f aca="false">B29/$B$28</f>
        <v>0</v>
      </c>
      <c r="D30" s="63" t="n">
        <f aca="false">C29/$B$28</f>
        <v>0</v>
      </c>
      <c r="E30" s="63" t="n">
        <f aca="false">D29/$B$28</f>
        <v>0</v>
      </c>
      <c r="F30" s="63" t="n">
        <f aca="false">E29/$B$28</f>
        <v>0</v>
      </c>
      <c r="G30" s="63" t="n">
        <f aca="false">F29/$B$28</f>
        <v>100</v>
      </c>
      <c r="H30" s="63" t="n">
        <f aca="false">G29/$B$28</f>
        <v>100</v>
      </c>
      <c r="I30" s="63" t="n">
        <f aca="false">H29/$B$28</f>
        <v>100</v>
      </c>
      <c r="J30" s="63" t="n">
        <f aca="false">I29/$B$28</f>
        <v>252.130333333333</v>
      </c>
      <c r="K30" s="63" t="n">
        <f aca="false">J29/$B$28</f>
        <v>427.130333333333</v>
      </c>
      <c r="L30" s="63" t="n">
        <f aca="false">K29/$B$28</f>
        <v>602.130333333333</v>
      </c>
      <c r="M30" s="63" t="n">
        <f aca="false">L29/$B$28</f>
        <v>602.130333333333</v>
      </c>
      <c r="N30" s="63" t="n">
        <f aca="false">M29/$B$28</f>
        <v>602.130333333333</v>
      </c>
      <c r="O30" s="63" t="n">
        <f aca="false">N29/$B$28</f>
        <v>602.130333333333</v>
      </c>
      <c r="P30" s="63" t="n">
        <f aca="false">O29/$B$28</f>
        <v>602.130333333333</v>
      </c>
      <c r="Q30" s="63" t="n">
        <f aca="false">P29/$B$28</f>
        <v>802.130333333333</v>
      </c>
      <c r="R30" s="63" t="n">
        <f aca="false">Q29/$B$28</f>
        <v>802.130333333333</v>
      </c>
      <c r="S30" s="63" t="n">
        <f aca="false">R29/$B$28</f>
        <v>802.130333333333</v>
      </c>
      <c r="T30" s="63" t="n">
        <f aca="false">S29/$B$28</f>
        <v>902.130333333333</v>
      </c>
      <c r="U30" s="63" t="n">
        <f aca="false">T29/$B$28</f>
        <v>1318.797</v>
      </c>
      <c r="V30" s="63" t="n">
        <f aca="false">U29/$B$28</f>
        <v>1318.797</v>
      </c>
      <c r="W30" s="63" t="n">
        <f aca="false">V29/$B$28</f>
        <v>1318.797</v>
      </c>
      <c r="X30" s="63" t="n">
        <f aca="false">W29/$B$28</f>
        <v>1318.797</v>
      </c>
      <c r="Y30" s="63" t="n">
        <f aca="false">X29/$B$28</f>
        <v>1318.797</v>
      </c>
      <c r="Z30" s="63" t="n">
        <f aca="false">Y29/$B$28</f>
        <v>1318.797</v>
      </c>
      <c r="AA30" s="63" t="n">
        <f aca="false">Z29/$B$28</f>
        <v>1318.797</v>
      </c>
      <c r="AB30" s="63" t="n">
        <f aca="false">AA29/$B$28</f>
        <v>1318.797</v>
      </c>
      <c r="AC30" s="63" t="n">
        <f aca="false">AB29/$B$28</f>
        <v>1318.797</v>
      </c>
      <c r="AD30" s="63" t="n">
        <f aca="false">AC29/$B$28</f>
        <v>1318.797</v>
      </c>
      <c r="AE30" s="63" t="n">
        <f aca="false">AD29/$B$28</f>
        <v>1318.797</v>
      </c>
      <c r="AF30" s="63" t="n">
        <f aca="false">AE29/$B$28</f>
        <v>1568.797</v>
      </c>
      <c r="AG30" s="63" t="n">
        <f aca="false">AF29/$B$28</f>
        <v>1568.797</v>
      </c>
      <c r="AH30" s="63" t="n">
        <f aca="false">AG29/$B$28</f>
        <v>1568.797</v>
      </c>
      <c r="AI30" s="63" t="n">
        <f aca="false">AH29/$B$28</f>
        <v>1568.797</v>
      </c>
      <c r="AJ30" s="63" t="n">
        <f aca="false">AI29/$B$28</f>
        <v>1568.797</v>
      </c>
      <c r="AK30" s="63" t="n">
        <f aca="false">AJ29/$B$28</f>
        <v>1568.797</v>
      </c>
      <c r="AL30" s="63" t="n">
        <f aca="false">AK29/$B$28</f>
        <v>1568.797</v>
      </c>
      <c r="AM30" s="63" t="n">
        <f aca="false">AL29/$B$28</f>
        <v>1568.797</v>
      </c>
      <c r="AN30" s="63" t="n">
        <f aca="false">AM29/$B$28</f>
        <v>1568.797</v>
      </c>
      <c r="AO30" s="63" t="n">
        <f aca="false">AN29/$B$28</f>
        <v>1568.797</v>
      </c>
      <c r="AP30" s="63" t="n">
        <f aca="false">AO29/$B$28</f>
        <v>1568.797</v>
      </c>
      <c r="AQ30" s="63" t="n">
        <f aca="false">AP29/$B$28</f>
        <v>1568.797</v>
      </c>
      <c r="AR30" s="63" t="n">
        <f aca="false">AQ29/$B$28</f>
        <v>1985.46366666667</v>
      </c>
      <c r="AS30" s="63" t="n">
        <f aca="false">AR29/$B$28</f>
        <v>1985.46366666667</v>
      </c>
      <c r="AT30" s="63" t="n">
        <f aca="false">AS29/$B$28</f>
        <v>1985.46366666667</v>
      </c>
      <c r="AU30" s="63" t="n">
        <f aca="false">AT29/$B$28</f>
        <v>1985.46366666667</v>
      </c>
      <c r="AV30" s="63" t="n">
        <f aca="false">AU29/$B$28</f>
        <v>1985.46366666667</v>
      </c>
      <c r="AW30" s="63" t="n">
        <f aca="false">AV29/$B$28</f>
        <v>1985.46366666667</v>
      </c>
      <c r="AX30" s="63" t="n">
        <f aca="false">AW29/$B$28</f>
        <v>1985.46366666667</v>
      </c>
      <c r="AY30" s="63" t="n">
        <f aca="false">AX29/$B$28</f>
        <v>1985.46366666667</v>
      </c>
      <c r="AZ30" s="63" t="n">
        <f aca="false">AY29/$B$28</f>
        <v>1985.46366666667</v>
      </c>
      <c r="BA30" s="63" t="n">
        <f aca="false">AZ29/$B$28</f>
        <v>1985.46366666667</v>
      </c>
      <c r="BB30" s="63" t="n">
        <f aca="false">BA29/$B$28</f>
        <v>1985.46366666667</v>
      </c>
      <c r="BC30" s="63" t="n">
        <f aca="false">BB29/$B$28</f>
        <v>1985.46366666667</v>
      </c>
      <c r="BD30" s="63" t="n">
        <f aca="false">BC29/$B$28</f>
        <v>2485.46366666667</v>
      </c>
      <c r="BE30" s="63" t="n">
        <f aca="false">BD29/$B$28</f>
        <v>2485.46366666667</v>
      </c>
      <c r="BF30" s="63" t="n">
        <f aca="false">BE29/$B$28</f>
        <v>2485.46366666667</v>
      </c>
      <c r="BG30" s="63" t="n">
        <f aca="false">BF29/$B$28</f>
        <v>2485.46366666667</v>
      </c>
      <c r="BH30" s="63" t="n">
        <f aca="false">BG29/$B$28</f>
        <v>2485.46366666667</v>
      </c>
      <c r="BI30" s="63" t="n">
        <f aca="false">BH29/$B$28</f>
        <v>2485.46366666667</v>
      </c>
      <c r="BJ30" s="61" t="n">
        <f aca="false">SUM(B30:BI30)</f>
        <v>79369.1106666667</v>
      </c>
      <c r="BK30" s="29" t="s">
        <v>910</v>
      </c>
    </row>
    <row r="31" customFormat="false" ht="15" hidden="false" customHeight="false" outlineLevel="0" collapsed="false">
      <c r="A31" s="101" t="s">
        <v>911</v>
      </c>
      <c r="B31" s="90" t="n">
        <f aca="false">B25</f>
        <v>0</v>
      </c>
      <c r="C31" s="90" t="n">
        <f aca="false">B31+C25-C30</f>
        <v>0</v>
      </c>
      <c r="D31" s="90" t="n">
        <f aca="false">C31+D25-D30</f>
        <v>0</v>
      </c>
      <c r="E31" s="90" t="n">
        <f aca="false">D31+E25-E30</f>
        <v>0</v>
      </c>
      <c r="F31" s="90" t="n">
        <f aca="false">E31+F25-F30</f>
        <v>6000</v>
      </c>
      <c r="G31" s="90" t="n">
        <f aca="false">F31+G25-G30</f>
        <v>5900</v>
      </c>
      <c r="H31" s="90" t="n">
        <f aca="false">G31+H25-H30</f>
        <v>5800</v>
      </c>
      <c r="I31" s="90" t="n">
        <f aca="false">H31+I25-I30</f>
        <v>14827.82</v>
      </c>
      <c r="J31" s="90" t="n">
        <f aca="false">I31+J25-J30</f>
        <v>25075.6896666667</v>
      </c>
      <c r="K31" s="90" t="n">
        <f aca="false">J31+K25-K30</f>
        <v>35148.5593333333</v>
      </c>
      <c r="L31" s="90" t="n">
        <f aca="false">K31+L25-L30</f>
        <v>34546.429</v>
      </c>
      <c r="M31" s="90" t="n">
        <f aca="false">L31+M25-M30</f>
        <v>33944.2986666667</v>
      </c>
      <c r="N31" s="90" t="n">
        <f aca="false">M31+N25-N30</f>
        <v>33342.1683333333</v>
      </c>
      <c r="O31" s="90" t="n">
        <f aca="false">N31+O25-O30</f>
        <v>32740.038</v>
      </c>
      <c r="P31" s="90" t="n">
        <f aca="false">O31+P25-P30</f>
        <v>44137.9076666667</v>
      </c>
      <c r="Q31" s="90" t="n">
        <f aca="false">P31+Q25-Q30</f>
        <v>43335.7773333333</v>
      </c>
      <c r="R31" s="90" t="n">
        <f aca="false">Q31+R25-R30</f>
        <v>42533.647</v>
      </c>
      <c r="S31" s="90" t="n">
        <f aca="false">R31+S25-S30</f>
        <v>47731.5166666667</v>
      </c>
      <c r="T31" s="90" t="n">
        <f aca="false">S31+T25-T30</f>
        <v>71829.3863333333</v>
      </c>
      <c r="U31" s="90" t="n">
        <f aca="false">T31+U25-U30</f>
        <v>70510.5893333333</v>
      </c>
      <c r="V31" s="90" t="n">
        <f aca="false">U31+V25-V30</f>
        <v>69191.7923333333</v>
      </c>
      <c r="W31" s="90" t="n">
        <f aca="false">V31+W25-W30</f>
        <v>67872.9953333333</v>
      </c>
      <c r="X31" s="90" t="n">
        <f aca="false">W31+X25-X30</f>
        <v>66554.1983333333</v>
      </c>
      <c r="Y31" s="90" t="n">
        <f aca="false">X31+Y25-Y30</f>
        <v>65235.4013333333</v>
      </c>
      <c r="Z31" s="90" t="n">
        <f aca="false">Y31+Z25-Z30</f>
        <v>63916.6043333333</v>
      </c>
      <c r="AA31" s="90" t="n">
        <f aca="false">Z31+AA25-AA30</f>
        <v>62597.8073333333</v>
      </c>
      <c r="AB31" s="90" t="n">
        <f aca="false">AA31+AB25-AB30</f>
        <v>61279.0103333333</v>
      </c>
      <c r="AC31" s="90" t="n">
        <f aca="false">AB31+AC25-AC30</f>
        <v>59960.2133333333</v>
      </c>
      <c r="AD31" s="90" t="n">
        <f aca="false">AC31+AD25-AD30</f>
        <v>58641.4163333333</v>
      </c>
      <c r="AE31" s="90" t="n">
        <f aca="false">AD31+AE25-AE30</f>
        <v>72322.6193333333</v>
      </c>
      <c r="AF31" s="90" t="n">
        <f aca="false">AE31+AF25-AF30</f>
        <v>70753.8223333333</v>
      </c>
      <c r="AG31" s="90" t="n">
        <f aca="false">AF31+AG25-AG30</f>
        <v>69185.0253333333</v>
      </c>
      <c r="AH31" s="90" t="n">
        <f aca="false">AG31+AH25-AH30</f>
        <v>67616.2283333333</v>
      </c>
      <c r="AI31" s="90" t="n">
        <f aca="false">AH31+AI25-AI30</f>
        <v>66047.4313333333</v>
      </c>
      <c r="AJ31" s="90" t="n">
        <f aca="false">AI31+AJ25-AJ30</f>
        <v>64478.6343333333</v>
      </c>
      <c r="AK31" s="90" t="n">
        <f aca="false">AJ31+AK25-AK30</f>
        <v>62909.8373333333</v>
      </c>
      <c r="AL31" s="90" t="n">
        <f aca="false">AK31+AL25-AL30</f>
        <v>61341.0403333333</v>
      </c>
      <c r="AM31" s="90" t="n">
        <f aca="false">AL31+AM25-AM30</f>
        <v>59772.2433333333</v>
      </c>
      <c r="AN31" s="90" t="n">
        <f aca="false">AM31+AN25-AN30</f>
        <v>58203.4463333333</v>
      </c>
      <c r="AO31" s="90" t="n">
        <f aca="false">AN31+AO25-AO30</f>
        <v>56634.6493333333</v>
      </c>
      <c r="AP31" s="90" t="n">
        <f aca="false">AO31+AP25-AP30</f>
        <v>55065.8523333333</v>
      </c>
      <c r="AQ31" s="90" t="n">
        <f aca="false">AP31+AQ25-AQ30</f>
        <v>78497.0553333333</v>
      </c>
      <c r="AR31" s="90" t="n">
        <f aca="false">AQ31+AR25-AR30</f>
        <v>76511.5916666666</v>
      </c>
      <c r="AS31" s="90" t="n">
        <f aca="false">AR31+AS25-AS30</f>
        <v>74526.128</v>
      </c>
      <c r="AT31" s="90" t="n">
        <f aca="false">AS31+AT25-AT30</f>
        <v>72540.6643333333</v>
      </c>
      <c r="AU31" s="90" t="n">
        <f aca="false">AT31+AU25-AU30</f>
        <v>70555.2006666666</v>
      </c>
      <c r="AV31" s="90" t="n">
        <f aca="false">AU31+AV25-AV30</f>
        <v>68569.737</v>
      </c>
      <c r="AW31" s="90" t="n">
        <f aca="false">AV31+AW25-AW30</f>
        <v>66584.2733333333</v>
      </c>
      <c r="AX31" s="90" t="n">
        <f aca="false">AW31+AX25-AX30</f>
        <v>64598.8096666666</v>
      </c>
      <c r="AY31" s="90" t="n">
        <f aca="false">AX31+AY25-AY30</f>
        <v>62613.346</v>
      </c>
      <c r="AZ31" s="90" t="n">
        <f aca="false">AY31+AZ25-AZ30</f>
        <v>60627.8823333333</v>
      </c>
      <c r="BA31" s="90" t="n">
        <f aca="false">AZ31+BA25-BA30</f>
        <v>58642.4186666666</v>
      </c>
      <c r="BB31" s="90" t="n">
        <f aca="false">BA31+BB25-BB30</f>
        <v>56656.955</v>
      </c>
      <c r="BC31" s="90" t="n">
        <f aca="false">BB31+BC25-BC30</f>
        <v>84671.4913333333</v>
      </c>
      <c r="BD31" s="90" t="n">
        <f aca="false">BC31+BD25-BD30</f>
        <v>82186.0276666666</v>
      </c>
      <c r="BE31" s="90" t="n">
        <f aca="false">BD31+BE25-BE30</f>
        <v>79700.564</v>
      </c>
      <c r="BF31" s="90" t="n">
        <f aca="false">BE31+BF25-BF30</f>
        <v>77215.1003333333</v>
      </c>
      <c r="BG31" s="90" t="n">
        <f aca="false">BF31+BG25-BG30</f>
        <v>74729.6366666666</v>
      </c>
      <c r="BH31" s="90" t="n">
        <f aca="false">BG31+BH25-BH30</f>
        <v>72244.173</v>
      </c>
      <c r="BI31" s="90" t="n">
        <f aca="false">BH31+BI25-BI30</f>
        <v>69758.7093333333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4" topLeftCell="B95" activePane="bottomRight" state="frozen"/>
      <selection pane="topLeft" activeCell="A1" activeCellId="0" sqref="A1"/>
      <selection pane="topRight" activeCell="B1" activeCellId="0" sqref="B1"/>
      <selection pane="bottomLeft" activeCell="A95" activeCellId="0" sqref="A9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7" min="3" style="0" width="16"/>
    <col collapsed="false" customWidth="true" hidden="false" outlineLevel="0" max="8" min="8" style="0" width="58"/>
    <col collapsed="false" customWidth="true" hidden="false" outlineLevel="0" max="61" min="9" style="0" width="11"/>
    <col collapsed="false" customWidth="true" hidden="false" outlineLevel="0" max="62" min="62" style="0" width="15"/>
    <col collapsed="false" customWidth="true" hidden="false" outlineLevel="0" max="63" min="63" style="0" width="34"/>
  </cols>
  <sheetData>
    <row r="1" customFormat="false" ht="25.5" hidden="false" customHeight="true" outlineLevel="0" collapsed="false">
      <c r="A1" s="1" t="s">
        <v>912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true" outlineLevel="0" collapsed="false">
      <c r="A2" s="3" t="s">
        <v>913</v>
      </c>
    </row>
    <row r="4" customFormat="false" ht="18" hidden="false" customHeight="true" outlineLevel="0" collapsed="false">
      <c r="A4" s="25" t="s">
        <v>914</v>
      </c>
      <c r="B4" s="26"/>
      <c r="C4" s="26"/>
      <c r="D4" s="26"/>
      <c r="E4" s="26"/>
      <c r="F4" s="26"/>
      <c r="G4" s="26"/>
      <c r="H4" s="26"/>
    </row>
    <row r="5" customFormat="false" ht="15" hidden="false" customHeight="false" outlineLevel="0" collapsed="false">
      <c r="A5" s="96" t="s">
        <v>893</v>
      </c>
      <c r="B5" s="96" t="s">
        <v>915</v>
      </c>
      <c r="C5" s="96" t="s">
        <v>510</v>
      </c>
      <c r="D5" s="96" t="s">
        <v>508</v>
      </c>
      <c r="E5" s="96" t="s">
        <v>593</v>
      </c>
      <c r="F5" s="211" t="s">
        <v>916</v>
      </c>
      <c r="G5" s="211"/>
      <c r="H5" s="211"/>
    </row>
    <row r="6" customFormat="false" ht="15" hidden="false" customHeight="false" outlineLevel="0" collapsed="false">
      <c r="A6" s="212" t="n">
        <v>46128</v>
      </c>
      <c r="B6" s="142" t="s">
        <v>664</v>
      </c>
      <c r="C6" s="145" t="n">
        <v>10000</v>
      </c>
      <c r="D6" s="143" t="s">
        <v>236</v>
      </c>
      <c r="E6" s="143" t="s">
        <v>665</v>
      </c>
      <c r="F6" s="142"/>
      <c r="G6" s="142"/>
      <c r="H6" s="142"/>
    </row>
    <row r="7" customFormat="false" ht="15" hidden="false" customHeight="false" outlineLevel="0" collapsed="false">
      <c r="A7" s="212" t="n">
        <v>46207</v>
      </c>
      <c r="B7" s="142" t="s">
        <v>666</v>
      </c>
      <c r="C7" s="145" t="n">
        <v>5000</v>
      </c>
      <c r="D7" s="143" t="s">
        <v>236</v>
      </c>
      <c r="E7" s="143" t="s">
        <v>665</v>
      </c>
      <c r="F7" s="142"/>
      <c r="G7" s="142"/>
      <c r="H7" s="142"/>
    </row>
    <row r="8" customFormat="false" ht="15" hidden="false" customHeight="false" outlineLevel="0" collapsed="false">
      <c r="A8" s="212" t="n">
        <v>46254</v>
      </c>
      <c r="B8" s="142" t="s">
        <v>664</v>
      </c>
      <c r="C8" s="145" t="n">
        <v>10000</v>
      </c>
      <c r="D8" s="143" t="s">
        <v>236</v>
      </c>
      <c r="E8" s="143" t="s">
        <v>665</v>
      </c>
      <c r="F8" s="142" t="s">
        <v>917</v>
      </c>
      <c r="G8" s="142"/>
      <c r="H8" s="142"/>
    </row>
    <row r="9" customFormat="false" ht="15" hidden="false" customHeight="false" outlineLevel="0" collapsed="false">
      <c r="A9" s="212" t="n">
        <v>46254</v>
      </c>
      <c r="B9" s="142" t="s">
        <v>667</v>
      </c>
      <c r="C9" s="145" t="n">
        <v>3000</v>
      </c>
      <c r="D9" s="143" t="s">
        <v>236</v>
      </c>
      <c r="E9" s="143" t="s">
        <v>665</v>
      </c>
      <c r="F9" s="142"/>
      <c r="G9" s="142"/>
      <c r="H9" s="142"/>
    </row>
    <row r="10" customFormat="false" ht="15" hidden="false" customHeight="false" outlineLevel="0" collapsed="false">
      <c r="A10" s="212" t="n">
        <v>46254</v>
      </c>
      <c r="B10" s="142" t="s">
        <v>668</v>
      </c>
      <c r="C10" s="145" t="n">
        <v>2000</v>
      </c>
      <c r="D10" s="143" t="s">
        <v>236</v>
      </c>
      <c r="E10" s="143" t="s">
        <v>665</v>
      </c>
      <c r="F10" s="142"/>
      <c r="G10" s="142"/>
      <c r="H10" s="142"/>
    </row>
    <row r="11" customFormat="false" ht="15" hidden="false" customHeight="false" outlineLevel="0" collapsed="false">
      <c r="A11" s="212" t="n">
        <v>46263</v>
      </c>
      <c r="B11" s="142" t="s">
        <v>668</v>
      </c>
      <c r="C11" s="145" t="n">
        <v>3000</v>
      </c>
      <c r="D11" s="143" t="s">
        <v>236</v>
      </c>
      <c r="E11" s="143" t="s">
        <v>665</v>
      </c>
      <c r="F11" s="142"/>
      <c r="G11" s="142"/>
      <c r="H11" s="142"/>
    </row>
    <row r="12" customFormat="false" ht="15" hidden="false" customHeight="false" outlineLevel="0" collapsed="false">
      <c r="A12" s="213" t="n">
        <v>46310</v>
      </c>
      <c r="B12" s="214" t="s">
        <v>669</v>
      </c>
      <c r="C12" s="215" t="n">
        <v>40000</v>
      </c>
      <c r="D12" s="216" t="s">
        <v>240</v>
      </c>
      <c r="E12" s="216" t="s">
        <v>918</v>
      </c>
      <c r="F12" s="214" t="s">
        <v>919</v>
      </c>
      <c r="G12" s="214"/>
      <c r="H12" s="214"/>
    </row>
    <row r="13" customFormat="false" ht="15" hidden="false" customHeight="false" outlineLevel="0" collapsed="false">
      <c r="A13" s="213" t="n">
        <v>46310</v>
      </c>
      <c r="B13" s="214" t="s">
        <v>671</v>
      </c>
      <c r="C13" s="215" t="n">
        <v>40000</v>
      </c>
      <c r="D13" s="216" t="s">
        <v>240</v>
      </c>
      <c r="E13" s="216" t="s">
        <v>918</v>
      </c>
      <c r="F13" s="214" t="s">
        <v>919</v>
      </c>
      <c r="G13" s="214"/>
      <c r="H13" s="214"/>
    </row>
    <row r="14" customFormat="false" ht="15" hidden="false" customHeight="false" outlineLevel="0" collapsed="false">
      <c r="A14" s="213" t="n">
        <v>46341</v>
      </c>
      <c r="B14" s="214" t="s">
        <v>672</v>
      </c>
      <c r="C14" s="215" t="n">
        <v>40000</v>
      </c>
      <c r="D14" s="216" t="s">
        <v>240</v>
      </c>
      <c r="E14" s="216" t="s">
        <v>918</v>
      </c>
      <c r="F14" s="214" t="s">
        <v>920</v>
      </c>
      <c r="G14" s="214"/>
      <c r="H14" s="214"/>
    </row>
    <row r="15" customFormat="false" ht="15" hidden="false" customHeight="false" outlineLevel="0" collapsed="false">
      <c r="A15" s="217" t="n">
        <v>46371</v>
      </c>
      <c r="B15" s="184" t="s">
        <v>666</v>
      </c>
      <c r="C15" s="174" t="n">
        <v>5000</v>
      </c>
      <c r="D15" s="218" t="s">
        <v>238</v>
      </c>
      <c r="E15" s="218" t="s">
        <v>665</v>
      </c>
      <c r="F15" s="184" t="s">
        <v>921</v>
      </c>
      <c r="G15" s="184"/>
      <c r="H15" s="184"/>
    </row>
    <row r="16" customFormat="false" ht="15" hidden="false" customHeight="false" outlineLevel="0" collapsed="false">
      <c r="A16" s="217" t="n">
        <v>46371</v>
      </c>
      <c r="B16" s="184" t="s">
        <v>667</v>
      </c>
      <c r="C16" s="174" t="n">
        <v>7000</v>
      </c>
      <c r="D16" s="218" t="s">
        <v>238</v>
      </c>
      <c r="E16" s="218" t="s">
        <v>665</v>
      </c>
      <c r="F16" s="184" t="s">
        <v>921</v>
      </c>
      <c r="G16" s="184"/>
      <c r="H16" s="184"/>
    </row>
    <row r="17" customFormat="false" ht="15" hidden="false" customHeight="false" outlineLevel="0" collapsed="false">
      <c r="A17" s="217" t="n">
        <v>46371</v>
      </c>
      <c r="B17" s="184" t="s">
        <v>668</v>
      </c>
      <c r="C17" s="174" t="n">
        <v>5000</v>
      </c>
      <c r="D17" s="218" t="s">
        <v>238</v>
      </c>
      <c r="E17" s="218" t="s">
        <v>665</v>
      </c>
      <c r="F17" s="184" t="s">
        <v>921</v>
      </c>
      <c r="G17" s="184"/>
      <c r="H17" s="184"/>
    </row>
    <row r="18" customFormat="false" ht="15" hidden="false" customHeight="false" outlineLevel="0" collapsed="false">
      <c r="A18" s="217" t="n">
        <v>46553</v>
      </c>
      <c r="B18" s="184" t="s">
        <v>666</v>
      </c>
      <c r="C18" s="174" t="n">
        <v>5000</v>
      </c>
      <c r="D18" s="218" t="s">
        <v>238</v>
      </c>
      <c r="E18" s="218" t="s">
        <v>665</v>
      </c>
      <c r="F18" s="184"/>
      <c r="G18" s="184"/>
      <c r="H18" s="184"/>
    </row>
    <row r="19" customFormat="false" ht="15" hidden="false" customHeight="false" outlineLevel="0" collapsed="false">
      <c r="A19" s="217" t="n">
        <v>46553</v>
      </c>
      <c r="B19" s="184" t="s">
        <v>667</v>
      </c>
      <c r="C19" s="174" t="n">
        <v>5000</v>
      </c>
      <c r="D19" s="218" t="s">
        <v>238</v>
      </c>
      <c r="E19" s="218" t="s">
        <v>665</v>
      </c>
      <c r="F19" s="184"/>
      <c r="G19" s="184"/>
      <c r="H19" s="184"/>
    </row>
    <row r="20" customFormat="false" ht="15" hidden="false" customHeight="false" outlineLevel="0" collapsed="false">
      <c r="A20" s="217" t="n">
        <v>46553</v>
      </c>
      <c r="B20" s="184" t="s">
        <v>668</v>
      </c>
      <c r="C20" s="174" t="n">
        <v>5000</v>
      </c>
      <c r="D20" s="218" t="s">
        <v>238</v>
      </c>
      <c r="E20" s="218" t="s">
        <v>665</v>
      </c>
      <c r="F20" s="184"/>
      <c r="G20" s="184"/>
      <c r="H20" s="184"/>
    </row>
    <row r="21" customFormat="false" ht="15" hidden="false" customHeight="false" outlineLevel="0" collapsed="false">
      <c r="A21" s="217" t="n">
        <v>46736</v>
      </c>
      <c r="B21" s="184" t="s">
        <v>666</v>
      </c>
      <c r="C21" s="174" t="n">
        <v>5000</v>
      </c>
      <c r="D21" s="218" t="s">
        <v>238</v>
      </c>
      <c r="E21" s="218" t="s">
        <v>665</v>
      </c>
      <c r="F21" s="184" t="s">
        <v>922</v>
      </c>
      <c r="G21" s="184"/>
      <c r="H21" s="184"/>
    </row>
    <row r="22" customFormat="false" ht="15" hidden="false" customHeight="false" outlineLevel="0" collapsed="false">
      <c r="A22" s="217" t="n">
        <v>46736</v>
      </c>
      <c r="B22" s="184" t="s">
        <v>667</v>
      </c>
      <c r="C22" s="174" t="n">
        <v>5000</v>
      </c>
      <c r="D22" s="218" t="s">
        <v>238</v>
      </c>
      <c r="E22" s="218" t="s">
        <v>665</v>
      </c>
      <c r="F22" s="184" t="s">
        <v>922</v>
      </c>
      <c r="G22" s="184"/>
      <c r="H22" s="184"/>
    </row>
    <row r="23" customFormat="false" ht="15" hidden="false" customHeight="false" outlineLevel="0" collapsed="false">
      <c r="A23" s="217" t="n">
        <v>46736</v>
      </c>
      <c r="B23" s="184" t="s">
        <v>668</v>
      </c>
      <c r="C23" s="174" t="n">
        <v>5000</v>
      </c>
      <c r="D23" s="218" t="s">
        <v>238</v>
      </c>
      <c r="E23" s="218" t="s">
        <v>665</v>
      </c>
      <c r="F23" s="184" t="s">
        <v>922</v>
      </c>
      <c r="G23" s="184"/>
      <c r="H23" s="184"/>
    </row>
    <row r="24" customFormat="false" ht="15" hidden="false" customHeight="false" outlineLevel="0" collapsed="false">
      <c r="A24" s="219" t="n">
        <v>46402</v>
      </c>
      <c r="B24" s="127"/>
      <c r="C24" s="220" t="n">
        <v>0</v>
      </c>
      <c r="D24" s="128" t="s">
        <v>240</v>
      </c>
      <c r="E24" s="128" t="s">
        <v>918</v>
      </c>
      <c r="F24" s="127"/>
      <c r="G24" s="127"/>
      <c r="H24" s="127"/>
    </row>
    <row r="25" customFormat="false" ht="15" hidden="false" customHeight="false" outlineLevel="0" collapsed="false">
      <c r="A25" s="219" t="n">
        <v>46402</v>
      </c>
      <c r="B25" s="127"/>
      <c r="C25" s="220" t="n">
        <v>0</v>
      </c>
      <c r="D25" s="128" t="s">
        <v>240</v>
      </c>
      <c r="E25" s="128" t="s">
        <v>918</v>
      </c>
      <c r="F25" s="127"/>
      <c r="G25" s="127"/>
      <c r="H25" s="127"/>
    </row>
    <row r="26" customFormat="false" ht="15" hidden="false" customHeight="false" outlineLevel="0" collapsed="false">
      <c r="A26" s="219" t="n">
        <v>46402</v>
      </c>
      <c r="B26" s="127"/>
      <c r="C26" s="220" t="n">
        <v>0</v>
      </c>
      <c r="D26" s="128" t="s">
        <v>240</v>
      </c>
      <c r="E26" s="128" t="s">
        <v>918</v>
      </c>
      <c r="F26" s="127"/>
      <c r="G26" s="127"/>
      <c r="H26" s="127"/>
    </row>
    <row r="27" customFormat="false" ht="15" hidden="false" customHeight="false" outlineLevel="0" collapsed="false">
      <c r="A27" s="219" t="n">
        <v>46402</v>
      </c>
      <c r="B27" s="127"/>
      <c r="C27" s="220" t="n">
        <v>0</v>
      </c>
      <c r="D27" s="128" t="s">
        <v>240</v>
      </c>
      <c r="E27" s="128" t="s">
        <v>918</v>
      </c>
      <c r="F27" s="127"/>
      <c r="G27" s="127"/>
      <c r="H27" s="127"/>
    </row>
    <row r="28" customFormat="false" ht="15" hidden="false" customHeight="false" outlineLevel="0" collapsed="false">
      <c r="A28" s="219" t="n">
        <v>46402</v>
      </c>
      <c r="B28" s="127"/>
      <c r="C28" s="220" t="n">
        <v>0</v>
      </c>
      <c r="D28" s="128" t="s">
        <v>240</v>
      </c>
      <c r="E28" s="128" t="s">
        <v>918</v>
      </c>
      <c r="F28" s="127"/>
      <c r="G28" s="127"/>
      <c r="H28" s="127"/>
    </row>
    <row r="29" customFormat="false" ht="15" hidden="false" customHeight="false" outlineLevel="0" collapsed="false">
      <c r="A29" s="219" t="n">
        <v>46402</v>
      </c>
      <c r="B29" s="127"/>
      <c r="C29" s="220" t="n">
        <v>0</v>
      </c>
      <c r="D29" s="128" t="s">
        <v>240</v>
      </c>
      <c r="E29" s="128" t="s">
        <v>918</v>
      </c>
      <c r="F29" s="127"/>
      <c r="G29" s="127"/>
      <c r="H29" s="127"/>
    </row>
    <row r="30" customFormat="false" ht="15" hidden="false" customHeight="false" outlineLevel="0" collapsed="false">
      <c r="A30" s="219" t="n">
        <v>46402</v>
      </c>
      <c r="B30" s="127"/>
      <c r="C30" s="220" t="n">
        <v>0</v>
      </c>
      <c r="D30" s="128" t="s">
        <v>240</v>
      </c>
      <c r="E30" s="128" t="s">
        <v>918</v>
      </c>
      <c r="F30" s="127"/>
      <c r="G30" s="127"/>
      <c r="H30" s="127"/>
    </row>
    <row r="31" customFormat="false" ht="15" hidden="false" customHeight="false" outlineLevel="0" collapsed="false">
      <c r="A31" s="219" t="n">
        <v>46402</v>
      </c>
      <c r="B31" s="127"/>
      <c r="C31" s="220" t="n">
        <v>0</v>
      </c>
      <c r="D31" s="128" t="s">
        <v>240</v>
      </c>
      <c r="E31" s="128" t="s">
        <v>918</v>
      </c>
      <c r="F31" s="127"/>
      <c r="G31" s="127"/>
      <c r="H31" s="127"/>
    </row>
    <row r="32" customFormat="false" ht="15" hidden="false" customHeight="false" outlineLevel="0" collapsed="false">
      <c r="A32" s="219" t="n">
        <v>46402</v>
      </c>
      <c r="B32" s="127"/>
      <c r="C32" s="220" t="n">
        <v>0</v>
      </c>
      <c r="D32" s="128" t="s">
        <v>240</v>
      </c>
      <c r="E32" s="128" t="s">
        <v>918</v>
      </c>
      <c r="F32" s="127"/>
      <c r="G32" s="127"/>
      <c r="H32" s="127"/>
    </row>
    <row r="33" customFormat="false" ht="15" hidden="false" customHeight="false" outlineLevel="0" collapsed="false">
      <c r="A33" s="219" t="n">
        <v>46402</v>
      </c>
      <c r="B33" s="127"/>
      <c r="C33" s="220" t="n">
        <v>0</v>
      </c>
      <c r="D33" s="128" t="s">
        <v>240</v>
      </c>
      <c r="E33" s="128" t="s">
        <v>918</v>
      </c>
      <c r="F33" s="127"/>
      <c r="G33" s="127"/>
      <c r="H33" s="127"/>
    </row>
    <row r="34" customFormat="false" ht="15" hidden="false" customHeight="false" outlineLevel="0" collapsed="false">
      <c r="A34" s="219" t="n">
        <v>46402</v>
      </c>
      <c r="B34" s="127"/>
      <c r="C34" s="220" t="n">
        <v>0</v>
      </c>
      <c r="D34" s="128" t="s">
        <v>240</v>
      </c>
      <c r="E34" s="128" t="s">
        <v>918</v>
      </c>
      <c r="F34" s="127"/>
      <c r="G34" s="127"/>
      <c r="H34" s="127"/>
    </row>
    <row r="35" customFormat="false" ht="15" hidden="false" customHeight="false" outlineLevel="0" collapsed="false">
      <c r="A35" s="219" t="n">
        <v>46402</v>
      </c>
      <c r="B35" s="127"/>
      <c r="C35" s="220" t="n">
        <v>0</v>
      </c>
      <c r="D35" s="128" t="s">
        <v>240</v>
      </c>
      <c r="E35" s="128" t="s">
        <v>918</v>
      </c>
      <c r="F35" s="127"/>
      <c r="G35" s="127"/>
      <c r="H35" s="127"/>
    </row>
    <row r="36" customFormat="false" ht="15" hidden="false" customHeight="false" outlineLevel="0" collapsed="false">
      <c r="A36" s="219" t="n">
        <v>46402</v>
      </c>
      <c r="B36" s="127"/>
      <c r="C36" s="220" t="n">
        <v>0</v>
      </c>
      <c r="D36" s="128" t="s">
        <v>240</v>
      </c>
      <c r="E36" s="128" t="s">
        <v>918</v>
      </c>
      <c r="F36" s="127"/>
      <c r="G36" s="127"/>
      <c r="H36" s="127"/>
    </row>
    <row r="37" customFormat="false" ht="15" hidden="false" customHeight="false" outlineLevel="0" collapsed="false">
      <c r="A37" s="219" t="n">
        <v>46402</v>
      </c>
      <c r="B37" s="127"/>
      <c r="C37" s="220" t="n">
        <v>0</v>
      </c>
      <c r="D37" s="128" t="s">
        <v>240</v>
      </c>
      <c r="E37" s="128" t="s">
        <v>918</v>
      </c>
      <c r="F37" s="127"/>
      <c r="G37" s="127"/>
      <c r="H37" s="127"/>
    </row>
    <row r="38" customFormat="false" ht="15" hidden="false" customHeight="false" outlineLevel="0" collapsed="false">
      <c r="B38" s="160" t="s">
        <v>923</v>
      </c>
      <c r="C38" s="161" t="n">
        <f aca="false">SUMPRODUCT((($D$6:$D$37="Realizado")+($D$6:$D$37="Compromisso")+($D$6:$D$37="Previsto")*Premissas!$B$116+($D$6:$D$37="Em negociação")*Premissas!$B$117)*$C$6:$C$37)</f>
        <v>200000</v>
      </c>
    </row>
    <row r="40" customFormat="false" ht="18" hidden="false" customHeight="true" outlineLevel="0" collapsed="false">
      <c r="A40" s="25" t="s">
        <v>924</v>
      </c>
      <c r="B40" s="26"/>
      <c r="C40" s="26"/>
      <c r="D40" s="26"/>
      <c r="E40" s="26"/>
      <c r="F40" s="26"/>
      <c r="G40" s="26"/>
      <c r="H40" s="26"/>
    </row>
    <row r="41" customFormat="false" ht="27.75" hidden="false" customHeight="true" outlineLevel="0" collapsed="false">
      <c r="A41" s="78" t="s">
        <v>925</v>
      </c>
      <c r="B41" s="78"/>
      <c r="C41" s="78"/>
      <c r="D41" s="78"/>
      <c r="E41" s="78"/>
      <c r="F41" s="78"/>
      <c r="G41" s="78"/>
      <c r="H41" s="78"/>
    </row>
    <row r="42" customFormat="false" ht="27.75" hidden="false" customHeight="true" outlineLevel="0" collapsed="false">
      <c r="A42" s="118" t="s">
        <v>670</v>
      </c>
      <c r="B42" s="118" t="s">
        <v>508</v>
      </c>
      <c r="C42" s="118" t="s">
        <v>926</v>
      </c>
      <c r="D42" s="118" t="s">
        <v>927</v>
      </c>
      <c r="E42" s="118" t="s">
        <v>928</v>
      </c>
      <c r="F42" s="118" t="s">
        <v>929</v>
      </c>
      <c r="G42" s="118" t="s">
        <v>930</v>
      </c>
      <c r="H42" s="118" t="s">
        <v>916</v>
      </c>
    </row>
    <row r="43" customFormat="false" ht="43.5" hidden="false" customHeight="true" outlineLevel="0" collapsed="false">
      <c r="A43" s="123" t="s">
        <v>931</v>
      </c>
      <c r="B43" s="124" t="s">
        <v>242</v>
      </c>
      <c r="C43" s="221" t="n">
        <v>500000</v>
      </c>
      <c r="D43" s="126" t="n">
        <v>46569</v>
      </c>
      <c r="E43" s="221" t="n">
        <v>80000</v>
      </c>
      <c r="F43" s="126" t="n">
        <v>46569</v>
      </c>
      <c r="G43" s="126" t="n">
        <v>47818</v>
      </c>
      <c r="H43" s="222" t="s">
        <v>932</v>
      </c>
    </row>
    <row r="44" customFormat="false" ht="15" hidden="false" customHeight="false" outlineLevel="0" collapsed="false">
      <c r="A44" s="127"/>
      <c r="B44" s="128" t="s">
        <v>242</v>
      </c>
      <c r="C44" s="220" t="n">
        <v>0</v>
      </c>
      <c r="D44" s="130" t="n">
        <v>46753</v>
      </c>
      <c r="E44" s="220" t="n">
        <v>0</v>
      </c>
      <c r="F44" s="130" t="n">
        <v>46753</v>
      </c>
      <c r="G44" s="130" t="n">
        <v>47818</v>
      </c>
      <c r="H44" s="223"/>
    </row>
    <row r="45" customFormat="false" ht="15" hidden="false" customHeight="false" outlineLevel="0" collapsed="false">
      <c r="A45" s="127"/>
      <c r="B45" s="128" t="s">
        <v>242</v>
      </c>
      <c r="C45" s="220" t="n">
        <v>0</v>
      </c>
      <c r="D45" s="130" t="n">
        <v>46753</v>
      </c>
      <c r="E45" s="220" t="n">
        <v>0</v>
      </c>
      <c r="F45" s="130" t="n">
        <v>46753</v>
      </c>
      <c r="G45" s="130" t="n">
        <v>47818</v>
      </c>
      <c r="H45" s="223"/>
    </row>
    <row r="46" customFormat="false" ht="15" hidden="false" customHeight="false" outlineLevel="0" collapsed="false">
      <c r="A46" s="127"/>
      <c r="B46" s="128" t="s">
        <v>242</v>
      </c>
      <c r="C46" s="220" t="n">
        <v>0</v>
      </c>
      <c r="D46" s="130" t="n">
        <v>46753</v>
      </c>
      <c r="E46" s="220" t="n">
        <v>0</v>
      </c>
      <c r="F46" s="130" t="n">
        <v>46753</v>
      </c>
      <c r="G46" s="130" t="n">
        <v>47818</v>
      </c>
      <c r="H46" s="223"/>
    </row>
    <row r="47" customFormat="false" ht="15" hidden="false" customHeight="false" outlineLevel="0" collapsed="false">
      <c r="A47" s="127"/>
      <c r="B47" s="128" t="s">
        <v>242</v>
      </c>
      <c r="C47" s="220" t="n">
        <v>0</v>
      </c>
      <c r="D47" s="130" t="n">
        <v>46753</v>
      </c>
      <c r="E47" s="220" t="n">
        <v>0</v>
      </c>
      <c r="F47" s="130" t="n">
        <v>46753</v>
      </c>
      <c r="G47" s="130" t="n">
        <v>47818</v>
      </c>
      <c r="H47" s="223"/>
    </row>
    <row r="48" customFormat="false" ht="15" hidden="false" customHeight="false" outlineLevel="0" collapsed="false">
      <c r="A48" s="127"/>
      <c r="B48" s="128" t="s">
        <v>242</v>
      </c>
      <c r="C48" s="220" t="n">
        <v>0</v>
      </c>
      <c r="D48" s="130" t="n">
        <v>46753</v>
      </c>
      <c r="E48" s="220" t="n">
        <v>0</v>
      </c>
      <c r="F48" s="130" t="n">
        <v>46753</v>
      </c>
      <c r="G48" s="130" t="n">
        <v>47818</v>
      </c>
      <c r="H48" s="223"/>
    </row>
    <row r="49" customFormat="false" ht="15" hidden="false" customHeight="false" outlineLevel="0" collapsed="false">
      <c r="A49" s="127"/>
      <c r="B49" s="128" t="s">
        <v>242</v>
      </c>
      <c r="C49" s="220" t="n">
        <v>0</v>
      </c>
      <c r="D49" s="130" t="n">
        <v>46753</v>
      </c>
      <c r="E49" s="220" t="n">
        <v>0</v>
      </c>
      <c r="F49" s="130" t="n">
        <v>46753</v>
      </c>
      <c r="G49" s="130" t="n">
        <v>47818</v>
      </c>
      <c r="H49" s="223"/>
    </row>
    <row r="50" customFormat="false" ht="15" hidden="false" customHeight="false" outlineLevel="0" collapsed="false">
      <c r="A50" s="127"/>
      <c r="B50" s="128" t="s">
        <v>242</v>
      </c>
      <c r="C50" s="220" t="n">
        <v>0</v>
      </c>
      <c r="D50" s="130" t="n">
        <v>46753</v>
      </c>
      <c r="E50" s="220" t="n">
        <v>0</v>
      </c>
      <c r="F50" s="130" t="n">
        <v>46753</v>
      </c>
      <c r="G50" s="130" t="n">
        <v>47818</v>
      </c>
      <c r="H50" s="223"/>
    </row>
    <row r="51" customFormat="false" ht="15" hidden="false" customHeight="false" outlineLevel="0" collapsed="false">
      <c r="A51" s="160" t="s">
        <v>230</v>
      </c>
      <c r="C51" s="161" t="n">
        <f aca="false">SUMPRODUCT((($B$43:$B$50="Confirmado")+($B$43:$B$50="Em negociação")*Premissas!$B$117)*$C$43:$C$50)</f>
        <v>0</v>
      </c>
      <c r="E51" s="161" t="n">
        <f aca="false">SUMPRODUCT((($B$43:$B$50="Confirmado")+($B$43:$B$50="Em negociação")*Premissas!$B$117)*$E$43:$E$50)</f>
        <v>0</v>
      </c>
      <c r="I51" s="29" t="s">
        <v>933</v>
      </c>
    </row>
    <row r="53" customFormat="false" ht="18" hidden="false" customHeight="true" outlineLevel="0" collapsed="false">
      <c r="A53" s="25" t="s">
        <v>934</v>
      </c>
      <c r="B53" s="26"/>
      <c r="C53" s="26"/>
      <c r="D53" s="26"/>
      <c r="E53" s="26"/>
      <c r="F53" s="26"/>
      <c r="G53" s="26"/>
      <c r="H53" s="26"/>
    </row>
    <row r="54" customFormat="false" ht="15" hidden="false" customHeight="false" outlineLevel="0" collapsed="false">
      <c r="B54" s="162" t="s">
        <v>935</v>
      </c>
      <c r="C54" s="63" t="n">
        <f aca="false">SUMIFS($C$6:$C$37,$D$6:$D$37,"Realizado")</f>
        <v>33000</v>
      </c>
    </row>
    <row r="55" customFormat="false" ht="15" hidden="false" customHeight="false" outlineLevel="0" collapsed="false">
      <c r="B55" s="162" t="s">
        <v>936</v>
      </c>
      <c r="C55" s="63" t="n">
        <f aca="false">SUMIFS($C$6:$C$37,$D$6:$D$37,"Compromisso")</f>
        <v>47000</v>
      </c>
    </row>
    <row r="56" customFormat="false" ht="15" hidden="false" customHeight="false" outlineLevel="0" collapsed="false">
      <c r="B56" s="162" t="s">
        <v>937</v>
      </c>
      <c r="C56" s="63" t="n">
        <f aca="false">SUMIFS($C$6:$C$37,$D$6:$D$37,"Previsto")*Premissas!$B$116</f>
        <v>120000</v>
      </c>
    </row>
    <row r="57" customFormat="false" ht="15" hidden="false" customHeight="false" outlineLevel="0" collapsed="false">
      <c r="B57" s="162" t="s">
        <v>938</v>
      </c>
      <c r="C57" s="63" t="n">
        <f aca="false">SUMIFS($C$6:$C$37,$D$6:$D$37,"Em negociação")*Premissas!$B$117</f>
        <v>0</v>
      </c>
    </row>
    <row r="58" customFormat="false" ht="15" hidden="false" customHeight="false" outlineLevel="0" collapsed="false">
      <c r="B58" s="162" t="s">
        <v>939</v>
      </c>
      <c r="C58" s="63" t="n">
        <f aca="false">SUMPRODUCT((($B$43:$B$50="Confirmado")+($B$43:$B$50="Em negociação")*Premissas!$B$117)*$C$43:$C$50)</f>
        <v>0</v>
      </c>
    </row>
    <row r="59" customFormat="false" ht="15" hidden="false" customHeight="false" outlineLevel="0" collapsed="false">
      <c r="B59" s="160" t="s">
        <v>940</v>
      </c>
      <c r="C59" s="161" t="n">
        <f aca="false">C38+C51</f>
        <v>200000</v>
      </c>
      <c r="E59" s="29" t="s">
        <v>941</v>
      </c>
    </row>
    <row r="62" customFormat="false" ht="18" hidden="false" customHeight="true" outlineLevel="0" collapsed="false">
      <c r="A62" s="25" t="s">
        <v>942</v>
      </c>
      <c r="B62" s="26"/>
      <c r="C62" s="26"/>
      <c r="D62" s="26"/>
      <c r="E62" s="26"/>
      <c r="F62" s="26"/>
      <c r="G62" s="26"/>
      <c r="H62" s="26"/>
    </row>
    <row r="63" customFormat="false" ht="15" hidden="false" customHeight="false" outlineLevel="0" collapsed="false">
      <c r="A63" s="183" t="s">
        <v>665</v>
      </c>
      <c r="B63" s="183" t="s">
        <v>943</v>
      </c>
      <c r="C63" s="183" t="s">
        <v>944</v>
      </c>
      <c r="D63" s="183" t="s">
        <v>945</v>
      </c>
      <c r="E63" s="183" t="s">
        <v>946</v>
      </c>
      <c r="F63" s="183" t="s">
        <v>947</v>
      </c>
    </row>
    <row r="64" customFormat="false" ht="15" hidden="false" customHeight="false" outlineLevel="0" collapsed="false">
      <c r="A64" s="224" t="s">
        <v>664</v>
      </c>
      <c r="B64" s="225" t="n">
        <v>20000</v>
      </c>
      <c r="C64" s="226" t="n">
        <f aca="false">SUMIFS($C$6:$C$37,$B$6:$B$37,$A64,$A$6:$A$37,"&lt;="&amp;DATE(2026,12,31))</f>
        <v>20000</v>
      </c>
      <c r="D64" s="226" t="n">
        <f aca="false">SUMIFS($C$6:$C$37,$B$6:$B$37,$A64)</f>
        <v>20000</v>
      </c>
      <c r="E64" s="226" t="n">
        <f aca="false">MAX(0,10000-$C64)</f>
        <v>0</v>
      </c>
      <c r="F64" s="226" t="n">
        <f aca="false">MAX(0,$B64-$D64)</f>
        <v>0</v>
      </c>
      <c r="H64" s="29" t="s">
        <v>948</v>
      </c>
    </row>
    <row r="65" customFormat="false" ht="15" hidden="false" customHeight="false" outlineLevel="0" collapsed="false">
      <c r="A65" s="224" t="s">
        <v>666</v>
      </c>
      <c r="B65" s="225" t="n">
        <v>20000</v>
      </c>
      <c r="C65" s="226" t="n">
        <f aca="false">SUMIFS($C$6:$C$37,$B$6:$B$37,$A65,$A$6:$A$37,"&lt;="&amp;DATE(2026,12,31))</f>
        <v>10000</v>
      </c>
      <c r="D65" s="226" t="n">
        <f aca="false">SUMIFS($C$6:$C$37,$B$6:$B$37,$A65)</f>
        <v>20000</v>
      </c>
      <c r="E65" s="226" t="n">
        <f aca="false">MAX(0,10000-$C65)</f>
        <v>0</v>
      </c>
      <c r="F65" s="226" t="n">
        <f aca="false">MAX(0,$B65-$D65)</f>
        <v>0</v>
      </c>
    </row>
    <row r="66" customFormat="false" ht="15" hidden="false" customHeight="false" outlineLevel="0" collapsed="false">
      <c r="A66" s="224" t="s">
        <v>667</v>
      </c>
      <c r="B66" s="225" t="n">
        <v>20000</v>
      </c>
      <c r="C66" s="226" t="n">
        <f aca="false">SUMIFS($C$6:$C$37,$B$6:$B$37,$A66,$A$6:$A$37,"&lt;="&amp;DATE(2026,12,31))</f>
        <v>10000</v>
      </c>
      <c r="D66" s="226" t="n">
        <f aca="false">SUMIFS($C$6:$C$37,$B$6:$B$37,$A66)</f>
        <v>20000</v>
      </c>
      <c r="E66" s="226" t="n">
        <f aca="false">MAX(0,10000-$C66)</f>
        <v>0</v>
      </c>
      <c r="F66" s="226" t="n">
        <f aca="false">MAX(0,$B66-$D66)</f>
        <v>0</v>
      </c>
    </row>
    <row r="67" customFormat="false" ht="15" hidden="false" customHeight="false" outlineLevel="0" collapsed="false">
      <c r="A67" s="224" t="s">
        <v>668</v>
      </c>
      <c r="B67" s="225" t="n">
        <v>20000</v>
      </c>
      <c r="C67" s="226" t="n">
        <f aca="false">SUMIFS($C$6:$C$37,$B$6:$B$37,$A67,$A$6:$A$37,"&lt;="&amp;DATE(2026,12,31))</f>
        <v>10000</v>
      </c>
      <c r="D67" s="226" t="n">
        <f aca="false">SUMIFS($C$6:$C$37,$B$6:$B$37,$A67)</f>
        <v>20000</v>
      </c>
      <c r="E67" s="226" t="n">
        <f aca="false">MAX(0,10000-$C67)</f>
        <v>0</v>
      </c>
      <c r="F67" s="226" t="n">
        <f aca="false">MAX(0,$B67-$D67)</f>
        <v>0</v>
      </c>
    </row>
    <row r="70" customFormat="false" ht="18" hidden="false" customHeight="true" outlineLevel="0" collapsed="false">
      <c r="A70" s="25" t="s">
        <v>949</v>
      </c>
      <c r="B70" s="26"/>
      <c r="C70" s="26"/>
      <c r="D70" s="26"/>
      <c r="E70" s="26"/>
      <c r="F70" s="26"/>
      <c r="G70" s="26"/>
      <c r="H70" s="26"/>
    </row>
    <row r="71" customFormat="false" ht="31.5" hidden="false" customHeight="true" outlineLevel="0" collapsed="false">
      <c r="A71" s="95" t="s">
        <v>950</v>
      </c>
      <c r="B71" s="95"/>
      <c r="C71" s="95"/>
      <c r="D71" s="95"/>
      <c r="E71" s="95"/>
      <c r="F71" s="95"/>
      <c r="G71" s="95"/>
      <c r="H71" s="95"/>
    </row>
    <row r="72" customFormat="false" ht="15" hidden="false" customHeight="false" outlineLevel="0" collapsed="false">
      <c r="A72" s="96" t="s">
        <v>915</v>
      </c>
      <c r="B72" s="96" t="s">
        <v>951</v>
      </c>
      <c r="C72" s="96" t="s">
        <v>952</v>
      </c>
    </row>
    <row r="73" customFormat="false" ht="15" hidden="false" customHeight="false" outlineLevel="0" collapsed="false">
      <c r="A73" s="224" t="s">
        <v>664</v>
      </c>
      <c r="B73" s="226" t="n">
        <f aca="false">IF($A73="",0,SUMPRODUCT((($D$6:$D$37="Realizado")+($D$6:$D$37="Compromisso")+($D$6:$D$37="Previsto")*Premissas!$B$116+($D$6:$D$37="Em negociação")*Premissas!$B$117)*($B$6:$B$37=$A73)*$C$6:$C$37)+SUMPRODUCT((($B$43:$B$50="Confirmado")+($B$43:$B$50="Em negociação")*Premissas!$B$117)*($A$43:$A$50=$A73)*$C$43:$C$50))</f>
        <v>20000</v>
      </c>
      <c r="C73" s="227" t="n">
        <f aca="false">IFERROR($B73/$B$86,0)</f>
        <v>0.1</v>
      </c>
    </row>
    <row r="74" customFormat="false" ht="15" hidden="false" customHeight="false" outlineLevel="0" collapsed="false">
      <c r="A74" s="224" t="s">
        <v>666</v>
      </c>
      <c r="B74" s="226" t="n">
        <f aca="false">IF($A74="",0,SUMPRODUCT((($D$6:$D$37="Realizado")+($D$6:$D$37="Compromisso")+($D$6:$D$37="Previsto")*Premissas!$B$116+($D$6:$D$37="Em negociação")*Premissas!$B$117)*($B$6:$B$37=$A74)*$C$6:$C$37)+SUMPRODUCT((($B$43:$B$50="Confirmado")+($B$43:$B$50="Em negociação")*Premissas!$B$117)*($A$43:$A$50=$A74)*$C$43:$C$50))</f>
        <v>20000</v>
      </c>
      <c r="C74" s="227" t="n">
        <f aca="false">IFERROR($B74/$B$86,0)</f>
        <v>0.1</v>
      </c>
    </row>
    <row r="75" customFormat="false" ht="15" hidden="false" customHeight="false" outlineLevel="0" collapsed="false">
      <c r="A75" s="224" t="s">
        <v>667</v>
      </c>
      <c r="B75" s="226" t="n">
        <f aca="false">IF($A75="",0,SUMPRODUCT((($D$6:$D$37="Realizado")+($D$6:$D$37="Compromisso")+($D$6:$D$37="Previsto")*Premissas!$B$116+($D$6:$D$37="Em negociação")*Premissas!$B$117)*($B$6:$B$37=$A75)*$C$6:$C$37)+SUMPRODUCT((($B$43:$B$50="Confirmado")+($B$43:$B$50="Em negociação")*Premissas!$B$117)*($A$43:$A$50=$A75)*$C$43:$C$50))</f>
        <v>20000</v>
      </c>
      <c r="C75" s="227" t="n">
        <f aca="false">IFERROR($B75/$B$86,0)</f>
        <v>0.1</v>
      </c>
    </row>
    <row r="76" customFormat="false" ht="15" hidden="false" customHeight="false" outlineLevel="0" collapsed="false">
      <c r="A76" s="224" t="s">
        <v>668</v>
      </c>
      <c r="B76" s="226" t="n">
        <f aca="false">IF($A76="",0,SUMPRODUCT((($D$6:$D$37="Realizado")+($D$6:$D$37="Compromisso")+($D$6:$D$37="Previsto")*Premissas!$B$116+($D$6:$D$37="Em negociação")*Premissas!$B$117)*($B$6:$B$37=$A76)*$C$6:$C$37)+SUMPRODUCT((($B$43:$B$50="Confirmado")+($B$43:$B$50="Em negociação")*Premissas!$B$117)*($A$43:$A$50=$A76)*$C$43:$C$50))</f>
        <v>20000</v>
      </c>
      <c r="C76" s="227" t="n">
        <f aca="false">IFERROR($B76/$B$86,0)</f>
        <v>0.1</v>
      </c>
    </row>
    <row r="77" customFormat="false" ht="15" hidden="false" customHeight="false" outlineLevel="0" collapsed="false">
      <c r="A77" s="224" t="s">
        <v>669</v>
      </c>
      <c r="B77" s="226" t="n">
        <f aca="false">IF($A77="",0,SUMPRODUCT((($D$6:$D$37="Realizado")+($D$6:$D$37="Compromisso")+($D$6:$D$37="Previsto")*Premissas!$B$116+($D$6:$D$37="Em negociação")*Premissas!$B$117)*($B$6:$B$37=$A77)*$C$6:$C$37)+SUMPRODUCT((($B$43:$B$50="Confirmado")+($B$43:$B$50="Em negociação")*Premissas!$B$117)*($A$43:$A$50=$A77)*$C$43:$C$50))</f>
        <v>40000</v>
      </c>
      <c r="C77" s="227" t="n">
        <f aca="false">IFERROR($B77/$B$86,0)</f>
        <v>0.2</v>
      </c>
    </row>
    <row r="78" customFormat="false" ht="15" hidden="false" customHeight="false" outlineLevel="0" collapsed="false">
      <c r="A78" s="224" t="s">
        <v>671</v>
      </c>
      <c r="B78" s="226" t="n">
        <f aca="false">IF($A78="",0,SUMPRODUCT((($D$6:$D$37="Realizado")+($D$6:$D$37="Compromisso")+($D$6:$D$37="Previsto")*Premissas!$B$116+($D$6:$D$37="Em negociação")*Premissas!$B$117)*($B$6:$B$37=$A78)*$C$6:$C$37)+SUMPRODUCT((($B$43:$B$50="Confirmado")+($B$43:$B$50="Em negociação")*Premissas!$B$117)*($A$43:$A$50=$A78)*$C$43:$C$50))</f>
        <v>40000</v>
      </c>
      <c r="C78" s="227" t="n">
        <f aca="false">IFERROR($B78/$B$86,0)</f>
        <v>0.2</v>
      </c>
    </row>
    <row r="79" customFormat="false" ht="15" hidden="false" customHeight="false" outlineLevel="0" collapsed="false">
      <c r="A79" s="224" t="s">
        <v>672</v>
      </c>
      <c r="B79" s="226" t="n">
        <f aca="false">IF($A79="",0,SUMPRODUCT((($D$6:$D$37="Realizado")+($D$6:$D$37="Compromisso")+($D$6:$D$37="Previsto")*Premissas!$B$116+($D$6:$D$37="Em negociação")*Premissas!$B$117)*($B$6:$B$37=$A79)*$C$6:$C$37)+SUMPRODUCT((($B$43:$B$50="Confirmado")+($B$43:$B$50="Em negociação")*Premissas!$B$117)*($A$43:$A$50=$A79)*$C$43:$C$50))</f>
        <v>40000</v>
      </c>
      <c r="C79" s="227" t="n">
        <f aca="false">IFERROR($B79/$B$86,0)</f>
        <v>0.2</v>
      </c>
    </row>
    <row r="80" customFormat="false" ht="15" hidden="false" customHeight="false" outlineLevel="0" collapsed="false">
      <c r="A80" s="127"/>
      <c r="B80" s="226" t="n">
        <f aca="false">IF($A80="",0,SUMPRODUCT((($D$6:$D$37="Realizado")+($D$6:$D$37="Compromisso")+($D$6:$D$37="Previsto")*Premissas!$B$116+($D$6:$D$37="Em negociação")*Premissas!$B$117)*($B$6:$B$37=$A80)*$C$6:$C$37)+SUMPRODUCT((($B$43:$B$50="Confirmado")+($B$43:$B$50="Em negociação")*Premissas!$B$117)*($A$43:$A$50=$A80)*$C$43:$C$50))</f>
        <v>0</v>
      </c>
      <c r="C80" s="227" t="n">
        <f aca="false">IFERROR($B80/$B$86,0)</f>
        <v>0</v>
      </c>
    </row>
    <row r="81" customFormat="false" ht="15" hidden="false" customHeight="false" outlineLevel="0" collapsed="false">
      <c r="A81" s="127"/>
      <c r="B81" s="226" t="n">
        <f aca="false">IF($A81="",0,SUMPRODUCT((($D$6:$D$37="Realizado")+($D$6:$D$37="Compromisso")+($D$6:$D$37="Previsto")*Premissas!$B$116+($D$6:$D$37="Em negociação")*Premissas!$B$117)*($B$6:$B$37=$A81)*$C$6:$C$37)+SUMPRODUCT((($B$43:$B$50="Confirmado")+($B$43:$B$50="Em negociação")*Premissas!$B$117)*($A$43:$A$50=$A81)*$C$43:$C$50))</f>
        <v>0</v>
      </c>
      <c r="C81" s="227" t="n">
        <f aca="false">IFERROR($B81/$B$86,0)</f>
        <v>0</v>
      </c>
    </row>
    <row r="82" customFormat="false" ht="15" hidden="false" customHeight="false" outlineLevel="0" collapsed="false">
      <c r="A82" s="127"/>
      <c r="B82" s="226" t="n">
        <f aca="false">IF($A82="",0,SUMPRODUCT((($D$6:$D$37="Realizado")+($D$6:$D$37="Compromisso")+($D$6:$D$37="Previsto")*Premissas!$B$116+($D$6:$D$37="Em negociação")*Premissas!$B$117)*($B$6:$B$37=$A82)*$C$6:$C$37)+SUMPRODUCT((($B$43:$B$50="Confirmado")+($B$43:$B$50="Em negociação")*Premissas!$B$117)*($A$43:$A$50=$A82)*$C$43:$C$50))</f>
        <v>0</v>
      </c>
      <c r="C82" s="227" t="n">
        <f aca="false">IFERROR($B82/$B$86,0)</f>
        <v>0</v>
      </c>
    </row>
    <row r="83" customFormat="false" ht="15" hidden="false" customHeight="false" outlineLevel="0" collapsed="false">
      <c r="A83" s="127"/>
      <c r="B83" s="226" t="n">
        <f aca="false">IF($A83="",0,SUMPRODUCT((($D$6:$D$37="Realizado")+($D$6:$D$37="Compromisso")+($D$6:$D$37="Previsto")*Premissas!$B$116+($D$6:$D$37="Em negociação")*Premissas!$B$117)*($B$6:$B$37=$A83)*$C$6:$C$37)+SUMPRODUCT((($B$43:$B$50="Confirmado")+($B$43:$B$50="Em negociação")*Premissas!$B$117)*($A$43:$A$50=$A83)*$C$43:$C$50))</f>
        <v>0</v>
      </c>
      <c r="C83" s="227" t="n">
        <f aca="false">IFERROR($B83/$B$86,0)</f>
        <v>0</v>
      </c>
    </row>
    <row r="84" customFormat="false" ht="15" hidden="false" customHeight="false" outlineLevel="0" collapsed="false">
      <c r="A84" s="127"/>
      <c r="B84" s="226" t="n">
        <f aca="false">IF($A84="",0,SUMPRODUCT((($D$6:$D$37="Realizado")+($D$6:$D$37="Compromisso")+($D$6:$D$37="Previsto")*Premissas!$B$116+($D$6:$D$37="Em negociação")*Premissas!$B$117)*($B$6:$B$37=$A84)*$C$6:$C$37)+SUMPRODUCT((($B$43:$B$50="Confirmado")+($B$43:$B$50="Em negociação")*Premissas!$B$117)*($A$43:$A$50=$A84)*$C$43:$C$50))</f>
        <v>0</v>
      </c>
      <c r="C84" s="227" t="n">
        <f aca="false">IFERROR($B84/$B$86,0)</f>
        <v>0</v>
      </c>
    </row>
    <row r="85" customFormat="false" ht="15" hidden="false" customHeight="false" outlineLevel="0" collapsed="false">
      <c r="A85" s="127"/>
      <c r="B85" s="226" t="n">
        <f aca="false">IF($A85="",0,SUMPRODUCT((($D$6:$D$37="Realizado")+($D$6:$D$37="Compromisso")+($D$6:$D$37="Previsto")*Premissas!$B$116+($D$6:$D$37="Em negociação")*Premissas!$B$117)*($B$6:$B$37=$A85)*$C$6:$C$37)+SUMPRODUCT((($B$43:$B$50="Confirmado")+($B$43:$B$50="Em negociação")*Premissas!$B$117)*($A$43:$A$50=$A85)*$C$43:$C$50))</f>
        <v>0</v>
      </c>
      <c r="C85" s="227" t="n">
        <f aca="false">IFERROR($B85/$B$86,0)</f>
        <v>0</v>
      </c>
    </row>
    <row r="86" customFormat="false" ht="15" hidden="false" customHeight="false" outlineLevel="0" collapsed="false">
      <c r="A86" s="160" t="s">
        <v>230</v>
      </c>
      <c r="B86" s="161" t="n">
        <f aca="false">SUM(B73:B85)</f>
        <v>200000</v>
      </c>
      <c r="C86" s="228" t="n">
        <f aca="false">SUM(C73:C85)</f>
        <v>1</v>
      </c>
    </row>
    <row r="87" customFormat="false" ht="15" hidden="false" customHeight="false" outlineLevel="0" collapsed="false">
      <c r="A87" s="229" t="s">
        <v>953</v>
      </c>
      <c r="B87" s="230" t="n">
        <f aca="false">C38+C51-B86</f>
        <v>0</v>
      </c>
      <c r="C87" s="178" t="str">
        <f aca="false">IF(ROUND(B87,2)=0,"✔ tudo atribuído","⚠ acrescente o nome que falta")</f>
        <v>✔ tudo atribuído</v>
      </c>
      <c r="E87" s="29" t="s">
        <v>954</v>
      </c>
    </row>
    <row r="89" customFormat="false" ht="18" hidden="false" customHeight="true" outlineLevel="0" collapsed="false">
      <c r="A89" s="25" t="s">
        <v>955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</row>
    <row r="90" customFormat="false" ht="15" hidden="false" customHeight="false" outlineLevel="0" collapsed="false">
      <c r="A90" s="52" t="s">
        <v>229</v>
      </c>
      <c r="B90" s="53" t="n">
        <v>46023</v>
      </c>
      <c r="C90" s="53" t="n">
        <v>46054</v>
      </c>
      <c r="D90" s="53" t="n">
        <v>46082</v>
      </c>
      <c r="E90" s="53" t="n">
        <v>46113</v>
      </c>
      <c r="F90" s="53" t="n">
        <v>46143</v>
      </c>
      <c r="G90" s="53" t="n">
        <v>46174</v>
      </c>
      <c r="H90" s="53" t="n">
        <v>46204</v>
      </c>
      <c r="I90" s="53" t="n">
        <v>46235</v>
      </c>
      <c r="J90" s="53" t="n">
        <v>46266</v>
      </c>
      <c r="K90" s="53" t="n">
        <v>46296</v>
      </c>
      <c r="L90" s="53" t="n">
        <v>46327</v>
      </c>
      <c r="M90" s="53" t="n">
        <v>46357</v>
      </c>
      <c r="N90" s="53" t="n">
        <v>46388</v>
      </c>
      <c r="O90" s="53" t="n">
        <v>46419</v>
      </c>
      <c r="P90" s="53" t="n">
        <v>46447</v>
      </c>
      <c r="Q90" s="53" t="n">
        <v>46478</v>
      </c>
      <c r="R90" s="53" t="n">
        <v>46508</v>
      </c>
      <c r="S90" s="53" t="n">
        <v>46539</v>
      </c>
      <c r="T90" s="53" t="n">
        <v>46569</v>
      </c>
      <c r="U90" s="53" t="n">
        <v>46600</v>
      </c>
      <c r="V90" s="53" t="n">
        <v>46631</v>
      </c>
      <c r="W90" s="53" t="n">
        <v>46661</v>
      </c>
      <c r="X90" s="53" t="n">
        <v>46692</v>
      </c>
      <c r="Y90" s="53" t="n">
        <v>46722</v>
      </c>
      <c r="Z90" s="53" t="n">
        <v>46753</v>
      </c>
      <c r="AA90" s="53" t="n">
        <v>46784</v>
      </c>
      <c r="AB90" s="53" t="n">
        <v>46813</v>
      </c>
      <c r="AC90" s="53" t="n">
        <v>46844</v>
      </c>
      <c r="AD90" s="53" t="n">
        <v>46874</v>
      </c>
      <c r="AE90" s="53" t="n">
        <v>46905</v>
      </c>
      <c r="AF90" s="53" t="n">
        <v>46935</v>
      </c>
      <c r="AG90" s="53" t="n">
        <v>46966</v>
      </c>
      <c r="AH90" s="53" t="n">
        <v>46997</v>
      </c>
      <c r="AI90" s="53" t="n">
        <v>47027</v>
      </c>
      <c r="AJ90" s="53" t="n">
        <v>47058</v>
      </c>
      <c r="AK90" s="53" t="n">
        <v>47088</v>
      </c>
      <c r="AL90" s="53" t="n">
        <v>47119</v>
      </c>
      <c r="AM90" s="53" t="n">
        <v>47150</v>
      </c>
      <c r="AN90" s="53" t="n">
        <v>47178</v>
      </c>
      <c r="AO90" s="53" t="n">
        <v>47209</v>
      </c>
      <c r="AP90" s="53" t="n">
        <v>47239</v>
      </c>
      <c r="AQ90" s="53" t="n">
        <v>47270</v>
      </c>
      <c r="AR90" s="53" t="n">
        <v>47300</v>
      </c>
      <c r="AS90" s="53" t="n">
        <v>47331</v>
      </c>
      <c r="AT90" s="53" t="n">
        <v>47362</v>
      </c>
      <c r="AU90" s="53" t="n">
        <v>47392</v>
      </c>
      <c r="AV90" s="53" t="n">
        <v>47423</v>
      </c>
      <c r="AW90" s="53" t="n">
        <v>47453</v>
      </c>
      <c r="AX90" s="53" t="n">
        <v>47484</v>
      </c>
      <c r="AY90" s="53" t="n">
        <v>47515</v>
      </c>
      <c r="AZ90" s="53" t="n">
        <v>47543</v>
      </c>
      <c r="BA90" s="53" t="n">
        <v>47574</v>
      </c>
      <c r="BB90" s="53" t="n">
        <v>47604</v>
      </c>
      <c r="BC90" s="53" t="n">
        <v>47635</v>
      </c>
      <c r="BD90" s="53" t="n">
        <v>47665</v>
      </c>
      <c r="BE90" s="53" t="n">
        <v>47696</v>
      </c>
      <c r="BF90" s="53" t="n">
        <v>47727</v>
      </c>
      <c r="BG90" s="53" t="n">
        <v>47757</v>
      </c>
      <c r="BH90" s="53" t="n">
        <v>47788</v>
      </c>
      <c r="BI90" s="53" t="n">
        <v>47818</v>
      </c>
      <c r="BJ90" s="54" t="s">
        <v>230</v>
      </c>
      <c r="BK90" s="54" t="s">
        <v>231</v>
      </c>
    </row>
    <row r="91" customFormat="false" ht="15" hidden="false" customHeight="false" outlineLevel="0" collapsed="false">
      <c r="A91" s="55" t="s">
        <v>232</v>
      </c>
      <c r="B91" s="56" t="n">
        <v>1</v>
      </c>
      <c r="C91" s="56" t="n">
        <v>2</v>
      </c>
      <c r="D91" s="56" t="n">
        <v>3</v>
      </c>
      <c r="E91" s="56" t="n">
        <v>4</v>
      </c>
      <c r="F91" s="56" t="n">
        <v>5</v>
      </c>
      <c r="G91" s="56" t="n">
        <v>6</v>
      </c>
      <c r="H91" s="56" t="n">
        <v>7</v>
      </c>
      <c r="I91" s="56" t="n">
        <v>8</v>
      </c>
      <c r="J91" s="56" t="n">
        <v>9</v>
      </c>
      <c r="K91" s="56" t="n">
        <v>10</v>
      </c>
      <c r="L91" s="56" t="n">
        <v>11</v>
      </c>
      <c r="M91" s="56" t="n">
        <v>12</v>
      </c>
      <c r="N91" s="56" t="n">
        <v>13</v>
      </c>
      <c r="O91" s="56" t="n">
        <v>14</v>
      </c>
      <c r="P91" s="56" t="n">
        <v>15</v>
      </c>
      <c r="Q91" s="56" t="n">
        <v>16</v>
      </c>
      <c r="R91" s="56" t="n">
        <v>17</v>
      </c>
      <c r="S91" s="56" t="n">
        <v>18</v>
      </c>
      <c r="T91" s="56" t="n">
        <v>19</v>
      </c>
      <c r="U91" s="56" t="n">
        <v>20</v>
      </c>
      <c r="V91" s="56" t="n">
        <v>21</v>
      </c>
      <c r="W91" s="56" t="n">
        <v>22</v>
      </c>
      <c r="X91" s="56" t="n">
        <v>23</v>
      </c>
      <c r="Y91" s="56" t="n">
        <v>24</v>
      </c>
      <c r="Z91" s="56" t="n">
        <v>25</v>
      </c>
      <c r="AA91" s="56" t="n">
        <v>26</v>
      </c>
      <c r="AB91" s="56" t="n">
        <v>27</v>
      </c>
      <c r="AC91" s="56" t="n">
        <v>28</v>
      </c>
      <c r="AD91" s="56" t="n">
        <v>29</v>
      </c>
      <c r="AE91" s="56" t="n">
        <v>30</v>
      </c>
      <c r="AF91" s="56" t="n">
        <v>31</v>
      </c>
      <c r="AG91" s="56" t="n">
        <v>32</v>
      </c>
      <c r="AH91" s="56" t="n">
        <v>33</v>
      </c>
      <c r="AI91" s="56" t="n">
        <v>34</v>
      </c>
      <c r="AJ91" s="56" t="n">
        <v>35</v>
      </c>
      <c r="AK91" s="56" t="n">
        <v>36</v>
      </c>
      <c r="AL91" s="56" t="n">
        <v>37</v>
      </c>
      <c r="AM91" s="56" t="n">
        <v>38</v>
      </c>
      <c r="AN91" s="56" t="n">
        <v>39</v>
      </c>
      <c r="AO91" s="56" t="n">
        <v>40</v>
      </c>
      <c r="AP91" s="56" t="n">
        <v>41</v>
      </c>
      <c r="AQ91" s="56" t="n">
        <v>42</v>
      </c>
      <c r="AR91" s="56" t="n">
        <v>43</v>
      </c>
      <c r="AS91" s="56" t="n">
        <v>44</v>
      </c>
      <c r="AT91" s="56" t="n">
        <v>45</v>
      </c>
      <c r="AU91" s="56" t="n">
        <v>46</v>
      </c>
      <c r="AV91" s="56" t="n">
        <v>47</v>
      </c>
      <c r="AW91" s="56" t="n">
        <v>48</v>
      </c>
      <c r="AX91" s="56" t="n">
        <v>49</v>
      </c>
      <c r="AY91" s="56" t="n">
        <v>50</v>
      </c>
      <c r="AZ91" s="56" t="n">
        <v>51</v>
      </c>
      <c r="BA91" s="56" t="n">
        <v>52</v>
      </c>
      <c r="BB91" s="56" t="n">
        <v>53</v>
      </c>
      <c r="BC91" s="56" t="n">
        <v>54</v>
      </c>
      <c r="BD91" s="56" t="n">
        <v>55</v>
      </c>
      <c r="BE91" s="56" t="n">
        <v>56</v>
      </c>
      <c r="BF91" s="56" t="n">
        <v>57</v>
      </c>
      <c r="BG91" s="56" t="n">
        <v>58</v>
      </c>
      <c r="BH91" s="56" t="n">
        <v>59</v>
      </c>
      <c r="BI91" s="56" t="n">
        <v>60</v>
      </c>
    </row>
    <row r="92" customFormat="false" ht="15" hidden="false" customHeight="false" outlineLevel="0" collapsed="false">
      <c r="A92" s="55" t="s">
        <v>233</v>
      </c>
      <c r="B92" s="57" t="n">
        <f aca="false">YEAR(B90)</f>
        <v>2026</v>
      </c>
      <c r="C92" s="57" t="n">
        <f aca="false">YEAR(C90)</f>
        <v>2026</v>
      </c>
      <c r="D92" s="57" t="n">
        <f aca="false">YEAR(D90)</f>
        <v>2026</v>
      </c>
      <c r="E92" s="57" t="n">
        <f aca="false">YEAR(E90)</f>
        <v>2026</v>
      </c>
      <c r="F92" s="57" t="n">
        <f aca="false">YEAR(F90)</f>
        <v>2026</v>
      </c>
      <c r="G92" s="57" t="n">
        <f aca="false">YEAR(G90)</f>
        <v>2026</v>
      </c>
      <c r="H92" s="57" t="n">
        <f aca="false">YEAR(H90)</f>
        <v>2026</v>
      </c>
      <c r="I92" s="57" t="n">
        <f aca="false">YEAR(I90)</f>
        <v>2026</v>
      </c>
      <c r="J92" s="57" t="n">
        <f aca="false">YEAR(J90)</f>
        <v>2026</v>
      </c>
      <c r="K92" s="57" t="n">
        <f aca="false">YEAR(K90)</f>
        <v>2026</v>
      </c>
      <c r="L92" s="57" t="n">
        <f aca="false">YEAR(L90)</f>
        <v>2026</v>
      </c>
      <c r="M92" s="57" t="n">
        <f aca="false">YEAR(M90)</f>
        <v>2026</v>
      </c>
      <c r="N92" s="57" t="n">
        <f aca="false">YEAR(N90)</f>
        <v>2027</v>
      </c>
      <c r="O92" s="57" t="n">
        <f aca="false">YEAR(O90)</f>
        <v>2027</v>
      </c>
      <c r="P92" s="57" t="n">
        <f aca="false">YEAR(P90)</f>
        <v>2027</v>
      </c>
      <c r="Q92" s="57" t="n">
        <f aca="false">YEAR(Q90)</f>
        <v>2027</v>
      </c>
      <c r="R92" s="57" t="n">
        <f aca="false">YEAR(R90)</f>
        <v>2027</v>
      </c>
      <c r="S92" s="57" t="n">
        <f aca="false">YEAR(S90)</f>
        <v>2027</v>
      </c>
      <c r="T92" s="57" t="n">
        <f aca="false">YEAR(T90)</f>
        <v>2027</v>
      </c>
      <c r="U92" s="57" t="n">
        <f aca="false">YEAR(U90)</f>
        <v>2027</v>
      </c>
      <c r="V92" s="57" t="n">
        <f aca="false">YEAR(V90)</f>
        <v>2027</v>
      </c>
      <c r="W92" s="57" t="n">
        <f aca="false">YEAR(W90)</f>
        <v>2027</v>
      </c>
      <c r="X92" s="57" t="n">
        <f aca="false">YEAR(X90)</f>
        <v>2027</v>
      </c>
      <c r="Y92" s="57" t="n">
        <f aca="false">YEAR(Y90)</f>
        <v>2027</v>
      </c>
      <c r="Z92" s="57" t="n">
        <f aca="false">YEAR(Z90)</f>
        <v>2028</v>
      </c>
      <c r="AA92" s="57" t="n">
        <f aca="false">YEAR(AA90)</f>
        <v>2028</v>
      </c>
      <c r="AB92" s="57" t="n">
        <f aca="false">YEAR(AB90)</f>
        <v>2028</v>
      </c>
      <c r="AC92" s="57" t="n">
        <f aca="false">YEAR(AC90)</f>
        <v>2028</v>
      </c>
      <c r="AD92" s="57" t="n">
        <f aca="false">YEAR(AD90)</f>
        <v>2028</v>
      </c>
      <c r="AE92" s="57" t="n">
        <f aca="false">YEAR(AE90)</f>
        <v>2028</v>
      </c>
      <c r="AF92" s="57" t="n">
        <f aca="false">YEAR(AF90)</f>
        <v>2028</v>
      </c>
      <c r="AG92" s="57" t="n">
        <f aca="false">YEAR(AG90)</f>
        <v>2028</v>
      </c>
      <c r="AH92" s="57" t="n">
        <f aca="false">YEAR(AH90)</f>
        <v>2028</v>
      </c>
      <c r="AI92" s="57" t="n">
        <f aca="false">YEAR(AI90)</f>
        <v>2028</v>
      </c>
      <c r="AJ92" s="57" t="n">
        <f aca="false">YEAR(AJ90)</f>
        <v>2028</v>
      </c>
      <c r="AK92" s="57" t="n">
        <f aca="false">YEAR(AK90)</f>
        <v>2028</v>
      </c>
      <c r="AL92" s="57" t="n">
        <f aca="false">YEAR(AL90)</f>
        <v>2029</v>
      </c>
      <c r="AM92" s="57" t="n">
        <f aca="false">YEAR(AM90)</f>
        <v>2029</v>
      </c>
      <c r="AN92" s="57" t="n">
        <f aca="false">YEAR(AN90)</f>
        <v>2029</v>
      </c>
      <c r="AO92" s="57" t="n">
        <f aca="false">YEAR(AO90)</f>
        <v>2029</v>
      </c>
      <c r="AP92" s="57" t="n">
        <f aca="false">YEAR(AP90)</f>
        <v>2029</v>
      </c>
      <c r="AQ92" s="57" t="n">
        <f aca="false">YEAR(AQ90)</f>
        <v>2029</v>
      </c>
      <c r="AR92" s="57" t="n">
        <f aca="false">YEAR(AR90)</f>
        <v>2029</v>
      </c>
      <c r="AS92" s="57" t="n">
        <f aca="false">YEAR(AS90)</f>
        <v>2029</v>
      </c>
      <c r="AT92" s="57" t="n">
        <f aca="false">YEAR(AT90)</f>
        <v>2029</v>
      </c>
      <c r="AU92" s="57" t="n">
        <f aca="false">YEAR(AU90)</f>
        <v>2029</v>
      </c>
      <c r="AV92" s="57" t="n">
        <f aca="false">YEAR(AV90)</f>
        <v>2029</v>
      </c>
      <c r="AW92" s="57" t="n">
        <f aca="false">YEAR(AW90)</f>
        <v>2029</v>
      </c>
      <c r="AX92" s="57" t="n">
        <f aca="false">YEAR(AX90)</f>
        <v>2030</v>
      </c>
      <c r="AY92" s="57" t="n">
        <f aca="false">YEAR(AY90)</f>
        <v>2030</v>
      </c>
      <c r="AZ92" s="57" t="n">
        <f aca="false">YEAR(AZ90)</f>
        <v>2030</v>
      </c>
      <c r="BA92" s="57" t="n">
        <f aca="false">YEAR(BA90)</f>
        <v>2030</v>
      </c>
      <c r="BB92" s="57" t="n">
        <f aca="false">YEAR(BB90)</f>
        <v>2030</v>
      </c>
      <c r="BC92" s="57" t="n">
        <f aca="false">YEAR(BC90)</f>
        <v>2030</v>
      </c>
      <c r="BD92" s="57" t="n">
        <f aca="false">YEAR(BD90)</f>
        <v>2030</v>
      </c>
      <c r="BE92" s="57" t="n">
        <f aca="false">YEAR(BE90)</f>
        <v>2030</v>
      </c>
      <c r="BF92" s="57" t="n">
        <f aca="false">YEAR(BF90)</f>
        <v>2030</v>
      </c>
      <c r="BG92" s="57" t="n">
        <f aca="false">YEAR(BG90)</f>
        <v>2030</v>
      </c>
      <c r="BH92" s="57" t="n">
        <f aca="false">YEAR(BH90)</f>
        <v>2030</v>
      </c>
      <c r="BI92" s="57" t="n">
        <f aca="false">YEAR(BI90)</f>
        <v>2030</v>
      </c>
    </row>
    <row r="93" customFormat="false" ht="15" hidden="false" customHeight="false" outlineLevel="0" collapsed="false">
      <c r="A93" s="58" t="s">
        <v>234</v>
      </c>
      <c r="B93" s="59" t="n">
        <f aca="false">MATCH(B92,Premissas!$C$5:$G$5,0)</f>
        <v>1</v>
      </c>
      <c r="C93" s="59" t="n">
        <f aca="false">MATCH(C92,Premissas!$C$5:$G$5,0)</f>
        <v>1</v>
      </c>
      <c r="D93" s="59" t="n">
        <f aca="false">MATCH(D92,Premissas!$C$5:$G$5,0)</f>
        <v>1</v>
      </c>
      <c r="E93" s="59" t="n">
        <f aca="false">MATCH(E92,Premissas!$C$5:$G$5,0)</f>
        <v>1</v>
      </c>
      <c r="F93" s="59" t="n">
        <f aca="false">MATCH(F92,Premissas!$C$5:$G$5,0)</f>
        <v>1</v>
      </c>
      <c r="G93" s="59" t="n">
        <f aca="false">MATCH(G92,Premissas!$C$5:$G$5,0)</f>
        <v>1</v>
      </c>
      <c r="H93" s="59" t="n">
        <f aca="false">MATCH(H92,Premissas!$C$5:$G$5,0)</f>
        <v>1</v>
      </c>
      <c r="I93" s="59" t="n">
        <f aca="false">MATCH(I92,Premissas!$C$5:$G$5,0)</f>
        <v>1</v>
      </c>
      <c r="J93" s="59" t="n">
        <f aca="false">MATCH(J92,Premissas!$C$5:$G$5,0)</f>
        <v>1</v>
      </c>
      <c r="K93" s="59" t="n">
        <f aca="false">MATCH(K92,Premissas!$C$5:$G$5,0)</f>
        <v>1</v>
      </c>
      <c r="L93" s="59" t="n">
        <f aca="false">MATCH(L92,Premissas!$C$5:$G$5,0)</f>
        <v>1</v>
      </c>
      <c r="M93" s="59" t="n">
        <f aca="false">MATCH(M92,Premissas!$C$5:$G$5,0)</f>
        <v>1</v>
      </c>
      <c r="N93" s="59" t="n">
        <f aca="false">MATCH(N92,Premissas!$C$5:$G$5,0)</f>
        <v>2</v>
      </c>
      <c r="O93" s="59" t="n">
        <f aca="false">MATCH(O92,Premissas!$C$5:$G$5,0)</f>
        <v>2</v>
      </c>
      <c r="P93" s="59" t="n">
        <f aca="false">MATCH(P92,Premissas!$C$5:$G$5,0)</f>
        <v>2</v>
      </c>
      <c r="Q93" s="59" t="n">
        <f aca="false">MATCH(Q92,Premissas!$C$5:$G$5,0)</f>
        <v>2</v>
      </c>
      <c r="R93" s="59" t="n">
        <f aca="false">MATCH(R92,Premissas!$C$5:$G$5,0)</f>
        <v>2</v>
      </c>
      <c r="S93" s="59" t="n">
        <f aca="false">MATCH(S92,Premissas!$C$5:$G$5,0)</f>
        <v>2</v>
      </c>
      <c r="T93" s="59" t="n">
        <f aca="false">MATCH(T92,Premissas!$C$5:$G$5,0)</f>
        <v>2</v>
      </c>
      <c r="U93" s="59" t="n">
        <f aca="false">MATCH(U92,Premissas!$C$5:$G$5,0)</f>
        <v>2</v>
      </c>
      <c r="V93" s="59" t="n">
        <f aca="false">MATCH(V92,Premissas!$C$5:$G$5,0)</f>
        <v>2</v>
      </c>
      <c r="W93" s="59" t="n">
        <f aca="false">MATCH(W92,Premissas!$C$5:$G$5,0)</f>
        <v>2</v>
      </c>
      <c r="X93" s="59" t="n">
        <f aca="false">MATCH(X92,Premissas!$C$5:$G$5,0)</f>
        <v>2</v>
      </c>
      <c r="Y93" s="59" t="n">
        <f aca="false">MATCH(Y92,Premissas!$C$5:$G$5,0)</f>
        <v>2</v>
      </c>
      <c r="Z93" s="59" t="n">
        <f aca="false">MATCH(Z92,Premissas!$C$5:$G$5,0)</f>
        <v>3</v>
      </c>
      <c r="AA93" s="59" t="n">
        <f aca="false">MATCH(AA92,Premissas!$C$5:$G$5,0)</f>
        <v>3</v>
      </c>
      <c r="AB93" s="59" t="n">
        <f aca="false">MATCH(AB92,Premissas!$C$5:$G$5,0)</f>
        <v>3</v>
      </c>
      <c r="AC93" s="59" t="n">
        <f aca="false">MATCH(AC92,Premissas!$C$5:$G$5,0)</f>
        <v>3</v>
      </c>
      <c r="AD93" s="59" t="n">
        <f aca="false">MATCH(AD92,Premissas!$C$5:$G$5,0)</f>
        <v>3</v>
      </c>
      <c r="AE93" s="59" t="n">
        <f aca="false">MATCH(AE92,Premissas!$C$5:$G$5,0)</f>
        <v>3</v>
      </c>
      <c r="AF93" s="59" t="n">
        <f aca="false">MATCH(AF92,Premissas!$C$5:$G$5,0)</f>
        <v>3</v>
      </c>
      <c r="AG93" s="59" t="n">
        <f aca="false">MATCH(AG92,Premissas!$C$5:$G$5,0)</f>
        <v>3</v>
      </c>
      <c r="AH93" s="59" t="n">
        <f aca="false">MATCH(AH92,Premissas!$C$5:$G$5,0)</f>
        <v>3</v>
      </c>
      <c r="AI93" s="59" t="n">
        <f aca="false">MATCH(AI92,Premissas!$C$5:$G$5,0)</f>
        <v>3</v>
      </c>
      <c r="AJ93" s="59" t="n">
        <f aca="false">MATCH(AJ92,Premissas!$C$5:$G$5,0)</f>
        <v>3</v>
      </c>
      <c r="AK93" s="59" t="n">
        <f aca="false">MATCH(AK92,Premissas!$C$5:$G$5,0)</f>
        <v>3</v>
      </c>
      <c r="AL93" s="59" t="n">
        <f aca="false">MATCH(AL92,Premissas!$C$5:$G$5,0)</f>
        <v>4</v>
      </c>
      <c r="AM93" s="59" t="n">
        <f aca="false">MATCH(AM92,Premissas!$C$5:$G$5,0)</f>
        <v>4</v>
      </c>
      <c r="AN93" s="59" t="n">
        <f aca="false">MATCH(AN92,Premissas!$C$5:$G$5,0)</f>
        <v>4</v>
      </c>
      <c r="AO93" s="59" t="n">
        <f aca="false">MATCH(AO92,Premissas!$C$5:$G$5,0)</f>
        <v>4</v>
      </c>
      <c r="AP93" s="59" t="n">
        <f aca="false">MATCH(AP92,Premissas!$C$5:$G$5,0)</f>
        <v>4</v>
      </c>
      <c r="AQ93" s="59" t="n">
        <f aca="false">MATCH(AQ92,Premissas!$C$5:$G$5,0)</f>
        <v>4</v>
      </c>
      <c r="AR93" s="59" t="n">
        <f aca="false">MATCH(AR92,Premissas!$C$5:$G$5,0)</f>
        <v>4</v>
      </c>
      <c r="AS93" s="59" t="n">
        <f aca="false">MATCH(AS92,Premissas!$C$5:$G$5,0)</f>
        <v>4</v>
      </c>
      <c r="AT93" s="59" t="n">
        <f aca="false">MATCH(AT92,Premissas!$C$5:$G$5,0)</f>
        <v>4</v>
      </c>
      <c r="AU93" s="59" t="n">
        <f aca="false">MATCH(AU92,Premissas!$C$5:$G$5,0)</f>
        <v>4</v>
      </c>
      <c r="AV93" s="59" t="n">
        <f aca="false">MATCH(AV92,Premissas!$C$5:$G$5,0)</f>
        <v>4</v>
      </c>
      <c r="AW93" s="59" t="n">
        <f aca="false">MATCH(AW92,Premissas!$C$5:$G$5,0)</f>
        <v>4</v>
      </c>
      <c r="AX93" s="59" t="n">
        <f aca="false">MATCH(AX92,Premissas!$C$5:$G$5,0)</f>
        <v>5</v>
      </c>
      <c r="AY93" s="59" t="n">
        <f aca="false">MATCH(AY92,Premissas!$C$5:$G$5,0)</f>
        <v>5</v>
      </c>
      <c r="AZ93" s="59" t="n">
        <f aca="false">MATCH(AZ92,Premissas!$C$5:$G$5,0)</f>
        <v>5</v>
      </c>
      <c r="BA93" s="59" t="n">
        <f aca="false">MATCH(BA92,Premissas!$C$5:$G$5,0)</f>
        <v>5</v>
      </c>
      <c r="BB93" s="59" t="n">
        <f aca="false">MATCH(BB92,Premissas!$C$5:$G$5,0)</f>
        <v>5</v>
      </c>
      <c r="BC93" s="59" t="n">
        <f aca="false">MATCH(BC92,Premissas!$C$5:$G$5,0)</f>
        <v>5</v>
      </c>
      <c r="BD93" s="59" t="n">
        <f aca="false">MATCH(BD92,Premissas!$C$5:$G$5,0)</f>
        <v>5</v>
      </c>
      <c r="BE93" s="59" t="n">
        <f aca="false">MATCH(BE92,Premissas!$C$5:$G$5,0)</f>
        <v>5</v>
      </c>
      <c r="BF93" s="59" t="n">
        <f aca="false">MATCH(BF92,Premissas!$C$5:$G$5,0)</f>
        <v>5</v>
      </c>
      <c r="BG93" s="59" t="n">
        <f aca="false">MATCH(BG92,Premissas!$C$5:$G$5,0)</f>
        <v>5</v>
      </c>
      <c r="BH93" s="59" t="n">
        <f aca="false">MATCH(BH92,Premissas!$C$5:$G$5,0)</f>
        <v>5</v>
      </c>
      <c r="BI93" s="59" t="n">
        <f aca="false">MATCH(BI92,Premissas!$C$5:$G$5,0)</f>
        <v>5</v>
      </c>
    </row>
    <row r="94" customFormat="false" ht="15" hidden="false" customHeight="false" outlineLevel="0" collapsed="false">
      <c r="A94" s="27" t="s">
        <v>956</v>
      </c>
      <c r="B94" s="60" t="n">
        <f aca="false">SUMPRODUCT(($E$6:$E$37="Fundador")*(($D$6:$D$37="Realizado")+($D$6:$D$37="Compromisso")+($D$6:$D$37="Previsto")*Premissas!$B$116+($D$6:$D$37="Em negociação")*Premissas!$B$117)*($A$6:$A$37&gt;=B$90)*($A$6:$A$37&lt;=EOMONTH(B$90,0))*$C$6:$C$37)</f>
        <v>0</v>
      </c>
      <c r="C94" s="60" t="n">
        <f aca="false">SUMPRODUCT(($E$6:$E$37="Fundador")*(($D$6:$D$37="Realizado")+($D$6:$D$37="Compromisso")+($D$6:$D$37="Previsto")*Premissas!$B$116+($D$6:$D$37="Em negociação")*Premissas!$B$117)*($A$6:$A$37&gt;=C$90)*($A$6:$A$37&lt;=EOMONTH(C$90,0))*$C$6:$C$37)</f>
        <v>0</v>
      </c>
      <c r="D94" s="60" t="n">
        <f aca="false">SUMPRODUCT(($E$6:$E$37="Fundador")*(($D$6:$D$37="Realizado")+($D$6:$D$37="Compromisso")+($D$6:$D$37="Previsto")*Premissas!$B$116+($D$6:$D$37="Em negociação")*Premissas!$B$117)*($A$6:$A$37&gt;=D$90)*($A$6:$A$37&lt;=EOMONTH(D$90,0))*$C$6:$C$37)</f>
        <v>0</v>
      </c>
      <c r="E94" s="60" t="n">
        <f aca="false">SUMPRODUCT(($E$6:$E$37="Fundador")*(($D$6:$D$37="Realizado")+($D$6:$D$37="Compromisso")+($D$6:$D$37="Previsto")*Premissas!$B$116+($D$6:$D$37="Em negociação")*Premissas!$B$117)*($A$6:$A$37&gt;=E$90)*($A$6:$A$37&lt;=EOMONTH(E$90,0))*$C$6:$C$37)</f>
        <v>10000</v>
      </c>
      <c r="F94" s="60" t="n">
        <f aca="false">SUMPRODUCT(($E$6:$E$37="Fundador")*(($D$6:$D$37="Realizado")+($D$6:$D$37="Compromisso")+($D$6:$D$37="Previsto")*Premissas!$B$116+($D$6:$D$37="Em negociação")*Premissas!$B$117)*($A$6:$A$37&gt;=F$90)*($A$6:$A$37&lt;=EOMONTH(F$90,0))*$C$6:$C$37)</f>
        <v>0</v>
      </c>
      <c r="G94" s="60" t="n">
        <f aca="false">SUMPRODUCT(($E$6:$E$37="Fundador")*(($D$6:$D$37="Realizado")+($D$6:$D$37="Compromisso")+($D$6:$D$37="Previsto")*Premissas!$B$116+($D$6:$D$37="Em negociação")*Premissas!$B$117)*($A$6:$A$37&gt;=G$90)*($A$6:$A$37&lt;=EOMONTH(G$90,0))*$C$6:$C$37)</f>
        <v>0</v>
      </c>
      <c r="H94" s="60" t="n">
        <f aca="false">SUMPRODUCT(($E$6:$E$37="Fundador")*(($D$6:$D$37="Realizado")+($D$6:$D$37="Compromisso")+($D$6:$D$37="Previsto")*Premissas!$B$116+($D$6:$D$37="Em negociação")*Premissas!$B$117)*($A$6:$A$37&gt;=H$90)*($A$6:$A$37&lt;=EOMONTH(H$90,0))*$C$6:$C$37)</f>
        <v>5000</v>
      </c>
      <c r="I94" s="60" t="n">
        <f aca="false">SUMPRODUCT(($E$6:$E$37="Fundador")*(($D$6:$D$37="Realizado")+($D$6:$D$37="Compromisso")+($D$6:$D$37="Previsto")*Premissas!$B$116+($D$6:$D$37="Em negociação")*Premissas!$B$117)*($A$6:$A$37&gt;=I$90)*($A$6:$A$37&lt;=EOMONTH(I$90,0))*$C$6:$C$37)</f>
        <v>18000</v>
      </c>
      <c r="J94" s="60" t="n">
        <f aca="false">SUMPRODUCT(($E$6:$E$37="Fundador")*(($D$6:$D$37="Realizado")+($D$6:$D$37="Compromisso")+($D$6:$D$37="Previsto")*Premissas!$B$116+($D$6:$D$37="Em negociação")*Premissas!$B$117)*($A$6:$A$37&gt;=J$90)*($A$6:$A$37&lt;=EOMONTH(J$90,0))*$C$6:$C$37)</f>
        <v>0</v>
      </c>
      <c r="K94" s="60" t="n">
        <f aca="false">SUMPRODUCT(($E$6:$E$37="Fundador")*(($D$6:$D$37="Realizado")+($D$6:$D$37="Compromisso")+($D$6:$D$37="Previsto")*Premissas!$B$116+($D$6:$D$37="Em negociação")*Premissas!$B$117)*($A$6:$A$37&gt;=K$90)*($A$6:$A$37&lt;=EOMONTH(K$90,0))*$C$6:$C$37)</f>
        <v>0</v>
      </c>
      <c r="L94" s="60" t="n">
        <f aca="false">SUMPRODUCT(($E$6:$E$37="Fundador")*(($D$6:$D$37="Realizado")+($D$6:$D$37="Compromisso")+($D$6:$D$37="Previsto")*Premissas!$B$116+($D$6:$D$37="Em negociação")*Premissas!$B$117)*($A$6:$A$37&gt;=L$90)*($A$6:$A$37&lt;=EOMONTH(L$90,0))*$C$6:$C$37)</f>
        <v>0</v>
      </c>
      <c r="M94" s="60" t="n">
        <f aca="false">SUMPRODUCT(($E$6:$E$37="Fundador")*(($D$6:$D$37="Realizado")+($D$6:$D$37="Compromisso")+($D$6:$D$37="Previsto")*Premissas!$B$116+($D$6:$D$37="Em negociação")*Premissas!$B$117)*($A$6:$A$37&gt;=M$90)*($A$6:$A$37&lt;=EOMONTH(M$90,0))*$C$6:$C$37)</f>
        <v>17000</v>
      </c>
      <c r="N94" s="60" t="n">
        <f aca="false">SUMPRODUCT(($E$6:$E$37="Fundador")*(($D$6:$D$37="Realizado")+($D$6:$D$37="Compromisso")+($D$6:$D$37="Previsto")*Premissas!$B$116+($D$6:$D$37="Em negociação")*Premissas!$B$117)*($A$6:$A$37&gt;=N$90)*($A$6:$A$37&lt;=EOMONTH(N$90,0))*$C$6:$C$37)</f>
        <v>0</v>
      </c>
      <c r="O94" s="60" t="n">
        <f aca="false">SUMPRODUCT(($E$6:$E$37="Fundador")*(($D$6:$D$37="Realizado")+($D$6:$D$37="Compromisso")+($D$6:$D$37="Previsto")*Premissas!$B$116+($D$6:$D$37="Em negociação")*Premissas!$B$117)*($A$6:$A$37&gt;=O$90)*($A$6:$A$37&lt;=EOMONTH(O$90,0))*$C$6:$C$37)</f>
        <v>0</v>
      </c>
      <c r="P94" s="60" t="n">
        <f aca="false">SUMPRODUCT(($E$6:$E$37="Fundador")*(($D$6:$D$37="Realizado")+($D$6:$D$37="Compromisso")+($D$6:$D$37="Previsto")*Premissas!$B$116+($D$6:$D$37="Em negociação")*Premissas!$B$117)*($A$6:$A$37&gt;=P$90)*($A$6:$A$37&lt;=EOMONTH(P$90,0))*$C$6:$C$37)</f>
        <v>0</v>
      </c>
      <c r="Q94" s="60" t="n">
        <f aca="false">SUMPRODUCT(($E$6:$E$37="Fundador")*(($D$6:$D$37="Realizado")+($D$6:$D$37="Compromisso")+($D$6:$D$37="Previsto")*Premissas!$B$116+($D$6:$D$37="Em negociação")*Premissas!$B$117)*($A$6:$A$37&gt;=Q$90)*($A$6:$A$37&lt;=EOMONTH(Q$90,0))*$C$6:$C$37)</f>
        <v>0</v>
      </c>
      <c r="R94" s="60" t="n">
        <f aca="false">SUMPRODUCT(($E$6:$E$37="Fundador")*(($D$6:$D$37="Realizado")+($D$6:$D$37="Compromisso")+($D$6:$D$37="Previsto")*Premissas!$B$116+($D$6:$D$37="Em negociação")*Premissas!$B$117)*($A$6:$A$37&gt;=R$90)*($A$6:$A$37&lt;=EOMONTH(R$90,0))*$C$6:$C$37)</f>
        <v>0</v>
      </c>
      <c r="S94" s="60" t="n">
        <f aca="false">SUMPRODUCT(($E$6:$E$37="Fundador")*(($D$6:$D$37="Realizado")+($D$6:$D$37="Compromisso")+($D$6:$D$37="Previsto")*Premissas!$B$116+($D$6:$D$37="Em negociação")*Premissas!$B$117)*($A$6:$A$37&gt;=S$90)*($A$6:$A$37&lt;=EOMONTH(S$90,0))*$C$6:$C$37)</f>
        <v>15000</v>
      </c>
      <c r="T94" s="60" t="n">
        <f aca="false">SUMPRODUCT(($E$6:$E$37="Fundador")*(($D$6:$D$37="Realizado")+($D$6:$D$37="Compromisso")+($D$6:$D$37="Previsto")*Premissas!$B$116+($D$6:$D$37="Em negociação")*Premissas!$B$117)*($A$6:$A$37&gt;=T$90)*($A$6:$A$37&lt;=EOMONTH(T$90,0))*$C$6:$C$37)</f>
        <v>0</v>
      </c>
      <c r="U94" s="60" t="n">
        <f aca="false">SUMPRODUCT(($E$6:$E$37="Fundador")*(($D$6:$D$37="Realizado")+($D$6:$D$37="Compromisso")+($D$6:$D$37="Previsto")*Premissas!$B$116+($D$6:$D$37="Em negociação")*Premissas!$B$117)*($A$6:$A$37&gt;=U$90)*($A$6:$A$37&lt;=EOMONTH(U$90,0))*$C$6:$C$37)</f>
        <v>0</v>
      </c>
      <c r="V94" s="60" t="n">
        <f aca="false">SUMPRODUCT(($E$6:$E$37="Fundador")*(($D$6:$D$37="Realizado")+($D$6:$D$37="Compromisso")+($D$6:$D$37="Previsto")*Premissas!$B$116+($D$6:$D$37="Em negociação")*Premissas!$B$117)*($A$6:$A$37&gt;=V$90)*($A$6:$A$37&lt;=EOMONTH(V$90,0))*$C$6:$C$37)</f>
        <v>0</v>
      </c>
      <c r="W94" s="60" t="n">
        <f aca="false">SUMPRODUCT(($E$6:$E$37="Fundador")*(($D$6:$D$37="Realizado")+($D$6:$D$37="Compromisso")+($D$6:$D$37="Previsto")*Premissas!$B$116+($D$6:$D$37="Em negociação")*Premissas!$B$117)*($A$6:$A$37&gt;=W$90)*($A$6:$A$37&lt;=EOMONTH(W$90,0))*$C$6:$C$37)</f>
        <v>0</v>
      </c>
      <c r="X94" s="60" t="n">
        <f aca="false">SUMPRODUCT(($E$6:$E$37="Fundador")*(($D$6:$D$37="Realizado")+($D$6:$D$37="Compromisso")+($D$6:$D$37="Previsto")*Premissas!$B$116+($D$6:$D$37="Em negociação")*Premissas!$B$117)*($A$6:$A$37&gt;=X$90)*($A$6:$A$37&lt;=EOMONTH(X$90,0))*$C$6:$C$37)</f>
        <v>0</v>
      </c>
      <c r="Y94" s="60" t="n">
        <f aca="false">SUMPRODUCT(($E$6:$E$37="Fundador")*(($D$6:$D$37="Realizado")+($D$6:$D$37="Compromisso")+($D$6:$D$37="Previsto")*Premissas!$B$116+($D$6:$D$37="Em negociação")*Premissas!$B$117)*($A$6:$A$37&gt;=Y$90)*($A$6:$A$37&lt;=EOMONTH(Y$90,0))*$C$6:$C$37)</f>
        <v>15000</v>
      </c>
      <c r="Z94" s="60" t="n">
        <f aca="false">SUMPRODUCT(($E$6:$E$37="Fundador")*(($D$6:$D$37="Realizado")+($D$6:$D$37="Compromisso")+($D$6:$D$37="Previsto")*Premissas!$B$116+($D$6:$D$37="Em negociação")*Premissas!$B$117)*($A$6:$A$37&gt;=Z$90)*($A$6:$A$37&lt;=EOMONTH(Z$90,0))*$C$6:$C$37)</f>
        <v>0</v>
      </c>
      <c r="AA94" s="60" t="n">
        <f aca="false">SUMPRODUCT(($E$6:$E$37="Fundador")*(($D$6:$D$37="Realizado")+($D$6:$D$37="Compromisso")+($D$6:$D$37="Previsto")*Premissas!$B$116+($D$6:$D$37="Em negociação")*Premissas!$B$117)*($A$6:$A$37&gt;=AA$90)*($A$6:$A$37&lt;=EOMONTH(AA$90,0))*$C$6:$C$37)</f>
        <v>0</v>
      </c>
      <c r="AB94" s="60" t="n">
        <f aca="false">SUMPRODUCT(($E$6:$E$37="Fundador")*(($D$6:$D$37="Realizado")+($D$6:$D$37="Compromisso")+($D$6:$D$37="Previsto")*Premissas!$B$116+($D$6:$D$37="Em negociação")*Premissas!$B$117)*($A$6:$A$37&gt;=AB$90)*($A$6:$A$37&lt;=EOMONTH(AB$90,0))*$C$6:$C$37)</f>
        <v>0</v>
      </c>
      <c r="AC94" s="60" t="n">
        <f aca="false">SUMPRODUCT(($E$6:$E$37="Fundador")*(($D$6:$D$37="Realizado")+($D$6:$D$37="Compromisso")+($D$6:$D$37="Previsto")*Premissas!$B$116+($D$6:$D$37="Em negociação")*Premissas!$B$117)*($A$6:$A$37&gt;=AC$90)*($A$6:$A$37&lt;=EOMONTH(AC$90,0))*$C$6:$C$37)</f>
        <v>0</v>
      </c>
      <c r="AD94" s="60" t="n">
        <f aca="false">SUMPRODUCT(($E$6:$E$37="Fundador")*(($D$6:$D$37="Realizado")+($D$6:$D$37="Compromisso")+($D$6:$D$37="Previsto")*Premissas!$B$116+($D$6:$D$37="Em negociação")*Premissas!$B$117)*($A$6:$A$37&gt;=AD$90)*($A$6:$A$37&lt;=EOMONTH(AD$90,0))*$C$6:$C$37)</f>
        <v>0</v>
      </c>
      <c r="AE94" s="60" t="n">
        <f aca="false">SUMPRODUCT(($E$6:$E$37="Fundador")*(($D$6:$D$37="Realizado")+($D$6:$D$37="Compromisso")+($D$6:$D$37="Previsto")*Premissas!$B$116+($D$6:$D$37="Em negociação")*Premissas!$B$117)*($A$6:$A$37&gt;=AE$90)*($A$6:$A$37&lt;=EOMONTH(AE$90,0))*$C$6:$C$37)</f>
        <v>0</v>
      </c>
      <c r="AF94" s="60" t="n">
        <f aca="false">SUMPRODUCT(($E$6:$E$37="Fundador")*(($D$6:$D$37="Realizado")+($D$6:$D$37="Compromisso")+($D$6:$D$37="Previsto")*Premissas!$B$116+($D$6:$D$37="Em negociação")*Premissas!$B$117)*($A$6:$A$37&gt;=AF$90)*($A$6:$A$37&lt;=EOMONTH(AF$90,0))*$C$6:$C$37)</f>
        <v>0</v>
      </c>
      <c r="AG94" s="60" t="n">
        <f aca="false">SUMPRODUCT(($E$6:$E$37="Fundador")*(($D$6:$D$37="Realizado")+($D$6:$D$37="Compromisso")+($D$6:$D$37="Previsto")*Premissas!$B$116+($D$6:$D$37="Em negociação")*Premissas!$B$117)*($A$6:$A$37&gt;=AG$90)*($A$6:$A$37&lt;=EOMONTH(AG$90,0))*$C$6:$C$37)</f>
        <v>0</v>
      </c>
      <c r="AH94" s="60" t="n">
        <f aca="false">SUMPRODUCT(($E$6:$E$37="Fundador")*(($D$6:$D$37="Realizado")+($D$6:$D$37="Compromisso")+($D$6:$D$37="Previsto")*Premissas!$B$116+($D$6:$D$37="Em negociação")*Premissas!$B$117)*($A$6:$A$37&gt;=AH$90)*($A$6:$A$37&lt;=EOMONTH(AH$90,0))*$C$6:$C$37)</f>
        <v>0</v>
      </c>
      <c r="AI94" s="60" t="n">
        <f aca="false">SUMPRODUCT(($E$6:$E$37="Fundador")*(($D$6:$D$37="Realizado")+($D$6:$D$37="Compromisso")+($D$6:$D$37="Previsto")*Premissas!$B$116+($D$6:$D$37="Em negociação")*Premissas!$B$117)*($A$6:$A$37&gt;=AI$90)*($A$6:$A$37&lt;=EOMONTH(AI$90,0))*$C$6:$C$37)</f>
        <v>0</v>
      </c>
      <c r="AJ94" s="60" t="n">
        <f aca="false">SUMPRODUCT(($E$6:$E$37="Fundador")*(($D$6:$D$37="Realizado")+($D$6:$D$37="Compromisso")+($D$6:$D$37="Previsto")*Premissas!$B$116+($D$6:$D$37="Em negociação")*Premissas!$B$117)*($A$6:$A$37&gt;=AJ$90)*($A$6:$A$37&lt;=EOMONTH(AJ$90,0))*$C$6:$C$37)</f>
        <v>0</v>
      </c>
      <c r="AK94" s="60" t="n">
        <f aca="false">SUMPRODUCT(($E$6:$E$37="Fundador")*(($D$6:$D$37="Realizado")+($D$6:$D$37="Compromisso")+($D$6:$D$37="Previsto")*Premissas!$B$116+($D$6:$D$37="Em negociação")*Premissas!$B$117)*($A$6:$A$37&gt;=AK$90)*($A$6:$A$37&lt;=EOMONTH(AK$90,0))*$C$6:$C$37)</f>
        <v>0</v>
      </c>
      <c r="AL94" s="60" t="n">
        <f aca="false">SUMPRODUCT(($E$6:$E$37="Fundador")*(($D$6:$D$37="Realizado")+($D$6:$D$37="Compromisso")+($D$6:$D$37="Previsto")*Premissas!$B$116+($D$6:$D$37="Em negociação")*Premissas!$B$117)*($A$6:$A$37&gt;=AL$90)*($A$6:$A$37&lt;=EOMONTH(AL$90,0))*$C$6:$C$37)</f>
        <v>0</v>
      </c>
      <c r="AM94" s="60" t="n">
        <f aca="false">SUMPRODUCT(($E$6:$E$37="Fundador")*(($D$6:$D$37="Realizado")+($D$6:$D$37="Compromisso")+($D$6:$D$37="Previsto")*Premissas!$B$116+($D$6:$D$37="Em negociação")*Premissas!$B$117)*($A$6:$A$37&gt;=AM$90)*($A$6:$A$37&lt;=EOMONTH(AM$90,0))*$C$6:$C$37)</f>
        <v>0</v>
      </c>
      <c r="AN94" s="60" t="n">
        <f aca="false">SUMPRODUCT(($E$6:$E$37="Fundador")*(($D$6:$D$37="Realizado")+($D$6:$D$37="Compromisso")+($D$6:$D$37="Previsto")*Premissas!$B$116+($D$6:$D$37="Em negociação")*Premissas!$B$117)*($A$6:$A$37&gt;=AN$90)*($A$6:$A$37&lt;=EOMONTH(AN$90,0))*$C$6:$C$37)</f>
        <v>0</v>
      </c>
      <c r="AO94" s="60" t="n">
        <f aca="false">SUMPRODUCT(($E$6:$E$37="Fundador")*(($D$6:$D$37="Realizado")+($D$6:$D$37="Compromisso")+($D$6:$D$37="Previsto")*Premissas!$B$116+($D$6:$D$37="Em negociação")*Premissas!$B$117)*($A$6:$A$37&gt;=AO$90)*($A$6:$A$37&lt;=EOMONTH(AO$90,0))*$C$6:$C$37)</f>
        <v>0</v>
      </c>
      <c r="AP94" s="60" t="n">
        <f aca="false">SUMPRODUCT(($E$6:$E$37="Fundador")*(($D$6:$D$37="Realizado")+($D$6:$D$37="Compromisso")+($D$6:$D$37="Previsto")*Premissas!$B$116+($D$6:$D$37="Em negociação")*Premissas!$B$117)*($A$6:$A$37&gt;=AP$90)*($A$6:$A$37&lt;=EOMONTH(AP$90,0))*$C$6:$C$37)</f>
        <v>0</v>
      </c>
      <c r="AQ94" s="60" t="n">
        <f aca="false">SUMPRODUCT(($E$6:$E$37="Fundador")*(($D$6:$D$37="Realizado")+($D$6:$D$37="Compromisso")+($D$6:$D$37="Previsto")*Premissas!$B$116+($D$6:$D$37="Em negociação")*Premissas!$B$117)*($A$6:$A$37&gt;=AQ$90)*($A$6:$A$37&lt;=EOMONTH(AQ$90,0))*$C$6:$C$37)</f>
        <v>0</v>
      </c>
      <c r="AR94" s="60" t="n">
        <f aca="false">SUMPRODUCT(($E$6:$E$37="Fundador")*(($D$6:$D$37="Realizado")+($D$6:$D$37="Compromisso")+($D$6:$D$37="Previsto")*Premissas!$B$116+($D$6:$D$37="Em negociação")*Premissas!$B$117)*($A$6:$A$37&gt;=AR$90)*($A$6:$A$37&lt;=EOMONTH(AR$90,0))*$C$6:$C$37)</f>
        <v>0</v>
      </c>
      <c r="AS94" s="60" t="n">
        <f aca="false">SUMPRODUCT(($E$6:$E$37="Fundador")*(($D$6:$D$37="Realizado")+($D$6:$D$37="Compromisso")+($D$6:$D$37="Previsto")*Premissas!$B$116+($D$6:$D$37="Em negociação")*Premissas!$B$117)*($A$6:$A$37&gt;=AS$90)*($A$6:$A$37&lt;=EOMONTH(AS$90,0))*$C$6:$C$37)</f>
        <v>0</v>
      </c>
      <c r="AT94" s="60" t="n">
        <f aca="false">SUMPRODUCT(($E$6:$E$37="Fundador")*(($D$6:$D$37="Realizado")+($D$6:$D$37="Compromisso")+($D$6:$D$37="Previsto")*Premissas!$B$116+($D$6:$D$37="Em negociação")*Premissas!$B$117)*($A$6:$A$37&gt;=AT$90)*($A$6:$A$37&lt;=EOMONTH(AT$90,0))*$C$6:$C$37)</f>
        <v>0</v>
      </c>
      <c r="AU94" s="60" t="n">
        <f aca="false">SUMPRODUCT(($E$6:$E$37="Fundador")*(($D$6:$D$37="Realizado")+($D$6:$D$37="Compromisso")+($D$6:$D$37="Previsto")*Premissas!$B$116+($D$6:$D$37="Em negociação")*Premissas!$B$117)*($A$6:$A$37&gt;=AU$90)*($A$6:$A$37&lt;=EOMONTH(AU$90,0))*$C$6:$C$37)</f>
        <v>0</v>
      </c>
      <c r="AV94" s="60" t="n">
        <f aca="false">SUMPRODUCT(($E$6:$E$37="Fundador")*(($D$6:$D$37="Realizado")+($D$6:$D$37="Compromisso")+($D$6:$D$37="Previsto")*Premissas!$B$116+($D$6:$D$37="Em negociação")*Premissas!$B$117)*($A$6:$A$37&gt;=AV$90)*($A$6:$A$37&lt;=EOMONTH(AV$90,0))*$C$6:$C$37)</f>
        <v>0</v>
      </c>
      <c r="AW94" s="60" t="n">
        <f aca="false">SUMPRODUCT(($E$6:$E$37="Fundador")*(($D$6:$D$37="Realizado")+($D$6:$D$37="Compromisso")+($D$6:$D$37="Previsto")*Premissas!$B$116+($D$6:$D$37="Em negociação")*Premissas!$B$117)*($A$6:$A$37&gt;=AW$90)*($A$6:$A$37&lt;=EOMONTH(AW$90,0))*$C$6:$C$37)</f>
        <v>0</v>
      </c>
      <c r="AX94" s="60" t="n">
        <f aca="false">SUMPRODUCT(($E$6:$E$37="Fundador")*(($D$6:$D$37="Realizado")+($D$6:$D$37="Compromisso")+($D$6:$D$37="Previsto")*Premissas!$B$116+($D$6:$D$37="Em negociação")*Premissas!$B$117)*($A$6:$A$37&gt;=AX$90)*($A$6:$A$37&lt;=EOMONTH(AX$90,0))*$C$6:$C$37)</f>
        <v>0</v>
      </c>
      <c r="AY94" s="60" t="n">
        <f aca="false">SUMPRODUCT(($E$6:$E$37="Fundador")*(($D$6:$D$37="Realizado")+($D$6:$D$37="Compromisso")+($D$6:$D$37="Previsto")*Premissas!$B$116+($D$6:$D$37="Em negociação")*Premissas!$B$117)*($A$6:$A$37&gt;=AY$90)*($A$6:$A$37&lt;=EOMONTH(AY$90,0))*$C$6:$C$37)</f>
        <v>0</v>
      </c>
      <c r="AZ94" s="60" t="n">
        <f aca="false">SUMPRODUCT(($E$6:$E$37="Fundador")*(($D$6:$D$37="Realizado")+($D$6:$D$37="Compromisso")+($D$6:$D$37="Previsto")*Premissas!$B$116+($D$6:$D$37="Em negociação")*Premissas!$B$117)*($A$6:$A$37&gt;=AZ$90)*($A$6:$A$37&lt;=EOMONTH(AZ$90,0))*$C$6:$C$37)</f>
        <v>0</v>
      </c>
      <c r="BA94" s="60" t="n">
        <f aca="false">SUMPRODUCT(($E$6:$E$37="Fundador")*(($D$6:$D$37="Realizado")+($D$6:$D$37="Compromisso")+($D$6:$D$37="Previsto")*Premissas!$B$116+($D$6:$D$37="Em negociação")*Premissas!$B$117)*($A$6:$A$37&gt;=BA$90)*($A$6:$A$37&lt;=EOMONTH(BA$90,0))*$C$6:$C$37)</f>
        <v>0</v>
      </c>
      <c r="BB94" s="60" t="n">
        <f aca="false">SUMPRODUCT(($E$6:$E$37="Fundador")*(($D$6:$D$37="Realizado")+($D$6:$D$37="Compromisso")+($D$6:$D$37="Previsto")*Premissas!$B$116+($D$6:$D$37="Em negociação")*Premissas!$B$117)*($A$6:$A$37&gt;=BB$90)*($A$6:$A$37&lt;=EOMONTH(BB$90,0))*$C$6:$C$37)</f>
        <v>0</v>
      </c>
      <c r="BC94" s="60" t="n">
        <f aca="false">SUMPRODUCT(($E$6:$E$37="Fundador")*(($D$6:$D$37="Realizado")+($D$6:$D$37="Compromisso")+($D$6:$D$37="Previsto")*Premissas!$B$116+($D$6:$D$37="Em negociação")*Premissas!$B$117)*($A$6:$A$37&gt;=BC$90)*($A$6:$A$37&lt;=EOMONTH(BC$90,0))*$C$6:$C$37)</f>
        <v>0</v>
      </c>
      <c r="BD94" s="60" t="n">
        <f aca="false">SUMPRODUCT(($E$6:$E$37="Fundador")*(($D$6:$D$37="Realizado")+($D$6:$D$37="Compromisso")+($D$6:$D$37="Previsto")*Premissas!$B$116+($D$6:$D$37="Em negociação")*Premissas!$B$117)*($A$6:$A$37&gt;=BD$90)*($A$6:$A$37&lt;=EOMONTH(BD$90,0))*$C$6:$C$37)</f>
        <v>0</v>
      </c>
      <c r="BE94" s="60" t="n">
        <f aca="false">SUMPRODUCT(($E$6:$E$37="Fundador")*(($D$6:$D$37="Realizado")+($D$6:$D$37="Compromisso")+($D$6:$D$37="Previsto")*Premissas!$B$116+($D$6:$D$37="Em negociação")*Premissas!$B$117)*($A$6:$A$37&gt;=BE$90)*($A$6:$A$37&lt;=EOMONTH(BE$90,0))*$C$6:$C$37)</f>
        <v>0</v>
      </c>
      <c r="BF94" s="60" t="n">
        <f aca="false">SUMPRODUCT(($E$6:$E$37="Fundador")*(($D$6:$D$37="Realizado")+($D$6:$D$37="Compromisso")+($D$6:$D$37="Previsto")*Premissas!$B$116+($D$6:$D$37="Em negociação")*Premissas!$B$117)*($A$6:$A$37&gt;=BF$90)*($A$6:$A$37&lt;=EOMONTH(BF$90,0))*$C$6:$C$37)</f>
        <v>0</v>
      </c>
      <c r="BG94" s="60" t="n">
        <f aca="false">SUMPRODUCT(($E$6:$E$37="Fundador")*(($D$6:$D$37="Realizado")+($D$6:$D$37="Compromisso")+($D$6:$D$37="Previsto")*Premissas!$B$116+($D$6:$D$37="Em negociação")*Premissas!$B$117)*($A$6:$A$37&gt;=BG$90)*($A$6:$A$37&lt;=EOMONTH(BG$90,0))*$C$6:$C$37)</f>
        <v>0</v>
      </c>
      <c r="BH94" s="60" t="n">
        <f aca="false">SUMPRODUCT(($E$6:$E$37="Fundador")*(($D$6:$D$37="Realizado")+($D$6:$D$37="Compromisso")+($D$6:$D$37="Previsto")*Premissas!$B$116+($D$6:$D$37="Em negociação")*Premissas!$B$117)*($A$6:$A$37&gt;=BH$90)*($A$6:$A$37&lt;=EOMONTH(BH$90,0))*$C$6:$C$37)</f>
        <v>0</v>
      </c>
      <c r="BI94" s="60" t="n">
        <f aca="false">SUMPRODUCT(($E$6:$E$37="Fundador")*(($D$6:$D$37="Realizado")+($D$6:$D$37="Compromisso")+($D$6:$D$37="Previsto")*Premissas!$B$116+($D$6:$D$37="Em negociação")*Premissas!$B$117)*($A$6:$A$37&gt;=BI$90)*($A$6:$A$37&lt;=EOMONTH(BI$90,0))*$C$6:$C$37)</f>
        <v>0</v>
      </c>
      <c r="BJ94" s="61" t="n">
        <f aca="false">SUM(B94:BI94)</f>
        <v>80000</v>
      </c>
    </row>
    <row r="95" customFormat="false" ht="15" hidden="false" customHeight="false" outlineLevel="0" collapsed="false">
      <c r="A95" s="27" t="s">
        <v>957</v>
      </c>
      <c r="B95" s="60" t="n">
        <f aca="false">SUMPRODUCT(($E$6:$E$37="Novo sócio")*(($D$6:$D$37="Realizado")+($D$6:$D$37="Compromisso")+($D$6:$D$37="Previsto")*Premissas!$B$116+($D$6:$D$37="Em negociação")*Premissas!$B$117)*($A$6:$A$37&gt;=B$90)*($A$6:$A$37&lt;=EOMONTH(B$90,0))*$C$6:$C$37)</f>
        <v>0</v>
      </c>
      <c r="C95" s="60" t="n">
        <f aca="false">SUMPRODUCT(($E$6:$E$37="Novo sócio")*(($D$6:$D$37="Realizado")+($D$6:$D$37="Compromisso")+($D$6:$D$37="Previsto")*Premissas!$B$116+($D$6:$D$37="Em negociação")*Premissas!$B$117)*($A$6:$A$37&gt;=C$90)*($A$6:$A$37&lt;=EOMONTH(C$90,0))*$C$6:$C$37)</f>
        <v>0</v>
      </c>
      <c r="D95" s="60" t="n">
        <f aca="false">SUMPRODUCT(($E$6:$E$37="Novo sócio")*(($D$6:$D$37="Realizado")+($D$6:$D$37="Compromisso")+($D$6:$D$37="Previsto")*Premissas!$B$116+($D$6:$D$37="Em negociação")*Premissas!$B$117)*($A$6:$A$37&gt;=D$90)*($A$6:$A$37&lt;=EOMONTH(D$90,0))*$C$6:$C$37)</f>
        <v>0</v>
      </c>
      <c r="E95" s="60" t="n">
        <f aca="false">SUMPRODUCT(($E$6:$E$37="Novo sócio")*(($D$6:$D$37="Realizado")+($D$6:$D$37="Compromisso")+($D$6:$D$37="Previsto")*Premissas!$B$116+($D$6:$D$37="Em negociação")*Premissas!$B$117)*($A$6:$A$37&gt;=E$90)*($A$6:$A$37&lt;=EOMONTH(E$90,0))*$C$6:$C$37)</f>
        <v>0</v>
      </c>
      <c r="F95" s="60" t="n">
        <f aca="false">SUMPRODUCT(($E$6:$E$37="Novo sócio")*(($D$6:$D$37="Realizado")+($D$6:$D$37="Compromisso")+($D$6:$D$37="Previsto")*Premissas!$B$116+($D$6:$D$37="Em negociação")*Premissas!$B$117)*($A$6:$A$37&gt;=F$90)*($A$6:$A$37&lt;=EOMONTH(F$90,0))*$C$6:$C$37)</f>
        <v>0</v>
      </c>
      <c r="G95" s="60" t="n">
        <f aca="false">SUMPRODUCT(($E$6:$E$37="Novo sócio")*(($D$6:$D$37="Realizado")+($D$6:$D$37="Compromisso")+($D$6:$D$37="Previsto")*Premissas!$B$116+($D$6:$D$37="Em negociação")*Premissas!$B$117)*($A$6:$A$37&gt;=G$90)*($A$6:$A$37&lt;=EOMONTH(G$90,0))*$C$6:$C$37)</f>
        <v>0</v>
      </c>
      <c r="H95" s="60" t="n">
        <f aca="false">SUMPRODUCT(($E$6:$E$37="Novo sócio")*(($D$6:$D$37="Realizado")+($D$6:$D$37="Compromisso")+($D$6:$D$37="Previsto")*Premissas!$B$116+($D$6:$D$37="Em negociação")*Premissas!$B$117)*($A$6:$A$37&gt;=H$90)*($A$6:$A$37&lt;=EOMONTH(H$90,0))*$C$6:$C$37)</f>
        <v>0</v>
      </c>
      <c r="I95" s="60" t="n">
        <f aca="false">SUMPRODUCT(($E$6:$E$37="Novo sócio")*(($D$6:$D$37="Realizado")+($D$6:$D$37="Compromisso")+($D$6:$D$37="Previsto")*Premissas!$B$116+($D$6:$D$37="Em negociação")*Premissas!$B$117)*($A$6:$A$37&gt;=I$90)*($A$6:$A$37&lt;=EOMONTH(I$90,0))*$C$6:$C$37)</f>
        <v>0</v>
      </c>
      <c r="J95" s="60" t="n">
        <f aca="false">SUMPRODUCT(($E$6:$E$37="Novo sócio")*(($D$6:$D$37="Realizado")+($D$6:$D$37="Compromisso")+($D$6:$D$37="Previsto")*Premissas!$B$116+($D$6:$D$37="Em negociação")*Premissas!$B$117)*($A$6:$A$37&gt;=J$90)*($A$6:$A$37&lt;=EOMONTH(J$90,0))*$C$6:$C$37)</f>
        <v>0</v>
      </c>
      <c r="K95" s="60" t="n">
        <f aca="false">SUMPRODUCT(($E$6:$E$37="Novo sócio")*(($D$6:$D$37="Realizado")+($D$6:$D$37="Compromisso")+($D$6:$D$37="Previsto")*Premissas!$B$116+($D$6:$D$37="Em negociação")*Premissas!$B$117)*($A$6:$A$37&gt;=K$90)*($A$6:$A$37&lt;=EOMONTH(K$90,0))*$C$6:$C$37)</f>
        <v>80000</v>
      </c>
      <c r="L95" s="60" t="n">
        <f aca="false">SUMPRODUCT(($E$6:$E$37="Novo sócio")*(($D$6:$D$37="Realizado")+($D$6:$D$37="Compromisso")+($D$6:$D$37="Previsto")*Premissas!$B$116+($D$6:$D$37="Em negociação")*Premissas!$B$117)*($A$6:$A$37&gt;=L$90)*($A$6:$A$37&lt;=EOMONTH(L$90,0))*$C$6:$C$37)</f>
        <v>40000</v>
      </c>
      <c r="M95" s="60" t="n">
        <f aca="false">SUMPRODUCT(($E$6:$E$37="Novo sócio")*(($D$6:$D$37="Realizado")+($D$6:$D$37="Compromisso")+($D$6:$D$37="Previsto")*Premissas!$B$116+($D$6:$D$37="Em negociação")*Premissas!$B$117)*($A$6:$A$37&gt;=M$90)*($A$6:$A$37&lt;=EOMONTH(M$90,0))*$C$6:$C$37)</f>
        <v>0</v>
      </c>
      <c r="N95" s="60" t="n">
        <f aca="false">SUMPRODUCT(($E$6:$E$37="Novo sócio")*(($D$6:$D$37="Realizado")+($D$6:$D$37="Compromisso")+($D$6:$D$37="Previsto")*Premissas!$B$116+($D$6:$D$37="Em negociação")*Premissas!$B$117)*($A$6:$A$37&gt;=N$90)*($A$6:$A$37&lt;=EOMONTH(N$90,0))*$C$6:$C$37)</f>
        <v>0</v>
      </c>
      <c r="O95" s="60" t="n">
        <f aca="false">SUMPRODUCT(($E$6:$E$37="Novo sócio")*(($D$6:$D$37="Realizado")+($D$6:$D$37="Compromisso")+($D$6:$D$37="Previsto")*Premissas!$B$116+($D$6:$D$37="Em negociação")*Premissas!$B$117)*($A$6:$A$37&gt;=O$90)*($A$6:$A$37&lt;=EOMONTH(O$90,0))*$C$6:$C$37)</f>
        <v>0</v>
      </c>
      <c r="P95" s="60" t="n">
        <f aca="false">SUMPRODUCT(($E$6:$E$37="Novo sócio")*(($D$6:$D$37="Realizado")+($D$6:$D$37="Compromisso")+($D$6:$D$37="Previsto")*Premissas!$B$116+($D$6:$D$37="Em negociação")*Premissas!$B$117)*($A$6:$A$37&gt;=P$90)*($A$6:$A$37&lt;=EOMONTH(P$90,0))*$C$6:$C$37)</f>
        <v>0</v>
      </c>
      <c r="Q95" s="60" t="n">
        <f aca="false">SUMPRODUCT(($E$6:$E$37="Novo sócio")*(($D$6:$D$37="Realizado")+($D$6:$D$37="Compromisso")+($D$6:$D$37="Previsto")*Premissas!$B$116+($D$6:$D$37="Em negociação")*Premissas!$B$117)*($A$6:$A$37&gt;=Q$90)*($A$6:$A$37&lt;=EOMONTH(Q$90,0))*$C$6:$C$37)</f>
        <v>0</v>
      </c>
      <c r="R95" s="60" t="n">
        <f aca="false">SUMPRODUCT(($E$6:$E$37="Novo sócio")*(($D$6:$D$37="Realizado")+($D$6:$D$37="Compromisso")+($D$6:$D$37="Previsto")*Premissas!$B$116+($D$6:$D$37="Em negociação")*Premissas!$B$117)*($A$6:$A$37&gt;=R$90)*($A$6:$A$37&lt;=EOMONTH(R$90,0))*$C$6:$C$37)</f>
        <v>0</v>
      </c>
      <c r="S95" s="60" t="n">
        <f aca="false">SUMPRODUCT(($E$6:$E$37="Novo sócio")*(($D$6:$D$37="Realizado")+($D$6:$D$37="Compromisso")+($D$6:$D$37="Previsto")*Premissas!$B$116+($D$6:$D$37="Em negociação")*Premissas!$B$117)*($A$6:$A$37&gt;=S$90)*($A$6:$A$37&lt;=EOMONTH(S$90,0))*$C$6:$C$37)</f>
        <v>0</v>
      </c>
      <c r="T95" s="60" t="n">
        <f aca="false">SUMPRODUCT(($E$6:$E$37="Novo sócio")*(($D$6:$D$37="Realizado")+($D$6:$D$37="Compromisso")+($D$6:$D$37="Previsto")*Premissas!$B$116+($D$6:$D$37="Em negociação")*Premissas!$B$117)*($A$6:$A$37&gt;=T$90)*($A$6:$A$37&lt;=EOMONTH(T$90,0))*$C$6:$C$37)</f>
        <v>0</v>
      </c>
      <c r="U95" s="60" t="n">
        <f aca="false">SUMPRODUCT(($E$6:$E$37="Novo sócio")*(($D$6:$D$37="Realizado")+($D$6:$D$37="Compromisso")+($D$6:$D$37="Previsto")*Premissas!$B$116+($D$6:$D$37="Em negociação")*Premissas!$B$117)*($A$6:$A$37&gt;=U$90)*($A$6:$A$37&lt;=EOMONTH(U$90,0))*$C$6:$C$37)</f>
        <v>0</v>
      </c>
      <c r="V95" s="60" t="n">
        <f aca="false">SUMPRODUCT(($E$6:$E$37="Novo sócio")*(($D$6:$D$37="Realizado")+($D$6:$D$37="Compromisso")+($D$6:$D$37="Previsto")*Premissas!$B$116+($D$6:$D$37="Em negociação")*Premissas!$B$117)*($A$6:$A$37&gt;=V$90)*($A$6:$A$37&lt;=EOMONTH(V$90,0))*$C$6:$C$37)</f>
        <v>0</v>
      </c>
      <c r="W95" s="60" t="n">
        <f aca="false">SUMPRODUCT(($E$6:$E$37="Novo sócio")*(($D$6:$D$37="Realizado")+($D$6:$D$37="Compromisso")+($D$6:$D$37="Previsto")*Premissas!$B$116+($D$6:$D$37="Em negociação")*Premissas!$B$117)*($A$6:$A$37&gt;=W$90)*($A$6:$A$37&lt;=EOMONTH(W$90,0))*$C$6:$C$37)</f>
        <v>0</v>
      </c>
      <c r="X95" s="60" t="n">
        <f aca="false">SUMPRODUCT(($E$6:$E$37="Novo sócio")*(($D$6:$D$37="Realizado")+($D$6:$D$37="Compromisso")+($D$6:$D$37="Previsto")*Premissas!$B$116+($D$6:$D$37="Em negociação")*Premissas!$B$117)*($A$6:$A$37&gt;=X$90)*($A$6:$A$37&lt;=EOMONTH(X$90,0))*$C$6:$C$37)</f>
        <v>0</v>
      </c>
      <c r="Y95" s="60" t="n">
        <f aca="false">SUMPRODUCT(($E$6:$E$37="Novo sócio")*(($D$6:$D$37="Realizado")+($D$6:$D$37="Compromisso")+($D$6:$D$37="Previsto")*Premissas!$B$116+($D$6:$D$37="Em negociação")*Premissas!$B$117)*($A$6:$A$37&gt;=Y$90)*($A$6:$A$37&lt;=EOMONTH(Y$90,0))*$C$6:$C$37)</f>
        <v>0</v>
      </c>
      <c r="Z95" s="60" t="n">
        <f aca="false">SUMPRODUCT(($E$6:$E$37="Novo sócio")*(($D$6:$D$37="Realizado")+($D$6:$D$37="Compromisso")+($D$6:$D$37="Previsto")*Premissas!$B$116+($D$6:$D$37="Em negociação")*Premissas!$B$117)*($A$6:$A$37&gt;=Z$90)*($A$6:$A$37&lt;=EOMONTH(Z$90,0))*$C$6:$C$37)</f>
        <v>0</v>
      </c>
      <c r="AA95" s="60" t="n">
        <f aca="false">SUMPRODUCT(($E$6:$E$37="Novo sócio")*(($D$6:$D$37="Realizado")+($D$6:$D$37="Compromisso")+($D$6:$D$37="Previsto")*Premissas!$B$116+($D$6:$D$37="Em negociação")*Premissas!$B$117)*($A$6:$A$37&gt;=AA$90)*($A$6:$A$37&lt;=EOMONTH(AA$90,0))*$C$6:$C$37)</f>
        <v>0</v>
      </c>
      <c r="AB95" s="60" t="n">
        <f aca="false">SUMPRODUCT(($E$6:$E$37="Novo sócio")*(($D$6:$D$37="Realizado")+($D$6:$D$37="Compromisso")+($D$6:$D$37="Previsto")*Premissas!$B$116+($D$6:$D$37="Em negociação")*Premissas!$B$117)*($A$6:$A$37&gt;=AB$90)*($A$6:$A$37&lt;=EOMONTH(AB$90,0))*$C$6:$C$37)</f>
        <v>0</v>
      </c>
      <c r="AC95" s="60" t="n">
        <f aca="false">SUMPRODUCT(($E$6:$E$37="Novo sócio")*(($D$6:$D$37="Realizado")+($D$6:$D$37="Compromisso")+($D$6:$D$37="Previsto")*Premissas!$B$116+($D$6:$D$37="Em negociação")*Premissas!$B$117)*($A$6:$A$37&gt;=AC$90)*($A$6:$A$37&lt;=EOMONTH(AC$90,0))*$C$6:$C$37)</f>
        <v>0</v>
      </c>
      <c r="AD95" s="60" t="n">
        <f aca="false">SUMPRODUCT(($E$6:$E$37="Novo sócio")*(($D$6:$D$37="Realizado")+($D$6:$D$37="Compromisso")+($D$6:$D$37="Previsto")*Premissas!$B$116+($D$6:$D$37="Em negociação")*Premissas!$B$117)*($A$6:$A$37&gt;=AD$90)*($A$6:$A$37&lt;=EOMONTH(AD$90,0))*$C$6:$C$37)</f>
        <v>0</v>
      </c>
      <c r="AE95" s="60" t="n">
        <f aca="false">SUMPRODUCT(($E$6:$E$37="Novo sócio")*(($D$6:$D$37="Realizado")+($D$6:$D$37="Compromisso")+($D$6:$D$37="Previsto")*Premissas!$B$116+($D$6:$D$37="Em negociação")*Premissas!$B$117)*($A$6:$A$37&gt;=AE$90)*($A$6:$A$37&lt;=EOMONTH(AE$90,0))*$C$6:$C$37)</f>
        <v>0</v>
      </c>
      <c r="AF95" s="60" t="n">
        <f aca="false">SUMPRODUCT(($E$6:$E$37="Novo sócio")*(($D$6:$D$37="Realizado")+($D$6:$D$37="Compromisso")+($D$6:$D$37="Previsto")*Premissas!$B$116+($D$6:$D$37="Em negociação")*Premissas!$B$117)*($A$6:$A$37&gt;=AF$90)*($A$6:$A$37&lt;=EOMONTH(AF$90,0))*$C$6:$C$37)</f>
        <v>0</v>
      </c>
      <c r="AG95" s="60" t="n">
        <f aca="false">SUMPRODUCT(($E$6:$E$37="Novo sócio")*(($D$6:$D$37="Realizado")+($D$6:$D$37="Compromisso")+($D$6:$D$37="Previsto")*Premissas!$B$116+($D$6:$D$37="Em negociação")*Premissas!$B$117)*($A$6:$A$37&gt;=AG$90)*($A$6:$A$37&lt;=EOMONTH(AG$90,0))*$C$6:$C$37)</f>
        <v>0</v>
      </c>
      <c r="AH95" s="60" t="n">
        <f aca="false">SUMPRODUCT(($E$6:$E$37="Novo sócio")*(($D$6:$D$37="Realizado")+($D$6:$D$37="Compromisso")+($D$6:$D$37="Previsto")*Premissas!$B$116+($D$6:$D$37="Em negociação")*Premissas!$B$117)*($A$6:$A$37&gt;=AH$90)*($A$6:$A$37&lt;=EOMONTH(AH$90,0))*$C$6:$C$37)</f>
        <v>0</v>
      </c>
      <c r="AI95" s="60" t="n">
        <f aca="false">SUMPRODUCT(($E$6:$E$37="Novo sócio")*(($D$6:$D$37="Realizado")+($D$6:$D$37="Compromisso")+($D$6:$D$37="Previsto")*Premissas!$B$116+($D$6:$D$37="Em negociação")*Premissas!$B$117)*($A$6:$A$37&gt;=AI$90)*($A$6:$A$37&lt;=EOMONTH(AI$90,0))*$C$6:$C$37)</f>
        <v>0</v>
      </c>
      <c r="AJ95" s="60" t="n">
        <f aca="false">SUMPRODUCT(($E$6:$E$37="Novo sócio")*(($D$6:$D$37="Realizado")+($D$6:$D$37="Compromisso")+($D$6:$D$37="Previsto")*Premissas!$B$116+($D$6:$D$37="Em negociação")*Premissas!$B$117)*($A$6:$A$37&gt;=AJ$90)*($A$6:$A$37&lt;=EOMONTH(AJ$90,0))*$C$6:$C$37)</f>
        <v>0</v>
      </c>
      <c r="AK95" s="60" t="n">
        <f aca="false">SUMPRODUCT(($E$6:$E$37="Novo sócio")*(($D$6:$D$37="Realizado")+($D$6:$D$37="Compromisso")+($D$6:$D$37="Previsto")*Premissas!$B$116+($D$6:$D$37="Em negociação")*Premissas!$B$117)*($A$6:$A$37&gt;=AK$90)*($A$6:$A$37&lt;=EOMONTH(AK$90,0))*$C$6:$C$37)</f>
        <v>0</v>
      </c>
      <c r="AL95" s="60" t="n">
        <f aca="false">SUMPRODUCT(($E$6:$E$37="Novo sócio")*(($D$6:$D$37="Realizado")+($D$6:$D$37="Compromisso")+($D$6:$D$37="Previsto")*Premissas!$B$116+($D$6:$D$37="Em negociação")*Premissas!$B$117)*($A$6:$A$37&gt;=AL$90)*($A$6:$A$37&lt;=EOMONTH(AL$90,0))*$C$6:$C$37)</f>
        <v>0</v>
      </c>
      <c r="AM95" s="60" t="n">
        <f aca="false">SUMPRODUCT(($E$6:$E$37="Novo sócio")*(($D$6:$D$37="Realizado")+($D$6:$D$37="Compromisso")+($D$6:$D$37="Previsto")*Premissas!$B$116+($D$6:$D$37="Em negociação")*Premissas!$B$117)*($A$6:$A$37&gt;=AM$90)*($A$6:$A$37&lt;=EOMONTH(AM$90,0))*$C$6:$C$37)</f>
        <v>0</v>
      </c>
      <c r="AN95" s="60" t="n">
        <f aca="false">SUMPRODUCT(($E$6:$E$37="Novo sócio")*(($D$6:$D$37="Realizado")+($D$6:$D$37="Compromisso")+($D$6:$D$37="Previsto")*Premissas!$B$116+($D$6:$D$37="Em negociação")*Premissas!$B$117)*($A$6:$A$37&gt;=AN$90)*($A$6:$A$37&lt;=EOMONTH(AN$90,0))*$C$6:$C$37)</f>
        <v>0</v>
      </c>
      <c r="AO95" s="60" t="n">
        <f aca="false">SUMPRODUCT(($E$6:$E$37="Novo sócio")*(($D$6:$D$37="Realizado")+($D$6:$D$37="Compromisso")+($D$6:$D$37="Previsto")*Premissas!$B$116+($D$6:$D$37="Em negociação")*Premissas!$B$117)*($A$6:$A$37&gt;=AO$90)*($A$6:$A$37&lt;=EOMONTH(AO$90,0))*$C$6:$C$37)</f>
        <v>0</v>
      </c>
      <c r="AP95" s="60" t="n">
        <f aca="false">SUMPRODUCT(($E$6:$E$37="Novo sócio")*(($D$6:$D$37="Realizado")+($D$6:$D$37="Compromisso")+($D$6:$D$37="Previsto")*Premissas!$B$116+($D$6:$D$37="Em negociação")*Premissas!$B$117)*($A$6:$A$37&gt;=AP$90)*($A$6:$A$37&lt;=EOMONTH(AP$90,0))*$C$6:$C$37)</f>
        <v>0</v>
      </c>
      <c r="AQ95" s="60" t="n">
        <f aca="false">SUMPRODUCT(($E$6:$E$37="Novo sócio")*(($D$6:$D$37="Realizado")+($D$6:$D$37="Compromisso")+($D$6:$D$37="Previsto")*Premissas!$B$116+($D$6:$D$37="Em negociação")*Premissas!$B$117)*($A$6:$A$37&gt;=AQ$90)*($A$6:$A$37&lt;=EOMONTH(AQ$90,0))*$C$6:$C$37)</f>
        <v>0</v>
      </c>
      <c r="AR95" s="60" t="n">
        <f aca="false">SUMPRODUCT(($E$6:$E$37="Novo sócio")*(($D$6:$D$37="Realizado")+($D$6:$D$37="Compromisso")+($D$6:$D$37="Previsto")*Premissas!$B$116+($D$6:$D$37="Em negociação")*Premissas!$B$117)*($A$6:$A$37&gt;=AR$90)*($A$6:$A$37&lt;=EOMONTH(AR$90,0))*$C$6:$C$37)</f>
        <v>0</v>
      </c>
      <c r="AS95" s="60" t="n">
        <f aca="false">SUMPRODUCT(($E$6:$E$37="Novo sócio")*(($D$6:$D$37="Realizado")+($D$6:$D$37="Compromisso")+($D$6:$D$37="Previsto")*Premissas!$B$116+($D$6:$D$37="Em negociação")*Premissas!$B$117)*($A$6:$A$37&gt;=AS$90)*($A$6:$A$37&lt;=EOMONTH(AS$90,0))*$C$6:$C$37)</f>
        <v>0</v>
      </c>
      <c r="AT95" s="60" t="n">
        <f aca="false">SUMPRODUCT(($E$6:$E$37="Novo sócio")*(($D$6:$D$37="Realizado")+($D$6:$D$37="Compromisso")+($D$6:$D$37="Previsto")*Premissas!$B$116+($D$6:$D$37="Em negociação")*Premissas!$B$117)*($A$6:$A$37&gt;=AT$90)*($A$6:$A$37&lt;=EOMONTH(AT$90,0))*$C$6:$C$37)</f>
        <v>0</v>
      </c>
      <c r="AU95" s="60" t="n">
        <f aca="false">SUMPRODUCT(($E$6:$E$37="Novo sócio")*(($D$6:$D$37="Realizado")+($D$6:$D$37="Compromisso")+($D$6:$D$37="Previsto")*Premissas!$B$116+($D$6:$D$37="Em negociação")*Premissas!$B$117)*($A$6:$A$37&gt;=AU$90)*($A$6:$A$37&lt;=EOMONTH(AU$90,0))*$C$6:$C$37)</f>
        <v>0</v>
      </c>
      <c r="AV95" s="60" t="n">
        <f aca="false">SUMPRODUCT(($E$6:$E$37="Novo sócio")*(($D$6:$D$37="Realizado")+($D$6:$D$37="Compromisso")+($D$6:$D$37="Previsto")*Premissas!$B$116+($D$6:$D$37="Em negociação")*Premissas!$B$117)*($A$6:$A$37&gt;=AV$90)*($A$6:$A$37&lt;=EOMONTH(AV$90,0))*$C$6:$C$37)</f>
        <v>0</v>
      </c>
      <c r="AW95" s="60" t="n">
        <f aca="false">SUMPRODUCT(($E$6:$E$37="Novo sócio")*(($D$6:$D$37="Realizado")+($D$6:$D$37="Compromisso")+($D$6:$D$37="Previsto")*Premissas!$B$116+($D$6:$D$37="Em negociação")*Premissas!$B$117)*($A$6:$A$37&gt;=AW$90)*($A$6:$A$37&lt;=EOMONTH(AW$90,0))*$C$6:$C$37)</f>
        <v>0</v>
      </c>
      <c r="AX95" s="60" t="n">
        <f aca="false">SUMPRODUCT(($E$6:$E$37="Novo sócio")*(($D$6:$D$37="Realizado")+($D$6:$D$37="Compromisso")+($D$6:$D$37="Previsto")*Premissas!$B$116+($D$6:$D$37="Em negociação")*Premissas!$B$117)*($A$6:$A$37&gt;=AX$90)*($A$6:$A$37&lt;=EOMONTH(AX$90,0))*$C$6:$C$37)</f>
        <v>0</v>
      </c>
      <c r="AY95" s="60" t="n">
        <f aca="false">SUMPRODUCT(($E$6:$E$37="Novo sócio")*(($D$6:$D$37="Realizado")+($D$6:$D$37="Compromisso")+($D$6:$D$37="Previsto")*Premissas!$B$116+($D$6:$D$37="Em negociação")*Premissas!$B$117)*($A$6:$A$37&gt;=AY$90)*($A$6:$A$37&lt;=EOMONTH(AY$90,0))*$C$6:$C$37)</f>
        <v>0</v>
      </c>
      <c r="AZ95" s="60" t="n">
        <f aca="false">SUMPRODUCT(($E$6:$E$37="Novo sócio")*(($D$6:$D$37="Realizado")+($D$6:$D$37="Compromisso")+($D$6:$D$37="Previsto")*Premissas!$B$116+($D$6:$D$37="Em negociação")*Premissas!$B$117)*($A$6:$A$37&gt;=AZ$90)*($A$6:$A$37&lt;=EOMONTH(AZ$90,0))*$C$6:$C$37)</f>
        <v>0</v>
      </c>
      <c r="BA95" s="60" t="n">
        <f aca="false">SUMPRODUCT(($E$6:$E$37="Novo sócio")*(($D$6:$D$37="Realizado")+($D$6:$D$37="Compromisso")+($D$6:$D$37="Previsto")*Premissas!$B$116+($D$6:$D$37="Em negociação")*Premissas!$B$117)*($A$6:$A$37&gt;=BA$90)*($A$6:$A$37&lt;=EOMONTH(BA$90,0))*$C$6:$C$37)</f>
        <v>0</v>
      </c>
      <c r="BB95" s="60" t="n">
        <f aca="false">SUMPRODUCT(($E$6:$E$37="Novo sócio")*(($D$6:$D$37="Realizado")+($D$6:$D$37="Compromisso")+($D$6:$D$37="Previsto")*Premissas!$B$116+($D$6:$D$37="Em negociação")*Premissas!$B$117)*($A$6:$A$37&gt;=BB$90)*($A$6:$A$37&lt;=EOMONTH(BB$90,0))*$C$6:$C$37)</f>
        <v>0</v>
      </c>
      <c r="BC95" s="60" t="n">
        <f aca="false">SUMPRODUCT(($E$6:$E$37="Novo sócio")*(($D$6:$D$37="Realizado")+($D$6:$D$37="Compromisso")+($D$6:$D$37="Previsto")*Premissas!$B$116+($D$6:$D$37="Em negociação")*Premissas!$B$117)*($A$6:$A$37&gt;=BC$90)*($A$6:$A$37&lt;=EOMONTH(BC$90,0))*$C$6:$C$37)</f>
        <v>0</v>
      </c>
      <c r="BD95" s="60" t="n">
        <f aca="false">SUMPRODUCT(($E$6:$E$37="Novo sócio")*(($D$6:$D$37="Realizado")+($D$6:$D$37="Compromisso")+($D$6:$D$37="Previsto")*Premissas!$B$116+($D$6:$D$37="Em negociação")*Premissas!$B$117)*($A$6:$A$37&gt;=BD$90)*($A$6:$A$37&lt;=EOMONTH(BD$90,0))*$C$6:$C$37)</f>
        <v>0</v>
      </c>
      <c r="BE95" s="60" t="n">
        <f aca="false">SUMPRODUCT(($E$6:$E$37="Novo sócio")*(($D$6:$D$37="Realizado")+($D$6:$D$37="Compromisso")+($D$6:$D$37="Previsto")*Premissas!$B$116+($D$6:$D$37="Em negociação")*Premissas!$B$117)*($A$6:$A$37&gt;=BE$90)*($A$6:$A$37&lt;=EOMONTH(BE$90,0))*$C$6:$C$37)</f>
        <v>0</v>
      </c>
      <c r="BF95" s="60" t="n">
        <f aca="false">SUMPRODUCT(($E$6:$E$37="Novo sócio")*(($D$6:$D$37="Realizado")+($D$6:$D$37="Compromisso")+($D$6:$D$37="Previsto")*Premissas!$B$116+($D$6:$D$37="Em negociação")*Premissas!$B$117)*($A$6:$A$37&gt;=BF$90)*($A$6:$A$37&lt;=EOMONTH(BF$90,0))*$C$6:$C$37)</f>
        <v>0</v>
      </c>
      <c r="BG95" s="60" t="n">
        <f aca="false">SUMPRODUCT(($E$6:$E$37="Novo sócio")*(($D$6:$D$37="Realizado")+($D$6:$D$37="Compromisso")+($D$6:$D$37="Previsto")*Premissas!$B$116+($D$6:$D$37="Em negociação")*Premissas!$B$117)*($A$6:$A$37&gt;=BG$90)*($A$6:$A$37&lt;=EOMONTH(BG$90,0))*$C$6:$C$37)</f>
        <v>0</v>
      </c>
      <c r="BH95" s="60" t="n">
        <f aca="false">SUMPRODUCT(($E$6:$E$37="Novo sócio")*(($D$6:$D$37="Realizado")+($D$6:$D$37="Compromisso")+($D$6:$D$37="Previsto")*Premissas!$B$116+($D$6:$D$37="Em negociação")*Premissas!$B$117)*($A$6:$A$37&gt;=BH$90)*($A$6:$A$37&lt;=EOMONTH(BH$90,0))*$C$6:$C$37)</f>
        <v>0</v>
      </c>
      <c r="BI95" s="60" t="n">
        <f aca="false">SUMPRODUCT(($E$6:$E$37="Novo sócio")*(($D$6:$D$37="Realizado")+($D$6:$D$37="Compromisso")+($D$6:$D$37="Previsto")*Premissas!$B$116+($D$6:$D$37="Em negociação")*Premissas!$B$117)*($A$6:$A$37&gt;=BI$90)*($A$6:$A$37&lt;=EOMONTH(BI$90,0))*$C$6:$C$37)</f>
        <v>0</v>
      </c>
      <c r="BJ95" s="61" t="n">
        <f aca="false">SUM(B95:BI95)</f>
        <v>120000</v>
      </c>
    </row>
    <row r="96" customFormat="false" ht="15" hidden="false" customHeight="false" outlineLevel="0" collapsed="false">
      <c r="A96" s="27" t="s">
        <v>958</v>
      </c>
      <c r="B96" s="60" t="n">
        <f aca="false">SUMPRODUCT(($E$6:$E$37="Investidor estratégico")*(($D$6:$D$37="Realizado")+($D$6:$D$37="Compromisso")+($D$6:$D$37="Previsto")*Premissas!$B$116+($D$6:$D$37="Em negociação")*Premissas!$B$117)*($A$6:$A$37&gt;=B$90)*($A$6:$A$37&lt;=EOMONTH(B$90,0))*$C$6:$C$37)</f>
        <v>0</v>
      </c>
      <c r="C96" s="60" t="n">
        <f aca="false">SUMPRODUCT(($E$6:$E$37="Investidor estratégico")*(($D$6:$D$37="Realizado")+($D$6:$D$37="Compromisso")+($D$6:$D$37="Previsto")*Premissas!$B$116+($D$6:$D$37="Em negociação")*Premissas!$B$117)*($A$6:$A$37&gt;=C$90)*($A$6:$A$37&lt;=EOMONTH(C$90,0))*$C$6:$C$37)</f>
        <v>0</v>
      </c>
      <c r="D96" s="60" t="n">
        <f aca="false">SUMPRODUCT(($E$6:$E$37="Investidor estratégico")*(($D$6:$D$37="Realizado")+($D$6:$D$37="Compromisso")+($D$6:$D$37="Previsto")*Premissas!$B$116+($D$6:$D$37="Em negociação")*Premissas!$B$117)*($A$6:$A$37&gt;=D$90)*($A$6:$A$37&lt;=EOMONTH(D$90,0))*$C$6:$C$37)</f>
        <v>0</v>
      </c>
      <c r="E96" s="60" t="n">
        <f aca="false">SUMPRODUCT(($E$6:$E$37="Investidor estratégico")*(($D$6:$D$37="Realizado")+($D$6:$D$37="Compromisso")+($D$6:$D$37="Previsto")*Premissas!$B$116+($D$6:$D$37="Em negociação")*Premissas!$B$117)*($A$6:$A$37&gt;=E$90)*($A$6:$A$37&lt;=EOMONTH(E$90,0))*$C$6:$C$37)</f>
        <v>0</v>
      </c>
      <c r="F96" s="60" t="n">
        <f aca="false">SUMPRODUCT(($E$6:$E$37="Investidor estratégico")*(($D$6:$D$37="Realizado")+($D$6:$D$37="Compromisso")+($D$6:$D$37="Previsto")*Premissas!$B$116+($D$6:$D$37="Em negociação")*Premissas!$B$117)*($A$6:$A$37&gt;=F$90)*($A$6:$A$37&lt;=EOMONTH(F$90,0))*$C$6:$C$37)</f>
        <v>0</v>
      </c>
      <c r="G96" s="60" t="n">
        <f aca="false">SUMPRODUCT(($E$6:$E$37="Investidor estratégico")*(($D$6:$D$37="Realizado")+($D$6:$D$37="Compromisso")+($D$6:$D$37="Previsto")*Premissas!$B$116+($D$6:$D$37="Em negociação")*Premissas!$B$117)*($A$6:$A$37&gt;=G$90)*($A$6:$A$37&lt;=EOMONTH(G$90,0))*$C$6:$C$37)</f>
        <v>0</v>
      </c>
      <c r="H96" s="60" t="n">
        <f aca="false">SUMPRODUCT(($E$6:$E$37="Investidor estratégico")*(($D$6:$D$37="Realizado")+($D$6:$D$37="Compromisso")+($D$6:$D$37="Previsto")*Premissas!$B$116+($D$6:$D$37="Em negociação")*Premissas!$B$117)*($A$6:$A$37&gt;=H$90)*($A$6:$A$37&lt;=EOMONTH(H$90,0))*$C$6:$C$37)</f>
        <v>0</v>
      </c>
      <c r="I96" s="60" t="n">
        <f aca="false">SUMPRODUCT(($E$6:$E$37="Investidor estratégico")*(($D$6:$D$37="Realizado")+($D$6:$D$37="Compromisso")+($D$6:$D$37="Previsto")*Premissas!$B$116+($D$6:$D$37="Em negociação")*Premissas!$B$117)*($A$6:$A$37&gt;=I$90)*($A$6:$A$37&lt;=EOMONTH(I$90,0))*$C$6:$C$37)</f>
        <v>0</v>
      </c>
      <c r="J96" s="60" t="n">
        <f aca="false">SUMPRODUCT(($E$6:$E$37="Investidor estratégico")*(($D$6:$D$37="Realizado")+($D$6:$D$37="Compromisso")+($D$6:$D$37="Previsto")*Premissas!$B$116+($D$6:$D$37="Em negociação")*Premissas!$B$117)*($A$6:$A$37&gt;=J$90)*($A$6:$A$37&lt;=EOMONTH(J$90,0))*$C$6:$C$37)</f>
        <v>0</v>
      </c>
      <c r="K96" s="60" t="n">
        <f aca="false">SUMPRODUCT(($E$6:$E$37="Investidor estratégico")*(($D$6:$D$37="Realizado")+($D$6:$D$37="Compromisso")+($D$6:$D$37="Previsto")*Premissas!$B$116+($D$6:$D$37="Em negociação")*Premissas!$B$117)*($A$6:$A$37&gt;=K$90)*($A$6:$A$37&lt;=EOMONTH(K$90,0))*$C$6:$C$37)</f>
        <v>0</v>
      </c>
      <c r="L96" s="60" t="n">
        <f aca="false">SUMPRODUCT(($E$6:$E$37="Investidor estratégico")*(($D$6:$D$37="Realizado")+($D$6:$D$37="Compromisso")+($D$6:$D$37="Previsto")*Premissas!$B$116+($D$6:$D$37="Em negociação")*Premissas!$B$117)*($A$6:$A$37&gt;=L$90)*($A$6:$A$37&lt;=EOMONTH(L$90,0))*$C$6:$C$37)</f>
        <v>0</v>
      </c>
      <c r="M96" s="60" t="n">
        <f aca="false">SUMPRODUCT(($E$6:$E$37="Investidor estratégico")*(($D$6:$D$37="Realizado")+($D$6:$D$37="Compromisso")+($D$6:$D$37="Previsto")*Premissas!$B$116+($D$6:$D$37="Em negociação")*Premissas!$B$117)*($A$6:$A$37&gt;=M$90)*($A$6:$A$37&lt;=EOMONTH(M$90,0))*$C$6:$C$37)</f>
        <v>0</v>
      </c>
      <c r="N96" s="60" t="n">
        <f aca="false">SUMPRODUCT(($E$6:$E$37="Investidor estratégico")*(($D$6:$D$37="Realizado")+($D$6:$D$37="Compromisso")+($D$6:$D$37="Previsto")*Premissas!$B$116+($D$6:$D$37="Em negociação")*Premissas!$B$117)*($A$6:$A$37&gt;=N$90)*($A$6:$A$37&lt;=EOMONTH(N$90,0))*$C$6:$C$37)</f>
        <v>0</v>
      </c>
      <c r="O96" s="60" t="n">
        <f aca="false">SUMPRODUCT(($E$6:$E$37="Investidor estratégico")*(($D$6:$D$37="Realizado")+($D$6:$D$37="Compromisso")+($D$6:$D$37="Previsto")*Premissas!$B$116+($D$6:$D$37="Em negociação")*Premissas!$B$117)*($A$6:$A$37&gt;=O$90)*($A$6:$A$37&lt;=EOMONTH(O$90,0))*$C$6:$C$37)</f>
        <v>0</v>
      </c>
      <c r="P96" s="60" t="n">
        <f aca="false">SUMPRODUCT(($E$6:$E$37="Investidor estratégico")*(($D$6:$D$37="Realizado")+($D$6:$D$37="Compromisso")+($D$6:$D$37="Previsto")*Premissas!$B$116+($D$6:$D$37="Em negociação")*Premissas!$B$117)*($A$6:$A$37&gt;=P$90)*($A$6:$A$37&lt;=EOMONTH(P$90,0))*$C$6:$C$37)</f>
        <v>0</v>
      </c>
      <c r="Q96" s="60" t="n">
        <f aca="false">SUMPRODUCT(($E$6:$E$37="Investidor estratégico")*(($D$6:$D$37="Realizado")+($D$6:$D$37="Compromisso")+($D$6:$D$37="Previsto")*Premissas!$B$116+($D$6:$D$37="Em negociação")*Premissas!$B$117)*($A$6:$A$37&gt;=Q$90)*($A$6:$A$37&lt;=EOMONTH(Q$90,0))*$C$6:$C$37)</f>
        <v>0</v>
      </c>
      <c r="R96" s="60" t="n">
        <f aca="false">SUMPRODUCT(($E$6:$E$37="Investidor estratégico")*(($D$6:$D$37="Realizado")+($D$6:$D$37="Compromisso")+($D$6:$D$37="Previsto")*Premissas!$B$116+($D$6:$D$37="Em negociação")*Premissas!$B$117)*($A$6:$A$37&gt;=R$90)*($A$6:$A$37&lt;=EOMONTH(R$90,0))*$C$6:$C$37)</f>
        <v>0</v>
      </c>
      <c r="S96" s="60" t="n">
        <f aca="false">SUMPRODUCT(($E$6:$E$37="Investidor estratégico")*(($D$6:$D$37="Realizado")+($D$6:$D$37="Compromisso")+($D$6:$D$37="Previsto")*Premissas!$B$116+($D$6:$D$37="Em negociação")*Premissas!$B$117)*($A$6:$A$37&gt;=S$90)*($A$6:$A$37&lt;=EOMONTH(S$90,0))*$C$6:$C$37)</f>
        <v>0</v>
      </c>
      <c r="T96" s="60" t="n">
        <f aca="false">SUMPRODUCT(($E$6:$E$37="Investidor estratégico")*(($D$6:$D$37="Realizado")+($D$6:$D$37="Compromisso")+($D$6:$D$37="Previsto")*Premissas!$B$116+($D$6:$D$37="Em negociação")*Premissas!$B$117)*($A$6:$A$37&gt;=T$90)*($A$6:$A$37&lt;=EOMONTH(T$90,0))*$C$6:$C$37)</f>
        <v>0</v>
      </c>
      <c r="U96" s="60" t="n">
        <f aca="false">SUMPRODUCT(($E$6:$E$37="Investidor estratégico")*(($D$6:$D$37="Realizado")+($D$6:$D$37="Compromisso")+($D$6:$D$37="Previsto")*Premissas!$B$116+($D$6:$D$37="Em negociação")*Premissas!$B$117)*($A$6:$A$37&gt;=U$90)*($A$6:$A$37&lt;=EOMONTH(U$90,0))*$C$6:$C$37)</f>
        <v>0</v>
      </c>
      <c r="V96" s="60" t="n">
        <f aca="false">SUMPRODUCT(($E$6:$E$37="Investidor estratégico")*(($D$6:$D$37="Realizado")+($D$6:$D$37="Compromisso")+($D$6:$D$37="Previsto")*Premissas!$B$116+($D$6:$D$37="Em negociação")*Premissas!$B$117)*($A$6:$A$37&gt;=V$90)*($A$6:$A$37&lt;=EOMONTH(V$90,0))*$C$6:$C$37)</f>
        <v>0</v>
      </c>
      <c r="W96" s="60" t="n">
        <f aca="false">SUMPRODUCT(($E$6:$E$37="Investidor estratégico")*(($D$6:$D$37="Realizado")+($D$6:$D$37="Compromisso")+($D$6:$D$37="Previsto")*Premissas!$B$116+($D$6:$D$37="Em negociação")*Premissas!$B$117)*($A$6:$A$37&gt;=W$90)*($A$6:$A$37&lt;=EOMONTH(W$90,0))*$C$6:$C$37)</f>
        <v>0</v>
      </c>
      <c r="X96" s="60" t="n">
        <f aca="false">SUMPRODUCT(($E$6:$E$37="Investidor estratégico")*(($D$6:$D$37="Realizado")+($D$6:$D$37="Compromisso")+($D$6:$D$37="Previsto")*Premissas!$B$116+($D$6:$D$37="Em negociação")*Premissas!$B$117)*($A$6:$A$37&gt;=X$90)*($A$6:$A$37&lt;=EOMONTH(X$90,0))*$C$6:$C$37)</f>
        <v>0</v>
      </c>
      <c r="Y96" s="60" t="n">
        <f aca="false">SUMPRODUCT(($E$6:$E$37="Investidor estratégico")*(($D$6:$D$37="Realizado")+($D$6:$D$37="Compromisso")+($D$6:$D$37="Previsto")*Premissas!$B$116+($D$6:$D$37="Em negociação")*Premissas!$B$117)*($A$6:$A$37&gt;=Y$90)*($A$6:$A$37&lt;=EOMONTH(Y$90,0))*$C$6:$C$37)</f>
        <v>0</v>
      </c>
      <c r="Z96" s="60" t="n">
        <f aca="false">SUMPRODUCT(($E$6:$E$37="Investidor estratégico")*(($D$6:$D$37="Realizado")+($D$6:$D$37="Compromisso")+($D$6:$D$37="Previsto")*Premissas!$B$116+($D$6:$D$37="Em negociação")*Premissas!$B$117)*($A$6:$A$37&gt;=Z$90)*($A$6:$A$37&lt;=EOMONTH(Z$90,0))*$C$6:$C$37)</f>
        <v>0</v>
      </c>
      <c r="AA96" s="60" t="n">
        <f aca="false">SUMPRODUCT(($E$6:$E$37="Investidor estratégico")*(($D$6:$D$37="Realizado")+($D$6:$D$37="Compromisso")+($D$6:$D$37="Previsto")*Premissas!$B$116+($D$6:$D$37="Em negociação")*Premissas!$B$117)*($A$6:$A$37&gt;=AA$90)*($A$6:$A$37&lt;=EOMONTH(AA$90,0))*$C$6:$C$37)</f>
        <v>0</v>
      </c>
      <c r="AB96" s="60" t="n">
        <f aca="false">SUMPRODUCT(($E$6:$E$37="Investidor estratégico")*(($D$6:$D$37="Realizado")+($D$6:$D$37="Compromisso")+($D$6:$D$37="Previsto")*Premissas!$B$116+($D$6:$D$37="Em negociação")*Premissas!$B$117)*($A$6:$A$37&gt;=AB$90)*($A$6:$A$37&lt;=EOMONTH(AB$90,0))*$C$6:$C$37)</f>
        <v>0</v>
      </c>
      <c r="AC96" s="60" t="n">
        <f aca="false">SUMPRODUCT(($E$6:$E$37="Investidor estratégico")*(($D$6:$D$37="Realizado")+($D$6:$D$37="Compromisso")+($D$6:$D$37="Previsto")*Premissas!$B$116+($D$6:$D$37="Em negociação")*Premissas!$B$117)*($A$6:$A$37&gt;=AC$90)*($A$6:$A$37&lt;=EOMONTH(AC$90,0))*$C$6:$C$37)</f>
        <v>0</v>
      </c>
      <c r="AD96" s="60" t="n">
        <f aca="false">SUMPRODUCT(($E$6:$E$37="Investidor estratégico")*(($D$6:$D$37="Realizado")+($D$6:$D$37="Compromisso")+($D$6:$D$37="Previsto")*Premissas!$B$116+($D$6:$D$37="Em negociação")*Premissas!$B$117)*($A$6:$A$37&gt;=AD$90)*($A$6:$A$37&lt;=EOMONTH(AD$90,0))*$C$6:$C$37)</f>
        <v>0</v>
      </c>
      <c r="AE96" s="60" t="n">
        <f aca="false">SUMPRODUCT(($E$6:$E$37="Investidor estratégico")*(($D$6:$D$37="Realizado")+($D$6:$D$37="Compromisso")+($D$6:$D$37="Previsto")*Premissas!$B$116+($D$6:$D$37="Em negociação")*Premissas!$B$117)*($A$6:$A$37&gt;=AE$90)*($A$6:$A$37&lt;=EOMONTH(AE$90,0))*$C$6:$C$37)</f>
        <v>0</v>
      </c>
      <c r="AF96" s="60" t="n">
        <f aca="false">SUMPRODUCT(($E$6:$E$37="Investidor estratégico")*(($D$6:$D$37="Realizado")+($D$6:$D$37="Compromisso")+($D$6:$D$37="Previsto")*Premissas!$B$116+($D$6:$D$37="Em negociação")*Premissas!$B$117)*($A$6:$A$37&gt;=AF$90)*($A$6:$A$37&lt;=EOMONTH(AF$90,0))*$C$6:$C$37)</f>
        <v>0</v>
      </c>
      <c r="AG96" s="60" t="n">
        <f aca="false">SUMPRODUCT(($E$6:$E$37="Investidor estratégico")*(($D$6:$D$37="Realizado")+($D$6:$D$37="Compromisso")+($D$6:$D$37="Previsto")*Premissas!$B$116+($D$6:$D$37="Em negociação")*Premissas!$B$117)*($A$6:$A$37&gt;=AG$90)*($A$6:$A$37&lt;=EOMONTH(AG$90,0))*$C$6:$C$37)</f>
        <v>0</v>
      </c>
      <c r="AH96" s="60" t="n">
        <f aca="false">SUMPRODUCT(($E$6:$E$37="Investidor estratégico")*(($D$6:$D$37="Realizado")+($D$6:$D$37="Compromisso")+($D$6:$D$37="Previsto")*Premissas!$B$116+($D$6:$D$37="Em negociação")*Premissas!$B$117)*($A$6:$A$37&gt;=AH$90)*($A$6:$A$37&lt;=EOMONTH(AH$90,0))*$C$6:$C$37)</f>
        <v>0</v>
      </c>
      <c r="AI96" s="60" t="n">
        <f aca="false">SUMPRODUCT(($E$6:$E$37="Investidor estratégico")*(($D$6:$D$37="Realizado")+($D$6:$D$37="Compromisso")+($D$6:$D$37="Previsto")*Premissas!$B$116+($D$6:$D$37="Em negociação")*Premissas!$B$117)*($A$6:$A$37&gt;=AI$90)*($A$6:$A$37&lt;=EOMONTH(AI$90,0))*$C$6:$C$37)</f>
        <v>0</v>
      </c>
      <c r="AJ96" s="60" t="n">
        <f aca="false">SUMPRODUCT(($E$6:$E$37="Investidor estratégico")*(($D$6:$D$37="Realizado")+($D$6:$D$37="Compromisso")+($D$6:$D$37="Previsto")*Premissas!$B$116+($D$6:$D$37="Em negociação")*Premissas!$B$117)*($A$6:$A$37&gt;=AJ$90)*($A$6:$A$37&lt;=EOMONTH(AJ$90,0))*$C$6:$C$37)</f>
        <v>0</v>
      </c>
      <c r="AK96" s="60" t="n">
        <f aca="false">SUMPRODUCT(($E$6:$E$37="Investidor estratégico")*(($D$6:$D$37="Realizado")+($D$6:$D$37="Compromisso")+($D$6:$D$37="Previsto")*Premissas!$B$116+($D$6:$D$37="Em negociação")*Premissas!$B$117)*($A$6:$A$37&gt;=AK$90)*($A$6:$A$37&lt;=EOMONTH(AK$90,0))*$C$6:$C$37)</f>
        <v>0</v>
      </c>
      <c r="AL96" s="60" t="n">
        <f aca="false">SUMPRODUCT(($E$6:$E$37="Investidor estratégico")*(($D$6:$D$37="Realizado")+($D$6:$D$37="Compromisso")+($D$6:$D$37="Previsto")*Premissas!$B$116+($D$6:$D$37="Em negociação")*Premissas!$B$117)*($A$6:$A$37&gt;=AL$90)*($A$6:$A$37&lt;=EOMONTH(AL$90,0))*$C$6:$C$37)</f>
        <v>0</v>
      </c>
      <c r="AM96" s="60" t="n">
        <f aca="false">SUMPRODUCT(($E$6:$E$37="Investidor estratégico")*(($D$6:$D$37="Realizado")+($D$6:$D$37="Compromisso")+($D$6:$D$37="Previsto")*Premissas!$B$116+($D$6:$D$37="Em negociação")*Premissas!$B$117)*($A$6:$A$37&gt;=AM$90)*($A$6:$A$37&lt;=EOMONTH(AM$90,0))*$C$6:$C$37)</f>
        <v>0</v>
      </c>
      <c r="AN96" s="60" t="n">
        <f aca="false">SUMPRODUCT(($E$6:$E$37="Investidor estratégico")*(($D$6:$D$37="Realizado")+($D$6:$D$37="Compromisso")+($D$6:$D$37="Previsto")*Premissas!$B$116+($D$6:$D$37="Em negociação")*Premissas!$B$117)*($A$6:$A$37&gt;=AN$90)*($A$6:$A$37&lt;=EOMONTH(AN$90,0))*$C$6:$C$37)</f>
        <v>0</v>
      </c>
      <c r="AO96" s="60" t="n">
        <f aca="false">SUMPRODUCT(($E$6:$E$37="Investidor estratégico")*(($D$6:$D$37="Realizado")+($D$6:$D$37="Compromisso")+($D$6:$D$37="Previsto")*Premissas!$B$116+($D$6:$D$37="Em negociação")*Premissas!$B$117)*($A$6:$A$37&gt;=AO$90)*($A$6:$A$37&lt;=EOMONTH(AO$90,0))*$C$6:$C$37)</f>
        <v>0</v>
      </c>
      <c r="AP96" s="60" t="n">
        <f aca="false">SUMPRODUCT(($E$6:$E$37="Investidor estratégico")*(($D$6:$D$37="Realizado")+($D$6:$D$37="Compromisso")+($D$6:$D$37="Previsto")*Premissas!$B$116+($D$6:$D$37="Em negociação")*Premissas!$B$117)*($A$6:$A$37&gt;=AP$90)*($A$6:$A$37&lt;=EOMONTH(AP$90,0))*$C$6:$C$37)</f>
        <v>0</v>
      </c>
      <c r="AQ96" s="60" t="n">
        <f aca="false">SUMPRODUCT(($E$6:$E$37="Investidor estratégico")*(($D$6:$D$37="Realizado")+($D$6:$D$37="Compromisso")+($D$6:$D$37="Previsto")*Premissas!$B$116+($D$6:$D$37="Em negociação")*Premissas!$B$117)*($A$6:$A$37&gt;=AQ$90)*($A$6:$A$37&lt;=EOMONTH(AQ$90,0))*$C$6:$C$37)</f>
        <v>0</v>
      </c>
      <c r="AR96" s="60" t="n">
        <f aca="false">SUMPRODUCT(($E$6:$E$37="Investidor estratégico")*(($D$6:$D$37="Realizado")+($D$6:$D$37="Compromisso")+($D$6:$D$37="Previsto")*Premissas!$B$116+($D$6:$D$37="Em negociação")*Premissas!$B$117)*($A$6:$A$37&gt;=AR$90)*($A$6:$A$37&lt;=EOMONTH(AR$90,0))*$C$6:$C$37)</f>
        <v>0</v>
      </c>
      <c r="AS96" s="60" t="n">
        <f aca="false">SUMPRODUCT(($E$6:$E$37="Investidor estratégico")*(($D$6:$D$37="Realizado")+($D$6:$D$37="Compromisso")+($D$6:$D$37="Previsto")*Premissas!$B$116+($D$6:$D$37="Em negociação")*Premissas!$B$117)*($A$6:$A$37&gt;=AS$90)*($A$6:$A$37&lt;=EOMONTH(AS$90,0))*$C$6:$C$37)</f>
        <v>0</v>
      </c>
      <c r="AT96" s="60" t="n">
        <f aca="false">SUMPRODUCT(($E$6:$E$37="Investidor estratégico")*(($D$6:$D$37="Realizado")+($D$6:$D$37="Compromisso")+($D$6:$D$37="Previsto")*Premissas!$B$116+($D$6:$D$37="Em negociação")*Premissas!$B$117)*($A$6:$A$37&gt;=AT$90)*($A$6:$A$37&lt;=EOMONTH(AT$90,0))*$C$6:$C$37)</f>
        <v>0</v>
      </c>
      <c r="AU96" s="60" t="n">
        <f aca="false">SUMPRODUCT(($E$6:$E$37="Investidor estratégico")*(($D$6:$D$37="Realizado")+($D$6:$D$37="Compromisso")+($D$6:$D$37="Previsto")*Premissas!$B$116+($D$6:$D$37="Em negociação")*Premissas!$B$117)*($A$6:$A$37&gt;=AU$90)*($A$6:$A$37&lt;=EOMONTH(AU$90,0))*$C$6:$C$37)</f>
        <v>0</v>
      </c>
      <c r="AV96" s="60" t="n">
        <f aca="false">SUMPRODUCT(($E$6:$E$37="Investidor estratégico")*(($D$6:$D$37="Realizado")+($D$6:$D$37="Compromisso")+($D$6:$D$37="Previsto")*Premissas!$B$116+($D$6:$D$37="Em negociação")*Premissas!$B$117)*($A$6:$A$37&gt;=AV$90)*($A$6:$A$37&lt;=EOMONTH(AV$90,0))*$C$6:$C$37)</f>
        <v>0</v>
      </c>
      <c r="AW96" s="60" t="n">
        <f aca="false">SUMPRODUCT(($E$6:$E$37="Investidor estratégico")*(($D$6:$D$37="Realizado")+($D$6:$D$37="Compromisso")+($D$6:$D$37="Previsto")*Premissas!$B$116+($D$6:$D$37="Em negociação")*Premissas!$B$117)*($A$6:$A$37&gt;=AW$90)*($A$6:$A$37&lt;=EOMONTH(AW$90,0))*$C$6:$C$37)</f>
        <v>0</v>
      </c>
      <c r="AX96" s="60" t="n">
        <f aca="false">SUMPRODUCT(($E$6:$E$37="Investidor estratégico")*(($D$6:$D$37="Realizado")+($D$6:$D$37="Compromisso")+($D$6:$D$37="Previsto")*Premissas!$B$116+($D$6:$D$37="Em negociação")*Premissas!$B$117)*($A$6:$A$37&gt;=AX$90)*($A$6:$A$37&lt;=EOMONTH(AX$90,0))*$C$6:$C$37)</f>
        <v>0</v>
      </c>
      <c r="AY96" s="60" t="n">
        <f aca="false">SUMPRODUCT(($E$6:$E$37="Investidor estratégico")*(($D$6:$D$37="Realizado")+($D$6:$D$37="Compromisso")+($D$6:$D$37="Previsto")*Premissas!$B$116+($D$6:$D$37="Em negociação")*Premissas!$B$117)*($A$6:$A$37&gt;=AY$90)*($A$6:$A$37&lt;=EOMONTH(AY$90,0))*$C$6:$C$37)</f>
        <v>0</v>
      </c>
      <c r="AZ96" s="60" t="n">
        <f aca="false">SUMPRODUCT(($E$6:$E$37="Investidor estratégico")*(($D$6:$D$37="Realizado")+($D$6:$D$37="Compromisso")+($D$6:$D$37="Previsto")*Premissas!$B$116+($D$6:$D$37="Em negociação")*Premissas!$B$117)*($A$6:$A$37&gt;=AZ$90)*($A$6:$A$37&lt;=EOMONTH(AZ$90,0))*$C$6:$C$37)</f>
        <v>0</v>
      </c>
      <c r="BA96" s="60" t="n">
        <f aca="false">SUMPRODUCT(($E$6:$E$37="Investidor estratégico")*(($D$6:$D$37="Realizado")+($D$6:$D$37="Compromisso")+($D$6:$D$37="Previsto")*Premissas!$B$116+($D$6:$D$37="Em negociação")*Premissas!$B$117)*($A$6:$A$37&gt;=BA$90)*($A$6:$A$37&lt;=EOMONTH(BA$90,0))*$C$6:$C$37)</f>
        <v>0</v>
      </c>
      <c r="BB96" s="60" t="n">
        <f aca="false">SUMPRODUCT(($E$6:$E$37="Investidor estratégico")*(($D$6:$D$37="Realizado")+($D$6:$D$37="Compromisso")+($D$6:$D$37="Previsto")*Premissas!$B$116+($D$6:$D$37="Em negociação")*Premissas!$B$117)*($A$6:$A$37&gt;=BB$90)*($A$6:$A$37&lt;=EOMONTH(BB$90,0))*$C$6:$C$37)</f>
        <v>0</v>
      </c>
      <c r="BC96" s="60" t="n">
        <f aca="false">SUMPRODUCT(($E$6:$E$37="Investidor estratégico")*(($D$6:$D$37="Realizado")+($D$6:$D$37="Compromisso")+($D$6:$D$37="Previsto")*Premissas!$B$116+($D$6:$D$37="Em negociação")*Premissas!$B$117)*($A$6:$A$37&gt;=BC$90)*($A$6:$A$37&lt;=EOMONTH(BC$90,0))*$C$6:$C$37)</f>
        <v>0</v>
      </c>
      <c r="BD96" s="60" t="n">
        <f aca="false">SUMPRODUCT(($E$6:$E$37="Investidor estratégico")*(($D$6:$D$37="Realizado")+($D$6:$D$37="Compromisso")+($D$6:$D$37="Previsto")*Premissas!$B$116+($D$6:$D$37="Em negociação")*Premissas!$B$117)*($A$6:$A$37&gt;=BD$90)*($A$6:$A$37&lt;=EOMONTH(BD$90,0))*$C$6:$C$37)</f>
        <v>0</v>
      </c>
      <c r="BE96" s="60" t="n">
        <f aca="false">SUMPRODUCT(($E$6:$E$37="Investidor estratégico")*(($D$6:$D$37="Realizado")+($D$6:$D$37="Compromisso")+($D$6:$D$37="Previsto")*Premissas!$B$116+($D$6:$D$37="Em negociação")*Premissas!$B$117)*($A$6:$A$37&gt;=BE$90)*($A$6:$A$37&lt;=EOMONTH(BE$90,0))*$C$6:$C$37)</f>
        <v>0</v>
      </c>
      <c r="BF96" s="60" t="n">
        <f aca="false">SUMPRODUCT(($E$6:$E$37="Investidor estratégico")*(($D$6:$D$37="Realizado")+($D$6:$D$37="Compromisso")+($D$6:$D$37="Previsto")*Premissas!$B$116+($D$6:$D$37="Em negociação")*Premissas!$B$117)*($A$6:$A$37&gt;=BF$90)*($A$6:$A$37&lt;=EOMONTH(BF$90,0))*$C$6:$C$37)</f>
        <v>0</v>
      </c>
      <c r="BG96" s="60" t="n">
        <f aca="false">SUMPRODUCT(($E$6:$E$37="Investidor estratégico")*(($D$6:$D$37="Realizado")+($D$6:$D$37="Compromisso")+($D$6:$D$37="Previsto")*Premissas!$B$116+($D$6:$D$37="Em negociação")*Premissas!$B$117)*($A$6:$A$37&gt;=BG$90)*($A$6:$A$37&lt;=EOMONTH(BG$90,0))*$C$6:$C$37)</f>
        <v>0</v>
      </c>
      <c r="BH96" s="60" t="n">
        <f aca="false">SUMPRODUCT(($E$6:$E$37="Investidor estratégico")*(($D$6:$D$37="Realizado")+($D$6:$D$37="Compromisso")+($D$6:$D$37="Previsto")*Premissas!$B$116+($D$6:$D$37="Em negociação")*Premissas!$B$117)*($A$6:$A$37&gt;=BH$90)*($A$6:$A$37&lt;=EOMONTH(BH$90,0))*$C$6:$C$37)</f>
        <v>0</v>
      </c>
      <c r="BI96" s="60" t="n">
        <f aca="false">SUMPRODUCT(($E$6:$E$37="Investidor estratégico")*(($D$6:$D$37="Realizado")+($D$6:$D$37="Compromisso")+($D$6:$D$37="Previsto")*Premissas!$B$116+($D$6:$D$37="Em negociação")*Premissas!$B$117)*($A$6:$A$37&gt;=BI$90)*($A$6:$A$37&lt;=EOMONTH(BI$90,0))*$C$6:$C$37)</f>
        <v>0</v>
      </c>
      <c r="BJ96" s="61" t="n">
        <f aca="false">SUM(B96:BI96)</f>
        <v>0</v>
      </c>
    </row>
    <row r="97" customFormat="false" ht="15" hidden="false" customHeight="false" outlineLevel="0" collapsed="false">
      <c r="A97" s="27" t="s">
        <v>959</v>
      </c>
      <c r="B97" s="67" t="n">
        <f aca="false">SUMPRODUCT((($B$43:$B$50="Confirmado")+($B$43:$B$50="Em negociação")*Premissas!$B$117)*($D$43:$D$50&gt;=B$90)*($D$43:$D$50&lt;=EOMONTH(B$90,0))*$C$43:$C$50)</f>
        <v>0</v>
      </c>
      <c r="C97" s="67" t="n">
        <f aca="false">SUMPRODUCT((($B$43:$B$50="Confirmado")+($B$43:$B$50="Em negociação")*Premissas!$B$117)*($D$43:$D$50&gt;=C$90)*($D$43:$D$50&lt;=EOMONTH(C$90,0))*$C$43:$C$50)</f>
        <v>0</v>
      </c>
      <c r="D97" s="67" t="n">
        <f aca="false">SUMPRODUCT((($B$43:$B$50="Confirmado")+($B$43:$B$50="Em negociação")*Premissas!$B$117)*($D$43:$D$50&gt;=D$90)*($D$43:$D$50&lt;=EOMONTH(D$90,0))*$C$43:$C$50)</f>
        <v>0</v>
      </c>
      <c r="E97" s="67" t="n">
        <f aca="false">SUMPRODUCT((($B$43:$B$50="Confirmado")+($B$43:$B$50="Em negociação")*Premissas!$B$117)*($D$43:$D$50&gt;=E$90)*($D$43:$D$50&lt;=EOMONTH(E$90,0))*$C$43:$C$50)</f>
        <v>0</v>
      </c>
      <c r="F97" s="67" t="n">
        <f aca="false">SUMPRODUCT((($B$43:$B$50="Confirmado")+($B$43:$B$50="Em negociação")*Premissas!$B$117)*($D$43:$D$50&gt;=F$90)*($D$43:$D$50&lt;=EOMONTH(F$90,0))*$C$43:$C$50)</f>
        <v>0</v>
      </c>
      <c r="G97" s="67" t="n">
        <f aca="false">SUMPRODUCT((($B$43:$B$50="Confirmado")+($B$43:$B$50="Em negociação")*Premissas!$B$117)*($D$43:$D$50&gt;=G$90)*($D$43:$D$50&lt;=EOMONTH(G$90,0))*$C$43:$C$50)</f>
        <v>0</v>
      </c>
      <c r="H97" s="67" t="n">
        <f aca="false">SUMPRODUCT((($B$43:$B$50="Confirmado")+($B$43:$B$50="Em negociação")*Premissas!$B$117)*($D$43:$D$50&gt;=H$90)*($D$43:$D$50&lt;=EOMONTH(H$90,0))*$C$43:$C$50)</f>
        <v>0</v>
      </c>
      <c r="I97" s="67" t="n">
        <f aca="false">SUMPRODUCT((($B$43:$B$50="Confirmado")+($B$43:$B$50="Em negociação")*Premissas!$B$117)*($D$43:$D$50&gt;=I$90)*($D$43:$D$50&lt;=EOMONTH(I$90,0))*$C$43:$C$50)</f>
        <v>0</v>
      </c>
      <c r="J97" s="67" t="n">
        <f aca="false">SUMPRODUCT((($B$43:$B$50="Confirmado")+($B$43:$B$50="Em negociação")*Premissas!$B$117)*($D$43:$D$50&gt;=J$90)*($D$43:$D$50&lt;=EOMONTH(J$90,0))*$C$43:$C$50)</f>
        <v>0</v>
      </c>
      <c r="K97" s="67" t="n">
        <f aca="false">SUMPRODUCT((($B$43:$B$50="Confirmado")+($B$43:$B$50="Em negociação")*Premissas!$B$117)*($D$43:$D$50&gt;=K$90)*($D$43:$D$50&lt;=EOMONTH(K$90,0))*$C$43:$C$50)</f>
        <v>0</v>
      </c>
      <c r="L97" s="67" t="n">
        <f aca="false">SUMPRODUCT((($B$43:$B$50="Confirmado")+($B$43:$B$50="Em negociação")*Premissas!$B$117)*($D$43:$D$50&gt;=L$90)*($D$43:$D$50&lt;=EOMONTH(L$90,0))*$C$43:$C$50)</f>
        <v>0</v>
      </c>
      <c r="M97" s="67" t="n">
        <f aca="false">SUMPRODUCT((($B$43:$B$50="Confirmado")+($B$43:$B$50="Em negociação")*Premissas!$B$117)*($D$43:$D$50&gt;=M$90)*($D$43:$D$50&lt;=EOMONTH(M$90,0))*$C$43:$C$50)</f>
        <v>0</v>
      </c>
      <c r="N97" s="67" t="n">
        <f aca="false">SUMPRODUCT((($B$43:$B$50="Confirmado")+($B$43:$B$50="Em negociação")*Premissas!$B$117)*($D$43:$D$50&gt;=N$90)*($D$43:$D$50&lt;=EOMONTH(N$90,0))*$C$43:$C$50)</f>
        <v>0</v>
      </c>
      <c r="O97" s="67" t="n">
        <f aca="false">SUMPRODUCT((($B$43:$B$50="Confirmado")+($B$43:$B$50="Em negociação")*Premissas!$B$117)*($D$43:$D$50&gt;=O$90)*($D$43:$D$50&lt;=EOMONTH(O$90,0))*$C$43:$C$50)</f>
        <v>0</v>
      </c>
      <c r="P97" s="67" t="n">
        <f aca="false">SUMPRODUCT((($B$43:$B$50="Confirmado")+($B$43:$B$50="Em negociação")*Premissas!$B$117)*($D$43:$D$50&gt;=P$90)*($D$43:$D$50&lt;=EOMONTH(P$90,0))*$C$43:$C$50)</f>
        <v>0</v>
      </c>
      <c r="Q97" s="67" t="n">
        <f aca="false">SUMPRODUCT((($B$43:$B$50="Confirmado")+($B$43:$B$50="Em negociação")*Premissas!$B$117)*($D$43:$D$50&gt;=Q$90)*($D$43:$D$50&lt;=EOMONTH(Q$90,0))*$C$43:$C$50)</f>
        <v>0</v>
      </c>
      <c r="R97" s="67" t="n">
        <f aca="false">SUMPRODUCT((($B$43:$B$50="Confirmado")+($B$43:$B$50="Em negociação")*Premissas!$B$117)*($D$43:$D$50&gt;=R$90)*($D$43:$D$50&lt;=EOMONTH(R$90,0))*$C$43:$C$50)</f>
        <v>0</v>
      </c>
      <c r="S97" s="67" t="n">
        <f aca="false">SUMPRODUCT((($B$43:$B$50="Confirmado")+($B$43:$B$50="Em negociação")*Premissas!$B$117)*($D$43:$D$50&gt;=S$90)*($D$43:$D$50&lt;=EOMONTH(S$90,0))*$C$43:$C$50)</f>
        <v>0</v>
      </c>
      <c r="T97" s="67" t="n">
        <f aca="false">SUMPRODUCT((($B$43:$B$50="Confirmado")+($B$43:$B$50="Em negociação")*Premissas!$B$117)*($D$43:$D$50&gt;=T$90)*($D$43:$D$50&lt;=EOMONTH(T$90,0))*$C$43:$C$50)</f>
        <v>0</v>
      </c>
      <c r="U97" s="67" t="n">
        <f aca="false">SUMPRODUCT((($B$43:$B$50="Confirmado")+($B$43:$B$50="Em negociação")*Premissas!$B$117)*($D$43:$D$50&gt;=U$90)*($D$43:$D$50&lt;=EOMONTH(U$90,0))*$C$43:$C$50)</f>
        <v>0</v>
      </c>
      <c r="V97" s="67" t="n">
        <f aca="false">SUMPRODUCT((($B$43:$B$50="Confirmado")+($B$43:$B$50="Em negociação")*Premissas!$B$117)*($D$43:$D$50&gt;=V$90)*($D$43:$D$50&lt;=EOMONTH(V$90,0))*$C$43:$C$50)</f>
        <v>0</v>
      </c>
      <c r="W97" s="67" t="n">
        <f aca="false">SUMPRODUCT((($B$43:$B$50="Confirmado")+($B$43:$B$50="Em negociação")*Premissas!$B$117)*($D$43:$D$50&gt;=W$90)*($D$43:$D$50&lt;=EOMONTH(W$90,0))*$C$43:$C$50)</f>
        <v>0</v>
      </c>
      <c r="X97" s="67" t="n">
        <f aca="false">SUMPRODUCT((($B$43:$B$50="Confirmado")+($B$43:$B$50="Em negociação")*Premissas!$B$117)*($D$43:$D$50&gt;=X$90)*($D$43:$D$50&lt;=EOMONTH(X$90,0))*$C$43:$C$50)</f>
        <v>0</v>
      </c>
      <c r="Y97" s="67" t="n">
        <f aca="false">SUMPRODUCT((($B$43:$B$50="Confirmado")+($B$43:$B$50="Em negociação")*Premissas!$B$117)*($D$43:$D$50&gt;=Y$90)*($D$43:$D$50&lt;=EOMONTH(Y$90,0))*$C$43:$C$50)</f>
        <v>0</v>
      </c>
      <c r="Z97" s="67" t="n">
        <f aca="false">SUMPRODUCT((($B$43:$B$50="Confirmado")+($B$43:$B$50="Em negociação")*Premissas!$B$117)*($D$43:$D$50&gt;=Z$90)*($D$43:$D$50&lt;=EOMONTH(Z$90,0))*$C$43:$C$50)</f>
        <v>0</v>
      </c>
      <c r="AA97" s="67" t="n">
        <f aca="false">SUMPRODUCT((($B$43:$B$50="Confirmado")+($B$43:$B$50="Em negociação")*Premissas!$B$117)*($D$43:$D$50&gt;=AA$90)*($D$43:$D$50&lt;=EOMONTH(AA$90,0))*$C$43:$C$50)</f>
        <v>0</v>
      </c>
      <c r="AB97" s="67" t="n">
        <f aca="false">SUMPRODUCT((($B$43:$B$50="Confirmado")+($B$43:$B$50="Em negociação")*Premissas!$B$117)*($D$43:$D$50&gt;=AB$90)*($D$43:$D$50&lt;=EOMONTH(AB$90,0))*$C$43:$C$50)</f>
        <v>0</v>
      </c>
      <c r="AC97" s="67" t="n">
        <f aca="false">SUMPRODUCT((($B$43:$B$50="Confirmado")+($B$43:$B$50="Em negociação")*Premissas!$B$117)*($D$43:$D$50&gt;=AC$90)*($D$43:$D$50&lt;=EOMONTH(AC$90,0))*$C$43:$C$50)</f>
        <v>0</v>
      </c>
      <c r="AD97" s="67" t="n">
        <f aca="false">SUMPRODUCT((($B$43:$B$50="Confirmado")+($B$43:$B$50="Em negociação")*Premissas!$B$117)*($D$43:$D$50&gt;=AD$90)*($D$43:$D$50&lt;=EOMONTH(AD$90,0))*$C$43:$C$50)</f>
        <v>0</v>
      </c>
      <c r="AE97" s="67" t="n">
        <f aca="false">SUMPRODUCT((($B$43:$B$50="Confirmado")+($B$43:$B$50="Em negociação")*Premissas!$B$117)*($D$43:$D$50&gt;=AE$90)*($D$43:$D$50&lt;=EOMONTH(AE$90,0))*$C$43:$C$50)</f>
        <v>0</v>
      </c>
      <c r="AF97" s="67" t="n">
        <f aca="false">SUMPRODUCT((($B$43:$B$50="Confirmado")+($B$43:$B$50="Em negociação")*Premissas!$B$117)*($D$43:$D$50&gt;=AF$90)*($D$43:$D$50&lt;=EOMONTH(AF$90,0))*$C$43:$C$50)</f>
        <v>0</v>
      </c>
      <c r="AG97" s="67" t="n">
        <f aca="false">SUMPRODUCT((($B$43:$B$50="Confirmado")+($B$43:$B$50="Em negociação")*Premissas!$B$117)*($D$43:$D$50&gt;=AG$90)*($D$43:$D$50&lt;=EOMONTH(AG$90,0))*$C$43:$C$50)</f>
        <v>0</v>
      </c>
      <c r="AH97" s="67" t="n">
        <f aca="false">SUMPRODUCT((($B$43:$B$50="Confirmado")+($B$43:$B$50="Em negociação")*Premissas!$B$117)*($D$43:$D$50&gt;=AH$90)*($D$43:$D$50&lt;=EOMONTH(AH$90,0))*$C$43:$C$50)</f>
        <v>0</v>
      </c>
      <c r="AI97" s="67" t="n">
        <f aca="false">SUMPRODUCT((($B$43:$B$50="Confirmado")+($B$43:$B$50="Em negociação")*Premissas!$B$117)*($D$43:$D$50&gt;=AI$90)*($D$43:$D$50&lt;=EOMONTH(AI$90,0))*$C$43:$C$50)</f>
        <v>0</v>
      </c>
      <c r="AJ97" s="67" t="n">
        <f aca="false">SUMPRODUCT((($B$43:$B$50="Confirmado")+($B$43:$B$50="Em negociação")*Premissas!$B$117)*($D$43:$D$50&gt;=AJ$90)*($D$43:$D$50&lt;=EOMONTH(AJ$90,0))*$C$43:$C$50)</f>
        <v>0</v>
      </c>
      <c r="AK97" s="67" t="n">
        <f aca="false">SUMPRODUCT((($B$43:$B$50="Confirmado")+($B$43:$B$50="Em negociação")*Premissas!$B$117)*($D$43:$D$50&gt;=AK$90)*($D$43:$D$50&lt;=EOMONTH(AK$90,0))*$C$43:$C$50)</f>
        <v>0</v>
      </c>
      <c r="AL97" s="67" t="n">
        <f aca="false">SUMPRODUCT((($B$43:$B$50="Confirmado")+($B$43:$B$50="Em negociação")*Premissas!$B$117)*($D$43:$D$50&gt;=AL$90)*($D$43:$D$50&lt;=EOMONTH(AL$90,0))*$C$43:$C$50)</f>
        <v>0</v>
      </c>
      <c r="AM97" s="67" t="n">
        <f aca="false">SUMPRODUCT((($B$43:$B$50="Confirmado")+($B$43:$B$50="Em negociação")*Premissas!$B$117)*($D$43:$D$50&gt;=AM$90)*($D$43:$D$50&lt;=EOMONTH(AM$90,0))*$C$43:$C$50)</f>
        <v>0</v>
      </c>
      <c r="AN97" s="67" t="n">
        <f aca="false">SUMPRODUCT((($B$43:$B$50="Confirmado")+($B$43:$B$50="Em negociação")*Premissas!$B$117)*($D$43:$D$50&gt;=AN$90)*($D$43:$D$50&lt;=EOMONTH(AN$90,0))*$C$43:$C$50)</f>
        <v>0</v>
      </c>
      <c r="AO97" s="67" t="n">
        <f aca="false">SUMPRODUCT((($B$43:$B$50="Confirmado")+($B$43:$B$50="Em negociação")*Premissas!$B$117)*($D$43:$D$50&gt;=AO$90)*($D$43:$D$50&lt;=EOMONTH(AO$90,0))*$C$43:$C$50)</f>
        <v>0</v>
      </c>
      <c r="AP97" s="67" t="n">
        <f aca="false">SUMPRODUCT((($B$43:$B$50="Confirmado")+($B$43:$B$50="Em negociação")*Premissas!$B$117)*($D$43:$D$50&gt;=AP$90)*($D$43:$D$50&lt;=EOMONTH(AP$90,0))*$C$43:$C$50)</f>
        <v>0</v>
      </c>
      <c r="AQ97" s="67" t="n">
        <f aca="false">SUMPRODUCT((($B$43:$B$50="Confirmado")+($B$43:$B$50="Em negociação")*Premissas!$B$117)*($D$43:$D$50&gt;=AQ$90)*($D$43:$D$50&lt;=EOMONTH(AQ$90,0))*$C$43:$C$50)</f>
        <v>0</v>
      </c>
      <c r="AR97" s="67" t="n">
        <f aca="false">SUMPRODUCT((($B$43:$B$50="Confirmado")+($B$43:$B$50="Em negociação")*Premissas!$B$117)*($D$43:$D$50&gt;=AR$90)*($D$43:$D$50&lt;=EOMONTH(AR$90,0))*$C$43:$C$50)</f>
        <v>0</v>
      </c>
      <c r="AS97" s="67" t="n">
        <f aca="false">SUMPRODUCT((($B$43:$B$50="Confirmado")+($B$43:$B$50="Em negociação")*Premissas!$B$117)*($D$43:$D$50&gt;=AS$90)*($D$43:$D$50&lt;=EOMONTH(AS$90,0))*$C$43:$C$50)</f>
        <v>0</v>
      </c>
      <c r="AT97" s="67" t="n">
        <f aca="false">SUMPRODUCT((($B$43:$B$50="Confirmado")+($B$43:$B$50="Em negociação")*Premissas!$B$117)*($D$43:$D$50&gt;=AT$90)*($D$43:$D$50&lt;=EOMONTH(AT$90,0))*$C$43:$C$50)</f>
        <v>0</v>
      </c>
      <c r="AU97" s="67" t="n">
        <f aca="false">SUMPRODUCT((($B$43:$B$50="Confirmado")+($B$43:$B$50="Em negociação")*Premissas!$B$117)*($D$43:$D$50&gt;=AU$90)*($D$43:$D$50&lt;=EOMONTH(AU$90,0))*$C$43:$C$50)</f>
        <v>0</v>
      </c>
      <c r="AV97" s="67" t="n">
        <f aca="false">SUMPRODUCT((($B$43:$B$50="Confirmado")+($B$43:$B$50="Em negociação")*Premissas!$B$117)*($D$43:$D$50&gt;=AV$90)*($D$43:$D$50&lt;=EOMONTH(AV$90,0))*$C$43:$C$50)</f>
        <v>0</v>
      </c>
      <c r="AW97" s="67" t="n">
        <f aca="false">SUMPRODUCT((($B$43:$B$50="Confirmado")+($B$43:$B$50="Em negociação")*Premissas!$B$117)*($D$43:$D$50&gt;=AW$90)*($D$43:$D$50&lt;=EOMONTH(AW$90,0))*$C$43:$C$50)</f>
        <v>0</v>
      </c>
      <c r="AX97" s="67" t="n">
        <f aca="false">SUMPRODUCT((($B$43:$B$50="Confirmado")+($B$43:$B$50="Em negociação")*Premissas!$B$117)*($D$43:$D$50&gt;=AX$90)*($D$43:$D$50&lt;=EOMONTH(AX$90,0))*$C$43:$C$50)</f>
        <v>0</v>
      </c>
      <c r="AY97" s="67" t="n">
        <f aca="false">SUMPRODUCT((($B$43:$B$50="Confirmado")+($B$43:$B$50="Em negociação")*Premissas!$B$117)*($D$43:$D$50&gt;=AY$90)*($D$43:$D$50&lt;=EOMONTH(AY$90,0))*$C$43:$C$50)</f>
        <v>0</v>
      </c>
      <c r="AZ97" s="67" t="n">
        <f aca="false">SUMPRODUCT((($B$43:$B$50="Confirmado")+($B$43:$B$50="Em negociação")*Premissas!$B$117)*($D$43:$D$50&gt;=AZ$90)*($D$43:$D$50&lt;=EOMONTH(AZ$90,0))*$C$43:$C$50)</f>
        <v>0</v>
      </c>
      <c r="BA97" s="67" t="n">
        <f aca="false">SUMPRODUCT((($B$43:$B$50="Confirmado")+($B$43:$B$50="Em negociação")*Premissas!$B$117)*($D$43:$D$50&gt;=BA$90)*($D$43:$D$50&lt;=EOMONTH(BA$90,0))*$C$43:$C$50)</f>
        <v>0</v>
      </c>
      <c r="BB97" s="67" t="n">
        <f aca="false">SUMPRODUCT((($B$43:$B$50="Confirmado")+($B$43:$B$50="Em negociação")*Premissas!$B$117)*($D$43:$D$50&gt;=BB$90)*($D$43:$D$50&lt;=EOMONTH(BB$90,0))*$C$43:$C$50)</f>
        <v>0</v>
      </c>
      <c r="BC97" s="67" t="n">
        <f aca="false">SUMPRODUCT((($B$43:$B$50="Confirmado")+($B$43:$B$50="Em negociação")*Premissas!$B$117)*($D$43:$D$50&gt;=BC$90)*($D$43:$D$50&lt;=EOMONTH(BC$90,0))*$C$43:$C$50)</f>
        <v>0</v>
      </c>
      <c r="BD97" s="67" t="n">
        <f aca="false">SUMPRODUCT((($B$43:$B$50="Confirmado")+($B$43:$B$50="Em negociação")*Premissas!$B$117)*($D$43:$D$50&gt;=BD$90)*($D$43:$D$50&lt;=EOMONTH(BD$90,0))*$C$43:$C$50)</f>
        <v>0</v>
      </c>
      <c r="BE97" s="67" t="n">
        <f aca="false">SUMPRODUCT((($B$43:$B$50="Confirmado")+($B$43:$B$50="Em negociação")*Premissas!$B$117)*($D$43:$D$50&gt;=BE$90)*($D$43:$D$50&lt;=EOMONTH(BE$90,0))*$C$43:$C$50)</f>
        <v>0</v>
      </c>
      <c r="BF97" s="67" t="n">
        <f aca="false">SUMPRODUCT((($B$43:$B$50="Confirmado")+($B$43:$B$50="Em negociação")*Premissas!$B$117)*($D$43:$D$50&gt;=BF$90)*($D$43:$D$50&lt;=EOMONTH(BF$90,0))*$C$43:$C$50)</f>
        <v>0</v>
      </c>
      <c r="BG97" s="67" t="n">
        <f aca="false">SUMPRODUCT((($B$43:$B$50="Confirmado")+($B$43:$B$50="Em negociação")*Premissas!$B$117)*($D$43:$D$50&gt;=BG$90)*($D$43:$D$50&lt;=EOMONTH(BG$90,0))*$C$43:$C$50)</f>
        <v>0</v>
      </c>
      <c r="BH97" s="67" t="n">
        <f aca="false">SUMPRODUCT((($B$43:$B$50="Confirmado")+($B$43:$B$50="Em negociação")*Premissas!$B$117)*($D$43:$D$50&gt;=BH$90)*($D$43:$D$50&lt;=EOMONTH(BH$90,0))*$C$43:$C$50)</f>
        <v>0</v>
      </c>
      <c r="BI97" s="67" t="n">
        <f aca="false">SUMPRODUCT((($B$43:$B$50="Confirmado")+($B$43:$B$50="Em negociação")*Premissas!$B$117)*($D$43:$D$50&gt;=BI$90)*($D$43:$D$50&lt;=EOMONTH(BI$90,0))*$C$43:$C$50)</f>
        <v>0</v>
      </c>
      <c r="BJ97" s="61" t="n">
        <f aca="false">SUM(B97:BI97)</f>
        <v>0</v>
      </c>
    </row>
    <row r="98" customFormat="false" ht="15" hidden="false" customHeight="false" outlineLevel="0" collapsed="false">
      <c r="A98" s="62" t="s">
        <v>960</v>
      </c>
      <c r="B98" s="61" t="n">
        <f aca="false">SUM(B94:B97)</f>
        <v>0</v>
      </c>
      <c r="C98" s="61" t="n">
        <f aca="false">SUM(C94:C97)</f>
        <v>0</v>
      </c>
      <c r="D98" s="61" t="n">
        <f aca="false">SUM(D94:D97)</f>
        <v>0</v>
      </c>
      <c r="E98" s="61" t="n">
        <f aca="false">SUM(E94:E97)</f>
        <v>10000</v>
      </c>
      <c r="F98" s="61" t="n">
        <f aca="false">SUM(F94:F97)</f>
        <v>0</v>
      </c>
      <c r="G98" s="61" t="n">
        <f aca="false">SUM(G94:G97)</f>
        <v>0</v>
      </c>
      <c r="H98" s="61" t="n">
        <f aca="false">SUM(H94:H97)</f>
        <v>5000</v>
      </c>
      <c r="I98" s="61" t="n">
        <f aca="false">SUM(I94:I97)</f>
        <v>18000</v>
      </c>
      <c r="J98" s="61" t="n">
        <f aca="false">SUM(J94:J97)</f>
        <v>0</v>
      </c>
      <c r="K98" s="61" t="n">
        <f aca="false">SUM(K94:K97)</f>
        <v>80000</v>
      </c>
      <c r="L98" s="61" t="n">
        <f aca="false">SUM(L94:L97)</f>
        <v>40000</v>
      </c>
      <c r="M98" s="61" t="n">
        <f aca="false">SUM(M94:M97)</f>
        <v>17000</v>
      </c>
      <c r="N98" s="61" t="n">
        <f aca="false">SUM(N94:N97)</f>
        <v>0</v>
      </c>
      <c r="O98" s="61" t="n">
        <f aca="false">SUM(O94:O97)</f>
        <v>0</v>
      </c>
      <c r="P98" s="61" t="n">
        <f aca="false">SUM(P94:P97)</f>
        <v>0</v>
      </c>
      <c r="Q98" s="61" t="n">
        <f aca="false">SUM(Q94:Q97)</f>
        <v>0</v>
      </c>
      <c r="R98" s="61" t="n">
        <f aca="false">SUM(R94:R97)</f>
        <v>0</v>
      </c>
      <c r="S98" s="61" t="n">
        <f aca="false">SUM(S94:S97)</f>
        <v>15000</v>
      </c>
      <c r="T98" s="61" t="n">
        <f aca="false">SUM(T94:T97)</f>
        <v>0</v>
      </c>
      <c r="U98" s="61" t="n">
        <f aca="false">SUM(U94:U97)</f>
        <v>0</v>
      </c>
      <c r="V98" s="61" t="n">
        <f aca="false">SUM(V94:V97)</f>
        <v>0</v>
      </c>
      <c r="W98" s="61" t="n">
        <f aca="false">SUM(W94:W97)</f>
        <v>0</v>
      </c>
      <c r="X98" s="61" t="n">
        <f aca="false">SUM(X94:X97)</f>
        <v>0</v>
      </c>
      <c r="Y98" s="61" t="n">
        <f aca="false">SUM(Y94:Y97)</f>
        <v>15000</v>
      </c>
      <c r="Z98" s="61" t="n">
        <f aca="false">SUM(Z94:Z97)</f>
        <v>0</v>
      </c>
      <c r="AA98" s="61" t="n">
        <f aca="false">SUM(AA94:AA97)</f>
        <v>0</v>
      </c>
      <c r="AB98" s="61" t="n">
        <f aca="false">SUM(AB94:AB97)</f>
        <v>0</v>
      </c>
      <c r="AC98" s="61" t="n">
        <f aca="false">SUM(AC94:AC97)</f>
        <v>0</v>
      </c>
      <c r="AD98" s="61" t="n">
        <f aca="false">SUM(AD94:AD97)</f>
        <v>0</v>
      </c>
      <c r="AE98" s="61" t="n">
        <f aca="false">SUM(AE94:AE97)</f>
        <v>0</v>
      </c>
      <c r="AF98" s="61" t="n">
        <f aca="false">SUM(AF94:AF97)</f>
        <v>0</v>
      </c>
      <c r="AG98" s="61" t="n">
        <f aca="false">SUM(AG94:AG97)</f>
        <v>0</v>
      </c>
      <c r="AH98" s="61" t="n">
        <f aca="false">SUM(AH94:AH97)</f>
        <v>0</v>
      </c>
      <c r="AI98" s="61" t="n">
        <f aca="false">SUM(AI94:AI97)</f>
        <v>0</v>
      </c>
      <c r="AJ98" s="61" t="n">
        <f aca="false">SUM(AJ94:AJ97)</f>
        <v>0</v>
      </c>
      <c r="AK98" s="61" t="n">
        <f aca="false">SUM(AK94:AK97)</f>
        <v>0</v>
      </c>
      <c r="AL98" s="61" t="n">
        <f aca="false">SUM(AL94:AL97)</f>
        <v>0</v>
      </c>
      <c r="AM98" s="61" t="n">
        <f aca="false">SUM(AM94:AM97)</f>
        <v>0</v>
      </c>
      <c r="AN98" s="61" t="n">
        <f aca="false">SUM(AN94:AN97)</f>
        <v>0</v>
      </c>
      <c r="AO98" s="61" t="n">
        <f aca="false">SUM(AO94:AO97)</f>
        <v>0</v>
      </c>
      <c r="AP98" s="61" t="n">
        <f aca="false">SUM(AP94:AP97)</f>
        <v>0</v>
      </c>
      <c r="AQ98" s="61" t="n">
        <f aca="false">SUM(AQ94:AQ97)</f>
        <v>0</v>
      </c>
      <c r="AR98" s="61" t="n">
        <f aca="false">SUM(AR94:AR97)</f>
        <v>0</v>
      </c>
      <c r="AS98" s="61" t="n">
        <f aca="false">SUM(AS94:AS97)</f>
        <v>0</v>
      </c>
      <c r="AT98" s="61" t="n">
        <f aca="false">SUM(AT94:AT97)</f>
        <v>0</v>
      </c>
      <c r="AU98" s="61" t="n">
        <f aca="false">SUM(AU94:AU97)</f>
        <v>0</v>
      </c>
      <c r="AV98" s="61" t="n">
        <f aca="false">SUM(AV94:AV97)</f>
        <v>0</v>
      </c>
      <c r="AW98" s="61" t="n">
        <f aca="false">SUM(AW94:AW97)</f>
        <v>0</v>
      </c>
      <c r="AX98" s="61" t="n">
        <f aca="false">SUM(AX94:AX97)</f>
        <v>0</v>
      </c>
      <c r="AY98" s="61" t="n">
        <f aca="false">SUM(AY94:AY97)</f>
        <v>0</v>
      </c>
      <c r="AZ98" s="61" t="n">
        <f aca="false">SUM(AZ94:AZ97)</f>
        <v>0</v>
      </c>
      <c r="BA98" s="61" t="n">
        <f aca="false">SUM(BA94:BA97)</f>
        <v>0</v>
      </c>
      <c r="BB98" s="61" t="n">
        <f aca="false">SUM(BB94:BB97)</f>
        <v>0</v>
      </c>
      <c r="BC98" s="61" t="n">
        <f aca="false">SUM(BC94:BC97)</f>
        <v>0</v>
      </c>
      <c r="BD98" s="61" t="n">
        <f aca="false">SUM(BD94:BD97)</f>
        <v>0</v>
      </c>
      <c r="BE98" s="61" t="n">
        <f aca="false">SUM(BE94:BE97)</f>
        <v>0</v>
      </c>
      <c r="BF98" s="61" t="n">
        <f aca="false">SUM(BF94:BF97)</f>
        <v>0</v>
      </c>
      <c r="BG98" s="61" t="n">
        <f aca="false">SUM(BG94:BG97)</f>
        <v>0</v>
      </c>
      <c r="BH98" s="61" t="n">
        <f aca="false">SUM(BH94:BH97)</f>
        <v>0</v>
      </c>
      <c r="BI98" s="61" t="n">
        <f aca="false">SUM(BI94:BI97)</f>
        <v>0</v>
      </c>
      <c r="BJ98" s="61" t="n">
        <f aca="false">SUM(B98:BI98)</f>
        <v>200000</v>
      </c>
    </row>
    <row r="99" customFormat="false" ht="15" hidden="false" customHeight="false" outlineLevel="0" collapsed="false">
      <c r="A99" s="101" t="s">
        <v>961</v>
      </c>
      <c r="B99" s="90" t="n">
        <f aca="false">B98</f>
        <v>0</v>
      </c>
      <c r="C99" s="90" t="n">
        <f aca="false">B99+C98</f>
        <v>0</v>
      </c>
      <c r="D99" s="90" t="n">
        <f aca="false">C99+D98</f>
        <v>0</v>
      </c>
      <c r="E99" s="90" t="n">
        <f aca="false">D99+E98</f>
        <v>10000</v>
      </c>
      <c r="F99" s="90" t="n">
        <f aca="false">E99+F98</f>
        <v>10000</v>
      </c>
      <c r="G99" s="90" t="n">
        <f aca="false">F99+G98</f>
        <v>10000</v>
      </c>
      <c r="H99" s="90" t="n">
        <f aca="false">G99+H98</f>
        <v>15000</v>
      </c>
      <c r="I99" s="90" t="n">
        <f aca="false">H99+I98</f>
        <v>33000</v>
      </c>
      <c r="J99" s="90" t="n">
        <f aca="false">I99+J98</f>
        <v>33000</v>
      </c>
      <c r="K99" s="90" t="n">
        <f aca="false">J99+K98</f>
        <v>113000</v>
      </c>
      <c r="L99" s="90" t="n">
        <f aca="false">K99+L98</f>
        <v>153000</v>
      </c>
      <c r="M99" s="90" t="n">
        <f aca="false">L99+M98</f>
        <v>170000</v>
      </c>
      <c r="N99" s="90" t="n">
        <f aca="false">M99+N98</f>
        <v>170000</v>
      </c>
      <c r="O99" s="90" t="n">
        <f aca="false">N99+O98</f>
        <v>170000</v>
      </c>
      <c r="P99" s="90" t="n">
        <f aca="false">O99+P98</f>
        <v>170000</v>
      </c>
      <c r="Q99" s="90" t="n">
        <f aca="false">P99+Q98</f>
        <v>170000</v>
      </c>
      <c r="R99" s="90" t="n">
        <f aca="false">Q99+R98</f>
        <v>170000</v>
      </c>
      <c r="S99" s="90" t="n">
        <f aca="false">R99+S98</f>
        <v>185000</v>
      </c>
      <c r="T99" s="90" t="n">
        <f aca="false">S99+T98</f>
        <v>185000</v>
      </c>
      <c r="U99" s="90" t="n">
        <f aca="false">T99+U98</f>
        <v>185000</v>
      </c>
      <c r="V99" s="90" t="n">
        <f aca="false">U99+V98</f>
        <v>185000</v>
      </c>
      <c r="W99" s="90" t="n">
        <f aca="false">V99+W98</f>
        <v>185000</v>
      </c>
      <c r="X99" s="90" t="n">
        <f aca="false">W99+X98</f>
        <v>185000</v>
      </c>
      <c r="Y99" s="90" t="n">
        <f aca="false">X99+Y98</f>
        <v>200000</v>
      </c>
      <c r="Z99" s="90" t="n">
        <f aca="false">Y99+Z98</f>
        <v>200000</v>
      </c>
      <c r="AA99" s="90" t="n">
        <f aca="false">Z99+AA98</f>
        <v>200000</v>
      </c>
      <c r="AB99" s="90" t="n">
        <f aca="false">AA99+AB98</f>
        <v>200000</v>
      </c>
      <c r="AC99" s="90" t="n">
        <f aca="false">AB99+AC98</f>
        <v>200000</v>
      </c>
      <c r="AD99" s="90" t="n">
        <f aca="false">AC99+AD98</f>
        <v>200000</v>
      </c>
      <c r="AE99" s="90" t="n">
        <f aca="false">AD99+AE98</f>
        <v>200000</v>
      </c>
      <c r="AF99" s="90" t="n">
        <f aca="false">AE99+AF98</f>
        <v>200000</v>
      </c>
      <c r="AG99" s="90" t="n">
        <f aca="false">AF99+AG98</f>
        <v>200000</v>
      </c>
      <c r="AH99" s="90" t="n">
        <f aca="false">AG99+AH98</f>
        <v>200000</v>
      </c>
      <c r="AI99" s="90" t="n">
        <f aca="false">AH99+AI98</f>
        <v>200000</v>
      </c>
      <c r="AJ99" s="90" t="n">
        <f aca="false">AI99+AJ98</f>
        <v>200000</v>
      </c>
      <c r="AK99" s="90" t="n">
        <f aca="false">AJ99+AK98</f>
        <v>200000</v>
      </c>
      <c r="AL99" s="90" t="n">
        <f aca="false">AK99+AL98</f>
        <v>200000</v>
      </c>
      <c r="AM99" s="90" t="n">
        <f aca="false">AL99+AM98</f>
        <v>200000</v>
      </c>
      <c r="AN99" s="90" t="n">
        <f aca="false">AM99+AN98</f>
        <v>200000</v>
      </c>
      <c r="AO99" s="90" t="n">
        <f aca="false">AN99+AO98</f>
        <v>200000</v>
      </c>
      <c r="AP99" s="90" t="n">
        <f aca="false">AO99+AP98</f>
        <v>200000</v>
      </c>
      <c r="AQ99" s="90" t="n">
        <f aca="false">AP99+AQ98</f>
        <v>200000</v>
      </c>
      <c r="AR99" s="90" t="n">
        <f aca="false">AQ99+AR98</f>
        <v>200000</v>
      </c>
      <c r="AS99" s="90" t="n">
        <f aca="false">AR99+AS98</f>
        <v>200000</v>
      </c>
      <c r="AT99" s="90" t="n">
        <f aca="false">AS99+AT98</f>
        <v>200000</v>
      </c>
      <c r="AU99" s="90" t="n">
        <f aca="false">AT99+AU98</f>
        <v>200000</v>
      </c>
      <c r="AV99" s="90" t="n">
        <f aca="false">AU99+AV98</f>
        <v>200000</v>
      </c>
      <c r="AW99" s="90" t="n">
        <f aca="false">AV99+AW98</f>
        <v>200000</v>
      </c>
      <c r="AX99" s="90" t="n">
        <f aca="false">AW99+AX98</f>
        <v>200000</v>
      </c>
      <c r="AY99" s="90" t="n">
        <f aca="false">AX99+AY98</f>
        <v>200000</v>
      </c>
      <c r="AZ99" s="90" t="n">
        <f aca="false">AY99+AZ98</f>
        <v>200000</v>
      </c>
      <c r="BA99" s="90" t="n">
        <f aca="false">AZ99+BA98</f>
        <v>200000</v>
      </c>
      <c r="BB99" s="90" t="n">
        <f aca="false">BA99+BB98</f>
        <v>200000</v>
      </c>
      <c r="BC99" s="90" t="n">
        <f aca="false">BB99+BC98</f>
        <v>200000</v>
      </c>
      <c r="BD99" s="90" t="n">
        <f aca="false">BC99+BD98</f>
        <v>200000</v>
      </c>
      <c r="BE99" s="90" t="n">
        <f aca="false">BD99+BE98</f>
        <v>200000</v>
      </c>
      <c r="BF99" s="90" t="n">
        <f aca="false">BE99+BF98</f>
        <v>200000</v>
      </c>
      <c r="BG99" s="90" t="n">
        <f aca="false">BF99+BG98</f>
        <v>200000</v>
      </c>
      <c r="BH99" s="90" t="n">
        <f aca="false">BG99+BH98</f>
        <v>200000</v>
      </c>
      <c r="BI99" s="90" t="n">
        <f aca="false">BH99+BI98</f>
        <v>200000</v>
      </c>
    </row>
    <row r="100" customFormat="false" ht="15" hidden="false" customHeight="false" outlineLevel="0" collapsed="false">
      <c r="A100" s="101" t="s">
        <v>962</v>
      </c>
      <c r="B100" s="67" t="n">
        <f aca="false">SUMPRODUCT((($B$43:$B$50="Confirmado")+($B$43:$B$50="Em negociação")*Premissas!$B$117)*($F$43:$F$50&lt;=B$90)*($G$43:$G$50&gt;=B$90)*$E$43:$E$50)</f>
        <v>0</v>
      </c>
      <c r="C100" s="67" t="n">
        <f aca="false">SUMPRODUCT((($B$43:$B$50="Confirmado")+($B$43:$B$50="Em negociação")*Premissas!$B$117)*($F$43:$F$50&lt;=C$90)*($G$43:$G$50&gt;=C$90)*$E$43:$E$50)</f>
        <v>0</v>
      </c>
      <c r="D100" s="67" t="n">
        <f aca="false">SUMPRODUCT((($B$43:$B$50="Confirmado")+($B$43:$B$50="Em negociação")*Premissas!$B$117)*($F$43:$F$50&lt;=D$90)*($G$43:$G$50&gt;=D$90)*$E$43:$E$50)</f>
        <v>0</v>
      </c>
      <c r="E100" s="67" t="n">
        <f aca="false">SUMPRODUCT((($B$43:$B$50="Confirmado")+($B$43:$B$50="Em negociação")*Premissas!$B$117)*($F$43:$F$50&lt;=E$90)*($G$43:$G$50&gt;=E$90)*$E$43:$E$50)</f>
        <v>0</v>
      </c>
      <c r="F100" s="67" t="n">
        <f aca="false">SUMPRODUCT((($B$43:$B$50="Confirmado")+($B$43:$B$50="Em negociação")*Premissas!$B$117)*($F$43:$F$50&lt;=F$90)*($G$43:$G$50&gt;=F$90)*$E$43:$E$50)</f>
        <v>0</v>
      </c>
      <c r="G100" s="67" t="n">
        <f aca="false">SUMPRODUCT((($B$43:$B$50="Confirmado")+($B$43:$B$50="Em negociação")*Premissas!$B$117)*($F$43:$F$50&lt;=G$90)*($G$43:$G$50&gt;=G$90)*$E$43:$E$50)</f>
        <v>0</v>
      </c>
      <c r="H100" s="67" t="n">
        <f aca="false">SUMPRODUCT((($B$43:$B$50="Confirmado")+($B$43:$B$50="Em negociação")*Premissas!$B$117)*($F$43:$F$50&lt;=H$90)*($G$43:$G$50&gt;=H$90)*$E$43:$E$50)</f>
        <v>0</v>
      </c>
      <c r="I100" s="67" t="n">
        <f aca="false">SUMPRODUCT((($B$43:$B$50="Confirmado")+($B$43:$B$50="Em negociação")*Premissas!$B$117)*($F$43:$F$50&lt;=I$90)*($G$43:$G$50&gt;=I$90)*$E$43:$E$50)</f>
        <v>0</v>
      </c>
      <c r="J100" s="67" t="n">
        <f aca="false">SUMPRODUCT((($B$43:$B$50="Confirmado")+($B$43:$B$50="Em negociação")*Premissas!$B$117)*($F$43:$F$50&lt;=J$90)*($G$43:$G$50&gt;=J$90)*$E$43:$E$50)</f>
        <v>0</v>
      </c>
      <c r="K100" s="67" t="n">
        <f aca="false">SUMPRODUCT((($B$43:$B$50="Confirmado")+($B$43:$B$50="Em negociação")*Premissas!$B$117)*($F$43:$F$50&lt;=K$90)*($G$43:$G$50&gt;=K$90)*$E$43:$E$50)</f>
        <v>0</v>
      </c>
      <c r="L100" s="67" t="n">
        <f aca="false">SUMPRODUCT((($B$43:$B$50="Confirmado")+($B$43:$B$50="Em negociação")*Premissas!$B$117)*($F$43:$F$50&lt;=L$90)*($G$43:$G$50&gt;=L$90)*$E$43:$E$50)</f>
        <v>0</v>
      </c>
      <c r="M100" s="67" t="n">
        <f aca="false">SUMPRODUCT((($B$43:$B$50="Confirmado")+($B$43:$B$50="Em negociação")*Premissas!$B$117)*($F$43:$F$50&lt;=M$90)*($G$43:$G$50&gt;=M$90)*$E$43:$E$50)</f>
        <v>0</v>
      </c>
      <c r="N100" s="67" t="n">
        <f aca="false">SUMPRODUCT((($B$43:$B$50="Confirmado")+($B$43:$B$50="Em negociação")*Premissas!$B$117)*($F$43:$F$50&lt;=N$90)*($G$43:$G$50&gt;=N$90)*$E$43:$E$50)</f>
        <v>0</v>
      </c>
      <c r="O100" s="67" t="n">
        <f aca="false">SUMPRODUCT((($B$43:$B$50="Confirmado")+($B$43:$B$50="Em negociação")*Premissas!$B$117)*($F$43:$F$50&lt;=O$90)*($G$43:$G$50&gt;=O$90)*$E$43:$E$50)</f>
        <v>0</v>
      </c>
      <c r="P100" s="67" t="n">
        <f aca="false">SUMPRODUCT((($B$43:$B$50="Confirmado")+($B$43:$B$50="Em negociação")*Premissas!$B$117)*($F$43:$F$50&lt;=P$90)*($G$43:$G$50&gt;=P$90)*$E$43:$E$50)</f>
        <v>0</v>
      </c>
      <c r="Q100" s="67" t="n">
        <f aca="false">SUMPRODUCT((($B$43:$B$50="Confirmado")+($B$43:$B$50="Em negociação")*Premissas!$B$117)*($F$43:$F$50&lt;=Q$90)*($G$43:$G$50&gt;=Q$90)*$E$43:$E$50)</f>
        <v>0</v>
      </c>
      <c r="R100" s="67" t="n">
        <f aca="false">SUMPRODUCT((($B$43:$B$50="Confirmado")+($B$43:$B$50="Em negociação")*Premissas!$B$117)*($F$43:$F$50&lt;=R$90)*($G$43:$G$50&gt;=R$90)*$E$43:$E$50)</f>
        <v>0</v>
      </c>
      <c r="S100" s="67" t="n">
        <f aca="false">SUMPRODUCT((($B$43:$B$50="Confirmado")+($B$43:$B$50="Em negociação")*Premissas!$B$117)*($F$43:$F$50&lt;=S$90)*($G$43:$G$50&gt;=S$90)*$E$43:$E$50)</f>
        <v>0</v>
      </c>
      <c r="T100" s="67" t="n">
        <f aca="false">SUMPRODUCT((($B$43:$B$50="Confirmado")+($B$43:$B$50="Em negociação")*Premissas!$B$117)*($F$43:$F$50&lt;=T$90)*($G$43:$G$50&gt;=T$90)*$E$43:$E$50)</f>
        <v>0</v>
      </c>
      <c r="U100" s="67" t="n">
        <f aca="false">SUMPRODUCT((($B$43:$B$50="Confirmado")+($B$43:$B$50="Em negociação")*Premissas!$B$117)*($F$43:$F$50&lt;=U$90)*($G$43:$G$50&gt;=U$90)*$E$43:$E$50)</f>
        <v>0</v>
      </c>
      <c r="V100" s="67" t="n">
        <f aca="false">SUMPRODUCT((($B$43:$B$50="Confirmado")+($B$43:$B$50="Em negociação")*Premissas!$B$117)*($F$43:$F$50&lt;=V$90)*($G$43:$G$50&gt;=V$90)*$E$43:$E$50)</f>
        <v>0</v>
      </c>
      <c r="W100" s="67" t="n">
        <f aca="false">SUMPRODUCT((($B$43:$B$50="Confirmado")+($B$43:$B$50="Em negociação")*Premissas!$B$117)*($F$43:$F$50&lt;=W$90)*($G$43:$G$50&gt;=W$90)*$E$43:$E$50)</f>
        <v>0</v>
      </c>
      <c r="X100" s="67" t="n">
        <f aca="false">SUMPRODUCT((($B$43:$B$50="Confirmado")+($B$43:$B$50="Em negociação")*Premissas!$B$117)*($F$43:$F$50&lt;=X$90)*($G$43:$G$50&gt;=X$90)*$E$43:$E$50)</f>
        <v>0</v>
      </c>
      <c r="Y100" s="67" t="n">
        <f aca="false">SUMPRODUCT((($B$43:$B$50="Confirmado")+($B$43:$B$50="Em negociação")*Premissas!$B$117)*($F$43:$F$50&lt;=Y$90)*($G$43:$G$50&gt;=Y$90)*$E$43:$E$50)</f>
        <v>0</v>
      </c>
      <c r="Z100" s="67" t="n">
        <f aca="false">SUMPRODUCT((($B$43:$B$50="Confirmado")+($B$43:$B$50="Em negociação")*Premissas!$B$117)*($F$43:$F$50&lt;=Z$90)*($G$43:$G$50&gt;=Z$90)*$E$43:$E$50)</f>
        <v>0</v>
      </c>
      <c r="AA100" s="67" t="n">
        <f aca="false">SUMPRODUCT((($B$43:$B$50="Confirmado")+($B$43:$B$50="Em negociação")*Premissas!$B$117)*($F$43:$F$50&lt;=AA$90)*($G$43:$G$50&gt;=AA$90)*$E$43:$E$50)</f>
        <v>0</v>
      </c>
      <c r="AB100" s="67" t="n">
        <f aca="false">SUMPRODUCT((($B$43:$B$50="Confirmado")+($B$43:$B$50="Em negociação")*Premissas!$B$117)*($F$43:$F$50&lt;=AB$90)*($G$43:$G$50&gt;=AB$90)*$E$43:$E$50)</f>
        <v>0</v>
      </c>
      <c r="AC100" s="67" t="n">
        <f aca="false">SUMPRODUCT((($B$43:$B$50="Confirmado")+($B$43:$B$50="Em negociação")*Premissas!$B$117)*($F$43:$F$50&lt;=AC$90)*($G$43:$G$50&gt;=AC$90)*$E$43:$E$50)</f>
        <v>0</v>
      </c>
      <c r="AD100" s="67" t="n">
        <f aca="false">SUMPRODUCT((($B$43:$B$50="Confirmado")+($B$43:$B$50="Em negociação")*Premissas!$B$117)*($F$43:$F$50&lt;=AD$90)*($G$43:$G$50&gt;=AD$90)*$E$43:$E$50)</f>
        <v>0</v>
      </c>
      <c r="AE100" s="67" t="n">
        <f aca="false">SUMPRODUCT((($B$43:$B$50="Confirmado")+($B$43:$B$50="Em negociação")*Premissas!$B$117)*($F$43:$F$50&lt;=AE$90)*($G$43:$G$50&gt;=AE$90)*$E$43:$E$50)</f>
        <v>0</v>
      </c>
      <c r="AF100" s="67" t="n">
        <f aca="false">SUMPRODUCT((($B$43:$B$50="Confirmado")+($B$43:$B$50="Em negociação")*Premissas!$B$117)*($F$43:$F$50&lt;=AF$90)*($G$43:$G$50&gt;=AF$90)*$E$43:$E$50)</f>
        <v>0</v>
      </c>
      <c r="AG100" s="67" t="n">
        <f aca="false">SUMPRODUCT((($B$43:$B$50="Confirmado")+($B$43:$B$50="Em negociação")*Premissas!$B$117)*($F$43:$F$50&lt;=AG$90)*($G$43:$G$50&gt;=AG$90)*$E$43:$E$50)</f>
        <v>0</v>
      </c>
      <c r="AH100" s="67" t="n">
        <f aca="false">SUMPRODUCT((($B$43:$B$50="Confirmado")+($B$43:$B$50="Em negociação")*Premissas!$B$117)*($F$43:$F$50&lt;=AH$90)*($G$43:$G$50&gt;=AH$90)*$E$43:$E$50)</f>
        <v>0</v>
      </c>
      <c r="AI100" s="67" t="n">
        <f aca="false">SUMPRODUCT((($B$43:$B$50="Confirmado")+($B$43:$B$50="Em negociação")*Premissas!$B$117)*($F$43:$F$50&lt;=AI$90)*($G$43:$G$50&gt;=AI$90)*$E$43:$E$50)</f>
        <v>0</v>
      </c>
      <c r="AJ100" s="67" t="n">
        <f aca="false">SUMPRODUCT((($B$43:$B$50="Confirmado")+($B$43:$B$50="Em negociação")*Premissas!$B$117)*($F$43:$F$50&lt;=AJ$90)*($G$43:$G$50&gt;=AJ$90)*$E$43:$E$50)</f>
        <v>0</v>
      </c>
      <c r="AK100" s="67" t="n">
        <f aca="false">SUMPRODUCT((($B$43:$B$50="Confirmado")+($B$43:$B$50="Em negociação")*Premissas!$B$117)*($F$43:$F$50&lt;=AK$90)*($G$43:$G$50&gt;=AK$90)*$E$43:$E$50)</f>
        <v>0</v>
      </c>
      <c r="AL100" s="67" t="n">
        <f aca="false">SUMPRODUCT((($B$43:$B$50="Confirmado")+($B$43:$B$50="Em negociação")*Premissas!$B$117)*($F$43:$F$50&lt;=AL$90)*($G$43:$G$50&gt;=AL$90)*$E$43:$E$50)</f>
        <v>0</v>
      </c>
      <c r="AM100" s="67" t="n">
        <f aca="false">SUMPRODUCT((($B$43:$B$50="Confirmado")+($B$43:$B$50="Em negociação")*Premissas!$B$117)*($F$43:$F$50&lt;=AM$90)*($G$43:$G$50&gt;=AM$90)*$E$43:$E$50)</f>
        <v>0</v>
      </c>
      <c r="AN100" s="67" t="n">
        <f aca="false">SUMPRODUCT((($B$43:$B$50="Confirmado")+($B$43:$B$50="Em negociação")*Premissas!$B$117)*($F$43:$F$50&lt;=AN$90)*($G$43:$G$50&gt;=AN$90)*$E$43:$E$50)</f>
        <v>0</v>
      </c>
      <c r="AO100" s="67" t="n">
        <f aca="false">SUMPRODUCT((($B$43:$B$50="Confirmado")+($B$43:$B$50="Em negociação")*Premissas!$B$117)*($F$43:$F$50&lt;=AO$90)*($G$43:$G$50&gt;=AO$90)*$E$43:$E$50)</f>
        <v>0</v>
      </c>
      <c r="AP100" s="67" t="n">
        <f aca="false">SUMPRODUCT((($B$43:$B$50="Confirmado")+($B$43:$B$50="Em negociação")*Premissas!$B$117)*($F$43:$F$50&lt;=AP$90)*($G$43:$G$50&gt;=AP$90)*$E$43:$E$50)</f>
        <v>0</v>
      </c>
      <c r="AQ100" s="67" t="n">
        <f aca="false">SUMPRODUCT((($B$43:$B$50="Confirmado")+($B$43:$B$50="Em negociação")*Premissas!$B$117)*($F$43:$F$50&lt;=AQ$90)*($G$43:$G$50&gt;=AQ$90)*$E$43:$E$50)</f>
        <v>0</v>
      </c>
      <c r="AR100" s="67" t="n">
        <f aca="false">SUMPRODUCT((($B$43:$B$50="Confirmado")+($B$43:$B$50="Em negociação")*Premissas!$B$117)*($F$43:$F$50&lt;=AR$90)*($G$43:$G$50&gt;=AR$90)*$E$43:$E$50)</f>
        <v>0</v>
      </c>
      <c r="AS100" s="67" t="n">
        <f aca="false">SUMPRODUCT((($B$43:$B$50="Confirmado")+($B$43:$B$50="Em negociação")*Premissas!$B$117)*($F$43:$F$50&lt;=AS$90)*($G$43:$G$50&gt;=AS$90)*$E$43:$E$50)</f>
        <v>0</v>
      </c>
      <c r="AT100" s="67" t="n">
        <f aca="false">SUMPRODUCT((($B$43:$B$50="Confirmado")+($B$43:$B$50="Em negociação")*Premissas!$B$117)*($F$43:$F$50&lt;=AT$90)*($G$43:$G$50&gt;=AT$90)*$E$43:$E$50)</f>
        <v>0</v>
      </c>
      <c r="AU100" s="67" t="n">
        <f aca="false">SUMPRODUCT((($B$43:$B$50="Confirmado")+($B$43:$B$50="Em negociação")*Premissas!$B$117)*($F$43:$F$50&lt;=AU$90)*($G$43:$G$50&gt;=AU$90)*$E$43:$E$50)</f>
        <v>0</v>
      </c>
      <c r="AV100" s="67" t="n">
        <f aca="false">SUMPRODUCT((($B$43:$B$50="Confirmado")+($B$43:$B$50="Em negociação")*Premissas!$B$117)*($F$43:$F$50&lt;=AV$90)*($G$43:$G$50&gt;=AV$90)*$E$43:$E$50)</f>
        <v>0</v>
      </c>
      <c r="AW100" s="67" t="n">
        <f aca="false">SUMPRODUCT((($B$43:$B$50="Confirmado")+($B$43:$B$50="Em negociação")*Premissas!$B$117)*($F$43:$F$50&lt;=AW$90)*($G$43:$G$50&gt;=AW$90)*$E$43:$E$50)</f>
        <v>0</v>
      </c>
      <c r="AX100" s="67" t="n">
        <f aca="false">SUMPRODUCT((($B$43:$B$50="Confirmado")+($B$43:$B$50="Em negociação")*Premissas!$B$117)*($F$43:$F$50&lt;=AX$90)*($G$43:$G$50&gt;=AX$90)*$E$43:$E$50)</f>
        <v>0</v>
      </c>
      <c r="AY100" s="67" t="n">
        <f aca="false">SUMPRODUCT((($B$43:$B$50="Confirmado")+($B$43:$B$50="Em negociação")*Premissas!$B$117)*($F$43:$F$50&lt;=AY$90)*($G$43:$G$50&gt;=AY$90)*$E$43:$E$50)</f>
        <v>0</v>
      </c>
      <c r="AZ100" s="67" t="n">
        <f aca="false">SUMPRODUCT((($B$43:$B$50="Confirmado")+($B$43:$B$50="Em negociação")*Premissas!$B$117)*($F$43:$F$50&lt;=AZ$90)*($G$43:$G$50&gt;=AZ$90)*$E$43:$E$50)</f>
        <v>0</v>
      </c>
      <c r="BA100" s="67" t="n">
        <f aca="false">SUMPRODUCT((($B$43:$B$50="Confirmado")+($B$43:$B$50="Em negociação")*Premissas!$B$117)*($F$43:$F$50&lt;=BA$90)*($G$43:$G$50&gt;=BA$90)*$E$43:$E$50)</f>
        <v>0</v>
      </c>
      <c r="BB100" s="67" t="n">
        <f aca="false">SUMPRODUCT((($B$43:$B$50="Confirmado")+($B$43:$B$50="Em negociação")*Premissas!$B$117)*($F$43:$F$50&lt;=BB$90)*($G$43:$G$50&gt;=BB$90)*$E$43:$E$50)</f>
        <v>0</v>
      </c>
      <c r="BC100" s="67" t="n">
        <f aca="false">SUMPRODUCT((($B$43:$B$50="Confirmado")+($B$43:$B$50="Em negociação")*Premissas!$B$117)*($F$43:$F$50&lt;=BC$90)*($G$43:$G$50&gt;=BC$90)*$E$43:$E$50)</f>
        <v>0</v>
      </c>
      <c r="BD100" s="67" t="n">
        <f aca="false">SUMPRODUCT((($B$43:$B$50="Confirmado")+($B$43:$B$50="Em negociação")*Premissas!$B$117)*($F$43:$F$50&lt;=BD$90)*($G$43:$G$50&gt;=BD$90)*$E$43:$E$50)</f>
        <v>0</v>
      </c>
      <c r="BE100" s="67" t="n">
        <f aca="false">SUMPRODUCT((($B$43:$B$50="Confirmado")+($B$43:$B$50="Em negociação")*Premissas!$B$117)*($F$43:$F$50&lt;=BE$90)*($G$43:$G$50&gt;=BE$90)*$E$43:$E$50)</f>
        <v>0</v>
      </c>
      <c r="BF100" s="67" t="n">
        <f aca="false">SUMPRODUCT((($B$43:$B$50="Confirmado")+($B$43:$B$50="Em negociação")*Premissas!$B$117)*($F$43:$F$50&lt;=BF$90)*($G$43:$G$50&gt;=BF$90)*$E$43:$E$50)</f>
        <v>0</v>
      </c>
      <c r="BG100" s="67" t="n">
        <f aca="false">SUMPRODUCT((($B$43:$B$50="Confirmado")+($B$43:$B$50="Em negociação")*Premissas!$B$117)*($F$43:$F$50&lt;=BG$90)*($G$43:$G$50&gt;=BG$90)*$E$43:$E$50)</f>
        <v>0</v>
      </c>
      <c r="BH100" s="67" t="n">
        <f aca="false">SUMPRODUCT((($B$43:$B$50="Confirmado")+($B$43:$B$50="Em negociação")*Premissas!$B$117)*($F$43:$F$50&lt;=BH$90)*($G$43:$G$50&gt;=BH$90)*$E$43:$E$50)</f>
        <v>0</v>
      </c>
      <c r="BI100" s="67" t="n">
        <f aca="false">SUMPRODUCT((($B$43:$B$50="Confirmado")+($B$43:$B$50="Em negociação")*Premissas!$B$117)*($F$43:$F$50&lt;=BI$90)*($G$43:$G$50&gt;=BI$90)*$E$43:$E$50)</f>
        <v>0</v>
      </c>
      <c r="BJ100" s="61" t="n">
        <f aca="false">SUM(B100:BI100)</f>
        <v>0</v>
      </c>
      <c r="BK100" s="29" t="s">
        <v>963</v>
      </c>
    </row>
  </sheetData>
  <mergeCells count="35"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A41:H41"/>
    <mergeCell ref="A71:H71"/>
  </mergeCells>
  <dataValidations count="3">
    <dataValidation allowBlank="true" errorStyle="stop" operator="between" showDropDown="false" showErrorMessage="false" showInputMessage="false" sqref="D6:D37" type="list">
      <formula1>"Realizado,Compromisso,Previsto,Em negociação"</formula1>
      <formula2>0</formula2>
    </dataValidation>
    <dataValidation allowBlank="true" errorStyle="stop" operator="between" showDropDown="false" showErrorMessage="false" showInputMessage="false" sqref="E6:E37" type="list">
      <formula1>"Fundador,Novo sócio,Investidor estratégico"</formula1>
      <formula2>0</formula2>
    </dataValidation>
    <dataValidation allowBlank="true" errorStyle="stop" operator="between" showDropDown="false" showErrorMessage="false" showInputMessage="false" sqref="B43:B50" type="list">
      <formula1>"Confirmado,Em negociação"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6"/>
    <col collapsed="false" customWidth="true" hidden="false" outlineLevel="0" max="7" min="7" style="0" width="78"/>
    <col collapsed="false" customWidth="true" hidden="false" outlineLevel="0" max="8" min="8" style="0" width="6"/>
  </cols>
  <sheetData>
    <row r="1" customFormat="false" ht="25.5" hidden="false" customHeight="true" outlineLevel="0" collapsed="false">
      <c r="A1" s="1" t="s">
        <v>964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965</v>
      </c>
    </row>
    <row r="4" customFormat="false" ht="18" hidden="false" customHeight="true" outlineLevel="0" collapsed="false">
      <c r="A4" s="25" t="s">
        <v>966</v>
      </c>
      <c r="B4" s="26"/>
      <c r="C4" s="26"/>
      <c r="D4" s="26"/>
      <c r="E4" s="26"/>
      <c r="F4" s="26"/>
      <c r="G4" s="26"/>
      <c r="H4" s="26"/>
    </row>
    <row r="5" customFormat="false" ht="15" hidden="false" customHeight="false" outlineLevel="0" collapsed="false">
      <c r="A5" s="183" t="s">
        <v>967</v>
      </c>
      <c r="B5" s="183" t="s">
        <v>968</v>
      </c>
      <c r="C5" s="183" t="s">
        <v>969</v>
      </c>
      <c r="D5" s="183" t="s">
        <v>970</v>
      </c>
      <c r="E5" s="183" t="s">
        <v>971</v>
      </c>
      <c r="G5" s="29" t="s">
        <v>972</v>
      </c>
    </row>
    <row r="6" customFormat="false" ht="15" hidden="false" customHeight="false" outlineLevel="0" collapsed="false">
      <c r="A6" s="155" t="n">
        <v>1</v>
      </c>
      <c r="B6" s="156" t="n">
        <v>0</v>
      </c>
      <c r="C6" s="156" t="n">
        <v>180000</v>
      </c>
      <c r="D6" s="231" t="n">
        <v>0.06</v>
      </c>
      <c r="E6" s="156" t="n">
        <v>0</v>
      </c>
    </row>
    <row r="7" customFormat="false" ht="15" hidden="false" customHeight="false" outlineLevel="0" collapsed="false">
      <c r="A7" s="155" t="n">
        <v>2</v>
      </c>
      <c r="B7" s="156" t="n">
        <v>180000.01</v>
      </c>
      <c r="C7" s="156" t="n">
        <v>360000</v>
      </c>
      <c r="D7" s="231" t="n">
        <v>0.112</v>
      </c>
      <c r="E7" s="156" t="n">
        <v>9360</v>
      </c>
    </row>
    <row r="8" customFormat="false" ht="15" hidden="false" customHeight="false" outlineLevel="0" collapsed="false">
      <c r="A8" s="155" t="n">
        <v>3</v>
      </c>
      <c r="B8" s="156" t="n">
        <v>360000.01</v>
      </c>
      <c r="C8" s="156" t="n">
        <v>720000</v>
      </c>
      <c r="D8" s="231" t="n">
        <v>0.135</v>
      </c>
      <c r="E8" s="156" t="n">
        <v>17640</v>
      </c>
    </row>
    <row r="9" customFormat="false" ht="15" hidden="false" customHeight="false" outlineLevel="0" collapsed="false">
      <c r="A9" s="155" t="n">
        <v>4</v>
      </c>
      <c r="B9" s="156" t="n">
        <v>720000.01</v>
      </c>
      <c r="C9" s="156" t="n">
        <v>1800000</v>
      </c>
      <c r="D9" s="231" t="n">
        <v>0.16</v>
      </c>
      <c r="E9" s="156" t="n">
        <v>35640</v>
      </c>
    </row>
    <row r="10" customFormat="false" ht="15" hidden="false" customHeight="false" outlineLevel="0" collapsed="false">
      <c r="A10" s="155" t="n">
        <v>5</v>
      </c>
      <c r="B10" s="156" t="n">
        <v>1800000.01</v>
      </c>
      <c r="C10" s="156" t="n">
        <v>3600000</v>
      </c>
      <c r="D10" s="231" t="n">
        <v>0.21</v>
      </c>
      <c r="E10" s="156" t="n">
        <v>125640</v>
      </c>
    </row>
    <row r="11" customFormat="false" ht="15" hidden="false" customHeight="false" outlineLevel="0" collapsed="false">
      <c r="A11" s="155" t="n">
        <v>6</v>
      </c>
      <c r="B11" s="156" t="n">
        <v>3600000.01</v>
      </c>
      <c r="C11" s="156" t="n">
        <v>4800000</v>
      </c>
      <c r="D11" s="231" t="n">
        <v>0.33</v>
      </c>
      <c r="E11" s="156" t="n">
        <v>648000</v>
      </c>
    </row>
    <row r="13" customFormat="false" ht="18" hidden="false" customHeight="true" outlineLevel="0" collapsed="false">
      <c r="A13" s="25" t="s">
        <v>973</v>
      </c>
      <c r="B13" s="26"/>
      <c r="C13" s="26"/>
      <c r="D13" s="26"/>
      <c r="E13" s="26"/>
      <c r="F13" s="26"/>
      <c r="G13" s="26"/>
      <c r="H13" s="26"/>
    </row>
    <row r="14" customFormat="false" ht="15" hidden="false" customHeight="false" outlineLevel="0" collapsed="false">
      <c r="A14" s="183" t="s">
        <v>967</v>
      </c>
      <c r="B14" s="183" t="s">
        <v>968</v>
      </c>
      <c r="C14" s="183" t="s">
        <v>969</v>
      </c>
      <c r="D14" s="183" t="s">
        <v>970</v>
      </c>
      <c r="E14" s="183" t="s">
        <v>971</v>
      </c>
      <c r="G14" s="29" t="s">
        <v>974</v>
      </c>
    </row>
    <row r="15" customFormat="false" ht="15" hidden="false" customHeight="false" outlineLevel="0" collapsed="false">
      <c r="A15" s="155" t="n">
        <v>1</v>
      </c>
      <c r="B15" s="156" t="n">
        <v>0</v>
      </c>
      <c r="C15" s="156" t="n">
        <v>180000</v>
      </c>
      <c r="D15" s="231" t="n">
        <v>0.155</v>
      </c>
      <c r="E15" s="156" t="n">
        <v>0</v>
      </c>
    </row>
    <row r="16" customFormat="false" ht="15" hidden="false" customHeight="false" outlineLevel="0" collapsed="false">
      <c r="A16" s="155" t="n">
        <v>2</v>
      </c>
      <c r="B16" s="156" t="n">
        <v>180000.01</v>
      </c>
      <c r="C16" s="156" t="n">
        <v>360000</v>
      </c>
      <c r="D16" s="231" t="n">
        <v>0.18</v>
      </c>
      <c r="E16" s="156" t="n">
        <v>4500</v>
      </c>
    </row>
    <row r="17" customFormat="false" ht="15" hidden="false" customHeight="false" outlineLevel="0" collapsed="false">
      <c r="A17" s="155" t="n">
        <v>3</v>
      </c>
      <c r="B17" s="156" t="n">
        <v>360000.01</v>
      </c>
      <c r="C17" s="156" t="n">
        <v>720000</v>
      </c>
      <c r="D17" s="231" t="n">
        <v>0.195</v>
      </c>
      <c r="E17" s="156" t="n">
        <v>9900</v>
      </c>
    </row>
    <row r="18" customFormat="false" ht="15" hidden="false" customHeight="false" outlineLevel="0" collapsed="false">
      <c r="A18" s="155" t="n">
        <v>4</v>
      </c>
      <c r="B18" s="156" t="n">
        <v>720000.01</v>
      </c>
      <c r="C18" s="156" t="n">
        <v>1800000</v>
      </c>
      <c r="D18" s="231" t="n">
        <v>0.205</v>
      </c>
      <c r="E18" s="156" t="n">
        <v>17100</v>
      </c>
    </row>
    <row r="19" customFormat="false" ht="15" hidden="false" customHeight="false" outlineLevel="0" collapsed="false">
      <c r="A19" s="155" t="n">
        <v>5</v>
      </c>
      <c r="B19" s="156" t="n">
        <v>1800000.01</v>
      </c>
      <c r="C19" s="156" t="n">
        <v>3600000</v>
      </c>
      <c r="D19" s="231" t="n">
        <v>0.23</v>
      </c>
      <c r="E19" s="156" t="n">
        <v>62100</v>
      </c>
    </row>
    <row r="20" customFormat="false" ht="15" hidden="false" customHeight="false" outlineLevel="0" collapsed="false">
      <c r="A20" s="155" t="n">
        <v>6</v>
      </c>
      <c r="B20" s="156" t="n">
        <v>3600000.01</v>
      </c>
      <c r="C20" s="156" t="n">
        <v>4800000</v>
      </c>
      <c r="D20" s="231" t="n">
        <v>0.305</v>
      </c>
      <c r="E20" s="156" t="n">
        <v>540000</v>
      </c>
    </row>
    <row r="22" customFormat="false" ht="18" hidden="false" customHeight="true" outlineLevel="0" collapsed="false">
      <c r="A22" s="25" t="s">
        <v>975</v>
      </c>
      <c r="B22" s="26"/>
      <c r="C22" s="26"/>
      <c r="D22" s="26"/>
      <c r="E22" s="26"/>
      <c r="F22" s="26"/>
      <c r="G22" s="26"/>
      <c r="H22" s="26"/>
    </row>
    <row r="23" customFormat="false" ht="15" hidden="false" customHeight="false" outlineLevel="0" collapsed="false">
      <c r="A23" s="183" t="s">
        <v>967</v>
      </c>
      <c r="B23" s="183" t="s">
        <v>968</v>
      </c>
      <c r="C23" s="183" t="s">
        <v>970</v>
      </c>
      <c r="D23" s="183" t="s">
        <v>971</v>
      </c>
    </row>
    <row r="24" customFormat="false" ht="15" hidden="false" customHeight="false" outlineLevel="0" collapsed="false">
      <c r="A24" s="232" t="n">
        <v>1</v>
      </c>
      <c r="B24" s="233" t="n">
        <f aca="false">IF(Premissas!$B$23=2,B15,B6)</f>
        <v>0</v>
      </c>
      <c r="C24" s="234" t="n">
        <f aca="false">IF(Premissas!$B$23=2,D15,D6)</f>
        <v>0.155</v>
      </c>
      <c r="D24" s="233" t="n">
        <f aca="false">IF(Premissas!$B$23=2,E15,E6)</f>
        <v>0</v>
      </c>
    </row>
    <row r="25" customFormat="false" ht="15" hidden="false" customHeight="false" outlineLevel="0" collapsed="false">
      <c r="A25" s="232" t="n">
        <v>2</v>
      </c>
      <c r="B25" s="233" t="n">
        <f aca="false">IF(Premissas!$B$23=2,B16,B7)</f>
        <v>180000.01</v>
      </c>
      <c r="C25" s="234" t="n">
        <f aca="false">IF(Premissas!$B$23=2,D16,D7)</f>
        <v>0.18</v>
      </c>
      <c r="D25" s="233" t="n">
        <f aca="false">IF(Premissas!$B$23=2,E16,E7)</f>
        <v>4500</v>
      </c>
    </row>
    <row r="26" customFormat="false" ht="15" hidden="false" customHeight="false" outlineLevel="0" collapsed="false">
      <c r="A26" s="232" t="n">
        <v>3</v>
      </c>
      <c r="B26" s="233" t="n">
        <f aca="false">IF(Premissas!$B$23=2,B17,B8)</f>
        <v>360000.01</v>
      </c>
      <c r="C26" s="234" t="n">
        <f aca="false">IF(Premissas!$B$23=2,D17,D8)</f>
        <v>0.195</v>
      </c>
      <c r="D26" s="233" t="n">
        <f aca="false">IF(Premissas!$B$23=2,E17,E8)</f>
        <v>9900</v>
      </c>
    </row>
    <row r="27" customFormat="false" ht="15" hidden="false" customHeight="false" outlineLevel="0" collapsed="false">
      <c r="A27" s="232" t="n">
        <v>4</v>
      </c>
      <c r="B27" s="233" t="n">
        <f aca="false">IF(Premissas!$B$23=2,B18,B9)</f>
        <v>720000.01</v>
      </c>
      <c r="C27" s="234" t="n">
        <f aca="false">IF(Premissas!$B$23=2,D18,D9)</f>
        <v>0.205</v>
      </c>
      <c r="D27" s="233" t="n">
        <f aca="false">IF(Premissas!$B$23=2,E18,E9)</f>
        <v>17100</v>
      </c>
    </row>
    <row r="28" customFormat="false" ht="15" hidden="false" customHeight="false" outlineLevel="0" collapsed="false">
      <c r="A28" s="232" t="n">
        <v>5</v>
      </c>
      <c r="B28" s="233" t="n">
        <f aca="false">IF(Premissas!$B$23=2,B19,B10)</f>
        <v>1800000.01</v>
      </c>
      <c r="C28" s="234" t="n">
        <f aca="false">IF(Premissas!$B$23=2,D19,D10)</f>
        <v>0.23</v>
      </c>
      <c r="D28" s="233" t="n">
        <f aca="false">IF(Premissas!$B$23=2,E19,E10)</f>
        <v>62100</v>
      </c>
    </row>
    <row r="29" customFormat="false" ht="15" hidden="false" customHeight="false" outlineLevel="0" collapsed="false">
      <c r="A29" s="232" t="n">
        <v>6</v>
      </c>
      <c r="B29" s="233" t="n">
        <f aca="false">IF(Premissas!$B$23=2,B20,B11)</f>
        <v>3600000.01</v>
      </c>
      <c r="C29" s="234" t="n">
        <f aca="false">IF(Premissas!$B$23=2,D20,D11)</f>
        <v>0.305</v>
      </c>
      <c r="D29" s="233" t="n">
        <f aca="false">IF(Premissas!$B$23=2,E20,E11)</f>
        <v>540000</v>
      </c>
    </row>
    <row r="31" customFormat="false" ht="18" hidden="false" customHeight="true" outlineLevel="0" collapsed="false">
      <c r="A31" s="25" t="s">
        <v>976</v>
      </c>
      <c r="B31" s="26"/>
      <c r="C31" s="26"/>
      <c r="D31" s="26"/>
      <c r="E31" s="26"/>
      <c r="F31" s="26"/>
      <c r="G31" s="26"/>
      <c r="H31" s="26"/>
    </row>
    <row r="32" customFormat="false" ht="15" hidden="false" customHeight="true" outlineLevel="0" collapsed="false">
      <c r="A32" s="235" t="s">
        <v>977</v>
      </c>
      <c r="B32" s="235"/>
      <c r="C32" s="235"/>
      <c r="D32" s="235"/>
      <c r="E32" s="235"/>
      <c r="F32" s="235"/>
      <c r="G32" s="235"/>
    </row>
    <row r="33" customFormat="false" ht="15" hidden="false" customHeight="true" outlineLevel="0" collapsed="false">
      <c r="A33" s="78" t="s">
        <v>978</v>
      </c>
      <c r="B33" s="78"/>
      <c r="C33" s="78"/>
      <c r="D33" s="78"/>
      <c r="E33" s="78"/>
      <c r="F33" s="78"/>
      <c r="G33" s="78"/>
    </row>
    <row r="34" customFormat="false" ht="15" hidden="false" customHeight="true" outlineLevel="0" collapsed="false">
      <c r="A34" s="78" t="s">
        <v>979</v>
      </c>
      <c r="B34" s="78"/>
      <c r="C34" s="78"/>
      <c r="D34" s="78"/>
      <c r="E34" s="78"/>
      <c r="F34" s="78"/>
      <c r="G34" s="78"/>
    </row>
    <row r="35" customFormat="false" ht="15" hidden="false" customHeight="true" outlineLevel="0" collapsed="false">
      <c r="A35" s="78"/>
      <c r="B35" s="78"/>
      <c r="C35" s="78"/>
      <c r="D35" s="78"/>
      <c r="E35" s="78"/>
      <c r="F35" s="78"/>
      <c r="G35" s="78"/>
    </row>
    <row r="36" customFormat="false" ht="43.5" hidden="false" customHeight="true" outlineLevel="0" collapsed="false">
      <c r="A36" s="95" t="s">
        <v>980</v>
      </c>
      <c r="B36" s="95"/>
      <c r="C36" s="95"/>
      <c r="D36" s="95"/>
      <c r="E36" s="95"/>
      <c r="F36" s="95"/>
      <c r="G36" s="95"/>
    </row>
    <row r="37" customFormat="false" ht="15" hidden="false" customHeight="true" outlineLevel="0" collapsed="false">
      <c r="A37" s="78"/>
      <c r="B37" s="78"/>
      <c r="C37" s="78"/>
      <c r="D37" s="78"/>
      <c r="E37" s="78"/>
      <c r="F37" s="78"/>
      <c r="G37" s="78"/>
    </row>
    <row r="38" customFormat="false" ht="43.5" hidden="false" customHeight="true" outlineLevel="0" collapsed="false">
      <c r="A38" s="78" t="s">
        <v>981</v>
      </c>
      <c r="B38" s="78"/>
      <c r="C38" s="78"/>
      <c r="D38" s="78"/>
      <c r="E38" s="78"/>
      <c r="F38" s="78"/>
      <c r="G38" s="78"/>
    </row>
    <row r="40" customFormat="false" ht="18" hidden="false" customHeight="true" outlineLevel="0" collapsed="false">
      <c r="A40" s="25" t="s">
        <v>982</v>
      </c>
      <c r="B40" s="26"/>
      <c r="C40" s="26"/>
      <c r="D40" s="26"/>
      <c r="E40" s="26"/>
      <c r="F40" s="26"/>
      <c r="G40" s="26"/>
      <c r="H40" s="26"/>
    </row>
    <row r="41" customFormat="false" ht="22.35" hidden="false" customHeight="false" outlineLevel="0" collapsed="false">
      <c r="A41" s="183" t="s">
        <v>983</v>
      </c>
      <c r="B41" s="183" t="s">
        <v>984</v>
      </c>
      <c r="C41" s="183" t="s">
        <v>985</v>
      </c>
      <c r="D41" s="183" t="s">
        <v>986</v>
      </c>
      <c r="E41" s="183" t="s">
        <v>987</v>
      </c>
    </row>
    <row r="42" customFormat="false" ht="15" hidden="false" customHeight="false" outlineLevel="0" collapsed="false">
      <c r="A42" s="174" t="n">
        <v>180000</v>
      </c>
      <c r="B42" s="236" t="n">
        <f aca="false">($A42*INDEX($D$6:$D$11,MATCH($A42,$B$6:$B$11,1))-INDEX($E$6:$E$11,MATCH($A42,$B$6:$B$11,1)))/$A42</f>
        <v>0.06</v>
      </c>
      <c r="C42" s="236" t="n">
        <f aca="false">($A42*INDEX($D$15:$D$20,MATCH($A42,$B$15:$B$20,1))-INDEX($E$15:$E$20,MATCH($A42,$B$15:$B$20,1)))/$A42</f>
        <v>0.155</v>
      </c>
      <c r="D42" s="236" t="n">
        <f aca="false">$C42-$B42</f>
        <v>0.095</v>
      </c>
      <c r="E42" s="237" t="n">
        <f aca="false">$D42*$A42</f>
        <v>17100</v>
      </c>
      <c r="G42" s="29" t="s">
        <v>988</v>
      </c>
    </row>
    <row r="43" customFormat="false" ht="15" hidden="false" customHeight="false" outlineLevel="0" collapsed="false">
      <c r="A43" s="174" t="n">
        <v>360000</v>
      </c>
      <c r="B43" s="236" t="n">
        <f aca="false">($A43*INDEX($D$6:$D$11,MATCH($A43,$B$6:$B$11,1))-INDEX($E$6:$E$11,MATCH($A43,$B$6:$B$11,1)))/$A43</f>
        <v>0.086</v>
      </c>
      <c r="C43" s="236" t="n">
        <f aca="false">($A43*INDEX($D$15:$D$20,MATCH($A43,$B$15:$B$20,1))-INDEX($E$15:$E$20,MATCH($A43,$B$15:$B$20,1)))/$A43</f>
        <v>0.1675</v>
      </c>
      <c r="D43" s="236" t="n">
        <f aca="false">$C43-$B43</f>
        <v>0.0815</v>
      </c>
      <c r="E43" s="237" t="n">
        <f aca="false">$D43*$A43</f>
        <v>29340</v>
      </c>
    </row>
    <row r="44" customFormat="false" ht="15" hidden="false" customHeight="false" outlineLevel="0" collapsed="false">
      <c r="A44" s="174" t="n">
        <v>720000</v>
      </c>
      <c r="B44" s="236" t="n">
        <f aca="false">($A44*INDEX($D$6:$D$11,MATCH($A44,$B$6:$B$11,1))-INDEX($E$6:$E$11,MATCH($A44,$B$6:$B$11,1)))/$A44</f>
        <v>0.1105</v>
      </c>
      <c r="C44" s="236" t="n">
        <f aca="false">($A44*INDEX($D$15:$D$20,MATCH($A44,$B$15:$B$20,1))-INDEX($E$15:$E$20,MATCH($A44,$B$15:$B$20,1)))/$A44</f>
        <v>0.18125</v>
      </c>
      <c r="D44" s="236" t="n">
        <f aca="false">$C44-$B44</f>
        <v>0.07075</v>
      </c>
      <c r="E44" s="237" t="n">
        <f aca="false">$D44*$A44</f>
        <v>50940</v>
      </c>
    </row>
    <row r="45" customFormat="false" ht="15" hidden="false" customHeight="false" outlineLevel="0" collapsed="false">
      <c r="A45" s="174" t="n">
        <v>1800000</v>
      </c>
      <c r="B45" s="236" t="n">
        <f aca="false">($A45*INDEX($D$6:$D$11,MATCH($A45,$B$6:$B$11,1))-INDEX($E$6:$E$11,MATCH($A45,$B$6:$B$11,1)))/$A45</f>
        <v>0.1402</v>
      </c>
      <c r="C45" s="236" t="n">
        <f aca="false">($A45*INDEX($D$15:$D$20,MATCH($A45,$B$15:$B$20,1))-INDEX($E$15:$E$20,MATCH($A45,$B$15:$B$20,1)))/$A45</f>
        <v>0.1955</v>
      </c>
      <c r="D45" s="236" t="n">
        <f aca="false">$C45-$B45</f>
        <v>0.0553</v>
      </c>
      <c r="E45" s="237" t="n">
        <f aca="false">$D45*$A45</f>
        <v>99540</v>
      </c>
    </row>
    <row r="46" customFormat="false" ht="15" hidden="false" customHeight="false" outlineLevel="0" collapsed="false">
      <c r="A46" s="174" t="n">
        <v>3600000</v>
      </c>
      <c r="B46" s="236" t="n">
        <f aca="false">($A46*INDEX($D$6:$D$11,MATCH($A46,$B$6:$B$11,1))-INDEX($E$6:$E$11,MATCH($A46,$B$6:$B$11,1)))/$A46</f>
        <v>0.1751</v>
      </c>
      <c r="C46" s="236" t="n">
        <f aca="false">($A46*INDEX($D$15:$D$20,MATCH($A46,$B$15:$B$20,1))-INDEX($E$15:$E$20,MATCH($A46,$B$15:$B$20,1)))/$A46</f>
        <v>0.21275</v>
      </c>
      <c r="D46" s="236" t="n">
        <f aca="false">$C46-$B46</f>
        <v>0.03765</v>
      </c>
      <c r="E46" s="237" t="n">
        <f aca="false">$D46*$A46</f>
        <v>135540</v>
      </c>
    </row>
    <row r="47" customFormat="false" ht="15" hidden="false" customHeight="false" outlineLevel="0" collapsed="false">
      <c r="A47" s="174" t="n">
        <v>4800000</v>
      </c>
      <c r="B47" s="236" t="n">
        <f aca="false">($A47*INDEX($D$6:$D$11,MATCH($A47,$B$6:$B$11,1))-INDEX($E$6:$E$11,MATCH($A47,$B$6:$B$11,1)))/$A47</f>
        <v>0.195</v>
      </c>
      <c r="C47" s="236" t="n">
        <f aca="false">($A47*INDEX($D$15:$D$20,MATCH($A47,$B$15:$B$20,1))-INDEX($E$15:$E$20,MATCH($A47,$B$15:$B$20,1)))/$A47</f>
        <v>0.1925</v>
      </c>
      <c r="D47" s="236" t="n">
        <f aca="false">$C47-$B47</f>
        <v>-0.0025</v>
      </c>
      <c r="E47" s="237" t="n">
        <f aca="false">$D47*$A47</f>
        <v>-12000</v>
      </c>
    </row>
  </sheetData>
  <mergeCells count="7">
    <mergeCell ref="A32:G32"/>
    <mergeCell ref="A33:G33"/>
    <mergeCell ref="A34:G34"/>
    <mergeCell ref="A35:G35"/>
    <mergeCell ref="A36:G36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2026-10-12T14:36:31Z</dcterms:created>
  <dc:creator>openpyxl</dc:creator>
  <dc:description/>
  <dc:language>en-US</dc:language>
  <cp:lastModifiedBy/>
  <dcterms:modified xsi:type="dcterms:W3CDTF">2026-10-12T14:36:33Z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